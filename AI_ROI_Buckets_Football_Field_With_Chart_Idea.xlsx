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8a785b6a7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Buckets" sheetId="1" r:id="R621dd1fd007047bd"/>
    <x:sheet xmlns:r="http://schemas.openxmlformats.org/officeDocument/2006/relationships" name="02 Football Field" sheetId="2" r:id="Rb007609918e64fcc"/>
    <x:sheet xmlns:r="http://schemas.openxmlformats.org/officeDocument/2006/relationships" name="Chart Idea" sheetId="3" r:id="Rfb6d9b8e8ae3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–"/>
    <x:numFmt numFmtId="201" formatCode="0.0%;[Red](0.0%);–"/>
    <x:numFmt numFmtId="202" formatCode="#,##0;[Red](#,##0);–"/>
    <x:numFmt numFmtId="203" formatCode="#,##0.0;[Red](#,##0.0);&quot;-&quot;"/>
    <x:numFmt numFmtId="204" formatCode="&quot;$&quot;#,##0;[Red](&quot;$&quot;#,##0);–"/>
  </x:numFmts>
  <x:fonts count="28">
    <x:font>
      <x:sz val="11"/>
      <x:name val="Carlito"/>
    </x:font>
    <x:font>
      <x:sz val="9"/>
      <x:color rgb="FF101820"/>
      <x:name val="Arial"/>
    </x:font>
    <x:font>
      <x:b/>
      <x:sz val="14"/>
      <x:color rgb="FFFFFFFF"/>
      <x:name val="Arial"/>
    </x:font>
    <x:font>
      <x:sz val="9"/>
      <x:color rgb="FF546579"/>
      <x:name val="Arial"/>
    </x:font>
    <x:font>
      <x:b/>
      <x:sz val="10"/>
      <x:color rgb="FFFFFFFF"/>
      <x:name val="Arial"/>
    </x:font>
    <x:font>
      <x:sz val="9"/>
      <x:color rgb="FF0000FF"/>
      <x:name val="Arial"/>
    </x:font>
    <x:font>
      <x:b/>
      <x:sz val="9"/>
      <x:color rgb="FFFFFFFF"/>
      <x:name val="Arial"/>
    </x:font>
    <x:font>
      <x:sz val="9"/>
      <x:color rgb="FF9A6A22"/>
      <x:name val="Arial"/>
    </x:font>
    <x:font>
      <x:b/>
      <x:sz val="9"/>
      <x:color rgb="FF101820"/>
      <x:name val="Arial"/>
    </x:font>
    <x:font>
      <x:b/>
      <x:sz val="9"/>
      <x:color rgb="FF243B55"/>
      <x:name val="Arial"/>
    </x:font>
    <x:font>
      <x:sz val="9"/>
      <x:color rgb="FF008000"/>
      <x:name val="Arial"/>
    </x:font>
    <x:font>
      <x:b/>
      <x:sz val="9"/>
      <x:color rgb="FF008000"/>
      <x:name val="Arial"/>
    </x:font>
    <x:font>
      <x:sz val="10"/>
      <x:name val="Carlito"/>
    </x:font>
    <x:font>
      <x:sz val="10"/>
      <x:color rgb="FF1D2B3A"/>
      <x:name val="Carlito"/>
    </x:font>
    <x:font>
      <x:b/>
      <x:sz val="17"/>
      <x:color rgb="FFFFFFFF"/>
      <x:name val="Carlito"/>
    </x:font>
    <x:font>
      <x:i/>
      <x:sz val="10"/>
      <x:color rgb="FF274767"/>
      <x:name val="Carlito"/>
    </x:font>
    <x:font>
      <x:b/>
      <x:sz val="10"/>
      <x:color rgb="FFFFFFFF"/>
      <x:name val="Carlito"/>
    </x:font>
    <x:font>
      <x:b/>
      <x:sz val="10"/>
      <x:color rgb="FF15283D"/>
      <x:name val="Carlito"/>
    </x:font>
    <x:font>
      <x:b/>
      <x:sz val="10"/>
      <x:color rgb="FF1D2B3A"/>
      <x:name val="Carlito"/>
    </x:font>
    <x:font>
      <x:sz val="10"/>
      <x:color rgb="FF147D69"/>
      <x:name val="Carlito"/>
    </x:font>
    <x:font>
      <x:b/>
      <x:sz val="10"/>
      <x:color rgb="FF147D69"/>
      <x:name val="Carlito"/>
    </x:font>
    <x:font>
      <x:sz val="10"/>
      <x:color rgb="FF5A6A7C"/>
      <x:name val="Carlito"/>
    </x:font>
    <x:font>
      <x:b/>
      <x:sz val="10"/>
      <x:color rgb="FF5A6A7C"/>
      <x:name val="Carlito"/>
    </x:font>
    <x:font>
      <x:i/>
      <x:sz val="10"/>
      <x:color rgb="FF604A21"/>
      <x:name val="Carlito"/>
    </x:font>
    <x:font>
      <x:i/>
      <x:sz val="10"/>
      <x:color rgb="FF815E25"/>
      <x:name val="Carlito"/>
    </x:font>
    <x:font>
      <x:sz val="10"/>
      <x:color rgb="FF0000FF"/>
      <x:name val="Carlito"/>
    </x:font>
    <x:font>
      <x:i/>
      <x:sz val="10"/>
      <x:color rgb="FF526272"/>
      <x:name val="Carlito"/>
    </x:font>
    <x:font>
      <x:i/>
      <x:sz val="10"/>
      <x:color rgb="FF5A6A7C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4263B"/>
      </x:patternFill>
    </x:fill>
    <x:fill>
      <x:patternFill patternType="solid">
        <x:fgColor rgb="FF243B55"/>
      </x:patternFill>
    </x:fill>
    <x:fill>
      <x:patternFill patternType="solid">
        <x:fgColor rgb="FFFFF4C8"/>
      </x:patternFill>
    </x:fill>
    <x:fill>
      <x:patternFill patternType="solid">
        <x:fgColor rgb="FFEAF1EB"/>
      </x:patternFill>
    </x:fill>
    <x:fill>
      <x:patternFill patternType="solid">
        <x:fgColor rgb="FFF7F9FA"/>
      </x:patternFill>
    </x:fill>
    <x:fill>
      <x:patternFill patternType="solid">
        <x:fgColor rgb="FFEDF0F5"/>
      </x:patternFill>
    </x:fill>
    <x:fill>
      <x:patternFill patternType="solid">
        <x:fgColor rgb="FFE9F1F5"/>
      </x:patternFill>
    </x:fill>
    <x:fill>
      <x:patternFill patternType="solid">
        <x:fgColor rgb="FFE6EEF5"/>
      </x:patternFill>
    </x:fill>
    <x:fill>
      <x:patternFill patternType="solid">
        <x:fgColor rgb="FFEFF2F5"/>
      </x:patternFill>
    </x:fill>
    <x:fill>
      <x:patternFill patternType="solid">
        <x:fgColor rgb="FFF8F0EC"/>
      </x:patternFill>
    </x:fill>
    <x:fill>
      <x:patternFill patternType="solid">
        <x:fgColor rgb="FF243B55"/>
      </x:patternFill>
    </x:fill>
    <x:fill>
      <x:patternFill patternType="solid">
        <x:fgColor rgb="FFE6EEF5"/>
      </x:patternFill>
    </x:fill>
    <x:fill>
      <x:patternFill patternType="solid">
        <x:fgColor rgb="FFFFF4C8"/>
      </x:patternFill>
    </x:fill>
    <x:fill>
      <x:patternFill patternType="solid">
        <x:fgColor rgb="FF15283D"/>
      </x:patternFill>
    </x:fill>
    <x:fill>
      <x:patternFill patternType="solid">
        <x:fgColor rgb="FFE8EFF5"/>
      </x:patternFill>
    </x:fill>
    <x:fill>
      <x:patternFill patternType="solid">
        <x:fgColor rgb="FF274767"/>
      </x:patternFill>
    </x:fill>
    <x:fill>
      <x:patternFill patternType="solid">
        <x:fgColor rgb="FFDDE7EF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5F7FA"/>
      </x:patternFill>
    </x:fill>
    <x:fill>
      <x:patternFill patternType="solid">
        <x:fgColor rgb="FFF8F0D9"/>
      </x:patternFill>
    </x:fill>
    <x:fill>
      <x:patternFill patternType="solid">
        <x:fgColor rgb="FFDEE8F0"/>
      </x:patternFill>
    </x:fill>
    <x:fill>
      <x:patternFill patternType="solid">
        <x:fgColor rgb="FFE3EBF3"/>
      </x:patternFill>
    </x:fill>
    <x:fill>
      <x:patternFill patternType="solid">
        <x:fgColor rgb="FFE2EAF2"/>
      </x:patternFill>
    </x:fill>
    <x:fill>
      <x:patternFill patternType="solid">
        <x:fgColor rgb="FFFFF2DB"/>
      </x:patternFill>
    </x:fill>
    <x:fill>
      <x:patternFill patternType="solid">
        <x:fgColor rgb="FFD9E4EE"/>
      </x:patternFill>
    </x:fill>
    <x:fill>
      <x:patternFill patternType="solid">
        <x:fgColor rgb="FFEFF3F7"/>
      </x:patternFill>
    </x:fill>
    <x:fill>
      <x:patternFill patternType="solid">
        <x:fgColor rgb="FFF6F9FB"/>
      </x:patternFill>
    </x:fill>
  </x:fills>
  <x:borders count="2">
    <x:border/>
    <x:border/>
  </x:borders>
  <x:cellStyleXfs count="1">
    <x:xf numFmtId="0" fontId="0" fillId="0" borderId="0"/>
  </x:cellStyleXfs>
  <x:cellXfs count="18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0" fontId="5" fillId="4" borderId="0" xfId="0" applyNumberFormat="1" applyFont="1" applyFill="1" applyBorder="1"/>
    <x:xf numFmtId="200" fontId="5" fillId="4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6" borderId="0" xfId="0" applyNumberFormat="1" applyFont="1" applyFill="1" applyBorder="1"/>
    <x:xf numFmtId="200" fontId="1" fillId="6" borderId="0" xfId="0" applyNumberFormat="1" applyFont="1" applyFill="1" applyBorder="1"/>
    <x:xf numFmtId="201" fontId="5" fillId="6" borderId="0" xfId="0" applyNumberFormat="1" applyFont="1" applyFill="1" applyBorder="1"/>
    <x:xf numFmtId="202" fontId="5" fillId="6" borderId="0" xfId="0" applyNumberFormat="1" applyFont="1" applyFill="1" applyBorder="1"/>
    <x:xf numFmtId="0" fontId="1" fillId="6" borderId="1" xfId="0" applyNumberFormat="1" applyFont="1" applyFill="1" applyBorder="1"/>
    <x:xf numFmtId="200" fontId="1" fillId="6" borderId="1" xfId="0" applyNumberFormat="1" applyFont="1" applyFill="1" applyBorder="1"/>
    <x:xf numFmtId="201" fontId="5" fillId="6" borderId="1" xfId="0" applyNumberFormat="1" applyFont="1" applyFill="1" applyBorder="1"/>
    <x:xf numFmtId="202" fontId="5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0" fontId="1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0" fontId="1" fillId="10" borderId="0" xfId="0" applyNumberFormat="1" applyFont="1" applyFill="1" applyBorder="1"/>
    <x:xf numFmtId="200" fontId="10" fillId="10" borderId="0" xfId="0" applyNumberFormat="1" applyFont="1" applyFill="1" applyBorder="1"/>
    <x:xf numFmtId="0" fontId="1" fillId="10" borderId="1" xfId="0" applyNumberFormat="1" applyFont="1" applyFill="1" applyBorder="1"/>
    <x:xf numFmtId="200" fontId="10" fillId="10" borderId="1" xfId="0" applyNumberFormat="1" applyFont="1" applyFill="1" applyBorder="1"/>
    <x:xf numFmtId="0" fontId="8" fillId="10" borderId="0" xfId="0" applyNumberFormat="1" applyFont="1" applyFill="1" applyBorder="1"/>
    <x:xf numFmtId="200" fontId="11" fillId="10" borderId="0" xfId="0" applyNumberFormat="1" applyFont="1" applyFill="1" applyBorder="1"/>
    <x:xf numFmtId="0" fontId="8" fillId="10" borderId="1" xfId="0" applyNumberFormat="1" applyFont="1" applyFill="1" applyBorder="1"/>
    <x:xf numFmtId="200" fontId="11" fillId="10" borderId="1" xfId="0" applyNumberFormat="1" applyFont="1" applyFill="1" applyBorder="1"/>
    <x:xf numFmtId="0" fontId="1" fillId="11" borderId="0" xfId="0" applyNumberFormat="1" applyFont="1" applyFill="1" applyBorder="1"/>
    <x:xf numFmtId="200" fontId="10" fillId="11" borderId="0" xfId="0" applyNumberFormat="1" applyFont="1" applyFill="1" applyBorder="1"/>
    <x:xf numFmtId="0" fontId="1" fillId="11" borderId="1" xfId="0" applyNumberFormat="1" applyFont="1" applyFill="1" applyBorder="1"/>
    <x:xf numFmtId="200" fontId="10" fillId="11" borderId="1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wrapText="1"/>
    </x:xf>
    <x:xf numFmtId="202" fontId="10" fillId="0" borderId="0" xfId="0" applyNumberFormat="1" applyFont="1" applyFill="1" applyBorder="1"/>
    <x:xf numFmtId="202" fontId="10" fillId="0" borderId="1" xfId="0" applyNumberFormat="1" applyFont="1" applyFill="1" applyBorder="1"/>
    <x:xf numFmtId="200" fontId="8" fillId="10" borderId="0" xfId="0" applyNumberFormat="1" applyFont="1" applyFill="1" applyBorder="1"/>
    <x:xf numFmtId="200" fontId="8" fillId="10" borderId="1" xfId="0" applyNumberFormat="1" applyFont="1" applyFill="1" applyBorder="1"/>
    <x:xf numFmtId="200" fontId="1" fillId="11" borderId="0" xfId="0" applyNumberFormat="1" applyFont="1" applyFill="1" applyBorder="1"/>
    <x:xf numFmtId="200" fontId="1" fillId="11" borderId="1" xfId="0" applyNumberFormat="1" applyFont="1" applyFill="1" applyBorder="1"/>
    <x:xf numFmtId="202" fontId="9" fillId="9" borderId="0" xfId="0" applyNumberFormat="1" applyFont="1" applyFill="1" applyBorder="1"/>
    <x:xf numFmtId="202" fontId="9" fillId="9" borderId="1" xfId="0" applyNumberFormat="1" applyFont="1" applyFill="1" applyBorder="1"/>
    <x:xf numFmtId="0" fontId="0" fillId="0" borderId="0" xfId="0" applyNumberFormat="1" applyFont="1" applyFill="1" applyBorder="1"/>
    <x:xf numFmtId="0" fontId="1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/>
    <x:xf numFmtId="0" fontId="5" fillId="14" borderId="0" xfId="0" applyNumberFormat="1" applyFont="1" applyFill="1" applyBorder="1"/>
    <x:xf numFmtId="203" fontId="5" fillId="14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203" fontId="5" fillId="4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3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vertical="center"/>
    </x:xf>
    <x:xf numFmtId="0" fontId="13" fillId="16" borderId="0" xfId="0" applyNumberFormat="1" applyFont="1" applyFill="1" applyBorder="1"/>
    <x:xf numFmtId="0" fontId="15" fillId="16" borderId="0" xfId="0" applyNumberFormat="1" applyFont="1" applyFill="1" applyBorder="1"/>
    <x:xf numFmtId="0" fontId="13" fillId="17" borderId="0" xfId="0" applyNumberFormat="1" applyFont="1" applyFill="1" applyBorder="1"/>
    <x:xf numFmtId="0" fontId="16" fillId="17" borderId="0" xfId="0" applyNumberFormat="1" applyFont="1" applyFill="1" applyBorder="1"/>
    <x:xf numFmtId="0" fontId="13" fillId="18" borderId="0" xfId="0" applyNumberFormat="1" applyFont="1" applyFill="1" applyBorder="1"/>
    <x:xf numFmtId="0" fontId="17" fillId="18" borderId="0" xfId="0" applyNumberFormat="1" applyFont="1" applyFill="1" applyBorder="1"/>
    <x:xf numFmtId="0" fontId="17" fillId="18" borderId="0" xfId="0" applyNumberFormat="1" applyFont="1" applyFill="1" applyBorder="1" applyAlignment="1">
      <x:alignment vertical="center"/>
    </x:xf>
    <x:xf numFmtId="0" fontId="13" fillId="19" borderId="0" xfId="0" applyNumberFormat="1" applyFont="1" applyFill="1" applyBorder="1"/>
    <x:xf numFmtId="0" fontId="13" fillId="19" borderId="0" xfId="0" applyNumberFormat="1" applyFont="1" applyFill="1" applyBorder="1" applyAlignment="1">
      <x:alignment wrapText="1"/>
    </x:xf>
    <x:xf numFmtId="0" fontId="13" fillId="19" borderId="0" xfId="0" applyNumberFormat="1" applyFont="1" applyFill="1" applyBorder="1" applyAlignment="1">
      <x:alignment vertical="center" wrapText="1"/>
    </x:xf>
    <x:xf numFmtId="0" fontId="18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20" fillId="19" borderId="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/>
    <x:xf numFmtId="0" fontId="13" fillId="20" borderId="0" xfId="0" applyNumberFormat="1" applyFont="1" applyFill="1" applyBorder="1" applyAlignment="1">
      <x:alignment wrapText="1"/>
    </x:xf>
    <x:xf numFmtId="0" fontId="13" fillId="20" borderId="0" xfId="0" applyNumberFormat="1" applyFont="1" applyFill="1" applyBorder="1" applyAlignment="1">
      <x:alignment vertical="center" wrapText="1"/>
    </x:xf>
    <x:xf numFmtId="0" fontId="18" fillId="20" borderId="0" xfId="0" applyNumberFormat="1" applyFont="1" applyFill="1" applyBorder="1" applyAlignment="1">
      <x:alignment vertical="center" wrapText="1"/>
    </x:xf>
    <x:xf numFmtId="0" fontId="19" fillId="20" borderId="0" xfId="0" applyNumberFormat="1" applyFont="1" applyFill="1" applyBorder="1" applyAlignment="1">
      <x:alignment vertical="center" wrapText="1"/>
    </x:xf>
    <x:xf numFmtId="0" fontId="20" fillId="20" borderId="0" xfId="0" applyNumberFormat="1" applyFont="1" applyFill="1" applyBorder="1" applyAlignment="1">
      <x:alignment vertical="center" wrapText="1"/>
    </x:xf>
    <x:xf numFmtId="0" fontId="21" fillId="19" borderId="0" xfId="0" applyNumberFormat="1" applyFont="1" applyFill="1" applyBorder="1" applyAlignment="1">
      <x:alignment vertical="center" wrapText="1"/>
    </x:xf>
    <x:xf numFmtId="0" fontId="22" fillId="19" borderId="0" xfId="0" applyNumberFormat="1" applyFont="1" applyFill="1" applyBorder="1" applyAlignment="1">
      <x:alignment vertical="center" wrapText="1"/>
    </x:xf>
    <x:xf numFmtId="0" fontId="21" fillId="20" borderId="0" xfId="0" applyNumberFormat="1" applyFont="1" applyFill="1" applyBorder="1" applyAlignment="1">
      <x:alignment vertical="center" wrapText="1"/>
    </x:xf>
    <x:xf numFmtId="0" fontId="22" fillId="20" borderId="0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/>
    <x:xf numFmtId="0" fontId="13" fillId="21" borderId="0" xfId="0" applyNumberFormat="1" applyFont="1" applyFill="1" applyBorder="1" applyAlignment="1">
      <x:alignment wrapText="1"/>
    </x:xf>
    <x:xf numFmtId="0" fontId="13" fillId="21" borderId="0" xfId="0" applyNumberFormat="1" applyFont="1" applyFill="1" applyBorder="1" applyAlignment="1">
      <x:alignment vertical="center" wrapText="1"/>
    </x:xf>
    <x:xf numFmtId="0" fontId="19" fillId="21" borderId="0" xfId="0" applyNumberFormat="1" applyFont="1" applyFill="1" applyBorder="1" applyAlignment="1">
      <x:alignment vertical="center" wrapText="1"/>
    </x:xf>
    <x:xf numFmtId="0" fontId="13" fillId="22" borderId="0" xfId="0" applyNumberFormat="1" applyFont="1" applyFill="1" applyBorder="1"/>
    <x:xf numFmtId="0" fontId="23" fillId="22" borderId="0" xfId="0" applyNumberFormat="1" applyFont="1" applyFill="1" applyBorder="1"/>
    <x:xf numFmtId="0" fontId="23" fillId="22" borderId="0" xfId="0" applyNumberFormat="1" applyFont="1" applyFill="1" applyBorder="1" applyAlignment="1">
      <x:alignment wrapText="1"/>
    </x:xf>
    <x:xf numFmtId="0" fontId="13" fillId="23" borderId="0" xfId="0" applyNumberFormat="1" applyFont="1" applyFill="1" applyBorder="1"/>
    <x:xf numFmtId="0" fontId="17" fillId="23" borderId="0" xfId="0" applyNumberFormat="1" applyFont="1" applyFill="1" applyBorder="1"/>
    <x:xf numFmtId="0" fontId="13" fillId="24" borderId="0" xfId="0" applyNumberFormat="1" applyFont="1" applyFill="1" applyBorder="1"/>
    <x:xf numFmtId="0" fontId="17" fillId="24" borderId="0" xfId="0" applyNumberFormat="1" applyFont="1" applyFill="1" applyBorder="1"/>
    <x:xf numFmtId="200" fontId="13" fillId="0" borderId="0" xfId="0" applyNumberFormat="1" applyFont="1" applyFill="1" applyBorder="1"/>
    <x:xf numFmtId="200" fontId="17" fillId="24" borderId="0" xfId="0" applyNumberFormat="1" applyFont="1" applyFill="1" applyBorder="1"/>
    <x:xf numFmtId="200" fontId="18" fillId="24" borderId="0" xfId="0" applyNumberFormat="1" applyFont="1" applyFill="1" applyBorder="1"/>
    <x:xf numFmtId="0" fontId="13" fillId="25" borderId="0" xfId="0" applyNumberFormat="1" applyFont="1" applyFill="1" applyBorder="1"/>
    <x:xf numFmtId="0" fontId="17" fillId="25" borderId="0" xfId="0" applyNumberFormat="1" applyFont="1" applyFill="1" applyBorder="1"/>
    <x:xf numFmtId="0" fontId="16" fillId="15" borderId="0" xfId="0" applyNumberFormat="1" applyFont="1" applyFill="1" applyBorder="1"/>
    <x:xf numFmtId="0" fontId="16" fillId="15" borderId="0" xfId="0" applyNumberFormat="1" applyFont="1" applyFill="1" applyBorder="1" applyAlignment="1">
      <x:alignment vertical="center"/>
    </x:xf>
    <x:xf numFmtId="0" fontId="13" fillId="26" borderId="0" xfId="0" applyNumberFormat="1" applyFont="1" applyFill="1" applyBorder="1"/>
    <x:xf numFmtId="0" fontId="24" fillId="26" borderId="0" xfId="0" applyNumberFormat="1" applyFont="1" applyFill="1" applyBorder="1"/>
    <x:xf numFmtId="0" fontId="24" fillId="26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/>
    <x:xf numFmtId="0" fontId="17" fillId="27" borderId="0" xfId="0" applyNumberFormat="1" applyFont="1" applyFill="1" applyBorder="1"/>
    <x:xf numFmtId="0" fontId="17" fillId="27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0" fontId="13" fillId="28" borderId="0" xfId="0" applyNumberFormat="1" applyFont="1" applyFill="1" applyBorder="1"/>
    <x:xf numFmtId="0" fontId="26" fillId="28" borderId="0" xfId="0" applyNumberFormat="1" applyFont="1" applyFill="1" applyBorder="1"/>
    <x:xf numFmtId="0" fontId="26" fillId="28" borderId="0" xfId="0" applyNumberFormat="1" applyFont="1" applyFill="1" applyBorder="1" applyAlignment="1">
      <x:alignment wrapText="1"/>
    </x:xf>
    <x:xf numFmtId="0" fontId="26" fillId="28" borderId="0" xfId="0" applyNumberFormat="1" applyFont="1" applyFill="1" applyBorder="1" applyAlignment="1">
      <x:alignment vertical="center" wrapText="1"/>
    </x:xf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27" fillId="28" borderId="0" xfId="0" applyNumberFormat="1" applyFont="1" applyFill="1" applyBorder="1"/>
    <x:xf numFmtId="0" fontId="27" fillId="28" borderId="0" xfId="0" applyNumberFormat="1" applyFont="1" applyFill="1" applyBorder="1" applyAlignment="1">
      <x:alignment wrapText="1"/>
    </x:xf>
    <x:xf numFmtId="0" fontId="27" fillId="28" borderId="0" xfId="0" applyNumberFormat="1" applyFont="1" applyFill="1" applyBorder="1" applyAlignment="1">
      <x:alignment vertical="center" wrapText="1"/>
    </x:xf>
    <x:xf numFmtId="0" fontId="17" fillId="24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d9a33b235439b" /><Relationship Type="http://schemas.openxmlformats.org/officeDocument/2006/relationships/theme" Target="/xl/theme/theme1.xml" Id="R8a935cbd566443fd" /><Relationship Type="http://schemas.openxmlformats.org/officeDocument/2006/relationships/sharedStrings" Target="/xl/sharedStrings.xml" Id="R71b17dbcc3e34801" /><Relationship Type="http://schemas.openxmlformats.org/officeDocument/2006/relationships/worksheet" Target="/xl/worksheets/sheet1.xml" Id="R621dd1fd007047bd" /><Relationship Type="http://schemas.openxmlformats.org/officeDocument/2006/relationships/worksheet" Target="/xl/worksheets/sheet2.xml" Id="Rb007609918e64fcc" /><Relationship Type="http://schemas.openxmlformats.org/officeDocument/2006/relationships/worksheet" Target="/xl/worksheets/sheet3.xml" Id="Rfb6d9b8e8ae346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e042f1c4b94f35" /><Relationship Type="http://schemas.openxmlformats.org/officeDocument/2006/relationships/chart" Target="/xl/drawings/charts/chart2.xml" Id="R62f34aa730924ca1" /><Relationship Type="http://schemas.openxmlformats.org/officeDocument/2006/relationships/chart" Target="/xl/drawings/charts/chart3.xml" Id="R96fc8f6fdece41b3" /><Relationship Type="http://schemas.openxmlformats.org/officeDocument/2006/relationships/chart" Target="/xl/drawings/charts/chart4.xml" Id="R722295e6a1414526" /><Relationship Type="http://schemas.openxmlformats.org/officeDocument/2006/relationships/chart" Target="/xl/drawings/charts/chart5.xml" Id="R08a52a5011ab463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dacf7954e044023" /><Relationship Type="http://schemas.openxmlformats.org/officeDocument/2006/relationships/chart" Target="/xl/drawings/charts/chart7.xml" Id="R6f06795434794c4e" /><Relationship Type="http://schemas.openxmlformats.org/officeDocument/2006/relationships/chart" Target="/xl/drawings/charts/chart8.xml" Id="Rfd179b0a62034a5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Selected core</c:v>
          </c:tx>
          <c:cat>
            <c:strRef>
              <c:f>'02 Football Field'!$H$60:$H$62</c:f>
              <c:strCache>
                <c:ptCount val="0"/>
              </c:strCache>
            </c:strRef>
          </c:cat>
          <c:val>
            <c:numRef>
              <c:f>'02 Football Field'!$I$60:$I$62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Gross proxy - overlapping</c:v>
          </c:tx>
          <c:cat>
            <c:strRef>
              <c:f>'02 Football Field'!$H$60:$H$62</c:f>
              <c:strCache>
                <c:ptCount val="0"/>
              </c:strCache>
            </c:strRef>
          </c:cat>
          <c:val>
            <c:numRef>
              <c:f>'02 Football Field'!$J$60:$J$62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stacked"/>
        <c:varyColors val="0"/>
        <c:ser>
          <c:idx val="0"/>
          <c:order val="0"/>
          <c:tx>
            <c:v>Offset (not revenue)</c:v>
          </c:tx>
          <c:spPr>
            <a:solidFill xmlns:a="http://schemas.openxmlformats.org/drawingml/2006/main">
              <a:srgbClr val="FFFFFF"/>
            </a:solidFill>
          </c:spPr>
          <c:cat>
            <c:strRef>
              <c:f>'02 Football Field'!$B$36:$B$44</c:f>
              <c:strCache>
                <c:ptCount val="0"/>
              </c:strCache>
            </c:strRef>
          </c:cat>
          <c:val>
            <c:numRef>
              <c:f>'02 Football Field'!$E$36:$E$44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Incremental revenue</c:v>
          </c:tx>
          <c:cat>
            <c:strRef>
              <c:f>'02 Football Field'!$B$36:$B$44</c:f>
              <c:strCache>
                <c:ptCount val="0"/>
              </c:strCache>
            </c:strRef>
          </c:cat>
          <c:val>
            <c:numRef>
              <c:f>'02 Football Field'!$C$36:$C$44</c:f>
              <c:numCache>
                <c:formatCode>General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Low</c:v>
          </c:tx>
          <c:cat>
            <c:strRef>
              <c:f>'02 Football Field'!$B$23:$B$28</c:f>
              <c:strCache>
                <c:ptCount val="0"/>
              </c:strCache>
            </c:strRef>
          </c:cat>
          <c:val>
            <c:numRef>
              <c:f>'02 Football Field'!$C$23:$C$28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cat>
            <c:strRef>
              <c:f>'02 Football Field'!$B$23:$B$28</c:f>
              <c:strCache>
                <c:ptCount val="0"/>
              </c:strCache>
            </c:strRef>
          </c:cat>
          <c:val>
            <c:numRef>
              <c:f>'02 Football Field'!$D$23:$D$28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cat>
            <c:strRef>
              <c:f>'02 Football Field'!$B$23:$B$28</c:f>
              <c:strCache>
                <c:ptCount val="0"/>
              </c:strCache>
            </c:strRef>
          </c:cat>
          <c:val>
            <c:numRef>
              <c:f>'02 Football Field'!$E$23:$E$28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bar"/>
        <c:varyColors val="0"/>
        <c:ser>
          <c:idx val="0"/>
          <c:order val="0"/>
          <c:tx>
            <c:v>Annual revenue</c:v>
          </c:tx>
          <c:cat>
            <c:strRef>
              <c:f>'02 Football Field'!$H$74:$H$77</c:f>
              <c:strCache>
                <c:ptCount val="0"/>
              </c:strCache>
            </c:strRef>
          </c:cat>
          <c:val>
            <c:numRef>
              <c:f>'02 Football Field'!$I$74:$I$77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2032 GDP level gap</c:v>
          </c:tx>
          <c:cat>
            <c:strRef>
              <c:f>'02 Football Field'!$B$77:$B$79</c:f>
              <c:strCache>
                <c:ptCount val="0"/>
              </c:strCache>
            </c:strRef>
          </c:cat>
          <c:val>
            <c:numRef>
              <c:f>'02 Football Field'!$C$77:$C$79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Share of initial exposed wage</c:v>
          </c:tx>
          <c:cat>
            <c:strRef>
              <c:f>'Chart Idea'!$B$104:$B$108</c:f>
              <c:strCache>
                <c:ptCount val="0"/>
              </c:strCache>
            </c:strRef>
          </c:cat>
          <c:val>
            <c:numRef>
              <c:f>'Chart Idea'!$C$104:$C$108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Selected current model</c:v>
          </c:tx>
          <c:marker>
            <c:symbol val="none"/>
          </c:marker>
          <c:cat>
            <c:strRef>
              <c:f>'Chart Idea'!$B$113:$B$117</c:f>
              <c:strCache>
                <c:ptCount val="0"/>
              </c:strCache>
            </c:strRef>
          </c:cat>
          <c:val>
            <c:numRef>
              <c:f>'Chart Idea'!$C$113:$C$117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With provisional B2B / labor gap (NOT additive yet)</c:v>
          </c:tx>
          <c:marker>
            <c:symbol val="none"/>
          </c:marker>
          <c:cat>
            <c:strRef>
              <c:f>'Chart Idea'!$B$113:$B$117</c:f>
              <c:strCache>
                <c:ptCount val="0"/>
              </c:strCache>
            </c:strRef>
          </c:cat>
          <c:val>
            <c:numRef>
              <c:f>'Chart Idea'!$D$113:$D$117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barChart>
        <c:barDir val="bar"/>
        <c:varyColors val="0"/>
        <c:ser>
          <c:idx val="0"/>
          <c:order val="0"/>
          <c:tx>
            <c:v>Scenario vendor capture</c:v>
          </c:tx>
          <c:cat>
            <c:strRef>
              <c:f>'Chart Idea'!$B$123:$B$127</c:f>
              <c:strCache>
                <c:ptCount val="0"/>
              </c:strCache>
            </c:strRef>
          </c:cat>
          <c:val>
            <c:numRef>
              <c:f>'Chart Idea'!$C$123:$C$127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e042f1c4b94f35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f34aa730924ca1"/>
        </a:graphicData>
      </a:graphic>
    </xdr:graphicFrame>
    <xdr:clientData/>
  </xdr:twoCellAnchor>
  <xdr:twoCellAnchor>
    <xdr:from>
      <xdr:col>6</xdr:col>
      <xdr:colOff>0</xdr:colOff>
      <xdr:row>48</xdr:row>
      <xdr:rowOff>0</xdr:rowOff>
    </xdr:from>
    <xdr:to>
      <xdr:col>16</xdr:col>
      <xdr:colOff>0</xdr:colOff>
      <xdr:row>70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fc8f6fdece41b3"/>
        </a:graphicData>
      </a:graphic>
    </xdr:graphicFrame>
    <xdr:clientData/>
  </xdr:twoCellAnchor>
  <xdr:twoCellAnchor>
    <xdr:from>
      <xdr:col>6</xdr:col>
      <xdr:colOff>0</xdr:colOff>
      <xdr:row>72</xdr:row>
      <xdr:rowOff>0</xdr:rowOff>
    </xdr:from>
    <xdr:to>
      <xdr:col>16</xdr:col>
      <xdr:colOff>0</xdr:colOff>
      <xdr:row>87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2295e6a1414526"/>
        </a:graphicData>
      </a:graphic>
    </xdr:graphicFrame>
    <xdr:clientData/>
  </xdr:twoCellAnchor>
  <xdr:twoCellAnchor>
    <xdr:from>
      <xdr:col>6</xdr:col>
      <xdr:colOff>0</xdr:colOff>
      <xdr:row>73</xdr:row>
      <xdr:rowOff>0</xdr:rowOff>
    </xdr:from>
    <xdr:to>
      <xdr:col>16</xdr:col>
      <xdr:colOff>0</xdr:colOff>
      <xdr:row>91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a52a5011ab463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5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acf7954e044023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10</xdr:col>
      <xdr:colOff>0</xdr:colOff>
      <xdr:row>54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06795434794c4e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5</xdr:col>
      <xdr:colOff>0</xdr:colOff>
      <xdr:row>84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179b0a62034a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0b1986e5d7a43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345f7b57c9a4a11" /></Relationships>
</file>

<file path=xl/worksheets/sheet1.xml><?xml version="1.0" encoding="utf-8"?>
<x:worksheet xmlns:x="http://schemas.openxmlformats.org/spreadsheetml/2006/main">
  <x:sheetViews>
    <x:sheetView workbookViewId="0">
      <x:pane xSplit="3" ySplit="17" topLeftCell="D18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31" hidden="0" customWidth="1"/>
    <x:col min="4" max="4" width="17" hidden="0" customWidth="1"/>
    <x:col min="5" max="5" width="55" hidden="0" customWidth="1"/>
    <x:col min="6" max="6" width="12" hidden="0" customWidth="1"/>
    <x:col min="7" max="7" width="19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4" max="14" width="15" hidden="0" customWidth="1"/>
    <x:col min="15" max="15" width="21" hidden="0" customWidth="1"/>
    <x:col min="16" max="16" width="21" hidden="0" customWidth="1"/>
    <x:col min="17" max="17" width="14" hidden="0" customWidth="1"/>
    <x:col min="18" max="18" width="20" hidden="0" customWidth="1"/>
    <x:col min="19" max="19" width="25" hidden="0" customWidth="1"/>
    <x:col min="20" max="20" width="60" hidden="0" customWidth="1"/>
    <x:col min="21" max="21" width="67" hidden="0" customWidth="1"/>
  </x:cols>
  <x:sheetData>
    <x:row r="1" ht="22" customHeight="1">
      <x:c r="A1" s="6" t="str">
        <x:v>AI ROI | MARKET MAP &amp; MONETIZATION BUCKETS — 2030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 ht="22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 ht="20" customHeight="1">
      <x:c r="A3" s="10" t="str">
        <x:v>RESEARCH FRAMEWORK  |  Opportunity ≠ monetizable vendor revenue  •  Assumptions in blue  •  Public input values show source  •  Do not sum alternative methods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14" t="str">
        <x:v>CORE CONTROLS  |  PRIOR MODEL VALUES AND ILLUSTRATIVE PARAMETERS — REPLACE ONLY WHERE APPROPRIATE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</x:row>
    <x:row r="6" ht="23" customHeight="1">
      <x:c r="A6" s="2"/>
      <x:c r="B6" s="2" t="str">
        <x:v>Projection year</x:v>
      </x:c>
      <x:c r="C6" s="22" t="n">
        <x:v>2030</x:v>
      </x:c>
      <x:c r="D6" s="2"/>
      <x:c r="E6" s="2" t="str">
        <x:v>B2B / consumer market CAGR (illustrative)</x:v>
      </x:c>
      <x:c r="F6" s="24" t="n">
        <x:v>0.03</x:v>
      </x:c>
      <x:c r="G6" s="2"/>
      <x:c r="H6" s="2" t="str">
        <x:v>U.S. labor gap wages ($bn)</x:v>
      </x:c>
      <x:c r="I6" s="22" t="n">
        <x:v>586</x:v>
      </x:c>
      <x:c r="J6" s="2"/>
      <x:c r="K6" s="26" t="str">
        <x:v>Core model values: U.S. exposed wages ~$5.3T; global ex-China ~$14T; U.S. counterfactual missing-labor wage value ~$586B. All seat counts, market CAGR and hurdle numbers are examples.</x:v>
      </x:c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 ht="23" customHeight="1">
      <x:c r="A7" s="2"/>
      <x:c r="B7" s="2" t="str">
        <x:v>U.S. exposed wage pool ($bn)</x:v>
      </x:c>
      <x:c r="C7" s="22" t="n">
        <x:v>5300</x:v>
      </x:c>
      <x:c r="D7" s="2"/>
      <x:c r="E7" s="2" t="str">
        <x:v>Global ex-China wage pool ($bn)</x:v>
      </x:c>
      <x:c r="F7" s="22" t="n">
        <x:v>14000</x:v>
      </x:c>
      <x:c r="G7" s="2"/>
      <x:c r="H7" s="2" t="str">
        <x:v>Ex-China includes U.S.</x:v>
      </x:c>
      <x:c r="I7" s="2" t="str">
        <x:v>YES</x:v>
      </x:c>
      <x:c r="J7" s="2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 ht="23" customHeight="1">
      <x:c r="A8" s="2"/>
      <x:c r="B8" s="2" t="str">
        <x:v>Hurdle LOW ($bn/yr) - scenario</x:v>
      </x:c>
      <x:c r="C8" s="22" t="n">
        <x:v>600</x:v>
      </x:c>
      <x:c r="D8" s="2"/>
      <x:c r="E8" s="2" t="str">
        <x:v>Hurdle BASE ($bn/yr) - scenario</x:v>
      </x:c>
      <x:c r="F8" s="22" t="n">
        <x:v>900</x:v>
      </x:c>
      <x:c r="G8" s="2"/>
      <x:c r="H8" s="2" t="str">
        <x:v>Hurdle HIGH ($bn/yr) - scenario</x:v>
      </x:c>
      <x:c r="I8" s="22" t="n">
        <x:v>1200</x:v>
      </x:c>
      <x:c r="J8" s="2"/>
      <x:c r="K8" s="26" t="str">
        <x:v>Revenue map default: U.S. evidence pilot. Global ex-China wages are shown as a separate alternate geography, NOT added to U.S. value. Public B2B / B2C market sizes below are U.S. only.</x:v>
      </x:c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 ht="23" customHeight="1">
      <x:c r="A9" s="2"/>
      <x:c r="B9" s="2" t="str">
        <x:v>U.S. potential seats (million) - placeholder</x:v>
      </x:c>
      <x:c r="C9" s="22" t="n">
        <x:v>100</x:v>
      </x:c>
      <x:c r="D9" s="2"/>
      <x:c r="E9" s="2" t="str">
        <x:v>Enterprise paid penetration - scenario</x:v>
      </x:c>
      <x:c r="F9" s="24" t="n">
        <x:v>0.3</x:v>
      </x:c>
      <x:c r="G9" s="2"/>
      <x:c r="H9" s="2" t="str">
        <x:v>Annual price / paid seat ($) - scenario</x:v>
      </x:c>
      <x:c r="I9" s="22" t="n">
        <x:v>1200</x:v>
      </x:c>
      <x:c r="J9" s="2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 ht="23" customHeight="1">
      <x:c r="A10" s="2"/>
      <x:c r="B10" s="2" t="str">
        <x:v>Ex-China potential seats (million) - placeholder</x:v>
      </x:c>
      <x:c r="C10" s="22" t="n">
        <x:v>400</x:v>
      </x:c>
      <x:c r="D10" s="2"/>
      <x:c r="E10" s="2" t="str">
        <x:v>Ex-China paid penetration - scenario</x:v>
      </x:c>
      <x:c r="F10" s="24" t="n">
        <x:v>0.3</x:v>
      </x:c>
      <x:c r="G10" s="2"/>
      <x:c r="H10" s="2" t="str">
        <x:v>Annual price / paid seat ($) - scenario</x:v>
      </x:c>
      <x:c r="I10" s="22" t="n">
        <x:v>1200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3" customHeight="1">
      <x:c r="A11" s="2"/>
      <x:c r="B11" s="2" t="str">
        <x:v>2025 consumer subscriptions ($bn) - example</x:v>
      </x:c>
      <x:c r="C11" s="22" t="n">
        <x:v>18</x:v>
      </x:c>
      <x:c r="D11" s="2"/>
      <x:c r="E11" s="2" t="str">
        <x:v>Economic viability / exposed tasks</x:v>
      </x:c>
      <x:c r="F11" s="24" t="n">
        <x:v>0.23</x:v>
      </x:c>
      <x:c r="G11" s="2"/>
      <x:c r="H11" s="2" t="str">
        <x:v>Effective task utilization</x:v>
      </x:c>
      <x:c r="I11" s="24" t="n">
        <x:v>0.5</x:v>
      </x:c>
      <x:c r="J11" s="2"/>
      <x:c r="K11" s="26" t="str">
        <x:v>FORMULA: Projected market/wage base × in-scope % × AI-addressable % × effective utilization % × benefit or spending-shift % = economic opportunity; × vendor share = illustrative AI vendor revenue. For B2B, in-scope = comparable supplier operating margin, NOT gross profit. For a seat-based alternative, direct paying seats × annual fee becomes a separately tagged row.</x:v>
      </x:c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 ht="23" customHeight="1">
      <x:c r="A12" s="2"/>
      <x:c r="B12" s="2" t="str">
        <x:v>Realizable task labor saving</x:v>
      </x:c>
      <x:c r="C12" s="24" t="n">
        <x:v>0.25</x:v>
      </x:c>
      <x:c r="D12" s="2"/>
      <x:c r="E12" s="2" t="str">
        <x:v>Vendor share of realized economic benefit</x:v>
      </x:c>
      <x:c r="F12" s="24" t="n">
        <x:v>0.5</x:v>
      </x:c>
      <x:c r="G12" s="2"/>
      <x:c r="H12" s="2" t="str">
        <x:v>Labor gap AI-addressable portion</x:v>
      </x:c>
      <x:c r="I12" s="24" t="n">
        <x:v>0.5</x:v>
      </x:c>
      <x:c r="J12" s="2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 ht="23" customHeight="1">
      <x:c r="A13" s="2"/>
      <x:c r="B13" s="2" t="str">
        <x:v>Labor gap AI-fulfilled portion</x:v>
      </x:c>
      <x:c r="C13" s="24" t="n">
        <x:v>0.5</x:v>
      </x:c>
      <x:c r="D13" s="2"/>
      <x:c r="E13" s="2" t="str">
        <x:v>Vendor share of missing-labor value</x:v>
      </x:c>
      <x:c r="F13" s="24" t="n">
        <x:v>0.65</x:v>
      </x:c>
      <x:c r="G13" s="2"/>
      <x:c r="H13" s="2" t="str">
        <x:v>Illustrative B2C AI device share shift</x:v>
      </x:c>
      <x:c r="I13" s="24" t="n">
        <x:v>0.01</x:v>
      </x:c>
      <x:c r="J13" s="2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4" customHeight="1">
      <x:c r="A15" s="14" t="str">
        <x:v>A  |  ALL BUCKETS — BASE DATA, 2030 SCENARIO, AI ECONOMICS, AND OVERLAP GATES</x:v>
      </x:c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38" customHeight="1">
      <x:c r="A17" s="32" t="str">
        <x:v>ID</x:v>
      </x:c>
      <x:c r="B17" s="32" t="str">
        <x:v>Primary bucket</x:v>
      </x:c>
      <x:c r="C17" s="32" t="str">
        <x:v>Submarket / use case</x:v>
      </x:c>
      <x:c r="D17" s="32" t="str">
        <x:v>Economic channel</x:v>
      </x:c>
      <x:c r="E17" s="32" t="str">
        <x:v>What buyer gains / what is displaced</x:v>
      </x:c>
      <x:c r="F17" s="32" t="str">
        <x:v>Source year</x:v>
      </x:c>
      <x:c r="G17" s="32" t="str">
        <x:v>Market geography</x:v>
      </x:c>
      <x:c r="H17" s="32" t="str">
        <x:v>Source market / wages ($bn)</x:v>
      </x:c>
      <x:c r="I17" s="32" t="str">
        <x:v>Projected 2030 base ($bn)</x:v>
      </x:c>
      <x:c r="J17" s="32" t="str">
        <x:v>In-scope %</x:v>
      </x:c>
      <x:c r="K17" s="32" t="str">
        <x:v>AI-addressable %</x:v>
      </x:c>
      <x:c r="L17" s="32" t="str">
        <x:v>Utilization %</x:v>
      </x:c>
      <x:c r="M17" s="32" t="str">
        <x:v>Benefit or spend shift %</x:v>
      </x:c>
      <x:c r="N17" s="32" t="str">
        <x:v>Vendor capture %</x:v>
      </x:c>
      <x:c r="O17" s="32" t="str">
        <x:v>Economic value ($bn/yr)</x:v>
      </x:c>
      <x:c r="P17" s="32" t="str">
        <x:v>Vendor rev proxy ($bn/yr)</x:v>
      </x:c>
      <x:c r="Q17" s="32" t="str">
        <x:v>Include (0 / 1)</x:v>
      </x:c>
      <x:c r="R17" s="32" t="str">
        <x:v>Core waterfall ($bn/yr)</x:v>
      </x:c>
      <x:c r="S17" s="32" t="str">
        <x:v>Evidence status</x:v>
      </x:c>
      <x:c r="T17" s="32" t="str">
        <x:v>Public source / download link</x:v>
      </x:c>
      <x:c r="U17" s="32" t="str">
        <x:v>Boundary / overlap check</x:v>
      </x:c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9" customHeight="1">
      <x:c r="A19" s="40" t="str">
        <x:v>L01</x:v>
      </x:c>
      <x:c r="B19" s="40" t="str">
        <x:v>LABOR</x:v>
      </x:c>
      <x:c r="C19" s="27" t="str">
        <x:v>Missing workers: U.S. growth-trend gap</x:v>
      </x:c>
      <x:c r="D19" s="27" t="str">
        <x:v>FILL / SAVINGS</x:v>
      </x:c>
      <x:c r="E19" s="27" t="str">
        <x:v>Value of counterfactual positions that might be serviced without equivalent hires</x:v>
      </x:c>
      <x:c r="F19" s="2" t="n">
        <x:v>2030</x:v>
      </x:c>
      <x:c r="G19" s="2" t="str">
        <x:v>U.S. - prior model</x:v>
      </x:c>
      <x:c r="H19" s="2" t="n">
        <x:f>I6</x:f>
        <x:v>586</x:v>
      </x:c>
      <x:c r="I19" s="38" t="n">
        <x:f>IF(H19="","",H19*(1+$F$6)^MAX(0,$C$6-F19))</x:f>
        <x:v>586</x:v>
      </x:c>
      <x:c r="J19" s="24" t="n">
        <x:v>1</x:v>
      </x:c>
      <x:c r="K19" s="2" t="n">
        <x:f>I12</x:f>
        <x:v>0.5</x:v>
      </x:c>
      <x:c r="L19" s="2" t="n">
        <x:f>C13</x:f>
        <x:v>0.5</x:v>
      </x:c>
      <x:c r="M19" s="24" t="n">
        <x:v>1</x:v>
      </x:c>
      <x:c r="N19" s="2" t="n">
        <x:f>F13</x:f>
        <x:v>0.65</x:v>
      </x:c>
      <x:c r="O19" s="38" t="n">
        <x:f>IF(I19="","",I19*J19*K19*L19*M19)</x:f>
        <x:v>146.5</x:v>
      </x:c>
      <x:c r="P19" s="38" t="n">
        <x:f>IF(O19="","",O19*N19)</x:f>
        <x:v>95.22500000000001</x:v>
      </x:c>
      <x:c r="Q19" s="36" t="n">
        <x:v>0</x:v>
      </x:c>
      <x:c r="R19" s="38" t="n">
        <x:f>IF(P19="",0,P19*Q19)</x:f>
        <x:v>0</x:v>
      </x:c>
      <x:c r="S19" s="27" t="str">
        <x:v>PRIOR MODEL + SCENARIO</x:v>
      </x:c>
      <x:c r="T19" s="27" t="str">
        <x:v>Link labor-gap workbook; BLS employment projections</x:v>
      </x:c>
      <x:c r="U19" s="27" t="str">
        <x:v>Potentially overlaps with enterprise-seat revenue and wage-augmentation benefits; default exclude</x:v>
      </x:c>
    </x:row>
    <x:row r="20" ht="29" customHeight="1">
      <x:c r="A20" s="40" t="str">
        <x:v>L02</x:v>
      </x:c>
      <x:c r="B20" s="40" t="str">
        <x:v>LABOR</x:v>
      </x:c>
      <x:c r="C20" s="50" t="str">
        <x:v>Existing workers: wage-value capture</x:v>
      </x:c>
      <x:c r="D20" s="50" t="str">
        <x:v>AUGMENT / SAVE</x:v>
      </x:c>
      <x:c r="E20" s="50" t="str">
        <x:v>Working wage pool; exposure already embedded in 2030 exposed-wage base</x:v>
      </x:c>
      <x:c r="F20" s="42" t="n">
        <x:v>2030</x:v>
      </x:c>
      <x:c r="G20" s="42" t="str">
        <x:v>U.S. - prior model</x:v>
      </x:c>
      <x:c r="H20" s="42" t="n">
        <x:f>C7</x:f>
        <x:v>5300</x:v>
      </x:c>
      <x:c r="I20" s="43" t="n">
        <x:f>IF(H20="","",H20*(1+$F$6)^MAX(0,$C$6-F20))</x:f>
        <x:v>5300</x:v>
      </x:c>
      <x:c r="J20" s="44" t="n">
        <x:v>1</x:v>
      </x:c>
      <x:c r="K20" s="42" t="n">
        <x:f>F11</x:f>
        <x:v>0.23</x:v>
      </x:c>
      <x:c r="L20" s="42" t="n">
        <x:f>I11</x:f>
        <x:v>0.5</x:v>
      </x:c>
      <x:c r="M20" s="42" t="n">
        <x:f>C12</x:f>
        <x:v>0.25</x:v>
      </x:c>
      <x:c r="N20" s="42" t="n">
        <x:f>F12</x:f>
        <x:v>0.5</x:v>
      </x:c>
      <x:c r="O20" s="43" t="n">
        <x:f>IF(I20="","",I20*J20*K20*L20*M20)</x:f>
        <x:v>152.375</x:v>
      </x:c>
      <x:c r="P20" s="43" t="n">
        <x:f>IF(O20="","",O20*N20)</x:f>
        <x:v>76.1875</x:v>
      </x:c>
      <x:c r="Q20" s="45" t="n">
        <x:v>1</x:v>
      </x:c>
      <x:c r="R20" s="43" t="n">
        <x:f>IF(P20="",0,P20*Q20)</x:f>
        <x:v>76.1875</x:v>
      </x:c>
      <x:c r="S20" s="50" t="str">
        <x:v>PRIOR MODEL + PWBM ASSUMPTIONS</x:v>
      </x:c>
      <x:c r="T20" s="50" t="str">
        <x:v>https://budgetmodel.wharton.upenn.edu/p/2025-09-08-the-projected-impact-of-generative-ai-on-future-productivity-growth/</x:v>
      </x:c>
      <x:c r="U20" s="50" t="str">
        <x:v>This value supports willingness to pay; do not add to seat-based enterprise subscription revenue</x:v>
      </x:c>
    </x:row>
    <x:row r="21" ht="29" customHeight="1">
      <x:c r="A21" s="40" t="str">
        <x:v>L03</x:v>
      </x:c>
      <x:c r="B21" s="40" t="str">
        <x:v>LABOR</x:v>
      </x:c>
      <x:c r="C21" s="27" t="str">
        <x:v>Existing workers: global ex-China value</x:v>
      </x:c>
      <x:c r="D21" s="27" t="str">
        <x:v>AUGMENT / SAVE</x:v>
      </x:c>
      <x:c r="E21" s="27" t="str">
        <x:v>Alternative geography to L02; includes U.S.</x:v>
      </x:c>
      <x:c r="F21" s="2" t="n">
        <x:v>2030</x:v>
      </x:c>
      <x:c r="G21" s="2" t="str">
        <x:v>Global ex-China</x:v>
      </x:c>
      <x:c r="H21" s="2" t="n">
        <x:f>F7</x:f>
        <x:v>14000</x:v>
      </x:c>
      <x:c r="I21" s="38" t="n">
        <x:f>IF(H21="","",H21*(1+$F$6)^MAX(0,$C$6-F21))</x:f>
        <x:v>14000</x:v>
      </x:c>
      <x:c r="J21" s="24" t="n">
        <x:v>1</x:v>
      </x:c>
      <x:c r="K21" s="2" t="n">
        <x:f>F11</x:f>
        <x:v>0.23</x:v>
      </x:c>
      <x:c r="L21" s="2" t="n">
        <x:f>I11</x:f>
        <x:v>0.5</x:v>
      </x:c>
      <x:c r="M21" s="2" t="n">
        <x:f>C12</x:f>
        <x:v>0.25</x:v>
      </x:c>
      <x:c r="N21" s="2" t="n">
        <x:f>F12</x:f>
        <x:v>0.5</x:v>
      </x:c>
      <x:c r="O21" s="38" t="n">
        <x:f>IF(I21="","",I21*J21*K21*L21*M21)</x:f>
        <x:v>402.5</x:v>
      </x:c>
      <x:c r="P21" s="38" t="n">
        <x:f>IF(O21="","",O21*N21)</x:f>
        <x:v>201.25</x:v>
      </x:c>
      <x:c r="Q21" s="36" t="n">
        <x:v>0</x:v>
      </x:c>
      <x:c r="R21" s="38" t="n">
        <x:f>IF(P21="",0,P21*Q21)</x:f>
        <x:v>0</x:v>
      </x:c>
      <x:c r="S21" s="27" t="str">
        <x:v>PRIOR MODEL + SCENARIO</x:v>
      </x:c>
      <x:c r="T21" s="27" t="str">
        <x:v>Link existing global ex-China exposure model</x:v>
      </x:c>
      <x:c r="U21" s="27" t="str">
        <x:v>Alternative to L02, not incremental US revenue; do not enter US waterfall</x:v>
      </x:c>
    </x:row>
    <x:row r="22" ht="29" customHeight="1">
      <x:c r="A22" s="40" t="str">
        <x:v>L04</x:v>
      </x:c>
      <x:c r="B22" s="40" t="str">
        <x:v>LABOR</x:v>
      </x:c>
      <x:c r="C22" s="50" t="str">
        <x:v>Enterprise paid seats: U.S. method</x:v>
      </x:c>
      <x:c r="D22" s="50" t="str">
        <x:v>SEAT / PRICE</x:v>
      </x:c>
      <x:c r="E22" s="50" t="str">
        <x:v>Cross-check enterprise vendor revenue based on potential seats, paid share and pricing</x:v>
      </x:c>
      <x:c r="F22" s="42" t="n">
        <x:v>2030</x:v>
      </x:c>
      <x:c r="G22" s="42" t="str">
        <x:v>U.S. - illustrative</x:v>
      </x:c>
      <x:c r="H22" s="42" t="n">
        <x:f>C9*F9*I9/1000</x:f>
        <x:v>36</x:v>
      </x:c>
      <x:c r="I22" s="43" t="n">
        <x:f>IF(H22="","",H22*(1+$F$6)^MAX(0,$C$6-F22))</x:f>
        <x:v>36</x:v>
      </x:c>
      <x:c r="J22" s="44" t="n">
        <x:v>1</x:v>
      </x:c>
      <x:c r="K22" s="44" t="n">
        <x:v>1</x:v>
      </x:c>
      <x:c r="L22" s="44" t="n">
        <x:v>1</x:v>
      </x:c>
      <x:c r="M22" s="44" t="n">
        <x:v>1</x:v>
      </x:c>
      <x:c r="N22" s="44" t="n">
        <x:v>1</x:v>
      </x:c>
      <x:c r="O22" s="43" t="n">
        <x:f>IF(I22="","",I22*J22*K22*L22*M22)</x:f>
        <x:v>36</x:v>
      </x:c>
      <x:c r="P22" s="43" t="n">
        <x:f>IF(O22="","",O22*N22)</x:f>
        <x:v>36</x:v>
      </x:c>
      <x:c r="Q22" s="45" t="n">
        <x:v>0</x:v>
      </x:c>
      <x:c r="R22" s="43" t="n">
        <x:f>IF(P22="",0,P22*Q22)</x:f>
        <x:v>0</x:v>
      </x:c>
      <x:c r="S22" s="52" t="str">
        <x:v>ILLUSTRATIVE SEATS</x:v>
      </x:c>
      <x:c r="T22" s="50" t="str">
        <x:v>Link previously computed U.S. exposed headcount; Copilot seat benchmark</x:v>
      </x:c>
      <x:c r="U22" s="50" t="str">
        <x:v>Alternative to L02, no sum; potential exposed headcount must not be task-adjusted worker count</x:v>
      </x:c>
    </x:row>
    <x:row r="23" ht="29" customHeight="1">
      <x:c r="A23" s="40" t="str">
        <x:v>L05</x:v>
      </x:c>
      <x:c r="B23" s="40" t="str">
        <x:v>LABOR</x:v>
      </x:c>
      <x:c r="C23" s="27" t="str">
        <x:v>Enterprise paid seats: global ex-China</x:v>
      </x:c>
      <x:c r="D23" s="27" t="str">
        <x:v>SEAT / PRICE</x:v>
      </x:c>
      <x:c r="E23" s="27" t="str">
        <x:v>Global seat-based cross-check</x:v>
      </x:c>
      <x:c r="F23" s="2" t="n">
        <x:v>2030</x:v>
      </x:c>
      <x:c r="G23" s="2" t="str">
        <x:v>Global ex-China</x:v>
      </x:c>
      <x:c r="H23" s="2" t="n">
        <x:f>C10*F10*I10/1000</x:f>
        <x:v>144</x:v>
      </x:c>
      <x:c r="I23" s="38" t="n">
        <x:f>IF(H23="","",H23*(1+$F$6)^MAX(0,$C$6-F23))</x:f>
        <x:v>144</x:v>
      </x:c>
      <x:c r="J23" s="24" t="n">
        <x:v>1</x:v>
      </x:c>
      <x:c r="K23" s="24" t="n">
        <x:v>1</x:v>
      </x:c>
      <x:c r="L23" s="24" t="n">
        <x:v>1</x:v>
      </x:c>
      <x:c r="M23" s="24" t="n">
        <x:v>1</x:v>
      </x:c>
      <x:c r="N23" s="24" t="n">
        <x:v>1</x:v>
      </x:c>
      <x:c r="O23" s="38" t="n">
        <x:f>IF(I23="","",I23*J23*K23*L23*M23)</x:f>
        <x:v>144</x:v>
      </x:c>
      <x:c r="P23" s="38" t="n">
        <x:f>IF(O23="","",O23*N23)</x:f>
        <x:v>144</x:v>
      </x:c>
      <x:c r="Q23" s="36" t="n">
        <x:v>0</x:v>
      </x:c>
      <x:c r="R23" s="38" t="n">
        <x:f>IF(P23="",0,P23*Q23)</x:f>
        <x:v>0</x:v>
      </x:c>
      <x:c r="S23" s="54" t="str">
        <x:v>ILLUSTRATIVE SEATS</x:v>
      </x:c>
      <x:c r="T23" s="27" t="str">
        <x:v>Link previously computed global ex-China exposed headcount</x:v>
      </x:c>
      <x:c r="U23" s="27" t="str">
        <x:v>Alternative geography / method; not additive with L03 or L04</x:v>
      </x:c>
    </x:row>
    <x:row r="24" ht="29" customHeight="1">
      <x:c r="A24" s="60" t="str">
        <x:v>B01</x:v>
      </x:c>
      <x:c r="B24" s="60" t="str">
        <x:v>B2B</x:v>
      </x:c>
      <x:c r="C24" s="50" t="str">
        <x:v>Enterprise application software / SaaS</x:v>
      </x:c>
      <x:c r="D24" s="50" t="str">
        <x:v>PROFIT TRANSFER</x:v>
      </x:c>
      <x:c r="E24" s="50" t="str">
        <x:v>Internal-build AI agents may substitute purchased software features</x:v>
      </x:c>
      <x:c r="F24" s="42" t="n">
        <x:v>2024</x:v>
      </x:c>
      <x:c r="G24" s="42" t="str">
        <x:v>U.S. official</x:v>
      </x:c>
      <x:c r="H24" s="58" t="n">
        <x:v>567.772378</x:v>
      </x:c>
      <x:c r="I24" s="43" t="n">
        <x:f>IF(H24="","",H24*(1+$F$6)^MAX(0,$C$6-F24))</x:f>
        <x:v>677.9499118566314</x:v>
      </x:c>
      <x:c r="J24" s="44" t="n">
        <x:v>0.3298</x:v>
      </x:c>
      <x:c r="K24" s="44" t="n">
        <x:v>0.4</x:v>
      </x:c>
      <x:c r="L24" s="44" t="n">
        <x:v>0.35</x:v>
      </x:c>
      <x:c r="M24" s="44" t="n">
        <x:v>1</x:v>
      </x:c>
      <x:c r="N24" s="44" t="n">
        <x:v>0.5</x:v>
      </x:c>
      <x:c r="O24" s="43" t="n">
        <x:f>IF(I24="","",I24*J24*K24*L24*M24)</x:f>
        <x:v>31.302303330244385</x:v>
      </x:c>
      <x:c r="P24" s="43" t="n">
        <x:f>IF(O24="","",O24*N24)</x:f>
        <x:v>15.651151665122192</x:v>
      </x:c>
      <x:c r="Q24" s="45" t="n">
        <x:v>0</x:v>
      </x:c>
      <x:c r="R24" s="43" t="n">
        <x:f>IF(P24="",0,P24*Q24)</x:f>
        <x:v>0</x:v>
      </x:c>
      <x:c r="S24" s="50" t="str">
        <x:v>PUBLIC MARKET / PROXY MARGIN</x:v>
      </x:c>
      <x:c r="T24" s="50" t="str">
        <x:v>https://fred.stlouisfed.org/series/AIES5112RCT00US</x:v>
      </x:c>
      <x:c r="U24" s="50" t="str">
        <x:v>Supplier operating profit only; wage cost is already represented in labor bucket. Excludes broad cloud infra sales</x:v>
      </x:c>
    </x:row>
    <x:row r="25" ht="29" customHeight="1">
      <x:c r="A25" s="60" t="str">
        <x:v>B02</x:v>
      </x:c>
      <x:c r="B25" s="60" t="str">
        <x:v>B2B</x:v>
      </x:c>
      <x:c r="C25" s="27" t="str">
        <x:v>IT services and systems integration</x:v>
      </x:c>
      <x:c r="D25" s="27" t="str">
        <x:v>PROFIT TRANSFER</x:v>
      </x:c>
      <x:c r="E25" s="27" t="str">
        <x:v>Automated migration, integration, implementation, maintenance</x:v>
      </x:c>
      <x:c r="F25" s="2" t="n">
        <x:v>2024</x:v>
      </x:c>
      <x:c r="G25" s="2" t="str">
        <x:v>U.S. official</x:v>
      </x:c>
      <x:c r="H25" s="56" t="n">
        <x:v>663.500505</x:v>
      </x:c>
      <x:c r="I25" s="38" t="n">
        <x:f>IF(H25="","",H25*(1+$F$6)^MAX(0,$C$6-F25))</x:f>
        <x:v>792.2543017434011</x:v>
      </x:c>
      <x:c r="J25" s="24" t="n">
        <x:v>0.0741</x:v>
      </x:c>
      <x:c r="K25" s="24" t="n">
        <x:v>0.45</x:v>
      </x:c>
      <x:c r="L25" s="24" t="n">
        <x:v>0.35</x:v>
      </x:c>
      <x:c r="M25" s="24" t="n">
        <x:v>1</x:v>
      </x:c>
      <x:c r="N25" s="24" t="n">
        <x:v>0.5</x:v>
      </x:c>
      <x:c r="O25" s="38" t="n">
        <x:f>IF(I25="","",I25*J25*K25*L25*M25)</x:f>
        <x:v>9.246201892071799</x:v>
      </x:c>
      <x:c r="P25" s="38" t="n">
        <x:f>IF(O25="","",O25*N25)</x:f>
        <x:v>4.623100946035899</x:v>
      </x:c>
      <x:c r="Q25" s="36" t="n">
        <x:v>0</x:v>
      </x:c>
      <x:c r="R25" s="38" t="n">
        <x:f>IF(P25="",0,P25*Q25)</x:f>
        <x:v>0</x:v>
      </x:c>
      <x:c r="S25" s="27" t="str">
        <x:v>PUBLIC MARKET / PROXY MARGIN</x:v>
      </x:c>
      <x:c r="T25" s="27" t="str">
        <x:v>https://fred.stlouisfed.org/series/AIES5415RCT00US</x:v>
      </x:c>
      <x:c r="U25" s="27" t="str">
        <x:v>Distinct from software publishers NAICS; excludes labor to avoid duplicates</x:v>
      </x:c>
    </x:row>
    <x:row r="26" ht="29" customHeight="1">
      <x:c r="A26" s="60" t="str">
        <x:v>B03</x:v>
      </x:c>
      <x:c r="B26" s="60" t="str">
        <x:v>B2B</x:v>
      </x:c>
      <x:c r="C26" s="50" t="str">
        <x:v>Law firms / document review</x:v>
      </x:c>
      <x:c r="D26" s="50" t="str">
        <x:v>PROFIT TRANSFER</x:v>
      </x:c>
      <x:c r="E26" s="50" t="str">
        <x:v>Contract drafting, discovery, document analysis, legal support</x:v>
      </x:c>
      <x:c r="F26" s="42" t="n">
        <x:v>2024</x:v>
      </x:c>
      <x:c r="G26" s="42" t="str">
        <x:v>U.S. official</x:v>
      </x:c>
      <x:c r="H26" s="58" t="n">
        <x:v>414.847479</x:v>
      </x:c>
      <x:c r="I26" s="43" t="n">
        <x:f>IF(H26="","",H26*(1+$F$6)^MAX(0,$C$6-F26))</x:f>
        <x:v>495.34958500921607</x:v>
      </x:c>
      <x:c r="J26" s="44" t="n">
        <x:v>0.111</x:v>
      </x:c>
      <x:c r="K26" s="44" t="n">
        <x:v>0.5</x:v>
      </x:c>
      <x:c r="L26" s="44" t="n">
        <x:v>0.35</x:v>
      </x:c>
      <x:c r="M26" s="44" t="n">
        <x:v>1</x:v>
      </x:c>
      <x:c r="N26" s="44" t="n">
        <x:v>0.5</x:v>
      </x:c>
      <x:c r="O26" s="43" t="n">
        <x:f>IF(I26="","",I26*J26*K26*L26*M26)</x:f>
        <x:v>9.622165688804023</x:v>
      </x:c>
      <x:c r="P26" s="43" t="n">
        <x:f>IF(O26="","",O26*N26)</x:f>
        <x:v>4.811082844402011</x:v>
      </x:c>
      <x:c r="Q26" s="45" t="n">
        <x:v>0</x:v>
      </x:c>
      <x:c r="R26" s="43" t="n">
        <x:f>IF(P26="",0,P26*Q26)</x:f>
        <x:v>0</x:v>
      </x:c>
      <x:c r="S26" s="50" t="str">
        <x:v>PUBLIC MARKET / MARGIN PROXY</x:v>
      </x:c>
      <x:c r="T26" s="50" t="str">
        <x:v>https://fred.stlouisfed.org/series/AIES54111RCT00US</x:v>
      </x:c>
      <x:c r="U26" s="50" t="str">
        <x:v>Law offices, not all legal services. General services EBIT margin is only a proxy</x:v>
      </x:c>
    </x:row>
    <x:row r="27" ht="29" customHeight="1">
      <x:c r="A27" s="60" t="str">
        <x:v>B04</x:v>
      </x:c>
      <x:c r="B27" s="60" t="str">
        <x:v>B2B</x:v>
      </x:c>
      <x:c r="C27" s="27" t="str">
        <x:v>Management consulting &amp; analysis</x:v>
      </x:c>
      <x:c r="D27" s="27" t="str">
        <x:v>PROFIT TRANSFER</x:v>
      </x:c>
      <x:c r="E27" s="27" t="str">
        <x:v>Automate first drafts, analysis, diligence and research workflow</x:v>
      </x:c>
      <x:c r="F27" s="2" t="n">
        <x:v>2024</x:v>
      </x:c>
      <x:c r="G27" s="2" t="str">
        <x:v>U.S. official</x:v>
      </x:c>
      <x:c r="H27" s="56" t="n">
        <x:v>396.915313</x:v>
      </x:c>
      <x:c r="I27" s="38" t="n">
        <x:f>IF(H27="","",H27*(1+$F$6)^MAX(0,$C$6-F27))</x:f>
        <x:v>473.93764101517684</x:v>
      </x:c>
      <x:c r="J27" s="24" t="n">
        <x:v>0.111</x:v>
      </x:c>
      <x:c r="K27" s="24" t="n">
        <x:v>0.4</x:v>
      </x:c>
      <x:c r="L27" s="24" t="n">
        <x:v>0.35</x:v>
      </x:c>
      <x:c r="M27" s="24" t="n">
        <x:v>1</x:v>
      </x:c>
      <x:c r="N27" s="24" t="n">
        <x:v>0.5</x:v>
      </x:c>
      <x:c r="O27" s="38" t="n">
        <x:f>IF(I27="","",I27*J27*K27*L27*M27)</x:f>
        <x:v>7.364990941375848</x:v>
      </x:c>
      <x:c r="P27" s="38" t="n">
        <x:f>IF(O27="","",O27*N27)</x:f>
        <x:v>3.682495470687924</x:v>
      </x:c>
      <x:c r="Q27" s="36" t="n">
        <x:v>0</x:v>
      </x:c>
      <x:c r="R27" s="38" t="n">
        <x:f>IF(P27="",0,P27*Q27)</x:f>
        <x:v>0</x:v>
      </x:c>
      <x:c r="S27" s="27" t="str">
        <x:v>PUBLIC MARKET / MARGIN PROXY</x:v>
      </x:c>
      <x:c r="T27" s="27" t="str">
        <x:v>https://fred.stlouisfed.org/series/AIES54161RCT00US</x:v>
      </x:c>
      <x:c r="U27" s="27" t="str">
        <x:v>Consulting scope includes labor; do NOT treat full fees as incremental AI spend</x:v>
      </x:c>
    </x:row>
    <x:row r="28" ht="29" customHeight="1">
      <x:c r="A28" s="60" t="str">
        <x:v>B05</x:v>
      </x:c>
      <x:c r="B28" s="60" t="str">
        <x:v>B2B</x:v>
      </x:c>
      <x:c r="C28" s="50" t="str">
        <x:v>Advertising agencies &amp; creative production</x:v>
      </x:c>
      <x:c r="D28" s="50" t="str">
        <x:v>PROFIT TRANSFER</x:v>
      </x:c>
      <x:c r="E28" s="50" t="str">
        <x:v>Creative, media planning, content and campaign analytics</x:v>
      </x:c>
      <x:c r="F28" s="42" t="n">
        <x:v>2024</x:v>
      </x:c>
      <x:c r="G28" s="42" t="str">
        <x:v>U.S. official</x:v>
      </x:c>
      <x:c r="H28" s="58" t="n">
        <x:v>69.402338</x:v>
      </x:c>
      <x:c r="I28" s="43" t="n">
        <x:f>IF(H28="","",H28*(1+$F$6)^MAX(0,$C$6-F28))</x:f>
        <x:v>82.87002107338188</x:v>
      </x:c>
      <x:c r="J28" s="44" t="n">
        <x:v>0.1007</x:v>
      </x:c>
      <x:c r="K28" s="44" t="n">
        <x:v>0.5</x:v>
      </x:c>
      <x:c r="L28" s="44" t="n">
        <x:v>0.35</x:v>
      </x:c>
      <x:c r="M28" s="44" t="n">
        <x:v>1</x:v>
      </x:c>
      <x:c r="N28" s="44" t="n">
        <x:v>0.5</x:v>
      </x:c>
      <x:c r="O28" s="43" t="n">
        <x:f>IF(I28="","",I28*J28*K28*L28*M28)</x:f>
        <x:v>1.4603769463656722</x:v>
      </x:c>
      <x:c r="P28" s="43" t="n">
        <x:f>IF(O28="","",O28*N28)</x:f>
        <x:v>0.7301884731828361</x:v>
      </x:c>
      <x:c r="Q28" s="45" t="n">
        <x:v>0</x:v>
      </x:c>
      <x:c r="R28" s="43" t="n">
        <x:f>IF(P28="",0,P28*Q28)</x:f>
        <x:v>0</x:v>
      </x:c>
      <x:c r="S28" s="50" t="str">
        <x:v>PUBLIC MARKET / PROXY MARGIN</x:v>
      </x:c>
      <x:c r="T28" s="50" t="str">
        <x:v>https://fred.stlouisfed.org/series/AIES54181RCT00US</x:v>
      </x:c>
      <x:c r="U28" s="50" t="str">
        <x:v>Agency fees only, not ad media spend; avoid double count marketing employee wages</x:v>
      </x:c>
    </x:row>
    <x:row r="29" ht="29" customHeight="1">
      <x:c r="A29" s="60" t="str">
        <x:v>B06</x:v>
      </x:c>
      <x:c r="B29" s="60" t="str">
        <x:v>B2B</x:v>
      </x:c>
      <x:c r="C29" s="27" t="str">
        <x:v>Accounting, audit and payroll operations</x:v>
      </x:c>
      <x:c r="D29" s="27" t="str">
        <x:v>PROFIT TRANSFER</x:v>
      </x:c>
      <x:c r="E29" s="27" t="str">
        <x:v>Bookkeeping, financial close, tax drafting, audit preparation</x:v>
      </x:c>
      <x:c r="F29" s="2" t="n">
        <x:v>2024</x:v>
      </x:c>
      <x:c r="G29" s="2" t="str">
        <x:v>U.S. - source needed</x:v>
      </x:c>
      <x:c r="H29" s="18"/>
      <x:c r="I29" s="38" t="str">
        <x:f>IF(H29="","",H29*(1+$F$6)^MAX(0,$C$6-F29))</x:f>
      </x:c>
      <x:c r="J29" s="24" t="n">
        <x:v>0.11</x:v>
      </x:c>
      <x:c r="K29" s="24" t="n">
        <x:v>0.4</x:v>
      </x:c>
      <x:c r="L29" s="24" t="n">
        <x:v>0.3</x:v>
      </x:c>
      <x:c r="M29" s="24" t="n">
        <x:v>1</x:v>
      </x:c>
      <x:c r="N29" s="24" t="n">
        <x:v>0.5</x:v>
      </x:c>
      <x:c r="O29" s="38" t="str">
        <x:f>IF(I29="","",I29*J29*K29*L29*M29)</x:f>
      </x:c>
      <x:c r="P29" s="38" t="str">
        <x:f>IF(O29="","",O29*N29)</x:f>
      </x:c>
      <x:c r="Q29" s="36" t="n">
        <x:v>0</x:v>
      </x:c>
      <x:c r="R29" s="38" t="n">
        <x:f>IF(P29="",0,P29*Q29)</x:f>
        <x:v>0</x:v>
      </x:c>
      <x:c r="S29" s="54" t="str">
        <x:v>NEEDS DISTINCT MARKET BASE</x:v>
      </x:c>
      <x:c r="T29" s="27" t="str">
        <x:v>https://www.census.gov/programs-surveys/aies.html</x:v>
      </x:c>
      <x:c r="U29" s="27" t="str">
        <x:v>Separate audit / payroll revenues to avoid overlapping management consulting</x:v>
      </x:c>
    </x:row>
    <x:row r="30" ht="29" customHeight="1">
      <x:c r="A30" s="60" t="str">
        <x:v>B07</x:v>
      </x:c>
      <x:c r="B30" s="60" t="str">
        <x:v>B2B</x:v>
      </x:c>
      <x:c r="C30" s="50" t="str">
        <x:v>Customer contact-center outsourcing</x:v>
      </x:c>
      <x:c r="D30" s="50" t="str">
        <x:v>PROFIT TRANSFER</x:v>
      </x:c>
      <x:c r="E30" s="50" t="str">
        <x:v>Replace outsourced service vendor work; AI voice / support automation</x:v>
      </x:c>
      <x:c r="F30" s="42" t="n">
        <x:v>2024</x:v>
      </x:c>
      <x:c r="G30" s="42" t="str">
        <x:v>U.S. - source needed</x:v>
      </x:c>
      <x:c r="H30" s="62"/>
      <x:c r="I30" s="43" t="str">
        <x:f>IF(H30="","",H30*(1+$F$6)^MAX(0,$C$6-F30))</x:f>
      </x:c>
      <x:c r="J30" s="44" t="n">
        <x:v>0.11</x:v>
      </x:c>
      <x:c r="K30" s="44" t="n">
        <x:v>0.5</x:v>
      </x:c>
      <x:c r="L30" s="44" t="n">
        <x:v>0.35</x:v>
      </x:c>
      <x:c r="M30" s="44" t="n">
        <x:v>1</x:v>
      </x:c>
      <x:c r="N30" s="44" t="n">
        <x:v>0.5</x:v>
      </x:c>
      <x:c r="O30" s="43" t="str">
        <x:f>IF(I30="","",I30*J30*K30*L30*M30)</x:f>
      </x:c>
      <x:c r="P30" s="43" t="str">
        <x:f>IF(O30="","",O30*N30)</x:f>
      </x:c>
      <x:c r="Q30" s="45" t="n">
        <x:v>0</x:v>
      </x:c>
      <x:c r="R30" s="43" t="n">
        <x:f>IF(P30="",0,P30*Q30)</x:f>
        <x:v>0</x:v>
      </x:c>
      <x:c r="S30" s="52" t="str">
        <x:v>NEEDS DISTINCT MARKET BASE</x:v>
      </x:c>
      <x:c r="T30" s="50" t="str">
        <x:v>https://www.census.gov/programs-surveys/aies.html</x:v>
      </x:c>
      <x:c r="U30" s="50" t="str">
        <x:v>Could overlap with existing in-house labor productivity and contact-center agent subscription</x:v>
      </x:c>
    </x:row>
    <x:row r="31" ht="29" customHeight="1">
      <x:c r="A31" s="60" t="str">
        <x:v>B08</x:v>
      </x:c>
      <x:c r="B31" s="60" t="str">
        <x:v>B2B</x:v>
      </x:c>
      <x:c r="C31" s="27" t="str">
        <x:v>Recruitment &amp; HR outsourcing</x:v>
      </x:c>
      <x:c r="D31" s="27" t="str">
        <x:v>PROFIT TRANSFER</x:v>
      </x:c>
      <x:c r="E31" s="27" t="str">
        <x:v>Recruiter workflows, screening, onboarding and HR administration</x:v>
      </x:c>
      <x:c r="F31" s="2" t="n">
        <x:v>2024</x:v>
      </x:c>
      <x:c r="G31" s="2" t="str">
        <x:v>U.S. - source needed</x:v>
      </x:c>
      <x:c r="H31" s="18"/>
      <x:c r="I31" s="38" t="str">
        <x:f>IF(H31="","",H31*(1+$F$6)^MAX(0,$C$6-F31))</x:f>
      </x:c>
      <x:c r="J31" s="24" t="n">
        <x:v>0.11</x:v>
      </x:c>
      <x:c r="K31" s="24" t="n">
        <x:v>0.4</x:v>
      </x:c>
      <x:c r="L31" s="24" t="n">
        <x:v>0.35</x:v>
      </x:c>
      <x:c r="M31" s="24" t="n">
        <x:v>1</x:v>
      </x:c>
      <x:c r="N31" s="24" t="n">
        <x:v>0.5</x:v>
      </x:c>
      <x:c r="O31" s="38" t="str">
        <x:f>IF(I31="","",I31*J31*K31*L31*M31)</x:f>
      </x:c>
      <x:c r="P31" s="38" t="str">
        <x:f>IF(O31="","",O31*N31)</x:f>
      </x:c>
      <x:c r="Q31" s="36" t="n">
        <x:v>0</x:v>
      </x:c>
      <x:c r="R31" s="38" t="n">
        <x:f>IF(P31="",0,P31*Q31)</x:f>
        <x:v>0</x:v>
      </x:c>
      <x:c r="S31" s="54" t="str">
        <x:v>NEEDS DISTINCT MARKET BASE</x:v>
      </x:c>
      <x:c r="T31" s="27" t="str">
        <x:v>https://www.census.gov/programs-surveys/aies.html</x:v>
      </x:c>
      <x:c r="U31" s="27" t="str">
        <x:v>Staffing pass-through wages are NOT AI vendor revenue</x:v>
      </x:c>
    </x:row>
    <x:row r="32" ht="29" customHeight="1">
      <x:c r="A32" s="60" t="str">
        <x:v>B09</x:v>
      </x:c>
      <x:c r="B32" s="60" t="str">
        <x:v>B2B</x:v>
      </x:c>
      <x:c r="C32" s="50" t="str">
        <x:v>Market data, research and information licensing</x:v>
      </x:c>
      <x:c r="D32" s="50" t="str">
        <x:v>PROFIT TRANSFER</x:v>
      </x:c>
      <x:c r="E32" s="50" t="str">
        <x:v>Agent retrieval, data aggregation and analyst tools substitute contracted services</x:v>
      </x:c>
      <x:c r="F32" s="42" t="n">
        <x:v>2024</x:v>
      </x:c>
      <x:c r="G32" s="42" t="str">
        <x:v>U.S. - source needed</x:v>
      </x:c>
      <x:c r="H32" s="62"/>
      <x:c r="I32" s="43" t="str">
        <x:f>IF(H32="","",H32*(1+$F$6)^MAX(0,$C$6-F32))</x:f>
      </x:c>
      <x:c r="J32" s="44" t="n">
        <x:v>0.18</x:v>
      </x:c>
      <x:c r="K32" s="44" t="n">
        <x:v>0.45</x:v>
      </x:c>
      <x:c r="L32" s="44" t="n">
        <x:v>0.35</x:v>
      </x:c>
      <x:c r="M32" s="44" t="n">
        <x:v>1</x:v>
      </x:c>
      <x:c r="N32" s="44" t="n">
        <x:v>0.5</x:v>
      </x:c>
      <x:c r="O32" s="43" t="str">
        <x:f>IF(I32="","",I32*J32*K32*L32*M32)</x:f>
      </x:c>
      <x:c r="P32" s="43" t="str">
        <x:f>IF(O32="","",O32*N32)</x:f>
      </x:c>
      <x:c r="Q32" s="45" t="n">
        <x:v>0</x:v>
      </x:c>
      <x:c r="R32" s="43" t="n">
        <x:f>IF(P32="",0,P32*Q32)</x:f>
        <x:v>0</x:v>
      </x:c>
      <x:c r="S32" s="52" t="str">
        <x:v>NEEDS DISTINCT MARKET BASE</x:v>
      </x:c>
      <x:c r="T32" s="50" t="str">
        <x:v>https://www.census.gov/programs-surveys/aies.html</x:v>
      </x:c>
      <x:c r="U32" s="50" t="str">
        <x:v>Avoid licensing / data ownership and cannibalization assumptions</x:v>
      </x:c>
    </x:row>
    <x:row r="33" ht="29" customHeight="1">
      <x:c r="A33" s="60" t="str">
        <x:v>B10</x:v>
      </x:c>
      <x:c r="B33" s="60" t="str">
        <x:v>B2B</x:v>
      </x:c>
      <x:c r="C33" s="27" t="str">
        <x:v>Cybersecurity / compliance managed services</x:v>
      </x:c>
      <x:c r="D33" s="27" t="str">
        <x:v>PROFIT TRANSFER</x:v>
      </x:c>
      <x:c r="E33" s="27" t="str">
        <x:v>AI triage, security operations, compliance surveillance</x:v>
      </x:c>
      <x:c r="F33" s="2" t="n">
        <x:v>2024</x:v>
      </x:c>
      <x:c r="G33" s="2" t="str">
        <x:v>U.S. - source needed</x:v>
      </x:c>
      <x:c r="H33" s="18"/>
      <x:c r="I33" s="38" t="str">
        <x:f>IF(H33="","",H33*(1+$F$6)^MAX(0,$C$6-F33))</x:f>
      </x:c>
      <x:c r="J33" s="24" t="n">
        <x:v>0.14</x:v>
      </x:c>
      <x:c r="K33" s="24" t="n">
        <x:v>0.35</x:v>
      </x:c>
      <x:c r="L33" s="24" t="n">
        <x:v>0.3</x:v>
      </x:c>
      <x:c r="M33" s="24" t="n">
        <x:v>1</x:v>
      </x:c>
      <x:c r="N33" s="24" t="n">
        <x:v>0.5</x:v>
      </x:c>
      <x:c r="O33" s="38" t="str">
        <x:f>IF(I33="","",I33*J33*K33*L33*M33)</x:f>
      </x:c>
      <x:c r="P33" s="38" t="str">
        <x:f>IF(O33="","",O33*N33)</x:f>
      </x:c>
      <x:c r="Q33" s="36" t="n">
        <x:v>0</x:v>
      </x:c>
      <x:c r="R33" s="38" t="n">
        <x:f>IF(P33="",0,P33*Q33)</x:f>
        <x:v>0</x:v>
      </x:c>
      <x:c r="S33" s="54" t="str">
        <x:v>NEEDS DISTINCT MARKET BASE</x:v>
      </x:c>
      <x:c r="T33" s="27" t="str">
        <x:v>https://www.census.gov/programs-surveys/aies.html</x:v>
      </x:c>
      <x:c r="U33" s="27" t="str">
        <x:v>Could create net new cyber spend, not just eliminate existing margins</x:v>
      </x:c>
    </x:row>
    <x:row r="34" ht="29" customHeight="1">
      <x:c r="A34" s="60" t="str">
        <x:v>B11</x:v>
      </x:c>
      <x:c r="B34" s="60" t="str">
        <x:v>B2B</x:v>
      </x:c>
      <x:c r="C34" s="50" t="str">
        <x:v>Procurement, logistics and supply chain services</x:v>
      </x:c>
      <x:c r="D34" s="50" t="str">
        <x:v>PROFIT TRANSFER</x:v>
      </x:c>
      <x:c r="E34" s="50" t="str">
        <x:v>Automation of sourcing / claims / scheduling / freight administration</x:v>
      </x:c>
      <x:c r="F34" s="42" t="n">
        <x:v>2024</x:v>
      </x:c>
      <x:c r="G34" s="42" t="str">
        <x:v>U.S. - source needed</x:v>
      </x:c>
      <x:c r="H34" s="62"/>
      <x:c r="I34" s="43" t="str">
        <x:f>IF(H34="","",H34*(1+$F$6)^MAX(0,$C$6-F34))</x:f>
      </x:c>
      <x:c r="J34" s="44" t="n">
        <x:v>0.11</x:v>
      </x:c>
      <x:c r="K34" s="44" t="n">
        <x:v>0.3</x:v>
      </x:c>
      <x:c r="L34" s="44" t="n">
        <x:v>0.25</x:v>
      </x:c>
      <x:c r="M34" s="44" t="n">
        <x:v>1</x:v>
      </x:c>
      <x:c r="N34" s="44" t="n">
        <x:v>0.5</x:v>
      </x:c>
      <x:c r="O34" s="43" t="str">
        <x:f>IF(I34="","",I34*J34*K34*L34*M34)</x:f>
      </x:c>
      <x:c r="P34" s="43" t="str">
        <x:f>IF(O34="","",O34*N34)</x:f>
      </x:c>
      <x:c r="Q34" s="45" t="n">
        <x:v>0</x:v>
      </x:c>
      <x:c r="R34" s="43" t="n">
        <x:f>IF(P34="",0,P34*Q34)</x:f>
        <x:v>0</x:v>
      </x:c>
      <x:c r="S34" s="52" t="str">
        <x:v>NEEDS DISTINCT MARKET BASE</x:v>
      </x:c>
      <x:c r="T34" s="50" t="str">
        <x:v>https://www.census.gov/programs-surveys/aies.html</x:v>
      </x:c>
      <x:c r="U34" s="50" t="str">
        <x:v>Separate platform margins from physical goods/freight; avoid gross merchandise flow</x:v>
      </x:c>
    </x:row>
    <x:row r="35" ht="29" customHeight="1">
      <x:c r="A35" s="60" t="str">
        <x:v>B12</x:v>
      </x:c>
      <x:c r="B35" s="60" t="str">
        <x:v>B2B</x:v>
      </x:c>
      <x:c r="C35" s="27" t="str">
        <x:v>Industrial robotics, manufacturing agents</x:v>
      </x:c>
      <x:c r="D35" s="27" t="str">
        <x:v>NEW CAPABILITY</x:v>
      </x:c>
      <x:c r="E35" s="27" t="str">
        <x:v>Physical automation-as-a-service; new productive capacity</x:v>
      </x:c>
      <x:c r="F35" s="2" t="n">
        <x:v>2030</x:v>
      </x:c>
      <x:c r="G35" s="2" t="str">
        <x:v>Global - potential</x:v>
      </x:c>
      <x:c r="H35" s="18"/>
      <x:c r="I35" s="38" t="str">
        <x:f>IF(H35="","",H35*(1+$F$6)^MAX(0,$C$6-F35))</x:f>
      </x:c>
      <x:c r="J35" s="24" t="n">
        <x:v>1</x:v>
      </x:c>
      <x:c r="K35" s="24" t="n">
        <x:v>0.3</x:v>
      </x:c>
      <x:c r="L35" s="24" t="n">
        <x:v>0.3</x:v>
      </x:c>
      <x:c r="M35" s="24" t="n">
        <x:v>0.1</x:v>
      </x:c>
      <x:c r="N35" s="24" t="n">
        <x:v>0.5</x:v>
      </x:c>
      <x:c r="O35" s="38" t="str">
        <x:f>IF(I35="","",I35*J35*K35*L35*M35)</x:f>
      </x:c>
      <x:c r="P35" s="38" t="str">
        <x:f>IF(O35="","",O35*N35)</x:f>
      </x:c>
      <x:c r="Q35" s="36" t="n">
        <x:v>0</x:v>
      </x:c>
      <x:c r="R35" s="38" t="n">
        <x:f>IF(P35="",0,P35*Q35)</x:f>
        <x:v>0</x:v>
      </x:c>
      <x:c r="S35" s="54" t="str">
        <x:v>FRONTIER / NO BASE</x:v>
      </x:c>
      <x:c r="T35" s="27" t="str">
        <x:v>https://ifr.org/</x:v>
      </x:c>
      <x:c r="U35" s="27" t="str">
        <x:v>New spend category; adoption and unique pricing needed before inclusion</x:v>
      </x:c>
    </x:row>
    <x:row r="36" ht="29" customHeight="1">
      <x:c r="A36" s="60" t="str">
        <x:v>B13</x:v>
      </x:c>
      <x:c r="B36" s="60" t="str">
        <x:v>B2B</x:v>
      </x:c>
      <x:c r="C36" s="50" t="str">
        <x:v>Drug discovery &amp; life-science AI services</x:v>
      </x:c>
      <x:c r="D36" s="50" t="str">
        <x:v>NEW CAPABILITY</x:v>
      </x:c>
      <x:c r="E36" s="50" t="str">
        <x:v>Molecule screening / clinical design / R&amp;D support</x:v>
      </x:c>
      <x:c r="F36" s="42" t="n">
        <x:v>2030</x:v>
      </x:c>
      <x:c r="G36" s="42" t="str">
        <x:v>Global - potential</x:v>
      </x:c>
      <x:c r="H36" s="62"/>
      <x:c r="I36" s="43" t="str">
        <x:f>IF(H36="","",H36*(1+$F$6)^MAX(0,$C$6-F36))</x:f>
      </x:c>
      <x:c r="J36" s="44" t="n">
        <x:v>1</x:v>
      </x:c>
      <x:c r="K36" s="44" t="n">
        <x:v>0.3</x:v>
      </x:c>
      <x:c r="L36" s="44" t="n">
        <x:v>0.25</x:v>
      </x:c>
      <x:c r="M36" s="44" t="n">
        <x:v>0.08</x:v>
      </x:c>
      <x:c r="N36" s="44" t="n">
        <x:v>0.5</x:v>
      </x:c>
      <x:c r="O36" s="43" t="str">
        <x:f>IF(I36="","",I36*J36*K36*L36*M36)</x:f>
      </x:c>
      <x:c r="P36" s="43" t="str">
        <x:f>IF(O36="","",O36*N36)</x:f>
      </x:c>
      <x:c r="Q36" s="45" t="n">
        <x:v>0</x:v>
      </x:c>
      <x:c r="R36" s="43" t="n">
        <x:f>IF(P36="",0,P36*Q36)</x:f>
        <x:v>0</x:v>
      </x:c>
      <x:c r="S36" s="52" t="str">
        <x:v>FRONTIER / NO BASE</x:v>
      </x:c>
      <x:c r="T36" s="50" t="str">
        <x:v>https://www.nih.gov/</x:v>
      </x:c>
      <x:c r="U36" s="50" t="str">
        <x:v>Large economic benefits are not identical to AI provider revenue</x:v>
      </x:c>
    </x:row>
    <x:row r="37" ht="29" customHeight="1">
      <x:c r="A37" s="60" t="str">
        <x:v>B14</x:v>
      </x:c>
      <x:c r="B37" s="60" t="str">
        <x:v>B2B</x:v>
      </x:c>
      <x:c r="C37" s="27" t="str">
        <x:v>Energy &amp; data center orchestration</x:v>
      </x:c>
      <x:c r="D37" s="27" t="str">
        <x:v>NEW CAPABILITY</x:v>
      </x:c>
      <x:c r="E37" s="27" t="str">
        <x:v>AI optimizes industrial electricity, grid scheduling and uptime</x:v>
      </x:c>
      <x:c r="F37" s="2" t="n">
        <x:v>2030</x:v>
      </x:c>
      <x:c r="G37" s="2" t="str">
        <x:v>Global - potential</x:v>
      </x:c>
      <x:c r="H37" s="18"/>
      <x:c r="I37" s="38" t="str">
        <x:f>IF(H37="","",H37*(1+$F$6)^MAX(0,$C$6-F37))</x:f>
      </x:c>
      <x:c r="J37" s="24" t="n">
        <x:v>1</x:v>
      </x:c>
      <x:c r="K37" s="24" t="n">
        <x:v>0.3</x:v>
      </x:c>
      <x:c r="L37" s="24" t="n">
        <x:v>0.25</x:v>
      </x:c>
      <x:c r="M37" s="24" t="n">
        <x:v>0.07</x:v>
      </x:c>
      <x:c r="N37" s="24" t="n">
        <x:v>0.5</x:v>
      </x:c>
      <x:c r="O37" s="38" t="str">
        <x:f>IF(I37="","",I37*J37*K37*L37*M37)</x:f>
      </x:c>
      <x:c r="P37" s="38" t="str">
        <x:f>IF(O37="","",O37*N37)</x:f>
      </x:c>
      <x:c r="Q37" s="36" t="n">
        <x:v>0</x:v>
      </x:c>
      <x:c r="R37" s="38" t="n">
        <x:f>IF(P37="",0,P37*Q37)</x:f>
        <x:v>0</x:v>
      </x:c>
      <x:c r="S37" s="54" t="str">
        <x:v>FRONTIER / NO BASE</x:v>
      </x:c>
      <x:c r="T37" s="27" t="str">
        <x:v>https://www.eia.gov/</x:v>
      </x:c>
      <x:c r="U37" s="27" t="str">
        <x:v>Avoid counting energy-infrastructure capital spend as software revenue</x:v>
      </x:c>
    </x:row>
    <x:row r="38" ht="29" customHeight="1">
      <x:c r="A38" s="64" t="str">
        <x:v>C01</x:v>
      </x:c>
      <x:c r="B38" s="64" t="str">
        <x:v>B2C</x:v>
      </x:c>
      <x:c r="C38" s="50" t="str">
        <x:v>Personal AI subscriptions / assistants</x:v>
      </x:c>
      <x:c r="D38" s="50" t="str">
        <x:v>SUBSCRIPTION</x:v>
      </x:c>
      <x:c r="E38" s="50" t="str">
        <x:v>Direct consumer recurring fees, separate from employer-paid seats</x:v>
      </x:c>
      <x:c r="F38" s="42" t="n">
        <x:v>2030</x:v>
      </x:c>
      <x:c r="G38" s="42" t="str">
        <x:v>U.S. illustrative</x:v>
      </x:c>
      <x:c r="H38" s="42" t="n">
        <x:f>C11</x:f>
        <x:v>18</x:v>
      </x:c>
      <x:c r="I38" s="43" t="n">
        <x:f>IF(H38="","",H38*(1+$F$6)^MAX(0,$C$6-F38))</x:f>
        <x:v>18</x:v>
      </x:c>
      <x:c r="J38" s="44" t="n">
        <x:v>1</x:v>
      </x:c>
      <x:c r="K38" s="44" t="n">
        <x:v>1</x:v>
      </x:c>
      <x:c r="L38" s="44" t="n">
        <x:v>1</x:v>
      </x:c>
      <x:c r="M38" s="44" t="n">
        <x:v>1</x:v>
      </x:c>
      <x:c r="N38" s="44" t="n">
        <x:v>1</x:v>
      </x:c>
      <x:c r="O38" s="43" t="n">
        <x:f>IF(I38="","",I38*J38*K38*L38*M38)</x:f>
        <x:v>18</x:v>
      </x:c>
      <x:c r="P38" s="43" t="n">
        <x:f>IF(O38="","",O38*N38)</x:f>
        <x:v>18</x:v>
      </x:c>
      <x:c r="Q38" s="45" t="n">
        <x:v>1</x:v>
      </x:c>
      <x:c r="R38" s="43" t="n">
        <x:f>IF(P38="",0,P38*Q38)</x:f>
        <x:v>18</x:v>
      </x:c>
      <x:c r="S38" s="52" t="str">
        <x:v>ILLUSTRATIVE / LINK YOUR MODEL</x:v>
      </x:c>
      <x:c r="T38" s="50" t="str">
        <x:v>Link existing consumer subscriptions workbook</x:v>
      </x:c>
      <x:c r="U38" s="50" t="str">
        <x:v>Treat as observed AI vendor revenue only if subscription billings independently derived</x:v>
      </x:c>
    </x:row>
    <x:row r="39" ht="29" customHeight="1">
      <x:c r="A39" s="64" t="str">
        <x:v>C02</x:v>
      </x:c>
      <x:c r="B39" s="64" t="str">
        <x:v>B2C</x:v>
      </x:c>
      <x:c r="C39" s="27" t="str">
        <x:v>AI PCs &amp; consumer technology premium</x:v>
      </x:c>
      <x:c r="D39" s="27" t="str">
        <x:v>SPEND REALLOCATION</x:v>
      </x:c>
      <x:c r="E39" s="27" t="str">
        <x:v>Consumer hardware premium / AI-enabled device refresh, net incremental wallet unclear</x:v>
      </x:c>
      <x:c r="F39" s="2" t="n">
        <x:v>2025</x:v>
      </x:c>
      <x:c r="G39" s="2" t="str">
        <x:v>U.S. official</x:v>
      </x:c>
      <x:c r="H39" s="56" t="n">
        <x:v>427.604</x:v>
      </x:c>
      <x:c r="I39" s="38" t="n">
        <x:f>IF(H39="","",H39*(1+$F$6)^MAX(0,$C$6-F39))</x:f>
        <x:v>495.71023126697713</x:v>
      </x:c>
      <x:c r="J39" s="24" t="n">
        <x:v>1</x:v>
      </x:c>
      <x:c r="K39" s="24" t="n">
        <x:v>1</x:v>
      </x:c>
      <x:c r="L39" s="24" t="n">
        <x:v>1</x:v>
      </x:c>
      <x:c r="M39" s="2" t="n">
        <x:f>I13</x:f>
        <x:v>0.01</x:v>
      </x:c>
      <x:c r="N39" s="24" t="n">
        <x:v>0.25</x:v>
      </x:c>
      <x:c r="O39" s="38" t="n">
        <x:f>IF(I39="","",I39*J39*K39*L39*M39)</x:f>
        <x:v>4.957102312669772</x:v>
      </x:c>
      <x:c r="P39" s="38" t="n">
        <x:f>IF(O39="","",O39*N39)</x:f>
        <x:v>1.239275578167443</x:v>
      </x:c>
      <x:c r="Q39" s="36" t="n">
        <x:v>0</x:v>
      </x:c>
      <x:c r="R39" s="38" t="n">
        <x:f>IF(P39="",0,P39*Q39)</x:f>
        <x:v>0</x:v>
      </x:c>
      <x:c r="S39" s="27" t="str">
        <x:v>PUBLIC SPEND BASE + SCENARIO</x:v>
      </x:c>
      <x:c r="T39" s="27" t="str">
        <x:v>https://fred.stlouisfed.org/series/DVAPRC1A027NBEA</x:v>
      </x:c>
      <x:c r="U39" s="27" t="str">
        <x:v>1% of PCE is a SPEND SHIFT, not new AI revenue; vendor share proxy; no overlap with device services</x:v>
      </x:c>
    </x:row>
    <x:row r="40" ht="29" customHeight="1">
      <x:c r="A40" s="64" t="str">
        <x:v>C03</x:v>
      </x:c>
      <x:c r="B40" s="64" t="str">
        <x:v>B2C</x:v>
      </x:c>
      <x:c r="C40" s="50" t="str">
        <x:v>Smart glasses, wearables, personal interfaces</x:v>
      </x:c>
      <x:c r="D40" s="50" t="str">
        <x:v>NEW PRODUCTS</x:v>
      </x:c>
      <x:c r="E40" s="50" t="str">
        <x:v>Premium devices and bundled AI experiences</x:v>
      </x:c>
      <x:c r="F40" s="42" t="n">
        <x:v>2025</x:v>
      </x:c>
      <x:c r="G40" s="42" t="str">
        <x:v>U.S. - overlaps C02</x:v>
      </x:c>
      <x:c r="H40" s="62"/>
      <x:c r="I40" s="43" t="str">
        <x:f>IF(H40="","",H40*(1+$F$6)^MAX(0,$C$6-F40))</x:f>
      </x:c>
      <x:c r="J40" s="44" t="n">
        <x:v>1</x:v>
      </x:c>
      <x:c r="K40" s="44" t="n">
        <x:v>0.2</x:v>
      </x:c>
      <x:c r="L40" s="44" t="n">
        <x:v>0.3</x:v>
      </x:c>
      <x:c r="M40" s="44" t="n">
        <x:v>0.1</x:v>
      </x:c>
      <x:c r="N40" s="44" t="n">
        <x:v>0.25</x:v>
      </x:c>
      <x:c r="O40" s="43" t="str">
        <x:f>IF(I40="","",I40*J40*K40*L40*M40)</x:f>
      </x:c>
      <x:c r="P40" s="43" t="str">
        <x:f>IF(O40="","",O40*N40)</x:f>
      </x:c>
      <x:c r="Q40" s="45" t="n">
        <x:v>0</x:v>
      </x:c>
      <x:c r="R40" s="43" t="n">
        <x:f>IF(P40="",0,P40*Q40)</x:f>
        <x:v>0</x:v>
      </x:c>
      <x:c r="S40" s="52" t="str">
        <x:v>SEPARATE SUBSEGMENT NEEDED</x:v>
      </x:c>
      <x:c r="T40" s="50" t="str">
        <x:v>https://www.bea.gov/data/consumer-spending/main</x:v>
      </x:c>
      <x:c r="U40" s="50" t="str">
        <x:v>Do not add to C02 broad consumer equipment category without netting subcategory</x:v>
      </x:c>
    </x:row>
    <x:row r="41" ht="29" customHeight="1">
      <x:c r="A41" s="64" t="str">
        <x:v>C04</x:v>
      </x:c>
      <x:c r="B41" s="64" t="str">
        <x:v>B2C</x:v>
      </x:c>
      <x:c r="C41" s="27" t="str">
        <x:v>Education, tutoring and language learning</x:v>
      </x:c>
      <x:c r="D41" s="27" t="str">
        <x:v>SUBSCRIPTION</x:v>
      </x:c>
      <x:c r="E41" s="27" t="str">
        <x:v>Households purchase personalized AI tutors / learning services</x:v>
      </x:c>
      <x:c r="F41" s="2" t="n">
        <x:v>2030</x:v>
      </x:c>
      <x:c r="G41" s="2" t="str">
        <x:v>Global - potential</x:v>
      </x:c>
      <x:c r="H41" s="18"/>
      <x:c r="I41" s="38" t="str">
        <x:f>IF(H41="","",H41*(1+$F$6)^MAX(0,$C$6-F41))</x:f>
      </x:c>
      <x:c r="J41" s="24" t="n">
        <x:v>1</x:v>
      </x:c>
      <x:c r="K41" s="24" t="n">
        <x:v>0.35</x:v>
      </x:c>
      <x:c r="L41" s="24" t="n">
        <x:v>0.3</x:v>
      </x:c>
      <x:c r="M41" s="24" t="n">
        <x:v>0.2</x:v>
      </x:c>
      <x:c r="N41" s="24" t="n">
        <x:v>0.7</x:v>
      </x:c>
      <x:c r="O41" s="38" t="str">
        <x:f>IF(I41="","",I41*J41*K41*L41*M41)</x:f>
      </x:c>
      <x:c r="P41" s="38" t="str">
        <x:f>IF(O41="","",O41*N41)</x:f>
      </x:c>
      <x:c r="Q41" s="36" t="n">
        <x:v>0</x:v>
      </x:c>
      <x:c r="R41" s="38" t="n">
        <x:f>IF(P41="",0,P41*Q41)</x:f>
        <x:v>0</x:v>
      </x:c>
      <x:c r="S41" s="54" t="str">
        <x:v>NEEDS CONSUMER PRICE / USERS</x:v>
      </x:c>
      <x:c r="T41" s="27" t="str">
        <x:v>https://www.bea.gov/data/consumer-spending/main</x:v>
      </x:c>
      <x:c r="U41" s="27" t="str">
        <x:v>Exclude paid enterprise / school edtech overlapping institutional SaaS</x:v>
      </x:c>
    </x:row>
    <x:row r="42" ht="29" customHeight="1">
      <x:c r="A42" s="64" t="str">
        <x:v>C05</x:v>
      </x:c>
      <x:c r="B42" s="64" t="str">
        <x:v>B2C</x:v>
      </x:c>
      <x:c r="C42" s="50" t="str">
        <x:v>Wellness, health navigation, coaching</x:v>
      </x:c>
      <x:c r="D42" s="50" t="str">
        <x:v>SUBSCRIPTION</x:v>
      </x:c>
      <x:c r="E42" s="50" t="str">
        <x:v>Consumer care support, coaching, non-diagnostic wellness</x:v>
      </x:c>
      <x:c r="F42" s="42" t="n">
        <x:v>2030</x:v>
      </x:c>
      <x:c r="G42" s="42" t="str">
        <x:v>Global - potential</x:v>
      </x:c>
      <x:c r="H42" s="62"/>
      <x:c r="I42" s="43" t="str">
        <x:f>IF(H42="","",H42*(1+$F$6)^MAX(0,$C$6-F42))</x:f>
      </x:c>
      <x:c r="J42" s="44" t="n">
        <x:v>1</x:v>
      </x:c>
      <x:c r="K42" s="44" t="n">
        <x:v>0.3</x:v>
      </x:c>
      <x:c r="L42" s="44" t="n">
        <x:v>0.25</x:v>
      </x:c>
      <x:c r="M42" s="44" t="n">
        <x:v>0.2</x:v>
      </x:c>
      <x:c r="N42" s="44" t="n">
        <x:v>0.65</x:v>
      </x:c>
      <x:c r="O42" s="43" t="str">
        <x:f>IF(I42="","",I42*J42*K42*L42*M42)</x:f>
      </x:c>
      <x:c r="P42" s="43" t="str">
        <x:f>IF(O42="","",O42*N42)</x:f>
      </x:c>
      <x:c r="Q42" s="45" t="n">
        <x:v>0</x:v>
      </x:c>
      <x:c r="R42" s="43" t="n">
        <x:f>IF(P42="",0,P42*Q42)</x:f>
        <x:v>0</x:v>
      </x:c>
      <x:c r="S42" s="52" t="str">
        <x:v>NEEDS CONSUMER PRICE / USERS</x:v>
      </x:c>
      <x:c r="T42" s="50" t="str">
        <x:v>https://www.bea.gov/data/consumer-spending/main</x:v>
      </x:c>
      <x:c r="U42" s="50" t="str">
        <x:v>Regulatory and clinical constraints; distinct from employer healthcare platforms</x:v>
      </x:c>
    </x:row>
    <x:row r="43" ht="29" customHeight="1">
      <x:c r="A43" s="64" t="str">
        <x:v>C06</x:v>
      </x:c>
      <x:c r="B43" s="64" t="str">
        <x:v>B2C</x:v>
      </x:c>
      <x:c r="C43" s="27" t="str">
        <x:v>Entertainment, games and personalized media</x:v>
      </x:c>
      <x:c r="D43" s="27" t="str">
        <x:v>NEW MEDIA</x:v>
      </x:c>
      <x:c r="E43" s="27" t="str">
        <x:v>AI-generated interactive entertainment / premium media plans</x:v>
      </x:c>
      <x:c r="F43" s="2" t="n">
        <x:v>2030</x:v>
      </x:c>
      <x:c r="G43" s="2" t="str">
        <x:v>Global - potential</x:v>
      </x:c>
      <x:c r="H43" s="18"/>
      <x:c r="I43" s="38" t="str">
        <x:f>IF(H43="","",H43*(1+$F$6)^MAX(0,$C$6-F43))</x:f>
      </x:c>
      <x:c r="J43" s="24" t="n">
        <x:v>1</x:v>
      </x:c>
      <x:c r="K43" s="24" t="n">
        <x:v>0.3</x:v>
      </x:c>
      <x:c r="L43" s="24" t="n">
        <x:v>0.3</x:v>
      </x:c>
      <x:c r="M43" s="24" t="n">
        <x:v>0.1</x:v>
      </x:c>
      <x:c r="N43" s="24" t="n">
        <x:v>0.5</x:v>
      </x:c>
      <x:c r="O43" s="38" t="str">
        <x:f>IF(I43="","",I43*J43*K43*L43*M43)</x:f>
      </x:c>
      <x:c r="P43" s="38" t="str">
        <x:f>IF(O43="","",O43*N43)</x:f>
      </x:c>
      <x:c r="Q43" s="36" t="n">
        <x:v>0</x:v>
      </x:c>
      <x:c r="R43" s="38" t="n">
        <x:f>IF(P43="",0,P43*Q43)</x:f>
        <x:v>0</x:v>
      </x:c>
      <x:c r="S43" s="54" t="str">
        <x:v>NEEDS PRICE / CATALOG</x:v>
      </x:c>
      <x:c r="T43" s="27" t="str">
        <x:v>https://www.bea.gov/data/consumer-spending/main</x:v>
      </x:c>
      <x:c r="U43" s="27" t="str">
        <x:v>Avoid claiming total streaming/game spend incremental from AI</x:v>
      </x:c>
    </x:row>
    <x:row r="44" ht="29" customHeight="1">
      <x:c r="A44" s="64" t="str">
        <x:v>C07</x:v>
      </x:c>
      <x:c r="B44" s="64" t="str">
        <x:v>B2C</x:v>
      </x:c>
      <x:c r="C44" s="50" t="str">
        <x:v>AI shopping agents and commerce</x:v>
      </x:c>
      <x:c r="D44" s="50" t="str">
        <x:v>COMMISSION</x:v>
      </x:c>
      <x:c r="E44" s="50" t="str">
        <x:v>Consumer commerce agents; vendor earns take rate on attributable transactions</x:v>
      </x:c>
      <x:c r="F44" s="42" t="n">
        <x:v>2030</x:v>
      </x:c>
      <x:c r="G44" s="42" t="str">
        <x:v>Global - potential</x:v>
      </x:c>
      <x:c r="H44" s="62"/>
      <x:c r="I44" s="43" t="str">
        <x:f>IF(H44="","",H44*(1+$F$6)^MAX(0,$C$6-F44))</x:f>
      </x:c>
      <x:c r="J44" s="44" t="n">
        <x:v>1</x:v>
      </x:c>
      <x:c r="K44" s="44" t="n">
        <x:v>0.3</x:v>
      </x:c>
      <x:c r="L44" s="44" t="n">
        <x:v>0.3</x:v>
      </x:c>
      <x:c r="M44" s="44" t="n">
        <x:v>0.02</x:v>
      </x:c>
      <x:c r="N44" s="44" t="n">
        <x:v>0.5</x:v>
      </x:c>
      <x:c r="O44" s="43" t="str">
        <x:f>IF(I44="","",I44*J44*K44*L44*M44)</x:f>
      </x:c>
      <x:c r="P44" s="43" t="str">
        <x:f>IF(O44="","",O44*N44)</x:f>
      </x:c>
      <x:c r="Q44" s="45" t="n">
        <x:v>0</x:v>
      </x:c>
      <x:c r="R44" s="43" t="n">
        <x:f>IF(P44="",0,P44*Q44)</x:f>
        <x:v>0</x:v>
      </x:c>
      <x:c r="S44" s="52" t="str">
        <x:v>NEEDS AGENT GMV / TAKE RATE</x:v>
      </x:c>
      <x:c r="T44" s="50" t="str">
        <x:v>https://www.census.gov/retail/</x:v>
      </x:c>
      <x:c r="U44" s="50" t="str">
        <x:v>Do not use full GMV as AI vendor revenue; only attributable incremental fee</x:v>
      </x:c>
    </x:row>
    <x:row r="45" ht="29" customHeight="1">
      <x:c r="A45" s="64" t="str">
        <x:v>C08</x:v>
      </x:c>
      <x:c r="B45" s="64" t="str">
        <x:v>B2C</x:v>
      </x:c>
      <x:c r="C45" s="27" t="str">
        <x:v>Creator, photo, audio and video AI tools</x:v>
      </x:c>
      <x:c r="D45" s="27" t="str">
        <x:v>SUBSCRIPTION</x:v>
      </x:c>
      <x:c r="E45" s="27" t="str">
        <x:v>New individual prosumer software and asset creation</x:v>
      </x:c>
      <x:c r="F45" s="2" t="n">
        <x:v>2030</x:v>
      </x:c>
      <x:c r="G45" s="2" t="str">
        <x:v>Global - potential</x:v>
      </x:c>
      <x:c r="H45" s="18"/>
      <x:c r="I45" s="38" t="str">
        <x:f>IF(H45="","",H45*(1+$F$6)^MAX(0,$C$6-F45))</x:f>
      </x:c>
      <x:c r="J45" s="24" t="n">
        <x:v>1</x:v>
      </x:c>
      <x:c r="K45" s="24" t="n">
        <x:v>0.4</x:v>
      </x:c>
      <x:c r="L45" s="24" t="n">
        <x:v>0.3</x:v>
      </x:c>
      <x:c r="M45" s="24" t="n">
        <x:v>0.1</x:v>
      </x:c>
      <x:c r="N45" s="24" t="n">
        <x:v>0.7</x:v>
      </x:c>
      <x:c r="O45" s="38" t="str">
        <x:f>IF(I45="","",I45*J45*K45*L45*M45)</x:f>
      </x:c>
      <x:c r="P45" s="38" t="str">
        <x:f>IF(O45="","",O45*N45)</x:f>
      </x:c>
      <x:c r="Q45" s="36" t="n">
        <x:v>0</x:v>
      </x:c>
      <x:c r="R45" s="38" t="n">
        <x:f>IF(P45="",0,P45*Q45)</x:f>
        <x:v>0</x:v>
      </x:c>
      <x:c r="S45" s="54" t="str">
        <x:v>NEEDS NON-OVERLAPPING USERS</x:v>
      </x:c>
      <x:c r="T45" s="27" t="str">
        <x:v>https://www.bea.gov/data/consumer-spending/main</x:v>
      </x:c>
      <x:c r="U45" s="27" t="str">
        <x:v>Check overlap with C01 AI assistant subscriptions and workplace creator seats</x:v>
      </x:c>
    </x:row>
    <x:row r="46" ht="29" customHeight="1">
      <x:c r="A46" s="64" t="str">
        <x:v>C09</x:v>
      </x:c>
      <x:c r="B46" s="64" t="str">
        <x:v>B2C</x:v>
      </x:c>
      <x:c r="C46" s="50" t="str">
        <x:v>Home robotics and household automation</x:v>
      </x:c>
      <x:c r="D46" s="50" t="str">
        <x:v>NEW PRODUCTS</x:v>
      </x:c>
      <x:c r="E46" s="50" t="str">
        <x:v>Household time saving / domestic task assistance</x:v>
      </x:c>
      <x:c r="F46" s="42" t="n">
        <x:v>2030</x:v>
      </x:c>
      <x:c r="G46" s="42" t="str">
        <x:v>Global - potential</x:v>
      </x:c>
      <x:c r="H46" s="62"/>
      <x:c r="I46" s="43" t="str">
        <x:f>IF(H46="","",H46*(1+$F$6)^MAX(0,$C$6-F46))</x:f>
      </x:c>
      <x:c r="J46" s="44" t="n">
        <x:v>1</x:v>
      </x:c>
      <x:c r="K46" s="44" t="n">
        <x:v>0.1</x:v>
      </x:c>
      <x:c r="L46" s="44" t="n">
        <x:v>0.1</x:v>
      </x:c>
      <x:c r="M46" s="44" t="n">
        <x:v>0.04</x:v>
      </x:c>
      <x:c r="N46" s="44" t="n">
        <x:v>0.4</x:v>
      </x:c>
      <x:c r="O46" s="43" t="str">
        <x:f>IF(I46="","",I46*J46*K46*L46*M46)</x:f>
      </x:c>
      <x:c r="P46" s="43" t="str">
        <x:f>IF(O46="","",O46*N46)</x:f>
      </x:c>
      <x:c r="Q46" s="45" t="n">
        <x:v>0</x:v>
      </x:c>
      <x:c r="R46" s="43" t="n">
        <x:f>IF(P46="",0,P46*Q46)</x:f>
        <x:v>0</x:v>
      </x:c>
      <x:c r="S46" s="52" t="str">
        <x:v>HIGH UNCERTAINTY</x:v>
      </x:c>
      <x:c r="T46" s="50" t="str">
        <x:v>https://ifr.org/</x:v>
      </x:c>
      <x:c r="U46" s="50" t="str">
        <x:v>Hardware revenue and AI model fees at different value-chain levels</x:v>
      </x:c>
    </x:row>
    <x:row r="47" ht="29" customHeight="1">
      <x:c r="A47" s="64" t="str">
        <x:v>C10</x:v>
      </x:c>
      <x:c r="B47" s="64" t="str">
        <x:v>B2C</x:v>
      </x:c>
      <x:c r="C47" s="27" t="str">
        <x:v>Travel, financial planning and lifestyle agents</x:v>
      </x:c>
      <x:c r="D47" s="27" t="str">
        <x:v>COMMISSION</x:v>
      </x:c>
      <x:c r="E47" s="27" t="str">
        <x:v>Outcome-based bookings / advice / transaction fees</x:v>
      </x:c>
      <x:c r="F47" s="2" t="n">
        <x:v>2030</x:v>
      </x:c>
      <x:c r="G47" s="2" t="str">
        <x:v>Global - potential</x:v>
      </x:c>
      <x:c r="H47" s="18"/>
      <x:c r="I47" s="38" t="str">
        <x:f>IF(H47="","",H47*(1+$F$6)^MAX(0,$C$6-F47))</x:f>
      </x:c>
      <x:c r="J47" s="24" t="n">
        <x:v>1</x:v>
      </x:c>
      <x:c r="K47" s="24" t="n">
        <x:v>0.3</x:v>
      </x:c>
      <x:c r="L47" s="24" t="n">
        <x:v>0.2</x:v>
      </x:c>
      <x:c r="M47" s="24" t="n">
        <x:v>0.02</x:v>
      </x:c>
      <x:c r="N47" s="24" t="n">
        <x:v>0.5</x:v>
      </x:c>
      <x:c r="O47" s="38" t="str">
        <x:f>IF(I47="","",I47*J47*K47*L47*M47)</x:f>
      </x:c>
      <x:c r="P47" s="38" t="str">
        <x:f>IF(O47="","",O47*N47)</x:f>
      </x:c>
      <x:c r="Q47" s="36" t="n">
        <x:v>0</x:v>
      </x:c>
      <x:c r="R47" s="38" t="n">
        <x:f>IF(P47="",0,P47*Q47)</x:f>
        <x:v>0</x:v>
      </x:c>
      <x:c r="S47" s="54" t="str">
        <x:v>NEEDS TRANSACTION SHARE</x:v>
      </x:c>
      <x:c r="T47" s="27" t="str">
        <x:v>https://www.bea.gov/data/consumer-spending/main</x:v>
      </x:c>
      <x:c r="U47" s="27" t="str">
        <x:v>Need incremental agent revenue, not booked travel value</x:v>
      </x:c>
    </x:row>
    <x:row r="48" ht="29" customHeight="1">
      <x:c r="A48" s="64" t="str">
        <x:v>C11</x:v>
      </x:c>
      <x:c r="B48" s="64" t="str">
        <x:v>B2C</x:v>
      </x:c>
      <x:c r="C48" s="50" t="str">
        <x:v>Personal mobility / autonomous services</x:v>
      </x:c>
      <x:c r="D48" s="50" t="str">
        <x:v>NEW PRODUCTS</x:v>
      </x:c>
      <x:c r="E48" s="50" t="str">
        <x:v>AI mobility services, autonomy features, new subscriptions</x:v>
      </x:c>
      <x:c r="F48" s="42" t="n">
        <x:v>2030</x:v>
      </x:c>
      <x:c r="G48" s="42" t="str">
        <x:v>Global - potential</x:v>
      </x:c>
      <x:c r="H48" s="62"/>
      <x:c r="I48" s="43" t="str">
        <x:f>IF(H48="","",H48*(1+$F$6)^MAX(0,$C$6-F48))</x:f>
      </x:c>
      <x:c r="J48" s="44" t="n">
        <x:v>1</x:v>
      </x:c>
      <x:c r="K48" s="44" t="n">
        <x:v>0.1</x:v>
      </x:c>
      <x:c r="L48" s="44" t="n">
        <x:v>0.2</x:v>
      </x:c>
      <x:c r="M48" s="44" t="n">
        <x:v>0.08</x:v>
      </x:c>
      <x:c r="N48" s="44" t="n">
        <x:v>0.4</x:v>
      </x:c>
      <x:c r="O48" s="43" t="str">
        <x:f>IF(I48="","",I48*J48*K48*L48*M48)</x:f>
      </x:c>
      <x:c r="P48" s="43" t="str">
        <x:f>IF(O48="","",O48*N48)</x:f>
      </x:c>
      <x:c r="Q48" s="45" t="n">
        <x:v>0</x:v>
      </x:c>
      <x:c r="R48" s="43" t="n">
        <x:f>IF(P48="",0,P48*Q48)</x:f>
        <x:v>0</x:v>
      </x:c>
      <x:c r="S48" s="52" t="str">
        <x:v>FRONTIER / NO BASE</x:v>
      </x:c>
      <x:c r="T48" s="50" t="str">
        <x:v>https://www.bea.gov/data/consumer-spending/main</x:v>
      </x:c>
      <x:c r="U48" s="50" t="str">
        <x:v>Autonomy vehicle hardware / ride revenue and AI vendor capture are different</x:v>
      </x:c>
    </x:row>
    <x:row r="49" ht="29" customHeight="1">
      <x:c r="A49" s="64" t="str">
        <x:v>C12</x:v>
      </x:c>
      <x:c r="B49" s="64" t="str">
        <x:v>B2C</x:v>
      </x:c>
      <x:c r="C49" s="27" t="str">
        <x:v>AI newspapers, news and information</x:v>
      </x:c>
      <x:c r="D49" s="27" t="str">
        <x:v>NEW MEDIA</x:v>
      </x:c>
      <x:c r="E49" s="27" t="str">
        <x:v>AI news summaries, personal research and information bundles</x:v>
      </x:c>
      <x:c r="F49" s="2" t="n">
        <x:v>2030</x:v>
      </x:c>
      <x:c r="G49" s="2" t="str">
        <x:v>Global - potential</x:v>
      </x:c>
      <x:c r="H49" s="18"/>
      <x:c r="I49" s="38" t="str">
        <x:f>IF(H49="","",H49*(1+$F$6)^MAX(0,$C$6-F49))</x:f>
      </x:c>
      <x:c r="J49" s="24" t="n">
        <x:v>1</x:v>
      </x:c>
      <x:c r="K49" s="24" t="n">
        <x:v>0.25</x:v>
      </x:c>
      <x:c r="L49" s="24" t="n">
        <x:v>0.3</x:v>
      </x:c>
      <x:c r="M49" s="24" t="n">
        <x:v>0.06</x:v>
      </x:c>
      <x:c r="N49" s="24" t="n">
        <x:v>0.45</x:v>
      </x:c>
      <x:c r="O49" s="38" t="str">
        <x:f>IF(I49="","",I49*J49*K49*L49*M49)</x:f>
      </x:c>
      <x:c r="P49" s="38" t="str">
        <x:f>IF(O49="","",O49*N49)</x:f>
      </x:c>
      <x:c r="Q49" s="36" t="n">
        <x:v>0</x:v>
      </x:c>
      <x:c r="R49" s="38" t="n">
        <x:f>IF(P49="",0,P49*Q49)</x:f>
        <x:v>0</x:v>
      </x:c>
      <x:c r="S49" s="54" t="str">
        <x:v>NEEDS NET INCREMENTAL SPEND</x:v>
      </x:c>
      <x:c r="T49" s="27" t="str">
        <x:v>https://www.bea.gov/data/consumer-spending/main</x:v>
      </x:c>
      <x:c r="U49" s="27" t="str">
        <x:v>Cannibalizes publisher subscriptions / online advertising; net model required</x:v>
      </x:c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24" customHeight="1">
      <x:c r="A51" s="14" t="str">
        <x:v>HOW THE BUCKETS CONNECT  |  ECONOMIC ACCOUNTING FRAMEWORK</x:v>
      </x:c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33" customHeight="1">
      <x:c r="A53" s="66" t="str">
        <x:v>LABOR / existing employees</x:v>
      </x:c>
      <x:c r="B53" s="2"/>
      <x:c r="C53" s="26" t="str">
        <x:v>Employers gain output or avoid wages; AI suppliers may monetize some value via seats, usage or outcomes. Productivity-value and paid-seat pricing are TWO estimates of the SAME vendor flow.</x:v>
      </x:c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 ht="33" customHeight="1">
      <x:c r="A54" s="66" t="str">
        <x:v>LABOR / missing employees</x:v>
      </x:c>
      <x:c r="B54" s="2"/>
      <x:c r="C54" s="26" t="str">
        <x:v>Counterfactual unmet job demand is a distinct starting point, but may overlap deployment capacity and spending of existing enterprises. Default OFF until the coverage bridge is reconciled.</x:v>
      </x:c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 ht="33" customHeight="1">
      <x:c r="A55" s="66" t="str">
        <x:v>B2B incumbent supplier profit</x:v>
      </x:c>
      <x:c r="B55" s="2"/>
      <x:c r="C55" s="26" t="str">
        <x:v>Customer can replace externally purchased services. Supplier wage costs already appear in broader labor pool; only the supplier operating profit proxy is screened here, and even this is not guaranteed incremental vendor sales.</x:v>
      </x:c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 ht="33" customHeight="1">
      <x:c r="A56" s="66" t="str">
        <x:v>B2B new output</x:v>
      </x:c>
      <x:c r="B56" s="2"/>
      <x:c r="C56" s="26" t="str">
        <x:v>Robotics, research and scientific tools may create net-new products, not just displace service margins. Report as unquantified option value until a unique volume × price anchor exists.</x:v>
      </x:c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 ht="33" customHeight="1">
      <x:c r="A57" s="66" t="str">
        <x:v>B2C subscriptions</x:v>
      </x:c>
      <x:c r="B57" s="2"/>
      <x:c r="C57" s="26" t="str">
        <x:v>Direct paid consumer spend is separate from employer-paid enterprise seats only after payer/user overlaps are removed.</x:v>
      </x:c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 ht="33" customHeight="1">
      <x:c r="A58" s="66" t="str">
        <x:v>B2C devices / media</x:v>
      </x:c>
      <x:c r="B58" s="2"/>
      <x:c r="C58" s="26" t="str">
        <x:v>Hardware purchases, bundled digital services, consumer AI subscriptions and model/API revenue occupy different value-chain stages. A 1% wallet share shift is NOT automatically incremental AI vendor revenue.</x:v>
      </x:c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 ht="33" customHeight="1">
      <x:c r="A59" s="66" t="str">
        <x:v>Geography &amp; years</x:v>
      </x:c>
      <x:c r="B59" s="2"/>
      <x:c r="C59" s="26" t="str">
        <x:v>U.S. observed 2024–25 market pools do not make a complete global estimate. Global ex-China wage model includes U.S.; do not equate mixed totals to worldwide infrastructure returns.</x:v>
      </x:c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 ht="33" customHeight="1">
      <x:c r="A60" s="66" t="str">
        <x:v>Economic flows &amp; chart inclusion</x:v>
      </x:c>
      <x:c r="B60" s="2"/>
      <x:c r="C60" s="26" t="str">
        <x:v>R = P × Q; switching inclusion on forces the item into the conservative waterfall. Alternatives, geographic duplicates and potential double counts should remain zero until reconciled.</x:v>
      </x:c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24" customHeight="1">
      <x:c r="A63" s="14" t="str">
        <x:v>QUICK DIAGNOSTIC  |  MARKET SOURCE FACTS ARE NOT AGGREGATED TAMs</x:v>
      </x:c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20" customHeight="1">
      <x:c r="A65" s="2"/>
      <x:c r="B65" s="2" t="str">
        <x:v>U.S. core selected waterfall ($bn/yr)</x:v>
      </x:c>
      <x:c r="C65" s="2"/>
      <x:c r="D65" s="2"/>
      <x:c r="E65" s="2"/>
      <x:c r="F65" s="2"/>
      <x:c r="G65" s="2"/>
      <x:c r="H65" s="68" t="n">
        <x:f>SUM(R19:R49)</x:f>
        <x:v>94.1875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20" customHeight="1">
      <x:c r="A66" s="2"/>
      <x:c r="B66" s="2" t="str">
        <x:v>Gross model opportunity ($bn/yr), includes overlap / alternatives</x:v>
      </x:c>
      <x:c r="C66" s="2"/>
      <x:c r="D66" s="2"/>
      <x:c r="E66" s="2"/>
      <x:c r="F66" s="2"/>
      <x:c r="G66" s="2"/>
      <x:c r="H66" s="68" t="n">
        <x:f>SUM(P19:P49)</x:f>
        <x:v>601.3997949775983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 ht="20" customHeight="1">
      <x:c r="A67" s="2"/>
      <x:c r="B67" s="2" t="str">
        <x:v>B2B profit-value proxy only (illustrative)</x:v>
      </x:c>
      <x:c r="C67" s="2"/>
      <x:c r="D67" s="2"/>
      <x:c r="E67" s="2"/>
      <x:c r="F67" s="2"/>
      <x:c r="G67" s="2"/>
      <x:c r="H67" s="68" t="n">
        <x:f>SUM(P24:P37)</x:f>
        <x:v>29.498019399430863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 ht="20" customHeight="1">
      <x:c r="A68" s="2"/>
      <x:c r="B68" s="2" t="str">
        <x:v>U.S. consumer devices AI shift proxy only</x:v>
      </x:c>
      <x:c r="C68" s="2"/>
      <x:c r="D68" s="2"/>
      <x:c r="E68" s="2"/>
      <x:c r="F68" s="2"/>
      <x:c r="G68" s="2"/>
      <x:c r="H68" s="68" t="n">
        <x:f>P39</x:f>
        <x:v>1.239275578167443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23" customHeight="1">
      <x:c r="A72" s="2"/>
      <x:c r="B72" s="106" t="str">
        <x:v>ADDITIONAL CROSS-CHECK — 2032 GDP PRODUCTIVITY SCENARIO (NOT INCLUDED IN BUCKET REVENUES)</x:v>
      </x:c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22" customHeight="1">
      <x:c r="A74" s="2"/>
      <x:c r="B74" s="26" t="str">
        <x:v>See 02 Football Field, Section 06. The separately calculated 2032 AI-related GDP level uplift is an economy-wide output sensitivity, not additive AI vendor income; labor/enterprise and B2B/B2C gains can be channels already embedded in GDP. Match year, geography, and economic-value definitions before comparing.</x:v>
      </x:c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 ht="22" customHeight="1">
      <x:c r="A75" s="2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 ht="2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</x:sheetData>
  <x:mergeCells>
    <x:mergeCell ref="A1:U2"/>
    <x:mergeCell ref="A3:U3"/>
    <x:mergeCell ref="A5:U5"/>
    <x:mergeCell ref="K6:U7"/>
    <x:mergeCell ref="K8:U9"/>
    <x:mergeCell ref="K11:U13"/>
    <x:mergeCell ref="A15:U15"/>
    <x:mergeCell ref="A51:U51"/>
    <x:mergeCell ref="C53:U53"/>
    <x:mergeCell ref="C54:U54"/>
    <x:mergeCell ref="C55:U55"/>
    <x:mergeCell ref="C56:U56"/>
    <x:mergeCell ref="C57:U57"/>
    <x:mergeCell ref="C58:U58"/>
    <x:mergeCell ref="C59:U59"/>
    <x:mergeCell ref="C60:U60"/>
    <x:mergeCell ref="A63:U63"/>
    <x:mergeCell ref="B65:G65"/>
    <x:mergeCell ref="B66:G66"/>
    <x:mergeCell ref="B67:G67"/>
    <x:mergeCell ref="B68:G68"/>
    <x:mergeCell ref="B72:U72"/>
    <x:mergeCell ref="B74:U7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20" hidden="0" customWidth="1"/>
    <x:col min="4" max="4" width="20" hidden="0" customWidth="1"/>
    <x:col min="5" max="5" width="30" hidden="0" customWidth="1"/>
    <x:col min="6" max="6" width="4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2" customHeight="1">
      <x:c r="A1" s="6" t="str">
        <x:v>AI ROI | FOOTBALL FIELD &amp; REVENUE BRIDGE — 2030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22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20" customHeight="1">
      <x:c r="A3" s="10" t="str">
        <x:v>$bn per YEAR  •  2030 monetization: labor / B2B / B2C  •  2032 GDP uplift: macro cross-check ONLY, never added to vendor revenue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14" t="str">
        <x:v>01  |  ONE-PAGE ROI SCORECARD — SOURCE VALUE, ECONOMIC POOL, AND VENDOR REVENUE ARE DIFFERENT THINGS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 ht="28" customHeight="1">
      <x:c r="A6" s="72" t="str">
        <x:v>ID</x:v>
      </x:c>
      <x:c r="B6" s="72" t="str">
        <x:v>Measure / bucket</x:v>
      </x:c>
      <x:c r="C6" s="72" t="str">
        <x:v>U.S. ($bn/yr)</x:v>
      </x:c>
      <x:c r="D6" s="72" t="str">
        <x:v>Global ex-China ($bn/yr)</x:v>
      </x:c>
      <x:c r="E6" s="72" t="str">
        <x:v>Revenue interpretation</x:v>
      </x:c>
      <x:c r="F6" s="72" t="str">
        <x:v>Next model step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0" customHeight="1">
      <x:c r="A7" s="2" t="str">
        <x:v>ECON</x:v>
      </x:c>
      <x:c r="B7" s="2" t="str">
        <x:v>AI-exposed wage base</x:v>
      </x:c>
      <x:c r="C7" s="78" t="n">
        <x:f>'01 Buckets'!C7</x:f>
        <x:v>5300</x:v>
      </x:c>
      <x:c r="D7" s="78" t="n">
        <x:f>'01 Buckets'!F7</x:f>
        <x:v>14000</x:v>
      </x:c>
      <x:c r="E7" s="27" t="str">
        <x:v>Technical wage exposure; NOT spend</x:v>
      </x:c>
      <x:c r="F7" s="27" t="str">
        <x:v>Preserve base from existing model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5" customHeight="1">
      <x:c r="A8" s="2" t="str">
        <x:v>LABOR</x:v>
      </x:c>
      <x:c r="B8" s="2" t="str">
        <x:v>Counterfactual missing labor gap</x:v>
      </x:c>
      <x:c r="C8" s="78" t="n">
        <x:f>'01 Buckets'!I6</x:f>
        <x:v>586</x:v>
      </x:c>
      <x:c r="D8" s="38"/>
      <x:c r="E8" s="27" t="str">
        <x:v>Economic need, not observed vendor revenue</x:v>
      </x:c>
      <x:c r="F8" s="27" t="str">
        <x:v>Link Global ex-China gap when available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0" customHeight="1">
      <x:c r="A9" s="2" t="str">
        <x:v>LABOR</x:v>
      </x:c>
      <x:c r="B9" s="2" t="str">
        <x:v>Existing worker economic value</x:v>
      </x:c>
      <x:c r="C9" s="78" t="n">
        <x:f>'01 Buckets'!O20</x:f>
        <x:v>152.375</x:v>
      </x:c>
      <x:c r="D9" s="78" t="n">
        <x:f>'01 Buckets'!O21</x:f>
        <x:v>402.5</x:v>
      </x:c>
      <x:c r="E9" s="27" t="str">
        <x:v>Employer-side value BEFORE vendor capture</x:v>
      </x:c>
      <x:c r="F9" s="27" t="str">
        <x:v>Check 23% viability and realized task saving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5" customHeight="1">
      <x:c r="A10" s="2" t="str">
        <x:v>LABOR</x:v>
      </x:c>
      <x:c r="B10" s="2" t="str">
        <x:v>Existing worker vendor capture</x:v>
      </x:c>
      <x:c r="C10" s="78" t="n">
        <x:f>'01 Buckets'!P20</x:f>
        <x:v>76.1875</x:v>
      </x:c>
      <x:c r="D10" s="78" t="n">
        <x:f>'01 Buckets'!P21</x:f>
        <x:v>201.25</x:v>
      </x:c>
      <x:c r="E10" s="27" t="str">
        <x:v>Alternative to seat-subscription model</x:v>
      </x:c>
      <x:c r="F10" s="27" t="str">
        <x:v>Avoid adding to per-seat subscription revenue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0" customHeight="1">
      <x:c r="A11" s="2" t="str">
        <x:v>LABOR</x:v>
      </x:c>
      <x:c r="B11" s="2" t="str">
        <x:v>Enterprise seat subscription alternative</x:v>
      </x:c>
      <x:c r="C11" s="78" t="n">
        <x:f>'01 Buckets'!P22</x:f>
        <x:v>36</x:v>
      </x:c>
      <x:c r="D11" s="78" t="n">
        <x:f>'01 Buckets'!P23</x:f>
        <x:v>144</x:v>
      </x:c>
      <x:c r="E11" s="27" t="str">
        <x:v>Paid seats × annual price (illustrative)</x:v>
      </x:c>
      <x:c r="F11" s="27" t="str">
        <x:v>Connect actual employee denominators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5" customHeight="1">
      <x:c r="A12" s="2" t="str">
        <x:v>B2B</x:v>
      </x:c>
      <x:c r="B12" s="2" t="str">
        <x:v>U.S. incumbent provider profit capture</x:v>
      </x:c>
      <x:c r="C12" s="78" t="n">
        <x:f>SUM('01 Buckets'!P24:P37)</x:f>
        <x:v>29.498019399430863</x:v>
      </x:c>
      <x:c r="D12" s="38"/>
      <x:c r="E12" s="27" t="str">
        <x:v>Screened supplier profit transfer only</x:v>
      </x:c>
      <x:c r="F12" s="27" t="str">
        <x:v>Needs non-overlap sign-off and global data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0" customHeight="1">
      <x:c r="A13" s="2" t="str">
        <x:v>B2C</x:v>
      </x:c>
      <x:c r="B13" s="2" t="str">
        <x:v>Direct consumer subscriptions</x:v>
      </x:c>
      <x:c r="C13" s="78" t="n">
        <x:f>'01 Buckets'!P38</x:f>
        <x:v>18</x:v>
      </x:c>
      <x:c r="D13" s="38"/>
      <x:c r="E13" s="27" t="str">
        <x:v>Distinct household-paid revenue</x:v>
      </x:c>
      <x:c r="F13" s="27" t="str">
        <x:v>Replace illustrative consumer subscriber model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5" customHeight="1">
      <x:c r="A14" s="2" t="str">
        <x:v>B2C</x:v>
      </x:c>
      <x:c r="B14" s="2" t="str">
        <x:v>AI consumer device spend shift</x:v>
      </x:c>
      <x:c r="C14" s="78" t="n">
        <x:f>'01 Buckets'!P39</x:f>
        <x:v>1.239275578167443</x:v>
      </x:c>
      <x:c r="D14" s="38"/>
      <x:c r="E14" s="27" t="str">
        <x:v>Potential wallet reallocation; not proven net AI revenue</x:v>
      </x:c>
      <x:c r="F14" s="27" t="str">
        <x:v>Validate incremental AI content / value capture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0" customHeight="1">
      <x:c r="A15" s="84" t="str">
        <x:v>RESULT</x:v>
      </x:c>
      <x:c r="B15" s="84" t="str">
        <x:v>CORE selected model sum</x:v>
      </x:c>
      <x:c r="C15" s="85" t="n">
        <x:f>SUM('01 Buckets'!R19:R49)</x:f>
        <x:v>94.1875</x:v>
      </x:c>
      <x:c r="D15" s="98"/>
      <x:c r="E15" s="92" t="str">
        <x:v>Scenario screening metric; US-oriented pilot</x:v>
      </x:c>
      <x:c r="F15" s="92" t="str">
        <x:v>Compare to matched regional infrastructure hurdle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0" customHeight="1">
      <x:c r="A16" s="84" t="str">
        <x:v>RESULT</x:v>
      </x:c>
      <x:c r="B16" s="84" t="str">
        <x:v>Gross exploratory proxy, NOT additive</x:v>
      </x:c>
      <x:c r="C16" s="85" t="n">
        <x:f>SUM('01 Buckets'!P19:P49)</x:f>
        <x:v>601.3997949775983</x:v>
      </x:c>
      <x:c r="D16" s="98"/>
      <x:c r="E16" s="92" t="str">
        <x:v>Includes regional / methodological doubles</x:v>
      </x:c>
      <x:c r="F16" s="92" t="str">
        <x:v>NEVER use as publishable total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0" customHeight="1">
      <x:c r="A17" s="88" t="str">
        <x:v>HURDLE</x:v>
      </x:c>
      <x:c r="B17" s="88" t="str">
        <x:v>Annual required revenue — illustrative low</x:v>
      </x:c>
      <x:c r="C17" s="89" t="n">
        <x:f>'01 Buckets'!C8</x:f>
        <x:v>600</x:v>
      </x:c>
      <x:c r="D17" s="100"/>
      <x:c r="E17" s="93" t="str">
        <x:v>Not a matched U.S. investment hurdle yet</x:v>
      </x:c>
      <x:c r="F17" s="93" t="str">
        <x:v>LINK CapEx / capital recovery output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0" customHeight="1">
      <x:c r="A18" s="88" t="str">
        <x:v>HURDLE</x:v>
      </x:c>
      <x:c r="B18" s="88" t="str">
        <x:v>Annual required revenue — illustrative base</x:v>
      </x:c>
      <x:c r="C18" s="89" t="n">
        <x:f>'01 Buckets'!F8</x:f>
        <x:v>900</x:v>
      </x:c>
      <x:c r="D18" s="100"/>
      <x:c r="E18" s="93" t="str">
        <x:v>Not a matched U.S. investment hurdle yet</x:v>
      </x:c>
      <x:c r="F18" s="93" t="str">
        <x:v>LINK CapEx / capital recovery output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0" customHeight="1">
      <x:c r="A19" s="88" t="str">
        <x:v>HURDLE</x:v>
      </x:c>
      <x:c r="B19" s="88" t="str">
        <x:v>Annual required revenue — illustrative high</x:v>
      </x:c>
      <x:c r="C19" s="89" t="n">
        <x:f>'01 Buckets'!I8</x:f>
        <x:v>1200</x:v>
      </x:c>
      <x:c r="D19" s="100"/>
      <x:c r="E19" s="93" t="str">
        <x:v>Not a matched U.S. investment hurdle yet</x:v>
      </x:c>
      <x:c r="F19" s="93" t="str">
        <x:v>LINK CapEx / capital recovery output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14" t="str">
        <x:v>02  |  FOOTBALL-FIELD RANGES BY MONETIZATION BUCKET — ILLUSTRATIVE SCENARIOS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</x:row>
    <x:row r="22" ht="30" customHeight="1">
      <x:c r="A22" s="72" t="str">
        <x:v>Code</x:v>
      </x:c>
      <x:c r="B22" s="72" t="str">
        <x:v>Opportunity category</x:v>
      </x:c>
      <x:c r="C22" s="72" t="str">
        <x:v>Low 0.6× ($bn)</x:v>
      </x:c>
      <x:c r="D22" s="72" t="str">
        <x:v>Base ($bn)</x:v>
      </x:c>
      <x:c r="E22" s="72" t="str">
        <x:v>High 1.5× ($bn)</x:v>
      </x:c>
      <x:c r="F22" s="72" t="str">
        <x:v>Boundary / inclusion note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6" customHeight="1">
      <x:c r="A23" s="2" t="str">
        <x:v>R1</x:v>
      </x:c>
      <x:c r="B23" s="2" t="str">
        <x:v>Missing labor</x:v>
      </x:c>
      <x:c r="C23" s="38" t="n">
        <x:f>D23*0.6</x:f>
        <x:v>57.135000000000005</x:v>
      </x:c>
      <x:c r="D23" s="78" t="n">
        <x:f>'01 Buckets'!P19</x:f>
        <x:v>95.22500000000001</x:v>
      </x:c>
      <x:c r="E23" s="38" t="n">
        <x:f>D23*1.5</x:f>
        <x:v>142.8375</x:v>
      </x:c>
      <x:c r="F23" s="10" t="str">
        <x:v>Independent monetization is UNVERIFIED; core waterfall OFF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6" customHeight="1">
      <x:c r="A24" s="2" t="str">
        <x:v>R2</x:v>
      </x:c>
      <x:c r="B24" s="2" t="str">
        <x:v>Existing worker AI</x:v>
      </x:c>
      <x:c r="C24" s="38" t="n">
        <x:f>D24*0.6</x:f>
        <x:v>45.7125</x:v>
      </x:c>
      <x:c r="D24" s="78" t="n">
        <x:f>'01 Buckets'!P20</x:f>
        <x:v>76.1875</x:v>
      </x:c>
      <x:c r="E24" s="38" t="n">
        <x:f>D24*1.5</x:f>
        <x:v>114.28125</x:v>
      </x:c>
      <x:c r="F24" s="10" t="str">
        <x:v>Wage-value capture; alternative to enterprise price per seat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6" customHeight="1">
      <x:c r="A25" s="2" t="str">
        <x:v>R3</x:v>
      </x:c>
      <x:c r="B25" s="2" t="str">
        <x:v>Enterprise seats — alternative</x:v>
      </x:c>
      <x:c r="C25" s="38" t="n">
        <x:f>D25*0.6</x:f>
        <x:v>21.599999999999998</x:v>
      </x:c>
      <x:c r="D25" s="78" t="n">
        <x:f>'01 Buckets'!P22</x:f>
        <x:v>36</x:v>
      </x:c>
      <x:c r="E25" s="38" t="n">
        <x:f>D25*1.5</x:f>
        <x:v>54</x:v>
      </x:c>
      <x:c r="F25" s="10" t="str">
        <x:v>Do NOT add with existing worker captured wages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6" customHeight="1">
      <x:c r="A26" s="2" t="str">
        <x:v>R4</x:v>
      </x:c>
      <x:c r="B26" s="2" t="str">
        <x:v>B2B supplier profit</x:v>
      </x:c>
      <x:c r="C26" s="38" t="n">
        <x:f>D26*0.6</x:f>
        <x:v>17.698811639658516</x:v>
      </x:c>
      <x:c r="D26" s="78" t="n">
        <x:f>SUM('01 Buckets'!P24:P37)</x:f>
        <x:v>29.498019399430863</x:v>
      </x:c>
      <x:c r="E26" s="38" t="n">
        <x:f>D26*1.5</x:f>
        <x:v>44.247029099146296</x:v>
      </x:c>
      <x:c r="F26" s="10" t="str">
        <x:v>Only incumbent nonlabor profit proxy; confidence low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6" customHeight="1">
      <x:c r="A27" s="2" t="str">
        <x:v>R5</x:v>
      </x:c>
      <x:c r="B27" s="2" t="str">
        <x:v>Consumer subscriptions</x:v>
      </x:c>
      <x:c r="C27" s="38" t="n">
        <x:f>D27*0.6</x:f>
        <x:v>10.799999999999999</x:v>
      </x:c>
      <x:c r="D27" s="78" t="n">
        <x:f>'01 Buckets'!P38</x:f>
        <x:v>18</x:v>
      </x:c>
      <x:c r="E27" s="38" t="n">
        <x:f>D27*1.5</x:f>
        <x:v>27</x:v>
      </x:c>
      <x:c r="F27" s="10" t="str">
        <x:v>Subscription estimate to link to existing consumer model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6" customHeight="1">
      <x:c r="A28" s="2" t="str">
        <x:v>R6</x:v>
      </x:c>
      <x:c r="B28" s="2" t="str">
        <x:v>Consumer devices / tech share shift</x:v>
      </x:c>
      <x:c r="C28" s="38" t="n">
        <x:f>D28*0.6</x:f>
        <x:v>0.7435653469004657</x:v>
      </x:c>
      <x:c r="D28" s="78" t="n">
        <x:f>'01 Buckets'!P39</x:f>
        <x:v>1.239275578167443</x:v>
      </x:c>
      <x:c r="E28" s="38" t="n">
        <x:f>D28*1.5</x:f>
        <x:v>1.8589133672511644</x:v>
      </x:c>
      <x:c r="F28" s="10" t="str">
        <x:v>Spend reallocation proxy; not proven vendor increment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0" customHeight="1">
      <x:c r="A30" s="26" t="str">
        <x:v>Low and High are presentation sensitivities (0.6× / 1.5×), not statistical confidence intervals. The source opportunity is NOT additive to wages/seat alternatives by default.</x:v>
      </x:c>
      <x:c r="B30" s="27"/>
      <x:c r="C30" s="27"/>
      <x:c r="D30" s="27"/>
      <x:c r="E30" s="27"/>
      <x:c r="F30" s="27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0" customHeight="1">
      <x:c r="A31" s="27"/>
      <x:c r="B31" s="27"/>
      <x:c r="C31" s="27"/>
      <x:c r="D31" s="27"/>
      <x:c r="E31" s="27"/>
      <x:c r="F31" s="27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4" customHeight="1">
      <x:c r="A34" s="14" t="str">
        <x:v>03  |  UPWARD WATERFALL — SELECTED US REVENUE CHANNELS ONLY (DO NOT MIX GLOBAL WAGE BASE)</x:v>
      </x:c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</x:row>
    <x:row r="35" ht="28" customHeight="1">
      <x:c r="A35" s="71" t="str">
        <x:v>Step</x:v>
      </x:c>
      <x:c r="B35" s="71" t="str">
        <x:v>Annual revenue component</x:v>
      </x:c>
      <x:c r="C35" s="71" t="str">
        <x:v>Flow ($bn)</x:v>
      </x:c>
      <x:c r="D35" s="71" t="str">
        <x:v>Cumulative ($bn)</x:v>
      </x:c>
      <x:c r="E35" s="71" t="str">
        <x:v>Waterfall offset</x:v>
      </x:c>
      <x:c r="F35" s="102" t="str">
        <x:v>Included?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0" customHeight="1">
      <x:c r="A36" s="2" t="n">
        <x:v>1</x:v>
      </x:c>
      <x:c r="B36" s="2" t="str">
        <x:v>Labor gap</x:v>
      </x:c>
      <x:c r="C36" s="78" t="n">
        <x:f>'01 Buckets'!R19</x:f>
        <x:v>0</x:v>
      </x:c>
      <x:c r="D36" s="38" t="n">
        <x:f>SUM($C$36:C36)</x:f>
        <x:v>0</x:v>
      </x:c>
      <x:c r="E36" s="38" t="n">
        <x:f>D36-C36</x:f>
        <x:v>0</x:v>
      </x:c>
      <x:c r="F36" s="96" t="n">
        <x:f>'01 Buckets'!Q19</x:f>
        <x:v>0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0" customHeight="1">
      <x:c r="A37" s="2" t="n">
        <x:v>2</x:v>
      </x:c>
      <x:c r="B37" s="2" t="str">
        <x:v>Enterprise: existing labor</x:v>
      </x:c>
      <x:c r="C37" s="78" t="n">
        <x:f>'01 Buckets'!R20</x:f>
        <x:v>76.1875</x:v>
      </x:c>
      <x:c r="D37" s="38" t="n">
        <x:f>SUM($C$36:C37)</x:f>
        <x:v>76.1875</x:v>
      </x:c>
      <x:c r="E37" s="38" t="n">
        <x:f>D37-C37</x:f>
        <x:v>0</x:v>
      </x:c>
      <x:c r="F37" s="96" t="n">
        <x:f>'01 Buckets'!Q20</x:f>
        <x:v>1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0" customHeight="1">
      <x:c r="A38" s="2" t="n">
        <x:v>3</x:v>
      </x:c>
      <x:c r="B38" s="2" t="str">
        <x:v>B2B: software publishers</x:v>
      </x:c>
      <x:c r="C38" s="78" t="n">
        <x:f>'01 Buckets'!R24</x:f>
        <x:v>0</x:v>
      </x:c>
      <x:c r="D38" s="38" t="n">
        <x:f>SUM($C$36:C38)</x:f>
        <x:v>76.1875</x:v>
      </x:c>
      <x:c r="E38" s="38" t="n">
        <x:f>D38-C38</x:f>
        <x:v>76.1875</x:v>
      </x:c>
      <x:c r="F38" s="96" t="n">
        <x:f>'01 Buckets'!Q24</x:f>
        <x:v>0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0" customHeight="1">
      <x:c r="A39" s="2" t="n">
        <x:v>4</x:v>
      </x:c>
      <x:c r="B39" s="2" t="str">
        <x:v>B2B: IT services</x:v>
      </x:c>
      <x:c r="C39" s="78" t="n">
        <x:f>'01 Buckets'!R25</x:f>
        <x:v>0</x:v>
      </x:c>
      <x:c r="D39" s="38" t="n">
        <x:f>SUM($C$36:C39)</x:f>
        <x:v>76.1875</x:v>
      </x:c>
      <x:c r="E39" s="38" t="n">
        <x:f>D39-C39</x:f>
        <x:v>76.1875</x:v>
      </x:c>
      <x:c r="F39" s="96" t="n">
        <x:f>'01 Buckets'!Q25</x:f>
        <x:v>0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0" customHeight="1">
      <x:c r="A40" s="2" t="n">
        <x:v>5</x:v>
      </x:c>
      <x:c r="B40" s="2" t="str">
        <x:v>B2B: legal</x:v>
      </x:c>
      <x:c r="C40" s="78" t="n">
        <x:f>'01 Buckets'!R26</x:f>
        <x:v>0</x:v>
      </x:c>
      <x:c r="D40" s="38" t="n">
        <x:f>SUM($C$36:C40)</x:f>
        <x:v>76.1875</x:v>
      </x:c>
      <x:c r="E40" s="38" t="n">
        <x:f>D40-C40</x:f>
        <x:v>76.1875</x:v>
      </x:c>
      <x:c r="F40" s="96" t="n">
        <x:f>'01 Buckets'!Q26</x:f>
        <x:v>0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0" customHeight="1">
      <x:c r="A41" s="2" t="n">
        <x:v>6</x:v>
      </x:c>
      <x:c r="B41" s="2" t="str">
        <x:v>B2B: consulting</x:v>
      </x:c>
      <x:c r="C41" s="78" t="n">
        <x:f>'01 Buckets'!R27</x:f>
        <x:v>0</x:v>
      </x:c>
      <x:c r="D41" s="38" t="n">
        <x:f>SUM($C$36:C41)</x:f>
        <x:v>76.1875</x:v>
      </x:c>
      <x:c r="E41" s="38" t="n">
        <x:f>D41-C41</x:f>
        <x:v>76.1875</x:v>
      </x:c>
      <x:c r="F41" s="96" t="n">
        <x:f>'01 Buckets'!Q27</x:f>
        <x:v>0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0" customHeight="1">
      <x:c r="A42" s="2" t="n">
        <x:v>7</x:v>
      </x:c>
      <x:c r="B42" s="2" t="str">
        <x:v>B2B: advertising</x:v>
      </x:c>
      <x:c r="C42" s="78" t="n">
        <x:f>'01 Buckets'!R28</x:f>
        <x:v>0</x:v>
      </x:c>
      <x:c r="D42" s="38" t="n">
        <x:f>SUM($C$36:C42)</x:f>
        <x:v>76.1875</x:v>
      </x:c>
      <x:c r="E42" s="38" t="n">
        <x:f>D42-C42</x:f>
        <x:v>76.1875</x:v>
      </x:c>
      <x:c r="F42" s="96" t="n">
        <x:f>'01 Buckets'!Q28</x:f>
        <x:v>0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0" customHeight="1">
      <x:c r="A43" s="2" t="n">
        <x:v>8</x:v>
      </x:c>
      <x:c r="B43" s="2" t="str">
        <x:v>B2C: subscriptions</x:v>
      </x:c>
      <x:c r="C43" s="78" t="n">
        <x:f>'01 Buckets'!R38</x:f>
        <x:v>18</x:v>
      </x:c>
      <x:c r="D43" s="38" t="n">
        <x:f>SUM($C$36:C43)</x:f>
        <x:v>94.1875</x:v>
      </x:c>
      <x:c r="E43" s="38" t="n">
        <x:f>D43-C43</x:f>
        <x:v>76.1875</x:v>
      </x:c>
      <x:c r="F43" s="96" t="n">
        <x:f>'01 Buckets'!Q38</x:f>
        <x:v>1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0" customHeight="1">
      <x:c r="A44" s="2" t="n">
        <x:v>9</x:v>
      </x:c>
      <x:c r="B44" s="2" t="str">
        <x:v>B2C: device upgrade shift</x:v>
      </x:c>
      <x:c r="C44" s="78" t="n">
        <x:f>'01 Buckets'!R39</x:f>
        <x:v>0</x:v>
      </x:c>
      <x:c r="D44" s="38" t="n">
        <x:f>SUM($C$36:C44)</x:f>
        <x:v>94.1875</x:v>
      </x:c>
      <x:c r="E44" s="38" t="n">
        <x:f>D44-C44</x:f>
        <x:v>94.1875</x:v>
      </x:c>
      <x:c r="F44" s="96" t="n">
        <x:f>'01 Buckets'!Q39</x:f>
        <x:v>0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0" customHeight="1">
      <x:c r="A45" s="84"/>
      <x:c r="B45" s="84" t="str">
        <x:v>TOTAL SELECTED ANNUAL REVENUE</x:v>
      </x:c>
      <x:c r="C45" s="98" t="n">
        <x:f>SUM(C36:C44)</x:f>
        <x:v>94.1875</x:v>
      </x:c>
      <x:c r="D45" s="98"/>
      <x:c r="E45" s="98"/>
      <x:c r="F45" s="84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0" customHeight="1">
      <x:c r="A47" s="26" t="str">
        <x:v>The chart adds ONLY rows with Include = 1. Change inclusion gates in Buckets Q-column only after reconciling enterprise alternatives and provider profit transfer. Exhibit is illustrative, not a matched economic ROI forecast.</x:v>
      </x:c>
      <x:c r="B47" s="27"/>
      <x:c r="C47" s="27"/>
      <x:c r="D47" s="27"/>
      <x:c r="E47" s="27"/>
      <x:c r="F47" s="27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0" customHeight="1">
      <x:c r="A48" s="27"/>
      <x:c r="B48" s="27"/>
      <x:c r="C48" s="27"/>
      <x:c r="D48" s="27"/>
      <x:c r="E48" s="27"/>
      <x:c r="F48" s="27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4" customHeight="1">
      <x:c r="A50" s="14" t="str">
        <x:v>04  |  MAP OF ECONOMIC RELATIONSHIPS — WHY BUCKETS CANNOT BE SUMMED AS IF ALL WERE VENDOR REVENUE</x:v>
      </x:c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43" customHeight="1">
      <x:c r="A52" s="66" t="str">
        <x:v>LABOR</x:v>
      </x:c>
      <x:c r="B52" s="27" t="str">
        <x:v>Employee / labor cost</x:v>
      </x:c>
      <x:c r="C52" s="27" t="str">
        <x:v>Employer saving, output uplift, or unfilled workforce capacity</x:v>
      </x:c>
      <x:c r="D52" s="27" t="str">
        <x:v>Firm shares value with model vendor</x:v>
      </x:c>
      <x:c r="E52" s="27" t="str">
        <x:v>Value / seat models are alternatives</x:v>
      </x:c>
      <x:c r="F52" s="27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43" customHeight="1">
      <x:c r="A53" s="66" t="str">
        <x:v>B2B</x:v>
      </x:c>
      <x:c r="B53" s="27" t="str">
        <x:v>Existing supplier contracts</x:v>
      </x:c>
      <x:c r="C53" s="27" t="str">
        <x:v>Buyer insources service; supplier wage and profit at risk</x:v>
      </x:c>
      <x:c r="D53" s="27" t="str">
        <x:v>Supplier profit can transfer, but profit != invoice to AI vendor</x:v>
      </x:c>
      <x:c r="E53" s="27" t="str">
        <x:v>Remove embedded provider labor</x:v>
      </x:c>
      <x:c r="F53" s="27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43" customHeight="1">
      <x:c r="A54" s="66" t="str">
        <x:v>B2C</x:v>
      </x:c>
      <x:c r="B54" s="27" t="str">
        <x:v>Household spending</x:v>
      </x:c>
      <x:c r="C54" s="27" t="str">
        <x:v>Consumer pays for assistant, device, media or new services</x:v>
      </x:c>
      <x:c r="D54" s="27" t="str">
        <x:v>Price × paying users, device margin, usage fees</x:v>
      </x:c>
      <x:c r="E54" s="27" t="str">
        <x:v>Net shift, not total replacement market</x:v>
      </x:c>
      <x:c r="F54" s="27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43" customHeight="1">
      <x:c r="A55" s="66" t="str">
        <x:v>NEW</x:v>
      </x:c>
      <x:c r="B55" s="27" t="str">
        <x:v>New demand / new products</x:v>
      </x:c>
      <x:c r="C55" s="27" t="str">
        <x:v>Net new capability, scientific outcomes, new transaction volume</x:v>
      </x:c>
      <x:c r="D55" s="27" t="str">
        <x:v>New fee / licensing / take-rate; uncertain</x:v>
      </x:c>
      <x:c r="E55" s="27" t="str">
        <x:v>Separate GMV, hardware, cloud and app layers</x:v>
      </x:c>
      <x:c r="F55" s="27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40" customHeight="1">
      <x:c r="A56" s="2" t="str">
        <x:v>MACRO</x:v>
      </x:c>
      <x:c r="B56" s="27" t="str">
        <x:v>2032 AI-attributed GDP uplift</x:v>
      </x:c>
      <x:c r="C56" s="27" t="str">
        <x:v>Change in annual 2032 economic output relative to no-AI counterfactual</x:v>
      </x:c>
      <x:c r="D56" s="27" t="str">
        <x:v>Top-down cross-check, NOT vendor revenue / pricing</x:v>
      </x:c>
      <x:c r="E56" s="27" t="str">
        <x:v>GDP uplift overlaps labor, business and consumer gains; do NOT stack</x:v>
      </x:c>
      <x:c r="F56" s="27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1" customHeight="1">
      <x:c r="A59" s="14" t="str">
        <x:v>05  |  NEXT DATA COLLECTION — PRIORITIZED FOR VALIDATED 2030 GLOBAL EXPANSION</x:v>
      </x:c>
      <x:c r="B59" s="14"/>
      <x:c r="C59" s="14"/>
      <x:c r="D59" s="14"/>
      <x:c r="E59" s="14"/>
      <x:c r="F59" s="14"/>
      <x:c r="G59" s="14"/>
      <x:c r="H59" s="14" t="str">
        <x:v>Group</x:v>
      </x:c>
      <x:c r="I59" s="14" t="str">
        <x:v>Core selected</x:v>
      </x:c>
      <x:c r="J59" s="14" t="str">
        <x:v>Exploratory potential</x:v>
      </x:c>
      <x:c r="K59" s="14" t="str">
        <x:v>Overlap flag</x:v>
      </x:c>
      <x:c r="L59" s="14"/>
      <x:c r="M59" s="14"/>
      <x:c r="N59" s="14"/>
      <x:c r="O59" s="14"/>
      <x:c r="P59" s="14"/>
    </x:row>
    <x:row r="60" ht="21" customHeight="1">
      <x:c r="A60" s="2"/>
      <x:c r="B60" s="2"/>
      <x:c r="C60" s="2"/>
      <x:c r="D60" s="2"/>
      <x:c r="E60" s="2"/>
      <x:c r="F60" s="2"/>
      <x:c r="G60" s="2"/>
      <x:c r="H60" s="2" t="str">
        <x:v>Labor</x:v>
      </x:c>
      <x:c r="I60" s="38" t="n">
        <x:f>SUM('01 Buckets'!R19:R23)</x:f>
        <x:v>76.1875</x:v>
      </x:c>
      <x:c r="J60" s="38" t="n">
        <x:f>'01 Buckets'!P19+'01 Buckets'!P20</x:f>
        <x:v>171.41250000000002</x:v>
      </x:c>
      <x:c r="K60" s="2" t="str">
        <x:v>Workforce/enterprise alternative</x:v>
      </x:c>
      <x:c r="L60" s="2"/>
      <x:c r="M60" s="2"/>
      <x:c r="N60" s="2"/>
      <x:c r="O60" s="2"/>
      <x:c r="P60" s="2"/>
    </x:row>
    <x:row r="61" ht="21" customHeight="1">
      <x:c r="A61" s="18" t="str">
        <x:v>P1</x:v>
      </x:c>
      <x:c r="B61" s="2" t="str">
        <x:v>Global exposed employee seats</x:v>
      </x:c>
      <x:c r="C61" s="26" t="str">
        <x:v>Use country employment and occupation-level exposed-worker share; replace 100M/400M illustrative seats</x:v>
      </x:c>
      <x:c r="D61" s="27"/>
      <x:c r="E61" s="27"/>
      <x:c r="F61" s="27"/>
      <x:c r="G61" s="2"/>
      <x:c r="H61" s="2" t="str">
        <x:v>B2B</x:v>
      </x:c>
      <x:c r="I61" s="38" t="n">
        <x:f>SUM('01 Buckets'!R24:R37)</x:f>
        <x:v>0</x:v>
      </x:c>
      <x:c r="J61" s="38" t="n">
        <x:f>SUM('01 Buckets'!P24:P37)</x:f>
        <x:v>29.498019399430863</x:v>
      </x:c>
      <x:c r="K61" s="2" t="str">
        <x:v>Transfer of incumbent supplier profit</x:v>
      </x:c>
      <x:c r="L61" s="2"/>
      <x:c r="M61" s="2"/>
      <x:c r="N61" s="2"/>
      <x:c r="O61" s="2"/>
      <x:c r="P61" s="2"/>
    </x:row>
    <x:row r="62" ht="21" customHeight="1">
      <x:c r="A62" s="18" t="str">
        <x:v>P1</x:v>
      </x:c>
      <x:c r="B62" s="2" t="str">
        <x:v>B2B software / IT / consulting global profit pool</x:v>
      </x:c>
      <x:c r="C62" s="26" t="str">
        <x:v>Country × industry revenues, operating margins, geographic scaling; do not extrapolate US salary or mix blindly</x:v>
      </x:c>
      <x:c r="D62" s="27"/>
      <x:c r="E62" s="27"/>
      <x:c r="F62" s="27"/>
      <x:c r="G62" s="2"/>
      <x:c r="H62" s="2" t="str">
        <x:v>B2C</x:v>
      </x:c>
      <x:c r="I62" s="38" t="n">
        <x:f>SUM('01 Buckets'!R38:R49)</x:f>
        <x:v>18</x:v>
      </x:c>
      <x:c r="J62" s="38" t="n">
        <x:f>SUM('01 Buckets'!P38:P49)</x:f>
        <x:v>19.239275578167444</x:v>
      </x:c>
      <x:c r="K62" s="2" t="str">
        <x:v>Consumer cash revenue and unproven shifts</x:v>
      </x:c>
      <x:c r="L62" s="2"/>
      <x:c r="M62" s="2"/>
      <x:c r="N62" s="2"/>
      <x:c r="O62" s="2"/>
      <x:c r="P62" s="2"/>
    </x:row>
    <x:row r="63" ht="35" customHeight="1">
      <x:c r="A63" s="18" t="str">
        <x:v>P1</x:v>
      </x:c>
      <x:c r="B63" s="2" t="str">
        <x:v>Incrementality and overlap bridge</x:v>
      </x:c>
      <x:c r="C63" s="26" t="str">
        <x:v>Input-output flows to identify supplier labor vs nonlabor profit; enterprise software fees vs labor pricing alternatives</x:v>
      </x:c>
      <x:c r="D63" s="27"/>
      <x:c r="E63" s="27"/>
      <x:c r="F63" s="27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35" customHeight="1">
      <x:c r="A64" s="18" t="str">
        <x:v>P2</x:v>
      </x:c>
      <x:c r="B64" s="2" t="str">
        <x:v>Consumer direct / devices / agents</x:v>
      </x:c>
      <x:c r="C64" s="26" t="str">
        <x:v>Consumer subscription forecast, devices premium vs base refresh, actual take rates / paid users</x:v>
      </x:c>
      <x:c r="D64" s="27"/>
      <x:c r="E64" s="27"/>
      <x:c r="F64" s="27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35" customHeight="1">
      <x:c r="A65" s="18" t="str">
        <x:v>P2</x:v>
      </x:c>
      <x:c r="B65" s="2" t="str">
        <x:v>AI infrastructure hurdle matching</x:v>
      </x:c>
      <x:c r="C65" s="26" t="str">
        <x:v>Same region, same year and compute provider vs application vendor revenue layer; capex cohorts need matching</x:v>
      </x:c>
      <x:c r="D65" s="27"/>
      <x:c r="E65" s="27"/>
      <x:c r="F65" s="27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35" customHeight="1">
      <x:c r="A66" s="18" t="str">
        <x:v>P3</x:v>
      </x:c>
      <x:c r="B66" s="2" t="str">
        <x:v>Emerging robotics / science / autonomy</x:v>
      </x:c>
      <x:c r="C66" s="26" t="str">
        <x:v>Unique addressable demand × penetration × provider price, with regulatory and infrastructure caveats</x:v>
      </x:c>
      <x:c r="D66" s="27"/>
      <x:c r="E66" s="27"/>
      <x:c r="F66" s="27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0" customHeight="1">
      <x:c r="A71" s="2"/>
      <x:c r="B71" s="2"/>
      <x:c r="C71" s="2"/>
      <x:c r="D71" s="2"/>
      <x:c r="E71" s="2"/>
      <x:c r="F71" s="2"/>
      <x:c r="G71" s="13" t="str">
        <x:v>HURDLE CROSS-CHECK  |  Illustrative only: U.S. market evidence vs. unmatched investment hurdle</x:v>
      </x:c>
      <x:c r="H71" s="13"/>
      <x:c r="I71" s="13"/>
      <x:c r="J71" s="13"/>
      <x:c r="K71" s="13"/>
      <x:c r="L71" s="13"/>
      <x:c r="M71" s="13"/>
      <x:c r="N71" s="13"/>
      <x:c r="O71" s="13"/>
      <x:c r="P71" s="13"/>
    </x:row>
    <x:row r="72" ht="26" customHeight="1">
      <x:c r="A72" s="107" t="str">
        <x:v>06  |  2032 MACRO GDP CROSS-CHECK — NOT A REVENUE BUCKET</x:v>
      </x:c>
      <x:c r="B72" s="107"/>
      <x:c r="C72" s="107"/>
      <x:c r="D72" s="107"/>
      <x:c r="E72" s="107"/>
      <x:c r="F72" s="107"/>
      <x:c r="G72" s="107"/>
      <x:c r="H72" s="107"/>
      <x:c r="I72" s="107"/>
      <x:c r="J72" s="107"/>
      <x:c r="K72" s="107"/>
      <x:c r="L72" s="107"/>
      <x:c r="M72" s="107"/>
      <x:c r="N72" s="107"/>
      <x:c r="O72" s="107"/>
      <x:c r="P72" s="107"/>
    </x:row>
    <x:row r="73" ht="28" customHeight="1">
      <x:c r="A73" s="26" t="str">
        <x:v>Use the ALREADY CALCULATED 2032 difference in global nominal GDP levels. This is a 2032 single-year output level gap versus the no-AI baseline—not the cumulative GDP gain over 2026–2032. Link exact numbers from the separate GDP projection.</x:v>
      </x:c>
      <x:c r="B73" s="27"/>
      <x:c r="C73" s="27"/>
      <x:c r="D73" s="27"/>
      <x:c r="E73" s="27"/>
      <x:c r="F73" s="27"/>
      <x:c r="G73" s="2"/>
      <x:c r="H73" s="2" t="str">
        <x:v>Scenario</x:v>
      </x:c>
      <x:c r="I73" s="2" t="str">
        <x:v>Annual $bn</x:v>
      </x:c>
      <x:c r="J73" s="2"/>
      <x:c r="K73" s="2"/>
      <x:c r="L73" s="2"/>
      <x:c r="M73" s="2"/>
      <x:c r="N73" s="2"/>
      <x:c r="O73" s="2"/>
      <x:c r="P73" s="2"/>
    </x:row>
    <x:row r="74" ht="28" customHeight="1">
      <x:c r="A74" s="27"/>
      <x:c r="B74" s="27"/>
      <x:c r="C74" s="27"/>
      <x:c r="D74" s="27"/>
      <x:c r="E74" s="27"/>
      <x:c r="F74" s="27"/>
      <x:c r="G74" s="2"/>
      <x:c r="H74" s="2" t="str">
        <x:v>Selected U.S. pilot</x:v>
      </x:c>
      <x:c r="I74" s="38" t="n">
        <x:f>C45</x:f>
        <x:v>94.1875</x:v>
      </x:c>
      <x:c r="J74" s="2"/>
      <x:c r="K74" s="2"/>
      <x:c r="L74" s="2"/>
      <x:c r="M74" s="2"/>
      <x:c r="N74" s="2"/>
      <x:c r="O74" s="2"/>
      <x:c r="P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 t="str">
        <x:v>Illustrative low hurdle</x:v>
      </x:c>
      <x:c r="I75" s="38" t="n">
        <x:f>C17</x:f>
        <x:v>600</x:v>
      </x:c>
      <x:c r="J75" s="2"/>
      <x:c r="K75" s="2"/>
      <x:c r="L75" s="2"/>
      <x:c r="M75" s="2"/>
      <x:c r="N75" s="2"/>
      <x:c r="O75" s="2"/>
      <x:c r="P75" s="2"/>
    </x:row>
    <x:row r="76" ht="38" customHeight="1">
      <x:c r="A76" s="111" t="str">
        <x:v>Reference year</x:v>
      </x:c>
      <x:c r="B76" s="111" t="str">
        <x:v>Incremental GDP growth assumption</x:v>
      </x:c>
      <x:c r="C76" s="111" t="str">
        <x:v>2032 GDP level uplift ($bn, in 2032)</x:v>
      </x:c>
      <x:c r="D76" s="111" t="str">
        <x:v>Output measure</x:v>
      </x:c>
      <x:c r="E76" s="111" t="str">
        <x:v>Evidence status / source to link</x:v>
      </x:c>
      <x:c r="F76" s="111" t="str">
        <x:v>Waterfall treatment</x:v>
      </x:c>
      <x:c r="G76" s="2"/>
      <x:c r="H76" s="2" t="str">
        <x:v>Illustrative base hurdle</x:v>
      </x:c>
      <x:c r="I76" s="38" t="n">
        <x:f>C18</x:f>
        <x:v>900</x:v>
      </x:c>
      <x:c r="J76" s="2"/>
      <x:c r="K76" s="2"/>
      <x:c r="L76" s="2"/>
      <x:c r="M76" s="2"/>
      <x:c r="N76" s="2"/>
      <x:c r="O76" s="2"/>
      <x:c r="P76" s="2"/>
    </x:row>
    <x:row r="77" ht="31" customHeight="1">
      <x:c r="A77" s="2" t="n">
        <x:v>2032</x:v>
      </x:c>
      <x:c r="B77" s="2" t="str">
        <x:v>No extra AI growth</x:v>
      </x:c>
      <x:c r="C77" s="112" t="n">
        <x:v>0</x:v>
      </x:c>
      <x:c r="D77" s="27" t="str">
        <x:v>2032 annual GDP level difference</x:v>
      </x:c>
      <x:c r="E77" s="27" t="str">
        <x:v>Counterfactual = zero</x:v>
      </x:c>
      <x:c r="F77" s="27" t="str">
        <x:v>EXCLUDED — macro context only</x:v>
      </x:c>
      <x:c r="G77" s="2"/>
      <x:c r="H77" s="2" t="str">
        <x:v>Illustrative high hurdle</x:v>
      </x:c>
      <x:c r="I77" s="38" t="n">
        <x:f>C19</x:f>
        <x:v>1200</x:v>
      </x:c>
      <x:c r="J77" s="2"/>
      <x:c r="K77" s="2"/>
      <x:c r="L77" s="2"/>
      <x:c r="M77" s="2"/>
      <x:c r="N77" s="2"/>
      <x:c r="O77" s="2"/>
      <x:c r="P77" s="2"/>
    </x:row>
    <x:row r="78" ht="31" customHeight="1">
      <x:c r="A78" s="2" t="n">
        <x:v>2032</x:v>
      </x:c>
      <x:c r="B78" s="2" t="str">
        <x:v>+1.0 pp / year</x:v>
      </x:c>
      <x:c r="C78" s="114" t="n">
        <x:v>9000</x:v>
      </x:c>
      <x:c r="D78" s="27" t="str">
        <x:v>2032 annual GDP level difference</x:v>
      </x:c>
      <x:c r="E78" s="115" t="str">
        <x:v>~$9,000bn USER-REPORTED; REPLACE WITH EXACT</x:v>
      </x:c>
      <x:c r="F78" s="27" t="str">
        <x:v>EXCLUDED — macro context only</x:v>
      </x:c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31" customHeight="1">
      <x:c r="A79" s="2" t="n">
        <x:v>2032</x:v>
      </x:c>
      <x:c r="B79" s="2" t="str">
        <x:v>+1.5 pp / year</x:v>
      </x:c>
      <x:c r="C79" s="114"/>
      <x:c r="D79" s="27" t="str">
        <x:v>2032 annual GDP level difference</x:v>
      </x:c>
      <x:c r="E79" s="27" t="str">
        <x:v>LINK PRIOR 1.5 pp GDP SCENARIO</x:v>
      </x:c>
      <x:c r="F79" s="27" t="str">
        <x:v>EXCLUDED — macro context only</x:v>
      </x:c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31" customHeight="1">
      <x:c r="A81" s="26" t="str">
        <x:v>The +1.0 pp and +1.5 pp labels are growth-SCENARIO assumptions; verify their precise definitions in the external GDP workbook. $9T is an approximate 2032 level difference reported in discussion, not an audited observation. This section is NOT summed into any labor, B2B, B2C, or capex-revenue figure.</x:v>
      </x:c>
      <x:c r="B81" s="27"/>
      <x:c r="C81" s="27"/>
      <x:c r="D81" s="27"/>
      <x:c r="E81" s="27"/>
      <x:c r="F81" s="27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31" customHeight="1">
      <x:c r="A82" s="27"/>
      <x:c r="B82" s="27"/>
      <x:c r="C82" s="27"/>
      <x:c r="D82" s="27"/>
      <x:c r="E82" s="27"/>
      <x:c r="F82" s="27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30" customHeight="1">
      <x:c r="A84" s="26" t="str">
        <x:v>CROSS-CHECK LOGIC: compare 2032 global AI-attributed GDP output gains with an independently projected 2032 bottom-up economic VALUE estimate at matching geography/nominal-dollar basis. Do not compare directly with 2030 Global ex-China TAM or with AI vendor revenues.</x:v>
      </x:c>
      <x:c r="B84" s="27"/>
      <x:c r="C84" s="27"/>
      <x:c r="D84" s="27"/>
      <x:c r="E84" s="27"/>
      <x:c r="F84" s="27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30" customHeight="1">
      <x:c r="A85" s="27"/>
      <x:c r="B85" s="27"/>
      <x:c r="C85" s="27"/>
      <x:c r="D85" s="27"/>
      <x:c r="E85" s="27"/>
      <x:c r="F85" s="27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0" customHeight="1">
      <x:c r="A88" s="2"/>
      <x:c r="B88" s="2"/>
      <x:c r="C88" s="2"/>
      <x:c r="D88" s="2"/>
      <x:c r="E88" s="2"/>
      <x:c r="F88" s="2"/>
      <x:c r="G88" s="27" t="str">
        <x:v>The low/base/high required-revenue cases are illustrative placeholders. Do not present this comparison as a valid coverage ratio until numerator and denominator share geography, date, and value-chain scope.</x:v>
      </x:c>
      <x:c r="H88" s="27"/>
      <x:c r="I88" s="27"/>
      <x:c r="J88" s="27"/>
      <x:c r="K88" s="27"/>
      <x:c r="L88" s="27"/>
      <x:c r="M88" s="27"/>
      <x:c r="N88" s="27"/>
      <x:c r="O88" s="27"/>
      <x:c r="P88" s="27"/>
    </x:row>
    <x:row r="89" ht="20" customHeight="1">
      <x:c r="A89" s="2"/>
      <x:c r="B89" s="2"/>
      <x:c r="C89" s="2"/>
      <x:c r="D89" s="2"/>
      <x:c r="E89" s="2"/>
      <x:c r="F89" s="2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</x:sheetData>
  <x:mergeCells>
    <x:mergeCell ref="A1:P2"/>
    <x:mergeCell ref="A3:P3"/>
    <x:mergeCell ref="A5:P5"/>
    <x:mergeCell ref="A21:P21"/>
    <x:mergeCell ref="A30:F31"/>
    <x:mergeCell ref="A34:P34"/>
    <x:mergeCell ref="A47:F48"/>
    <x:mergeCell ref="A50:P50"/>
    <x:mergeCell ref="E52:F52"/>
    <x:mergeCell ref="E53:F53"/>
    <x:mergeCell ref="E54:F54"/>
    <x:mergeCell ref="E55:F55"/>
    <x:mergeCell ref="A59:P59"/>
    <x:mergeCell ref="C61:F61"/>
    <x:mergeCell ref="C62:F62"/>
    <x:mergeCell ref="C63:F63"/>
    <x:mergeCell ref="C64:F64"/>
    <x:mergeCell ref="C65:F65"/>
    <x:mergeCell ref="C66:F66"/>
    <x:mergeCell ref="G71:P71"/>
    <x:mergeCell ref="G88:P89"/>
    <x:mergeCell ref="E56:F56"/>
    <x:mergeCell ref="A72:P72"/>
    <x:mergeCell ref="A73:F74"/>
    <x:mergeCell ref="A81:F82"/>
    <x:mergeCell ref="A84:F85"/>
  </x:mergeCells>
  <x:pageMargins left="0.7" right="0.7" top="0.75" bottom="0.75" header="0.3" footer="0.3"/>
  <x:drawing xmlns:r="http://schemas.openxmlformats.org/officeDocument/2006/relationships" r:id="R60b1986e5d7a43d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6" hidden="0" customWidth="1"/>
    <x:col min="9" max="9" width="26" hidden="0" customWidth="1"/>
    <x:col min="10" max="10" width="19" hidden="0" customWidth="1"/>
  </x:cols>
  <x:sheetData>
    <x:row r="1" ht="26" customHeight="1">
      <x:c r="A1" s="122" t="str">
        <x:v>AI ROI | CHART IDEA &amp; OUTLOOK EXHIBIT PLAN</x:v>
      </x:c>
      <x:c r="B1" s="122"/>
      <x:c r="C1" s="122"/>
      <x:c r="D1" s="122"/>
      <x:c r="E1" s="122"/>
      <x:c r="F1" s="122"/>
      <x:c r="G1" s="122"/>
      <x:c r="H1" s="122"/>
      <x:c r="I1" s="122"/>
      <x:c r="J1" s="122"/>
    </x:row>
    <x:row r="2" ht="26" customHeight="1">
      <x:c r="A2" s="122"/>
      <x:c r="B2" s="122"/>
      <x:c r="C2" s="122"/>
      <x:c r="D2" s="122"/>
      <x:c r="E2" s="122"/>
      <x:c r="F2" s="122"/>
      <x:c r="G2" s="122"/>
      <x:c r="H2" s="122"/>
      <x:c r="I2" s="122"/>
      <x:c r="J2" s="122"/>
    </x:row>
    <x:row r="3" ht="23" customHeight="1">
      <x:c r="A3" s="124" t="str">
        <x:v>Chart architecture only  •  Four proposed core exhibits  •  Prototype charts link to existing workbook  •  $bn/year unless otherwise stated</x:v>
      </x:c>
      <x:c r="B3" s="124"/>
      <x:c r="C3" s="124"/>
      <x:c r="D3" s="124"/>
      <x:c r="E3" s="124"/>
      <x:c r="F3" s="124"/>
      <x:c r="G3" s="124"/>
      <x:c r="H3" s="124"/>
      <x:c r="I3" s="124"/>
      <x:c r="J3" s="124"/>
    </x:row>
    <x:row r="4" ht="20" customHeight="1">
      <x:c r="A4" s="119"/>
      <x:c r="B4" s="119"/>
      <x:c r="C4" s="119"/>
      <x:c r="D4" s="119"/>
      <x:c r="E4" s="119"/>
      <x:c r="F4" s="119"/>
      <x:c r="G4" s="119"/>
      <x:c r="H4" s="119"/>
      <x:c r="I4" s="119"/>
      <x:c r="J4" s="119"/>
    </x:row>
    <x:row r="5" ht="24" customHeight="1">
      <x:c r="A5" s="126" t="str">
        <x:v>01  |  EXHIBIT ROADMAP  —  WHAT TO PLOT / WHY IT MATTERS / WHAT IT MUST NOT IMPLY</x:v>
      </x:c>
      <x:c r="B5" s="126"/>
      <x:c r="C5" s="126"/>
      <x:c r="D5" s="126"/>
      <x:c r="E5" s="126"/>
      <x:c r="F5" s="126"/>
      <x:c r="G5" s="126"/>
      <x:c r="H5" s="126"/>
      <x:c r="I5" s="126"/>
      <x:c r="J5" s="126"/>
    </x:row>
    <x:row r="6" ht="25" customHeight="1">
      <x:c r="A6" s="129" t="str">
        <x:v>PRIORITY</x:v>
      </x:c>
      <x:c r="B6" s="129" t="str">
        <x:v>EXHIBIT</x:v>
      </x:c>
      <x:c r="C6" s="129" t="str"/>
      <x:c r="D6" s="129" t="str">
        <x:v>VISUAL DESIGN</x:v>
      </x:c>
      <x:c r="E6" s="129" t="str"/>
      <x:c r="F6" s="129" t="str">
        <x:v>REQUIRED DATA / LINKS</x:v>
      </x:c>
      <x:c r="G6" s="129" t="str"/>
      <x:c r="H6" s="129" t="str">
        <x:v>READER TAKEAWAY + ACCOUNTING RULE</x:v>
      </x:c>
      <x:c r="I6" s="129" t="str"/>
      <x:c r="J6" s="129" t="str">
        <x:v>NEXT ACTION</x:v>
      </x:c>
    </x:row>
    <x:row r="7" ht="86" customHeight="1">
      <x:c r="A7" s="134" t="str">
        <x:v>CORE 1</x:v>
      </x:c>
      <x:c r="B7" s="133" t="str">
        <x:v>CapEx → Annual Hurdle</x:v>
      </x:c>
      <x:c r="C7" s="133"/>
      <x:c r="D7" s="132" t="str">
        <x:v>Split-page: LEFT annual CapEx bars, 2024–30, with cumulative 2030 invested capital as a separate KPI. RIGHT 2030 annual required revenue shown as LOW–BASE–HIGH horizontal band; do not stack cumulative spend with annual revenue.</x:v>
      </x:c>
      <x:c r="E7" s="132"/>
      <x:c r="F7" s="132" t="str">
        <x:v>Link original FactSet 2024–30 annual CapEx, asset life and OCF model. Current placeholder Hurdles: Football Field C17:C19.</x:v>
      </x:c>
      <x:c r="G7" s="132"/>
      <x:c r="H7" s="132" t="str">
        <x:v>A large stock of investment creates an ANNUAL revenue hurdle. Different periods/units must be labelled; CapEx is NOT an annual revenue bar.</x:v>
      </x:c>
      <x:c r="I7" s="132"/>
      <x:c r="J7" s="135" t="str">
        <x:v>Link capex</x:v>
      </x:c>
    </x:row>
    <x:row r="8" ht="86" customHeight="1">
      <x:c r="A8" s="140" t="str">
        <x:v>CORE 2</x:v>
      </x:c>
      <x:c r="B8" s="139" t="str">
        <x:v>The economic foundation</x:v>
      </x:c>
      <x:c r="C8" s="139"/>
      <x:c r="D8" s="138" t="str">
        <x:v>Three foundation callouts (US missing-labor $586bn, US exposed wages $5.3tn, ex-China incl US $14tn) over a VALUE-CONVERSION funnel: exposed → viable → utilized → saved → vendor capture.</x:v>
      </x:c>
      <x:c r="E8" s="138"/>
      <x:c r="F8" s="138" t="str">
        <x:v>Football Field C7:D10 &amp; C8. Viability, utilization, task savings and capture from Buckets L02; 2030 assumptions.</x:v>
      </x:c>
      <x:c r="G8" s="138"/>
      <x:c r="H8" s="138" t="str">
        <x:v>Labor shortfall and exposed wage pools motivate AI demand, but they are NOT monetization revenue. Funnel illustrates why vendor share is much smaller.</x:v>
      </x:c>
      <x:c r="I8" s="138"/>
      <x:c r="J8" s="141" t="str">
        <x:v>Use funnel</x:v>
      </x:c>
    </x:row>
    <x:row r="9" ht="86" customHeight="1">
      <x:c r="A9" s="134" t="str">
        <x:v>CORE 3</x:v>
      </x:c>
      <x:c r="B9" s="133" t="str">
        <x:v>Revenue staircase + Hurdle</x:v>
      </x:c>
      <x:c r="C9" s="133"/>
      <x:c r="D9" s="132" t="str">
        <x:v>Vertical FLOATING waterfall: existing labor monetization OR enterprise seats (not both) + consumer subs + reconciled B2B profit transfer + net new devices + uncertain use cases. Overlay low/high revenue bands as dashed lines.</x:v>
      </x:c>
      <x:c r="E9" s="132"/>
      <x:c r="F9" s="132" t="str">
        <x:v>Enterprise 02 Football Field C10/C11 alternatives; Consumer C13; B2B C12 conditional; Hurdles C17:C19 placeholders. Link matched geography before publishing.</x:v>
      </x:c>
      <x:c r="G9" s="132"/>
      <x:c r="H9" s="132" t="str">
        <x:v>How far visible revenues go toward required return; shade additional/candidate bars, NEVER add supplier wages, GDP uplift, or alternative seat valuation.</x:v>
      </x:c>
      <x:c r="I9" s="132"/>
      <x:c r="J9" s="135" t="str">
        <x:v>Main exhibit</x:v>
      </x:c>
    </x:row>
    <x:row r="10" ht="86" customHeight="1">
      <x:c r="A10" s="140" t="str">
        <x:v>CORE 4</x:v>
      </x:c>
      <x:c r="B10" s="139" t="str">
        <x:v>Per-seat feasibility frontier</x:v>
      </x:c>
      <x:c r="C10" s="139"/>
      <x:c r="D10" s="138" t="str">
        <x:v>Paid-seat penetration on X vs monthly fee on Y, with iso-revenue / breakeven lines after consumer and non-seat revenue. Anchor observed public seat/price examples; stress test $100/month.</x:v>
      </x:c>
      <x:c r="E10" s="138"/>
      <x:c r="F10" s="138" t="str">
        <x:v>Link actual U.S. / global potential seats, adjusted seats, adopted share and capex hurdle; currently denominators are scenario-only. Previous discussion ~$4k US vs ~$200 global under enterprise-only.</x:v>
      </x:c>
      <x:c r="G10" s="138"/>
      <x:c r="H10" s="138" t="str">
        <x:v>Distinguishes a theoretical seat TAM from realistic paid subscriptions; immediately reveals required price vs market anchors. Geography must match hurdle.</x:v>
      </x:c>
      <x:c r="I10" s="138"/>
      <x:c r="J10" s="141" t="str">
        <x:v>Price chart</x:v>
      </x:c>
    </x:row>
    <x:row r="11" ht="86" customHeight="1">
      <x:c r="A11" s="142" t="str">
        <x:v>OPTION 5</x:v>
      </x:c>
      <x:c r="B11" s="133" t="str">
        <x:v>Who loses profit?  B2B</x:v>
      </x:c>
      <x:c r="C11" s="133"/>
      <x:c r="D11" s="132" t="str">
        <x:v>Grouped horizontal bars by incumbent supplier type (software, IT services, legal, consulting, ads); two fills: screened operating profit pool and vendor-capturable subset. Separate supplier wage costs.</x:v>
      </x:c>
      <x:c r="E11" s="132"/>
      <x:c r="F11" s="132" t="str">
        <x:v>01 Buckets B01–B05, official industry revenue proxies, relevant margin, contestability and capture; see rows 24–28.</x:v>
      </x:c>
      <x:c r="G11" s="132"/>
      <x:c r="H11" s="132" t="str">
        <x:v>AI may transfer existing supplier PROFIT without creating new end demand. Profit pool != AI vendor billing; avoid wage double count and overlapping SaaS fees.</x:v>
      </x:c>
      <x:c r="I11" s="132"/>
      <x:c r="J11" s="143" t="str">
        <x:v>Data screen</x:v>
      </x:c>
    </x:row>
    <x:row r="12" ht="86" customHeight="1">
      <x:c r="A12" s="144" t="str">
        <x:v>OPTION 6</x:v>
      </x:c>
      <x:c r="B12" s="139" t="str">
        <x:v>Consumer wallet vs new spend</x:v>
      </x:c>
      <x:c r="C12" s="139"/>
      <x:c r="D12" s="138" t="str">
        <x:v>Paired bars by business model: AI subscriptions; incremental device premium; consumer media/commerce; transaction commissions. Each base: pre-existing wallet vs net incremental AI take.</x:v>
      </x:c>
      <x:c r="E12" s="138"/>
      <x:c r="F12" s="138" t="str">
        <x:v>01 Buckets C01–C12; prior consumer model and BEA consumer tech spending base. The 1% wallet shift is a SCENARIO, not vendor revenue.</x:v>
      </x:c>
      <x:c r="G12" s="138"/>
      <x:c r="H12" s="138" t="str">
        <x:v>Consumer TAM has payer and value-chain layers (hardware / software / compute). Avoid counting a purchase + embedded model fee as both final customer revenues.</x:v>
      </x:c>
      <x:c r="I12" s="138"/>
      <x:c r="J12" s="145" t="str">
        <x:v>Size B2C</x:v>
      </x:c>
    </x:row>
    <x:row r="13" ht="86" customHeight="1">
      <x:c r="A13" s="142" t="str">
        <x:v>APPENDIX</x:v>
      </x:c>
      <x:c r="B13" s="133" t="str">
        <x:v>Labor-supply fork</x:v>
      </x:c>
      <x:c r="C13" s="133"/>
      <x:c r="D13" s="132" t="str">
        <x:v>Line chart: 2015–25 employment-trend extrapolation vs 2025–35 BLS projected path; shade 2030 gap; add employed workers × sector wages in footer.</x:v>
      </x:c>
      <x:c r="E13" s="132"/>
      <x:c r="F13" s="132" t="str">
        <x:v>Existing BLS labor-gap work and global gap already calculated. US wage gap approx $586bn prior model, not new research.</x:v>
      </x:c>
      <x:c r="G13" s="132"/>
      <x:c r="H13" s="132" t="str">
        <x:v>Historical-growth counterfactual shows WHY missing labor could create demand; not all employment gap is AI-caused or economically fillable.</x:v>
      </x:c>
      <x:c r="I13" s="132"/>
      <x:c r="J13" s="143" t="str">
        <x:v>Link only</x:v>
      </x:c>
    </x:row>
    <x:row r="14" ht="86" customHeight="1">
      <x:c r="A14" s="144" t="str">
        <x:v>APPENDIX</x:v>
      </x:c>
      <x:c r="B14" s="139" t="str">
        <x:v>2032 GDP macro check</x:v>
      </x:c>
      <x:c r="C14" s="139"/>
      <x:c r="D14" s="138" t="str">
        <x:v>Two 2032 GDP LEVEL lines, baseline vs +1.0/+1.5 pp annual growth; shade the 2032 VERTICAL GDP difference ($9tn user-reported at +1pp).</x:v>
      </x:c>
      <x:c r="E14" s="138"/>
      <x:c r="F14" s="138" t="str">
        <x:v>Football Field C77:C79; original separate GDP workbook; +1.5pp is unlinked. Must match GLOBAL 2032 nominal dollars.</x:v>
      </x:c>
      <x:c r="G14" s="138"/>
      <x:c r="H14" s="138" t="str">
        <x:v>Independent TOP-DOWN output scenario validates order of magnitude, not new additive AI vendor revenues; 2032 ≠ 2030 and global ≠ ex-China.</x:v>
      </x:c>
      <x:c r="I14" s="138"/>
      <x:c r="J14" s="145" t="str">
        <x:v>Separate panel</x:v>
      </x:c>
    </x:row>
    <x:row r="15" ht="86" customHeight="1">
      <x:c r="A15" s="138" t="str">
        <x:v>OPTION 7</x:v>
      </x:c>
      <x:c r="B15" s="139" t="str">
        <x:v>Reverse the revenue hurdle</x:v>
      </x:c>
      <x:c r="C15" s="139"/>
      <x:c r="D15" s="138" t="str">
        <x:v>Start from required annual AI revenue (low/base/high); deduct independently monetized enterprise, consumer and APPROVED B2B; remaining gap becomes an explicit 'required new-use-case revenue' or fee per added paying seat.</x:v>
      </x:c>
      <x:c r="E15" s="138"/>
      <x:c r="F15" s="138" t="str">
        <x:v>'02 Football Field'!C15 and C17:C19 are placeholders with unmatched scope. Need fully matched 2030 vendor-revenue definition before setting size.</x:v>
      </x:c>
      <x:c r="G15" s="138"/>
      <x:c r="H15" s="138" t="str">
        <x:v>Readers see HOW MUCH additional monetization must emerge, rather than getting distracted by unlimited TAMs. A negative residual implies modeled surplus.</x:v>
      </x:c>
      <x:c r="I15" s="138"/>
      <x:c r="J15" s="138" t="str">
        <x:v>Gap-to-go</x:v>
      </x:c>
    </x:row>
    <x:row r="16" ht="86" customHeight="1">
      <x:c r="A16" s="132" t="str">
        <x:v>OPTION 8</x:v>
      </x:c>
      <x:c r="B16" s="133" t="str">
        <x:v>$100 incumbent contract: migration map</x:v>
      </x:c>
      <x:c r="C16" s="133"/>
      <x:c r="D16" s="132" t="str">
        <x:v>Sankey-like process: existing purchased-service invoice → supplier labor, nonlabor cost, margin → buyer savings, AI vendor fee, incumbent retained income. Illustrate exactly ONE $100 contract.</x:v>
      </x:c>
      <x:c r="E16" s="132"/>
      <x:c r="F16" s="132" t="str">
        <x:v>'01 Buckets' selected Software / Legal / Ads industry bases and margins. Need input–output / cost split; illustrations only until sources validated.</x:v>
      </x:c>
      <x:c r="G16" s="132"/>
      <x:c r="H16" s="132" t="str">
        <x:v>Explains B2B PROFIT TRANSFER without counting gross incumbent sales PLUS displaced labor PLUS new vendor revenue. This is a value RE-ALLOCATION diagram, not an additive market bar.</x:v>
      </x:c>
      <x:c r="I16" s="132"/>
      <x:c r="J16" s="132" t="str">
        <x:v>Value flow</x:v>
      </x:c>
    </x:row>
    <x:row r="17" ht="26" customHeight="1">
      <x:c r="A17" s="126" t="str">
        <x:v>02  |  SEQUENCE &amp; VISUAL GRAMMAR  —  BUILD UP THE STORY WITHOUT ADDING NON-ADDITIVE TAMS</x:v>
      </x:c>
      <x:c r="B17" s="126"/>
      <x:c r="C17" s="126"/>
      <x:c r="D17" s="126"/>
      <x:c r="E17" s="126"/>
      <x:c r="F17" s="126"/>
      <x:c r="G17" s="126"/>
      <x:c r="H17" s="126"/>
      <x:c r="I17" s="126"/>
      <x:c r="J17" s="126"/>
    </x:row>
    <x:row r="18" ht="38" customHeight="1">
      <x:c r="A18" s="134" t="str">
        <x:v>1</x:v>
      </x:c>
      <x:c r="B18" s="132" t="str">
        <x:v>RECOMMENDED RUN OF SHOW  |  1. Investment hurdle  →  2. Labor demand / value conversion  →  3. Revenue waterfall + dashed required-revenue band  →  4. Seat break-even. Use B2B and B2C breakouts as supporting sidebars.</x:v>
      </x:c>
      <x:c r="C18" s="132"/>
      <x:c r="D18" s="132"/>
      <x:c r="E18" s="132"/>
      <x:c r="F18" s="132"/>
      <x:c r="G18" s="132"/>
      <x:c r="H18" s="132"/>
      <x:c r="I18" s="132"/>
      <x:c r="J18" s="132"/>
    </x:row>
    <x:row r="19" ht="38" customHeight="1">
      <x:c r="A19" s="149" t="str">
        <x:v>2</x:v>
      </x:c>
      <x:c r="B19" s="148" t="str">
        <x:v>USE TWO VISUAL LAYERS  |  TOP = economic rationale / non-additive TAM (workers, wages, supplier profits, consumer spend). BOTTOM = annual AI vendor revenue you could actually invoice. Lines connect channels but $ do not automatically add.</x:v>
      </x:c>
      <x:c r="C19" s="148"/>
      <x:c r="D19" s="148"/>
      <x:c r="E19" s="148"/>
      <x:c r="F19" s="148"/>
      <x:c r="G19" s="148"/>
      <x:c r="H19" s="148"/>
      <x:c r="I19" s="148"/>
      <x:c r="J19" s="148"/>
    </x:row>
    <x:row r="20" ht="38" customHeight="1">
      <x:c r="A20" s="134" t="str">
        <x:v>3</x:v>
      </x:c>
      <x:c r="B20" s="132" t="str">
        <x:v>SHOW UNCERTAINTY HONESTLY  |  Solid bars = source-backed / modelled flows. Pale hatched or outlined bars = scenario with missing TAM / overlap checks. Low-high bands = sensitivities, not forecast confidence intervals.</x:v>
      </x:c>
      <x:c r="C20" s="132"/>
      <x:c r="D20" s="132"/>
      <x:c r="E20" s="132"/>
      <x:c r="F20" s="132"/>
      <x:c r="G20" s="132"/>
      <x:c r="H20" s="132"/>
      <x:c r="I20" s="132"/>
      <x:c r="J20" s="132"/>
    </x:row>
    <x:row r="21" ht="38" customHeight="1">
      <x:c r="A21" s="149" t="str">
        <x:v>4</x:v>
      </x:c>
      <x:c r="B21" s="148" t="str">
        <x:v>GEOGRAPHY IS ESSENTIAL  |  Current enterprise wage-capture values can be Global ex-China, while Census B2B / BEA B2C bases are U.S.-only. Do NOT add regional components or compare with global CapEx hurdle until matched.</x:v>
      </x:c>
      <x:c r="C21" s="148"/>
      <x:c r="D21" s="148"/>
      <x:c r="E21" s="148"/>
      <x:c r="F21" s="148"/>
      <x:c r="G21" s="148"/>
      <x:c r="H21" s="148"/>
      <x:c r="I21" s="148"/>
      <x:c r="J21" s="148"/>
    </x:row>
    <x:row r="22" ht="38" customHeight="1">
      <x:c r="A22" s="134" t="str">
        <x:v>5</x:v>
      </x:c>
      <x:c r="B22" s="132" t="str">
        <x:v>DON'T SUM ALTERNATIVES  |  Wage productivity × capture and paying seats × price are TWO enterprise estimates, not independent revenues; 2032 global GDP increment is a macro output cross-check, never a waterfall contribution.</x:v>
      </x:c>
      <x:c r="C22" s="132"/>
      <x:c r="D22" s="132"/>
      <x:c r="E22" s="132"/>
      <x:c r="F22" s="132"/>
      <x:c r="G22" s="132"/>
      <x:c r="H22" s="132"/>
      <x:c r="I22" s="132"/>
      <x:c r="J22" s="132"/>
    </x:row>
    <x:row r="23" ht="38" customHeight="1">
      <x:c r="A23" s="149" t="str">
        <x:v>6</x:v>
      </x:c>
      <x:c r="B23" s="148" t="str">
        <x:v>MOST CREATIVE ALT  |  Build the staircase as THREE LANES: A: visible consumer+enterprise bills; B: service-provider profit at risk (net incremental, provisional); C: frontier opportunities (high variance). A thin line at top marks the annual hurdle.</x:v>
      </x:c>
      <x:c r="C23" s="148"/>
      <x:c r="D23" s="148"/>
      <x:c r="E23" s="148"/>
      <x:c r="F23" s="148"/>
      <x:c r="G23" s="148"/>
      <x:c r="H23" s="148"/>
      <x:c r="I23" s="148"/>
      <x:c r="J23" s="148"/>
    </x:row>
    <x:row r="24" ht="20" customHeight="1">
      <x:c r="A24" s="119"/>
      <x:c r="B24" s="119"/>
      <x:c r="C24" s="119"/>
      <x:c r="D24" s="119"/>
      <x:c r="E24" s="119"/>
      <x:c r="F24" s="119"/>
      <x:c r="G24" s="119"/>
      <x:c r="H24" s="119"/>
      <x:c r="I24" s="119"/>
      <x:c r="J24" s="119"/>
    </x:row>
    <x:row r="25" ht="20" customHeight="1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/>
    </x:row>
    <x:row r="26" ht="27" customHeight="1">
      <x:c r="A26" s="126" t="str">
        <x:v>03  |  DYNAMIC WIREFRAMES  —  LINKED TO PRIOR MODELS; PROTOTYPES, NOT PUBLICATION-READY FORECASTS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</x:row>
    <x:row r="27" ht="26" customHeight="1">
      <x:c r="A27" s="152" t="str">
        <x:v>Blue = reported/prior-model input  •  Green = selected or formula-linked  •  Grey = OPTIONAL / overlap unresolved  •  US revenue &amp; illustrative hurdle are NOT geographically matched.</x:v>
      </x:c>
      <x:c r="B27" s="152"/>
      <x:c r="C27" s="152"/>
      <x:c r="D27" s="152"/>
      <x:c r="E27" s="152"/>
      <x:c r="F27" s="152"/>
      <x:c r="G27" s="152"/>
      <x:c r="H27" s="152"/>
      <x:c r="I27" s="152"/>
      <x:c r="J27" s="152"/>
    </x:row>
    <x:row r="28" ht="20" customHeight="1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/>
    </x:row>
    <x:row r="29" ht="27" customHeight="1">
      <x:c r="A29" s="161" t="str">
        <x:v>PROTOTYPES 01–02  |  WAGE EXPOSURE → CAPTURE (LEFT)  |  REVENUE STAIRCASE (RIGHT)</x:v>
      </x:c>
      <x:c r="B29" s="161"/>
      <x:c r="C29" s="161"/>
      <x:c r="D29" s="161"/>
      <x:c r="E29" s="161"/>
      <x:c r="F29" s="161"/>
      <x:c r="G29" s="161"/>
      <x:c r="H29" s="161"/>
      <x:c r="I29" s="161"/>
      <x:c r="J29" s="161"/>
    </x:row>
    <x:row r="30" ht="20" customHeight="1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/>
    </x:row>
    <x:row r="31" ht="20" customHeight="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/>
    </x:row>
    <x:row r="32" ht="20" customHeight="1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/>
    </x:row>
    <x:row r="33" ht="20" customHeight="1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/>
    </x:row>
    <x:row r="34" ht="20" customHeight="1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/>
    </x:row>
    <x:row r="35" ht="20" customHeight="1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/>
    </x:row>
    <x:row r="36" ht="20" customHeight="1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/>
    </x:row>
    <x:row r="37" ht="20" customHeight="1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/>
    </x:row>
    <x:row r="38" ht="20" customHeight="1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/>
    </x:row>
    <x:row r="39" ht="20" customHeight="1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/>
    </x:row>
    <x:row r="40" ht="20" customHeight="1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/>
    </x:row>
    <x:row r="41" ht="20" customHeight="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</x:row>
    <x:row r="42" ht="20" customHeight="1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</x:row>
    <x:row r="43" ht="20" customHeight="1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</x:row>
    <x:row r="44" ht="20" customHeight="1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/>
    </x:row>
    <x:row r="45" ht="20" customHeight="1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</x:row>
    <x:row r="46" ht="20" customHeight="1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/>
    </x:row>
    <x:row r="47" ht="20" customHeight="1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/>
    </x:row>
    <x:row r="48" ht="20" customHeight="1">
      <x:c r="A48" s="119"/>
      <x:c r="B48" s="119"/>
      <x:c r="C48" s="119"/>
      <x:c r="D48" s="119"/>
      <x:c r="E48" s="119"/>
      <x:c r="F48" s="119"/>
      <x:c r="G48" s="119"/>
      <x:c r="H48" s="119"/>
      <x:c r="I48" s="119"/>
      <x:c r="J48" s="119"/>
    </x:row>
    <x:row r="49" ht="20" customHeight="1">
      <x:c r="A49" s="119"/>
      <x:c r="B49" s="119"/>
      <x:c r="C49" s="119"/>
      <x:c r="D49" s="119"/>
      <x:c r="E49" s="119"/>
      <x:c r="F49" s="119"/>
      <x:c r="G49" s="119"/>
      <x:c r="H49" s="119"/>
      <x:c r="I49" s="119"/>
      <x:c r="J49" s="119"/>
    </x:row>
    <x:row r="50" ht="20" customHeight="1">
      <x:c r="A50" s="119"/>
      <x:c r="B50" s="119"/>
      <x:c r="C50" s="119"/>
      <x:c r="D50" s="119"/>
      <x:c r="E50" s="119"/>
      <x:c r="F50" s="119"/>
      <x:c r="G50" s="119"/>
      <x:c r="H50" s="119"/>
      <x:c r="I50" s="119"/>
      <x:c r="J50" s="119"/>
    </x:row>
    <x:row r="51" ht="20" customHeight="1">
      <x:c r="A51" s="119"/>
      <x:c r="B51" s="119"/>
      <x:c r="C51" s="119"/>
      <x:c r="D51" s="119"/>
      <x:c r="E51" s="119"/>
      <x:c r="F51" s="119"/>
      <x:c r="G51" s="119"/>
      <x:c r="H51" s="119"/>
      <x:c r="I51" s="119"/>
      <x:c r="J51" s="119"/>
    </x:row>
    <x:row r="52" ht="20" customHeight="1">
      <x:c r="A52" s="119"/>
      <x:c r="B52" s="119"/>
      <x:c r="C52" s="119"/>
      <x:c r="D52" s="119"/>
      <x:c r="E52" s="119"/>
      <x:c r="F52" s="119"/>
      <x:c r="G52" s="119"/>
      <x:c r="H52" s="119"/>
      <x:c r="I52" s="119"/>
      <x:c r="J52" s="119"/>
    </x:row>
    <x:row r="53" ht="20" customHeight="1">
      <x:c r="A53" s="119"/>
      <x:c r="B53" s="119"/>
      <x:c r="C53" s="119"/>
      <x:c r="D53" s="119"/>
      <x:c r="E53" s="119"/>
      <x:c r="F53" s="119"/>
      <x:c r="G53" s="119"/>
      <x:c r="H53" s="119"/>
      <x:c r="I53" s="119"/>
      <x:c r="J53" s="119"/>
    </x:row>
    <x:row r="54" ht="20" customHeight="1">
      <x:c r="A54" s="119"/>
      <x:c r="B54" s="119"/>
      <x:c r="C54" s="119"/>
      <x:c r="D54" s="119"/>
      <x:c r="E54" s="119"/>
      <x:c r="F54" s="119"/>
      <x:c r="G54" s="119"/>
      <x:c r="H54" s="119"/>
      <x:c r="I54" s="119"/>
      <x:c r="J54" s="119"/>
    </x:row>
    <x:row r="55" ht="20" customHeight="1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</x:row>
    <x:row r="56" ht="27" customHeight="1">
      <x:c r="A56" s="161" t="str">
        <x:v>PROTOTYPES 03–04  |  B2B SUPPLIER PROFIT SCREEN (LEFT)  |  PRICE-PER-SEAT FRONTIER (RIGHT)</x:v>
      </x:c>
      <x:c r="B56" s="161"/>
      <x:c r="C56" s="161"/>
      <x:c r="D56" s="161"/>
      <x:c r="E56" s="161"/>
      <x:c r="F56" s="161"/>
      <x:c r="G56" s="161"/>
      <x:c r="H56" s="161"/>
      <x:c r="I56" s="161"/>
      <x:c r="J56" s="161"/>
    </x:row>
    <x:row r="57" ht="20" customHeight="1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</x:row>
    <x:row r="58" ht="20" customHeight="1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</x:row>
    <x:row r="59" ht="20" customHeight="1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</x:row>
    <x:row r="60" ht="20" customHeight="1">
      <x:c r="A60" s="119"/>
      <x:c r="B60" s="119"/>
      <x:c r="C60" s="119"/>
      <x:c r="D60" s="119"/>
      <x:c r="E60" s="119"/>
      <x:c r="F60" s="163" t="str">
        <x:v>WIRE FRAME | Required fee per paying seat ($/month)</x:v>
      </x:c>
      <x:c r="G60" s="163"/>
      <x:c r="H60" s="163"/>
      <x:c r="I60" s="163"/>
      <x:c r="J60" s="163"/>
    </x:row>
    <x:row r="61" ht="20" customHeight="1">
      <x:c r="A61" s="119"/>
      <x:c r="B61" s="119"/>
      <x:c r="C61" s="119"/>
      <x:c r="D61" s="119"/>
      <x:c r="E61" s="119"/>
      <x:c r="F61" s="163"/>
      <x:c r="G61" s="163"/>
      <x:c r="H61" s="163"/>
      <x:c r="I61" s="163"/>
      <x:c r="J61" s="163"/>
    </x:row>
    <x:row r="62" ht="28" customHeight="1">
      <x:c r="A62" s="119"/>
      <x:c r="B62" s="119"/>
      <x:c r="C62" s="119"/>
      <x:c r="D62" s="119"/>
      <x:c r="E62" s="119"/>
      <x:c r="F62" s="166" t="str">
        <x:v>ILLUSTRATIVE $900bn annual hurdle; offset by other monetization ($bn/yr)</x:v>
      </x:c>
      <x:c r="G62" s="166"/>
      <x:c r="H62" s="166"/>
      <x:c r="I62" s="166"/>
      <x:c r="J62" s="166"/>
    </x:row>
    <x:row r="63" ht="20" customHeight="1">
      <x:c r="A63" s="119"/>
      <x:c r="B63" s="119"/>
      <x:c r="C63" s="119"/>
      <x:c r="D63" s="119"/>
      <x:c r="E63" s="119"/>
      <x:c r="F63" s="119"/>
      <x:c r="G63" s="119"/>
      <x:c r="H63" s="119"/>
      <x:c r="I63" s="119"/>
      <x:c r="J63" s="119"/>
    </x:row>
    <x:row r="64" ht="30" customHeight="1">
      <x:c r="A64" s="119"/>
      <x:c r="B64" s="119"/>
      <x:c r="C64" s="119"/>
      <x:c r="D64" s="119"/>
      <x:c r="E64" s="119"/>
      <x:c r="F64" s="119"/>
      <x:c r="G64" s="169" t="str">
        <x:v>Paying seats (M)</x:v>
      </x:c>
      <x:c r="H64" s="169" t="str">
        <x:v>$0bn offset</x:v>
      </x:c>
      <x:c r="I64" s="169" t="str">
        <x:v>$100bn offset</x:v>
      </x:c>
      <x:c r="J64" s="169" t="str">
        <x:v>$250bn offset</x:v>
      </x:c>
    </x:row>
    <x:row r="65" ht="29" customHeight="1">
      <x:c r="A65" s="119"/>
      <x:c r="B65" s="119"/>
      <x:c r="C65" s="119"/>
      <x:c r="D65" s="119"/>
      <x:c r="E65" s="119"/>
      <x:c r="F65" s="119"/>
      <x:c r="G65" s="171" t="n">
        <x:v>50</x:v>
      </x:c>
      <x:c r="H65" s="172" t="n">
        <x:f>MAX(0,('02 Football Field'!$C$18-0)*1000/($G65*12))</x:f>
        <x:v>1500</x:v>
      </x:c>
      <x:c r="I65" s="172" t="n">
        <x:f>MAX(0,('02 Football Field'!$C$18-100)*1000/($G65*12))</x:f>
        <x:v>1333.3333333333333</x:v>
      </x:c>
      <x:c r="J65" s="172" t="n">
        <x:f>MAX(0,('02 Football Field'!$C$18-250)*1000/($G65*12))</x:f>
        <x:v>1083.3333333333333</x:v>
      </x:c>
    </x:row>
    <x:row r="66" ht="29" customHeight="1">
      <x:c r="A66" s="119"/>
      <x:c r="B66" s="119"/>
      <x:c r="C66" s="119"/>
      <x:c r="D66" s="119"/>
      <x:c r="E66" s="119"/>
      <x:c r="F66" s="119"/>
      <x:c r="G66" s="171" t="n">
        <x:v>100</x:v>
      </x:c>
      <x:c r="H66" s="172" t="n">
        <x:f>MAX(0,('02 Football Field'!$C$18-0)*1000/($G66*12))</x:f>
        <x:v>750</x:v>
      </x:c>
      <x:c r="I66" s="172" t="n">
        <x:f>MAX(0,('02 Football Field'!$C$18-100)*1000/($G66*12))</x:f>
        <x:v>666.6666666666666</x:v>
      </x:c>
      <x:c r="J66" s="172" t="n">
        <x:f>MAX(0,('02 Football Field'!$C$18-250)*1000/($G66*12))</x:f>
        <x:v>541.6666666666666</x:v>
      </x:c>
    </x:row>
    <x:row r="67" ht="29" customHeight="1">
      <x:c r="A67" s="119"/>
      <x:c r="B67" s="119"/>
      <x:c r="C67" s="119"/>
      <x:c r="D67" s="119"/>
      <x:c r="E67" s="119"/>
      <x:c r="F67" s="119"/>
      <x:c r="G67" s="171" t="n">
        <x:v>200</x:v>
      </x:c>
      <x:c r="H67" s="172" t="n">
        <x:f>MAX(0,('02 Football Field'!$C$18-0)*1000/($G67*12))</x:f>
        <x:v>375</x:v>
      </x:c>
      <x:c r="I67" s="172" t="n">
        <x:f>MAX(0,('02 Football Field'!$C$18-100)*1000/($G67*12))</x:f>
        <x:v>333.3333333333333</x:v>
      </x:c>
      <x:c r="J67" s="172" t="n">
        <x:f>MAX(0,('02 Football Field'!$C$18-250)*1000/($G67*12))</x:f>
        <x:v>270.8333333333333</x:v>
      </x:c>
    </x:row>
    <x:row r="68" ht="29" customHeight="1">
      <x:c r="A68" s="119"/>
      <x:c r="B68" s="119"/>
      <x:c r="C68" s="119"/>
      <x:c r="D68" s="119"/>
      <x:c r="E68" s="119"/>
      <x:c r="F68" s="119"/>
      <x:c r="G68" s="171" t="n">
        <x:v>400</x:v>
      </x:c>
      <x:c r="H68" s="172" t="n">
        <x:f>MAX(0,('02 Football Field'!$C$18-0)*1000/($G68*12))</x:f>
        <x:v>187.5</x:v>
      </x:c>
      <x:c r="I68" s="172" t="n">
        <x:f>MAX(0,('02 Football Field'!$C$18-100)*1000/($G68*12))</x:f>
        <x:v>166.66666666666666</x:v>
      </x:c>
      <x:c r="J68" s="172" t="n">
        <x:f>MAX(0,('02 Football Field'!$C$18-250)*1000/($G68*12))</x:f>
        <x:v>135.41666666666666</x:v>
      </x:c>
    </x:row>
    <x:row r="69" ht="29" customHeight="1">
      <x:c r="A69" s="119"/>
      <x:c r="B69" s="119"/>
      <x:c r="C69" s="119"/>
      <x:c r="D69" s="119"/>
      <x:c r="E69" s="119"/>
      <x:c r="F69" s="119"/>
      <x:c r="G69" s="171" t="n">
        <x:v>800</x:v>
      </x:c>
      <x:c r="H69" s="172" t="n">
        <x:f>MAX(0,('02 Football Field'!$C$18-0)*1000/($G69*12))</x:f>
        <x:v>93.75</x:v>
      </x:c>
      <x:c r="I69" s="172" t="n">
        <x:f>MAX(0,('02 Football Field'!$C$18-100)*1000/($G69*12))</x:f>
        <x:v>83.33333333333333</x:v>
      </x:c>
      <x:c r="J69" s="172" t="n">
        <x:f>MAX(0,('02 Football Field'!$C$18-250)*1000/($G69*12))</x:f>
        <x:v>67.70833333333333</x:v>
      </x:c>
    </x:row>
    <x:row r="70" ht="20" customHeight="1">
      <x:c r="A70" s="119"/>
      <x:c r="B70" s="119"/>
      <x:c r="C70" s="119"/>
      <x:c r="D70" s="119"/>
      <x:c r="E70" s="119"/>
      <x:c r="F70" s="119"/>
      <x:c r="G70" s="119"/>
      <x:c r="H70" s="119"/>
      <x:c r="I70" s="119"/>
      <x:c r="J70" s="119"/>
    </x:row>
    <x:row r="71" ht="26" customHeight="1">
      <x:c r="A71" s="119"/>
      <x:c r="B71" s="119"/>
      <x:c r="C71" s="119"/>
      <x:c r="D71" s="119"/>
      <x:c r="E71" s="119"/>
      <x:c r="F71" s="176" t="str">
        <x:v>ACCOUNTING NOTE  |  Change the $900bn placeholder to the matched 2030 ANNUAL revenue hurdle and replace seats with the corresponding payer population. Current sample numbers are only to DESIGN the Exhibit, not modeled prices.</x:v>
      </x:c>
      <x:c r="G71" s="176"/>
      <x:c r="H71" s="176"/>
      <x:c r="I71" s="176"/>
      <x:c r="J71" s="176"/>
    </x:row>
    <x:row r="72" ht="26" customHeight="1">
      <x:c r="A72" s="119"/>
      <x:c r="B72" s="119"/>
      <x:c r="C72" s="119"/>
      <x:c r="D72" s="119"/>
      <x:c r="E72" s="119"/>
      <x:c r="F72" s="176"/>
      <x:c r="G72" s="176"/>
      <x:c r="H72" s="176"/>
      <x:c r="I72" s="176"/>
      <x:c r="J72" s="176"/>
    </x:row>
    <x:row r="73" ht="26" customHeight="1">
      <x:c r="A73" s="119"/>
      <x:c r="B73" s="119"/>
      <x:c r="C73" s="119"/>
      <x:c r="D73" s="119"/>
      <x:c r="E73" s="119"/>
      <x:c r="F73" s="176"/>
      <x:c r="G73" s="176"/>
      <x:c r="H73" s="176"/>
      <x:c r="I73" s="176"/>
      <x:c r="J73" s="176"/>
    </x:row>
    <x:row r="74" ht="20" customHeight="1">
      <x:c r="A74" s="119"/>
      <x:c r="B74" s="119"/>
      <x:c r="C74" s="119"/>
      <x:c r="D74" s="119"/>
      <x:c r="E74" s="119"/>
      <x:c r="F74" s="119"/>
      <x:c r="G74" s="119"/>
      <x:c r="H74" s="119"/>
      <x:c r="I74" s="119"/>
      <x:c r="J74" s="119"/>
    </x:row>
    <x:row r="75" ht="28" customHeight="1">
      <x:c r="A75" s="119"/>
      <x:c r="B75" s="119"/>
      <x:c r="C75" s="119"/>
      <x:c r="D75" s="119"/>
      <x:c r="E75" s="119"/>
      <x:c r="F75" s="178" t="str">
        <x:v>Show BOTH the actual enterprise-only stress test (~$4,000 US / ~$200 broad global from previous discussion) and a more realistic bar after consumer / API offsets. Never describe them as predicted subscription prices.</x:v>
      </x:c>
      <x:c r="G75" s="178"/>
      <x:c r="H75" s="178"/>
      <x:c r="I75" s="178"/>
      <x:c r="J75" s="178"/>
    </x:row>
    <x:row r="76" ht="28" customHeight="1">
      <x:c r="A76" s="119"/>
      <x:c r="B76" s="119"/>
      <x:c r="C76" s="119"/>
      <x:c r="D76" s="119"/>
      <x:c r="E76" s="119"/>
      <x:c r="F76" s="178"/>
      <x:c r="G76" s="178"/>
      <x:c r="H76" s="178"/>
      <x:c r="I76" s="178"/>
      <x:c r="J76" s="178"/>
    </x:row>
    <x:row r="77" ht="20" customHeight="1">
      <x:c r="A77" s="119"/>
      <x:c r="B77" s="119"/>
      <x:c r="C77" s="119"/>
      <x:c r="D77" s="119"/>
      <x:c r="E77" s="119"/>
      <x:c r="F77" s="119"/>
      <x:c r="G77" s="119"/>
      <x:c r="H77" s="119"/>
      <x:c r="I77" s="119"/>
      <x:c r="J77" s="119"/>
    </x:row>
    <x:row r="78" ht="20" customHeight="1">
      <x:c r="A78" s="119"/>
      <x:c r="B78" s="119"/>
      <x:c r="C78" s="119"/>
      <x:c r="D78" s="119"/>
      <x:c r="E78" s="119"/>
      <x:c r="F78" s="119"/>
      <x:c r="G78" s="119"/>
      <x:c r="H78" s="119"/>
      <x:c r="I78" s="119"/>
      <x:c r="J78" s="119"/>
    </x:row>
    <x:row r="79" ht="20" customHeight="1">
      <x:c r="A79" s="119"/>
      <x:c r="B79" s="119"/>
      <x:c r="C79" s="119"/>
      <x:c r="D79" s="119"/>
      <x:c r="E79" s="119"/>
      <x:c r="F79" s="119"/>
      <x:c r="G79" s="119"/>
      <x:c r="H79" s="119"/>
      <x:c r="I79" s="119"/>
      <x:c r="J79" s="119"/>
    </x:row>
    <x:row r="80" ht="20" customHeight="1">
      <x:c r="A80" s="119"/>
      <x:c r="B80" s="119"/>
      <x:c r="C80" s="119"/>
      <x:c r="D80" s="119"/>
      <x:c r="E80" s="119"/>
      <x:c r="F80" s="119"/>
      <x:c r="G80" s="119"/>
      <x:c r="H80" s="119"/>
      <x:c r="I80" s="119"/>
      <x:c r="J80" s="119"/>
    </x:row>
    <x:row r="81" ht="20" customHeight="1">
      <x:c r="A81" s="119"/>
      <x:c r="B81" s="119"/>
      <x:c r="C81" s="119"/>
      <x:c r="D81" s="119"/>
      <x:c r="E81" s="119"/>
      <x:c r="F81" s="119"/>
      <x:c r="G81" s="119"/>
      <x:c r="H81" s="119"/>
      <x:c r="I81" s="119"/>
      <x:c r="J81" s="119"/>
    </x:row>
    <x:row r="82" ht="20" customHeight="1">
      <x:c r="A82" s="119"/>
      <x:c r="B82" s="119"/>
      <x:c r="C82" s="119"/>
      <x:c r="D82" s="119"/>
      <x:c r="E82" s="119"/>
      <x:c r="F82" s="119"/>
      <x:c r="G82" s="119"/>
      <x:c r="H82" s="119"/>
      <x:c r="I82" s="119"/>
      <x:c r="J82" s="119"/>
    </x:row>
    <x:row r="83" ht="20" customHeight="1">
      <x:c r="A83" s="119"/>
      <x:c r="B83" s="119"/>
      <x:c r="C83" s="119"/>
      <x:c r="D83" s="119"/>
      <x:c r="E83" s="119"/>
      <x:c r="F83" s="119"/>
      <x:c r="G83" s="119"/>
      <x:c r="H83" s="119"/>
      <x:c r="I83" s="119"/>
      <x:c r="J83" s="119"/>
    </x:row>
    <x:row r="84" ht="20" customHeight="1">
      <x:c r="A84" s="119"/>
      <x:c r="B84" s="119"/>
      <x:c r="C84" s="119"/>
      <x:c r="D84" s="119"/>
      <x:c r="E84" s="119"/>
      <x:c r="F84" s="119"/>
      <x:c r="G84" s="119"/>
      <x:c r="H84" s="119"/>
      <x:c r="I84" s="119"/>
      <x:c r="J84" s="119"/>
    </x:row>
    <x:row r="85" ht="20" customHeight="1">
      <x:c r="A85" s="119"/>
      <x:c r="B85" s="119"/>
      <x:c r="C85" s="119"/>
      <x:c r="D85" s="119"/>
      <x:c r="E85" s="119"/>
      <x:c r="F85" s="119"/>
      <x:c r="G85" s="119"/>
      <x:c r="H85" s="119"/>
      <x:c r="I85" s="119"/>
      <x:c r="J85" s="119"/>
    </x:row>
    <x:row r="86" ht="27" customHeight="1">
      <x:c r="A86" s="161" t="str">
        <x:v>CONCEPT CHECK  |  PRICING AND OPTIONAL B2B FLOWS ARE SCENARIOS, NOT AUDITED INCREMENTAL AI VENDOR REVENUE</x:v>
      </x:c>
      <x:c r="B86" s="161"/>
      <x:c r="C86" s="161"/>
      <x:c r="D86" s="161"/>
      <x:c r="E86" s="161"/>
      <x:c r="F86" s="161"/>
      <x:c r="G86" s="161"/>
      <x:c r="H86" s="161"/>
      <x:c r="I86" s="161"/>
      <x:c r="J86" s="161"/>
    </x:row>
    <x:row r="87" ht="20" customHeight="1">
      <x:c r="A87" s="119"/>
      <x:c r="B87" s="119"/>
      <x:c r="C87" s="119"/>
      <x:c r="D87" s="119"/>
      <x:c r="E87" s="119"/>
      <x:c r="F87" s="119"/>
      <x:c r="G87" s="119"/>
      <x:c r="H87" s="119"/>
      <x:c r="I87" s="119"/>
      <x:c r="J87" s="119"/>
    </x:row>
    <x:row r="88" ht="28" customHeight="1">
      <x:c r="A88" s="162" t="str">
        <x:v>DECISION | FOUR MAIN FIGURES: (1) INVESTMENT HURDLE  (2) VALUE CASCADE  (3) ANNUAL REVENUE STAIRCASE  (4) SEAT ECONOMICS</x:v>
      </x:c>
      <x:c r="B88" s="162"/>
      <x:c r="C88" s="162"/>
      <x:c r="D88" s="162"/>
      <x:c r="E88" s="162"/>
      <x:c r="F88" s="162"/>
      <x:c r="G88" s="162"/>
      <x:c r="H88" s="162"/>
      <x:c r="I88" s="162"/>
      <x:c r="J88" s="162"/>
    </x:row>
    <x:row r="89" ht="22" customHeight="1">
      <x:c r="A89" s="181" t="str">
        <x:v>B2B PROFIT MIGRATION, CONSUMER WALLET SHIFTS, BLS LABOR FORK, and 2032 GDP LEVEL UPLIFT are good SIDE EXHIBITS / APPENDIX. The macro GDP gap is an independent level-of-output sensitivity and must NEVER be stacked as an AI vendor revenue category.</x:v>
      </x:c>
      <x:c r="B89" s="181"/>
      <x:c r="C89" s="181"/>
      <x:c r="D89" s="181"/>
      <x:c r="E89" s="181"/>
      <x:c r="F89" s="181"/>
      <x:c r="G89" s="181"/>
      <x:c r="H89" s="181"/>
      <x:c r="I89" s="181"/>
      <x:c r="J89" s="181"/>
    </x:row>
    <x:row r="90" ht="22" customHeight="1">
      <x:c r="A90" s="181"/>
      <x:c r="B90" s="181"/>
      <x:c r="C90" s="181"/>
      <x:c r="D90" s="181"/>
      <x:c r="E90" s="181"/>
      <x:c r="F90" s="181"/>
      <x:c r="G90" s="181"/>
      <x:c r="H90" s="181"/>
      <x:c r="I90" s="181"/>
      <x:c r="J90" s="181"/>
    </x:row>
    <x:row r="91" ht="20" customHeight="1">
      <x:c r="A91" s="119"/>
      <x:c r="B91" s="119"/>
      <x:c r="C91" s="119"/>
      <x:c r="D91" s="119"/>
      <x:c r="E91" s="119"/>
      <x:c r="F91" s="119"/>
      <x:c r="G91" s="119"/>
      <x:c r="H91" s="119"/>
      <x:c r="I91" s="119"/>
      <x:c r="J91" s="119"/>
    </x:row>
    <x:row r="92" ht="22" customHeight="1">
      <x:c r="A92" s="119"/>
      <x:c r="B92" s="119"/>
      <x:c r="C92" s="119"/>
      <x:c r="D92" s="119"/>
      <x:c r="E92" s="119"/>
      <x:c r="F92" s="119"/>
      <x:c r="G92" s="119"/>
      <x:c r="H92" s="119"/>
      <x:c r="I92" s="119"/>
      <x:c r="J92" s="119"/>
    </x:row>
    <x:row r="93" ht="22" customHeight="1">
      <x:c r="A93" s="119"/>
      <x:c r="B93" s="119"/>
      <x:c r="C93" s="119"/>
      <x:c r="D93" s="119"/>
      <x:c r="E93" s="119"/>
      <x:c r="F93" s="119"/>
      <x:c r="G93" s="119"/>
      <x:c r="H93" s="119"/>
      <x:c r="I93" s="119"/>
      <x:c r="J93" s="119"/>
    </x:row>
    <x:row r="94" ht="22" customHeight="1">
      <x:c r="A94" s="119"/>
      <x:c r="B94" s="119"/>
      <x:c r="C94" s="119"/>
      <x:c r="D94" s="119"/>
      <x:c r="E94" s="119"/>
      <x:c r="F94" s="119"/>
      <x:c r="G94" s="119"/>
      <x:c r="H94" s="119"/>
      <x:c r="I94" s="119"/>
      <x:c r="J94" s="119"/>
    </x:row>
    <x:row r="95" ht="20" customHeight="1">
      <x:c r="A95" s="119"/>
      <x:c r="B95" s="119"/>
      <x:c r="C95" s="119"/>
      <x:c r="D95" s="119"/>
      <x:c r="E95" s="119"/>
      <x:c r="F95" s="119"/>
      <x:c r="G95" s="119"/>
      <x:c r="H95" s="119"/>
      <x:c r="I95" s="119"/>
      <x:c r="J95" s="119"/>
    </x:row>
    <x:row r="96" ht="20" customHeight="1">
      <x:c r="A96" s="119"/>
      <x:c r="B96" s="119"/>
      <x:c r="C96" s="119"/>
      <x:c r="D96" s="119"/>
      <x:c r="E96" s="119"/>
      <x:c r="F96" s="119"/>
      <x:c r="G96" s="119"/>
      <x:c r="H96" s="119"/>
      <x:c r="I96" s="119"/>
      <x:c r="J96" s="119"/>
    </x:row>
    <x:row r="97" ht="20" customHeight="1">
      <x:c r="A97" s="119"/>
      <x:c r="B97" s="119"/>
      <x:c r="C97" s="119"/>
      <x:c r="D97" s="119"/>
      <x:c r="E97" s="119"/>
      <x:c r="F97" s="119"/>
      <x:c r="G97" s="119"/>
      <x:c r="H97" s="119"/>
      <x:c r="I97" s="119"/>
      <x:c r="J97" s="119"/>
    </x:row>
    <x:row r="98" ht="20" customHeight="1">
      <x:c r="A98" s="119"/>
      <x:c r="B98" s="119"/>
      <x:c r="C98" s="119"/>
      <x:c r="D98" s="119"/>
      <x:c r="E98" s="119"/>
      <x:c r="F98" s="119"/>
      <x:c r="G98" s="119"/>
      <x:c r="H98" s="119"/>
      <x:c r="I98" s="119"/>
      <x:c r="J98" s="119"/>
    </x:row>
    <x:row r="99" ht="20" customHeight="1">
      <x:c r="A99" s="119"/>
      <x:c r="B99" s="119"/>
      <x:c r="C99" s="119"/>
      <x:c r="D99" s="119"/>
      <x:c r="E99" s="119"/>
      <x:c r="F99" s="119"/>
      <x:c r="G99" s="119"/>
      <x:c r="H99" s="119"/>
      <x:c r="I99" s="119"/>
      <x:c r="J99" s="119"/>
    </x:row>
    <x:row r="100" ht="25" customHeight="1">
      <x:c r="A100" s="126" t="str">
        <x:v>04  |  CHART SOURCE TABLES  —  THE NATIVE CHARTS ABOVE UPDATE WHEN PRIOR SHEETS CHANGE</x:v>
      </x:c>
      <x:c r="B100" s="126"/>
      <x:c r="C100" s="126"/>
      <x:c r="D100" s="126"/>
      <x:c r="E100" s="126"/>
      <x:c r="F100" s="126"/>
      <x:c r="G100" s="126"/>
      <x:c r="H100" s="126"/>
      <x:c r="I100" s="126"/>
      <x:c r="J100" s="126"/>
    </x:row>
    <x:row r="101" ht="24" customHeight="1">
      <x:c r="A101" s="154" t="str">
        <x:v>SECTION</x:v>
      </x:c>
      <x:c r="B101" s="154" t="str">
        <x:v>ITEM / STAGE</x:v>
      </x:c>
      <x:c r="C101" s="154" t="str">
        <x:v>US figure</x:v>
      </x:c>
      <x:c r="D101" s="154" t="str">
        <x:v>Global ex-CN</x:v>
      </x:c>
      <x:c r="E101" s="154" t="str">
        <x:v>SELECTED US</x:v>
      </x:c>
      <x:c r="F101" s="154" t="str">
        <x:v>OPTIONAL US</x:v>
      </x:c>
      <x:c r="G101" s="154" t="str">
        <x:v>INCLUSION NOTE</x:v>
      </x:c>
      <x:c r="H101" s="154" t="str">
        <x:v>SOURCE / EXISTING SHEET</x:v>
      </x:c>
      <x:c r="I101" s="154" t="str">
        <x:v>STATUS</x:v>
      </x:c>
      <x:c r="J101" s="154" t="str">
        <x:v>$bn unless specified</x:v>
      </x:c>
    </x:row>
    <x:row r="102" ht="20" customHeight="1">
      <x:c r="A102" s="119"/>
      <x:c r="B102" s="119"/>
      <x:c r="C102" s="119"/>
      <x:c r="D102" s="119"/>
      <x:c r="E102" s="119"/>
      <x:c r="F102" s="119"/>
      <x:c r="G102" s="119"/>
      <x:c r="H102" s="119"/>
      <x:c r="I102" s="119"/>
      <x:c r="J102" s="119"/>
    </x:row>
    <x:row r="103" ht="20" customHeight="1">
      <x:c r="A103" s="156" t="str">
        <x:v>FUNNEL</x:v>
      </x:c>
      <x:c r="B103" s="156" t="str">
        <x:v>Stage</x:v>
      </x:c>
      <x:c r="C103" s="156" t="str">
        <x:v>Per $100 exposed wages</x:v>
      </x:c>
      <x:c r="D103" s="156"/>
      <x:c r="E103" s="156"/>
      <x:c r="F103" s="156"/>
      <x:c r="G103" s="156"/>
      <x:c r="H103" s="182" t="str">
        <x:v>SOURCE / BASIS</x:v>
      </x:c>
      <x:c r="I103" s="182" t="str">
        <x:v>STATUS</x:v>
      </x:c>
      <x:c r="J103" s="182" t="str">
        <x:v>UNIT</x:v>
      </x:c>
    </x:row>
    <x:row r="104" ht="27" customHeight="1">
      <x:c r="A104" s="119"/>
      <x:c r="B104" s="119" t="str">
        <x:v>Technically exposed wage pool</x:v>
      </x:c>
      <x:c r="C104" s="157" t="n">
        <x:f>100</x:f>
        <x:v>100</x:v>
      </x:c>
      <x:c r="D104" s="157"/>
      <x:c r="E104" s="157"/>
      <x:c r="F104" s="119"/>
      <x:c r="G104" s="119"/>
      <x:c r="H104" s="183" t="str">
        <x:v>'02 Football Field'!C7</x:v>
      </x:c>
      <x:c r="I104" s="183" t="str">
        <x:v>PRIOR MODEL</x:v>
      </x:c>
      <x:c r="J104" s="183" t="str">
        <x:v>$100 norm.</x:v>
      </x:c>
    </x:row>
    <x:row r="105" ht="27" customHeight="1">
      <x:c r="A105" s="119"/>
      <x:c r="B105" s="119" t="str">
        <x:v>Economically viable</x:v>
      </x:c>
      <x:c r="C105" s="157" t="n">
        <x:f>C104*'01 Buckets'!K20</x:f>
        <x:v>23</x:v>
      </x:c>
      <x:c r="D105" s="157"/>
      <x:c r="E105" s="157"/>
      <x:c r="F105" s="119"/>
      <x:c r="G105" s="119"/>
      <x:c r="H105" s="183" t="str">
        <x:v>'01 Buckets'!K20</x:v>
      </x:c>
      <x:c r="I105" s="183" t="str">
        <x:v>PWBM BENCHMARK</x:v>
      </x:c>
      <x:c r="J105" s="183" t="str">
        <x:v>23% base</x:v>
      </x:c>
    </x:row>
    <x:row r="106" ht="27" customHeight="1">
      <x:c r="A106" s="119"/>
      <x:c r="B106" s="119" t="str">
        <x:v>Actually utilized (scenario)</x:v>
      </x:c>
      <x:c r="C106" s="157" t="n">
        <x:f>C105*'01 Buckets'!L20</x:f>
        <x:v>11.5</x:v>
      </x:c>
      <x:c r="D106" s="157"/>
      <x:c r="E106" s="157"/>
      <x:c r="F106" s="119"/>
      <x:c r="G106" s="119"/>
      <x:c r="H106" s="183" t="str">
        <x:v>'01 Buckets'!L20</x:v>
      </x:c>
      <x:c r="I106" s="183" t="str">
        <x:v>ILLUSTRATIVE</x:v>
      </x:c>
      <x:c r="J106" s="183" t="str">
        <x:v>50% util.</x:v>
      </x:c>
    </x:row>
    <x:row r="107" ht="27" customHeight="1">
      <x:c r="A107" s="119"/>
      <x:c r="B107" s="119" t="str">
        <x:v>Potential task cost saving</x:v>
      </x:c>
      <x:c r="C107" s="157" t="n">
        <x:f>C106*'01 Buckets'!M20</x:f>
        <x:v>2.875</x:v>
      </x:c>
      <x:c r="D107" s="157"/>
      <x:c r="E107" s="157"/>
      <x:c r="F107" s="119"/>
      <x:c r="G107" s="119"/>
      <x:c r="H107" s="183" t="str">
        <x:v>'01 Buckets'!M20</x:v>
      </x:c>
      <x:c r="I107" s="183" t="str">
        <x:v>PWBM / ASSUMPTION</x:v>
      </x:c>
      <x:c r="J107" s="183" t="str">
        <x:v>25% savings</x:v>
      </x:c>
    </x:row>
    <x:row r="108" ht="27" customHeight="1">
      <x:c r="A108" s="119"/>
      <x:c r="B108" s="119" t="str">
        <x:v>Potential AI vendor capture</x:v>
      </x:c>
      <x:c r="C108" s="157" t="n">
        <x:f>C107*'01 Buckets'!N20</x:f>
        <x:v>1.4375</x:v>
      </x:c>
      <x:c r="D108" s="157"/>
      <x:c r="E108" s="157"/>
      <x:c r="F108" s="119"/>
      <x:c r="G108" s="119"/>
      <x:c r="H108" s="183" t="str">
        <x:v>'01 Buckets'!N20</x:v>
      </x:c>
      <x:c r="I108" s="183" t="str">
        <x:v>ILLUSTRATIVE</x:v>
      </x:c>
      <x:c r="J108" s="183" t="str">
        <x:v>50% capture</x:v>
      </x:c>
    </x:row>
    <x:row r="109" ht="20" customHeight="1">
      <x:c r="A109" s="119"/>
      <x:c r="B109" s="119"/>
      <x:c r="C109" s="157"/>
      <x:c r="D109" s="157"/>
      <x:c r="E109" s="157"/>
      <x:c r="F109" s="119"/>
      <x:c r="G109" s="119"/>
      <x:c r="H109" s="119"/>
      <x:c r="I109" s="119"/>
      <x:c r="J109" s="119"/>
    </x:row>
    <x:row r="110" ht="20" customHeight="1">
      <x:c r="A110" s="119"/>
      <x:c r="B110" s="119"/>
      <x:c r="C110" s="157"/>
      <x:c r="D110" s="157"/>
      <x:c r="E110" s="157"/>
      <x:c r="F110" s="119"/>
      <x:c r="G110" s="119"/>
      <x:c r="H110" s="119"/>
      <x:c r="I110" s="119"/>
      <x:c r="J110" s="119"/>
    </x:row>
    <x:row r="111" ht="20" customHeight="1">
      <x:c r="A111" s="119"/>
      <x:c r="B111" s="119"/>
      <x:c r="C111" s="157"/>
      <x:c r="D111" s="157"/>
      <x:c r="E111" s="157"/>
      <x:c r="F111" s="119"/>
      <x:c r="G111" s="119"/>
      <x:c r="H111" s="119"/>
      <x:c r="I111" s="119"/>
      <x:c r="J111" s="119"/>
    </x:row>
    <x:row r="112" ht="20" customHeight="1">
      <x:c r="A112" s="156" t="str">
        <x:v>STAIRCASE</x:v>
      </x:c>
      <x:c r="B112" s="156" t="str">
        <x:v>Stage</x:v>
      </x:c>
      <x:c r="C112" s="159" t="str">
        <x:v>Selected ($bn)</x:v>
      </x:c>
      <x:c r="D112" s="159" t="str">
        <x:v>Including unverified add-ons ($bn)</x:v>
      </x:c>
      <x:c r="E112" s="159" t="str">
        <x:v>Incremental optional ($bn)</x:v>
      </x:c>
      <x:c r="F112" s="156" t="str">
        <x:v>GEOGRAPHY / RISK</x:v>
      </x:c>
      <x:c r="G112" s="156" t="str"/>
      <x:c r="H112" s="156" t="str">
        <x:v>SOURCE</x:v>
      </x:c>
      <x:c r="I112" s="156" t="str"/>
      <x:c r="J112" s="156" t="str">
        <x:v>STATUS</x:v>
      </x:c>
    </x:row>
    <x:row r="113" ht="27" customHeight="1">
      <x:c r="A113" s="119"/>
      <x:c r="B113" s="119" t="str">
        <x:v>Enterprise labor model</x:v>
      </x:c>
      <x:c r="C113" s="157" t="n">
        <x:f>'02 Football Field'!C10</x:f>
        <x:v>76.1875</x:v>
      </x:c>
      <x:c r="D113" s="157" t="n">
        <x:f>'02 Football Field'!C10</x:f>
        <x:v>76.1875</x:v>
      </x:c>
      <x:c r="E113" s="157" t="n">
        <x:f>0</x:f>
        <x:v>0</x:v>
      </x:c>
      <x:c r="F113" s="119"/>
      <x:c r="G113" s="119" t="str">
        <x:v>U.S. pilot — vendor wages</x:v>
      </x:c>
      <x:c r="H113" s="119"/>
      <x:c r="I113" s="119" t="str">
        <x:v>Football Field C10</x:v>
      </x:c>
      <x:c r="J113" s="119" t="str">
        <x:v>SCENARIO</x:v>
      </x:c>
    </x:row>
    <x:row r="114" ht="27" customHeight="1">
      <x:c r="A114" s="119"/>
      <x:c r="B114" s="119" t="str">
        <x:v>Consumer direct subscription</x:v>
      </x:c>
      <x:c r="C114" s="157" t="n">
        <x:f>C113+'02 Football Field'!C13</x:f>
        <x:v>94.1875</x:v>
      </x:c>
      <x:c r="D114" s="157" t="n">
        <x:f>D113+'02 Football Field'!C13</x:f>
        <x:v>94.1875</x:v>
      </x:c>
      <x:c r="E114" s="157" t="n">
        <x:f>0</x:f>
        <x:v>0</x:v>
      </x:c>
      <x:c r="F114" s="119"/>
      <x:c r="G114" s="119" t="str">
        <x:v>U.S. consumer subs</x:v>
      </x:c>
      <x:c r="H114" s="119"/>
      <x:c r="I114" s="119" t="str">
        <x:v>Football Field C13</x:v>
      </x:c>
      <x:c r="J114" s="119" t="str">
        <x:v>ILLUSTRATIVE</x:v>
      </x:c>
    </x:row>
    <x:row r="115" ht="27" customHeight="1">
      <x:c r="A115" s="119"/>
      <x:c r="B115" s="119" t="str">
        <x:v>B2B supplier-profit candidate</x:v>
      </x:c>
      <x:c r="C115" s="157" t="n">
        <x:f>C114</x:f>
        <x:v>94.1875</x:v>
      </x:c>
      <x:c r="D115" s="157" t="n">
        <x:f>D114+'02 Football Field'!C12</x:f>
        <x:v>123.68551939943086</x:v>
      </x:c>
      <x:c r="E115" s="157" t="n">
        <x:f>'02 Football Field'!C12</x:f>
        <x:v>29.498019399430863</x:v>
      </x:c>
      <x:c r="F115" s="119"/>
      <x:c r="G115" s="119" t="str">
        <x:v>U.S. B2B profit risk</x:v>
      </x:c>
      <x:c r="H115" s="119"/>
      <x:c r="I115" s="119" t="str">
        <x:v>Football Field C12</x:v>
      </x:c>
      <x:c r="J115" s="119" t="str">
        <x:v>UNVERIFIED</x:v>
      </x:c>
    </x:row>
    <x:row r="116" ht="27" customHeight="1">
      <x:c r="A116" s="119"/>
      <x:c r="B116" s="119" t="str">
        <x:v>Consumer devices (not net-new proved)</x:v>
      </x:c>
      <x:c r="C116" s="157" t="n">
        <x:f>C115</x:f>
        <x:v>94.1875</x:v>
      </x:c>
      <x:c r="D116" s="157" t="n">
        <x:f>D115+'02 Football Field'!C14</x:f>
        <x:v>124.9247949775983</x:v>
      </x:c>
      <x:c r="E116" s="157" t="n">
        <x:f>'02 Football Field'!C14</x:f>
        <x:v>1.239275578167443</x:v>
      </x:c>
      <x:c r="F116" s="119"/>
      <x:c r="G116" s="119" t="str">
        <x:v>U.S. consumer devices</x:v>
      </x:c>
      <x:c r="H116" s="119"/>
      <x:c r="I116" s="119" t="str">
        <x:v>Football Field C14</x:v>
      </x:c>
      <x:c r="J116" s="119" t="str">
        <x:v>UNVERIFIED</x:v>
      </x:c>
    </x:row>
    <x:row r="117" ht="27" customHeight="1">
      <x:c r="A117" s="119"/>
      <x:c r="B117" s="119" t="str">
        <x:v>Missing labor — optional overlap risk</x:v>
      </x:c>
      <x:c r="C117" s="157" t="n">
        <x:f>C116</x:f>
        <x:v>94.1875</x:v>
      </x:c>
      <x:c r="D117" s="157" t="n">
        <x:f>D116+'01 Buckets'!P19</x:f>
        <x:v>220.1497949775983</x:v>
      </x:c>
      <x:c r="E117" s="157" t="n">
        <x:f>'01 Buckets'!P19</x:f>
        <x:v>95.22500000000001</x:v>
      </x:c>
      <x:c r="F117" s="119"/>
      <x:c r="G117" s="119" t="str">
        <x:v>U.S. missing labor gap</x:v>
      </x:c>
      <x:c r="H117" s="119"/>
      <x:c r="I117" s="119" t="str">
        <x:v>01 Buckets P19</x:v>
      </x:c>
      <x:c r="J117" s="119" t="str">
        <x:v>OVERLAP RISK</x:v>
      </x:c>
    </x:row>
    <x:row r="118" ht="20" customHeight="1">
      <x:c r="A118" s="119"/>
      <x:c r="B118" s="119"/>
      <x:c r="C118" s="157"/>
      <x:c r="D118" s="157"/>
      <x:c r="E118" s="157"/>
      <x:c r="F118" s="119"/>
      <x:c r="G118" s="119"/>
      <x:c r="H118" s="119"/>
      <x:c r="I118" s="119"/>
      <x:c r="J118" s="119"/>
    </x:row>
    <x:row r="119" ht="20" customHeight="1">
      <x:c r="A119" s="119"/>
      <x:c r="B119" s="119"/>
      <x:c r="C119" s="157"/>
      <x:c r="D119" s="157"/>
      <x:c r="E119" s="157"/>
      <x:c r="F119" s="119"/>
      <x:c r="G119" s="119"/>
      <x:c r="H119" s="119"/>
      <x:c r="I119" s="119"/>
      <x:c r="J119" s="119"/>
    </x:row>
    <x:row r="120" ht="20" customHeight="1">
      <x:c r="A120" s="119"/>
      <x:c r="B120" s="119"/>
      <x:c r="C120" s="157"/>
      <x:c r="D120" s="157"/>
      <x:c r="E120" s="157"/>
      <x:c r="F120" s="119"/>
      <x:c r="G120" s="119"/>
      <x:c r="H120" s="119"/>
      <x:c r="I120" s="119"/>
      <x:c r="J120" s="119"/>
    </x:row>
    <x:row r="121" ht="20" customHeight="1">
      <x:c r="A121" s="119"/>
      <x:c r="B121" s="119"/>
      <x:c r="C121" s="157"/>
      <x:c r="D121" s="157"/>
      <x:c r="E121" s="157"/>
      <x:c r="F121" s="119"/>
      <x:c r="G121" s="119"/>
      <x:c r="H121" s="119"/>
      <x:c r="I121" s="119"/>
      <x:c r="J121" s="119"/>
    </x:row>
    <x:row r="122" ht="20" customHeight="1">
      <x:c r="A122" s="156" t="str">
        <x:v>B2B</x:v>
      </x:c>
      <x:c r="B122" s="156" t="str">
        <x:v>Supplier industry</x:v>
      </x:c>
      <x:c r="C122" s="159" t="str">
        <x:v>Illustrative vendor capture ($bn/yr)</x:v>
      </x:c>
      <x:c r="D122" s="159"/>
      <x:c r="E122" s="159"/>
      <x:c r="F122" s="156"/>
      <x:c r="G122" s="156"/>
      <x:c r="H122" s="156"/>
      <x:c r="I122" s="156"/>
      <x:c r="J122" s="156"/>
    </x:row>
    <x:row r="123" ht="27" customHeight="1">
      <x:c r="A123" s="119"/>
      <x:c r="B123" s="119" t="str">
        <x:v>Software / SaaS</x:v>
      </x:c>
      <x:c r="C123" s="157" t="n">
        <x:f>'01 Buckets'!P24</x:f>
        <x:v>15.651151665122192</x:v>
      </x:c>
      <x:c r="D123" s="157"/>
      <x:c r="E123" s="157"/>
      <x:c r="F123" s="119"/>
      <x:c r="G123" s="119"/>
      <x:c r="H123" s="119"/>
      <x:c r="I123" s="119"/>
      <x:c r="J123" s="119"/>
    </x:row>
    <x:row r="124" ht="27" customHeight="1">
      <x:c r="A124" s="119"/>
      <x:c r="B124" s="119" t="str">
        <x:v>IT services</x:v>
      </x:c>
      <x:c r="C124" s="157" t="n">
        <x:f>'01 Buckets'!P25</x:f>
        <x:v>4.623100946035899</x:v>
      </x:c>
      <x:c r="D124" s="157"/>
      <x:c r="E124" s="157"/>
      <x:c r="F124" s="119"/>
      <x:c r="G124" s="119"/>
      <x:c r="H124" s="119"/>
      <x:c r="I124" s="119"/>
      <x:c r="J124" s="119"/>
    </x:row>
    <x:row r="125" ht="27" customHeight="1">
      <x:c r="A125" s="119"/>
      <x:c r="B125" s="119" t="str">
        <x:v>Legal services</x:v>
      </x:c>
      <x:c r="C125" s="157" t="n">
        <x:f>'01 Buckets'!P26</x:f>
        <x:v>4.811082844402011</x:v>
      </x:c>
      <x:c r="D125" s="157"/>
      <x:c r="E125" s="157"/>
      <x:c r="F125" s="119"/>
      <x:c r="G125" s="119"/>
      <x:c r="H125" s="119"/>
      <x:c r="I125" s="119"/>
      <x:c r="J125" s="119"/>
    </x:row>
    <x:row r="126" ht="27" customHeight="1">
      <x:c r="A126" s="119"/>
      <x:c r="B126" s="119" t="str">
        <x:v>Management consulting</x:v>
      </x:c>
      <x:c r="C126" s="157" t="n">
        <x:f>'01 Buckets'!P27</x:f>
        <x:v>3.682495470687924</x:v>
      </x:c>
      <x:c r="D126" s="157"/>
      <x:c r="E126" s="157"/>
      <x:c r="F126" s="119"/>
      <x:c r="G126" s="119"/>
      <x:c r="H126" s="119"/>
      <x:c r="I126" s="119"/>
      <x:c r="J126" s="119"/>
    </x:row>
    <x:row r="127" ht="27" customHeight="1">
      <x:c r="A127" s="119"/>
      <x:c r="B127" s="119" t="str">
        <x:v>Advertising agencies</x:v>
      </x:c>
      <x:c r="C127" s="157" t="n">
        <x:f>'01 Buckets'!P28</x:f>
        <x:v>0.7301884731828361</x:v>
      </x:c>
      <x:c r="D127" s="157"/>
      <x:c r="E127" s="157"/>
      <x:c r="F127" s="119"/>
      <x:c r="G127" s="119"/>
      <x:c r="H127" s="119"/>
      <x:c r="I127" s="119"/>
      <x:c r="J127" s="119"/>
    </x:row>
    <x:row r="128" ht="20" customHeight="1">
      <x:c r="A128" s="119"/>
      <x:c r="B128" s="119"/>
      <x:c r="C128" s="157"/>
      <x:c r="D128" s="157"/>
      <x:c r="E128" s="157"/>
      <x:c r="F128" s="119"/>
      <x:c r="G128" s="119"/>
      <x:c r="H128" s="119"/>
      <x:c r="I128" s="119"/>
      <x:c r="J128" s="119"/>
    </x:row>
    <x:row r="129" ht="20" customHeight="1">
      <x:c r="A129" s="119"/>
      <x:c r="B129" s="119"/>
      <x:c r="C129" s="157"/>
      <x:c r="D129" s="157"/>
      <x:c r="E129" s="157"/>
      <x:c r="F129" s="119"/>
      <x:c r="G129" s="119"/>
      <x:c r="H129" s="119"/>
      <x:c r="I129" s="119"/>
      <x:c r="J129" s="119"/>
    </x:row>
    <x:row r="130" ht="20" customHeight="1">
      <x:c r="A130" s="119"/>
      <x:c r="B130" s="119"/>
      <x:c r="C130" s="157"/>
      <x:c r="D130" s="157"/>
      <x:c r="E130" s="157"/>
      <x:c r="F130" s="119"/>
      <x:c r="G130" s="119"/>
      <x:c r="H130" s="119"/>
      <x:c r="I130" s="119"/>
      <x:c r="J130" s="119"/>
    </x:row>
    <x:row r="131" ht="23" customHeight="1">
      <x:c r="A131" s="119" t="str">
        <x:v>FACT</x:v>
      </x:c>
      <x:c r="B131" s="119" t="str">
        <x:v>U.S. missing labor wage value</x:v>
      </x:c>
      <x:c r="C131" s="157" t="n">
        <x:f>'02 Football Field'!C8</x:f>
        <x:v>586</x:v>
      </x:c>
      <x:c r="D131" s="157" t="str">
        <x:v>US</x:v>
      </x:c>
      <x:c r="E131" s="157" t="str"/>
      <x:c r="F131" s="119" t="str"/>
      <x:c r="G131" s="119" t="str">
        <x:v>Do not add without overlap reconciliation</x:v>
      </x:c>
      <x:c r="H131" s="119" t="str">
        <x:v>'02 Football Field'!C8</x:v>
      </x:c>
      <x:c r="I131" s="119" t="str">
        <x:v>USER PRIOR</x:v>
      </x:c>
      <x:c r="J131" s="119" t="str">
        <x:v>2030 wage gap</x:v>
      </x:c>
    </x:row>
    <x:row r="132" ht="23" customHeight="1">
      <x:c r="A132" s="119" t="str">
        <x:v>FACT</x:v>
      </x:c>
      <x:c r="B132" s="119" t="str">
        <x:v>U.S. exposed wages</x:v>
      </x:c>
      <x:c r="C132" s="157" t="n">
        <x:f>'02 Football Field'!C7</x:f>
        <x:v>5300</x:v>
      </x:c>
      <x:c r="D132" s="157" t="str">
        <x:v>US</x:v>
      </x:c>
      <x:c r="E132" s="157" t="str"/>
      <x:c r="F132" s="119" t="str"/>
      <x:c r="G132" s="119" t="str">
        <x:v>Wage exposure is NOT invoiced revenue</x:v>
      </x:c>
      <x:c r="H132" s="119" t="str">
        <x:v>'02 Football Field'!C7</x:v>
      </x:c>
      <x:c r="I132" s="119" t="str">
        <x:v>USER PRIOR</x:v>
      </x:c>
      <x:c r="J132" s="119" t="str">
        <x:v>2030</x:v>
      </x:c>
    </x:row>
    <x:row r="133" ht="23" customHeight="1">
      <x:c r="A133" s="119" t="str">
        <x:v>FACT</x:v>
      </x:c>
      <x:c r="B133" s="119" t="str">
        <x:v>Global ex-CN exposed wages</x:v>
      </x:c>
      <x:c r="C133" s="157" t="n">
        <x:f>'02 Football Field'!D7</x:f>
        <x:v>14000</x:v>
      </x:c>
      <x:c r="D133" s="157" t="str">
        <x:v>Global ex-CN</x:v>
      </x:c>
      <x:c r="E133" s="157" t="str"/>
      <x:c r="F133" s="119" t="str"/>
      <x:c r="G133" s="119" t="str">
        <x:v>Includes U.S.</x:v>
      </x:c>
      <x:c r="H133" s="119" t="str">
        <x:v>'02 Football Field'!D7</x:v>
      </x:c>
      <x:c r="I133" s="119" t="str">
        <x:v>USER PRIOR</x:v>
      </x:c>
      <x:c r="J133" s="119" t="str">
        <x:v>2030</x:v>
      </x:c>
    </x:row>
    <x:row r="134" ht="23" customHeight="1">
      <x:c r="A134" s="119" t="str">
        <x:v>MACRO</x:v>
      </x:c>
      <x:c r="B134" s="119" t="str">
        <x:v>2032 global GDP uplift 1pp growth</x:v>
      </x:c>
      <x:c r="C134" s="157" t="n">
        <x:f>'02 Football Field'!C78</x:f>
        <x:v>9000</x:v>
      </x:c>
      <x:c r="D134" s="157" t="str">
        <x:v>WORLD</x:v>
      </x:c>
      <x:c r="E134" s="157" t="str"/>
      <x:c r="F134" s="119" t="str"/>
      <x:c r="G134" s="119" t="str">
        <x:v>Do not stack with 2030 vendor revenue</x:v>
      </x:c>
      <x:c r="H134" s="119" t="str">
        <x:v>'02 Football Field'!C78</x:v>
      </x:c>
      <x:c r="I134" s="119" t="str">
        <x:v>USER APPROX</x:v>
      </x:c>
      <x:c r="J134" s="119" t="str">
        <x:v>2032 annual level gap</x:v>
      </x:c>
    </x:row>
    <x:row r="135" ht="20" customHeight="1">
      <x:c r="A135" s="119"/>
      <x:c r="B135" s="119"/>
      <x:c r="C135" s="157"/>
      <x:c r="D135" s="157"/>
      <x:c r="E135" s="157"/>
      <x:c r="F135" s="119"/>
      <x:c r="G135" s="119"/>
      <x:c r="H135" s="119"/>
      <x:c r="I135" s="119"/>
      <x:c r="J135" s="119"/>
    </x:row>
    <x:row r="136" ht="20" customHeight="1">
      <x:c r="A136" s="119"/>
      <x:c r="B136" s="119"/>
      <x:c r="C136" s="157"/>
      <x:c r="D136" s="157"/>
      <x:c r="E136" s="157"/>
      <x:c r="F136" s="119"/>
      <x:c r="G136" s="119"/>
      <x:c r="H136" s="119"/>
      <x:c r="I136" s="119"/>
      <x:c r="J136" s="119"/>
    </x:row>
    <x:row r="137" ht="20" customHeight="1">
      <x:c r="A137" s="119"/>
      <x:c r="B137" s="119"/>
      <x:c r="C137" s="157"/>
      <x:c r="D137" s="157"/>
      <x:c r="E137" s="157"/>
      <x:c r="F137" s="119"/>
      <x:c r="G137" s="119"/>
      <x:c r="H137" s="119"/>
      <x:c r="I137" s="119"/>
      <x:c r="J137" s="119"/>
    </x:row>
    <x:row r="138" ht="20" customHeight="1">
      <x:c r="A138" s="119"/>
      <x:c r="B138" s="119"/>
      <x:c r="C138" s="119"/>
      <x:c r="D138" s="119"/>
      <x:c r="E138" s="119"/>
      <x:c r="F138" s="119"/>
      <x:c r="G138" s="119"/>
      <x:c r="H138" s="119"/>
      <x:c r="I138" s="119"/>
      <x:c r="J138" s="119"/>
    </x:row>
    <x:row r="139" ht="20" customHeight="1">
      <x:c r="A139" s="119"/>
      <x:c r="B139" s="119"/>
      <x:c r="C139" s="119"/>
      <x:c r="D139" s="119"/>
      <x:c r="E139" s="119"/>
      <x:c r="F139" s="119"/>
      <x:c r="G139" s="119"/>
      <x:c r="H139" s="119"/>
      <x:c r="I139" s="119"/>
      <x:c r="J139" s="119"/>
    </x:row>
    <x:row r="140" ht="20" customHeight="1">
      <x:c r="A140" s="119"/>
      <x:c r="B140" s="119"/>
      <x:c r="C140" s="119"/>
      <x:c r="D140" s="119"/>
      <x:c r="E140" s="119"/>
      <x:c r="F140" s="119"/>
      <x:c r="G140" s="119"/>
      <x:c r="H140" s="119"/>
      <x:c r="I140" s="119"/>
      <x:c r="J140" s="119"/>
    </x:row>
    <x:row r="141" ht="20" customHeight="1">
      <x:c r="A141" s="119"/>
      <x:c r="B141" s="119"/>
      <x:c r="C141" s="119"/>
      <x:c r="D141" s="119"/>
      <x:c r="E141" s="119"/>
      <x:c r="F141" s="119"/>
      <x:c r="G141" s="119"/>
      <x:c r="H141" s="119"/>
      <x:c r="I141" s="119"/>
      <x:c r="J141" s="119"/>
    </x:row>
    <x:row r="142" ht="20" customHeight="1">
      <x:c r="A142" s="119"/>
      <x:c r="B142" s="119"/>
      <x:c r="C142" s="119"/>
      <x:c r="D142" s="119"/>
      <x:c r="E142" s="119"/>
      <x:c r="F142" s="119"/>
      <x:c r="G142" s="119"/>
      <x:c r="H142" s="119"/>
      <x:c r="I142" s="119"/>
      <x:c r="J142" s="119"/>
    </x:row>
    <x:row r="143" ht="20" customHeight="1">
      <x:c r="A143" s="119"/>
      <x:c r="B143" s="119"/>
      <x:c r="C143" s="119"/>
      <x:c r="D143" s="119"/>
      <x:c r="E143" s="119"/>
      <x:c r="F143" s="119"/>
      <x:c r="G143" s="119"/>
      <x:c r="H143" s="119"/>
      <x:c r="I143" s="119"/>
      <x:c r="J143" s="119"/>
    </x:row>
    <x:row r="144" ht="20" customHeight="1">
      <x:c r="A144" s="119"/>
      <x:c r="B144" s="119"/>
      <x:c r="C144" s="119"/>
      <x:c r="D144" s="119"/>
      <x:c r="E144" s="119"/>
      <x:c r="F144" s="119"/>
      <x:c r="G144" s="119"/>
      <x:c r="H144" s="119"/>
      <x:c r="I144" s="119"/>
      <x:c r="J144" s="119"/>
    </x:row>
    <x:row r="145" ht="20" customHeight="1">
      <x:c r="A145" s="119"/>
      <x:c r="B145" s="119"/>
      <x:c r="C145" s="119"/>
      <x:c r="D145" s="119"/>
      <x:c r="E145" s="119"/>
      <x:c r="F145" s="119"/>
      <x:c r="G145" s="119"/>
      <x:c r="H145" s="119"/>
      <x:c r="I145" s="119"/>
      <x:c r="J145" s="119"/>
    </x:row>
    <x:row r="146" ht="20" customHeight="1">
      <x:c r="A146" s="119"/>
      <x:c r="B146" s="119"/>
      <x:c r="C146" s="119"/>
      <x:c r="D146" s="119"/>
      <x:c r="E146" s="119"/>
      <x:c r="F146" s="119"/>
      <x:c r="G146" s="119"/>
      <x:c r="H146" s="119"/>
      <x:c r="I146" s="119"/>
      <x:c r="J146" s="119"/>
    </x:row>
    <x:row r="147" ht="20" customHeight="1">
      <x:c r="A147" s="119"/>
      <x:c r="B147" s="119"/>
      <x:c r="C147" s="119"/>
      <x:c r="D147" s="119"/>
      <x:c r="E147" s="119"/>
      <x:c r="F147" s="119"/>
      <x:c r="G147" s="119"/>
      <x:c r="H147" s="119"/>
      <x:c r="I147" s="119"/>
      <x:c r="J147" s="119"/>
    </x:row>
    <x:row r="148" ht="20" customHeight="1">
      <x:c r="A148" s="119"/>
      <x:c r="B148" s="119"/>
      <x:c r="C148" s="119"/>
      <x:c r="D148" s="119"/>
      <x:c r="E148" s="119"/>
      <x:c r="F148" s="119"/>
      <x:c r="G148" s="119"/>
      <x:c r="H148" s="119"/>
      <x:c r="I148" s="119"/>
      <x:c r="J148" s="119"/>
    </x:row>
    <x:row r="149" ht="20" customHeight="1">
      <x:c r="A149" s="119"/>
      <x:c r="B149" s="119"/>
      <x:c r="C149" s="119"/>
      <x:c r="D149" s="119"/>
      <x:c r="E149" s="119"/>
      <x:c r="F149" s="119"/>
      <x:c r="G149" s="119"/>
      <x:c r="H149" s="119"/>
      <x:c r="I149" s="119"/>
      <x:c r="J149" s="119"/>
    </x:row>
    <x:row r="150" ht="20" customHeight="1">
      <x:c r="A150" s="119"/>
      <x:c r="B150" s="119"/>
      <x:c r="C150" s="119"/>
      <x:c r="D150" s="119"/>
      <x:c r="E150" s="119"/>
      <x:c r="F150" s="119"/>
      <x:c r="G150" s="119"/>
      <x:c r="H150" s="119"/>
      <x:c r="I150" s="119"/>
      <x:c r="J150" s="119"/>
    </x:row>
    <x:row r="151" ht="20" customHeight="1">
      <x:c r="A151" s="119"/>
      <x:c r="B151" s="119"/>
      <x:c r="C151" s="119"/>
      <x:c r="D151" s="119"/>
      <x:c r="E151" s="119"/>
      <x:c r="F151" s="119"/>
      <x:c r="G151" s="119"/>
      <x:c r="H151" s="119"/>
      <x:c r="I151" s="119"/>
      <x:c r="J151" s="119"/>
    </x:row>
    <x:row r="152" ht="20" customHeight="1">
      <x:c r="A152" s="119"/>
      <x:c r="B152" s="119"/>
      <x:c r="C152" s="119"/>
      <x:c r="D152" s="119"/>
      <x:c r="E152" s="119"/>
      <x:c r="F152" s="119"/>
      <x:c r="G152" s="119"/>
      <x:c r="H152" s="119"/>
      <x:c r="I152" s="119"/>
      <x:c r="J152" s="119"/>
    </x:row>
    <x:row r="153" ht="20" customHeight="1">
      <x:c r="A153" s="119"/>
      <x:c r="B153" s="119"/>
      <x:c r="C153" s="119"/>
      <x:c r="D153" s="119"/>
      <x:c r="E153" s="119"/>
      <x:c r="F153" s="119"/>
      <x:c r="G153" s="119"/>
      <x:c r="H153" s="119"/>
      <x:c r="I153" s="119"/>
      <x:c r="J153" s="119"/>
    </x:row>
    <x:row r="154" ht="20" customHeight="1">
      <x:c r="A154" s="119"/>
      <x:c r="B154" s="119"/>
      <x:c r="C154" s="119"/>
      <x:c r="D154" s="119"/>
      <x:c r="E154" s="119"/>
      <x:c r="F154" s="119"/>
      <x:c r="G154" s="119"/>
      <x:c r="H154" s="119"/>
      <x:c r="I154" s="119"/>
      <x:c r="J154" s="119"/>
    </x:row>
    <x:row r="155" ht="20" customHeight="1">
      <x:c r="A155" s="119"/>
      <x:c r="B155" s="119"/>
      <x:c r="C155" s="119"/>
      <x:c r="D155" s="119"/>
      <x:c r="E155" s="119"/>
      <x:c r="F155" s="119"/>
      <x:c r="G155" s="119"/>
      <x:c r="H155" s="119"/>
      <x:c r="I155" s="119"/>
      <x:c r="J155" s="119"/>
    </x:row>
    <x:row r="156" ht="20" customHeight="1">
      <x:c r="A156" s="119"/>
      <x:c r="B156" s="119"/>
      <x:c r="C156" s="119"/>
      <x:c r="D156" s="119"/>
      <x:c r="E156" s="119"/>
      <x:c r="F156" s="119"/>
      <x:c r="G156" s="119"/>
      <x:c r="H156" s="119"/>
      <x:c r="I156" s="119"/>
      <x:c r="J156" s="119"/>
    </x:row>
    <x:row r="157" ht="20" customHeight="1">
      <x:c r="A157" s="119"/>
      <x:c r="B157" s="119"/>
      <x:c r="C157" s="119"/>
      <x:c r="D157" s="119"/>
      <x:c r="E157" s="119"/>
      <x:c r="F157" s="119"/>
      <x:c r="G157" s="119"/>
      <x:c r="H157" s="119"/>
      <x:c r="I157" s="119"/>
      <x:c r="J157" s="119"/>
    </x:row>
    <x:row r="158" ht="20" customHeight="1">
      <x:c r="A158" s="119"/>
      <x:c r="B158" s="119"/>
      <x:c r="C158" s="119"/>
      <x:c r="D158" s="119"/>
      <x:c r="E158" s="119"/>
      <x:c r="F158" s="119"/>
      <x:c r="G158" s="119"/>
      <x:c r="H158" s="119"/>
      <x:c r="I158" s="119"/>
      <x:c r="J158" s="119"/>
    </x:row>
    <x:row r="159" ht="20" customHeight="1">
      <x:c r="A159" s="119"/>
      <x:c r="B159" s="119"/>
      <x:c r="C159" s="119"/>
      <x:c r="D159" s="119"/>
      <x:c r="E159" s="119"/>
      <x:c r="F159" s="119"/>
      <x:c r="G159" s="119"/>
      <x:c r="H159" s="119"/>
      <x:c r="I159" s="119"/>
      <x:c r="J159" s="119"/>
    </x:row>
    <x:row r="160" ht="20" customHeight="1">
      <x:c r="A160" s="119"/>
      <x:c r="B160" s="119"/>
      <x:c r="C160" s="119"/>
      <x:c r="D160" s="119"/>
      <x:c r="E160" s="119"/>
      <x:c r="F160" s="119"/>
      <x:c r="G160" s="119"/>
      <x:c r="H160" s="119"/>
      <x:c r="I160" s="119"/>
      <x:c r="J160" s="119"/>
    </x:row>
    <x:row r="161" ht="20" customHeight="1">
      <x:c r="A161" s="119"/>
      <x:c r="B161" s="119"/>
      <x:c r="C161" s="119"/>
      <x:c r="D161" s="119"/>
      <x:c r="E161" s="119"/>
      <x:c r="F161" s="119"/>
      <x:c r="G161" s="119"/>
      <x:c r="H161" s="119"/>
      <x:c r="I161" s="119"/>
      <x:c r="J161" s="119"/>
    </x:row>
    <x:row r="162" ht="20" customHeight="1">
      <x:c r="A162" s="119"/>
      <x:c r="B162" s="119"/>
      <x:c r="C162" s="119"/>
      <x:c r="D162" s="119"/>
      <x:c r="E162" s="119"/>
      <x:c r="F162" s="119"/>
      <x:c r="G162" s="119"/>
      <x:c r="H162" s="119"/>
      <x:c r="I162" s="119"/>
      <x:c r="J162" s="119"/>
    </x:row>
    <x:row r="163" ht="20" customHeight="1">
      <x:c r="A163" s="119"/>
      <x:c r="B163" s="119"/>
      <x:c r="C163" s="119"/>
      <x:c r="D163" s="119"/>
      <x:c r="E163" s="119"/>
      <x:c r="F163" s="119"/>
      <x:c r="G163" s="119"/>
      <x:c r="H163" s="119"/>
      <x:c r="I163" s="119"/>
      <x:c r="J163" s="119"/>
    </x:row>
    <x:row r="164" ht="20" customHeight="1">
      <x:c r="A164" s="119"/>
      <x:c r="B164" s="119"/>
      <x:c r="C164" s="119"/>
      <x:c r="D164" s="119"/>
      <x:c r="E164" s="119"/>
      <x:c r="F164" s="119"/>
      <x:c r="G164" s="119"/>
      <x:c r="H164" s="119"/>
      <x:c r="I164" s="119"/>
      <x:c r="J164" s="119"/>
    </x:row>
    <x:row r="165" ht="20" customHeight="1">
      <x:c r="A165" s="119"/>
      <x:c r="B165" s="119"/>
      <x:c r="C165" s="119"/>
      <x:c r="D165" s="119"/>
      <x:c r="E165" s="119"/>
      <x:c r="F165" s="119"/>
      <x:c r="G165" s="119"/>
      <x:c r="H165" s="119"/>
      <x:c r="I165" s="119"/>
      <x:c r="J165" s="119"/>
    </x:row>
    <x:row r="166" ht="20" customHeight="1">
      <x:c r="A166" s="119"/>
      <x:c r="B166" s="119"/>
      <x:c r="C166" s="119"/>
      <x:c r="D166" s="119"/>
      <x:c r="E166" s="119"/>
      <x:c r="F166" s="119"/>
      <x:c r="G166" s="119"/>
      <x:c r="H166" s="119"/>
      <x:c r="I166" s="119"/>
      <x:c r="J166" s="119"/>
    </x:row>
    <x:row r="167" ht="20" customHeight="1">
      <x:c r="A167" s="119"/>
      <x:c r="B167" s="119"/>
      <x:c r="C167" s="119"/>
      <x:c r="D167" s="119"/>
      <x:c r="E167" s="119"/>
      <x:c r="F167" s="119"/>
      <x:c r="G167" s="119"/>
      <x:c r="H167" s="119"/>
      <x:c r="I167" s="119"/>
      <x:c r="J167" s="119"/>
    </x:row>
    <x:row r="168" ht="20" customHeight="1">
      <x:c r="A168" s="119"/>
      <x:c r="B168" s="119"/>
      <x:c r="C168" s="119"/>
      <x:c r="D168" s="119"/>
      <x:c r="E168" s="119"/>
      <x:c r="F168" s="119"/>
      <x:c r="G168" s="119"/>
      <x:c r="H168" s="119"/>
      <x:c r="I168" s="119"/>
      <x:c r="J168" s="119"/>
    </x:row>
  </x:sheetData>
  <x:mergeCells>
    <x:mergeCell ref="A1:J2"/>
    <x:mergeCell ref="A3:J3"/>
    <x:mergeCell ref="A5:J5"/>
    <x:mergeCell ref="B6:C6"/>
    <x:mergeCell ref="D6:E6"/>
    <x:mergeCell ref="F6:G6"/>
    <x:mergeCell ref="H6:I6"/>
    <x:mergeCell ref="B7:C7"/>
    <x:mergeCell ref="D7:E7"/>
    <x:mergeCell ref="F7:G7"/>
    <x:mergeCell ref="H7:I7"/>
    <x:mergeCell ref="B8:C8"/>
    <x:mergeCell ref="D8:E8"/>
    <x:mergeCell ref="F8:G8"/>
    <x:mergeCell ref="H8:I8"/>
    <x:mergeCell ref="B9:C9"/>
    <x:mergeCell ref="D9:E9"/>
    <x:mergeCell ref="F9:G9"/>
    <x:mergeCell ref="H9:I9"/>
    <x:mergeCell ref="B10:C10"/>
    <x:mergeCell ref="D10:E10"/>
    <x:mergeCell ref="F10:G10"/>
    <x:mergeCell ref="H10:I10"/>
    <x:mergeCell ref="B11:C11"/>
    <x:mergeCell ref="D11:E11"/>
    <x:mergeCell ref="F11:G11"/>
    <x:mergeCell ref="H11:I11"/>
    <x:mergeCell ref="B12:C12"/>
    <x:mergeCell ref="D12:E12"/>
    <x:mergeCell ref="F12:G12"/>
    <x:mergeCell ref="H12:I12"/>
    <x:mergeCell ref="B13:C13"/>
    <x:mergeCell ref="D13:E13"/>
    <x:mergeCell ref="F13:G13"/>
    <x:mergeCell ref="H13:I13"/>
    <x:mergeCell ref="B14:C14"/>
    <x:mergeCell ref="D14:E14"/>
    <x:mergeCell ref="F14:G14"/>
    <x:mergeCell ref="H14:I14"/>
    <x:mergeCell ref="A17:J17"/>
    <x:mergeCell ref="B18:J18"/>
    <x:mergeCell ref="B19:J19"/>
    <x:mergeCell ref="B20:J20"/>
    <x:mergeCell ref="B21:J21"/>
    <x:mergeCell ref="B22:J22"/>
    <x:mergeCell ref="B23:J23"/>
    <x:mergeCell ref="A26:J26"/>
    <x:mergeCell ref="A27:J27"/>
    <x:mergeCell ref="A100:J100"/>
    <x:mergeCell ref="A29:J29"/>
    <x:mergeCell ref="A56:J56"/>
    <x:mergeCell ref="A86:J86"/>
    <x:mergeCell ref="F60:J61"/>
    <x:mergeCell ref="F62:J62"/>
    <x:mergeCell ref="F71:J73"/>
    <x:mergeCell ref="F75:J76"/>
    <x:mergeCell ref="A88:J88"/>
    <x:mergeCell ref="A89:J90"/>
    <x:mergeCell ref="B15:C15"/>
    <x:mergeCell ref="D15:E15"/>
    <x:mergeCell ref="F15:G15"/>
    <x:mergeCell ref="H15:I15"/>
    <x:mergeCell ref="B16:C16"/>
    <x:mergeCell ref="D16:E16"/>
    <x:mergeCell ref="F16:G16"/>
    <x:mergeCell ref="H16:I16"/>
  </x:mergeCells>
  <x:conditionalFormatting sqref="H65:J69">
    <x:cfRule type="colorScale" priority="1">
      <x:colorScale>
        <x:cfvo type="min"/>
        <x:cfvo type="percentile" val="50"/>
        <x:cfvo type="max"/>
        <x:color rgb="FFD7EAD9"/>
        <x:color rgb="FFF4E9D2"/>
        <x:color rgb="FFF0D6D4"/>
      </x:colorScale>
    </x:cfRule>
  </x:conditionalFormatting>
  <x:pageMargins left="0.7" right="0.7" top="0.75" bottom="0.75" header="0.3" footer="0.3"/>
  <x:drawing xmlns:r="http://schemas.openxmlformats.org/officeDocument/2006/relationships" r:id="R9345f7b57c9a4a11"/>
</x:worksheet>
</file>