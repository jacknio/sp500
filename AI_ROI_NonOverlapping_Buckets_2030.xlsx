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cb42922c5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Buckets" sheetId="1" r:id="R9d5f6d03bcff4982"/>
    <x:sheet xmlns:r="http://schemas.openxmlformats.org/officeDocument/2006/relationships" name="02 B2B Evidence" sheetId="2" r:id="R4c55716df5fe47a8"/>
    <x:sheet xmlns:r="http://schemas.openxmlformats.org/officeDocument/2006/relationships" name="03 Football Field" sheetId="3" r:id="Rf5f7b4179e39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–"/>
    <x:numFmt numFmtId="201" formatCode="0.0%;[Red](0.0%);–"/>
    <x:numFmt numFmtId="202" formatCode="#,##0;[Red](#,##0);–"/>
    <x:numFmt numFmtId="203" formatCode="$#,##0;[Red]($#,##0);–"/>
  </x:numFmts>
  <x:fonts count="10">
    <x:font>
      <x:sz val="11"/>
      <x:name val="Carlito"/>
    </x:font>
    <x:font>
      <x:sz val="9"/>
      <x:color rgb="FF152536"/>
      <x:name val="Arial"/>
    </x:font>
    <x:font>
      <x:b/>
      <x:sz val="14"/>
      <x:color rgb="FFFFFFFF"/>
      <x:name val="Arial"/>
    </x:font>
    <x:font>
      <x:b/>
      <x:sz val="14"/>
      <x:color rgb="FF152536"/>
      <x:name val="Arial"/>
    </x:font>
    <x:font>
      <x:sz val="9"/>
      <x:color rgb="FF64748B"/>
      <x:name val="Arial"/>
    </x:font>
    <x:font>
      <x:b/>
      <x:sz val="10"/>
      <x:color rgb="FFFFFFFF"/>
      <x:name val="Arial"/>
    </x:font>
    <x:font>
      <x:b/>
      <x:sz val="10"/>
      <x:color rgb="FF152536"/>
      <x:name val="Arial"/>
    </x:font>
    <x:font>
      <x:sz val="9"/>
      <x:color rgb="FF0000FF"/>
      <x:name val="Arial"/>
    </x:font>
    <x:font>
      <x:b/>
      <x:sz val="9"/>
      <x:color rgb="FFFFFFFF"/>
      <x:name val="Arial"/>
    </x:font>
    <x:font>
      <x:sz val="9"/>
      <x:color rgb="FF008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293E"/>
      </x:patternFill>
    </x:fill>
    <x:fill>
      <x:patternFill patternType="solid">
        <x:fgColor rgb="FF213A55"/>
      </x:patternFill>
    </x:fill>
    <x:fill>
      <x:patternFill patternType="solid">
        <x:fgColor rgb="FFFFF2CA"/>
      </x:patternFill>
    </x:fill>
    <x:fill>
      <x:patternFill patternType="solid">
        <x:fgColor rgb="FFF2F5F8"/>
      </x:patternFill>
    </x:fill>
    <x:fill>
      <x:patternFill patternType="solid">
        <x:fgColor rgb="FF354D64"/>
      </x:patternFill>
    </x:fill>
    <x:fill>
      <x:patternFill patternType="solid">
        <x:fgColor rgb="FFE7EEF5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0" fontId="7" fillId="4" borderId="0" xfId="0" applyNumberFormat="1" applyFont="1" applyFill="1" applyBorder="1"/>
    <x:xf numFmtId="200" fontId="7" fillId="4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1" fontId="7" fillId="4" borderId="0" xfId="0" applyNumberFormat="1" applyFont="1" applyFill="1" applyBorder="1"/>
    <x:xf numFmtId="201" fontId="7" fillId="4" borderId="1" xfId="0" applyNumberFormat="1" applyFont="1" applyFill="1" applyBorder="1"/>
    <x:xf numFmtId="202" fontId="7" fillId="4" borderId="0" xfId="0" applyNumberFormat="1" applyFont="1" applyFill="1" applyBorder="1"/>
    <x:xf numFmtId="202" fontId="7" fillId="4" borderId="1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0" fontId="1" fillId="5" borderId="0" xfId="0" applyNumberFormat="1" applyFont="1" applyFill="1" applyBorder="1"/>
    <x:xf numFmtId="200" fontId="1" fillId="5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0" fontId="9" fillId="0" borderId="0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200" fontId="9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200" fontId="9" fillId="7" borderId="1" xfId="0" applyNumberFormat="1" applyFont="1" applyFill="1" applyBorder="1" applyAlignment="1">
      <x:alignment wrapText="1"/>
    </x:xf>
    <x:xf numFmtId="200" fontId="1" fillId="7" borderId="0" xfId="0" applyNumberFormat="1" applyFont="1" applyFill="1" applyBorder="1" applyAlignment="1">
      <x:alignment wrapText="1"/>
    </x:xf>
    <x:xf numFmtId="200" fontId="1" fillId="7" borderId="1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200" fontId="1" fillId="8" borderId="0" xfId="0" applyNumberFormat="1" applyFont="1" applyFill="1" applyBorder="1"/>
    <x:xf numFmtId="0" fontId="1" fillId="8" borderId="1" xfId="0" applyNumberFormat="1" applyFont="1" applyFill="1" applyBorder="1"/>
    <x:xf numFmtId="200" fontId="1" fillId="8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0decb055a4e97" /><Relationship Type="http://schemas.openxmlformats.org/officeDocument/2006/relationships/theme" Target="/xl/theme/theme1.xml" Id="R2cbad2852cff4587" /><Relationship Type="http://schemas.openxmlformats.org/officeDocument/2006/relationships/sharedStrings" Target="/xl/sharedStrings.xml" Id="R686d6dc417974329" /><Relationship Type="http://schemas.openxmlformats.org/officeDocument/2006/relationships/worksheet" Target="/xl/worksheets/sheet1.xml" Id="R9d5f6d03bcff4982" /><Relationship Type="http://schemas.openxmlformats.org/officeDocument/2006/relationships/worksheet" Target="/xl/worksheets/sheet2.xml" Id="R4c55716df5fe47a8" /><Relationship Type="http://schemas.openxmlformats.org/officeDocument/2006/relationships/worksheet" Target="/xl/worksheets/sheet3.xml" Id="Rf5f7b4179e394d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88059fa63a4e47" /><Relationship Type="http://schemas.openxmlformats.org/officeDocument/2006/relationships/chart" Target="/xl/drawings/charts/chart2.xml" Id="R06697cd5aa024a47" /><Relationship Type="http://schemas.openxmlformats.org/officeDocument/2006/relationships/chart" Target="/xl/drawings/charts/chart3.xml" Id="Rbf1792726645490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Supplier EBIT 2030 (proxy)</c:v>
          </c:tx>
          <c:cat>
            <c:strRef>
              <c:f>'03 Football Field'!$I$7:$I$11</c:f>
              <c:strCache>
                <c:ptCount val="0"/>
              </c:strCache>
            </c:strRef>
          </c:cat>
          <c:val>
            <c:numRef>
              <c:f>'03 Football Field'!$J$7:$J$11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Profit contestable</c:v>
          </c:tx>
          <c:cat>
            <c:strRef>
              <c:f>'03 Football Field'!$I$7:$I$11</c:f>
              <c:strCache>
                <c:ptCount val="0"/>
              </c:strCache>
            </c:strRef>
          </c:cat>
          <c:val>
            <c:numRef>
              <c:f>'03 Football Field'!$K$7:$K$11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bar"/>
        <c:varyColors val="0"/>
        <c:ser>
          <c:idx val="0"/>
          <c:order val="0"/>
          <c:tx>
            <c:v>Possible Annual Vendor Revenue</c:v>
          </c:tx>
          <c:cat>
            <c:strRef>
              <c:f>'03 Football Field'!$I$18:$I$21</c:f>
              <c:strCache>
                <c:ptCount val="0"/>
              </c:strCache>
            </c:strRef>
          </c:cat>
          <c:val>
            <c:numRef>
              <c:f>'03 Football Field'!$J$18:$J$21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Cumulative</c:v>
          </c:tx>
          <c:marker>
            <c:symbol val="none"/>
          </c:marker>
          <c:cat>
            <c:strRef>
              <c:f>'03 Football Field'!$I$28:$I$31</c:f>
              <c:strCache>
                <c:ptCount val="0"/>
              </c:strCache>
            </c:strRef>
          </c:cat>
          <c:val>
            <c:numRef>
              <c:f>'03 Football Field'!$J$28:$J$31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33</xdr:row>
      <xdr:rowOff>0</xdr:rowOff>
    </xdr:from>
    <xdr:to>
      <xdr:col>17</xdr:col>
      <xdr:colOff>0</xdr:colOff>
      <xdr:row>53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88059fa63a4e47"/>
        </a:graphicData>
      </a:graphic>
    </xdr:graphicFrame>
    <xdr:clientData/>
  </xdr:twoCellAnchor>
  <xdr:twoCellAnchor>
    <xdr:from>
      <xdr:col>8</xdr:col>
      <xdr:colOff>0</xdr:colOff>
      <xdr:row>54</xdr:row>
      <xdr:rowOff>0</xdr:rowOff>
    </xdr:from>
    <xdr:to>
      <xdr:col>17</xdr:col>
      <xdr:colOff>0</xdr:colOff>
      <xdr:row>73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697cd5aa024a47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17</xdr:col>
      <xdr:colOff>0</xdr:colOff>
      <xdr:row>93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1792726645490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2a29f2308654a92" /></Relationships>
</file>

<file path=xl/worksheets/sheet1.xml><?xml version="1.0" encoding="utf-8"?>
<x:worksheet xmlns:x="http://schemas.openxmlformats.org/spreadsheetml/2006/main">
  <x:sheetViews>
    <x:sheetView workbookViewId="0">
      <x:pane xSplit="2" ySplit="19" topLeftCell="C20" activePane="bottomRight" state="frozen"/>
    </x:sheetView>
  </x:sheetViews>
  <x:sheetFormatPr defaultRowHeight="15"/>
  <x:cols>
    <x:col min="1" max="1" width="9" hidden="0" customWidth="1"/>
    <x:col min="2" max="2" width="34" hidden="0" customWidth="1"/>
    <x:col min="3" max="3" width="12" hidden="0" customWidth="1"/>
    <x:col min="4" max="4" width="25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13" hidden="0" customWidth="1"/>
    <x:col min="11" max="11" width="17" hidden="0" customWidth="1"/>
    <x:col min="12" max="12" width="15" hidden="0" customWidth="1"/>
    <x:col min="13" max="13" width="15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2" hidden="0" customWidth="1"/>
    <x:col min="19" max="19" width="16" hidden="0" customWidth="1"/>
    <x:col min="20" max="20" width="57" hidden="0" customWidth="1"/>
    <x:col min="21" max="21" width="62" hidden="0" customWidth="1"/>
  </x:cols>
  <x:sheetData>
    <x:row r="1" ht="24" customHeight="1">
      <x:c r="A1" s="10" t="str">
        <x:v>AI ECONOMICS | LABOR • B2B • B2C — 2030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 ht="23" customHeight="1">
      <x:c r="A3" s="12" t="str">
        <x:v>FOCUS: Supplier profits separate from labor wages • Observable market base vs assumption • No independent vendor revenue without a clean payer / double-count bridge.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 ht="1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5" customHeight="1">
      <x:c r="A5" s="20" t="str">
        <x:v>01  |  EXISTING USER MODEL — REFERENCE ONLY, NOT RECALCULATED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0" customHeight="1">
      <x:c r="A7" s="2"/>
      <x:c r="B7" s="2" t="str">
        <x:v>U.S. AI-exposed wages ($bn, 2030)</x:v>
      </x:c>
      <x:c r="C7" s="26" t="n">
        <x:v>5300</x:v>
      </x:c>
      <x:c r="D7" s="2"/>
      <x:c r="E7" s="2" t="str">
        <x:v>Global ex-China wages ($bn; incl. U.S.)</x:v>
      </x:c>
      <x:c r="F7" s="26" t="n">
        <x:v>14000</x:v>
      </x:c>
      <x:c r="G7" s="2"/>
      <x:c r="H7" s="30" t="str">
        <x:v>Historical/previous model anchors are indicative and must be linked to verified company-workbook outputs. Blank means deliberately not invented. GDP (2032) is a macro scenario only, NOT vendor revenue.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</x:row>
    <x:row r="8" ht="20" customHeight="1">
      <x:c r="A8" s="2"/>
      <x:c r="B8" s="2" t="str">
        <x:v>U.S. counterfactual labor gap wages ($bn)</x:v>
      </x:c>
      <x:c r="C8" s="26" t="n">
        <x:v>586</x:v>
      </x:c>
      <x:c r="D8" s="2"/>
      <x:c r="E8" s="2" t="str">
        <x:v>Global labor gap wages ($bn)</x:v>
      </x:c>
      <x:c r="F8" s="24"/>
      <x:c r="G8" s="2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</x:row>
    <x:row r="9" ht="20" customHeight="1">
      <x:c r="A9" s="2"/>
      <x:c r="B9" s="2" t="str">
        <x:v>U.S. AI-exposed persons (mn)</x:v>
      </x:c>
      <x:c r="C9" s="24"/>
      <x:c r="D9" s="2"/>
      <x:c r="E9" s="2" t="str">
        <x:v>Global ex-China AI-exposed persons (mn)</x:v>
      </x:c>
      <x:c r="F9" s="24"/>
      <x:c r="G9" s="2"/>
      <x:c r="H9" s="30" t="str">
        <x:v>TIMING: B2B observed revenue is 2024; U.S. electronics consumer spend is 2025. 2030 projections use explicit scenario CAGRs. B2B provider EBIT uses Damodaran listed-company proxies, NOT observed industry-wide operating profit. Avoid mixing U.S. public data with Global ex-China labor results when asserting coverage.</x:v>
      </x:c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</x:row>
    <x:row r="10" ht="20" customHeight="1">
      <x:c r="A10" s="2"/>
      <x:c r="B10" s="2" t="str">
        <x:v>U.S. active revenue hurdle ($bn/yr)</x:v>
      </x:c>
      <x:c r="C10" s="24"/>
      <x:c r="D10" s="2"/>
      <x:c r="E10" s="2" t="str">
        <x:v>Global ex-China/comparable hurdle ($bn/yr)</x:v>
      </x:c>
      <x:c r="F10" s="24"/>
      <x:c r="G10" s="2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</x:row>
    <x:row r="11" ht="20" customHeight="1">
      <x:c r="A11" s="2"/>
      <x:c r="B11" s="2" t="str">
        <x:v>2032 GDP uplift (global, +1pp, $bn/yr)</x:v>
      </x:c>
      <x:c r="C11" s="26" t="n">
        <x:v>9000</x:v>
      </x:c>
      <x:c r="D11" s="2"/>
      <x:c r="E11" s="2" t="str">
        <x:v>2032 GDP uplift (+1.5pp, $bn/yr)</x:v>
      </x:c>
      <x:c r="F11" s="24"/>
      <x:c r="G11" s="2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5" customHeight="1">
      <x:c r="A13" s="20" t="str">
        <x:v>02  |  ADOPTION &amp; CAPTURE — EXPLICIT MODEL ASSUMPTIONS (YELLOW / BLUE)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</x:row>
    <x:row r="14" ht="20" customHeight="1">
      <x:c r="A14" s="2"/>
      <x:c r="B14" s="2" t="str">
        <x:v>Viable exposed tasks</x:v>
      </x:c>
      <x:c r="C14" s="34" t="n">
        <x:v>0.23</x:v>
      </x:c>
      <x:c r="D14" s="2"/>
      <x:c r="E14" s="2" t="str">
        <x:v>2026–30 effective utilization</x:v>
      </x:c>
      <x:c r="F14" s="34" t="n">
        <x:v>0.5</x:v>
      </x:c>
      <x:c r="G14" s="2"/>
      <x:c r="H14" s="2" t="str">
        <x:v>Task savings on viable use</x:v>
      </x:c>
      <x:c r="I14" s="34" t="n">
        <x:v>0.25</x:v>
      </x:c>
      <x:c r="J14" s="2"/>
      <x:c r="K14" s="2" t="str">
        <x:v>Vendor value-capture share</x:v>
      </x:c>
      <x:c r="L14" s="34" t="n">
        <x:v>0.5</x:v>
      </x:c>
      <x:c r="M14" s="2"/>
      <x:c r="N14" s="30" t="str">
        <x:v>TASK EXPOSURE is a technical possibility score, not realized hours saved. Value-based and paid-seat enterprise models are alternatives. Labor-gap vendor revenue defaults OFF: prove it is incremental to existing-labor monetization before inclusion.</x:v>
      </x:c>
      <x:c r="O14" s="31"/>
      <x:c r="P14" s="31"/>
      <x:c r="Q14" s="31"/>
      <x:c r="R14" s="31"/>
      <x:c r="S14" s="31"/>
      <x:c r="T14" s="31"/>
      <x:c r="U14" s="31"/>
    </x:row>
    <x:row r="15" ht="20" customHeight="1">
      <x:c r="A15" s="2"/>
      <x:c r="B15" s="2" t="str">
        <x:v>Labor gap AI-addressable</x:v>
      </x:c>
      <x:c r="C15" s="34" t="n">
        <x:v>0.5</x:v>
      </x:c>
      <x:c r="D15" s="2"/>
      <x:c r="E15" s="2" t="str">
        <x:v>Gap serviced by AI</x:v>
      </x:c>
      <x:c r="F15" s="34" t="n">
        <x:v>0.5</x:v>
      </x:c>
      <x:c r="G15" s="2"/>
      <x:c r="H15" s="2" t="str">
        <x:v>Gap vendor capture</x:v>
      </x:c>
      <x:c r="I15" s="34" t="n">
        <x:v>0.65</x:v>
      </x:c>
      <x:c r="J15" s="2"/>
      <x:c r="K15" s="2" t="str">
        <x:v>Gap separately monetized?</x:v>
      </x:c>
      <x:c r="L15" s="36" t="n">
        <x:v>0</x:v>
      </x:c>
      <x:c r="M15" s="2"/>
      <x:c r="N15" s="31"/>
      <x:c r="O15" s="31"/>
      <x:c r="P15" s="31"/>
      <x:c r="Q15" s="31"/>
      <x:c r="R15" s="31"/>
      <x:c r="S15" s="31"/>
      <x:c r="T15" s="31"/>
      <x:c r="U15" s="31"/>
    </x:row>
    <x:row r="16" ht="20" customHeight="1">
      <x:c r="A16" s="2"/>
      <x:c r="B16" s="2" t="str">
        <x:v>Paid seat penetration</x:v>
      </x:c>
      <x:c r="C16" s="34" t="n">
        <x:v>0.3</x:v>
      </x:c>
      <x:c r="D16" s="2"/>
      <x:c r="E16" s="2" t="str">
        <x:v>Monthly enterprise fee</x:v>
      </x:c>
      <x:c r="F16" s="36" t="n">
        <x:v>100</x:v>
      </x:c>
      <x:c r="G16" s="2"/>
      <x:c r="H16" s="2" t="str">
        <x:v>2030 B2B revenue CAGR</x:v>
      </x:c>
      <x:c r="I16" s="34" t="n">
        <x:v>0.03</x:v>
      </x:c>
      <x:c r="J16" s="2"/>
      <x:c r="K16" s="2" t="str">
        <x:v>U.S. B2C market CAGR</x:v>
      </x:c>
      <x:c r="L16" s="34" t="n">
        <x:v>0.03</x:v>
      </x:c>
      <x:c r="M16" s="2"/>
      <x:c r="N16" s="31"/>
      <x:c r="O16" s="31"/>
      <x:c r="P16" s="31"/>
      <x:c r="Q16" s="31"/>
      <x:c r="R16" s="31"/>
      <x:c r="S16" s="31"/>
      <x:c r="T16" s="31"/>
      <x:c r="U16" s="31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5" customHeight="1">
      <x:c r="A18" s="20" t="str">
        <x:v>03  |  LABOR BRIDGE — KEEP AS ALTERNATIVE MEASURES; DO NOT SUM WAGE VALUE AND SEAT SALES</x:v>
      </x:c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</x:row>
    <x:row r="19" ht="37" customHeight="1">
      <x:c r="A19" s="41" t="str">
        <x:v>ID</x:v>
      </x:c>
      <x:c r="B19" s="41" t="str">
        <x:v>Labor source</x:v>
      </x:c>
      <x:c r="C19" s="41" t="str">
        <x:v>Geography</x:v>
      </x:c>
      <x:c r="D19" s="41" t="str">
        <x:v>Basis / method</x:v>
      </x:c>
      <x:c r="E19" s="41" t="str">
        <x:v>Input wage ($bn)</x:v>
      </x:c>
      <x:c r="F19" s="41" t="str">
        <x:v>Viable %</x:v>
      </x:c>
      <x:c r="G19" s="41" t="str">
        <x:v>Utilization</x:v>
      </x:c>
      <x:c r="H19" s="41" t="str">
        <x:v>Task saving %</x:v>
      </x:c>
      <x:c r="I19" s="41" t="str">
        <x:v>Economic value ($bn/yr)</x:v>
      </x:c>
      <x:c r="J19" s="41" t="str">
        <x:v>Vendor take</x:v>
      </x:c>
      <x:c r="K19" s="41" t="str">
        <x:v>Vendor potential ($bn/yr)</x:v>
      </x:c>
      <x:c r="L19" s="41" t="str">
        <x:v>Paying seats (mn)</x:v>
      </x:c>
      <x:c r="M19" s="41" t="str">
        <x:v>Monthly fee ($)</x:v>
      </x:c>
      <x:c r="N19" s="41" t="str">
        <x:v>Seat-revenue alt ($bn/yr)</x:v>
      </x:c>
      <x:c r="O19" s="41" t="str">
        <x:v>Approved ($bn)</x:v>
      </x:c>
      <x:c r="P19" s="41" t="str">
        <x:v>Scope / audit note</x:v>
      </x:c>
      <x:c r="Q19" s="41" t="str"/>
      <x:c r="R19" s="41" t="str"/>
      <x:c r="S19" s="41" t="str"/>
      <x:c r="T19" s="41" t="str"/>
      <x:c r="U19" s="41" t="str"/>
    </x:row>
    <x:row r="20" ht="27" customHeight="1">
      <x:c r="A20" s="2" t="str">
        <x:v>L1</x:v>
      </x:c>
      <x:c r="B20" s="2" t="str">
        <x:v>Existing exposed labor</x:v>
      </x:c>
      <x:c r="C20" s="2" t="str">
        <x:v>U.S.</x:v>
      </x:c>
      <x:c r="D20" s="2" t="str">
        <x:v>Wage-based</x:v>
      </x:c>
      <x:c r="E20" s="46" t="n">
        <x:f>C7</x:f>
        <x:v>5300</x:v>
      </x:c>
      <x:c r="F20" s="48" t="n">
        <x:f>C14</x:f>
        <x:v>0.23</x:v>
      </x:c>
      <x:c r="G20" s="48" t="n">
        <x:f>F14</x:f>
        <x:v>0.5</x:v>
      </x:c>
      <x:c r="H20" s="48" t="n">
        <x:f>I14</x:f>
        <x:v>0.25</x:v>
      </x:c>
      <x:c r="I20" s="46" t="n">
        <x:f>E20*F20*G20*H20</x:f>
        <x:v>152.375</x:v>
      </x:c>
      <x:c r="J20" s="48" t="n">
        <x:f>L14</x:f>
        <x:v>0.5</x:v>
      </x:c>
      <x:c r="K20" s="46" t="n">
        <x:f>I20*J20</x:f>
        <x:v>76.1875</x:v>
      </x:c>
      <x:c r="L20" s="46" t="str">
        <x:f>IF(C9="","",C9)</x:f>
      </x:c>
      <x:c r="M20" s="50" t="n">
        <x:f>F16</x:f>
        <x:v>100</x:v>
      </x:c>
      <x:c r="N20" s="46" t="str">
        <x:f>IF(L20="","",L20*C16*M20*12/1000)</x:f>
      </x:c>
      <x:c r="O20" s="46" t="n">
        <x:f>0</x:f>
        <x:v>0</x:v>
      </x:c>
      <x:c r="P20" s="2" t="str">
        <x:v>N = alternate seat method, NOT incremental to K</x:v>
      </x:c>
      <x:c r="Q20" s="2"/>
      <x:c r="R20" s="2"/>
      <x:c r="S20" s="2"/>
      <x:c r="T20" s="2"/>
      <x:c r="U20" s="2"/>
    </x:row>
    <x:row r="21" ht="27" customHeight="1">
      <x:c r="A21" s="2" t="str">
        <x:v>L2</x:v>
      </x:c>
      <x:c r="B21" s="2" t="str">
        <x:v>Existing exposed labor</x:v>
      </x:c>
      <x:c r="C21" s="2" t="str">
        <x:v>Global ex-China</x:v>
      </x:c>
      <x:c r="D21" s="2" t="str">
        <x:v>Wage-based</x:v>
      </x:c>
      <x:c r="E21" s="46" t="n">
        <x:f>F7</x:f>
        <x:v>14000</x:v>
      </x:c>
      <x:c r="F21" s="48" t="n">
        <x:f>C14</x:f>
        <x:v>0.23</x:v>
      </x:c>
      <x:c r="G21" s="48" t="n">
        <x:f>F14</x:f>
        <x:v>0.5</x:v>
      </x:c>
      <x:c r="H21" s="48" t="n">
        <x:f>I14</x:f>
        <x:v>0.25</x:v>
      </x:c>
      <x:c r="I21" s="46" t="n">
        <x:f>E21*F21*G21*H21</x:f>
        <x:v>402.5</x:v>
      </x:c>
      <x:c r="J21" s="48" t="n">
        <x:f>L14</x:f>
        <x:v>0.5</x:v>
      </x:c>
      <x:c r="K21" s="46" t="n">
        <x:f>I21*J21</x:f>
        <x:v>201.25</x:v>
      </x:c>
      <x:c r="L21" s="46" t="str">
        <x:f>IF(F9="","",F9)</x:f>
      </x:c>
      <x:c r="M21" s="50" t="n">
        <x:f>F16</x:f>
        <x:v>100</x:v>
      </x:c>
      <x:c r="N21" s="46" t="str">
        <x:f>IF(L21="","",L21*C16*M21*12/1000)</x:f>
      </x:c>
      <x:c r="O21" s="46" t="n">
        <x:f>0</x:f>
        <x:v>0</x:v>
      </x:c>
      <x:c r="P21" s="2" t="str">
        <x:v>N = alternate seat method, NOT incremental to K</x:v>
      </x:c>
      <x:c r="Q21" s="2"/>
      <x:c r="R21" s="2"/>
      <x:c r="S21" s="2"/>
      <x:c r="T21" s="2"/>
      <x:c r="U21" s="2"/>
    </x:row>
    <x:row r="22" ht="27" customHeight="1">
      <x:c r="A22" s="2" t="str">
        <x:v>L3</x:v>
      </x:c>
      <x:c r="B22" s="2" t="str">
        <x:v>Unfilled counterfactual labor</x:v>
      </x:c>
      <x:c r="C22" s="2" t="str">
        <x:v>U.S.</x:v>
      </x:c>
      <x:c r="D22" s="2" t="str">
        <x:v>Gap-value-based</x:v>
      </x:c>
      <x:c r="E22" s="46" t="n">
        <x:f>C8</x:f>
        <x:v>586</x:v>
      </x:c>
      <x:c r="F22" s="48" t="n">
        <x:f>C15</x:f>
        <x:v>0.5</x:v>
      </x:c>
      <x:c r="G22" s="48" t="n">
        <x:f>F15</x:f>
        <x:v>0.5</x:v>
      </x:c>
      <x:c r="H22" s="48" t="n">
        <x:v>1</x:v>
      </x:c>
      <x:c r="I22" s="46" t="n">
        <x:f>E22*F22*G22*H22</x:f>
        <x:v>146.5</x:v>
      </x:c>
      <x:c r="J22" s="48" t="n">
        <x:f>I15</x:f>
        <x:v>0.65</x:v>
      </x:c>
      <x:c r="K22" s="46" t="n">
        <x:f>I22*J22</x:f>
        <x:v>95.22500000000001</x:v>
      </x:c>
      <x:c r="L22" s="46" t="n">
        <x:f>0</x:f>
        <x:v>0</x:v>
      </x:c>
      <x:c r="M22" s="50" t="n">
        <x:f>F16</x:f>
        <x:v>100</x:v>
      </x:c>
      <x:c r="N22" s="46" t="n">
        <x:f>0</x:f>
        <x:v>0</x:v>
      </x:c>
      <x:c r="O22" s="46" t="n">
        <x:f>K22*L15</x:f>
        <x:v>0</x:v>
      </x:c>
      <x:c r="P22" s="2" t="str">
        <x:v>Excluded pending overlap test</x:v>
      </x:c>
      <x:c r="Q22" s="2"/>
      <x:c r="R22" s="2"/>
      <x:c r="S22" s="2"/>
      <x:c r="T22" s="2"/>
      <x:c r="U22" s="2"/>
    </x:row>
    <x:row r="23" ht="27" customHeight="1">
      <x:c r="A23" s="2" t="str">
        <x:v>L4</x:v>
      </x:c>
      <x:c r="B23" s="2" t="str">
        <x:v>Unfilled counterfactual labor</x:v>
      </x:c>
      <x:c r="C23" s="2" t="str">
        <x:v>Global ex-China</x:v>
      </x:c>
      <x:c r="D23" s="2" t="str">
        <x:v>Gap-value-based</x:v>
      </x:c>
      <x:c r="E23" s="46" t="str">
        <x:f>IF(F8="","",F8)</x:f>
      </x:c>
      <x:c r="F23" s="48" t="n">
        <x:f>C15</x:f>
        <x:v>0.5</x:v>
      </x:c>
      <x:c r="G23" s="48" t="n">
        <x:f>F15</x:f>
        <x:v>0.5</x:v>
      </x:c>
      <x:c r="H23" s="48" t="n">
        <x:v>1</x:v>
      </x:c>
      <x:c r="I23" s="46" t="n">
        <x:f>E23*F23*G23*H23</x:f>
        <x:v>0</x:v>
      </x:c>
      <x:c r="J23" s="48" t="n">
        <x:f>I15</x:f>
        <x:v>0.65</x:v>
      </x:c>
      <x:c r="K23" s="46" t="n">
        <x:f>I23*J23</x:f>
        <x:v>0</x:v>
      </x:c>
      <x:c r="L23" s="46" t="n">
        <x:f>0</x:f>
        <x:v>0</x:v>
      </x:c>
      <x:c r="M23" s="50" t="n">
        <x:f>F16</x:f>
        <x:v>100</x:v>
      </x:c>
      <x:c r="N23" s="46" t="n">
        <x:f>0</x:f>
        <x:v>0</x:v>
      </x:c>
      <x:c r="O23" s="46" t="n">
        <x:f>K23*L15</x:f>
        <x:v>0</x:v>
      </x:c>
      <x:c r="P23" s="2" t="str">
        <x:v>Excluded pending overlap test</x:v>
      </x:c>
      <x:c r="Q23" s="2"/>
      <x:c r="R23" s="2"/>
      <x:c r="S23" s="2"/>
      <x:c r="T23" s="2"/>
      <x:c r="U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5" customHeight="1">
      <x:c r="A26" s="20" t="str">
        <x:v>04  |  B2B INCUMBENT-SUPPLIER PROFIT AT RISK — NOT SUPPLIER SALES NOR CUSTOMER WAGE SAVINGS</x:v>
      </x:c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</x:row>
    <x:row r="27" ht="37" customHeight="1">
      <x:c r="A27" s="41" t="str">
        <x:v>ID</x:v>
      </x:c>
      <x:c r="B27" s="41" t="str">
        <x:v>Incumbent supplier / service</x:v>
      </x:c>
      <x:c r="C27" s="41" t="str">
        <x:v>NAICS</x:v>
      </x:c>
      <x:c r="D27" s="41" t="str">
        <x:v>Economic mechanism</x:v>
      </x:c>
      <x:c r="E27" s="41" t="str">
        <x:v>Market geography</x:v>
      </x:c>
      <x:c r="F27" s="41" t="str">
        <x:v>2024 revenue ($bn)</x:v>
      </x:c>
      <x:c r="G27" s="41" t="str">
        <x:v>2024 AIES payroll ($bn)</x:v>
      </x:c>
      <x:c r="H27" s="41" t="str">
        <x:v>Public EBIT proxy</x:v>
      </x:c>
      <x:c r="I27" s="41" t="str">
        <x:v>2024 EBIT proxy ($bn)</x:v>
      </x:c>
      <x:c r="J27" s="41" t="str">
        <x:v>2030 sales CAGR</x:v>
      </x:c>
      <x:c r="K27" s="41" t="str">
        <x:v>2030 EBIT proxy ($bn)</x:v>
      </x:c>
      <x:c r="L27" s="41" t="str">
        <x:v>Business purchase share</x:v>
      </x:c>
      <x:c r="M27" s="41" t="str">
        <x:v>Profit contestable %</x:v>
      </x:c>
      <x:c r="N27" s="41" t="str">
        <x:v>Transition to AI by 2030</x:v>
      </x:c>
      <x:c r="O27" s="41" t="str">
        <x:v>Vendor share of value</x:v>
      </x:c>
      <x:c r="P27" s="41" t="str">
        <x:v>Supplier profit exposed ($bn)</x:v>
      </x:c>
      <x:c r="Q27" s="41" t="str">
        <x:v>Vendor opportunity ($bn)</x:v>
      </x:c>
      <x:c r="R27" s="41" t="str">
        <x:v>Additive gate 0/1</x:v>
      </x:c>
      <x:c r="S27" s="41" t="str">
        <x:v>Approved revenue ($bn)</x:v>
      </x:c>
      <x:c r="T27" s="41" t="str">
        <x:v>Boundary / limitation</x:v>
      </x:c>
      <x:c r="U27" s="41" t="str">
        <x:v>Source URL</x:v>
      </x:c>
    </x:row>
    <x:row r="28" ht="34" customHeight="1">
      <x:c r="A28" s="2" t="str">
        <x:v>B01</x:v>
      </x:c>
      <x:c r="B28" s="31" t="str">
        <x:v>Software publishing &amp; SaaS</x:v>
      </x:c>
      <x:c r="C28" s="31" t="str">
        <x:v>5112</x:v>
      </x:c>
      <x:c r="D28" s="31" t="str">
        <x:v>Existing license replacement</x:v>
      </x:c>
      <x:c r="E28" s="31" t="str">
        <x:v>US</x:v>
      </x:c>
      <x:c r="F28" s="26" t="n">
        <x:v>567.772378</x:v>
      </x:c>
      <x:c r="G28" s="26" t="n">
        <x:v>208.223779</x:v>
      </x:c>
      <x:c r="H28" s="34" t="n">
        <x:v>0.3298</x:v>
      </x:c>
      <x:c r="I28" s="46" t="n">
        <x:f>IF(OR(F28="",H28=""),"",F28*H28)</x:f>
        <x:v>187.2513302644</x:v>
      </x:c>
      <x:c r="J28" s="48" t="n">
        <x:f>I16</x:f>
        <x:v>0.03</x:v>
      </x:c>
      <x:c r="K28" s="46" t="n">
        <x:f>IF(I28="","",I28*(1+J28)^6)</x:f>
        <x:v>223.58788093031703</x:v>
      </x:c>
      <x:c r="L28" s="34" t="n">
        <x:v>0.8</x:v>
      </x:c>
      <x:c r="M28" s="34" t="n">
        <x:v>0.25</x:v>
      </x:c>
      <x:c r="N28" s="34" t="n">
        <x:v>0.35</x:v>
      </x:c>
      <x:c r="O28" s="34" t="n">
        <x:v>0.5</x:v>
      </x:c>
      <x:c r="P28" s="46" t="n">
        <x:f>IF(K28="","",K28*L28*M28)</x:f>
        <x:v>44.71757618606341</x:v>
      </x:c>
      <x:c r="Q28" s="46" t="n">
        <x:f>IF(P28="","",P28*N28*O28)</x:f>
        <x:v>7.825575832561096</x:v>
      </x:c>
      <x:c r="R28" s="36" t="n">
        <x:v>0</x:v>
      </x:c>
      <x:c r="S28" s="46" t="n">
        <x:f>IF(Q28="","",Q28*R28)</x:f>
        <x:v>0</x:v>
      </x:c>
      <x:c r="T28" s="31" t="str">
        <x:v>SaaS public margins vs Census industry mix; cannot add to software-seat revenue</x:v>
      </x:c>
      <x:c r="U28" s="31" t="str">
        <x:v>https://data.census.gov/table/AIESBASIC2024.AIES00BASIC?codeset=naics~N0600.51</x:v>
      </x:c>
    </x:row>
    <x:row r="29" ht="34" customHeight="1">
      <x:c r="A29" s="2" t="str">
        <x:v>B02</x:v>
      </x:c>
      <x:c r="B29" s="31" t="str">
        <x:v>IT integration &amp; legacy systems</x:v>
      </x:c>
      <x:c r="C29" s="31" t="str">
        <x:v>5415</x:v>
      </x:c>
      <x:c r="D29" s="31" t="str">
        <x:v>Outsourced IT procurement replaced</x:v>
      </x:c>
      <x:c r="E29" s="31" t="str">
        <x:v>US</x:v>
      </x:c>
      <x:c r="F29" s="26" t="n">
        <x:v>663.500505</x:v>
      </x:c>
      <x:c r="G29" s="26" t="n">
        <x:v>249.634088</x:v>
      </x:c>
      <x:c r="H29" s="34" t="n">
        <x:v>0.0741</x:v>
      </x:c>
      <x:c r="I29" s="46" t="n">
        <x:f>IF(OR(F29="",H29=""),"",F29*H29)</x:f>
        <x:v>49.1653874205</x:v>
      </x:c>
      <x:c r="J29" s="48" t="n">
        <x:f>I16</x:f>
        <x:v>0.03</x:v>
      </x:c>
      <x:c r="K29" s="46" t="n">
        <x:f>IF(I29="","",I29*(1+J29)^6)</x:f>
        <x:v>58.706043759186024</x:v>
      </x:c>
      <x:c r="L29" s="34" t="n">
        <x:v>0.9</x:v>
      </x:c>
      <x:c r="M29" s="34" t="n">
        <x:v>0.35</x:v>
      </x:c>
      <x:c r="N29" s="34" t="n">
        <x:v>0.35</x:v>
      </x:c>
      <x:c r="O29" s="34" t="n">
        <x:v>0.5</x:v>
      </x:c>
      <x:c r="P29" s="46" t="n">
        <x:f>IF(K29="","",K29*L29*M29)</x:f>
        <x:v>18.492403784143598</x:v>
      </x:c>
      <x:c r="Q29" s="46" t="n">
        <x:f>IF(P29="","",P29*N29*O29)</x:f>
        <x:v>3.2361706622251294</x:v>
      </x:c>
      <x:c r="R29" s="36" t="n">
        <x:v>0</x:v>
      </x:c>
      <x:c r="S29" s="46" t="n">
        <x:f>IF(Q29="","",Q29*R29)</x:f>
        <x:v>0</x:v>
      </x:c>
      <x:c r="T29" s="31" t="str">
        <x:v>Exclude supplier employees already in labor model; EBIT cross-check only</x:v>
      </x:c>
      <x:c r="U29" s="31" t="str">
        <x:v>https://data.census.gov/table/AIESBASIC2024.AIES00BASIC?codeset=naics~5415</x:v>
      </x:c>
    </x:row>
    <x:row r="30" ht="34" customHeight="1">
      <x:c r="A30" s="2" t="str">
        <x:v>B03</x:v>
      </x:c>
      <x:c r="B30" s="31" t="str">
        <x:v>Legal services</x:v>
      </x:c>
      <x:c r="C30" s="31" t="str">
        <x:v>5411</x:v>
      </x:c>
      <x:c r="D30" s="31" t="str">
        <x:v>External counsel &amp; legal process</x:v>
      </x:c>
      <x:c r="E30" s="31" t="str">
        <x:v>US</x:v>
      </x:c>
      <x:c r="F30" s="26" t="n">
        <x:v>435.199822</x:v>
      </x:c>
      <x:c r="G30" s="26" t="n">
        <x:v>150.301738</x:v>
      </x:c>
      <x:c r="H30" s="34" t="n">
        <x:v>0.1227</x:v>
      </x:c>
      <x:c r="I30" s="46" t="n">
        <x:f>IF(OR(F30="",H30=""),"",F30*H30)</x:f>
        <x:v>53.3990181594</x:v>
      </x:c>
      <x:c r="J30" s="48" t="n">
        <x:f>I16</x:f>
        <x:v>0.03</x:v>
      </x:c>
      <x:c r="K30" s="46" t="n">
        <x:f>IF(I30="","",I30*(1+J30)^6)</x:f>
        <x:v>63.76122026562534</x:v>
      </x:c>
      <x:c r="L30" s="34" t="n">
        <x:v>0.85</x:v>
      </x:c>
      <x:c r="M30" s="34" t="n">
        <x:v>0.25</x:v>
      </x:c>
      <x:c r="N30" s="34" t="n">
        <x:v>0.25</x:v>
      </x:c>
      <x:c r="O30" s="34" t="n">
        <x:v>0.5</x:v>
      </x:c>
      <x:c r="P30" s="46" t="n">
        <x:f>IF(K30="","",K30*L30*M30)</x:f>
        <x:v>13.549259306445384</x:v>
      </x:c>
      <x:c r="Q30" s="46" t="n">
        <x:f>IF(P30="","",P30*N30*O30)</x:f>
        <x:v>1.693657413305673</x:v>
      </x:c>
      <x:c r="R30" s="36" t="n">
        <x:v>0</x:v>
      </x:c>
      <x:c r="S30" s="46" t="n">
        <x:f>IF(Q30="","",Q30*R30)</x:f>
        <x:v>0</x:v>
      </x:c>
      <x:c r="T30" s="31" t="str">
        <x:v>Legal margin uses generic business services public proxy; avoid internal legal salaries</x:v>
      </x:c>
      <x:c r="U30" s="31" t="str">
        <x:v>https://data.census.gov/table/AIESBASIC2024.AIES00BASIC?codeset=naics~5411&amp;g=010XX00US</x:v>
      </x:c>
    </x:row>
    <x:row r="31" ht="34" customHeight="1">
      <x:c r="A31" s="2" t="str">
        <x:v>B04</x:v>
      </x:c>
      <x:c r="B31" s="31" t="str">
        <x:v>Management consulting</x:v>
      </x:c>
      <x:c r="C31" s="31" t="str">
        <x:v>54161</x:v>
      </x:c>
      <x:c r="D31" s="31" t="str">
        <x:v>Research, diligence, advisory</x:v>
      </x:c>
      <x:c r="E31" s="31" t="str">
        <x:v>US</x:v>
      </x:c>
      <x:c r="F31" s="26" t="n">
        <x:v>396.915313</x:v>
      </x:c>
      <x:c r="G31" s="46"/>
      <x:c r="H31" s="34" t="n">
        <x:v>0.1227</x:v>
      </x:c>
      <x:c r="I31" s="46" t="n">
        <x:f>IF(OR(F31="",H31=""),"",F31*H31)</x:f>
        <x:v>48.701508905100006</x:v>
      </x:c>
      <x:c r="J31" s="48" t="n">
        <x:f>I16</x:f>
        <x:v>0.03</x:v>
      </x:c>
      <x:c r="K31" s="46" t="n">
        <x:f>IF(I31="","",I31*(1+J31)^6)</x:f>
        <x:v>58.1521485525622</x:v>
      </x:c>
      <x:c r="L31" s="34" t="n">
        <x:v>0.9</x:v>
      </x:c>
      <x:c r="M31" s="34" t="n">
        <x:v>0.25</x:v>
      </x:c>
      <x:c r="N31" s="34" t="n">
        <x:v>0.3</x:v>
      </x:c>
      <x:c r="O31" s="34" t="n">
        <x:v>0.5</x:v>
      </x:c>
      <x:c r="P31" s="46" t="n">
        <x:f>IF(K31="","",K31*L31*M31)</x:f>
        <x:v>13.084233424326495</x:v>
      </x:c>
      <x:c r="Q31" s="46" t="n">
        <x:f>IF(P31="","",P31*N31*O31)</x:f>
        <x:v>1.962635013648974</x:v>
      </x:c>
      <x:c r="R31" s="36" t="n">
        <x:v>0</x:v>
      </x:c>
      <x:c r="S31" s="46" t="n">
        <x:f>IF(Q31="","",Q31*R31)</x:f>
        <x:v>0</x:v>
      </x:c>
      <x:c r="T31" s="31" t="str">
        <x:v>Consulting margins &amp; employee wages partly overlap with labor channel</x:v>
      </x:c>
      <x:c r="U31" s="31" t="str">
        <x:v>https://fred.stlouisfed.org/series/AIES54161RCT00US</x:v>
      </x:c>
    </x:row>
    <x:row r="32" ht="34" customHeight="1">
      <x:c r="A32" s="2" t="str">
        <x:v>B05</x:v>
      </x:c>
      <x:c r="B32" s="31" t="str">
        <x:v>Advertising agencies</x:v>
      </x:c>
      <x:c r="C32" s="31" t="str">
        <x:v>54181</x:v>
      </x:c>
      <x:c r="D32" s="31" t="str">
        <x:v>Media planning &amp; creative production</x:v>
      </x:c>
      <x:c r="E32" s="31" t="str">
        <x:v>US</x:v>
      </x:c>
      <x:c r="F32" s="26" t="n">
        <x:v>69.402338</x:v>
      </x:c>
      <x:c r="G32" s="46"/>
      <x:c r="H32" s="34" t="n">
        <x:v>0.1007</x:v>
      </x:c>
      <x:c r="I32" s="46" t="n">
        <x:f>IF(OR(F32="",H32=""),"",F32*H32)</x:f>
        <x:v>6.9888154365999995</x:v>
      </x:c>
      <x:c r="J32" s="48" t="n">
        <x:f>I16</x:f>
        <x:v>0.03</x:v>
      </x:c>
      <x:c r="K32" s="46" t="n">
        <x:f>IF(I32="","",I32*(1+J32)^6)</x:f>
        <x:v>8.345011122089554</x:v>
      </x:c>
      <x:c r="L32" s="34" t="n">
        <x:v>0.95</x:v>
      </x:c>
      <x:c r="M32" s="34" t="n">
        <x:v>0.35</x:v>
      </x:c>
      <x:c r="N32" s="34" t="n">
        <x:v>0.35</x:v>
      </x:c>
      <x:c r="O32" s="34" t="n">
        <x:v>0.5</x:v>
      </x:c>
      <x:c r="P32" s="46" t="n">
        <x:f>IF(K32="","",K32*L32*M32)</x:f>
        <x:v>2.7747161980947763</x:v>
      </x:c>
      <x:c r="Q32" s="46" t="n">
        <x:f>IF(P32="","",P32*N32*O32)</x:f>
        <x:v>0.4855753346665858</x:v>
      </x:c>
      <x:c r="R32" s="36" t="n">
        <x:v>0</x:v>
      </x:c>
      <x:c r="S32" s="46" t="n">
        <x:f>IF(Q32="","",Q32*R32)</x:f>
        <x:v>0</x:v>
      </x:c>
      <x:c r="T32" s="31" t="str">
        <x:v>Do not include ad media pass-through costs or internal marketing wages</x:v>
      </x:c>
      <x:c r="U32" s="31" t="str">
        <x:v>https://fred.stlouisfed.org/series/AIES54181RCT00US</x:v>
      </x:c>
    </x:row>
    <x:row r="33" ht="34" customHeight="1">
      <x:c r="A33" s="2" t="str">
        <x:v>B06</x:v>
      </x:c>
      <x:c r="B33" s="31" t="str">
        <x:v>Accounting / audit / tax</x:v>
      </x:c>
      <x:c r="C33" s="31" t="str">
        <x:v>5412</x:v>
      </x:c>
      <x:c r="D33" s="31" t="str">
        <x:v>Outsourced accounting services</x:v>
      </x:c>
      <x:c r="E33" s="31" t="str">
        <x:v>US</x:v>
      </x:c>
      <x:c r="F33" s="46"/>
      <x:c r="G33" s="46"/>
      <x:c r="H33" s="48"/>
      <x:c r="I33" s="46" t="str">
        <x:f>IF(OR(F33="",H33=""),"",F33*H33)</x:f>
      </x:c>
      <x:c r="J33" s="48" t="n">
        <x:f>I16</x:f>
        <x:v>0.03</x:v>
      </x:c>
      <x:c r="K33" s="46" t="str">
        <x:f>IF(I33="","",I33*(1+J33)^6)</x:f>
      </x:c>
      <x:c r="L33" s="34" t="n">
        <x:v>0.95</x:v>
      </x:c>
      <x:c r="M33" s="34" t="n">
        <x:v>0.35</x:v>
      </x:c>
      <x:c r="N33" s="34" t="n">
        <x:v>0.35</x:v>
      </x:c>
      <x:c r="O33" s="34" t="n">
        <x:v>0.5</x:v>
      </x:c>
      <x:c r="P33" s="46" t="str">
        <x:f>IF(K33="","",K33*L33*M33)</x:f>
      </x:c>
      <x:c r="Q33" s="46" t="str">
        <x:f>IF(P33="","",P33*N33*O33)</x:f>
      </x:c>
      <x:c r="R33" s="36" t="n">
        <x:v>0</x:v>
      </x:c>
      <x:c r="S33" s="46" t="str">
        <x:f>IF(Q33="","",Q33*R33)</x:f>
      </x:c>
      <x:c r="T33" s="31" t="str">
        <x:v>Industry revenue/payroll + pure profit split still required</x:v>
      </x:c>
      <x:c r="U33" s="31" t="str">
        <x:v>https://www.census.gov/programs-surveys/aies.html</x:v>
      </x:c>
    </x:row>
    <x:row r="34" ht="34" customHeight="1">
      <x:c r="A34" s="2" t="str">
        <x:v>B07</x:v>
      </x:c>
      <x:c r="B34" s="31" t="str">
        <x:v>Call-center outsourcing</x:v>
      </x:c>
      <x:c r="C34" s="31" t="str">
        <x:v>56142</x:v>
      </x:c>
      <x:c r="D34" s="31" t="str">
        <x:v>External contact services</x:v>
      </x:c>
      <x:c r="E34" s="31" t="str">
        <x:v>US</x:v>
      </x:c>
      <x:c r="F34" s="46"/>
      <x:c r="G34" s="46"/>
      <x:c r="H34" s="48"/>
      <x:c r="I34" s="46" t="str">
        <x:f>IF(OR(F34="",H34=""),"",F34*H34)</x:f>
      </x:c>
      <x:c r="J34" s="48" t="n">
        <x:f>I16</x:f>
        <x:v>0.03</x:v>
      </x:c>
      <x:c r="K34" s="46" t="str">
        <x:f>IF(I34="","",I34*(1+J34)^6)</x:f>
      </x:c>
      <x:c r="L34" s="34" t="n">
        <x:v>0.95</x:v>
      </x:c>
      <x:c r="M34" s="34" t="n">
        <x:v>0.5</x:v>
      </x:c>
      <x:c r="N34" s="34" t="n">
        <x:v>0.4</x:v>
      </x:c>
      <x:c r="O34" s="34" t="n">
        <x:v>0.5</x:v>
      </x:c>
      <x:c r="P34" s="46" t="str">
        <x:f>IF(K34="","",K34*L34*M34)</x:f>
      </x:c>
      <x:c r="Q34" s="46" t="str">
        <x:f>IF(P34="","",P34*N34*O34)</x:f>
      </x:c>
      <x:c r="R34" s="36" t="n">
        <x:v>0</x:v>
      </x:c>
      <x:c r="S34" s="46" t="str">
        <x:f>IF(Q34="","",Q34*R34)</x:f>
      </x:c>
      <x:c r="T34" s="31" t="str">
        <x:v>Avoid B2B contact-center profit + enterprise seat value overlap</x:v>
      </x:c>
      <x:c r="U34" s="31" t="str">
        <x:v>https://www.census.gov/programs-surveys/aies.html</x:v>
      </x:c>
    </x:row>
    <x:row r="35" ht="34" customHeight="1">
      <x:c r="A35" s="2" t="str">
        <x:v>B08</x:v>
      </x:c>
      <x:c r="B35" s="31" t="str">
        <x:v>Market research &amp; data vendors</x:v>
      </x:c>
      <x:c r="C35" s="31" t="str">
        <x:v>54191</x:v>
      </x:c>
      <x:c r="D35" s="31" t="str">
        <x:v>External information procurement</x:v>
      </x:c>
      <x:c r="E35" s="31" t="str">
        <x:v>US</x:v>
      </x:c>
      <x:c r="F35" s="46"/>
      <x:c r="G35" s="46"/>
      <x:c r="H35" s="48"/>
      <x:c r="I35" s="46" t="str">
        <x:f>IF(OR(F35="",H35=""),"",F35*H35)</x:f>
      </x:c>
      <x:c r="J35" s="48" t="n">
        <x:f>I16</x:f>
        <x:v>0.03</x:v>
      </x:c>
      <x:c r="K35" s="46" t="str">
        <x:f>IF(I35="","",I35*(1+J35)^6)</x:f>
      </x:c>
      <x:c r="L35" s="34" t="n">
        <x:v>0.9</x:v>
      </x:c>
      <x:c r="M35" s="34" t="n">
        <x:v>0.4</x:v>
      </x:c>
      <x:c r="N35" s="34" t="n">
        <x:v>0.35</x:v>
      </x:c>
      <x:c r="O35" s="34" t="n">
        <x:v>0.5</x:v>
      </x:c>
      <x:c r="P35" s="46" t="str">
        <x:f>IF(K35="","",K35*L35*M35)</x:f>
      </x:c>
      <x:c r="Q35" s="46" t="str">
        <x:f>IF(P35="","",P35*N35*O35)</x:f>
      </x:c>
      <x:c r="R35" s="36" t="n">
        <x:v>0</x:v>
      </x:c>
      <x:c r="S35" s="46" t="str">
        <x:f>IF(Q35="","",Q35*R35)</x:f>
      </x:c>
      <x:c r="T35" s="31" t="str">
        <x:v>New AI data platform payments may replace incumbent spend</x:v>
      </x:c>
      <x:c r="U35" s="31" t="str">
        <x:v>https://www.census.gov/programs-surveys/aies.html</x:v>
      </x:c>
    </x:row>
    <x:row r="36" ht="34" customHeight="1">
      <x:c r="A36" s="2" t="str">
        <x:v>B09</x:v>
      </x:c>
      <x:c r="B36" s="31" t="str">
        <x:v>Recruiting &amp; staffing</x:v>
      </x:c>
      <x:c r="C36" s="31" t="str">
        <x:v>5613</x:v>
      </x:c>
      <x:c r="D36" s="31" t="str">
        <x:v>External recruitment / placement fees</x:v>
      </x:c>
      <x:c r="E36" s="31" t="str">
        <x:v>US</x:v>
      </x:c>
      <x:c r="F36" s="46"/>
      <x:c r="G36" s="46"/>
      <x:c r="H36" s="48"/>
      <x:c r="I36" s="46" t="str">
        <x:f>IF(OR(F36="",H36=""),"",F36*H36)</x:f>
      </x:c>
      <x:c r="J36" s="48" t="n">
        <x:f>I16</x:f>
        <x:v>0.03</x:v>
      </x:c>
      <x:c r="K36" s="46" t="str">
        <x:f>IF(I36="","",I36*(1+J36)^6)</x:f>
      </x:c>
      <x:c r="L36" s="34" t="n">
        <x:v>0.9</x:v>
      </x:c>
      <x:c r="M36" s="34" t="n">
        <x:v>0.35</x:v>
      </x:c>
      <x:c r="N36" s="34" t="n">
        <x:v>0.3</x:v>
      </x:c>
      <x:c r="O36" s="34" t="n">
        <x:v>0.5</x:v>
      </x:c>
      <x:c r="P36" s="46" t="str">
        <x:f>IF(K36="","",K36*L36*M36)</x:f>
      </x:c>
      <x:c r="Q36" s="46" t="str">
        <x:f>IF(P36="","",P36*N36*O36)</x:f>
      </x:c>
      <x:c r="R36" s="36" t="n">
        <x:v>0</x:v>
      </x:c>
      <x:c r="S36" s="46" t="str">
        <x:f>IF(Q36="","",Q36*R36)</x:f>
      </x:c>
      <x:c r="T36" s="31" t="str">
        <x:v>Not a claim that total staffing company sales are AI-exposed</x:v>
      </x:c>
      <x:c r="U36" s="31" t="str">
        <x:v>https://www.census.gov/programs-surveys/aies.html</x:v>
      </x:c>
    </x:row>
    <x:row r="37" ht="34" customHeight="1">
      <x:c r="A37" s="2" t="str">
        <x:v>B10</x:v>
      </x:c>
      <x:c r="B37" s="31" t="str">
        <x:v>Cybersecurity / managed services</x:v>
      </x:c>
      <x:c r="C37" s="31" t="str">
        <x:v>5415 / 5616</x:v>
      </x:c>
      <x:c r="D37" s="31" t="str">
        <x:v>Vendor feature and managed-service replacement</x:v>
      </x:c>
      <x:c r="E37" s="31" t="str">
        <x:v>US</x:v>
      </x:c>
      <x:c r="F37" s="46"/>
      <x:c r="G37" s="46"/>
      <x:c r="H37" s="48"/>
      <x:c r="I37" s="46" t="str">
        <x:f>IF(OR(F37="",H37=""),"",F37*H37)</x:f>
      </x:c>
      <x:c r="J37" s="48" t="n">
        <x:f>I16</x:f>
        <x:v>0.03</x:v>
      </x:c>
      <x:c r="K37" s="46" t="str">
        <x:f>IF(I37="","",I37*(1+J37)^6)</x:f>
      </x:c>
      <x:c r="L37" s="34" t="n">
        <x:v>0.9</x:v>
      </x:c>
      <x:c r="M37" s="34" t="n">
        <x:v>0.2</x:v>
      </x:c>
      <x:c r="N37" s="34" t="n">
        <x:v>0.25</x:v>
      </x:c>
      <x:c r="O37" s="34" t="n">
        <x:v>0.5</x:v>
      </x:c>
      <x:c r="P37" s="46" t="str">
        <x:f>IF(K37="","",K37*L37*M37)</x:f>
      </x:c>
      <x:c r="Q37" s="46" t="str">
        <x:f>IF(P37="","",P37*N37*O37)</x:f>
      </x:c>
      <x:c r="R37" s="36" t="n">
        <x:v>0</x:v>
      </x:c>
      <x:c r="S37" s="46" t="str">
        <x:f>IF(Q37="","",Q37*R37)</x:f>
      </x:c>
      <x:c r="T37" s="31" t="str">
        <x:v>Overlaps B02 NAICS 5415: EXCLUDE until distinct mapping</x:v>
      </x:c>
      <x:c r="U37" s="31" t="str">
        <x:v>https://www.bea.gov/itable/input-output</x:v>
      </x:c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0" customHeight="1">
      <x:c r="A39" s="28"/>
      <x:c r="B39" s="28" t="str">
        <x:v>B2B screened vendor potential — US only</x:v>
      </x:c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52" t="n">
        <x:f>SUM(Q28:Q37)</x:f>
        <x:v>15.203614256407457</x:v>
      </x:c>
      <x:c r="R39" s="28" t="str">
        <x:v>Core approved B2B revenue</x:v>
      </x:c>
      <x:c r="S39" s="52" t="n">
        <x:f>SUM(S28:S37)</x:f>
        <x:v>0</x:v>
      </x:c>
      <x:c r="T39" s="28"/>
      <x:c r="U39" s="28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5" customHeight="1">
      <x:c r="A43" s="20" t="str">
        <x:v>05  |  B2C — SUBSCRIPTIONS vs. DEVICE PREMIUM vs. COMMISSION TAKE RATE (DIFFERENT PAYERS / DIFFERENT VALUE CHAINS)</x:v>
      </x:c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</x:row>
    <x:row r="44" ht="37" customHeight="1">
      <x:c r="A44" s="41" t="str">
        <x:v>ID</x:v>
      </x:c>
      <x:c r="B44" s="41" t="str">
        <x:v>End market</x:v>
      </x:c>
      <x:c r="C44" s="41" t="str">
        <x:v>Primary payer</x:v>
      </x:c>
      <x:c r="D44" s="41" t="str">
        <x:v>Revenue basis / economic type</x:v>
      </x:c>
      <x:c r="E44" s="41" t="str">
        <x:v>Source year</x:v>
      </x:c>
      <x:c r="F44" s="41" t="str">
        <x:v>Observed spend ($bn)</x:v>
      </x:c>
      <x:c r="G44" s="41" t="str">
        <x:v>Paying users (mn) / units</x:v>
      </x:c>
      <x:c r="H44" s="41" t="str">
        <x:v>Price ($ per user/yr or unit)</x:v>
      </x:c>
      <x:c r="I44" s="41" t="str">
        <x:v>AI share shift / attach %</x:v>
      </x:c>
      <x:c r="J44" s="41" t="str">
        <x:v>Net incremental spend %</x:v>
      </x:c>
      <x:c r="K44" s="41" t="str">
        <x:v>Vendor capture or take rate</x:v>
      </x:c>
      <x:c r="L44" s="41" t="str">
        <x:v>AI vendor potential ($bn)</x:v>
      </x:c>
      <x:c r="M44" s="41" t="str">
        <x:v>Additive gate 0/1</x:v>
      </x:c>
      <x:c r="N44" s="41" t="str">
        <x:v>Approved ($bn)</x:v>
      </x:c>
      <x:c r="O44" s="41" t="str">
        <x:v>Status / missing data</x:v>
      </x:c>
      <x:c r="P44" s="41" t="str">
        <x:v>Overlap / revenue recognition guard</x:v>
      </x:c>
      <x:c r="Q44" s="41" t="str">
        <x:v>Source URL</x:v>
      </x:c>
      <x:c r="R44" s="41" t="str"/>
      <x:c r="S44" s="41" t="str"/>
      <x:c r="T44" s="41" t="str"/>
      <x:c r="U44" s="41" t="str"/>
    </x:row>
    <x:row r="45" ht="32" customHeight="1">
      <x:c r="A45" s="2" t="str">
        <x:v>C01</x:v>
      </x:c>
      <x:c r="B45" s="31" t="str">
        <x:v>Consumer AI subscriptions</x:v>
      </x:c>
      <x:c r="C45" s="31" t="str">
        <x:v>Household</x:v>
      </x:c>
      <x:c r="D45" s="31" t="str">
        <x:v>Paid users × annual subscription</x:v>
      </x:c>
      <x:c r="E45" s="2" t="n">
        <x:v>2026</x:v>
      </x:c>
      <x:c r="F45" s="46"/>
      <x:c r="G45" s="46"/>
      <x:c r="H45" s="26" t="n">
        <x:v>240</x:v>
      </x:c>
      <x:c r="I45" s="34" t="n">
        <x:v>1</x:v>
      </x:c>
      <x:c r="J45" s="34" t="n">
        <x:v>1</x:v>
      </x:c>
      <x:c r="K45" s="34" t="n">
        <x:v>1</x:v>
      </x:c>
      <x:c r="L45" s="46" t="str">
        <x:f>IF(G45="","",G45*H45*I45*J45*K45/1000)</x:f>
      </x:c>
      <x:c r="M45" s="36" t="n">
        <x:v>0</x:v>
      </x:c>
      <x:c r="N45" s="46" t="str">
        <x:f>IF(L45="","",L45*M45)</x:f>
      </x:c>
      <x:c r="O45" s="31" t="str">
        <x:v>NEEDS PAYING USER DATA</x:v>
      </x:c>
      <x:c r="P45" s="31" t="str">
        <x:v>Do not also include same app revenue in consumer device bundle</x:v>
      </x:c>
      <x:c r="Q45" s="31" t="str"/>
      <x:c r="R45" s="2"/>
      <x:c r="S45" s="2"/>
      <x:c r="T45" s="2"/>
      <x:c r="U45" s="2"/>
    </x:row>
    <x:row r="46" ht="32" customHeight="1">
      <x:c r="A46" s="2" t="str">
        <x:v>C02</x:v>
      </x:c>
      <x:c r="B46" s="31" t="str">
        <x:v>Consumer electronics / media spending</x:v>
      </x:c>
      <x:c r="C46" s="31" t="str">
        <x:v>Household</x:v>
      </x:c>
      <x:c r="D46" s="31" t="str">
        <x:v>PCE × AI wallet share shift × incremental share</x:v>
      </x:c>
      <x:c r="E46" s="2" t="n">
        <x:v>2025</x:v>
      </x:c>
      <x:c r="F46" s="26" t="n">
        <x:v>427.604</x:v>
      </x:c>
      <x:c r="G46" s="46"/>
      <x:c r="H46" s="46"/>
      <x:c r="I46" s="34" t="n">
        <x:v>0.01</x:v>
      </x:c>
      <x:c r="J46" s="34" t="n">
        <x:v>0.25</x:v>
      </x:c>
      <x:c r="K46" s="34" t="n">
        <x:v>0.4</x:v>
      </x:c>
      <x:c r="L46" s="46" t="n">
        <x:f>F46*I46*J46*K46</x:f>
        <x:v>0.42760400000000004</x:v>
      </x:c>
      <x:c r="M46" s="36" t="n">
        <x:v>0</x:v>
      </x:c>
      <x:c r="N46" s="46" t="n">
        <x:f>IF(L46="","",L46*M46)</x:f>
        <x:v>0</x:v>
      </x:c>
      <x:c r="O46" s="31" t="str">
        <x:v>OBSERVED BEA BASE + ASSUMPTIONS</x:v>
      </x:c>
      <x:c r="P46" s="31" t="str">
        <x:v>Wallet shift may be substitution; 1% is scenario, not incremental sales</x:v>
      </x:c>
      <x:c r="Q46" s="31" t="str">
        <x:v>https://fred.stlouisfed.org/series/DVAPRC1A027NBEA</x:v>
      </x:c>
      <x:c r="R46" s="2"/>
      <x:c r="S46" s="2"/>
      <x:c r="T46" s="2"/>
      <x:c r="U46" s="2"/>
    </x:row>
    <x:row r="47" ht="32" customHeight="1">
      <x:c r="A47" s="2" t="str">
        <x:v>C03</x:v>
      </x:c>
      <x:c r="B47" s="31" t="str">
        <x:v>AI PC on-device premium</x:v>
      </x:c>
      <x:c r="C47" s="31" t="str">
        <x:v>Household</x:v>
      </x:c>
      <x:c r="D47" s="31" t="str">
        <x:v>Units × incremental device price</x:v>
      </x:c>
      <x:c r="E47" s="2" t="n">
        <x:v>2030</x:v>
      </x:c>
      <x:c r="F47" s="46"/>
      <x:c r="G47" s="46"/>
      <x:c r="H47" s="26" t="n">
        <x:v>150</x:v>
      </x:c>
      <x:c r="I47" s="34" t="n">
        <x:v>1</x:v>
      </x:c>
      <x:c r="J47" s="34" t="n">
        <x:v>1</x:v>
      </x:c>
      <x:c r="K47" s="34" t="n">
        <x:v>0.5</x:v>
      </x:c>
      <x:c r="L47" s="46" t="str">
        <x:f>IF(G47="","",G47*H47*I47*J47*K47/1000)</x:f>
      </x:c>
      <x:c r="M47" s="36" t="n">
        <x:v>0</x:v>
      </x:c>
      <x:c r="N47" s="46" t="str">
        <x:f>IF(L47="","",L47*M47)</x:f>
      </x:c>
      <x:c r="O47" s="31" t="str">
        <x:v>NEEDS AI UNIT SHIPMENTS</x:v>
      </x:c>
      <x:c r="P47" s="31" t="str">
        <x:v>Avoid embedding both PC device premium and overall equipment wallet shift</x:v>
      </x:c>
      <x:c r="Q47" s="31" t="str"/>
      <x:c r="R47" s="2"/>
      <x:c r="S47" s="2"/>
      <x:c r="T47" s="2"/>
      <x:c r="U47" s="2"/>
    </x:row>
    <x:row r="48" ht="32" customHeight="1">
      <x:c r="A48" s="2" t="str">
        <x:v>C04</x:v>
      </x:c>
      <x:c r="B48" s="31" t="str">
        <x:v>Smart glasses / wearables</x:v>
      </x:c>
      <x:c r="C48" s="31" t="str">
        <x:v>Household</x:v>
      </x:c>
      <x:c r="D48" s="31" t="str">
        <x:v>Units × AI incremental price</x:v>
      </x:c>
      <x:c r="E48" s="2" t="n">
        <x:v>2030</x:v>
      </x:c>
      <x:c r="F48" s="46"/>
      <x:c r="G48" s="46"/>
      <x:c r="H48" s="26" t="n">
        <x:v>100</x:v>
      </x:c>
      <x:c r="I48" s="34" t="n">
        <x:v>1</x:v>
      </x:c>
      <x:c r="J48" s="34" t="n">
        <x:v>1</x:v>
      </x:c>
      <x:c r="K48" s="34" t="n">
        <x:v>0.5</x:v>
      </x:c>
      <x:c r="L48" s="46" t="str">
        <x:f>IF(G48="","",G48*H48*I48*J48*K48/1000)</x:f>
      </x:c>
      <x:c r="M48" s="36" t="n">
        <x:v>0</x:v>
      </x:c>
      <x:c r="N48" s="46" t="str">
        <x:f>IF(L48="","",L48*M48)</x:f>
      </x:c>
      <x:c r="O48" s="31" t="str">
        <x:v>NEEDS AI UNIT SHIPMENTS</x:v>
      </x:c>
      <x:c r="P48" s="31" t="str">
        <x:v>Exclude non-AI baseline hardware sales; identify user paid add-on</x:v>
      </x:c>
      <x:c r="Q48" s="31" t="str"/>
      <x:c r="R48" s="2"/>
      <x:c r="S48" s="2"/>
      <x:c r="T48" s="2"/>
      <x:c r="U48" s="2"/>
    </x:row>
    <x:row r="49" ht="32" customHeight="1">
      <x:c r="A49" s="2" t="str">
        <x:v>C05</x:v>
      </x:c>
      <x:c r="B49" s="31" t="str">
        <x:v>Consumer shopping agent / commerce</x:v>
      </x:c>
      <x:c r="C49" s="31" t="str">
        <x:v>Merchant/household</x:v>
      </x:c>
      <x:c r="D49" s="31" t="str">
        <x:v>Attributable GMV × incremental fee / take rate</x:v>
      </x:c>
      <x:c r="E49" s="2" t="n">
        <x:v>2030</x:v>
      </x:c>
      <x:c r="F49" s="46"/>
      <x:c r="G49" s="46"/>
      <x:c r="H49" s="46"/>
      <x:c r="I49" s="34" t="n">
        <x:v>0.01</x:v>
      </x:c>
      <x:c r="J49" s="34" t="n">
        <x:v>1</x:v>
      </x:c>
      <x:c r="K49" s="34" t="n">
        <x:v>0.2</x:v>
      </x:c>
      <x:c r="L49" s="46" t="str">
        <x:f>IF(F49="","",F49*I49*K49)</x:f>
      </x:c>
      <x:c r="M49" s="36" t="n">
        <x:v>0</x:v>
      </x:c>
      <x:c r="N49" s="46" t="str">
        <x:f>IF(L49="","",L49*M49)</x:f>
      </x:c>
      <x:c r="O49" s="31" t="str">
        <x:v>NEEDS ATTRIBUTABLE GMV</x:v>
      </x:c>
      <x:c r="P49" s="31" t="str">
        <x:v>GMV is NOT revenue; only incremental take rate belongs to vendor</x:v>
      </x:c>
      <x:c r="Q49" s="31" t="str"/>
      <x:c r="R49" s="2"/>
      <x:c r="S49" s="2"/>
      <x:c r="T49" s="2"/>
      <x:c r="U49" s="2"/>
    </x:row>
    <x:row r="50" ht="32" customHeight="1">
      <x:c r="A50" s="2" t="str">
        <x:v>C06</x:v>
      </x:c>
      <x:c r="B50" s="31" t="str">
        <x:v>AI learning / tutoring</x:v>
      </x:c>
      <x:c r="C50" s="31" t="str">
        <x:v>Household</x:v>
      </x:c>
      <x:c r="D50" s="31" t="str">
        <x:v>Paying users × annual net spend</x:v>
      </x:c>
      <x:c r="E50" s="2" t="n">
        <x:v>2030</x:v>
      </x:c>
      <x:c r="F50" s="46"/>
      <x:c r="G50" s="46"/>
      <x:c r="H50" s="26" t="n">
        <x:v>180</x:v>
      </x:c>
      <x:c r="I50" s="34" t="n">
        <x:v>0.5</x:v>
      </x:c>
      <x:c r="J50" s="34" t="n">
        <x:v>1</x:v>
      </x:c>
      <x:c r="K50" s="34" t="n">
        <x:v>1</x:v>
      </x:c>
      <x:c r="L50" s="46" t="str">
        <x:f>IF(G50="","",G50*H50*I50*J50*K50/1000)</x:f>
      </x:c>
      <x:c r="M50" s="36" t="n">
        <x:v>0</x:v>
      </x:c>
      <x:c r="N50" s="46" t="str">
        <x:f>IF(L50="","",L50*M50)</x:f>
      </x:c>
      <x:c r="O50" s="31" t="str">
        <x:v>NEEDS EXCLUSIVE PAYING USERS</x:v>
      </x:c>
      <x:c r="P50" s="31" t="str">
        <x:v>Exclude general AI subscription users counted in C01 unless incremental</x:v>
      </x:c>
      <x:c r="Q50" s="31" t="str"/>
      <x:c r="R50" s="2"/>
      <x:c r="S50" s="2"/>
      <x:c r="T50" s="2"/>
      <x:c r="U50" s="2"/>
    </x:row>
    <x:row r="51" ht="32" customHeight="1">
      <x:c r="A51" s="2" t="str">
        <x:v>C07</x:v>
      </x:c>
      <x:c r="B51" s="31" t="str">
        <x:v>Personal wellbeing / healthcare apps</x:v>
      </x:c>
      <x:c r="C51" s="31" t="str">
        <x:v>Household</x:v>
      </x:c>
      <x:c r="D51" s="31" t="str">
        <x:v>Paying users × annual net spend</x:v>
      </x:c>
      <x:c r="E51" s="2" t="n">
        <x:v>2030</x:v>
      </x:c>
      <x:c r="F51" s="46"/>
      <x:c r="G51" s="46"/>
      <x:c r="H51" s="26" t="n">
        <x:v>120</x:v>
      </x:c>
      <x:c r="I51" s="34" t="n">
        <x:v>0.4</x:v>
      </x:c>
      <x:c r="J51" s="34" t="n">
        <x:v>1</x:v>
      </x:c>
      <x:c r="K51" s="34" t="n">
        <x:v>1</x:v>
      </x:c>
      <x:c r="L51" s="46" t="str">
        <x:f>IF(G51="","",G51*H51*I51*J51*K51/1000)</x:f>
      </x:c>
      <x:c r="M51" s="36" t="n">
        <x:v>0</x:v>
      </x:c>
      <x:c r="N51" s="46" t="str">
        <x:f>IF(L51="","",L51*M51)</x:f>
      </x:c>
      <x:c r="O51" s="31" t="str">
        <x:v>NEEDS DISTINCT VERTICAL USERS</x:v>
      </x:c>
      <x:c r="P51" s="31" t="str">
        <x:v>Insurance-paid enterprise spend should go to B2B payer bucket</x:v>
      </x:c>
      <x:c r="Q51" s="31" t="str"/>
      <x:c r="R51" s="2"/>
      <x:c r="S51" s="2"/>
      <x:c r="T51" s="2"/>
      <x:c r="U51" s="2"/>
    </x:row>
    <x:row r="52" ht="32" customHeight="1">
      <x:c r="A52" s="2" t="str">
        <x:v>C08</x:v>
      </x:c>
      <x:c r="B52" s="31" t="str">
        <x:v>AI gaming / media creation</x:v>
      </x:c>
      <x:c r="C52" s="31" t="str">
        <x:v>Household</x:v>
      </x:c>
      <x:c r="D52" s="31" t="str">
        <x:v>Units/subscribers × incremental premium</x:v>
      </x:c>
      <x:c r="E52" s="2" t="n">
        <x:v>2030</x:v>
      </x:c>
      <x:c r="F52" s="46"/>
      <x:c r="G52" s="46"/>
      <x:c r="H52" s="26" t="n">
        <x:v>60</x:v>
      </x:c>
      <x:c r="I52" s="34" t="n">
        <x:v>0.4</x:v>
      </x:c>
      <x:c r="J52" s="34" t="n">
        <x:v>1</x:v>
      </x:c>
      <x:c r="K52" s="34" t="n">
        <x:v>1</x:v>
      </x:c>
      <x:c r="L52" s="46" t="str">
        <x:f>IF(G52="","",G52*H52*I52*J52*K52/1000)</x:f>
      </x:c>
      <x:c r="M52" s="36" t="n">
        <x:v>0</x:v>
      </x:c>
      <x:c r="N52" s="46" t="str">
        <x:f>IF(L52="","",L52*M52)</x:f>
      </x:c>
      <x:c r="O52" s="31" t="str">
        <x:v>NEEDS INCREMENTAL PAID BASE</x:v>
      </x:c>
      <x:c r="P52" s="31" t="str">
        <x:v>Subscription bundle overlaps C01 and C02 broad BEA equipment/media</x:v>
      </x:c>
      <x:c r="Q52" s="31" t="str"/>
      <x:c r="R52" s="2"/>
      <x:c r="S52" s="2"/>
      <x:c r="T52" s="2"/>
      <x:c r="U52" s="2"/>
    </x:row>
    <x:row r="53" ht="32" customHeight="1">
      <x:c r="A53" s="2" t="str">
        <x:v>C09</x:v>
      </x:c>
      <x:c r="B53" s="31" t="str">
        <x:v>Home robots / domestic automation</x:v>
      </x:c>
      <x:c r="C53" s="31" t="str">
        <x:v>Household</x:v>
      </x:c>
      <x:c r="D53" s="31" t="str">
        <x:v>Units × incremental AI premium</x:v>
      </x:c>
      <x:c r="E53" s="2" t="n">
        <x:v>2030</x:v>
      </x:c>
      <x:c r="F53" s="46"/>
      <x:c r="G53" s="46"/>
      <x:c r="H53" s="26" t="n">
        <x:v>500</x:v>
      </x:c>
      <x:c r="I53" s="34" t="n">
        <x:v>0.5</x:v>
      </x:c>
      <x:c r="J53" s="34" t="n">
        <x:v>1</x:v>
      </x:c>
      <x:c r="K53" s="34" t="n">
        <x:v>0.5</x:v>
      </x:c>
      <x:c r="L53" s="46" t="str">
        <x:f>IF(G53="","",G53*H53*I53*J53*K53/1000)</x:f>
      </x:c>
      <x:c r="M53" s="36" t="n">
        <x:v>0</x:v>
      </x:c>
      <x:c r="N53" s="46" t="str">
        <x:f>IF(L53="","",L53*M53)</x:f>
      </x:c>
      <x:c r="O53" s="31" t="str">
        <x:v>NEEDS DEVICE UNITS</x:v>
      </x:c>
      <x:c r="P53" s="31" t="str">
        <x:v>Check hardware gross receipts vs net AI model-provider revenue</x:v>
      </x:c>
      <x:c r="Q53" s="31" t="str"/>
      <x:c r="R53" s="2"/>
      <x:c r="S53" s="2"/>
      <x:c r="T53" s="2"/>
      <x:c r="U53" s="2"/>
    </x:row>
    <x:row r="54" ht="32" customHeight="1">
      <x:c r="A54" s="2" t="str">
        <x:v>C10</x:v>
      </x:c>
      <x:c r="B54" s="31" t="str">
        <x:v>AI-enabled travel / personal agents</x:v>
      </x:c>
      <x:c r="C54" s="31" t="str">
        <x:v>Household / merchant</x:v>
      </x:c>
      <x:c r="D54" s="31" t="str">
        <x:v>Attributed booking volume × fee</x:v>
      </x:c>
      <x:c r="E54" s="2" t="n">
        <x:v>2030</x:v>
      </x:c>
      <x:c r="F54" s="46"/>
      <x:c r="G54" s="46"/>
      <x:c r="H54" s="46"/>
      <x:c r="I54" s="34" t="n">
        <x:v>0.02</x:v>
      </x:c>
      <x:c r="J54" s="34" t="n">
        <x:v>1</x:v>
      </x:c>
      <x:c r="K54" s="34" t="n">
        <x:v>0.2</x:v>
      </x:c>
      <x:c r="L54" s="46" t="str">
        <x:f>IF(F54="","",F54*I54*K54)</x:f>
      </x:c>
      <x:c r="M54" s="36" t="n">
        <x:v>0</x:v>
      </x:c>
      <x:c r="N54" s="46" t="str">
        <x:f>IF(L54="","",L54*M54)</x:f>
      </x:c>
      <x:c r="O54" s="31" t="str">
        <x:v>NEEDS ATTRIBUTABLE TRANSACTION VALUE</x:v>
      </x:c>
      <x:c r="P54" s="31" t="str">
        <x:v>Travel GMV not entire AI economic gain</x:v>
      </x:c>
      <x:c r="Q54" s="31" t="str"/>
      <x:c r="R54" s="2"/>
      <x:c r="S54" s="2"/>
      <x:c r="T54" s="2"/>
      <x:c r="U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0" customHeight="1">
      <x:c r="A56" s="28"/>
      <x:c r="B56" s="28" t="str">
        <x:v>Consumer monetization screening, U.S. only</x:v>
      </x:c>
      <x:c r="C56" s="28"/>
      <x:c r="D56" s="28"/>
      <x:c r="E56" s="28"/>
      <x:c r="F56" s="28"/>
      <x:c r="G56" s="28"/>
      <x:c r="H56" s="28"/>
      <x:c r="I56" s="28"/>
      <x:c r="J56" s="28"/>
      <x:c r="K56" s="28"/>
      <x:c r="L56" s="52" t="n">
        <x:f>SUM(L45:L54)</x:f>
        <x:v>0.42760400000000004</x:v>
      </x:c>
      <x:c r="M56" s="28" t="str">
        <x:v>Approved non-overlapping</x:v>
      </x:c>
      <x:c r="N56" s="52" t="n">
        <x:f>SUM(N45:N54)</x:f>
        <x:v>0</x:v>
      </x:c>
      <x:c r="O56" s="28"/>
      <x:c r="P56" s="28"/>
      <x:c r="Q56" s="28"/>
      <x:c r="R56" s="2"/>
      <x:c r="S56" s="2"/>
      <x:c r="T56" s="2"/>
      <x:c r="U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5" customHeight="1">
      <x:c r="A60" s="20" t="str">
        <x:v>06  |  CLASSIFICATION &amp; NON-OVERLAP RULES</x:v>
      </x:c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</x:row>
    <x:row r="61" ht="32" customHeight="1">
      <x:c r="A61" s="2" t="str">
        <x:v>Factor boundary</x:v>
      </x:c>
      <x:c r="B61" s="2"/>
      <x:c r="C61" s="31" t="str">
        <x:v>Wage exposures from BLS/PWBM cover employee tasks; adding entire service-provider SALES double counts labor, intermediate purchased services and profit. Supplier EBIT / BEA GOS is a distinct non-labor pool candidate.</x:v>
      </x:c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</x:row>
    <x:row r="62" ht="32" customHeight="1">
      <x:c r="A62" s="2" t="str">
        <x:v>Economic value ≠ vendor revenue</x:v>
      </x:c>
      <x:c r="B62" s="2"/>
      <x:c r="C62" s="31" t="str">
        <x:v>The B2B profit proxy is what incumbent vendors may lose or customers save. An AI supplier can capture only a fraction; it may already be included in enterprise seats, model/API bills or internal cost savings.</x:v>
      </x:c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</x:row>
    <x:row r="63" ht="32" customHeight="1">
      <x:c r="A63" s="2" t="str">
        <x:v>BEA Input-Output upgrade</x:v>
      </x:c>
      <x:c r="B63" s="2"/>
      <x:c r="C63" s="31" t="str">
        <x:v>Gross output – intermediate purchases = industry value added. Value added – compensation – net taxes on production = gross operating surplus. Use IO use tables to establish actual B2B buyer flow and GOS by industry.</x:v>
      </x:c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</x:row>
    <x:row r="64" ht="32" customHeight="1">
      <x:c r="A64" s="2" t="str">
        <x:v>No double counting by payer</x:v>
      </x:c>
      <x:c r="B64" s="2"/>
      <x:c r="C64" s="31" t="str">
        <x:v>Prioritize transactions by final payer and one revenue layer: employers (labor tools), firms buying vendor AI, households buying apps/devices. Count an enterprise AI subscription once, not again as a fraction of supplier profit.</x:v>
      </x:c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</x:row>
    <x:row r="65" ht="32" customHeight="1">
      <x:c r="A65" s="2" t="str">
        <x:v>Replacement vs net-new</x:v>
      </x:c>
      <x:c r="B65" s="2"/>
      <x:c r="C65" s="31" t="str">
        <x:v>B2B supplier disintermediation is mostly redistribution, NOT GDP addition. B2C premium may be net spending OR substitution. Economic effects should not be summed with 2032 GDP uplift.</x:v>
      </x:c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</x:row>
    <x:row r="66" ht="32" customHeight="1">
      <x:c r="A66" s="2" t="str">
        <x:v>2024 Census vs listed margins</x:v>
      </x:c>
      <x:c r="B66" s="2"/>
      <x:c r="C66" s="31" t="str">
        <x:v>AIES revenue/payroll are observed U.S. establishment data. NYU EBIT industry averages are public-market proxies dated Jan 2026 and are NOT an audited profit number for those establishments.</x:v>
      </x:c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</x:row>
    <x:row r="67" ht="32" customHeight="1">
      <x:c r="A67" s="2" t="str">
        <x:v>Geography</x:v>
      </x:c>
      <x:c r="B67" s="2"/>
      <x:c r="C67" s="31" t="str">
        <x:v>The B2B and B2C empirical bases here are U.S.; global ex-China labor includes the U.S. Do not compare a mixed-scope total to global investment revenue without an explicit scale bridge.</x:v>
      </x:c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</x:row>
    <x:row r="68" ht="32" customHeight="1">
      <x:c r="A68" s="2" t="str">
        <x:v>2032 GDP 1pp check</x:v>
      </x:c>
      <x:c r="B68" s="2"/>
      <x:c r="C68" s="31" t="str">
        <x:v>Annual GDP-level difference is a TOP-DOWN output sanity check, not 2030 AI subscription revenue and not part of any supplier revenue waterfall.</x:v>
      </x:c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</x:row>
    <x:row r="126" ht="2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</x:row>
    <x:row r="129" ht="2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</x:row>
    <x:row r="130" ht="2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</x:row>
    <x:row r="131" ht="2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</x:row>
    <x:row r="132" ht="2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</x:row>
    <x:row r="134" ht="2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</x:row>
    <x:row r="135" ht="2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</x:row>
    <x:row r="137" ht="2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</x:row>
    <x:row r="138" ht="2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</x:row>
    <x:row r="139" ht="2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</x:row>
    <x:row r="140" ht="2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</x:row>
    <x:row r="141" ht="2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</x:row>
    <x:row r="142" ht="2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</x:row>
    <x:row r="143" ht="2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</x:row>
    <x:row r="144" ht="2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</x:row>
    <x:row r="145" ht="2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</x:row>
    <x:row r="146" ht="2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</x:row>
    <x:row r="147" ht="2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</x:row>
    <x:row r="148" ht="2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</x:row>
    <x:row r="149" ht="2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</x:row>
    <x:row r="150" ht="2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</x:row>
    <x:row r="151" ht="2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</x:row>
    <x:row r="152" ht="2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</x:row>
    <x:row r="153" ht="2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</x:row>
    <x:row r="154" ht="2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</x:row>
    <x:row r="155" ht="2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</x:row>
    <x:row r="156" ht="2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</x:row>
    <x:row r="157" ht="2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</x:row>
    <x:row r="158" ht="2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</x:row>
    <x:row r="159" ht="2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</x:row>
    <x:row r="160" ht="2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</x:row>
    <x:row r="161" ht="2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</x:row>
    <x:row r="162" ht="2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</x:row>
    <x:row r="163" ht="2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</x:row>
    <x:row r="164" ht="2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</x:row>
    <x:row r="165" ht="2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</x:row>
    <x:row r="166" ht="2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</x:row>
    <x:row r="167" ht="2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</x:row>
    <x:row r="168" ht="2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</x:row>
    <x:row r="169" ht="2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</x:row>
    <x:row r="170" ht="2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</x:row>
    <x:row r="171" ht="2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</x:row>
    <x:row r="172" ht="2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</x:row>
    <x:row r="173" ht="2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</x:row>
    <x:row r="174" ht="2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</x:row>
    <x:row r="175" ht="2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</x:row>
    <x:row r="176" ht="2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</x:row>
    <x:row r="177" ht="2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</x:row>
    <x:row r="178" ht="2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</x:row>
    <x:row r="179" ht="2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</x:row>
    <x:row r="180" ht="2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</x:row>
    <x:row r="181" ht="2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</x:row>
    <x:row r="182" ht="2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</x:row>
    <x:row r="183" ht="2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</x:row>
    <x:row r="184" ht="2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</x:row>
    <x:row r="185" ht="2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</x:row>
    <x:row r="186" ht="2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</x:row>
    <x:row r="187" ht="2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</x:row>
    <x:row r="188" ht="2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</x:row>
    <x:row r="189" ht="2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</x:row>
    <x:row r="190" ht="2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</x:row>
    <x:row r="191" ht="2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</x:row>
    <x:row r="192" ht="2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</x:row>
    <x:row r="193" ht="2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</x:row>
    <x:row r="194" ht="2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</x:row>
    <x:row r="195" ht="2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</x:row>
    <x:row r="196" ht="2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</x:row>
    <x:row r="197" ht="2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</x:row>
    <x:row r="198" ht="2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</x:row>
    <x:row r="199" ht="2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</x:row>
    <x:row r="200" ht="2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</x:row>
  </x:sheetData>
  <x:mergeCells>
    <x:mergeCell ref="A1:U2"/>
    <x:mergeCell ref="A3:U3"/>
    <x:mergeCell ref="A5:U5"/>
    <x:mergeCell ref="H7:U8"/>
    <x:mergeCell ref="H9:U11"/>
    <x:mergeCell ref="A13:U13"/>
    <x:mergeCell ref="N14:U16"/>
    <x:mergeCell ref="A18:U18"/>
    <x:mergeCell ref="A26:U26"/>
    <x:mergeCell ref="A43:U43"/>
    <x:mergeCell ref="A60:U60"/>
    <x:mergeCell ref="C61:U61"/>
    <x:mergeCell ref="C62:U62"/>
    <x:mergeCell ref="C63:U63"/>
    <x:mergeCell ref="C64:U64"/>
    <x:mergeCell ref="C65:U65"/>
    <x:mergeCell ref="C66:U66"/>
    <x:mergeCell ref="C67:U67"/>
    <x:mergeCell ref="C68:U6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1" hidden="0" customWidth="1"/>
    <x:col min="3" max="3" width="11" hidden="0" customWidth="1"/>
    <x:col min="4" max="4" width="22" hidden="0" customWidth="1"/>
    <x:col min="5" max="5" width="22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20" hidden="0" customWidth="1"/>
    <x:col min="11" max="11" width="20" hidden="0" customWidth="1"/>
    <x:col min="12" max="12" width="20" hidden="0" customWidth="1"/>
    <x:col min="13" max="13" width="18" hidden="0" customWidth="1"/>
    <x:col min="14" max="14" width="28" hidden="0" customWidth="1"/>
    <x:col min="15" max="15" width="66" hidden="0" customWidth="1"/>
    <x:col min="16" max="16" width="62" hidden="0" customWidth="1"/>
  </x:cols>
  <x:sheetData>
    <x:row r="1" ht="24" customHeight="1">
      <x:c r="A1" s="10" t="str">
        <x:v>EVIDENCE | SUPPLIER REVENUE, PAYROLL, PROFIT &amp; INPUT-OUTPUT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23" customHeight="1">
      <x:c r="A3" s="12" t="str">
        <x:v>Actual Census 2024 sales/payroll vs public-firm operating profit proxy. BEA IO is the preferred next improvement for overlap-free B2B purchaser flows.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</x:row>
    <x:row r="4" ht="1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0" t="str">
        <x:v>01  |  AUDIT TRAIL — PRIMARY PUBLIC NUMBERS (DOLLARS IN BILLIONS)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7" customHeight="1">
      <x:c r="A7" s="41" t="str">
        <x:v>ID</x:v>
      </x:c>
      <x:c r="B7" s="41" t="str">
        <x:v>NAICS / provider</x:v>
      </x:c>
      <x:c r="C7" s="41" t="str">
        <x:v>2024 Census revenue</x:v>
      </x:c>
      <x:c r="D7" s="41" t="str">
        <x:v>2024 Census payroll</x:v>
      </x:c>
      <x:c r="E7" s="41" t="str">
        <x:v>Payroll / sales</x:v>
      </x:c>
      <x:c r="F7" s="41" t="str">
        <x:v>2026 listed EBIT margin</x:v>
      </x:c>
      <x:c r="G7" s="41" t="str">
        <x:v>EBIT proxy ($bn)</x:v>
      </x:c>
      <x:c r="H7" s="41" t="str">
        <x:v>Sales less payroll ($bn)</x:v>
      </x:c>
      <x:c r="I7" s="41" t="str">
        <x:v>Remaining revenue less payroll &amp; EBIT ($bn)</x:v>
      </x:c>
      <x:c r="J7" s="41" t="str">
        <x:v>Why not sum whole sales?</x:v>
      </x:c>
      <x:c r="K7" s="41" t="str">
        <x:v>2024 data origin</x:v>
      </x:c>
      <x:c r="L7" s="41" t="str">
        <x:v>EBIT origin</x:v>
      </x:c>
      <x:c r="M7" s="41" t="str">
        <x:v>BEA IO next field</x:v>
      </x:c>
      <x:c r="N7" s="41" t="str">
        <x:v>Model maturity</x:v>
      </x:c>
      <x:c r="O7" s="41" t="str">
        <x:v>Primary source URL</x:v>
      </x:c>
      <x:c r="P7" s="41" t="str">
        <x:v>Margin methodology URL</x:v>
      </x:c>
    </x:row>
    <x:row r="8" ht="37" customHeight="1">
      <x:c r="A8" s="2" t="str">
        <x:v>B01</x:v>
      </x:c>
      <x:c r="B8" s="2" t="str">
        <x:v>Software publishing &amp; SaaS</x:v>
      </x:c>
      <x:c r="C8" s="46" t="n">
        <x:v>567.772378</x:v>
      </x:c>
      <x:c r="D8" s="46" t="n">
        <x:v>208.223779</x:v>
      </x:c>
      <x:c r="E8" s="48" t="n">
        <x:f>D8/C8</x:f>
        <x:v>0.36673812793337407</x:v>
      </x:c>
      <x:c r="F8" s="48" t="n">
        <x:v>0.3298</x:v>
      </x:c>
      <x:c r="G8" s="46" t="n">
        <x:f>C8*F8</x:f>
        <x:v>187.2513302644</x:v>
      </x:c>
      <x:c r="H8" s="46" t="n">
        <x:f>C8-D8</x:f>
        <x:v>359.54859899999997</x:v>
      </x:c>
      <x:c r="I8" s="46" t="n">
        <x:f>C8-D8-G8</x:f>
        <x:v>172.29726873559997</x:v>
      </x:c>
      <x:c r="J8" s="31" t="str">
        <x:v>Wages already part of labor category; EBIT does not include compensation.</x:v>
      </x:c>
      <x:c r="K8" s="31" t="str">
        <x:v>Census AIES, year 2024</x:v>
      </x:c>
      <x:c r="L8" s="31" t="str">
        <x:v>NYU Stern, Jan 2026 public companies</x:v>
      </x:c>
      <x:c r="M8" s="31" t="str">
        <x:v>Intermediate input share / GOS / B2B Use split</x:v>
      </x:c>
      <x:c r="N8" s="31" t="str">
        <x:v>Proxy; cross-check</x:v>
      </x:c>
      <x:c r="O8" s="31" t="str">
        <x:v>https://data.census.gov/table/AIESBASIC2024.AIES00BASIC?codeset=naics~N0600.51</x:v>
      </x:c>
      <x:c r="P8" s="31" t="str">
        <x:v>https://pages.stern.nyu.edu/~adamodar/New_Home_Page/datafile/margin.html</x:v>
      </x:c>
    </x:row>
    <x:row r="9" ht="37" customHeight="1">
      <x:c r="A9" s="2" t="str">
        <x:v>B02</x:v>
      </x:c>
      <x:c r="B9" s="2" t="str">
        <x:v>IT integration &amp; legacy systems</x:v>
      </x:c>
      <x:c r="C9" s="46" t="n">
        <x:v>663.500505</x:v>
      </x:c>
      <x:c r="D9" s="46" t="n">
        <x:v>249.634088</x:v>
      </x:c>
      <x:c r="E9" s="48" t="n">
        <x:f>D9/C9</x:f>
        <x:v>0.37623797739234577</x:v>
      </x:c>
      <x:c r="F9" s="48" t="n">
        <x:v>0.0741</x:v>
      </x:c>
      <x:c r="G9" s="46" t="n">
        <x:f>C9*F9</x:f>
        <x:v>49.1653874205</x:v>
      </x:c>
      <x:c r="H9" s="46" t="n">
        <x:f>C9-D9</x:f>
        <x:v>413.86641699999996</x:v>
      </x:c>
      <x:c r="I9" s="46" t="n">
        <x:f>C9-D9-G9</x:f>
        <x:v>364.70102957949996</x:v>
      </x:c>
      <x:c r="J9" s="31" t="str">
        <x:v>Wages already part of labor category; EBIT does not include compensation.</x:v>
      </x:c>
      <x:c r="K9" s="31" t="str">
        <x:v>Census AIES, year 2024</x:v>
      </x:c>
      <x:c r="L9" s="31" t="str">
        <x:v>NYU Stern, Jan 2026 public companies</x:v>
      </x:c>
      <x:c r="M9" s="31" t="str">
        <x:v>Intermediate input share / GOS / B2B Use split</x:v>
      </x:c>
      <x:c r="N9" s="31" t="str">
        <x:v>Proxy; cross-check</x:v>
      </x:c>
      <x:c r="O9" s="31" t="str">
        <x:v>https://data.census.gov/table/AIESBASIC2024.AIES00BASIC?codeset=naics~5415</x:v>
      </x:c>
      <x:c r="P9" s="31" t="str">
        <x:v>https://pages.stern.nyu.edu/~adamodar/New_Home_Page/datafile/margin.html</x:v>
      </x:c>
    </x:row>
    <x:row r="10" ht="37" customHeight="1">
      <x:c r="A10" s="2" t="str">
        <x:v>B03</x:v>
      </x:c>
      <x:c r="B10" s="2" t="str">
        <x:v>Legal services</x:v>
      </x:c>
      <x:c r="C10" s="46" t="n">
        <x:v>435.199822</x:v>
      </x:c>
      <x:c r="D10" s="46" t="n">
        <x:v>150.301738</x:v>
      </x:c>
      <x:c r="E10" s="48" t="n">
        <x:f>D10/C10</x:f>
        <x:v>0.3453625907043685</x:v>
      </x:c>
      <x:c r="F10" s="48" t="n">
        <x:v>0.1227</x:v>
      </x:c>
      <x:c r="G10" s="46" t="n">
        <x:f>C10*F10</x:f>
        <x:v>53.3990181594</x:v>
      </x:c>
      <x:c r="H10" s="46" t="n">
        <x:f>C10-D10</x:f>
        <x:v>284.898084</x:v>
      </x:c>
      <x:c r="I10" s="46" t="n">
        <x:f>C10-D10-G10</x:f>
        <x:v>231.4990658406</x:v>
      </x:c>
      <x:c r="J10" s="31" t="str">
        <x:v>Wages already part of labor category; EBIT does not include compensation.</x:v>
      </x:c>
      <x:c r="K10" s="31" t="str">
        <x:v>Census AIES, year 2024</x:v>
      </x:c>
      <x:c r="L10" s="31" t="str">
        <x:v>NYU Stern, Jan 2026 public companies</x:v>
      </x:c>
      <x:c r="M10" s="31" t="str">
        <x:v>Intermediate input share / GOS / B2B Use split</x:v>
      </x:c>
      <x:c r="N10" s="31" t="str">
        <x:v>Proxy; cross-check</x:v>
      </x:c>
      <x:c r="O10" s="31" t="str">
        <x:v>https://data.census.gov/table/AIESBASIC2024.AIES00BASIC?codeset=naics~5411&amp;g=010XX00US</x:v>
      </x:c>
      <x:c r="P10" s="31" t="str">
        <x:v>https://pages.stern.nyu.edu/~adamodar/New_Home_Page/datafile/margin.html</x:v>
      </x:c>
    </x:row>
    <x:row r="11" ht="37" customHeight="1">
      <x:c r="A11" s="2" t="str">
        <x:v>B04</x:v>
      </x:c>
      <x:c r="B11" s="2" t="str">
        <x:v>Management consulting</x:v>
      </x:c>
      <x:c r="C11" s="46" t="n">
        <x:v>396.915313</x:v>
      </x:c>
      <x:c r="D11" s="46"/>
      <x:c r="E11" s="48" t="n">
        <x:f>D11/C11</x:f>
        <x:v>0</x:v>
      </x:c>
      <x:c r="F11" s="48" t="n">
        <x:v>0.1227</x:v>
      </x:c>
      <x:c r="G11" s="46" t="n">
        <x:f>C11*F11</x:f>
        <x:v>48.701508905100006</x:v>
      </x:c>
      <x:c r="H11" s="46" t="n">
        <x:f>C11-D11</x:f>
        <x:v>396.915313</x:v>
      </x:c>
      <x:c r="I11" s="46" t="n">
        <x:f>C11-D11-G11</x:f>
        <x:v>348.2138040949</x:v>
      </x:c>
      <x:c r="J11" s="31" t="str">
        <x:v>Wages already part of labor category; EBIT does not include compensation.</x:v>
      </x:c>
      <x:c r="K11" s="31" t="str">
        <x:v>Census AIES, year 2024</x:v>
      </x:c>
      <x:c r="L11" s="31" t="str">
        <x:v>NYU Stern, Jan 2026 public companies</x:v>
      </x:c>
      <x:c r="M11" s="31" t="str">
        <x:v>Intermediate input share / GOS / B2B Use split</x:v>
      </x:c>
      <x:c r="N11" s="31" t="str">
        <x:v>Proxy; cross-check</x:v>
      </x:c>
      <x:c r="O11" s="31" t="str">
        <x:v>https://fred.stlouisfed.org/series/AIES54161RCT00US</x:v>
      </x:c>
      <x:c r="P11" s="31" t="str">
        <x:v>https://pages.stern.nyu.edu/~adamodar/New_Home_Page/datafile/margin.html</x:v>
      </x:c>
    </x:row>
    <x:row r="12" ht="37" customHeight="1">
      <x:c r="A12" s="2" t="str">
        <x:v>B05</x:v>
      </x:c>
      <x:c r="B12" s="2" t="str">
        <x:v>Advertising agencies</x:v>
      </x:c>
      <x:c r="C12" s="46" t="n">
        <x:v>69.402338</x:v>
      </x:c>
      <x:c r="D12" s="46"/>
      <x:c r="E12" s="48" t="n">
        <x:f>D12/C12</x:f>
        <x:v>0</x:v>
      </x:c>
      <x:c r="F12" s="48" t="n">
        <x:v>0.1007</x:v>
      </x:c>
      <x:c r="G12" s="46" t="n">
        <x:f>C12*F12</x:f>
        <x:v>6.9888154365999995</x:v>
      </x:c>
      <x:c r="H12" s="46" t="n">
        <x:f>C12-D12</x:f>
        <x:v>69.402338</x:v>
      </x:c>
      <x:c r="I12" s="46" t="n">
        <x:f>C12-D12-G12</x:f>
        <x:v>62.4135225634</x:v>
      </x:c>
      <x:c r="J12" s="31" t="str">
        <x:v>Wages already part of labor category; EBIT does not include compensation.</x:v>
      </x:c>
      <x:c r="K12" s="31" t="str">
        <x:v>Census AIES, year 2024</x:v>
      </x:c>
      <x:c r="L12" s="31" t="str">
        <x:v>NYU Stern, Jan 2026 public companies</x:v>
      </x:c>
      <x:c r="M12" s="31" t="str">
        <x:v>Intermediate input share / GOS / B2B Use split</x:v>
      </x:c>
      <x:c r="N12" s="31" t="str">
        <x:v>Proxy; cross-check</x:v>
      </x:c>
      <x:c r="O12" s="31" t="str">
        <x:v>https://fred.stlouisfed.org/series/AIES54181RCT00US</x:v>
      </x:c>
      <x:c r="P12" s="31" t="str">
        <x:v>https://pages.stern.nyu.edu/~adamodar/New_Home_Page/datafile/margin.html</x:v>
      </x:c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5" customHeight="1">
      <x:c r="A16" s="20" t="str">
        <x:v>02  |  WHAT SHOULD BE MEASURED: 100 USD OF EXISTING B2B SERVICE PURCHASE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7" customHeight="1">
      <x:c r="A18" s="2"/>
      <x:c r="B18" s="2" t="str">
        <x:v>Existing third-party service invoice</x:v>
      </x:c>
      <x:c r="C18" s="26" t="n">
        <x:v>100</x:v>
      </x:c>
      <x:c r="D18" s="2"/>
      <x:c r="E18" s="31" t="str">
        <x:v>Company spends $100 to buy outside advertising/software/IT services.</x:v>
      </x:c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</x:row>
    <x:row r="19" ht="27" customHeight="1">
      <x:c r="A19" s="2"/>
      <x:c r="B19" s="2" t="str">
        <x:v>Supplier compensation (illustrative)</x:v>
      </x:c>
      <x:c r="C19" s="26" t="n">
        <x:v>35</x:v>
      </x:c>
      <x:c r="D19" s="2"/>
      <x:c r="E19" s="31" t="str">
        <x:v>Labor value potentially already represented by industry workers in wage TAM.</x:v>
      </x:c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</x:row>
    <x:row r="20" ht="27" customHeight="1">
      <x:c r="A20" s="2"/>
      <x:c r="B20" s="2" t="str">
        <x:v>Supplier purchases, depreciation &amp; other costs (illustrative)</x:v>
      </x:c>
      <x:c r="C20" s="26" t="n">
        <x:v>45</x:v>
      </x:c>
      <x:c r="D20" s="2"/>
      <x:c r="E20" s="31" t="str">
        <x:v>Intermediate purchases include upstream businesses; may overlap if those services counted again.</x:v>
      </x:c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</x:row>
    <x:row r="21" ht="27" customHeight="1">
      <x:c r="A21" s="2"/>
      <x:c r="B21" s="2" t="str">
        <x:v>Supplier pre-tax operating profit (illustrative)</x:v>
      </x:c>
      <x:c r="C21" s="26" t="n">
        <x:v>20</x:v>
      </x:c>
      <x:c r="D21" s="2"/>
      <x:c r="E21" s="31" t="str">
        <x:v>Non-wage profit pool to examine as genuinely distinct component.</x:v>
      </x:c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</x:row>
    <x:row r="22" ht="27" customHeight="1">
      <x:c r="A22" s="2"/>
      <x:c r="B22" s="2" t="str">
        <x:v>AI vendor new invoice (illustrative)</x:v>
      </x:c>
      <x:c r="C22" s="26" t="n">
        <x:v>20</x:v>
      </x:c>
      <x:c r="D22" s="2"/>
      <x:c r="E22" s="31" t="str">
        <x:v>Customer reassigns some existing service spend; this is AI vendor revenue, NOT an incremental $120 purchase.</x:v>
      </x:c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</x:row>
    <x:row r="23" ht="27" customHeight="1">
      <x:c r="A23" s="2"/>
      <x:c r="B23" s="2" t="str">
        <x:v>Remaining customer retained economic value</x:v>
      </x:c>
      <x:c r="C23" s="46" t="n">
        <x:f>C18-C22</x:f>
        <x:v>80</x:v>
      </x:c>
      <x:c r="D23" s="2"/>
      <x:c r="E23" s="31" t="str">
        <x:v>Existing buyer may retain share of displaced spend rather than pay all value to AI.</x:v>
      </x:c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0" customHeight="1">
      <x:c r="A25" s="2"/>
      <x:c r="B25" s="2" t="str">
        <x:v>Illustrative components should reconcile (wage + other + EBIT)</x:v>
      </x:c>
      <x:c r="C25" s="46" t="n">
        <x:f>C19+C20+C21</x:f>
        <x:v>100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0" customHeight="1">
      <x:c r="A26" s="2"/>
      <x:c r="B26" s="2" t="str">
        <x:v>Customer spend: before / after AI</x:v>
      </x:c>
      <x:c r="C26" s="46" t="n">
        <x:f>C18-C22</x:f>
        <x:v>80</x:v>
      </x:c>
      <x:c r="D26" s="2" t="str">
        <x:v>Saved original supplier spend net of AI invoice (illustrative)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5" customHeight="1">
      <x:c r="A30" s="20" t="str">
        <x:v>03  |  RECOMMENDED BEA IO / FACTSET WORKFLOW: MOVE FROM INDUSTRY PROXY TO PURE NON-LABOR VALUE</x:v>
      </x:c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41" customHeight="1">
      <x:c r="A32" s="2" t="str">
        <x:v>1 / B2B purchaser split</x:v>
      </x:c>
      <x:c r="B32" s="2"/>
      <x:c r="C32" s="31" t="str">
        <x:v>BEA Use Table: input purchases of sector j from supplier i</x:v>
      </x:c>
      <x:c r="D32" s="31"/>
      <x:c r="E32" s="31"/>
      <x:c r="F32" s="31"/>
      <x:c r="G32" s="31" t="str">
        <x:v>Disaggregate services actually bought by enterprises vs final households; do not assume 100% of each service industry is B2B.</x:v>
      </x:c>
      <x:c r="H32" s="31"/>
      <x:c r="I32" s="31"/>
      <x:c r="J32" s="31"/>
      <x:c r="K32" s="31"/>
      <x:c r="L32" s="31"/>
      <x:c r="M32" s="31"/>
      <x:c r="N32" s="31" t="str">
        <x:v>https://www.bea.gov/itable/input-output</x:v>
      </x:c>
      <x:c r="O32" s="31"/>
      <x:c r="P32" s="31"/>
    </x:row>
    <x:row r="33" ht="41" customHeight="1">
      <x:c r="A33" s="2" t="str">
        <x:v>2 / Input-output economics</x:v>
      </x:c>
      <x:c r="B33" s="2"/>
      <x:c r="C33" s="31" t="str">
        <x:v>BEA Industry GOS and value added</x:v>
      </x:c>
      <x:c r="D33" s="31"/>
      <x:c r="E33" s="31"/>
      <x:c r="F33" s="31"/>
      <x:c r="G33" s="31" t="str">
        <x:v>GOS = Gross output - Intermediate inputs - Compensation - Taxes on production net of subsidies. It includes depreciation; NOT the same as corporate net profit.</x:v>
      </x:c>
      <x:c r="H33" s="31"/>
      <x:c r="I33" s="31"/>
      <x:c r="J33" s="31"/>
      <x:c r="K33" s="31"/>
      <x:c r="L33" s="31"/>
      <x:c r="M33" s="31"/>
      <x:c r="N33" s="31" t="str">
        <x:v>https://www.bea.gov/resources/guide-interactive-gdp-industry-accounts-tables</x:v>
      </x:c>
      <x:c r="O33" s="31"/>
      <x:c r="P33" s="31"/>
    </x:row>
    <x:row r="34" ht="41" customHeight="1">
      <x:c r="A34" s="2" t="str">
        <x:v>3 / Public profit check</x:v>
      </x:c>
      <x:c r="B34" s="2"/>
      <x:c r="C34" s="31" t="str">
        <x:v>FactSet company EBIT margin / Damodaran industry benchmark</x:v>
      </x:c>
      <x:c r="D34" s="31"/>
      <x:c r="E34" s="31"/>
      <x:c r="F34" s="31"/>
      <x:c r="G34" s="31" t="str">
        <x:v>Apply margins only as a provisional SCREEN. US Census sector revenue and listed-company operating margin have materially different populations.</x:v>
      </x:c>
      <x:c r="H34" s="31"/>
      <x:c r="I34" s="31"/>
      <x:c r="J34" s="31"/>
      <x:c r="K34" s="31"/>
      <x:c r="L34" s="31"/>
      <x:c r="M34" s="31"/>
      <x:c r="N34" s="31" t="str">
        <x:v>https://pages.stern.nyu.edu/~adamodar/New_Home_Page/datafile/margin.html</x:v>
      </x:c>
      <x:c r="O34" s="31"/>
      <x:c r="P34" s="31"/>
    </x:row>
    <x:row r="35" ht="41" customHeight="1">
      <x:c r="A35" s="2" t="str">
        <x:v>4 / Supplier labor scope</x:v>
      </x:c>
      <x:c r="B35" s="2"/>
      <x:c r="C35" s="31" t="str">
        <x:v>BLS/Wharton sector exposed wages; AIES payroll</x:v>
      </x:c>
      <x:c r="D35" s="31"/>
      <x:c r="E35" s="31"/>
      <x:c r="F35" s="31"/>
      <x:c r="G35" s="31" t="str">
        <x:v>Confirm supplier industry workers already counted in wage TAM before describing incremental EBIT capture; payroll excludes benefits.</x:v>
      </x:c>
      <x:c r="H35" s="31"/>
      <x:c r="I35" s="31"/>
      <x:c r="J35" s="31"/>
      <x:c r="K35" s="31"/>
      <x:c r="L35" s="31"/>
      <x:c r="M35" s="31"/>
      <x:c r="N35" s="31" t="str">
        <x:v>https://data.census.gov/table/AIESBASIC2024.AIES00BASIC</x:v>
      </x:c>
      <x:c r="O35" s="31"/>
      <x:c r="P35" s="31"/>
    </x:row>
    <x:row r="36" ht="41" customHeight="1">
      <x:c r="A36" s="2" t="str">
        <x:v>5 / Transaction / payer crosswalk</x:v>
      </x:c>
      <x:c r="B36" s="2"/>
      <x:c r="C36" s="31" t="str">
        <x:v>Map displaced supplier services to AI contract invoice</x:v>
      </x:c>
      <x:c r="D36" s="31"/>
      <x:c r="E36" s="31"/>
      <x:c r="F36" s="31"/>
      <x:c r="G36" s="31" t="str">
        <x:v>If the buyer pays for enterprise AI seats already modeled, vendor invoice is already in labor-to-business sales; never add that same AI invoice again.</x:v>
      </x:c>
      <x:c r="H36" s="31"/>
      <x:c r="I36" s="31"/>
      <x:c r="J36" s="31"/>
      <x:c r="K36" s="31"/>
      <x:c r="L36" s="31"/>
      <x:c r="M36" s="31"/>
      <x:c r="N36" s="31" t="str">
        <x:v>https://www.bea.gov/itable/input-output</x:v>
      </x:c>
      <x:c r="O36" s="31"/>
      <x:c r="P36" s="31"/>
    </x:row>
    <x:row r="37" ht="41" customHeight="1">
      <x:c r="A37" s="2" t="str">
        <x:v>6 / Global scaling</x:v>
      </x:c>
      <x:c r="B37" s="2"/>
      <x:c r="C37" s="31" t="str">
        <x:v>Country specific input-output or OECD ICIO (separate from US evidence)</x:v>
      </x:c>
      <x:c r="D37" s="31"/>
      <x:c r="E37" s="31"/>
      <x:c r="F37" s="31"/>
      <x:c r="G37" s="31" t="str">
        <x:v>Only after US reconciliation, use comparable cross-country IO flows; avoid projecting US margins directly as global earnings.</x:v>
      </x:c>
      <x:c r="H37" s="31"/>
      <x:c r="I37" s="31"/>
      <x:c r="J37" s="31"/>
      <x:c r="K37" s="31"/>
      <x:c r="L37" s="31"/>
      <x:c r="M37" s="31"/>
      <x:c r="N37" s="31" t="str">
        <x:v>https://www.oecd.org/en/data/datasets/inter-country-input-output-tables.html</x:v>
      </x:c>
      <x:c r="O37" s="31"/>
      <x:c r="P37" s="31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5" customHeight="1">
      <x:c r="A41" s="20" t="str">
        <x:v>04  |  B2C: DISTINGUISH GROSS SPEND / INCREMENTAL SPEND / AI VENDOR INVOICE</x:v>
      </x:c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31" customHeight="1">
      <x:c r="A43" s="2"/>
      <x:c r="B43" s="2" t="str">
        <x:v>Consumer subscription</x:v>
      </x:c>
      <x:c r="C43" s="2"/>
      <x:c r="D43" s="31" t="str">
        <x:v>Actual consumers paid × monthly fee</x:v>
      </x:c>
      <x:c r="E43" s="31"/>
      <x:c r="F43" s="31"/>
      <x:c r="G43" s="31"/>
      <x:c r="H43" s="31"/>
      <x:c r="I43" s="31" t="str">
        <x:v>Payment from household; do not extrapolate total potential users as paying users without adoption data.</x:v>
      </x:c>
      <x:c r="J43" s="31"/>
      <x:c r="K43" s="31"/>
      <x:c r="L43" s="31"/>
      <x:c r="M43" s="31"/>
      <x:c r="N43" s="31"/>
      <x:c r="O43" s="31"/>
      <x:c r="P43" s="31"/>
    </x:row>
    <x:row r="44" ht="31" customHeight="1">
      <x:c r="A44" s="2"/>
      <x:c r="B44" s="2" t="str">
        <x:v>Device premium</x:v>
      </x:c>
      <x:c r="C44" s="2"/>
      <x:c r="D44" s="31" t="str">
        <x:v>AI-enabled units × additional AI-specific ASP</x:v>
      </x:c>
      <x:c r="E44" s="31"/>
      <x:c r="F44" s="31"/>
      <x:c r="G44" s="31"/>
      <x:c r="H44" s="31"/>
      <x:c r="I44" s="31" t="str">
        <x:v>A new device purchase is not all AI revenue. Only incremental price attributable to AI is relevant.</x:v>
      </x:c>
      <x:c r="J44" s="31"/>
      <x:c r="K44" s="31"/>
      <x:c r="L44" s="31"/>
      <x:c r="M44" s="31"/>
      <x:c r="N44" s="31"/>
      <x:c r="O44" s="31"/>
      <x:c r="P44" s="31"/>
    </x:row>
    <x:row r="45" ht="31" customHeight="1">
      <x:c r="A45" s="2"/>
      <x:c r="B45" s="2" t="str">
        <x:v>Shopping agent</x:v>
      </x:c>
      <x:c r="C45" s="2"/>
      <x:c r="D45" s="31" t="str">
        <x:v>AI-attributable order volume × AI commission rate</x:v>
      </x:c>
      <x:c r="E45" s="31"/>
      <x:c r="F45" s="31"/>
      <x:c r="G45" s="31"/>
      <x:c r="H45" s="31"/>
      <x:c r="I45" s="31" t="str">
        <x:v>E-commerce gross merchandise value is not AI revenue; identify incremental fee payer and avoid platform take-rate overlap.</x:v>
      </x:c>
      <x:c r="J45" s="31"/>
      <x:c r="K45" s="31"/>
      <x:c r="L45" s="31"/>
      <x:c r="M45" s="31"/>
      <x:c r="N45" s="31"/>
      <x:c r="O45" s="31"/>
      <x:c r="P45" s="31"/>
    </x:row>
    <x:row r="46" ht="31" customHeight="1">
      <x:c r="A46" s="2"/>
      <x:c r="B46" s="2" t="str">
        <x:v>Broader consumer electronics</x:v>
      </x:c>
      <x:c r="C46" s="2"/>
      <x:c r="D46" s="31" t="str">
        <x:v>BEA 2025 $427.604bn equipment/media PCE</x:v>
      </x:c>
      <x:c r="E46" s="31"/>
      <x:c r="F46" s="31"/>
      <x:c r="G46" s="31"/>
      <x:c r="H46" s="31"/>
      <x:c r="I46" s="31" t="str">
        <x:v>1% spend shift is wallet RE-ALLOCATION; must specify incremental spending and model vendor share.</x:v>
      </x:c>
      <x:c r="J46" s="31"/>
      <x:c r="K46" s="31"/>
      <x:c r="L46" s="31"/>
      <x:c r="M46" s="31"/>
      <x:c r="N46" s="31"/>
      <x:c r="O46" s="31"/>
      <x:c r="P46" s="31"/>
    </x:row>
    <x:row r="47" ht="31" customHeight="1">
      <x:c r="A47" s="2"/>
      <x:c r="B47" s="2" t="str">
        <x:v>Net new scientific / industrial applications</x:v>
      </x:c>
      <x:c r="C47" s="2"/>
      <x:c r="D47" s="31" t="str">
        <x:v>Outcome/license/usage fee times attributable activity</x:v>
      </x:c>
      <x:c r="E47" s="31"/>
      <x:c r="F47" s="31"/>
      <x:c r="G47" s="31"/>
      <x:c r="H47" s="31"/>
      <x:c r="I47" s="31" t="str">
        <x:v>Not strictly B2C; payer should decide classification (enterprise procurement vs household).</x:v>
      </x:c>
      <x:c r="J47" s="31"/>
      <x:c r="K47" s="31"/>
      <x:c r="L47" s="31"/>
      <x:c r="M47" s="31"/>
      <x:c r="N47" s="31"/>
      <x:c r="O47" s="31"/>
      <x:c r="P47" s="31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5" customHeight="1">
      <x:c r="A51" s="20" t="str">
        <x:v>05  |  SOURCES &amp; IMPORTANT LIMITATIONS</x:v>
      </x:c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30" customHeight="1">
      <x:c r="A53" s="2"/>
      <x:c r="B53" s="2" t="str">
        <x:v>Census AIES 2024</x:v>
      </x:c>
      <x:c r="C53" s="2"/>
      <x:c r="D53" s="31" t="str">
        <x:v>https://www.census.gov/data/developers/data-sets/aies.html</x:v>
      </x:c>
      <x:c r="E53" s="31"/>
      <x:c r="F53" s="31"/>
      <x:c r="G53" s="31"/>
      <x:c r="H53" s="31"/>
      <x:c r="I53" s="31"/>
      <x:c r="J53" s="31" t="str">
        <x:v>Primary observed US revenue and payroll (by NAICS), using 2024 establishment scope</x:v>
      </x:c>
      <x:c r="K53" s="31"/>
      <x:c r="L53" s="31"/>
      <x:c r="M53" s="31"/>
      <x:c r="N53" s="31"/>
      <x:c r="O53" s="31"/>
      <x:c r="P53" s="31"/>
    </x:row>
    <x:row r="54" ht="30" customHeight="1">
      <x:c r="A54" s="2"/>
      <x:c r="B54" s="2" t="str">
        <x:v>Census AIES basic data</x:v>
      </x:c>
      <x:c r="C54" s="2"/>
      <x:c r="D54" s="31" t="str">
        <x:v>https://data.census.gov/table/AIESBASIC2024.AIES00BASIC</x:v>
      </x:c>
      <x:c r="E54" s="31"/>
      <x:c r="F54" s="31"/>
      <x:c r="G54" s="31"/>
      <x:c r="H54" s="31"/>
      <x:c r="I54" s="31"/>
      <x:c r="J54" s="31" t="str">
        <x:v>Source table; software 5112 payroll, IT 5415 payroll, legal services 5411 payroll</x:v>
      </x:c>
      <x:c r="K54" s="31"/>
      <x:c r="L54" s="31"/>
      <x:c r="M54" s="31"/>
      <x:c r="N54" s="31"/>
      <x:c r="O54" s="31"/>
      <x:c r="P54" s="31"/>
    </x:row>
    <x:row r="55" ht="30" customHeight="1">
      <x:c r="A55" s="2"/>
      <x:c r="B55" s="2" t="str">
        <x:v>BEA IO methodology</x:v>
      </x:c>
      <x:c r="C55" s="2"/>
      <x:c r="D55" s="31" t="str">
        <x:v>https://www.bea.gov/itable/input-output</x:v>
      </x:c>
      <x:c r="E55" s="31"/>
      <x:c r="F55" s="31"/>
      <x:c r="G55" s="31"/>
      <x:c r="H55" s="31"/>
      <x:c r="I55" s="31"/>
      <x:c r="J55" s="31" t="str">
        <x:v>BEA Use Tables; industry intermediate inputs and final users</x:v>
      </x:c>
      <x:c r="K55" s="31"/>
      <x:c r="L55" s="31"/>
      <x:c r="M55" s="31"/>
      <x:c r="N55" s="31"/>
      <x:c r="O55" s="31"/>
      <x:c r="P55" s="31"/>
    </x:row>
    <x:row r="56" ht="30" customHeight="1">
      <x:c r="A56" s="2"/>
      <x:c r="B56" s="2" t="str">
        <x:v>BEA GDP by industry</x:v>
      </x:c>
      <x:c r="C56" s="2"/>
      <x:c r="D56" s="31" t="str">
        <x:v>https://www.bea.gov/resources/guide-interactive-gdp-industry-accounts-tables</x:v>
      </x:c>
      <x:c r="E56" s="31"/>
      <x:c r="F56" s="31"/>
      <x:c r="G56" s="31"/>
      <x:c r="H56" s="31"/>
      <x:c r="I56" s="31"/>
      <x:c r="J56" s="31" t="str">
        <x:v>Definitions of value added, compensation, gross operating surplus</x:v>
      </x:c>
      <x:c r="K56" s="31"/>
      <x:c r="L56" s="31"/>
      <x:c r="M56" s="31"/>
      <x:c r="N56" s="31"/>
      <x:c r="O56" s="31"/>
      <x:c r="P56" s="31"/>
    </x:row>
    <x:row r="57" ht="30" customHeight="1">
      <x:c r="A57" s="2"/>
      <x:c r="B57" s="2" t="str">
        <x:v>Damodaran January 2026</x:v>
      </x:c>
      <x:c r="C57" s="2"/>
      <x:c r="D57" s="31" t="str">
        <x:v>https://pages.stern.nyu.edu/~adamodar/New_Home_Page/datafile/margin.html</x:v>
      </x:c>
      <x:c r="E57" s="31"/>
      <x:c r="F57" s="31"/>
      <x:c r="G57" s="31"/>
      <x:c r="H57" s="31"/>
      <x:c r="I57" s="31"/>
      <x:c r="J57" s="31" t="str">
        <x:v>Publicly listed US industry margin estimates; mix differs from US Census establishments</x:v>
      </x:c>
      <x:c r="K57" s="31"/>
      <x:c r="L57" s="31"/>
      <x:c r="M57" s="31"/>
      <x:c r="N57" s="31"/>
      <x:c r="O57" s="31"/>
      <x:c r="P57" s="31"/>
    </x:row>
    <x:row r="58" ht="30" customHeight="1">
      <x:c r="A58" s="2"/>
      <x:c r="B58" s="2" t="str">
        <x:v>BEA consumer PCE 2025</x:v>
      </x:c>
      <x:c r="C58" s="2"/>
      <x:c r="D58" s="31" t="str">
        <x:v>https://fred.stlouisfed.org/series/DVAPRC1A027NBEA</x:v>
      </x:c>
      <x:c r="E58" s="31"/>
      <x:c r="F58" s="31"/>
      <x:c r="G58" s="31"/>
      <x:c r="H58" s="31"/>
      <x:c r="I58" s="31"/>
      <x:c r="J58" s="31" t="str">
        <x:v>Broad consumer electronics/video/media purchases $427.604bn, not incremental AI spend</x:v>
      </x:c>
      <x:c r="K58" s="31"/>
      <x:c r="L58" s="31"/>
      <x:c r="M58" s="31"/>
      <x:c r="N58" s="31"/>
      <x:c r="O58" s="31"/>
      <x:c r="P58" s="31"/>
    </x:row>
    <x:row r="59" ht="30" customHeight="1">
      <x:c r="A59" s="2"/>
      <x:c r="B59" s="2" t="str">
        <x:v>PWBM task exposure</x:v>
      </x:c>
      <x:c r="C59" s="2"/>
      <x:c r="D59" s="31" t="str">
        <x:v>https://budgetmodel.wharton.upenn.edu/p/2025-09-08-the-projected-impact-of-generative-ai-on-future-productivity-growth/</x:v>
      </x:c>
      <x:c r="E59" s="31"/>
      <x:c r="F59" s="31"/>
      <x:c r="G59" s="31"/>
      <x:c r="H59" s="31"/>
      <x:c r="I59" s="31"/>
      <x:c r="J59" s="31" t="str">
        <x:v>Task exposure/viability/cost savings; not observed annual AI vendor revenue</x:v>
      </x:c>
      <x:c r="K59" s="31"/>
      <x:c r="L59" s="31"/>
      <x:c r="M59" s="31"/>
      <x:c r="N59" s="31"/>
      <x:c r="O59" s="31"/>
      <x:c r="P59" s="31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</x:row>
  </x:sheetData>
  <x:mergeCells>
    <x:mergeCell ref="A1:P2"/>
    <x:mergeCell ref="A3:P3"/>
    <x:mergeCell ref="A5:P5"/>
    <x:mergeCell ref="A16:P16"/>
    <x:mergeCell ref="E18:P18"/>
    <x:mergeCell ref="E19:P19"/>
    <x:mergeCell ref="E20:P20"/>
    <x:mergeCell ref="E21:P21"/>
    <x:mergeCell ref="E22:P22"/>
    <x:mergeCell ref="E23:P23"/>
    <x:mergeCell ref="A30:P30"/>
    <x:mergeCell ref="C32:F32"/>
    <x:mergeCell ref="G32:M32"/>
    <x:mergeCell ref="N32:P32"/>
    <x:mergeCell ref="C33:F33"/>
    <x:mergeCell ref="G33:M33"/>
    <x:mergeCell ref="N33:P33"/>
    <x:mergeCell ref="C34:F34"/>
    <x:mergeCell ref="G34:M34"/>
    <x:mergeCell ref="N34:P34"/>
    <x:mergeCell ref="C35:F35"/>
    <x:mergeCell ref="G35:M35"/>
    <x:mergeCell ref="N35:P35"/>
    <x:mergeCell ref="C36:F36"/>
    <x:mergeCell ref="G36:M36"/>
    <x:mergeCell ref="N36:P36"/>
    <x:mergeCell ref="C37:F37"/>
    <x:mergeCell ref="G37:M37"/>
    <x:mergeCell ref="N37:P37"/>
    <x:mergeCell ref="A41:P41"/>
    <x:mergeCell ref="D43:H43"/>
    <x:mergeCell ref="I43:P43"/>
    <x:mergeCell ref="D44:H44"/>
    <x:mergeCell ref="I44:P44"/>
    <x:mergeCell ref="D45:H45"/>
    <x:mergeCell ref="I45:P45"/>
    <x:mergeCell ref="D46:H46"/>
    <x:mergeCell ref="I46:P46"/>
    <x:mergeCell ref="D47:H47"/>
    <x:mergeCell ref="I47:P47"/>
    <x:mergeCell ref="A51:P51"/>
    <x:mergeCell ref="D53:I53"/>
    <x:mergeCell ref="J53:P53"/>
    <x:mergeCell ref="D54:I54"/>
    <x:mergeCell ref="J54:P54"/>
    <x:mergeCell ref="D55:I55"/>
    <x:mergeCell ref="J55:P55"/>
    <x:mergeCell ref="D56:I56"/>
    <x:mergeCell ref="J56:P56"/>
    <x:mergeCell ref="D57:I57"/>
    <x:mergeCell ref="J57:P57"/>
    <x:mergeCell ref="D58:I58"/>
    <x:mergeCell ref="J58:P58"/>
    <x:mergeCell ref="D59:I59"/>
    <x:mergeCell ref="J59:P5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39" hidden="0" customWidth="1"/>
    <x:col min="3" max="3" width="19" hidden="0" customWidth="1"/>
    <x:col min="4" max="4" width="19" hidden="0" customWidth="1"/>
    <x:col min="5" max="5" width="18" hidden="0" customWidth="1"/>
    <x:col min="6" max="6" width="18" hidden="0" customWidth="1"/>
    <x:col min="7" max="7" width="52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4" customHeight="1">
      <x:c r="A1" s="10" t="str">
        <x:v>AI ROI | FOOTBALL FIELD • VALUE BOUNDARIES • REVENUE BRIDGE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23" customHeight="1">
      <x:c r="A3" s="12" t="str">
        <x:v>Read each row by economic unit and payer. Labor wages, supplier gross output / profit, consumer spending, and vendor invoices are NOT directly additive.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1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20" t="str">
        <x:v>01  |  EXECUTIVE SCORECARD — OPPORTUNITY VS REVENUE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75" t="str">
        <x:v>B2B sector</x:v>
      </x:c>
      <x:c r="J6" s="75" t="str">
        <x:v>Supplier EBIT 2030 ($bn)</x:v>
      </x:c>
      <x:c r="K6" s="75" t="str">
        <x:v>Profit contestable ($bn)</x:v>
      </x:c>
      <x:c r="L6" s="75" t="str">
        <x:v>Vendor proxy ($bn)</x:v>
      </x:c>
      <x:c r="M6" s="2"/>
      <x:c r="N6" s="2"/>
      <x:c r="O6" s="2"/>
      <x:c r="P6" s="2"/>
      <x:c r="Q6" s="2"/>
    </x:row>
    <x:row r="7" ht="33" customHeight="1">
      <x:c r="A7" s="40" t="str">
        <x:v>Layer</x:v>
      </x:c>
      <x:c r="B7" s="40" t="str">
        <x:v>Economic measure / methodology</x:v>
      </x:c>
      <x:c r="C7" s="40" t="str">
        <x:v>U.S. ($bn/yr)</x:v>
      </x:c>
      <x:c r="D7" s="40" t="str">
        <x:v>Global ex-China ($bn/yr)</x:v>
      </x:c>
      <x:c r="E7" s="40" t="str">
        <x:v>2030 revenue?</x:v>
      </x:c>
      <x:c r="F7" s="40" t="str">
        <x:v>Duplicate risk?</x:v>
      </x:c>
      <x:c r="G7" s="40" t="str">
        <x:v>Interpretation</x:v>
      </x:c>
      <x:c r="H7" s="40" t="str">
        <x:v>Evidence status</x:v>
      </x:c>
      <x:c r="I7" s="2" t="str">
        <x:v>Software publishing &amp; SaaS</x:v>
      </x:c>
      <x:c r="J7" s="56" t="n">
        <x:f>'01 Buckets'!K28</x:f>
        <x:v>223.58788093031703</x:v>
      </x:c>
      <x:c r="K7" s="56" t="n">
        <x:f>'01 Buckets'!P28</x:f>
        <x:v>44.71757618606341</x:v>
      </x:c>
      <x:c r="L7" s="56" t="n">
        <x:f>'01 Buckets'!Q28</x:f>
        <x:v>7.825575832561096</x:v>
      </x:c>
      <x:c r="M7" s="2"/>
      <x:c r="N7" s="2"/>
      <x:c r="O7" s="2"/>
      <x:c r="P7" s="2"/>
      <x:c r="Q7" s="2"/>
    </x:row>
    <x:row r="8" ht="29" customHeight="1">
      <x:c r="A8" s="2" t="str">
        <x:v>LABOR</x:v>
      </x:c>
      <x:c r="B8" s="31" t="str">
        <x:v>Existing AI-exposed wage base</x:v>
      </x:c>
      <x:c r="C8" s="58" t="n">
        <x:f>'01 Buckets'!C7</x:f>
        <x:v>5300</x:v>
      </x:c>
      <x:c r="D8" s="58" t="n">
        <x:f>'01 Buckets'!F7</x:f>
        <x:v>14000</x:v>
      </x:c>
      <x:c r="E8" s="31" t="str">
        <x:v>NO</x:v>
      </x:c>
      <x:c r="F8" s="31" t="str">
        <x:v>YES</x:v>
      </x:c>
      <x:c r="G8" s="31" t="str">
        <x:v>Technical wage opportunity, not billings</x:v>
      </x:c>
      <x:c r="H8" s="31" t="str">
        <x:v>PRIOR USER MODEL</x:v>
      </x:c>
      <x:c r="I8" s="2" t="str">
        <x:v>IT integration &amp; legacy systems</x:v>
      </x:c>
      <x:c r="J8" s="56" t="n">
        <x:f>'01 Buckets'!K29</x:f>
        <x:v>58.706043759186024</x:v>
      </x:c>
      <x:c r="K8" s="56" t="n">
        <x:f>'01 Buckets'!P29</x:f>
        <x:v>18.492403784143598</x:v>
      </x:c>
      <x:c r="L8" s="56" t="n">
        <x:f>'01 Buckets'!Q29</x:f>
        <x:v>3.2361706622251294</x:v>
      </x:c>
      <x:c r="M8" s="2"/>
      <x:c r="N8" s="2"/>
      <x:c r="O8" s="2"/>
      <x:c r="P8" s="2"/>
      <x:c r="Q8" s="2"/>
    </x:row>
    <x:row r="9" ht="29" customHeight="1">
      <x:c r="A9" s="2" t="str">
        <x:v>LABOR</x:v>
      </x:c>
      <x:c r="B9" s="31" t="str">
        <x:v>Counterfactual missing-labor wage value</x:v>
      </x:c>
      <x:c r="C9" s="58" t="n">
        <x:f>'01 Buckets'!C8</x:f>
        <x:v>586</x:v>
      </x:c>
      <x:c r="D9" s="60" t="str">
        <x:f>IF('01 Buckets'!F8="","",'01 Buckets'!F8)</x:f>
      </x:c>
      <x:c r="E9" s="31" t="str">
        <x:v>NO</x:v>
      </x:c>
      <x:c r="F9" s="31" t="str">
        <x:v>YES</x:v>
      </x:c>
      <x:c r="G9" s="31" t="str">
        <x:v>Trend-vs-projection employee shortage valued at salaries</x:v>
      </x:c>
      <x:c r="H9" s="31" t="str">
        <x:v>PRIOR USER MODEL</x:v>
      </x:c>
      <x:c r="I9" s="2" t="str">
        <x:v>Legal services</x:v>
      </x:c>
      <x:c r="J9" s="56" t="n">
        <x:f>'01 Buckets'!K30</x:f>
        <x:v>63.76122026562534</x:v>
      </x:c>
      <x:c r="K9" s="56" t="n">
        <x:f>'01 Buckets'!P30</x:f>
        <x:v>13.549259306445384</x:v>
      </x:c>
      <x:c r="L9" s="56" t="n">
        <x:f>'01 Buckets'!Q30</x:f>
        <x:v>1.693657413305673</x:v>
      </x:c>
      <x:c r="M9" s="2"/>
      <x:c r="N9" s="2"/>
      <x:c r="O9" s="2"/>
      <x:c r="P9" s="2"/>
      <x:c r="Q9" s="2"/>
    </x:row>
    <x:row r="10" ht="29" customHeight="1">
      <x:c r="A10" s="2" t="str">
        <x:v>LABOR</x:v>
      </x:c>
      <x:c r="B10" s="31" t="str">
        <x:v>Realizable annual economic value (scenario)</x:v>
      </x:c>
      <x:c r="C10" s="58" t="n">
        <x:f>'01 Buckets'!I20</x:f>
        <x:v>152.375</x:v>
      </x:c>
      <x:c r="D10" s="58" t="n">
        <x:f>'01 Buckets'!I21</x:f>
        <x:v>402.5</x:v>
      </x:c>
      <x:c r="E10" s="31" t="str">
        <x:v>NO</x:v>
      </x:c>
      <x:c r="F10" s="31" t="str">
        <x:v>YES</x:v>
      </x:c>
      <x:c r="G10" s="31" t="str">
        <x:v>Viable tasks × utilization × task savings</x:v>
      </x:c>
      <x:c r="H10" s="31" t="str">
        <x:v>SCENARIO</x:v>
      </x:c>
      <x:c r="I10" s="2" t="str">
        <x:v>Management consulting</x:v>
      </x:c>
      <x:c r="J10" s="56" t="n">
        <x:f>'01 Buckets'!K31</x:f>
        <x:v>58.1521485525622</x:v>
      </x:c>
      <x:c r="K10" s="56" t="n">
        <x:f>'01 Buckets'!P31</x:f>
        <x:v>13.084233424326495</x:v>
      </x:c>
      <x:c r="L10" s="56" t="n">
        <x:f>'01 Buckets'!Q31</x:f>
        <x:v>1.962635013648974</x:v>
      </x:c>
      <x:c r="M10" s="2"/>
      <x:c r="N10" s="2"/>
      <x:c r="O10" s="2"/>
      <x:c r="P10" s="2"/>
      <x:c r="Q10" s="2"/>
    </x:row>
    <x:row r="11" ht="29" customHeight="1">
      <x:c r="A11" s="62" t="str">
        <x:v>LABOR</x:v>
      </x:c>
      <x:c r="B11" s="63" t="str">
        <x:v>Vendor capture of existing worker gains</x:v>
      </x:c>
      <x:c r="C11" s="64" t="n">
        <x:f>'01 Buckets'!K20</x:f>
        <x:v>76.1875</x:v>
      </x:c>
      <x:c r="D11" s="64" t="n">
        <x:f>'01 Buckets'!K21</x:f>
        <x:v>201.25</x:v>
      </x:c>
      <x:c r="E11" s="63" t="str">
        <x:v>POTENTIAL</x:v>
      </x:c>
      <x:c r="F11" s="63" t="str">
        <x:v>HIGH</x:v>
      </x:c>
      <x:c r="G11" s="63" t="str">
        <x:v>Alternative to enterprise per-seat revenue, not additive</x:v>
      </x:c>
      <x:c r="H11" s="63" t="str">
        <x:v>MODEL</x:v>
      </x:c>
      <x:c r="I11" s="2" t="str">
        <x:v>Advertising agencies</x:v>
      </x:c>
      <x:c r="J11" s="56" t="n">
        <x:f>'01 Buckets'!K32</x:f>
        <x:v>8.345011122089554</x:v>
      </x:c>
      <x:c r="K11" s="56" t="n">
        <x:f>'01 Buckets'!P32</x:f>
        <x:v>2.7747161980947763</x:v>
      </x:c>
      <x:c r="L11" s="56" t="n">
        <x:f>'01 Buckets'!Q32</x:f>
        <x:v>0.4855753346665858</x:v>
      </x:c>
      <x:c r="M11" s="2"/>
      <x:c r="N11" s="2"/>
      <x:c r="O11" s="2"/>
      <x:c r="P11" s="2"/>
      <x:c r="Q11" s="2"/>
    </x:row>
    <x:row r="12" ht="29" customHeight="1">
      <x:c r="A12" s="2" t="str">
        <x:v>LABOR</x:v>
      </x:c>
      <x:c r="B12" s="31" t="str">
        <x:v>Enterprise seat-price alternative</x:v>
      </x:c>
      <x:c r="C12" s="58" t="str">
        <x:f>'01 Buckets'!N20</x:f>
      </x:c>
      <x:c r="D12" s="58" t="str">
        <x:f>'01 Buckets'!N21</x:f>
      </x:c>
      <x:c r="E12" s="31" t="str">
        <x:v>POTENTIAL</x:v>
      </x:c>
      <x:c r="F12" s="31" t="str">
        <x:v>HIGH</x:v>
      </x:c>
      <x:c r="G12" s="31" t="str">
        <x:v>Actual paid employees × annual price, requires observed seats</x:v>
      </x:c>
      <x:c r="H12" s="31" t="str">
        <x:v>NEEDS SEAT LINK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9" customHeight="1">
      <x:c r="A13" s="2" t="str">
        <x:v>LABOR</x:v>
      </x:c>
      <x:c r="B13" s="31" t="str">
        <x:v>Labor gap vendor opportunity - separate (OFF)</x:v>
      </x:c>
      <x:c r="C13" s="58" t="n">
        <x:f>'01 Buckets'!K22</x:f>
        <x:v>95.22500000000001</x:v>
      </x:c>
      <x:c r="D13" s="58" t="n">
        <x:f>'01 Buckets'!K23</x:f>
        <x:v>0</x:v>
      </x:c>
      <x:c r="E13" s="31" t="str">
        <x:v>SCREEN</x:v>
      </x:c>
      <x:c r="F13" s="31" t="str">
        <x:v>HIGH</x:v>
      </x:c>
      <x:c r="G13" s="31" t="str">
        <x:v>Needs extra monetization evidence; not automatically incremental</x:v>
      </x:c>
      <x:c r="H13" s="31" t="str">
        <x:v>SCENARIO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9" customHeight="1">
      <x:c r="A14" s="2" t="str">
        <x:v>B2B</x:v>
      </x:c>
      <x:c r="B14" s="31" t="str">
        <x:v>Supplier gross 2024 revenue — 5 known industries</x:v>
      </x:c>
      <x:c r="C14" s="60" t="n">
        <x:f>SUM('01 Buckets'!F28:F32)</x:f>
        <x:v>2132.790356</x:v>
      </x:c>
      <x:c r="D14" s="31"/>
      <x:c r="E14" s="31" t="str">
        <x:v>NO</x:v>
      </x:c>
      <x:c r="F14" s="31" t="str">
        <x:v>HIGH</x:v>
      </x:c>
      <x:c r="G14" s="31" t="str">
        <x:v>External-service market size, includes wages / intermediate services</x:v>
      </x:c>
      <x:c r="H14" s="31" t="str">
        <x:v>OFFICIAL BASE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9" customHeight="1">
      <x:c r="A15" s="2" t="str">
        <x:v>B2B</x:v>
      </x:c>
      <x:c r="B15" s="31" t="str">
        <x:v>US listed-margin estimated 2030 supplier EBIT</x:v>
      </x:c>
      <x:c r="C15" s="60" t="n">
        <x:f>SUM('01 Buckets'!K28:K32)</x:f>
        <x:v>412.55230462978017</x:v>
      </x:c>
      <x:c r="D15" s="31"/>
      <x:c r="E15" s="31" t="str">
        <x:v>NO</x:v>
      </x:c>
      <x:c r="F15" s="31" t="str">
        <x:v>MODERATE</x:v>
      </x:c>
      <x:c r="G15" s="31" t="str">
        <x:v>Screened provider non-labor margin pool, US data/public proxies</x:v>
      </x:c>
      <x:c r="H15" s="31" t="str">
        <x:v>PROXY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9" customHeight="1">
      <x:c r="A16" s="2" t="str">
        <x:v>B2B</x:v>
      </x:c>
      <x:c r="B16" s="31" t="str">
        <x:v>US contestable provider EBIT</x:v>
      </x:c>
      <x:c r="C16" s="60" t="n">
        <x:f>SUM('01 Buckets'!P28:P37)</x:f>
        <x:v>92.61818889907367</x:v>
      </x:c>
      <x:c r="D16" s="31"/>
      <x:c r="E16" s="31" t="str">
        <x:v>NO</x:v>
      </x:c>
      <x:c r="F16" s="31" t="str">
        <x:v>HIGH</x:v>
      </x:c>
      <x:c r="G16" s="31" t="str">
        <x:v>Profit at risk to upstream suppliers; NOT AI revenue</x:v>
      </x:c>
      <x:c r="H16" s="31" t="str">
        <x:v>SCENARIO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9" customHeight="1">
      <x:c r="A17" s="62" t="str">
        <x:v>B2B</x:v>
      </x:c>
      <x:c r="B17" s="63" t="str">
        <x:v>US vendor potential from migrated profit</x:v>
      </x:c>
      <x:c r="C17" s="68" t="n">
        <x:f>SUM('01 Buckets'!Q28:Q37)</x:f>
        <x:v>15.203614256407457</x:v>
      </x:c>
      <x:c r="D17" s="63"/>
      <x:c r="E17" s="63" t="str">
        <x:v>SCREEN</x:v>
      </x:c>
      <x:c r="F17" s="63" t="str">
        <x:v>HIGH</x:v>
      </x:c>
      <x:c r="G17" s="63" t="str">
        <x:v>Potential migration to AI suppliers, separate invoice validation pending</x:v>
      </x:c>
      <x:c r="H17" s="63" t="str">
        <x:v>SCENARIO</x:v>
      </x:c>
      <x:c r="I17" s="74" t="str">
        <x:v>Scenario channel</x:v>
      </x:c>
      <x:c r="J17" s="74" t="str">
        <x:v>Annual $bn</x:v>
      </x:c>
      <x:c r="K17" s="74" t="str">
        <x:v>Included?</x:v>
      </x:c>
      <x:c r="L17" s="2"/>
      <x:c r="M17" s="2"/>
      <x:c r="N17" s="2"/>
      <x:c r="O17" s="2"/>
      <x:c r="P17" s="2"/>
      <x:c r="Q17" s="2"/>
    </x:row>
    <x:row r="18" ht="29" customHeight="1">
      <x:c r="A18" s="2" t="str">
        <x:v>B2C</x:v>
      </x:c>
      <x:c r="B18" s="31" t="str">
        <x:v>US 2025 consumer electronics/media spending</x:v>
      </x:c>
      <x:c r="C18" s="58" t="n">
        <x:f>'01 Buckets'!F46</x:f>
        <x:v>427.604</x:v>
      </x:c>
      <x:c r="D18" s="31"/>
      <x:c r="E18" s="31" t="str">
        <x:v>NO</x:v>
      </x:c>
      <x:c r="F18" s="31" t="str">
        <x:v>HIGH</x:v>
      </x:c>
      <x:c r="G18" s="31" t="str">
        <x:v>BEA consumer outlays, not AI spend</x:v>
      </x:c>
      <x:c r="H18" s="31" t="str">
        <x:v>BEA OFFICIAL</x:v>
      </x:c>
      <x:c r="I18" s="2" t="str">
        <x:v>Global ex-China labor value capture</x:v>
      </x:c>
      <x:c r="J18" s="46" t="n">
        <x:f>C31</x:f>
        <x:v>201.25</x:v>
      </x:c>
      <x:c r="K18" s="2" t="str">
        <x:v>Scenario / scope mismatch</x:v>
      </x:c>
      <x:c r="L18" s="2"/>
      <x:c r="M18" s="2"/>
      <x:c r="N18" s="2"/>
      <x:c r="O18" s="2"/>
      <x:c r="P18" s="2"/>
      <x:c r="Q18" s="2"/>
    </x:row>
    <x:row r="19" ht="29" customHeight="1">
      <x:c r="A19" s="2" t="str">
        <x:v>B2C</x:v>
      </x:c>
      <x:c r="B19" s="31" t="str">
        <x:v>US candidate consumer device incremental value</x:v>
      </x:c>
      <x:c r="C19" s="58" t="n">
        <x:f>'01 Buckets'!L46</x:f>
        <x:v>0.42760400000000004</x:v>
      </x:c>
      <x:c r="D19" s="31"/>
      <x:c r="E19" s="31" t="str">
        <x:v>SCREEN</x:v>
      </x:c>
      <x:c r="F19" s="31" t="str">
        <x:v>HIGH</x:v>
      </x:c>
      <x:c r="G19" s="31" t="str">
        <x:v>1% AI share shift × assumed net increase × capture; illustrative</x:v>
      </x:c>
      <x:c r="H19" s="31" t="str">
        <x:v>SCENARIO</x:v>
      </x:c>
      <x:c r="I19" s="2" t="str">
        <x:v>Missing labor optional</x:v>
      </x:c>
      <x:c r="J19" s="46" t="n">
        <x:f>C32</x:f>
        <x:v>0</x:v>
      </x:c>
      <x:c r="K19" s="2" t="str">
        <x:v>OFF / US only</x:v>
      </x:c>
      <x:c r="L19" s="2"/>
      <x:c r="M19" s="2"/>
      <x:c r="N19" s="2"/>
      <x:c r="O19" s="2"/>
      <x:c r="P19" s="2"/>
      <x:c r="Q19" s="2"/>
    </x:row>
    <x:row r="20" ht="29" customHeight="1">
      <x:c r="A20" s="2" t="str">
        <x:v>B2C</x:v>
      </x:c>
      <x:c r="B20" s="31" t="str">
        <x:v>Consumer subscriptions (unlinked)</x:v>
      </x:c>
      <x:c r="C20" s="58" t="str">
        <x:f>'01 Buckets'!L45</x:f>
      </x:c>
      <x:c r="D20" s="31"/>
      <x:c r="E20" s="31" t="str">
        <x:v>POTENTIAL</x:v>
      </x:c>
      <x:c r="F20" s="31" t="str">
        <x:v>HIGH</x:v>
      </x:c>
      <x:c r="G20" s="31" t="str">
        <x:v>Requires paid user count; no fake paid seat assumption</x:v>
      </x:c>
      <x:c r="H20" s="31" t="str">
        <x:v>NEEDS USER DATA</x:v>
      </x:c>
      <x:c r="I20" s="2" t="str">
        <x:v>US B2B approved</x:v>
      </x:c>
      <x:c r="J20" s="46" t="n">
        <x:f>C33</x:f>
        <x:v>0</x:v>
      </x:c>
      <x:c r="K20" s="2" t="str">
        <x:v>OFF / US only</x:v>
      </x:c>
      <x:c r="L20" s="2"/>
      <x:c r="M20" s="2"/>
      <x:c r="N20" s="2"/>
      <x:c r="O20" s="2"/>
      <x:c r="P20" s="2"/>
      <x:c r="Q20" s="2"/>
    </x:row>
    <x:row r="21" ht="29" customHeight="1">
      <x:c r="A21" s="62" t="str">
        <x:v>CONTROL</x:v>
      </x:c>
      <x:c r="B21" s="63" t="str">
        <x:v>APPROVED B2B + B2C vendor revenue</x:v>
      </x:c>
      <x:c r="C21" s="68" t="n">
        <x:f>SUM('01 Buckets'!S28:S37)+SUM('01 Buckets'!N45:N54)</x:f>
        <x:v>0</x:v>
      </x:c>
      <x:c r="D21" s="63"/>
      <x:c r="E21" s="63" t="str">
        <x:v>POTENTIAL</x:v>
      </x:c>
      <x:c r="F21" s="63" t="str">
        <x:v>LOW IF AUDITED</x:v>
      </x:c>
      <x:c r="G21" s="63" t="str">
        <x:v>Only gates 1; current default zero to avoid double counting</x:v>
      </x:c>
      <x:c r="H21" s="63" t="str">
        <x:v>EXCLUDED UNTIL APPROVED</x:v>
      </x:c>
      <x:c r="I21" s="2" t="str">
        <x:v>US B2C approved</x:v>
      </x:c>
      <x:c r="J21" s="46" t="n">
        <x:f>C34</x:f>
        <x:v>0</x:v>
      </x:c>
      <x:c r="K21" s="2" t="str">
        <x:v>OFF / US only</x:v>
      </x:c>
      <x:c r="L21" s="2"/>
      <x:c r="M21" s="2"/>
      <x:c r="N21" s="2"/>
      <x:c r="O21" s="2"/>
      <x:c r="P21" s="2"/>
      <x:c r="Q21" s="2"/>
    </x:row>
    <x:row r="22" ht="29" customHeight="1">
      <x:c r="A22" s="2" t="str">
        <x:v>HURDLE</x:v>
      </x:c>
      <x:c r="B22" s="31" t="str">
        <x:v>Annual AI revenue hurdle (existing model)</x:v>
      </x:c>
      <x:c r="C22" s="60" t="str">
        <x:f>IF('01 Buckets'!C10="","",'01 Buckets'!C10)</x:f>
      </x:c>
      <x:c r="D22" s="60" t="str">
        <x:f>IF('01 Buckets'!F10="","",'01 Buckets'!F10)</x:f>
      </x:c>
      <x:c r="E22" s="31" t="str">
        <x:v>HURDLE</x:v>
      </x:c>
      <x:c r="F22" s="31" t="str">
        <x:v>N/A</x:v>
      </x:c>
      <x:c r="G22" s="31" t="str">
        <x:v>Do not compare US-only source spends with global hurdle as matched coverage</x:v>
      </x:c>
      <x:c r="H22" s="31" t="str">
        <x:v>LINK YOUR MODEL</x:v>
      </x:c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9" customHeight="1">
      <x:c r="A23" s="2" t="str">
        <x:v>MACRO</x:v>
      </x:c>
      <x:c r="B23" s="31" t="str">
        <x:v>2032 WORLD GDP level uplift (+1pp growth)</x:v>
      </x:c>
      <x:c r="C23" s="31"/>
      <x:c r="D23" s="31"/>
      <x:c r="E23" s="31" t="str">
        <x:v>NO</x:v>
      </x:c>
      <x:c r="F23" s="31" t="str">
        <x:v>OVERLAP</x:v>
      </x:c>
      <x:c r="G23" s="31" t="str">
        <x:v>Global 2032 annual GDP-level difference,  ~$9T illustrative; not U.S. or ex-China, not AI vendor revenue</x:v>
      </x:c>
      <x:c r="H23" s="31" t="str">
        <x:v>WORLD TOP-DOWN</x:v>
      </x:c>
      <x:c r="I23" s="56" t="n">
        <x:f>'01 Buckets'!C11</x:f>
        <x:v>9000</x:v>
      </x:c>
      <x:c r="J23" s="2" t="str">
        <x:v>2032 WORLD, not ex-China; top-down only</x:v>
      </x:c>
      <x:c r="K23" s="2"/>
      <x:c r="L23" s="2"/>
      <x:c r="M23" s="2"/>
      <x:c r="N23" s="2"/>
      <x:c r="O23" s="2"/>
      <x:c r="P23" s="2"/>
      <x:c r="Q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20" t="str">
        <x:v>02  |  NON-OVERLAPPING WATERFALL — USD BILLIONS PER YEAR</x:v>
      </x:c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</x:row>
    <x:row r="27" ht="20" customHeight="1">
      <x:c r="A27" s="30" t="str">
        <x:v>Only independently monetizable vendor receipts can accumulate. Current chart presents a THEORY scenario for labor; B2B and B2C are OFF pending invoice / payer and double-count verification. Revenue Hurdle blank until linked.</x:v>
      </x:c>
      <x:c r="B27" s="31"/>
      <x:c r="C27" s="31"/>
      <x:c r="D27" s="31"/>
      <x:c r="E27" s="31"/>
      <x:c r="F27" s="31"/>
      <x:c r="G27" s="31"/>
      <x:c r="H27" s="31"/>
      <x:c r="I27" s="74" t="str">
        <x:v>Revenue bridge steps</x:v>
      </x:c>
      <x:c r="J27" s="74" t="str">
        <x:v>Cumulative ($bn)</x:v>
      </x:c>
      <x:c r="K27" s="2"/>
      <x:c r="L27" s="2"/>
      <x:c r="M27" s="2"/>
      <x:c r="N27" s="2"/>
      <x:c r="O27" s="2"/>
      <x:c r="P27" s="2"/>
      <x:c r="Q27" s="2"/>
    </x:row>
    <x:row r="28" ht="20" customHeight="1">
      <x:c r="A28" s="31"/>
      <x:c r="B28" s="31"/>
      <x:c r="C28" s="31"/>
      <x:c r="D28" s="31"/>
      <x:c r="E28" s="31"/>
      <x:c r="F28" s="31"/>
      <x:c r="G28" s="31"/>
      <x:c r="H28" s="31"/>
      <x:c r="I28" s="2" t="str">
        <x:v>Step 1</x:v>
      </x:c>
      <x:c r="J28" s="46" t="n">
        <x:f>D31</x:f>
        <x:v>201.25</x:v>
      </x:c>
      <x:c r="K28" s="2"/>
      <x:c r="L28" s="2"/>
      <x:c r="M28" s="2"/>
      <x:c r="N28" s="2"/>
      <x:c r="O28" s="2"/>
      <x:c r="P28" s="2"/>
      <x:c r="Q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 t="str">
        <x:v>Step 2</x:v>
      </x:c>
      <x:c r="J29" s="46" t="n">
        <x:f>D32</x:f>
        <x:v>201.25</x:v>
      </x:c>
      <x:c r="K29" s="2"/>
      <x:c r="L29" s="2"/>
      <x:c r="M29" s="2"/>
      <x:c r="N29" s="2"/>
      <x:c r="O29" s="2"/>
      <x:c r="P29" s="2"/>
      <x:c r="Q29" s="2"/>
    </x:row>
    <x:row r="30" ht="29" customHeight="1">
      <x:c r="A30" s="39" t="str">
        <x:v>Step</x:v>
      </x:c>
      <x:c r="B30" s="39" t="str">
        <x:v>Approved channel</x:v>
      </x:c>
      <x:c r="C30" s="39" t="str">
        <x:v>Annual incremental ($bn)</x:v>
      </x:c>
      <x:c r="D30" s="39" t="str">
        <x:v>Cumulative ($bn)</x:v>
      </x:c>
      <x:c r="E30" s="39" t="str">
        <x:v>Floating offset ($bn)</x:v>
      </x:c>
      <x:c r="F30" s="39" t="str">
        <x:v>Overlap gate</x:v>
      </x:c>
      <x:c r="G30" s="39" t="str">
        <x:v>Narrative</x:v>
      </x:c>
      <x:c r="H30" s="2"/>
      <x:c r="I30" s="2" t="str">
        <x:v>Step 3</x:v>
      </x:c>
      <x:c r="J30" s="46" t="n">
        <x:f>D33</x:f>
        <x:v>201.25</x:v>
      </x:c>
      <x:c r="K30" s="2"/>
      <x:c r="L30" s="2"/>
      <x:c r="M30" s="2"/>
      <x:c r="N30" s="2"/>
      <x:c r="O30" s="2"/>
      <x:c r="P30" s="2"/>
      <x:c r="Q30" s="2"/>
    </x:row>
    <x:row r="31" ht="28" customHeight="1">
      <x:c r="A31" s="2" t="n">
        <x:v>1</x:v>
      </x:c>
      <x:c r="B31" s="2" t="str">
        <x:v>Existing labor value capture - ONE method</x:v>
      </x:c>
      <x:c r="C31" s="56" t="n">
        <x:f>'01 Buckets'!K21</x:f>
        <x:v>201.25</x:v>
      </x:c>
      <x:c r="D31" s="46" t="n">
        <x:f>SUM($C$31:C31)</x:f>
        <x:v>201.25</x:v>
      </x:c>
      <x:c r="E31" s="46" t="n">
        <x:f>D31-C31</x:f>
        <x:v>0</x:v>
      </x:c>
      <x:c r="F31" s="2" t="n">
        <x:v>1</x:v>
      </x:c>
      <x:c r="G31" s="31" t="str">
        <x:v>Potential global ex-China labor monetization: NOT observed subscription sales</x:v>
      </x:c>
      <x:c r="H31" s="2"/>
      <x:c r="I31" s="2" t="str">
        <x:v>Step 4</x:v>
      </x:c>
      <x:c r="J31" s="46" t="n">
        <x:f>D34</x:f>
        <x:v>201.25</x:v>
      </x:c>
      <x:c r="K31" s="2"/>
      <x:c r="L31" s="2"/>
      <x:c r="M31" s="2"/>
      <x:c r="N31" s="2"/>
      <x:c r="O31" s="2"/>
      <x:c r="P31" s="2"/>
      <x:c r="Q31" s="2"/>
    </x:row>
    <x:row r="32" ht="28" customHeight="1">
      <x:c r="A32" s="2" t="n">
        <x:v>2</x:v>
      </x:c>
      <x:c r="B32" s="2" t="str">
        <x:v>Labor gap - not approved</x:v>
      </x:c>
      <x:c r="C32" s="56" t="n">
        <x:f>'01 Buckets'!O22</x:f>
        <x:v>0</x:v>
      </x:c>
      <x:c r="D32" s="46" t="n">
        <x:f>SUM($C$31:C32)</x:f>
        <x:v>201.25</x:v>
      </x:c>
      <x:c r="E32" s="46" t="n">
        <x:f>D32-C32</x:f>
        <x:v>201.25</x:v>
      </x:c>
      <x:c r="F32" s="2" t="n">
        <x:v>0</x:v>
      </x:c>
      <x:c r="G32" s="31" t="str">
        <x:v>US gap distinct only if use case and payer reconciled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8" customHeight="1">
      <x:c r="A33" s="2" t="n">
        <x:v>3</x:v>
      </x:c>
      <x:c r="B33" s="2" t="str">
        <x:v>B2B migrated provider profit - US</x:v>
      </x:c>
      <x:c r="C33" s="46" t="n">
        <x:f>SUM('01 Buckets'!S28:S37)</x:f>
        <x:v>0</x:v>
      </x:c>
      <x:c r="D33" s="46" t="n">
        <x:f>SUM($C$31:C33)</x:f>
        <x:v>201.25</x:v>
      </x:c>
      <x:c r="E33" s="46" t="n">
        <x:f>D33-C33</x:f>
        <x:v>201.25</x:v>
      </x:c>
      <x:c r="F33" s="2" t="n">
        <x:v>1</x:v>
      </x:c>
      <x:c r="G33" s="31" t="str">
        <x:v>U.S. amount; not geography-comparable to global wage number, currently zero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8" customHeight="1">
      <x:c r="A34" s="2" t="n">
        <x:v>4</x:v>
      </x:c>
      <x:c r="B34" s="2" t="str">
        <x:v>B2C consumer - US</x:v>
      </x:c>
      <x:c r="C34" s="46" t="n">
        <x:f>SUM('01 Buckets'!N45:N54)</x:f>
        <x:v>0</x:v>
      </x:c>
      <x:c r="D34" s="46" t="n">
        <x:f>SUM($C$31:C34)</x:f>
        <x:v>201.25</x:v>
      </x:c>
      <x:c r="E34" s="46" t="n">
        <x:f>D34-C34</x:f>
        <x:v>201.25</x:v>
      </x:c>
      <x:c r="F34" s="2" t="n">
        <x:v>1</x:v>
      </x:c>
      <x:c r="G34" s="31" t="str">
        <x:v>U.S. amount; currently zero; paid subscriptions must be observed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0" customHeight="1">
      <x:c r="A35" s="70"/>
      <x:c r="B35" s="70" t="str">
        <x:v>Illustrative sum — MIXED GEO, NOT PUBLISHABLE</x:v>
      </x:c>
      <x:c r="C35" s="71" t="n">
        <x:f>SUM(C31:C34)</x:f>
        <x:v>201.25</x:v>
      </x:c>
      <x:c r="D35" s="70"/>
      <x:c r="E35" s="70"/>
      <x:c r="F35" s="70"/>
      <x:c r="G35" s="70"/>
      <x:c r="H35" s="70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5" customHeight="1">
      <x:c r="A38" s="20" t="str">
        <x:v>03  |  TRADITIONAL SUPPLIER VALUE STACK: WHAT IS TRULY NOT IN WAGE TAM?</x:v>
      </x:c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</x:row>
    <x:row r="39" ht="30" customHeight="1">
      <x:c r="A39" s="40" t="str">
        <x:v>Segment</x:v>
      </x:c>
      <x:c r="B39" s="40" t="str">
        <x:v>2024 sales ($bn)</x:v>
      </x:c>
      <x:c r="C39" s="40" t="str">
        <x:v>Annual payroll ($bn)</x:v>
      </x:c>
      <x:c r="D39" s="40" t="str">
        <x:v>EBIT proxy ($bn)</x:v>
      </x:c>
      <x:c r="E39" s="40" t="str">
        <x:v>Residual nonwage costs ($bn)</x:v>
      </x:c>
      <x:c r="F39" s="40" t="str">
        <x:v>AI-profit screen ($bn)</x:v>
      </x:c>
      <x:c r="G39" s="40" t="str">
        <x:v>Guard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0" customHeight="1">
      <x:c r="A40" s="2" t="str">
        <x:v>B01</x:v>
      </x:c>
      <x:c r="B40" s="56" t="n">
        <x:f>'01 Buckets'!F28</x:f>
        <x:v>567.772378</x:v>
      </x:c>
      <x:c r="C40" s="56" t="n">
        <x:f>'01 Buckets'!G28</x:f>
        <x:v>208.223779</x:v>
      </x:c>
      <x:c r="D40" s="56" t="n">
        <x:f>'01 Buckets'!I28</x:f>
        <x:v>187.2513302644</x:v>
      </x:c>
      <x:c r="E40" s="46" t="n">
        <x:f>B40-C40-D40</x:f>
        <x:v>172.29726873559997</x:v>
      </x:c>
      <x:c r="F40" s="56" t="n">
        <x:f>'01 Buckets'!P28</x:f>
        <x:v>44.71757618606341</x:v>
      </x:c>
      <x:c r="G40" s="2" t="str">
        <x:v>Not observed sector EBIT; listed-company proxy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0" customHeight="1">
      <x:c r="A41" s="2" t="str">
        <x:v>B02</x:v>
      </x:c>
      <x:c r="B41" s="56" t="n">
        <x:f>'01 Buckets'!F29</x:f>
        <x:v>663.500505</x:v>
      </x:c>
      <x:c r="C41" s="56" t="n">
        <x:f>'01 Buckets'!G29</x:f>
        <x:v>249.634088</x:v>
      </x:c>
      <x:c r="D41" s="56" t="n">
        <x:f>'01 Buckets'!I29</x:f>
        <x:v>49.1653874205</x:v>
      </x:c>
      <x:c r="E41" s="46" t="n">
        <x:f>B41-C41-D41</x:f>
        <x:v>364.70102957949996</x:v>
      </x:c>
      <x:c r="F41" s="56" t="n">
        <x:f>'01 Buckets'!P29</x:f>
        <x:v>18.492403784143598</x:v>
      </x:c>
      <x:c r="G41" s="2" t="str">
        <x:v>Not observed sector EBIT; listed-company proxy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0" customHeight="1">
      <x:c r="A42" s="2" t="str">
        <x:v>B03</x:v>
      </x:c>
      <x:c r="B42" s="56" t="n">
        <x:f>'01 Buckets'!F30</x:f>
        <x:v>435.199822</x:v>
      </x:c>
      <x:c r="C42" s="56" t="n">
        <x:f>'01 Buckets'!G30</x:f>
        <x:v>150.301738</x:v>
      </x:c>
      <x:c r="D42" s="56" t="n">
        <x:f>'01 Buckets'!I30</x:f>
        <x:v>53.3990181594</x:v>
      </x:c>
      <x:c r="E42" s="46" t="n">
        <x:f>B42-C42-D42</x:f>
        <x:v>231.4990658406</x:v>
      </x:c>
      <x:c r="F42" s="56" t="n">
        <x:f>'01 Buckets'!P30</x:f>
        <x:v>13.549259306445384</x:v>
      </x:c>
      <x:c r="G42" s="2" t="str">
        <x:v>Not observed sector EBIT; listed-company proxy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0" customHeight="1">
      <x:c r="A43" s="2" t="str">
        <x:v>B04</x:v>
      </x:c>
      <x:c r="B43" s="56" t="n">
        <x:f>'01 Buckets'!F31</x:f>
        <x:v>396.915313</x:v>
      </x:c>
      <x:c r="C43" s="56" t="n">
        <x:f>'01 Buckets'!G31</x:f>
        <x:v>0</x:v>
      </x:c>
      <x:c r="D43" s="56" t="n">
        <x:f>'01 Buckets'!I31</x:f>
        <x:v>48.701508905100006</x:v>
      </x:c>
      <x:c r="E43" s="46" t="n">
        <x:f>B43-C43-D43</x:f>
        <x:v>348.2138040949</x:v>
      </x:c>
      <x:c r="F43" s="56" t="n">
        <x:f>'01 Buckets'!P31</x:f>
        <x:v>13.084233424326495</x:v>
      </x:c>
      <x:c r="G43" s="2" t="str">
        <x:v>Not observed sector EBIT; listed-company proxy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0" customHeight="1">
      <x:c r="A44" s="2" t="str">
        <x:v>B05</x:v>
      </x:c>
      <x:c r="B44" s="56" t="n">
        <x:f>'01 Buckets'!F32</x:f>
        <x:v>69.402338</x:v>
      </x:c>
      <x:c r="C44" s="56" t="n">
        <x:f>'01 Buckets'!G32</x:f>
        <x:v>0</x:v>
      </x:c>
      <x:c r="D44" s="56" t="n">
        <x:f>'01 Buckets'!I32</x:f>
        <x:v>6.9888154365999995</x:v>
      </x:c>
      <x:c r="E44" s="46" t="n">
        <x:f>B44-C44-D44</x:f>
        <x:v>62.4135225634</x:v>
      </x:c>
      <x:c r="F44" s="56" t="n">
        <x:f>'01 Buckets'!P32</x:f>
        <x:v>2.7747161980947763</x:v>
      </x:c>
      <x:c r="G44" s="2" t="str">
        <x:v>Not observed sector EBIT; listed-company proxy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5" customHeight="1">
      <x:c r="A48" s="20" t="str">
        <x:v>04  |  CHART READOUT — FOUR DISTINCT ECONOMIC QUESTIONS</x:v>
      </x:c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31" customHeight="1">
      <x:c r="A50" s="2"/>
      <x:c r="B50" s="2" t="str">
        <x:v>A | Gross opportunity &amp; wage TAM</x:v>
      </x:c>
      <x:c r="C50" s="2"/>
      <x:c r="D50" s="2"/>
      <x:c r="E50" s="2"/>
      <x:c r="F50" s="2"/>
      <x:c r="G50" s="31" t="str">
        <x:v>Separate scale of $14T wage base and service-provider revenue. NEVER stack them as monetizable AI revenue.</x:v>
      </x:c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</x:row>
    <x:row r="51" ht="31" customHeight="1">
      <x:c r="A51" s="2"/>
      <x:c r="B51" s="2" t="str">
        <x:v>B | Provider profit decomposition</x:v>
      </x:c>
      <x:c r="C51" s="2"/>
      <x:c r="D51" s="2"/>
      <x:c r="E51" s="2"/>
      <x:c r="F51" s="2"/>
      <x:c r="G51" s="31" t="str">
        <x:v>Wages (already in labor channel) + nonlabor operating costs + EBIT proxy = industry revenue; EBIT at risk is the new economic layer.</x:v>
      </x:c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</x:row>
    <x:row r="52" ht="31" customHeight="1">
      <x:c r="A52" s="2"/>
      <x:c r="B52" s="2" t="str">
        <x:v>C | Potential vendor monetization</x:v>
      </x:c>
      <x:c r="C52" s="2"/>
      <x:c r="D52" s="2"/>
      <x:c r="E52" s="2"/>
      <x:c r="F52" s="2"/>
      <x:c r="G52" s="31" t="str">
        <x:v>Labor captures, B2B migration after overlap gate, B2C new fees after incremental test; ONLY these can enter annual waterfall.</x:v>
      </x:c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</x:row>
    <x:row r="53" ht="31" customHeight="1">
      <x:c r="A53" s="2"/>
      <x:c r="B53" s="2" t="str">
        <x:v>D | Macro 2032 GDP uplift</x:v>
      </x:c>
      <x:c r="C53" s="2"/>
      <x:c r="D53" s="2"/>
      <x:c r="E53" s="2"/>
      <x:c r="F53" s="2"/>
      <x:c r="G53" s="31" t="str">
        <x:v>GDP is a separate macro output cross-check. Same growth benefits may be produced by productivity and new consumer services, so no adding to AI invoices.</x:v>
      </x:c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 ht="2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 ht="2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2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 ht="2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2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 ht="2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2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 ht="2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 ht="2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2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 ht="2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</x:sheetData>
  <x:mergeCells>
    <x:mergeCell ref="A1:Q2"/>
    <x:mergeCell ref="A3:Q3"/>
    <x:mergeCell ref="A5:Q5"/>
    <x:mergeCell ref="A26:Q26"/>
    <x:mergeCell ref="A27:H28"/>
    <x:mergeCell ref="A38:Q38"/>
    <x:mergeCell ref="A48:Q48"/>
    <x:mergeCell ref="G50:Q50"/>
    <x:mergeCell ref="G51:Q51"/>
    <x:mergeCell ref="G52:Q52"/>
    <x:mergeCell ref="G53:Q53"/>
  </x:mergeCells>
  <x:pageMargins left="0.7" right="0.7" top="0.75" bottom="0.75" header="0.3" footer="0.3"/>
  <x:drawing xmlns:r="http://schemas.openxmlformats.org/officeDocument/2006/relationships" r:id="R12a29f2308654a92"/>
</x:worksheet>
</file>