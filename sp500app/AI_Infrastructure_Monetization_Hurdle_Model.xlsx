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040"/>
  </bookViews>
  <sheets>
    <sheet name="Dashboard" sheetId="1" r:id="rId1"/>
    <sheet name="Assumptions" sheetId="2" r:id="rId2"/>
    <sheet name="Capacity Buildout" sheetId="3" r:id="rId3"/>
    <sheet name="Revenue Model" sheetId="4" r:id="rId4"/>
    <sheet name="Sensitivity" sheetId="5" r:id="rId5"/>
    <sheet name="Model Firms" sheetId="6" r:id="rId6"/>
    <sheet name="Sources" sheetId="7" r:id="rId7"/>
    <sheet name="Investment Schedul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<sst xmlns="http://schemas.openxmlformats.org/spreadsheetml/2006/main" count="568" uniqueCount="339">
  <si>
    <t>AI Infrastructure Monetization Hurdle</t>
  </si>
  <si>
    <t>Flexible replication of Van Nieuwerburgh (2026): how much mature annual revenue is required to support the modeled AI infrastructure buildout?</t>
  </si>
  <si>
    <t>Core Outputs</t>
  </si>
  <si>
    <t/>
  </si>
  <si>
    <t>Capacity completed by 2032 (GW)</t>
  </si>
  <si>
    <t>Initial investment ($tn)</t>
  </si>
  <si>
    <t>Capital base ($tn)</t>
  </si>
  <si>
    <t>Required mature revenue ($tn)</t>
  </si>
  <si>
    <t>Required annual OCF ($tn)</t>
  </si>
  <si>
    <t>2032 GDP share</t>
  </si>
  <si>
    <t>Installed GPU-hour hurdle</t>
  </si>
  <si>
    <t>Billed GPU-hour @ selected util.</t>
  </si>
  <si>
    <t>Monetization Gap vs Model-Firm Revenue</t>
  </si>
  <si>
    <t>Metric</t>
  </si>
  <si>
    <t>Value</t>
  </si>
  <si>
    <t>Units</t>
  </si>
  <si>
    <t>Interpretation</t>
  </si>
  <si>
    <t>Optional 2032 User Forecast</t>
  </si>
  <si>
    <t>Active current model-firm revenue</t>
  </si>
  <si>
    <t>$bn</t>
  </si>
  <si>
    <t>Uses company-level inputs if entered; otherwise paper's $100bn benchmark</t>
  </si>
  <si>
    <t>User-entered model-firm 2032 revenue</t>
  </si>
  <si>
    <t>Required mature annual revenue</t>
  </si>
  <si>
    <t>Revenue hurdle from infrastructure model</t>
  </si>
  <si>
    <t>Coverage of hurdle</t>
  </si>
  <si>
    <t>%</t>
  </si>
  <si>
    <t>Remaining revenue gap</t>
  </si>
  <si>
    <t>Required revenue less current model-firm revenue</t>
  </si>
  <si>
    <t>Gap vs hurdle</t>
  </si>
  <si>
    <t>Current revenue / hurdle</t>
  </si>
  <si>
    <t>How much of the hurdle is covered today</t>
  </si>
  <si>
    <t>Replication variance vs paper</t>
  </si>
  <si>
    <t>Required CAGR to 2032</t>
  </si>
  <si>
    <t>Growth required from current aggregate revenue to the hurdle</t>
  </si>
  <si>
    <t>Selected utilization</t>
  </si>
  <si>
    <t>Revenue Comparison</t>
  </si>
  <si>
    <t>Current model-firm revenue</t>
  </si>
  <si>
    <t>User 2032 model-firm forecast</t>
  </si>
  <si>
    <t>Required mature revenue</t>
  </si>
  <si>
    <t>How to Use This Model</t>
  </si>
  <si>
    <t>1) Change yellow/blue assumptions in the Assumptions and Capacity Buildout sheets. 2) The Revenue Model recalculates the mature revenue hurdle by completion cohort. 3) Add current / 2032 model-firm revenue estimates in Model Firms. 4) Use Sensitivity to test return, margin, IT life and utilization. 5) The key question is the revenue gap: how much monetization must still be created to justify the infrastructure capital base.</t>
  </si>
  <si>
    <t>Important: this is a required-return framework, not an AI revenue forecast. The paper's central case assumes a 10% unlevered return, 50% operating cash-flow margin, 6-year IT life, 20-year non-IT life and the modeled 2025–32 completion cohorts.</t>
  </si>
  <si>
    <t>Assumptions</t>
  </si>
  <si>
    <t>Core Buildout &amp; Cost Assumptions</t>
  </si>
  <si>
    <t>Assumption</t>
  </si>
  <si>
    <t>Description</t>
  </si>
  <si>
    <t>Source / Note</t>
  </si>
  <si>
    <t>Base cost per MW (2025)</t>
  </si>
  <si>
    <t>$mm / MW</t>
  </si>
  <si>
    <t>Fully equipped AI campus: facility + power + IT</t>
  </si>
  <si>
    <t>Van Nieuwerburgh (2026), Appendix A / Table 2</t>
  </si>
  <si>
    <t>Annual completion-cohort cost growth</t>
  </si>
  <si>
    <t>Applied to cost per MW by completion year</t>
  </si>
  <si>
    <t>Paper assumption</t>
  </si>
  <si>
    <t>2032 nominal GDP</t>
  </si>
  <si>
    <t>$tn</t>
  </si>
  <si>
    <t>Used only for GDP-share comparison</t>
  </si>
  <si>
    <t>Paper central assumption</t>
  </si>
  <si>
    <t>Target completion year</t>
  </si>
  <si>
    <t>Year</t>
  </si>
  <si>
    <t>Revenue hurdle is measured once 2025–32 cohorts are mature</t>
  </si>
  <si>
    <t>Paper setup</t>
  </si>
  <si>
    <t>No-date allocation start</t>
  </si>
  <si>
    <t>No-date capacity completed by 2032 allocated evenly</t>
  </si>
  <si>
    <t>No-date allocation end</t>
  </si>
  <si>
    <t>Hours per year</t>
  </si>
  <si>
    <t>Hours</t>
  </si>
  <si>
    <t>Used for GPU-hour economics</t>
  </si>
  <si>
    <t>Calendar convention</t>
  </si>
  <si>
    <t>Article reported mature revenue</t>
  </si>
  <si>
    <t>Published Table 6 total; used as replication check only</t>
  </si>
  <si>
    <t>Van Nieuwerburgh (2026), Table 6</t>
  </si>
  <si>
    <t>Construction Spend Timing</t>
  </si>
  <si>
    <t>Timing</t>
  </si>
  <si>
    <t>Share</t>
  </si>
  <si>
    <t>t - 3</t>
  </si>
  <si>
    <t>% of cohort cost</t>
  </si>
  <si>
    <t>Early power / real-estate spend</t>
  </si>
  <si>
    <t>Appendix B</t>
  </si>
  <si>
    <t>t - 2</t>
  </si>
  <si>
    <t>t - 1</t>
  </si>
  <si>
    <t>Building/equipment + 10% of IT</t>
  </si>
  <si>
    <t>t</t>
  </si>
  <si>
    <t>Completion-year spend; majority of IT</t>
  </si>
  <si>
    <t>Capital Recovery &amp; Operating Economics</t>
  </si>
  <si>
    <t>IT share of total capital</t>
  </si>
  <si>
    <t>GPU / networking / storage / integration share</t>
  </si>
  <si>
    <t>IT economic life</t>
  </si>
  <si>
    <t>Years</t>
  </si>
  <si>
    <t>Central case</t>
  </si>
  <si>
    <t>Non-IT share of total capital</t>
  </si>
  <si>
    <t>Building / power / cooling share</t>
  </si>
  <si>
    <t>Formula = 1 - IT share</t>
  </si>
  <si>
    <t>Non-IT economic life</t>
  </si>
  <si>
    <t>Required unlevered return</t>
  </si>
  <si>
    <t>Target asset-level return before financing mix</t>
  </si>
  <si>
    <t>Paper central case</t>
  </si>
  <si>
    <t>Operating cash-flow margin</t>
  </si>
  <si>
    <t>Operating cash flow / revenue</t>
  </si>
  <si>
    <t>Construction capital factor (phi)</t>
  </si>
  <si>
    <t>x</t>
  </si>
  <si>
    <t>Compensates capital committed before commissioning</t>
  </si>
  <si>
    <t>Equation (3)</t>
  </si>
  <si>
    <t>Weighted annual capital charge</t>
  </si>
  <si>
    <t>IT/non-IT capital recovery factors weighted by cost share</t>
  </si>
  <si>
    <t>Equation (6)</t>
  </si>
  <si>
    <t>Compute Economics</t>
  </si>
  <si>
    <t>PUE</t>
  </si>
  <si>
    <t>Total facility power / critical IT power</t>
  </si>
  <si>
    <t>Rack power</t>
  </si>
  <si>
    <t>kW / rack</t>
  </si>
  <si>
    <t>NVIDIA GB300 NVL72 configuration</t>
  </si>
  <si>
    <t>Appendix A</t>
  </si>
  <si>
    <t>GPUs per rack</t>
  </si>
  <si>
    <t>GPUs</t>
  </si>
  <si>
    <t>NVL72 configuration</t>
  </si>
  <si>
    <t>Used for billed GPU-hour price</t>
  </si>
  <si>
    <t>Editable scenario input</t>
  </si>
  <si>
    <t>Reference frontier GPU rental price</t>
  </si>
  <si>
    <t>$ / GPU-hour</t>
  </si>
  <si>
    <t>B200 rental price cited in paper as of Aug. 31, 2026</t>
  </si>
  <si>
    <t>Ornn Compute Price Index (paper citation)</t>
  </si>
  <si>
    <t>Comparison base year</t>
  </si>
  <si>
    <t>For CAGR to monetization hurdle</t>
  </si>
  <si>
    <t>Paper contextual example</t>
  </si>
  <si>
    <t>Important Interpretation</t>
  </si>
  <si>
    <t>The model calculates a required mature annual revenue hurdle, not a forecast of AI revenues. It asks how much annual revenue the completed infrastructure must support to recover capital, replace depreciating assets, and earn the selected unlevered return.</t>
  </si>
  <si>
    <t>Capacity Buildout Replication</t>
  </si>
  <si>
    <t>Table 3 / Table 4 Replication: Pipeline to Realized Capacity</t>
  </si>
  <si>
    <t>Completion</t>
  </si>
  <si>
    <t>Observed Projects</t>
  </si>
  <si>
    <t>Observed GW</t>
  </si>
  <si>
    <t>Imputed Projects</t>
  </si>
  <si>
    <t>Imputed GW</t>
  </si>
  <si>
    <t>Total Projects</t>
  </si>
  <si>
    <t>Total GW</t>
  </si>
  <si>
    <t>Fixed / Included by 2032 GW</t>
  </si>
  <si>
    <t>Observed: By 2032</t>
  </si>
  <si>
    <t>Observed: After 2032</t>
  </si>
  <si>
    <t>Imputed: By 2032</t>
  </si>
  <si>
    <t>Imputed: After 2032</t>
  </si>
  <si>
    <t>Outcome: By 2032 GW</t>
  </si>
  <si>
    <t>Outcome: After 2032 GW</t>
  </si>
  <si>
    <t>Outcome: Never GW</t>
  </si>
  <si>
    <t>Before 2025</t>
  </si>
  <si>
    <t>2025</t>
  </si>
  <si>
    <t>2026</t>
  </si>
  <si>
    <t>2027</t>
  </si>
  <si>
    <t>2028</t>
  </si>
  <si>
    <t>2029</t>
  </si>
  <si>
    <t>2030</t>
  </si>
  <si>
    <t>2031</t>
  </si>
  <si>
    <t>2032</t>
  </si>
  <si>
    <t>After 2032</t>
  </si>
  <si>
    <t>Planned, no date</t>
  </si>
  <si>
    <t>Total / Pipeline</t>
  </si>
  <si>
    <t>Imputed capacity = projects with missing MW where capacity is estimated from project characteristics. Realization rates are lower for imputed capacity to reflect greater uncertainty. The output is a scenario, not a forecast.</t>
  </si>
  <si>
    <t>2025–2032 Completion Cohorts Used in Revenue Model</t>
  </si>
  <si>
    <t>Dated Capacity Realized by 2032 (GW)</t>
  </si>
  <si>
    <t>Allocated No-Date Capacity (GW)</t>
  </si>
  <si>
    <t>Total Completion Cohort Kt (GW)</t>
  </si>
  <si>
    <t>Article Table 6 Rounded GW</t>
  </si>
  <si>
    <t>Total</t>
  </si>
  <si>
    <t>Replication Check</t>
  </si>
  <si>
    <t>Live Model</t>
  </si>
  <si>
    <t>Paper Reported</t>
  </si>
  <si>
    <t>Variance</t>
  </si>
  <si>
    <t>Variance %</t>
  </si>
  <si>
    <t>Capacity completed 2025–32 (GW)</t>
  </si>
  <si>
    <t>Required Revenue Model</t>
  </si>
  <si>
    <t>Appendix D Replication — Revenue Required to Support the Investment</t>
  </si>
  <si>
    <t>Capacity (GW)</t>
  </si>
  <si>
    <t>Cost / MW ($mm)</t>
  </si>
  <si>
    <t>Initial Cost Q ($bn)</t>
  </si>
  <si>
    <t>Construction Factor φ</t>
  </si>
  <si>
    <t>Capital Base B ($bn)</t>
  </si>
  <si>
    <t>Annual Capital Charge</t>
  </si>
  <si>
    <t>Required OCF ($bn)</t>
  </si>
  <si>
    <t>OCF Margin</t>
  </si>
  <si>
    <t>Required Mature Revenue ($bn)</t>
  </si>
  <si>
    <t>Revenue / MW-year ($mm)</t>
  </si>
  <si>
    <t>Critical IT Load (GW)</t>
  </si>
  <si>
    <t>Racks (000s)</t>
  </si>
  <si>
    <t>GPUs (mm)</t>
  </si>
  <si>
    <t>$ / Installed GPU-hour</t>
  </si>
  <si>
    <t>$ / Billed GPU-hour</t>
  </si>
  <si>
    <t>Total / Mature Run-Rate</t>
  </si>
  <si>
    <t>Replication Check vs Paper Table 6</t>
  </si>
  <si>
    <t>Live Replication</t>
  </si>
  <si>
    <t>Initial cost ($bn)</t>
  </si>
  <si>
    <t>Capital base at commissioning ($bn)</t>
  </si>
  <si>
    <t>Required annual operating cash flow ($bn)</t>
  </si>
  <si>
    <t>Required mature annual revenue ($bn)</t>
  </si>
  <si>
    <t>Interpretation: Required mature annual revenue is the run-rate needed once the 2025–32 completion cohorts are operational and mature. It is not a forecast of AI industry revenue.</t>
  </si>
  <si>
    <t>Sensitivity Analysis</t>
  </si>
  <si>
    <t>Required Mature Annual Revenue Sensitivity ($bn)</t>
  </si>
  <si>
    <t>GPU-Hour Economics</t>
  </si>
  <si>
    <t>Required Return \ OCF Margin</t>
  </si>
  <si>
    <t>Notes</t>
  </si>
  <si>
    <t>Utilization</t>
  </si>
  <si>
    <t>Installed $ / GPU-hour</t>
  </si>
  <si>
    <t>Required Billed $ / GPU-hour</t>
  </si>
  <si>
    <t>Reference Price</t>
  </si>
  <si>
    <t>Lower required return</t>
  </si>
  <si>
    <t>Higher required return</t>
  </si>
  <si>
    <t>Paper Table 7 (Reported, $bn)</t>
  </si>
  <si>
    <t>33%</t>
  </si>
  <si>
    <t>50%</t>
  </si>
  <si>
    <t>67%</t>
  </si>
  <si>
    <t>5%</t>
  </si>
  <si>
    <t>10%</t>
  </si>
  <si>
    <t>15%</t>
  </si>
  <si>
    <t>IT Economic Life Sensitivity</t>
  </si>
  <si>
    <t>IT Life (Years)</t>
  </si>
  <si>
    <t>Weighted Capital Charge</t>
  </si>
  <si>
    <t>Required Revenue ($bn)</t>
  </si>
  <si>
    <t>2032 GDP %</t>
  </si>
  <si>
    <t>The total revenue hurdle does not change with utilization in this model. Lower utilization mechanically raises the billed price required per GPU-hour because fewer hours are monetized.</t>
  </si>
  <si>
    <t>Model Firm Revenue Comparison</t>
  </si>
  <si>
    <t>Aggregate Comparison</t>
  </si>
  <si>
    <t>Formula / Meaning</t>
  </si>
  <si>
    <t>Paper benchmark: OpenAI + Anthropic combined revenue</t>
  </si>
  <si>
    <t>Contextual benchmark only</t>
  </si>
  <si>
    <t>Paper Appendix D</t>
  </si>
  <si>
    <t>Linked to assumptions</t>
  </si>
  <si>
    <t>Assumptions sheet</t>
  </si>
  <si>
    <t>Detailed current revenue total</t>
  </si>
  <si>
    <t>Sum of company-level inputs below</t>
  </si>
  <si>
    <t>User inputs</t>
  </si>
  <si>
    <t>Uses detailed total if entered; otherwise paper $100bn benchmark</t>
  </si>
  <si>
    <t>Model logic</t>
  </si>
  <si>
    <t>User-entered 2032 model-firm forecast</t>
  </si>
  <si>
    <t>Sum of optional 2032 estimates below</t>
  </si>
  <si>
    <t>Required mature revenue hurdle</t>
  </si>
  <si>
    <t>Live model output</t>
  </si>
  <si>
    <t>Revenue Model</t>
  </si>
  <si>
    <t>Revenue gap vs current model-firm revenue</t>
  </si>
  <si>
    <t>Required hurdle less current model-firm revenue</t>
  </si>
  <si>
    <t>Model output</t>
  </si>
  <si>
    <t>Required CAGR from current revenue to hurdle</t>
  </si>
  <si>
    <t>Growth required from base year through 2032</t>
  </si>
  <si>
    <t>Company-Level Inputs (Optional)</t>
  </si>
  <si>
    <t>Model Firm</t>
  </si>
  <si>
    <t>Current Revenue ($bn)</t>
  </si>
  <si>
    <t>Current Year</t>
  </si>
  <si>
    <t>2032 Revenue Estimate ($bn)</t>
  </si>
  <si>
    <t>Source / Notes</t>
  </si>
  <si>
    <t>OpenAI</t>
  </si>
  <si>
    <t>Anthropic</t>
  </si>
  <si>
    <t>xAI</t>
  </si>
  <si>
    <t>Other model developer</t>
  </si>
  <si>
    <t>Other AI applications / agents</t>
  </si>
  <si>
    <t>Use this section to replace the paper's aggregate $100bn benchmark with your own current revenue estimates and/or 2032 revenue forecasts. The dashboard will automatically use company-level current revenue once any values are entered.</t>
  </si>
  <si>
    <t>Sources &amp; Model Notes</t>
  </si>
  <si>
    <t>Primary Sources</t>
  </si>
  <si>
    <t>Source</t>
  </si>
  <si>
    <t>URL</t>
  </si>
  <si>
    <t>Use in Workbook</t>
  </si>
  <si>
    <t>Van Nieuwerburgh (2026), Financing the AI Buildout — SSRN revised draft</t>
  </si>
  <si>
    <t>https://papers.ssrn.com/sol3/Delivery.cfm/6444363.pdf?abstractid=6444363&amp;mirid=1&amp;type=2</t>
  </si>
  <si>
    <t>Capacity assumptions, cost per MW, construction timing, Appendix D revenue equations, Table 6/7</t>
  </si>
  <si>
    <t>User-provided paper corresponds to the revised Oct. 2, 2026 draft.</t>
  </si>
  <si>
    <t>NBER Working Paper 35865</t>
  </si>
  <si>
    <t>https://www.nber.org/papers/w35865</t>
  </si>
  <si>
    <t>Public paper landing page / citation</t>
  </si>
  <si>
    <t>Useful for sharing with colleagues.</t>
  </si>
  <si>
    <t>Brookings BPEA summary</t>
  </si>
  <si>
    <t>https://www.brookings.edu/articles/financing-the-ai-buildout/</t>
  </si>
  <si>
    <t>Public summary / context</t>
  </si>
  <si>
    <t>Summary page may reflect an earlier conference version; the workbook follows the user-provided revised paper.</t>
  </si>
  <si>
    <t>Ornn Compute Price Index</t>
  </si>
  <si>
    <t>https://data.ornn.com/preview</t>
  </si>
  <si>
    <t>Paper cites $6.07 per GPU-hour for B200 on Aug. 31, 2026.</t>
  </si>
  <si>
    <t>Model Architecture</t>
  </si>
  <si>
    <t>Step</t>
  </si>
  <si>
    <t>Calculation</t>
  </si>
  <si>
    <t>Workbook Location</t>
  </si>
  <si>
    <t>Why It Matters</t>
  </si>
  <si>
    <t>1</t>
  </si>
  <si>
    <t>Gross pipeline + imputed capacity + realization assumptions → completion cohorts</t>
  </si>
  <si>
    <t>Capacity Buildout</t>
  </si>
  <si>
    <t>Converts announced projects into a realized-capacity scenario.</t>
  </si>
  <si>
    <t>2</t>
  </si>
  <si>
    <t>Completion cohort GW × cost per MW → initial cost</t>
  </si>
  <si>
    <t>Translates physical capacity into capital required.</t>
  </si>
  <si>
    <t>3</t>
  </si>
  <si>
    <t>Construction timing + required return → capital base at commissioning</t>
  </si>
  <si>
    <t>Assumptions / Revenue Model</t>
  </si>
  <si>
    <t>Compensates capital committed before revenue begins.</t>
  </si>
  <si>
    <t>4</t>
  </si>
  <si>
    <t>IT/non-IT economic lives → weighted annual capital recovery charge</t>
  </si>
  <si>
    <t>Captures depreciation / replacement and opportunity cost.</t>
  </si>
  <si>
    <t>5</t>
  </si>
  <si>
    <t>Required OCF ÷ OCF margin → mature annual revenue hurdle</t>
  </si>
  <si>
    <t>Core monetization hurdle.</t>
  </si>
  <si>
    <t>6</t>
  </si>
  <si>
    <t>Compare hurdle with model-firm revenues and GPU rental economics</t>
  </si>
  <si>
    <t>Dashboard / Model Firms / Sensitivity</t>
  </si>
  <si>
    <t>Shows how much monetization still needs to be created.</t>
  </si>
  <si>
    <t>Editable Inputs Guide</t>
  </si>
  <si>
    <t>Area</t>
  </si>
  <si>
    <t>Key Editable Inputs</t>
  </si>
  <si>
    <t>Color</t>
  </si>
  <si>
    <t>Comment</t>
  </si>
  <si>
    <t>Capacity realization</t>
  </si>
  <si>
    <t>Observed/imputed realization rates and fixed operational capacity</t>
  </si>
  <si>
    <t>Blue text / yellow fill</t>
  </si>
  <si>
    <t>Adjust if the pipeline changes.</t>
  </si>
  <si>
    <t>Cost</t>
  </si>
  <si>
    <t>2025 $/MW and annual cost growth</t>
  </si>
  <si>
    <t>Useful for hardware deflation/inflation scenarios.</t>
  </si>
  <si>
    <t>Asset life</t>
  </si>
  <si>
    <t>IT life and non-IT life</t>
  </si>
  <si>
    <t>Major driver of the revenue hurdle.</t>
  </si>
  <si>
    <t>Return / margin</t>
  </si>
  <si>
    <t>Required unlevered return and OCF margin</t>
  </si>
  <si>
    <t>Replicates Table 7 sensitivities.</t>
  </si>
  <si>
    <t>Compute</t>
  </si>
  <si>
    <t>PUE, rack power, GPUs/rack, utilization</t>
  </si>
  <si>
    <t>Converts revenue hurdle into GPU-hour economics.</t>
  </si>
  <si>
    <t>Model firms</t>
  </si>
  <si>
    <t>Current revenue and optional 2032 revenue estimates</t>
  </si>
  <si>
    <t>Lets you compare monetization achieved vs required.</t>
  </si>
  <si>
    <t>Formula cells</t>
  </si>
  <si>
    <t>Do not overwrite unless changing model design</t>
  </si>
  <si>
    <t>Black or green text</t>
  </si>
  <si>
    <t>Green = links across worksheets; black = local calculations.</t>
  </si>
  <si>
    <t>AI Infrastructure Investment Schedule</t>
  </si>
  <si>
    <t>Annual Investment — Formula Replication vs Paper Table 5</t>
  </si>
  <si>
    <t>Modeled Spend on 2025–32 Cohorts ($bn)</t>
  </si>
  <si>
    <t>Paper Reported Investment ($bn)</t>
  </si>
  <si>
    <t>Difference ($bn)</t>
  </si>
  <si>
    <t>Nominal GDP ($bn)</t>
  </si>
  <si>
    <t>Paper Investment / GDP</t>
  </si>
  <si>
    <t>Modeled 2025–32 Cohort Spend / GDP</t>
  </si>
  <si>
    <t>Close replication using 2025–32 completion cohorts.</t>
  </si>
  <si>
    <t>Paper total includes pre-completion spend on post-2032 projects.</t>
  </si>
  <si>
    <t>2025–32 Total</t>
  </si>
  <si>
    <t>Why the model differs from Table 5 after 2029: the paper's Table 5 also includes construction spending during 2025–32 for projects that do not become operational until after 2032. The flexible revenue model intentionally focuses on the 188.3 GW completed during 2025–32, matching Appendix D's revenue-hurdle scope.</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</si>
</sst>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quot;$&quot;#,##0.0;[Red]\(&quot;$&quot;#,##0.0\);\-"/>
    <numFmt numFmtId="179" formatCode="0.0%;[Red]\(0.0%\);\-"/>
    <numFmt numFmtId="180" formatCode="&quot;$&quot;0.00;[Red]\(&quot;$&quot;0.00\);\-"/>
    <numFmt numFmtId="181" formatCode="0.00%;[Red]\(0.00%\);\-"/>
    <numFmt numFmtId="182" formatCode="#,##0.0;[Red]\(#,##0.0\);\-"/>
    <numFmt numFmtId="183" formatCode="0.00000#"/>
    <numFmt numFmtId="184" formatCode="#,##0.00;[Red]\(#,##0.00\);\-"/>
    <numFmt numFmtId="185" formatCode="#,##0;[Red]\(#,##0\);\-"/>
    <numFmt numFmtId="186" formatCode="0.00#"/>
  </numFmts>
  <fonts count="32">
    <font>
      <sz val="11"/>
      <name val="Carlito"/>
      <charset val="134"/>
    </font>
    <font>
      <b/>
      <sz val="16"/>
      <color rgb="FFFFFFFF"/>
      <name val="Carlito"/>
      <charset val="134"/>
    </font>
    <font>
      <b/>
      <sz val="11"/>
      <color rgb="FFFFFFFF"/>
      <name val="Carlito"/>
      <charset val="134"/>
    </font>
    <font>
      <b/>
      <sz val="11"/>
      <color rgb="FF000000"/>
      <name val="Carlito"/>
      <charset val="134"/>
    </font>
    <font>
      <sz val="11"/>
      <color rgb="FF008000"/>
      <name val="Carlito"/>
      <charset val="134"/>
    </font>
    <font>
      <sz val="11"/>
      <color rgb="FF0000FF"/>
      <name val="Carlito"/>
      <charset val="134"/>
    </font>
    <font>
      <sz val="11"/>
      <color rgb="FF000000"/>
      <name val="Carlito"/>
      <charset val="134"/>
    </font>
    <font>
      <b/>
      <sz val="11"/>
      <name val="Carlito"/>
      <charset val="134"/>
    </font>
    <font>
      <b/>
      <sz val="11"/>
      <color rgb="FF008000"/>
      <name val="Carlito"/>
      <charset val="134"/>
    </font>
    <font>
      <sz val="11"/>
      <color rgb="FF0563C1"/>
      <name val="Carlito"/>
      <charset val="134"/>
    </font>
    <font>
      <i/>
      <sz val="11"/>
      <color rgb="FF404040"/>
      <name val="Carlito"/>
      <charset val="134"/>
    </font>
    <font>
      <b/>
      <sz val="14"/>
      <color rgb="FF008000"/>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17365D"/>
        <bgColor indexed="64"/>
      </patternFill>
    </fill>
    <fill>
      <patternFill patternType="solid">
        <fgColor rgb="FF1F4E78"/>
        <bgColor indexed="64"/>
      </patternFill>
    </fill>
    <fill>
      <patternFill patternType="solid">
        <fgColor rgb="FFD9EAF7"/>
        <bgColor indexed="64"/>
      </patternFill>
    </fill>
    <fill>
      <patternFill patternType="solid">
        <fgColor rgb="FFFFF2CC"/>
        <bgColor indexed="64"/>
      </patternFill>
    </fill>
    <fill>
      <patternFill patternType="solid">
        <fgColor rgb="FFE2F0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177"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7" borderId="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20" fillId="0" borderId="4" applyNumberFormat="0" applyFill="0" applyAlignment="0" applyProtection="0">
      <alignment vertical="center"/>
    </xf>
    <xf numFmtId="0" fontId="20" fillId="0" borderId="0" applyNumberFormat="0" applyFill="0" applyBorder="0" applyAlignment="0" applyProtection="0">
      <alignment vertical="center"/>
    </xf>
    <xf numFmtId="0" fontId="21" fillId="8" borderId="5" applyNumberFormat="0" applyAlignment="0" applyProtection="0">
      <alignment vertical="center"/>
    </xf>
    <xf numFmtId="0" fontId="22" fillId="9" borderId="6" applyNumberFormat="0" applyAlignment="0" applyProtection="0">
      <alignment vertical="center"/>
    </xf>
    <xf numFmtId="0" fontId="23" fillId="9" borderId="5" applyNumberFormat="0" applyAlignment="0" applyProtection="0">
      <alignment vertical="center"/>
    </xf>
    <xf numFmtId="0" fontId="24" fillId="10" borderId="7" applyNumberFormat="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1" fillId="35" borderId="0" applyNumberFormat="0" applyBorder="0" applyAlignment="0" applyProtection="0">
      <alignment vertical="center"/>
    </xf>
    <xf numFmtId="0" fontId="31" fillId="36" borderId="0" applyNumberFormat="0" applyBorder="0" applyAlignment="0" applyProtection="0">
      <alignment vertical="center"/>
    </xf>
    <xf numFmtId="0" fontId="30" fillId="37" borderId="0" applyNumberFormat="0" applyBorder="0" applyAlignment="0" applyProtection="0">
      <alignment vertical="center"/>
    </xf>
  </cellStyleXfs>
  <cellXfs count="53">
    <xf numFmtId="0" fontId="0" fillId="0" borderId="0" xfId="0"/>
    <xf numFmtId="0" fontId="1" fillId="2" borderId="0" xfId="0" applyNumberFormat="1" applyFont="1" applyFill="1" applyBorder="1" applyAlignment="1">
      <alignment horizontal="left" vertical="center"/>
    </xf>
    <xf numFmtId="0" fontId="2" fillId="3" borderId="0" xfId="0" applyNumberFormat="1" applyFont="1" applyFill="1" applyBorder="1" applyAlignment="1">
      <alignment horizontal="left" vertical="center"/>
    </xf>
    <xf numFmtId="0" fontId="3" fillId="4" borderId="0" xfId="0" applyNumberFormat="1" applyFont="1" applyFill="1" applyBorder="1" applyAlignment="1">
      <alignment horizontal="center" vertical="center" wrapText="1"/>
    </xf>
    <xf numFmtId="178" fontId="4" fillId="0" borderId="0" xfId="0" applyNumberFormat="1" applyFont="1" applyFill="1" applyBorder="1"/>
    <xf numFmtId="178" fontId="5" fillId="5" borderId="0" xfId="0" applyNumberFormat="1" applyFont="1" applyFill="1" applyBorder="1"/>
    <xf numFmtId="178" fontId="6" fillId="0" borderId="0" xfId="0" applyNumberFormat="1" applyFont="1" applyFill="1" applyBorder="1"/>
    <xf numFmtId="178" fontId="0" fillId="0" borderId="0" xfId="0" applyNumberFormat="1" applyFont="1" applyFill="1" applyBorder="1"/>
    <xf numFmtId="179" fontId="0" fillId="0" borderId="0" xfId="0" applyNumberFormat="1" applyFont="1" applyFill="1" applyBorder="1"/>
    <xf numFmtId="0" fontId="0" fillId="0" borderId="0" xfId="0" applyNumberFormat="1" applyFont="1" applyFill="1" applyBorder="1" applyAlignment="1">
      <alignment wrapText="1"/>
    </xf>
    <xf numFmtId="0" fontId="7" fillId="0" borderId="1" xfId="0" applyNumberFormat="1" applyFont="1" applyFill="1" applyBorder="1"/>
    <xf numFmtId="178" fontId="8" fillId="0" borderId="1" xfId="0" applyNumberFormat="1" applyFont="1" applyFill="1" applyBorder="1"/>
    <xf numFmtId="178" fontId="7" fillId="0" borderId="1" xfId="0" applyNumberFormat="1" applyFont="1" applyFill="1" applyBorder="1"/>
    <xf numFmtId="178" fontId="3" fillId="0" borderId="1" xfId="0" applyNumberFormat="1" applyFont="1" applyFill="1" applyBorder="1"/>
    <xf numFmtId="179" fontId="7" fillId="0" borderId="1" xfId="0" applyNumberFormat="1" applyFont="1" applyFill="1" applyBorder="1"/>
    <xf numFmtId="0" fontId="0" fillId="6" borderId="0" xfId="0" applyNumberFormat="1" applyFont="1" applyFill="1" applyBorder="1" applyAlignment="1">
      <alignment wrapText="1"/>
    </xf>
    <xf numFmtId="0" fontId="9" fillId="0" borderId="0" xfId="0" applyNumberFormat="1" applyFont="1" applyFill="1" applyBorder="1" applyAlignment="1">
      <alignment wrapText="1"/>
    </xf>
    <xf numFmtId="1" fontId="4" fillId="0" borderId="0" xfId="0" applyNumberFormat="1" applyFont="1" applyFill="1" applyBorder="1"/>
    <xf numFmtId="179" fontId="4" fillId="0" borderId="0" xfId="0" applyNumberFormat="1" applyFont="1" applyFill="1" applyBorder="1"/>
    <xf numFmtId="1" fontId="5" fillId="5" borderId="0" xfId="0" applyNumberFormat="1" applyFont="1" applyFill="1" applyBorder="1"/>
    <xf numFmtId="179" fontId="3" fillId="4" borderId="0" xfId="0" applyNumberFormat="1" applyFont="1" applyFill="1" applyBorder="1" applyAlignment="1">
      <alignment horizontal="center" vertical="center" wrapText="1"/>
    </xf>
    <xf numFmtId="180" fontId="0" fillId="0" borderId="0" xfId="0" applyNumberFormat="1" applyFont="1" applyFill="1" applyBorder="1"/>
    <xf numFmtId="181" fontId="0" fillId="0" borderId="0" xfId="0" applyNumberFormat="1" applyFont="1" applyFill="1" applyBorder="1"/>
    <xf numFmtId="182" fontId="4" fillId="0" borderId="0" xfId="0" applyNumberFormat="1" applyFont="1" applyFill="1" applyBorder="1"/>
    <xf numFmtId="180" fontId="4" fillId="0" borderId="0" xfId="0" applyNumberFormat="1" applyFont="1" applyFill="1" applyBorder="1"/>
    <xf numFmtId="183" fontId="4" fillId="0" borderId="0" xfId="0" applyNumberFormat="1" applyFont="1" applyFill="1" applyBorder="1"/>
    <xf numFmtId="181" fontId="4" fillId="0" borderId="0" xfId="0" applyNumberFormat="1" applyFont="1" applyFill="1" applyBorder="1"/>
    <xf numFmtId="182" fontId="7" fillId="0" borderId="1" xfId="0" applyNumberFormat="1" applyFont="1" applyFill="1" applyBorder="1"/>
    <xf numFmtId="180" fontId="7" fillId="0" borderId="1" xfId="0" applyNumberFormat="1" applyFont="1" applyFill="1" applyBorder="1"/>
    <xf numFmtId="0" fontId="5" fillId="0" borderId="0" xfId="0" applyNumberFormat="1" applyFont="1" applyFill="1" applyBorder="1"/>
    <xf numFmtId="182" fontId="5" fillId="0" borderId="0" xfId="0" applyNumberFormat="1" applyFont="1" applyFill="1" applyBorder="1"/>
    <xf numFmtId="0" fontId="6" fillId="0" borderId="0" xfId="0" applyNumberFormat="1" applyFont="1" applyFill="1" applyBorder="1"/>
    <xf numFmtId="182" fontId="6" fillId="0" borderId="0" xfId="0" applyNumberFormat="1" applyFont="1" applyFill="1" applyBorder="1"/>
    <xf numFmtId="182" fontId="5" fillId="5" borderId="0" xfId="0" applyNumberFormat="1" applyFont="1" applyFill="1" applyBorder="1"/>
    <xf numFmtId="179" fontId="5" fillId="5" borderId="0" xfId="0" applyNumberFormat="1" applyFont="1" applyFill="1" applyBorder="1"/>
    <xf numFmtId="182" fontId="8" fillId="0" borderId="1" xfId="0" applyNumberFormat="1" applyFont="1" applyFill="1" applyBorder="1"/>
    <xf numFmtId="182" fontId="0" fillId="0" borderId="0" xfId="0" applyNumberFormat="1" applyFont="1" applyFill="1" applyBorder="1"/>
    <xf numFmtId="184" fontId="5" fillId="5" borderId="0" xfId="0" applyNumberFormat="1" applyFont="1" applyFill="1" applyBorder="1"/>
    <xf numFmtId="185" fontId="5" fillId="5" borderId="0" xfId="0" applyNumberFormat="1" applyFont="1" applyFill="1" applyBorder="1"/>
    <xf numFmtId="181" fontId="5" fillId="5" borderId="0" xfId="0" applyNumberFormat="1" applyFont="1" applyFill="1" applyBorder="1"/>
    <xf numFmtId="179" fontId="6" fillId="0" borderId="0" xfId="0" applyNumberFormat="1" applyFont="1" applyFill="1" applyBorder="1"/>
    <xf numFmtId="183" fontId="6" fillId="0" borderId="0" xfId="0" applyNumberFormat="1" applyFont="1" applyFill="1" applyBorder="1"/>
    <xf numFmtId="181" fontId="6" fillId="0" borderId="0" xfId="0" applyNumberFormat="1" applyFont="1" applyFill="1" applyBorder="1"/>
    <xf numFmtId="186" fontId="5" fillId="5" borderId="0" xfId="0" applyNumberFormat="1" applyFont="1" applyFill="1" applyBorder="1"/>
    <xf numFmtId="180" fontId="5" fillId="5" borderId="0" xfId="0" applyNumberFormat="1" applyFont="1" applyFill="1" applyBorder="1"/>
    <xf numFmtId="0" fontId="10" fillId="0" borderId="0" xfId="0" applyNumberFormat="1" applyFont="1" applyFill="1" applyBorder="1" applyAlignment="1">
      <alignment wrapText="1"/>
    </xf>
    <xf numFmtId="0" fontId="7" fillId="0" borderId="0" xfId="0" applyNumberFormat="1" applyFont="1" applyFill="1" applyBorder="1"/>
    <xf numFmtId="182" fontId="11" fillId="6" borderId="0" xfId="0" applyNumberFormat="1" applyFont="1" applyFill="1" applyBorder="1"/>
    <xf numFmtId="180" fontId="11" fillId="6" borderId="0" xfId="0" applyNumberFormat="1" applyFont="1" applyFill="1" applyBorder="1"/>
    <xf numFmtId="179" fontId="11" fillId="6" borderId="0" xfId="0" applyNumberFormat="1" applyFont="1" applyFill="1" applyBorder="1"/>
    <xf numFmtId="178" fontId="8" fillId="0" borderId="0" xfId="0" applyNumberFormat="1" applyFont="1" applyFill="1" applyBorder="1"/>
    <xf numFmtId="179" fontId="8" fillId="0" borderId="0" xfId="0" applyNumberFormat="1" applyFont="1" applyFill="1" applyBorder="1"/>
    <xf numFmtId="0" fontId="0" fillId="5" borderId="0" xfId="0" applyNumberFormat="1" applyFont="1" applyFill="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Revenue Scale vs Required Hurdle</a:t>
            </a:r>
          </a:p>
        </c:rich>
      </c:tx>
      <c:layout/>
      <c:overlay val="0"/>
    </c:title>
    <c:autoTitleDeleted val="0"/>
    <c:plotArea>
      <c:layout/>
      <c:barChart>
        <c:barDir val="col"/>
        <c:grouping val="none"/>
        <c:varyColors val="0"/>
        <c:ser>
          <c:idx val="0"/>
          <c:order val="0"/>
          <c:tx>
            <c:strRef>
              <c:f>"$bn"</c:f>
              <c:strCache>
                <c:ptCount val="1"/>
                <c:pt idx="0">
                  <c:v>$bn</c:v>
                </c:pt>
              </c:strCache>
            </c:strRef>
          </c:tx>
          <c:invertIfNegative val="0"/>
          <c:dLbls>
            <c:delete val="1"/>
          </c:dLbls>
          <c:cat>
            <c:strRef>
              <c:f>Dashboard!$A$21:$A$23</c:f>
              <c:strCache>
                <c:ptCount val="3"/>
                <c:pt idx="0">
                  <c:v>Current model-firm revenue</c:v>
                </c:pt>
                <c:pt idx="1">
                  <c:v>User 2032 model-firm forecast</c:v>
                </c:pt>
                <c:pt idx="2">
                  <c:v>Required mature revenue</c:v>
                </c:pt>
              </c:strCache>
            </c:strRef>
          </c:cat>
          <c:val>
            <c:numRef>
              <c:f>Dashboard!$B$21:$B$23</c:f>
              <c:numCache>
                <c:formatCode>"$"#,##0.0;[Red]\("$"#,##0.0\);\-</c:formatCode>
                <c:ptCount val="3"/>
                <c:pt idx="0">
                  <c:v>100</c:v>
                </c:pt>
                <c:pt idx="1">
                  <c:v>0</c:v>
                </c:pt>
                <c:pt idx="2">
                  <c:v>3548.06806789753</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quot;$&quot;#,##0.0;[Red]\(&quot;$&quot;#,##0.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plotVisOnly val="1"/>
    <c:dispBlanksAs val="gap"/>
    <c:showDLblsOverMax val="0"/>
    <c:extLst>
      <c:ext uri="{0b15fc19-7d7d-44ad-8c2d-2c3a37ce22c3}">
        <chartProps xmlns="https://web.wps.cn/et/2018/main" chartId="{f5feded7-a07c-475c-98d4-fa19e628bdba}"/>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GPU-Hour Price Required vs Utilization</a:t>
            </a:r>
          </a:p>
        </c:rich>
      </c:tx>
      <c:layout/>
      <c:overlay val="0"/>
    </c:title>
    <c:autoTitleDeleted val="0"/>
    <c:plotArea>
      <c:layout/>
      <c:lineChart>
        <c:grouping val="standard"/>
        <c:varyColors val="0"/>
        <c:ser>
          <c:idx val="0"/>
          <c:order val="0"/>
          <c:tx>
            <c:strRef>
              <c:f>"Installed $ / GPU-hour"</c:f>
              <c:strCache>
                <c:ptCount val="1"/>
                <c:pt idx="0">
                  <c:v>Installed $ / GPU-hour</c:v>
                </c:pt>
              </c:strCache>
            </c:strRef>
          </c:tx>
          <c:marker>
            <c:symbol val="none"/>
          </c:marker>
          <c:dLbls>
            <c:delete val="1"/>
          </c:dLbls>
          <c:cat>
            <c:numRef>
              <c:f>Sensitivity!$F$5:$F$15</c:f>
              <c:numCache>
                <c:formatCode>0.0%;[Red]\(0.0%\);\-</c:formatCode>
                <c:ptCount val="11"/>
                <c:pt idx="0" c:formatCode="0.0%;[Red]\(0.0%\);\-">
                  <c:v>0.5</c:v>
                </c:pt>
                <c:pt idx="1" c:formatCode="0.0%;[Red]\(0.0%\);\-">
                  <c:v>0.55</c:v>
                </c:pt>
                <c:pt idx="2" c:formatCode="0.0%;[Red]\(0.0%\);\-">
                  <c:v>0.6</c:v>
                </c:pt>
                <c:pt idx="3" c:formatCode="0.0%;[Red]\(0.0%\);\-">
                  <c:v>0.65</c:v>
                </c:pt>
                <c:pt idx="4" c:formatCode="0.0%;[Red]\(0.0%\);\-">
                  <c:v>0.7</c:v>
                </c:pt>
                <c:pt idx="5" c:formatCode="0.0%;[Red]\(0.0%\);\-">
                  <c:v>0.75</c:v>
                </c:pt>
                <c:pt idx="6" c:formatCode="0.0%;[Red]\(0.0%\);\-">
                  <c:v>0.8</c:v>
                </c:pt>
                <c:pt idx="7" c:formatCode="0.0%;[Red]\(0.0%\);\-">
                  <c:v>0.85</c:v>
                </c:pt>
                <c:pt idx="8" c:formatCode="0.0%;[Red]\(0.0%\);\-">
                  <c:v>0.9</c:v>
                </c:pt>
                <c:pt idx="9" c:formatCode="0.0%;[Red]\(0.0%\);\-">
                  <c:v>0.95</c:v>
                </c:pt>
                <c:pt idx="10" c:formatCode="0.0%;[Red]\(0.0%\);\-">
                  <c:v>1</c:v>
                </c:pt>
              </c:numCache>
            </c:numRef>
          </c:cat>
          <c:val>
            <c:numRef>
              <c:f>Sensitivity!$G$5:$G$15</c:f>
              <c:numCache>
                <c:formatCode>"$"0.00;[Red]\("$"0.00\);\-</c:formatCode>
                <c:ptCount val="11"/>
                <c:pt idx="0">
                  <c:v>5.0910716372219</c:v>
                </c:pt>
                <c:pt idx="1">
                  <c:v>5.0910716372219</c:v>
                </c:pt>
                <c:pt idx="2">
                  <c:v>5.0910716372219</c:v>
                </c:pt>
                <c:pt idx="3">
                  <c:v>5.0910716372219</c:v>
                </c:pt>
                <c:pt idx="4">
                  <c:v>5.0910716372219</c:v>
                </c:pt>
                <c:pt idx="5">
                  <c:v>5.0910716372219</c:v>
                </c:pt>
                <c:pt idx="6">
                  <c:v>5.0910716372219</c:v>
                </c:pt>
                <c:pt idx="7">
                  <c:v>5.0910716372219</c:v>
                </c:pt>
                <c:pt idx="8">
                  <c:v>5.0910716372219</c:v>
                </c:pt>
                <c:pt idx="9">
                  <c:v>5.0910716372219</c:v>
                </c:pt>
                <c:pt idx="10">
                  <c:v>5.0910716372219</c:v>
                </c:pt>
              </c:numCache>
            </c:numRef>
          </c:val>
          <c:smooth val="1"/>
        </c:ser>
        <c:ser>
          <c:idx val="1"/>
          <c:order val="1"/>
          <c:tx>
            <c:strRef>
              <c:f>"Required Billed $ / GPU-hour"</c:f>
              <c:strCache>
                <c:ptCount val="1"/>
                <c:pt idx="0">
                  <c:v>Required Billed $ / GPU-hour</c:v>
                </c:pt>
              </c:strCache>
            </c:strRef>
          </c:tx>
          <c:marker>
            <c:symbol val="none"/>
          </c:marker>
          <c:dLbls>
            <c:delete val="1"/>
          </c:dLbls>
          <c:cat>
            <c:numRef>
              <c:f>Sensitivity!$F$5:$F$15</c:f>
              <c:numCache>
                <c:formatCode>0.0%;[Red]\(0.0%\);\-</c:formatCode>
                <c:ptCount val="11"/>
                <c:pt idx="0" c:formatCode="0.0%;[Red]\(0.0%\);\-">
                  <c:v>0.5</c:v>
                </c:pt>
                <c:pt idx="1" c:formatCode="0.0%;[Red]\(0.0%\);\-">
                  <c:v>0.55</c:v>
                </c:pt>
                <c:pt idx="2" c:formatCode="0.0%;[Red]\(0.0%\);\-">
                  <c:v>0.6</c:v>
                </c:pt>
                <c:pt idx="3" c:formatCode="0.0%;[Red]\(0.0%\);\-">
                  <c:v>0.65</c:v>
                </c:pt>
                <c:pt idx="4" c:formatCode="0.0%;[Red]\(0.0%\);\-">
                  <c:v>0.7</c:v>
                </c:pt>
                <c:pt idx="5" c:formatCode="0.0%;[Red]\(0.0%\);\-">
                  <c:v>0.75</c:v>
                </c:pt>
                <c:pt idx="6" c:formatCode="0.0%;[Red]\(0.0%\);\-">
                  <c:v>0.8</c:v>
                </c:pt>
                <c:pt idx="7" c:formatCode="0.0%;[Red]\(0.0%\);\-">
                  <c:v>0.85</c:v>
                </c:pt>
                <c:pt idx="8" c:formatCode="0.0%;[Red]\(0.0%\);\-">
                  <c:v>0.9</c:v>
                </c:pt>
                <c:pt idx="9" c:formatCode="0.0%;[Red]\(0.0%\);\-">
                  <c:v>0.95</c:v>
                </c:pt>
                <c:pt idx="10" c:formatCode="0.0%;[Red]\(0.0%\);\-">
                  <c:v>1</c:v>
                </c:pt>
              </c:numCache>
            </c:numRef>
          </c:cat>
          <c:val>
            <c:numRef>
              <c:f>Sensitivity!$H$5:$H$15</c:f>
              <c:numCache>
                <c:formatCode>"$"0.00;[Red]\("$"0.00\);\-</c:formatCode>
                <c:ptCount val="11"/>
                <c:pt idx="0">
                  <c:v>10.1821432744438</c:v>
                </c:pt>
                <c:pt idx="1">
                  <c:v>9.256493885858</c:v>
                </c:pt>
                <c:pt idx="2">
                  <c:v>8.48511939536984</c:v>
                </c:pt>
                <c:pt idx="3">
                  <c:v>7.83241790341831</c:v>
                </c:pt>
                <c:pt idx="4">
                  <c:v>7.27295948174557</c:v>
                </c:pt>
                <c:pt idx="5">
                  <c:v>6.78809551629587</c:v>
                </c:pt>
                <c:pt idx="6">
                  <c:v>6.36383954652738</c:v>
                </c:pt>
                <c:pt idx="7">
                  <c:v>5.98949604379047</c:v>
                </c:pt>
                <c:pt idx="8">
                  <c:v>5.65674626357989</c:v>
                </c:pt>
                <c:pt idx="9">
                  <c:v>5.35902277602305</c:v>
                </c:pt>
                <c:pt idx="10">
                  <c:v>5.0910716372219</c:v>
                </c:pt>
              </c:numCache>
            </c:numRef>
          </c:val>
          <c:smooth val="1"/>
        </c:ser>
        <c:dLbls>
          <c:showLegendKey val="0"/>
          <c:showVal val="0"/>
          <c:showCatName val="0"/>
          <c:showSerName val="0"/>
          <c:showPercent val="0"/>
          <c:showBubbleSize val="0"/>
        </c:dLbls>
        <c:marker val="0"/>
        <c:smooth val="1"/>
        <c:axId val="48650112"/>
        <c:axId val="48672768"/>
      </c:line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quot;$&quot;0.00;[Red]\(&quot;$&quot;0.0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01e878d7-e457-4dc3-8375-f22a960f370f}"/>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0</xdr:colOff>
      <xdr:row>19</xdr:row>
      <xdr:rowOff>0</xdr:rowOff>
    </xdr:from>
    <xdr:to>
      <xdr:col>8</xdr:col>
      <xdr:colOff>0</xdr:colOff>
      <xdr:row>34</xdr:row>
      <xdr:rowOff>0</xdr:rowOff>
    </xdr:to>
    <xdr:graphicFrame>
      <xdr:nvGraphicFramePr>
        <xdr:cNvPr id="2" name="Chart"/>
        <xdr:cNvGraphicFramePr/>
      </xdr:nvGraphicFramePr>
      <xdr:xfrm>
        <a:off x="6131560" y="5270500"/>
        <a:ext cx="8722360" cy="3200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0</xdr:rowOff>
    </xdr:from>
    <xdr:to>
      <xdr:col>3</xdr:col>
      <xdr:colOff>0</xdr:colOff>
      <xdr:row>40</xdr:row>
      <xdr:rowOff>0</xdr:rowOff>
    </xdr:to>
    <xdr:graphicFrame>
      <xdr:nvGraphicFramePr>
        <xdr:cNvPr id="3" name="Chart"/>
        <xdr:cNvGraphicFramePr/>
      </xdr:nvGraphicFramePr>
      <xdr:xfrm>
        <a:off x="0" y="6337300"/>
        <a:ext cx="6131560" cy="34137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ModelFirmInputs" displayName="ModelFirmInputs" ref="A16:E26" totalsRowShown="0">
  <tableColumns count="5">
    <tableColumn id="1" name="Model Firm"/>
    <tableColumn id="2" name="Current Revenue ($bn)"/>
    <tableColumn id="3" name="Current Year"/>
    <tableColumn id="4" name="2032 Revenue Estimate ($bn)"/>
    <tableColumn id="5" name="Source / 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1"/>
  <sheetViews>
    <sheetView tabSelected="1" zoomScale="71" zoomScaleNormal="71" workbookViewId="0">
      <selection activeCell="A1" sqref="A1:H1"/>
    </sheetView>
  </sheetViews>
  <sheetFormatPr defaultColWidth="9" defaultRowHeight="16.8" outlineLevelCol="7"/>
  <cols>
    <col min="1" max="1" width="31" customWidth="1"/>
    <col min="2" max="2" width="16" customWidth="1"/>
    <col min="3" max="3" width="24" customWidth="1"/>
    <col min="4" max="4" width="33" customWidth="1"/>
    <col min="5" max="5" width="3" customWidth="1"/>
    <col min="6" max="6" width="30" customWidth="1"/>
    <col min="7" max="7" width="18" customWidth="1"/>
    <col min="8" max="8" width="17" customWidth="1"/>
  </cols>
  <sheetData>
    <row r="1" ht="26" customHeight="1" spans="1:8">
      <c r="A1" s="1" t="s">
        <v>0</v>
      </c>
      <c r="B1" s="1"/>
      <c r="C1" s="1"/>
      <c r="D1" s="1"/>
      <c r="E1" s="1"/>
      <c r="F1" s="1"/>
      <c r="G1" s="1"/>
      <c r="H1" s="1"/>
    </row>
    <row r="2" ht="30" customHeight="1" spans="1:8">
      <c r="A2" s="45" t="s">
        <v>1</v>
      </c>
      <c r="B2" s="45"/>
      <c r="C2" s="45"/>
      <c r="D2" s="45"/>
      <c r="E2" s="45"/>
      <c r="F2" s="45"/>
      <c r="G2" s="45"/>
      <c r="H2" s="45"/>
    </row>
    <row r="4" spans="1:8">
      <c r="A4" s="2" t="s">
        <v>2</v>
      </c>
      <c r="B4" s="2" t="s">
        <v>3</v>
      </c>
      <c r="C4" s="2" t="s">
        <v>3</v>
      </c>
      <c r="D4" s="2" t="s">
        <v>3</v>
      </c>
      <c r="E4" s="2" t="s">
        <v>3</v>
      </c>
      <c r="F4" s="2" t="s">
        <v>3</v>
      </c>
      <c r="G4" s="2" t="s">
        <v>3</v>
      </c>
      <c r="H4" s="2" t="s">
        <v>3</v>
      </c>
    </row>
    <row r="5" ht="20.4" spans="1:8">
      <c r="A5" s="46" t="s">
        <v>4</v>
      </c>
      <c r="B5" s="47">
        <f>'Revenue Model'!$B$13</f>
        <v>188.285</v>
      </c>
      <c r="C5" s="46" t="s">
        <v>5</v>
      </c>
      <c r="D5" s="48">
        <f>'Revenue Model'!$D$13/1000</f>
        <v>8.76109432502222</v>
      </c>
      <c r="E5" s="46" t="s">
        <v>6</v>
      </c>
      <c r="F5" s="48">
        <f>'Revenue Model'!$F$13/1000</f>
        <v>9.15771800143219</v>
      </c>
      <c r="G5" s="46" t="s">
        <v>7</v>
      </c>
      <c r="H5" s="48">
        <f>'Revenue Model'!$J$13/1000</f>
        <v>3.54806806789753</v>
      </c>
    </row>
    <row r="8" ht="20.4" spans="1:8">
      <c r="A8" s="46" t="s">
        <v>8</v>
      </c>
      <c r="B8" s="48">
        <f>'Revenue Model'!$H$13/1000</f>
        <v>1.77403403394877</v>
      </c>
      <c r="C8" s="46" t="s">
        <v>9</v>
      </c>
      <c r="D8" s="49">
        <f>'Revenue Model'!$J$13/(Assumptions!$B$7*1000)</f>
        <v>0.087647737652171</v>
      </c>
      <c r="E8" s="46" t="s">
        <v>10</v>
      </c>
      <c r="F8" s="48">
        <f>'Revenue Model'!$O$13</f>
        <v>5.0910716372219</v>
      </c>
      <c r="G8" s="46" t="s">
        <v>11</v>
      </c>
      <c r="H8" s="48">
        <f>'Revenue Model'!$P$13</f>
        <v>6.36383954652738</v>
      </c>
    </row>
    <row r="11" spans="1:8">
      <c r="A11" s="2" t="s">
        <v>12</v>
      </c>
      <c r="B11" s="2" t="s">
        <v>3</v>
      </c>
      <c r="C11" s="2" t="s">
        <v>3</v>
      </c>
      <c r="D11" s="2" t="s">
        <v>3</v>
      </c>
      <c r="E11" s="2" t="s">
        <v>3</v>
      </c>
      <c r="F11" s="2" t="s">
        <v>3</v>
      </c>
      <c r="G11" s="2" t="s">
        <v>3</v>
      </c>
      <c r="H11" s="2" t="s">
        <v>3</v>
      </c>
    </row>
    <row r="12" ht="17" spans="1:8">
      <c r="A12" s="3" t="s">
        <v>13</v>
      </c>
      <c r="B12" s="3" t="s">
        <v>14</v>
      </c>
      <c r="C12" s="3" t="s">
        <v>15</v>
      </c>
      <c r="D12" s="3" t="s">
        <v>16</v>
      </c>
      <c r="F12" s="3" t="s">
        <v>17</v>
      </c>
      <c r="G12" s="3" t="s">
        <v>14</v>
      </c>
      <c r="H12" s="3" t="s">
        <v>15</v>
      </c>
    </row>
    <row r="13" ht="30" customHeight="1" spans="1:8">
      <c r="A13" t="s">
        <v>18</v>
      </c>
      <c r="B13" s="50">
        <f>'Model Firms'!$B$8</f>
        <v>100</v>
      </c>
      <c r="C13" t="s">
        <v>19</v>
      </c>
      <c r="D13" s="9" t="s">
        <v>20</v>
      </c>
      <c r="F13" s="9" t="s">
        <v>21</v>
      </c>
      <c r="G13" s="50">
        <f>'Model Firms'!$B$9</f>
        <v>0</v>
      </c>
      <c r="H13" t="s">
        <v>19</v>
      </c>
    </row>
    <row r="14" ht="30" customHeight="1" spans="1:8">
      <c r="A14" t="s">
        <v>22</v>
      </c>
      <c r="B14" s="50">
        <f>'Revenue Model'!$J$13</f>
        <v>3548.06806789753</v>
      </c>
      <c r="C14" t="s">
        <v>19</v>
      </c>
      <c r="D14" s="9" t="s">
        <v>23</v>
      </c>
      <c r="F14" s="9" t="s">
        <v>24</v>
      </c>
      <c r="G14" s="51">
        <f>IF(G13&gt;0,G13/$B$14,0)</f>
        <v>0</v>
      </c>
      <c r="H14" t="s">
        <v>25</v>
      </c>
    </row>
    <row r="15" ht="30" customHeight="1" spans="1:8">
      <c r="A15" t="s">
        <v>26</v>
      </c>
      <c r="B15" s="50">
        <f>B14-B13</f>
        <v>3448.06806789753</v>
      </c>
      <c r="C15" t="s">
        <v>19</v>
      </c>
      <c r="D15" s="9" t="s">
        <v>27</v>
      </c>
      <c r="F15" s="9" t="s">
        <v>28</v>
      </c>
      <c r="G15" s="50">
        <f>IF(G13&gt;0,$B$14-G13,0)</f>
        <v>0</v>
      </c>
      <c r="H15" t="s">
        <v>19</v>
      </c>
    </row>
    <row r="16" ht="30" customHeight="1" spans="1:8">
      <c r="A16" t="s">
        <v>29</v>
      </c>
      <c r="B16" s="51">
        <f>B13/B14</f>
        <v>0.0281843521844429</v>
      </c>
      <c r="C16" t="s">
        <v>25</v>
      </c>
      <c r="D16" s="9" t="s">
        <v>30</v>
      </c>
      <c r="F16" s="9" t="s">
        <v>31</v>
      </c>
      <c r="G16" s="51">
        <f>('Revenue Model'!$J$13-Assumptions!$B$12)/Assumptions!$B$12</f>
        <v>-0.000121722446799288</v>
      </c>
      <c r="H16" t="s">
        <v>25</v>
      </c>
    </row>
    <row r="17" ht="30" customHeight="1" spans="1:8">
      <c r="A17" t="s">
        <v>32</v>
      </c>
      <c r="B17" s="51">
        <f>'Model Firms'!$B$12</f>
        <v>0.812725276223618</v>
      </c>
      <c r="C17" t="s">
        <v>25</v>
      </c>
      <c r="D17" s="9" t="s">
        <v>33</v>
      </c>
      <c r="F17" s="9" t="s">
        <v>34</v>
      </c>
      <c r="G17" s="51">
        <f>Assumptions!$B$37</f>
        <v>0.8</v>
      </c>
      <c r="H17" t="s">
        <v>25</v>
      </c>
    </row>
    <row r="20" spans="1:8">
      <c r="A20" t="s">
        <v>35</v>
      </c>
      <c r="B20" t="s">
        <v>19</v>
      </c>
    </row>
    <row r="21" spans="1:8">
      <c r="A21" t="s">
        <v>36</v>
      </c>
      <c r="B21" s="7">
        <f>'Model Firms'!$B$8</f>
        <v>100</v>
      </c>
    </row>
    <row r="22" spans="1:8">
      <c r="A22" t="s">
        <v>37</v>
      </c>
      <c r="B22" s="7">
        <f>'Model Firms'!$B$9</f>
        <v>0</v>
      </c>
    </row>
    <row r="23" spans="1:8">
      <c r="A23" t="s">
        <v>38</v>
      </c>
      <c r="B23" s="7">
        <f>'Revenue Model'!$J$13</f>
        <v>3548.06806789753</v>
      </c>
    </row>
    <row r="42" spans="1:8">
      <c r="A42" s="2" t="s">
        <v>39</v>
      </c>
      <c r="B42" s="2" t="s">
        <v>3</v>
      </c>
      <c r="C42" s="2" t="s">
        <v>3</v>
      </c>
      <c r="D42" s="2" t="s">
        <v>3</v>
      </c>
      <c r="E42" s="2" t="s">
        <v>3</v>
      </c>
      <c r="F42" s="2" t="s">
        <v>3</v>
      </c>
      <c r="G42" s="2" t="s">
        <v>3</v>
      </c>
      <c r="H42" s="2" t="s">
        <v>3</v>
      </c>
    </row>
    <row r="43" ht="22" customHeight="1" spans="1:8">
      <c r="A43" s="15" t="s">
        <v>40</v>
      </c>
      <c r="B43" s="15"/>
      <c r="C43" s="15"/>
      <c r="D43" s="15"/>
      <c r="E43" s="15"/>
      <c r="F43" s="15"/>
      <c r="G43" s="15"/>
      <c r="H43" s="15"/>
    </row>
    <row r="44" ht="22" customHeight="1" spans="1:8">
      <c r="A44" s="15"/>
      <c r="B44" s="15"/>
      <c r="C44" s="15"/>
      <c r="D44" s="15"/>
      <c r="E44" s="15"/>
      <c r="F44" s="15"/>
      <c r="G44" s="15"/>
      <c r="H44" s="15"/>
    </row>
    <row r="45" ht="22" customHeight="1" spans="1:8">
      <c r="A45" s="15"/>
      <c r="B45" s="15"/>
      <c r="C45" s="15"/>
      <c r="D45" s="15"/>
      <c r="E45" s="15"/>
      <c r="F45" s="15"/>
      <c r="G45" s="15"/>
      <c r="H45" s="15"/>
    </row>
    <row r="46" ht="22" customHeight="1" spans="1:8">
      <c r="A46" s="15"/>
      <c r="B46" s="15"/>
      <c r="C46" s="15"/>
      <c r="D46" s="15"/>
      <c r="E46" s="15"/>
      <c r="F46" s="15"/>
      <c r="G46" s="15"/>
      <c r="H46" s="15"/>
    </row>
    <row r="47" ht="22" customHeight="1" spans="1:8">
      <c r="A47" s="15"/>
      <c r="B47" s="15"/>
      <c r="C47" s="15"/>
      <c r="D47" s="15"/>
      <c r="E47" s="15"/>
      <c r="F47" s="15"/>
      <c r="G47" s="15"/>
      <c r="H47" s="15"/>
    </row>
    <row r="49" ht="24" customHeight="1" spans="1:8">
      <c r="A49" s="52" t="s">
        <v>41</v>
      </c>
      <c r="B49" s="52"/>
      <c r="C49" s="52"/>
      <c r="D49" s="52"/>
      <c r="E49" s="52"/>
      <c r="F49" s="52"/>
      <c r="G49" s="52"/>
      <c r="H49" s="52"/>
    </row>
    <row r="50" ht="24" customHeight="1" spans="1:8">
      <c r="A50" s="52"/>
      <c r="B50" s="52"/>
      <c r="C50" s="52"/>
      <c r="D50" s="52"/>
      <c r="E50" s="52"/>
      <c r="F50" s="52"/>
      <c r="G50" s="52"/>
      <c r="H50" s="52"/>
    </row>
    <row r="51" ht="24" customHeight="1" spans="1:8">
      <c r="A51" s="52"/>
      <c r="B51" s="52"/>
      <c r="C51" s="52"/>
      <c r="D51" s="52"/>
      <c r="E51" s="52"/>
      <c r="F51" s="52"/>
      <c r="G51" s="52"/>
      <c r="H51" s="52"/>
    </row>
  </sheetData>
  <mergeCells count="7">
    <mergeCell ref="A1:H1"/>
    <mergeCell ref="A2:H2"/>
    <mergeCell ref="A4:H4"/>
    <mergeCell ref="A11:H11"/>
    <mergeCell ref="A42:H42"/>
    <mergeCell ref="A43:H47"/>
    <mergeCell ref="A49:H51"/>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4"/>
  <sheetViews>
    <sheetView zoomScale="82" zoomScaleNormal="82" workbookViewId="0">
      <selection activeCell="A1" sqref="A1:H1"/>
    </sheetView>
  </sheetViews>
  <sheetFormatPr defaultColWidth="9" defaultRowHeight="16.8" outlineLevelCol="7"/>
  <cols>
    <col min="1" max="1" width="34" customWidth="1"/>
    <col min="2" max="2" width="16" customWidth="1"/>
    <col min="3" max="3" width="18" customWidth="1"/>
    <col min="4" max="4" width="48" customWidth="1"/>
    <col min="5" max="5" width="38" customWidth="1"/>
  </cols>
  <sheetData>
    <row r="1" ht="26" customHeight="1" spans="1:8">
      <c r="A1" s="1" t="s">
        <v>42</v>
      </c>
      <c r="B1" s="1"/>
      <c r="C1" s="1"/>
      <c r="D1" s="1"/>
      <c r="E1" s="1"/>
      <c r="F1" s="1"/>
      <c r="G1" s="1"/>
      <c r="H1" s="1"/>
    </row>
    <row r="3" spans="1:8">
      <c r="A3" s="2" t="s">
        <v>43</v>
      </c>
      <c r="B3" s="2" t="s">
        <v>3</v>
      </c>
      <c r="C3" s="2" t="s">
        <v>3</v>
      </c>
      <c r="D3" s="2" t="s">
        <v>3</v>
      </c>
      <c r="E3" s="2" t="s">
        <v>3</v>
      </c>
    </row>
    <row r="4" ht="17" spans="1:8">
      <c r="A4" s="3" t="s">
        <v>44</v>
      </c>
      <c r="B4" s="3" t="s">
        <v>14</v>
      </c>
      <c r="C4" s="3" t="s">
        <v>15</v>
      </c>
      <c r="D4" s="3" t="s">
        <v>45</v>
      </c>
      <c r="E4" s="3" t="s">
        <v>46</v>
      </c>
    </row>
    <row r="5" spans="1:8">
      <c r="A5" t="s">
        <v>47</v>
      </c>
      <c r="B5" s="33">
        <v>41</v>
      </c>
      <c r="C5" t="s">
        <v>48</v>
      </c>
      <c r="D5" t="s">
        <v>49</v>
      </c>
      <c r="E5" t="s">
        <v>50</v>
      </c>
    </row>
    <row r="6" spans="1:8">
      <c r="A6" t="s">
        <v>51</v>
      </c>
      <c r="B6" s="34">
        <v>0.04</v>
      </c>
      <c r="C6" t="s">
        <v>25</v>
      </c>
      <c r="D6" t="s">
        <v>52</v>
      </c>
      <c r="E6" t="s">
        <v>53</v>
      </c>
    </row>
    <row r="7" spans="1:8">
      <c r="A7" t="s">
        <v>54</v>
      </c>
      <c r="B7" s="37">
        <v>40.481</v>
      </c>
      <c r="C7" t="s">
        <v>55</v>
      </c>
      <c r="D7" t="s">
        <v>56</v>
      </c>
      <c r="E7" t="s">
        <v>57</v>
      </c>
    </row>
    <row r="8" spans="1:8">
      <c r="A8" t="s">
        <v>58</v>
      </c>
      <c r="B8" s="19">
        <v>2032</v>
      </c>
      <c r="C8" t="s">
        <v>59</v>
      </c>
      <c r="D8" t="s">
        <v>60</v>
      </c>
      <c r="E8" t="s">
        <v>61</v>
      </c>
    </row>
    <row r="9" spans="1:8">
      <c r="A9" t="s">
        <v>62</v>
      </c>
      <c r="B9" s="19">
        <v>2028</v>
      </c>
      <c r="C9" t="s">
        <v>59</v>
      </c>
      <c r="D9" t="s">
        <v>63</v>
      </c>
      <c r="E9" t="s">
        <v>53</v>
      </c>
    </row>
    <row r="10" spans="1:8">
      <c r="A10" t="s">
        <v>64</v>
      </c>
      <c r="B10" s="19">
        <v>2032</v>
      </c>
      <c r="C10" t="s">
        <v>59</v>
      </c>
      <c r="D10" t="s">
        <v>63</v>
      </c>
      <c r="E10" t="s">
        <v>53</v>
      </c>
    </row>
    <row r="11" spans="1:8">
      <c r="A11" t="s">
        <v>65</v>
      </c>
      <c r="B11" s="38">
        <v>8760</v>
      </c>
      <c r="C11" t="s">
        <v>66</v>
      </c>
      <c r="D11" t="s">
        <v>67</v>
      </c>
      <c r="E11" t="s">
        <v>68</v>
      </c>
    </row>
    <row r="12" spans="1:8">
      <c r="A12" t="s">
        <v>69</v>
      </c>
      <c r="B12" s="5">
        <v>3548.5</v>
      </c>
      <c r="C12" t="s">
        <v>19</v>
      </c>
      <c r="D12" t="s">
        <v>70</v>
      </c>
      <c r="E12" t="s">
        <v>71</v>
      </c>
    </row>
    <row r="14" spans="1:8">
      <c r="A14" s="2" t="s">
        <v>72</v>
      </c>
      <c r="B14" s="2" t="s">
        <v>3</v>
      </c>
      <c r="C14" s="2" t="s">
        <v>3</v>
      </c>
      <c r="D14" s="2" t="s">
        <v>3</v>
      </c>
      <c r="E14" s="2" t="s">
        <v>3</v>
      </c>
    </row>
    <row r="15" ht="17" spans="1:8">
      <c r="A15" s="3" t="s">
        <v>73</v>
      </c>
      <c r="B15" s="3" t="s">
        <v>74</v>
      </c>
      <c r="C15" s="3" t="s">
        <v>15</v>
      </c>
      <c r="D15" s="3" t="s">
        <v>45</v>
      </c>
      <c r="E15" s="3" t="s">
        <v>46</v>
      </c>
    </row>
    <row r="16" spans="1:8">
      <c r="A16" t="s">
        <v>75</v>
      </c>
      <c r="B16" s="39">
        <v>0.05122</v>
      </c>
      <c r="C16" t="s">
        <v>76</v>
      </c>
      <c r="D16" t="s">
        <v>77</v>
      </c>
      <c r="E16" t="s">
        <v>78</v>
      </c>
    </row>
    <row r="17" spans="1:5">
      <c r="A17" t="s">
        <v>79</v>
      </c>
      <c r="B17" s="39">
        <v>0.05122</v>
      </c>
      <c r="C17" t="s">
        <v>76</v>
      </c>
      <c r="D17" t="s">
        <v>77</v>
      </c>
      <c r="E17" t="s">
        <v>78</v>
      </c>
    </row>
    <row r="18" spans="1:5">
      <c r="A18" t="s">
        <v>80</v>
      </c>
      <c r="B18" s="39">
        <v>0.17561</v>
      </c>
      <c r="C18" t="s">
        <v>76</v>
      </c>
      <c r="D18" t="s">
        <v>81</v>
      </c>
      <c r="E18" t="s">
        <v>78</v>
      </c>
    </row>
    <row r="19" spans="1:5">
      <c r="A19" t="s">
        <v>82</v>
      </c>
      <c r="B19" s="39">
        <v>0.72195</v>
      </c>
      <c r="C19" t="s">
        <v>76</v>
      </c>
      <c r="D19" t="s">
        <v>83</v>
      </c>
      <c r="E19" t="s">
        <v>78</v>
      </c>
    </row>
    <row r="21" spans="1:5">
      <c r="A21" s="2" t="s">
        <v>84</v>
      </c>
      <c r="B21" s="2" t="s">
        <v>3</v>
      </c>
      <c r="C21" s="2" t="s">
        <v>3</v>
      </c>
      <c r="D21" s="2" t="s">
        <v>3</v>
      </c>
      <c r="E21" s="2" t="s">
        <v>3</v>
      </c>
    </row>
    <row r="22" ht="17" spans="1:5">
      <c r="A22" s="3" t="s">
        <v>44</v>
      </c>
      <c r="B22" s="3" t="s">
        <v>14</v>
      </c>
      <c r="C22" s="3" t="s">
        <v>15</v>
      </c>
      <c r="D22" s="3" t="s">
        <v>45</v>
      </c>
      <c r="E22" s="3" t="s">
        <v>46</v>
      </c>
    </row>
    <row r="23" spans="1:5">
      <c r="A23" t="s">
        <v>85</v>
      </c>
      <c r="B23" s="34">
        <v>0.68</v>
      </c>
      <c r="C23" t="s">
        <v>25</v>
      </c>
      <c r="D23" t="s">
        <v>86</v>
      </c>
      <c r="E23" t="s">
        <v>53</v>
      </c>
    </row>
    <row r="24" spans="1:5">
      <c r="A24" t="s">
        <v>87</v>
      </c>
      <c r="B24" s="19">
        <v>6</v>
      </c>
      <c r="C24" t="s">
        <v>88</v>
      </c>
      <c r="D24" t="s">
        <v>89</v>
      </c>
      <c r="E24" t="s">
        <v>53</v>
      </c>
    </row>
    <row r="25" spans="1:5">
      <c r="A25" t="s">
        <v>90</v>
      </c>
      <c r="B25" s="40">
        <f>1-B23</f>
        <v>0.32</v>
      </c>
      <c r="C25" t="s">
        <v>25</v>
      </c>
      <c r="D25" t="s">
        <v>91</v>
      </c>
      <c r="E25" t="s">
        <v>92</v>
      </c>
    </row>
    <row r="26" spans="1:5">
      <c r="A26" t="s">
        <v>93</v>
      </c>
      <c r="B26" s="19">
        <v>20</v>
      </c>
      <c r="C26" t="s">
        <v>88</v>
      </c>
      <c r="D26" t="s">
        <v>89</v>
      </c>
      <c r="E26" t="s">
        <v>53</v>
      </c>
    </row>
    <row r="27" spans="1:5">
      <c r="A27" t="s">
        <v>94</v>
      </c>
      <c r="B27" s="34">
        <v>0.1</v>
      </c>
      <c r="C27" t="s">
        <v>25</v>
      </c>
      <c r="D27" t="s">
        <v>95</v>
      </c>
      <c r="E27" t="s">
        <v>96</v>
      </c>
    </row>
    <row r="28" spans="1:5">
      <c r="A28" t="s">
        <v>97</v>
      </c>
      <c r="B28" s="34">
        <v>0.5</v>
      </c>
      <c r="C28" t="s">
        <v>25</v>
      </c>
      <c r="D28" t="s">
        <v>98</v>
      </c>
      <c r="E28" t="s">
        <v>96</v>
      </c>
    </row>
    <row r="29" spans="1:5">
      <c r="A29" t="s">
        <v>99</v>
      </c>
      <c r="B29" s="41">
        <f>B16*(1+B27)^3+B17*(1+B27)^2+B18*(1+B27)+B19</f>
        <v>1.04527102</v>
      </c>
      <c r="C29" t="s">
        <v>100</v>
      </c>
      <c r="D29" t="s">
        <v>101</v>
      </c>
      <c r="E29" t="s">
        <v>102</v>
      </c>
    </row>
    <row r="30" spans="1:5">
      <c r="A30" t="s">
        <v>103</v>
      </c>
      <c r="B30" s="42">
        <f>B23*(B27*(1+B27)^B24/((1+B27)^B24-1))+B25*(B27*(1+B27)^B26/((1+B27)^B26-1))</f>
        <v>0.193720098573828</v>
      </c>
      <c r="C30" t="s">
        <v>25</v>
      </c>
      <c r="D30" t="s">
        <v>104</v>
      </c>
      <c r="E30" t="s">
        <v>105</v>
      </c>
    </row>
    <row r="32" spans="1:5">
      <c r="A32" s="2" t="s">
        <v>106</v>
      </c>
      <c r="B32" s="2" t="s">
        <v>3</v>
      </c>
      <c r="C32" s="2" t="s">
        <v>3</v>
      </c>
      <c r="D32" s="2" t="s">
        <v>3</v>
      </c>
      <c r="E32" s="2" t="s">
        <v>3</v>
      </c>
    </row>
    <row r="33" ht="17" spans="1:5">
      <c r="A33" s="3" t="s">
        <v>44</v>
      </c>
      <c r="B33" s="3" t="s">
        <v>14</v>
      </c>
      <c r="C33" s="3" t="s">
        <v>15</v>
      </c>
      <c r="D33" s="3" t="s">
        <v>45</v>
      </c>
      <c r="E33" s="3" t="s">
        <v>46</v>
      </c>
    </row>
    <row r="34" spans="1:5">
      <c r="A34" t="s">
        <v>107</v>
      </c>
      <c r="B34" s="43">
        <v>1.2</v>
      </c>
      <c r="C34" t="s">
        <v>100</v>
      </c>
      <c r="D34" t="s">
        <v>108</v>
      </c>
      <c r="E34" t="s">
        <v>96</v>
      </c>
    </row>
    <row r="35" spans="1:5">
      <c r="A35" t="s">
        <v>109</v>
      </c>
      <c r="B35" s="19">
        <v>142</v>
      </c>
      <c r="C35" t="s">
        <v>110</v>
      </c>
      <c r="D35" t="s">
        <v>111</v>
      </c>
      <c r="E35" t="s">
        <v>112</v>
      </c>
    </row>
    <row r="36" spans="1:5">
      <c r="A36" t="s">
        <v>113</v>
      </c>
      <c r="B36" s="19">
        <v>72</v>
      </c>
      <c r="C36" t="s">
        <v>114</v>
      </c>
      <c r="D36" t="s">
        <v>115</v>
      </c>
      <c r="E36" t="s">
        <v>112</v>
      </c>
    </row>
    <row r="37" spans="1:5">
      <c r="A37" t="s">
        <v>34</v>
      </c>
      <c r="B37" s="34">
        <v>0.8</v>
      </c>
      <c r="C37" t="s">
        <v>25</v>
      </c>
      <c r="D37" t="s">
        <v>116</v>
      </c>
      <c r="E37" t="s">
        <v>117</v>
      </c>
    </row>
    <row r="38" spans="1:5">
      <c r="A38" t="s">
        <v>118</v>
      </c>
      <c r="B38" s="44">
        <v>6.07</v>
      </c>
      <c r="C38" t="s">
        <v>119</v>
      </c>
      <c r="D38" t="s">
        <v>120</v>
      </c>
      <c r="E38" t="s">
        <v>121</v>
      </c>
    </row>
    <row r="39" spans="1:5">
      <c r="A39" t="s">
        <v>122</v>
      </c>
      <c r="B39" s="19">
        <v>2026</v>
      </c>
      <c r="C39" t="s">
        <v>59</v>
      </c>
      <c r="D39" t="s">
        <v>123</v>
      </c>
      <c r="E39" t="s">
        <v>124</v>
      </c>
    </row>
    <row r="41" spans="1:5">
      <c r="A41" s="2" t="s">
        <v>125</v>
      </c>
      <c r="B41" s="2" t="s">
        <v>3</v>
      </c>
      <c r="C41" s="2" t="s">
        <v>3</v>
      </c>
      <c r="D41" s="2" t="s">
        <v>3</v>
      </c>
      <c r="E41" s="2" t="s">
        <v>3</v>
      </c>
    </row>
    <row r="42" spans="1:5">
      <c r="A42" s="15" t="s">
        <v>126</v>
      </c>
      <c r="B42" s="15"/>
      <c r="C42" s="15"/>
      <c r="D42" s="15"/>
      <c r="E42" s="15"/>
    </row>
    <row r="43" spans="1:5">
      <c r="A43" s="15"/>
      <c r="B43" s="15"/>
      <c r="C43" s="15"/>
      <c r="D43" s="15"/>
      <c r="E43" s="15"/>
    </row>
    <row r="44" spans="1:5">
      <c r="A44" s="15"/>
      <c r="B44" s="15"/>
      <c r="C44" s="15"/>
      <c r="D44" s="15"/>
      <c r="E44" s="15"/>
    </row>
  </sheetData>
  <mergeCells count="7">
    <mergeCell ref="A1:H1"/>
    <mergeCell ref="A3:E3"/>
    <mergeCell ref="A14:E14"/>
    <mergeCell ref="A21:E21"/>
    <mergeCell ref="A32:E32"/>
    <mergeCell ref="A41:E41"/>
    <mergeCell ref="A42:E44"/>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2"/>
  <sheetViews>
    <sheetView topLeftCell="A3" workbookViewId="0">
      <selection activeCell="A1" sqref="A1:H1"/>
    </sheetView>
  </sheetViews>
  <sheetFormatPr defaultColWidth="9" defaultRowHeight="16.8"/>
  <cols>
    <col min="1" max="1" width="20" customWidth="1"/>
    <col min="2" max="2" width="14" customWidth="1"/>
    <col min="3" max="3" width="12" customWidth="1"/>
    <col min="4" max="4" width="14" customWidth="1"/>
    <col min="5" max="5" width="12" customWidth="1"/>
    <col min="6" max="6" width="13" customWidth="1"/>
    <col min="7" max="7" width="12" customWidth="1"/>
    <col min="8" max="8" width="18" customWidth="1"/>
    <col min="9" max="12" width="15" customWidth="1"/>
    <col min="13" max="15" width="17" customWidth="1"/>
  </cols>
  <sheetData>
    <row r="1" ht="26" customHeight="1" spans="1:15">
      <c r="A1" s="1" t="s">
        <v>127</v>
      </c>
      <c r="B1" s="1"/>
      <c r="C1" s="1"/>
      <c r="D1" s="1"/>
      <c r="E1" s="1"/>
      <c r="F1" s="1"/>
      <c r="G1" s="1"/>
      <c r="H1" s="1"/>
    </row>
    <row r="3" spans="1:15">
      <c r="A3" s="2" t="s">
        <v>128</v>
      </c>
      <c r="B3" s="2" t="s">
        <v>3</v>
      </c>
      <c r="C3" s="2" t="s">
        <v>3</v>
      </c>
      <c r="D3" s="2" t="s">
        <v>3</v>
      </c>
      <c r="E3" s="2" t="s">
        <v>3</v>
      </c>
      <c r="F3" s="2" t="s">
        <v>3</v>
      </c>
      <c r="G3" s="2" t="s">
        <v>3</v>
      </c>
      <c r="H3" s="2" t="s">
        <v>3</v>
      </c>
      <c r="I3" s="2" t="s">
        <v>3</v>
      </c>
      <c r="J3" s="2" t="s">
        <v>3</v>
      </c>
      <c r="K3" s="2" t="s">
        <v>3</v>
      </c>
      <c r="L3" s="2" t="s">
        <v>3</v>
      </c>
      <c r="M3" s="2" t="s">
        <v>3</v>
      </c>
      <c r="N3" s="2" t="s">
        <v>3</v>
      </c>
      <c r="O3" s="2" t="s">
        <v>3</v>
      </c>
    </row>
    <row r="4" ht="34" spans="1:15">
      <c r="A4" s="3" t="s">
        <v>129</v>
      </c>
      <c r="B4" s="3" t="s">
        <v>130</v>
      </c>
      <c r="C4" s="3" t="s">
        <v>131</v>
      </c>
      <c r="D4" s="3" t="s">
        <v>132</v>
      </c>
      <c r="E4" s="3" t="s">
        <v>133</v>
      </c>
      <c r="F4" s="3" t="s">
        <v>134</v>
      </c>
      <c r="G4" s="3" t="s">
        <v>135</v>
      </c>
      <c r="H4" s="3" t="s">
        <v>136</v>
      </c>
      <c r="I4" s="3" t="s">
        <v>137</v>
      </c>
      <c r="J4" s="3" t="s">
        <v>138</v>
      </c>
      <c r="K4" s="3" t="s">
        <v>139</v>
      </c>
      <c r="L4" s="3" t="s">
        <v>140</v>
      </c>
      <c r="M4" s="3" t="s">
        <v>141</v>
      </c>
      <c r="N4" s="3" t="s">
        <v>142</v>
      </c>
      <c r="O4" s="3" t="s">
        <v>143</v>
      </c>
    </row>
    <row r="5" spans="1:15">
      <c r="A5" t="s">
        <v>144</v>
      </c>
      <c r="B5" s="29">
        <v>971</v>
      </c>
      <c r="C5" s="30">
        <v>39.1</v>
      </c>
      <c r="D5" s="30">
        <v>38</v>
      </c>
      <c r="E5" s="30">
        <v>1.3</v>
      </c>
      <c r="F5" s="31">
        <f t="shared" ref="F5:F15" si="0">B5+D5</f>
        <v>1009</v>
      </c>
      <c r="G5" s="32">
        <f t="shared" ref="G5:G15" si="1">C5+E5</f>
        <v>40.4</v>
      </c>
      <c r="H5" s="33">
        <v>0</v>
      </c>
      <c r="I5" s="34"/>
      <c r="J5" s="34"/>
      <c r="K5" s="34"/>
      <c r="L5" s="34"/>
      <c r="M5" s="32">
        <f t="shared" ref="M5:M15" si="2">IF(A5="Before 2025",0,IF(A5="2025",H5,H5+MAX(C5-H5,0)*I5+E5*K5))</f>
        <v>0</v>
      </c>
      <c r="N5" s="32">
        <f t="shared" ref="N5:N15" si="3">IF(OR(A5="Before 2025",A5="2025"),0,MAX(C5-H5,0)*J5+E5*L5)</f>
        <v>0</v>
      </c>
      <c r="O5" s="32">
        <f t="shared" ref="O5:O15" si="4">IF(A5="Before 2025",0,G5-M5-N5)</f>
        <v>0</v>
      </c>
    </row>
    <row r="6" spans="1:15">
      <c r="A6" t="s">
        <v>145</v>
      </c>
      <c r="B6" s="29">
        <v>184</v>
      </c>
      <c r="C6" s="30">
        <v>13.6</v>
      </c>
      <c r="D6" s="30">
        <v>3</v>
      </c>
      <c r="E6" s="30">
        <v>0.1</v>
      </c>
      <c r="F6" s="31">
        <f t="shared" si="0"/>
        <v>187</v>
      </c>
      <c r="G6" s="32">
        <f t="shared" si="1"/>
        <v>13.7</v>
      </c>
      <c r="H6" s="33">
        <v>13.8</v>
      </c>
      <c r="I6" s="34"/>
      <c r="J6" s="34"/>
      <c r="K6" s="34"/>
      <c r="L6" s="34"/>
      <c r="M6" s="32">
        <f t="shared" si="2"/>
        <v>13.8</v>
      </c>
      <c r="N6" s="32">
        <f t="shared" si="3"/>
        <v>0</v>
      </c>
      <c r="O6" s="32">
        <f t="shared" si="4"/>
        <v>-0.100000000000001</v>
      </c>
    </row>
    <row r="7" spans="1:15">
      <c r="A7" t="s">
        <v>146</v>
      </c>
      <c r="B7" s="29">
        <v>281</v>
      </c>
      <c r="C7" s="30">
        <v>26.9</v>
      </c>
      <c r="D7" s="30">
        <v>12</v>
      </c>
      <c r="E7" s="30">
        <v>1.7</v>
      </c>
      <c r="F7" s="31">
        <f t="shared" si="0"/>
        <v>293</v>
      </c>
      <c r="G7" s="32">
        <f t="shared" si="1"/>
        <v>28.6</v>
      </c>
      <c r="H7" s="33">
        <v>9.4</v>
      </c>
      <c r="I7" s="34">
        <v>0.9</v>
      </c>
      <c r="J7" s="34">
        <v>0</v>
      </c>
      <c r="K7" s="34">
        <v>0.8</v>
      </c>
      <c r="L7" s="34">
        <v>0</v>
      </c>
      <c r="M7" s="32">
        <f t="shared" si="2"/>
        <v>26.51</v>
      </c>
      <c r="N7" s="32">
        <f t="shared" si="3"/>
        <v>0</v>
      </c>
      <c r="O7" s="32">
        <f t="shared" si="4"/>
        <v>2.09</v>
      </c>
    </row>
    <row r="8" spans="1:15">
      <c r="A8" t="s">
        <v>147</v>
      </c>
      <c r="B8" s="29">
        <v>381</v>
      </c>
      <c r="C8" s="30">
        <v>41</v>
      </c>
      <c r="D8" s="30">
        <v>24</v>
      </c>
      <c r="E8" s="30">
        <v>4.7</v>
      </c>
      <c r="F8" s="31">
        <f t="shared" si="0"/>
        <v>405</v>
      </c>
      <c r="G8" s="32">
        <f t="shared" si="1"/>
        <v>45.7</v>
      </c>
      <c r="H8" s="33">
        <v>0</v>
      </c>
      <c r="I8" s="34">
        <v>0.8</v>
      </c>
      <c r="J8" s="34">
        <v>0.05</v>
      </c>
      <c r="K8" s="34">
        <v>0.65</v>
      </c>
      <c r="L8" s="34">
        <v>0.1</v>
      </c>
      <c r="M8" s="32">
        <f t="shared" si="2"/>
        <v>35.855</v>
      </c>
      <c r="N8" s="32">
        <f t="shared" si="3"/>
        <v>2.52</v>
      </c>
      <c r="O8" s="32">
        <f t="shared" si="4"/>
        <v>7.325</v>
      </c>
    </row>
    <row r="9" spans="1:15">
      <c r="A9" t="s">
        <v>148</v>
      </c>
      <c r="B9" s="29">
        <v>346</v>
      </c>
      <c r="C9" s="30">
        <v>42.4</v>
      </c>
      <c r="D9" s="30">
        <v>23</v>
      </c>
      <c r="E9" s="30">
        <v>5.4</v>
      </c>
      <c r="F9" s="31">
        <f t="shared" si="0"/>
        <v>369</v>
      </c>
      <c r="G9" s="32">
        <f t="shared" si="1"/>
        <v>47.8</v>
      </c>
      <c r="H9" s="33">
        <v>0</v>
      </c>
      <c r="I9" s="34">
        <v>0.7</v>
      </c>
      <c r="J9" s="34">
        <v>0.1</v>
      </c>
      <c r="K9" s="34">
        <v>0.55</v>
      </c>
      <c r="L9" s="34">
        <v>0.15</v>
      </c>
      <c r="M9" s="32">
        <f t="shared" si="2"/>
        <v>32.65</v>
      </c>
      <c r="N9" s="32">
        <f t="shared" si="3"/>
        <v>5.05</v>
      </c>
      <c r="O9" s="32">
        <f t="shared" si="4"/>
        <v>10.1</v>
      </c>
    </row>
    <row r="10" spans="1:15">
      <c r="A10" t="s">
        <v>149</v>
      </c>
      <c r="B10" s="29">
        <v>145</v>
      </c>
      <c r="C10" s="30">
        <v>16.7</v>
      </c>
      <c r="D10" s="30">
        <v>8</v>
      </c>
      <c r="E10" s="30">
        <v>1.5</v>
      </c>
      <c r="F10" s="31">
        <f t="shared" si="0"/>
        <v>153</v>
      </c>
      <c r="G10" s="32">
        <f t="shared" si="1"/>
        <v>18.2</v>
      </c>
      <c r="H10" s="33">
        <v>0</v>
      </c>
      <c r="I10" s="34">
        <v>0.6</v>
      </c>
      <c r="J10" s="34">
        <v>0.15</v>
      </c>
      <c r="K10" s="34">
        <v>0.45</v>
      </c>
      <c r="L10" s="34">
        <v>0.2</v>
      </c>
      <c r="M10" s="32">
        <f t="shared" si="2"/>
        <v>10.695</v>
      </c>
      <c r="N10" s="32">
        <f t="shared" si="3"/>
        <v>2.805</v>
      </c>
      <c r="O10" s="32">
        <f t="shared" si="4"/>
        <v>4.7</v>
      </c>
    </row>
    <row r="11" spans="1:15">
      <c r="A11" t="s">
        <v>150</v>
      </c>
      <c r="B11" s="29">
        <v>103</v>
      </c>
      <c r="C11" s="30">
        <v>12.5</v>
      </c>
      <c r="D11" s="30">
        <v>6</v>
      </c>
      <c r="E11" s="30">
        <v>1.8</v>
      </c>
      <c r="F11" s="31">
        <f t="shared" si="0"/>
        <v>109</v>
      </c>
      <c r="G11" s="32">
        <f t="shared" si="1"/>
        <v>14.3</v>
      </c>
      <c r="H11" s="33">
        <v>0</v>
      </c>
      <c r="I11" s="34">
        <v>0.5</v>
      </c>
      <c r="J11" s="34">
        <v>0.2</v>
      </c>
      <c r="K11" s="34">
        <v>0.35</v>
      </c>
      <c r="L11" s="34">
        <v>0.25</v>
      </c>
      <c r="M11" s="32">
        <f t="shared" si="2"/>
        <v>6.88</v>
      </c>
      <c r="N11" s="32">
        <f t="shared" si="3"/>
        <v>2.95</v>
      </c>
      <c r="O11" s="32">
        <f t="shared" si="4"/>
        <v>4.47</v>
      </c>
    </row>
    <row r="12" spans="1:15">
      <c r="A12" t="s">
        <v>151</v>
      </c>
      <c r="B12" s="29">
        <v>55</v>
      </c>
      <c r="C12" s="30">
        <v>11.7</v>
      </c>
      <c r="D12" s="30">
        <v>5</v>
      </c>
      <c r="E12" s="30">
        <v>2.5</v>
      </c>
      <c r="F12" s="31">
        <f t="shared" si="0"/>
        <v>60</v>
      </c>
      <c r="G12" s="32">
        <f t="shared" si="1"/>
        <v>14.2</v>
      </c>
      <c r="H12" s="33">
        <v>0</v>
      </c>
      <c r="I12" s="34">
        <v>0.4</v>
      </c>
      <c r="J12" s="34">
        <v>0.25</v>
      </c>
      <c r="K12" s="34">
        <v>0.25</v>
      </c>
      <c r="L12" s="34">
        <v>0.3</v>
      </c>
      <c r="M12" s="32">
        <f t="shared" si="2"/>
        <v>5.305</v>
      </c>
      <c r="N12" s="32">
        <f t="shared" si="3"/>
        <v>3.675</v>
      </c>
      <c r="O12" s="32">
        <f t="shared" si="4"/>
        <v>5.22</v>
      </c>
    </row>
    <row r="13" spans="1:15">
      <c r="A13" t="s">
        <v>152</v>
      </c>
      <c r="B13" s="29">
        <v>41</v>
      </c>
      <c r="C13" s="30">
        <v>7.1</v>
      </c>
      <c r="D13" s="30">
        <v>5</v>
      </c>
      <c r="E13" s="30">
        <v>2.5</v>
      </c>
      <c r="F13" s="31">
        <f t="shared" si="0"/>
        <v>46</v>
      </c>
      <c r="G13" s="32">
        <f t="shared" si="1"/>
        <v>9.6</v>
      </c>
      <c r="H13" s="33">
        <v>0</v>
      </c>
      <c r="I13" s="34">
        <v>0.3</v>
      </c>
      <c r="J13" s="34">
        <v>0.3</v>
      </c>
      <c r="K13" s="34">
        <v>0.2</v>
      </c>
      <c r="L13" s="34">
        <v>0.3</v>
      </c>
      <c r="M13" s="32">
        <f t="shared" si="2"/>
        <v>2.63</v>
      </c>
      <c r="N13" s="32">
        <f t="shared" si="3"/>
        <v>2.88</v>
      </c>
      <c r="O13" s="32">
        <f t="shared" si="4"/>
        <v>4.09</v>
      </c>
    </row>
    <row r="14" spans="1:15">
      <c r="A14" t="s">
        <v>153</v>
      </c>
      <c r="B14" s="29">
        <v>20</v>
      </c>
      <c r="C14" s="30">
        <v>2.2</v>
      </c>
      <c r="D14" s="30">
        <v>9</v>
      </c>
      <c r="E14" s="30">
        <v>8.3</v>
      </c>
      <c r="F14" s="31">
        <f t="shared" si="0"/>
        <v>29</v>
      </c>
      <c r="G14" s="32">
        <f t="shared" si="1"/>
        <v>10.5</v>
      </c>
      <c r="H14" s="33">
        <v>0</v>
      </c>
      <c r="I14" s="34">
        <v>0</v>
      </c>
      <c r="J14" s="34">
        <v>0.5</v>
      </c>
      <c r="K14" s="34">
        <v>0</v>
      </c>
      <c r="L14" s="34">
        <v>0.5</v>
      </c>
      <c r="M14" s="32">
        <f t="shared" si="2"/>
        <v>0</v>
      </c>
      <c r="N14" s="32">
        <f t="shared" si="3"/>
        <v>5.25</v>
      </c>
      <c r="O14" s="32">
        <f t="shared" si="4"/>
        <v>5.25</v>
      </c>
    </row>
    <row r="15" spans="1:15">
      <c r="A15" t="s">
        <v>154</v>
      </c>
      <c r="B15" s="29">
        <v>483</v>
      </c>
      <c r="C15" s="30">
        <v>225.6</v>
      </c>
      <c r="D15" s="30">
        <v>234</v>
      </c>
      <c r="E15" s="30">
        <v>88.4</v>
      </c>
      <c r="F15" s="31">
        <f t="shared" si="0"/>
        <v>717</v>
      </c>
      <c r="G15" s="32">
        <f t="shared" si="1"/>
        <v>314</v>
      </c>
      <c r="H15" s="33">
        <v>0</v>
      </c>
      <c r="I15" s="34">
        <v>0.2</v>
      </c>
      <c r="J15" s="34">
        <v>0.3</v>
      </c>
      <c r="K15" s="34">
        <v>0.1</v>
      </c>
      <c r="L15" s="34">
        <v>0.25</v>
      </c>
      <c r="M15" s="32">
        <f t="shared" si="2"/>
        <v>53.96</v>
      </c>
      <c r="N15" s="32">
        <f t="shared" si="3"/>
        <v>89.78</v>
      </c>
      <c r="O15" s="32">
        <f t="shared" si="4"/>
        <v>170.26</v>
      </c>
    </row>
    <row r="16" spans="1:15">
      <c r="A16" s="10" t="s">
        <v>155</v>
      </c>
      <c r="B16" s="10">
        <f t="shared" ref="B16:G16" si="5">SUM(B5:B15)</f>
        <v>3010</v>
      </c>
      <c r="C16" s="27">
        <f t="shared" si="5"/>
        <v>438.8</v>
      </c>
      <c r="D16" s="27">
        <f t="shared" si="5"/>
        <v>367</v>
      </c>
      <c r="E16" s="27">
        <f t="shared" si="5"/>
        <v>118.2</v>
      </c>
      <c r="F16" s="10">
        <f t="shared" si="5"/>
        <v>3377</v>
      </c>
      <c r="G16" s="27">
        <f t="shared" si="5"/>
        <v>557</v>
      </c>
      <c r="H16" s="10"/>
      <c r="I16" s="10"/>
      <c r="J16" s="10"/>
      <c r="K16" s="10"/>
      <c r="L16" s="10"/>
      <c r="M16" s="27">
        <f>SUM(M5:M15)</f>
        <v>188.285</v>
      </c>
      <c r="N16" s="27">
        <f>SUM(N5:N15)</f>
        <v>114.91</v>
      </c>
      <c r="O16" s="27">
        <f>SUM(O5:O15)</f>
        <v>213.405</v>
      </c>
    </row>
    <row r="17" spans="1:15">
      <c r="A17" s="15" t="s">
        <v>156</v>
      </c>
      <c r="B17" s="15"/>
      <c r="C17" s="15"/>
      <c r="D17" s="15"/>
      <c r="E17" s="15"/>
      <c r="F17" s="15"/>
      <c r="G17" s="15"/>
      <c r="H17" s="15"/>
      <c r="I17" s="15"/>
      <c r="J17" s="15"/>
      <c r="K17" s="15"/>
      <c r="L17" s="15"/>
      <c r="M17" s="15"/>
      <c r="N17" s="15"/>
      <c r="O17" s="15"/>
    </row>
    <row r="19" spans="1:15">
      <c r="A19" s="2" t="s">
        <v>157</v>
      </c>
      <c r="B19" s="2" t="s">
        <v>3</v>
      </c>
      <c r="C19" s="2" t="s">
        <v>3</v>
      </c>
      <c r="D19" s="2" t="s">
        <v>3</v>
      </c>
      <c r="E19" s="2" t="s">
        <v>3</v>
      </c>
    </row>
    <row r="20" ht="51" spans="1:15">
      <c r="A20" s="3" t="s">
        <v>59</v>
      </c>
      <c r="B20" s="3" t="s">
        <v>158</v>
      </c>
      <c r="C20" s="3" t="s">
        <v>159</v>
      </c>
      <c r="D20" s="3" t="s">
        <v>160</v>
      </c>
      <c r="E20" s="3" t="s">
        <v>161</v>
      </c>
    </row>
    <row r="21" spans="1:15">
      <c r="A21">
        <v>2025</v>
      </c>
      <c r="B21" s="23">
        <f t="shared" ref="B21:B28" si="6">M6</f>
        <v>13.8</v>
      </c>
      <c r="C21" s="23">
        <f>IF(AND(A21&gt;=Assumptions!$B$9,A21&lt;=Assumptions!$B$10),$M$15/(Assumptions!$B$10-Assumptions!$B$9+1),0)</f>
        <v>0</v>
      </c>
      <c r="D21" s="23">
        <f t="shared" ref="D21:D28" si="7">B21+C21</f>
        <v>13.8</v>
      </c>
      <c r="E21" s="33">
        <v>13.8</v>
      </c>
    </row>
    <row r="22" spans="1:15">
      <c r="A22">
        <v>2026</v>
      </c>
      <c r="B22" s="23">
        <f t="shared" si="6"/>
        <v>26.51</v>
      </c>
      <c r="C22" s="23">
        <f>IF(AND(A22&gt;=Assumptions!$B$9,A22&lt;=Assumptions!$B$10),$M$15/(Assumptions!$B$10-Assumptions!$B$9+1),0)</f>
        <v>0</v>
      </c>
      <c r="D22" s="23">
        <f t="shared" si="7"/>
        <v>26.51</v>
      </c>
      <c r="E22" s="33">
        <v>26.6</v>
      </c>
    </row>
    <row r="23" spans="1:15">
      <c r="A23">
        <v>2027</v>
      </c>
      <c r="B23" s="23">
        <f t="shared" si="6"/>
        <v>35.855</v>
      </c>
      <c r="C23" s="23">
        <f>IF(AND(A23&gt;=Assumptions!$B$9,A23&lt;=Assumptions!$B$10),$M$15/(Assumptions!$B$10-Assumptions!$B$9+1),0)</f>
        <v>0</v>
      </c>
      <c r="D23" s="23">
        <f t="shared" si="7"/>
        <v>35.855</v>
      </c>
      <c r="E23" s="33">
        <v>35.8</v>
      </c>
    </row>
    <row r="24" spans="1:15">
      <c r="A24">
        <v>2028</v>
      </c>
      <c r="B24" s="23">
        <f t="shared" si="6"/>
        <v>32.65</v>
      </c>
      <c r="C24" s="23">
        <f>IF(AND(A24&gt;=Assumptions!$B$9,A24&lt;=Assumptions!$B$10),$M$15/(Assumptions!$B$10-Assumptions!$B$9+1),0)</f>
        <v>10.792</v>
      </c>
      <c r="D24" s="23">
        <f t="shared" si="7"/>
        <v>43.442</v>
      </c>
      <c r="E24" s="33">
        <v>43.5</v>
      </c>
    </row>
    <row r="25" spans="1:15">
      <c r="A25">
        <v>2029</v>
      </c>
      <c r="B25" s="23">
        <f t="shared" si="6"/>
        <v>10.695</v>
      </c>
      <c r="C25" s="23">
        <f>IF(AND(A25&gt;=Assumptions!$B$9,A25&lt;=Assumptions!$B$10),$M$15/(Assumptions!$B$10-Assumptions!$B$9+1),0)</f>
        <v>10.792</v>
      </c>
      <c r="D25" s="23">
        <f t="shared" si="7"/>
        <v>21.487</v>
      </c>
      <c r="E25" s="33">
        <v>21.5</v>
      </c>
    </row>
    <row r="26" spans="1:15">
      <c r="A26">
        <v>2030</v>
      </c>
      <c r="B26" s="23">
        <f t="shared" si="6"/>
        <v>6.88</v>
      </c>
      <c r="C26" s="23">
        <f>IF(AND(A26&gt;=Assumptions!$B$9,A26&lt;=Assumptions!$B$10),$M$15/(Assumptions!$B$10-Assumptions!$B$9+1),0)</f>
        <v>10.792</v>
      </c>
      <c r="D26" s="23">
        <f t="shared" si="7"/>
        <v>17.672</v>
      </c>
      <c r="E26" s="33">
        <v>17.7</v>
      </c>
    </row>
    <row r="27" spans="1:15">
      <c r="A27">
        <v>2031</v>
      </c>
      <c r="B27" s="23">
        <f t="shared" si="6"/>
        <v>5.305</v>
      </c>
      <c r="C27" s="23">
        <f>IF(AND(A27&gt;=Assumptions!$B$9,A27&lt;=Assumptions!$B$10),$M$15/(Assumptions!$B$10-Assumptions!$B$9+1),0)</f>
        <v>10.792</v>
      </c>
      <c r="D27" s="23">
        <f t="shared" si="7"/>
        <v>16.097</v>
      </c>
      <c r="E27" s="33">
        <v>16.1</v>
      </c>
    </row>
    <row r="28" spans="1:15">
      <c r="A28">
        <v>2032</v>
      </c>
      <c r="B28" s="23">
        <f t="shared" si="6"/>
        <v>2.63</v>
      </c>
      <c r="C28" s="23">
        <f>IF(AND(A28&gt;=Assumptions!$B$9,A28&lt;=Assumptions!$B$10),$M$15/(Assumptions!$B$10-Assumptions!$B$9+1),0)</f>
        <v>10.792</v>
      </c>
      <c r="D28" s="23">
        <f t="shared" si="7"/>
        <v>13.422</v>
      </c>
      <c r="E28" s="33">
        <v>13.4</v>
      </c>
    </row>
    <row r="29" spans="1:15">
      <c r="A29" s="10" t="s">
        <v>162</v>
      </c>
      <c r="B29" s="35"/>
      <c r="C29" s="35"/>
      <c r="D29" s="35">
        <f>SUM(D21:D28)</f>
        <v>188.285</v>
      </c>
      <c r="E29" s="27">
        <f>SUM(E21:E28)</f>
        <v>188.4</v>
      </c>
    </row>
    <row r="31" ht="34" spans="1:15">
      <c r="A31" s="3" t="s">
        <v>163</v>
      </c>
      <c r="B31" s="3" t="s">
        <v>164</v>
      </c>
      <c r="C31" s="3" t="s">
        <v>165</v>
      </c>
      <c r="D31" s="3" t="s">
        <v>166</v>
      </c>
      <c r="E31" s="3" t="s">
        <v>167</v>
      </c>
    </row>
    <row r="32" spans="1:15">
      <c r="A32" t="s">
        <v>168</v>
      </c>
      <c r="B32" s="36">
        <f>D29</f>
        <v>188.285</v>
      </c>
      <c r="C32" s="36">
        <v>188.3</v>
      </c>
      <c r="D32" s="36">
        <f>B32-C32</f>
        <v>-0.0150000000000148</v>
      </c>
      <c r="E32" s="22">
        <f>D32/C32</f>
        <v>-7.96601168349165e-5</v>
      </c>
    </row>
  </sheetData>
  <mergeCells count="4">
    <mergeCell ref="A1:H1"/>
    <mergeCell ref="A3:O3"/>
    <mergeCell ref="A17:O17"/>
    <mergeCell ref="A19:E19"/>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4"/>
  <sheetViews>
    <sheetView workbookViewId="0">
      <selection activeCell="C7" sqref="C7"/>
    </sheetView>
  </sheetViews>
  <sheetFormatPr defaultColWidth="9" defaultRowHeight="16.8"/>
  <cols>
    <col min="1" max="1" width="18" customWidth="1"/>
    <col min="2" max="2" width="13" customWidth="1"/>
    <col min="3" max="3" width="15" customWidth="1"/>
    <col min="4" max="4" width="16" customWidth="1"/>
    <col min="5" max="5" width="15" customWidth="1"/>
    <col min="6" max="8" width="16" customWidth="1"/>
    <col min="9" max="9" width="12" customWidth="1"/>
    <col min="10" max="10" width="19" customWidth="1"/>
    <col min="11" max="11" width="18" customWidth="1"/>
    <col min="12" max="12" width="15" customWidth="1"/>
    <col min="13" max="13" width="13" customWidth="1"/>
    <col min="14" max="14" width="12" customWidth="1"/>
    <col min="15" max="16" width="18" customWidth="1"/>
  </cols>
  <sheetData>
    <row r="1" ht="26" customHeight="1" spans="1:16">
      <c r="A1" s="1" t="s">
        <v>169</v>
      </c>
      <c r="B1" s="1"/>
      <c r="C1" s="1"/>
      <c r="D1" s="1"/>
      <c r="E1" s="1"/>
      <c r="F1" s="1"/>
      <c r="G1" s="1"/>
      <c r="H1" s="1"/>
    </row>
    <row r="3" spans="1:16">
      <c r="A3" s="2" t="s">
        <v>170</v>
      </c>
      <c r="B3" s="2" t="s">
        <v>3</v>
      </c>
      <c r="C3" s="2" t="s">
        <v>3</v>
      </c>
      <c r="D3" s="2" t="s">
        <v>3</v>
      </c>
      <c r="E3" s="2" t="s">
        <v>3</v>
      </c>
      <c r="F3" s="2" t="s">
        <v>3</v>
      </c>
      <c r="G3" s="2" t="s">
        <v>3</v>
      </c>
      <c r="H3" s="2" t="s">
        <v>3</v>
      </c>
      <c r="I3" s="2" t="s">
        <v>3</v>
      </c>
      <c r="J3" s="2" t="s">
        <v>3</v>
      </c>
      <c r="K3" s="2" t="s">
        <v>3</v>
      </c>
      <c r="L3" s="2" t="s">
        <v>3</v>
      </c>
      <c r="M3" s="2" t="s">
        <v>3</v>
      </c>
      <c r="N3" s="2" t="s">
        <v>3</v>
      </c>
      <c r="O3" s="2" t="s">
        <v>3</v>
      </c>
      <c r="P3" s="2" t="s">
        <v>3</v>
      </c>
    </row>
    <row r="4" ht="34" spans="1:16">
      <c r="A4" s="3" t="s">
        <v>59</v>
      </c>
      <c r="B4" s="3" t="s">
        <v>171</v>
      </c>
      <c r="C4" s="3" t="s">
        <v>172</v>
      </c>
      <c r="D4" s="3" t="s">
        <v>173</v>
      </c>
      <c r="E4" s="3" t="s">
        <v>174</v>
      </c>
      <c r="F4" s="3" t="s">
        <v>175</v>
      </c>
      <c r="G4" s="3" t="s">
        <v>176</v>
      </c>
      <c r="H4" s="3" t="s">
        <v>177</v>
      </c>
      <c r="I4" s="3" t="s">
        <v>178</v>
      </c>
      <c r="J4" s="3" t="s">
        <v>179</v>
      </c>
      <c r="K4" s="3" t="s">
        <v>180</v>
      </c>
      <c r="L4" s="3" t="s">
        <v>181</v>
      </c>
      <c r="M4" s="3" t="s">
        <v>182</v>
      </c>
      <c r="N4" s="3" t="s">
        <v>183</v>
      </c>
      <c r="O4" s="3" t="s">
        <v>184</v>
      </c>
      <c r="P4" s="3" t="s">
        <v>185</v>
      </c>
    </row>
    <row r="5" spans="1:16">
      <c r="A5">
        <v>2025</v>
      </c>
      <c r="B5" s="23">
        <f>'Capacity Buildout'!D21</f>
        <v>13.8</v>
      </c>
      <c r="C5" s="24">
        <f>Assumptions!$B$5*(1+Assumptions!$B$6)^(A5-2025)</f>
        <v>41</v>
      </c>
      <c r="D5" s="4">
        <f t="shared" ref="D5:D12" si="0">B5*C5</f>
        <v>565.8</v>
      </c>
      <c r="E5" s="25">
        <f>Assumptions!$B$29</f>
        <v>1.04527102</v>
      </c>
      <c r="F5" s="4">
        <f t="shared" ref="F5:F12" si="1">D5*E5</f>
        <v>591.414343116</v>
      </c>
      <c r="G5" s="26">
        <f>Assumptions!$B$30</f>
        <v>0.193720098573828</v>
      </c>
      <c r="H5" s="4">
        <f t="shared" ref="H5:H12" si="2">F5*G5</f>
        <v>114.568844846407</v>
      </c>
      <c r="I5" s="18">
        <f>Assumptions!$B$28</f>
        <v>0.5</v>
      </c>
      <c r="J5" s="4">
        <f t="shared" ref="J5:J12" si="3">H5/I5</f>
        <v>229.137689692815</v>
      </c>
      <c r="K5" s="24">
        <f t="shared" ref="K5:K13" si="4">J5/B5</f>
        <v>16.6041804125228</v>
      </c>
      <c r="L5" s="23">
        <f>B5/Assumptions!$B$34</f>
        <v>11.5</v>
      </c>
      <c r="M5" s="23">
        <f>L5*1000/Assumptions!$B$35</f>
        <v>80.9859154929578</v>
      </c>
      <c r="N5" s="23">
        <f>M5*Assumptions!$B$36/1000</f>
        <v>5.83098591549296</v>
      </c>
      <c r="O5" s="24">
        <f>J5*1000/(N5*Assumptions!$B$11)</f>
        <v>4.48590871114582</v>
      </c>
      <c r="P5" s="24">
        <f>O5/Assumptions!$B$37</f>
        <v>5.60738588893227</v>
      </c>
    </row>
    <row r="6" spans="1:16">
      <c r="A6">
        <v>2026</v>
      </c>
      <c r="B6" s="23">
        <f>'Capacity Buildout'!D22</f>
        <v>26.51</v>
      </c>
      <c r="C6" s="24">
        <f>Assumptions!$B$5*(1+Assumptions!$B$6)^(A6-2025)</f>
        <v>42.64</v>
      </c>
      <c r="D6" s="4">
        <f t="shared" si="0"/>
        <v>1130.3864</v>
      </c>
      <c r="E6" s="25">
        <f>Assumptions!$B$29</f>
        <v>1.04527102</v>
      </c>
      <c r="F6" s="4">
        <f t="shared" si="1"/>
        <v>1181.56014532213</v>
      </c>
      <c r="G6" s="26">
        <f>Assumptions!$B$30</f>
        <v>0.193720098573828</v>
      </c>
      <c r="H6" s="4">
        <f t="shared" si="2"/>
        <v>228.89194782271</v>
      </c>
      <c r="I6" s="18">
        <f>Assumptions!$B$28</f>
        <v>0.5</v>
      </c>
      <c r="J6" s="4">
        <f t="shared" si="3"/>
        <v>457.783895645419</v>
      </c>
      <c r="K6" s="24">
        <f t="shared" si="4"/>
        <v>17.2683476290237</v>
      </c>
      <c r="L6" s="23">
        <f>B6/Assumptions!$B$34</f>
        <v>22.0916666666667</v>
      </c>
      <c r="M6" s="23">
        <f>L6*1000/Assumptions!$B$35</f>
        <v>155.575117370892</v>
      </c>
      <c r="N6" s="23">
        <f>M6*Assumptions!$B$36/1000</f>
        <v>11.2014084507042</v>
      </c>
      <c r="O6" s="24">
        <f>J6*1000/(N6*Assumptions!$B$11)</f>
        <v>4.66534505959165</v>
      </c>
      <c r="P6" s="24">
        <f>O6/Assumptions!$B$37</f>
        <v>5.83168132448956</v>
      </c>
    </row>
    <row r="7" spans="1:16">
      <c r="A7">
        <v>2027</v>
      </c>
      <c r="B7" s="23">
        <f>'Capacity Buildout'!D23</f>
        <v>35.855</v>
      </c>
      <c r="C7" s="24">
        <f>Assumptions!$B$5*(1+Assumptions!$B$6)^(A7-2025)</f>
        <v>44.3456</v>
      </c>
      <c r="D7" s="4">
        <f t="shared" si="0"/>
        <v>1590.011488</v>
      </c>
      <c r="E7" s="25">
        <f>Assumptions!$B$29</f>
        <v>1.04527102</v>
      </c>
      <c r="F7" s="4">
        <f t="shared" si="1"/>
        <v>1661.99292987348</v>
      </c>
      <c r="G7" s="26">
        <f>Assumptions!$B$30</f>
        <v>0.193720098573828</v>
      </c>
      <c r="H7" s="4">
        <f t="shared" si="2"/>
        <v>321.961434204096</v>
      </c>
      <c r="I7" s="18">
        <f>Assumptions!$B$28</f>
        <v>0.5</v>
      </c>
      <c r="J7" s="4">
        <f t="shared" si="3"/>
        <v>643.922868408192</v>
      </c>
      <c r="K7" s="24">
        <f t="shared" si="4"/>
        <v>17.9590815341847</v>
      </c>
      <c r="L7" s="23">
        <f>B7/Assumptions!$B$34</f>
        <v>29.8791666666667</v>
      </c>
      <c r="M7" s="23">
        <f>L7*1000/Assumptions!$B$35</f>
        <v>210.416666666667</v>
      </c>
      <c r="N7" s="23">
        <f>M7*Assumptions!$B$36/1000</f>
        <v>15.15</v>
      </c>
      <c r="O7" s="24">
        <f>J7*1000/(N7*Assumptions!$B$11)</f>
        <v>4.85195886197531</v>
      </c>
      <c r="P7" s="24">
        <f>O7/Assumptions!$B$37</f>
        <v>6.06494857746914</v>
      </c>
    </row>
    <row r="8" spans="1:16">
      <c r="A8">
        <v>2028</v>
      </c>
      <c r="B8" s="23">
        <f>'Capacity Buildout'!D24</f>
        <v>43.442</v>
      </c>
      <c r="C8" s="24">
        <f>Assumptions!$B$5*(1+Assumptions!$B$6)^(A8-2025)</f>
        <v>46.119424</v>
      </c>
      <c r="D8" s="4">
        <f t="shared" si="0"/>
        <v>2003.520017408</v>
      </c>
      <c r="E8" s="25">
        <f>Assumptions!$B$29</f>
        <v>1.04527102</v>
      </c>
      <c r="F8" s="4">
        <f t="shared" si="1"/>
        <v>2094.22141218648</v>
      </c>
      <c r="G8" s="26">
        <f>Assumptions!$B$30</f>
        <v>0.193720098573828</v>
      </c>
      <c r="H8" s="4">
        <f t="shared" si="2"/>
        <v>405.692778404187</v>
      </c>
      <c r="I8" s="18">
        <f>Assumptions!$B$28</f>
        <v>0.5</v>
      </c>
      <c r="J8" s="4">
        <f t="shared" si="3"/>
        <v>811.385556808373</v>
      </c>
      <c r="K8" s="24">
        <f t="shared" si="4"/>
        <v>18.6774447955521</v>
      </c>
      <c r="L8" s="23">
        <f>B8/Assumptions!$B$34</f>
        <v>36.2016666666667</v>
      </c>
      <c r="M8" s="23">
        <f>L8*1000/Assumptions!$B$35</f>
        <v>254.941314553991</v>
      </c>
      <c r="N8" s="23">
        <f>M8*Assumptions!$B$36/1000</f>
        <v>18.3557746478873</v>
      </c>
      <c r="O8" s="24">
        <f>J8*1000/(N8*Assumptions!$B$11)</f>
        <v>5.04603721645433</v>
      </c>
      <c r="P8" s="24">
        <f>O8/Assumptions!$B$37</f>
        <v>6.30754652056791</v>
      </c>
    </row>
    <row r="9" spans="1:16">
      <c r="A9">
        <v>2029</v>
      </c>
      <c r="B9" s="23">
        <f>'Capacity Buildout'!D25</f>
        <v>21.487</v>
      </c>
      <c r="C9" s="24">
        <f>Assumptions!$B$5*(1+Assumptions!$B$6)^(A9-2025)</f>
        <v>47.96420096</v>
      </c>
      <c r="D9" s="4">
        <f t="shared" si="0"/>
        <v>1030.60678602752</v>
      </c>
      <c r="E9" s="25">
        <f>Assumptions!$B$29</f>
        <v>1.04527102</v>
      </c>
      <c r="F9" s="4">
        <f t="shared" si="1"/>
        <v>1077.26340644991</v>
      </c>
      <c r="G9" s="26">
        <f>Assumptions!$B$30</f>
        <v>0.193720098573828</v>
      </c>
      <c r="H9" s="4">
        <f t="shared" si="2"/>
        <v>208.687573287454</v>
      </c>
      <c r="I9" s="18">
        <f>Assumptions!$B$28</f>
        <v>0.5</v>
      </c>
      <c r="J9" s="4">
        <f t="shared" si="3"/>
        <v>417.375146574909</v>
      </c>
      <c r="K9" s="24">
        <f t="shared" si="4"/>
        <v>19.4245425873742</v>
      </c>
      <c r="L9" s="23">
        <f>B9/Assumptions!$B$34</f>
        <v>17.9058333333333</v>
      </c>
      <c r="M9" s="23">
        <f>L9*1000/Assumptions!$B$35</f>
        <v>126.097417840376</v>
      </c>
      <c r="N9" s="23">
        <f>M9*Assumptions!$B$36/1000</f>
        <v>9.07901408450704</v>
      </c>
      <c r="O9" s="24">
        <f>J9*1000/(N9*Assumptions!$B$11)</f>
        <v>5.2478787051125</v>
      </c>
      <c r="P9" s="24">
        <f>O9/Assumptions!$B$37</f>
        <v>6.55984838139062</v>
      </c>
    </row>
    <row r="10" spans="1:16">
      <c r="A10">
        <v>2030</v>
      </c>
      <c r="B10" s="23">
        <f>'Capacity Buildout'!D26</f>
        <v>17.672</v>
      </c>
      <c r="C10" s="24">
        <f>Assumptions!$B$5*(1+Assumptions!$B$6)^(A10-2025)</f>
        <v>49.8827689984</v>
      </c>
      <c r="D10" s="4">
        <f t="shared" si="0"/>
        <v>881.528293739725</v>
      </c>
      <c r="E10" s="25">
        <f>Assumptions!$B$29</f>
        <v>1.04527102</v>
      </c>
      <c r="F10" s="4">
        <f t="shared" si="1"/>
        <v>921.435978756182</v>
      </c>
      <c r="G10" s="26">
        <f>Assumptions!$B$30</f>
        <v>0.193720098573828</v>
      </c>
      <c r="H10" s="4">
        <f t="shared" si="2"/>
        <v>178.50066863412</v>
      </c>
      <c r="I10" s="18">
        <f>Assumptions!$B$28</f>
        <v>0.5</v>
      </c>
      <c r="J10" s="4">
        <f t="shared" si="3"/>
        <v>357.001337268239</v>
      </c>
      <c r="K10" s="24">
        <f t="shared" si="4"/>
        <v>20.2015242908691</v>
      </c>
      <c r="L10" s="23">
        <f>B10/Assumptions!$B$34</f>
        <v>14.7266666666667</v>
      </c>
      <c r="M10" s="23">
        <f>L10*1000/Assumptions!$B$35</f>
        <v>103.708920187793</v>
      </c>
      <c r="N10" s="23">
        <f>M10*Assumptions!$B$36/1000</f>
        <v>7.46704225352113</v>
      </c>
      <c r="O10" s="24">
        <f>J10*1000/(N10*Assumptions!$B$11)</f>
        <v>5.457793853317</v>
      </c>
      <c r="P10" s="24">
        <f>O10/Assumptions!$B$37</f>
        <v>6.82224231664625</v>
      </c>
    </row>
    <row r="11" spans="1:16">
      <c r="A11">
        <v>2031</v>
      </c>
      <c r="B11" s="23">
        <f>'Capacity Buildout'!D27</f>
        <v>16.097</v>
      </c>
      <c r="C11" s="24">
        <f>Assumptions!$B$5*(1+Assumptions!$B$6)^(A11-2025)</f>
        <v>51.878079758336</v>
      </c>
      <c r="D11" s="4">
        <f t="shared" si="0"/>
        <v>835.081449869935</v>
      </c>
      <c r="E11" s="25">
        <f>Assumptions!$B$29</f>
        <v>1.04527102</v>
      </c>
      <c r="F11" s="4">
        <f t="shared" si="1"/>
        <v>872.886438888626</v>
      </c>
      <c r="G11" s="26">
        <f>Assumptions!$B$30</f>
        <v>0.193720098573828</v>
      </c>
      <c r="H11" s="4">
        <f t="shared" si="2"/>
        <v>169.095646985263</v>
      </c>
      <c r="I11" s="18">
        <f>Assumptions!$B$28</f>
        <v>0.5</v>
      </c>
      <c r="J11" s="4">
        <f t="shared" si="3"/>
        <v>338.191293970525</v>
      </c>
      <c r="K11" s="24">
        <f t="shared" si="4"/>
        <v>21.0095852625039</v>
      </c>
      <c r="L11" s="23">
        <f>B11/Assumptions!$B$34</f>
        <v>13.4141666666667</v>
      </c>
      <c r="M11" s="23">
        <f>L11*1000/Assumptions!$B$35</f>
        <v>94.4659624413146</v>
      </c>
      <c r="N11" s="23">
        <f>M11*Assumptions!$B$36/1000</f>
        <v>6.80154929577465</v>
      </c>
      <c r="O11" s="24">
        <f>J11*1000/(N11*Assumptions!$B$11)</f>
        <v>5.67610560744968</v>
      </c>
      <c r="P11" s="24">
        <f>O11/Assumptions!$B$37</f>
        <v>7.0951320093121</v>
      </c>
    </row>
    <row r="12" spans="1:16">
      <c r="A12">
        <v>2032</v>
      </c>
      <c r="B12" s="23">
        <f>'Capacity Buildout'!D28</f>
        <v>13.422</v>
      </c>
      <c r="C12" s="24">
        <f>Assumptions!$B$5*(1+Assumptions!$B$6)^(A12-2025)</f>
        <v>53.9532029486694</v>
      </c>
      <c r="D12" s="4">
        <f t="shared" si="0"/>
        <v>724.159889977041</v>
      </c>
      <c r="E12" s="25">
        <f>Assumptions!$B$29</f>
        <v>1.04527102</v>
      </c>
      <c r="F12" s="4">
        <f t="shared" si="1"/>
        <v>756.94334683939</v>
      </c>
      <c r="G12" s="26">
        <f>Assumptions!$B$30</f>
        <v>0.193720098573828</v>
      </c>
      <c r="H12" s="4">
        <f t="shared" si="2"/>
        <v>146.63513976453</v>
      </c>
      <c r="I12" s="18">
        <f>Assumptions!$B$28</f>
        <v>0.5</v>
      </c>
      <c r="J12" s="4">
        <f t="shared" si="3"/>
        <v>293.27027952906</v>
      </c>
      <c r="K12" s="24">
        <f t="shared" si="4"/>
        <v>21.849968673004</v>
      </c>
      <c r="L12" s="23">
        <f>B12/Assumptions!$B$34</f>
        <v>11.185</v>
      </c>
      <c r="M12" s="23">
        <f>L12*1000/Assumptions!$B$35</f>
        <v>78.7676056338028</v>
      </c>
      <c r="N12" s="23">
        <f>M12*Assumptions!$B$36/1000</f>
        <v>5.6712676056338</v>
      </c>
      <c r="O12" s="24">
        <f>J12*1000/(N12*Assumptions!$B$11)</f>
        <v>5.90314983174767</v>
      </c>
      <c r="P12" s="24">
        <f>O12/Assumptions!$B$37</f>
        <v>7.37893728968459</v>
      </c>
    </row>
    <row r="13" spans="1:16">
      <c r="A13" s="10" t="s">
        <v>186</v>
      </c>
      <c r="B13" s="27">
        <f>SUM(B5:B12)</f>
        <v>188.285</v>
      </c>
      <c r="C13" s="10"/>
      <c r="D13" s="12">
        <f>SUM(D5:D12)</f>
        <v>8761.09432502222</v>
      </c>
      <c r="E13" s="10"/>
      <c r="F13" s="12">
        <f>SUM(F5:F12)</f>
        <v>9157.71800143219</v>
      </c>
      <c r="G13" s="10"/>
      <c r="H13" s="12">
        <f>SUM(H5:H12)</f>
        <v>1774.03403394877</v>
      </c>
      <c r="I13" s="10"/>
      <c r="J13" s="12">
        <f>SUM(J5:J12)</f>
        <v>3548.06806789753</v>
      </c>
      <c r="K13" s="28">
        <f t="shared" si="4"/>
        <v>18.8441355811537</v>
      </c>
      <c r="L13" s="27">
        <f>SUM(L5:L12)</f>
        <v>156.904166666667</v>
      </c>
      <c r="M13" s="27">
        <f>SUM(M5:M12)</f>
        <v>1104.95892018779</v>
      </c>
      <c r="N13" s="27">
        <f>SUM(N5:N12)</f>
        <v>79.5570422535211</v>
      </c>
      <c r="O13" s="28">
        <f>J13*1000/(N13*Assumptions!$B$11)</f>
        <v>5.0910716372219</v>
      </c>
      <c r="P13" s="28">
        <f>O13/Assumptions!$B$37</f>
        <v>6.36383954652738</v>
      </c>
    </row>
    <row r="16" spans="1:16">
      <c r="A16" s="2" t="s">
        <v>187</v>
      </c>
      <c r="B16" s="2" t="s">
        <v>3</v>
      </c>
      <c r="C16" s="2" t="s">
        <v>3</v>
      </c>
      <c r="D16" s="2" t="s">
        <v>3</v>
      </c>
      <c r="E16" s="2" t="s">
        <v>3</v>
      </c>
    </row>
    <row r="17" ht="34" spans="1:16">
      <c r="A17" s="3" t="s">
        <v>13</v>
      </c>
      <c r="B17" s="3" t="s">
        <v>188</v>
      </c>
      <c r="C17" s="3" t="s">
        <v>165</v>
      </c>
      <c r="D17" s="3" t="s">
        <v>166</v>
      </c>
      <c r="E17" s="3" t="s">
        <v>167</v>
      </c>
    </row>
    <row r="18" spans="1:16">
      <c r="A18" t="s">
        <v>189</v>
      </c>
      <c r="B18" s="7">
        <f>D13</f>
        <v>8761.09432502222</v>
      </c>
      <c r="C18" s="5">
        <v>8762.2</v>
      </c>
      <c r="D18" s="7">
        <f>B18-C18</f>
        <v>-1.10567497777993</v>
      </c>
      <c r="E18" s="22">
        <f>D18/C18</f>
        <v>-0.000126186913991911</v>
      </c>
    </row>
    <row r="19" spans="1:16">
      <c r="A19" t="s">
        <v>190</v>
      </c>
      <c r="B19" s="7">
        <f>F13</f>
        <v>9157.71800143219</v>
      </c>
      <c r="C19" s="5">
        <v>9158.8</v>
      </c>
      <c r="D19" s="7">
        <f>B19-C19</f>
        <v>-1.08199856781175</v>
      </c>
      <c r="E19" s="22">
        <f>D19/C19</f>
        <v>-0.000118137590930226</v>
      </c>
    </row>
    <row r="20" spans="1:16">
      <c r="A20" t="s">
        <v>191</v>
      </c>
      <c r="B20" s="7">
        <f>H13</f>
        <v>1774.03403394877</v>
      </c>
      <c r="C20" s="5">
        <v>1774.3</v>
      </c>
      <c r="D20" s="7">
        <f>B20-C20</f>
        <v>-0.26596605123359</v>
      </c>
      <c r="E20" s="22">
        <f>D20/C20</f>
        <v>-0.000149899144019383</v>
      </c>
    </row>
    <row r="21" spans="1:16">
      <c r="A21" t="s">
        <v>192</v>
      </c>
      <c r="B21" s="7">
        <f>J13</f>
        <v>3548.06806789753</v>
      </c>
      <c r="C21" s="5">
        <v>3548.5</v>
      </c>
      <c r="D21" s="7">
        <f>B21-C21</f>
        <v>-0.431932102467272</v>
      </c>
      <c r="E21" s="22">
        <f>D21/C21</f>
        <v>-0.000121722446799288</v>
      </c>
    </row>
    <row r="23" spans="1:16">
      <c r="A23" s="15" t="s">
        <v>193</v>
      </c>
      <c r="B23" s="15"/>
      <c r="C23" s="15"/>
      <c r="D23" s="15"/>
      <c r="E23" s="15"/>
      <c r="F23" s="15"/>
      <c r="G23" s="15"/>
      <c r="H23" s="15"/>
      <c r="I23" s="15"/>
      <c r="J23" s="15"/>
      <c r="K23" s="15"/>
      <c r="L23" s="15"/>
      <c r="M23" s="15"/>
      <c r="N23" s="15"/>
      <c r="O23" s="15"/>
      <c r="P23" s="15"/>
    </row>
    <row r="24" spans="1:16">
      <c r="A24" s="15"/>
      <c r="B24" s="15"/>
      <c r="C24" s="15"/>
      <c r="D24" s="15"/>
      <c r="E24" s="15"/>
      <c r="F24" s="15"/>
      <c r="G24" s="15"/>
      <c r="H24" s="15"/>
      <c r="I24" s="15"/>
      <c r="J24" s="15"/>
      <c r="K24" s="15"/>
      <c r="L24" s="15"/>
      <c r="M24" s="15"/>
      <c r="N24" s="15"/>
      <c r="O24" s="15"/>
      <c r="P24" s="15"/>
    </row>
  </sheetData>
  <mergeCells count="4">
    <mergeCell ref="A1:H1"/>
    <mergeCell ref="A3:P3"/>
    <mergeCell ref="A16:E16"/>
    <mergeCell ref="A23:P24"/>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
  <sheetViews>
    <sheetView workbookViewId="0">
      <selection activeCell="C20" sqref="C20"/>
    </sheetView>
  </sheetViews>
  <sheetFormatPr defaultColWidth="9" defaultRowHeight="16.8"/>
  <cols>
    <col min="1" max="1" width="24" customWidth="1"/>
    <col min="2" max="4" width="18" customWidth="1"/>
    <col min="5" max="5" width="23" customWidth="1"/>
    <col min="6" max="6" width="14" customWidth="1"/>
    <col min="7" max="9" width="22" customWidth="1"/>
  </cols>
  <sheetData>
    <row r="1" ht="26" customHeight="1" spans="1:9">
      <c r="A1" s="1" t="s">
        <v>194</v>
      </c>
      <c r="B1" s="1"/>
      <c r="C1" s="1"/>
      <c r="D1" s="1"/>
      <c r="E1" s="1"/>
      <c r="F1" s="1"/>
      <c r="G1" s="1"/>
      <c r="H1" s="1"/>
    </row>
    <row r="3" spans="1:9">
      <c r="A3" s="2" t="s">
        <v>195</v>
      </c>
      <c r="B3" s="2" t="s">
        <v>3</v>
      </c>
      <c r="C3" s="2" t="s">
        <v>3</v>
      </c>
      <c r="D3" s="2" t="s">
        <v>3</v>
      </c>
      <c r="E3" s="2" t="s">
        <v>3</v>
      </c>
      <c r="F3" s="2" t="s">
        <v>196</v>
      </c>
      <c r="G3" s="2" t="s">
        <v>3</v>
      </c>
      <c r="H3" s="2" t="s">
        <v>3</v>
      </c>
      <c r="I3" s="2" t="s">
        <v>3</v>
      </c>
    </row>
    <row r="4" ht="34" spans="1:9">
      <c r="A4" s="3" t="s">
        <v>197</v>
      </c>
      <c r="B4" s="20">
        <v>0.33</v>
      </c>
      <c r="C4" s="20">
        <v>0.5</v>
      </c>
      <c r="D4" s="20">
        <v>0.67</v>
      </c>
      <c r="E4" s="3" t="s">
        <v>198</v>
      </c>
      <c r="F4" s="3" t="s">
        <v>199</v>
      </c>
      <c r="G4" s="3" t="s">
        <v>200</v>
      </c>
      <c r="H4" s="3" t="s">
        <v>201</v>
      </c>
      <c r="I4" s="3" t="s">
        <v>202</v>
      </c>
    </row>
    <row r="5" spans="1:9">
      <c r="A5" s="8">
        <v>0.05</v>
      </c>
      <c r="B5" s="7">
        <f>'Revenue Model'!$D$13*(Assumptions!$B$16*(1+$A5)^3+Assumptions!$B$17*(1+$A5)^2+Assumptions!$B$18*(1+$A5)+Assumptions!$B$19)*(Assumptions!$B$23*($A5*(1+$A5)^Assumptions!$B$24/((1+$A5)^Assumptions!$B$24-1))+Assumptions!$B$25*($A5*(1+$A5)^Assumptions!$B$26/((1+$A5)^Assumptions!$B$26-1)))/B$4</f>
        <v>4332.18632711515</v>
      </c>
      <c r="C5" s="7">
        <f>'Revenue Model'!$D$13*(Assumptions!$B$16*(1+$A5)^3+Assumptions!$B$17*(1+$A5)^2+Assumptions!$B$18*(1+$A5)+Assumptions!$B$19)*(Assumptions!$B$23*($A5*(1+$A5)^Assumptions!$B$24/((1+$A5)^Assumptions!$B$24-1))+Assumptions!$B$25*($A5*(1+$A5)^Assumptions!$B$26/((1+$A5)^Assumptions!$B$26-1)))/C$4</f>
        <v>2859.242975896</v>
      </c>
      <c r="D5" s="7">
        <f>'Revenue Model'!$D$13*(Assumptions!$B$16*(1+$A5)^3+Assumptions!$B$17*(1+$A5)^2+Assumptions!$B$18*(1+$A5)+Assumptions!$B$19)*(Assumptions!$B$23*($A5*(1+$A5)^Assumptions!$B$24/((1+$A5)^Assumptions!$B$24-1))+Assumptions!$B$25*($A5*(1+$A5)^Assumptions!$B$26/((1+$A5)^Assumptions!$B$26-1)))/D$4</f>
        <v>2133.76341484776</v>
      </c>
      <c r="E5" t="s">
        <v>203</v>
      </c>
      <c r="F5" s="8">
        <v>0.5</v>
      </c>
      <c r="G5" s="21">
        <f>'Revenue Model'!$O$13</f>
        <v>5.0910716372219</v>
      </c>
      <c r="H5" s="21">
        <f t="shared" ref="H5:H15" si="0">G5/F5</f>
        <v>10.1821432744438</v>
      </c>
      <c r="I5" s="21">
        <f>Assumptions!$B$38</f>
        <v>6.07</v>
      </c>
    </row>
    <row r="6" spans="1:9">
      <c r="A6" s="8">
        <v>0.1</v>
      </c>
      <c r="B6" s="7">
        <f>'Revenue Model'!$D$13*(Assumptions!$B$16*(1+$A6)^3+Assumptions!$B$17*(1+$A6)^2+Assumptions!$B$18*(1+$A6)+Assumptions!$B$19)*(Assumptions!$B$23*($A6*(1+$A6)^Assumptions!$B$24/((1+$A6)^Assumptions!$B$24-1))+Assumptions!$B$25*($A6*(1+$A6)^Assumptions!$B$26/((1+$A6)^Assumptions!$B$26-1)))/B$4</f>
        <v>5375.86070893565</v>
      </c>
      <c r="C6" s="7">
        <f>'Revenue Model'!$D$13*(Assumptions!$B$16*(1+$A6)^3+Assumptions!$B$17*(1+$A6)^2+Assumptions!$B$18*(1+$A6)+Assumptions!$B$19)*(Assumptions!$B$23*($A6*(1+$A6)^Assumptions!$B$24/((1+$A6)^Assumptions!$B$24-1))+Assumptions!$B$25*($A6*(1+$A6)^Assumptions!$B$26/((1+$A6)^Assumptions!$B$26-1)))/C$4</f>
        <v>3548.06806789753</v>
      </c>
      <c r="D6" s="7">
        <f>'Revenue Model'!$D$13*(Assumptions!$B$16*(1+$A6)^3+Assumptions!$B$17*(1+$A6)^2+Assumptions!$B$18*(1+$A6)+Assumptions!$B$19)*(Assumptions!$B$23*($A6*(1+$A6)^Assumptions!$B$24/((1+$A6)^Assumptions!$B$24-1))+Assumptions!$B$25*($A6*(1+$A6)^Assumptions!$B$26/((1+$A6)^Assumptions!$B$26-1)))/D$4</f>
        <v>2647.81199096831</v>
      </c>
      <c r="E6" t="s">
        <v>96</v>
      </c>
      <c r="F6" s="8">
        <v>0.55</v>
      </c>
      <c r="G6" s="21">
        <f>'Revenue Model'!$O$13</f>
        <v>5.0910716372219</v>
      </c>
      <c r="H6" s="21">
        <f t="shared" si="0"/>
        <v>9.256493885858</v>
      </c>
      <c r="I6" s="21">
        <f>Assumptions!$B$38</f>
        <v>6.07</v>
      </c>
    </row>
    <row r="7" spans="1:9">
      <c r="A7" s="8">
        <v>0.15</v>
      </c>
      <c r="B7" s="7">
        <f>'Revenue Model'!$D$13*(Assumptions!$B$16*(1+$A7)^3+Assumptions!$B$17*(1+$A7)^2+Assumptions!$B$18*(1+$A7)+Assumptions!$B$19)*(Assumptions!$B$23*($A7*(1+$A7)^Assumptions!$B$24/((1+$A7)^Assumptions!$B$24-1))+Assumptions!$B$25*($A7*(1+$A7)^Assumptions!$B$26/((1+$A7)^Assumptions!$B$26-1)))/B$4</f>
        <v>6553.68984012644</v>
      </c>
      <c r="C7" s="7">
        <f>'Revenue Model'!$D$13*(Assumptions!$B$16*(1+$A7)^3+Assumptions!$B$17*(1+$A7)^2+Assumptions!$B$18*(1+$A7)+Assumptions!$B$19)*(Assumptions!$B$23*($A7*(1+$A7)^Assumptions!$B$24/((1+$A7)^Assumptions!$B$24-1))+Assumptions!$B$25*($A7*(1+$A7)^Assumptions!$B$26/((1+$A7)^Assumptions!$B$26-1)))/C$4</f>
        <v>4325.43529448345</v>
      </c>
      <c r="D7" s="7">
        <f>'Revenue Model'!$D$13*(Assumptions!$B$16*(1+$A7)^3+Assumptions!$B$17*(1+$A7)^2+Assumptions!$B$18*(1+$A7)+Assumptions!$B$19)*(Assumptions!$B$23*($A7*(1+$A7)^Assumptions!$B$24/((1+$A7)^Assumptions!$B$24-1))+Assumptions!$B$25*($A7*(1+$A7)^Assumptions!$B$26/((1+$A7)^Assumptions!$B$26-1)))/D$4</f>
        <v>3227.93678692795</v>
      </c>
      <c r="E7" t="s">
        <v>204</v>
      </c>
      <c r="F7" s="8">
        <v>0.6</v>
      </c>
      <c r="G7" s="21">
        <f>'Revenue Model'!$O$13</f>
        <v>5.0910716372219</v>
      </c>
      <c r="H7" s="21">
        <f t="shared" si="0"/>
        <v>8.48511939536984</v>
      </c>
      <c r="I7" s="21">
        <f>Assumptions!$B$38</f>
        <v>6.07</v>
      </c>
    </row>
    <row r="8" spans="1:9">
      <c r="F8" s="8">
        <v>0.65</v>
      </c>
      <c r="G8" s="21">
        <f>'Revenue Model'!$O$13</f>
        <v>5.0910716372219</v>
      </c>
      <c r="H8" s="21">
        <f t="shared" si="0"/>
        <v>7.83241790341831</v>
      </c>
      <c r="I8" s="21">
        <f>Assumptions!$B$38</f>
        <v>6.07</v>
      </c>
    </row>
    <row r="9" spans="1:9">
      <c r="A9" s="2" t="s">
        <v>205</v>
      </c>
      <c r="B9" s="2" t="s">
        <v>3</v>
      </c>
      <c r="C9" s="2" t="s">
        <v>3</v>
      </c>
      <c r="D9" s="2" t="s">
        <v>3</v>
      </c>
      <c r="E9" s="2" t="s">
        <v>3</v>
      </c>
      <c r="F9" s="8">
        <v>0.7</v>
      </c>
      <c r="G9" s="21">
        <f>'Revenue Model'!$O$13</f>
        <v>5.0910716372219</v>
      </c>
      <c r="H9" s="21">
        <f t="shared" si="0"/>
        <v>7.27295948174557</v>
      </c>
      <c r="I9" s="21">
        <f>Assumptions!$B$38</f>
        <v>6.07</v>
      </c>
    </row>
    <row r="10" ht="34" spans="1:9">
      <c r="A10" s="3" t="s">
        <v>197</v>
      </c>
      <c r="B10" s="3" t="s">
        <v>206</v>
      </c>
      <c r="C10" s="3" t="s">
        <v>207</v>
      </c>
      <c r="D10" s="3" t="s">
        <v>208</v>
      </c>
      <c r="F10" s="8">
        <v>0.75</v>
      </c>
      <c r="G10" s="21">
        <f>'Revenue Model'!$O$13</f>
        <v>5.0910716372219</v>
      </c>
      <c r="H10" s="21">
        <f t="shared" si="0"/>
        <v>6.78809551629587</v>
      </c>
      <c r="I10" s="21">
        <f>Assumptions!$B$38</f>
        <v>6.07</v>
      </c>
    </row>
    <row r="11" spans="1:9">
      <c r="A11" t="s">
        <v>209</v>
      </c>
      <c r="B11" s="5">
        <v>4333</v>
      </c>
      <c r="C11" s="5">
        <v>2860</v>
      </c>
      <c r="D11" s="5">
        <v>2134</v>
      </c>
      <c r="F11" s="8">
        <v>0.8</v>
      </c>
      <c r="G11" s="21">
        <f>'Revenue Model'!$O$13</f>
        <v>5.0910716372219</v>
      </c>
      <c r="H11" s="21">
        <f t="shared" si="0"/>
        <v>6.36383954652738</v>
      </c>
      <c r="I11" s="21">
        <f>Assumptions!$B$38</f>
        <v>6.07</v>
      </c>
    </row>
    <row r="12" spans="1:9">
      <c r="A12" t="s">
        <v>210</v>
      </c>
      <c r="B12" s="5">
        <v>5377</v>
      </c>
      <c r="C12" s="5">
        <v>3549</v>
      </c>
      <c r="D12" s="5">
        <v>2648</v>
      </c>
      <c r="F12" s="8">
        <v>0.85</v>
      </c>
      <c r="G12" s="21">
        <f>'Revenue Model'!$O$13</f>
        <v>5.0910716372219</v>
      </c>
      <c r="H12" s="21">
        <f t="shared" si="0"/>
        <v>5.98949604379047</v>
      </c>
      <c r="I12" s="21">
        <f>Assumptions!$B$38</f>
        <v>6.07</v>
      </c>
    </row>
    <row r="13" spans="1:9">
      <c r="A13" t="s">
        <v>211</v>
      </c>
      <c r="B13" s="5">
        <v>6554</v>
      </c>
      <c r="C13" s="5">
        <v>4326</v>
      </c>
      <c r="D13" s="5">
        <v>3228</v>
      </c>
      <c r="F13" s="8">
        <v>0.9</v>
      </c>
      <c r="G13" s="21">
        <f>'Revenue Model'!$O$13</f>
        <v>5.0910716372219</v>
      </c>
      <c r="H13" s="21">
        <f t="shared" si="0"/>
        <v>5.65674626357989</v>
      </c>
      <c r="I13" s="21">
        <f>Assumptions!$B$38</f>
        <v>6.07</v>
      </c>
    </row>
    <row r="14" spans="1:9">
      <c r="F14" s="8">
        <v>0.95</v>
      </c>
      <c r="G14" s="21">
        <f>'Revenue Model'!$O$13</f>
        <v>5.0910716372219</v>
      </c>
      <c r="H14" s="21">
        <f t="shared" si="0"/>
        <v>5.35902277602305</v>
      </c>
      <c r="I14" s="21">
        <f>Assumptions!$B$38</f>
        <v>6.07</v>
      </c>
    </row>
    <row r="15" spans="1:9">
      <c r="F15" s="8">
        <v>1</v>
      </c>
      <c r="G15" s="21">
        <f>'Revenue Model'!$O$13</f>
        <v>5.0910716372219</v>
      </c>
      <c r="H15" s="21">
        <f t="shared" si="0"/>
        <v>5.0910716372219</v>
      </c>
      <c r="I15" s="21">
        <f>Assumptions!$B$38</f>
        <v>6.07</v>
      </c>
    </row>
    <row r="16" spans="1:9">
      <c r="A16" s="2" t="s">
        <v>212</v>
      </c>
      <c r="B16" s="2" t="s">
        <v>3</v>
      </c>
      <c r="C16" s="2" t="s">
        <v>3</v>
      </c>
      <c r="D16" s="2" t="s">
        <v>3</v>
      </c>
    </row>
    <row r="17" ht="34" spans="1:9">
      <c r="A17" s="3" t="s">
        <v>213</v>
      </c>
      <c r="B17" s="3" t="s">
        <v>214</v>
      </c>
      <c r="C17" s="3" t="s">
        <v>215</v>
      </c>
      <c r="D17" s="3" t="s">
        <v>216</v>
      </c>
      <c r="F17" s="15" t="s">
        <v>217</v>
      </c>
      <c r="G17" s="15"/>
      <c r="H17" s="15"/>
      <c r="I17" s="15"/>
    </row>
    <row r="18" spans="1:9">
      <c r="A18">
        <v>3</v>
      </c>
      <c r="B18" s="22">
        <f>Assumptions!$B$23*(Assumptions!$B$27*(1+Assumptions!$B$27)^A18/((1+Assumptions!$B$27)^A18-1))+Assumptions!$B$25*(Assumptions!$B$27*(1+Assumptions!$B$27)^Assumptions!$B$26/((1+Assumptions!$B$27)^Assumptions!$B$26-1))</f>
        <v>0.311025146392471</v>
      </c>
      <c r="C18" s="7">
        <f>'Revenue Model'!$F$13*B18/Assumptions!$B$28</f>
        <v>5696.56116403283</v>
      </c>
      <c r="D18" s="8">
        <f>C18/(Assumptions!$B$7*1000)</f>
        <v>0.140721848868181</v>
      </c>
      <c r="F18" s="15"/>
      <c r="G18" s="15"/>
      <c r="H18" s="15"/>
      <c r="I18" s="15"/>
    </row>
    <row r="19" spans="1:9">
      <c r="A19">
        <v>4</v>
      </c>
      <c r="B19" s="22">
        <f>Assumptions!$B$23*(Assumptions!$B$27*(1+Assumptions!$B$27)^A19/((1+Assumptions!$B$27)^A19-1))+Assumptions!$B$25*(Assumptions!$B$27*(1+Assumptions!$B$27)^Assumptions!$B$26/((1+Assumptions!$B$27)^Assumptions!$B$26-1))</f>
        <v>0.252107226447361</v>
      </c>
      <c r="C19" s="7">
        <f>'Revenue Model'!$F$13*B19/Assumptions!$B$28</f>
        <v>4617.45377185628</v>
      </c>
      <c r="D19" s="8">
        <f>C19/(Assumptions!$B$7*1000)</f>
        <v>0.114064716085479</v>
      </c>
      <c r="F19" s="15"/>
      <c r="G19" s="15"/>
      <c r="H19" s="15"/>
      <c r="I19" s="15"/>
    </row>
    <row r="20" spans="1:9">
      <c r="A20">
        <v>5</v>
      </c>
      <c r="B20" s="22">
        <f>Assumptions!$B$23*(Assumptions!$B$27*(1+Assumptions!$B$27)^A20/((1+Assumptions!$B$27)^A20-1))+Assumptions!$B$25*(Assumptions!$B$27*(1+Assumptions!$B$27)^Assumptions!$B$26/((1+Assumptions!$B$27)^Assumptions!$B$26-1))</f>
        <v>0.216969366867641</v>
      </c>
      <c r="C20" s="7">
        <f>'Revenue Model'!$F$13*B20/Assumptions!$B$28</f>
        <v>3973.88855344629</v>
      </c>
      <c r="D20" s="8">
        <f>C20/(Assumptions!$B$7*1000)</f>
        <v>0.0981667585644201</v>
      </c>
      <c r="F20" s="15"/>
      <c r="G20" s="15"/>
      <c r="H20" s="15"/>
      <c r="I20" s="15"/>
    </row>
    <row r="21" spans="1:9">
      <c r="A21">
        <v>6</v>
      </c>
      <c r="B21" s="22">
        <f>Assumptions!$B$23*(Assumptions!$B$27*(1+Assumptions!$B$27)^A21/((1+Assumptions!$B$27)^A21-1))+Assumptions!$B$25*(Assumptions!$B$27*(1+Assumptions!$B$27)^Assumptions!$B$26/((1+Assumptions!$B$27)^Assumptions!$B$26-1))</f>
        <v>0.193720098573828</v>
      </c>
      <c r="C21" s="7">
        <f>'Revenue Model'!$F$13*B21/Assumptions!$B$28</f>
        <v>3548.06806789753</v>
      </c>
      <c r="D21" s="8">
        <f>C21/(Assumptions!$B$7*1000)</f>
        <v>0.0876477376521709</v>
      </c>
    </row>
    <row r="22" spans="1:9">
      <c r="A22">
        <v>7</v>
      </c>
      <c r="B22" s="22">
        <f>Assumptions!$B$23*(Assumptions!$B$27*(1+Assumptions!$B$27)^A22/((1+Assumptions!$B$27)^A22-1))+Assumptions!$B$25*(Assumptions!$B$27*(1+Assumptions!$B$27)^Assumptions!$B$26/((1+Assumptions!$B$27)^Assumptions!$B$26-1))</f>
        <v>0.17726281972362</v>
      </c>
      <c r="C22" s="7">
        <f>'Revenue Model'!$F$13*B22/Assumptions!$B$28</f>
        <v>3246.64583033524</v>
      </c>
      <c r="D22" s="8">
        <f>C22/(Assumptions!$B$7*1000)</f>
        <v>0.0802017200744853</v>
      </c>
    </row>
    <row r="23" spans="1:9">
      <c r="A23">
        <v>8</v>
      </c>
      <c r="B23" s="22">
        <f>Assumptions!$B$23*(Assumptions!$B$27*(1+Assumptions!$B$27)^A23/((1+Assumptions!$B$27)^A23-1))+Assumptions!$B$25*(Assumptions!$B$27*(1+Assumptions!$B$27)^Assumptions!$B$26/((1+Assumptions!$B$27)^Assumptions!$B$26-1))</f>
        <v>0.165049011878088</v>
      </c>
      <c r="C23" s="7">
        <f>'Revenue Model'!$F$13*B23/Assumptions!$B$28</f>
        <v>3022.94461438912</v>
      </c>
      <c r="D23" s="8">
        <f>C23/(Assumptions!$B$7*1000)</f>
        <v>0.0746756407793562</v>
      </c>
    </row>
    <row r="24" spans="1:9">
      <c r="A24">
        <v>9</v>
      </c>
      <c r="B24" s="22">
        <f>Assumptions!$B$23*(Assumptions!$B$27*(1+Assumptions!$B$27)^A24/((1+Assumptions!$B$27)^A24-1))+Assumptions!$B$25*(Assumptions!$B$27*(1+Assumptions!$B$27)^Assumptions!$B$26/((1+Assumptions!$B$27)^Assumptions!$B$26-1))</f>
        <v>0.155662646497768</v>
      </c>
      <c r="C24" s="7">
        <f>'Revenue Model'!$F$13*B24/Assumptions!$B$28</f>
        <v>2851.02923996637</v>
      </c>
      <c r="D24" s="8">
        <f>C24/(Assumptions!$B$7*1000)</f>
        <v>0.0704288243859186</v>
      </c>
    </row>
    <row r="25" spans="1:9">
      <c r="A25">
        <v>10</v>
      </c>
      <c r="B25" s="22">
        <f>Assumptions!$B$23*(Assumptions!$B$27*(1+Assumptions!$B$27)^A25/((1+Assumptions!$B$27)^A25-1))+Assumptions!$B$25*(Assumptions!$B$27*(1+Assumptions!$B$27)^Assumptions!$B$26/((1+Assumptions!$B$27)^Assumptions!$B$26-1))</f>
        <v>0.148253948447322</v>
      </c>
      <c r="C25" s="7">
        <f>'Revenue Model'!$F$13*B25/Assumptions!$B$28</f>
        <v>2715.33570495889</v>
      </c>
      <c r="D25" s="8">
        <f>C25/(Assumptions!$B$7*1000)</f>
        <v>0.0670767941740295</v>
      </c>
    </row>
  </sheetData>
  <mergeCells count="6">
    <mergeCell ref="A1:H1"/>
    <mergeCell ref="A3:E3"/>
    <mergeCell ref="F3:I3"/>
    <mergeCell ref="A9:E9"/>
    <mergeCell ref="A16:D16"/>
    <mergeCell ref="F17:I20"/>
  </mergeCells>
  <conditionalFormatting sqref="C18:C25">
    <cfRule type="dataBar" priority="2">
      <dataBar>
        <cfvo type="min"/>
        <cfvo type="max"/>
        <color rgb="FFA02B93"/>
      </dataBar>
      <extLst>
        <ext xmlns:x14="http://schemas.microsoft.com/office/spreadsheetml/2009/9/main" uri="{B025F937-C7B1-47D3-B67F-A62EFF666E3E}">
          <x14:id>{eeabdd81-c6d2-4eb9-86fe-081767748f7d}</x14:id>
        </ext>
      </extLst>
    </cfRule>
  </conditionalFormatting>
  <conditionalFormatting sqref="H5:H15">
    <cfRule type="colorScale" priority="3">
      <colorScale>
        <cfvo type="min"/>
        <cfvo type="percentile" val="50"/>
        <cfvo type="max"/>
        <color rgb="FFE2F0D9"/>
        <color rgb="FFFFF2CC"/>
        <color rgb="FFF4CCCC"/>
      </colorScale>
    </cfRule>
  </conditionalFormatting>
  <conditionalFormatting sqref="B5:D7">
    <cfRule type="colorScale" priority="1">
      <colorScale>
        <cfvo type="min"/>
        <cfvo type="percentile" val="50"/>
        <cfvo type="max"/>
        <color rgb="FFE2F0D9"/>
        <color rgb="FFFFF2CC"/>
        <color rgb="FFF4CCCC"/>
      </colorScale>
    </cfRule>
  </conditionalFormatting>
  <pageMargins left="0.7" right="0.7" top="0.75" bottom="0.75" header="0.3" footer="0.3"/>
  <headerFooter/>
  <extLst>
    <ext xmlns:x14="http://schemas.microsoft.com/office/spreadsheetml/2009/9/main" uri="{78C0D931-6437-407d-A8EE-F0AAD7539E65}">
      <x14:conditionalFormattings>
        <x14:conditionalFormatting xmlns:xm="http://schemas.microsoft.com/office/excel/2006/main">
          <x14:cfRule type="dataBar" id="{eeabdd81-c6d2-4eb9-86fe-081767748f7d}">
            <x14:dataBar minLength="10" maxLength="90" negativeBarColorSameAsPositive="1">
              <x14:cfvo type="min"/>
              <x14:cfvo type="max"/>
              <x14:axisColor indexed="65"/>
            </x14:dataBar>
          </x14:cfRule>
          <xm:sqref>C18:C25</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0"/>
  <sheetViews>
    <sheetView topLeftCell="A10" workbookViewId="0">
      <selection activeCell="A1" sqref="A1:H1"/>
    </sheetView>
  </sheetViews>
  <sheetFormatPr defaultColWidth="9" defaultRowHeight="16.8" outlineLevelCol="7"/>
  <cols>
    <col min="1" max="1" width="40" customWidth="1"/>
    <col min="2" max="2" width="18" customWidth="1"/>
    <col min="3" max="3" width="14" customWidth="1"/>
    <col min="4" max="4" width="24" customWidth="1"/>
    <col min="5" max="5" width="42" customWidth="1"/>
  </cols>
  <sheetData>
    <row r="1" ht="26" customHeight="1" spans="1:8">
      <c r="A1" s="1" t="s">
        <v>218</v>
      </c>
      <c r="B1" s="1"/>
      <c r="C1" s="1"/>
      <c r="D1" s="1"/>
      <c r="E1" s="1"/>
      <c r="F1" s="1"/>
      <c r="G1" s="1"/>
      <c r="H1" s="1"/>
    </row>
    <row r="3" spans="1:8">
      <c r="A3" s="2" t="s">
        <v>219</v>
      </c>
      <c r="B3" s="2" t="s">
        <v>3</v>
      </c>
      <c r="C3" s="2" t="s">
        <v>3</v>
      </c>
      <c r="D3" s="2" t="s">
        <v>3</v>
      </c>
      <c r="E3" s="2" t="s">
        <v>3</v>
      </c>
    </row>
    <row r="4" ht="17" spans="1:8">
      <c r="A4" s="3" t="s">
        <v>13</v>
      </c>
      <c r="B4" s="3" t="s">
        <v>14</v>
      </c>
      <c r="C4" s="3" t="s">
        <v>15</v>
      </c>
      <c r="D4" s="3" t="s">
        <v>220</v>
      </c>
      <c r="E4" s="3" t="s">
        <v>46</v>
      </c>
    </row>
    <row r="5" spans="1:8">
      <c r="A5" t="s">
        <v>221</v>
      </c>
      <c r="B5" s="5">
        <v>100</v>
      </c>
      <c r="C5" t="s">
        <v>19</v>
      </c>
      <c r="D5" t="s">
        <v>222</v>
      </c>
      <c r="E5" t="s">
        <v>223</v>
      </c>
    </row>
    <row r="6" spans="1:8">
      <c r="A6" t="s">
        <v>122</v>
      </c>
      <c r="B6" s="17">
        <f>Assumptions!$B$39</f>
        <v>2026</v>
      </c>
      <c r="C6" t="s">
        <v>59</v>
      </c>
      <c r="D6" t="s">
        <v>224</v>
      </c>
      <c r="E6" t="s">
        <v>225</v>
      </c>
    </row>
    <row r="7" spans="1:8">
      <c r="A7" t="s">
        <v>226</v>
      </c>
      <c r="B7" s="4">
        <f>SUM(B17:B26)</f>
        <v>0</v>
      </c>
      <c r="C7" t="s">
        <v>19</v>
      </c>
      <c r="D7" t="s">
        <v>227</v>
      </c>
      <c r="E7" t="s">
        <v>228</v>
      </c>
    </row>
    <row r="8" spans="1:8">
      <c r="A8" t="s">
        <v>18</v>
      </c>
      <c r="B8" s="4">
        <f>IF(B7&gt;0,B7,B5)</f>
        <v>100</v>
      </c>
      <c r="C8" t="s">
        <v>19</v>
      </c>
      <c r="D8" t="s">
        <v>229</v>
      </c>
      <c r="E8" t="s">
        <v>230</v>
      </c>
    </row>
    <row r="9" spans="1:8">
      <c r="A9" t="s">
        <v>231</v>
      </c>
      <c r="B9" s="4">
        <f>SUM(D17:D26)</f>
        <v>0</v>
      </c>
      <c r="C9" t="s">
        <v>19</v>
      </c>
      <c r="D9" t="s">
        <v>232</v>
      </c>
      <c r="E9" t="s">
        <v>228</v>
      </c>
    </row>
    <row r="10" spans="1:8">
      <c r="A10" t="s">
        <v>233</v>
      </c>
      <c r="B10" s="4">
        <f>'Revenue Model'!$J$13</f>
        <v>3548.06806789753</v>
      </c>
      <c r="C10" t="s">
        <v>19</v>
      </c>
      <c r="D10" t="s">
        <v>234</v>
      </c>
      <c r="E10" t="s">
        <v>235</v>
      </c>
    </row>
    <row r="11" spans="1:8">
      <c r="A11" t="s">
        <v>236</v>
      </c>
      <c r="B11" s="4">
        <f>B10-B8</f>
        <v>3448.06806789753</v>
      </c>
      <c r="C11" t="s">
        <v>19</v>
      </c>
      <c r="D11" t="s">
        <v>237</v>
      </c>
      <c r="E11" t="s">
        <v>238</v>
      </c>
    </row>
    <row r="12" spans="1:8">
      <c r="A12" t="s">
        <v>239</v>
      </c>
      <c r="B12" s="18">
        <f>(B10/B8)^(1/(Assumptions!$B$8-B6))-1</f>
        <v>0.812725276223618</v>
      </c>
      <c r="C12" t="s">
        <v>25</v>
      </c>
      <c r="D12" t="s">
        <v>240</v>
      </c>
      <c r="E12" t="s">
        <v>238</v>
      </c>
    </row>
    <row r="15" spans="1:8">
      <c r="A15" s="2" t="s">
        <v>241</v>
      </c>
      <c r="B15" s="2" t="s">
        <v>3</v>
      </c>
      <c r="C15" s="2" t="s">
        <v>3</v>
      </c>
      <c r="D15" s="2" t="s">
        <v>3</v>
      </c>
      <c r="E15" s="2" t="s">
        <v>3</v>
      </c>
    </row>
    <row r="16" ht="34" spans="1:8">
      <c r="A16" s="3" t="s">
        <v>242</v>
      </c>
      <c r="B16" s="3" t="s">
        <v>243</v>
      </c>
      <c r="C16" s="3" t="s">
        <v>244</v>
      </c>
      <c r="D16" s="3" t="s">
        <v>245</v>
      </c>
      <c r="E16" s="3" t="s">
        <v>246</v>
      </c>
    </row>
    <row r="17" ht="17" spans="1:5">
      <c r="A17" t="s">
        <v>247</v>
      </c>
      <c r="B17" s="5"/>
      <c r="C17" s="19">
        <v>2026</v>
      </c>
      <c r="D17" s="5"/>
      <c r="E17" s="9" t="s">
        <v>3</v>
      </c>
    </row>
    <row r="18" ht="17" spans="1:5">
      <c r="A18" t="s">
        <v>248</v>
      </c>
      <c r="B18" s="5"/>
      <c r="C18" s="19">
        <v>2026</v>
      </c>
      <c r="D18" s="5"/>
      <c r="E18" s="9" t="s">
        <v>3</v>
      </c>
    </row>
    <row r="19" ht="17" spans="1:5">
      <c r="A19" t="s">
        <v>249</v>
      </c>
      <c r="B19" s="5"/>
      <c r="C19" s="19">
        <v>2026</v>
      </c>
      <c r="D19" s="5"/>
      <c r="E19" s="9" t="s">
        <v>3</v>
      </c>
    </row>
    <row r="20" ht="17" spans="1:5">
      <c r="A20" t="s">
        <v>250</v>
      </c>
      <c r="B20" s="5"/>
      <c r="C20" s="19">
        <v>2026</v>
      </c>
      <c r="D20" s="5"/>
      <c r="E20" s="9" t="s">
        <v>3</v>
      </c>
    </row>
    <row r="21" ht="17" spans="1:5">
      <c r="A21" t="s">
        <v>251</v>
      </c>
      <c r="B21" s="5"/>
      <c r="C21" s="19">
        <v>2026</v>
      </c>
      <c r="D21" s="5"/>
      <c r="E21" s="9" t="s">
        <v>3</v>
      </c>
    </row>
    <row r="22" ht="17" spans="1:5">
      <c r="A22" t="s">
        <v>3</v>
      </c>
      <c r="B22" s="5"/>
      <c r="C22" s="19">
        <v>2026</v>
      </c>
      <c r="D22" s="5"/>
      <c r="E22" s="9" t="s">
        <v>3</v>
      </c>
    </row>
    <row r="23" ht="17" spans="1:5">
      <c r="A23" t="s">
        <v>3</v>
      </c>
      <c r="B23" s="5"/>
      <c r="C23" s="19">
        <v>2026</v>
      </c>
      <c r="D23" s="5"/>
      <c r="E23" s="9" t="s">
        <v>3</v>
      </c>
    </row>
    <row r="24" ht="17" spans="1:5">
      <c r="A24" t="s">
        <v>3</v>
      </c>
      <c r="B24" s="5"/>
      <c r="C24" s="19">
        <v>2026</v>
      </c>
      <c r="D24" s="5"/>
      <c r="E24" s="9" t="s">
        <v>3</v>
      </c>
    </row>
    <row r="25" ht="17" spans="1:5">
      <c r="A25" t="s">
        <v>3</v>
      </c>
      <c r="B25" s="5"/>
      <c r="C25" s="19">
        <v>2026</v>
      </c>
      <c r="D25" s="5"/>
      <c r="E25" s="9" t="s">
        <v>3</v>
      </c>
    </row>
    <row r="26" ht="17" spans="1:5">
      <c r="A26" t="s">
        <v>3</v>
      </c>
      <c r="B26" s="5"/>
      <c r="C26" s="19">
        <v>2026</v>
      </c>
      <c r="D26" s="5"/>
      <c r="E26" s="9" t="s">
        <v>3</v>
      </c>
    </row>
    <row r="28" spans="1:5">
      <c r="A28" s="15" t="s">
        <v>252</v>
      </c>
      <c r="B28" s="15"/>
      <c r="C28" s="15"/>
      <c r="D28" s="15"/>
      <c r="E28" s="15"/>
    </row>
    <row r="29" spans="1:5">
      <c r="A29" s="15"/>
      <c r="B29" s="15"/>
      <c r="C29" s="15"/>
      <c r="D29" s="15"/>
      <c r="E29" s="15"/>
    </row>
    <row r="30" spans="1:5">
      <c r="A30" s="15"/>
      <c r="B30" s="15"/>
      <c r="C30" s="15"/>
      <c r="D30" s="15"/>
      <c r="E30" s="15"/>
    </row>
  </sheetData>
  <mergeCells count="4">
    <mergeCell ref="A1:H1"/>
    <mergeCell ref="A3:E3"/>
    <mergeCell ref="A15:E15"/>
    <mergeCell ref="A28:E30"/>
  </mergeCells>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7"/>
  <sheetViews>
    <sheetView workbookViewId="0">
      <selection activeCell="A1" sqref="A1:H1"/>
    </sheetView>
  </sheetViews>
  <sheetFormatPr defaultColWidth="9" defaultRowHeight="16.8" outlineLevelCol="7"/>
  <cols>
    <col min="1" max="1" width="36" customWidth="1"/>
    <col min="2" max="2" width="78" customWidth="1"/>
    <col min="3" max="3" width="38" customWidth="1"/>
    <col min="4" max="4" width="48" customWidth="1"/>
  </cols>
  <sheetData>
    <row r="1" ht="26" customHeight="1" spans="1:8">
      <c r="A1" s="1" t="s">
        <v>253</v>
      </c>
      <c r="B1" s="1"/>
      <c r="C1" s="1"/>
      <c r="D1" s="1"/>
      <c r="E1" s="1"/>
      <c r="F1" s="1"/>
      <c r="G1" s="1"/>
      <c r="H1" s="1"/>
    </row>
    <row r="3" spans="1:8">
      <c r="A3" s="2" t="s">
        <v>254</v>
      </c>
      <c r="B3" s="2" t="s">
        <v>3</v>
      </c>
      <c r="C3" s="2" t="s">
        <v>3</v>
      </c>
      <c r="D3" s="2" t="s">
        <v>3</v>
      </c>
    </row>
    <row r="4" ht="17" spans="1:8">
      <c r="A4" s="3" t="s">
        <v>255</v>
      </c>
      <c r="B4" s="3" t="s">
        <v>256</v>
      </c>
      <c r="C4" s="3" t="s">
        <v>257</v>
      </c>
      <c r="D4" s="3" t="s">
        <v>198</v>
      </c>
    </row>
    <row r="5" ht="51" spans="1:8">
      <c r="A5" s="9" t="s">
        <v>258</v>
      </c>
      <c r="B5" s="16" t="s">
        <v>259</v>
      </c>
      <c r="C5" s="9" t="s">
        <v>260</v>
      </c>
      <c r="D5" s="9" t="s">
        <v>261</v>
      </c>
    </row>
    <row r="6" ht="17" spans="1:8">
      <c r="A6" s="9" t="s">
        <v>262</v>
      </c>
      <c r="B6" s="16" t="s">
        <v>263</v>
      </c>
      <c r="C6" s="9" t="s">
        <v>264</v>
      </c>
      <c r="D6" s="9" t="s">
        <v>265</v>
      </c>
    </row>
    <row r="7" ht="34" spans="1:8">
      <c r="A7" s="9" t="s">
        <v>266</v>
      </c>
      <c r="B7" s="16" t="s">
        <v>267</v>
      </c>
      <c r="C7" s="9" t="s">
        <v>268</v>
      </c>
      <c r="D7" s="9" t="s">
        <v>269</v>
      </c>
    </row>
    <row r="8" ht="17" spans="1:8">
      <c r="A8" s="9" t="s">
        <v>270</v>
      </c>
      <c r="B8" s="16" t="s">
        <v>271</v>
      </c>
      <c r="C8" s="9" t="s">
        <v>118</v>
      </c>
      <c r="D8" s="9" t="s">
        <v>272</v>
      </c>
    </row>
    <row r="10" spans="1:8">
      <c r="A10" s="2" t="s">
        <v>273</v>
      </c>
      <c r="B10" s="2" t="s">
        <v>3</v>
      </c>
      <c r="C10" s="2" t="s">
        <v>3</v>
      </c>
      <c r="D10" s="2" t="s">
        <v>3</v>
      </c>
    </row>
    <row r="11" ht="17" spans="1:8">
      <c r="A11" s="3" t="s">
        <v>274</v>
      </c>
      <c r="B11" s="3" t="s">
        <v>275</v>
      </c>
      <c r="C11" s="3" t="s">
        <v>276</v>
      </c>
      <c r="D11" s="3" t="s">
        <v>277</v>
      </c>
    </row>
    <row r="12" ht="34" spans="1:8">
      <c r="A12" s="9" t="s">
        <v>278</v>
      </c>
      <c r="B12" s="9" t="s">
        <v>279</v>
      </c>
      <c r="C12" s="9" t="s">
        <v>280</v>
      </c>
      <c r="D12" s="9" t="s">
        <v>281</v>
      </c>
    </row>
    <row r="13" ht="17" spans="1:8">
      <c r="A13" s="9" t="s">
        <v>282</v>
      </c>
      <c r="B13" s="9" t="s">
        <v>283</v>
      </c>
      <c r="C13" s="9" t="s">
        <v>235</v>
      </c>
      <c r="D13" s="9" t="s">
        <v>284</v>
      </c>
    </row>
    <row r="14" ht="17" spans="1:8">
      <c r="A14" s="9" t="s">
        <v>285</v>
      </c>
      <c r="B14" s="9" t="s">
        <v>286</v>
      </c>
      <c r="C14" s="9" t="s">
        <v>287</v>
      </c>
      <c r="D14" s="9" t="s">
        <v>288</v>
      </c>
    </row>
    <row r="15" ht="17" spans="1:8">
      <c r="A15" s="9" t="s">
        <v>289</v>
      </c>
      <c r="B15" s="9" t="s">
        <v>290</v>
      </c>
      <c r="C15" s="9" t="s">
        <v>42</v>
      </c>
      <c r="D15" s="9" t="s">
        <v>291</v>
      </c>
    </row>
    <row r="16" ht="17" spans="1:8">
      <c r="A16" s="9" t="s">
        <v>292</v>
      </c>
      <c r="B16" s="9" t="s">
        <v>293</v>
      </c>
      <c r="C16" s="9" t="s">
        <v>235</v>
      </c>
      <c r="D16" s="9" t="s">
        <v>294</v>
      </c>
    </row>
    <row r="17" ht="17" spans="1:4">
      <c r="A17" s="9" t="s">
        <v>295</v>
      </c>
      <c r="B17" s="9" t="s">
        <v>296</v>
      </c>
      <c r="C17" s="9" t="s">
        <v>297</v>
      </c>
      <c r="D17" s="9" t="s">
        <v>298</v>
      </c>
    </row>
    <row r="19" spans="1:4">
      <c r="A19" s="2" t="s">
        <v>299</v>
      </c>
      <c r="B19" s="2" t="s">
        <v>3</v>
      </c>
      <c r="C19" s="2" t="s">
        <v>3</v>
      </c>
      <c r="D19" s="2" t="s">
        <v>3</v>
      </c>
    </row>
    <row r="20" ht="17" spans="1:4">
      <c r="A20" s="3" t="s">
        <v>300</v>
      </c>
      <c r="B20" s="3" t="s">
        <v>301</v>
      </c>
      <c r="C20" s="3" t="s">
        <v>302</v>
      </c>
      <c r="D20" s="3" t="s">
        <v>303</v>
      </c>
    </row>
    <row r="21" ht="17" spans="1:4">
      <c r="A21" s="9" t="s">
        <v>304</v>
      </c>
      <c r="B21" s="9" t="s">
        <v>305</v>
      </c>
      <c r="C21" s="9" t="s">
        <v>306</v>
      </c>
      <c r="D21" s="9" t="s">
        <v>307</v>
      </c>
    </row>
    <row r="22" ht="17" spans="1:4">
      <c r="A22" s="9" t="s">
        <v>308</v>
      </c>
      <c r="B22" s="9" t="s">
        <v>309</v>
      </c>
      <c r="C22" s="9" t="s">
        <v>306</v>
      </c>
      <c r="D22" s="9" t="s">
        <v>310</v>
      </c>
    </row>
    <row r="23" ht="17" spans="1:4">
      <c r="A23" s="9" t="s">
        <v>311</v>
      </c>
      <c r="B23" s="9" t="s">
        <v>312</v>
      </c>
      <c r="C23" s="9" t="s">
        <v>306</v>
      </c>
      <c r="D23" s="9" t="s">
        <v>313</v>
      </c>
    </row>
    <row r="24" ht="17" spans="1:4">
      <c r="A24" s="9" t="s">
        <v>314</v>
      </c>
      <c r="B24" s="9" t="s">
        <v>315</v>
      </c>
      <c r="C24" s="9" t="s">
        <v>306</v>
      </c>
      <c r="D24" s="9" t="s">
        <v>316</v>
      </c>
    </row>
    <row r="25" ht="17" spans="1:4">
      <c r="A25" s="9" t="s">
        <v>317</v>
      </c>
      <c r="B25" s="9" t="s">
        <v>318</v>
      </c>
      <c r="C25" s="9" t="s">
        <v>306</v>
      </c>
      <c r="D25" s="9" t="s">
        <v>319</v>
      </c>
    </row>
    <row r="26" ht="17" spans="1:4">
      <c r="A26" s="9" t="s">
        <v>320</v>
      </c>
      <c r="B26" s="9" t="s">
        <v>321</v>
      </c>
      <c r="C26" s="9" t="s">
        <v>306</v>
      </c>
      <c r="D26" s="9" t="s">
        <v>322</v>
      </c>
    </row>
    <row r="27" ht="17" spans="1:4">
      <c r="A27" s="9" t="s">
        <v>323</v>
      </c>
      <c r="B27" s="9" t="s">
        <v>324</v>
      </c>
      <c r="C27" s="9" t="s">
        <v>325</v>
      </c>
      <c r="D27" s="9" t="s">
        <v>326</v>
      </c>
    </row>
  </sheetData>
  <mergeCells count="4">
    <mergeCell ref="A1:H1"/>
    <mergeCell ref="A3:D3"/>
    <mergeCell ref="A10:D10"/>
    <mergeCell ref="A19:D19"/>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
  <sheetViews>
    <sheetView workbookViewId="0">
      <selection activeCell="A1" sqref="A1:H1"/>
    </sheetView>
  </sheetViews>
  <sheetFormatPr defaultColWidth="9" defaultRowHeight="16.8" outlineLevelCol="7"/>
  <cols>
    <col min="1" max="1" width="12" customWidth="1"/>
    <col min="2" max="4" width="22" customWidth="1"/>
    <col min="5" max="5" width="17" customWidth="1"/>
    <col min="6" max="7" width="19" customWidth="1"/>
    <col min="8" max="8" width="44" customWidth="1"/>
  </cols>
  <sheetData>
    <row r="1" ht="26" customHeight="1" spans="1:8">
      <c r="A1" s="1" t="s">
        <v>327</v>
      </c>
      <c r="B1" s="1"/>
      <c r="C1" s="1"/>
      <c r="D1" s="1"/>
      <c r="E1" s="1"/>
      <c r="F1" s="1"/>
      <c r="G1" s="1"/>
      <c r="H1" s="1"/>
    </row>
    <row r="3" spans="1:8">
      <c r="A3" s="2" t="s">
        <v>328</v>
      </c>
      <c r="B3" s="2" t="s">
        <v>3</v>
      </c>
      <c r="C3" s="2" t="s">
        <v>3</v>
      </c>
      <c r="D3" s="2" t="s">
        <v>3</v>
      </c>
      <c r="E3" s="2" t="s">
        <v>3</v>
      </c>
      <c r="F3" s="2" t="s">
        <v>3</v>
      </c>
      <c r="G3" s="2" t="s">
        <v>3</v>
      </c>
      <c r="H3" s="2" t="s">
        <v>3</v>
      </c>
    </row>
    <row r="4" ht="34" spans="1:8">
      <c r="A4" s="3" t="s">
        <v>59</v>
      </c>
      <c r="B4" s="3" t="s">
        <v>329</v>
      </c>
      <c r="C4" s="3" t="s">
        <v>330</v>
      </c>
      <c r="D4" s="3" t="s">
        <v>331</v>
      </c>
      <c r="E4" s="3" t="s">
        <v>332</v>
      </c>
      <c r="F4" s="3" t="s">
        <v>333</v>
      </c>
      <c r="G4" s="3" t="s">
        <v>334</v>
      </c>
      <c r="H4" s="3" t="s">
        <v>303</v>
      </c>
    </row>
    <row r="5" ht="17" spans="1:8">
      <c r="A5">
        <v>2025</v>
      </c>
      <c r="B5" s="4">
        <f>Assumptions!$B$19*'Revenue Model'!$D$5+Assumptions!$B$18*'Revenue Model'!$D$6+Assumptions!$B$17*'Revenue Model'!$D$7+Assumptions!$B$16*'Revenue Model'!$D$8</f>
        <v>791.047149410998</v>
      </c>
      <c r="C5" s="5">
        <v>790</v>
      </c>
      <c r="D5" s="6">
        <f t="shared" ref="D5:D13" si="0">B5-C5</f>
        <v>1.0471494109978</v>
      </c>
      <c r="E5" s="7">
        <v>30762</v>
      </c>
      <c r="F5" s="8">
        <f t="shared" ref="F5:F13" si="1">C5/E5</f>
        <v>0.0256810350432352</v>
      </c>
      <c r="G5" s="8">
        <f t="shared" ref="G5:G13" si="2">B5/E5</f>
        <v>0.0257150753985761</v>
      </c>
      <c r="H5" s="9" t="s">
        <v>335</v>
      </c>
    </row>
    <row r="6" ht="17" spans="1:8">
      <c r="A6">
        <v>2026</v>
      </c>
      <c r="B6" s="4">
        <f>Assumptions!$B$19*'Revenue Model'!$D$6+Assumptions!$B$18*'Revenue Model'!$D$7+Assumptions!$B$17*'Revenue Model'!$D$8+Assumptions!$B$16*'Revenue Model'!$D$9</f>
        <v>1250.71235375965</v>
      </c>
      <c r="C6" s="5">
        <v>1253</v>
      </c>
      <c r="D6" s="6">
        <f t="shared" si="0"/>
        <v>-2.28764624035284</v>
      </c>
      <c r="E6" s="7">
        <v>31992</v>
      </c>
      <c r="F6" s="8">
        <f t="shared" si="1"/>
        <v>0.0391660415103776</v>
      </c>
      <c r="G6" s="8">
        <f t="shared" si="2"/>
        <v>0.0390945346886611</v>
      </c>
      <c r="H6" s="9" t="s">
        <v>335</v>
      </c>
    </row>
    <row r="7" ht="17" spans="1:8">
      <c r="A7">
        <v>2027</v>
      </c>
      <c r="B7" s="4">
        <f>Assumptions!$B$19*'Revenue Model'!$D$7+Assumptions!$B$18*'Revenue Model'!$D$8+Assumptions!$B$17*'Revenue Model'!$D$9+Assumptions!$B$16*'Revenue Model'!$D$10</f>
        <v>1597.6865028043</v>
      </c>
      <c r="C7" s="5">
        <v>1597</v>
      </c>
      <c r="D7" s="6">
        <f t="shared" si="0"/>
        <v>0.686502804297334</v>
      </c>
      <c r="E7" s="7">
        <v>33272</v>
      </c>
      <c r="F7" s="8">
        <f t="shared" si="1"/>
        <v>0.0479983169031017</v>
      </c>
      <c r="G7" s="8">
        <f t="shared" si="2"/>
        <v>0.0480189499520407</v>
      </c>
      <c r="H7" s="9" t="s">
        <v>335</v>
      </c>
    </row>
    <row r="8" ht="17" spans="1:8">
      <c r="A8">
        <v>2028</v>
      </c>
      <c r="B8" s="4">
        <f>Assumptions!$B$19*'Revenue Model'!$D$8+Assumptions!$B$18*'Revenue Model'!$D$9+Assumptions!$B$17*'Revenue Model'!$D$10+Assumptions!$B$16*'Revenue Model'!$D$11</f>
        <v>1715.35088532969</v>
      </c>
      <c r="C8" s="5">
        <v>1717</v>
      </c>
      <c r="D8" s="6">
        <f t="shared" si="0"/>
        <v>-1.64911467031493</v>
      </c>
      <c r="E8" s="7">
        <v>34603</v>
      </c>
      <c r="F8" s="8">
        <f t="shared" si="1"/>
        <v>0.0496199751466636</v>
      </c>
      <c r="G8" s="8">
        <f t="shared" si="2"/>
        <v>0.0495723170051639</v>
      </c>
      <c r="H8" s="9" t="s">
        <v>335</v>
      </c>
    </row>
    <row r="9" ht="17" spans="1:8">
      <c r="A9">
        <v>2029</v>
      </c>
      <c r="B9" s="4">
        <f>Assumptions!$B$19*'Revenue Model'!$D$9+Assumptions!$B$18*'Revenue Model'!$D$10+Assumptions!$B$17*'Revenue Model'!$D$11+Assumptions!$B$16*'Revenue Model'!$D$12</f>
        <v>978.716094263163</v>
      </c>
      <c r="C9" s="5">
        <v>978</v>
      </c>
      <c r="D9" s="6">
        <f t="shared" si="0"/>
        <v>0.716094263163427</v>
      </c>
      <c r="E9" s="7">
        <v>35987</v>
      </c>
      <c r="F9" s="8">
        <f t="shared" si="1"/>
        <v>0.0271764803956984</v>
      </c>
      <c r="G9" s="8">
        <f t="shared" si="2"/>
        <v>0.0271963790886477</v>
      </c>
      <c r="H9" s="9" t="s">
        <v>335</v>
      </c>
    </row>
    <row r="10" ht="34" spans="1:8">
      <c r="A10">
        <v>2030</v>
      </c>
      <c r="B10" s="4">
        <f>Assumptions!$B$19*'Revenue Model'!$D$10+Assumptions!$B$18*'Revenue Model'!$D$11+Assumptions!$B$17*'Revenue Model'!$D$12</f>
        <v>820.159474641678</v>
      </c>
      <c r="C10" s="5">
        <v>886</v>
      </c>
      <c r="D10" s="6">
        <f t="shared" si="0"/>
        <v>-65.8405253583223</v>
      </c>
      <c r="E10" s="7">
        <v>37427</v>
      </c>
      <c r="F10" s="8">
        <f t="shared" si="1"/>
        <v>0.0236727496192588</v>
      </c>
      <c r="G10" s="8">
        <f t="shared" si="2"/>
        <v>0.0219135777551414</v>
      </c>
      <c r="H10" s="9" t="s">
        <v>336</v>
      </c>
    </row>
    <row r="11" ht="34" spans="1:8">
      <c r="A11">
        <v>2031</v>
      </c>
      <c r="B11" s="4">
        <f>Assumptions!$B$19*'Revenue Model'!$D$11+Assumptions!$B$18*'Revenue Model'!$D$12</f>
        <v>730.056771012468</v>
      </c>
      <c r="C11" s="5">
        <v>863</v>
      </c>
      <c r="D11" s="6">
        <f t="shared" si="0"/>
        <v>-132.943228987532</v>
      </c>
      <c r="E11" s="7">
        <v>38924</v>
      </c>
      <c r="F11" s="8">
        <f t="shared" si="1"/>
        <v>0.0221714109546809</v>
      </c>
      <c r="G11" s="8">
        <f t="shared" si="2"/>
        <v>0.0187559544500172</v>
      </c>
      <c r="H11" s="9" t="s">
        <v>336</v>
      </c>
    </row>
    <row r="12" ht="34" spans="1:8">
      <c r="A12">
        <v>2032</v>
      </c>
      <c r="B12" s="4">
        <f>Assumptions!$B$19*'Revenue Model'!$D$12</f>
        <v>522.807232568925</v>
      </c>
      <c r="C12" s="5">
        <v>889</v>
      </c>
      <c r="D12" s="6">
        <f t="shared" si="0"/>
        <v>-366.192767431075</v>
      </c>
      <c r="E12" s="7">
        <v>40481</v>
      </c>
      <c r="F12" s="8">
        <f t="shared" si="1"/>
        <v>0.0219609199377486</v>
      </c>
      <c r="G12" s="8">
        <f t="shared" si="2"/>
        <v>0.0129148793895636</v>
      </c>
      <c r="H12" s="9" t="s">
        <v>336</v>
      </c>
    </row>
    <row r="13" spans="1:8">
      <c r="A13" s="10" t="s">
        <v>337</v>
      </c>
      <c r="B13" s="11">
        <f>SUM(B5:B12)</f>
        <v>8406.53646379086</v>
      </c>
      <c r="C13" s="12">
        <f>SUM(C5:C12)</f>
        <v>8973</v>
      </c>
      <c r="D13" s="13">
        <f t="shared" si="0"/>
        <v>-566.463536209138</v>
      </c>
      <c r="E13" s="12">
        <f>SUM(E5:E12)</f>
        <v>283448</v>
      </c>
      <c r="F13" s="14">
        <f t="shared" si="1"/>
        <v>0.0316566001524089</v>
      </c>
      <c r="G13" s="14">
        <f t="shared" si="2"/>
        <v>0.0296581258777302</v>
      </c>
      <c r="H13" s="10"/>
    </row>
    <row r="15" spans="1:8">
      <c r="A15" s="15" t="s">
        <v>338</v>
      </c>
      <c r="B15" s="15"/>
      <c r="C15" s="15"/>
      <c r="D15" s="15"/>
      <c r="E15" s="15"/>
      <c r="F15" s="15"/>
      <c r="G15" s="15"/>
      <c r="H15" s="15"/>
    </row>
    <row r="16" spans="1:8">
      <c r="A16" s="15"/>
      <c r="B16" s="15"/>
      <c r="C16" s="15"/>
      <c r="D16" s="15"/>
      <c r="E16" s="15"/>
      <c r="F16" s="15"/>
      <c r="G16" s="15"/>
      <c r="H16" s="15"/>
    </row>
    <row r="17" spans="1:8">
      <c r="A17" s="15"/>
      <c r="B17" s="15"/>
      <c r="C17" s="15"/>
      <c r="D17" s="15"/>
      <c r="E17" s="15"/>
      <c r="F17" s="15"/>
      <c r="G17" s="15"/>
      <c r="H17" s="15"/>
    </row>
    <row r="18" spans="1:8">
      <c r="A18" s="15"/>
      <c r="B18" s="15"/>
      <c r="C18" s="15"/>
      <c r="D18" s="15"/>
      <c r="E18" s="15"/>
      <c r="F18" s="15"/>
      <c r="G18" s="15"/>
      <c r="H18" s="15"/>
    </row>
  </sheetData>
  <mergeCells count="3">
    <mergeCell ref="A1:H1"/>
    <mergeCell ref="A3:H3"/>
    <mergeCell ref="A15:H18"/>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Docs</Application>
  <HeadingPairs>
    <vt:vector size="2" baseType="variant">
      <vt:variant>
        <vt:lpstr>工作表</vt:lpstr>
      </vt:variant>
      <vt:variant>
        <vt:i4>8</vt:i4>
      </vt:variant>
    </vt:vector>
  </HeadingPairs>
  <TitlesOfParts>
    <vt:vector size="8" baseType="lpstr">
      <vt:lpstr>Dashboard</vt:lpstr>
      <vt:lpstr>Assumptions</vt:lpstr>
      <vt:lpstr>Capacity Buildout</vt:lpstr>
      <vt:lpstr>Revenue Model</vt:lpstr>
      <vt:lpstr>Sensitivity</vt:lpstr>
      <vt:lpstr>Model Firms</vt:lpstr>
      <vt:lpstr>Sources</vt:lpstr>
      <vt:lpstr>Investment Schedule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WPS_1787673969</cp:lastModifiedBy>
  <dcterms:created xsi:type="dcterms:W3CDTF">2026-10-07T13:49:01Z</dcterms:created>
  <dcterms:modified xsi:type="dcterms:W3CDTF">2026-10-07T13:49:43Z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3AFC1B72D8A202303786C66AAD8C0858_42</vt:lpwstr>
  </property>
  <property fmtid="{D5CDD505-2E9C-101B-9397-08002B2CF9AE}" pid="3" name="KSOProductBuildVer">
    <vt:lpwstr>1033-12.1.26050.26050</vt:lpwstr>
  </property>
  <property fmtid="{D5CDD505-2E9C-101B-9397-08002B2CF9AE}" pid="4" name="CalculationRule">
    <vt:i4>0</vt:i4>
  </property>
</Properties>
</file>