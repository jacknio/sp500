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f90b2d42447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Guide" sheetId="1" r:id="R61452d61e8a5483f"/>
    <x:sheet xmlns:r="http://schemas.openxmlformats.org/officeDocument/2006/relationships" name="01 Dashboard" sheetId="2" r:id="Reb2091efca9b497f"/>
    <x:sheet xmlns:r="http://schemas.openxmlformats.org/officeDocument/2006/relationships" name="02 Assumptions" sheetId="3" r:id="R7d800f8041924767"/>
    <x:sheet xmlns:r="http://schemas.openxmlformats.org/officeDocument/2006/relationships" name="Data BLS" sheetId="4" r:id="R4062f3da50d64f08"/>
    <x:sheet xmlns:r="http://schemas.openxmlformats.org/officeDocument/2006/relationships" name="Data Census" sheetId="5" r:id="R47a0240079fa4976"/>
    <x:sheet xmlns:r="http://schemas.openxmlformats.org/officeDocument/2006/relationships" name="Data Ramp Paid" sheetId="6" r:id="R8880903df3ff4858"/>
    <x:sheet xmlns:r="http://schemas.openxmlformats.org/officeDocument/2006/relationships" name="Data Ramp Spend" sheetId="7" r:id="Rb6359bfc6ae64d24"/>
    <x:sheet xmlns:r="http://schemas.openxmlformats.org/officeDocument/2006/relationships" name="Data BEA" sheetId="8" r:id="R5c3b827b400643b9"/>
    <x:sheet xmlns:r="http://schemas.openxmlformats.org/officeDocument/2006/relationships" name="Data OECD Mapping" sheetId="9" r:id="Rf8f7876da5a64b02"/>
    <x:sheet xmlns:r="http://schemas.openxmlformats.org/officeDocument/2006/relationships" name="Data OECD Raw" sheetId="10" r:id="R96eb18525b9b40c0"/>
    <x:sheet xmlns:r="http://schemas.openxmlformats.org/officeDocument/2006/relationships" name="Data Stanford" sheetId="11" r:id="R8b2f5147bc4d4d0d"/>
    <x:sheet xmlns:r="http://schemas.openxmlformats.org/officeDocument/2006/relationships" name="Data Research" sheetId="12" r:id="R4f62e455783d4693"/>
    <x:sheet xmlns:r="http://schemas.openxmlformats.org/officeDocument/2006/relationships" name="03 Sector Inputs" sheetId="13" r:id="Rd876b71a35144380"/>
    <x:sheet xmlns:r="http://schemas.openxmlformats.org/officeDocument/2006/relationships" name="04 Enterprise Annual" sheetId="14" r:id="Rd8e9a99d2fec420a"/>
    <x:sheet xmlns:r="http://schemas.openxmlformats.org/officeDocument/2006/relationships" name="05 Consumer Annual" sheetId="15" r:id="R9d64a5e60e3b49d4"/>
    <x:sheet xmlns:r="http://schemas.openxmlformats.org/officeDocument/2006/relationships" name="06 Revenue Summary" sheetId="16" r:id="R415554306aa04974"/>
    <x:sheet xmlns:r="http://schemas.openxmlformats.org/officeDocument/2006/relationships" name="07 Flywheel Bridge" sheetId="17" r:id="Rafd863304d30423d"/>
    <x:sheet xmlns:r="http://schemas.openxmlformats.org/officeDocument/2006/relationships" name="08 Token Sensitivity" sheetId="18" r:id="R4e2c912ce35e4b84"/>
    <x:sheet xmlns:r="http://schemas.openxmlformats.org/officeDocument/2006/relationships" name="09 Spend Sensitivity" sheetId="19" r:id="Rd005b97404a6441d"/>
    <x:sheet xmlns:r="http://schemas.openxmlformats.org/officeDocument/2006/relationships" name="10 Coverage QA" sheetId="20" r:id="Ra68de6516cc34ceb"/>
    <x:sheet xmlns:r="http://schemas.openxmlformats.org/officeDocument/2006/relationships" name="11 Scenario Comparison" sheetId="21" r:id="Recefa55661094b7a"/>
    <x:sheet xmlns:r="http://schemas.openxmlformats.org/officeDocument/2006/relationships" name="Data Token Pricing" sheetId="22" r:id="Rdc7c5e68f87e43a2"/>
    <x:sheet xmlns:r="http://schemas.openxmlformats.org/officeDocument/2006/relationships" name="12 Revenue Reality Check" sheetId="23" r:id="Rc6d3530641f640e9"/>
    <x:sheet xmlns:r="http://schemas.openxmlformats.org/officeDocument/2006/relationships" name="13 Spend Calibration" sheetId="24" r:id="R6233bf3b06f1404b"/>
    <x:sheet xmlns:r="http://schemas.openxmlformats.org/officeDocument/2006/relationships" name="14 Rebuild Walkthrough" sheetId="25" r:id="Rdd03cc9e15e140e6"/>
    <x:sheet xmlns:r="http://schemas.openxmlformats.org/officeDocument/2006/relationships" name="15 Source Register" sheetId="26" r:id="R0a96b92dbc4c4f54"/>
    <x:sheet xmlns:r="http://schemas.openxmlformats.org/officeDocument/2006/relationships" name="16 Recalibration" sheetId="27" r:id="R30b7ff7e9a5f43ba"/>
    <x:sheet xmlns:r="http://schemas.openxmlformats.org/officeDocument/2006/relationships" name="17 Simple Sensitivity" sheetId="28" r:id="R338582d70996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9">
    <x:numFmt numFmtId="200" formatCode="0.0%"/>
    <x:numFmt numFmtId="201" formatCode="$0.00"/>
    <x:numFmt numFmtId="202" formatCode="0.00%"/>
    <x:numFmt numFmtId="203" formatCode="$0.0"/>
    <x:numFmt numFmtId="204" formatCode="#,##0.00;[Red](#,##0.00);-"/>
    <x:numFmt numFmtId="205" formatCode="#,##0.0"/>
    <x:numFmt numFmtId="206" formatCode="#,##0.00"/>
    <x:numFmt numFmtId="207" formatCode="0%"/>
    <x:numFmt numFmtId="208" formatCode="0.0&quot;x&quot;"/>
    <x:numFmt numFmtId="209" formatCode="#,##0.000;[Red](#,##0.000);-"/>
    <x:numFmt numFmtId="210" formatCode="$0.0&quot; B&quot;;[Red]($0.0&quot; B&quot;);-"/>
    <x:numFmt numFmtId="211" formatCode="0.0;[Red](0.0);-"/>
    <x:numFmt numFmtId="212" formatCode="0.00x"/>
    <x:numFmt numFmtId="213" formatCode="$#,##0.00;[Red]($#,##0.00);-"/>
    <x:numFmt numFmtId="214" formatCode="0.00&quot;x&quot;"/>
    <x:numFmt numFmtId="215" formatCode="$#,##0.00"/>
    <x:numFmt numFmtId="216" formatCode="#,##0.0;[Red](#,##0.0);-"/>
    <x:numFmt numFmtId="217" formatCode="0.0%;[Red](0.0%);-"/>
    <x:numFmt numFmtId="218" formatCode="0.00&quot;x&quot;;[Red](0.00&quot;x&quot;);-"/>
  </x:numFmts>
  <x:fonts count="3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0"/>
      <x:name val="Carlito"/>
    </x:font>
    <x:font>
      <x:sz val="10"/>
      <x:color rgb="FF0000FF"/>
      <x:name val="Carlito"/>
    </x:font>
    <x:font>
      <x:sz val="11"/>
      <x:color rgb="FF0000FF"/>
      <x:name val="Carlito"/>
    </x:font>
    <x:font>
      <x:sz val="11"/>
      <x:color rgb="FF1C2F44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22"/>
      <x:name val="Carlito"/>
    </x:font>
    <x:font>
      <x:b/>
      <x:sz val="11"/>
      <x:color rgb="FF087F8C"/>
      <x:name val="Carlito"/>
    </x:font>
    <x:font>
      <x:b/>
      <x:sz val="14"/>
      <x:color rgb="FFFFFFFF"/>
      <x:name val="Carlito"/>
    </x:font>
    <x:font>
      <x:b/>
      <x:sz val="11"/>
      <x:color rgb="FF1D4ED8"/>
      <x:name val="Carlito"/>
    </x:font>
    <x:font>
      <x:b/>
      <x:sz val="11"/>
      <x:color rgb="FF8A2B16"/>
      <x:name val="Carlito"/>
    </x:font>
    <x:font>
      <x:sz val="11"/>
      <x:color rgb="FF8A2B16"/>
      <x:name val="Carlito"/>
    </x:font>
    <x:font>
      <x:b/>
      <x:sz val="11"/>
      <x:color rgb="FF92400E"/>
      <x:name val="Carlito"/>
    </x:font>
    <x:font>
      <x:b/>
      <x:sz val="16"/>
      <x:color rgb="FFFFFFFF"/>
      <x:name val="Aptos Display"/>
    </x:font>
    <x:font>
      <x:sz val="10"/>
      <x:color rgb="FF475569"/>
      <x:name val="Aptos"/>
    </x:font>
    <x:font>
      <x:b/>
      <x:sz val="10"/>
      <x:color rgb="FFFFFFFF"/>
      <x:name val="Aptos"/>
    </x:font>
    <x:font>
      <x:sz val="11"/>
      <x:color rgb="FF2563EB"/>
      <x:name val="Carlito"/>
    </x:font>
    <x:font>
      <x:sz val="11"/>
      <x:color rgb="FF000000"/>
      <x:name val="Carlito"/>
    </x:font>
    <x:font>
      <x:b/>
      <x:sz val="12"/>
      <x:color rgb="FF0F172A"/>
      <x:name val="Aptos"/>
    </x:font>
    <x:font>
      <x:b/>
      <x:sz val="11"/>
      <x:color rgb="FF0000FF"/>
      <x:name val="Carlito"/>
    </x:font>
    <x:font>
      <x:b/>
      <x:sz val="11"/>
      <x:color rgb="FF064E3B"/>
      <x:name val="Carlito"/>
    </x:font>
    <x:font>
      <x:sz val="10"/>
      <x:color rgb="FF1A5C8C"/>
      <x:name val="Carlito"/>
    </x:font>
    <x:font>
      <x:sz val="10"/>
      <x:color rgb="FF526176"/>
      <x:name val="Carlito"/>
    </x:font>
    <x:font>
      <x:b/>
      <x:sz val="11"/>
      <x:color rgb="FF774500"/>
      <x:name val="Carlito"/>
    </x:font>
    <x:font>
      <x:sz val="10"/>
      <x:color rgb="FF774500"/>
      <x:name val="Carlito"/>
    </x:font>
    <x:font>
      <x:b/>
      <x:sz val="10"/>
      <x:color rgb="FFFFFFFF"/>
      <x:name val="Carlito"/>
    </x:font>
    <x:font>
      <x:sz val="9"/>
      <x:color rgb="FF126F9B"/>
      <x:name val="Carlito"/>
    </x:font>
    <x:font>
      <x:b/>
      <x:sz val="11"/>
      <x:color rgb="FF244363"/>
      <x:name val="Carlito"/>
    </x:font>
    <x:font>
      <x:sz val="11"/>
      <x:color rgb="FF526176"/>
      <x:name val="Carlito"/>
    </x:font>
    <x:font>
      <x:b/>
      <x:sz val="10"/>
      <x:color rgb="FF244363"/>
      <x:name val="Carlito"/>
    </x:font>
    <x:font>
      <x:b/>
      <x:sz val="11"/>
      <x:color rgb="FF126A51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13243B"/>
      </x:patternFill>
    </x:fill>
    <x:fill>
      <x:patternFill patternType="solid">
        <x:fgColor rgb="FF087F8C"/>
      </x:patternFill>
    </x:fill>
    <x:fill>
      <x:patternFill patternType="solid">
        <x:fgColor rgb="FFFFF2B3"/>
      </x:patternFill>
    </x:fill>
    <x:fill>
      <x:patternFill patternType="solid">
        <x:fgColor rgb="FFE9F1F7"/>
      </x:patternFill>
    </x:fill>
    <x:fill>
      <x:patternFill patternType="solid">
        <x:fgColor rgb="FF16324F"/>
      </x:patternFill>
    </x:fill>
    <x:fill>
      <x:patternFill patternType="solid">
        <x:fgColor rgb="FFFFF2C2"/>
      </x:patternFill>
    </x:fill>
    <x:fill>
      <x:patternFill patternType="solid">
        <x:fgColor rgb="FF0E7490"/>
      </x:patternFill>
    </x:fill>
    <x:fill>
      <x:patternFill patternType="solid">
        <x:fgColor rgb="FFFFF1B5"/>
      </x:patternFill>
    </x:fill>
    <x:fill>
      <x:patternFill patternType="solid">
        <x:fgColor rgb="FF14263D"/>
      </x:patternFill>
    </x:fill>
    <x:fill>
      <x:patternFill patternType="solid">
        <x:fgColor rgb="FF0E7490"/>
      </x:patternFill>
    </x:fill>
    <x:fill>
      <x:patternFill patternType="solid">
        <x:fgColor rgb="FFFFF2B8"/>
      </x:patternFill>
    </x:fill>
    <x:fill>
      <x:patternFill patternType="solid">
        <x:fgColor rgb="FFFDE68A"/>
      </x:patternFill>
    </x:fill>
    <x:fill>
      <x:patternFill patternType="solid">
        <x:fgColor rgb="FF14263E"/>
      </x:patternFill>
    </x:fill>
    <x:fill>
      <x:patternFill patternType="solid">
        <x:fgColor rgb="FFF1F5F9"/>
      </x:patternFill>
    </x:fill>
    <x:fill>
      <x:patternFill patternType="solid">
        <x:fgColor rgb="FF18344F"/>
      </x:patternFill>
    </x:fill>
    <x:fill>
      <x:patternFill patternType="solid">
        <x:fgColor rgb="FFDFEBF6"/>
      </x:patternFill>
    </x:fill>
    <x:fill>
      <x:patternFill patternType="solid">
        <x:fgColor rgb="FFDBEAFE"/>
      </x:patternFill>
    </x:fill>
    <x:fill>
      <x:patternFill patternType="solid">
        <x:fgColor rgb="FFFDE68A"/>
      </x:patternFill>
    </x:fill>
    <x:fill>
      <x:patternFill patternType="solid">
        <x:fgColor rgb="FFE2E8F0"/>
      </x:patternFill>
    </x:fill>
    <x:fill>
      <x:patternFill patternType="solid">
        <x:fgColor rgb="FFD5F2E3"/>
      </x:patternFill>
    </x:fill>
    <x:fill>
      <x:patternFill patternType="solid">
        <x:fgColor rgb="FFFFF2B1"/>
      </x:patternFill>
    </x:fill>
    <x:fill>
      <x:patternFill patternType="solid">
        <x:fgColor rgb="FFF8FAFC"/>
      </x:patternFill>
    </x:fill>
    <x:fill>
      <x:patternFill patternType="solid">
        <x:fgColor rgb="FF244363"/>
      </x:patternFill>
    </x:fill>
    <x:fill>
      <x:patternFill patternType="solid">
        <x:fgColor rgb="FFEAF3F7"/>
      </x:patternFill>
    </x:fill>
    <x:fill>
      <x:patternFill patternType="solid">
        <x:fgColor rgb="FF087F8C"/>
      </x:patternFill>
    </x:fill>
    <x:fill>
      <x:patternFill patternType="solid">
        <x:fgColor rgb="FFFFF1CF"/>
      </x:patternFill>
    </x:fill>
    <x:fill>
      <x:patternFill patternType="solid">
        <x:fgColor rgb="FF17263C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2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4" fontId="0" fillId="5" borderId="0" xfId="0" applyNumberFormat="1" applyFont="1" applyFill="1" applyBorder="1"/>
    <x:xf numFmtId="204" fontId="0" fillId="5" borderId="1" xfId="0" applyNumberFormat="1" applyFont="1" applyFill="1" applyBorder="1"/>
    <x:xf numFmtId="204" fontId="9" fillId="5" borderId="0" xfId="0" applyNumberFormat="1" applyFont="1" applyFill="1" applyBorder="1"/>
    <x:xf numFmtId="204" fontId="9" fillId="5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8" fontId="2" fillId="3" borderId="0" xfId="0" applyNumberFormat="1" applyFont="1" applyFill="1" applyBorder="1"/>
    <x:xf numFmtId="208" fontId="2" fillId="3" borderId="1" xfId="0" applyNumberFormat="1" applyFont="1" applyFill="1" applyBorder="1"/>
    <x:xf numFmtId="207" fontId="1" fillId="3" borderId="0" xfId="0" applyNumberFormat="1" applyFont="1" applyFill="1" applyBorder="1"/>
    <x:xf numFmtId="207" fontId="1" fillId="3" borderId="1" xfId="0" applyNumberFormat="1" applyFont="1" applyFill="1" applyBorder="1"/>
    <x:xf numFmtId="209" fontId="0" fillId="0" borderId="0" xfId="0" applyNumberFormat="1" applyFont="1" applyFill="1" applyBorder="1"/>
    <x:xf numFmtId="209" fontId="0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200" fontId="10" fillId="0" borderId="0" xfId="0" applyNumberFormat="1" applyFont="1" applyFill="1" applyBorder="1"/>
    <x:xf numFmtId="200" fontId="10" fillId="0" borderId="1" xfId="0" applyNumberFormat="1" applyFont="1" applyFill="1" applyBorder="1"/>
    <x:xf numFmtId="200" fontId="10" fillId="5" borderId="0" xfId="0" applyNumberFormat="1" applyFont="1" applyFill="1" applyBorder="1"/>
    <x:xf numFmtId="200" fontId="10" fillId="5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5" fontId="10" fillId="5" borderId="0" xfId="0" applyNumberFormat="1" applyFont="1" applyFill="1" applyBorder="1"/>
    <x:xf numFmtId="205" fontId="10" fillId="5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200" fontId="6" fillId="9" borderId="0" xfId="0" applyNumberFormat="1" applyFont="1" applyFill="1" applyBorder="1"/>
    <x:xf numFmtId="210" fontId="0" fillId="0" borderId="0" xfId="0" applyNumberFormat="1" applyFont="1" applyFill="1" applyBorder="1"/>
    <x:xf numFmtId="211" fontId="0" fillId="0" borderId="0" xfId="0" applyNumberFormat="1" applyFont="1" applyFill="1" applyBorder="1"/>
    <x:xf numFmtId="211" fontId="2" fillId="6" borderId="0" xfId="0" applyNumberFormat="1" applyFont="1" applyFill="1" applyBorder="1"/>
    <x:xf numFmtId="212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wrapText="1"/>
    </x:xf>
    <x:xf numFmtId="202" fontId="13" fillId="1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13" fontId="0" fillId="0" borderId="0" xfId="0" applyNumberFormat="1" applyFont="1" applyFill="1" applyBorder="1" applyAlignment="1">
      <x:alignment wrapText="1"/>
    </x:xf>
    <x:xf numFmtId="214" fontId="0" fillId="0" borderId="0" xfId="0" applyNumberFormat="1" applyFont="1" applyFill="1" applyBorder="1" applyAlignment="1">
      <x:alignment wrapText="1"/>
    </x:xf>
    <x:xf numFmtId="215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14" fillId="13" borderId="0" xfId="0" applyNumberFormat="1" applyFont="1" applyFill="1" applyBorder="1" applyAlignment="1">
      <x:alignment wrapText="1"/>
    </x:xf>
    <x:xf numFmtId="0" fontId="15" fillId="13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210" fontId="0" fillId="0" borderId="0" xfId="0" applyNumberFormat="1" applyFont="1" applyFill="1" applyBorder="1" applyAlignment="1">
      <x:alignment wrapText="1"/>
    </x:xf>
    <x:xf numFmtId="200" fontId="6" fillId="9" borderId="0" xfId="0" applyNumberFormat="1" applyFont="1" applyFill="1" applyBorder="1" applyAlignment="1">
      <x:alignment wrapText="1"/>
    </x:xf>
    <x:xf numFmtId="211" fontId="0" fillId="0" borderId="0" xfId="0" applyNumberFormat="1" applyFont="1" applyFill="1" applyBorder="1" applyAlignment="1">
      <x:alignment wrapText="1"/>
    </x:xf>
    <x:xf numFmtId="211" fontId="2" fillId="6" borderId="0" xfId="0" applyNumberFormat="1" applyFont="1" applyFill="1" applyBorder="1" applyAlignment="1">
      <x:alignment wrapText="1"/>
    </x:xf>
    <x:xf numFmtId="212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216" fontId="2" fillId="8" borderId="0" xfId="0" applyNumberFormat="1" applyFont="1" applyFill="1" applyBorder="1" applyAlignment="1">
      <x:alignment wrapText="1"/>
    </x:xf>
    <x:xf numFmtId="216" fontId="0" fillId="0" borderId="0" xfId="0" applyNumberFormat="1" applyFont="1" applyFill="1" applyBorder="1" applyAlignment="1">
      <x:alignment wrapText="1"/>
    </x:xf>
    <x:xf numFmtId="216" fontId="2" fillId="6" borderId="0" xfId="0" applyNumberFormat="1" applyFont="1" applyFill="1" applyBorder="1" applyAlignment="1">
      <x:alignment wrapText="1"/>
    </x:xf>
    <x:xf numFmtId="211" fontId="0" fillId="13" borderId="0" xfId="0" applyNumberFormat="1" applyFont="1" applyFill="1" applyBorder="1" applyAlignment="1">
      <x:alignment wrapText="1"/>
    </x:xf>
    <x:xf numFmtId="0" fontId="16" fillId="13" borderId="0" xfId="0" applyNumberFormat="1" applyFont="1" applyFill="1" applyBorder="1" applyAlignment="1">
      <x:alignment wrapText="1"/>
    </x:xf>
    <x:xf numFmtId="211" fontId="16" fillId="1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9" fillId="16" borderId="0" xfId="0" applyNumberFormat="1" applyFont="1" applyFill="1" applyBorder="1"/>
    <x:xf numFmtId="0" fontId="19" fillId="16" borderId="0" xfId="0" applyNumberFormat="1" applyFont="1" applyFill="1" applyBorder="1" applyAlignment="1">
      <x:alignment vertical="center"/>
    </x:xf>
    <x:xf numFmtId="217" fontId="0" fillId="0" borderId="0" xfId="0" applyNumberFormat="1" applyFont="1" applyFill="1" applyBorder="1"/>
    <x:xf numFmtId="213" fontId="0" fillId="0" borderId="0" xfId="0" applyNumberFormat="1" applyFont="1" applyFill="1" applyBorder="1"/>
    <x:xf numFmtId="218" fontId="0" fillId="0" borderId="0" xfId="0" applyNumberFormat="1" applyFont="1" applyFill="1" applyBorder="1"/>
    <x:xf numFmtId="216" fontId="0" fillId="0" borderId="0" xfId="0" applyNumberFormat="1" applyFont="1" applyFill="1" applyBorder="1"/>
    <x:xf numFmtId="217" fontId="20" fillId="0" borderId="0" xfId="0" applyNumberFormat="1" applyFont="1" applyFill="1" applyBorder="1"/>
    <x:xf numFmtId="213" fontId="20" fillId="0" borderId="0" xfId="0" applyNumberFormat="1" applyFont="1" applyFill="1" applyBorder="1"/>
    <x:xf numFmtId="217" fontId="8" fillId="0" borderId="0" xfId="0" applyNumberFormat="1" applyFont="1" applyFill="1" applyBorder="1"/>
    <x:xf numFmtId="213" fontId="8" fillId="0" borderId="0" xfId="0" applyNumberFormat="1" applyFont="1" applyFill="1" applyBorder="1"/>
    <x:xf numFmtId="216" fontId="21" fillId="0" borderId="0" xfId="0" applyNumberFormat="1" applyFont="1" applyFill="1" applyBorder="1"/>
    <x:xf numFmtId="213" fontId="21" fillId="0" borderId="0" xfId="0" applyNumberFormat="1" applyFont="1" applyFill="1" applyBorder="1"/>
    <x:xf numFmtId="218" fontId="21" fillId="0" borderId="0" xfId="0" applyNumberFormat="1" applyFont="1" applyFill="1" applyBorder="1"/>
    <x:xf numFmtId="216" fontId="21" fillId="17" borderId="0" xfId="0" applyNumberFormat="1" applyFont="1" applyFill="1" applyBorder="1"/>
    <x:xf numFmtId="216" fontId="22" fillId="17" borderId="0" xfId="0" applyNumberFormat="1" applyFont="1" applyFill="1" applyBorder="1"/>
    <x:xf numFmtId="216" fontId="21" fillId="18" borderId="0" xfId="0" applyNumberFormat="1" applyFont="1" applyFill="1" applyBorder="1"/>
    <x:xf numFmtId="216" fontId="22" fillId="18" borderId="0" xfId="0" applyNumberFormat="1" applyFont="1" applyFill="1" applyBorder="1"/>
    <x:xf numFmtId="0" fontId="0" fillId="19" borderId="0" xfId="0" applyNumberFormat="1" applyFont="1" applyFill="1" applyBorder="1"/>
    <x:xf numFmtId="0" fontId="23" fillId="19" borderId="0" xfId="0" applyNumberFormat="1" applyFont="1" applyFill="1" applyBorder="1"/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214" fontId="0" fillId="0" borderId="0" xfId="0" applyNumberFormat="1" applyFont="1" applyFill="1" applyBorder="1"/>
    <x:xf numFmtId="216" fontId="0" fillId="21" borderId="0" xfId="0" applyNumberFormat="1" applyFont="1" applyFill="1" applyBorder="1"/>
    <x:xf numFmtId="216" fontId="24" fillId="21" borderId="0" xfId="0" applyNumberFormat="1" applyFont="1" applyFill="1" applyBorder="1"/>
    <x:xf numFmtId="202" fontId="13" fillId="22" borderId="0" xfId="0" applyNumberFormat="1" applyFont="1" applyFill="1" applyBorder="1" applyAlignment="1">
      <x:alignment wrapText="1"/>
    </x:xf>
    <x:xf numFmtId="202" fontId="2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0" fillId="13" borderId="0" xfId="0" applyNumberFormat="1" applyFont="1" applyFill="1" applyBorder="1"/>
    <x:xf numFmtId="0" fontId="23" fillId="13" borderId="0" xfId="0" applyNumberFormat="1" applyFont="1" applyFill="1" applyBorder="1"/>
    <x:xf numFmtId="0" fontId="0" fillId="24" borderId="0" xfId="0" applyNumberFormat="1" applyFont="1" applyFill="1" applyBorder="1"/>
    <x:xf numFmtId="0" fontId="2" fillId="24" borderId="0" xfId="0" applyNumberFormat="1" applyFont="1" applyFill="1" applyBorder="1"/>
    <x:xf numFmtId="0" fontId="0" fillId="25" borderId="0" xfId="0" applyNumberFormat="1" applyFont="1" applyFill="1" applyBorder="1"/>
    <x:xf numFmtId="0" fontId="25" fillId="25" borderId="0" xfId="0" applyNumberFormat="1" applyFont="1" applyFill="1" applyBorder="1"/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6" fillId="0" borderId="0" xfId="0" applyNumberFormat="1" applyFont="1" applyFill="1" applyBorder="1"/>
    <x:xf numFmtId="0" fontId="0" fillId="27" borderId="0" xfId="0" applyNumberFormat="1" applyFont="1" applyFill="1" applyBorder="1"/>
    <x:xf numFmtId="0" fontId="27" fillId="27" borderId="0" xfId="0" applyNumberFormat="1" applyFont="1" applyFill="1" applyBorder="1"/>
    <x:xf numFmtId="0" fontId="12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 applyAlignment="1">
      <x:alignment vertical="center" wrapText="1"/>
    </x:xf>
    <x:xf numFmtId="0" fontId="3" fillId="28" borderId="0" xfId="0" applyNumberFormat="1" applyFont="1" applyFill="1" applyBorder="1"/>
    <x:xf numFmtId="0" fontId="0" fillId="27" borderId="0" xfId="0" applyNumberFormat="1" applyFont="1" applyFill="1" applyBorder="1" applyAlignment="1">
      <x:alignment wrapText="1"/>
    </x:xf>
    <x:xf numFmtId="0" fontId="28" fillId="27" borderId="0" xfId="0" applyNumberFormat="1" applyFont="1" applyFill="1" applyBorder="1" applyAlignment="1">
      <x:alignment wrapText="1"/>
    </x:xf>
    <x:xf numFmtId="0" fontId="28" fillId="27" borderId="0" xfId="0" applyNumberFormat="1" applyFont="1" applyFill="1" applyBorder="1"/>
    <x:xf numFmtId="0" fontId="2" fillId="24" borderId="0" xfId="0" applyNumberFormat="1" applyFont="1" applyFill="1" applyBorder="1" applyAlignment="1">
      <x:alignment wrapText="1"/>
    </x:xf>
    <x:xf numFmtId="0" fontId="29" fillId="24" borderId="0" xfId="0" applyNumberFormat="1" applyFont="1" applyFill="1" applyBorder="1" applyAlignment="1">
      <x:alignment wrapText="1"/>
    </x:xf>
    <x:xf numFmtId="0" fontId="29" fillId="24" borderId="0" xfId="0" applyNumberFormat="1" applyFont="1" applyFill="1" applyBorder="1"/>
    <x:xf numFmtId="0" fontId="0" fillId="29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0" fillId="29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center"/>
    </x:xf>
    <x:xf numFmtId="0" fontId="30" fillId="29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 applyAlignment="1">
      <x:alignment vertical="center"/>
    </x:xf>
    <x:xf numFmtId="0" fontId="11" fillId="25" borderId="0" xfId="0" applyNumberFormat="1" applyFont="1" applyFill="1" applyBorder="1" applyAlignment="1">
      <x:alignment vertical="center"/>
    </x:xf>
    <x:xf numFmtId="0" fontId="11" fillId="25" borderId="0" xfId="0" applyNumberFormat="1" applyFont="1" applyFill="1" applyBorder="1" applyAlignment="1">
      <x:alignment horizontal="center" vertical="center"/>
    </x:xf>
    <x:xf numFmtId="0" fontId="0" fillId="30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0" fillId="30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/>
    </x:xf>
    <x:xf numFmtId="0" fontId="30" fillId="30" borderId="0" xfId="0" applyNumberFormat="1" applyFont="1" applyFill="1" applyBorder="1" applyAlignment="1">
      <x:alignment vertical="center" wrapText="1"/>
    </x:xf>
    <x:xf numFmtId="0" fontId="31" fillId="25" borderId="0" xfId="0" applyNumberFormat="1" applyFont="1" applyFill="1" applyBorder="1"/>
    <x:xf numFmtId="0" fontId="32" fillId="0" borderId="0" xfId="0" applyNumberFormat="1" applyFont="1" applyFill="1" applyBorder="1"/>
    <x:xf numFmtId="0" fontId="32" fillId="0" borderId="0" xfId="0" applyNumberFormat="1" applyFont="1" applyFill="1" applyBorder="1" applyAlignment="1">
      <x:alignment wrapText="1"/>
    </x:xf>
    <x:xf numFmtId="0" fontId="33" fillId="25" borderId="0" xfId="0" applyNumberFormat="1" applyFont="1" applyFill="1" applyBorder="1"/>
    <x:xf numFmtId="0" fontId="29" fillId="26" borderId="0" xfId="0" applyNumberFormat="1" applyFont="1" applyFill="1" applyBorder="1" applyAlignment="1">
      <x:alignment wrapText="1"/>
    </x:xf>
    <x:xf numFmtId="0" fontId="29" fillId="26" borderId="0" xfId="0" applyNumberFormat="1" applyFont="1" applyFill="1" applyBorder="1" applyAlignment="1">
      <x:alignment horizontal="center" wrapText="1"/>
    </x:xf>
    <x:xf numFmtId="0" fontId="2" fillId="28" borderId="0" xfId="0" applyNumberFormat="1" applyFont="1" applyFill="1" applyBorder="1"/>
    <x:xf numFmtId="0" fontId="31" fillId="29" borderId="0" xfId="0" applyNumberFormat="1" applyFont="1" applyFill="1" applyBorder="1" applyAlignment="1">
      <x:alignment wrapText="1"/>
    </x:xf>
    <x:xf numFmtId="0" fontId="31" fillId="30" borderId="0" xfId="0" applyNumberFormat="1" applyFont="1" applyFill="1" applyBorder="1" applyAlignment="1">
      <x:alignment wrapText="1"/>
    </x:xf>
    <x:xf numFmtId="0" fontId="11" fillId="29" borderId="0" xfId="0" applyNumberFormat="1" applyFont="1" applyFill="1" applyBorder="1" applyAlignment="1">
      <x:alignment wrapText="1"/>
    </x:xf>
    <x:xf numFmtId="0" fontId="11" fillId="30" borderId="0" xfId="0" applyNumberFormat="1" applyFont="1" applyFill="1" applyBorder="1" applyAlignment="1">
      <x:alignment wrapText="1"/>
    </x:xf>
    <x:xf numFmtId="0" fontId="34" fillId="29" borderId="0" xfId="0" applyNumberFormat="1" applyFont="1" applyFill="1" applyBorder="1"/>
    <x:xf numFmtId="0" fontId="34" fillId="30" borderId="0" xfId="0" applyNumberFormat="1" applyFont="1" applyFill="1" applyBorder="1"/>
  </x:cellXfs>
  <x:cellStyles count="1">
    <x:cellStyle name="Normal" xfId="0"/>
  </x:cellStyles>
  <x:dxfs count="1">
    <x:dxf>
      <x:font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0e007565b4b33" /><Relationship Type="http://schemas.openxmlformats.org/officeDocument/2006/relationships/theme" Target="/xl/theme/theme1.xml" Id="R37b6ba891f6d4dd6" /><Relationship Type="http://schemas.openxmlformats.org/officeDocument/2006/relationships/sharedStrings" Target="/xl/sharedStrings.xml" Id="R4ea36ae04f7d458e" /><Relationship Type="http://schemas.openxmlformats.org/officeDocument/2006/relationships/worksheet" Target="/xl/worksheets/sheet1.xml" Id="R61452d61e8a5483f" /><Relationship Type="http://schemas.openxmlformats.org/officeDocument/2006/relationships/worksheet" Target="/xl/worksheets/sheet2.xml" Id="Reb2091efca9b497f" /><Relationship Type="http://schemas.openxmlformats.org/officeDocument/2006/relationships/worksheet" Target="/xl/worksheets/sheet3.xml" Id="R7d800f8041924767" /><Relationship Type="http://schemas.openxmlformats.org/officeDocument/2006/relationships/worksheet" Target="/xl/worksheets/sheet4.xml" Id="R4062f3da50d64f08" /><Relationship Type="http://schemas.openxmlformats.org/officeDocument/2006/relationships/worksheet" Target="/xl/worksheets/sheet5.xml" Id="R47a0240079fa4976" /><Relationship Type="http://schemas.openxmlformats.org/officeDocument/2006/relationships/worksheet" Target="/xl/worksheets/sheet6.xml" Id="R8880903df3ff4858" /><Relationship Type="http://schemas.openxmlformats.org/officeDocument/2006/relationships/worksheet" Target="/xl/worksheets/sheet7.xml" Id="Rb6359bfc6ae64d24" /><Relationship Type="http://schemas.openxmlformats.org/officeDocument/2006/relationships/worksheet" Target="/xl/worksheets/sheet8.xml" Id="R5c3b827b400643b9" /><Relationship Type="http://schemas.openxmlformats.org/officeDocument/2006/relationships/worksheet" Target="/xl/worksheets/sheet9.xml" Id="Rf8f7876da5a64b02" /><Relationship Type="http://schemas.openxmlformats.org/officeDocument/2006/relationships/worksheet" Target="/xl/worksheets/sheet10.xml" Id="R96eb18525b9b40c0" /><Relationship Type="http://schemas.openxmlformats.org/officeDocument/2006/relationships/worksheet" Target="/xl/worksheets/sheet11.xml" Id="R8b2f5147bc4d4d0d" /><Relationship Type="http://schemas.openxmlformats.org/officeDocument/2006/relationships/worksheet" Target="/xl/worksheets/sheet12.xml" Id="R4f62e455783d4693" /><Relationship Type="http://schemas.openxmlformats.org/officeDocument/2006/relationships/worksheet" Target="/xl/worksheets/sheet13.xml" Id="Rd876b71a35144380" /><Relationship Type="http://schemas.openxmlformats.org/officeDocument/2006/relationships/worksheet" Target="/xl/worksheets/sheet14.xml" Id="Rd8e9a99d2fec420a" /><Relationship Type="http://schemas.openxmlformats.org/officeDocument/2006/relationships/worksheet" Target="/xl/worksheets/sheet15.xml" Id="R9d64a5e60e3b49d4" /><Relationship Type="http://schemas.openxmlformats.org/officeDocument/2006/relationships/worksheet" Target="/xl/worksheets/sheet16.xml" Id="R415554306aa04974" /><Relationship Type="http://schemas.openxmlformats.org/officeDocument/2006/relationships/worksheet" Target="/xl/worksheets/sheet17.xml" Id="Rafd863304d30423d" /><Relationship Type="http://schemas.openxmlformats.org/officeDocument/2006/relationships/worksheet" Target="/xl/worksheets/sheet18.xml" Id="R4e2c912ce35e4b84" /><Relationship Type="http://schemas.openxmlformats.org/officeDocument/2006/relationships/worksheet" Target="/xl/worksheets/sheet19.xml" Id="Rd005b97404a6441d" /><Relationship Type="http://schemas.openxmlformats.org/officeDocument/2006/relationships/worksheet" Target="/xl/worksheets/sheet20.xml" Id="Ra68de6516cc34ceb" /><Relationship Type="http://schemas.openxmlformats.org/officeDocument/2006/relationships/worksheet" Target="/xl/worksheets/sheet21.xml" Id="Recefa55661094b7a" /><Relationship Type="http://schemas.openxmlformats.org/officeDocument/2006/relationships/worksheet" Target="/xl/worksheets/sheet22.xml" Id="Rdc7c5e68f87e43a2" /><Relationship Type="http://schemas.openxmlformats.org/officeDocument/2006/relationships/worksheet" Target="/xl/worksheets/sheet23.xml" Id="Rc6d3530641f640e9" /><Relationship Type="http://schemas.openxmlformats.org/officeDocument/2006/relationships/worksheet" Target="/xl/worksheets/sheet24.xml" Id="R6233bf3b06f1404b" /><Relationship Type="http://schemas.openxmlformats.org/officeDocument/2006/relationships/worksheet" Target="/xl/worksheets/sheet25.xml" Id="Rdd03cc9e15e140e6" /><Relationship Type="http://schemas.openxmlformats.org/officeDocument/2006/relationships/worksheet" Target="/xl/worksheets/sheet26.xml" Id="R0a96b92dbc4c4f54" /><Relationship Type="http://schemas.openxmlformats.org/officeDocument/2006/relationships/worksheet" Target="/xl/worksheets/sheet27.xml" Id="R30b7ff7e9a5f43ba" /><Relationship Type="http://schemas.openxmlformats.org/officeDocument/2006/relationships/worksheet" Target="/xl/worksheets/sheet28.xml" Id="R338582d7099640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bdb71be9874e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 demand | annual end-customer spending ($B)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Enterprise ($B)</c:v>
          </c:tx>
          <c:marker>
            <c:symbol val="none"/>
          </c:marker>
          <c:cat>
            <c:strRef>
              <c:f>'01 Dashboard'!$A$18:$A$24</c:f>
              <c:strCache>
                <c:ptCount val="0"/>
              </c:strCache>
            </c:strRef>
          </c:cat>
          <c:val>
            <c:numRef>
              <c:f>'01 Dashboard'!$B$18:$B$24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Consumer ($B)</c:v>
          </c:tx>
          <c:marker>
            <c:symbol val="none"/>
          </c:marker>
          <c:cat>
            <c:strRef>
              <c:f>'01 Dashboard'!$A$18:$A$24</c:f>
              <c:strCache>
                <c:ptCount val="0"/>
              </c:strCache>
            </c:strRef>
          </c:cat>
          <c:val>
            <c:numRef>
              <c:f>'01 Dashboard'!$C$18:$C$24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Total ($B)</c:v>
          </c:tx>
          <c:marker>
            <c:symbol val="none"/>
          </c:marker>
          <c:cat>
            <c:strRef>
              <c:f>'01 Dashboard'!$A$18:$A$24</c:f>
              <c:strCache>
                <c:ptCount val="0"/>
              </c:strCache>
            </c:strRef>
          </c:cat>
          <c:val>
            <c:numRef>
              <c:f>'01 Dashboard'!$D$18:$D$24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16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bdb71be9874ef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f8d6e38117341a2" /></Relationships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47" hidden="0" customWidth="1"/>
    <x:col min="3" max="3" width="80" hidden="0" customWidth="1"/>
    <x:col min="4" max="4" width="63" hidden="0" customWidth="1"/>
  </x:cols>
  <x:sheetData>
    <x:row r="1" ht="25" customHeight="1">
      <x:c r="A1" s="8" t="str">
        <x:v>AI DEMAND-SIDE RESEARCH MODEL | U.S. END-CUSTOMER SPENDING, 2026–2032</x:v>
      </x:c>
      <x:c r="B1" s="2"/>
      <x:c r="C1" s="2"/>
      <x:c r="D1" s="2"/>
      <x:c r="E1" s="2"/>
    </x:row>
    <x:row r="2" ht="23" customHeight="1">
      <x:c r="A2" s="197" t="str">
        <x:v>START HERE  |  1) Open official source index  2) Download &amp; preserve raw XLSX  3) Paste values into Data tabs  4) Rebuild assumptions/calcs</x:v>
      </x:c>
      <x:c r="B2" s="197"/>
      <x:c r="C2" s="197"/>
      <x:c r="D2" s="197"/>
      <x:c r="E2" s="2"/>
    </x:row>
    <x:row r="3" ht="31" customHeight="1">
      <x:c r="A3" s="179" t="str">
        <x:v>OFFICIAL SOURCE CATALOG</x:v>
      </x:c>
      <x:c r="B3" s="199" t="str">
        <x:v>15 Source Register</x:v>
      </x:c>
      <x:c r="C3" s="179" t="str">
        <x:v>17 source entries, clickable publisher URLs, data vintages, and exactly where to click</x:v>
      </x:c>
      <x:c r="D3" s="179" t="str">
        <x:v>Data values in this workbook are static snapshots; source website updates do not refresh Excel.</x:v>
      </x:c>
    </x:row>
    <x:row r="4">
      <x:c r="A4" t="str">
        <x:v>REPORTING LIMITATION: All monetary amounts are annualized U.S. customer-spend model scenarios, NOT audited vendor revenue. Not calibrated to national transaction spending; do not publish as an observed market total.</x:v>
      </x:c>
    </x:row>
    <x:row r="7" ht="30" customHeight="1">
      <x:c r="A7" s="16" t="str">
        <x:v>Section</x:v>
      </x:c>
      <x:c r="B7" s="16" t="str">
        <x:v>Method / definition / exact formula</x:v>
      </x:c>
      <x:c r="C7" s="16" t="str">
        <x:v>Evidence classification</x:v>
      </x:c>
      <x:c r="D7" s="16" t="str">
        <x:v>Source / model location</x:v>
      </x:c>
    </x:row>
    <x:row r="8" ht="33" customHeight="1">
      <x:c r="A8" s="60" t="str">
        <x:v>INVESTMENT QUESTION</x:v>
      </x:c>
      <x:c r="B8" s="62" t="str">
        <x:v>Estimate U.S. enterprise and personally-paid consumer AI demand through 2032 as ANNUALIZED SPENDING LEVELS. 2026 is a mixed-vintage midyear snapshot annualized ×12, NOT audited U.S. 2026 calendar revenue.</x:v>
      </x:c>
      <x:c r="C8" t="str">
        <x:v>MODEL OBJECTIVE</x:v>
      </x:c>
      <x:c r="D8" t="str">
        <x:v>NOT an infrastructure capex model</x:v>
      </x:c>
    </x:row>
    <x:row r="9" ht="33" customHeight="1">
      <x:c r="A9" s="60" t="str">
        <x:v>MARKET SCOPE</x:v>
      </x:c>
      <x:c r="B9" s="62" t="str">
        <x:v>U.S. private non-agriculture customers + personally paid consumer AI. No government AI procurement, AI-only hardware or resale double-counts.</x:v>
      </x:c>
      <x:c r="C9" t="str">
        <x:v>BOUNDARY</x:v>
      </x:c>
      <x:c r="D9" t="str">
        <x:v>User-defined scope</x:v>
      </x:c>
    </x:row>
    <x:row r="10" ht="33" customHeight="1">
      <x:c r="A10" s="60" t="str">
        <x:v>MODEL TYPE</x:v>
      </x:c>
      <x:c r="B10" s="62" t="str">
        <x:v>Bottom-up sector employment × paying-worker share × calibrated spending; price/quantity and GDP channels forecast separately.</x:v>
      </x:c>
      <x:c r="C10" t="str">
        <x:v>METHODOLOGY</x:v>
      </x:c>
      <x:c r="D10" t="str">
        <x:v>Scenario rather than observed national market revenue</x:v>
      </x:c>
    </x:row>
    <x:row r="11" ht="33" customHeight="1">
      <x:c r="A11" s="60" t="str">
        <x:v>REPORTING UNITS</x:v>
      </x:c>
      <x:c r="B11" s="62" t="str">
        <x:v>Employment in millions; industry Value Added in USD billions; conditional AI expenditure in dollars per paying worker per month; revenues in USD billions.</x:v>
      </x:c>
      <x:c r="C11" t="str">
        <x:v>UNITS</x:v>
      </x:c>
      <x:c r="D11" t="str">
        <x:v>Nominal USD, annual customer spend</x:v>
      </x:c>
    </x:row>
    <x:row r="12" ht="33" customHeight="1">
      <x:c r="A12" s="60" t="str">
        <x:v>RAW DATA SEPARATION</x:v>
      </x:c>
      <x:c r="B12" s="62" t="str">
        <x:v>Data BLS / Data Census / Data Ramp Paid / Data Ramp Spend / Data Token Pricing / Data BEA / Data OECD Mapping / Data OECD Raw / Data Stanford / Data Research</x:v>
      </x:c>
      <x:c r="C12" t="str">
        <x:v>STRUCTURE</x:v>
      </x:c>
      <x:c r="D12" t="str">
        <x:v>Primary source URLs in source tables</x:v>
      </x:c>
    </x:row>
    <x:row r="13" ht="33" customHeight="1">
      <x:c r="A13" s="60" t="str">
        <x:v>2026 INDUSTRY EMPLOYMENT</x:v>
      </x:c>
      <x:c r="B13" s="62" t="str">
        <x:v>BLS 2025 jobs projected to 2026 using sector-specific 2025–2035 CAGR, multiplied by the explicitly modeled coverage fraction.</x:v>
      </x:c>
      <x:c r="C13" t="str">
        <x:v>FORMULA</x:v>
      </x:c>
      <x:c r="D13" t="str">
        <x:v>03 Sector Inputs column L</x:v>
      </x:c>
    </x:row>
    <x:row r="14" ht="33" customHeight="1">
      <x:c r="A14" s="60" t="str">
        <x:v>2026 PAID FIRM SHARE</x:v>
      </x:c>
      <x:c r="B14" s="62" t="str">
        <x:v>Direct Ramp industry rate; otherwise Ramp national rate × (Census sector use / Census national use) raised to a small proxy exponent, if direct Census exists.</x:v>
      </x:c>
      <x:c r="C14" t="str">
        <x:v>FORMULA</x:v>
      </x:c>
      <x:c r="D14" t="str">
        <x:v>03 Sector Inputs column J</x:v>
      </x:c>
    </x:row>
    <x:row r="15" ht="33" customHeight="1">
      <x:c r="A15" s="60" t="str">
        <x:v>2026 PAID EMPLOYEE SHARE</x:v>
      </x:c>
      <x:c r="B15" s="62" t="str">
        <x:v>Paid firm share × analyst employee-weighting factor, capped at 98%. Unobserved; company payment incidence and employee payment incidence differ.</x:v>
      </x:c>
      <x:c r="C15" t="str">
        <x:v>FORMULA</x:v>
      </x:c>
      <x:c r="D15" t="str">
        <x:v>03 Sector Inputs column K</x:v>
      </x:c>
    </x:row>
    <x:row r="16" ht="33" customHeight="1">
      <x:c r="A16" s="60" t="str">
        <x:v>2026 CONDITIONAL SPEND</x:v>
      </x:c>
      <x:c r="B16" s="62" t="str">
        <x:v>Published Ramp firm-cohort median × SCENARIO worker-cohort conditional mean factor from 13 Spend Calibration × sample capture adjustment × bounded industry operating VA/worker adjustment. National worker weights and means are NOT observed.</x:v>
      </x:c>
      <x:c r="C16" t="str">
        <x:v>FORMULA</x:v>
      </x:c>
      <x:c r="D16" t="str">
        <x:v>03 Sector Inputs columns N to Q</x:v>
      </x:c>
    </x:row>
    <x:row r="17" ht="33" customHeight="1">
      <x:c r="A17" s="60" t="str">
        <x:v>INDUSTRY GDP / VALUE ADDED</x:v>
      </x:c>
      <x:c r="B17" s="62" t="str">
        <x:v>2026 Q2 BEA nominal annualized Value Added; Real Estate operating share is haircut to mitigate imputed owner-occupied housing.</x:v>
      </x:c>
      <x:c r="C17" t="str">
        <x:v>DATA LIMIT</x:v>
      </x:c>
      <x:c r="D17" t="str">
        <x:v>BEA VA vs BLS wage/salary headcount not perfectly harmonized</x:v>
      </x:c>
    </x:row>
    <x:row r="18" ht="33" customHeight="1">
      <x:c r="A18" s="60" t="str">
        <x:v>PAID ADOPTION FORECAST</x:v>
      </x:c>
      <x:c r="B18" s="62" t="str">
        <x:v>PaidWorkerShare[t] = 1 − (1 − PaidWorkerShare[2026]) × (1 − conversion of remaining non-payers)^(t−2026), capped at 98%.</x:v>
      </x:c>
      <x:c r="C18" t="str">
        <x:v>FORMULA</x:v>
      </x:c>
      <x:c r="D18" t="str">
        <x:v>04 Enterprise Annual column E</x:v>
      </x:c>
    </x:row>
    <x:row r="19" ht="33" customHeight="1">
      <x:c r="A19" s="60" t="str">
        <x:v>BASELINE NON-AI GDP GROWTH</x:v>
      </x:c>
      <x:c r="B19" s="62" t="str">
        <x:v>Nominal baseline industry Value Added per worker rises by scenario assumption; elasticity maps only the additional per-worker growth to AI spending, employment counted separately.</x:v>
      </x:c>
      <x:c r="C19" t="str">
        <x:v>FORMULA</x:v>
      </x:c>
      <x:c r="D19" t="str">
        <x:v>04 Enterprise Annual column H</x:v>
      </x:c>
    </x:row>
    <x:row r="20" ht="33" customHeight="1">
      <x:c r="A20" s="60" t="str">
        <x:v>OECD 2033 DATA</x:v>
      </x:c>
      <x:c r="B20" s="62" t="str">
        <x:v>Official OECD 43-sector original gives 2023–2033 cumulative sector-level Value Added effect; decimal 0.1 = 10% LEVEL gain, not annual 10% growth.</x:v>
      </x:c>
      <x:c r="C20" t="str">
        <x:v>SOURCE</x:v>
      </x:c>
      <x:c r="D20" t="str">
        <x:v>Data OECD Raw + Mapping</x:v>
      </x:c>
    </x:row>
    <x:row r="21" ht="33" customHeight="1">
      <x:c r="A21" s="60" t="str">
        <x:v>OECD 2026–2032 BRIDGE</x:v>
      </x:c>
      <x:c r="B21" s="62" t="str">
        <x:v>Post-2026 economic output level factor = (1 + OECD 2033 cumulative uplift)^((year−2026)/10). Applied ONCE to spending through feedback elasticity.</x:v>
      </x:c>
      <x:c r="C21" t="str">
        <x:v>FORMULA</x:v>
      </x:c>
      <x:c r="D21" t="str">
        <x:v>04 Enterprise Annual columns I and J</x:v>
      </x:c>
    </x:row>
    <x:row r="22" ht="33" customHeight="1">
      <x:c r="A22" s="60" t="str">
        <x:v>NON-METERED REVENUE</x:v>
      </x:c>
      <x:c r="B22" s="62" t="str">
        <x:v>PayingWorkers × 2026ConditionalMonthlySpend × 12 / 1000 × (1−TokenShare) × NominalIncomeFactor × OECDSpendingFeedback × NonTokenTierIndex.</x:v>
      </x:c>
      <x:c r="C22" t="str">
        <x:v>FORMULA</x:v>
      </x:c>
      <x:c r="D22" t="str">
        <x:v>04 Enterprise Annual column P</x:v>
      </x:c>
    </x:row>
    <x:row r="23" ht="33" customHeight="1">
      <x:c r="A23" s="60" t="str">
        <x:v>METERED REVENUE</x:v>
      </x:c>
      <x:c r="B23" s="62" t="str">
        <x:v>PayingWorkers × 2026ConditionalMonthlySpend × 12 / 1000 × TokenShare × NominalIncomeFactor × OECDSpendingFeedback × OrganicTokenQuantityIndex × TokenPriceIndex × PriceDrivenQuantityIndex.</x:v>
      </x:c>
      <x:c r="C23" t="str">
        <x:v>FORMULA</x:v>
      </x:c>
      <x:c r="D23" t="str">
        <x:v>04 Enterprise Annual column Q</x:v>
      </x:c>
    </x:row>
    <x:row r="24" ht="33" customHeight="1">
      <x:c r="A24" s="60" t="str">
        <x:v>TOKEN PRICE / QUANTITY</x:v>
      </x:c>
      <x:c r="B24" s="62" t="str">
        <x:v>TokenPriceIndex=(1−PriceDecline)^years. PriceDrivenQuantityIndex=TokenPriceIndex^(−PriceElasticity). Token revenue price factor=PriceIndex^(1−PriceElasticity).</x:v>
      </x:c>
      <x:c r="C24" t="str">
        <x:v>FORMULA</x:v>
      </x:c>
      <x:c r="D24" t="str">
        <x:v>04 Enterprise Annual columns M and N</x:v>
      </x:c>
    </x:row>
    <x:row r="25" ht="33" customHeight="1">
      <x:c r="A25" s="60" t="str">
        <x:v>REBOUND OR JEVONS THRESHOLD</x:v>
      </x:c>
      <x:c r="B25" s="62" t="str">
        <x:v>At elasticity &gt;1, lower net unit price raises total monetized Token spending holding other drivers fixed. This elasticity is NOT estimated from empirical U.S. history.</x:v>
      </x:c>
      <x:c r="C25" t="str">
        <x:v>MODEL LIMIT</x:v>
      </x:c>
      <x:c r="D25" t="str">
        <x:v>08 Token Sensitivity</x:v>
      </x:c>
    </x:row>
    <x:row r="26" ht="33" customHeight="1">
      <x:c r="A26" s="60" t="str">
        <x:v>SEPARATE FLYWHEEL IMPACT</x:v>
      </x:c>
      <x:c r="B26" s="62" t="str">
        <x:v>Compare full forecast with price response disabled and with OECD-to-AI-spending feedback disabled. Do not add isolated effects because they interact.</x:v>
      </x:c>
      <x:c r="C26" t="str">
        <x:v>MODEL CHECK</x:v>
      </x:c>
      <x:c r="D26" t="str">
        <x:v>07 Flywheel Bridge</x:v>
      </x:c>
    </x:row>
    <x:row r="27" ht="33" customHeight="1">
      <x:c r="A27" s="60" t="str">
        <x:v>CONSUMER REVENUE</x:v>
      </x:c>
      <x:c r="B27" s="62" t="str">
        <x:v>Stanford user base × assumed personally paid conversion × scenario realized monthly revenue per paying user × 12 / 1000. Welfare/WTA excluded.</x:v>
      </x:c>
      <x:c r="C27" t="str">
        <x:v>FORMULA</x:v>
      </x:c>
      <x:c r="D27" t="str">
        <x:v>05 Consumer Annual</x:v>
      </x:c>
    </x:row>
    <x:row r="28" ht="33" customHeight="1">
      <x:c r="A28" s="60" t="str">
        <x:v>BEAR / BASE / BULL</x:v>
      </x:c>
      <x:c r="B28" s="62" t="str">
        <x:v>02 Assumptions B4 switches yearly results. 11 Scenario Comparison independently recomputes ALL THREE 2032 outcomes live.</x:v>
      </x:c>
      <x:c r="C28" t="str">
        <x:v>CONTROL</x:v>
      </x:c>
      <x:c r="D28" t="str">
        <x:v>Scenario differences driven by multiple declared parameters</x:v>
      </x:c>
    </x:row>
    <x:row r="29" ht="33" customHeight="1">
      <x:c r="A29" s="60" t="str">
        <x:v>UNKNOWN SPENDING LEVEL</x:v>
      </x:c>
      <x:c r="B29" s="62" t="str">
        <x:v>Ramp July $11.95 per employee is the published median firm in the AI-spending discussion; an employee-weighted national conditional mean is not provided. The conversion is an analyst assumption; check cohort definition before publication.</x:v>
      </x:c>
      <x:c r="C29" t="str">
        <x:v>HIGH RISK</x:v>
      </x:c>
      <x:c r="D29" t="str">
        <x:v>02 Assumptions row 8</x:v>
      </x:c>
    </x:row>
    <x:row r="30" ht="33" customHeight="1">
      <x:c r="A30" s="60" t="str">
        <x:v>COVERAGE</x:v>
      </x:c>
      <x:c r="B30" s="62" t="str">
        <x:v>Seven direct Ramp paid industry rates; five direct Census AI-use industry values currently imported (carried forward from prior version). Census BTOS October 4, 2026 release exists but is NOT freshly ingested; update before research publication.</x:v>
      </x:c>
      <x:c r="C30" t="str">
        <x:v>HIGH RISK</x:v>
      </x:c>
      <x:c r="D30" t="str">
        <x:v>10 Coverage QA and 03 Sector Inputs</x:v>
      </x:c>
    </x:row>
    <x:row r="31" ht="33" customHeight="1">
      <x:c r="A31" s="60" t="str">
        <x:v>ACADEMIC EXTERNAL VALIDITY</x:v>
      </x:c>
      <x:c r="B31" s="62" t="str">
        <x:v>Census: 18% firms vs 32% employee-weighted; adoption intensity shallow. Stanford agents: Token counts vary and are not equivalent to completed tasks. Avoid equating token volume with welfare.</x:v>
      </x:c>
      <x:c r="C31" t="str">
        <x:v>RESEARCH</x:v>
      </x:c>
      <x:c r="D31" t="str">
        <x:v>Data Research</x:v>
      </x:c>
    </x:row>
    <x:row r="32" ht="33" customHeight="1">
      <x:c r="A32" s="60" t="str">
        <x:v>RESEARCH QUALITY</x:v>
      </x:c>
      <x:c r="B32" s="62" t="str">
        <x:v>No sell-side proprietary TAM forecast or competitor-bank data. All public government, primary platform, academic sources; assumptions visibly isolated.</x:v>
      </x:c>
      <x:c r="C32" t="str">
        <x:v>RESEARCH</x:v>
      </x:c>
      <x:c r="D32" t="str">
        <x:v>Not a company-revenue audit</x:v>
      </x:c>
    </x:row>
    <x:row r="33" ht="33" customHeight="1">
      <x:c r="A33" s="60" t="str">
        <x:v>INTERPRETATION</x:v>
      </x:c>
      <x:c r="B33" s="62" t="str">
        <x:v>Total revenue is U.S. FINAL END-CUSTOMER spending. AWS/Azure/AI lab revenue for same consumption must not be added again. OECD economic Value Added is a comparison, not revenue.</x:v>
      </x:c>
      <x:c r="C33" t="str">
        <x:v>GUARDRAIL</x:v>
      </x:c>
      <x:c r="D33" t="str">
        <x:v>End-customer vs vendor net accounting differs</x:v>
      </x:c>
    </x:row>
    <x:row r="34" ht="33" customHeight="1">
      <x:c r="A34" s="60" t="str">
        <x:v>KNOWN NOT MODELED</x:v>
      </x:c>
      <x:c r="B34" s="62" t="str">
        <x:v>Non-employer agriculture, government procurement, AI hardware, shadow consumer spend used at firms, certain cloud bundle/captive AI cost attribution, cross-border customers and exports.</x:v>
      </x:c>
      <x:c r="C34" t="str">
        <x:v>OMISSION</x:v>
      </x:c>
      <x:c r="D34" t="str">
        <x:v>Not global all-AI TAM</x:v>
      </x:c>
    </x:row>
    <x:row r="35" ht="33" customHeight="1">
      <x:c r="A35" s="60" t="str">
        <x:v>NO FORECAST CERTAINTY</x:v>
      </x:c>
      <x:c r="B35" s="62" t="str">
        <x:v>Bear/Base/Bull are transparent scenarios. High reliance on assumptions; formulas and unit QA cannot make unsupported scenario estimates into observed market facts.</x:v>
      </x:c>
      <x:c r="C35" t="str">
        <x:v>DISCLOSURE</x:v>
      </x:c>
      <x:c r="D35" t="str">
        <x:v>Mandatory before external research publication</x:v>
      </x:c>
    </x:row>
    <x:row r="36">
      <x:c r="A36" t="str">
        <x:v>BASE-YEAR REALITY CHECK</x:v>
      </x:c>
      <x:c r="B36" t="str">
        <x:v>Compare 2026 FY U.S. customer spending with contemporary WORLDWIDE EXIT annualized revenue benchmarks; reconcile geography, gross/net accounting and timing.</x:v>
      </x:c>
      <x:c r="C36" t="str">
        <x:v>RESEARCH QA</x:v>
      </x:c>
      <x:c r="D36" t="str">
        <x:v>12 Revenue Reality Check</x:v>
      </x:c>
    </x:row>
    <x:row r="37">
      <x:c r="A37" t="str">
        <x:v>RAMP OTHER COHORT</x:v>
      </x:c>
      <x:c r="B37" t="str">
        <x:v>Ramp April Token Spend Management cohort reports $140,842 mean vs $2,246 median monthly/company and $46 median PEPM. NEVER multiply one cohort's mean/median ratio into another's PEPM.</x:v>
      </x:c>
      <x:c r="C37" t="str">
        <x:v>DATA LIMITATION</x:v>
      </x:c>
      <x:c r="D37" t="str">
        <x:v>Data Ramp Spend rows 14–17</x:v>
      </x:c>
    </x:row>
    <x:row r="38">
      <x:c r="A38" t="str">
        <x:v>2026 RELEASE STATUS</x:v>
      </x:c>
      <x:c r="B38" t="str">
        <x:v>2026 U.S. annualized demand is a scenario calibrated from Ramp firm medians plus UNOBSERVED paid-worker tier weights; see 16 Recalibration for previous and updated model values. It is not FY 2026 audited market revenue.</x:v>
      </x:c>
      <x:c r="C38" t="str">
        <x:v>NOT CLEARED FOR PUBLICATION</x:v>
      </x:c>
      <x:c r="D38" t="str">
        <x:v>12 Revenue Reality Check</x:v>
      </x:c>
    </x:row>
    <x:row r="39">
      <x:c r="A39" t="str">
        <x:v>MODEL PRESERVATION</x:v>
      </x:c>
      <x:c r="B39" t="str">
        <x:v>2026-10-11 REVISED Base worker tier mix only (13 Spend Calibration B9:D9); ALL other demand growth and consumer parameters unchanged. This is a sensitivity scenario, not a verified increase in 2026 national spending.</x:v>
      </x:c>
      <x:c r="C39" t="str">
        <x:v>GUARDRAIL</x:v>
      </x:c>
      <x:c r="D39" t="str">
        <x:v>02 Assumptions and 03 Sector Inputs</x:v>
      </x:c>
    </x:row>
    <x:row r="40">
      <x:c r="A40" t="str">
        <x:v>NEW REVISED-BASE BRIDGE</x:v>
      </x:c>
      <x:c r="B40" t="str">
        <x:v>16 Recalibration reconciles prior vs new Base for 2026/2032 using ONLY the revised analyst worker cohort distribution.</x:v>
      </x:c>
      <x:c r="C40" t="str">
        <x:v>MODEL CHANGE</x:v>
      </x:c>
      <x:c r="D40" t="str">
        <x:v>16 Recalibration</x:v>
      </x:c>
    </x:row>
    <x:row r="41">
      <x:c r="A41" t="str">
        <x:v>ONE-PAGE SENSITIVITY</x:v>
      </x:c>
      <x:c r="B41" t="str">
        <x:v>17 Simple Sensitivity tests 2026 and 2032 U.S. AI spending under alternative paid-worker $/month and paid coverage. Does not treat scenarios as facts.</x:v>
      </x:c>
      <x:c r="C41" t="str">
        <x:v>SENSITIVITY</x:v>
      </x:c>
      <x:c r="D41" t="str">
        <x:v>17 Simple Sensitivity</x:v>
      </x:c>
    </x:row>
    <x:row r="42" ht="25" customHeight="1">
      <x:c r="A42" s="200" t="str">
        <x:v>WORKBOOK NAVIGATION  |  USE THE SOURCE CATALOG BEFORE REBUILDING</x:v>
      </x:c>
      <x:c r="B42" s="200"/>
      <x:c r="C42" s="200"/>
      <x:c r="D42" s="200"/>
    </x:row>
    <x:row r="43" ht="35" customHeight="1">
      <x:c r="A43" s="201" t="str">
        <x:v>01 DOWNLOAD</x:v>
      </x:c>
      <x:c r="B43" s="203" t="str">
        <x:v>15 Source Register</x:v>
      </x:c>
      <x:c r="C43" s="181" t="str">
        <x:v>First-party XLSX or official article links, exact selection, evidence caveats</x:v>
      </x:c>
      <x:c r="D43" s="181" t="str">
        <x:v>Do not paste model assumptions into source tabs</x:v>
      </x:c>
    </x:row>
    <x:row r="44" ht="35" customHeight="1">
      <x:c r="A44" s="202" t="str">
        <x:v>02 RAW DATA A</x:v>
      </x:c>
      <x:c r="B44" s="204" t="str">
        <x:v>Data BLS / Data BEA / Data Census</x:v>
      </x:c>
      <x:c r="C44" s="189" t="str">
        <x:v>BLS employment, BEA nominal value added, Census usage: copy values and source vintage</x:v>
      </x:c>
      <x:c r="D44" s="189" t="str">
        <x:v>Census sector inputs require refresh</x:v>
      </x:c>
    </x:row>
    <x:row r="45" ht="35" customHeight="1">
      <x:c r="A45" s="201" t="str">
        <x:v>03 RAW DATA B</x:v>
      </x:c>
      <x:c r="B45" s="203" t="str">
        <x:v>Data Ramp Paid / Data Ramp Spend / Data Token Pricing</x:v>
      </x:c>
      <x:c r="C45" s="181" t="str">
        <x:v>Paid business data, published spend medians, public token price indicators</x:v>
      </x:c>
      <x:c r="D45" s="181" t="str">
        <x:v>Ramp firm medians are not U.S. weighted means</x:v>
      </x:c>
    </x:row>
    <x:row r="46" ht="35" customHeight="1">
      <x:c r="A46" s="202" t="str">
        <x:v>04 RAW DATA C</x:v>
      </x:c>
      <x:c r="B46" s="204" t="str">
        <x:v>Data OECD Raw / Data OECD Mapping / Data Stanford / Data Research</x:v>
      </x:c>
      <x:c r="C46" s="189" t="str">
        <x:v>43 original OECD sectors; manually-mapped NAICS; Stanford consumer indicators</x:v>
      </x:c>
      <x:c r="D46" s="189" t="str">
        <x:v>Stanford welfare is not revenue</x:v>
      </x:c>
    </x:row>
    <x:row r="47" ht="35" customHeight="1">
      <x:c r="A47" s="201" t="str">
        <x:v>05 SCENARIOS</x:v>
      </x:c>
      <x:c r="B47" s="203" t="str">
        <x:v>02 Assumptions / 13 Spend Calibration</x:v>
      </x:c>
      <x:c r="C47" s="181" t="str">
        <x:v>Yellow inputs: paid worker penetration, spend cohorts, token price elasticity</x:v>
      </x:c>
      <x:c r="D47" s="181" t="str">
        <x:v>All weights and elasticity are analyst assumptions</x:v>
      </x:c>
    </x:row>
    <x:row r="48" ht="35" customHeight="1">
      <x:c r="A48" s="202" t="str">
        <x:v>06 INDUSTRY LOGIC</x:v>
      </x:c>
      <x:c r="B48" s="204" t="str">
        <x:v>03 Sector Inputs</x:v>
      </x:c>
      <x:c r="C48" s="189" t="str">
        <x:v>Sector industry 2026 coverage, employment, value added, starting AI spend</x:v>
      </x:c>
      <x:c r="D48" s="189" t="str">
        <x:v>Direct / Proxy / Excluded evidence tag</x:v>
      </x:c>
    </x:row>
    <x:row r="49" ht="35" customHeight="1">
      <x:c r="A49" s="201" t="str">
        <x:v>07 ANNUAL MODEL</x:v>
      </x:c>
      <x:c r="B49" s="203" t="str">
        <x:v>04 Enterprise Annual / 05 Consumer Annual</x:v>
      </x:c>
      <x:c r="C49" s="181" t="str">
        <x:v>2026–2032 industry and consumer calculations</x:v>
      </x:c>
      <x:c r="D49" s="181" t="str">
        <x:v>All revenue outputs are modeled scenarios</x:v>
      </x:c>
    </x:row>
    <x:row r="50" ht="35" customHeight="1">
      <x:c r="A50" s="202" t="str">
        <x:v>08 RESULTS</x:v>
      </x:c>
      <x:c r="B50" s="204" t="str">
        <x:v>06 Revenue Summary / 01 Dashboard</x:v>
      </x:c>
      <x:c r="C50" s="189" t="str">
        <x:v>Enterprise plus personally-paid consumer revenue (not OECD welfare)</x:v>
      </x:c>
      <x:c r="D50" s="189" t="str">
        <x:v>Do not count infrastructure intermediary resale twice</x:v>
      </x:c>
    </x:row>
    <x:row r="51" ht="35" customHeight="1">
      <x:c r="A51" s="201" t="str">
        <x:v>09 QUALITY</x:v>
      </x:c>
      <x:c r="B51" s="203" t="str">
        <x:v>10 Coverage QA / 11 Scenario Comparison / 12 Revenue Reality Check</x:v>
      </x:c>
      <x:c r="C51" s="181" t="str">
        <x:v>Compare Bear/Base/Bull; check model coverage and formulas</x:v>
      </x:c>
      <x:c r="D51" s="181" t="str">
        <x:v>Numerical QA != measured national AI market</x:v>
      </x:c>
    </x:row>
    <x:row r="52" ht="35" customHeight="1">
      <x:c r="A52" s="202" t="str">
        <x:v>10 SENSITIVITY</x:v>
      </x:c>
      <x:c r="B52" s="204" t="str">
        <x:v>07 Flywheel Bridge / 08 Token Sensitivity / 09 Spend Sensitivity / 17 Simple Sensitivity</x:v>
      </x:c>
      <x:c r="C52" s="189" t="str">
        <x:v>Rebound, token price, cohorts, and coverage scenarios</x:v>
      </x:c>
      <x:c r="D52" s="189" t="str">
        <x:v>No separate capex spending model</x:v>
      </x:c>
    </x:row>
    <x:row r="53" ht="35" customHeight="1">
      <x:c r="A53" s="201" t="str">
        <x:v>11 GUIDE</x:v>
      </x:c>
      <x:c r="B53" s="203" t="str">
        <x:v>14 Rebuild Walkthrough / 16 Recalibration</x:v>
      </x:c>
      <x:c r="C53" s="181" t="str">
        <x:v>Cell references, formulas, before/after Base assumptions</x:v>
      </x:c>
      <x:c r="D53" s="181" t="str">
        <x:v>Replicate with your firm's accessible sources</x:v>
      </x:c>
    </x:row>
    <x:row r="55" ht="29" customHeight="1">
      <x:c r="A55" s="170" t="str">
        <x:v>SOURCE REPRODUCTION RULE: Record publisher URL, file download date, source date, sector definition, units and any manual crosswalk for each copied column.</x:v>
      </x:c>
      <x:c r="B55" s="170"/>
      <x:c r="C55" s="170"/>
      <x:c r="D55" s="170"/>
    </x:row>
  </x:sheetData>
  <x:mergeCells>
    <x:mergeCell ref="A1:E2"/>
    <x:mergeCell ref="A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0" hidden="0" customWidth="1"/>
    <x:col min="3" max="3" width="20" hidden="0" customWidth="1"/>
    <x:col min="4" max="4" width="41" hidden="0" customWidth="1"/>
    <x:col min="5" max="5" width="22" hidden="0" customWidth="1"/>
    <x:col min="6" max="6" width="8" hidden="0" customWidth="1"/>
    <x:col min="7" max="7" width="38" hidden="0" customWidth="1"/>
    <x:col min="8" max="8" width="22" hidden="0" customWidth="1"/>
    <x:col min="9" max="9" width="9" hidden="0" customWidth="1"/>
    <x:col min="10" max="10" width="39" hidden="0" customWidth="1"/>
    <x:col min="11" max="11" width="21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5" customHeight="1">
      <x:c r="A1" s="8" t="str">
        <x:v>AI DEMAND MODEL | U.S. ANNUALIZED CUSTOMER SPENDING TO 2032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2" t="str">
        <x:v>RESEARCH SCENARIOS ONLY — NOT VERIFIED FULL-YEAR VENDOR REVENUE OR GLOBAL AI MARKET SIZE. Sector coverage and tail-spend weights require validation.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4">
      <x:c r="A4" s="74" t="str">
        <x:v>2032 total end-customer AI spending ($B)</x:v>
      </x:c>
      <x:c r="D4" s="74" t="str">
        <x:v>2032 enterprise AI demand ($B)</x:v>
      </x:c>
      <x:c r="G4" s="74" t="str">
        <x:v>2032 consumer AI demand ($B)</x:v>
      </x:c>
      <x:c r="J4" s="74" t="str">
        <x:v>2032 Token share / enterprise</x:v>
      </x:c>
    </x:row>
    <x:row r="5" ht="47" customHeight="1">
      <x:c r="B5" s="76" t="n">
        <x:f>'06 Revenue Summary'!H14</x:f>
        <x:v>557.3678480829285</x:v>
      </x:c>
      <x:c r="E5" s="76" t="n">
        <x:f>'06 Revenue Summary'!F14</x:f>
        <x:v>523.4963330428798</x:v>
      </x:c>
      <x:c r="H5" s="76" t="n">
        <x:f>'06 Revenue Summary'!G14</x:f>
        <x:v>33.87151504004868</x:v>
      </x:c>
      <x:c r="K5" s="72" t="n">
        <x:f>'06 Revenue Summary'!I14</x:f>
        <x:v>0.8815644448303126</x:v>
      </x:c>
    </x:row>
    <x:row r="8">
      <x:c r="A8" t="str">
        <x:v>LIVE SCENARIO — change 02 Assumptions!B4</x:v>
      </x:c>
    </x:row>
    <x:row r="9">
      <x:c r="B9" t="str">
        <x:f>IF('02 Assumptions'!B4=1,"Bear",IF('02 Assumptions'!B4=2,"Base","Bull"))</x:f>
        <x:v>Base</x:v>
      </x:c>
    </x:row>
    <x:row r="11">
      <x:c r="A11" s="12" t="str">
        <x:v>2032 live scenario comparison</x:v>
      </x:c>
      <x:c r="B11" s="12" t="str">
        <x:v>Enterprise ($B)</x:v>
      </x:c>
      <x:c r="C11" s="12" t="str">
        <x:v>Consumer ($B)</x:v>
      </x:c>
      <x:c r="D11" s="12" t="str">
        <x:v>Combined ($B)</x:v>
      </x:c>
    </x:row>
    <x:row r="12">
      <x:c r="A12" t="str">
        <x:f>'11 Scenario Comparison'!W14</x:f>
        <x:v>Bear</x:v>
      </x:c>
      <x:c r="B12" s="42" t="n">
        <x:f>'11 Scenario Comparison'!X14</x:f>
        <x:v>27.58609981967937</x:v>
      </x:c>
      <x:c r="C12" s="42" t="n">
        <x:f>'11 Scenario Comparison'!Y14</x:f>
        <x:v>16.785558293117283</x:v>
      </x:c>
      <x:c r="D12" s="42" t="n">
        <x:f>'11 Scenario Comparison'!Z14</x:f>
        <x:v>44.37165811279665</x:v>
      </x:c>
    </x:row>
    <x:row r="13">
      <x:c r="A13" t="str">
        <x:f>'11 Scenario Comparison'!W15</x:f>
        <x:v>Base</x:v>
      </x:c>
      <x:c r="B13" s="42" t="n">
        <x:f>'11 Scenario Comparison'!X15</x:f>
        <x:v>523.4963330428798</x:v>
      </x:c>
      <x:c r="C13" s="42" t="n">
        <x:f>'11 Scenario Comparison'!Y15</x:f>
        <x:v>33.87151504004868</x:v>
      </x:c>
      <x:c r="D13" s="42" t="n">
        <x:f>'11 Scenario Comparison'!Z15</x:f>
        <x:v>557.3678480829285</x:v>
      </x:c>
    </x:row>
    <x:row r="14">
      <x:c r="A14" t="str">
        <x:f>'11 Scenario Comparison'!W16</x:f>
        <x:v>Bull</x:v>
      </x:c>
      <x:c r="B14" s="42" t="n">
        <x:f>'11 Scenario Comparison'!X16</x:f>
        <x:v>1472.0107093193735</x:v>
      </x:c>
      <x:c r="C14" s="42" t="n">
        <x:f>'11 Scenario Comparison'!Y16</x:f>
        <x:v>72.01791594864554</x:v>
      </x:c>
      <x:c r="D14" s="42" t="n">
        <x:f>'11 Scenario Comparison'!Z16</x:f>
        <x:v>1544.0286252680191</x:v>
      </x:c>
    </x:row>
    <x:row r="17" ht="23" customHeight="1">
      <x:c r="A17" s="12" t="str">
        <x:v>Year</x:v>
      </x:c>
      <x:c r="B17" s="12" t="str">
        <x:v>Enterprise ($B)</x:v>
      </x:c>
      <x:c r="C17" s="12" t="str">
        <x:v>Consumer ($B)</x:v>
      </x:c>
      <x:c r="D17" s="12" t="str">
        <x:v>Total ($B)</x:v>
      </x:c>
    </x:row>
    <x:row r="18" ht="23" customHeight="1">
      <x:c r="A18" t="n">
        <x:f>'06 Revenue Summary'!A8</x:f>
        <x:v>2026</x:v>
      </x:c>
      <x:c r="B18" s="42" t="n">
        <x:f>'06 Revenue Summary'!F8</x:f>
        <x:v>89.8881107444697</x:v>
      </x:c>
      <x:c r="C18" s="42" t="n">
        <x:f>'06 Revenue Summary'!G8</x:f>
        <x:v>10.0584</x:v>
      </x:c>
      <x:c r="D18" s="42" t="n">
        <x:f>'06 Revenue Summary'!H8</x:f>
        <x:v>99.9465107444697</x:v>
      </x:c>
    </x:row>
    <x:row r="19" ht="23" customHeight="1">
      <x:c r="A19" t="n">
        <x:f>'06 Revenue Summary'!A9</x:f>
        <x:v>2027</x:v>
      </x:c>
      <x:c r="B19" s="42" t="n">
        <x:f>'06 Revenue Summary'!F9</x:f>
        <x:v>119.50213433971267</x:v>
      </x:c>
      <x:c r="C19" s="42" t="n">
        <x:f>'06 Revenue Summary'!G9</x:f>
        <x:v>13.633855277777776</x:v>
      </x:c>
      <x:c r="D19" s="42" t="n">
        <x:f>'06 Revenue Summary'!H9</x:f>
        <x:v>133.13598961749045</x:v>
      </x:c>
    </x:row>
    <x:row r="20" ht="23" customHeight="1">
      <x:c r="A20" t="n">
        <x:f>'06 Revenue Summary'!A10</x:f>
        <x:v>2028</x:v>
      </x:c>
      <x:c r="B20" s="42" t="n">
        <x:f>'06 Revenue Summary'!F10</x:f>
        <x:v>159.29303868608812</x:v>
      </x:c>
      <x:c r="C20" s="42" t="n">
        <x:f>'06 Revenue Summary'!G10</x:f>
        <x:v>17.396805192129627</x:v>
      </x:c>
      <x:c r="D20" s="42" t="n">
        <x:f>'06 Revenue Summary'!H10</x:f>
        <x:v>176.68984387821774</x:v>
      </x:c>
    </x:row>
    <x:row r="21" ht="23" customHeight="1">
      <x:c r="A21" t="n">
        <x:f>'06 Revenue Summary'!A11</x:f>
        <x:v>2029</x:v>
      </x:c>
      <x:c r="B21" s="42" t="n">
        <x:f>'06 Revenue Summary'!F11</x:f>
        <x:v>213.17682305711247</x:v>
      </x:c>
      <x:c r="C21" s="42" t="n">
        <x:f>'06 Revenue Summary'!G11</x:f>
        <x:v>21.31809800723962</x:v>
      </x:c>
      <x:c r="D21" s="42" t="n">
        <x:f>'06 Revenue Summary'!H11</x:f>
        <x:v>234.4949210643521</x:v>
      </x:c>
    </x:row>
    <x:row r="22" ht="23" customHeight="1">
      <x:c r="A22" t="n">
        <x:f>'06 Revenue Summary'!A12</x:f>
        <x:v>2030</x:v>
      </x:c>
      <x:c r="B22" s="42" t="n">
        <x:f>'06 Revenue Summary'!F12</x:f>
        <x:v>286.51104040590616</x:v>
      </x:c>
      <x:c r="C22" s="42" t="n">
        <x:f>'06 Revenue Summary'!G12</x:f>
        <x:v>25.378133838069076</x:v>
      </x:c>
      <x:c r="D22" s="42" t="n">
        <x:f>'06 Revenue Summary'!H12</x:f>
        <x:v>311.8891742439752</x:v>
      </x:c>
    </x:row>
    <x:row r="23" ht="23" customHeight="1">
      <x:c r="A23" t="n">
        <x:f>'06 Revenue Summary'!A13</x:f>
        <x:v>2031</x:v>
      </x:c>
      <x:c r="B23" s="42" t="n">
        <x:f>'06 Revenue Summary'!F13</x:f>
        <x:v>386.61808140875826</x:v>
      </x:c>
      <x:c r="C23" s="42" t="n">
        <x:f>'06 Revenue Summary'!G13</x:f>
        <x:v>29.564745188228333</x:v>
      </x:c>
      <x:c r="D23" s="42" t="n">
        <x:f>'06 Revenue Summary'!H13</x:f>
        <x:v>416.1828265969866</x:v>
      </x:c>
    </x:row>
    <x:row r="24" ht="23" customHeight="1">
      <x:c r="A24" t="n">
        <x:f>'06 Revenue Summary'!A14</x:f>
        <x:v>2032</x:v>
      </x:c>
      <x:c r="B24" s="42" t="n">
        <x:f>'06 Revenue Summary'!F14</x:f>
        <x:v>523.4963330428798</x:v>
      </x:c>
      <x:c r="C24" s="42" t="n">
        <x:f>'06 Revenue Summary'!G14</x:f>
        <x:v>33.87151504004868</x:v>
      </x:c>
      <x:c r="D24" s="42" t="n">
        <x:f>'06 Revenue Summary'!H14</x:f>
        <x:v>557.3678480829285</x:v>
      </x:c>
    </x:row>
    <x:row r="27">
      <x:c r="A27" t="str">
        <x:v>2032 price rebound contribution ($B)</x:v>
      </x:c>
      <x:c r="B27" s="42" t="n">
        <x:f>'07 Flywheel Bridge'!F14</x:f>
        <x:v>321.46552401120186</x:v>
      </x:c>
      <x:c r="D27" t="str">
        <x:v>2032 OECD-to-demand feedback contribution ($B)</x:v>
      </x:c>
      <x:c r="E27" s="42" t="n">
        <x:f>'07 Flywheel Bridge'!G14</x:f>
        <x:v>5.3320745075152445</x:v>
      </x:c>
    </x:row>
    <x:row r="29">
      <x:c r="A29" t="str">
        <x:v>2032 direct Ramp evidence % of enterprise spend</x:v>
      </x:c>
      <x:c r="B29" s="32" t="n">
        <x:f>'10 Coverage QA'!B26</x:f>
        <x:v>0.5898745462917768</x:v>
      </x:c>
    </x:row>
    <x:row r="31">
      <x:c r="A31" t="str">
        <x:v>IMPORTANT: conditional Ramp median ≠ worker-weighted mean. Macro feedback &amp; rebound are scenarios, not empirical coefficients.</x:v>
      </x:c>
    </x:row>
    <x:row r="32">
      <x:c r="A32" t="str">
        <x:v>U.S. private non-agriculture paid AI end-customer spending only; OECD GDP value and Stanford consumer welfare are NOT added to revenue.</x:v>
      </x:c>
    </x:row>
    <x:row r="33">
      <x:c r="A33" t="str">
        <x:v>Model date: 2026-10-10 | Source URLs embedded in every Data worksheet; Census sector values should be refreshed before external publication.</x:v>
      </x:c>
    </x:row>
  </x:sheetData>
  <x:mergeCells>
    <x:mergeCell ref="A1:N2"/>
    <x:mergeCell ref="A2:K2"/>
  </x:mergeCells>
  <x:pageMargins left="0.7" right="0.7" top="0.75" bottom="0.75" header="0.3" footer="0.3"/>
  <x:drawing xmlns:r="http://schemas.openxmlformats.org/officeDocument/2006/relationships" r:id="Rbf8d6e38117341a2"/>
</x:worksheet>
</file>

<file path=xl/worksheets/sheet3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5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82" hidden="0" customWidth="1"/>
    <x:col min="7" max="7" width="16" hidden="0" customWidth="1"/>
  </x:cols>
  <x:sheetData>
    <x:row r="1" ht="25" customHeight="1">
      <x:c r="A1" s="8" t="str">
        <x:v>REVENUE MODEL CONTROL | BEAR / BASE / BULL</x:v>
      </x:c>
      <x:c r="B1" s="2"/>
      <x:c r="C1" s="2"/>
      <x:c r="D1" s="2"/>
      <x:c r="E1" s="2"/>
      <x:c r="F1" s="2"/>
      <x:c r="G1" s="2"/>
    </x:row>
    <x:row r="2" ht="25" customHeight="1">
      <x:c r="A2" s="2"/>
      <x:c r="B2" s="2"/>
      <x:c r="C2" s="2"/>
      <x:c r="D2" s="2"/>
      <x:c r="E2" s="2"/>
      <x:c r="F2" s="2"/>
      <x:c r="G2" s="2"/>
    </x:row>
    <x:row r="3">
      <x:c r="A3" t="str">
        <x:v>ANALYST SCENARIOS. Employment/VA official; paid worker incidence, cohort shares, growth, price/rebound, cash monetization unobserved.</x:v>
      </x:c>
    </x:row>
    <x:row r="4">
      <x:c r="A4" t="str">
        <x:v>Scenario 1=Bear, 2=Base, 3=Bull</x:v>
      </x:c>
      <x:c r="B4" s="24" t="n">
        <x:v>2</x:v>
      </x:c>
    </x:row>
    <x:row r="7" ht="30" customHeight="1">
      <x:c r="A7" s="16" t="str">
        <x:v>Parameter (no acronyms)</x:v>
      </x:c>
      <x:c r="B7" s="16" t="str">
        <x:v>Bear</x:v>
      </x:c>
      <x:c r="C7" s="16" t="str">
        <x:v>Base</x:v>
      </x:c>
      <x:c r="D7" s="16" t="str">
        <x:v>Bull</x:v>
      </x:c>
      <x:c r="E7" s="16" t="str">
        <x:v>ACTIVE</x:v>
      </x:c>
      <x:c r="F7" s="16" t="str">
        <x:v>Interpretation &amp; evidence limits</x:v>
      </x:c>
      <x:c r="G7" s="16" t="str">
        <x:v>Units</x:v>
      </x:c>
    </x:row>
    <x:row r="8" ht="26" customHeight="1">
      <x:c r="A8" t="str">
        <x:v>Ramp worker-spend tiers / published median (modeled)</x:v>
      </x:c>
      <x:c r="B8" s="24" t="n">
        <x:f>'13 Spend Calibration'!G8</x:f>
        <x:v>2.68092050209205</x:v>
      </x:c>
      <x:c r="C8" s="24" t="n">
        <x:f>'13 Spend Calibration'!G9</x:f>
        <x:v>8.841066945606695</x:v>
      </x:c>
      <x:c r="D8" s="24" t="n">
        <x:f>'13 Spend Calibration'!G10</x:f>
        <x:v>11.668974895397492</x:v>
      </x:c>
      <x:c r="E8" s="26" t="n">
        <x:f>INDEX(B8:D8,1,$B$4)</x:f>
        <x:v>8.841066945606695</x:v>
      </x:c>
      <x:c r="F8" t="str">
        <x:v>DERIVED from worker-share mix in 13 Spend Calibration; observations are company-cohort medians, NOT worker-tier means. Subject to sampling bias.</x:v>
      </x:c>
      <x:c r="G8" t="str">
        <x:v>multiple</x:v>
      </x:c>
    </x:row>
    <x:row r="9" ht="26" customHeight="1">
      <x:c r="A9" t="str">
        <x:v>Ramp-to-national paid spending coverage</x:v>
      </x:c>
      <x:c r="B9" s="24" t="n">
        <x:v>0.85</x:v>
      </x:c>
      <x:c r="C9" s="24" t="n">
        <x:v>1</x:v>
      </x:c>
      <x:c r="D9" s="24" t="n">
        <x:v>1.05</x:v>
      </x:c>
      <x:c r="E9" s="26" t="n">
        <x:f>INDEX(B9:D9,1,$B$4)</x:f>
        <x:v>1</x:v>
      </x:c>
      <x:c r="F9" t="str">
        <x:v>UNOBSERVED sampling/channel adjustment; use 1.0 as neutral.</x:v>
      </x:c>
      <x:c r="G9" t="str">
        <x:v>ratio</x:v>
      </x:c>
    </x:row>
    <x:row r="10" ht="26" customHeight="1">
      <x:c r="A10" t="str">
        <x:v>Missing Ramp industry: relative Census exponent</x:v>
      </x:c>
      <x:c r="B10" s="24" t="n">
        <x:v>0.25</x:v>
      </x:c>
      <x:c r="C10" s="24" t="n">
        <x:v>0.5</x:v>
      </x:c>
      <x:c r="D10" s="24" t="n">
        <x:v>0.7</x:v>
      </x:c>
      <x:c r="E10" s="26" t="n">
        <x:f>INDEX(B10:D10,1,$B$4)</x:f>
        <x:v>0.5</x:v>
      </x:c>
      <x:c r="F10" t="str">
        <x:v>Proxy only when Ramp industry paid rate unavailable; Census measures use, not payment.</x:v>
      </x:c>
      <x:c r="G10" t="str">
        <x:v>elasticity</x:v>
      </x:c>
    </x:row>
    <x:row r="11" ht="26" customHeight="1">
      <x:c r="A11" t="str">
        <x:v>Firm-paid share to employee-paid share</x:v>
      </x:c>
      <x:c r="B11" s="24" t="n">
        <x:v>0.9</x:v>
      </x:c>
      <x:c r="C11" s="24" t="n">
        <x:v>1</x:v>
      </x:c>
      <x:c r="D11" s="24" t="n">
        <x:v>1.12</x:v>
      </x:c>
      <x:c r="E11" s="26" t="n">
        <x:f>INDEX(B11:D11,1,$B$4)</x:f>
        <x:v>1</x:v>
      </x:c>
      <x:c r="F11" t="str">
        <x:v>UNOBSERVED weighting bridge. Census 18% firm vs 32% weighted is NOT a Ramp paid ratio.</x:v>
      </x:c>
      <x:c r="G11" t="str">
        <x:v>ratio</x:v>
      </x:c>
    </x:row>
    <x:row r="12" ht="26" customHeight="1">
      <x:c r="A12" t="str">
        <x:v>Annual conversion of remaining non-paying workers</x:v>
      </x:c>
      <x:c r="B12" s="24" t="n">
        <x:v>0.06</x:v>
      </x:c>
      <x:c r="C12" s="24" t="n">
        <x:v>0.1</x:v>
      </x:c>
      <x:c r="D12" s="24" t="n">
        <x:v>0.14</x:v>
      </x:c>
      <x:c r="E12" s="26" t="n">
        <x:f>INDEX(B12:D12,1,$B$4)</x:f>
        <x:v>0.1</x:v>
      </x:c>
      <x:c r="F12" t="str">
        <x:v>Diffusion scenario (remaining non-paying fraction), not historical industry fit.</x:v>
      </x:c>
      <x:c r="G12" t="str">
        <x:v>fraction</x:v>
      </x:c>
    </x:row>
    <x:row r="13" ht="26" customHeight="1">
      <x:c r="A13" t="str">
        <x:v>AI spending elasticity to industry VA per worker</x:v>
      </x:c>
      <x:c r="B13" s="24" t="n">
        <x:v>0.1</x:v>
      </x:c>
      <x:c r="C13" s="24" t="n">
        <x:v>0.2</x:v>
      </x:c>
      <x:c r="D13" s="24" t="n">
        <x:v>0.25</x:v>
      </x:c>
      <x:c r="E13" s="26" t="n">
        <x:f>INDEX(B13:D13,1,$B$4)</x:f>
        <x:v>0.2</x:v>
      </x:c>
      <x:c r="F13" t="str">
        <x:v>Analyst income proxy; bounded from 0.5x to 2.0x.</x:v>
      </x:c>
      <x:c r="G13" t="str">
        <x:v>elasticity</x:v>
      </x:c>
    </x:row>
    <x:row r="14" ht="26" customHeight="1">
      <x:c r="A14" t="str">
        <x:v>2026 share of AI spending exposed to token pricing</x:v>
      </x:c>
      <x:c r="B14" s="24" t="n">
        <x:v>0.5</x:v>
      </x:c>
      <x:c r="C14" s="24" t="n">
        <x:v>0.6</x:v>
      </x:c>
      <x:c r="D14" s="24" t="n">
        <x:v>0.65</x:v>
      </x:c>
      <x:c r="E14" s="26" t="n">
        <x:f>INDEX(B14:D14,1,$B$4)</x:f>
        <x:v>0.6</x:v>
      </x:c>
      <x:c r="F14" t="str">
        <x:v>Partition of SAME starting spend, not additional revenue.</x:v>
      </x:c>
      <x:c r="G14" t="str">
        <x:v>fraction</x:v>
      </x:c>
    </x:row>
    <x:row r="15" ht="26" customHeight="1">
      <x:c r="A15" t="str">
        <x:v>Annual organic token workloads per paid worker</x:v>
      </x:c>
      <x:c r="B15" s="24" t="n">
        <x:v>0.22</x:v>
      </x:c>
      <x:c r="C15" s="24" t="n">
        <x:v>0.4</x:v>
      </x:c>
      <x:c r="D15" s="24" t="n">
        <x:v>0.42</x:v>
      </x:c>
      <x:c r="E15" s="26" t="n">
        <x:f>INDEX(B15:D15,1,$B$4)</x:f>
        <x:v>0.4</x:v>
      </x:c>
      <x:c r="F15" t="str">
        <x:v>New tasks/agentic work unrelated to price rebound; NOT a paper's projected CAGR.</x:v>
      </x:c>
      <x:c r="G15" t="str">
        <x:v>growth</x:v>
      </x:c>
    </x:row>
    <x:row r="16" ht="26" customHeight="1">
      <x:c r="A16" t="str">
        <x:v>Annual decline in monetized token price</x:v>
      </x:c>
      <x:c r="B16" s="24" t="n">
        <x:v>0.3</x:v>
      </x:c>
      <x:c r="C16" s="24" t="n">
        <x:v>0.22</x:v>
      </x:c>
      <x:c r="D16" s="24" t="n">
        <x:v>0.17</x:v>
      </x:c>
      <x:c r="E16" s="26" t="n">
        <x:f>INDEX(B16:D16,1,$B$4)</x:f>
        <x:v>0.22</x:v>
      </x:c>
      <x:c r="F16" t="str">
        <x:v>Net price after model mix, prompt caching, contract concessions.</x:v>
      </x:c>
      <x:c r="G16" t="str">
        <x:v>decline</x:v>
      </x:c>
    </x:row>
    <x:row r="17" ht="26" customHeight="1">
      <x:c r="A17" t="str">
        <x:v>Token workload PRICE elasticity (rebound)</x:v>
      </x:c>
      <x:c r="B17" s="24" t="n">
        <x:v>0.4</x:v>
      </x:c>
      <x:c r="C17" s="24" t="n">
        <x:v>0.8</x:v>
      </x:c>
      <x:c r="D17" s="24" t="n">
        <x:v>1.1</x:v>
      </x:c>
      <x:c r="E17" s="26" t="n">
        <x:f>INDEX(B17:D17,1,$B$4)</x:f>
        <x:v>0.8</x:v>
      </x:c>
      <x:c r="F17" t="str">
        <x:v>Elasticity &gt;1 =&gt; lower token prices raise nominal token spending; assumption.</x:v>
      </x:c>
      <x:c r="G17" t="str">
        <x:v>elasticity</x:v>
      </x:c>
    </x:row>
    <x:row r="18" ht="26" customHeight="1">
      <x:c r="A18" t="str">
        <x:v>Annual non-token realized spend per worker growth</x:v>
      </x:c>
      <x:c r="B18" s="24" t="n">
        <x:v>0.005</x:v>
      </x:c>
      <x:c r="C18" s="24" t="n">
        <x:v>0.02</x:v>
      </x:c>
      <x:c r="D18" s="24" t="n">
        <x:v>0.035</x:v>
      </x:c>
      <x:c r="E18" s="26" t="n">
        <x:f>INDEX(B18:D18,1,$B$4)</x:f>
        <x:v>0.02</x:v>
      </x:c>
      <x:c r="F18" t="str">
        <x:v>Product mix / annual price changes, not token growth.</x:v>
      </x:c>
      <x:c r="G18" t="str">
        <x:v>growth</x:v>
      </x:c>
    </x:row>
    <x:row r="19" ht="26" customHeight="1">
      <x:c r="A19" t="str">
        <x:v>Annual NOMINAL non-AI value added per worker growth</x:v>
      </x:c>
      <x:c r="B19" s="24" t="n">
        <x:v>0.015</x:v>
      </x:c>
      <x:c r="C19" s="24" t="n">
        <x:v>0.025</x:v>
      </x:c>
      <x:c r="D19" s="24" t="n">
        <x:v>0.035</x:v>
      </x:c>
      <x:c r="E19" s="26" t="n">
        <x:f>INDEX(B19:D19,1,$B$4)</x:f>
        <x:v>0.025</x:v>
      </x:c>
      <x:c r="F19" t="str">
        <x:v>Analyst macro nominal worker-output trend, NOT official forecast.</x:v>
      </x:c>
      <x:c r="G19" t="str">
        <x:v>growth</x:v>
      </x:c>
    </x:row>
    <x:row r="20" ht="26" customHeight="1">
      <x:c r="A20" t="str">
        <x:v>Enterprise spending elasticity to baseline nominal VA growth</x:v>
      </x:c>
      <x:c r="B20" s="24" t="n">
        <x:v>0.2</x:v>
      </x:c>
      <x:c r="C20" s="24" t="n">
        <x:v>0.4</x:v>
      </x:c>
      <x:c r="D20" s="24" t="n">
        <x:v>0.65</x:v>
      </x:c>
      <x:c r="E20" s="26" t="n">
        <x:f>INDEX(B20:D20,1,$B$4)</x:f>
        <x:v>0.4</x:v>
      </x:c>
      <x:c r="F20" t="str">
        <x:v>Separate income effect after BLS employment changes.</x:v>
      </x:c>
      <x:c r="G20" t="str">
        <x:v>elasticity</x:v>
      </x:c>
    </x:row>
    <x:row r="21" ht="26" customHeight="1">
      <x:c r="A21" t="str">
        <x:v>AI productivity -&gt; AI spending feedback elasticity</x:v>
      </x:c>
      <x:c r="B21" s="24" t="n">
        <x:v>0</x:v>
      </x:c>
      <x:c r="C21" s="24" t="n">
        <x:v>0.3</x:v>
      </x:c>
      <x:c r="D21" s="24" t="n">
        <x:v>0.45</x:v>
      </x:c>
      <x:c r="E21" s="26" t="n">
        <x:f>INDEX(B21:D21,1,$B$4)</x:f>
        <x:v>0.3</x:v>
      </x:c>
      <x:c r="F21" t="str">
        <x:v>Flywheel from OECD post-2026 GDP output uplift to AI demand, applied ONCE.</x:v>
      </x:c>
      <x:c r="G21" t="str">
        <x:v>elasticity</x:v>
      </x:c>
    </x:row>
    <x:row r="22" ht="26" customHeight="1">
      <x:c r="A22" t="str">
        <x:v>Included workforce share in partial industry</x:v>
      </x:c>
      <x:c r="B22" s="24" t="n">
        <x:v>0.85</x:v>
      </x:c>
      <x:c r="C22" s="24" t="n">
        <x:v>0.95</x:v>
      </x:c>
      <x:c r="D22" s="24" t="n">
        <x:v>1</x:v>
      </x:c>
      <x:c r="E22" s="26" t="n">
        <x:f>INDEX(B22:D22,1,$B$4)</x:f>
        <x:v>0.95</x:v>
      </x:c>
      <x:c r="F22" t="str">
        <x:v>Scope haircut for BLS vs private purchaser coverage; assumption.</x:v>
      </x:c>
      <x:c r="G22" t="str">
        <x:v>fraction</x:v>
      </x:c>
    </x:row>
    <x:row r="23" ht="26" customHeight="1">
      <x:c r="A23" t="str">
        <x:v>Real estate VA share attributable to business operations</x:v>
      </x:c>
      <x:c r="B23" s="24" t="n">
        <x:v>0.25</x:v>
      </x:c>
      <x:c r="C23" s="24" t="n">
        <x:v>0.35</x:v>
      </x:c>
      <x:c r="D23" s="24" t="n">
        <x:v>0.45</x:v>
      </x:c>
      <x:c r="E23" s="26" t="n">
        <x:f>INDEX(B23:D23,1,$B$4)</x:f>
        <x:v>0.35</x:v>
      </x:c>
      <x:c r="F23" t="str">
        <x:v>Removes imputed housing VA from spending intensity comparison; assumption.</x:v>
      </x:c>
      <x:c r="G23" t="str">
        <x:v>fraction</x:v>
      </x:c>
    </x:row>
    <x:row r="24" ht="26" customHeight="1">
      <x:c r="A24" t="str">
        <x:v>Selected OECD scenario (1=Low, 2=High, 3=Uneven)</x:v>
      </x:c>
      <x:c r="B24" s="24" t="n">
        <x:v>1</x:v>
      </x:c>
      <x:c r="C24" s="24" t="n">
        <x:v>2</x:v>
      </x:c>
      <x:c r="D24" s="24" t="n">
        <x:v>3</x:v>
      </x:c>
      <x:c r="E24" s="26" t="n">
        <x:f>INDEX(B24:D24,1,$B$4)</x:f>
        <x:v>2</x:v>
      </x:c>
      <x:c r="F24" t="str">
        <x:v>OECD 2023–2033 CUMULATIVE level gains, not annual growth rates.</x:v>
      </x:c>
      <x:c r="G24" t="str">
        <x:v>choice</x:v>
      </x:c>
    </x:row>
    <x:row r="25" ht="26" customHeight="1">
      <x:c r="A25" t="str">
        <x:v>2026 consumer personal paid share</x:v>
      </x:c>
      <x:c r="B25" s="24" t="n">
        <x:v>0.18</x:v>
      </x:c>
      <x:c r="C25" s="24" t="n">
        <x:v>0.22</x:v>
      </x:c>
      <x:c r="D25" s="24" t="n">
        <x:v>0.28</x:v>
      </x:c>
      <x:c r="E25" s="26" t="n">
        <x:f>INDEX(B25:D25,1,$B$4)</x:f>
        <x:v>0.22</x:v>
      </x:c>
      <x:c r="F25" t="str">
        <x:v>NOT measured by Stanford WTA.</x:v>
      </x:c>
      <x:c r="G25" t="str">
        <x:v>fraction</x:v>
      </x:c>
    </x:row>
    <x:row r="26" ht="26" customHeight="1">
      <x:c r="A26" t="str">
        <x:v>Annual consumer paying share change (percentage points)</x:v>
      </x:c>
      <x:c r="B26" s="24" t="n">
        <x:v>0.015</x:v>
      </x:c>
      <x:c r="C26" s="24" t="n">
        <x:v>0.025</x:v>
      </x:c>
      <x:c r="D26" s="24" t="n">
        <x:v>0.035</x:v>
      </x:c>
      <x:c r="E26" s="26" t="n">
        <x:f>INDEX(B26:D26,1,$B$4)</x:f>
        <x:v>0.025</x:v>
      </x:c>
      <x:c r="F26" t="str">
        <x:v>Paid conversion scenario.</x:v>
      </x:c>
      <x:c r="G26" t="str">
        <x:v>pp/year</x:v>
      </x:c>
    </x:row>
    <x:row r="27" ht="26" customHeight="1">
      <x:c r="A27" t="str">
        <x:v>2026 consumer realized $ per personally paying user/month</x:v>
      </x:c>
      <x:c r="B27" s="24" t="n">
        <x:v>25</x:v>
      </x:c>
      <x:c r="C27" s="24" t="n">
        <x:v>30</x:v>
      </x:c>
      <x:c r="D27" s="24" t="n">
        <x:v>40</x:v>
      </x:c>
      <x:c r="E27" s="26" t="n">
        <x:f>INDEX(B27:D27,1,$B$4)</x:f>
        <x:v>30</x:v>
      </x:c>
      <x:c r="F27" t="str">
        <x:v>Price/mix scenario; not Stanford willingness-to-accept.</x:v>
      </x:c>
      <x:c r="G27" t="str">
        <x:v>USD/month</x:v>
      </x:c>
    </x:row>
    <x:row r="28" ht="26" customHeight="1">
      <x:c r="A28" t="str">
        <x:v>Annual consumer plan/tier realized price change</x:v>
      </x:c>
      <x:c r="B28" s="24" t="n">
        <x:v>0.01</x:v>
      </x:c>
      <x:c r="C28" s="24" t="n">
        <x:v>0.025</x:v>
      </x:c>
      <x:c r="D28" s="24" t="n">
        <x:v>0.04</x:v>
      </x:c>
      <x:c r="E28" s="26" t="n">
        <x:f>INDEX(B28:D28,1,$B$4)</x:f>
        <x:v>0.025</x:v>
      </x:c>
      <x:c r="F28" t="str">
        <x:v>Price/mix assumption.</x:v>
      </x:c>
      <x:c r="G28" t="str">
        <x:v>growth</x:v>
      </x:c>
    </x:row>
    <x:row r="29" ht="26" customHeight="1">
      <x:c r="A29" t="str">
        <x:v>US GenAI consumer reachable maximum users (millions)</x:v>
      </x:c>
      <x:c r="B29" s="24" t="n">
        <x:v>240</x:v>
      </x:c>
      <x:c r="C29" s="24" t="n">
        <x:v>260</x:v>
      </x:c>
      <x:c r="D29" s="24" t="n">
        <x:v>280</x:v>
      </x:c>
      <x:c r="E29" s="26" t="n">
        <x:f>INDEX(B29:D29,1,$B$4)</x:f>
        <x:v>260</x:v>
      </x:c>
      <x:c r="F29" t="str">
        <x:v>Ceiling of potential users; demographic assumption.</x:v>
      </x:c>
      <x:c r="G29" t="str">
        <x:v>millions</x:v>
      </x:c>
    </x:row>
    <x:row r="30" ht="26" customHeight="1">
      <x:c r="A30" t="str">
        <x:v>Consumer user diffusion speed multiplier</x:v>
      </x:c>
      <x:c r="B30" s="24" t="n">
        <x:v>0.7</x:v>
      </x:c>
      <x:c r="C30" s="24" t="n">
        <x:v>1</x:v>
      </x:c>
      <x:c r="D30" s="24" t="n">
        <x:v>1.3</x:v>
      </x:c>
      <x:c r="E30" s="26" t="n">
        <x:f>INDEX(B30:D30,1,$B$4)</x:f>
        <x:v>1</x:v>
      </x:c>
      <x:c r="F30" t="str">
        <x:v>Speed versus 2025–2026 Stanford change; scenario.</x:v>
      </x:c>
      <x:c r="G30" t="str">
        <x:v>ratio</x:v>
      </x:c>
    </x:row>
  </x:sheetData>
  <x:mergeCells>
    <x:mergeCell ref="A1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21" hidden="0" customWidth="1"/>
    <x:col min="4" max="4" width="23" hidden="0" customWidth="1"/>
    <x:col min="5" max="5" width="29" hidden="0" customWidth="1"/>
    <x:col min="6" max="6" width="49" hidden="0" customWidth="1"/>
  </x:cols>
  <x:sheetData>
    <x:row r="1" ht="20" customHeight="1">
      <x:c r="A1" s="8" t="str">
        <x:v>BLS 2025 EMPLOYMENT + 2035 PROJECTIONS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https://www.bls.gov/emp/industry-employment/industry.xlsx</x:v>
      </x:c>
      <x:c r="D3" s="167" t="str">
        <x:v>COPY B3 LINK</x:v>
      </x:c>
    </x:row>
    <x:row r="4" ht="20" customHeight="1">
      <x:c r="A4" s="168" t="str">
        <x:v>REBUILD: Table 2.1; 2025 employment and projected 2035 employment. Units: thousands.  Model vintage: BLS, 2025/2035.  This workbook is NOT automatically refreshed from the website.</x:v>
      </x:c>
    </x:row>
    <x:row r="5" ht="20" customHeight="1"/>
    <x:row r="6" ht="20" customHeight="1"/>
    <x:row r="7" ht="20" customHeight="1">
      <x:c r="A7" s="16" t="str">
        <x:v>NAICS</x:v>
      </x:c>
      <x:c r="B7" s="16" t="str">
        <x:v>Industry</x:v>
      </x:c>
      <x:c r="C7" s="16" t="str">
        <x:v>2025 jobs (thousands)</x:v>
      </x:c>
      <x:c r="D7" s="16" t="str">
        <x:v>2035 jobs (thousands)</x:v>
      </x:c>
      <x:c r="E7" s="16" t="str">
        <x:v>Old status (not zero rule)</x:v>
      </x:c>
      <x:c r="F7" s="16" t="str">
        <x:v>Government source URL</x:v>
      </x:c>
    </x:row>
    <x:row r="8" ht="22" customHeight="1">
      <x:c r="A8" s="18" t="str">
        <x:v>11</x:v>
      </x:c>
      <x:c r="B8" s="18" t="str">
        <x:v>Agriculture, Forestry, Fishing and Hunting</x:v>
      </x:c>
      <x:c r="C8" s="20" t="n">
        <x:v>1462.4</x:v>
      </x:c>
      <x:c r="D8" s="20" t="n">
        <x:v>1484.1</x:v>
      </x:c>
      <x:c r="E8" s="20" t="str">
        <x:v>Excluded</x:v>
      </x:c>
      <x:c r="F8" s="18" t="str">
        <x:v>https://www.bls.gov/emp/tables/employment-by-major-industry-sector.htm</x:v>
      </x:c>
    </x:row>
    <x:row r="9" ht="22" customHeight="1">
      <x:c r="A9" s="18" t="str">
        <x:v>21</x:v>
      </x:c>
      <x:c r="B9" s="18" t="str">
        <x:v>Mining, Quarrying, Oil and Gas Extraction</x:v>
      </x:c>
      <x:c r="C9" s="20" t="n">
        <x:v>573.5</x:v>
      </x:c>
      <x:c r="D9" s="20" t="n">
        <x:v>577.3</x:v>
      </x:c>
      <x:c r="E9" s="20" t="str">
        <x:v>Included</x:v>
      </x:c>
      <x:c r="F9" s="18" t="str">
        <x:v>https://www.bls.gov/emp/tables/employment-by-major-industry-sector.htm</x:v>
      </x:c>
    </x:row>
    <x:row r="10" ht="22" customHeight="1">
      <x:c r="A10" s="18" t="str">
        <x:v>22</x:v>
      </x:c>
      <x:c r="B10" s="18" t="str">
        <x:v>Utilities</x:v>
      </x:c>
      <x:c r="C10" s="20" t="n">
        <x:v>601.3</x:v>
      </x:c>
      <x:c r="D10" s="20" t="n">
        <x:v>660.1</x:v>
      </x:c>
      <x:c r="E10" s="20" t="str">
        <x:v>Included</x:v>
      </x:c>
      <x:c r="F10" s="18" t="str">
        <x:v>https://www.bls.gov/emp/tables/employment-by-major-industry-sector.htm</x:v>
      </x:c>
    </x:row>
    <x:row r="11" ht="22" customHeight="1">
      <x:c r="A11" s="18" t="str">
        <x:v>23</x:v>
      </x:c>
      <x:c r="B11" s="18" t="str">
        <x:v>Construction</x:v>
      </x:c>
      <x:c r="C11" s="20" t="n">
        <x:v>8266.7</x:v>
      </x:c>
      <x:c r="D11" s="20" t="n">
        <x:v>8677.4</x:v>
      </x:c>
      <x:c r="E11" s="20" t="str">
        <x:v>Included</x:v>
      </x:c>
      <x:c r="F11" s="18" t="str">
        <x:v>https://www.bls.gov/emp/tables/employment-by-major-industry-sector.htm</x:v>
      </x:c>
    </x:row>
    <x:row r="12" ht="22" customHeight="1">
      <x:c r="A12" s="18" t="str">
        <x:v>31-33</x:v>
      </x:c>
      <x:c r="B12" s="18" t="str">
        <x:v>Manufacturing</x:v>
      </x:c>
      <x:c r="C12" s="20" t="n">
        <x:v>12633.7</x:v>
      </x:c>
      <x:c r="D12" s="20" t="n">
        <x:v>12705.8</x:v>
      </x:c>
      <x:c r="E12" s="20" t="str">
        <x:v>Included</x:v>
      </x:c>
      <x:c r="F12" s="18" t="str">
        <x:v>https://www.bls.gov/emp/tables/employment-by-major-industry-sector.htm</x:v>
      </x:c>
    </x:row>
    <x:row r="13" ht="22" customHeight="1">
      <x:c r="A13" s="18" t="str">
        <x:v>42</x:v>
      </x:c>
      <x:c r="B13" s="18" t="str">
        <x:v>Wholesale Trade</x:v>
      </x:c>
      <x:c r="C13" s="20" t="n">
        <x:v>6059.5</x:v>
      </x:c>
      <x:c r="D13" s="20" t="n">
        <x:v>6184.7</x:v>
      </x:c>
      <x:c r="E13" s="20" t="str">
        <x:v>Included</x:v>
      </x:c>
      <x:c r="F13" s="18" t="str">
        <x:v>https://www.bls.gov/emp/tables/employment-by-major-industry-sector.htm</x:v>
      </x:c>
    </x:row>
    <x:row r="14" ht="22" customHeight="1">
      <x:c r="A14" s="18" t="str">
        <x:v>44-45</x:v>
      </x:c>
      <x:c r="B14" s="18" t="str">
        <x:v>Retail Trade</x:v>
      </x:c>
      <x:c r="C14" s="20" t="n">
        <x:v>15440.9</x:v>
      </x:c>
      <x:c r="D14" s="20" t="n">
        <x:v>15413.4</x:v>
      </x:c>
      <x:c r="E14" s="20" t="str">
        <x:v>Included</x:v>
      </x:c>
      <x:c r="F14" s="18" t="str">
        <x:v>https://www.bls.gov/emp/tables/employment-by-major-industry-sector.htm</x:v>
      </x:c>
    </x:row>
    <x:row r="15" ht="22" customHeight="1">
      <x:c r="A15" s="18" t="str">
        <x:v>48-49</x:v>
      </x:c>
      <x:c r="B15" s="18" t="str">
        <x:v>Transportation and Warehousing</x:v>
      </x:c>
      <x:c r="C15" s="20" t="n">
        <x:v>6639.5</x:v>
      </x:c>
      <x:c r="D15" s="20" t="n">
        <x:v>6846.8</x:v>
      </x:c>
      <x:c r="E15" s="20" t="str">
        <x:v>Partial</x:v>
      </x:c>
      <x:c r="F15" s="18" t="str">
        <x:v>https://www.bls.gov/emp/tables/employment-by-major-industry-sector.htm</x:v>
      </x:c>
    </x:row>
    <x:row r="16" ht="22" customHeight="1">
      <x:c r="A16" s="18" t="str">
        <x:v>51</x:v>
      </x:c>
      <x:c r="B16" s="18" t="str">
        <x:v>Information</x:v>
      </x:c>
      <x:c r="C16" s="20" t="n">
        <x:v>2861.9</x:v>
      </x:c>
      <x:c r="D16" s="20" t="n">
        <x:v>3012.9</x:v>
      </x:c>
      <x:c r="E16" s="20" t="str">
        <x:v>Included</x:v>
      </x:c>
      <x:c r="F16" s="18" t="str">
        <x:v>https://www.bls.gov/emp/tables/employment-by-major-industry-sector.htm</x:v>
      </x:c>
    </x:row>
    <x:row r="17" ht="22" customHeight="1">
      <x:c r="A17" s="18" t="str">
        <x:v>52</x:v>
      </x:c>
      <x:c r="B17" s="18" t="str">
        <x:v>Finance and Insurance</x:v>
      </x:c>
      <x:c r="C17" s="20" t="n">
        <x:v>6739.3</x:v>
      </x:c>
      <x:c r="D17" s="20" t="n">
        <x:v>6893.6</x:v>
      </x:c>
      <x:c r="E17" s="20" t="str">
        <x:v>Partial</x:v>
      </x:c>
      <x:c r="F17" s="18" t="str">
        <x:v>https://www.bls.gov/emp/tables/employment-by-major-industry-sector.htm</x:v>
      </x:c>
    </x:row>
    <x:row r="18" ht="22" customHeight="1">
      <x:c r="A18" s="18" t="str">
        <x:v>53</x:v>
      </x:c>
      <x:c r="B18" s="18" t="str">
        <x:v>Real Estate and Rental and Leasing</x:v>
      </x:c>
      <x:c r="C18" s="20" t="n">
        <x:v>2456.7</x:v>
      </x:c>
      <x:c r="D18" s="20" t="n">
        <x:v>2539.7</x:v>
      </x:c>
      <x:c r="E18" s="20" t="str">
        <x:v>Included</x:v>
      </x:c>
      <x:c r="F18" s="18" t="str">
        <x:v>https://www.bls.gov/emp/tables/employment-by-major-industry-sector.htm</x:v>
      </x:c>
    </x:row>
    <x:row r="19" ht="22" customHeight="1">
      <x:c r="A19" s="18" t="str">
        <x:v>54</x:v>
      </x:c>
      <x:c r="B19" s="18" t="str">
        <x:v>Professional, Scientific and Technical Services</x:v>
      </x:c>
      <x:c r="C19" s="20" t="n">
        <x:v>10779.2</x:v>
      </x:c>
      <x:c r="D19" s="20" t="n">
        <x:v>11705.9</x:v>
      </x:c>
      <x:c r="E19" s="20" t="str">
        <x:v>Included</x:v>
      </x:c>
      <x:c r="F19" s="18" t="str">
        <x:v>https://www.bls.gov/emp/tables/employment-by-major-industry-sector.htm</x:v>
      </x:c>
    </x:row>
    <x:row r="20" ht="22" customHeight="1">
      <x:c r="A20" s="18" t="str">
        <x:v>55</x:v>
      </x:c>
      <x:c r="B20" s="18" t="str">
        <x:v>Management of Companies and Enterprises</x:v>
      </x:c>
      <x:c r="C20" s="20" t="n">
        <x:v>2623.7</x:v>
      </x:c>
      <x:c r="D20" s="20" t="n">
        <x:v>2730.4</x:v>
      </x:c>
      <x:c r="E20" s="20" t="str">
        <x:v>Included</x:v>
      </x:c>
      <x:c r="F20" s="18" t="str">
        <x:v>https://www.bls.gov/emp/tables/employment-by-major-industry-sector.htm</x:v>
      </x:c>
    </x:row>
    <x:row r="21" ht="22" customHeight="1">
      <x:c r="A21" s="18" t="str">
        <x:v>56</x:v>
      </x:c>
      <x:c r="B21" s="18" t="str">
        <x:v>Administrative, Support and Waste Services</x:v>
      </x:c>
      <x:c r="C21" s="20" t="n">
        <x:v>9013.1</x:v>
      </x:c>
      <x:c r="D21" s="20" t="n">
        <x:v>9093.5</x:v>
      </x:c>
      <x:c r="E21" s="20" t="str">
        <x:v>Included</x:v>
      </x:c>
      <x:c r="F21" s="18" t="str">
        <x:v>https://www.bls.gov/emp/tables/employment-by-major-industry-sector.htm</x:v>
      </x:c>
    </x:row>
    <x:row r="22" ht="22" customHeight="1">
      <x:c r="A22" s="18" t="str">
        <x:v>61</x:v>
      </x:c>
      <x:c r="B22" s="18" t="str">
        <x:v>Educational Services (Private)</x:v>
      </x:c>
      <x:c r="C22" s="20" t="n">
        <x:v>4048.8</x:v>
      </x:c>
      <x:c r="D22" s="20" t="n">
        <x:v>4150.9</x:v>
      </x:c>
      <x:c r="E22" s="20" t="str">
        <x:v>Included</x:v>
      </x:c>
      <x:c r="F22" s="18" t="str">
        <x:v>https://www.bls.gov/emp/tables/employment-by-major-industry-sector.htm</x:v>
      </x:c>
    </x:row>
    <x:row r="23" ht="22" customHeight="1">
      <x:c r="A23" s="18" t="str">
        <x:v>62</x:v>
      </x:c>
      <x:c r="B23" s="18" t="str">
        <x:v>Health Care and Social Assistance (Private)</x:v>
      </x:c>
      <x:c r="C23" s="20" t="n">
        <x:v>23290</x:v>
      </x:c>
      <x:c r="D23" s="20" t="n">
        <x:v>25494.8</x:v>
      </x:c>
      <x:c r="E23" s="20" t="str">
        <x:v>Included</x:v>
      </x:c>
      <x:c r="F23" s="18" t="str">
        <x:v>https://www.bls.gov/emp/tables/employment-by-major-industry-sector.htm</x:v>
      </x:c>
    </x:row>
    <x:row r="24" ht="22" customHeight="1">
      <x:c r="A24" s="18" t="str">
        <x:v>71</x:v>
      </x:c>
      <x:c r="B24" s="18" t="str">
        <x:v>Arts, Entertainment and Recreation</x:v>
      </x:c>
      <x:c r="C24" s="20" t="n">
        <x:v>2681.7</x:v>
      </x:c>
      <x:c r="D24" s="20" t="n">
        <x:v>2834.8</x:v>
      </x:c>
      <x:c r="E24" s="20" t="str">
        <x:v>Included</x:v>
      </x:c>
      <x:c r="F24" s="18" t="str">
        <x:v>https://www.bls.gov/emp/tables/employment-by-major-industry-sector.htm</x:v>
      </x:c>
    </x:row>
    <x:row r="25" ht="22" customHeight="1">
      <x:c r="A25" s="18" t="str">
        <x:v>72</x:v>
      </x:c>
      <x:c r="B25" s="18" t="str">
        <x:v>Accommodation and Food Services</x:v>
      </x:c>
      <x:c r="C25" s="20" t="n">
        <x:v>14202.1</x:v>
      </x:c>
      <x:c r="D25" s="20" t="n">
        <x:v>14809.5</x:v>
      </x:c>
      <x:c r="E25" s="20" t="str">
        <x:v>Included</x:v>
      </x:c>
      <x:c r="F25" s="18" t="str">
        <x:v>https://www.bls.gov/emp/tables/employment-by-major-industry-sector.htm</x:v>
      </x:c>
    </x:row>
    <x:row r="26" ht="22" customHeight="1">
      <x:c r="A26" s="18" t="str">
        <x:v>81</x:v>
      </x:c>
      <x:c r="B26" s="18" t="str">
        <x:v>Other Services Except Public Administration</x:v>
      </x:c>
      <x:c r="C26" s="20" t="n">
        <x:v>6575.7</x:v>
      </x:c>
      <x:c r="D26" s="20" t="n">
        <x:v>6822.6</x:v>
      </x:c>
      <x:c r="E26" s="20" t="str">
        <x:v>Partial</x:v>
      </x:c>
      <x:c r="F26" s="18" t="str">
        <x:v>https://www.bls.gov/emp/tables/employment-by-major-industry-sector.htm</x:v>
      </x:c>
    </x:row>
    <x:row r="27" ht="22" customHeight="1">
      <x:c r="A27" s="18" t="str">
        <x:v>Gov</x:v>
      </x:c>
      <x:c r="B27" s="18" t="str">
        <x:v>Federal and State/Local Government</x:v>
      </x:c>
      <x:c r="C27" s="20" t="n">
        <x:v>23508.8</x:v>
      </x:c>
      <x:c r="D27" s="20" t="n">
        <x:v>23586.1</x:v>
      </x:c>
      <x:c r="E27" s="20" t="str">
        <x:v>Excluded</x:v>
      </x:c>
      <x:c r="F27" s="18" t="str">
        <x:v>https://www.bls.gov/emp/tables/employment-by-major-industry-sector.htm</x:v>
      </x:c>
    </x:row>
    <x:row r="28" ht="22" customHeight="1">
      <x:c r="A28" s="18"/>
      <x:c r="B28" s="18"/>
      <x:c r="C28" s="18"/>
      <x:c r="D28" s="18"/>
      <x:c r="E28" s="18"/>
      <x:c r="F28" s="18"/>
    </x:row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21" hidden="0" customWidth="1"/>
    <x:col min="4" max="4" width="23" hidden="0" customWidth="1"/>
    <x:col min="5" max="5" width="29" hidden="0" customWidth="1"/>
    <x:col min="6" max="6" width="49" hidden="0" customWidth="1"/>
  </x:cols>
  <x:sheetData>
    <x:row r="1" ht="20" customHeight="1">
      <x:c r="A1" s="8" t="str">
        <x:v>CENSUS BTOS AI USAGE — NOT A PURCHASE RATE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https://www.census.gov/hfp/btos/data_downloads</x:v>
      </x:c>
      <x:c r="D3" s="167" t="str">
        <x:v>COPY B3 LINK</x:v>
      </x:c>
    </x:row>
    <x:row r="4" ht="20" customHeight="1">
      <x:c r="A4" s="168" t="str">
        <x:v>REBUILD: Core Questions: Sector XLSX, National XLSX, Sector by Employment Size XLSX; AI Supplement Table 2026 for firm activities.  Model vintage: Census 2026; sector extracts need refresh.  This workbook is NOT automatically refreshed from the website.</x:v>
      </x:c>
    </x:row>
    <x:row r="5" ht="23" customHeight="1">
      <x:c r="A5" s="170" t="str">
        <x:v>SOURCE REFRESH REQUIRED: 2026-10-04 core data are available on Census; some sector rates here still use earlier reviewed extracts. Do NOT describe as Oct 2026 observations.</x:v>
      </x:c>
    </x:row>
    <x:row r="6" ht="20" customHeight="1"/>
    <x:row r="7" ht="20" customHeight="1">
      <x:c r="A7" s="16" t="str">
        <x:v>NAICS</x:v>
      </x:c>
      <x:c r="B7" s="16" t="str">
        <x:v>Industry</x:v>
      </x:c>
      <x:c r="C7" s="16" t="str">
        <x:v>Observed AI-use rate</x:v>
      </x:c>
      <x:c r="D7" s="16" t="str">
        <x:v>National AI-use proxy</x:v>
      </x:c>
      <x:c r="E7" s="16" t="str">
        <x:v>Observation / proxy flag</x:v>
      </x:c>
      <x:c r="F7" s="16" t="str">
        <x:v>Census source URL</x:v>
      </x:c>
    </x:row>
    <x:row r="8" ht="22" customHeight="1">
      <x:c r="A8" s="18" t="str">
        <x:v>11</x:v>
      </x:c>
      <x:c r="B8" s="18" t="str">
        <x:v>Agriculture, Forestry, Fishing and Hunting</x:v>
      </x:c>
      <x:c r="C8" s="20"/>
      <x:c r="D8" s="20" t="n">
        <x:v>0.238</x:v>
      </x:c>
      <x:c r="E8" s="20" t="str">
        <x:v>Excluded (outside BTOS)</x:v>
      </x:c>
      <x:c r="F8" s="18" t="str">
        <x:v>https://www.census.gov/hfp/btos/data_downloads</x:v>
      </x:c>
    </x:row>
    <x:row r="9" ht="22" customHeight="1">
      <x:c r="A9" s="18" t="str">
        <x:v>21</x:v>
      </x:c>
      <x:c r="B9" s="18" t="str">
        <x:v>Mining, Quarrying, Oil and Gas Extraction</x:v>
      </x:c>
      <x:c r="C9" s="20"/>
      <x:c r="D9" s="20" t="n">
        <x:v>0.238</x:v>
      </x:c>
      <x:c r="E9" s="20" t="str">
        <x:v>NATIONAL PROXY - replace</x:v>
      </x:c>
      <x:c r="F9" s="18" t="str">
        <x:v>https://www.census.gov/hfp/btos/data_downloads</x:v>
      </x:c>
    </x:row>
    <x:row r="10" ht="22" customHeight="1">
      <x:c r="A10" s="18" t="str">
        <x:v>22</x:v>
      </x:c>
      <x:c r="B10" s="18" t="str">
        <x:v>Utilities</x:v>
      </x:c>
      <x:c r="C10" s="20"/>
      <x:c r="D10" s="20" t="n">
        <x:v>0.238</x:v>
      </x:c>
      <x:c r="E10" s="20" t="str">
        <x:v>NATIONAL PROXY - replace</x:v>
      </x:c>
      <x:c r="F10" s="18" t="str">
        <x:v>https://www.census.gov/hfp/btos/data_downloads</x:v>
      </x:c>
    </x:row>
    <x:row r="11" ht="22" customHeight="1">
      <x:c r="A11" s="18" t="str">
        <x:v>23</x:v>
      </x:c>
      <x:c r="B11" s="18" t="str">
        <x:v>Construction</x:v>
      </x:c>
      <x:c r="C11" s="20"/>
      <x:c r="D11" s="20" t="n">
        <x:v>0.238</x:v>
      </x:c>
      <x:c r="E11" s="20" t="str">
        <x:v>NATIONAL PROXY - replace</x:v>
      </x:c>
      <x:c r="F11" s="18" t="str">
        <x:v>https://www.census.gov/hfp/btos/data_downloads</x:v>
      </x:c>
    </x:row>
    <x:row r="12" ht="22" customHeight="1">
      <x:c r="A12" s="18" t="str">
        <x:v>31-33</x:v>
      </x:c>
      <x:c r="B12" s="18" t="str">
        <x:v>Manufacturing</x:v>
      </x:c>
      <x:c r="C12" s="20" t="n">
        <x:v>0.234</x:v>
      </x:c>
      <x:c r="D12" s="20" t="n">
        <x:v>0.238</x:v>
      </x:c>
      <x:c r="E12" s="20" t="str">
        <x:v>Observed sector</x:v>
      </x:c>
      <x:c r="F12" s="18" t="str">
        <x:v>https://www.census.gov/hfp/btos/data_downloads</x:v>
      </x:c>
    </x:row>
    <x:row r="13" ht="22" customHeight="1">
      <x:c r="A13" s="18" t="str">
        <x:v>42</x:v>
      </x:c>
      <x:c r="B13" s="18" t="str">
        <x:v>Wholesale Trade</x:v>
      </x:c>
      <x:c r="C13" s="20"/>
      <x:c r="D13" s="20" t="n">
        <x:v>0.238</x:v>
      </x:c>
      <x:c r="E13" s="20" t="str">
        <x:v>NATIONAL PROXY - replace</x:v>
      </x:c>
      <x:c r="F13" s="18" t="str">
        <x:v>https://www.census.gov/hfp/btos/data_downloads</x:v>
      </x:c>
    </x:row>
    <x:row r="14" ht="22" customHeight="1">
      <x:c r="A14" s="18" t="str">
        <x:v>44-45</x:v>
      </x:c>
      <x:c r="B14" s="18" t="str">
        <x:v>Retail Trade</x:v>
      </x:c>
      <x:c r="C14" s="20" t="n">
        <x:v>0.155</x:v>
      </x:c>
      <x:c r="D14" s="20" t="n">
        <x:v>0.238</x:v>
      </x:c>
      <x:c r="E14" s="20" t="str">
        <x:v>Observed sector</x:v>
      </x:c>
      <x:c r="F14" s="18" t="str">
        <x:v>https://www.census.gov/hfp/btos/data_downloads</x:v>
      </x:c>
    </x:row>
    <x:row r="15" ht="22" customHeight="1">
      <x:c r="A15" s="18" t="str">
        <x:v>48-49</x:v>
      </x:c>
      <x:c r="B15" s="18" t="str">
        <x:v>Transportation and Warehousing</x:v>
      </x:c>
      <x:c r="C15" s="20"/>
      <x:c r="D15" s="20" t="n">
        <x:v>0.238</x:v>
      </x:c>
      <x:c r="E15" s="20" t="str">
        <x:v>NATIONAL PROXY - replace</x:v>
      </x:c>
      <x:c r="F15" s="18" t="str">
        <x:v>https://www.census.gov/hfp/btos/data_downloads</x:v>
      </x:c>
    </x:row>
    <x:row r="16" ht="22" customHeight="1">
      <x:c r="A16" s="18" t="str">
        <x:v>51</x:v>
      </x:c>
      <x:c r="B16" s="18" t="str">
        <x:v>Information</x:v>
      </x:c>
      <x:c r="C16" s="20" t="n">
        <x:v>0.435</x:v>
      </x:c>
      <x:c r="D16" s="20" t="n">
        <x:v>0.238</x:v>
      </x:c>
      <x:c r="E16" s="20" t="str">
        <x:v>Observed sector</x:v>
      </x:c>
      <x:c r="F16" s="18" t="str">
        <x:v>https://www.census.gov/hfp/btos/data_downloads</x:v>
      </x:c>
    </x:row>
    <x:row r="17" ht="22" customHeight="1">
      <x:c r="A17" s="18" t="str">
        <x:v>52</x:v>
      </x:c>
      <x:c r="B17" s="18" t="str">
        <x:v>Finance and Insurance</x:v>
      </x:c>
      <x:c r="C17" s="20" t="n">
        <x:v>0.365</x:v>
      </x:c>
      <x:c r="D17" s="20" t="n">
        <x:v>0.238</x:v>
      </x:c>
      <x:c r="E17" s="20" t="str">
        <x:v>Observed sector</x:v>
      </x:c>
      <x:c r="F17" s="18" t="str">
        <x:v>https://www.census.gov/hfp/btos/data_downloads</x:v>
      </x:c>
    </x:row>
    <x:row r="18" ht="22" customHeight="1">
      <x:c r="A18" s="18" t="str">
        <x:v>53</x:v>
      </x:c>
      <x:c r="B18" s="18" t="str">
        <x:v>Real Estate and Rental and Leasing</x:v>
      </x:c>
      <x:c r="C18" s="20"/>
      <x:c r="D18" s="20" t="n">
        <x:v>0.238</x:v>
      </x:c>
      <x:c r="E18" s="20" t="str">
        <x:v>NATIONAL PROXY - replace</x:v>
      </x:c>
      <x:c r="F18" s="18" t="str">
        <x:v>https://www.census.gov/hfp/btos/data_downloads</x:v>
      </x:c>
    </x:row>
    <x:row r="19" ht="22" customHeight="1">
      <x:c r="A19" s="18" t="str">
        <x:v>54</x:v>
      </x:c>
      <x:c r="B19" s="18" t="str">
        <x:v>Professional, Scientific and Technical Services</x:v>
      </x:c>
      <x:c r="C19" s="20" t="n">
        <x:v>0.433</x:v>
      </x:c>
      <x:c r="D19" s="20" t="n">
        <x:v>0.238</x:v>
      </x:c>
      <x:c r="E19" s="20" t="str">
        <x:v>Observed sector</x:v>
      </x:c>
      <x:c r="F19" s="18" t="str">
        <x:v>https://www.census.gov/hfp/btos/data_downloads</x:v>
      </x:c>
    </x:row>
    <x:row r="20" ht="22" customHeight="1">
      <x:c r="A20" s="18" t="str">
        <x:v>55</x:v>
      </x:c>
      <x:c r="B20" s="18" t="str">
        <x:v>Management of Companies and Enterprises</x:v>
      </x:c>
      <x:c r="C20" s="20"/>
      <x:c r="D20" s="20" t="n">
        <x:v>0.238</x:v>
      </x:c>
      <x:c r="E20" s="20" t="str">
        <x:v>NATIONAL PROXY - replace</x:v>
      </x:c>
      <x:c r="F20" s="18" t="str">
        <x:v>https://www.census.gov/hfp/btos/data_downloads</x:v>
      </x:c>
    </x:row>
    <x:row r="21" ht="22" customHeight="1">
      <x:c r="A21" s="18" t="str">
        <x:v>56</x:v>
      </x:c>
      <x:c r="B21" s="18" t="str">
        <x:v>Administrative, Support and Waste Services</x:v>
      </x:c>
      <x:c r="C21" s="20"/>
      <x:c r="D21" s="20" t="n">
        <x:v>0.238</x:v>
      </x:c>
      <x:c r="E21" s="20" t="str">
        <x:v>NATIONAL PROXY - replace</x:v>
      </x:c>
      <x:c r="F21" s="18" t="str">
        <x:v>https://www.census.gov/hfp/btos/data_downloads</x:v>
      </x:c>
    </x:row>
    <x:row r="22" ht="22" customHeight="1">
      <x:c r="A22" s="18" t="str">
        <x:v>61</x:v>
      </x:c>
      <x:c r="B22" s="18" t="str">
        <x:v>Educational Services (Private)</x:v>
      </x:c>
      <x:c r="C22" s="20"/>
      <x:c r="D22" s="20" t="n">
        <x:v>0.238</x:v>
      </x:c>
      <x:c r="E22" s="20" t="str">
        <x:v>NATIONAL PROXY - replace</x:v>
      </x:c>
      <x:c r="F22" s="18" t="str">
        <x:v>https://www.census.gov/hfp/btos/data_downloads</x:v>
      </x:c>
    </x:row>
    <x:row r="23" ht="22" customHeight="1">
      <x:c r="A23" s="18" t="str">
        <x:v>62</x:v>
      </x:c>
      <x:c r="B23" s="18" t="str">
        <x:v>Health Care and Social Assistance (Private)</x:v>
      </x:c>
      <x:c r="C23" s="20"/>
      <x:c r="D23" s="20" t="n">
        <x:v>0.238</x:v>
      </x:c>
      <x:c r="E23" s="20" t="str">
        <x:v>NATIONAL PROXY - replace</x:v>
      </x:c>
      <x:c r="F23" s="18" t="str">
        <x:v>https://www.census.gov/hfp/btos/data_downloads</x:v>
      </x:c>
    </x:row>
    <x:row r="24" ht="22" customHeight="1">
      <x:c r="A24" s="18" t="str">
        <x:v>71</x:v>
      </x:c>
      <x:c r="B24" s="18" t="str">
        <x:v>Arts, Entertainment and Recreation</x:v>
      </x:c>
      <x:c r="C24" s="20"/>
      <x:c r="D24" s="20" t="n">
        <x:v>0.238</x:v>
      </x:c>
      <x:c r="E24" s="20" t="str">
        <x:v>NATIONAL PROXY - replace</x:v>
      </x:c>
      <x:c r="F24" s="18" t="str">
        <x:v>https://www.census.gov/hfp/btos/data_downloads</x:v>
      </x:c>
    </x:row>
    <x:row r="25" ht="22" customHeight="1">
      <x:c r="A25" s="18" t="str">
        <x:v>72</x:v>
      </x:c>
      <x:c r="B25" s="18" t="str">
        <x:v>Accommodation and Food Services</x:v>
      </x:c>
      <x:c r="C25" s="20"/>
      <x:c r="D25" s="20" t="n">
        <x:v>0.238</x:v>
      </x:c>
      <x:c r="E25" s="20" t="str">
        <x:v>NATIONAL PROXY - replace</x:v>
      </x:c>
      <x:c r="F25" s="18" t="str">
        <x:v>https://www.census.gov/hfp/btos/data_downloads</x:v>
      </x:c>
    </x:row>
    <x:row r="26" ht="22" customHeight="1">
      <x:c r="A26" s="18" t="str">
        <x:v>81</x:v>
      </x:c>
      <x:c r="B26" s="18" t="str">
        <x:v>Other Services Except Public Administration</x:v>
      </x:c>
      <x:c r="C26" s="20"/>
      <x:c r="D26" s="20" t="n">
        <x:v>0.238</x:v>
      </x:c>
      <x:c r="E26" s="20" t="str">
        <x:v>NATIONAL PROXY - replace</x:v>
      </x:c>
      <x:c r="F26" s="18" t="str">
        <x:v>https://www.census.gov/hfp/btos/data_downloads</x:v>
      </x:c>
    </x:row>
    <x:row r="27" ht="22" customHeight="1">
      <x:c r="A27" s="18" t="str">
        <x:v>Gov</x:v>
      </x:c>
      <x:c r="B27" s="18" t="str">
        <x:v>Federal and State/Local Government</x:v>
      </x:c>
      <x:c r="C27" s="20"/>
      <x:c r="D27" s="20" t="n">
        <x:v>0.238</x:v>
      </x:c>
      <x:c r="E27" s="20" t="str">
        <x:v>Excluded (outside BTOS)</x:v>
      </x:c>
      <x:c r="F27" s="18" t="str">
        <x:v>https://www.census.gov/hfp/btos/data_downloads</x:v>
      </x:c>
    </x:row>
    <x:row r="28" ht="22" customHeight="1">
      <x:c r="A28" s="18"/>
      <x:c r="B28" s="18"/>
      <x:c r="C28" s="18"/>
      <x:c r="D28" s="18"/>
      <x:c r="E28" s="18"/>
      <x:c r="F28" s="18"/>
    </x:row>
  </x:sheetData>
  <x:mergeCells>
    <x:mergeCell ref="A1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21" hidden="0" customWidth="1"/>
    <x:col min="4" max="4" width="23" hidden="0" customWidth="1"/>
    <x:col min="5" max="5" width="29" hidden="0" customWidth="1"/>
    <x:col min="6" max="6" width="49" hidden="0" customWidth="1"/>
    <x:col min="7" max="7" width="57" hidden="0" customWidth="1"/>
  </x:cols>
  <x:sheetData>
    <x:row r="1" ht="20" customHeight="1">
      <x:c r="A1" s="8" t="str">
        <x:v>RAMP PAID-FIRM AI ADOPTION — SAMPLE, NOT NATIONAL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https://ramp.com/data/ai-index</x:v>
      </x:c>
      <x:c r="D3" s="167" t="str">
        <x:v>COPY B3 LINK</x:v>
      </x:c>
    </x:row>
    <x:row r="4" ht="20" customHeight="1">
      <x:c r="A4" s="168" t="str">
        <x:v>REBUILD: Paid firm AI adoption by sector. Existing observations link to specific FRED series in column G; do not confuse paid firms with paid employees.  Model vintage: Ramp Aug 2026 sample.  This workbook is NOT automatically refreshed from the website.</x:v>
      </x:c>
    </x:row>
    <x:row r="5" ht="20" customHeight="1"/>
    <x:row r="6" ht="20" customHeight="1"/>
    <x:row r="7" ht="20" customHeight="1">
      <x:c r="A7" s="16" t="str">
        <x:v>NAICS</x:v>
      </x:c>
      <x:c r="B7" s="16" t="str">
        <x:v>Industry</x:v>
      </x:c>
      <x:c r="C7" s="16" t="str">
        <x:v>Paid-firm share</x:v>
      </x:c>
      <x:c r="D7" s="16" t="str">
        <x:v>Ramp overall</x:v>
      </x:c>
      <x:c r="E7" s="16" t="str">
        <x:v>Evidence status</x:v>
      </x:c>
      <x:c r="F7" s="16" t="str">
        <x:v>Period</x:v>
      </x:c>
      <x:c r="G7" s="16" t="str">
        <x:v>Primary data / FRED URL</x:v>
      </x:c>
    </x:row>
    <x:row r="8" ht="22" customHeight="1">
      <x:c r="A8" s="18" t="str">
        <x:v>11</x:v>
      </x:c>
      <x:c r="B8" s="18" t="str">
        <x:v>Agriculture, Forestry, Fishing and Hunting</x:v>
      </x:c>
      <x:c r="C8" s="20"/>
      <x:c r="D8" s="20"/>
      <x:c r="E8" s="20" t="str">
        <x:v>NO sector series</x:v>
      </x:c>
      <x:c r="F8" s="18"/>
      <x:c r="G8" s="18" t="str">
        <x:v>https://ramp.com/data/ai-index</x:v>
      </x:c>
    </x:row>
    <x:row r="9" ht="22" customHeight="1">
      <x:c r="A9" s="18" t="str">
        <x:v>21</x:v>
      </x:c>
      <x:c r="B9" s="18" t="str">
        <x:v>Mining, Quarrying, Oil and Gas Extraction</x:v>
      </x:c>
      <x:c r="C9" s="20"/>
      <x:c r="D9" s="20"/>
      <x:c r="E9" s="20" t="str">
        <x:v>NO sector series</x:v>
      </x:c>
      <x:c r="F9" s="18"/>
      <x:c r="G9" s="18" t="str">
        <x:v>https://ramp.com/data/ai-index</x:v>
      </x:c>
    </x:row>
    <x:row r="10" ht="22" customHeight="1">
      <x:c r="A10" s="18" t="str">
        <x:v>22</x:v>
      </x:c>
      <x:c r="B10" s="18" t="str">
        <x:v>Utilities</x:v>
      </x:c>
      <x:c r="C10" s="20"/>
      <x:c r="D10" s="20"/>
      <x:c r="E10" s="20" t="str">
        <x:v>NO sector series</x:v>
      </x:c>
      <x:c r="F10" s="18"/>
      <x:c r="G10" s="18" t="str">
        <x:v>https://ramp.com/data/ai-index</x:v>
      </x:c>
    </x:row>
    <x:row r="11" ht="22" customHeight="1">
      <x:c r="A11" s="18" t="str">
        <x:v>23</x:v>
      </x:c>
      <x:c r="B11" s="18" t="str">
        <x:v>Construction</x:v>
      </x:c>
      <x:c r="C11" s="20" t="n">
        <x:v>0.4217687</x:v>
      </x:c>
      <x:c r="D11" s="20" t="n">
        <x:v>0.5613226</x:v>
      </x:c>
      <x:c r="E11" s="20" t="str">
        <x:v>OBSERVED in Ramp sample</x:v>
      </x:c>
      <x:c r="F11" s="18" t="str">
        <x:v>August 2026</x:v>
      </x:c>
      <x:c r="G11" s="18" t="str">
        <x:v>https://fred.stlouisfed.org/series/RAMPAICONSTRUCTION</x:v>
      </x:c>
    </x:row>
    <x:row r="12" ht="22" customHeight="1">
      <x:c r="A12" s="18" t="str">
        <x:v>31-33</x:v>
      </x:c>
      <x:c r="B12" s="18" t="str">
        <x:v>Manufacturing</x:v>
      </x:c>
      <x:c r="C12" s="20" t="n">
        <x:v>0.6105223</x:v>
      </x:c>
      <x:c r="D12" s="20" t="n">
        <x:v>0.5613226</x:v>
      </x:c>
      <x:c r="E12" s="20" t="str">
        <x:v>OBSERVED in Ramp sample</x:v>
      </x:c>
      <x:c r="F12" s="18" t="str">
        <x:v>August 2026</x:v>
      </x:c>
      <x:c r="G12" s="18" t="str">
        <x:v>https://fred.stlouisfed.org/series/RAMPAIMANUFACTURING</x:v>
      </x:c>
    </x:row>
    <x:row r="13" ht="22" customHeight="1">
      <x:c r="A13" s="18" t="str">
        <x:v>42</x:v>
      </x:c>
      <x:c r="B13" s="18" t="str">
        <x:v>Wholesale Trade</x:v>
      </x:c>
      <x:c r="C13" s="20"/>
      <x:c r="D13" s="20"/>
      <x:c r="E13" s="20" t="str">
        <x:v>NO sector series</x:v>
      </x:c>
      <x:c r="F13" s="18"/>
      <x:c r="G13" s="18" t="str">
        <x:v>https://ramp.com/data/ai-index</x:v>
      </x:c>
    </x:row>
    <x:row r="14" ht="22" customHeight="1">
      <x:c r="A14" s="18" t="str">
        <x:v>44-45</x:v>
      </x:c>
      <x:c r="B14" s="18" t="str">
        <x:v>Retail Trade</x:v>
      </x:c>
      <x:c r="C14" s="20" t="n">
        <x:v>0.4877451</x:v>
      </x:c>
      <x:c r="D14" s="20" t="n">
        <x:v>0.5613226</x:v>
      </x:c>
      <x:c r="E14" s="20" t="str">
        <x:v>OBSERVED in Ramp sample</x:v>
      </x:c>
      <x:c r="F14" s="18" t="str">
        <x:v>August 2026</x:v>
      </x:c>
      <x:c r="G14" s="18" t="str">
        <x:v>https://fred.stlouisfed.org/series/RAMPAIRETAIL</x:v>
      </x:c>
    </x:row>
    <x:row r="15" ht="22" customHeight="1">
      <x:c r="A15" s="18" t="str">
        <x:v>48-49</x:v>
      </x:c>
      <x:c r="B15" s="18" t="str">
        <x:v>Transportation and Warehousing</x:v>
      </x:c>
      <x:c r="C15" s="20"/>
      <x:c r="D15" s="20"/>
      <x:c r="E15" s="20" t="str">
        <x:v>NO sector series</x:v>
      </x:c>
      <x:c r="F15" s="18"/>
      <x:c r="G15" s="18" t="str">
        <x:v>https://ramp.com/data/ai-index</x:v>
      </x:c>
    </x:row>
    <x:row r="16" ht="22" customHeight="1">
      <x:c r="A16" s="18" t="str">
        <x:v>51</x:v>
      </x:c>
      <x:c r="B16" s="18" t="str">
        <x:v>Information</x:v>
      </x:c>
      <x:c r="C16" s="20" t="n">
        <x:v>0.8092331</x:v>
      </x:c>
      <x:c r="D16" s="20" t="n">
        <x:v>0.5613226</x:v>
      </x:c>
      <x:c r="E16" s="20" t="str">
        <x:v>OBSERVED in Ramp sample</x:v>
      </x:c>
      <x:c r="F16" s="18" t="str">
        <x:v>August 2026</x:v>
      </x:c>
      <x:c r="G16" s="18" t="str">
        <x:v>https://fred.stlouisfed.org/series/RAMPAITECH</x:v>
      </x:c>
    </x:row>
    <x:row r="17" ht="22" customHeight="1">
      <x:c r="A17" s="18" t="str">
        <x:v>52</x:v>
      </x:c>
      <x:c r="B17" s="18" t="str">
        <x:v>Finance and Insurance</x:v>
      </x:c>
      <x:c r="C17" s="20" t="n">
        <x:v>0.7370507</x:v>
      </x:c>
      <x:c r="D17" s="20" t="n">
        <x:v>0.5613226</x:v>
      </x:c>
      <x:c r="E17" s="20" t="str">
        <x:v>OBSERVED in Ramp sample</x:v>
      </x:c>
      <x:c r="F17" s="18" t="str">
        <x:v>August 2026</x:v>
      </x:c>
      <x:c r="G17" s="18" t="str">
        <x:v>https://fred.stlouisfed.org/series/RAMPAIFINANCE</x:v>
      </x:c>
    </x:row>
    <x:row r="18" ht="22" customHeight="1">
      <x:c r="A18" s="18" t="str">
        <x:v>53</x:v>
      </x:c>
      <x:c r="B18" s="18" t="str">
        <x:v>Real Estate and Rental and Leasing</x:v>
      </x:c>
      <x:c r="C18" s="20"/>
      <x:c r="D18" s="20"/>
      <x:c r="E18" s="20" t="str">
        <x:v>NO sector series</x:v>
      </x:c>
      <x:c r="F18" s="18"/>
      <x:c r="G18" s="18" t="str">
        <x:v>https://ramp.com/data/ai-index</x:v>
      </x:c>
    </x:row>
    <x:row r="19" ht="22" customHeight="1">
      <x:c r="A19" s="18" t="str">
        <x:v>54</x:v>
      </x:c>
      <x:c r="B19" s="18" t="str">
        <x:v>Professional, Scientific and Technical Services</x:v>
      </x:c>
      <x:c r="C19" s="20"/>
      <x:c r="D19" s="20"/>
      <x:c r="E19" s="20" t="str">
        <x:v>NO sector series</x:v>
      </x:c>
      <x:c r="F19" s="18"/>
      <x:c r="G19" s="18" t="str">
        <x:v>https://ramp.com/data/ai-index</x:v>
      </x:c>
    </x:row>
    <x:row r="20" ht="22" customHeight="1">
      <x:c r="A20" s="18" t="str">
        <x:v>55</x:v>
      </x:c>
      <x:c r="B20" s="18" t="str">
        <x:v>Management of Companies and Enterprises</x:v>
      </x:c>
      <x:c r="C20" s="20"/>
      <x:c r="D20" s="20"/>
      <x:c r="E20" s="20" t="str">
        <x:v>NO sector series</x:v>
      </x:c>
      <x:c r="F20" s="18"/>
      <x:c r="G20" s="18" t="str">
        <x:v>https://ramp.com/data/ai-index</x:v>
      </x:c>
    </x:row>
    <x:row r="21" ht="22" customHeight="1">
      <x:c r="A21" s="18" t="str">
        <x:v>56</x:v>
      </x:c>
      <x:c r="B21" s="18" t="str">
        <x:v>Administrative, Support and Waste Services</x:v>
      </x:c>
      <x:c r="C21" s="20"/>
      <x:c r="D21" s="20"/>
      <x:c r="E21" s="20" t="str">
        <x:v>NO sector series</x:v>
      </x:c>
      <x:c r="F21" s="18"/>
      <x:c r="G21" s="18" t="str">
        <x:v>https://ramp.com/data/ai-index</x:v>
      </x:c>
    </x:row>
    <x:row r="22" ht="22" customHeight="1">
      <x:c r="A22" s="18" t="str">
        <x:v>61</x:v>
      </x:c>
      <x:c r="B22" s="18" t="str">
        <x:v>Educational Services (Private)</x:v>
      </x:c>
      <x:c r="C22" s="20"/>
      <x:c r="D22" s="20"/>
      <x:c r="E22" s="20" t="str">
        <x:v>NO sector series</x:v>
      </x:c>
      <x:c r="F22" s="18"/>
      <x:c r="G22" s="18" t="str">
        <x:v>https://ramp.com/data/ai-index</x:v>
      </x:c>
    </x:row>
    <x:row r="23" ht="22" customHeight="1">
      <x:c r="A23" s="18" t="str">
        <x:v>62</x:v>
      </x:c>
      <x:c r="B23" s="18" t="str">
        <x:v>Health Care and Social Assistance (Private)</x:v>
      </x:c>
      <x:c r="C23" s="20" t="n">
        <x:v>0.4337242</x:v>
      </x:c>
      <x:c r="D23" s="20" t="n">
        <x:v>0.5613226</x:v>
      </x:c>
      <x:c r="E23" s="20" t="str">
        <x:v>OBSERVED in Ramp sample</x:v>
      </x:c>
      <x:c r="F23" s="18" t="str">
        <x:v>August 2026</x:v>
      </x:c>
      <x:c r="G23" s="18" t="str">
        <x:v>https://fred.stlouisfed.org/series/RAMPAIHEALTHCARE</x:v>
      </x:c>
    </x:row>
    <x:row r="24" ht="22" customHeight="1">
      <x:c r="A24" s="18" t="str">
        <x:v>71</x:v>
      </x:c>
      <x:c r="B24" s="18" t="str">
        <x:v>Arts, Entertainment and Recreation</x:v>
      </x:c>
      <x:c r="C24" s="20"/>
      <x:c r="D24" s="20"/>
      <x:c r="E24" s="20" t="str">
        <x:v>NO sector series</x:v>
      </x:c>
      <x:c r="F24" s="18"/>
      <x:c r="G24" s="18" t="str">
        <x:v>https://ramp.com/data/ai-index</x:v>
      </x:c>
    </x:row>
    <x:row r="25" ht="22" customHeight="1">
      <x:c r="A25" s="18" t="str">
        <x:v>72</x:v>
      </x:c>
      <x:c r="B25" s="18" t="str">
        <x:v>Accommodation and Food Services</x:v>
      </x:c>
      <x:c r="C25" s="20" t="n">
        <x:v>0.3305243</x:v>
      </x:c>
      <x:c r="D25" s="20" t="n">
        <x:v>0.5613226</x:v>
      </x:c>
      <x:c r="E25" s="20" t="str">
        <x:v>OBSERVED in Ramp sample</x:v>
      </x:c>
      <x:c r="F25" s="18" t="str">
        <x:v>August 2026</x:v>
      </x:c>
      <x:c r="G25" s="18" t="str">
        <x:v>https://fred.stlouisfed.org/series/RAMPAIHOSPITALITY</x:v>
      </x:c>
    </x:row>
    <x:row r="26" ht="22" customHeight="1">
      <x:c r="A26" s="18" t="str">
        <x:v>81</x:v>
      </x:c>
      <x:c r="B26" s="18" t="str">
        <x:v>Other Services Except Public Administration</x:v>
      </x:c>
      <x:c r="C26" s="20"/>
      <x:c r="D26" s="20"/>
      <x:c r="E26" s="20" t="str">
        <x:v>NO sector series</x:v>
      </x:c>
      <x:c r="F26" s="18"/>
      <x:c r="G26" s="18" t="str">
        <x:v>https://ramp.com/data/ai-index</x:v>
      </x:c>
    </x:row>
    <x:row r="27" ht="22" customHeight="1">
      <x:c r="A27" s="18" t="str">
        <x:v>Gov</x:v>
      </x:c>
      <x:c r="B27" s="18" t="str">
        <x:v>Federal and State/Local Government</x:v>
      </x:c>
      <x:c r="C27" s="20"/>
      <x:c r="D27" s="20"/>
      <x:c r="E27" s="20" t="str">
        <x:v>NO sector series</x:v>
      </x:c>
      <x:c r="F27" s="18"/>
      <x:c r="G27" s="18" t="str">
        <x:v>https://ramp.com/data/ai-index</x:v>
      </x:c>
    </x:row>
    <x:row r="28" ht="22" customHeight="1">
      <x:c r="A28" s="18"/>
      <x:c r="B28" s="18"/>
      <x:c r="C28" s="18"/>
      <x:c r="D28" s="18"/>
      <x:c r="E28" s="18"/>
      <x:c r="F28" s="18"/>
      <x:c r="G28" s="18"/>
    </x:row>
  </x:sheetData>
  <x:mergeCells>
    <x:mergeCell ref="A1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1" hidden="0" customWidth="1"/>
    <x:col min="4" max="4" width="23" hidden="0" customWidth="1"/>
    <x:col min="5" max="5" width="29" hidden="0" customWidth="1"/>
    <x:col min="6" max="6" width="49" hidden="0" customWidth="1"/>
  </x:cols>
  <x:sheetData>
    <x:row r="1" ht="20" customHeight="1">
      <x:c r="A1" s="8" t="str">
        <x:v>RAMP SPEND DISTRIBUTION — MEDIAN, NOT THE MEAN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https://ramp.com/data/ai-index-august-2026</x:v>
      </x:c>
      <x:c r="D3" s="167" t="str">
        <x:v>COPY B3 LINK</x:v>
      </x:c>
    </x:row>
    <x:row r="4" ht="20" customHeight="1">
      <x:c r="A4" s="168" t="str">
        <x:v>REBUILD: July 2026 per-employee AI spend: median firm and top 10%/1% firm medians. July top-1% revised in September; see next source.  Model vintage: Ramp July 2026, revised Sept.  This workbook is NOT automatically refreshed from the website.</x:v>
      </x:c>
    </x:row>
    <x:row r="5" ht="20" customHeight="1">
      <x:c r="A5" t="str">
        <x:v>Latest Sep 9 Ramp release revised July top-1% figure to $7,976 (from about $7,400) and estimated August top-1% $7,205. July median $11.95 retained as vintage-labeled.</x:v>
      </x:c>
    </x:row>
    <x:row r="6" ht="20" customHeight="1"/>
    <x:row r="7" ht="20" customHeight="1">
      <x:c r="A7" s="16" t="str">
        <x:v>Observation</x:v>
      </x:c>
      <x:c r="B7" s="16" t="str">
        <x:v>Statistic</x:v>
      </x:c>
      <x:c r="C7" s="16" t="str">
        <x:v>Dollars per employee/month</x:v>
      </x:c>
      <x:c r="D7" s="16" t="str">
        <x:v>Denominator / caution</x:v>
      </x:c>
      <x:c r="E7" s="16" t="str">
        <x:v>Data type</x:v>
      </x:c>
      <x:c r="F7" s="16" t="str">
        <x:v>Primary source URL</x:v>
      </x:c>
    </x:row>
    <x:row r="8" ht="22" customHeight="1">
      <x:c r="A8" s="18" t="str">
        <x:v>July 2026</x:v>
      </x:c>
      <x:c r="B8" s="18" t="str">
        <x:v>Median paying firm</x:v>
      </x:c>
      <x:c r="C8" s="20" t="n">
        <x:v>11.95</x:v>
      </x:c>
      <x:c r="D8" s="20" t="str">
        <x:v>Median across businesses in published cohort; cannot scale nationally as a mean</x:v>
      </x:c>
      <x:c r="E8" s="20" t="str">
        <x:v>Observed</x:v>
      </x:c>
      <x:c r="F8" s="18" t="str">
        <x:v>https://ramp.com/data/ai-index-august-2026</x:v>
      </x:c>
    </x:row>
    <x:row r="9" ht="22" customHeight="1">
      <x:c r="A9" s="18" t="str">
        <x:v>July 2026</x:v>
      </x:c>
      <x:c r="B9" s="18" t="str">
        <x:v>Median among high-spend top 10%</x:v>
      </x:c>
      <x:c r="C9" s="20" t="n">
        <x:v>650</x:v>
      </x:c>
      <x:c r="D9" s="20" t="str">
        <x:v>Upper-tail spend point; not the top decile arithmetic mean</x:v>
      </x:c>
      <x:c r="E9" s="20" t="str">
        <x:v>Observed</x:v>
      </x:c>
      <x:c r="F9" s="18" t="str">
        <x:v>https://ramp.com/data/ai-index-august-2026</x:v>
      </x:c>
    </x:row>
    <x:row r="10" ht="22" customHeight="1">
      <x:c r="A10" s="18" t="str">
        <x:v>July 2026</x:v>
      </x:c>
      <x:c r="B10" s="18" t="str">
        <x:v>Median among high-spend top 1%</x:v>
      </x:c>
      <x:c r="C10" s="20" t="n">
        <x:v>7976</x:v>
      </x:c>
      <x:c r="D10" s="20" t="str">
        <x:v>July 2026 figure REVISED to $7,976 by Ramp Sept 9, 2026 article; originally ~$7,400. Extreme tail, not representative mean.</x:v>
      </x:c>
      <x:c r="E10" s="20" t="str">
        <x:v>Observed</x:v>
      </x:c>
      <x:c r="F10" s="18" t="str">
        <x:v>https://ramp.com/data/ai-index-sept-2026</x:v>
      </x:c>
    </x:row>
    <x:row r="11" ht="22" customHeight="1">
      <x:c r="A11" s="18" t="str">
        <x:v>August 2026</x:v>
      </x:c>
      <x:c r="B11" s="18" t="str">
        <x:v>Overall paid adoption in Ramp</x:v>
      </x:c>
      <x:c r="C11" s="20" t="n">
        <x:v>0.5613226</x:v>
      </x:c>
      <x:c r="D11" s="20" t="str">
        <x:v>Fraction of firms with observed payment; not all U.S. firms</x:v>
      </x:c>
      <x:c r="E11" s="20" t="str">
        <x:v>Observed in Ramp</x:v>
      </x:c>
      <x:c r="F11" s="18" t="str">
        <x:v>https://ramp.com/data/ai-index</x:v>
      </x:c>
    </x:row>
    <x:row r="12" ht="22" customHeight="1">
      <x:c r="A12" s="18" t="str">
        <x:v>August 2026</x:v>
      </x:c>
      <x:c r="B12" s="18" t="str">
        <x:v>Median in highest-spend 1% firms (revised series)</x:v>
      </x:c>
      <x:c r="C12" s="20" t="n">
        <x:v>7205</x:v>
      </x:c>
      <x:c r="D12" s="18" t="str">
        <x:v>September 9 Ramp commentary; high-spend cohort, NOT an employee-weighted U.S. mean</x:v>
      </x:c>
      <x:c r="E12" s="18" t="str">
        <x:v>Observed / Ramp</x:v>
      </x:c>
      <x:c r="F12" s="18" t="str">
        <x:v>https://ramp.com/data/ai-index-sept-2026</x:v>
      </x:c>
    </x:row>
    <x:row r="14">
      <x:c r="A14" t="str">
        <x:v>April 2026</x:v>
      </x:c>
      <x:c r="B14" t="str">
        <x:v>Median monthly AI token spend per enrolled company</x:v>
      </x:c>
      <x:c r="C14" t="n">
        <x:v>2246</x:v>
      </x:c>
      <x:c r="D14" t="str">
        <x:v>Ramp Token Spend Management cohort, NOT all Ramp companies; USD/company/month</x:v>
      </x:c>
      <x:c r="E14" t="str">
        <x:v>Observed in SELECTED cohort</x:v>
      </x:c>
      <x:c r="F14" t="str">
        <x:v>https://ramp.com/blog/ai-token-cost-for-businesses</x:v>
      </x:c>
    </x:row>
    <x:row r="15">
      <x:c r="A15" t="str">
        <x:v>April 2026</x:v>
      </x:c>
      <x:c r="B15" t="str">
        <x:v>Mean monthly AI token spend per enrolled company</x:v>
      </x:c>
      <x:c r="C15" t="n">
        <x:v>140842</x:v>
      </x:c>
      <x:c r="D15" t="str">
        <x:v>Different from median, reflects heavy tails; NOT a per-worker average</x:v>
      </x:c>
      <x:c r="E15" t="str">
        <x:v>Observed in SELECTED cohort</x:v>
      </x:c>
      <x:c r="F15" t="str">
        <x:v>https://ramp.com/blog/ai-token-cost-for-businesses</x:v>
      </x:c>
    </x:row>
    <x:row r="16">
      <x:c r="A16" t="str">
        <x:v>April 2026</x:v>
      </x:c>
      <x:c r="B16" t="str">
        <x:v>Median employee-normalized AI spend in token-management cohort</x:v>
      </x:c>
      <x:c r="C16" t="n">
        <x:v>46</x:v>
      </x:c>
      <x:c r="D16" t="str">
        <x:v>Median company PEPM, NOT national weighted mean, distinct from $11.95 Ramp AI Index</x:v>
      </x:c>
      <x:c r="E16" t="str">
        <x:v>Observed in SELECTED cohort</x:v>
      </x:c>
      <x:c r="F16" t="str">
        <x:v>https://ramp.com/blog/ai-token-cost-for-businesses</x:v>
      </x:c>
    </x:row>
    <x:row r="17">
      <x:c r="A17" t="str">
        <x:v>Read carefully</x:v>
      </x:c>
      <x:c r="B17" t="str">
        <x:v>Avoid cohort mixing</x:v>
      </x:c>
      <x:c r="C17" t="str">
        <x:v>DO NOT COMBINE</x:v>
      </x:c>
      <x:c r="D17" t="str">
        <x:v>The $140,842 / $2,246 ratio is per-company and CANNOT calibrate the $11.95 employee median</x:v>
      </x:c>
      <x:c r="E17" t="str">
        <x:v>RESEARCH WARNING</x:v>
      </x:c>
      <x:c r="F17" t="str">
        <x:v>https://ramp.com/blog/ai-token-cost-for-businesses</x:v>
      </x:c>
    </x:row>
  </x:sheetData>
  <x:mergeCells>
    <x:mergeCell ref="A1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21" hidden="0" customWidth="1"/>
    <x:col min="4" max="4" width="23" hidden="0" customWidth="1"/>
    <x:col min="5" max="5" width="29" hidden="0" customWidth="1"/>
    <x:col min="6" max="6" width="49" hidden="0" customWidth="1"/>
  </x:cols>
  <x:sheetData>
    <x:row r="1" ht="20" customHeight="1">
      <x:c r="A1" s="8" t="str">
        <x:v>BEA INDUSTRY VALUE ADDED — CURRENT USD BILLIONS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https://www.bea.gov/itable/gdp-by-industry</x:v>
      </x:c>
      <x:c r="D3" s="167" t="str">
        <x:v>COPY B3 LINK</x:v>
      </x:c>
    </x:row>
    <x:row r="4" ht="20" customHeight="1">
      <x:c r="A4" s="168" t="str">
        <x:v>REBUILD: Current-dollar Value Added by Industry, 2026 Q2 SAAR; nominal output not real productivity; note owner-occupied real estate rent.  Model vintage: BEA 2026 Q2.  This workbook is NOT automatically refreshed from the website.</x:v>
      </x:c>
    </x:row>
    <x:row r="5" ht="20" customHeight="1"/>
    <x:row r="6" ht="20" customHeight="1"/>
    <x:row r="7" ht="20" customHeight="1">
      <x:c r="A7" s="16" t="str">
        <x:v>NAICS</x:v>
      </x:c>
      <x:c r="B7" s="16" t="str">
        <x:v>Industry</x:v>
      </x:c>
      <x:c r="C7" s="16" t="str">
        <x:v>2026Q2 nominal VA ($B SAAR)</x:v>
      </x:c>
      <x:c r="D7" s="16" t="str">
        <x:v>2026Q1 nominal VA ($B SAAR)</x:v>
      </x:c>
      <x:c r="E7" s="16" t="str">
        <x:v>Private / public</x:v>
      </x:c>
      <x:c r="F7" s="16" t="str">
        <x:v>Source URL</x:v>
      </x:c>
    </x:row>
    <x:row r="8" ht="22" customHeight="1">
      <x:c r="A8" s="18" t="str">
        <x:v>11</x:v>
      </x:c>
      <x:c r="B8" s="18" t="str">
        <x:v>Agriculture, forestry, fishing, hunting</x:v>
      </x:c>
      <x:c r="C8" s="20" t="n">
        <x:v>245.9</x:v>
      </x:c>
      <x:c r="D8" s="20" t="n">
        <x:v>238.6</x:v>
      </x:c>
      <x:c r="E8" s="20" t="str">
        <x:v>Private</x:v>
      </x:c>
      <x:c r="F8" s="18" t="str">
        <x:v>https://fred.stlouisfed.org/release/tables?eid=1822&amp;rid=331</x:v>
      </x:c>
    </x:row>
    <x:row r="9" ht="22" customHeight="1">
      <x:c r="A9" s="18" t="str">
        <x:v>21</x:v>
      </x:c>
      <x:c r="B9" s="18" t="str">
        <x:v>Mining</x:v>
      </x:c>
      <x:c r="C9" s="20" t="n">
        <x:v>517.8</x:v>
      </x:c>
      <x:c r="D9" s="20" t="n">
        <x:v>455.6</x:v>
      </x:c>
      <x:c r="E9" s="20" t="str">
        <x:v>Private</x:v>
      </x:c>
      <x:c r="F9" s="18" t="str">
        <x:v>https://fred.stlouisfed.org/release/tables?eid=1822&amp;rid=331</x:v>
      </x:c>
    </x:row>
    <x:row r="10" ht="22" customHeight="1">
      <x:c r="A10" s="18" t="str">
        <x:v>22</x:v>
      </x:c>
      <x:c r="B10" s="18" t="str">
        <x:v>Utilities</x:v>
      </x:c>
      <x:c r="C10" s="20" t="n">
        <x:v>531.9</x:v>
      </x:c>
      <x:c r="D10" s="20" t="n">
        <x:v>532.8</x:v>
      </x:c>
      <x:c r="E10" s="20" t="str">
        <x:v>Private</x:v>
      </x:c>
      <x:c r="F10" s="18" t="str">
        <x:v>https://fred.stlouisfed.org/release/tables?eid=1822&amp;rid=331</x:v>
      </x:c>
    </x:row>
    <x:row r="11" ht="22" customHeight="1">
      <x:c r="A11" s="18" t="str">
        <x:v>23</x:v>
      </x:c>
      <x:c r="B11" s="18" t="str">
        <x:v>Construction</x:v>
      </x:c>
      <x:c r="C11" s="20" t="n">
        <x:v>1373.7</x:v>
      </x:c>
      <x:c r="D11" s="20" t="n">
        <x:v>1356.9</x:v>
      </x:c>
      <x:c r="E11" s="20" t="str">
        <x:v>Private</x:v>
      </x:c>
      <x:c r="F11" s="18" t="str">
        <x:v>https://fred.stlouisfed.org/release/tables?eid=1822&amp;rid=331</x:v>
      </x:c>
    </x:row>
    <x:row r="12" ht="22" customHeight="1">
      <x:c r="A12" s="18" t="str">
        <x:v>31-33</x:v>
      </x:c>
      <x:c r="B12" s="18" t="str">
        <x:v>Manufacturing</x:v>
      </x:c>
      <x:c r="C12" s="20" t="n">
        <x:v>3168.1</x:v>
      </x:c>
      <x:c r="D12" s="20" t="n">
        <x:v>3004.2</x:v>
      </x:c>
      <x:c r="E12" s="20" t="str">
        <x:v>Private</x:v>
      </x:c>
      <x:c r="F12" s="18" t="str">
        <x:v>https://fred.stlouisfed.org/release/tables?eid=1822&amp;rid=331</x:v>
      </x:c>
    </x:row>
    <x:row r="13" ht="22" customHeight="1">
      <x:c r="A13" s="18" t="str">
        <x:v>42</x:v>
      </x:c>
      <x:c r="B13" s="18" t="str">
        <x:v>Wholesale trade</x:v>
      </x:c>
      <x:c r="C13" s="20" t="n">
        <x:v>2087.5</x:v>
      </x:c>
      <x:c r="D13" s="20" t="n">
        <x:v>2059.7</x:v>
      </x:c>
      <x:c r="E13" s="20" t="str">
        <x:v>Private</x:v>
      </x:c>
      <x:c r="F13" s="18" t="str">
        <x:v>https://fred.stlouisfed.org/release/tables?eid=1822&amp;rid=331</x:v>
      </x:c>
    </x:row>
    <x:row r="14" ht="22" customHeight="1">
      <x:c r="A14" s="18" t="str">
        <x:v>44-45</x:v>
      </x:c>
      <x:c r="B14" s="18" t="str">
        <x:v>Retail trade</x:v>
      </x:c>
      <x:c r="C14" s="20" t="n">
        <x:v>1867.8</x:v>
      </x:c>
      <x:c r="D14" s="20" t="n">
        <x:v>1862.5</x:v>
      </x:c>
      <x:c r="E14" s="20" t="str">
        <x:v>Private</x:v>
      </x:c>
      <x:c r="F14" s="18" t="str">
        <x:v>https://fred.stlouisfed.org/release/tables?eid=1822&amp;rid=331</x:v>
      </x:c>
    </x:row>
    <x:row r="15" ht="22" customHeight="1">
      <x:c r="A15" s="18" t="str">
        <x:v>48-49</x:v>
      </x:c>
      <x:c r="B15" s="18" t="str">
        <x:v>Transportation and warehousing</x:v>
      </x:c>
      <x:c r="C15" s="20" t="n">
        <x:v>1051.1</x:v>
      </x:c>
      <x:c r="D15" s="20" t="n">
        <x:v>1035.7</x:v>
      </x:c>
      <x:c r="E15" s="20" t="str">
        <x:v>Private</x:v>
      </x:c>
      <x:c r="F15" s="18" t="str">
        <x:v>https://fred.stlouisfed.org/release/tables?eid=1822&amp;rid=331</x:v>
      </x:c>
    </x:row>
    <x:row r="16" ht="22" customHeight="1">
      <x:c r="A16" s="18" t="str">
        <x:v>51</x:v>
      </x:c>
      <x:c r="B16" s="18" t="str">
        <x:v>Information</x:v>
      </x:c>
      <x:c r="C16" s="20" t="n">
        <x:v>1916.3</x:v>
      </x:c>
      <x:c r="D16" s="20" t="n">
        <x:v>1866.2</x:v>
      </x:c>
      <x:c r="E16" s="20" t="str">
        <x:v>Private</x:v>
      </x:c>
      <x:c r="F16" s="18" t="str">
        <x:v>https://fred.stlouisfed.org/release/tables?eid=1822&amp;rid=331</x:v>
      </x:c>
    </x:row>
    <x:row r="17" ht="22" customHeight="1">
      <x:c r="A17" s="18" t="str">
        <x:v>52</x:v>
      </x:c>
      <x:c r="B17" s="18" t="str">
        <x:v>Finance and insurance</x:v>
      </x:c>
      <x:c r="C17" s="20" t="n">
        <x:v>2934.6</x:v>
      </x:c>
      <x:c r="D17" s="20" t="n">
        <x:v>2846.9</x:v>
      </x:c>
      <x:c r="E17" s="20" t="str">
        <x:v>Private</x:v>
      </x:c>
      <x:c r="F17" s="18" t="str">
        <x:v>https://fred.stlouisfed.org/release/tables?eid=1822&amp;rid=331</x:v>
      </x:c>
    </x:row>
    <x:row r="18" ht="22" customHeight="1">
      <x:c r="A18" s="18" t="str">
        <x:v>53</x:v>
      </x:c>
      <x:c r="B18" s="18" t="str">
        <x:v>Real estate and rental and leasing</x:v>
      </x:c>
      <x:c r="C18" s="20" t="n">
        <x:v>4415.2</x:v>
      </x:c>
      <x:c r="D18" s="20" t="n">
        <x:v>4345</x:v>
      </x:c>
      <x:c r="E18" s="20" t="str">
        <x:v>Private</x:v>
      </x:c>
      <x:c r="F18" s="18" t="str">
        <x:v>https://fred.stlouisfed.org/release/tables?eid=1822&amp;rid=331</x:v>
      </x:c>
    </x:row>
    <x:row r="19" ht="22" customHeight="1">
      <x:c r="A19" s="18" t="str">
        <x:v>54</x:v>
      </x:c>
      <x:c r="B19" s="18" t="str">
        <x:v>Professional scientific technical services</x:v>
      </x:c>
      <x:c r="C19" s="20" t="n">
        <x:v>2593.3</x:v>
      </x:c>
      <x:c r="D19" s="20" t="n">
        <x:v>2561.9</x:v>
      </x:c>
      <x:c r="E19" s="20" t="str">
        <x:v>Private</x:v>
      </x:c>
      <x:c r="F19" s="18" t="str">
        <x:v>https://fred.stlouisfed.org/release/tables?eid=1822&amp;rid=331</x:v>
      </x:c>
    </x:row>
    <x:row r="20" ht="22" customHeight="1">
      <x:c r="A20" s="18" t="str">
        <x:v>55</x:v>
      </x:c>
      <x:c r="B20" s="18" t="str">
        <x:v>Management of companies</x:v>
      </x:c>
      <x:c r="C20" s="20" t="n">
        <x:v>583.8</x:v>
      </x:c>
      <x:c r="D20" s="20" t="n">
        <x:v>569.8</x:v>
      </x:c>
      <x:c r="E20" s="20" t="str">
        <x:v>Private</x:v>
      </x:c>
      <x:c r="F20" s="18" t="str">
        <x:v>https://fred.stlouisfed.org/release/tables?eid=1822&amp;rid=331</x:v>
      </x:c>
    </x:row>
    <x:row r="21" ht="22" customHeight="1">
      <x:c r="A21" s="18" t="str">
        <x:v>56</x:v>
      </x:c>
      <x:c r="B21" s="18" t="str">
        <x:v>Administrative and waste management</x:v>
      </x:c>
      <x:c r="C21" s="20" t="n">
        <x:v>952.7</x:v>
      </x:c>
      <x:c r="D21" s="20" t="n">
        <x:v>937.8</x:v>
      </x:c>
      <x:c r="E21" s="20" t="str">
        <x:v>Private</x:v>
      </x:c>
      <x:c r="F21" s="18" t="str">
        <x:v>https://fred.stlouisfed.org/release/tables?eid=1822&amp;rid=331</x:v>
      </x:c>
    </x:row>
    <x:row r="22" ht="22" customHeight="1">
      <x:c r="A22" s="18" t="str">
        <x:v>61</x:v>
      </x:c>
      <x:c r="B22" s="18" t="str">
        <x:v>Private educational services</x:v>
      </x:c>
      <x:c r="C22" s="20" t="n">
        <x:v>365.2</x:v>
      </x:c>
      <x:c r="D22" s="20" t="n">
        <x:v>361.7</x:v>
      </x:c>
      <x:c r="E22" s="20" t="str">
        <x:v>Private</x:v>
      </x:c>
      <x:c r="F22" s="18" t="str">
        <x:v>https://fred.stlouisfed.org/release/tables?eid=1822&amp;rid=331</x:v>
      </x:c>
    </x:row>
    <x:row r="23" ht="22" customHeight="1">
      <x:c r="A23" s="18" t="str">
        <x:v>62</x:v>
      </x:c>
      <x:c r="B23" s="18" t="str">
        <x:v>Private healthcare and social assistance</x:v>
      </x:c>
      <x:c r="C23" s="20" t="n">
        <x:v>2454.7</x:v>
      </x:c>
      <x:c r="D23" s="20" t="n">
        <x:v>2421.7</x:v>
      </x:c>
      <x:c r="E23" s="20" t="str">
        <x:v>Private</x:v>
      </x:c>
      <x:c r="F23" s="18" t="str">
        <x:v>https://fred.stlouisfed.org/release/tables?eid=1822&amp;rid=331</x:v>
      </x:c>
    </x:row>
    <x:row r="24" ht="22" customHeight="1">
      <x:c r="A24" s="18" t="str">
        <x:v>71</x:v>
      </x:c>
      <x:c r="B24" s="18" t="str">
        <x:v>Arts entertainment recreation</x:v>
      </x:c>
      <x:c r="C24" s="20" t="n">
        <x:v>331.2</x:v>
      </x:c>
      <x:c r="D24" s="20" t="n">
        <x:v>329.2</x:v>
      </x:c>
      <x:c r="E24" s="20" t="str">
        <x:v>Private</x:v>
      </x:c>
      <x:c r="F24" s="18" t="str">
        <x:v>https://fred.stlouisfed.org/release/tables?eid=1822&amp;rid=331</x:v>
      </x:c>
    </x:row>
    <x:row r="25" ht="22" customHeight="1">
      <x:c r="A25" s="18" t="str">
        <x:v>72</x:v>
      </x:c>
      <x:c r="B25" s="18" t="str">
        <x:v>Accommodation and food services</x:v>
      </x:c>
      <x:c r="C25" s="20" t="n">
        <x:v>1010.9</x:v>
      </x:c>
      <x:c r="D25" s="20" t="n">
        <x:v>999.3</x:v>
      </x:c>
      <x:c r="E25" s="20" t="str">
        <x:v>Private</x:v>
      </x:c>
      <x:c r="F25" s="18" t="str">
        <x:v>https://fred.stlouisfed.org/release/tables?eid=1822&amp;rid=331</x:v>
      </x:c>
    </x:row>
    <x:row r="26" ht="22" customHeight="1">
      <x:c r="A26" s="18" t="str">
        <x:v>81</x:v>
      </x:c>
      <x:c r="B26" s="18" t="str">
        <x:v>Other private services</x:v>
      </x:c>
      <x:c r="C26" s="20" t="n">
        <x:v>655.3</x:v>
      </x:c>
      <x:c r="D26" s="20" t="n">
        <x:v>648.7</x:v>
      </x:c>
      <x:c r="E26" s="20" t="str">
        <x:v>Private</x:v>
      </x:c>
      <x:c r="F26" s="18" t="str">
        <x:v>https://fred.stlouisfed.org/release/tables?eid=1822&amp;rid=331</x:v>
      </x:c>
    </x:row>
    <x:row r="27" ht="22" customHeight="1">
      <x:c r="A27" s="18" t="str">
        <x:v>92</x:v>
      </x:c>
      <x:c r="B27" s="18" t="str">
        <x:v>Government (BEA aggregate; not exact NAICS 92)</x:v>
      </x:c>
      <x:c r="C27" s="20" t="n">
        <x:v>3506</x:v>
      </x:c>
      <x:c r="D27" s="20" t="n">
        <x:v>3471.9</x:v>
      </x:c>
      <x:c r="E27" s="20" t="str">
        <x:v>Government</x:v>
      </x:c>
      <x:c r="F27" s="18" t="str">
        <x:v>https://fred.stlouisfed.org/release/tables?eid=1822&amp;rid=331</x:v>
      </x:c>
    </x:row>
    <x:row r="28" ht="22" customHeight="1">
      <x:c r="A28" s="18"/>
      <x:c r="B28" s="18"/>
      <x:c r="C28" s="18"/>
      <x:c r="D28" s="18"/>
      <x:c r="E28" s="18"/>
      <x:c r="F28" s="18"/>
    </x:row>
  </x:sheetData>
  <x:mergeCells>
    <x:mergeCell ref="A1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21" hidden="0" customWidth="1"/>
    <x:col min="4" max="4" width="23" hidden="0" customWidth="1"/>
    <x:col min="5" max="5" width="29" hidden="0" customWidth="1"/>
    <x:col min="6" max="6" width="49" hidden="0" customWidth="1"/>
    <x:col min="7" max="7" width="57" hidden="0" customWidth="1"/>
    <x:col min="8" max="8" width="49" hidden="0" customWidth="1"/>
  </x:cols>
  <x:sheetData>
    <x:row r="1" ht="20" customHeight="1">
      <x:c r="A1" s="8" t="str">
        <x:v>OECD 2023–2033 CUMULATIVE U.S. SECTOR GAINS — CROSSWALK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https://www.oecd.org/content/dam/oecd/en/topics/policy-sub-issues/macroeconomics-of-ai/SectoralProductivityGains_website.xlsx</x:v>
      </x:c>
      <x:c r="D3" s="167" t="str">
        <x:v>COPY B3 LINK</x:v>
      </x:c>
    </x:row>
    <x:row r="4" ht="20" customHeight="1">
      <x:c r="A4" s="168" t="str">
        <x:v>REBUILD: Download official U.S. calibrated sector productivity gain table; mapping onto NAICS is a modeling crosswalk, not OECD official.  Model vintage: OECD 2023–2033 scenarios.  This workbook is NOT automatically refreshed from the website.</x:v>
      </x:c>
    </x:row>
    <x:row r="5" ht="20" customHeight="1"/>
    <x:row r="6" ht="20" customHeight="1"/>
    <x:row r="7" ht="20" customHeight="1">
      <x:c r="A7" s="16" t="str">
        <x:v>NAICS</x:v>
      </x:c>
      <x:c r="B7" s="16" t="str">
        <x:v>Industry</x:v>
      </x:c>
      <x:c r="C7" s="16" t="str">
        <x:v>Low 2033</x:v>
      </x:c>
      <x:c r="D7" s="16" t="str">
        <x:v>High expanded 2033</x:v>
      </x:c>
      <x:c r="E7" s="16" t="str">
        <x:v>Uneven 2033</x:v>
      </x:c>
      <x:c r="F7" s="16" t="str">
        <x:v>Quality</x:v>
      </x:c>
      <x:c r="G7" s="16" t="str">
        <x:v>Mapped OECD labels</x:v>
      </x:c>
      <x:c r="H7" s="16" t="str">
        <x:v>OECD source URL</x:v>
      </x:c>
    </x:row>
    <x:row r="8" ht="22" customHeight="1">
      <x:c r="A8" s="18" t="str">
        <x:v>11</x:v>
      </x:c>
      <x:c r="B8" s="18" t="str">
        <x:v>Agriculture, forestry, fishing, hunting</x:v>
      </x:c>
      <x:c r="C8" s="20" t="n">
        <x:v>0.009175185684580357</x:v>
      </x:c>
      <x:c r="D8" s="20" t="n">
        <x:v>0.026305426843464375</x:v>
      </x:c>
      <x:c r="E8" s="20" t="n">
        <x:v>0.008775511472514385</x:v>
      </x:c>
      <x:c r="F8" s="18" t="str">
        <x:v>AGGREGATED unweighted</x:v>
      </x:c>
      <x:c r="G8" s="18" t="str">
        <x:v>Agriculture, Fishing</x:v>
      </x:c>
      <x:c r="H8" s="18" t="str">
        <x:v>https://www.oecd.org/content/dam/oecd/en/topics/policy-sub-issues/macroeconomics-of-ai/SectoralProductivityGains_website.xlsx</x:v>
      </x:c>
    </x:row>
    <x:row r="9" ht="22" customHeight="1">
      <x:c r="A9" s="18" t="str">
        <x:v>21</x:v>
      </x:c>
      <x:c r="B9" s="18" t="str">
        <x:v>Mining</x:v>
      </x:c>
      <x:c r="C9" s="20" t="n">
        <x:v>0.014854933631916844</x:v>
      </x:c>
      <x:c r="D9" s="20" t="n">
        <x:v>0.04161053771773974</x:v>
      </x:c>
      <x:c r="E9" s="20" t="n">
        <x:v>0.017527260929675232</x:v>
      </x:c>
      <x:c r="F9" s="18" t="str">
        <x:v>AGGREGATED unweighted</x:v>
      </x:c>
      <x:c r="G9" s="18" t="str">
        <x:v>Energy min., Non-energ. min, Mining sup.</x:v>
      </x:c>
      <x:c r="H9" s="18" t="str">
        <x:v>https://www.oecd.org/content/dam/oecd/en/topics/policy-sub-issues/macroeconomics-of-ai/SectoralProductivityGains_website.xlsx</x:v>
      </x:c>
    </x:row>
    <x:row r="10" ht="22" customHeight="1">
      <x:c r="A10" s="18" t="str">
        <x:v>22</x:v>
      </x:c>
      <x:c r="B10" s="18" t="str">
        <x:v>Utilities</x:v>
      </x:c>
      <x:c r="C10" s="20" t="n">
        <x:v>0.017856734595261513</x:v>
      </x:c>
      <x:c r="D10" s="20" t="n">
        <x:v>0.0485636442899704</x:v>
      </x:c>
      <x:c r="E10" s="20" t="n">
        <x:v>0.007707325971646135</x:v>
      </x:c>
      <x:c r="F10" s="18" t="str">
        <x:v>AGGREGATED unweighted</x:v>
      </x:c>
      <x:c r="G10" s="18" t="str">
        <x:v>Utilities, Water/waste</x:v>
      </x:c>
      <x:c r="H10" s="18" t="str">
        <x:v>https://www.oecd.org/content/dam/oecd/en/topics/policy-sub-issues/macroeconomics-of-ai/SectoralProductivityGains_website.xlsx</x:v>
      </x:c>
    </x:row>
    <x:row r="11" ht="22" customHeight="1">
      <x:c r="A11" s="18" t="str">
        <x:v>23</x:v>
      </x:c>
      <x:c r="B11" s="18" t="str">
        <x:v>Construction</x:v>
      </x:c>
      <x:c r="C11" s="20" t="n">
        <x:v>0.012666949909180403</x:v>
      </x:c>
      <x:c r="D11" s="20" t="n">
        <x:v>0.035397544503211975</x:v>
      </x:c>
      <x:c r="E11" s="20" t="n">
        <x:v>0.00736541873726304</x:v>
      </x:c>
      <x:c r="F11" s="18" t="str">
        <x:v>DIRECT label map</x:v>
      </x:c>
      <x:c r="G11" s="18" t="str">
        <x:v>Construct.</x:v>
      </x:c>
      <x:c r="H11" s="18" t="str">
        <x:v>https://www.oecd.org/content/dam/oecd/en/topics/policy-sub-issues/macroeconomics-of-ai/SectoralProductivityGains_website.xlsx</x:v>
      </x:c>
    </x:row>
    <x:row r="12" ht="22" customHeight="1">
      <x:c r="A12" s="18" t="str">
        <x:v>31-33</x:v>
      </x:c>
      <x:c r="B12" s="18" t="str">
        <x:v>Manufacturing</x:v>
      </x:c>
      <x:c r="C12" s="20" t="n">
        <x:v>0.01654331667403526</x:v>
      </x:c>
      <x:c r="D12" s="20" t="n">
        <x:v>0.04569188560194829</x:v>
      </x:c>
      <x:c r="E12" s="20" t="n">
        <x:v>0.014877987770876303</x:v>
      </x:c>
      <x:c r="F12" s="18" t="str">
        <x:v>AGGREGATED unweighted</x:v>
      </x:c>
      <x:c r="G12" s="18" t="str">
        <x:v>Food &amp; tob., Wood prod., Basic metals, Rubber/plast., Non-met. min, Textiles, Fab. metals, Paper/print., Manuf./rep., Motor veh., Other trans., Coke/petrol., Machinery, Chemicals, Pharma., Elec. equip., Comp./elec.</x:v>
      </x:c>
      <x:c r="H12" s="18" t="str">
        <x:v>https://www.oecd.org/content/dam/oecd/en/topics/policy-sub-issues/macroeconomics-of-ai/SectoralProductivityGains_website.xlsx</x:v>
      </x:c>
    </x:row>
    <x:row r="13" ht="22" customHeight="1">
      <x:c r="A13" s="18" t="str">
        <x:v>42</x:v>
      </x:c>
      <x:c r="B13" s="18" t="str">
        <x:v>Wholesale trade</x:v>
      </x:c>
      <x:c r="C13" s="20" t="n">
        <x:v>0.02322462685406208</x:v>
      </x:c>
      <x:c r="D13" s="20" t="n">
        <x:v>0.05837578698992729</x:v>
      </x:c>
      <x:c r="E13" s="20" t="n">
        <x:v>0.0173056950280382</x:v>
      </x:c>
      <x:c r="F13" s="18" t="str">
        <x:v>GROUPED OECD sector</x:v>
      </x:c>
      <x:c r="G13" s="18" t="str">
        <x:v>Whole/retail</x:v>
      </x:c>
      <x:c r="H13" s="18" t="str">
        <x:v>https://www.oecd.org/content/dam/oecd/en/topics/policy-sub-issues/macroeconomics-of-ai/SectoralProductivityGains_website.xlsx</x:v>
      </x:c>
    </x:row>
    <x:row r="14" ht="22" customHeight="1">
      <x:c r="A14" s="18" t="str">
        <x:v>44-45</x:v>
      </x:c>
      <x:c r="B14" s="18" t="str">
        <x:v>Retail trade</x:v>
      </x:c>
      <x:c r="C14" s="20" t="n">
        <x:v>0.02322462685406208</x:v>
      </x:c>
      <x:c r="D14" s="20" t="n">
        <x:v>0.05837578698992729</x:v>
      </x:c>
      <x:c r="E14" s="20" t="n">
        <x:v>0.0173056950280382</x:v>
      </x:c>
      <x:c r="F14" s="18" t="str">
        <x:v>GROUPED OECD sector</x:v>
      </x:c>
      <x:c r="G14" s="18" t="str">
        <x:v>Whole/retail</x:v>
      </x:c>
      <x:c r="H14" s="18" t="str">
        <x:v>https://www.oecd.org/content/dam/oecd/en/topics/policy-sub-issues/macroeconomics-of-ai/SectoralProductivityGains_website.xlsx</x:v>
      </x:c>
    </x:row>
    <x:row r="15" ht="22" customHeight="1">
      <x:c r="A15" s="18" t="str">
        <x:v>48-49</x:v>
      </x:c>
      <x:c r="B15" s="18" t="str">
        <x:v>Transportation and warehousing</x:v>
      </x:c>
      <x:c r="C15" s="20" t="n">
        <x:v>0.015773185091093184</x:v>
      </x:c>
      <x:c r="D15" s="20" t="n">
        <x:v>0.044130042940378186</x:v>
      </x:c>
      <x:c r="E15" s="20" t="n">
        <x:v>0.010617017305773621</x:v>
      </x:c>
      <x:c r="F15" s="18" t="str">
        <x:v>AGGREGATED unweighted</x:v>
      </x:c>
      <x:c r="G15" s="18" t="str">
        <x:v>Warehouse, Land trans., Postal, Water trans., Air trans.</x:v>
      </x:c>
      <x:c r="H15" s="18" t="str">
        <x:v>https://www.oecd.org/content/dam/oecd/en/topics/policy-sub-issues/macroeconomics-of-ai/SectoralProductivityGains_website.xlsx</x:v>
      </x:c>
    </x:row>
    <x:row r="16" ht="22" customHeight="1">
      <x:c r="A16" s="18" t="str">
        <x:v>51</x:v>
      </x:c>
      <x:c r="B16" s="18" t="str">
        <x:v>Information</x:v>
      </x:c>
      <x:c r="C16" s="20" t="n">
        <x:v>0.03209695521121224</x:v>
      </x:c>
      <x:c r="D16" s="20" t="n">
        <x:v>0.08524361501137416</x:v>
      </x:c>
      <x:c r="E16" s="20" t="n">
        <x:v>0.18340012437672934</x:v>
      </x:c>
      <x:c r="F16" s="18" t="str">
        <x:v>AGGREGATED unweighted</x:v>
      </x:c>
      <x:c r="G16" s="18" t="str">
        <x:v>Telecom., Publish/AV, IT/info serv.</x:v>
      </x:c>
      <x:c r="H16" s="18" t="str">
        <x:v>https://www.oecd.org/content/dam/oecd/en/topics/policy-sub-issues/macroeconomics-of-ai/SectoralProductivityGains_website.xlsx</x:v>
      </x:c>
    </x:row>
    <x:row r="17" ht="22" customHeight="1">
      <x:c r="A17" s="18" t="str">
        <x:v>52</x:v>
      </x:c>
      <x:c r="B17" s="18" t="str">
        <x:v>Finance and insurance</x:v>
      </x:c>
      <x:c r="C17" s="20" t="n">
        <x:v>0.03540151612833142</x:v>
      </x:c>
      <x:c r="D17" s="20" t="n">
        <x:v>0.09236955642700195</x:v>
      </x:c>
      <x:c r="E17" s="20" t="n">
        <x:v>0.109327502939443</x:v>
      </x:c>
      <x:c r="F17" s="18" t="str">
        <x:v>DIRECT label map</x:v>
      </x:c>
      <x:c r="G17" s="18" t="str">
        <x:v>Finance/ins.</x:v>
      </x:c>
      <x:c r="H17" s="18" t="str">
        <x:v>https://www.oecd.org/content/dam/oecd/en/topics/policy-sub-issues/macroeconomics-of-ai/SectoralProductivityGains_website.xlsx</x:v>
      </x:c>
    </x:row>
    <x:row r="18" ht="22" customHeight="1">
      <x:c r="A18" s="18" t="str">
        <x:v>53</x:v>
      </x:c>
      <x:c r="B18" s="18" t="str">
        <x:v>Real estate and rental and leasing</x:v>
      </x:c>
      <x:c r="C18" s="20" t="n">
        <x:v>0.024818832986056805</x:v>
      </x:c>
      <x:c r="D18" s="20" t="n">
        <x:v>0.06375886499881744</x:v>
      </x:c>
      <x:c r="E18" s="20" t="n">
        <x:v>0.0617439735019932</x:v>
      </x:c>
      <x:c r="F18" s="18" t="str">
        <x:v>DIRECT label map</x:v>
      </x:c>
      <x:c r="G18" s="18" t="str">
        <x:v>Real estate</x:v>
      </x:c>
      <x:c r="H18" s="18" t="str">
        <x:v>https://www.oecd.org/content/dam/oecd/en/topics/policy-sub-issues/macroeconomics-of-ai/SectoralProductivityGains_website.xlsx</x:v>
      </x:c>
    </x:row>
    <x:row r="19" ht="22" customHeight="1">
      <x:c r="A19" s="18" t="str">
        <x:v>54</x:v>
      </x:c>
      <x:c r="B19" s="18" t="str">
        <x:v>Professional scientific technical services</x:v>
      </x:c>
      <x:c r="C19" s="20" t="n">
        <x:v>0.03261405983939767</x:v>
      </x:c>
      <x:c r="D19" s="20" t="n">
        <x:v>0.0886613056063652</x:v>
      </x:c>
      <x:c r="E19" s="20" t="n">
        <x:v>0.149583914710917</x:v>
      </x:c>
      <x:c r="F19" s="18" t="str">
        <x:v>DIRECT label map</x:v>
      </x:c>
      <x:c r="G19" s="18" t="str">
        <x:v>Prof./tech.</x:v>
      </x:c>
      <x:c r="H19" s="18" t="str">
        <x:v>https://www.oecd.org/content/dam/oecd/en/topics/policy-sub-issues/macroeconomics-of-ai/SectoralProductivityGains_website.xlsx</x:v>
      </x:c>
    </x:row>
    <x:row r="20" ht="22" customHeight="1">
      <x:c r="A20" s="18" t="str">
        <x:v>55</x:v>
      </x:c>
      <x:c r="B20" s="18" t="str">
        <x:v>Management of companies</x:v>
      </x:c>
      <x:c r="C20" s="20" t="n">
        <x:v>0.03261405983939767</x:v>
      </x:c>
      <x:c r="D20" s="20" t="n">
        <x:v>0.0886613056063652</x:v>
      </x:c>
      <x:c r="E20" s="20" t="n">
        <x:v>0.149583914710917</x:v>
      </x:c>
      <x:c r="F20" s="18" t="str">
        <x:v>PROXY from related sector</x:v>
      </x:c>
      <x:c r="G20" s="18" t="str">
        <x:v>Prof./tech.</x:v>
      </x:c>
      <x:c r="H20" s="18" t="str">
        <x:v>https://www.oecd.org/content/dam/oecd/en/topics/policy-sub-issues/macroeconomics-of-ai/SectoralProductivityGains_website.xlsx</x:v>
      </x:c>
    </x:row>
    <x:row r="21" ht="22" customHeight="1">
      <x:c r="A21" s="18" t="str">
        <x:v>56</x:v>
      </x:c>
      <x:c r="B21" s="18" t="str">
        <x:v>Administrative and waste management</x:v>
      </x:c>
      <x:c r="C21" s="20" t="n">
        <x:v>0.01921068448573351</x:v>
      </x:c>
      <x:c r="D21" s="20" t="n">
        <x:v>0.049402788281440735</x:v>
      </x:c>
      <x:c r="E21" s="20" t="n">
        <x:v>0.0328930849758054</x:v>
      </x:c>
      <x:c r="F21" s="18" t="str">
        <x:v>DIRECT label map</x:v>
      </x:c>
      <x:c r="G21" s="18" t="str">
        <x:v>Admin/sup.</x:v>
      </x:c>
      <x:c r="H21" s="18" t="str">
        <x:v>https://www.oecd.org/content/dam/oecd/en/topics/policy-sub-issues/macroeconomics-of-ai/SectoralProductivityGains_website.xlsx</x:v>
      </x:c>
    </x:row>
    <x:row r="22" ht="22" customHeight="1">
      <x:c r="A22" s="18" t="str">
        <x:v>61</x:v>
      </x:c>
      <x:c r="B22" s="18" t="str">
        <x:v>Private educational services</x:v>
      </x:c>
      <x:c r="C22" s="20" t="n">
        <x:v>0.024575921148061754</x:v>
      </x:c>
      <x:c r="D22" s="20" t="n">
        <x:v>0.06314210593700409</x:v>
      </x:c>
      <x:c r="E22" s="20" t="n">
        <x:v>0.0822636415146217</x:v>
      </x:c>
      <x:c r="F22" s="18" t="str">
        <x:v>DIRECT label map</x:v>
      </x:c>
      <x:c r="G22" s="18" t="str">
        <x:v>Education</x:v>
      </x:c>
      <x:c r="H22" s="18" t="str">
        <x:v>https://www.oecd.org/content/dam/oecd/en/topics/policy-sub-issues/macroeconomics-of-ai/SectoralProductivityGains_website.xlsx</x:v>
      </x:c>
    </x:row>
    <x:row r="23" ht="22" customHeight="1">
      <x:c r="A23" s="18" t="str">
        <x:v>62</x:v>
      </x:c>
      <x:c r="B23" s="18" t="str">
        <x:v>Private healthcare and social assistance</x:v>
      </x:c>
      <x:c r="C23" s="20" t="n">
        <x:v>0.0215854249894619</x:v>
      </x:c>
      <x:c r="D23" s="20" t="n">
        <x:v>0.05661867931485176</x:v>
      </x:c>
      <x:c r="E23" s="20" t="n">
        <x:v>0.0418903865623875</x:v>
      </x:c>
      <x:c r="F23" s="18" t="str">
        <x:v>DIRECT label map</x:v>
      </x:c>
      <x:c r="G23" s="18" t="str">
        <x:v>Health/soc.</x:v>
      </x:c>
      <x:c r="H23" s="18" t="str">
        <x:v>https://www.oecd.org/content/dam/oecd/en/topics/policy-sub-issues/macroeconomics-of-ai/SectoralProductivityGains_website.xlsx</x:v>
      </x:c>
    </x:row>
    <x:row r="24" ht="22" customHeight="1">
      <x:c r="A24" s="18" t="str">
        <x:v>71</x:v>
      </x:c>
      <x:c r="B24" s="18" t="str">
        <x:v>Arts entertainment recreation</x:v>
      </x:c>
      <x:c r="C24" s="20" t="n">
        <x:v>0.020705626253038647</x:v>
      </x:c>
      <x:c r="D24" s="20" t="n">
        <x:v>0.05148909240961075</x:v>
      </x:c>
      <x:c r="E24" s="20" t="n">
        <x:v>0.0380870666495382</x:v>
      </x:c>
      <x:c r="F24" s="18" t="str">
        <x:v>DIRECT label map</x:v>
      </x:c>
      <x:c r="G24" s="18" t="str">
        <x:v>Arts/rec.</x:v>
      </x:c>
      <x:c r="H24" s="18" t="str">
        <x:v>https://www.oecd.org/content/dam/oecd/en/topics/policy-sub-issues/macroeconomics-of-ai/SectoralProductivityGains_website.xlsx</x:v>
      </x:c>
    </x:row>
    <x:row r="25" ht="22" customHeight="1">
      <x:c r="A25" s="18" t="str">
        <x:v>72</x:v>
      </x:c>
      <x:c r="B25" s="18" t="str">
        <x:v>Accommodation and food services</x:v>
      </x:c>
      <x:c r="C25" s="20" t="n">
        <x:v>0.012064071139320731</x:v>
      </x:c>
      <x:c r="D25" s="20" t="n">
        <x:v>0.02927583083510399</x:v>
      </x:c>
      <x:c r="E25" s="20" t="n">
        <x:v>0.0107414765899434</x:v>
      </x:c>
      <x:c r="F25" s="18" t="str">
        <x:v>DIRECT label map</x:v>
      </x:c>
      <x:c r="G25" s="18" t="str">
        <x:v>Accom. &amp; food</x:v>
      </x:c>
      <x:c r="H25" s="18" t="str">
        <x:v>https://www.oecd.org/content/dam/oecd/en/topics/policy-sub-issues/macroeconomics-of-ai/SectoralProductivityGains_website.xlsx</x:v>
      </x:c>
    </x:row>
    <x:row r="26" ht="22" customHeight="1">
      <x:c r="A26" s="18" t="str">
        <x:v>81</x:v>
      </x:c>
      <x:c r="B26" s="18" t="str">
        <x:v>Other private services</x:v>
      </x:c>
      <x:c r="C26" s="20" t="n">
        <x:v>0.021124568954110145</x:v>
      </x:c>
      <x:c r="D26" s="20" t="n">
        <x:v>0.053498223423957825</x:v>
      </x:c>
      <x:c r="E26" s="20" t="n">
        <x:v>0.0181293589459603</x:v>
      </x:c>
      <x:c r="F26" s="18" t="str">
        <x:v>DIRECT label map</x:v>
      </x:c>
      <x:c r="G26" s="18" t="str">
        <x:v>Other serv.</x:v>
      </x:c>
      <x:c r="H26" s="18" t="str">
        <x:v>https://www.oecd.org/content/dam/oecd/en/topics/policy-sub-issues/macroeconomics-of-ai/SectoralProductivityGains_website.xlsx</x:v>
      </x:c>
    </x:row>
    <x:row r="27" ht="22" customHeight="1">
      <x:c r="A27" s="18" t="str">
        <x:v>92</x:v>
      </x:c>
      <x:c r="B27" s="18" t="str">
        <x:v>Government (BEA aggregate; not exact NAICS 92)</x:v>
      </x:c>
      <x:c r="C27" s="20" t="n">
        <x:v>0</x:v>
      </x:c>
      <x:c r="D27" s="20" t="n">
        <x:v>0</x:v>
      </x:c>
      <x:c r="E27" s="20" t="n">
        <x:v>0</x:v>
      </x:c>
      <x:c r="F27" s="18" t="str">
        <x:v>NOT COVERED =&gt; 0 in scoped model</x:v>
      </x:c>
      <x:c r="G27" s="18" t="str">
        <x:v>No matching OECD industry</x:v>
      </x:c>
      <x:c r="H27" s="18" t="str">
        <x:v>https://www.oecd.org/content/dam/oecd/en/topics/policy-sub-issues/macroeconomics-of-ai/SectoralProductivityGains_website.xlsx</x:v>
      </x:c>
    </x:row>
    <x:row r="28" ht="22" customHeight="1">
      <x:c r="A28" s="18"/>
      <x:c r="B28" s="18"/>
      <x:c r="C28" s="18"/>
      <x:c r="D28" s="18"/>
      <x:c r="E28" s="18"/>
      <x:c r="F28" s="18"/>
      <x:c r="G28" s="18"/>
      <x:c r="H28" s="18"/>
    </x:row>
  </x:sheetData>
  <x:mergeCells>
    <x:mergeCell ref="A1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43" hidden="0" customWidth="1"/>
    <x:col min="3" max="3" width="21" hidden="0" customWidth="1"/>
    <x:col min="4" max="4" width="23" hidden="0" customWidth="1"/>
    <x:col min="5" max="5" width="29" hidden="0" customWidth="1"/>
    <x:col min="6" max="6" width="52" hidden="0" customWidth="1"/>
    <x:col min="7" max="7" width="48" hidden="0" customWidth="1"/>
  </x:cols>
  <x:sheetData>
    <x:row r="1" ht="20" customHeight="1">
      <x:c r="A1" s="8" t="str">
        <x:v>OECD | UNITED STATES SECTOR PRODUCTIVITY GAINS | ORIGINAL OFFICIAL DATA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https://www.oecd.org/content/dam/oecd/en/topics/policy-sub-issues/macroeconomics-of-ai/SectoralProductivityGains_website.xlsx</x:v>
      </x:c>
      <x:c r="D3" s="167" t="str">
        <x:v>COPY B3 LINK</x:v>
      </x:c>
    </x:row>
    <x:row r="4" ht="20" customHeight="1">
      <x:c r="A4" s="168" t="str">
        <x:v>REBUILD: 43 original sector rows, High/Low/Uneven scenarios; decimal 0.1 represents cumulative level gain of 10% by 2033.  Model vintage: OECD 2023–2033 scenarios.  This workbook is NOT automatically refreshed from the website.</x:v>
      </x:c>
    </x:row>
    <x:row r="5" ht="20" customHeight="1"/>
    <x:row r="6" ht="20" customHeight="1"/>
    <x:row r="7" ht="20" customHeight="1">
      <x:c r="A7" s="16" t="str">
        <x:v>Original source code</x:v>
      </x:c>
      <x:c r="B7" s="16" t="str">
        <x:v>OECD sector label</x:v>
      </x:c>
      <x:c r="C7" s="16" t="str">
        <x:v>Low adoption gain 2033</x:v>
      </x:c>
      <x:c r="D7" s="16" t="str">
        <x:v>High expanded gain 2033</x:v>
      </x:c>
      <x:c r="E7" s="16" t="str">
        <x:v>Uneven gain 2033</x:v>
      </x:c>
      <x:c r="F7" s="16" t="str">
        <x:v>Data provenance / method</x:v>
      </x:c>
      <x:c r="G7" s="163" t="str">
        <x:v>Publisher XLSX</x:v>
      </x:c>
    </x:row>
    <x:row r="8" ht="22" customHeight="1">
      <x:c r="A8" s="18" t="str">
        <x:v>a01_02</x:v>
      </x:c>
      <x:c r="B8" s="18" t="str">
        <x:v>Agriculture</x:v>
      </x:c>
      <x:c r="C8" s="20" t="n">
        <x:v>0.007639692653901875</x:v>
      </x:c>
      <x:c r="D8" s="20" t="n">
        <x:v>0.023269886150956154</x:v>
      </x:c>
      <x:c r="E8" s="20" t="n">
        <x:v>0.00790563921632389</x:v>
      </x:c>
      <x:c r="F8" s="18" t="str">
        <x:v>OECD official U.S. sector-calibrated XLSX; 2023–2033 cumulative level effects (decimal)</x:v>
      </x:c>
      <x:c r="G8" t="str">
        <x:v>https://www.oecd.org/content/dam/oecd/en/topics/policy-sub-issues/macroeconomics-of-ai/SectoralProductivityGains_website.xlsx</x:v>
      </x:c>
    </x:row>
    <x:row r="9" ht="22" customHeight="1">
      <x:c r="A9" s="18" t="str">
        <x:v>a03</x:v>
      </x:c>
      <x:c r="B9" s="18" t="str">
        <x:v>Fishing</x:v>
      </x:c>
      <x:c r="C9" s="20" t="n">
        <x:v>0.010710678715258838</x:v>
      </x:c>
      <x:c r="D9" s="20" t="n">
        <x:v>0.029340967535972595</x:v>
      </x:c>
      <x:c r="E9" s="20" t="n">
        <x:v>0.00964538372870488</x:v>
      </x:c>
      <x:c r="F9" s="18" t="str">
        <x:v>OECD official U.S. sector-calibrated XLSX; 2023–2033 cumulative level effects (decimal)</x:v>
      </x:c>
      <x:c r="G9" t="str">
        <x:v>https://www.oecd.org/content/dam/oecd/en/topics/policy-sub-issues/macroeconomics-of-ai/SectoralProductivityGains_website.xlsx</x:v>
      </x:c>
    </x:row>
    <x:row r="10" ht="22" customHeight="1">
      <x:c r="A10" s="18" t="str">
        <x:v>b05_06</x:v>
      </x:c>
      <x:c r="B10" s="18" t="str">
        <x:v>Non-energ. min</x:v>
      </x:c>
      <x:c r="C10" s="20" t="n">
        <x:v>0.0111228343565017</x:v>
      </x:c>
      <x:c r="D10" s="20" t="n">
        <x:v>0.03190070018172264</x:v>
      </x:c>
      <x:c r="E10" s="20" t="n">
        <x:v>0.0140010330435212</x:v>
      </x:c>
      <x:c r="F10" s="18" t="str">
        <x:v>OECD official U.S. sector-calibrated XLSX; 2023–2033 cumulative level effects (decimal)</x:v>
      </x:c>
      <x:c r="G10" t="str">
        <x:v>https://www.oecd.org/content/dam/oecd/en/topics/policy-sub-issues/macroeconomics-of-ai/SectoralProductivityGains_website.xlsx</x:v>
      </x:c>
    </x:row>
    <x:row r="11" ht="22" customHeight="1">
      <x:c r="A11" s="18" t="str">
        <x:v>b07_08</x:v>
      </x:c>
      <x:c r="B11" s="18" t="str">
        <x:v>Food &amp; tob.</x:v>
      </x:c>
      <x:c r="C11" s="20" t="n">
        <x:v>0.01143218376673758</x:v>
      </x:c>
      <x:c r="D11" s="20" t="n">
        <x:v>0.031108053401112556</x:v>
      </x:c>
      <x:c r="E11" s="20" t="n">
        <x:v>0.0102303746292326</x:v>
      </x:c>
      <x:c r="F11" s="18" t="str">
        <x:v>OECD official U.S. sector-calibrated XLSX; 2023–2033 cumulative level effects (decimal)</x:v>
      </x:c>
      <x:c r="G11" t="str">
        <x:v>https://www.oecd.org/content/dam/oecd/en/topics/policy-sub-issues/macroeconomics-of-ai/SectoralProductivityGains_website.xlsx</x:v>
      </x:c>
    </x:row>
    <x:row r="12" ht="22" customHeight="1">
      <x:c r="A12" s="18" t="str">
        <x:v>b09</x:v>
      </x:c>
      <x:c r="B12" s="18" t="str">
        <x:v>Wood prod.</x:v>
      </x:c>
      <x:c r="C12" s="20" t="n">
        <x:v>0.011649762745946646</x:v>
      </x:c>
      <x:c r="D12" s="20" t="n">
        <x:v>0.03307947516441345</x:v>
      </x:c>
      <x:c r="E12" s="20" t="n">
        <x:v>0.00558474976147162</x:v>
      </x:c>
      <x:c r="F12" s="18" t="str">
        <x:v>OECD official U.S. sector-calibrated XLSX; 2023–2033 cumulative level effects (decimal)</x:v>
      </x:c>
      <x:c r="G12" t="str">
        <x:v>https://www.oecd.org/content/dam/oecd/en/topics/policy-sub-issues/macroeconomics-of-ai/SectoralProductivityGains_website.xlsx</x:v>
      </x:c>
    </x:row>
    <x:row r="13" ht="22" customHeight="1">
      <x:c r="A13" s="18" t="str">
        <x:v>c10t12</x:v>
      </x:c>
      <x:c r="B13" s="18" t="str">
        <x:v>Accom. &amp; food</x:v>
      </x:c>
      <x:c r="C13" s="20" t="n">
        <x:v>0.012064071139320731</x:v>
      </x:c>
      <x:c r="D13" s="20" t="n">
        <x:v>0.02927583083510399</x:v>
      </x:c>
      <x:c r="E13" s="20" t="n">
        <x:v>0.0107414765899434</x:v>
      </x:c>
      <x:c r="F13" s="18" t="str">
        <x:v>OECD official U.S. sector-calibrated XLSX; 2023–2033 cumulative level effects (decimal)</x:v>
      </x:c>
      <x:c r="G13" t="str">
        <x:v>https://www.oecd.org/content/dam/oecd/en/topics/policy-sub-issues/macroeconomics-of-ai/SectoralProductivityGains_website.xlsx</x:v>
      </x:c>
    </x:row>
    <x:row r="14" ht="22" customHeight="1">
      <x:c r="A14" s="18" t="str">
        <x:v>c13t15</x:v>
      </x:c>
      <x:c r="B14" s="18" t="str">
        <x:v>Construct.</x:v>
      </x:c>
      <x:c r="C14" s="20" t="n">
        <x:v>0.012666949909180403</x:v>
      </x:c>
      <x:c r="D14" s="20" t="n">
        <x:v>0.035397544503211975</x:v>
      </x:c>
      <x:c r="E14" s="20" t="n">
        <x:v>0.00736541873726304</x:v>
      </x:c>
      <x:c r="F14" s="18" t="str">
        <x:v>OECD official U.S. sector-calibrated XLSX; 2023–2033 cumulative level effects (decimal)</x:v>
      </x:c>
      <x:c r="G14" t="str">
        <x:v>https://www.oecd.org/content/dam/oecd/en/topics/policy-sub-issues/macroeconomics-of-ai/SectoralProductivityGains_website.xlsx</x:v>
      </x:c>
    </x:row>
    <x:row r="15" ht="22" customHeight="1">
      <x:c r="A15" s="18" t="str">
        <x:v>c16</x:v>
      </x:c>
      <x:c r="B15" s="18" t="str">
        <x:v>Basic metals</x:v>
      </x:c>
      <x:c r="C15" s="20" t="n">
        <x:v>0.01304005184210837</x:v>
      </x:c>
      <x:c r="D15" s="20" t="n">
        <x:v>0.037041980773210526</x:v>
      </x:c>
      <x:c r="E15" s="20" t="n">
        <x:v>0.0120686439142735</x:v>
      </x:c>
      <x:c r="F15" s="18" t="str">
        <x:v>OECD official U.S. sector-calibrated XLSX; 2023–2033 cumulative level effects (decimal)</x:v>
      </x:c>
      <x:c r="G15" t="str">
        <x:v>https://www.oecd.org/content/dam/oecd/en/topics/policy-sub-issues/macroeconomics-of-ai/SectoralProductivityGains_website.xlsx</x:v>
      </x:c>
    </x:row>
    <x:row r="16" ht="22" customHeight="1">
      <x:c r="A16" s="18" t="str">
        <x:v>c17_18</x:v>
      </x:c>
      <x:c r="B16" s="18" t="str">
        <x:v>Rubber/plast.</x:v>
      </x:c>
      <x:c r="C16" s="20" t="n">
        <x:v>0.013601308595389128</x:v>
      </x:c>
      <x:c r="D16" s="20" t="n">
        <x:v>0.03800075501203537</x:v>
      </x:c>
      <x:c r="E16" s="20" t="n">
        <x:v>0.0123406293978554</x:v>
      </x:c>
      <x:c r="F16" s="18" t="str">
        <x:v>OECD official U.S. sector-calibrated XLSX; 2023–2033 cumulative level effects (decimal)</x:v>
      </x:c>
      <x:c r="G16" t="str">
        <x:v>https://www.oecd.org/content/dam/oecd/en/topics/policy-sub-issues/macroeconomics-of-ai/SectoralProductivityGains_website.xlsx</x:v>
      </x:c>
    </x:row>
    <x:row r="17" ht="22" customHeight="1">
      <x:c r="A17" s="18" t="str">
        <x:v>c19</x:v>
      </x:c>
      <x:c r="B17" s="18" t="str">
        <x:v>Warehouse</x:v>
      </x:c>
      <x:c r="C17" s="20" t="n">
        <x:v>0.013653161004185677</x:v>
      </x:c>
      <x:c r="D17" s="20" t="n">
        <x:v>0.03699184209108353</x:v>
      </x:c>
      <x:c r="E17" s="20" t="n">
        <x:v>0.00691948954190963</x:v>
      </x:c>
      <x:c r="F17" s="18" t="str">
        <x:v>OECD official U.S. sector-calibrated XLSX; 2023–2033 cumulative level effects (decimal)</x:v>
      </x:c>
      <x:c r="G17" t="str">
        <x:v>https://www.oecd.org/content/dam/oecd/en/topics/policy-sub-issues/macroeconomics-of-ai/SectoralProductivityGains_website.xlsx</x:v>
      </x:c>
    </x:row>
    <x:row r="18" ht="22" customHeight="1">
      <x:c r="A18" s="18" t="str">
        <x:v>c20</x:v>
      </x:c>
      <x:c r="B18" s="18" t="str">
        <x:v>Land trans.</x:v>
      </x:c>
      <x:c r="C18" s="20" t="n">
        <x:v>0.014485614188015462</x:v>
      </x:c>
      <x:c r="D18" s="20" t="n">
        <x:v>0.04180227220058441</x:v>
      </x:c>
      <x:c r="E18" s="20" t="n">
        <x:v>0.0131024513410936</x:v>
      </x:c>
      <x:c r="F18" s="18" t="str">
        <x:v>OECD official U.S. sector-calibrated XLSX; 2023–2033 cumulative level effects (decimal)</x:v>
      </x:c>
      <x:c r="G18" t="str">
        <x:v>https://www.oecd.org/content/dam/oecd/en/topics/policy-sub-issues/macroeconomics-of-ai/SectoralProductivityGains_website.xlsx</x:v>
      </x:c>
    </x:row>
    <x:row r="19" ht="22" customHeight="1">
      <x:c r="A19" s="18" t="str">
        <x:v>c21</x:v>
      </x:c>
      <x:c r="B19" s="18" t="str">
        <x:v>Non-met. min</x:v>
      </x:c>
      <x:c r="C19" s="20" t="n">
        <x:v>0.014521417347714305</x:v>
      </x:c>
      <x:c r="D19" s="20" t="n">
        <x:v>0.040399521589279175</x:v>
      </x:c>
      <x:c r="E19" s="20" t="n">
        <x:v>0.0140478192692747</x:v>
      </x:c>
      <x:c r="F19" s="18" t="str">
        <x:v>OECD official U.S. sector-calibrated XLSX; 2023–2033 cumulative level effects (decimal)</x:v>
      </x:c>
      <x:c r="G19" t="str">
        <x:v>https://www.oecd.org/content/dam/oecd/en/topics/policy-sub-issues/macroeconomics-of-ai/SectoralProductivityGains_website.xlsx</x:v>
      </x:c>
    </x:row>
    <x:row r="20" ht="22" customHeight="1">
      <x:c r="A20" s="18" t="str">
        <x:v>c22</x:v>
      </x:c>
      <x:c r="B20" s="18" t="str">
        <x:v>Mining sup.</x:v>
      </x:c>
      <x:c r="C20" s="20" t="n">
        <x:v>0.014913931535556913</x:v>
      </x:c>
      <x:c r="D20" s="20" t="n">
        <x:v>0.041460324078798294</x:v>
      </x:c>
      <x:c r="E20" s="20" t="n">
        <x:v>0.015610454232828</x:v>
      </x:c>
      <x:c r="F20" s="18" t="str">
        <x:v>OECD official U.S. sector-calibrated XLSX; 2023–2033 cumulative level effects (decimal)</x:v>
      </x:c>
      <x:c r="G20" t="str">
        <x:v>https://www.oecd.org/content/dam/oecd/en/topics/policy-sub-issues/macroeconomics-of-ai/SectoralProductivityGains_website.xlsx</x:v>
      </x:c>
    </x:row>
    <x:row r="21" ht="22" customHeight="1">
      <x:c r="A21" s="18" t="str">
        <x:v>c23</x:v>
      </x:c>
      <x:c r="B21" s="18" t="str">
        <x:v>Textiles</x:v>
      </x:c>
      <x:c r="C21" s="20" t="n">
        <x:v>0.014978340594097972</x:v>
      </x:c>
      <x:c r="D21" s="20" t="n">
        <x:v>0.041446998715400696</x:v>
      </x:c>
      <x:c r="E21" s="20" t="n">
        <x:v>0.0178264863588423</x:v>
      </x:c>
      <x:c r="F21" s="18" t="str">
        <x:v>OECD official U.S. sector-calibrated XLSX; 2023–2033 cumulative level effects (decimal)</x:v>
      </x:c>
      <x:c r="G21" t="str">
        <x:v>https://www.oecd.org/content/dam/oecd/en/topics/policy-sub-issues/macroeconomics-of-ai/SectoralProductivityGains_website.xlsx</x:v>
      </x:c>
    </x:row>
    <x:row r="22" ht="22" customHeight="1">
      <x:c r="A22" s="18" t="str">
        <x:v>c24</x:v>
      </x:c>
      <x:c r="B22" s="18" t="str">
        <x:v>Fab. metals</x:v>
      </x:c>
      <x:c r="C22" s="20" t="n">
        <x:v>0.015115102473646403</x:v>
      </x:c>
      <x:c r="D22" s="20" t="n">
        <x:v>0.04294499009847641</x:v>
      </x:c>
      <x:c r="E22" s="20" t="n">
        <x:v>0.0087012219611155</x:v>
      </x:c>
      <x:c r="F22" s="18" t="str">
        <x:v>OECD official U.S. sector-calibrated XLSX; 2023–2033 cumulative level effects (decimal)</x:v>
      </x:c>
      <x:c r="G22" t="str">
        <x:v>https://www.oecd.org/content/dam/oecd/en/topics/policy-sub-issues/macroeconomics-of-ai/SectoralProductivityGains_website.xlsx</x:v>
      </x:c>
    </x:row>
    <x:row r="23" ht="22" customHeight="1">
      <x:c r="A23" s="18" t="str">
        <x:v>c25</x:v>
      </x:c>
      <x:c r="B23" s="18" t="str">
        <x:v>Postal</x:v>
      </x:c>
      <x:c r="C23" s="20" t="n">
        <x:v>0.01576069463044405</x:v>
      </x:c>
      <x:c r="D23" s="20" t="n">
        <x:v>0.0454864539206028</x:v>
      </x:c>
      <x:c r="E23" s="20" t="n">
        <x:v>0.00842834838845298</x:v>
      </x:c>
      <x:c r="F23" s="18" t="str">
        <x:v>OECD official U.S. sector-calibrated XLSX; 2023–2033 cumulative level effects (decimal)</x:v>
      </x:c>
      <x:c r="G23" t="str">
        <x:v>https://www.oecd.org/content/dam/oecd/en/topics/policy-sub-issues/macroeconomics-of-ai/SectoralProductivityGains_website.xlsx</x:v>
      </x:c>
    </x:row>
    <x:row r="24" ht="22" customHeight="1">
      <x:c r="A24" s="18" t="str">
        <x:v>c26</x:v>
      </x:c>
      <x:c r="B24" s="18" t="str">
        <x:v>Paper/print.</x:v>
      </x:c>
      <x:c r="C24" s="20" t="n">
        <x:v>0.0161073659081012</x:v>
      </x:c>
      <x:c r="D24" s="20" t="n">
        <x:v>0.04517872631549835</x:v>
      </x:c>
      <x:c r="E24" s="20" t="n">
        <x:v>0.0146575964166428</x:v>
      </x:c>
      <x:c r="F24" s="18" t="str">
        <x:v>OECD official U.S. sector-calibrated XLSX; 2023–2033 cumulative level effects (decimal)</x:v>
      </x:c>
      <x:c r="G24" t="str">
        <x:v>https://www.oecd.org/content/dam/oecd/en/topics/policy-sub-issues/macroeconomics-of-ai/SectoralProductivityGains_website.xlsx</x:v>
      </x:c>
    </x:row>
    <x:row r="25" ht="22" customHeight="1">
      <x:c r="A25" s="18" t="str">
        <x:v>c27</x:v>
      </x:c>
      <x:c r="B25" s="18" t="str">
        <x:v>Water/waste</x:v>
      </x:c>
      <x:c r="C25" s="20" t="n">
        <x:v>0.016229346627369523</x:v>
      </x:c>
      <x:c r="D25" s="20" t="n">
        <x:v>0.044282641261816025</x:v>
      </x:c>
      <x:c r="E25" s="20" t="n">
        <x:v>0.0139696859681488</x:v>
      </x:c>
      <x:c r="F25" s="18" t="str">
        <x:v>OECD official U.S. sector-calibrated XLSX; 2023–2033 cumulative level effects (decimal)</x:v>
      </x:c>
      <x:c r="G25" t="str">
        <x:v>https://www.oecd.org/content/dam/oecd/en/topics/policy-sub-issues/macroeconomics-of-ai/SectoralProductivityGains_website.xlsx</x:v>
      </x:c>
    </x:row>
    <x:row r="26" ht="22" customHeight="1">
      <x:c r="A26" s="18" t="str">
        <x:v>c28</x:v>
      </x:c>
      <x:c r="B26" s="18" t="str">
        <x:v>Manuf./rep.</x:v>
      </x:c>
      <x:c r="C26" s="20" t="n">
        <x:v>0.01639557764865458</x:v>
      </x:c>
      <x:c r="D26" s="20" t="n">
        <x:v>0.04403799772262573</x:v>
      </x:c>
      <x:c r="E26" s="20" t="n">
        <x:v>0.0258171461220992</x:v>
      </x:c>
      <x:c r="F26" s="18" t="str">
        <x:v>OECD official U.S. sector-calibrated XLSX; 2023–2033 cumulative level effects (decimal)</x:v>
      </x:c>
      <x:c r="G26" t="str">
        <x:v>https://www.oecd.org/content/dam/oecd/en/topics/policy-sub-issues/macroeconomics-of-ai/SectoralProductivityGains_website.xlsx</x:v>
      </x:c>
    </x:row>
    <x:row r="27" ht="22" customHeight="1">
      <x:c r="A27" s="18" t="str">
        <x:v>c29</x:v>
      </x:c>
      <x:c r="B27" s="18" t="str">
        <x:v>Motor veh.</x:v>
      </x:c>
      <x:c r="C27" s="20" t="n">
        <x:v>0.016463130153715613</x:v>
      </x:c>
      <x:c r="D27" s="20" t="n">
        <x:v>0.04596646502614021</x:v>
      </x:c>
      <x:c r="E27" s="20" t="n">
        <x:v>0.0149784609331531</x:v>
      </x:c>
      <x:c r="F27" s="18" t="str">
        <x:v>OECD official U.S. sector-calibrated XLSX; 2023–2033 cumulative level effects (decimal)</x:v>
      </x:c>
      <x:c r="G27" t="str">
        <x:v>https://www.oecd.org/content/dam/oecd/en/topics/policy-sub-issues/macroeconomics-of-ai/SectoralProductivityGains_website.xlsx</x:v>
      </x:c>
    </x:row>
    <x:row r="28" ht="22" customHeight="1">
      <x:c r="A28" s="18" t="str">
        <x:v>c30</x:v>
      </x:c>
      <x:c r="B28" s="18" t="str">
        <x:v>Other trans.</x:v>
      </x:c>
      <x:c r="C28" s="20" t="n">
        <x:v>0.01730972295626998</x:v>
      </x:c>
      <x:c r="D28" s="20" t="n">
        <x:v>0.04837040975689888</x:v>
      </x:c>
      <x:c r="E28" s="20" t="n">
        <x:v>0.0158194338842026</x:v>
      </x:c>
      <x:c r="F28" s="18" t="str">
        <x:v>OECD official U.S. sector-calibrated XLSX; 2023–2033 cumulative level effects (decimal)</x:v>
      </x:c>
      <x:c r="G28" t="str">
        <x:v>https://www.oecd.org/content/dam/oecd/en/topics/policy-sub-issues/macroeconomics-of-ai/SectoralProductivityGains_website.xlsx</x:v>
      </x:c>
    </x:row>
    <x:row r="29" ht="22" customHeight="1">
      <x:c r="A29" s="18" t="str">
        <x:v>c31t33</x:v>
      </x:c>
      <x:c r="B29" s="18" t="str">
        <x:v>Water trans.</x:v>
      </x:c>
      <x:c r="C29" s="20" t="n">
        <x:v>0.017429030407220127</x:v>
      </x:c>
      <x:c r="D29" s="20" t="n">
        <x:v>0.048196155577898026</x:v>
      </x:c>
      <x:c r="E29" s="20" t="n">
        <x:v>0.0158097596889387</x:v>
      </x:c>
      <x:c r="F29" s="18" t="str">
        <x:v>OECD official U.S. sector-calibrated XLSX; 2023–2033 cumulative level effects (decimal)</x:v>
      </x:c>
      <x:c r="G29" t="str">
        <x:v>https://www.oecd.org/content/dam/oecd/en/topics/policy-sub-issues/macroeconomics-of-ai/SectoralProductivityGains_website.xlsx</x:v>
      </x:c>
    </x:row>
    <x:row r="30" ht="22" customHeight="1">
      <x:c r="A30" s="18" t="str">
        <x:v>d</x:v>
      </x:c>
      <x:c r="B30" s="18" t="str">
        <x:v>Air trans.</x:v>
      </x:c>
      <x:c r="C30" s="20" t="n">
        <x:v>0.0175374252256006</x:v>
      </x:c>
      <x:c r="D30" s="20" t="n">
        <x:v>0.04817349091172218</x:v>
      </x:c>
      <x:c r="E30" s="20" t="n">
        <x:v>0.00882503756847319</x:v>
      </x:c>
      <x:c r="F30" s="18" t="str">
        <x:v>OECD official U.S. sector-calibrated XLSX; 2023–2033 cumulative level effects (decimal)</x:v>
      </x:c>
      <x:c r="G30" t="str">
        <x:v>https://www.oecd.org/content/dam/oecd/en/topics/policy-sub-issues/macroeconomics-of-ai/SectoralProductivityGains_website.xlsx</x:v>
      </x:c>
    </x:row>
    <x:row r="31" ht="22" customHeight="1">
      <x:c r="A31" s="18" t="str">
        <x:v>e</x:v>
      </x:c>
      <x:c r="B31" s="18" t="str">
        <x:v>Coke/petrol.</x:v>
      </x:c>
      <x:c r="C31" s="20" t="n">
        <x:v>0.01759002306498587</x:v>
      </x:c>
      <x:c r="D31" s="20" t="n">
        <x:v>0.04830016940832138</x:v>
      </x:c>
      <x:c r="E31" s="20" t="n">
        <x:v>0.0087762067555985</x:v>
      </x:c>
      <x:c r="F31" s="18" t="str">
        <x:v>OECD official U.S. sector-calibrated XLSX; 2023–2033 cumulative level effects (decimal)</x:v>
      </x:c>
      <x:c r="G31" t="str">
        <x:v>https://www.oecd.org/content/dam/oecd/en/topics/policy-sub-issues/macroeconomics-of-ai/SectoralProductivityGains_website.xlsx</x:v>
      </x:c>
    </x:row>
    <x:row r="32" ht="22" customHeight="1">
      <x:c r="A32" s="18" t="str">
        <x:v>f</x:v>
      </x:c>
      <x:c r="B32" s="18" t="str">
        <x:v>Machinery</x:v>
      </x:c>
      <x:c r="C32" s="20" t="n">
        <x:v>0.01807640688493848</x:v>
      </x:c>
      <x:c r="D32" s="20" t="n">
        <x:v>0.05030969902873039</x:v>
      </x:c>
      <x:c r="E32" s="20" t="n">
        <x:v>0.0164593751731883</x:v>
      </x:c>
      <x:c r="F32" s="18" t="str">
        <x:v>OECD official U.S. sector-calibrated XLSX; 2023–2033 cumulative level effects (decimal)</x:v>
      </x:c>
      <x:c r="G32" t="str">
        <x:v>https://www.oecd.org/content/dam/oecd/en/topics/policy-sub-issues/macroeconomics-of-ai/SectoralProductivityGains_website.xlsx</x:v>
      </x:c>
    </x:row>
    <x:row r="33" ht="22" customHeight="1">
      <x:c r="A33" s="18" t="str">
        <x:v>g</x:v>
      </x:c>
      <x:c r="B33" s="18" t="str">
        <x:v>Chemicals</x:v>
      </x:c>
      <x:c r="C33" s="20" t="n">
        <x:v>0.018409937806427478</x:v>
      </x:c>
      <x:c r="D33" s="20" t="n">
        <x:v>0.049264710396528244</x:v>
      </x:c>
      <x:c r="E33" s="20" t="n">
        <x:v>0.0161601466071304</x:v>
      </x:c>
      <x:c r="F33" s="18" t="str">
        <x:v>OECD official U.S. sector-calibrated XLSX; 2023–2033 cumulative level effects (decimal)</x:v>
      </x:c>
      <x:c r="G33" t="str">
        <x:v>https://www.oecd.org/content/dam/oecd/en/topics/policy-sub-issues/macroeconomics-of-ai/SectoralProductivityGains_website.xlsx</x:v>
      </x:c>
    </x:row>
    <x:row r="34" ht="22" customHeight="1">
      <x:c r="A34" s="18" t="str">
        <x:v>h49</x:v>
      </x:c>
      <x:c r="B34" s="18" t="str">
        <x:v>Energy min.</x:v>
      </x:c>
      <x:c r="C34" s="20" t="n">
        <x:v>0.018528035003691913</x:v>
      </x:c>
      <x:c r="D34" s="20" t="n">
        <x:v>0.05147058889269829</x:v>
      </x:c>
      <x:c r="E34" s="20" t="n">
        <x:v>0.0229702955126765</x:v>
      </x:c>
      <x:c r="F34" s="18" t="str">
        <x:v>OECD official U.S. sector-calibrated XLSX; 2023–2033 cumulative level effects (decimal)</x:v>
      </x:c>
      <x:c r="G34" t="str">
        <x:v>https://www.oecd.org/content/dam/oecd/en/topics/policy-sub-issues/macroeconomics-of-ai/SectoralProductivityGains_website.xlsx</x:v>
      </x:c>
    </x:row>
    <x:row r="35" ht="22" customHeight="1">
      <x:c r="A35" s="18" t="str">
        <x:v>h50</x:v>
      </x:c>
      <x:c r="B35" s="18" t="str">
        <x:v>Pharma.</x:v>
      </x:c>
      <x:c r="C35" s="20" t="n">
        <x:v>0.01876151328906417</x:v>
      </x:c>
      <x:c r="D35" s="20" t="n">
        <x:v>0.05012140050530434</x:v>
      </x:c>
      <x:c r="E35" s="20" t="n">
        <x:v>0.0164479050870068</x:v>
      </x:c>
      <x:c r="F35" s="18" t="str">
        <x:v>OECD official U.S. sector-calibrated XLSX; 2023–2033 cumulative level effects (decimal)</x:v>
      </x:c>
      <x:c r="G35" t="str">
        <x:v>https://www.oecd.org/content/dam/oecd/en/topics/policy-sub-issues/macroeconomics-of-ai/SectoralProductivityGains_website.xlsx</x:v>
      </x:c>
    </x:row>
    <x:row r="36" ht="22" customHeight="1">
      <x:c r="A36" s="18" t="str">
        <x:v>h51</x:v>
      </x:c>
      <x:c r="B36" s="18" t="str">
        <x:v>Admin/sup.</x:v>
      </x:c>
      <x:c r="C36" s="20" t="n">
        <x:v>0.01921068448573351</x:v>
      </x:c>
      <x:c r="D36" s="20" t="n">
        <x:v>0.049402788281440735</x:v>
      </x:c>
      <x:c r="E36" s="20" t="n">
        <x:v>0.0328930849758054</x:v>
      </x:c>
      <x:c r="F36" s="18" t="str">
        <x:v>OECD official U.S. sector-calibrated XLSX; 2023–2033 cumulative level effects (decimal)</x:v>
      </x:c>
      <x:c r="G36" t="str">
        <x:v>https://www.oecd.org/content/dam/oecd/en/topics/policy-sub-issues/macroeconomics-of-ai/SectoralProductivityGains_website.xlsx</x:v>
      </x:c>
    </x:row>
    <x:row r="37" ht="22" customHeight="1">
      <x:c r="A37" s="18" t="str">
        <x:v>h52</x:v>
      </x:c>
      <x:c r="B37" s="18" t="str">
        <x:v>Utilities</x:v>
      </x:c>
      <x:c r="C37" s="20" t="n">
        <x:v>0.019484122563153506</x:v>
      </x:c>
      <x:c r="D37" s="20" t="n">
        <x:v>0.05284464731812477</x:v>
      </x:c>
      <x:c r="E37" s="20" t="n">
        <x:v>0.00144496597514347</x:v>
      </x:c>
      <x:c r="F37" s="18" t="str">
        <x:v>OECD official U.S. sector-calibrated XLSX; 2023–2033 cumulative level effects (decimal)</x:v>
      </x:c>
      <x:c r="G37" t="str">
        <x:v>https://www.oecd.org/content/dam/oecd/en/topics/policy-sub-issues/macroeconomics-of-ai/SectoralProductivityGains_website.xlsx</x:v>
      </x:c>
    </x:row>
    <x:row r="38" ht="22" customHeight="1">
      <x:c r="A38" s="18" t="str">
        <x:v>h53</x:v>
      </x:c>
      <x:c r="B38" s="18" t="str">
        <x:v>Elec. equip.</x:v>
      </x:c>
      <x:c r="C38" s="20" t="n">
        <x:v>0.020571067463606596</x:v>
      </x:c>
      <x:c r="D38" s="20" t="n">
        <x:v>0.05645713955163956</x:v>
      </x:c>
      <x:c r="E38" s="20" t="n">
        <x:v>0.0185138830132193</x:v>
      </x:c>
      <x:c r="F38" s="18" t="str">
        <x:v>OECD official U.S. sector-calibrated XLSX; 2023–2033 cumulative level effects (decimal)</x:v>
      </x:c>
      <x:c r="G38" t="str">
        <x:v>https://www.oecd.org/content/dam/oecd/en/topics/policy-sub-issues/macroeconomics-of-ai/SectoralProductivityGains_website.xlsx</x:v>
      </x:c>
    </x:row>
    <x:row r="39" ht="22" customHeight="1">
      <x:c r="A39" s="18" t="str">
        <x:v>i</x:v>
      </x:c>
      <x:c r="B39" s="18" t="str">
        <x:v>Arts/rec.</x:v>
      </x:c>
      <x:c r="C39" s="20" t="n">
        <x:v>0.020705626253038647</x:v>
      </x:c>
      <x:c r="D39" s="20" t="n">
        <x:v>0.05148909240961075</x:v>
      </x:c>
      <x:c r="E39" s="20" t="n">
        <x:v>0.0380870666495382</x:v>
      </x:c>
      <x:c r="F39" s="18" t="str">
        <x:v>OECD official U.S. sector-calibrated XLSX; 2023–2033 cumulative level effects (decimal)</x:v>
      </x:c>
      <x:c r="G39" t="str">
        <x:v>https://www.oecd.org/content/dam/oecd/en/topics/policy-sub-issues/macroeconomics-of-ai/SectoralProductivityGains_website.xlsx</x:v>
      </x:c>
    </x:row>
    <x:row r="40" ht="22" customHeight="1">
      <x:c r="A40" s="18" t="str">
        <x:v>j58t60</x:v>
      </x:c>
      <x:c r="B40" s="18" t="str">
        <x:v>Other serv.</x:v>
      </x:c>
      <x:c r="C40" s="20" t="n">
        <x:v>0.021124568954110145</x:v>
      </x:c>
      <x:c r="D40" s="20" t="n">
        <x:v>0.053498223423957825</x:v>
      </x:c>
      <x:c r="E40" s="20" t="n">
        <x:v>0.0181293589459603</x:v>
      </x:c>
      <x:c r="F40" s="18" t="str">
        <x:v>OECD official U.S. sector-calibrated XLSX; 2023–2033 cumulative level effects (decimal)</x:v>
      </x:c>
      <x:c r="G40" t="str">
        <x:v>https://www.oecd.org/content/dam/oecd/en/topics/policy-sub-issues/macroeconomics-of-ai/SectoralProductivityGains_website.xlsx</x:v>
      </x:c>
    </x:row>
    <x:row r="41" ht="22" customHeight="1">
      <x:c r="A41" s="18" t="str">
        <x:v>j61</x:v>
      </x:c>
      <x:c r="B41" s="18" t="str">
        <x:v>Health/soc.</x:v>
      </x:c>
      <x:c r="C41" s="20" t="n">
        <x:v>0.0215854249894619</x:v>
      </x:c>
      <x:c r="D41" s="20" t="n">
        <x:v>0.05661867931485176</x:v>
      </x:c>
      <x:c r="E41" s="20" t="n">
        <x:v>0.0418903865623875</x:v>
      </x:c>
      <x:c r="F41" s="18" t="str">
        <x:v>OECD official U.S. sector-calibrated XLSX; 2023–2033 cumulative level effects (decimal)</x:v>
      </x:c>
      <x:c r="G41" t="str">
        <x:v>https://www.oecd.org/content/dam/oecd/en/topics/policy-sub-issues/macroeconomics-of-ai/SectoralProductivityGains_website.xlsx</x:v>
      </x:c>
    </x:row>
    <x:row r="42" ht="22" customHeight="1">
      <x:c r="A42" s="18" t="str">
        <x:v>j62_63</x:v>
      </x:c>
      <x:c r="B42" s="18" t="str">
        <x:v>Whole/retail</x:v>
      </x:c>
      <x:c r="C42" s="20" t="n">
        <x:v>0.02322462685406208</x:v>
      </x:c>
      <x:c r="D42" s="20" t="n">
        <x:v>0.05837578698992729</x:v>
      </x:c>
      <x:c r="E42" s="20" t="n">
        <x:v>0.0173056950280382</x:v>
      </x:c>
      <x:c r="F42" s="18" t="str">
        <x:v>OECD official U.S. sector-calibrated XLSX; 2023–2033 cumulative level effects (decimal)</x:v>
      </x:c>
      <x:c r="G42" t="str">
        <x:v>https://www.oecd.org/content/dam/oecd/en/topics/policy-sub-issues/macroeconomics-of-ai/SectoralProductivityGains_website.xlsx</x:v>
      </x:c>
    </x:row>
    <x:row r="43" ht="22" customHeight="1">
      <x:c r="A43" s="18" t="str">
        <x:v>k</x:v>
      </x:c>
      <x:c r="B43" s="18" t="str">
        <x:v>Education</x:v>
      </x:c>
      <x:c r="C43" s="20" t="n">
        <x:v>0.024575921148061754</x:v>
      </x:c>
      <x:c r="D43" s="20" t="n">
        <x:v>0.06314210593700409</x:v>
      </x:c>
      <x:c r="E43" s="20" t="n">
        <x:v>0.0822636415146217</x:v>
      </x:c>
      <x:c r="F43" s="18" t="str">
        <x:v>OECD official U.S. sector-calibrated XLSX; 2023–2033 cumulative level effects (decimal)</x:v>
      </x:c>
      <x:c r="G43" t="str">
        <x:v>https://www.oecd.org/content/dam/oecd/en/topics/policy-sub-issues/macroeconomics-of-ai/SectoralProductivityGains_website.xlsx</x:v>
      </x:c>
    </x:row>
    <x:row r="44" ht="22" customHeight="1">
      <x:c r="A44" s="18" t="str">
        <x:v>l</x:v>
      </x:c>
      <x:c r="B44" s="18" t="str">
        <x:v>Real estate</x:v>
      </x:c>
      <x:c r="C44" s="20" t="n">
        <x:v>0.024818832986056805</x:v>
      </x:c>
      <x:c r="D44" s="20" t="n">
        <x:v>0.06375886499881744</x:v>
      </x:c>
      <x:c r="E44" s="20" t="n">
        <x:v>0.0617439735019932</x:v>
      </x:c>
      <x:c r="F44" s="18" t="str">
        <x:v>OECD official U.S. sector-calibrated XLSX; 2023–2033 cumulative level effects (decimal)</x:v>
      </x:c>
      <x:c r="G44" t="str">
        <x:v>https://www.oecd.org/content/dam/oecd/en/topics/policy-sub-issues/macroeconomics-of-ai/SectoralProductivityGains_website.xlsx</x:v>
      </x:c>
    </x:row>
    <x:row r="45" ht="22" customHeight="1">
      <x:c r="A45" s="18" t="str">
        <x:v>m</x:v>
      </x:c>
      <x:c r="B45" s="18" t="str">
        <x:v>Comp./elec.</x:v>
      </x:c>
      <x:c r="C45" s="20" t="n">
        <x:v>0.027213470917195084</x:v>
      </x:c>
      <x:c r="D45" s="20" t="n">
        <x:v>0.07473356276750565</x:v>
      </x:c>
      <x:c r="E45" s="20" t="n">
        <x:v>0.0244957128205905</x:v>
      </x:c>
      <x:c r="F45" s="18" t="str">
        <x:v>OECD official U.S. sector-calibrated XLSX; 2023–2033 cumulative level effects (decimal)</x:v>
      </x:c>
      <x:c r="G45" t="str">
        <x:v>https://www.oecd.org/content/dam/oecd/en/topics/policy-sub-issues/macroeconomics-of-ai/SectoralProductivityGains_website.xlsx</x:v>
      </x:c>
    </x:row>
    <x:row r="46" ht="22" customHeight="1">
      <x:c r="A46" s="18" t="str">
        <x:v>n</x:v>
      </x:c>
      <x:c r="B46" s="18" t="str">
        <x:v>Telecom.</x:v>
      </x:c>
      <x:c r="C46" s="20" t="n">
        <x:v>0.028708459809422493</x:v>
      </x:c>
      <x:c r="D46" s="20" t="n">
        <x:v>0.07371316105127335</x:v>
      </x:c>
      <x:c r="E46" s="20" t="n">
        <x:v>0.167423576513577</x:v>
      </x:c>
      <x:c r="F46" s="18" t="str">
        <x:v>OECD official U.S. sector-calibrated XLSX; 2023–2033 cumulative level effects (decimal)</x:v>
      </x:c>
      <x:c r="G46" t="str">
        <x:v>https://www.oecd.org/content/dam/oecd/en/topics/policy-sub-issues/macroeconomics-of-ai/SectoralProductivityGains_website.xlsx</x:v>
      </x:c>
    </x:row>
    <x:row r="47" ht="22" customHeight="1">
      <x:c r="A47" s="18" t="str">
        <x:v>p</x:v>
      </x:c>
      <x:c r="B47" s="18" t="str">
        <x:v>Prof./tech.</x:v>
      </x:c>
      <x:c r="C47" s="20" t="n">
        <x:v>0.03261405983939767</x:v>
      </x:c>
      <x:c r="D47" s="20" t="n">
        <x:v>0.0886613056063652</x:v>
      </x:c>
      <x:c r="E47" s="20" t="n">
        <x:v>0.149583914710917</x:v>
      </x:c>
      <x:c r="F47" s="18" t="str">
        <x:v>OECD official U.S. sector-calibrated XLSX; 2023–2033 cumulative level effects (decimal)</x:v>
      </x:c>
      <x:c r="G47" t="str">
        <x:v>https://www.oecd.org/content/dam/oecd/en/topics/policy-sub-issues/macroeconomics-of-ai/SectoralProductivityGains_website.xlsx</x:v>
      </x:c>
    </x:row>
    <x:row r="48" ht="22" customHeight="1">
      <x:c r="A48" s="18" t="str">
        <x:v>q</x:v>
      </x:c>
      <x:c r="B48" s="18" t="str">
        <x:v>Publish/AV</x:v>
      </x:c>
      <x:c r="C48" s="20" t="n">
        <x:v>0.03361479183658957</x:v>
      </x:c>
      <x:c r="D48" s="20" t="n">
        <x:v>0.08971596509218216</x:v>
      </x:c>
      <x:c r="E48" s="20" t="n">
        <x:v>0.210306015837086</x:v>
      </x:c>
      <x:c r="F48" s="18" t="str">
        <x:v>OECD official U.S. sector-calibrated XLSX; 2023–2033 cumulative level effects (decimal)</x:v>
      </x:c>
      <x:c r="G48" t="str">
        <x:v>https://www.oecd.org/content/dam/oecd/en/topics/policy-sub-issues/macroeconomics-of-ai/SectoralProductivityGains_website.xlsx</x:v>
      </x:c>
    </x:row>
    <x:row r="49" ht="22" customHeight="1">
      <x:c r="A49" s="18" t="str">
        <x:v>r</x:v>
      </x:c>
      <x:c r="B49" s="18" t="str">
        <x:v>IT/info serv.</x:v>
      </x:c>
      <x:c r="C49" s="20" t="n">
        <x:v>0.03396761398762465</x:v>
      </x:c>
      <x:c r="D49" s="20" t="n">
        <x:v>0.09230171889066696</x:v>
      </x:c>
      <x:c r="E49" s="20" t="n">
        <x:v>0.172470780779525</x:v>
      </x:c>
      <x:c r="F49" s="18" t="str">
        <x:v>OECD official U.S. sector-calibrated XLSX; 2023–2033 cumulative level effects (decimal)</x:v>
      </x:c>
      <x:c r="G49" t="str">
        <x:v>https://www.oecd.org/content/dam/oecd/en/topics/policy-sub-issues/macroeconomics-of-ai/SectoralProductivityGains_website.xlsx</x:v>
      </x:c>
    </x:row>
    <x:row r="50" ht="22" customHeight="1">
      <x:c r="A50" s="18" t="str">
        <x:v>s</x:v>
      </x:c>
      <x:c r="B50" s="18" t="str">
        <x:v>Finance/ins.</x:v>
      </x:c>
      <x:c r="C50" s="20" t="n">
        <x:v>0.03540151612833142</x:v>
      </x:c>
      <x:c r="D50" s="20" t="n">
        <x:v>0.09236955642700195</x:v>
      </x:c>
      <x:c r="E50" s="20" t="n">
        <x:v>0.109327502939443</x:v>
      </x:c>
      <x:c r="F50" s="18" t="str">
        <x:v>OECD official U.S. sector-calibrated XLSX; 2023–2033 cumulative level effects (decimal)</x:v>
      </x:c>
      <x:c r="G50" t="str">
        <x:v>https://www.oecd.org/content/dam/oecd/en/topics/policy-sub-issues/macroeconomics-of-ai/SectoralProductivityGains_website.xlsx</x:v>
      </x:c>
    </x:row>
    <x:row r="51" ht="22" customHeight="1">
      <x:c r="A51" s="18"/>
      <x:c r="B51" s="18"/>
      <x:c r="C51" s="18"/>
      <x:c r="D51" s="18"/>
      <x:c r="E51" s="18"/>
      <x:c r="F51" s="18"/>
    </x:row>
  </x:sheetData>
  <x:mergeCells>
    <x:mergeCell ref="A1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1" hidden="0" customWidth="1"/>
    <x:col min="4" max="4" width="23" hidden="0" customWidth="1"/>
    <x:col min="5" max="5" width="29" hidden="0" customWidth="1"/>
    <x:col min="6" max="6" width="49" hidden="0" customWidth="1"/>
  </x:cols>
  <x:sheetData>
    <x:row r="1" ht="20" customHeight="1">
      <x:c r="A1" s="8" t="str">
        <x:v>STANFORD CONSUMER USERS AND WELFARE — NOT REVENUE</x:v>
      </x:c>
      <x:c r="B1" s="2"/>
      <x:c r="C1" s="2"/>
      <x:c r="D1" s="2"/>
      <x:c r="E1" s="2"/>
      <x:c r="F1" s="2"/>
      <x:c r="G1" s="2"/>
      <x:c r="H1" s="2"/>
    </x:row>
    <x:row r="2" ht="20" customHeight="1">
      <x:c r="A2" s="2"/>
      <x:c r="B2" s="2"/>
      <x:c r="C2" s="2"/>
      <x:c r="D2" s="2"/>
      <x:c r="E2" s="2"/>
      <x:c r="F2" s="2"/>
      <x:c r="G2" s="2"/>
      <x:c r="H2" s="2"/>
    </x:row>
    <x:row r="3" ht="23" customHeight="1">
      <x:c r="A3" s="163" t="str">
        <x:v>OFFICIAL / PRIMARY SOURCE</x:v>
      </x:c>
      <x:c r="B3" s="165" t="str">
        <x:v>https://digitaleconomy.stanford.edu/project/indicators/</x:v>
      </x:c>
      <x:c r="D3" s="167" t="str">
        <x:v>COPY B3 LINK</x:v>
      </x:c>
    </x:row>
    <x:row r="4" ht="20" customHeight="1">
      <x:c r="A4" s="168" t="str">
        <x:v>REBUILD: GDP-B Surplus Observer for July 2026 user counts and consumer welfare. WTA is NOT realized revenue; March study linked separately.  Model vintage: Stanford July 2026.  This workbook is NOT automatically refreshed from the website.</x:v>
      </x:c>
    </x:row>
    <x:row r="5" ht="20" customHeight="1"/>
    <x:row r="6" ht="20" customHeight="1"/>
    <x:row r="7" ht="20" customHeight="1">
      <x:c r="A7" s="16" t="str">
        <x:v>Observation</x:v>
      </x:c>
      <x:c r="B7" s="16" t="str">
        <x:v>US users (millions)</x:v>
      </x:c>
      <x:c r="C7" s="16" t="str">
        <x:v>Mean WTA ($/month)</x:v>
      </x:c>
      <x:c r="D7" s="16" t="str">
        <x:v>Annual welfare estimate ($B)</x:v>
      </x:c>
      <x:c r="E7" s="16" t="str">
        <x:v>Evidence / note</x:v>
      </x:c>
      <x:c r="F7" s="16" t="str">
        <x:v>Source URL</x:v>
      </x:c>
    </x:row>
    <x:row r="8" ht="22" customHeight="1">
      <x:c r="A8" s="18" t="str">
        <x:v>July 2025</x:v>
      </x:c>
      <x:c r="B8" s="18" t="n">
        <x:v>98</x:v>
      </x:c>
      <x:c r="C8" s="20" t="n">
        <x:v>98</x:v>
      </x:c>
      <x:c r="D8" s="20" t="n">
        <x:v>116</x:v>
      </x:c>
      <x:c r="E8" s="20" t="str">
        <x:v>Published research</x:v>
      </x:c>
      <x:c r="F8" s="18" t="str">
        <x:v>https://digitaleconomy.stanford.edu/publication/what-is-generative-ai-worth/</x:v>
      </x:c>
    </x:row>
    <x:row r="9" ht="22" customHeight="1">
      <x:c r="A9" s="18" t="str">
        <x:v>March 2026</x:v>
      </x:c>
      <x:c r="B9" s="18" t="n">
        <x:v>115</x:v>
      </x:c>
      <x:c r="C9" s="20" t="n">
        <x:v>124.5</x:v>
      </x:c>
      <x:c r="D9" s="20" t="n">
        <x:v>172.3</x:v>
      </x:c>
      <x:c r="E9" s="20" t="str">
        <x:v>Published research; does NOT measure payer conversion</x:v>
      </x:c>
      <x:c r="F9" s="18" t="str">
        <x:v>https://digitaleconomy.stanford.edu/publication/what-is-generative-ai-worth/</x:v>
      </x:c>
    </x:row>
    <x:row r="10" ht="22" customHeight="1">
      <x:c r="A10" s="18" t="str">
        <x:v>July 2026</x:v>
      </x:c>
      <x:c r="B10" s="18" t="n">
        <x:v>127</x:v>
      </x:c>
      <x:c r="C10" s="20" t="n">
        <x:v>120</x:v>
      </x:c>
      <x:c r="D10" s="20" t="n">
        <x:v>183</x:v>
      </x:c>
      <x:c r="E10" s="20" t="str">
        <x:v>Approximate Stanford indicator reading; user count may be updated</x:v>
      </x:c>
      <x:c r="F10" s="18" t="str">
        <x:v>https://digitaleconomy.stanford.edu/project/indicators/</x:v>
      </x:c>
    </x:row>
    <x:row r="11" ht="22" customHeight="1">
      <x:c r="A11" s="18"/>
      <x:c r="B11" s="18"/>
      <x:c r="C11" s="18"/>
      <x:c r="D11" s="18"/>
      <x:c r="E11" s="18"/>
      <x:c r="F11" s="18"/>
    </x:row>
  </x:sheetData>
  <x:mergeCells>
    <x:mergeCell ref="A1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16" hidden="0" customWidth="1"/>
    <x:col min="4" max="4" width="84" hidden="0" customWidth="1"/>
    <x:col min="5" max="5" width="80" hidden="0" customWidth="1"/>
    <x:col min="6" max="6" width="100" hidden="0" customWidth="1"/>
  </x:cols>
  <x:sheetData>
    <x:row r="1" ht="25" customHeight="1">
      <x:c r="A1" s="8" t="str">
        <x:v>PRIMARY RESEARCH | AI ADOPTION, PRODUCTIVITY AND REBOUND MECHANISMS</x:v>
      </x:c>
      <x:c r="B1" s="2"/>
      <x:c r="C1" s="2"/>
      <x:c r="D1" s="2"/>
      <x:c r="E1" s="2"/>
      <x:c r="F1" s="2"/>
    </x:row>
    <x:row r="2" ht="25" customHeight="1">
      <x:c r="A2" s="2"/>
      <x:c r="B2" s="2"/>
      <x:c r="C2" s="2"/>
      <x:c r="D2" s="2"/>
      <x:c r="E2" s="2"/>
      <x:c r="F2" s="2"/>
    </x:row>
    <x:row r="3" ht="23" customHeight="1">
      <x:c r="A3" s="163" t="str">
        <x:v>OFFICIAL / PRIMARY SOURCE</x:v>
      </x:c>
      <x:c r="B3" s="165" t="str">
        <x:v>https://lehd.ces.census.gov/applications/creat/paper-profile/1413</x:v>
      </x:c>
      <x:c r="D3" s="167" t="str">
        <x:v>COPY B3 LINK</x:v>
      </x:c>
    </x:row>
    <x:row r="4" ht="20" customHeight="1">
      <x:c r="A4" s="168" t="str">
        <x:v>REBUILD: Academic papers offer methodology only; not numerical market-size inputs. Paper-specific URLs retained in existing column F.  Model vintage: 2024–2026 publications.  This workbook is NOT automatically refreshed from the website.</x:v>
      </x:c>
    </x:row>
    <x:row r="7" ht="30" customHeight="1">
      <x:c r="A7" s="16" t="str">
        <x:v>Issuer / author</x:v>
      </x:c>
      <x:c r="B7" s="16" t="str">
        <x:v>Publication</x:v>
      </x:c>
      <x:c r="C7" s="16" t="str">
        <x:v>Date</x:v>
      </x:c>
      <x:c r="D7" s="16" t="str">
        <x:v>Observed finding / published claim</x:v>
      </x:c>
      <x:c r="E7" s="16" t="str">
        <x:v>Specific model use</x:v>
      </x:c>
      <x:c r="F7" s="16" t="str">
        <x:v>Public primary URL</x:v>
      </x:c>
    </x:row>
    <x:row r="8" ht="27" customHeight="1">
      <x:c r="A8" t="str">
        <x:v>U.S. Census Bureau / NBER</x:v>
      </x:c>
      <x:c r="B8" t="str">
        <x:v>The Microstructure of AI Diffusion</x:v>
      </x:c>
      <x:c r="C8" t="str">
        <x:v>Apr 2026</x:v>
      </x:c>
      <x:c r="D8" t="str">
        <x:v>18% firms AI use; 32% employee-weighted; 57% using &lt;=3 business functions</x:v>
      </x:c>
      <x:c r="E8" t="str">
        <x:v>Separate firm and employee-weighted adoption; cap breadth of use</x:v>
      </x:c>
      <x:c r="F8" t="str">
        <x:v>https://www.nber.org/papers/w35141</x:v>
      </x:c>
    </x:row>
    <x:row r="9" ht="27" customHeight="1">
      <x:c r="A9" t="str">
        <x:v>U.S. Census Bureau</x:v>
      </x:c>
      <x:c r="B9" t="str">
        <x:v>AI Exposure and Adoption Among U.S. Firms</x:v>
      </x:c>
      <x:c r="C9" t="str">
        <x:v>Sep 2026</x:v>
      </x:c>
      <x:c r="D9" t="str">
        <x:v>Occupational exposure explains only a modest share of observed adoption</x:v>
      </x:c>
      <x:c r="E9" t="str">
        <x:v>Do not equate exposed tasks with paid deployment</x:v>
      </x:c>
      <x:c r="F9" t="str">
        <x:v>https://cdn.www.census.gov/library/working-papers/2026/adrm/CES-WP-26-61.html</x:v>
      </x:c>
    </x:row>
    <x:row r="10" ht="27" customHeight="1">
      <x:c r="A10" t="str">
        <x:v>Federal Reserve Board</x:v>
      </x:c>
      <x:c r="B10" t="str">
        <x:v>The AI Buildout and the Economy</x:v>
      </x:c>
      <x:c r="C10" t="str">
        <x:v>Jul 2026</x:v>
      </x:c>
      <x:c r="D10" t="str">
        <x:v>Cost changes precede firm adoption, broad productivity and labor effects; productivity uneven</x:v>
      </x:c>
      <x:c r="E10" t="str">
        <x:v>Demand feedback and productivity time lags; official public indicators</x:v>
      </x:c>
      <x:c r="F10" t="str">
        <x:v>https://www.federalreserve.gov/econres/notes/feds-notes/the-ai-buildout-and-the-economy-publicly-available-data-to-assess-ais-impact-20260717.html</x:v>
      </x:c>
    </x:row>
    <x:row r="11" ht="27" customHeight="1">
      <x:c r="A11" t="str">
        <x:v>Federal Reserve Bank of Atlanta</x:v>
      </x:c>
      <x:c r="B11" t="str">
        <x:v>Artificial Intelligence, Productivity, and the Workforce</x:v>
      </x:c>
      <x:c r="C11" t="str">
        <x:v>Mar 2026</x:v>
      </x:c>
      <x:c r="D11" t="str">
        <x:v>Revenue-based productivity improvement varies by sector; innovation and demand channels</x:v>
      </x:c>
      <x:c r="E11" t="str">
        <x:v>Supports industry-specific productivity opportunity, not a vendor-revenue multiplier</x:v>
      </x:c>
      <x:c r="F11" t="str">
        <x:v>https://www.atlantafed.org/research-and-data/publications/working-papers/2026/03/25/04-artificial-intelligence-productivity-and-the-workforce-evidence-from-corporate-executives</x:v>
      </x:c>
    </x:row>
    <x:row r="12" ht="27" customHeight="1">
      <x:c r="A12" t="str">
        <x:v>Stanford Digital Economy Lab</x:v>
      </x:c>
      <x:c r="B12" t="str">
        <x:v>How Do AI Agents Spend Your Money?</x:v>
      </x:c>
      <x:c r="C12" t="str">
        <x:v>Apr 2026</x:v>
      </x:c>
      <x:c r="D12" t="str">
        <x:v>Agentic coding tasks can use far more tokens; extra tokens need not raise success</x:v>
      </x:c>
      <x:c r="E12" t="str">
        <x:v>Separate task intensity from economic value, token price and revenue</x:v>
      </x:c>
      <x:c r="F12" t="str">
        <x:v>https://digitaleconomy.stanford.edu/publication/how-do-ai-agents-spend-your-money-analyzing-and-predicting-token-consumption-in-agentic-coding-tasks/</x:v>
      </x:c>
    </x:row>
    <x:row r="13" ht="27" customHeight="1">
      <x:c r="A13" t="str">
        <x:v>NBER</x:v>
      </x:c>
      <x:c r="B13" t="str">
        <x:v>The Macroeconomic Effect of AI: Sizing the Software Engineering Channel</x:v>
      </x:c>
      <x:c r="C13" t="str">
        <x:v>Sep 2026</x:v>
      </x:c>
      <x:c r="D13" t="str">
        <x:v>Expected software engineering productivity value; potential R&amp;D complementarity</x:v>
      </x:c>
      <x:c r="E13" t="str">
        <x:v>Innovation flywheel concept only; not an input revenue growth estimate</x:v>
      </x:c>
      <x:c r="F13" t="str">
        <x:v>https://www.nber.org/papers/w35793</x:v>
      </x:c>
    </x:row>
    <x:row r="14" ht="27" customHeight="1">
      <x:c r="A14" t="str">
        <x:v>Federal Reserve Bank of Cleveland</x:v>
      </x:c>
      <x:c r="B14" t="str">
        <x:v>AI-Augmented Capital-Skill Complementarity</x:v>
      </x:c>
      <x:c r="C14" t="str">
        <x:v>Sep 2026</x:v>
      </x:c>
      <x:c r="D14" t="str">
        <x:v>AI complements high-skill equipment inputs; lower AI capital prices can expand economy</x:v>
      </x:c>
      <x:c r="E14" t="str">
        <x:v>Warns complementarity/bottlenecks weaken pure exponential flywheel</x:v>
      </x:c>
      <x:c r="F14" t="str">
        <x:v>https://www.clevelandfed.org/publications/working-paper/2026/wp-2622-ai-augmented-capital-skill-complementarity</x:v>
      </x:c>
    </x:row>
    <x:row r="15" ht="27" customHeight="1">
      <x:c r="A15" t="str">
        <x:v>NBER</x:v>
      </x:c>
      <x:c r="B15" t="str">
        <x:v>The Simple Macroeconomics of AI</x:v>
      </x:c>
      <x:c r="C15" t="str">
        <x:v>May 2024</x:v>
      </x:c>
      <x:c r="D15" t="str">
        <x:v>Task gains can be modest at aggregate level; hard-to-learn tasks constrain benefits</x:v>
      </x:c>
      <x:c r="E15" t="str">
        <x:v>Independent conservative scenario cross-check, not official forecast</x:v>
      </x:c>
      <x:c r="F15" t="str">
        <x:v>https://www.nber.org/papers/w32487</x:v>
      </x:c>
    </x:row>
    <x:row r="16" ht="27" customHeight="1">
      <x:c r="A16" t="str">
        <x:v>Acemoglu &amp; Restrepo / AEA</x:v>
      </x:c>
      <x:c r="B16" t="str">
        <x:v>Automation and New Tasks</x:v>
      </x:c>
      <x:c r="C16" t="str">
        <x:v>2019</x:v>
      </x:c>
      <x:c r="D16" t="str">
        <x:v>Automation displaces tasks while new tasks can reinstate demand</x:v>
      </x:c>
      <x:c r="E16" t="str">
        <x:v>Organic workload is a scenario for new tasks, not a measured token growth estimate</x:v>
      </x:c>
      <x:c r="F16" t="str">
        <x:v>https://www.aeaweb.org/articles?id=10.1257%2Fjep.33.2.3</x:v>
      </x:c>
    </x:row>
  </x:sheetData>
  <x:mergeCells>
    <x:mergeCell ref="A1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5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25" hidden="0" customWidth="1"/>
    <x:col min="25" max="25" width="46" hidden="0" customWidth="1"/>
    <x:col min="26" max="26" width="20" hidden="0" customWidth="1"/>
  </x:cols>
  <x:sheetData>
    <x:row r="1" ht="25" customHeight="1">
      <x:c r="A1" s="8" t="str">
        <x:v>INDUSTRY CALIBRATION | JOBS, VALUE ADDED, PAID ADOPTION &amp; OECD PRODUCTIVITY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7" ht="30" customHeight="1">
      <x:c r="A7" s="16" t="str">
        <x:v>NAICS</x:v>
      </x:c>
      <x:c r="B7" s="16" t="str">
        <x:v>Customer industry</x:v>
      </x:c>
      <x:c r="C7" s="16" t="str">
        <x:v>BLS employment 2025 (millions)</x:v>
      </x:c>
      <x:c r="D7" s="16" t="str">
        <x:v>BLS employment 2035 (millions)</x:v>
      </x:c>
      <x:c r="E7" s="16" t="str">
        <x:v>BEA industry Value Added 2026 ($B)</x:v>
      </x:c>
      <x:c r="F7" s="16" t="str">
        <x:v>Modeled employment coverage</x:v>
      </x:c>
      <x:c r="G7" s="16" t="str">
        <x:v>Ramp paid-firm rate (direct)</x:v>
      </x:c>
      <x:c r="H7" s="16" t="str">
        <x:v>Census AI-use firm rate (direct)</x:v>
      </x:c>
      <x:c r="I7" s="16" t="str">
        <x:v>Paid-adoption evidence class</x:v>
      </x:c>
      <x:c r="J7" s="16" t="str">
        <x:v>2026 modeled paid-firm share</x:v>
      </x:c>
      <x:c r="K7" s="16" t="str">
        <x:v>2026 paid-employee proxy</x:v>
      </x:c>
      <x:c r="L7" s="16" t="str">
        <x:v>2026 modeled jobs (M)</x:v>
      </x:c>
      <x:c r="M7" s="16" t="str">
        <x:v>2026 adjusted operating Value Added ($B)</x:v>
      </x:c>
      <x:c r="N7" s="16" t="str">
        <x:v>Operating Value Added per worker (USD)</x:v>
      </x:c>
      <x:c r="O7" s="16" t="str">
        <x:v>Operating Value Added per worker / US</x:v>
      </x:c>
      <x:c r="P7" s="16" t="str">
        <x:v>Spend-intensity income proxy (0.5x–2.0x)</x:v>
      </x:c>
      <x:c r="Q7" s="16" t="str">
        <x:v>2026 paid-worker monthly AI spending (USD)</x:v>
      </x:c>
      <x:c r="R7" s="16" t="str">
        <x:v>OECD low cumulative 2033</x:v>
      </x:c>
      <x:c r="S7" s="16" t="str">
        <x:v>OECD high cumulative 2033</x:v>
      </x:c>
      <x:c r="T7" s="16" t="str">
        <x:v>OECD uneven cumulative 2033</x:v>
      </x:c>
      <x:c r="U7" s="16" t="str">
        <x:v>Selected OECD 2033 cumulative level gain</x:v>
      </x:c>
      <x:c r="V7" s="16" t="str">
        <x:v>Crosswalk / known limitation</x:v>
      </x:c>
      <x:c r="Y7" s="12" t="str">
        <x:v>REFERENCE / AUDIT</x:v>
      </x:c>
      <x:c r="Z7" s="12" t="str">
        <x:v>VALUE</x:v>
      </x:c>
    </x:row>
    <x:row r="8" ht="22" customHeight="1">
      <x:c r="A8" t="str">
        <x:f>'Data BLS'!A8</x:f>
        <x:v>11</x:v>
      </x:c>
      <x:c r="B8" t="str">
        <x:f>'Data BLS'!B8</x:f>
        <x:v>Agriculture, Forestry, Fishing and Hunting</x:v>
      </x:c>
      <x:c r="C8" s="28" t="n">
        <x:f>'Data BLS'!C8/1000</x:f>
        <x:v>1.4624000000000001</x:v>
      </x:c>
      <x:c r="D8" s="28" t="n">
        <x:f>'Data BLS'!D8/1000</x:f>
        <x:v>1.4841</x:v>
      </x:c>
      <x:c r="E8" s="28" t="n">
        <x:f>'Data BEA'!C8</x:f>
        <x:v>245.9</x:v>
      </x:c>
      <x:c r="F8" s="28" t="n">
        <x:f>IF('Data BLS'!E8="Excluded",0,IF('Data BLS'!E8="Partial",'02 Assumptions'!$E$22,1))</x:f>
        <x:v>0</x:v>
      </x:c>
      <x:c r="G8" s="30" t="str">
        <x:f>IF(ISNUMBER('Data Ramp Paid'!C8),'Data Ramp Paid'!C8,"")</x:f>
      </x:c>
      <x:c r="H8" s="30" t="str">
        <x:f>IF(ISNUMBER('Data Census'!C8),'Data Census'!C8,"")</x:f>
      </x:c>
      <x:c r="I8" t="str">
        <x:f>IF(ISNUMBER(G8),"DIRECT RAMP",IF(ISNUMBER(H8),"CENSUS PROXY","NATIONAL PROXY"))</x:f>
        <x:v>NATIONAL PROXY</x:v>
      </x:c>
      <x:c r="J8" s="32" t="n">
        <x:f>IF(F8=0,0,MIN(0.95,IF(ISNUMBER(G8),G8,$Z$10*IF(ISNUMBER(H8),(H8/$Z$9)^'02 Assumptions'!$E$10,1))))</x:f>
        <x:v>0</x:v>
      </x:c>
      <x:c r="K8" s="32" t="n">
        <x:f>IF(F8=0,0,MIN(0.98,J8*'02 Assumptions'!$E$11))</x:f>
        <x:v>0</x:v>
      </x:c>
      <x:c r="L8" t="n">
        <x:f>C8*(D8/C8)^(1/10)*F8</x:f>
        <x:v>0</x:v>
      </x:c>
      <x:c r="M8" t="n">
        <x:f>E8*F8*IF(A8="53",'02 Assumptions'!$E$23,1)</x:f>
        <x:v>0</x:v>
      </x:c>
      <x:c r="N8" t="n">
        <x:f>IFERROR(M8*1000/L8,0)</x:f>
        <x:v>0</x:v>
      </x:c>
      <x:c r="O8" t="n">
        <x:f>IFERROR(N8/$Z$8,0)</x:f>
        <x:v>0</x:v>
      </x:c>
      <x:c r="P8" t="n">
        <x:f>IF(F8=0,0,MIN(2,MAX(0.5,O8^'02 Assumptions'!$E$13)))</x:f>
        <x:v>0</x:v>
      </x:c>
      <x:c r="Q8" s="34" t="n">
        <x:f>IF(F8=0,0,$Z$11*'02 Assumptions'!$E$8*'02 Assumptions'!$E$9*P8)</x:f>
        <x:v>0</x:v>
      </x:c>
      <x:c r="R8" s="30" t="n">
        <x:f>'Data OECD Mapping'!C8</x:f>
        <x:v>0.009175185684580357</x:v>
      </x:c>
      <x:c r="S8" s="30" t="n">
        <x:f>'Data OECD Mapping'!D8</x:f>
        <x:v>0.026305426843464375</x:v>
      </x:c>
      <x:c r="T8" s="30" t="n">
        <x:f>'Data OECD Mapping'!E8</x:f>
        <x:v>0.008775511472514385</x:v>
      </x:c>
      <x:c r="U8" s="30" t="n">
        <x:f>IF('02 Assumptions'!$E$24=1,R8,IF('02 Assumptions'!$E$24=2,S8,T8))</x:f>
        <x:v>0.026305426843464375</x:v>
      </x:c>
      <x:c r="V8" s="28" t="str">
        <x:f>'Data OECD Mapping'!F8</x:f>
        <x:v>AGGREGATED unweighted</x:v>
      </x:c>
      <x:c r="Y8" t="str">
        <x:v>National adjusted VA / modeled worker (USD)</x:v>
      </x:c>
      <x:c r="Z8" t="n">
        <x:f>SUM(M8:M27)*1000/SUM(L8:L27)</x:f>
        <x:v>190386.76113920513</x:v>
      </x:c>
    </x:row>
    <x:row r="9" ht="22" customHeight="1">
      <x:c r="A9" t="str">
        <x:f>'Data BLS'!A9</x:f>
        <x:v>21</x:v>
      </x:c>
      <x:c r="B9" t="str">
        <x:f>'Data BLS'!B9</x:f>
        <x:v>Mining, Quarrying, Oil and Gas Extraction</x:v>
      </x:c>
      <x:c r="C9" s="28" t="n">
        <x:f>'Data BLS'!C9/1000</x:f>
        <x:v>0.5735</x:v>
      </x:c>
      <x:c r="D9" s="28" t="n">
        <x:f>'Data BLS'!D9/1000</x:f>
        <x:v>0.5772999999999999</x:v>
      </x:c>
      <x:c r="E9" s="28" t="n">
        <x:f>'Data BEA'!C9</x:f>
        <x:v>517.8</x:v>
      </x:c>
      <x:c r="F9" s="28" t="n">
        <x:f>IF('Data BLS'!E9="Excluded",0,IF('Data BLS'!E9="Partial",'02 Assumptions'!$E$22,1))</x:f>
        <x:v>1</x:v>
      </x:c>
      <x:c r="G9" s="30" t="str">
        <x:f>IF(ISNUMBER('Data Ramp Paid'!C9),'Data Ramp Paid'!C9,"")</x:f>
      </x:c>
      <x:c r="H9" s="30" t="str">
        <x:f>IF(ISNUMBER('Data Census'!C9),'Data Census'!C9,"")</x:f>
      </x:c>
      <x:c r="I9" t="str">
        <x:f>IF(ISNUMBER(G9),"DIRECT RAMP",IF(ISNUMBER(H9),"CENSUS PROXY","NATIONAL PROXY"))</x:f>
        <x:v>NATIONAL PROXY</x:v>
      </x:c>
      <x:c r="J9" s="32" t="n">
        <x:f>IF(F9=0,0,MIN(0.95,IF(ISNUMBER(G9),G9,$Z$10*IF(ISNUMBER(H9),(H9/$Z$9)^'02 Assumptions'!$E$10,1))))</x:f>
        <x:v>0.5613226</x:v>
      </x:c>
      <x:c r="K9" s="32" t="n">
        <x:f>IF(F9=0,0,MIN(0.98,J9*'02 Assumptions'!$E$11))</x:f>
        <x:v>0.5613226</x:v>
      </x:c>
      <x:c r="L9" t="n">
        <x:f>C9*(D9/C9)^(1/10)*F9</x:f>
        <x:v>0.5738788716893184</x:v>
      </x:c>
      <x:c r="M9" t="n">
        <x:f>E9*F9*IF(A9="53",'02 Assumptions'!$E$23,1)</x:f>
        <x:v>517.8</x:v>
      </x:c>
      <x:c r="N9" t="n">
        <x:f>IFERROR(M9*1000/L9,0)</x:f>
        <x:v>902280.9961198956</x:v>
      </x:c>
      <x:c r="O9" t="n">
        <x:f>IFERROR(N9/$Z$8,0)</x:f>
        <x:v>4.739200303219479</x:v>
      </x:c>
      <x:c r="P9" t="n">
        <x:f>IF(F9=0,0,MIN(2,MAX(0.5,O9^'02 Assumptions'!$E$13)))</x:f>
        <x:v>1.3650262808403848</x:v>
      </x:c>
      <x:c r="Q9" s="34" t="n">
        <x:f>IF(F9=0,0,$Z$11*'02 Assumptions'!$E$8*'02 Assumptions'!$E$9*P9)</x:f>
        <x:v>144.21605034049728</x:v>
      </x:c>
      <x:c r="R9" s="30" t="n">
        <x:f>'Data OECD Mapping'!C9</x:f>
        <x:v>0.014854933631916844</x:v>
      </x:c>
      <x:c r="S9" s="30" t="n">
        <x:f>'Data OECD Mapping'!D9</x:f>
        <x:v>0.04161053771773974</x:v>
      </x:c>
      <x:c r="T9" s="30" t="n">
        <x:f>'Data OECD Mapping'!E9</x:f>
        <x:v>0.017527260929675232</x:v>
      </x:c>
      <x:c r="U9" s="30" t="n">
        <x:f>IF('02 Assumptions'!$E$24=1,R9,IF('02 Assumptions'!$E$24=2,S9,T9))</x:f>
        <x:v>0.04161053771773974</x:v>
      </x:c>
      <x:c r="V9" s="28" t="str">
        <x:f>'Data OECD Mapping'!F9</x:f>
        <x:v>AGGREGATED unweighted</x:v>
      </x:c>
      <x:c r="Y9" t="str">
        <x:v>Census national AI firm use (sample, not paid)</x:v>
      </x:c>
      <x:c r="Z9" t="n">
        <x:f>'Data Census'!D8</x:f>
        <x:v>0.238</x:v>
      </x:c>
    </x:row>
    <x:row r="10" ht="22" customHeight="1">
      <x:c r="A10" t="str">
        <x:f>'Data BLS'!A10</x:f>
        <x:v>22</x:v>
      </x:c>
      <x:c r="B10" t="str">
        <x:f>'Data BLS'!B10</x:f>
        <x:v>Utilities</x:v>
      </x:c>
      <x:c r="C10" s="28" t="n">
        <x:f>'Data BLS'!C10/1000</x:f>
        <x:v>0.6013</x:v>
      </x:c>
      <x:c r="D10" s="28" t="n">
        <x:f>'Data BLS'!D10/1000</x:f>
        <x:v>0.6601</x:v>
      </x:c>
      <x:c r="E10" s="28" t="n">
        <x:f>'Data BEA'!C10</x:f>
        <x:v>531.9</x:v>
      </x:c>
      <x:c r="F10" s="28" t="n">
        <x:f>IF('Data BLS'!E10="Excluded",0,IF('Data BLS'!E10="Partial",'02 Assumptions'!$E$22,1))</x:f>
        <x:v>1</x:v>
      </x:c>
      <x:c r="G10" s="30" t="str">
        <x:f>IF(ISNUMBER('Data Ramp Paid'!C10),'Data Ramp Paid'!C10,"")</x:f>
      </x:c>
      <x:c r="H10" s="30" t="str">
        <x:f>IF(ISNUMBER('Data Census'!C10),'Data Census'!C10,"")</x:f>
      </x:c>
      <x:c r="I10" t="str">
        <x:f>IF(ISNUMBER(G10),"DIRECT RAMP",IF(ISNUMBER(H10),"CENSUS PROXY","NATIONAL PROXY"))</x:f>
        <x:v>NATIONAL PROXY</x:v>
      </x:c>
      <x:c r="J10" s="32" t="n">
        <x:f>IF(F10=0,0,MIN(0.95,IF(ISNUMBER(G10),G10,$Z$10*IF(ISNUMBER(H10),(H10/$Z$9)^'02 Assumptions'!$E$10,1))))</x:f>
        <x:v>0.5613226</x:v>
      </x:c>
      <x:c r="K10" s="32" t="n">
        <x:f>IF(F10=0,0,MIN(0.98,J10*'02 Assumptions'!$E$11))</x:f>
        <x:v>0.5613226</x:v>
      </x:c>
      <x:c r="L10" t="n">
        <x:f>C10*(D10/C10)^(1/10)*F10</x:f>
        <x:v>0.6069362216427999</x:v>
      </x:c>
      <x:c r="M10" t="n">
        <x:f>E10*F10*IF(A10="53",'02 Assumptions'!$E$23,1)</x:f>
        <x:v>531.9</x:v>
      </x:c>
      <x:c r="N10" t="n">
        <x:f>IFERROR(M10*1000/L10,0)</x:f>
        <x:v>876368.852332295</x:v>
      </x:c>
      <x:c r="O10" t="n">
        <x:f>IFERROR(N10/$Z$8,0)</x:f>
        <x:v>4.603097647590738</x:v>
      </x:c>
      <x:c r="P10" t="n">
        <x:f>IF(F10=0,0,MIN(2,MAX(0.5,O10^'02 Assumptions'!$E$13)))</x:f>
        <x:v>1.357094334929816</x:v>
      </x:c>
      <x:c r="Q10" s="34" t="n">
        <x:f>IF(F10=0,0,$Z$11*'02 Assumptions'!$E$8*'02 Assumptions'!$E$9*P10)</x:f>
        <x:v>143.37803430608625</x:v>
      </x:c>
      <x:c r="R10" s="30" t="n">
        <x:f>'Data OECD Mapping'!C10</x:f>
        <x:v>0.017856734595261513</x:v>
      </x:c>
      <x:c r="S10" s="30" t="n">
        <x:f>'Data OECD Mapping'!D10</x:f>
        <x:v>0.0485636442899704</x:v>
      </x:c>
      <x:c r="T10" s="30" t="n">
        <x:f>'Data OECD Mapping'!E10</x:f>
        <x:v>0.007707325971646135</x:v>
      </x:c>
      <x:c r="U10" s="30" t="n">
        <x:f>IF('02 Assumptions'!$E$24=1,R10,IF('02 Assumptions'!$E$24=2,S10,T10))</x:f>
        <x:v>0.0485636442899704</x:v>
      </x:c>
      <x:c r="V10" s="28" t="str">
        <x:f>'Data OECD Mapping'!F10</x:f>
        <x:v>AGGREGATED unweighted</x:v>
      </x:c>
      <x:c r="Y10" t="str">
        <x:v>Ramp all-sample AI paid-firm share</x:v>
      </x:c>
      <x:c r="Z10" t="n">
        <x:f>'Data Ramp Spend'!C11</x:f>
        <x:v>0.5613226</x:v>
      </x:c>
    </x:row>
    <x:row r="11" ht="22" customHeight="1">
      <x:c r="A11" t="str">
        <x:f>'Data BLS'!A11</x:f>
        <x:v>23</x:v>
      </x:c>
      <x:c r="B11" t="str">
        <x:f>'Data BLS'!B11</x:f>
        <x:v>Construction</x:v>
      </x:c>
      <x:c r="C11" s="28" t="n">
        <x:f>'Data BLS'!C11/1000</x:f>
        <x:v>8.2667</x:v>
      </x:c>
      <x:c r="D11" s="28" t="n">
        <x:f>'Data BLS'!D11/1000</x:f>
        <x:v>8.6774</x:v>
      </x:c>
      <x:c r="E11" s="28" t="n">
        <x:f>'Data BEA'!C11</x:f>
        <x:v>1373.7</x:v>
      </x:c>
      <x:c r="F11" s="28" t="n">
        <x:f>IF('Data BLS'!E11="Excluded",0,IF('Data BLS'!E11="Partial",'02 Assumptions'!$E$22,1))</x:f>
        <x:v>1</x:v>
      </x:c>
      <x:c r="G11" s="30" t="n">
        <x:f>IF(ISNUMBER('Data Ramp Paid'!C11),'Data Ramp Paid'!C11,"")</x:f>
        <x:v>0.4217687</x:v>
      </x:c>
      <x:c r="H11" s="30" t="str">
        <x:f>IF(ISNUMBER('Data Census'!C11),'Data Census'!C11,"")</x:f>
      </x:c>
      <x:c r="I11" t="str">
        <x:f>IF(ISNUMBER(G11),"DIRECT RAMP",IF(ISNUMBER(H11),"CENSUS PROXY","NATIONAL PROXY"))</x:f>
        <x:v>DIRECT RAMP</x:v>
      </x:c>
      <x:c r="J11" s="32" t="n">
        <x:f>IF(F11=0,0,MIN(0.95,IF(ISNUMBER(G11),G11,$Z$10*IF(ISNUMBER(H11),(H11/$Z$9)^'02 Assumptions'!$E$10,1))))</x:f>
        <x:v>0.4217687</x:v>
      </x:c>
      <x:c r="K11" s="32" t="n">
        <x:f>IF(F11=0,0,MIN(0.98,J11*'02 Assumptions'!$E$11))</x:f>
        <x:v>0.4217687</x:v>
      </x:c>
      <x:c r="L11" t="n">
        <x:f>C11*(D11/C11)^(1/10)*F11</x:f>
        <x:v>8.306879704576057</x:v>
      </x:c>
      <x:c r="M11" t="n">
        <x:f>E11*F11*IF(A11="53",'02 Assumptions'!$E$23,1)</x:f>
        <x:v>1373.7</x:v>
      </x:c>
      <x:c r="N11" t="n">
        <x:f>IFERROR(M11*1000/L11,0)</x:f>
        <x:v>165368.95306708995</x:v>
      </x:c>
      <x:c r="O11" t="n">
        <x:f>IFERROR(N11/$Z$8,0)</x:f>
        <x:v>0.868594812357657</x:v>
      </x:c>
      <x:c r="P11" t="n">
        <x:f>IF(F11=0,0,MIN(2,MAX(0.5,O11^'02 Assumptions'!$E$13)))</x:f>
        <x:v>0.9722175270839224</x:v>
      </x:c>
      <x:c r="Q11" s="34" t="n">
        <x:f>IF(F11=0,0,$Z$11*'02 Assumptions'!$E$8*'02 Assumptions'!$E$9*P11)</x:f>
        <x:v>102.71551089956172</x:v>
      </x:c>
      <x:c r="R11" s="30" t="n">
        <x:f>'Data OECD Mapping'!C11</x:f>
        <x:v>0.012666949909180403</x:v>
      </x:c>
      <x:c r="S11" s="30" t="n">
        <x:f>'Data OECD Mapping'!D11</x:f>
        <x:v>0.035397544503211975</x:v>
      </x:c>
      <x:c r="T11" s="30" t="n">
        <x:f>'Data OECD Mapping'!E11</x:f>
        <x:v>0.00736541873726304</x:v>
      </x:c>
      <x:c r="U11" s="30" t="n">
        <x:f>IF('02 Assumptions'!$E$24=1,R11,IF('02 Assumptions'!$E$24=2,S11,T11))</x:f>
        <x:v>0.035397544503211975</x:v>
      </x:c>
      <x:c r="V11" s="28" t="str">
        <x:f>'Data OECD Mapping'!F11</x:f>
        <x:v>DIRECT label map</x:v>
      </x:c>
      <x:c r="Y11" t="str">
        <x:v>Ramp AI spend median / paying-firm worker ($/mo)</x:v>
      </x:c>
      <x:c r="Z11" t="n">
        <x:f>'Data Ramp Spend'!C8</x:f>
        <x:v>11.95</x:v>
      </x:c>
    </x:row>
    <x:row r="12" ht="22" customHeight="1">
      <x:c r="A12" t="str">
        <x:f>'Data BLS'!A12</x:f>
        <x:v>31-33</x:v>
      </x:c>
      <x:c r="B12" t="str">
        <x:f>'Data BLS'!B12</x:f>
        <x:v>Manufacturing</x:v>
      </x:c>
      <x:c r="C12" s="28" t="n">
        <x:f>'Data BLS'!C12/1000</x:f>
        <x:v>12.633700000000001</x:v>
      </x:c>
      <x:c r="D12" s="28" t="n">
        <x:f>'Data BLS'!D12/1000</x:f>
        <x:v>12.7058</x:v>
      </x:c>
      <x:c r="E12" s="28" t="n">
        <x:f>'Data BEA'!C12</x:f>
        <x:v>3168.1</x:v>
      </x:c>
      <x:c r="F12" s="28" t="n">
        <x:f>IF('Data BLS'!E12="Excluded",0,IF('Data BLS'!E12="Partial",'02 Assumptions'!$E$22,1))</x:f>
        <x:v>1</x:v>
      </x:c>
      <x:c r="G12" s="30" t="n">
        <x:f>IF(ISNUMBER('Data Ramp Paid'!C12),'Data Ramp Paid'!C12,"")</x:f>
        <x:v>0.6105223</x:v>
      </x:c>
      <x:c r="H12" s="30" t="n">
        <x:f>IF(ISNUMBER('Data Census'!C12),'Data Census'!C12,"")</x:f>
        <x:v>0.234</x:v>
      </x:c>
      <x:c r="I12" t="str">
        <x:f>IF(ISNUMBER(G12),"DIRECT RAMP",IF(ISNUMBER(H12),"CENSUS PROXY","NATIONAL PROXY"))</x:f>
        <x:v>DIRECT RAMP</x:v>
      </x:c>
      <x:c r="J12" s="32" t="n">
        <x:f>IF(F12=0,0,MIN(0.95,IF(ISNUMBER(G12),G12,$Z$10*IF(ISNUMBER(H12),(H12/$Z$9)^'02 Assumptions'!$E$10,1))))</x:f>
        <x:v>0.6105223</x:v>
      </x:c>
      <x:c r="K12" s="32" t="n">
        <x:f>IF(F12=0,0,MIN(0.98,J12*'02 Assumptions'!$E$11))</x:f>
        <x:v>0.6105223</x:v>
      </x:c>
      <x:c r="L12" t="n">
        <x:f>C12*(D12/C12)^(1/10)*F12</x:f>
        <x:v>12.640891550423058</x:v>
      </x:c>
      <x:c r="M12" t="n">
        <x:f>E12*F12*IF(A12="53",'02 Assumptions'!$E$23,1)</x:f>
        <x:v>3168.1</x:v>
      </x:c>
      <x:c r="N12" t="n">
        <x:f>IFERROR(M12*1000/L12,0)</x:f>
        <x:v>250623.14531873126</x:v>
      </x:c>
      <x:c r="O12" t="n">
        <x:f>IFERROR(N12/$Z$8,0)</x:f>
        <x:v>1.3163895631140186</x:v>
      </x:c>
      <x:c r="P12" t="n">
        <x:f>IF(F12=0,0,MIN(2,MAX(0.5,O12^'02 Assumptions'!$E$13)))</x:f>
        <x:v>1.056517964737408</x:v>
      </x:c>
      <x:c r="Q12" s="34" t="n">
        <x:f>IF(F12=0,0,$Z$11*'02 Assumptions'!$E$8*'02 Assumptions'!$E$9*P12)</x:f>
        <x:v>111.62191536298072</x:v>
      </x:c>
      <x:c r="R12" s="30" t="n">
        <x:f>'Data OECD Mapping'!C12</x:f>
        <x:v>0.01654331667403526</x:v>
      </x:c>
      <x:c r="S12" s="30" t="n">
        <x:f>'Data OECD Mapping'!D12</x:f>
        <x:v>0.04569188560194829</x:v>
      </x:c>
      <x:c r="T12" s="30" t="n">
        <x:f>'Data OECD Mapping'!E12</x:f>
        <x:v>0.014877987770876303</x:v>
      </x:c>
      <x:c r="U12" s="30" t="n">
        <x:f>IF('02 Assumptions'!$E$24=1,R12,IF('02 Assumptions'!$E$24=2,S12,T12))</x:f>
        <x:v>0.04569188560194829</x:v>
      </x:c>
      <x:c r="V12" s="28" t="str">
        <x:f>'Data OECD Mapping'!F12</x:f>
        <x:v>AGGREGATED unweighted</x:v>
      </x:c>
    </x:row>
    <x:row r="13" ht="22" customHeight="1">
      <x:c r="A13" t="str">
        <x:f>'Data BLS'!A13</x:f>
        <x:v>42</x:v>
      </x:c>
      <x:c r="B13" t="str">
        <x:f>'Data BLS'!B13</x:f>
        <x:v>Wholesale Trade</x:v>
      </x:c>
      <x:c r="C13" s="28" t="n">
        <x:f>'Data BLS'!C13/1000</x:f>
        <x:v>6.0595</x:v>
      </x:c>
      <x:c r="D13" s="28" t="n">
        <x:f>'Data BLS'!D13/1000</x:f>
        <x:v>6.184699999999999</x:v>
      </x:c>
      <x:c r="E13" s="28" t="n">
        <x:f>'Data BEA'!C13</x:f>
        <x:v>2087.5</x:v>
      </x:c>
      <x:c r="F13" s="28" t="n">
        <x:f>IF('Data BLS'!E13="Excluded",0,IF('Data BLS'!E13="Partial",'02 Assumptions'!$E$22,1))</x:f>
        <x:v>1</x:v>
      </x:c>
      <x:c r="G13" s="30" t="str">
        <x:f>IF(ISNUMBER('Data Ramp Paid'!C13),'Data Ramp Paid'!C13,"")</x:f>
      </x:c>
      <x:c r="H13" s="30" t="str">
        <x:f>IF(ISNUMBER('Data Census'!C13),'Data Census'!C13,"")</x:f>
      </x:c>
      <x:c r="I13" t="str">
        <x:f>IF(ISNUMBER(G13),"DIRECT RAMP",IF(ISNUMBER(H13),"CENSUS PROXY","NATIONAL PROXY"))</x:f>
        <x:v>NATIONAL PROXY</x:v>
      </x:c>
      <x:c r="J13" s="32" t="n">
        <x:f>IF(F13=0,0,MIN(0.95,IF(ISNUMBER(G13),G13,$Z$10*IF(ISNUMBER(H13),(H13/$Z$9)^'02 Assumptions'!$E$10,1))))</x:f>
        <x:v>0.5613226</x:v>
      </x:c>
      <x:c r="K13" s="32" t="n">
        <x:f>IF(F13=0,0,MIN(0.98,J13*'02 Assumptions'!$E$11))</x:f>
        <x:v>0.5613226</x:v>
      </x:c>
      <x:c r="L13" t="n">
        <x:f>C13*(D13/C13)^(1/10)*F13</x:f>
        <x:v>6.071905092422349</x:v>
      </x:c>
      <x:c r="M13" t="n">
        <x:f>E13*F13*IF(A13="53",'02 Assumptions'!$E$23,1)</x:f>
        <x:v>2087.5</x:v>
      </x:c>
      <x:c r="N13" t="n">
        <x:f>IFERROR(M13*1000/L13,0)</x:f>
        <x:v>343796.54626110184</x:v>
      </x:c>
      <x:c r="O13" t="n">
        <x:f>IFERROR(N13/$Z$8,0)</x:f>
        <x:v>1.8057796886923667</x:v>
      </x:c>
      <x:c r="P13" t="n">
        <x:f>IF(F13=0,0,MIN(2,MAX(0.5,O13^'02 Assumptions'!$E$13)))</x:f>
        <x:v>1.1254674852671678</x:v>
      </x:c>
      <x:c r="Q13" s="34" t="n">
        <x:f>IF(F13=0,0,$Z$11*'02 Assumptions'!$E$8*'02 Assumptions'!$E$9*P13)</x:f>
        <x:v>118.90648391909023</x:v>
      </x:c>
      <x:c r="R13" s="30" t="n">
        <x:f>'Data OECD Mapping'!C13</x:f>
        <x:v>0.02322462685406208</x:v>
      </x:c>
      <x:c r="S13" s="30" t="n">
        <x:f>'Data OECD Mapping'!D13</x:f>
        <x:v>0.05837578698992729</x:v>
      </x:c>
      <x:c r="T13" s="30" t="n">
        <x:f>'Data OECD Mapping'!E13</x:f>
        <x:v>0.0173056950280382</x:v>
      </x:c>
      <x:c r="U13" s="30" t="n">
        <x:f>IF('02 Assumptions'!$E$24=1,R13,IF('02 Assumptions'!$E$24=2,S13,T13))</x:f>
        <x:v>0.05837578698992729</x:v>
      </x:c>
      <x:c r="V13" s="28" t="str">
        <x:f>'Data OECD Mapping'!F13</x:f>
        <x:v>GROUPED OECD sector</x:v>
      </x:c>
    </x:row>
    <x:row r="14" ht="22" customHeight="1">
      <x:c r="A14" t="str">
        <x:f>'Data BLS'!A14</x:f>
        <x:v>44-45</x:v>
      </x:c>
      <x:c r="B14" t="str">
        <x:f>'Data BLS'!B14</x:f>
        <x:v>Retail Trade</x:v>
      </x:c>
      <x:c r="C14" s="28" t="n">
        <x:f>'Data BLS'!C14/1000</x:f>
        <x:v>15.4409</x:v>
      </x:c>
      <x:c r="D14" s="28" t="n">
        <x:f>'Data BLS'!D14/1000</x:f>
        <x:v>15.4134</x:v>
      </x:c>
      <x:c r="E14" s="28" t="n">
        <x:f>'Data BEA'!C14</x:f>
        <x:v>1867.8</x:v>
      </x:c>
      <x:c r="F14" s="28" t="n">
        <x:f>IF('Data BLS'!E14="Excluded",0,IF('Data BLS'!E14="Partial",'02 Assumptions'!$E$22,1))</x:f>
        <x:v>1</x:v>
      </x:c>
      <x:c r="G14" s="30" t="n">
        <x:f>IF(ISNUMBER('Data Ramp Paid'!C14),'Data Ramp Paid'!C14,"")</x:f>
        <x:v>0.4877451</x:v>
      </x:c>
      <x:c r="H14" s="30" t="n">
        <x:f>IF(ISNUMBER('Data Census'!C14),'Data Census'!C14,"")</x:f>
        <x:v>0.155</x:v>
      </x:c>
      <x:c r="I14" t="str">
        <x:f>IF(ISNUMBER(G14),"DIRECT RAMP",IF(ISNUMBER(H14),"CENSUS PROXY","NATIONAL PROXY"))</x:f>
        <x:v>DIRECT RAMP</x:v>
      </x:c>
      <x:c r="J14" s="32" t="n">
        <x:f>IF(F14=0,0,MIN(0.95,IF(ISNUMBER(G14),G14,$Z$10*IF(ISNUMBER(H14),(H14/$Z$9)^'02 Assumptions'!$E$10,1))))</x:f>
        <x:v>0.4877451</x:v>
      </x:c>
      <x:c r="K14" s="32" t="n">
        <x:f>IF(F14=0,0,MIN(0.98,J14*'02 Assumptions'!$E$11))</x:f>
        <x:v>0.4877451</x:v>
      </x:c>
      <x:c r="L14" t="n">
        <x:f>C14*(D14/C14)^(1/10)*F14</x:f>
        <x:v>15.43814779354277</x:v>
      </x:c>
      <x:c r="M14" t="n">
        <x:f>E14*F14*IF(A14="53",'02 Assumptions'!$E$23,1)</x:f>
        <x:v>1867.8</x:v>
      </x:c>
      <x:c r="N14" t="n">
        <x:f>IFERROR(M14*1000/L14,0)</x:f>
        <x:v>120986.01626169393</x:v>
      </x:c>
      <x:c r="O14" t="n">
        <x:f>IFERROR(N14/$Z$8,0)</x:f>
        <x:v>0.6354749434139098</x:v>
      </x:c>
      <x:c r="P14" t="n">
        <x:f>IF(F14=0,0,MIN(2,MAX(0.5,O14^'02 Assumptions'!$E$13)))</x:f>
        <x:v>0.9133130984868415</x:v>
      </x:c>
      <x:c r="Q14" s="34" t="n">
        <x:f>IF(F14=0,0,$Z$11*'02 Assumptions'!$E$8*'02 Assumptions'!$E$9*P14)</x:f>
        <x:v>96.49221383995867</x:v>
      </x:c>
      <x:c r="R14" s="30" t="n">
        <x:f>'Data OECD Mapping'!C14</x:f>
        <x:v>0.02322462685406208</x:v>
      </x:c>
      <x:c r="S14" s="30" t="n">
        <x:f>'Data OECD Mapping'!D14</x:f>
        <x:v>0.05837578698992729</x:v>
      </x:c>
      <x:c r="T14" s="30" t="n">
        <x:f>'Data OECD Mapping'!E14</x:f>
        <x:v>0.0173056950280382</x:v>
      </x:c>
      <x:c r="U14" s="30" t="n">
        <x:f>IF('02 Assumptions'!$E$24=1,R14,IF('02 Assumptions'!$E$24=2,S14,T14))</x:f>
        <x:v>0.05837578698992729</x:v>
      </x:c>
      <x:c r="V14" s="28" t="str">
        <x:f>'Data OECD Mapping'!F14</x:f>
        <x:v>GROUPED OECD sector</x:v>
      </x:c>
    </x:row>
    <x:row r="15" ht="22" customHeight="1">
      <x:c r="A15" t="str">
        <x:f>'Data BLS'!A15</x:f>
        <x:v>48-49</x:v>
      </x:c>
      <x:c r="B15" t="str">
        <x:f>'Data BLS'!B15</x:f>
        <x:v>Transportation and Warehousing</x:v>
      </x:c>
      <x:c r="C15" s="28" t="n">
        <x:f>'Data BLS'!C15/1000</x:f>
        <x:v>6.6395</x:v>
      </x:c>
      <x:c r="D15" s="28" t="n">
        <x:f>'Data BLS'!D15/1000</x:f>
        <x:v>6.8468</x:v>
      </x:c>
      <x:c r="E15" s="28" t="n">
        <x:f>'Data BEA'!C15</x:f>
        <x:v>1051.1</x:v>
      </x:c>
      <x:c r="F15" s="28" t="n">
        <x:f>IF('Data BLS'!E15="Excluded",0,IF('Data BLS'!E15="Partial",'02 Assumptions'!$E$22,1))</x:f>
        <x:v>0.95</x:v>
      </x:c>
      <x:c r="G15" s="30" t="str">
        <x:f>IF(ISNUMBER('Data Ramp Paid'!C15),'Data Ramp Paid'!C15,"")</x:f>
      </x:c>
      <x:c r="H15" s="30" t="str">
        <x:f>IF(ISNUMBER('Data Census'!C15),'Data Census'!C15,"")</x:f>
      </x:c>
      <x:c r="I15" t="str">
        <x:f>IF(ISNUMBER(G15),"DIRECT RAMP",IF(ISNUMBER(H15),"CENSUS PROXY","NATIONAL PROXY"))</x:f>
        <x:v>NATIONAL PROXY</x:v>
      </x:c>
      <x:c r="J15" s="32" t="n">
        <x:f>IF(F15=0,0,MIN(0.95,IF(ISNUMBER(G15),G15,$Z$10*IF(ISNUMBER(H15),(H15/$Z$9)^'02 Assumptions'!$E$10,1))))</x:f>
        <x:v>0.5613226</x:v>
      </x:c>
      <x:c r="K15" s="32" t="n">
        <x:f>IF(F15=0,0,MIN(0.98,J15*'02 Assumptions'!$E$11))</x:f>
        <x:v>0.5613226</x:v>
      </x:c>
      <x:c r="L15" t="n">
        <x:f>C15*(D15/C15)^(1/10)*F15</x:f>
        <x:v>6.3269471567058</x:v>
      </x:c>
      <x:c r="M15" t="n">
        <x:f>E15*F15*IF(A15="53",'02 Assumptions'!$E$23,1)</x:f>
        <x:v>998.5449999999998</x:v>
      </x:c>
      <x:c r="N15" t="n">
        <x:f>IFERROR(M15*1000/L15,0)</x:f>
        <x:v>157824.14097479268</x:v>
      </x:c>
      <x:c r="O15" t="n">
        <x:f>IFERROR(N15/$Z$8,0)</x:f>
        <x:v>0.8289659429596387</x:v>
      </x:c>
      <x:c r="P15" t="n">
        <x:f>IF(F15=0,0,MIN(2,MAX(0.5,O15^'02 Assumptions'!$E$13)))</x:f>
        <x:v>0.963179737446383</x:v>
      </x:c>
      <x:c r="Q15" s="34" t="n">
        <x:f>IF(F15=0,0,$Z$11*'02 Assumptions'!$E$8*'02 Assumptions'!$E$9*P15)</x:f>
        <x:v>101.76066164601345</x:v>
      </x:c>
      <x:c r="R15" s="30" t="n">
        <x:f>'Data OECD Mapping'!C15</x:f>
        <x:v>0.015773185091093184</x:v>
      </x:c>
      <x:c r="S15" s="30" t="n">
        <x:f>'Data OECD Mapping'!D15</x:f>
        <x:v>0.044130042940378186</x:v>
      </x:c>
      <x:c r="T15" s="30" t="n">
        <x:f>'Data OECD Mapping'!E15</x:f>
        <x:v>0.010617017305773621</x:v>
      </x:c>
      <x:c r="U15" s="30" t="n">
        <x:f>IF('02 Assumptions'!$E$24=1,R15,IF('02 Assumptions'!$E$24=2,S15,T15))</x:f>
        <x:v>0.044130042940378186</x:v>
      </x:c>
      <x:c r="V15" s="28" t="str">
        <x:f>'Data OECD Mapping'!F15</x:f>
        <x:v>AGGREGATED unweighted</x:v>
      </x:c>
    </x:row>
    <x:row r="16" ht="22" customHeight="1">
      <x:c r="A16" t="str">
        <x:f>'Data BLS'!A16</x:f>
        <x:v>51</x:v>
      </x:c>
      <x:c r="B16" t="str">
        <x:f>'Data BLS'!B16</x:f>
        <x:v>Information</x:v>
      </x:c>
      <x:c r="C16" s="28" t="n">
        <x:f>'Data BLS'!C16/1000</x:f>
        <x:v>2.8619</x:v>
      </x:c>
      <x:c r="D16" s="28" t="n">
        <x:f>'Data BLS'!D16/1000</x:f>
        <x:v>3.0129</x:v>
      </x:c>
      <x:c r="E16" s="28" t="n">
        <x:f>'Data BEA'!C16</x:f>
        <x:v>1916.3</x:v>
      </x:c>
      <x:c r="F16" s="28" t="n">
        <x:f>IF('Data BLS'!E16="Excluded",0,IF('Data BLS'!E16="Partial",'02 Assumptions'!$E$22,1))</x:f>
        <x:v>1</x:v>
      </x:c>
      <x:c r="G16" s="30" t="n">
        <x:f>IF(ISNUMBER('Data Ramp Paid'!C16),'Data Ramp Paid'!C16,"")</x:f>
        <x:v>0.8092331</x:v>
      </x:c>
      <x:c r="H16" s="30" t="n">
        <x:f>IF(ISNUMBER('Data Census'!C16),'Data Census'!C16,"")</x:f>
        <x:v>0.435</x:v>
      </x:c>
      <x:c r="I16" t="str">
        <x:f>IF(ISNUMBER(G16),"DIRECT RAMP",IF(ISNUMBER(H16),"CENSUS PROXY","NATIONAL PROXY"))</x:f>
        <x:v>DIRECT RAMP</x:v>
      </x:c>
      <x:c r="J16" s="32" t="n">
        <x:f>IF(F16=0,0,MIN(0.95,IF(ISNUMBER(G16),G16,$Z$10*IF(ISNUMBER(H16),(H16/$Z$9)^'02 Assumptions'!$E$10,1))))</x:f>
        <x:v>0.8092331</x:v>
      </x:c>
      <x:c r="K16" s="32" t="n">
        <x:f>IF(F16=0,0,MIN(0.98,J16*'02 Assumptions'!$E$11))</x:f>
        <x:v>0.8092331</x:v>
      </x:c>
      <x:c r="L16" t="n">
        <x:f>C16*(D16/C16)^(1/10)*F16</x:f>
        <x:v>2.876653021264812</x:v>
      </x:c>
      <x:c r="M16" t="n">
        <x:f>E16*F16*IF(A16="53",'02 Assumptions'!$E$23,1)</x:f>
        <x:v>1916.3</x:v>
      </x:c>
      <x:c r="N16" t="n">
        <x:f>IFERROR(M16*1000/L16,0)</x:f>
        <x:v>666156.114704942</x:v>
      </x:c>
      <x:c r="O16" t="n">
        <x:f>IFERROR(N16/$Z$8,0)</x:f>
        <x:v>3.4989623791008686</x:v>
      </x:c>
      <x:c r="P16" t="n">
        <x:f>IF(F16=0,0,MIN(2,MAX(0.5,O16^'02 Assumptions'!$E$13)))</x:f>
        <x:v>1.2846589727714846</x:v>
      </x:c>
      <x:c r="Q16" s="34" t="n">
        <x:f>IF(F16=0,0,$Z$11*'02 Assumptions'!$E$8*'02 Assumptions'!$E$9*P16)</x:f>
        <x:v>135.72518396753694</x:v>
      </x:c>
      <x:c r="R16" s="30" t="n">
        <x:f>'Data OECD Mapping'!C16</x:f>
        <x:v>0.03209695521121224</x:v>
      </x:c>
      <x:c r="S16" s="30" t="n">
        <x:f>'Data OECD Mapping'!D16</x:f>
        <x:v>0.08524361501137416</x:v>
      </x:c>
      <x:c r="T16" s="30" t="n">
        <x:f>'Data OECD Mapping'!E16</x:f>
        <x:v>0.18340012437672934</x:v>
      </x:c>
      <x:c r="U16" s="30" t="n">
        <x:f>IF('02 Assumptions'!$E$24=1,R16,IF('02 Assumptions'!$E$24=2,S16,T16))</x:f>
        <x:v>0.08524361501137416</x:v>
      </x:c>
      <x:c r="V16" s="28" t="str">
        <x:f>'Data OECD Mapping'!F16</x:f>
        <x:v>AGGREGATED unweighted</x:v>
      </x:c>
    </x:row>
    <x:row r="17" ht="22" customHeight="1">
      <x:c r="A17" t="str">
        <x:f>'Data BLS'!A17</x:f>
        <x:v>52</x:v>
      </x:c>
      <x:c r="B17" t="str">
        <x:f>'Data BLS'!B17</x:f>
        <x:v>Finance and Insurance</x:v>
      </x:c>
      <x:c r="C17" s="28" t="n">
        <x:f>'Data BLS'!C17/1000</x:f>
        <x:v>6.7393</x:v>
      </x:c>
      <x:c r="D17" s="28" t="n">
        <x:f>'Data BLS'!D17/1000</x:f>
        <x:v>6.8936</x:v>
      </x:c>
      <x:c r="E17" s="28" t="n">
        <x:f>'Data BEA'!C17</x:f>
        <x:v>2934.6</x:v>
      </x:c>
      <x:c r="F17" s="28" t="n">
        <x:f>IF('Data BLS'!E17="Excluded",0,IF('Data BLS'!E17="Partial",'02 Assumptions'!$E$22,1))</x:f>
        <x:v>0.95</x:v>
      </x:c>
      <x:c r="G17" s="30" t="n">
        <x:f>IF(ISNUMBER('Data Ramp Paid'!C17),'Data Ramp Paid'!C17,"")</x:f>
        <x:v>0.7370507</x:v>
      </x:c>
      <x:c r="H17" s="30" t="n">
        <x:f>IF(ISNUMBER('Data Census'!C17),'Data Census'!C17,"")</x:f>
        <x:v>0.365</x:v>
      </x:c>
      <x:c r="I17" t="str">
        <x:f>IF(ISNUMBER(G17),"DIRECT RAMP",IF(ISNUMBER(H17),"CENSUS PROXY","NATIONAL PROXY"))</x:f>
        <x:v>DIRECT RAMP</x:v>
      </x:c>
      <x:c r="J17" s="32" t="n">
        <x:f>IF(F17=0,0,MIN(0.95,IF(ISNUMBER(G17),G17,$Z$10*IF(ISNUMBER(H17),(H17/$Z$9)^'02 Assumptions'!$E$10,1))))</x:f>
        <x:v>0.7370507</x:v>
      </x:c>
      <x:c r="K17" s="32" t="n">
        <x:f>IF(F17=0,0,MIN(0.98,J17*'02 Assumptions'!$E$11))</x:f>
        <x:v>0.7370507</x:v>
      </x:c>
      <x:c r="L17" t="n">
        <x:f>C17*(D17/C17)^(1/10)*F17</x:f>
        <x:v>6.416844627739605</x:v>
      </x:c>
      <x:c r="M17" t="n">
        <x:f>E17*F17*IF(A17="53",'02 Assumptions'!$E$23,1)</x:f>
        <x:v>2787.87</x:v>
      </x:c>
      <x:c r="N17" t="n">
        <x:f>IFERROR(M17*1000/L17,0)</x:f>
        <x:v>434461.19732246874</x:v>
      </x:c>
      <x:c r="O17" t="n">
        <x:f>IFERROR(N17/$Z$8,0)</x:f>
        <x:v>2.28199269068296</x:v>
      </x:c>
      <x:c r="P17" t="n">
        <x:f>IF(F17=0,0,MIN(2,MAX(0.5,O17^'02 Assumptions'!$E$13)))</x:f>
        <x:v>1.1794046882380806</x:v>
      </x:c>
      <x:c r="Q17" s="34" t="n">
        <x:f>IF(F17=0,0,$Z$11*'02 Assumptions'!$E$8*'02 Assumptions'!$E$9*P17)</x:f>
        <x:v>124.6049898658694</x:v>
      </x:c>
      <x:c r="R17" s="30" t="n">
        <x:f>'Data OECD Mapping'!C17</x:f>
        <x:v>0.03540151612833142</x:v>
      </x:c>
      <x:c r="S17" s="30" t="n">
        <x:f>'Data OECD Mapping'!D17</x:f>
        <x:v>0.09236955642700195</x:v>
      </x:c>
      <x:c r="T17" s="30" t="n">
        <x:f>'Data OECD Mapping'!E17</x:f>
        <x:v>0.109327502939443</x:v>
      </x:c>
      <x:c r="U17" s="30" t="n">
        <x:f>IF('02 Assumptions'!$E$24=1,R17,IF('02 Assumptions'!$E$24=2,S17,T17))</x:f>
        <x:v>0.09236955642700195</x:v>
      </x:c>
      <x:c r="V17" s="28" t="str">
        <x:f>'Data OECD Mapping'!F17</x:f>
        <x:v>DIRECT label map</x:v>
      </x:c>
    </x:row>
    <x:row r="18" ht="22" customHeight="1">
      <x:c r="A18" t="str">
        <x:f>'Data BLS'!A18</x:f>
        <x:v>53</x:v>
      </x:c>
      <x:c r="B18" t="str">
        <x:f>'Data BLS'!B18</x:f>
        <x:v>Real Estate and Rental and Leasing</x:v>
      </x:c>
      <x:c r="C18" s="28" t="n">
        <x:f>'Data BLS'!C18/1000</x:f>
        <x:v>2.4566999999999997</x:v>
      </x:c>
      <x:c r="D18" s="28" t="n">
        <x:f>'Data BLS'!D18/1000</x:f>
        <x:v>2.5397</x:v>
      </x:c>
      <x:c r="E18" s="28" t="n">
        <x:f>'Data BEA'!C18</x:f>
        <x:v>4415.2</x:v>
      </x:c>
      <x:c r="F18" s="28" t="n">
        <x:f>IF('Data BLS'!E18="Excluded",0,IF('Data BLS'!E18="Partial",'02 Assumptions'!$E$22,1))</x:f>
        <x:v>1</x:v>
      </x:c>
      <x:c r="G18" s="30" t="str">
        <x:f>IF(ISNUMBER('Data Ramp Paid'!C18),'Data Ramp Paid'!C18,"")</x:f>
      </x:c>
      <x:c r="H18" s="30" t="str">
        <x:f>IF(ISNUMBER('Data Census'!C18),'Data Census'!C18,"")</x:f>
      </x:c>
      <x:c r="I18" t="str">
        <x:f>IF(ISNUMBER(G18),"DIRECT RAMP",IF(ISNUMBER(H18),"CENSUS PROXY","NATIONAL PROXY"))</x:f>
        <x:v>NATIONAL PROXY</x:v>
      </x:c>
      <x:c r="J18" s="32" t="n">
        <x:f>IF(F18=0,0,MIN(0.95,IF(ISNUMBER(G18),G18,$Z$10*IF(ISNUMBER(H18),(H18/$Z$9)^'02 Assumptions'!$E$10,1))))</x:f>
        <x:v>0.5613226</x:v>
      </x:c>
      <x:c r="K18" s="32" t="n">
        <x:f>IF(F18=0,0,MIN(0.98,J18*'02 Assumptions'!$E$11))</x:f>
        <x:v>0.5613226</x:v>
      </x:c>
      <x:c r="L18" t="n">
        <x:f>C18*(D18/C18)^(1/10)*F18</x:f>
        <x:v>2.4648764480604</x:v>
      </x:c>
      <x:c r="M18" t="n">
        <x:f>E18*F18*IF(A18="53",'02 Assumptions'!$E$23,1)</x:f>
        <x:v>1545.32</x:v>
      </x:c>
      <x:c r="N18" t="n">
        <x:f>IFERROR(M18*1000/L18,0)</x:f>
        <x:v>626936.0889126938</x:v>
      </x:c>
      <x:c r="O18" t="n">
        <x:f>IFERROR(N18/$Z$8,0)</x:f>
        <x:v>3.292960524993105</x:v>
      </x:c>
      <x:c r="P18" t="n">
        <x:f>IF(F18=0,0,MIN(2,MAX(0.5,O18^'02 Assumptions'!$E$13)))</x:f>
        <x:v>1.2691627145323892</x:v>
      </x:c>
      <x:c r="Q18" s="34" t="n">
        <x:f>IF(F18=0,0,$Z$11*'02 Assumptions'!$E$8*'02 Assumptions'!$E$9*P18)</x:f>
        <x:v>134.08799266238282</x:v>
      </x:c>
      <x:c r="R18" s="30" t="n">
        <x:f>'Data OECD Mapping'!C18</x:f>
        <x:v>0.024818832986056805</x:v>
      </x:c>
      <x:c r="S18" s="30" t="n">
        <x:f>'Data OECD Mapping'!D18</x:f>
        <x:v>0.06375886499881744</x:v>
      </x:c>
      <x:c r="T18" s="30" t="n">
        <x:f>'Data OECD Mapping'!E18</x:f>
        <x:v>0.0617439735019932</x:v>
      </x:c>
      <x:c r="U18" s="30" t="n">
        <x:f>IF('02 Assumptions'!$E$24=1,R18,IF('02 Assumptions'!$E$24=2,S18,T18))</x:f>
        <x:v>0.06375886499881744</x:v>
      </x:c>
      <x:c r="V18" s="28" t="str">
        <x:f>'Data OECD Mapping'!F18</x:f>
        <x:v>DIRECT label map</x:v>
      </x:c>
    </x:row>
    <x:row r="19" ht="22" customHeight="1">
      <x:c r="A19" t="str">
        <x:f>'Data BLS'!A19</x:f>
        <x:v>54</x:v>
      </x:c>
      <x:c r="B19" t="str">
        <x:f>'Data BLS'!B19</x:f>
        <x:v>Professional, Scientific and Technical Services</x:v>
      </x:c>
      <x:c r="C19" s="28" t="n">
        <x:f>'Data BLS'!C19/1000</x:f>
        <x:v>10.779200000000001</x:v>
      </x:c>
      <x:c r="D19" s="28" t="n">
        <x:f>'Data BLS'!D19/1000</x:f>
        <x:v>11.7059</x:v>
      </x:c>
      <x:c r="E19" s="28" t="n">
        <x:f>'Data BEA'!C19</x:f>
        <x:v>2593.3</x:v>
      </x:c>
      <x:c r="F19" s="28" t="n">
        <x:f>IF('Data BLS'!E19="Excluded",0,IF('Data BLS'!E19="Partial",'02 Assumptions'!$E$22,1))</x:f>
        <x:v>1</x:v>
      </x:c>
      <x:c r="G19" s="30" t="str">
        <x:f>IF(ISNUMBER('Data Ramp Paid'!C19),'Data Ramp Paid'!C19,"")</x:f>
      </x:c>
      <x:c r="H19" s="30" t="n">
        <x:f>IF(ISNUMBER('Data Census'!C19),'Data Census'!C19,"")</x:f>
        <x:v>0.433</x:v>
      </x:c>
      <x:c r="I19" t="str">
        <x:f>IF(ISNUMBER(G19),"DIRECT RAMP",IF(ISNUMBER(H19),"CENSUS PROXY","NATIONAL PROXY"))</x:f>
        <x:v>CENSUS PROXY</x:v>
      </x:c>
      <x:c r="J19" s="32" t="n">
        <x:f>IF(F19=0,0,MIN(0.95,IF(ISNUMBER(G19),G19,$Z$10*IF(ISNUMBER(H19),(H19/$Z$9)^'02 Assumptions'!$E$10,1))))</x:f>
        <x:v>0.7571257167521065</x:v>
      </x:c>
      <x:c r="K19" s="32" t="n">
        <x:f>IF(F19=0,0,MIN(0.98,J19*'02 Assumptions'!$E$11))</x:f>
        <x:v>0.7571257167521065</x:v>
      </x:c>
      <x:c r="L19" t="n">
        <x:f>C19*(D19/C19)^(1/10)*F19</x:f>
        <x:v>10.868468674762415</x:v>
      </x:c>
      <x:c r="M19" t="n">
        <x:f>E19*F19*IF(A19="53",'02 Assumptions'!$E$23,1)</x:f>
        <x:v>2593.3</x:v>
      </x:c>
      <x:c r="N19" t="n">
        <x:f>IFERROR(M19*1000/L19,0)</x:f>
        <x:v>238607.67120044073</x:v>
      </x:c>
      <x:c r="O19" t="n">
        <x:f>IFERROR(N19/$Z$8,0)</x:f>
        <x:v>1.2532786931859086</x:v>
      </x:c>
      <x:c r="P19" t="n">
        <x:f>IF(F19=0,0,MIN(2,MAX(0.5,O19^'02 Assumptions'!$E$13)))</x:f>
        <x:v>1.0461875109886412</x:v>
      </x:c>
      <x:c r="Q19" s="34" t="n">
        <x:f>IF(F19=0,0,$Z$11*'02 Assumptions'!$E$8*'02 Assumptions'!$E$9*P19)</x:f>
        <x:v>110.53049517658319</x:v>
      </x:c>
      <x:c r="R19" s="30" t="n">
        <x:f>'Data OECD Mapping'!C19</x:f>
        <x:v>0.03261405983939767</x:v>
      </x:c>
      <x:c r="S19" s="30" t="n">
        <x:f>'Data OECD Mapping'!D19</x:f>
        <x:v>0.0886613056063652</x:v>
      </x:c>
      <x:c r="T19" s="30" t="n">
        <x:f>'Data OECD Mapping'!E19</x:f>
        <x:v>0.149583914710917</x:v>
      </x:c>
      <x:c r="U19" s="30" t="n">
        <x:f>IF('02 Assumptions'!$E$24=1,R19,IF('02 Assumptions'!$E$24=2,S19,T19))</x:f>
        <x:v>0.0886613056063652</x:v>
      </x:c>
      <x:c r="V19" s="28" t="str">
        <x:f>'Data OECD Mapping'!F19</x:f>
        <x:v>DIRECT label map</x:v>
      </x:c>
    </x:row>
    <x:row r="20" ht="22" customHeight="1">
      <x:c r="A20" t="str">
        <x:f>'Data BLS'!A20</x:f>
        <x:v>55</x:v>
      </x:c>
      <x:c r="B20" t="str">
        <x:f>'Data BLS'!B20</x:f>
        <x:v>Management of Companies and Enterprises</x:v>
      </x:c>
      <x:c r="C20" s="28" t="n">
        <x:f>'Data BLS'!C20/1000</x:f>
        <x:v>2.6237</x:v>
      </x:c>
      <x:c r="D20" s="28" t="n">
        <x:f>'Data BLS'!D20/1000</x:f>
        <x:v>2.7304</x:v>
      </x:c>
      <x:c r="E20" s="28" t="n">
        <x:f>'Data BEA'!C20</x:f>
        <x:v>583.8</x:v>
      </x:c>
      <x:c r="F20" s="28" t="n">
        <x:f>IF('Data BLS'!E20="Excluded",0,IF('Data BLS'!E20="Partial",'02 Assumptions'!$E$22,1))</x:f>
        <x:v>1</x:v>
      </x:c>
      <x:c r="G20" s="30" t="str">
        <x:f>IF(ISNUMBER('Data Ramp Paid'!C20),'Data Ramp Paid'!C20,"")</x:f>
      </x:c>
      <x:c r="H20" s="30" t="str">
        <x:f>IF(ISNUMBER('Data Census'!C20),'Data Census'!C20,"")</x:f>
      </x:c>
      <x:c r="I20" t="str">
        <x:f>IF(ISNUMBER(G20),"DIRECT RAMP",IF(ISNUMBER(H20),"CENSUS PROXY","NATIONAL PROXY"))</x:f>
        <x:v>NATIONAL PROXY</x:v>
      </x:c>
      <x:c r="J20" s="32" t="n">
        <x:f>IF(F20=0,0,MIN(0.95,IF(ISNUMBER(G20),G20,$Z$10*IF(ISNUMBER(H20),(H20/$Z$9)^'02 Assumptions'!$E$10,1))))</x:f>
        <x:v>0.5613226</x:v>
      </x:c>
      <x:c r="K20" s="32" t="n">
        <x:f>IF(F20=0,0,MIN(0.98,J20*'02 Assumptions'!$E$11))</x:f>
        <x:v>0.5613226</x:v>
      </x:c>
      <x:c r="L20" t="n">
        <x:f>C20*(D20/C20)^(1/10)*F20</x:f>
        <x:v>2.634179619347046</x:v>
      </x:c>
      <x:c r="M20" t="n">
        <x:f>E20*F20*IF(A20="53",'02 Assumptions'!$E$23,1)</x:f>
        <x:v>583.8</x:v>
      </x:c>
      <x:c r="N20" t="n">
        <x:f>IFERROR(M20*1000/L20,0)</x:f>
        <x:v>221624.97792945147</x:v>
      </x:c>
      <x:c r="O20" t="n">
        <x:f>IFERROR(N20/$Z$8,0)</x:f>
        <x:v>1.1640776732758529</x:v>
      </x:c>
      <x:c r="P20" t="n">
        <x:f>IF(F20=0,0,MIN(2,MAX(0.5,O20^'02 Assumptions'!$E$13)))</x:f>
        <x:v>1.030852175823402</x:v>
      </x:c>
      <x:c r="Q20" s="34" t="n">
        <x:f>IF(F20=0,0,$Z$11*'02 Assumptions'!$E$8*'02 Assumptions'!$E$9*P20)</x:f>
        <x:v>108.91030551487428</x:v>
      </x:c>
      <x:c r="R20" s="30" t="n">
        <x:f>'Data OECD Mapping'!C20</x:f>
        <x:v>0.03261405983939767</x:v>
      </x:c>
      <x:c r="S20" s="30" t="n">
        <x:f>'Data OECD Mapping'!D20</x:f>
        <x:v>0.0886613056063652</x:v>
      </x:c>
      <x:c r="T20" s="30" t="n">
        <x:f>'Data OECD Mapping'!E20</x:f>
        <x:v>0.149583914710917</x:v>
      </x:c>
      <x:c r="U20" s="30" t="n">
        <x:f>IF('02 Assumptions'!$E$24=1,R20,IF('02 Assumptions'!$E$24=2,S20,T20))</x:f>
        <x:v>0.0886613056063652</x:v>
      </x:c>
      <x:c r="V20" s="28" t="str">
        <x:f>'Data OECD Mapping'!F20</x:f>
        <x:v>PROXY from related sector</x:v>
      </x:c>
    </x:row>
    <x:row r="21" ht="22" customHeight="1">
      <x:c r="A21" t="str">
        <x:f>'Data BLS'!A21</x:f>
        <x:v>56</x:v>
      </x:c>
      <x:c r="B21" t="str">
        <x:f>'Data BLS'!B21</x:f>
        <x:v>Administrative, Support and Waste Services</x:v>
      </x:c>
      <x:c r="C21" s="28" t="n">
        <x:f>'Data BLS'!C21/1000</x:f>
        <x:v>9.0131</x:v>
      </x:c>
      <x:c r="D21" s="28" t="n">
        <x:f>'Data BLS'!D21/1000</x:f>
        <x:v>9.0935</x:v>
      </x:c>
      <x:c r="E21" s="28" t="n">
        <x:f>'Data BEA'!C21</x:f>
        <x:v>952.7</x:v>
      </x:c>
      <x:c r="F21" s="28" t="n">
        <x:f>IF('Data BLS'!E21="Excluded",0,IF('Data BLS'!E21="Partial",'02 Assumptions'!$E$22,1))</x:f>
        <x:v>1</x:v>
      </x:c>
      <x:c r="G21" s="30" t="str">
        <x:f>IF(ISNUMBER('Data Ramp Paid'!C21),'Data Ramp Paid'!C21,"")</x:f>
      </x:c>
      <x:c r="H21" s="30" t="str">
        <x:f>IF(ISNUMBER('Data Census'!C21),'Data Census'!C21,"")</x:f>
      </x:c>
      <x:c r="I21" t="str">
        <x:f>IF(ISNUMBER(G21),"DIRECT RAMP",IF(ISNUMBER(H21),"CENSUS PROXY","NATIONAL PROXY"))</x:f>
        <x:v>NATIONAL PROXY</x:v>
      </x:c>
      <x:c r="J21" s="32" t="n">
        <x:f>IF(F21=0,0,MIN(0.95,IF(ISNUMBER(G21),G21,$Z$10*IF(ISNUMBER(H21),(H21/$Z$9)^'02 Assumptions'!$E$10,1))))</x:f>
        <x:v>0.5613226</x:v>
      </x:c>
      <x:c r="K21" s="32" t="n">
        <x:f>IF(F21=0,0,MIN(0.98,J21*'02 Assumptions'!$E$11))</x:f>
        <x:v>0.5613226</x:v>
      </x:c>
      <x:c r="L21" t="n">
        <x:f>C21*(D21/C21)^(1/10)*F21</x:f>
        <x:v>9.021107907338024</x:v>
      </x:c>
      <x:c r="M21" t="n">
        <x:f>E21*F21*IF(A21="53",'02 Assumptions'!$E$23,1)</x:f>
        <x:v>952.7</x:v>
      </x:c>
      <x:c r="N21" t="n">
        <x:f>IFERROR(M21*1000/L21,0)</x:f>
        <x:v>105607.87098279214</x:v>
      </x:c>
      <x:c r="O21" t="n">
        <x:f>IFERROR(N21/$Z$8,0)</x:f>
        <x:v>0.5547017573641836</x:v>
      </x:c>
      <x:c r="P21" t="n">
        <x:f>IF(F21=0,0,MIN(2,MAX(0.5,O21^'02 Assumptions'!$E$13)))</x:f>
        <x:v>0.8888160908905647</x:v>
      </x:c>
      <x:c r="Q21" s="34" t="n">
        <x:f>IF(F21=0,0,$Z$11*'02 Assumptions'!$E$8*'02 Assumptions'!$E$9*P21)</x:f>
        <x:v>93.90408661465632</x:v>
      </x:c>
      <x:c r="R21" s="30" t="n">
        <x:f>'Data OECD Mapping'!C21</x:f>
        <x:v>0.01921068448573351</x:v>
      </x:c>
      <x:c r="S21" s="30" t="n">
        <x:f>'Data OECD Mapping'!D21</x:f>
        <x:v>0.049402788281440735</x:v>
      </x:c>
      <x:c r="T21" s="30" t="n">
        <x:f>'Data OECD Mapping'!E21</x:f>
        <x:v>0.0328930849758054</x:v>
      </x:c>
      <x:c r="U21" s="30" t="n">
        <x:f>IF('02 Assumptions'!$E$24=1,R21,IF('02 Assumptions'!$E$24=2,S21,T21))</x:f>
        <x:v>0.049402788281440735</x:v>
      </x:c>
      <x:c r="V21" s="28" t="str">
        <x:f>'Data OECD Mapping'!F21</x:f>
        <x:v>DIRECT label map</x:v>
      </x:c>
    </x:row>
    <x:row r="22" ht="22" customHeight="1">
      <x:c r="A22" t="str">
        <x:f>'Data BLS'!A22</x:f>
        <x:v>61</x:v>
      </x:c>
      <x:c r="B22" t="str">
        <x:f>'Data BLS'!B22</x:f>
        <x:v>Educational Services (Private)</x:v>
      </x:c>
      <x:c r="C22" s="28" t="n">
        <x:f>'Data BLS'!C22/1000</x:f>
        <x:v>4.0488</x:v>
      </x:c>
      <x:c r="D22" s="28" t="n">
        <x:f>'Data BLS'!D22/1000</x:f>
        <x:v>4.1509</x:v>
      </x:c>
      <x:c r="E22" s="28" t="n">
        <x:f>'Data BEA'!C22</x:f>
        <x:v>365.2</x:v>
      </x:c>
      <x:c r="F22" s="28" t="n">
        <x:f>IF('Data BLS'!E22="Excluded",0,IF('Data BLS'!E22="Partial",'02 Assumptions'!$E$22,1))</x:f>
        <x:v>1</x:v>
      </x:c>
      <x:c r="G22" s="30" t="str">
        <x:f>IF(ISNUMBER('Data Ramp Paid'!C22),'Data Ramp Paid'!C22,"")</x:f>
      </x:c>
      <x:c r="H22" s="30" t="str">
        <x:f>IF(ISNUMBER('Data Census'!C22),'Data Census'!C22,"")</x:f>
      </x:c>
      <x:c r="I22" t="str">
        <x:f>IF(ISNUMBER(G22),"DIRECT RAMP",IF(ISNUMBER(H22),"CENSUS PROXY","NATIONAL PROXY"))</x:f>
        <x:v>NATIONAL PROXY</x:v>
      </x:c>
      <x:c r="J22" s="32" t="n">
        <x:f>IF(F22=0,0,MIN(0.95,IF(ISNUMBER(G22),G22,$Z$10*IF(ISNUMBER(H22),(H22/$Z$9)^'02 Assumptions'!$E$10,1))))</x:f>
        <x:v>0.5613226</x:v>
      </x:c>
      <x:c r="K22" s="32" t="n">
        <x:f>IF(F22=0,0,MIN(0.98,J22*'02 Assumptions'!$E$11))</x:f>
        <x:v>0.5613226</x:v>
      </x:c>
      <x:c r="L22" t="n">
        <x:f>C22*(D22/C22)^(1/10)*F22</x:f>
        <x:v>4.058895956130902</x:v>
      </x:c>
      <x:c r="M22" t="n">
        <x:f>E22*F22*IF(A22="53",'02 Assumptions'!$E$23,1)</x:f>
        <x:v>365.2</x:v>
      </x:c>
      <x:c r="N22" t="n">
        <x:f>IFERROR(M22*1000/L22,0)</x:f>
        <x:v>89975.20605286046</x:v>
      </x:c>
      <x:c r="O22" t="n">
        <x:f>IFERROR(N22/$Z$8,0)</x:f>
        <x:v>0.4725917154873666</x:v>
      </x:c>
      <x:c r="P22" t="n">
        <x:f>IF(F22=0,0,MIN(2,MAX(0.5,O22^'02 Assumptions'!$E$13)))</x:f>
        <x:v>0.8607900154390042</x:v>
      </x:c>
      <x:c r="Q22" s="34" t="n">
        <x:f>IF(F22=0,0,$Z$11*'02 Assumptions'!$E$8*'02 Assumptions'!$E$9*P22)</x:f>
        <x:v>90.94311072364238</x:v>
      </x:c>
      <x:c r="R22" s="30" t="n">
        <x:f>'Data OECD Mapping'!C22</x:f>
        <x:v>0.024575921148061754</x:v>
      </x:c>
      <x:c r="S22" s="30" t="n">
        <x:f>'Data OECD Mapping'!D22</x:f>
        <x:v>0.06314210593700409</x:v>
      </x:c>
      <x:c r="T22" s="30" t="n">
        <x:f>'Data OECD Mapping'!E22</x:f>
        <x:v>0.0822636415146217</x:v>
      </x:c>
      <x:c r="U22" s="30" t="n">
        <x:f>IF('02 Assumptions'!$E$24=1,R22,IF('02 Assumptions'!$E$24=2,S22,T22))</x:f>
        <x:v>0.06314210593700409</x:v>
      </x:c>
      <x:c r="V22" s="28" t="str">
        <x:f>'Data OECD Mapping'!F22</x:f>
        <x:v>DIRECT label map</x:v>
      </x:c>
    </x:row>
    <x:row r="23" ht="22" customHeight="1">
      <x:c r="A23" t="str">
        <x:f>'Data BLS'!A23</x:f>
        <x:v>62</x:v>
      </x:c>
      <x:c r="B23" t="str">
        <x:f>'Data BLS'!B23</x:f>
        <x:v>Health Care and Social Assistance (Private)</x:v>
      </x:c>
      <x:c r="C23" s="28" t="n">
        <x:f>'Data BLS'!C23/1000</x:f>
        <x:v>23.29</x:v>
      </x:c>
      <x:c r="D23" s="28" t="n">
        <x:f>'Data BLS'!D23/1000</x:f>
        <x:v>25.494799999999998</x:v>
      </x:c>
      <x:c r="E23" s="28" t="n">
        <x:f>'Data BEA'!C23</x:f>
        <x:v>2454.7</x:v>
      </x:c>
      <x:c r="F23" s="28" t="n">
        <x:f>IF('Data BLS'!E23="Excluded",0,IF('Data BLS'!E23="Partial",'02 Assumptions'!$E$22,1))</x:f>
        <x:v>1</x:v>
      </x:c>
      <x:c r="G23" s="30" t="n">
        <x:f>IF(ISNUMBER('Data Ramp Paid'!C23),'Data Ramp Paid'!C23,"")</x:f>
        <x:v>0.4337242</x:v>
      </x:c>
      <x:c r="H23" s="30" t="str">
        <x:f>IF(ISNUMBER('Data Census'!C23),'Data Census'!C23,"")</x:f>
      </x:c>
      <x:c r="I23" t="str">
        <x:f>IF(ISNUMBER(G23),"DIRECT RAMP",IF(ISNUMBER(H23),"CENSUS PROXY","NATIONAL PROXY"))</x:f>
        <x:v>DIRECT RAMP</x:v>
      </x:c>
      <x:c r="J23" s="32" t="n">
        <x:f>IF(F23=0,0,MIN(0.95,IF(ISNUMBER(G23),G23,$Z$10*IF(ISNUMBER(H23),(H23/$Z$9)^'02 Assumptions'!$E$10,1))))</x:f>
        <x:v>0.4337242</x:v>
      </x:c>
      <x:c r="K23" s="32" t="n">
        <x:f>IF(F23=0,0,MIN(0.98,J23*'02 Assumptions'!$E$11))</x:f>
        <x:v>0.4337242</x:v>
      </x:c>
      <x:c r="L23" t="n">
        <x:f>C23*(D23/C23)^(1/10)*F23</x:f>
        <x:v>23.501614630876432</x:v>
      </x:c>
      <x:c r="M23" t="n">
        <x:f>E23*F23*IF(A23="53",'02 Assumptions'!$E$23,1)</x:f>
        <x:v>2454.7</x:v>
      </x:c>
      <x:c r="N23" t="n">
        <x:f>IFERROR(M23*1000/L23,0)</x:f>
        <x:v>104448.142757605</x:v>
      </x:c>
      <x:c r="O23" t="n">
        <x:f>IFERROR(N23/$Z$8,0)</x:f>
        <x:v>0.5486103242296119</x:v>
      </x:c>
      <x:c r="P23" t="n">
        <x:f>IF(F23=0,0,MIN(2,MAX(0.5,O23^'02 Assumptions'!$E$13)))</x:f>
        <x:v>0.8868553601778715</x:v>
      </x:c>
      <x:c r="Q23" s="34" t="n">
        <x:f>IF(F23=0,0,$Z$11*'02 Assumptions'!$E$8*'02 Assumptions'!$E$9*P23)</x:f>
        <x:v>93.69693394431226</x:v>
      </x:c>
      <x:c r="R23" s="30" t="n">
        <x:f>'Data OECD Mapping'!C23</x:f>
        <x:v>0.0215854249894619</x:v>
      </x:c>
      <x:c r="S23" s="30" t="n">
        <x:f>'Data OECD Mapping'!D23</x:f>
        <x:v>0.05661867931485176</x:v>
      </x:c>
      <x:c r="T23" s="30" t="n">
        <x:f>'Data OECD Mapping'!E23</x:f>
        <x:v>0.0418903865623875</x:v>
      </x:c>
      <x:c r="U23" s="30" t="n">
        <x:f>IF('02 Assumptions'!$E$24=1,R23,IF('02 Assumptions'!$E$24=2,S23,T23))</x:f>
        <x:v>0.05661867931485176</x:v>
      </x:c>
      <x:c r="V23" s="28" t="str">
        <x:f>'Data OECD Mapping'!F23</x:f>
        <x:v>DIRECT label map</x:v>
      </x:c>
    </x:row>
    <x:row r="24" ht="22" customHeight="1">
      <x:c r="A24" t="str">
        <x:f>'Data BLS'!A24</x:f>
        <x:v>71</x:v>
      </x:c>
      <x:c r="B24" t="str">
        <x:f>'Data BLS'!B24</x:f>
        <x:v>Arts, Entertainment and Recreation</x:v>
      </x:c>
      <x:c r="C24" s="28" t="n">
        <x:f>'Data BLS'!C24/1000</x:f>
        <x:v>2.6816999999999998</x:v>
      </x:c>
      <x:c r="D24" s="28" t="n">
        <x:f>'Data BLS'!D24/1000</x:f>
        <x:v>2.8348</x:v>
      </x:c>
      <x:c r="E24" s="28" t="n">
        <x:f>'Data BEA'!C24</x:f>
        <x:v>331.2</x:v>
      </x:c>
      <x:c r="F24" s="28" t="n">
        <x:f>IF('Data BLS'!E24="Excluded",0,IF('Data BLS'!E24="Partial",'02 Assumptions'!$E$22,1))</x:f>
        <x:v>1</x:v>
      </x:c>
      <x:c r="G24" s="30" t="str">
        <x:f>IF(ISNUMBER('Data Ramp Paid'!C24),'Data Ramp Paid'!C24,"")</x:f>
      </x:c>
      <x:c r="H24" s="30" t="str">
        <x:f>IF(ISNUMBER('Data Census'!C24),'Data Census'!C24,"")</x:f>
      </x:c>
      <x:c r="I24" t="str">
        <x:f>IF(ISNUMBER(G24),"DIRECT RAMP",IF(ISNUMBER(H24),"CENSUS PROXY","NATIONAL PROXY"))</x:f>
        <x:v>NATIONAL PROXY</x:v>
      </x:c>
      <x:c r="J24" s="32" t="n">
        <x:f>IF(F24=0,0,MIN(0.95,IF(ISNUMBER(G24),G24,$Z$10*IF(ISNUMBER(H24),(H24/$Z$9)^'02 Assumptions'!$E$10,1))))</x:f>
        <x:v>0.5613226</x:v>
      </x:c>
      <x:c r="K24" s="32" t="n">
        <x:f>IF(F24=0,0,MIN(0.98,J24*'02 Assumptions'!$E$11))</x:f>
        <x:v>0.5613226</x:v>
      </x:c>
      <x:c r="L24" t="n">
        <x:f>C24*(D24/C24)^(1/10)*F24</x:f>
        <x:v>2.696630332011054</x:v>
      </x:c>
      <x:c r="M24" t="n">
        <x:f>E24*F24*IF(A24="53",'02 Assumptions'!$E$23,1)</x:f>
        <x:v>331.2</x:v>
      </x:c>
      <x:c r="N24" t="n">
        <x:f>IFERROR(M24*1000/L24,0)</x:f>
        <x:v>122819.94905582866</x:v>
      </x:c>
      <x:c r="O24" t="n">
        <x:f>IFERROR(N24/$Z$8,0)</x:f>
        <x:v>0.6451076131602783</x:v>
      </x:c>
      <x:c r="P24" t="n">
        <x:f>IF(F24=0,0,MIN(2,MAX(0.5,O24^'02 Assumptions'!$E$13)))</x:f>
        <x:v>0.9160653016860025</x:v>
      </x:c>
      <x:c r="Q24" s="34" t="n">
        <x:f>IF(F24=0,0,$Z$11*'02 Assumptions'!$E$8*'02 Assumptions'!$E$9*P24)</x:f>
        <x:v>96.78298617210244</x:v>
      </x:c>
      <x:c r="R24" s="30" t="n">
        <x:f>'Data OECD Mapping'!C24</x:f>
        <x:v>0.020705626253038647</x:v>
      </x:c>
      <x:c r="S24" s="30" t="n">
        <x:f>'Data OECD Mapping'!D24</x:f>
        <x:v>0.05148909240961075</x:v>
      </x:c>
      <x:c r="T24" s="30" t="n">
        <x:f>'Data OECD Mapping'!E24</x:f>
        <x:v>0.0380870666495382</x:v>
      </x:c>
      <x:c r="U24" s="30" t="n">
        <x:f>IF('02 Assumptions'!$E$24=1,R24,IF('02 Assumptions'!$E$24=2,S24,T24))</x:f>
        <x:v>0.05148909240961075</x:v>
      </x:c>
      <x:c r="V24" s="28" t="str">
        <x:f>'Data OECD Mapping'!F24</x:f>
        <x:v>DIRECT label map</x:v>
      </x:c>
    </x:row>
    <x:row r="25" ht="22" customHeight="1">
      <x:c r="A25" t="str">
        <x:f>'Data BLS'!A25</x:f>
        <x:v>72</x:v>
      </x:c>
      <x:c r="B25" t="str">
        <x:f>'Data BLS'!B25</x:f>
        <x:v>Accommodation and Food Services</x:v>
      </x:c>
      <x:c r="C25" s="28" t="n">
        <x:f>'Data BLS'!C25/1000</x:f>
        <x:v>14.2021</x:v>
      </x:c>
      <x:c r="D25" s="28" t="n">
        <x:f>'Data BLS'!D25/1000</x:f>
        <x:v>14.8095</x:v>
      </x:c>
      <x:c r="E25" s="28" t="n">
        <x:f>'Data BEA'!C25</x:f>
        <x:v>1010.9</x:v>
      </x:c>
      <x:c r="F25" s="28" t="n">
        <x:f>IF('Data BLS'!E25="Excluded",0,IF('Data BLS'!E25="Partial",'02 Assumptions'!$E$22,1))</x:f>
        <x:v>1</x:v>
      </x:c>
      <x:c r="G25" s="30" t="n">
        <x:f>IF(ISNUMBER('Data Ramp Paid'!C25),'Data Ramp Paid'!C25,"")</x:f>
        <x:v>0.3305243</x:v>
      </x:c>
      <x:c r="H25" s="30" t="str">
        <x:f>IF(ISNUMBER('Data Census'!C25),'Data Census'!C25,"")</x:f>
      </x:c>
      <x:c r="I25" t="str">
        <x:f>IF(ISNUMBER(G25),"DIRECT RAMP",IF(ISNUMBER(H25),"CENSUS PROXY","NATIONAL PROXY"))</x:f>
        <x:v>DIRECT RAMP</x:v>
      </x:c>
      <x:c r="J25" s="32" t="n">
        <x:f>IF(F25=0,0,MIN(0.95,IF(ISNUMBER(G25),G25,$Z$10*IF(ISNUMBER(H25),(H25/$Z$9)^'02 Assumptions'!$E$10,1))))</x:f>
        <x:v>0.3305243</x:v>
      </x:c>
      <x:c r="K25" s="32" t="n">
        <x:f>IF(F25=0,0,MIN(0.98,J25*'02 Assumptions'!$E$11))</x:f>
        <x:v>0.3305243</x:v>
      </x:c>
      <x:c r="L25" t="n">
        <x:f>C25*(D25/C25)^(1/10)*F25</x:f>
        <x:v>14.26170172714977</x:v>
      </x:c>
      <x:c r="M25" t="n">
        <x:f>E25*F25*IF(A25="53",'02 Assumptions'!$E$23,1)</x:f>
        <x:v>1010.9</x:v>
      </x:c>
      <x:c r="N25" t="n">
        <x:f>IFERROR(M25*1000/L25,0)</x:f>
        <x:v>70882.14431490781</x:v>
      </x:c>
      <x:c r="O25" t="n">
        <x:f>IFERROR(N25/$Z$8,0)</x:f>
        <x:v>0.3723060568433164</x:v>
      </x:c>
      <x:c r="P25" t="n">
        <x:f>IF(F25=0,0,MIN(2,MAX(0.5,O25^'02 Assumptions'!$E$13)))</x:f>
        <x:v>0.8206916604522945</x:v>
      </x:c>
      <x:c r="Q25" s="34" t="n">
        <x:f>IF(F25=0,0,$Z$11*'02 Assumptions'!$E$8*'02 Assumptions'!$E$9*P25)</x:f>
        <x:v>86.70668944553024</x:v>
      </x:c>
      <x:c r="R25" s="30" t="n">
        <x:f>'Data OECD Mapping'!C25</x:f>
        <x:v>0.012064071139320731</x:v>
      </x:c>
      <x:c r="S25" s="30" t="n">
        <x:f>'Data OECD Mapping'!D25</x:f>
        <x:v>0.02927583083510399</x:v>
      </x:c>
      <x:c r="T25" s="30" t="n">
        <x:f>'Data OECD Mapping'!E25</x:f>
        <x:v>0.0107414765899434</x:v>
      </x:c>
      <x:c r="U25" s="30" t="n">
        <x:f>IF('02 Assumptions'!$E$24=1,R25,IF('02 Assumptions'!$E$24=2,S25,T25))</x:f>
        <x:v>0.02927583083510399</x:v>
      </x:c>
      <x:c r="V25" s="28" t="str">
        <x:f>'Data OECD Mapping'!F25</x:f>
        <x:v>DIRECT label map</x:v>
      </x:c>
    </x:row>
    <x:row r="26" ht="22" customHeight="1">
      <x:c r="A26" t="str">
        <x:f>'Data BLS'!A26</x:f>
        <x:v>81</x:v>
      </x:c>
      <x:c r="B26" t="str">
        <x:f>'Data BLS'!B26</x:f>
        <x:v>Other Services Except Public Administration</x:v>
      </x:c>
      <x:c r="C26" s="28" t="n">
        <x:f>'Data BLS'!C26/1000</x:f>
        <x:v>6.575699999999999</x:v>
      </x:c>
      <x:c r="D26" s="28" t="n">
        <x:f>'Data BLS'!D26/1000</x:f>
        <x:v>6.8226</x:v>
      </x:c>
      <x:c r="E26" s="28" t="n">
        <x:f>'Data BEA'!C26</x:f>
        <x:v>655.3</x:v>
      </x:c>
      <x:c r="F26" s="28" t="n">
        <x:f>IF('Data BLS'!E26="Excluded",0,IF('Data BLS'!E26="Partial",'02 Assumptions'!$E$22,1))</x:f>
        <x:v>0.95</x:v>
      </x:c>
      <x:c r="G26" s="30" t="str">
        <x:f>IF(ISNUMBER('Data Ramp Paid'!C26),'Data Ramp Paid'!C26,"")</x:f>
      </x:c>
      <x:c r="H26" s="30" t="str">
        <x:f>IF(ISNUMBER('Data Census'!C26),'Data Census'!C26,"")</x:f>
      </x:c>
      <x:c r="I26" t="str">
        <x:f>IF(ISNUMBER(G26),"DIRECT RAMP",IF(ISNUMBER(H26),"CENSUS PROXY","NATIONAL PROXY"))</x:f>
        <x:v>NATIONAL PROXY</x:v>
      </x:c>
      <x:c r="J26" s="32" t="n">
        <x:f>IF(F26=0,0,MIN(0.95,IF(ISNUMBER(G26),G26,$Z$10*IF(ISNUMBER(H26),(H26/$Z$9)^'02 Assumptions'!$E$10,1))))</x:f>
        <x:v>0.5613226</x:v>
      </x:c>
      <x:c r="K26" s="32" t="n">
        <x:f>IF(F26=0,0,MIN(0.98,J26*'02 Assumptions'!$E$11))</x:f>
        <x:v>0.5613226</x:v>
      </x:c>
      <x:c r="L26" t="n">
        <x:f>C26*(D26/C26)^(1/10)*F26</x:f>
        <x:v>6.269983363850071</x:v>
      </x:c>
      <x:c r="M26" t="n">
        <x:f>E26*F26*IF(A26="53",'02 Assumptions'!$E$23,1)</x:f>
        <x:v>622.535</x:v>
      </x:c>
      <x:c r="N26" t="n">
        <x:f>IFERROR(M26*1000/L26,0)</x:f>
        <x:v>99288.14222845618</x:v>
      </x:c>
      <x:c r="O26" t="n">
        <x:f>IFERROR(N26/$Z$8,0)</x:f>
        <x:v>0.5215075966120336</x:v>
      </x:c>
      <x:c r="P26" t="n">
        <x:f>IF(F26=0,0,MIN(2,MAX(0.5,O26^'02 Assumptions'!$E$13)))</x:f>
        <x:v>0.8779143094392404</x:v>
      </x:c>
      <x:c r="Q26" s="34" t="n">
        <x:f>IF(F26=0,0,$Z$11*'02 Assumptions'!$E$8*'02 Assumptions'!$E$9*P26)</x:f>
        <x:v>92.75230522798783</x:v>
      </x:c>
      <x:c r="R26" s="30" t="n">
        <x:f>'Data OECD Mapping'!C26</x:f>
        <x:v>0.021124568954110145</x:v>
      </x:c>
      <x:c r="S26" s="30" t="n">
        <x:f>'Data OECD Mapping'!D26</x:f>
        <x:v>0.053498223423957825</x:v>
      </x:c>
      <x:c r="T26" s="30" t="n">
        <x:f>'Data OECD Mapping'!E26</x:f>
        <x:v>0.0181293589459603</x:v>
      </x:c>
      <x:c r="U26" s="30" t="n">
        <x:f>IF('02 Assumptions'!$E$24=1,R26,IF('02 Assumptions'!$E$24=2,S26,T26))</x:f>
        <x:v>0.053498223423957825</x:v>
      </x:c>
      <x:c r="V26" s="28" t="str">
        <x:f>'Data OECD Mapping'!F26</x:f>
        <x:v>DIRECT label map</x:v>
      </x:c>
    </x:row>
    <x:row r="27" ht="22" customHeight="1">
      <x:c r="A27" t="str">
        <x:f>'Data BLS'!A27</x:f>
        <x:v>Gov</x:v>
      </x:c>
      <x:c r="B27" t="str">
        <x:f>'Data BLS'!B27</x:f>
        <x:v>Federal and State/Local Government</x:v>
      </x:c>
      <x:c r="C27" s="28" t="n">
        <x:f>'Data BLS'!C27/1000</x:f>
        <x:v>23.5088</x:v>
      </x:c>
      <x:c r="D27" s="28" t="n">
        <x:f>'Data BLS'!D27/1000</x:f>
        <x:v>23.5861</x:v>
      </x:c>
      <x:c r="E27" s="28" t="n">
        <x:f>'Data BEA'!C27</x:f>
        <x:v>3506</x:v>
      </x:c>
      <x:c r="F27" s="28" t="n">
        <x:f>IF('Data BLS'!E27="Excluded",0,IF('Data BLS'!E27="Partial",'02 Assumptions'!$E$22,1))</x:f>
        <x:v>0</x:v>
      </x:c>
      <x:c r="G27" s="30" t="str">
        <x:f>IF(ISNUMBER('Data Ramp Paid'!C27),'Data Ramp Paid'!C27,"")</x:f>
      </x:c>
      <x:c r="H27" s="30" t="str">
        <x:f>IF(ISNUMBER('Data Census'!C27),'Data Census'!C27,"")</x:f>
      </x:c>
      <x:c r="I27" t="str">
        <x:f>IF(ISNUMBER(G27),"DIRECT RAMP",IF(ISNUMBER(H27),"CENSUS PROXY","NATIONAL PROXY"))</x:f>
        <x:v>NATIONAL PROXY</x:v>
      </x:c>
      <x:c r="J27" s="32" t="n">
        <x:f>IF(F27=0,0,MIN(0.95,IF(ISNUMBER(G27),G27,$Z$10*IF(ISNUMBER(H27),(H27/$Z$9)^'02 Assumptions'!$E$10,1))))</x:f>
        <x:v>0</x:v>
      </x:c>
      <x:c r="K27" s="32" t="n">
        <x:f>IF(F27=0,0,MIN(0.98,J27*'02 Assumptions'!$E$11))</x:f>
        <x:v>0</x:v>
      </x:c>
      <x:c r="L27" t="n">
        <x:f>C27*(D27/C27)^(1/10)*F27</x:f>
        <x:v>0</x:v>
      </x:c>
      <x:c r="M27" t="n">
        <x:f>E27*F27*IF(A27="53",'02 Assumptions'!$E$23,1)</x:f>
        <x:v>0</x:v>
      </x:c>
      <x:c r="N27" t="n">
        <x:f>IFERROR(M27*1000/L27,0)</x:f>
        <x:v>0</x:v>
      </x:c>
      <x:c r="O27" t="n">
        <x:f>IFERROR(N27/$Z$8,0)</x:f>
        <x:v>0</x:v>
      </x:c>
      <x:c r="P27" t="n">
        <x:f>IF(F27=0,0,MIN(2,MAX(0.5,O27^'02 Assumptions'!$E$13)))</x:f>
        <x:v>0</x:v>
      </x:c>
      <x:c r="Q27" s="34" t="n">
        <x:f>IF(F27=0,0,$Z$11*'02 Assumptions'!$E$8*'02 Assumptions'!$E$9*P27)</x:f>
        <x:v>0</x:v>
      </x:c>
      <x:c r="R27" s="30" t="n">
        <x:f>'Data OECD Mapping'!C27</x:f>
        <x:v>0</x:v>
      </x:c>
      <x:c r="S27" s="30" t="n">
        <x:f>'Data OECD Mapping'!D27</x:f>
        <x:v>0</x:v>
      </x:c>
      <x:c r="T27" s="30" t="n">
        <x:f>'Data OECD Mapping'!E27</x:f>
        <x:v>0</x:v>
      </x:c>
      <x:c r="U27" s="30" t="n">
        <x:f>IF('02 Assumptions'!$E$24=1,R27,IF('02 Assumptions'!$E$24=2,S27,T27))</x:f>
        <x:v>0</x:v>
      </x:c>
      <x:c r="V27" s="28" t="str">
        <x:f>'Data OECD Mapping'!F27</x:f>
        <x:v>NOT COVERED =&gt; 0 in scoped model</x:v>
      </x:c>
    </x:row>
  </x:sheetData>
  <x:mergeCells>
    <x:mergeCell ref="A1:Z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22" hidden="0" customWidth="1"/>
    <x:col min="23" max="23" width="17" hidden="0" customWidth="1"/>
    <x:col min="24" max="24" width="17" hidden="0" customWidth="1"/>
    <x:col min="25" max="25" width="17" hidden="0" customWidth="1"/>
    <x:col min="26" max="26" width="22" hidden="0" customWidth="1"/>
  </x:cols>
  <x:sheetData>
    <x:row r="1" ht="25" customHeight="1">
      <x:c r="A1" s="8" t="str">
        <x:v>U.S. ENTERPRISE AI DEMAND | INDUSTRY × YEAR | SUBSCRIPTION + METERED, NO RESELLER DOUBLE COUNT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t="str">
        <x:v>U.S. private-sector AI end-customer spending; all 2026 values are annualized modeled spending, NOT audited calendar-year vendor revenues.</x:v>
      </x:c>
    </x:row>
    <x:row r="4">
      <x:c r="A4" t="str">
        <x:v>Ramp figures are firm-cohort spending medians. Paid-worker shares, worker cohort weights, national capture, token elasticity and OECD pass-through are ANALYST ASSUMPTIONS.</x:v>
      </x:c>
    </x:row>
    <x:row r="7" ht="30" customHeight="1">
      <x:c r="A7" s="16" t="str">
        <x:v>Year</x:v>
      </x:c>
      <x:c r="B7" s="16" t="str">
        <x:v>NAICS</x:v>
      </x:c>
      <x:c r="C7" s="16" t="str">
        <x:v>Customer industry</x:v>
      </x:c>
      <x:c r="D7" s="16" t="str">
        <x:v>Covered employees (M)</x:v>
      </x:c>
      <x:c r="E7" s="16" t="str">
        <x:v>Paid-worker share (PROXY)</x:v>
      </x:c>
      <x:c r="F7" s="16" t="str">
        <x:v>Paying employees (M)</x:v>
      </x:c>
      <x:c r="G7" s="16" t="str">
        <x:v>2026 conditional AI spend / paying worker ($/mo)</x:v>
      </x:c>
      <x:c r="H7" s="16" t="str">
        <x:v>Non-AI nominal worker-output demand factor</x:v>
      </x:c>
      <x:c r="I7" s="16" t="str">
        <x:v>OECD incremental Value Added LEVEL factor (vs. 2026)</x:v>
      </x:c>
      <x:c r="J7" s="16" t="str">
        <x:v>AI productivity -&gt; AI spending feedback factor</x:v>
      </x:c>
      <x:c r="K7" s="16" t="str">
        <x:v>2026 token-sensitive spend share</x:v>
      </x:c>
      <x:c r="L7" s="16" t="str">
        <x:v>Organic token workload quantity factor</x:v>
      </x:c>
      <x:c r="M7" s="16" t="str">
        <x:v>Net revenue per token price factor</x:v>
      </x:c>
      <x:c r="N7" s="16" t="str">
        <x:v>PRICE-induced token quantity rebound</x:v>
      </x:c>
      <x:c r="O7" s="16" t="str">
        <x:v>Non-token price and tier mix factor</x:v>
      </x:c>
      <x:c r="P7" s="16" t="str">
        <x:v>Non-token enterprise spending ($B)</x:v>
      </x:c>
      <x:c r="Q7" s="16" t="str">
        <x:v>Token / metered spending ($B)</x:v>
      </x:c>
      <x:c r="R7" s="16" t="str">
        <x:v>TOTAL end-customer spending ($B)</x:v>
      </x:c>
      <x:c r="S7" s="16" t="str">
        <x:v>Forecast operating sector Value Added ($B)</x:v>
      </x:c>
      <x:c r="T7" s="16" t="str">
        <x:v>AI spending / sector operating Value Added</x:v>
      </x:c>
      <x:c r="U7" s="16" t="str">
        <x:v>OECD additional sector Value Added ($B)</x:v>
      </x:c>
      <x:c r="V7" s="16" t="str">
        <x:v>Paid adoption evidence</x:v>
      </x:c>
      <x:c r="W7" s="16" t="str">
        <x:v>No price rebound, total revenue ($B)</x:v>
      </x:c>
      <x:c r="X7" s="16" t="str">
        <x:v>No productivity spending feedback ($B)</x:v>
      </x:c>
      <x:c r="Y7" s="16" t="str">
        <x:v>No either flywheel channel ($B)</x:v>
      </x:c>
      <x:c r="Z7" s="16" t="str">
        <x:v>Sanity</x:v>
      </x:c>
    </x:row>
    <x:row r="8">
      <x:c r="A8" s="44" t="n">
        <x:f>2026</x:f>
        <x:v>2026</x:v>
      </x:c>
      <x:c r="B8" s="28" t="str">
        <x:f>'03 Sector Inputs'!A8</x:f>
        <x:v>11</x:v>
      </x:c>
      <x:c r="C8" s="28" t="str">
        <x:f>'03 Sector Inputs'!B8</x:f>
        <x:v>Agriculture, Forestry, Fishing and Hunting</x:v>
      </x:c>
      <x:c r="D8" t="n">
        <x:f>'03 Sector Inputs'!L8*('03 Sector Inputs'!D8/'03 Sector Inputs'!C8)^((A8-2026)/10)</x:f>
        <x:v>0</x:v>
      </x:c>
      <x:c r="E8" s="32" t="n">
        <x:f>IF(D8=0,0,MIN(0.98,1-(1-'03 Sector Inputs'!K8)*(1-'02 Assumptions'!$E$12)^(A8-2026)))</x:f>
        <x:v>0</x:v>
      </x:c>
      <x:c r="F8" t="n">
        <x:f>D8*E8</x:f>
        <x:v>0</x:v>
      </x:c>
      <x:c r="G8" s="38" t="n">
        <x:f>'03 Sector Inputs'!Q8</x:f>
        <x:v>0</x:v>
      </x:c>
      <x:c r="H8" t="n">
        <x:f>(1+'02 Assumptions'!$E$19)^((A8-2026)*'02 Assumptions'!$E$20)</x:f>
        <x:v>1</x:v>
      </x:c>
      <x:c r="I8" t="n">
        <x:f>(1+'03 Sector Inputs'!U8)^((A8-2026)/10)</x:f>
        <x:v>1</x:v>
      </x:c>
      <x:c r="J8" t="n">
        <x:f>I8^'02 Assumptions'!$E$21</x:f>
        <x:v>1</x:v>
      </x:c>
      <x:c r="K8" s="32" t="n">
        <x:f>'02 Assumptions'!$E$14</x:f>
        <x:v>0.6</x:v>
      </x:c>
      <x:c r="L8" t="n">
        <x:f>(1+'02 Assumptions'!$E$15)^(A8-2026)</x:f>
        <x:v>1</x:v>
      </x:c>
      <x:c r="M8" t="n">
        <x:f>(1-'02 Assumptions'!$E$16)^(A8-2026)</x:f>
        <x:v>1</x:v>
      </x:c>
      <x:c r="N8" t="n">
        <x:f>IF(M8&gt;0,M8^(-'02 Assumptions'!$E$17),0)</x:f>
        <x:v>1</x:v>
      </x:c>
      <x:c r="O8" t="n">
        <x:f>(1+'02 Assumptions'!$E$18)^(A8-2026)</x:f>
        <x:v>1</x:v>
      </x:c>
      <x:c r="P8" s="40" t="n">
        <x:f>F8*G8*12/1000*(1-K8)*H8*J8*O8</x:f>
        <x:v>0</x:v>
      </x:c>
      <x:c r="Q8" s="40" t="n">
        <x:f>F8*G8*12/1000*K8*H8*J8*L8*M8*N8</x:f>
        <x:v>0</x:v>
      </x:c>
      <x:c r="R8" s="40" t="n">
        <x:f>SUM(P8:Q8)</x:f>
        <x:v>0</x:v>
      </x:c>
      <x:c r="S8" s="40" t="n">
        <x:f>IFERROR('03 Sector Inputs'!M8*(D8/'03 Sector Inputs'!L8)*(1+'02 Assumptions'!$E$19)^(A8-2026),0)</x:f>
        <x:v>0</x:v>
      </x:c>
      <x:c r="T8" s="36" t="n">
        <x:f>IFERROR(R8/S8,0)</x:f>
        <x:v>0</x:v>
      </x:c>
      <x:c r="U8" s="42" t="n">
        <x:f>S8*(I8-1)</x:f>
        <x:v>0</x:v>
      </x:c>
      <x:c r="V8" t="str">
        <x:f>'03 Sector Inputs'!I8</x:f>
        <x:v>NATIONAL PROXY</x:v>
      </x:c>
      <x:c r="W8" t="n">
        <x:f>P8+F8*G8*12/1000*K8*H8*J8*L8*M8</x:f>
        <x:v>0</x:v>
      </x:c>
      <x:c r="X8" t="n">
        <x:f>F8*G8*12/1000*H8*((1-K8)*O8+K8*L8*M8*N8)</x:f>
        <x:v>0</x:v>
      </x:c>
      <x:c r="Y8" t="n">
        <x:f>F8*G8*12/1000*H8*((1-K8)*O8+K8*L8*M8)</x:f>
        <x:v>0</x:v>
      </x:c>
      <x:c r="Z8" t="str">
        <x:f>IF(OR(F8&lt;0,E8&lt;0,E8&gt;1,R8&lt;0),"CHECK","OK")</x:f>
        <x:v>OK</x:v>
      </x:c>
    </x:row>
    <x:row r="9">
      <x:c r="A9" s="44" t="n">
        <x:f>2026</x:f>
        <x:v>2026</x:v>
      </x:c>
      <x:c r="B9" s="28" t="str">
        <x:f>'03 Sector Inputs'!A9</x:f>
        <x:v>21</x:v>
      </x:c>
      <x:c r="C9" s="28" t="str">
        <x:f>'03 Sector Inputs'!B9</x:f>
        <x:v>Mining, Quarrying, Oil and Gas Extraction</x:v>
      </x:c>
      <x:c r="D9" t="n">
        <x:f>'03 Sector Inputs'!L9*('03 Sector Inputs'!D9/'03 Sector Inputs'!C9)^((A9-2026)/10)</x:f>
        <x:v>0.5738788716893184</x:v>
      </x:c>
      <x:c r="E9" s="32" t="n">
        <x:f>MIN(0.98,1-(1-'03 Sector Inputs'!K9)*(1-'02 Assumptions'!$E$12)^(A9-2026))</x:f>
        <x:v>0.5613226</x:v>
      </x:c>
      <x:c r="F9" t="n">
        <x:f>D9*E9</x:f>
        <x:v>0.3221311803417146</x:v>
      </x:c>
      <x:c r="G9" s="38" t="n">
        <x:f>'03 Sector Inputs'!Q9</x:f>
        <x:v>144.21605034049728</x:v>
      </x:c>
      <x:c r="H9" t="n">
        <x:f>(1+'02 Assumptions'!$E$19)^((A9-2026)*'02 Assumptions'!$E$20)</x:f>
        <x:v>1</x:v>
      </x:c>
      <x:c r="I9" t="n">
        <x:f>(1+'03 Sector Inputs'!U9)^((A9-2026)/10)</x:f>
        <x:v>1</x:v>
      </x:c>
      <x:c r="J9" t="n">
        <x:f>I9^'02 Assumptions'!$E$21</x:f>
        <x:v>1</x:v>
      </x:c>
      <x:c r="K9" s="32" t="n">
        <x:f>'02 Assumptions'!$E$14</x:f>
        <x:v>0.6</x:v>
      </x:c>
      <x:c r="L9" t="n">
        <x:f>(1+'02 Assumptions'!$E$15)^(A9-2026)</x:f>
        <x:v>1</x:v>
      </x:c>
      <x:c r="M9" t="n">
        <x:f>(1-'02 Assumptions'!$E$16)^(A9-2026)</x:f>
        <x:v>1</x:v>
      </x:c>
      <x:c r="N9" t="n">
        <x:f>IF(M9&gt;0,M9^(-'02 Assumptions'!$E$17),0)</x:f>
        <x:v>1</x:v>
      </x:c>
      <x:c r="O9" t="n">
        <x:f>(1+'02 Assumptions'!$E$18)^(A9-2026)</x:f>
        <x:v>1</x:v>
      </x:c>
      <x:c r="P9" s="40" t="n">
        <x:f>F9*G9*12/1000*(1-K9)*H9*J9*O9</x:f>
        <x:v>0.22299113529794173</x:v>
      </x:c>
      <x:c r="Q9" s="40" t="n">
        <x:f>F9*G9*12/1000*K9*H9*J9*L9*M9*N9</x:f>
        <x:v>0.3344867029469126</x:v>
      </x:c>
      <x:c r="R9" s="40" t="n">
        <x:f>SUM(P9:Q9)</x:f>
        <x:v>0.5574778382448543</x:v>
      </x:c>
      <x:c r="S9" s="40" t="n">
        <x:f>IFERROR('03 Sector Inputs'!M9*(D9/'03 Sector Inputs'!L9)*(1+'02 Assumptions'!$E$19)^(A9-2026),0)</x:f>
        <x:v>517.8</x:v>
      </x:c>
      <x:c r="T9" s="36" t="n">
        <x:f>IFERROR(R9/S9,0)</x:f>
        <x:v>0.0010766277293257132</x:v>
      </x:c>
      <x:c r="U9" s="42" t="n">
        <x:f>S9*(I9-1)</x:f>
        <x:v>0</x:v>
      </x:c>
      <x:c r="V9" t="str">
        <x:f>'03 Sector Inputs'!I9</x:f>
        <x:v>NATIONAL PROXY</x:v>
      </x:c>
      <x:c r="W9" t="n">
        <x:f>P9+F9*G9*12/1000*K9*H9*J9*L9*M9</x:f>
        <x:v>0.5574778382448543</x:v>
      </x:c>
      <x:c r="X9" t="n">
        <x:f>F9*G9*12/1000*H9*((1-K9)*O9+K9*L9*M9*N9)</x:f>
        <x:v>0.5574778382448543</x:v>
      </x:c>
      <x:c r="Y9" t="n">
        <x:f>F9*G9*12/1000*H9*((1-K9)*O9+K9*L9*M9)</x:f>
        <x:v>0.5574778382448543</x:v>
      </x:c>
      <x:c r="Z9" t="str">
        <x:f>IF(OR(F9&lt;0,E9&lt;0,E9&gt;1,R9&lt;0),"CHECK","OK")</x:f>
        <x:v>OK</x:v>
      </x:c>
    </x:row>
    <x:row r="10">
      <x:c r="A10" s="44" t="n">
        <x:f>2026</x:f>
        <x:v>2026</x:v>
      </x:c>
      <x:c r="B10" s="28" t="str">
        <x:f>'03 Sector Inputs'!A10</x:f>
        <x:v>22</x:v>
      </x:c>
      <x:c r="C10" s="28" t="str">
        <x:f>'03 Sector Inputs'!B10</x:f>
        <x:v>Utilities</x:v>
      </x:c>
      <x:c r="D10" t="n">
        <x:f>'03 Sector Inputs'!L10*('03 Sector Inputs'!D10/'03 Sector Inputs'!C10)^((A10-2026)/10)</x:f>
        <x:v>0.6069362216427999</x:v>
      </x:c>
      <x:c r="E10" s="32" t="n">
        <x:f>MIN(0.98,1-(1-'03 Sector Inputs'!K10)*(1-'02 Assumptions'!$E$12)^(A10-2026))</x:f>
        <x:v>0.5613226</x:v>
      </x:c>
      <x:c r="F10" t="n">
        <x:f>D10*E10</x:f>
        <x:v>0.34068701796671275</x:v>
      </x:c>
      <x:c r="G10" s="38" t="n">
        <x:f>'03 Sector Inputs'!Q10</x:f>
        <x:v>143.37803430608625</x:v>
      </x:c>
      <x:c r="H10" t="n">
        <x:f>(1+'02 Assumptions'!$E$19)^((A10-2026)*'02 Assumptions'!$E$20)</x:f>
        <x:v>1</x:v>
      </x:c>
      <x:c r="I10" t="n">
        <x:f>(1+'03 Sector Inputs'!U10)^((A10-2026)/10)</x:f>
        <x:v>1</x:v>
      </x:c>
      <x:c r="J10" t="n">
        <x:f>I10^'02 Assumptions'!$E$21</x:f>
        <x:v>1</x:v>
      </x:c>
      <x:c r="K10" s="32" t="n">
        <x:f>'02 Assumptions'!$E$14</x:f>
        <x:v>0.6</x:v>
      </x:c>
      <x:c r="L10" t="n">
        <x:f>(1+'02 Assumptions'!$E$15)^(A10-2026)</x:f>
        <x:v>1</x:v>
      </x:c>
      <x:c r="M10" t="n">
        <x:f>(1-'02 Assumptions'!$E$16)^(A10-2026)</x:f>
        <x:v>1</x:v>
      </x:c>
      <x:c r="N10" t="n">
        <x:f>IF(M10&gt;0,M10^(-'02 Assumptions'!$E$17),0)</x:f>
        <x:v>1</x:v>
      </x:c>
      <x:c r="O10" t="n">
        <x:f>(1+'02 Assumptions'!$E$18)^(A10-2026)</x:f>
        <x:v>1</x:v>
      </x:c>
      <x:c r="P10" s="40" t="n">
        <x:f>F10*G10*12/1000*(1-K10)*H10*J10*O10</x:f>
        <x:v>0.23446576775841393</x:v>
      </x:c>
      <x:c r="Q10" s="40" t="n">
        <x:f>F10*G10*12/1000*K10*H10*J10*L10*M10*N10</x:f>
        <x:v>0.3516986516376209</x:v>
      </x:c>
      <x:c r="R10" s="40" t="n">
        <x:f>SUM(P10:Q10)</x:f>
        <x:v>0.5861644193960348</x:v>
      </x:c>
      <x:c r="S10" s="40" t="n">
        <x:f>IFERROR('03 Sector Inputs'!M10*(D10/'03 Sector Inputs'!L10)*(1+'02 Assumptions'!$E$19)^(A10-2026),0)</x:f>
        <x:v>531.9</x:v>
      </x:c>
      <x:c r="T10" s="36" t="n">
        <x:f>IFERROR(R10/S10,0)</x:f>
        <x:v>0.0011020199650235661</x:v>
      </x:c>
      <x:c r="U10" s="42" t="n">
        <x:f>S10*(I10-1)</x:f>
        <x:v>0</x:v>
      </x:c>
      <x:c r="V10" t="str">
        <x:f>'03 Sector Inputs'!I10</x:f>
        <x:v>NATIONAL PROXY</x:v>
      </x:c>
      <x:c r="W10" t="n">
        <x:f>P10+F10*G10*12/1000*K10*H10*J10*L10*M10</x:f>
        <x:v>0.5861644193960348</x:v>
      </x:c>
      <x:c r="X10" t="n">
        <x:f>F10*G10*12/1000*H10*((1-K10)*O10+K10*L10*M10*N10)</x:f>
        <x:v>0.5861644193960348</x:v>
      </x:c>
      <x:c r="Y10" t="n">
        <x:f>F10*G10*12/1000*H10*((1-K10)*O10+K10*L10*M10)</x:f>
        <x:v>0.5861644193960348</x:v>
      </x:c>
      <x:c r="Z10" t="str">
        <x:f>IF(OR(F10&lt;0,E10&lt;0,E10&gt;1,R10&lt;0),"CHECK","OK")</x:f>
        <x:v>OK</x:v>
      </x:c>
    </x:row>
    <x:row r="11">
      <x:c r="A11" s="44" t="n">
        <x:f>2026</x:f>
        <x:v>2026</x:v>
      </x:c>
      <x:c r="B11" s="28" t="str">
        <x:f>'03 Sector Inputs'!A11</x:f>
        <x:v>23</x:v>
      </x:c>
      <x:c r="C11" s="28" t="str">
        <x:f>'03 Sector Inputs'!B11</x:f>
        <x:v>Construction</x:v>
      </x:c>
      <x:c r="D11" t="n">
        <x:f>'03 Sector Inputs'!L11*('03 Sector Inputs'!D11/'03 Sector Inputs'!C11)^((A11-2026)/10)</x:f>
        <x:v>8.306879704576057</x:v>
      </x:c>
      <x:c r="E11" s="32" t="n">
        <x:f>MIN(0.98,1-(1-'03 Sector Inputs'!K11)*(1-'02 Assumptions'!$E$12)^(A11-2026))</x:f>
        <x:v>0.4217687</x:v>
      </x:c>
      <x:c r="F11" t="n">
        <x:f>D11*E11</x:f>
        <x:v>3.5035818540554273</x:v>
      </x:c>
      <x:c r="G11" s="38" t="n">
        <x:f>'03 Sector Inputs'!Q11</x:f>
        <x:v>102.71551089956172</x:v>
      </x:c>
      <x:c r="H11" t="n">
        <x:f>(1+'02 Assumptions'!$E$19)^((A11-2026)*'02 Assumptions'!$E$20)</x:f>
        <x:v>1</x:v>
      </x:c>
      <x:c r="I11" t="n">
        <x:f>(1+'03 Sector Inputs'!U11)^((A11-2026)/10)</x:f>
        <x:v>1</x:v>
      </x:c>
      <x:c r="J11" t="n">
        <x:f>I11^'02 Assumptions'!$E$21</x:f>
        <x:v>1</x:v>
      </x:c>
      <x:c r="K11" s="32" t="n">
        <x:f>'02 Assumptions'!$E$14</x:f>
        <x:v>0.6</x:v>
      </x:c>
      <x:c r="L11" t="n">
        <x:f>(1+'02 Assumptions'!$E$15)^(A11-2026)</x:f>
        <x:v>1</x:v>
      </x:c>
      <x:c r="M11" t="n">
        <x:f>(1-'02 Assumptions'!$E$16)^(A11-2026)</x:f>
        <x:v>1</x:v>
      </x:c>
      <x:c r="N11" t="n">
        <x:f>IF(M11&gt;0,M11^(-'02 Assumptions'!$E$17),0)</x:f>
        <x:v>1</x:v>
      </x:c>
      <x:c r="O11" t="n">
        <x:f>(1+'02 Assumptions'!$E$18)^(A11-2026)</x:f>
        <x:v>1</x:v>
      </x:c>
      <x:c r="P11" s="40" t="n">
        <x:f>F11*G11*12/1000*(1-K11)*H11*J11*O11</x:f>
        <x:v>1.7273865605651375</x:v>
      </x:c>
      <x:c r="Q11" s="40" t="n">
        <x:f>F11*G11*12/1000*K11*H11*J11*L11*M11*N11</x:f>
        <x:v>2.591079840847706</x:v>
      </x:c>
      <x:c r="R11" s="40" t="n">
        <x:f>SUM(P11:Q11)</x:f>
        <x:v>4.318466401412843</x:v>
      </x:c>
      <x:c r="S11" s="40" t="n">
        <x:f>IFERROR('03 Sector Inputs'!M11*(D11/'03 Sector Inputs'!L11)*(1+'02 Assumptions'!$E$19)^(A11-2026),0)</x:f>
        <x:v>1373.7</x:v>
      </x:c>
      <x:c r="T11" s="36" t="n">
        <x:f>IFERROR(R11/S11,0)</x:f>
        <x:v>0.0031436750392464462</x:v>
      </x:c>
      <x:c r="U11" s="42" t="n">
        <x:f>S11*(I11-1)</x:f>
        <x:v>0</x:v>
      </x:c>
      <x:c r="V11" t="str">
        <x:f>'03 Sector Inputs'!I11</x:f>
        <x:v>DIRECT RAMP</x:v>
      </x:c>
      <x:c r="W11" t="n">
        <x:f>P11+F11*G11*12/1000*K11*H11*J11*L11*M11</x:f>
        <x:v>4.318466401412843</x:v>
      </x:c>
      <x:c r="X11" t="n">
        <x:f>F11*G11*12/1000*H11*((1-K11)*O11+K11*L11*M11*N11)</x:f>
        <x:v>4.318466401412843</x:v>
      </x:c>
      <x:c r="Y11" t="n">
        <x:f>F11*G11*12/1000*H11*((1-K11)*O11+K11*L11*M11)</x:f>
        <x:v>4.318466401412843</x:v>
      </x:c>
      <x:c r="Z11" t="str">
        <x:f>IF(OR(F11&lt;0,E11&lt;0,E11&gt;1,R11&lt;0),"CHECK","OK")</x:f>
        <x:v>OK</x:v>
      </x:c>
    </x:row>
    <x:row r="12">
      <x:c r="A12" s="44" t="n">
        <x:f>2026</x:f>
        <x:v>2026</x:v>
      </x:c>
      <x:c r="B12" s="28" t="str">
        <x:f>'03 Sector Inputs'!A12</x:f>
        <x:v>31-33</x:v>
      </x:c>
      <x:c r="C12" s="28" t="str">
        <x:f>'03 Sector Inputs'!B12</x:f>
        <x:v>Manufacturing</x:v>
      </x:c>
      <x:c r="D12" t="n">
        <x:f>'03 Sector Inputs'!L12*('03 Sector Inputs'!D12/'03 Sector Inputs'!C12)^((A12-2026)/10)</x:f>
        <x:v>12.640891550423058</x:v>
      </x:c>
      <x:c r="E12" s="32" t="n">
        <x:f>MIN(0.98,1-(1-'03 Sector Inputs'!K12)*(1-'02 Assumptions'!$E$12)^(A12-2026))</x:f>
        <x:v>0.6105223</x:v>
      </x:c>
      <x:c r="F12" t="n">
        <x:f>D12*E12</x:f>
        <x:v>7.717546183414851</x:v>
      </x:c>
      <x:c r="G12" s="38" t="n">
        <x:f>'03 Sector Inputs'!Q12</x:f>
        <x:v>111.62191536298072</x:v>
      </x:c>
      <x:c r="H12" t="n">
        <x:f>(1+'02 Assumptions'!$E$19)^((A12-2026)*'02 Assumptions'!$E$20)</x:f>
        <x:v>1</x:v>
      </x:c>
      <x:c r="I12" t="n">
        <x:f>(1+'03 Sector Inputs'!U12)^((A12-2026)/10)</x:f>
        <x:v>1</x:v>
      </x:c>
      <x:c r="J12" t="n">
        <x:f>I12^'02 Assumptions'!$E$21</x:f>
        <x:v>1</x:v>
      </x:c>
      <x:c r="K12" s="32" t="n">
        <x:f>'02 Assumptions'!$E$14</x:f>
        <x:v>0.6</x:v>
      </x:c>
      <x:c r="L12" t="n">
        <x:f>(1+'02 Assumptions'!$E$15)^(A12-2026)</x:f>
        <x:v>1</x:v>
      </x:c>
      <x:c r="M12" t="n">
        <x:f>(1-'02 Assumptions'!$E$16)^(A12-2026)</x:f>
        <x:v>1</x:v>
      </x:c>
      <x:c r="N12" t="n">
        <x:f>IF(M12&gt;0,M12^(-'02 Assumptions'!$E$17),0)</x:f>
        <x:v>1</x:v>
      </x:c>
      <x:c r="O12" t="n">
        <x:f>(1+'02 Assumptions'!$E$18)^(A12-2026)</x:f>
        <x:v>1</x:v>
      </x:c>
      <x:c r="P12" s="40" t="n">
        <x:f>F12*G12*12/1000*(1-K12)*H12*J12*O12</x:f>
        <x:v>4.134946977096131</x:v>
      </x:c>
      <x:c r="Q12" s="40" t="n">
        <x:f>F12*G12*12/1000*K12*H12*J12*L12*M12*N12</x:f>
        <x:v>6.202420465644197</x:v>
      </x:c>
      <x:c r="R12" s="40" t="n">
        <x:f>SUM(P12:Q12)</x:f>
        <x:v>10.337367442740328</x:v>
      </x:c>
      <x:c r="S12" s="40" t="n">
        <x:f>IFERROR('03 Sector Inputs'!M12*(D12/'03 Sector Inputs'!L12)*(1+'02 Assumptions'!$E$19)^(A12-2026),0)</x:f>
        <x:v>3168.1</x:v>
      </x:c>
      <x:c r="T12" s="36" t="n">
        <x:f>IFERROR(R12/S12,0)</x:f>
        <x:v>0.0032629549075914046</x:v>
      </x:c>
      <x:c r="U12" s="42" t="n">
        <x:f>S12*(I12-1)</x:f>
        <x:v>0</x:v>
      </x:c>
      <x:c r="V12" t="str">
        <x:f>'03 Sector Inputs'!I12</x:f>
        <x:v>DIRECT RAMP</x:v>
      </x:c>
      <x:c r="W12" t="n">
        <x:f>P12+F12*G12*12/1000*K12*H12*J12*L12*M12</x:f>
        <x:v>10.337367442740328</x:v>
      </x:c>
      <x:c r="X12" t="n">
        <x:f>F12*G12*12/1000*H12*((1-K12)*O12+K12*L12*M12*N12)</x:f>
        <x:v>10.337367442740328</x:v>
      </x:c>
      <x:c r="Y12" t="n">
        <x:f>F12*G12*12/1000*H12*((1-K12)*O12+K12*L12*M12)</x:f>
        <x:v>10.337367442740328</x:v>
      </x:c>
      <x:c r="Z12" t="str">
        <x:f>IF(OR(F12&lt;0,E12&lt;0,E12&gt;1,R12&lt;0),"CHECK","OK")</x:f>
        <x:v>OK</x:v>
      </x:c>
    </x:row>
    <x:row r="13">
      <x:c r="A13" s="44" t="n">
        <x:f>2026</x:f>
        <x:v>2026</x:v>
      </x:c>
      <x:c r="B13" s="28" t="str">
        <x:f>'03 Sector Inputs'!A13</x:f>
        <x:v>42</x:v>
      </x:c>
      <x:c r="C13" s="28" t="str">
        <x:f>'03 Sector Inputs'!B13</x:f>
        <x:v>Wholesale Trade</x:v>
      </x:c>
      <x:c r="D13" t="n">
        <x:f>'03 Sector Inputs'!L13*('03 Sector Inputs'!D13/'03 Sector Inputs'!C13)^((A13-2026)/10)</x:f>
        <x:v>6.071905092422349</x:v>
      </x:c>
      <x:c r="E13" s="32" t="n">
        <x:f>MIN(0.98,1-(1-'03 Sector Inputs'!K13)*(1-'02 Assumptions'!$E$12)^(A13-2026))</x:f>
        <x:v>0.5613226</x:v>
      </x:c>
      <x:c r="F13" t="n">
        <x:f>D13*E13</x:f>
        <x:v>3.4082975534317534</x:v>
      </x:c>
      <x:c r="G13" s="38" t="n">
        <x:f>'03 Sector Inputs'!Q13</x:f>
        <x:v>118.90648391909023</x:v>
      </x:c>
      <x:c r="H13" t="n">
        <x:f>(1+'02 Assumptions'!$E$19)^((A13-2026)*'02 Assumptions'!$E$20)</x:f>
        <x:v>1</x:v>
      </x:c>
      <x:c r="I13" t="n">
        <x:f>(1+'03 Sector Inputs'!U13)^((A13-2026)/10)</x:f>
        <x:v>1</x:v>
      </x:c>
      <x:c r="J13" t="n">
        <x:f>I13^'02 Assumptions'!$E$21</x:f>
        <x:v>1</x:v>
      </x:c>
      <x:c r="K13" s="32" t="n">
        <x:f>'02 Assumptions'!$E$14</x:f>
        <x:v>0.6</x:v>
      </x:c>
      <x:c r="L13" t="n">
        <x:f>(1+'02 Assumptions'!$E$15)^(A13-2026)</x:f>
        <x:v>1</x:v>
      </x:c>
      <x:c r="M13" t="n">
        <x:f>(1-'02 Assumptions'!$E$16)^(A13-2026)</x:f>
        <x:v>1</x:v>
      </x:c>
      <x:c r="N13" t="n">
        <x:f>IF(M13&gt;0,M13^(-'02 Assumptions'!$E$17),0)</x:f>
        <x:v>1</x:v>
      </x:c>
      <x:c r="O13" t="n">
        <x:f>(1+'02 Assumptions'!$E$18)^(A13-2026)</x:f>
        <x:v>1</x:v>
      </x:c>
      <x:c r="P13" s="40" t="n">
        <x:f>F13*G13*12/1000*(1-K13)*H13*J13*O13</x:f>
        <x:v>1.9452896554973156</x:v>
      </x:c>
      <x:c r="Q13" s="40" t="n">
        <x:f>F13*G13*12/1000*K13*H13*J13*L13*M13*N13</x:f>
        <x:v>2.9179344832459733</x:v>
      </x:c>
      <x:c r="R13" s="40" t="n">
        <x:f>SUM(P13:Q13)</x:f>
        <x:v>4.863224138743289</x:v>
      </x:c>
      <x:c r="S13" s="40" t="n">
        <x:f>IFERROR('03 Sector Inputs'!M13*(D13/'03 Sector Inputs'!L13)*(1+'02 Assumptions'!$E$19)^(A13-2026),0)</x:f>
        <x:v>2087.5</x:v>
      </x:c>
      <x:c r="T13" s="36" t="n">
        <x:f>IFERROR(R13/S13,0)</x:f>
        <x:v>0.0023296882101764256</x:v>
      </x:c>
      <x:c r="U13" s="42" t="n">
        <x:f>S13*(I13-1)</x:f>
        <x:v>0</x:v>
      </x:c>
      <x:c r="V13" t="str">
        <x:f>'03 Sector Inputs'!I13</x:f>
        <x:v>NATIONAL PROXY</x:v>
      </x:c>
      <x:c r="W13" t="n">
        <x:f>P13+F13*G13*12/1000*K13*H13*J13*L13*M13</x:f>
        <x:v>4.863224138743289</x:v>
      </x:c>
      <x:c r="X13" t="n">
        <x:f>F13*G13*12/1000*H13*((1-K13)*O13+K13*L13*M13*N13)</x:f>
        <x:v>4.863224138743289</x:v>
      </x:c>
      <x:c r="Y13" t="n">
        <x:f>F13*G13*12/1000*H13*((1-K13)*O13+K13*L13*M13)</x:f>
        <x:v>4.863224138743289</x:v>
      </x:c>
      <x:c r="Z13" t="str">
        <x:f>IF(OR(F13&lt;0,E13&lt;0,E13&gt;1,R13&lt;0),"CHECK","OK")</x:f>
        <x:v>OK</x:v>
      </x:c>
    </x:row>
    <x:row r="14">
      <x:c r="A14" s="44" t="n">
        <x:f>2026</x:f>
        <x:v>2026</x:v>
      </x:c>
      <x:c r="B14" s="28" t="str">
        <x:f>'03 Sector Inputs'!A14</x:f>
        <x:v>44-45</x:v>
      </x:c>
      <x:c r="C14" s="28" t="str">
        <x:f>'03 Sector Inputs'!B14</x:f>
        <x:v>Retail Trade</x:v>
      </x:c>
      <x:c r="D14" t="n">
        <x:f>'03 Sector Inputs'!L14*('03 Sector Inputs'!D14/'03 Sector Inputs'!C14)^((A14-2026)/10)</x:f>
        <x:v>15.43814779354277</x:v>
      </x:c>
      <x:c r="E14" s="32" t="n">
        <x:f>MIN(0.98,1-(1-'03 Sector Inputs'!K14)*(1-'02 Assumptions'!$E$12)^(A14-2026))</x:f>
        <x:v>0.48774509999999993</x:v>
      </x:c>
      <x:c r="F14" t="n">
        <x:f>D14*E14</x:f>
        <x:v>7.529880939376296</x:v>
      </x:c>
      <x:c r="G14" s="38" t="n">
        <x:f>'03 Sector Inputs'!Q14</x:f>
        <x:v>96.49221383995867</x:v>
      </x:c>
      <x:c r="H14" t="n">
        <x:f>(1+'02 Assumptions'!$E$19)^((A14-2026)*'02 Assumptions'!$E$20)</x:f>
        <x:v>1</x:v>
      </x:c>
      <x:c r="I14" t="n">
        <x:f>(1+'03 Sector Inputs'!U14)^((A14-2026)/10)</x:f>
        <x:v>1</x:v>
      </x:c>
      <x:c r="J14" t="n">
        <x:f>I14^'02 Assumptions'!$E$21</x:f>
        <x:v>1</x:v>
      </x:c>
      <x:c r="K14" s="32" t="n">
        <x:f>'02 Assumptions'!$E$14</x:f>
        <x:v>0.6</x:v>
      </x:c>
      <x:c r="L14" t="n">
        <x:f>(1+'02 Assumptions'!$E$15)^(A14-2026)</x:f>
        <x:v>1</x:v>
      </x:c>
      <x:c r="M14" t="n">
        <x:f>(1-'02 Assumptions'!$E$16)^(A14-2026)</x:f>
        <x:v>1</x:v>
      </x:c>
      <x:c r="N14" t="n">
        <x:f>IF(M14&gt;0,M14^(-'02 Assumptions'!$E$17),0)</x:f>
        <x:v>1</x:v>
      </x:c>
      <x:c r="O14" t="n">
        <x:f>(1+'02 Assumptions'!$E$18)^(A14-2026)</x:f>
        <x:v>1</x:v>
      </x:c>
      <x:c r="P14" s="40" t="n">
        <x:f>F14*G14*12/1000*(1-K14)*H14*J14*O14</x:f>
        <x:v>3.4875594326002872</x:v>
      </x:c>
      <x:c r="Q14" s="40" t="n">
        <x:f>F14*G14*12/1000*K14*H14*J14*L14*M14*N14</x:f>
        <x:v>5.23133914890043</x:v>
      </x:c>
      <x:c r="R14" s="40" t="n">
        <x:f>SUM(P14:Q14)</x:f>
        <x:v>8.718898581500717</x:v>
      </x:c>
      <x:c r="S14" s="40" t="n">
        <x:f>IFERROR('03 Sector Inputs'!M14*(D14/'03 Sector Inputs'!L14)*(1+'02 Assumptions'!$E$19)^(A14-2026),0)</x:f>
        <x:v>1867.8</x:v>
      </x:c>
      <x:c r="T14" s="36" t="n">
        <x:f>IFERROR(R14/S14,0)</x:f>
        <x:v>0.004668004380287353</x:v>
      </x:c>
      <x:c r="U14" s="42" t="n">
        <x:f>S14*(I14-1)</x:f>
        <x:v>0</x:v>
      </x:c>
      <x:c r="V14" t="str">
        <x:f>'03 Sector Inputs'!I14</x:f>
        <x:v>DIRECT RAMP</x:v>
      </x:c>
      <x:c r="W14" t="n">
        <x:f>P14+F14*G14*12/1000*K14*H14*J14*L14*M14</x:f>
        <x:v>8.718898581500717</x:v>
      </x:c>
      <x:c r="X14" t="n">
        <x:f>F14*G14*12/1000*H14*((1-K14)*O14+K14*L14*M14*N14)</x:f>
        <x:v>8.718898581500717</x:v>
      </x:c>
      <x:c r="Y14" t="n">
        <x:f>F14*G14*12/1000*H14*((1-K14)*O14+K14*L14*M14)</x:f>
        <x:v>8.718898581500717</x:v>
      </x:c>
      <x:c r="Z14" t="str">
        <x:f>IF(OR(F14&lt;0,E14&lt;0,E14&gt;1,R14&lt;0),"CHECK","OK")</x:f>
        <x:v>OK</x:v>
      </x:c>
    </x:row>
    <x:row r="15">
      <x:c r="A15" s="44" t="n">
        <x:f>2026</x:f>
        <x:v>2026</x:v>
      </x:c>
      <x:c r="B15" s="28" t="str">
        <x:f>'03 Sector Inputs'!A15</x:f>
        <x:v>48-49</x:v>
      </x:c>
      <x:c r="C15" s="28" t="str">
        <x:f>'03 Sector Inputs'!B15</x:f>
        <x:v>Transportation and Warehousing</x:v>
      </x:c>
      <x:c r="D15" t="n">
        <x:f>'03 Sector Inputs'!L15*('03 Sector Inputs'!D15/'03 Sector Inputs'!C15)^((A15-2026)/10)</x:f>
        <x:v>6.3269471567058</x:v>
      </x:c>
      <x:c r="E15" s="32" t="n">
        <x:f>MIN(0.98,1-(1-'03 Sector Inputs'!K15)*(1-'02 Assumptions'!$E$12)^(A15-2026))</x:f>
        <x:v>0.5613226</x:v>
      </x:c>
      <x:c r="F15" t="n">
        <x:f>D15*E15</x:f>
        <x:v>3.551458428064707</x:v>
      </x:c>
      <x:c r="G15" s="38" t="n">
        <x:f>'03 Sector Inputs'!Q15</x:f>
        <x:v>101.76066164601345</x:v>
      </x:c>
      <x:c r="H15" t="n">
        <x:f>(1+'02 Assumptions'!$E$19)^((A15-2026)*'02 Assumptions'!$E$20)</x:f>
        <x:v>1</x:v>
      </x:c>
      <x:c r="I15" t="n">
        <x:f>(1+'03 Sector Inputs'!U15)^((A15-2026)/10)</x:f>
        <x:v>1</x:v>
      </x:c>
      <x:c r="J15" t="n">
        <x:f>I15^'02 Assumptions'!$E$21</x:f>
        <x:v>1</x:v>
      </x:c>
      <x:c r="K15" s="32" t="n">
        <x:f>'02 Assumptions'!$E$14</x:f>
        <x:v>0.6</x:v>
      </x:c>
      <x:c r="L15" t="n">
        <x:f>(1+'02 Assumptions'!$E$15)^(A15-2026)</x:f>
        <x:v>1</x:v>
      </x:c>
      <x:c r="M15" t="n">
        <x:f>(1-'02 Assumptions'!$E$16)^(A15-2026)</x:f>
        <x:v>1</x:v>
      </x:c>
      <x:c r="N15" t="n">
        <x:f>IF(M15&gt;0,M15^(-'02 Assumptions'!$E$17),0)</x:f>
        <x:v>1</x:v>
      </x:c>
      <x:c r="O15" t="n">
        <x:f>(1+'02 Assumptions'!$E$18)^(A15-2026)</x:f>
        <x:v>1</x:v>
      </x:c>
      <x:c r="P15" s="40" t="n">
        <x:f>F15*G15*12/1000*(1-K15)*H15*J15*O15</x:f>
        <x:v>1.7347140453512422</x:v>
      </x:c>
      <x:c r="Q15" s="40" t="n">
        <x:f>F15*G15*12/1000*K15*H15*J15*L15*M15*N15</x:f>
        <x:v>2.602071068026863</x:v>
      </x:c>
      <x:c r="R15" s="40" t="n">
        <x:f>SUM(P15:Q15)</x:f>
        <x:v>4.336785113378105</x:v>
      </x:c>
      <x:c r="S15" s="40" t="n">
        <x:f>IFERROR('03 Sector Inputs'!M15*(D15/'03 Sector Inputs'!L15)*(1+'02 Assumptions'!$E$19)^(A15-2026),0)</x:f>
        <x:v>998.5449999999998</x:v>
      </x:c>
      <x:c r="T15" s="36" t="n">
        <x:f>IFERROR(R15/S15,0)</x:f>
        <x:v>0.004343104330178515</x:v>
      </x:c>
      <x:c r="U15" s="42" t="n">
        <x:f>S15*(I15-1)</x:f>
        <x:v>0</x:v>
      </x:c>
      <x:c r="V15" t="str">
        <x:f>'03 Sector Inputs'!I15</x:f>
        <x:v>NATIONAL PROXY</x:v>
      </x:c>
      <x:c r="W15" t="n">
        <x:f>P15+F15*G15*12/1000*K15*H15*J15*L15*M15</x:f>
        <x:v>4.336785113378105</x:v>
      </x:c>
      <x:c r="X15" t="n">
        <x:f>F15*G15*12/1000*H15*((1-K15)*O15+K15*L15*M15*N15)</x:f>
        <x:v>4.336785113378105</x:v>
      </x:c>
      <x:c r="Y15" t="n">
        <x:f>F15*G15*12/1000*H15*((1-K15)*O15+K15*L15*M15)</x:f>
        <x:v>4.336785113378105</x:v>
      </x:c>
      <x:c r="Z15" t="str">
        <x:f>IF(OR(F15&lt;0,E15&lt;0,E15&gt;1,R15&lt;0),"CHECK","OK")</x:f>
        <x:v>OK</x:v>
      </x:c>
    </x:row>
    <x:row r="16">
      <x:c r="A16" s="44" t="n">
        <x:f>2026</x:f>
        <x:v>2026</x:v>
      </x:c>
      <x:c r="B16" s="28" t="str">
        <x:f>'03 Sector Inputs'!A16</x:f>
        <x:v>51</x:v>
      </x:c>
      <x:c r="C16" s="28" t="str">
        <x:f>'03 Sector Inputs'!B16</x:f>
        <x:v>Information</x:v>
      </x:c>
      <x:c r="D16" t="n">
        <x:f>'03 Sector Inputs'!L16*('03 Sector Inputs'!D16/'03 Sector Inputs'!C16)^((A16-2026)/10)</x:f>
        <x:v>2.876653021264812</x:v>
      </x:c>
      <x:c r="E16" s="32" t="n">
        <x:f>MIN(0.98,1-(1-'03 Sector Inputs'!K16)*(1-'02 Assumptions'!$E$12)^(A16-2026))</x:f>
        <x:v>0.8092331</x:v>
      </x:c>
      <x:c r="F16" t="n">
        <x:f>D16*E16</x:f>
        <x:v>2.3278828420224897</x:v>
      </x:c>
      <x:c r="G16" s="38" t="n">
        <x:f>'03 Sector Inputs'!Q16</x:f>
        <x:v>135.72518396753694</x:v>
      </x:c>
      <x:c r="H16" t="n">
        <x:f>(1+'02 Assumptions'!$E$19)^((A16-2026)*'02 Assumptions'!$E$20)</x:f>
        <x:v>1</x:v>
      </x:c>
      <x:c r="I16" t="n">
        <x:f>(1+'03 Sector Inputs'!U16)^((A16-2026)/10)</x:f>
        <x:v>1</x:v>
      </x:c>
      <x:c r="J16" t="n">
        <x:f>I16^'02 Assumptions'!$E$21</x:f>
        <x:v>1</x:v>
      </x:c>
      <x:c r="K16" s="32" t="n">
        <x:f>'02 Assumptions'!$E$14</x:f>
        <x:v>0.6</x:v>
      </x:c>
      <x:c r="L16" t="n">
        <x:f>(1+'02 Assumptions'!$E$15)^(A16-2026)</x:f>
        <x:v>1</x:v>
      </x:c>
      <x:c r="M16" t="n">
        <x:f>(1-'02 Assumptions'!$E$16)^(A16-2026)</x:f>
        <x:v>1</x:v>
      </x:c>
      <x:c r="N16" t="n">
        <x:f>IF(M16&gt;0,M16^(-'02 Assumptions'!$E$17),0)</x:f>
        <x:v>1</x:v>
      </x:c>
      <x:c r="O16" t="n">
        <x:f>(1+'02 Assumptions'!$E$18)^(A16-2026)</x:f>
        <x:v>1</x:v>
      </x:c>
      <x:c r="P16" s="40" t="n">
        <x:f>F16*G16*12/1000*(1-K16)*H16*J16*O16</x:f>
        <x:v>1.5165711695442008</x:v>
      </x:c>
      <x:c r="Q16" s="40" t="n">
        <x:f>F16*G16*12/1000*K16*H16*J16*L16*M16*N16</x:f>
        <x:v>2.274856754316301</x:v>
      </x:c>
      <x:c r="R16" s="40" t="n">
        <x:f>SUM(P16:Q16)</x:f>
        <x:v>3.791427923860502</x:v>
      </x:c>
      <x:c r="S16" s="40" t="n">
        <x:f>IFERROR('03 Sector Inputs'!M16*(D16/'03 Sector Inputs'!L16)*(1+'02 Assumptions'!$E$19)^(A16-2026),0)</x:f>
        <x:v>1916.3</x:v>
      </x:c>
      <x:c r="T16" s="36" t="n">
        <x:f>IFERROR(R16/S16,0)</x:f>
        <x:v>0.0019785148065858695</x:v>
      </x:c>
      <x:c r="U16" s="42" t="n">
        <x:f>S16*(I16-1)</x:f>
        <x:v>0</x:v>
      </x:c>
      <x:c r="V16" t="str">
        <x:f>'03 Sector Inputs'!I16</x:f>
        <x:v>DIRECT RAMP</x:v>
      </x:c>
      <x:c r="W16" t="n">
        <x:f>P16+F16*G16*12/1000*K16*H16*J16*L16*M16</x:f>
        <x:v>3.791427923860502</x:v>
      </x:c>
      <x:c r="X16" t="n">
        <x:f>F16*G16*12/1000*H16*((1-K16)*O16+K16*L16*M16*N16)</x:f>
        <x:v>3.791427923860502</x:v>
      </x:c>
      <x:c r="Y16" t="n">
        <x:f>F16*G16*12/1000*H16*((1-K16)*O16+K16*L16*M16)</x:f>
        <x:v>3.791427923860502</x:v>
      </x:c>
      <x:c r="Z16" t="str">
        <x:f>IF(OR(F16&lt;0,E16&lt;0,E16&gt;1,R16&lt;0),"CHECK","OK")</x:f>
        <x:v>OK</x:v>
      </x:c>
    </x:row>
    <x:row r="17">
      <x:c r="A17" s="44" t="n">
        <x:f>2026</x:f>
        <x:v>2026</x:v>
      </x:c>
      <x:c r="B17" s="28" t="str">
        <x:f>'03 Sector Inputs'!A17</x:f>
        <x:v>52</x:v>
      </x:c>
      <x:c r="C17" s="28" t="str">
        <x:f>'03 Sector Inputs'!B17</x:f>
        <x:v>Finance and Insurance</x:v>
      </x:c>
      <x:c r="D17" t="n">
        <x:f>'03 Sector Inputs'!L17*('03 Sector Inputs'!D17/'03 Sector Inputs'!C17)^((A17-2026)/10)</x:f>
        <x:v>6.416844627739605</x:v>
      </x:c>
      <x:c r="E17" s="32" t="n">
        <x:f>MIN(0.98,1-(1-'03 Sector Inputs'!K17)*(1-'02 Assumptions'!$E$12)^(A17-2026))</x:f>
        <x:v>0.7370507</x:v>
      </x:c>
      <x:c r="F17" t="n">
        <x:f>D17*E17</x:f>
        <x:v>4.729539824666715</x:v>
      </x:c>
      <x:c r="G17" s="38" t="n">
        <x:f>'03 Sector Inputs'!Q17</x:f>
        <x:v>124.6049898658694</x:v>
      </x:c>
      <x:c r="H17" t="n">
        <x:f>(1+'02 Assumptions'!$E$19)^((A17-2026)*'02 Assumptions'!$E$20)</x:f>
        <x:v>1</x:v>
      </x:c>
      <x:c r="I17" t="n">
        <x:f>(1+'03 Sector Inputs'!U17)^((A17-2026)/10)</x:f>
        <x:v>1</x:v>
      </x:c>
      <x:c r="J17" t="n">
        <x:f>I17^'02 Assumptions'!$E$21</x:f>
        <x:v>1</x:v>
      </x:c>
      <x:c r="K17" s="32" t="n">
        <x:f>'02 Assumptions'!$E$14</x:f>
        <x:v>0.6</x:v>
      </x:c>
      <x:c r="L17" t="n">
        <x:f>(1+'02 Assumptions'!$E$15)^(A17-2026)</x:f>
        <x:v>1</x:v>
      </x:c>
      <x:c r="M17" t="n">
        <x:f>(1-'02 Assumptions'!$E$16)^(A17-2026)</x:f>
        <x:v>1</x:v>
      </x:c>
      <x:c r="N17" t="n">
        <x:f>IF(M17&gt;0,M17^(-'02 Assumptions'!$E$17),0)</x:f>
        <x:v>1</x:v>
      </x:c>
      <x:c r="O17" t="n">
        <x:f>(1+'02 Assumptions'!$E$18)^(A17-2026)</x:f>
        <x:v>1</x:v>
      </x:c>
      <x:c r="P17" s="40" t="n">
        <x:f>F17*G17*12/1000*(1-K17)*H17*J17*O17</x:f>
        <x:v>2.828756457229545</x:v>
      </x:c>
      <x:c r="Q17" s="40" t="n">
        <x:f>F17*G17*12/1000*K17*H17*J17*L17*M17*N17</x:f>
        <x:v>4.243134685844318</x:v>
      </x:c>
      <x:c r="R17" s="40" t="n">
        <x:f>SUM(P17:Q17)</x:f>
        <x:v>7.071891143073863</x:v>
      </x:c>
      <x:c r="S17" s="40" t="n">
        <x:f>IFERROR('03 Sector Inputs'!M17*(D17/'03 Sector Inputs'!L17)*(1+'02 Assumptions'!$E$19)^(A17-2026),0)</x:f>
        <x:v>2787.87</x:v>
      </x:c>
      <x:c r="T17" s="36" t="n">
        <x:f>IFERROR(R17/S17,0)</x:f>
        <x:v>0.0025366646016757822</x:v>
      </x:c>
      <x:c r="U17" s="42" t="n">
        <x:f>S17*(I17-1)</x:f>
        <x:v>0</x:v>
      </x:c>
      <x:c r="V17" t="str">
        <x:f>'03 Sector Inputs'!I17</x:f>
        <x:v>DIRECT RAMP</x:v>
      </x:c>
      <x:c r="W17" t="n">
        <x:f>P17+F17*G17*12/1000*K17*H17*J17*L17*M17</x:f>
        <x:v>7.071891143073863</x:v>
      </x:c>
      <x:c r="X17" t="n">
        <x:f>F17*G17*12/1000*H17*((1-K17)*O17+K17*L17*M17*N17)</x:f>
        <x:v>7.071891143073863</x:v>
      </x:c>
      <x:c r="Y17" t="n">
        <x:f>F17*G17*12/1000*H17*((1-K17)*O17+K17*L17*M17)</x:f>
        <x:v>7.071891143073863</x:v>
      </x:c>
      <x:c r="Z17" t="str">
        <x:f>IF(OR(F17&lt;0,E17&lt;0,E17&gt;1,R17&lt;0),"CHECK","OK")</x:f>
        <x:v>OK</x:v>
      </x:c>
    </x:row>
    <x:row r="18">
      <x:c r="A18" s="44" t="n">
        <x:f>2026</x:f>
        <x:v>2026</x:v>
      </x:c>
      <x:c r="B18" s="28" t="str">
        <x:f>'03 Sector Inputs'!A18</x:f>
        <x:v>53</x:v>
      </x:c>
      <x:c r="C18" s="28" t="str">
        <x:f>'03 Sector Inputs'!B18</x:f>
        <x:v>Real Estate and Rental and Leasing</x:v>
      </x:c>
      <x:c r="D18" t="n">
        <x:f>'03 Sector Inputs'!L18*('03 Sector Inputs'!D18/'03 Sector Inputs'!C18)^((A18-2026)/10)</x:f>
        <x:v>2.4648764480604</x:v>
      </x:c>
      <x:c r="E18" s="32" t="n">
        <x:f>MIN(0.98,1-(1-'03 Sector Inputs'!K18)*(1-'02 Assumptions'!$E$12)^(A18-2026))</x:f>
        <x:v>0.5613226</x:v>
      </x:c>
      <x:c r="F18" t="n">
        <x:f>D18*E18</x:f>
        <x:v>1.383590856504029</x:v>
      </x:c>
      <x:c r="G18" s="38" t="n">
        <x:f>'03 Sector Inputs'!Q18</x:f>
        <x:v>134.08799266238282</x:v>
      </x:c>
      <x:c r="H18" t="n">
        <x:f>(1+'02 Assumptions'!$E$19)^((A18-2026)*'02 Assumptions'!$E$20)</x:f>
        <x:v>1</x:v>
      </x:c>
      <x:c r="I18" t="n">
        <x:f>(1+'03 Sector Inputs'!U18)^((A18-2026)/10)</x:f>
        <x:v>1</x:v>
      </x:c>
      <x:c r="J18" t="n">
        <x:f>I18^'02 Assumptions'!$E$21</x:f>
        <x:v>1</x:v>
      </x:c>
      <x:c r="K18" s="32" t="n">
        <x:f>'02 Assumptions'!$E$14</x:f>
        <x:v>0.6</x:v>
      </x:c>
      <x:c r="L18" t="n">
        <x:f>(1+'02 Assumptions'!$E$15)^(A18-2026)</x:f>
        <x:v>1</x:v>
      </x:c>
      <x:c r="M18" t="n">
        <x:f>(1-'02 Assumptions'!$E$16)^(A18-2026)</x:f>
        <x:v>1</x:v>
      </x:c>
      <x:c r="N18" t="n">
        <x:f>IF(M18&gt;0,M18^(-'02 Assumptions'!$E$17),0)</x:f>
        <x:v>1</x:v>
      </x:c>
      <x:c r="O18" t="n">
        <x:f>(1+'02 Assumptions'!$E$18)^(A18-2026)</x:f>
        <x:v>1</x:v>
      </x:c>
      <x:c r="P18" s="40" t="n">
        <x:f>F18*G18*12/1000*(1-K18)*H18*J18*O18</x:f>
        <x:v>0.8905100189503306</x:v>
      </x:c>
      <x:c r="Q18" s="40" t="n">
        <x:f>F18*G18*12/1000*K18*H18*J18*L18*M18*N18</x:f>
        <x:v>1.3357650284254956</x:v>
      </x:c>
      <x:c r="R18" s="40" t="n">
        <x:f>SUM(P18:Q18)</x:f>
        <x:v>2.226275047375826</x:v>
      </x:c>
      <x:c r="S18" s="40" t="n">
        <x:f>IFERROR('03 Sector Inputs'!M18*(D18/'03 Sector Inputs'!L18)*(1+'02 Assumptions'!$E$19)^(A18-2026),0)</x:f>
        <x:v>1545.32</x:v>
      </x:c>
      <x:c r="T18" s="36" t="n">
        <x:f>IFERROR(R18/S18,0)</x:f>
        <x:v>0.0014406563348535102</x:v>
      </x:c>
      <x:c r="U18" s="42" t="n">
        <x:f>S18*(I18-1)</x:f>
        <x:v>0</x:v>
      </x:c>
      <x:c r="V18" t="str">
        <x:f>'03 Sector Inputs'!I18</x:f>
        <x:v>NATIONAL PROXY</x:v>
      </x:c>
      <x:c r="W18" t="n">
        <x:f>P18+F18*G18*12/1000*K18*H18*J18*L18*M18</x:f>
        <x:v>2.226275047375826</x:v>
      </x:c>
      <x:c r="X18" t="n">
        <x:f>F18*G18*12/1000*H18*((1-K18)*O18+K18*L18*M18*N18)</x:f>
        <x:v>2.226275047375826</x:v>
      </x:c>
      <x:c r="Y18" t="n">
        <x:f>F18*G18*12/1000*H18*((1-K18)*O18+K18*L18*M18)</x:f>
        <x:v>2.226275047375826</x:v>
      </x:c>
      <x:c r="Z18" t="str">
        <x:f>IF(OR(F18&lt;0,E18&lt;0,E18&gt;1,R18&lt;0),"CHECK","OK")</x:f>
        <x:v>OK</x:v>
      </x:c>
    </x:row>
    <x:row r="19">
      <x:c r="A19" s="44" t="n">
        <x:f>2026</x:f>
        <x:v>2026</x:v>
      </x:c>
      <x:c r="B19" s="28" t="str">
        <x:f>'03 Sector Inputs'!A19</x:f>
        <x:v>54</x:v>
      </x:c>
      <x:c r="C19" s="28" t="str">
        <x:f>'03 Sector Inputs'!B19</x:f>
        <x:v>Professional, Scientific and Technical Services</x:v>
      </x:c>
      <x:c r="D19" t="n">
        <x:f>'03 Sector Inputs'!L19*('03 Sector Inputs'!D19/'03 Sector Inputs'!C19)^((A19-2026)/10)</x:f>
        <x:v>10.868468674762415</x:v>
      </x:c>
      <x:c r="E19" s="32" t="n">
        <x:f>MIN(0.98,1-(1-'03 Sector Inputs'!K19)*(1-'02 Assumptions'!$E$12)^(A19-2026))</x:f>
        <x:v>0.7571257167521065</x:v>
      </x:c>
      <x:c r="F19" t="n">
        <x:f>D19*E19</x:f>
        <x:v>8.22879713537731</x:v>
      </x:c>
      <x:c r="G19" s="38" t="n">
        <x:f>'03 Sector Inputs'!Q19</x:f>
        <x:v>110.53049517658319</x:v>
      </x:c>
      <x:c r="H19" t="n">
        <x:f>(1+'02 Assumptions'!$E$19)^((A19-2026)*'02 Assumptions'!$E$20)</x:f>
        <x:v>1</x:v>
      </x:c>
      <x:c r="I19" t="n">
        <x:f>(1+'03 Sector Inputs'!U19)^((A19-2026)/10)</x:f>
        <x:v>1</x:v>
      </x:c>
      <x:c r="J19" t="n">
        <x:f>I19^'02 Assumptions'!$E$21</x:f>
        <x:v>1</x:v>
      </x:c>
      <x:c r="K19" s="32" t="n">
        <x:f>'02 Assumptions'!$E$14</x:f>
        <x:v>0.6</x:v>
      </x:c>
      <x:c r="L19" t="n">
        <x:f>(1+'02 Assumptions'!$E$15)^(A19-2026)</x:f>
        <x:v>1</x:v>
      </x:c>
      <x:c r="M19" t="n">
        <x:f>(1-'02 Assumptions'!$E$16)^(A19-2026)</x:f>
        <x:v>1</x:v>
      </x:c>
      <x:c r="N19" t="n">
        <x:f>IF(M19&gt;0,M19^(-'02 Assumptions'!$E$17),0)</x:f>
        <x:v>1</x:v>
      </x:c>
      <x:c r="O19" t="n">
        <x:f>(1+'02 Assumptions'!$E$18)^(A19-2026)</x:f>
        <x:v>1</x:v>
      </x:c>
      <x:c r="P19" s="40" t="n">
        <x:f>F19*G19*12/1000*(1-K19)*H19*J19*O19</x:f>
        <x:v>4.365758505988336</x:v>
      </x:c>
      <x:c r="Q19" s="40" t="n">
        <x:f>F19*G19*12/1000*K19*H19*J19*L19*M19*N19</x:f>
        <x:v>6.548637758982504</x:v>
      </x:c>
      <x:c r="R19" s="40" t="n">
        <x:f>SUM(P19:Q19)</x:f>
        <x:v>10.91439626497084</x:v>
      </x:c>
      <x:c r="S19" s="40" t="n">
        <x:f>IFERROR('03 Sector Inputs'!M19*(D19/'03 Sector Inputs'!L19)*(1+'02 Assumptions'!$E$19)^(A19-2026),0)</x:f>
        <x:v>2593.3</x:v>
      </x:c>
      <x:c r="T19" s="36" t="n">
        <x:f>IFERROR(R19/S19,0)</x:f>
        <x:v>0.004208690188165981</x:v>
      </x:c>
      <x:c r="U19" s="42" t="n">
        <x:f>S19*(I19-1)</x:f>
        <x:v>0</x:v>
      </x:c>
      <x:c r="V19" t="str">
        <x:f>'03 Sector Inputs'!I19</x:f>
        <x:v>CENSUS PROXY</x:v>
      </x:c>
      <x:c r="W19" t="n">
        <x:f>P19+F19*G19*12/1000*K19*H19*J19*L19*M19</x:f>
        <x:v>10.91439626497084</x:v>
      </x:c>
      <x:c r="X19" t="n">
        <x:f>F19*G19*12/1000*H19*((1-K19)*O19+K19*L19*M19*N19)</x:f>
        <x:v>10.91439626497084</x:v>
      </x:c>
      <x:c r="Y19" t="n">
        <x:f>F19*G19*12/1000*H19*((1-K19)*O19+K19*L19*M19)</x:f>
        <x:v>10.91439626497084</x:v>
      </x:c>
      <x:c r="Z19" t="str">
        <x:f>IF(OR(F19&lt;0,E19&lt;0,E19&gt;1,R19&lt;0),"CHECK","OK")</x:f>
        <x:v>OK</x:v>
      </x:c>
    </x:row>
    <x:row r="20">
      <x:c r="A20" s="44" t="n">
        <x:f>2026</x:f>
        <x:v>2026</x:v>
      </x:c>
      <x:c r="B20" s="28" t="str">
        <x:f>'03 Sector Inputs'!A20</x:f>
        <x:v>55</x:v>
      </x:c>
      <x:c r="C20" s="28" t="str">
        <x:f>'03 Sector Inputs'!B20</x:f>
        <x:v>Management of Companies and Enterprises</x:v>
      </x:c>
      <x:c r="D20" t="n">
        <x:f>'03 Sector Inputs'!L20*('03 Sector Inputs'!D20/'03 Sector Inputs'!C20)^((A20-2026)/10)</x:f>
        <x:v>2.634179619347046</x:v>
      </x:c>
      <x:c r="E20" s="32" t="n">
        <x:f>MIN(0.98,1-(1-'03 Sector Inputs'!K20)*(1-'02 Assumptions'!$E$12)^(A20-2026))</x:f>
        <x:v>0.5613226</x:v>
      </x:c>
      <x:c r="F20" t="n">
        <x:f>D20*E20</x:f>
        <x:v>1.4786245527988942</x:v>
      </x:c>
      <x:c r="G20" s="38" t="n">
        <x:f>'03 Sector Inputs'!Q20</x:f>
        <x:v>108.91030551487428</x:v>
      </x:c>
      <x:c r="H20" t="n">
        <x:f>(1+'02 Assumptions'!$E$19)^((A20-2026)*'02 Assumptions'!$E$20)</x:f>
        <x:v>1</x:v>
      </x:c>
      <x:c r="I20" t="n">
        <x:f>(1+'03 Sector Inputs'!U20)^((A20-2026)/10)</x:f>
        <x:v>1</x:v>
      </x:c>
      <x:c r="J20" t="n">
        <x:f>I20^'02 Assumptions'!$E$21</x:f>
        <x:v>1</x:v>
      </x:c>
      <x:c r="K20" s="32" t="n">
        <x:f>'02 Assumptions'!$E$14</x:f>
        <x:v>0.6</x:v>
      </x:c>
      <x:c r="L20" t="n">
        <x:f>(1+'02 Assumptions'!$E$15)^(A20-2026)</x:f>
        <x:v>1</x:v>
      </x:c>
      <x:c r="M20" t="n">
        <x:f>(1-'02 Assumptions'!$E$16)^(A20-2026)</x:f>
        <x:v>1</x:v>
      </x:c>
      <x:c r="N20" t="n">
        <x:f>IF(M20&gt;0,M20^(-'02 Assumptions'!$E$17),0)</x:f>
        <x:v>1</x:v>
      </x:c>
      <x:c r="O20" t="n">
        <x:f>(1+'02 Assumptions'!$E$18)^(A20-2026)</x:f>
        <x:v>1</x:v>
      </x:c>
      <x:c r="P20" s="40" t="n">
        <x:f>F20*G20*12/1000*(1-K20)*H20*J20*O20</x:f>
        <x:v>0.7729797685781853</x:v>
      </x:c>
      <x:c r="Q20" s="40" t="n">
        <x:f>F20*G20*12/1000*K20*H20*J20*L20*M20*N20</x:f>
        <x:v>1.1594696528672779</x:v>
      </x:c>
      <x:c r="R20" s="40" t="n">
        <x:f>SUM(P20:Q20)</x:f>
        <x:v>1.932449421445463</x:v>
      </x:c>
      <x:c r="S20" s="40" t="n">
        <x:f>IFERROR('03 Sector Inputs'!M20*(D20/'03 Sector Inputs'!L20)*(1+'02 Assumptions'!$E$19)^(A20-2026),0)</x:f>
        <x:v>583.8</x:v>
      </x:c>
      <x:c r="T20" s="36" t="n">
        <x:f>IFERROR(R20/S20,0)</x:f>
        <x:v>0.0033101223388925373</x:v>
      </x:c>
      <x:c r="U20" s="42" t="n">
        <x:f>S20*(I20-1)</x:f>
        <x:v>0</x:v>
      </x:c>
      <x:c r="V20" t="str">
        <x:f>'03 Sector Inputs'!I20</x:f>
        <x:v>NATIONAL PROXY</x:v>
      </x:c>
      <x:c r="W20" t="n">
        <x:f>P20+F20*G20*12/1000*K20*H20*J20*L20*M20</x:f>
        <x:v>1.932449421445463</x:v>
      </x:c>
      <x:c r="X20" t="n">
        <x:f>F20*G20*12/1000*H20*((1-K20)*O20+K20*L20*M20*N20)</x:f>
        <x:v>1.932449421445463</x:v>
      </x:c>
      <x:c r="Y20" t="n">
        <x:f>F20*G20*12/1000*H20*((1-K20)*O20+K20*L20*M20)</x:f>
        <x:v>1.932449421445463</x:v>
      </x:c>
      <x:c r="Z20" t="str">
        <x:f>IF(OR(F20&lt;0,E20&lt;0,E20&gt;1,R20&lt;0),"CHECK","OK")</x:f>
        <x:v>OK</x:v>
      </x:c>
    </x:row>
    <x:row r="21">
      <x:c r="A21" s="44" t="n">
        <x:f>2026</x:f>
        <x:v>2026</x:v>
      </x:c>
      <x:c r="B21" s="28" t="str">
        <x:f>'03 Sector Inputs'!A21</x:f>
        <x:v>56</x:v>
      </x:c>
      <x:c r="C21" s="28" t="str">
        <x:f>'03 Sector Inputs'!B21</x:f>
        <x:v>Administrative, Support and Waste Services</x:v>
      </x:c>
      <x:c r="D21" t="n">
        <x:f>'03 Sector Inputs'!L21*('03 Sector Inputs'!D21/'03 Sector Inputs'!C21)^((A21-2026)/10)</x:f>
        <x:v>9.021107907338024</x:v>
      </x:c>
      <x:c r="E21" s="32" t="n">
        <x:f>MIN(0.98,1-(1-'03 Sector Inputs'!K21)*(1-'02 Assumptions'!$E$12)^(A21-2026))</x:f>
        <x:v>0.5613226</x:v>
      </x:c>
      <x:c r="F21" t="n">
        <x:f>D21*E21</x:f>
        <x:v>5.063751745427539</x:v>
      </x:c>
      <x:c r="G21" s="38" t="n">
        <x:f>'03 Sector Inputs'!Q21</x:f>
        <x:v>93.90408661465632</x:v>
      </x:c>
      <x:c r="H21" t="n">
        <x:f>(1+'02 Assumptions'!$E$19)^((A21-2026)*'02 Assumptions'!$E$20)</x:f>
        <x:v>1</x:v>
      </x:c>
      <x:c r="I21" t="n">
        <x:f>(1+'03 Sector Inputs'!U21)^((A21-2026)/10)</x:f>
        <x:v>1</x:v>
      </x:c>
      <x:c r="J21" t="n">
        <x:f>I21^'02 Assumptions'!$E$21</x:f>
        <x:v>1</x:v>
      </x:c>
      <x:c r="K21" s="32" t="n">
        <x:f>'02 Assumptions'!$E$14</x:f>
        <x:v>0.6</x:v>
      </x:c>
      <x:c r="L21" t="n">
        <x:f>(1+'02 Assumptions'!$E$15)^(A21-2026)</x:f>
        <x:v>1</x:v>
      </x:c>
      <x:c r="M21" t="n">
        <x:f>(1-'02 Assumptions'!$E$16)^(A21-2026)</x:f>
        <x:v>1</x:v>
      </x:c>
      <x:c r="N21" t="n">
        <x:f>IF(M21&gt;0,M21^(-'02 Assumptions'!$E$17),0)</x:f>
        <x:v>1</x:v>
      </x:c>
      <x:c r="O21" t="n">
        <x:f>(1+'02 Assumptions'!$E$18)^(A21-2026)</x:f>
        <x:v>1</x:v>
      </x:c>
      <x:c r="P21" s="40" t="n">
        <x:f>F21*G21*12/1000*(1-K21)*H21*J21*O21</x:f>
        <x:v>2.282433515989175</x:v>
      </x:c>
      <x:c r="Q21" s="40" t="n">
        <x:f>F21*G21*12/1000*K21*H21*J21*L21*M21*N21</x:f>
        <x:v>3.423650273983762</x:v>
      </x:c>
      <x:c r="R21" s="40" t="n">
        <x:f>SUM(P21:Q21)</x:f>
        <x:v>5.706083789972937</x:v>
      </x:c>
      <x:c r="S21" s="40" t="n">
        <x:f>IFERROR('03 Sector Inputs'!M21*(D21/'03 Sector Inputs'!L21)*(1+'02 Assumptions'!$E$19)^(A21-2026),0)</x:f>
        <x:v>952.7</x:v>
      </x:c>
      <x:c r="T21" s="36" t="n">
        <x:f>IFERROR(R21/S21,0)</x:f>
        <x:v>0.005989381536656804</x:v>
      </x:c>
      <x:c r="U21" s="42" t="n">
        <x:f>S21*(I21-1)</x:f>
        <x:v>0</x:v>
      </x:c>
      <x:c r="V21" t="str">
        <x:f>'03 Sector Inputs'!I21</x:f>
        <x:v>NATIONAL PROXY</x:v>
      </x:c>
      <x:c r="W21" t="n">
        <x:f>P21+F21*G21*12/1000*K21*H21*J21*L21*M21</x:f>
        <x:v>5.706083789972937</x:v>
      </x:c>
      <x:c r="X21" t="n">
        <x:f>F21*G21*12/1000*H21*((1-K21)*O21+K21*L21*M21*N21)</x:f>
        <x:v>5.706083789972937</x:v>
      </x:c>
      <x:c r="Y21" t="n">
        <x:f>F21*G21*12/1000*H21*((1-K21)*O21+K21*L21*M21)</x:f>
        <x:v>5.706083789972937</x:v>
      </x:c>
      <x:c r="Z21" t="str">
        <x:f>IF(OR(F21&lt;0,E21&lt;0,E21&gt;1,R21&lt;0),"CHECK","OK")</x:f>
        <x:v>OK</x:v>
      </x:c>
    </x:row>
    <x:row r="22">
      <x:c r="A22" s="44" t="n">
        <x:f>2026</x:f>
        <x:v>2026</x:v>
      </x:c>
      <x:c r="B22" s="28" t="str">
        <x:f>'03 Sector Inputs'!A22</x:f>
        <x:v>61</x:v>
      </x:c>
      <x:c r="C22" s="28" t="str">
        <x:f>'03 Sector Inputs'!B22</x:f>
        <x:v>Educational Services (Private)</x:v>
      </x:c>
      <x:c r="D22" t="n">
        <x:f>'03 Sector Inputs'!L22*('03 Sector Inputs'!D22/'03 Sector Inputs'!C22)^((A22-2026)/10)</x:f>
        <x:v>4.058895956130902</x:v>
      </x:c>
      <x:c r="E22" s="32" t="n">
        <x:f>MIN(0.98,1-(1-'03 Sector Inputs'!K22)*(1-'02 Assumptions'!$E$12)^(A22-2026))</x:f>
        <x:v>0.5613226</x:v>
      </x:c>
      <x:c r="F22" t="n">
        <x:f>D22*E22</x:f>
        <x:v>2.278350031224884</x:v>
      </x:c>
      <x:c r="G22" s="38" t="n">
        <x:f>'03 Sector Inputs'!Q22</x:f>
        <x:v>90.94311072364238</x:v>
      </x:c>
      <x:c r="H22" t="n">
        <x:f>(1+'02 Assumptions'!$E$19)^((A22-2026)*'02 Assumptions'!$E$20)</x:f>
        <x:v>1</x:v>
      </x:c>
      <x:c r="I22" t="n">
        <x:f>(1+'03 Sector Inputs'!U22)^((A22-2026)/10)</x:f>
        <x:v>1</x:v>
      </x:c>
      <x:c r="J22" t="n">
        <x:f>I22^'02 Assumptions'!$E$21</x:f>
        <x:v>1</x:v>
      </x:c>
      <x:c r="K22" s="32" t="n">
        <x:f>'02 Assumptions'!$E$14</x:f>
        <x:v>0.6</x:v>
      </x:c>
      <x:c r="L22" t="n">
        <x:f>(1+'02 Assumptions'!$E$15)^(A22-2026)</x:f>
        <x:v>1</x:v>
      </x:c>
      <x:c r="M22" t="n">
        <x:f>(1-'02 Assumptions'!$E$16)^(A22-2026)</x:f>
        <x:v>1</x:v>
      </x:c>
      <x:c r="N22" t="n">
        <x:f>IF(M22&gt;0,M22^(-'02 Assumptions'!$E$17),0)</x:f>
        <x:v>1</x:v>
      </x:c>
      <x:c r="O22" t="n">
        <x:f>(1+'02 Assumptions'!$E$18)^(A22-2026)</x:f>
        <x:v>1</x:v>
      </x:c>
      <x:c r="P22" s="40" t="n">
        <x:f>F22*G22*12/1000*(1-K22)*H22*J22*O22</x:f>
        <x:v>0.9945611479531137</x:v>
      </x:c>
      <x:c r="Q22" s="40" t="n">
        <x:f>F22*G22*12/1000*K22*H22*J22*L22*M22*N22</x:f>
        <x:v>1.4918417219296705</x:v>
      </x:c>
      <x:c r="R22" s="40" t="n">
        <x:f>SUM(P22:Q22)</x:f>
        <x:v>2.486402869882784</x:v>
      </x:c>
      <x:c r="S22" s="40" t="n">
        <x:f>IFERROR('03 Sector Inputs'!M22*(D22/'03 Sector Inputs'!L22)*(1+'02 Assumptions'!$E$19)^(A22-2026),0)</x:f>
        <x:v>365.2</x:v>
      </x:c>
      <x:c r="T22" s="36" t="n">
        <x:f>IFERROR(R22/S22,0)</x:f>
        <x:v>0.006808332064301161</x:v>
      </x:c>
      <x:c r="U22" s="42" t="n">
        <x:f>S22*(I22-1)</x:f>
        <x:v>0</x:v>
      </x:c>
      <x:c r="V22" t="str">
        <x:f>'03 Sector Inputs'!I22</x:f>
        <x:v>NATIONAL PROXY</x:v>
      </x:c>
      <x:c r="W22" t="n">
        <x:f>P22+F22*G22*12/1000*K22*H22*J22*L22*M22</x:f>
        <x:v>2.486402869882784</x:v>
      </x:c>
      <x:c r="X22" t="n">
        <x:f>F22*G22*12/1000*H22*((1-K22)*O22+K22*L22*M22*N22)</x:f>
        <x:v>2.486402869882784</x:v>
      </x:c>
      <x:c r="Y22" t="n">
        <x:f>F22*G22*12/1000*H22*((1-K22)*O22+K22*L22*M22)</x:f>
        <x:v>2.486402869882784</x:v>
      </x:c>
      <x:c r="Z22" t="str">
        <x:f>IF(OR(F22&lt;0,E22&lt;0,E22&gt;1,R22&lt;0),"CHECK","OK")</x:f>
        <x:v>OK</x:v>
      </x:c>
    </x:row>
    <x:row r="23">
      <x:c r="A23" s="44" t="n">
        <x:f>2026</x:f>
        <x:v>2026</x:v>
      </x:c>
      <x:c r="B23" s="28" t="str">
        <x:f>'03 Sector Inputs'!A23</x:f>
        <x:v>62</x:v>
      </x:c>
      <x:c r="C23" s="28" t="str">
        <x:f>'03 Sector Inputs'!B23</x:f>
        <x:v>Health Care and Social Assistance (Private)</x:v>
      </x:c>
      <x:c r="D23" t="n">
        <x:f>'03 Sector Inputs'!L23*('03 Sector Inputs'!D23/'03 Sector Inputs'!C23)^((A23-2026)/10)</x:f>
        <x:v>23.501614630876432</x:v>
      </x:c>
      <x:c r="E23" s="32" t="n">
        <x:f>MIN(0.98,1-(1-'03 Sector Inputs'!K23)*(1-'02 Assumptions'!$E$12)^(A23-2026))</x:f>
        <x:v>0.4337242</x:v>
      </x:c>
      <x:c r="F23" t="n">
        <x:f>D23*E23</x:f>
        <x:v>10.193219004485176</x:v>
      </x:c>
      <x:c r="G23" s="38" t="n">
        <x:f>'03 Sector Inputs'!Q23</x:f>
        <x:v>93.69693394431226</x:v>
      </x:c>
      <x:c r="H23" t="n">
        <x:f>(1+'02 Assumptions'!$E$19)^((A23-2026)*'02 Assumptions'!$E$20)</x:f>
        <x:v>1</x:v>
      </x:c>
      <x:c r="I23" t="n">
        <x:f>(1+'03 Sector Inputs'!U23)^((A23-2026)/10)</x:f>
        <x:v>1</x:v>
      </x:c>
      <x:c r="J23" t="n">
        <x:f>I23^'02 Assumptions'!$E$21</x:f>
        <x:v>1</x:v>
      </x:c>
      <x:c r="K23" s="32" t="n">
        <x:f>'02 Assumptions'!$E$14</x:f>
        <x:v>0.6</x:v>
      </x:c>
      <x:c r="L23" t="n">
        <x:f>(1+'02 Assumptions'!$E$15)^(A23-2026)</x:f>
        <x:v>1</x:v>
      </x:c>
      <x:c r="M23" t="n">
        <x:f>(1-'02 Assumptions'!$E$16)^(A23-2026)</x:f>
        <x:v>1</x:v>
      </x:c>
      <x:c r="N23" t="n">
        <x:f>IF(M23&gt;0,M23^(-'02 Assumptions'!$E$17),0)</x:f>
        <x:v>1</x:v>
      </x:c>
      <x:c r="O23" t="n">
        <x:f>(1+'02 Assumptions'!$E$18)^(A23-2026)</x:f>
        <x:v>1</x:v>
      </x:c>
      <x:c r="P23" s="40" t="n">
        <x:f>F23*G23*12/1000*(1-K23)*H23*J23*O23</x:f>
        <x:v>4.584352165167149</x:v>
      </x:c>
      <x:c r="Q23" s="40" t="n">
        <x:f>F23*G23*12/1000*K23*H23*J23*L23*M23*N23</x:f>
        <x:v>6.876528247750723</x:v>
      </x:c>
      <x:c r="R23" s="40" t="n">
        <x:f>SUM(P23:Q23)</x:f>
        <x:v>11.460880412917872</x:v>
      </x:c>
      <x:c r="S23" s="40" t="n">
        <x:f>IFERROR('03 Sector Inputs'!M23*(D23/'03 Sector Inputs'!L23)*(1+'02 Assumptions'!$E$19)^(A23-2026),0)</x:f>
        <x:v>2454.7</x:v>
      </x:c>
      <x:c r="T23" s="36" t="n">
        <x:f>IFERROR(R23/S23,0)</x:f>
        <x:v>0.004668953604480333</x:v>
      </x:c>
      <x:c r="U23" s="42" t="n">
        <x:f>S23*(I23-1)</x:f>
        <x:v>0</x:v>
      </x:c>
      <x:c r="V23" t="str">
        <x:f>'03 Sector Inputs'!I23</x:f>
        <x:v>DIRECT RAMP</x:v>
      </x:c>
      <x:c r="W23" t="n">
        <x:f>P23+F23*G23*12/1000*K23*H23*J23*L23*M23</x:f>
        <x:v>11.460880412917872</x:v>
      </x:c>
      <x:c r="X23" t="n">
        <x:f>F23*G23*12/1000*H23*((1-K23)*O23+K23*L23*M23*N23)</x:f>
        <x:v>11.460880412917872</x:v>
      </x:c>
      <x:c r="Y23" t="n">
        <x:f>F23*G23*12/1000*H23*((1-K23)*O23+K23*L23*M23)</x:f>
        <x:v>11.460880412917872</x:v>
      </x:c>
      <x:c r="Z23" t="str">
        <x:f>IF(OR(F23&lt;0,E23&lt;0,E23&gt;1,R23&lt;0),"CHECK","OK")</x:f>
        <x:v>OK</x:v>
      </x:c>
    </x:row>
    <x:row r="24">
      <x:c r="A24" s="44" t="n">
        <x:f>2026</x:f>
        <x:v>2026</x:v>
      </x:c>
      <x:c r="B24" s="28" t="str">
        <x:f>'03 Sector Inputs'!A24</x:f>
        <x:v>71</x:v>
      </x:c>
      <x:c r="C24" s="28" t="str">
        <x:f>'03 Sector Inputs'!B24</x:f>
        <x:v>Arts, Entertainment and Recreation</x:v>
      </x:c>
      <x:c r="D24" t="n">
        <x:f>'03 Sector Inputs'!L24*('03 Sector Inputs'!D24/'03 Sector Inputs'!C24)^((A24-2026)/10)</x:f>
        <x:v>2.696630332011054</x:v>
      </x:c>
      <x:c r="E24" s="32" t="n">
        <x:f>MIN(0.98,1-(1-'03 Sector Inputs'!K24)*(1-'02 Assumptions'!$E$12)^(A24-2026))</x:f>
        <x:v>0.5613226</x:v>
      </x:c>
      <x:c r="F24" t="n">
        <x:f>D24*E24</x:f>
        <x:v>1.5136795492033082</x:v>
      </x:c>
      <x:c r="G24" s="38" t="n">
        <x:f>'03 Sector Inputs'!Q24</x:f>
        <x:v>96.78298617210244</x:v>
      </x:c>
      <x:c r="H24" t="n">
        <x:f>(1+'02 Assumptions'!$E$19)^((A24-2026)*'02 Assumptions'!$E$20)</x:f>
        <x:v>1</x:v>
      </x:c>
      <x:c r="I24" t="n">
        <x:f>(1+'03 Sector Inputs'!U24)^((A24-2026)/10)</x:f>
        <x:v>1</x:v>
      </x:c>
      <x:c r="J24" t="n">
        <x:f>I24^'02 Assumptions'!$E$21</x:f>
        <x:v>1</x:v>
      </x:c>
      <x:c r="K24" s="32" t="n">
        <x:f>'02 Assumptions'!$E$14</x:f>
        <x:v>0.6</x:v>
      </x:c>
      <x:c r="L24" t="n">
        <x:f>(1+'02 Assumptions'!$E$15)^(A24-2026)</x:f>
        <x:v>1</x:v>
      </x:c>
      <x:c r="M24" t="n">
        <x:f>(1-'02 Assumptions'!$E$16)^(A24-2026)</x:f>
        <x:v>1</x:v>
      </x:c>
      <x:c r="N24" t="n">
        <x:f>IF(M24&gt;0,M24^(-'02 Assumptions'!$E$17),0)</x:f>
        <x:v>1</x:v>
      </x:c>
      <x:c r="O24" t="n">
        <x:f>(1+'02 Assumptions'!$E$18)^(A24-2026)</x:f>
        <x:v>1</x:v>
      </x:c>
      <x:c r="P24" s="40" t="n">
        <x:f>F24*G24*12/1000*(1-K24)*H24*J24*O24</x:f>
        <x:v>0.7031924490217826</x:v>
      </x:c>
      <x:c r="Q24" s="40" t="n">
        <x:f>F24*G24*12/1000*K24*H24*J24*L24*M24*N24</x:f>
        <x:v>1.0547886735326737</x:v>
      </x:c>
      <x:c r="R24" s="40" t="n">
        <x:f>SUM(P24:Q24)</x:f>
        <x:v>1.7579811225544564</x:v>
      </x:c>
      <x:c r="S24" s="40" t="n">
        <x:f>IFERROR('03 Sector Inputs'!M24*(D24/'03 Sector Inputs'!L24)*(1+'02 Assumptions'!$E$19)^(A24-2026),0)</x:f>
        <x:v>331.2</x:v>
      </x:c>
      <x:c r="T24" s="36" t="n">
        <x:f>IFERROR(R24/S24,0)</x:f>
        <x:v>0.005307914017374567</x:v>
      </x:c>
      <x:c r="U24" s="42" t="n">
        <x:f>S24*(I24-1)</x:f>
        <x:v>0</x:v>
      </x:c>
      <x:c r="V24" t="str">
        <x:f>'03 Sector Inputs'!I24</x:f>
        <x:v>NATIONAL PROXY</x:v>
      </x:c>
      <x:c r="W24" t="n">
        <x:f>P24+F24*G24*12/1000*K24*H24*J24*L24*M24</x:f>
        <x:v>1.7579811225544564</x:v>
      </x:c>
      <x:c r="X24" t="n">
        <x:f>F24*G24*12/1000*H24*((1-K24)*O24+K24*L24*M24*N24)</x:f>
        <x:v>1.7579811225544564</x:v>
      </x:c>
      <x:c r="Y24" t="n">
        <x:f>F24*G24*12/1000*H24*((1-K24)*O24+K24*L24*M24)</x:f>
        <x:v>1.7579811225544564</x:v>
      </x:c>
      <x:c r="Z24" t="str">
        <x:f>IF(OR(F24&lt;0,E24&lt;0,E24&gt;1,R24&lt;0),"CHECK","OK")</x:f>
        <x:v>OK</x:v>
      </x:c>
    </x:row>
    <x:row r="25">
      <x:c r="A25" s="44" t="n">
        <x:f>2026</x:f>
        <x:v>2026</x:v>
      </x:c>
      <x:c r="B25" s="28" t="str">
        <x:f>'03 Sector Inputs'!A25</x:f>
        <x:v>72</x:v>
      </x:c>
      <x:c r="C25" s="28" t="str">
        <x:f>'03 Sector Inputs'!B25</x:f>
        <x:v>Accommodation and Food Services</x:v>
      </x:c>
      <x:c r="D25" t="n">
        <x:f>'03 Sector Inputs'!L25*('03 Sector Inputs'!D25/'03 Sector Inputs'!C25)^((A25-2026)/10)</x:f>
        <x:v>14.26170172714977</x:v>
      </x:c>
      <x:c r="E25" s="32" t="n">
        <x:f>MIN(0.98,1-(1-'03 Sector Inputs'!K25)*(1-'02 Assumptions'!$E$12)^(A25-2026))</x:f>
        <x:v>0.3305243</x:v>
      </x:c>
      <x:c r="F25" t="n">
        <x:f>D25*E25</x:f>
        <x:v>4.713838980174969</x:v>
      </x:c>
      <x:c r="G25" s="38" t="n">
        <x:f>'03 Sector Inputs'!Q25</x:f>
        <x:v>86.70668944553024</x:v>
      </x:c>
      <x:c r="H25" t="n">
        <x:f>(1+'02 Assumptions'!$E$19)^((A25-2026)*'02 Assumptions'!$E$20)</x:f>
        <x:v>1</x:v>
      </x:c>
      <x:c r="I25" t="n">
        <x:f>(1+'03 Sector Inputs'!U25)^((A25-2026)/10)</x:f>
        <x:v>1</x:v>
      </x:c>
      <x:c r="J25" t="n">
        <x:f>I25^'02 Assumptions'!$E$21</x:f>
        <x:v>1</x:v>
      </x:c>
      <x:c r="K25" s="32" t="n">
        <x:f>'02 Assumptions'!$E$14</x:f>
        <x:v>0.6</x:v>
      </x:c>
      <x:c r="L25" t="n">
        <x:f>(1+'02 Assumptions'!$E$15)^(A25-2026)</x:f>
        <x:v>1</x:v>
      </x:c>
      <x:c r="M25" t="n">
        <x:f>(1-'02 Assumptions'!$E$16)^(A25-2026)</x:f>
        <x:v>1</x:v>
      </x:c>
      <x:c r="N25" t="n">
        <x:f>IF(M25&gt;0,M25^(-'02 Assumptions'!$E$17),0)</x:f>
        <x:v>1</x:v>
      </x:c>
      <x:c r="O25" t="n">
        <x:f>(1+'02 Assumptions'!$E$18)^(A25-2026)</x:f>
        <x:v>1</x:v>
      </x:c>
      <x:c r="P25" s="40" t="n">
        <x:f>F25*G25*12/1000*(1-K25)*H25*J25*O25</x:f>
        <x:v>1.961862588241277</x:v>
      </x:c>
      <x:c r="Q25" s="40" t="n">
        <x:f>F25*G25*12/1000*K25*H25*J25*L25*M25*N25</x:f>
        <x:v>2.942793882361915</x:v>
      </x:c>
      <x:c r="R25" s="40" t="n">
        <x:f>SUM(P25:Q25)</x:f>
        <x:v>4.904656470603192</x:v>
      </x:c>
      <x:c r="S25" s="40" t="n">
        <x:f>IFERROR('03 Sector Inputs'!M25*(D25/'03 Sector Inputs'!L25)*(1+'02 Assumptions'!$E$19)^(A25-2026),0)</x:f>
        <x:v>1010.9</x:v>
      </x:c>
      <x:c r="T25" s="36" t="n">
        <x:f>IFERROR(R25/S25,0)</x:f>
        <x:v>0.004851772154123249</x:v>
      </x:c>
      <x:c r="U25" s="42" t="n">
        <x:f>S25*(I25-1)</x:f>
        <x:v>0</x:v>
      </x:c>
      <x:c r="V25" t="str">
        <x:f>'03 Sector Inputs'!I25</x:f>
        <x:v>DIRECT RAMP</x:v>
      </x:c>
      <x:c r="W25" t="n">
        <x:f>P25+F25*G25*12/1000*K25*H25*J25*L25*M25</x:f>
        <x:v>4.904656470603192</x:v>
      </x:c>
      <x:c r="X25" t="n">
        <x:f>F25*G25*12/1000*H25*((1-K25)*O25+K25*L25*M25*N25)</x:f>
        <x:v>4.904656470603192</x:v>
      </x:c>
      <x:c r="Y25" t="n">
        <x:f>F25*G25*12/1000*H25*((1-K25)*O25+K25*L25*M25)</x:f>
        <x:v>4.904656470603192</x:v>
      </x:c>
      <x:c r="Z25" t="str">
        <x:f>IF(OR(F25&lt;0,E25&lt;0,E25&gt;1,R25&lt;0),"CHECK","OK")</x:f>
        <x:v>OK</x:v>
      </x:c>
    </x:row>
    <x:row r="26">
      <x:c r="A26" s="44" t="n">
        <x:f>2026</x:f>
        <x:v>2026</x:v>
      </x:c>
      <x:c r="B26" s="28" t="str">
        <x:f>'03 Sector Inputs'!A26</x:f>
        <x:v>81</x:v>
      </x:c>
      <x:c r="C26" s="28" t="str">
        <x:f>'03 Sector Inputs'!B26</x:f>
        <x:v>Other Services Except Public Administration</x:v>
      </x:c>
      <x:c r="D26" t="n">
        <x:f>'03 Sector Inputs'!L26*('03 Sector Inputs'!D26/'03 Sector Inputs'!C26)^((A26-2026)/10)</x:f>
        <x:v>6.269983363850071</x:v>
      </x:c>
      <x:c r="E26" s="32" t="n">
        <x:f>MIN(0.98,1-(1-'03 Sector Inputs'!K26)*(1-'02 Assumptions'!$E$12)^(A26-2026))</x:f>
        <x:v>0.5613226</x:v>
      </x:c>
      <x:c r="F26" t="n">
        <x:f>D26*E26</x:f>
        <x:v>3.519483363753068</x:v>
      </x:c>
      <x:c r="G26" s="38" t="n">
        <x:f>'03 Sector Inputs'!Q26</x:f>
        <x:v>92.75230522798783</x:v>
      </x:c>
      <x:c r="H26" t="n">
        <x:f>(1+'02 Assumptions'!$E$19)^((A26-2026)*'02 Assumptions'!$E$20)</x:f>
        <x:v>1</x:v>
      </x:c>
      <x:c r="I26" t="n">
        <x:f>(1+'03 Sector Inputs'!U26)^((A26-2026)/10)</x:f>
        <x:v>1</x:v>
      </x:c>
      <x:c r="J26" t="n">
        <x:f>I26^'02 Assumptions'!$E$21</x:f>
        <x:v>1</x:v>
      </x:c>
      <x:c r="K26" s="32" t="n">
        <x:f>'02 Assumptions'!$E$14</x:f>
        <x:v>0.6</x:v>
      </x:c>
      <x:c r="L26" t="n">
        <x:f>(1+'02 Assumptions'!$E$15)^(A26-2026)</x:f>
        <x:v>1</x:v>
      </x:c>
      <x:c r="M26" t="n">
        <x:f>(1-'02 Assumptions'!$E$16)^(A26-2026)</x:f>
        <x:v>1</x:v>
      </x:c>
      <x:c r="N26" t="n">
        <x:f>IF(M26&gt;0,M26^(-'02 Assumptions'!$E$17),0)</x:f>
        <x:v>1</x:v>
      </x:c>
      <x:c r="O26" t="n">
        <x:f>(1+'02 Assumptions'!$E$18)^(A26-2026)</x:f>
        <x:v>1</x:v>
      </x:c>
      <x:c r="P26" s="40" t="n">
        <x:f>F26*G26*12/1000*(1-K26)*H26*J26*O26</x:f>
        <x:v>1.5669129369583192</x:v>
      </x:c>
      <x:c r="Q26" s="40" t="n">
        <x:f>F26*G26*12/1000*K26*H26*J26*L26*M26*N26</x:f>
        <x:v>2.350369405437479</x:v>
      </x:c>
      <x:c r="R26" s="40" t="n">
        <x:f>SUM(P26:Q26)</x:f>
        <x:v>3.917282342395798</x:v>
      </x:c>
      <x:c r="S26" s="40" t="n">
        <x:f>IFERROR('03 Sector Inputs'!M26*(D26/'03 Sector Inputs'!L26)*(1+'02 Assumptions'!$E$19)^(A26-2026),0)</x:f>
        <x:v>622.535</x:v>
      </x:c>
      <x:c r="T26" s="36" t="n">
        <x:f>IFERROR(R26/S26,0)</x:f>
        <x:v>0.006292469246541637</x:v>
      </x:c>
      <x:c r="U26" s="42" t="n">
        <x:f>S26*(I26-1)</x:f>
        <x:v>0</x:v>
      </x:c>
      <x:c r="V26" t="str">
        <x:f>'03 Sector Inputs'!I26</x:f>
        <x:v>NATIONAL PROXY</x:v>
      </x:c>
      <x:c r="W26" t="n">
        <x:f>P26+F26*G26*12/1000*K26*H26*J26*L26*M26</x:f>
        <x:v>3.917282342395798</x:v>
      </x:c>
      <x:c r="X26" t="n">
        <x:f>F26*G26*12/1000*H26*((1-K26)*O26+K26*L26*M26*N26)</x:f>
        <x:v>3.917282342395798</x:v>
      </x:c>
      <x:c r="Y26" t="n">
        <x:f>F26*G26*12/1000*H26*((1-K26)*O26+K26*L26*M26)</x:f>
        <x:v>3.917282342395798</x:v>
      </x:c>
      <x:c r="Z26" t="str">
        <x:f>IF(OR(F26&lt;0,E26&lt;0,E26&gt;1,R26&lt;0),"CHECK","OK")</x:f>
        <x:v>OK</x:v>
      </x:c>
    </x:row>
    <x:row r="27">
      <x:c r="A27" s="44" t="n">
        <x:f>2026</x:f>
        <x:v>2026</x:v>
      </x:c>
      <x:c r="B27" s="28" t="str">
        <x:f>'03 Sector Inputs'!A27</x:f>
        <x:v>Gov</x:v>
      </x:c>
      <x:c r="C27" s="28" t="str">
        <x:f>'03 Sector Inputs'!B27</x:f>
        <x:v>Federal and State/Local Government</x:v>
      </x:c>
      <x:c r="D27" t="n">
        <x:f>'03 Sector Inputs'!L27*('03 Sector Inputs'!D27/'03 Sector Inputs'!C27)^((A27-2026)/10)</x:f>
        <x:v>0</x:v>
      </x:c>
      <x:c r="E27" s="32" t="n">
        <x:f>IF(D27=0,0,MIN(0.98,1-(1-'03 Sector Inputs'!K27)*(1-'02 Assumptions'!$E$12)^(A27-2026)))</x:f>
        <x:v>0</x:v>
      </x:c>
      <x:c r="F27" t="n">
        <x:f>D27*E27</x:f>
        <x:v>0</x:v>
      </x:c>
      <x:c r="G27" s="38" t="n">
        <x:f>'03 Sector Inputs'!Q27</x:f>
        <x:v>0</x:v>
      </x:c>
      <x:c r="H27" t="n">
        <x:f>(1+'02 Assumptions'!$E$19)^((A27-2026)*'02 Assumptions'!$E$20)</x:f>
        <x:v>1</x:v>
      </x:c>
      <x:c r="I27" t="n">
        <x:f>(1+'03 Sector Inputs'!U27)^((A27-2026)/10)</x:f>
        <x:v>1</x:v>
      </x:c>
      <x:c r="J27" t="n">
        <x:f>I27^'02 Assumptions'!$E$21</x:f>
        <x:v>1</x:v>
      </x:c>
      <x:c r="K27" s="32" t="n">
        <x:f>'02 Assumptions'!$E$14</x:f>
        <x:v>0.6</x:v>
      </x:c>
      <x:c r="L27" t="n">
        <x:f>(1+'02 Assumptions'!$E$15)^(A27-2026)</x:f>
        <x:v>1</x:v>
      </x:c>
      <x:c r="M27" t="n">
        <x:f>(1-'02 Assumptions'!$E$16)^(A27-2026)</x:f>
        <x:v>1</x:v>
      </x:c>
      <x:c r="N27" t="n">
        <x:f>IF(M27&gt;0,M27^(-'02 Assumptions'!$E$17),0)</x:f>
        <x:v>1</x:v>
      </x:c>
      <x:c r="O27" t="n">
        <x:f>(1+'02 Assumptions'!$E$18)^(A27-2026)</x:f>
        <x:v>1</x:v>
      </x:c>
      <x:c r="P27" s="40" t="n">
        <x:f>F27*G27*12/1000*(1-K27)*H27*J27*O27</x:f>
        <x:v>0</x:v>
      </x:c>
      <x:c r="Q27" s="40" t="n">
        <x:f>F27*G27*12/1000*K27*H27*J27*L27*M27*N27</x:f>
        <x:v>0</x:v>
      </x:c>
      <x:c r="R27" s="40" t="n">
        <x:f>SUM(P27:Q27)</x:f>
        <x:v>0</x:v>
      </x:c>
      <x:c r="S27" s="40" t="n">
        <x:f>IFERROR('03 Sector Inputs'!M27*(D27/'03 Sector Inputs'!L27)*(1+'02 Assumptions'!$E$19)^(A27-2026),0)</x:f>
        <x:v>0</x:v>
      </x:c>
      <x:c r="T27" s="36" t="n">
        <x:f>IFERROR(R27/S27,0)</x:f>
        <x:v>0</x:v>
      </x:c>
      <x:c r="U27" s="42" t="n">
        <x:f>S27*(I27-1)</x:f>
        <x:v>0</x:v>
      </x:c>
      <x:c r="V27" t="str">
        <x:f>'03 Sector Inputs'!I27</x:f>
        <x:v>NATIONAL PROXY</x:v>
      </x:c>
      <x:c r="W27" t="n">
        <x:f>P27+F27*G27*12/1000*K27*H27*J27*L27*M27</x:f>
        <x:v>0</x:v>
      </x:c>
      <x:c r="X27" t="n">
        <x:f>F27*G27*12/1000*H27*((1-K27)*O27+K27*L27*M27*N27)</x:f>
        <x:v>0</x:v>
      </x:c>
      <x:c r="Y27" t="n">
        <x:f>F27*G27*12/1000*H27*((1-K27)*O27+K27*L27*M27)</x:f>
        <x:v>0</x:v>
      </x:c>
      <x:c r="Z27" t="str">
        <x:f>IF(OR(F27&lt;0,E27&lt;0,E27&gt;1,R27&lt;0),"CHECK","OK")</x:f>
        <x:v>OK</x:v>
      </x:c>
    </x:row>
    <x:row r="28">
      <x:c r="A28" s="44" t="n">
        <x:f>2027</x:f>
        <x:v>2027</x:v>
      </x:c>
      <x:c r="B28" s="28" t="str">
        <x:f>'03 Sector Inputs'!A8</x:f>
        <x:v>11</x:v>
      </x:c>
      <x:c r="C28" s="28" t="str">
        <x:f>'03 Sector Inputs'!B8</x:f>
        <x:v>Agriculture, Forestry, Fishing and Hunting</x:v>
      </x:c>
      <x:c r="D28" t="n">
        <x:f>'03 Sector Inputs'!L8*('03 Sector Inputs'!D8/'03 Sector Inputs'!C8)^((A28-2026)/10)</x:f>
        <x:v>0</x:v>
      </x:c>
      <x:c r="E28" s="32" t="n">
        <x:f>IF(D28=0,0,MIN(0.98,1-(1-'03 Sector Inputs'!K8)*(1-'02 Assumptions'!$E$12)^(A28-2026)))</x:f>
        <x:v>0</x:v>
      </x:c>
      <x:c r="F28" t="n">
        <x:f>D28*E28</x:f>
        <x:v>0</x:v>
      </x:c>
      <x:c r="G28" s="38" t="n">
        <x:f>'03 Sector Inputs'!Q8</x:f>
        <x:v>0</x:v>
      </x:c>
      <x:c r="H28" t="n">
        <x:f>(1+'02 Assumptions'!$E$19)^((A28-2026)*'02 Assumptions'!$E$20)</x:f>
        <x:v>1.0099259840370036</x:v>
      </x:c>
      <x:c r="I28" t="n">
        <x:f>(1+'03 Sector Inputs'!U8)^((A28-2026)/10)</x:f>
        <x:v>1.0025999128698402</x:v>
      </x:c>
      <x:c r="J28" t="n">
        <x:f>I28^'02 Assumptions'!$E$21</x:f>
        <x:v>1.0007792651523597</x:v>
      </x:c>
      <x:c r="K28" s="32" t="n">
        <x:f>'02 Assumptions'!$E$14</x:f>
        <x:v>0.6</x:v>
      </x:c>
      <x:c r="L28" t="n">
        <x:f>(1+'02 Assumptions'!$E$15)^(A28-2026)</x:f>
        <x:v>1.4</x:v>
      </x:c>
      <x:c r="M28" t="n">
        <x:f>(1-'02 Assumptions'!$E$16)^(A28-2026)</x:f>
        <x:v>0.78</x:v>
      </x:c>
      <x:c r="N28" t="n">
        <x:f>IF(M28&gt;0,M28^(-'02 Assumptions'!$E$17),0)</x:f>
        <x:v>1.2199002430849164</x:v>
      </x:c>
      <x:c r="O28" t="n">
        <x:f>(1+'02 Assumptions'!$E$18)^(A28-2026)</x:f>
        <x:v>1.02</x:v>
      </x:c>
      <x:c r="P28" s="40" t="n">
        <x:f>F28*G28*12/1000*(1-K28)*H28*J28*O28</x:f>
        <x:v>0</x:v>
      </x:c>
      <x:c r="Q28" s="40" t="n">
        <x:f>F28*G28*12/1000*K28*H28*J28*L28*M28*N28</x:f>
        <x:v>0</x:v>
      </x:c>
      <x:c r="R28" s="40" t="n">
        <x:f>SUM(P28:Q28)</x:f>
        <x:v>0</x:v>
      </x:c>
      <x:c r="S28" s="40" t="n">
        <x:f>IFERROR('03 Sector Inputs'!M8*(D28/'03 Sector Inputs'!L8)*(1+'02 Assumptions'!$E$19)^(A28-2026),0)</x:f>
        <x:v>0</x:v>
      </x:c>
      <x:c r="T28" s="36" t="n">
        <x:f>IFERROR(R28/S28,0)</x:f>
        <x:v>0</x:v>
      </x:c>
      <x:c r="U28" s="42" t="n">
        <x:f>S28*(I28-1)</x:f>
        <x:v>0</x:v>
      </x:c>
      <x:c r="V28" t="str">
        <x:f>'03 Sector Inputs'!I8</x:f>
        <x:v>NATIONAL PROXY</x:v>
      </x:c>
      <x:c r="W28" t="n">
        <x:f>P28+F28*G28*12/1000*K28*H28*J28*L28*M28</x:f>
        <x:v>0</x:v>
      </x:c>
      <x:c r="X28" t="n">
        <x:f>F28*G28*12/1000*H28*((1-K28)*O28+K28*L28*M28*N28)</x:f>
        <x:v>0</x:v>
      </x:c>
      <x:c r="Y28" t="n">
        <x:f>F28*G28*12/1000*H28*((1-K28)*O28+K28*L28*M28)</x:f>
        <x:v>0</x:v>
      </x:c>
      <x:c r="Z28" t="str">
        <x:f>IF(OR(F28&lt;0,E28&lt;0,E28&gt;1,R28&lt;0),"CHECK","OK")</x:f>
        <x:v>OK</x:v>
      </x:c>
    </x:row>
    <x:row r="29">
      <x:c r="A29" s="44" t="n">
        <x:f>2027</x:f>
        <x:v>2027</x:v>
      </x:c>
      <x:c r="B29" s="28" t="str">
        <x:f>'03 Sector Inputs'!A9</x:f>
        <x:v>21</x:v>
      </x:c>
      <x:c r="C29" s="28" t="str">
        <x:f>'03 Sector Inputs'!B9</x:f>
        <x:v>Mining, Quarrying, Oil and Gas Extraction</x:v>
      </x:c>
      <x:c r="D29" t="n">
        <x:f>'03 Sector Inputs'!L9*('03 Sector Inputs'!D9/'03 Sector Inputs'!C9)^((A29-2026)/10)</x:f>
        <x:v>0.5742579936728948</x:v>
      </x:c>
      <x:c r="E29" s="32" t="n">
        <x:f>MIN(0.98,1-(1-'03 Sector Inputs'!K9)*(1-'02 Assumptions'!$E$12)^(A29-2026))</x:f>
        <x:v>0.60519034</x:v>
      </x:c>
      <x:c r="F29" t="n">
        <x:f>D29*E29</x:f>
        <x:v>0.34753539043861703</x:v>
      </x:c>
      <x:c r="G29" s="38" t="n">
        <x:f>'03 Sector Inputs'!Q9</x:f>
        <x:v>144.21605034049728</x:v>
      </x:c>
      <x:c r="H29" t="n">
        <x:f>(1+'02 Assumptions'!$E$19)^((A29-2026)*'02 Assumptions'!$E$20)</x:f>
        <x:v>1.0099259840370036</x:v>
      </x:c>
      <x:c r="I29" t="n">
        <x:f>(1+'03 Sector Inputs'!U9)^((A29-2026)/10)</x:f>
        <x:v>1.0040851324259692</x:v>
      </x:c>
      <x:c r="J29" t="n">
        <x:f>I29^'02 Assumptions'!$E$21</x:f>
        <x:v>1.0012237915007605</x:v>
      </x:c>
      <x:c r="K29" s="32" t="n">
        <x:f>'02 Assumptions'!$E$14</x:f>
        <x:v>0.6</x:v>
      </x:c>
      <x:c r="L29" t="n">
        <x:f>(1+'02 Assumptions'!$E$15)^(A29-2026)</x:f>
        <x:v>1.4</x:v>
      </x:c>
      <x:c r="M29" t="n">
        <x:f>(1-'02 Assumptions'!$E$16)^(A29-2026)</x:f>
        <x:v>0.78</x:v>
      </x:c>
      <x:c r="N29" t="n">
        <x:f>IF(M29&gt;0,M29^(-'02 Assumptions'!$E$17),0)</x:f>
        <x:v>1.2199002430849164</x:v>
      </x:c>
      <x:c r="O29" t="n">
        <x:f>(1+'02 Assumptions'!$E$18)^(A29-2026)</x:f>
        <x:v>1.02</x:v>
      </x:c>
      <x:c r="P29" s="40" t="n">
        <x:f>F29*G29*12/1000*(1-K29)*H29*J29*O29</x:f>
        <x:v>0.2481274144346879</x:v>
      </x:c>
      <x:c r="Q29" s="40" t="n">
        <x:f>F29*G29*12/1000*K29*H29*J29*L29*M29*N29</x:f>
        <x:v>0.486085642585175</x:v>
      </x:c>
      <x:c r="R29" s="40" t="n">
        <x:f>SUM(P29:Q29)</x:f>
        <x:v>0.7342130570198628</x:v>
      </x:c>
      <x:c r="S29" s="40" t="n">
        <x:f>IFERROR('03 Sector Inputs'!M9*(D29/'03 Sector Inputs'!L9)*(1+'02 Assumptions'!$E$19)^(A29-2026),0)</x:f>
        <x:v>531.095626425017</x:v>
      </x:c>
      <x:c r="T29" s="36" t="n">
        <x:f>IFERROR(R29/S29,0)</x:f>
        <x:v>0.0013824498272789355</x:v>
      </x:c>
      <x:c r="U29" s="42" t="n">
        <x:f>S29*(I29-1)</x:f>
        <x:v>2.1695959647992593</x:v>
      </x:c>
      <x:c r="V29" t="str">
        <x:f>'03 Sector Inputs'!I9</x:f>
        <x:v>NATIONAL PROXY</x:v>
      </x:c>
      <x:c r="W29" t="n">
        <x:f>P29+F29*G29*12/1000*K29*H29*J29*L29*M29</x:f>
        <x:v>0.6465908505562749</x:v>
      </x:c>
      <x:c r="X29" t="n">
        <x:f>F29*G29*12/1000*H29*((1-K29)*O29+K29*L29*M29*N29)</x:f>
        <x:v>0.7333156315825574</x:v>
      </x:c>
      <x:c r="Y29" t="n">
        <x:f>F29*G29*12/1000*H29*((1-K29)*O29+K29*L29*M29)</x:f>
        <x:v>0.6458005253621502</x:v>
      </x:c>
      <x:c r="Z29" t="str">
        <x:f>IF(OR(F29&lt;0,E29&lt;0,E29&gt;1,R29&lt;0),"CHECK","OK")</x:f>
        <x:v>OK</x:v>
      </x:c>
    </x:row>
    <x:row r="30">
      <x:c r="A30" s="44" t="n">
        <x:f>2027</x:f>
        <x:v>2027</x:v>
      </x:c>
      <x:c r="B30" s="28" t="str">
        <x:f>'03 Sector Inputs'!A10</x:f>
        <x:v>22</x:v>
      </x:c>
      <x:c r="C30" s="28" t="str">
        <x:f>'03 Sector Inputs'!B10</x:f>
        <x:v>Utilities</x:v>
      </x:c>
      <x:c r="D30" t="n">
        <x:f>'03 Sector Inputs'!L10*('03 Sector Inputs'!D10/'03 Sector Inputs'!C10)^((A30-2026)/10)</x:f>
        <x:v>0.6126252738101413</x:v>
      </x:c>
      <x:c r="E30" s="32" t="n">
        <x:f>MIN(0.98,1-(1-'03 Sector Inputs'!K10)*(1-'02 Assumptions'!$E$12)^(A30-2026))</x:f>
        <x:v>0.60519034</x:v>
      </x:c>
      <x:c r="F30" t="n">
        <x:f>D30*E30</x:f>
        <x:v>0.37075489774975257</x:v>
      </x:c>
      <x:c r="G30" s="38" t="n">
        <x:f>'03 Sector Inputs'!Q10</x:f>
        <x:v>143.37803430608625</x:v>
      </x:c>
      <x:c r="H30" t="n">
        <x:f>(1+'02 Assumptions'!$E$19)^((A30-2026)*'02 Assumptions'!$E$20)</x:f>
        <x:v>1.0099259840370036</x:v>
      </x:c>
      <x:c r="I30" t="n">
        <x:f>(1+'03 Sector Inputs'!U10)^((A30-2026)/10)</x:f>
        <x:v>1.004753388662756</x:v>
      </x:c>
      <x:c r="J30" t="n">
        <x:f>I30^'02 Assumptions'!$E$21</x:f>
        <x:v>1.001423650524882</x:v>
      </x:c>
      <x:c r="K30" s="32" t="n">
        <x:f>'02 Assumptions'!$E$14</x:f>
        <x:v>0.6</x:v>
      </x:c>
      <x:c r="L30" t="n">
        <x:f>(1+'02 Assumptions'!$E$15)^(A30-2026)</x:f>
        <x:v>1.4</x:v>
      </x:c>
      <x:c r="M30" t="n">
        <x:f>(1-'02 Assumptions'!$E$16)^(A30-2026)</x:f>
        <x:v>0.78</x:v>
      </x:c>
      <x:c r="N30" t="n">
        <x:f>IF(M30&gt;0,M30^(-'02 Assumptions'!$E$17),0)</x:f>
        <x:v>1.2199002430849164</x:v>
      </x:c>
      <x:c r="O30" t="n">
        <x:f>(1+'02 Assumptions'!$E$18)^(A30-2026)</x:f>
        <x:v>1.02</x:v>
      </x:c>
      <x:c r="P30" s="40" t="n">
        <x:f>F30*G30*12/1000*(1-K30)*H30*J30*O30</x:f>
        <x:v>0.26321965647663736</x:v>
      </x:c>
      <x:c r="Q30" s="40" t="n">
        <x:f>F30*G30*12/1000*K30*H30*J30*L30*M30*N30</x:f>
        <x:v>0.5156515903371637</x:v>
      </x:c>
      <x:c r="R30" s="40" t="n">
        <x:f>SUM(P30:Q30)</x:f>
        <x:v>0.778871246813801</x:v>
      </x:c>
      <x:c r="S30" s="40" t="n">
        <x:f>IFERROR('03 Sector Inputs'!M10*(D30/'03 Sector Inputs'!L10)*(1+'02 Assumptions'!$E$19)^(A30-2026),0)</x:f>
        <x:v>550.3078508217202</x:v>
      </x:c>
      <x:c r="T30" s="36" t="n">
        <x:f>IFERROR(R30/S30,0)</x:f>
        <x:v>0.001415337334640583</x:v>
      </x:c>
      <x:c r="U30" s="42" t="n">
        <x:f>S30*(I30-1)</x:f>
        <x:v>2.6158270991215775</x:v>
      </x:c>
      <x:c r="V30" t="str">
        <x:f>'03 Sector Inputs'!I10</x:f>
        <x:v>NATIONAL PROXY</x:v>
      </x:c>
      <x:c r="W30" t="n">
        <x:f>P30+F30*G30*12/1000*K30*H30*J30*L30*M30</x:f>
        <x:v>0.6859194577597079</x:v>
      </x:c>
      <x:c r="X30" t="n">
        <x:f>F30*G30*12/1000*H30*((1-K30)*O30+K30*L30*M30*N30)</x:f>
        <x:v>0.7777639827115794</x:v>
      </x:c>
      <x:c r="Y30" t="n">
        <x:f>F30*G30*12/1000*H30*((1-K30)*O30+K30*L30*M30)</x:f>
        <x:v>0.6849443363956834</x:v>
      </x:c>
      <x:c r="Z30" t="str">
        <x:f>IF(OR(F30&lt;0,E30&lt;0,E30&gt;1,R30&lt;0),"CHECK","OK")</x:f>
        <x:v>OK</x:v>
      </x:c>
    </x:row>
    <x:row r="31">
      <x:c r="A31" s="44" t="n">
        <x:f>2027</x:f>
        <x:v>2027</x:v>
      </x:c>
      <x:c r="B31" s="28" t="str">
        <x:f>'03 Sector Inputs'!A11</x:f>
        <x:v>23</x:v>
      </x:c>
      <x:c r="C31" s="28" t="str">
        <x:f>'03 Sector Inputs'!B11</x:f>
        <x:v>Construction</x:v>
      </x:c>
      <x:c r="D31" t="n">
        <x:f>'03 Sector Inputs'!L11*('03 Sector Inputs'!D11/'03 Sector Inputs'!C11)^((A31-2026)/10)</x:f>
        <x:v>8.347254699734789</x:v>
      </x:c>
      <x:c r="E31" s="32" t="n">
        <x:f>MIN(0.98,1-(1-'03 Sector Inputs'!K11)*(1-'02 Assumptions'!$E$12)^(A31-2026))</x:f>
        <x:v>0.47959182999999994</x:v>
      </x:c>
      <x:c r="F31" t="n">
        <x:f>D31*E31</x:f>
        <x:v>4.003275156921907</x:v>
      </x:c>
      <x:c r="G31" s="38" t="n">
        <x:f>'03 Sector Inputs'!Q11</x:f>
        <x:v>102.71551089956172</x:v>
      </x:c>
      <x:c r="H31" t="n">
        <x:f>(1+'02 Assumptions'!$E$19)^((A31-2026)*'02 Assumptions'!$E$20)</x:f>
        <x:v>1.0099259840370036</x:v>
      </x:c>
      <x:c r="I31" t="n">
        <x:f>(1+'03 Sector Inputs'!U11)^((A31-2026)/10)</x:f>
        <x:v>1.0034846025542339</x:v>
      </x:c>
      <x:c r="J31" t="n">
        <x:f>I31^'02 Assumptions'!$E$21</x:f>
        <x:v>1.001044108320135</x:v>
      </x:c>
      <x:c r="K31" s="32" t="n">
        <x:f>'02 Assumptions'!$E$14</x:f>
        <x:v>0.6</x:v>
      </x:c>
      <x:c r="L31" t="n">
        <x:f>(1+'02 Assumptions'!$E$15)^(A31-2026)</x:f>
        <x:v>1.4</x:v>
      </x:c>
      <x:c r="M31" t="n">
        <x:f>(1-'02 Assumptions'!$E$16)^(A31-2026)</x:f>
        <x:v>0.78</x:v>
      </x:c>
      <x:c r="N31" t="n">
        <x:f>IF(M31&gt;0,M31^(-'02 Assumptions'!$E$17),0)</x:f>
        <x:v>1.2199002430849164</x:v>
      </x:c>
      <x:c r="O31" t="n">
        <x:f>(1+'02 Assumptions'!$E$18)^(A31-2026)</x:f>
        <x:v>1.02</x:v>
      </x:c>
      <x:c r="P31" s="40" t="n">
        <x:f>F31*G31*12/1000*(1-K31)*H31*J31*O31</x:f>
        <x:v>2.0353337836465166</x:v>
      </x:c>
      <x:c r="Q31" s="40" t="n">
        <x:f>F31*G31*12/1000*K31*H31*J31*L31*M31*N31</x:f>
        <x:v>3.987252002577685</x:v>
      </x:c>
      <x:c r="R31" s="40" t="n">
        <x:f>SUM(P31:Q31)</x:f>
        <x:v>6.022585786224202</x:v>
      </x:c>
      <x:c r="S31" s="40" t="n">
        <x:f>IFERROR('03 Sector Inputs'!M11*(D31/'03 Sector Inputs'!L11)*(1+'02 Assumptions'!$E$19)^(A31-2026),0)</x:f>
        <x:v>1414.8861899464757</x:v>
      </x:c>
      <x:c r="T31" s="36" t="n">
        <x:f>IFERROR(R31/S31,0)</x:f>
        <x:v>0.004256586733984612</x:v>
      </x:c>
      <x:c r="U31" s="42" t="n">
        <x:f>S31*(I31-1)</x:f>
        <x:v>4.930316031437738</x:v>
      </x:c>
      <x:c r="V31" t="str">
        <x:f>'03 Sector Inputs'!I11</x:f>
        <x:v>DIRECT RAMP</x:v>
      </x:c>
      <x:c r="W31" t="n">
        <x:f>P31+F31*G31*12/1000*K31*H31*J31*L31*M31</x:f>
        <x:v>5.303840389149451</x:v>
      </x:c>
      <x:c r="X31" t="n">
        <x:f>F31*G31*12/1000*H31*((1-K31)*O31+K31*L31*M31*N31)</x:f>
        <x:v>6.0163041130433115</x:v>
      </x:c>
      <x:c r="Y31" t="n">
        <x:f>F31*G31*12/1000*H31*((1-K31)*O31+K31*L31*M31)</x:f>
        <x:v>5.298308381285911</x:v>
      </x:c>
      <x:c r="Z31" t="str">
        <x:f>IF(OR(F31&lt;0,E31&lt;0,E31&gt;1,R31&lt;0),"CHECK","OK")</x:f>
        <x:v>OK</x:v>
      </x:c>
    </x:row>
    <x:row r="32">
      <x:c r="A32" s="44" t="n">
        <x:f>2027</x:f>
        <x:v>2027</x:v>
      </x:c>
      <x:c r="B32" s="28" t="str">
        <x:f>'03 Sector Inputs'!A12</x:f>
        <x:v>31-33</x:v>
      </x:c>
      <x:c r="C32" s="28" t="str">
        <x:f>'03 Sector Inputs'!B12</x:f>
        <x:v>Manufacturing</x:v>
      </x:c>
      <x:c r="D32" t="n">
        <x:f>'03 Sector Inputs'!L12*('03 Sector Inputs'!D12/'03 Sector Inputs'!C12)^((A32-2026)/10)</x:f>
        <x:v>12.648087194531852</x:v>
      </x:c>
      <x:c r="E32" s="32" t="n">
        <x:f>MIN(0.98,1-(1-'03 Sector Inputs'!K12)*(1-'02 Assumptions'!$E$12)^(A32-2026))</x:f>
        <x:v>0.64947007</x:v>
      </x:c>
      <x:c r="F32" t="n">
        <x:f>D32*E32</x:f>
        <x:v>8.214554075598706</x:v>
      </x:c>
      <x:c r="G32" s="38" t="n">
        <x:f>'03 Sector Inputs'!Q12</x:f>
        <x:v>111.62191536298072</x:v>
      </x:c>
      <x:c r="H32" t="n">
        <x:f>(1+'02 Assumptions'!$E$19)^((A32-2026)*'02 Assumptions'!$E$20)</x:f>
        <x:v>1.0099259840370036</x:v>
      </x:c>
      <x:c r="I32" t="n">
        <x:f>(1+'03 Sector Inputs'!U12)^((A32-2026)/10)</x:f>
        <x:v>1.004477871619779</x:v>
      </x:c>
      <x:c r="J32" t="n">
        <x:f>I32^'02 Assumptions'!$E$21</x:f>
        <x:v>1.0013412614220882</x:v>
      </x:c>
      <x:c r="K32" s="32" t="n">
        <x:f>'02 Assumptions'!$E$14</x:f>
        <x:v>0.6</x:v>
      </x:c>
      <x:c r="L32" t="n">
        <x:f>(1+'02 Assumptions'!$E$15)^(A32-2026)</x:f>
        <x:v>1.4</x:v>
      </x:c>
      <x:c r="M32" t="n">
        <x:f>(1-'02 Assumptions'!$E$16)^(A32-2026)</x:f>
        <x:v>0.78</x:v>
      </x:c>
      <x:c r="N32" t="n">
        <x:f>IF(M32&gt;0,M32^(-'02 Assumptions'!$E$17),0)</x:f>
        <x:v>1.2199002430849164</x:v>
      </x:c>
      <x:c r="O32" t="n">
        <x:f>(1+'02 Assumptions'!$E$18)^(A32-2026)</x:f>
        <x:v>1.02</x:v>
      </x:c>
      <x:c r="P32" s="40" t="n">
        <x:f>F32*G32*12/1000*(1-K32)*H32*J32*O32</x:f>
        <x:v>4.5399025504954755</x:v>
      </x:c>
      <x:c r="Q32" s="40" t="n">
        <x:f>F32*G32*12/1000*K32*H32*J32*L32*M32*N32</x:f>
        <x:v>8.893742972977847</x:v>
      </x:c>
      <x:c r="R32" s="40" t="n">
        <x:f>SUM(P32:Q32)</x:f>
        <x:v>13.433645523473324</x:v>
      </x:c>
      <x:c r="S32" s="40" t="n">
        <x:f>IFERROR('03 Sector Inputs'!M12*(D32/'03 Sector Inputs'!L12)*(1+'02 Assumptions'!$E$19)^(A32-2026),0)</x:f>
        <x:v>3249.150979833118</x:v>
      </x:c>
      <x:c r="T32" s="36" t="n">
        <x:f>IFERROR(R32/S32,0)</x:f>
        <x:v>0.004134509478584863</x:v>
      </x:c>
      <x:c r="U32" s="42" t="n">
        <x:f>S32*(I32-1)</x:f>
        <x:v>14.549280960972121</x:v>
      </x:c>
      <x:c r="V32" t="str">
        <x:f>'03 Sector Inputs'!I12</x:f>
        <x:v>DIRECT RAMP</x:v>
      </x:c>
      <x:c r="W32" t="n">
        <x:f>P32+F32*G32*12/1000*K32*H32*J32*L32*M32</x:f>
        <x:v>11.830451940408796</x:v>
      </x:c>
      <x:c r="X32" t="n">
        <x:f>F32*G32*12/1000*H32*((1-K32)*O32+K32*L32*M32*N32)</x:f>
        <x:v>13.41565162749319</x:v>
      </x:c>
      <x:c r="Y32" t="n">
        <x:f>F32*G32*12/1000*H32*((1-K32)*O32+K32*L32*M32)</x:f>
        <x:v>11.814605465880218</x:v>
      </x:c>
      <x:c r="Z32" t="str">
        <x:f>IF(OR(F32&lt;0,E32&lt;0,E32&gt;1,R32&lt;0),"CHECK","OK")</x:f>
        <x:v>OK</x:v>
      </x:c>
    </x:row>
    <x:row r="33">
      <x:c r="A33" s="44" t="n">
        <x:f>2027</x:f>
        <x:v>2027</x:v>
      </x:c>
      <x:c r="B33" s="28" t="str">
        <x:f>'03 Sector Inputs'!A13</x:f>
        <x:v>42</x:v>
      </x:c>
      <x:c r="C33" s="28" t="str">
        <x:f>'03 Sector Inputs'!B13</x:f>
        <x:v>Wholesale Trade</x:v>
      </x:c>
      <x:c r="D33" t="n">
        <x:f>'03 Sector Inputs'!L13*('03 Sector Inputs'!D13/'03 Sector Inputs'!C13)^((A33-2026)/10)</x:f>
        <x:v>6.084335580721917</x:v>
      </x:c>
      <x:c r="E33" s="32" t="n">
        <x:f>MIN(0.98,1-(1-'03 Sector Inputs'!K13)*(1-'02 Assumptions'!$E$12)^(A33-2026))</x:f>
        <x:v>0.60519034</x:v>
      </x:c>
      <x:c r="F33" t="n">
        <x:f>D33*E33</x:f>
        <x:v>3.6821811187711946</x:v>
      </x:c>
      <x:c r="G33" s="38" t="n">
        <x:f>'03 Sector Inputs'!Q13</x:f>
        <x:v>118.90648391909023</x:v>
      </x:c>
      <x:c r="H33" t="n">
        <x:f>(1+'02 Assumptions'!$E$19)^((A33-2026)*'02 Assumptions'!$E$20)</x:f>
        <x:v>1.0099259840370036</x:v>
      </x:c>
      <x:c r="I33" t="n">
        <x:f>(1+'03 Sector Inputs'!U13)^((A33-2026)/10)</x:f>
        <x:v>1.0056896706974476</x:v>
      </x:c>
      <x:c r="J33" t="n">
        <x:f>I33^'02 Assumptions'!$E$21</x:f>
        <x:v>1.0017035130294814</x:v>
      </x:c>
      <x:c r="K33" s="32" t="n">
        <x:f>'02 Assumptions'!$E$14</x:f>
        <x:v>0.6</x:v>
      </x:c>
      <x:c r="L33" t="n">
        <x:f>(1+'02 Assumptions'!$E$15)^(A33-2026)</x:f>
        <x:v>1.4</x:v>
      </x:c>
      <x:c r="M33" t="n">
        <x:f>(1-'02 Assumptions'!$E$16)^(A33-2026)</x:f>
        <x:v>0.78</x:v>
      </x:c>
      <x:c r="N33" t="n">
        <x:f>IF(M33&gt;0,M33^(-'02 Assumptions'!$E$17),0)</x:f>
        <x:v>1.2199002430849164</x:v>
      </x:c>
      <x:c r="O33" t="n">
        <x:f>(1+'02 Assumptions'!$E$18)^(A33-2026)</x:f>
        <x:v>1.02</x:v>
      </x:c>
      <x:c r="P33" s="40" t="n">
        <x:f>F33*G33*12/1000*(1-K33)*H33*J33*O33</x:f>
        <x:v>2.1686069039229903</x:v>
      </x:c>
      <x:c r="Q33" s="40" t="n">
        <x:f>F33*G33*12/1000*K33*H33*J33*L33*M33*N33</x:f>
        <x:v>4.248336213915296</x:v>
      </x:c>
      <x:c r="R33" s="40" t="n">
        <x:f>SUM(P33:Q33)</x:f>
        <x:v>6.4169431178382865</x:v>
      </x:c>
      <x:c r="S33" s="40" t="n">
        <x:f>IFERROR('03 Sector Inputs'!M13*(D33/'03 Sector Inputs'!L13)*(1+'02 Assumptions'!$E$19)^(A33-2026),0)</x:f>
        <x:v>2144.0678979193735</x:v>
      </x:c>
      <x:c r="T33" s="36" t="n">
        <x:f>IFERROR(R33/S33,0)</x:f>
        <x:v>0.0029928824194725163</x:v>
      </x:c>
      <x:c r="U33" s="42" t="n">
        <x:f>S33*(I33-1)</x:f>
        <x:v>12.199040292130007</x:v>
      </x:c>
      <x:c r="V33" t="str">
        <x:f>'03 Sector Inputs'!I13</x:f>
        <x:v>NATIONAL PROXY</x:v>
      </x:c>
      <x:c r="W33" t="n">
        <x:f>P33+F33*G33*12/1000*K33*H33*J33*L33*M33</x:f>
        <x:v>5.651134461399321</x:v>
      </x:c>
      <x:c r="X33" t="n">
        <x:f>F33*G33*12/1000*H33*((1-K33)*O33+K33*L33*M33*N33)</x:f>
        <x:v>6.406030361649962</x:v>
      </x:c>
      <x:c r="Y33" t="n">
        <x:f>F33*G33*12/1000*H33*((1-K33)*O33+K33*L33*M33)</x:f>
        <x:v>5.641524051671167</x:v>
      </x:c>
      <x:c r="Z33" t="str">
        <x:f>IF(OR(F33&lt;0,E33&lt;0,E33&gt;1,R33&lt;0),"CHECK","OK")</x:f>
        <x:v>OK</x:v>
      </x:c>
    </x:row>
    <x:row r="34">
      <x:c r="A34" s="44" t="n">
        <x:f>2027</x:f>
        <x:v>2027</x:v>
      </x:c>
      <x:c r="B34" s="28" t="str">
        <x:f>'03 Sector Inputs'!A14</x:f>
        <x:v>44-45</x:v>
      </x:c>
      <x:c r="C34" s="28" t="str">
        <x:f>'03 Sector Inputs'!B14</x:f>
        <x:v>Retail Trade</x:v>
      </x:c>
      <x:c r="D34" t="n">
        <x:f>'03 Sector Inputs'!L14*('03 Sector Inputs'!D14/'03 Sector Inputs'!C14)^((A34-2026)/10)</x:f>
        <x:v>15.435396077642464</x:v>
      </x:c>
      <x:c r="E34" s="32" t="n">
        <x:f>MIN(0.98,1-(1-'03 Sector Inputs'!K14)*(1-'02 Assumptions'!$E$12)^(A34-2026))</x:f>
        <x:v>0.5389705899999999</x:v>
      </x:c>
      <x:c r="F34" t="n">
        <x:f>D34*E34</x:f>
        <x:v>8.319224530850644</x:v>
      </x:c>
      <x:c r="G34" s="38" t="n">
        <x:f>'03 Sector Inputs'!Q14</x:f>
        <x:v>96.49221383995867</x:v>
      </x:c>
      <x:c r="H34" t="n">
        <x:f>(1+'02 Assumptions'!$E$19)^((A34-2026)*'02 Assumptions'!$E$20)</x:f>
        <x:v>1.0099259840370036</x:v>
      </x:c>
      <x:c r="I34" t="n">
        <x:f>(1+'03 Sector Inputs'!U14)^((A34-2026)/10)</x:f>
        <x:v>1.0056896706974476</x:v>
      </x:c>
      <x:c r="J34" t="n">
        <x:f>I34^'02 Assumptions'!$E$21</x:f>
        <x:v>1.0017035130294814</x:v>
      </x:c>
      <x:c r="K34" s="32" t="n">
        <x:f>'02 Assumptions'!$E$14</x:f>
        <x:v>0.6</x:v>
      </x:c>
      <x:c r="L34" t="n">
        <x:f>(1+'02 Assumptions'!$E$15)^(A34-2026)</x:f>
        <x:v>1.4</x:v>
      </x:c>
      <x:c r="M34" t="n">
        <x:f>(1-'02 Assumptions'!$E$16)^(A34-2026)</x:f>
        <x:v>0.78</x:v>
      </x:c>
      <x:c r="N34" t="n">
        <x:f>IF(M34&gt;0,M34^(-'02 Assumptions'!$E$17),0)</x:f>
        <x:v>1.2199002430849164</x:v>
      </x:c>
      <x:c r="O34" t="n">
        <x:f>(1+'02 Assumptions'!$E$18)^(A34-2026)</x:f>
        <x:v>1.02</x:v>
      </x:c>
      <x:c r="P34" s="40" t="n">
        <x:f>F34*G34*12/1000*(1-K34)*H34*J34*O34</x:f>
        <x:v>3.9759898640860674</x:v>
      </x:c>
      <x:c r="Q34" s="40" t="n">
        <x:f>F34*G34*12/1000*K34*H34*J34*L34*M34*N34</x:f>
        <x:v>7.789028843909292</x:v>
      </x:c>
      <x:c r="R34" s="40" t="n">
        <x:f>SUM(P34:Q34)</x:f>
        <x:v>11.76501870799536</x:v>
      </x:c>
      <x:c r="S34" s="40" t="n">
        <x:f>IFERROR('03 Sector Inputs'!M14*(D34/'03 Sector Inputs'!L14)*(1+'02 Assumptions'!$E$19)^(A34-2026),0)</x:f>
        <x:v>1914.1537578767213</x:v>
      </x:c>
      <x:c r="T34" s="36" t="n">
        <x:f>IFERROR(R34/S34,0)</x:f>
        <x:v>0.006146328976751444</x:v>
      </x:c>
      <x:c r="U34" s="42" t="n">
        <x:f>S34*(I34-1)</x:f>
        <x:v>10.890904546600456</x:v>
      </x:c>
      <x:c r="V34" t="str">
        <x:f>'03 Sector Inputs'!I14</x:f>
        <x:v>DIRECT RAMP</x:v>
      </x:c>
      <x:c r="W34" t="n">
        <x:f>P34+F34*G34*12/1000*K34*H34*J34*L34*M34</x:f>
        <x:v>10.360961822294868</x:v>
      </x:c>
      <x:c r="X34" t="n">
        <x:f>F34*G34*12/1000*H34*((1-K34)*O34+K34*L34*M34*N34)</x:f>
        <x:v>11.745010928846666</x:v>
      </x:c>
      <x:c r="Y34" t="n">
        <x:f>F34*G34*12/1000*H34*((1-K34)*O34+K34*L34*M34)</x:f>
        <x:v>10.343341804762078</x:v>
      </x:c>
      <x:c r="Z34" t="str">
        <x:f>IF(OR(F34&lt;0,E34&lt;0,E34&gt;1,R34&lt;0),"CHECK","OK")</x:f>
        <x:v>OK</x:v>
      </x:c>
    </x:row>
    <x:row r="35">
      <x:c r="A35" s="44" t="n">
        <x:f>2027</x:f>
        <x:v>2027</x:v>
      </x:c>
      <x:c r="B35" s="28" t="str">
        <x:f>'03 Sector Inputs'!A15</x:f>
        <x:v>48-49</x:v>
      </x:c>
      <x:c r="C35" s="28" t="str">
        <x:f>'03 Sector Inputs'!B15</x:f>
        <x:v>Transportation and Warehousing</x:v>
      </x:c>
      <x:c r="D35" t="n">
        <x:f>'03 Sector Inputs'!L15*('03 Sector Inputs'!D15/'03 Sector Inputs'!C15)^((A35-2026)/10)</x:f>
        <x:v>6.346429118195744</x:v>
      </x:c>
      <x:c r="E35" s="32" t="n">
        <x:f>MIN(0.98,1-(1-'03 Sector Inputs'!K15)*(1-'02 Assumptions'!$E$12)^(A35-2026))</x:f>
        <x:v>0.60519034</x:v>
      </x:c>
      <x:c r="F35" t="n">
        <x:f>D35*E35</x:f>
        <x:v>3.8407975958267833</x:v>
      </x:c>
      <x:c r="G35" s="38" t="n">
        <x:f>'03 Sector Inputs'!Q15</x:f>
        <x:v>101.76066164601345</x:v>
      </x:c>
      <x:c r="H35" t="n">
        <x:f>(1+'02 Assumptions'!$E$19)^((A35-2026)*'02 Assumptions'!$E$20)</x:f>
        <x:v>1.0099259840370036</x:v>
      </x:c>
      <x:c r="I35" t="n">
        <x:f>(1+'03 Sector Inputs'!U15)^((A35-2026)/10)</x:f>
        <x:v>1.0043277421354528</x:v>
      </x:c>
      <x:c r="J35" t="n">
        <x:f>I35^'02 Assumptions'!$E$21</x:f>
        <x:v>1.0012963608674537</x:v>
      </x:c>
      <x:c r="K35" s="32" t="n">
        <x:f>'02 Assumptions'!$E$14</x:f>
        <x:v>0.6</x:v>
      </x:c>
      <x:c r="L35" t="n">
        <x:f>(1+'02 Assumptions'!$E$15)^(A35-2026)</x:f>
        <x:v>1.4</x:v>
      </x:c>
      <x:c r="M35" t="n">
        <x:f>(1-'02 Assumptions'!$E$16)^(A35-2026)</x:f>
        <x:v>0.78</x:v>
      </x:c>
      <x:c r="N35" t="n">
        <x:f>IF(M35&gt;0,M35^(-'02 Assumptions'!$E$17),0)</x:f>
        <x:v>1.2199002430849164</x:v>
      </x:c>
      <x:c r="O35" t="n">
        <x:f>(1+'02 Assumptions'!$E$18)^(A35-2026)</x:f>
        <x:v>1.02</x:v>
      </x:c>
      <x:c r="P35" s="40" t="n">
        <x:f>F35*G35*12/1000*(1-K35)*H35*J35*O35</x:f>
        <x:v>1.935062230547832</x:v>
      </x:c>
      <x:c r="Q35" s="40" t="n">
        <x:f>F35*G35*12/1000*K35*H35*J35*L35*M35*N35</x:f>
        <x:v>3.7908183983665835</x:v>
      </x:c>
      <x:c r="R35" s="40" t="n">
        <x:f>SUM(P35:Q35)</x:f>
        <x:v>5.725880628914416</x:v>
      </x:c>
      <x:c r="S35" s="40" t="n">
        <x:f>IFERROR('03 Sector Inputs'!M15*(D35/'03 Sector Inputs'!L15)*(1+'02 Assumptions'!$E$19)^(A35-2026),0)</x:f>
        <x:v>1026.6602169325704</x:v>
      </x:c>
      <x:c r="T35" s="36" t="n">
        <x:f>IFERROR(R35/S35,0)</x:f>
        <x:v>0.005577191493814826</x:v>
      </x:c>
      <x:c r="U35" s="42" t="n">
        <x:f>S35*(I35-1)</x:f>
        <x:v>4.443120679612237</x:v>
      </x:c>
      <x:c r="V35" t="str">
        <x:f>'03 Sector Inputs'!I15</x:f>
        <x:v>NATIONAL PROXY</x:v>
      </x:c>
      <x:c r="W35" t="n">
        <x:f>P35+F35*G35*12/1000*K35*H35*J35*L35*M35</x:f>
        <x:v>5.042544518427586</x:v>
      </x:c>
      <x:c r="X35" t="n">
        <x:f>F35*G35*12/1000*H35*((1-K35)*O35+K35*L35*M35*N35)</x:f>
        <x:v>5.718467431514393</x:v>
      </x:c>
      <x:c r="Y35" t="n">
        <x:f>F35*G35*12/1000*H35*((1-K35)*O35+K35*L35*M35)</x:f>
        <x:v>5.036016024325781</x:v>
      </x:c>
      <x:c r="Z35" t="str">
        <x:f>IF(OR(F35&lt;0,E35&lt;0,E35&gt;1,R35&lt;0),"CHECK","OK")</x:f>
        <x:v>OK</x:v>
      </x:c>
    </x:row>
    <x:row r="36">
      <x:c r="A36" s="44" t="n">
        <x:f>2027</x:f>
        <x:v>2027</x:v>
      </x:c>
      <x:c r="B36" s="28" t="str">
        <x:f>'03 Sector Inputs'!A16</x:f>
        <x:v>51</x:v>
      </x:c>
      <x:c r="C36" s="28" t="str">
        <x:f>'03 Sector Inputs'!B16</x:f>
        <x:v>Information</x:v>
      </x:c>
      <x:c r="D36" t="n">
        <x:f>'03 Sector Inputs'!L16*('03 Sector Inputs'!D16/'03 Sector Inputs'!C16)^((A36-2026)/10)</x:f>
        <x:v>2.8914820939767183</x:v>
      </x:c>
      <x:c r="E36" s="32" t="n">
        <x:f>MIN(0.98,1-(1-'03 Sector Inputs'!K16)*(1-'02 Assumptions'!$E$12)^(A36-2026))</x:f>
        <x:v>0.82830979</x:v>
      </x:c>
      <x:c r="F36" t="n">
        <x:f>D36*E36</x:f>
        <x:v>2.395042926050616</x:v>
      </x:c>
      <x:c r="G36" s="38" t="n">
        <x:f>'03 Sector Inputs'!Q16</x:f>
        <x:v>135.72518396753694</x:v>
      </x:c>
      <x:c r="H36" t="n">
        <x:f>(1+'02 Assumptions'!$E$19)^((A36-2026)*'02 Assumptions'!$E$20)</x:f>
        <x:v>1.0099259840370036</x:v>
      </x:c>
      <x:c r="I36" t="n">
        <x:f>(1+'03 Sector Inputs'!U16)^((A36-2026)/10)</x:f>
        <x:v>1.008214000475563</x:v>
      </x:c>
      <x:c r="J36" t="n">
        <x:f>I36^'02 Assumptions'!$E$21</x:f>
        <x:v>1.0024571486062677</x:v>
      </x:c>
      <x:c r="K36" s="32" t="n">
        <x:f>'02 Assumptions'!$E$14</x:f>
        <x:v>0.6</x:v>
      </x:c>
      <x:c r="L36" t="n">
        <x:f>(1+'02 Assumptions'!$E$15)^(A36-2026)</x:f>
        <x:v>1.4</x:v>
      </x:c>
      <x:c r="M36" t="n">
        <x:f>(1-'02 Assumptions'!$E$16)^(A36-2026)</x:f>
        <x:v>0.78</x:v>
      </x:c>
      <x:c r="N36" t="n">
        <x:f>IF(M36&gt;0,M36^(-'02 Assumptions'!$E$17),0)</x:f>
        <x:v>1.2199002430849164</x:v>
      </x:c>
      <x:c r="O36" t="n">
        <x:f>(1+'02 Assumptions'!$E$18)^(A36-2026)</x:f>
        <x:v>1.02</x:v>
      </x:c>
      <x:c r="P36" s="40" t="n">
        <x:f>F36*G36*12/1000*(1-K36)*H36*J36*O36</x:f>
        <x:v>1.6112781324706702</x:v>
      </x:c>
      <x:c r="Q36" s="40" t="n">
        <x:f>F36*G36*12/1000*K36*H36*J36*L36*M36*N36</x:f>
        <x:v>3.15652008138587</x:v>
      </x:c>
      <x:c r="R36" s="40" t="n">
        <x:f>SUM(P36:Q36)</x:f>
        <x:v>4.7677982138565405</x:v>
      </x:c>
      <x:c r="S36" s="40" t="n">
        <x:f>IFERROR('03 Sector Inputs'!M16*(D36/'03 Sector Inputs'!L16)*(1+'02 Assumptions'!$E$19)^(A36-2026),0)</x:f>
        <x:v>1974.3329393990016</x:v>
      </x:c>
      <x:c r="T36" s="36" t="n">
        <x:f>IFERROR(R36/S36,0)</x:f>
        <x:v>0.002414890679637795</x:v>
      </x:c>
      <x:c r="U36" s="42" t="n">
        <x:f>S36*(I36-1)</x:f>
        <x:v>16.21717170314327</x:v>
      </x:c>
      <x:c r="V36" t="str">
        <x:f>'03 Sector Inputs'!I16</x:f>
        <x:v>DIRECT RAMP</x:v>
      </x:c>
      <x:c r="W36" t="n">
        <x:f>P36+F36*G36*12/1000*K36*H36*J36*L36*M36</x:f>
        <x:v>4.198801251085334</x:v>
      </x:c>
      <x:c r="X36" t="n">
        <x:f>F36*G36*12/1000*H36*((1-K36)*O36+K36*L36*M36*N36)</x:f>
        <x:v>4.756111740522063</x:v>
      </x:c>
      <x:c r="Y36" t="n">
        <x:f>F36*G36*12/1000*H36*((1-K36)*O36+K36*L36*M36)</x:f>
        <x:v>4.188509460901143</x:v>
      </x:c>
      <x:c r="Z36" t="str">
        <x:f>IF(OR(F36&lt;0,E36&lt;0,E36&gt;1,R36&lt;0),"CHECK","OK")</x:f>
        <x:v>OK</x:v>
      </x:c>
    </x:row>
    <x:row r="37">
      <x:c r="A37" s="44" t="n">
        <x:f>2027</x:f>
        <x:v>2027</x:v>
      </x:c>
      <x:c r="B37" s="28" t="str">
        <x:f>'03 Sector Inputs'!A17</x:f>
        <x:v>52</x:v>
      </x:c>
      <x:c r="C37" s="28" t="str">
        <x:f>'03 Sector Inputs'!B17</x:f>
        <x:v>Finance and Insurance</x:v>
      </x:c>
      <x:c r="D37" t="n">
        <x:f>'03 Sector Inputs'!L17*('03 Sector Inputs'!D17/'03 Sector Inputs'!C17)^((A37-2026)/10)</x:f>
        <x:v>6.4313871386846575</x:v>
      </x:c>
      <x:c r="E37" s="32" t="n">
        <x:f>MIN(0.98,1-(1-'03 Sector Inputs'!K17)*(1-'02 Assumptions'!$E$12)^(A37-2026))</x:f>
        <x:v>0.7633456299999999</x:v>
      </x:c>
      <x:c r="F37" t="n">
        <x:f>D37*E37</x:f>
        <x:v>4.909371267153136</x:v>
      </x:c>
      <x:c r="G37" s="38" t="n">
        <x:f>'03 Sector Inputs'!Q17</x:f>
        <x:v>124.6049898658694</x:v>
      </x:c>
      <x:c r="H37" t="n">
        <x:f>(1+'02 Assumptions'!$E$19)^((A37-2026)*'02 Assumptions'!$E$20)</x:f>
        <x:v>1.0099259840370036</x:v>
      </x:c>
      <x:c r="I37" t="n">
        <x:f>(1+'03 Sector Inputs'!U17)^((A37-2026)/10)</x:f>
        <x:v>1.008874067303916</x:v>
      </x:c>
      <x:c r="J37" t="n">
        <x:f>I37^'02 Assumptions'!$E$21</x:f>
        <x:v>1.0026539928713916</x:v>
      </x:c>
      <x:c r="K37" s="32" t="n">
        <x:f>'02 Assumptions'!$E$14</x:f>
        <x:v>0.6</x:v>
      </x:c>
      <x:c r="L37" t="n">
        <x:f>(1+'02 Assumptions'!$E$15)^(A37-2026)</x:f>
        <x:v>1.4</x:v>
      </x:c>
      <x:c r="M37" t="n">
        <x:f>(1-'02 Assumptions'!$E$16)^(A37-2026)</x:f>
        <x:v>0.78</x:v>
      </x:c>
      <x:c r="N37" t="n">
        <x:f>IF(M37&gt;0,M37^(-'02 Assumptions'!$E$17),0)</x:f>
        <x:v>1.2199002430849164</x:v>
      </x:c>
      <x:c r="O37" t="n">
        <x:f>(1+'02 Assumptions'!$E$18)^(A37-2026)</x:f>
        <x:v>1.02</x:v>
      </x:c>
      <x:c r="P37" s="40" t="n">
        <x:f>F37*G37*12/1000*(1-K37)*H37*J37*O37</x:f>
        <x:v>3.0327970825545467</x:v>
      </x:c>
      <x:c r="Q37" s="40" t="n">
        <x:f>F37*G37*12/1000*K37*H37*J37*L37*M37*N37</x:f>
        <x:v>5.941298836578211</x:v>
      </x:c>
      <x:c r="R37" s="40" t="n">
        <x:f>SUM(P37:Q37)</x:f>
        <x:v>8.974095919132758</x:v>
      </x:c>
      <x:c r="S37" s="40" t="n">
        <x:f>IFERROR('03 Sector Inputs'!M17*(D37/'03 Sector Inputs'!L17)*(1+'02 Assumptions'!$E$19)^(A37-2026),0)</x:f>
        <x:v>2864.0428606351934</x:v>
      </x:c>
      <x:c r="T37" s="36" t="n">
        <x:f>IFERROR(R37/S37,0)</x:f>
        <x:v>0.0031333664877984625</x:v>
      </x:c>
      <x:c r="U37" s="42" t="n">
        <x:f>S37*(I37-1)</x:f>
        <x:v>25.415709106576948</x:v>
      </x:c>
      <x:c r="V37" t="str">
        <x:f>'03 Sector Inputs'!I17</x:f>
        <x:v>DIRECT RAMP</x:v>
      </x:c>
      <x:c r="W37" t="n">
        <x:f>P37+F37*G37*12/1000*K37*H37*J37*L37*M37</x:f>
        <x:v>7.903112397480377</x:v>
      </x:c>
      <x:c r="X37" t="n">
        <x:f>F37*G37*12/1000*H37*((1-K37)*O37+K37*L37*M37*N37)</x:f>
        <x:v>8.9503417758631</x:v>
      </x:c>
      <x:c r="Y37" t="n">
        <x:f>F37*G37*12/1000*H37*((1-K37)*O37+K37*L37*M37)</x:f>
        <x:v>7.882193113147154</x:v>
      </x:c>
      <x:c r="Z37" t="str">
        <x:f>IF(OR(F37&lt;0,E37&lt;0,E37&gt;1,R37&lt;0),"CHECK","OK")</x:f>
        <x:v>OK</x:v>
      </x:c>
    </x:row>
    <x:row r="38">
      <x:c r="A38" s="44" t="n">
        <x:f>2027</x:f>
        <x:v>2027</x:v>
      </x:c>
      <x:c r="B38" s="28" t="str">
        <x:f>'03 Sector Inputs'!A18</x:f>
        <x:v>53</x:v>
      </x:c>
      <x:c r="C38" s="28" t="str">
        <x:f>'03 Sector Inputs'!B18</x:f>
        <x:v>Real Estate and Rental and Leasing</x:v>
      </x:c>
      <x:c r="D38" t="n">
        <x:f>'03 Sector Inputs'!L18*('03 Sector Inputs'!D18/'03 Sector Inputs'!C18)^((A38-2026)/10)</x:f>
        <x:v>2.4730801091720016</x:v>
      </x:c>
      <x:c r="E38" s="32" t="n">
        <x:f>MIN(0.98,1-(1-'03 Sector Inputs'!K18)*(1-'02 Assumptions'!$E$12)^(A38-2026))</x:f>
        <x:v>0.60519034</x:v>
      </x:c>
      <x:c r="F38" t="n">
        <x:f>D38*E38</x:f>
        <x:v>1.4966841921170408</x:v>
      </x:c>
      <x:c r="G38" s="38" t="n">
        <x:f>'03 Sector Inputs'!Q18</x:f>
        <x:v>134.08799266238282</x:v>
      </x:c>
      <x:c r="H38" t="n">
        <x:f>(1+'02 Assumptions'!$E$19)^((A38-2026)*'02 Assumptions'!$E$20)</x:f>
        <x:v>1.0099259840370036</x:v>
      </x:c>
      <x:c r="I38" t="n">
        <x:f>(1+'03 Sector Inputs'!U18)^((A38-2026)/10)</x:f>
        <x:v>1.006200014473566</x:v>
      </x:c>
      <x:c r="J38" t="n">
        <x:f>I38^'02 Assumptions'!$E$21</x:f>
        <x:v>1.0018559822447655</x:v>
      </x:c>
      <x:c r="K38" s="32" t="n">
        <x:f>'02 Assumptions'!$E$14</x:f>
        <x:v>0.6</x:v>
      </x:c>
      <x:c r="L38" t="n">
        <x:f>(1+'02 Assumptions'!$E$15)^(A38-2026)</x:f>
        <x:v>1.4</x:v>
      </x:c>
      <x:c r="M38" t="n">
        <x:f>(1-'02 Assumptions'!$E$16)^(A38-2026)</x:f>
        <x:v>0.78</x:v>
      </x:c>
      <x:c r="N38" t="n">
        <x:f>IF(M38&gt;0,M38^(-'02 Assumptions'!$E$17),0)</x:f>
        <x:v>1.2199002430849164</x:v>
      </x:c>
      <x:c r="O38" t="n">
        <x:f>(1+'02 Assumptions'!$E$18)^(A38-2026)</x:f>
        <x:v>1.02</x:v>
      </x:c>
      <x:c r="P38" s="40" t="n">
        <x:f>F38*G38*12/1000*(1-K38)*H38*J38*O38</x:f>
        <x:v>0.9941600612018471</x:v>
      </x:c>
      <x:c r="Q38" s="40" t="n">
        <x:f>F38*G38*12/1000*K38*H38*J38*L38*M38*N38</x:f>
        <x:v>1.947575737581455</x:v>
      </x:c>
      <x:c r="R38" s="40" t="n">
        <x:f>SUM(P38:Q38)</x:f>
        <x:v>2.941735798783302</x:v>
      </x:c>
      <x:c r="S38" s="40" t="n">
        <x:f>IFERROR('03 Sector Inputs'!M18*(D38/'03 Sector Inputs'!L18)*(1+'02 Assumptions'!$E$19)^(A38-2026),0)</x:f>
        <x:v>1589.2247504923741</x:v>
      </x:c>
      <x:c r="T38" s="36" t="n">
        <x:f>IFERROR(R38/S38,0)</x:f>
        <x:v>0.0018510508333524837</x:v>
      </x:c>
      <x:c r="U38" s="42" t="n">
        <x:f>S38*(I38-1)</x:f>
        <x:v>9.853216454802205</x:v>
      </x:c>
      <x:c r="V38" t="str">
        <x:f>'03 Sector Inputs'!I18</x:f>
        <x:v>NATIONAL PROXY</x:v>
      </x:c>
      <x:c r="W38" t="n">
        <x:f>P38+F38*G38*12/1000*K38*H38*J38*L38*M38</x:f>
        <x:v>2.5906641594848128</x:v>
      </x:c>
      <x:c r="X38" t="n">
        <x:f>F38*G38*12/1000*H38*((1-K38)*O38+K38*L38*M38*N38)</x:f>
        <x:v>2.936286103908896</x:v>
      </x:c>
      <x:c r="Y38" t="n">
        <x:f>F38*G38*12/1000*H38*((1-K38)*O38+K38*L38*M38)</x:f>
        <x:v>2.585864840253939</x:v>
      </x:c>
      <x:c r="Z38" t="str">
        <x:f>IF(OR(F38&lt;0,E38&lt;0,E38&gt;1,R38&lt;0),"CHECK","OK")</x:f>
        <x:v>OK</x:v>
      </x:c>
    </x:row>
    <x:row r="39">
      <x:c r="A39" s="44" t="n">
        <x:f>2027</x:f>
        <x:v>2027</x:v>
      </x:c>
      <x:c r="B39" s="28" t="str">
        <x:f>'03 Sector Inputs'!A19</x:f>
        <x:v>54</x:v>
      </x:c>
      <x:c r="C39" s="28" t="str">
        <x:f>'03 Sector Inputs'!B19</x:f>
        <x:v>Professional, Scientific and Technical Services</x:v>
      </x:c>
      <x:c r="D39" t="n">
        <x:f>'03 Sector Inputs'!L19*('03 Sector Inputs'!D19/'03 Sector Inputs'!C19)^((A39-2026)/10)</x:f>
        <x:v>10.958476634100107</x:v>
      </x:c>
      <x:c r="E39" s="32" t="n">
        <x:f>MIN(0.98,1-(1-'03 Sector Inputs'!K19)*(1-'02 Assumptions'!$E$12)^(A39-2026))</x:f>
        <x:v>0.7814131450768959</x:v>
      </x:c>
      <x:c r="F39" t="n">
        <x:f>D39*E39</x:f>
        <x:v>8.56309769190384</x:v>
      </x:c>
      <x:c r="G39" s="38" t="n">
        <x:f>'03 Sector Inputs'!Q19</x:f>
        <x:v>110.53049517658319</x:v>
      </x:c>
      <x:c r="H39" t="n">
        <x:f>(1+'02 Assumptions'!$E$19)^((A39-2026)*'02 Assumptions'!$E$20)</x:f>
        <x:v>1.0099259840370036</x:v>
      </x:c>
      <x:c r="I39" t="n">
        <x:f>(1+'03 Sector Inputs'!U19)^((A39-2026)/10)</x:f>
        <x:v>1.0085310620079728</x:v>
      </x:c>
      <x:c r="J39" t="n">
        <x:f>I39^'02 Assumptions'!$E$21</x:f>
        <x:v>1.0025517135364987</x:v>
      </x:c>
      <x:c r="K39" s="32" t="n">
        <x:f>'02 Assumptions'!$E$14</x:f>
        <x:v>0.6</x:v>
      </x:c>
      <x:c r="L39" t="n">
        <x:f>(1+'02 Assumptions'!$E$15)^(A39-2026)</x:f>
        <x:v>1.4</x:v>
      </x:c>
      <x:c r="M39" t="n">
        <x:f>(1-'02 Assumptions'!$E$16)^(A39-2026)</x:f>
        <x:v>0.78</x:v>
      </x:c>
      <x:c r="N39" t="n">
        <x:f>IF(M39&gt;0,M39^(-'02 Assumptions'!$E$17),0)</x:f>
        <x:v>1.2199002430849164</x:v>
      </x:c>
      <x:c r="O39" t="n">
        <x:f>(1+'02 Assumptions'!$E$18)^(A39-2026)</x:f>
        <x:v>1.02</x:v>
      </x:c>
      <x:c r="P39" s="40" t="n">
        <x:f>F39*G39*12/1000*(1-K39)*H39*J39*O39</x:f>
        <x:v>4.691921671630793</x:v>
      </x:c>
      <x:c r="Q39" s="40" t="n">
        <x:f>F39*G39*12/1000*K39*H39*J39*L39*M39*N39</x:f>
        <x:v>9.191550905046338</x:v>
      </x:c>
      <x:c r="R39" s="40" t="n">
        <x:f>SUM(P39:Q39)</x:f>
        <x:v>13.883472576677132</x:v>
      </x:c>
      <x:c r="S39" s="40" t="n">
        <x:f>IFERROR('03 Sector Inputs'!M19*(D39/'03 Sector Inputs'!L19)*(1+'02 Assumptions'!$E$19)^(A39-2026),0)</x:f>
        <x:v>2680.146004306247</x:v>
      </x:c>
      <x:c r="T39" s="36" t="n">
        <x:f>IFERROR(R39/S39,0)</x:f>
        <x:v>0.005180118006396019</x:v>
      </x:c>
      <x:c r="U39" s="42" t="n">
        <x:f>S39*(I39-1)</x:f>
        <x:v>22.86449175315719</x:v>
      </x:c>
      <x:c r="V39" t="str">
        <x:f>'03 Sector Inputs'!I19</x:f>
        <x:v>CENSUS PROXY</x:v>
      </x:c>
      <x:c r="W39" t="n">
        <x:f>P39+F39*G39*12/1000*K39*H39*J39*L39*M39</x:f>
        <x:v>12.22659588548495</x:v>
      </x:c>
      <x:c r="X39" t="n">
        <x:f>F39*G39*12/1000*H39*((1-K39)*O39+K39*L39*M39*N39)</x:f>
        <x:v>13.848136100334628</x:v>
      </x:c>
      <x:c r="Y39" t="n">
        <x:f>F39*G39*12/1000*H39*((1-K39)*O39+K39*L39*M39)</x:f>
        <x:v>12.195476522957268</x:v>
      </x:c>
      <x:c r="Z39" t="str">
        <x:f>IF(OR(F39&lt;0,E39&lt;0,E39&gt;1,R39&lt;0),"CHECK","OK")</x:f>
        <x:v>OK</x:v>
      </x:c>
    </x:row>
    <x:row r="40">
      <x:c r="A40" s="44" t="n">
        <x:f>2027</x:f>
        <x:v>2027</x:v>
      </x:c>
      <x:c r="B40" s="28" t="str">
        <x:f>'03 Sector Inputs'!A20</x:f>
        <x:v>55</x:v>
      </x:c>
      <x:c r="C40" s="28" t="str">
        <x:f>'03 Sector Inputs'!B20</x:f>
        <x:v>Management of Companies and Enterprises</x:v>
      </x:c>
      <x:c r="D40" t="n">
        <x:f>'03 Sector Inputs'!L20*('03 Sector Inputs'!D20/'03 Sector Inputs'!C20)^((A40-2026)/10)</x:f>
        <x:v>2.644701096536704</x:v>
      </x:c>
      <x:c r="E40" s="32" t="n">
        <x:f>MIN(0.98,1-(1-'03 Sector Inputs'!K20)*(1-'02 Assumptions'!$E$12)^(A40-2026))</x:f>
        <x:v>0.60519034</x:v>
      </x:c>
      <x:c r="F40" t="n">
        <x:f>D40*E40</x:f>
        <x:v>1.6005475558114208</x:v>
      </x:c>
      <x:c r="G40" s="38" t="n">
        <x:f>'03 Sector Inputs'!Q20</x:f>
        <x:v>108.91030551487428</x:v>
      </x:c>
      <x:c r="H40" t="n">
        <x:f>(1+'02 Assumptions'!$E$19)^((A40-2026)*'02 Assumptions'!$E$20)</x:f>
        <x:v>1.0099259840370036</x:v>
      </x:c>
      <x:c r="I40" t="n">
        <x:f>(1+'03 Sector Inputs'!U20)^((A40-2026)/10)</x:f>
        <x:v>1.0085310620079728</x:v>
      </x:c>
      <x:c r="J40" t="n">
        <x:f>I40^'02 Assumptions'!$E$21</x:f>
        <x:v>1.0025517135364987</x:v>
      </x:c>
      <x:c r="K40" s="32" t="n">
        <x:f>'02 Assumptions'!$E$14</x:f>
        <x:v>0.6</x:v>
      </x:c>
      <x:c r="L40" t="n">
        <x:f>(1+'02 Assumptions'!$E$15)^(A40-2026)</x:f>
        <x:v>1.4</x:v>
      </x:c>
      <x:c r="M40" t="n">
        <x:f>(1-'02 Assumptions'!$E$16)^(A40-2026)</x:f>
        <x:v>0.78</x:v>
      </x:c>
      <x:c r="N40" t="n">
        <x:f>IF(M40&gt;0,M40^(-'02 Assumptions'!$E$17),0)</x:f>
        <x:v>1.2199002430849164</x:v>
      </x:c>
      <x:c r="O40" t="n">
        <x:f>(1+'02 Assumptions'!$E$18)^(A40-2026)</x:f>
        <x:v>1.02</x:v>
      </x:c>
      <x:c r="P40" s="40" t="n">
        <x:f>F40*G40*12/1000*(1-K40)*H40*J40*O40</x:f>
        <x:v>0.8641224688050801</x:v>
      </x:c>
      <x:c r="Q40" s="40" t="n">
        <x:f>F40*G40*12/1000*K40*H40*J40*L40*M40*N40</x:f>
        <x:v>1.6928299780110252</x:v>
      </x:c>
      <x:c r="R40" s="40" t="n">
        <x:f>SUM(P40:Q40)</x:f>
        <x:v>2.5569524468161053</x:v>
      </x:c>
      <x:c r="S40" s="40" t="n">
        <x:f>IFERROR('03 Sector Inputs'!M20*(D40/'03 Sector Inputs'!L20)*(1+'02 Assumptions'!$E$19)^(A40-2026),0)</x:f>
        <x:v>600.7851177036915</x:v>
      </x:c>
      <x:c r="T40" s="36" t="n">
        <x:f>IFERROR(R40/S40,0)</x:f>
        <x:v>0.00425601828585441</x:v>
      </x:c>
      <x:c r="U40" s="42" t="n">
        <x:f>S40*(I40-1)</x:f>
        <x:v>5.125335092597443</x:v>
      </x:c>
      <x:c r="V40" t="str">
        <x:f>'03 Sector Inputs'!I20</x:f>
        <x:v>NATIONAL PROXY</x:v>
      </x:c>
      <x:c r="W40" t="n">
        <x:f>P40+F40*G40*12/1000*K40*H40*J40*L40*M40</x:f>
        <x:v>2.2518014922391205</x:v>
      </x:c>
      <x:c r="X40" t="n">
        <x:f>F40*G40*12/1000*H40*((1-K40)*O40+K40*L40*M40*N40)</x:f>
        <x:v>2.5504444432062874</x:v>
      </x:c>
      <x:c r="Y40" t="n">
        <x:f>F40*G40*12/1000*H40*((1-K40)*O40+K40*L40*M40)</x:f>
        <x:v>2.2460701645961945</x:v>
      </x:c>
      <x:c r="Z40" t="str">
        <x:f>IF(OR(F40&lt;0,E40&lt;0,E40&gt;1,R40&lt;0),"CHECK","OK")</x:f>
        <x:v>OK</x:v>
      </x:c>
    </x:row>
    <x:row r="41">
      <x:c r="A41" s="44" t="n">
        <x:f>2027</x:f>
        <x:v>2027</x:v>
      </x:c>
      <x:c r="B41" s="28" t="str">
        <x:f>'03 Sector Inputs'!A21</x:f>
        <x:v>56</x:v>
      </x:c>
      <x:c r="C41" s="28" t="str">
        <x:f>'03 Sector Inputs'!B21</x:f>
        <x:v>Administrative, Support and Waste Services</x:v>
      </x:c>
      <x:c r="D41" t="n">
        <x:f>'03 Sector Inputs'!L21*('03 Sector Inputs'!D21/'03 Sector Inputs'!C21)^((A41-2026)/10)</x:f>
        <x:v>9.02912292949558</x:v>
      </x:c>
      <x:c r="E41" s="32" t="n">
        <x:f>MIN(0.98,1-(1-'03 Sector Inputs'!K21)*(1-'02 Assumptions'!$E$12)^(A41-2026))</x:f>
        <x:v>0.60519034</x:v>
      </x:c>
      <x:c r="F41" t="n">
        <x:f>D41*E41</x:f>
        <x:v>5.464337975603226</x:v>
      </x:c>
      <x:c r="G41" s="38" t="n">
        <x:f>'03 Sector Inputs'!Q21</x:f>
        <x:v>93.90408661465632</x:v>
      </x:c>
      <x:c r="H41" t="n">
        <x:f>(1+'02 Assumptions'!$E$19)^((A41-2026)*'02 Assumptions'!$E$20)</x:f>
        <x:v>1.0099259840370036</x:v>
      </x:c>
      <x:c r="I41" t="n">
        <x:f>(1+'03 Sector Inputs'!U21)^((A41-2026)/10)</x:f>
        <x:v>1.004833768074493</x:v>
      </x:c>
      <x:c r="J41" t="n">
        <x:f>I41^'02 Assumptions'!$E$21</x:f>
        <x:v>1.0014476837626303</x:v>
      </x:c>
      <x:c r="K41" s="32" t="n">
        <x:f>'02 Assumptions'!$E$14</x:f>
        <x:v>0.6</x:v>
      </x:c>
      <x:c r="L41" t="n">
        <x:f>(1+'02 Assumptions'!$E$15)^(A41-2026)</x:f>
        <x:v>1.4</x:v>
      </x:c>
      <x:c r="M41" t="n">
        <x:f>(1-'02 Assumptions'!$E$16)^(A41-2026)</x:f>
        <x:v>0.78</x:v>
      </x:c>
      <x:c r="N41" t="n">
        <x:f>IF(M41&gt;0,M41^(-'02 Assumptions'!$E$17),0)</x:f>
        <x:v>1.2199002430849164</x:v>
      </x:c>
      <x:c r="O41" t="n">
        <x:f>(1+'02 Assumptions'!$E$18)^(A41-2026)</x:f>
        <x:v>1.02</x:v>
      </x:c>
      <x:c r="P41" s="40" t="n">
        <x:f>F41*G41*12/1000*(1-K41)*H41*J41*O41</x:f>
        <x:v>2.5408631081485114</x:v>
      </x:c>
      <x:c r="Q41" s="40" t="n">
        <x:f>F41*G41*12/1000*K41*H41*J41*L41*M41*N41</x:f>
        <x:v>4.9775921756135935</x:v>
      </x:c>
      <x:c r="R41" s="40" t="n">
        <x:f>SUM(P41:Q41)</x:f>
        <x:v>7.518455283762105</x:v>
      </x:c>
      <x:c r="S41" s="40" t="n">
        <x:f>IFERROR('03 Sector Inputs'!M21*(D41/'03 Sector Inputs'!L21)*(1+'02 Assumptions'!$E$19)^(A41-2026),0)</x:f>
        <x:v>977.3851106615879</x:v>
      </x:c>
      <x:c r="T41" s="36" t="n">
        <x:f>IFERROR(R41/S41,0)</x:f>
        <x:v>0.007692418476349505</x:v>
      </x:c>
      <x:c r="U41" s="42" t="n">
        <x:f>S41*(I41-1)</x:f>
        <x:v>4.724452944400775</x:v>
      </x:c>
      <x:c r="V41" t="str">
        <x:f>'03 Sector Inputs'!I21</x:f>
        <x:v>NATIONAL PROXY</x:v>
      </x:c>
      <x:c r="W41" t="n">
        <x:f>P41+F41*G41*12/1000*K41*H41*J41*L41*M41</x:f>
        <x:v>6.621190334763472</x:v>
      </x:c>
      <x:c r="X41" t="n">
        <x:f>F41*G41*12/1000*H41*((1-K41)*O41+K41*L41*M41*N41)</x:f>
        <x:v>7.507586672439874</x:v>
      </x:c>
      <x:c r="Y41" t="n">
        <x:f>F41*G41*12/1000*H41*((1-K41)*O41+K41*L41*M41)</x:f>
        <x:v>6.611618801579725</x:v>
      </x:c>
      <x:c r="Z41" t="str">
        <x:f>IF(OR(F41&lt;0,E41&lt;0,E41&gt;1,R41&lt;0),"CHECK","OK")</x:f>
        <x:v>OK</x:v>
      </x:c>
    </x:row>
    <x:row r="42">
      <x:c r="A42" s="44" t="n">
        <x:f>2027</x:f>
        <x:v>2027</x:v>
      </x:c>
      <x:c r="B42" s="28" t="str">
        <x:f>'03 Sector Inputs'!A22</x:f>
        <x:v>61</x:v>
      </x:c>
      <x:c r="C42" s="28" t="str">
        <x:f>'03 Sector Inputs'!B22</x:f>
        <x:v>Educational Services (Private)</x:v>
      </x:c>
      <x:c r="D42" t="n">
        <x:f>'03 Sector Inputs'!L22*('03 Sector Inputs'!D22/'03 Sector Inputs'!C22)^((A42-2026)/10)</x:f>
        <x:v>4.0690170872099864</x:v>
      </x:c>
      <x:c r="E42" s="32" t="n">
        <x:f>MIN(0.98,1-(1-'03 Sector Inputs'!K22)*(1-'02 Assumptions'!$E$12)^(A42-2026))</x:f>
        <x:v>0.60519034</x:v>
      </x:c>
      <x:c r="F42" t="n">
        <x:f>D42*E42</x:f>
        <x:v>2.4625298344744215</x:v>
      </x:c>
      <x:c r="G42" s="38" t="n">
        <x:f>'03 Sector Inputs'!Q22</x:f>
        <x:v>90.94311072364238</x:v>
      </x:c>
      <x:c r="H42" t="n">
        <x:f>(1+'02 Assumptions'!$E$19)^((A42-2026)*'02 Assumptions'!$E$20)</x:f>
        <x:v>1.0099259840370036</x:v>
      </x:c>
      <x:c r="I42" t="n">
        <x:f>(1+'03 Sector Inputs'!U22)^((A42-2026)/10)</x:f>
        <x:v>1.0061416605579423</x:v>
      </x:c>
      <x:c r="J42" t="n">
        <x:f>I42^'02 Assumptions'!$E$21</x:f>
        <x:v>1.0018385512950574</x:v>
      </x:c>
      <x:c r="K42" s="32" t="n">
        <x:f>'02 Assumptions'!$E$14</x:f>
        <x:v>0.6</x:v>
      </x:c>
      <x:c r="L42" t="n">
        <x:f>(1+'02 Assumptions'!$E$15)^(A42-2026)</x:f>
        <x:v>1.4</x:v>
      </x:c>
      <x:c r="M42" t="n">
        <x:f>(1-'02 Assumptions'!$E$16)^(A42-2026)</x:f>
        <x:v>0.78</x:v>
      </x:c>
      <x:c r="N42" t="n">
        <x:f>IF(M42&gt;0,M42^(-'02 Assumptions'!$E$17),0)</x:f>
        <x:v>1.2199002430849164</x:v>
      </x:c>
      <x:c r="O42" t="n">
        <x:f>(1+'02 Assumptions'!$E$18)^(A42-2026)</x:f>
        <x:v>1.02</x:v>
      </x:c>
      <x:c r="P42" s="40" t="n">
        <x:f>F42*G42*12/1000*(1-K42)*H42*J42*O42</x:f>
        <x:v>1.1093791540245728</x:v>
      </x:c>
      <x:c r="Q42" s="40" t="n">
        <x:f>F42*G42*12/1000*K42*H42*J42*L42*M42*N42</x:f>
        <x:v>2.173291815349064</x:v>
      </x:c>
      <x:c r="R42" s="40" t="n">
        <x:f>SUM(P42:Q42)</x:f>
        <x:v>3.282670969373637</x:v>
      </x:c>
      <x:c r="S42" s="40" t="n">
        <x:f>IFERROR('03 Sector Inputs'!M22*(D42/'03 Sector Inputs'!L22)*(1+'02 Assumptions'!$E$19)^(A42-2026),0)</x:f>
        <x:v>375.2634171256868</x:v>
      </x:c>
      <x:c r="T42" s="36" t="n">
        <x:f>IFERROR(R42/S42,0)</x:f>
        <x:v>0.00874764450666976</x:v>
      </x:c>
      <x:c r="U42" s="42" t="n">
        <x:f>S42*(I42-1)</x:f>
        <x:v>2.304740527799478</x:v>
      </x:c>
      <x:c r="V42" t="str">
        <x:f>'03 Sector Inputs'!I22</x:f>
        <x:v>NATIONAL PROXY</x:v>
      </x:c>
      <x:c r="W42" t="n">
        <x:f>P42+F42*G42*12/1000*K42*H42*J42*L42*M42</x:f>
        <x:v>2.8909115601934454</x:v>
      </x:c>
      <x:c r="X42" t="n">
        <x:f>F42*G42*12/1000*H42*((1-K42)*O42+K42*L42*M42*N42)</x:f>
        <x:v>3.2766466863649746</x:v>
      </x:c>
      <x:c r="Y42" t="n">
        <x:f>F42*G42*12/1000*H42*((1-K42)*O42+K42*L42*M42)</x:f>
        <x:v>2.8856062251312053</x:v>
      </x:c>
      <x:c r="Z42" t="str">
        <x:f>IF(OR(F42&lt;0,E42&lt;0,E42&gt;1,R42&lt;0),"CHECK","OK")</x:f>
        <x:v>OK</x:v>
      </x:c>
    </x:row>
    <x:row r="43">
      <x:c r="A43" s="44" t="n">
        <x:f>2027</x:f>
        <x:v>2027</x:v>
      </x:c>
      <x:c r="B43" s="28" t="str">
        <x:f>'03 Sector Inputs'!A23</x:f>
        <x:v>62</x:v>
      </x:c>
      <x:c r="C43" s="28" t="str">
        <x:f>'03 Sector Inputs'!B23</x:f>
        <x:v>Health Care and Social Assistance (Private)</x:v>
      </x:c>
      <x:c r="D43" t="n">
        <x:f>'03 Sector Inputs'!L23*('03 Sector Inputs'!D23/'03 Sector Inputs'!C23)^((A43-2026)/10)</x:f>
        <x:v>23.715152007652435</x:v>
      </x:c>
      <x:c r="E43" s="32" t="n">
        <x:f>MIN(0.98,1-(1-'03 Sector Inputs'!K23)*(1-'02 Assumptions'!$E$12)^(A43-2026))</x:f>
        <x:v>0.49035178</x:v>
      </x:c>
      <x:c r="F43" t="n">
        <x:f>D43*E43</x:f>
        <x:v>11.628766999922945</x:v>
      </x:c>
      <x:c r="G43" s="38" t="n">
        <x:f>'03 Sector Inputs'!Q23</x:f>
        <x:v>93.69693394431226</x:v>
      </x:c>
      <x:c r="H43" t="n">
        <x:f>(1+'02 Assumptions'!$E$19)^((A43-2026)*'02 Assumptions'!$E$20)</x:f>
        <x:v>1.0099259840370036</x:v>
      </x:c>
      <x:c r="I43" t="n">
        <x:f>(1+'03 Sector Inputs'!U23)^((A43-2026)/10)</x:f>
        <x:v>1.0055225819723193</x:v>
      </x:c>
      <x:c r="J43" t="n">
        <x:f>I43^'02 Assumptions'!$E$21</x:f>
        <x:v>1.001653582190515</x:v>
      </x:c>
      <x:c r="K43" s="32" t="n">
        <x:f>'02 Assumptions'!$E$14</x:f>
        <x:v>0.6</x:v>
      </x:c>
      <x:c r="L43" t="n">
        <x:f>(1+'02 Assumptions'!$E$15)^(A43-2026)</x:f>
        <x:v>1.4</x:v>
      </x:c>
      <x:c r="M43" t="n">
        <x:f>(1-'02 Assumptions'!$E$16)^(A43-2026)</x:f>
        <x:v>0.78</x:v>
      </x:c>
      <x:c r="N43" t="n">
        <x:f>IF(M43&gt;0,M43^(-'02 Assumptions'!$E$17),0)</x:f>
        <x:v>1.2199002430849164</x:v>
      </x:c>
      <x:c r="O43" t="n">
        <x:f>(1+'02 Assumptions'!$E$18)^(A43-2026)</x:f>
        <x:v>1.02</x:v>
      </x:c>
      <x:c r="P43" s="40" t="n">
        <x:f>F43*G43*12/1000*(1-K43)*H43*J43*O43</x:f>
        <x:v>5.3964424798750175</x:v>
      </x:c>
      <x:c r="Q43" s="40" t="n">
        <x:f>F43*G43*12/1000*K43*H43*J43*L43*M43*N43</x:f>
        <x:v>10.571718632865712</x:v>
      </x:c>
      <x:c r="R43" s="40" t="n">
        <x:f>SUM(P43:Q43)</x:f>
        <x:v>15.96816111274073</x:v>
      </x:c>
      <x:c r="S43" s="40" t="n">
        <x:f>IFERROR('03 Sector Inputs'!M23*(D43/'03 Sector Inputs'!L23)*(1+'02 Assumptions'!$E$19)^(A43-2026),0)</x:f>
        <x:v>2538.9286719739234</x:v>
      </x:c>
      <x:c r="T43" s="36" t="n">
        <x:f>IFERROR(R43/S43,0)</x:f>
        <x:v>0.006289330334091692</x:v>
      </x:c>
      <x:c r="U43" s="42" t="n">
        <x:f>S43*(I43-1)</x:f>
        <x:v>14.021441712847649</x:v>
      </x:c>
      <x:c r="V43" t="str">
        <x:f>'03 Sector Inputs'!I23</x:f>
        <x:v>DIRECT RAMP</x:v>
      </x:c>
      <x:c r="W43" t="n">
        <x:f>P43+F43*G43*12/1000*K43*H43*J43*L43*M43</x:f>
        <x:v>14.062494226968425</x:v>
      </x:c>
      <x:c r="X43" t="n">
        <x:f>F43*G43*12/1000*H43*((1-K43)*O43+K43*L43*M43*N43)</x:f>
        <x:v>15.941800036116254</x:v>
      </x:c>
      <x:c r="Y43" t="n">
        <x:f>F43*G43*12/1000*H43*((1-K43)*O43+K43*L43*M43)</x:f>
        <x:v>14.03927912503959</x:v>
      </x:c>
      <x:c r="Z43" t="str">
        <x:f>IF(OR(F43&lt;0,E43&lt;0,E43&gt;1,R43&lt;0),"CHECK","OK")</x:f>
        <x:v>OK</x:v>
      </x:c>
    </x:row>
    <x:row r="44">
      <x:c r="A44" s="44" t="n">
        <x:f>2027</x:f>
        <x:v>2027</x:v>
      </x:c>
      <x:c r="B44" s="28" t="str">
        <x:f>'03 Sector Inputs'!A24</x:f>
        <x:v>71</x:v>
      </x:c>
      <x:c r="C44" s="28" t="str">
        <x:f>'03 Sector Inputs'!B24</x:f>
        <x:v>Arts, Entertainment and Recreation</x:v>
      </x:c>
      <x:c r="D44" t="n">
        <x:f>'03 Sector Inputs'!L24*('03 Sector Inputs'!D24/'03 Sector Inputs'!C24)^((A44-2026)/10)</x:f>
        <x:v>2.7116437884633062</x:v>
      </x:c>
      <x:c r="E44" s="32" t="n">
        <x:f>MIN(0.98,1-(1-'03 Sector Inputs'!K24)*(1-'02 Assumptions'!$E$12)^(A44-2026))</x:f>
        <x:v>0.60519034</x:v>
      </x:c>
      <x:c r="F44" t="n">
        <x:f>D44*E44</x:f>
        <x:v>1.6410606262989964</x:v>
      </x:c>
      <x:c r="G44" s="38" t="n">
        <x:f>'03 Sector Inputs'!Q24</x:f>
        <x:v>96.78298617210244</x:v>
      </x:c>
      <x:c r="H44" t="n">
        <x:f>(1+'02 Assumptions'!$E$19)^((A44-2026)*'02 Assumptions'!$E$20)</x:f>
        <x:v>1.0099259840370036</x:v>
      </x:c>
      <x:c r="I44" t="n">
        <x:f>(1+'03 Sector Inputs'!U24)^((A44-2026)/10)</x:f>
        <x:v>1.0050333592808762</x:v>
      </x:c>
      <x:c r="J44" t="n">
        <x:f>I44^'02 Assumptions'!$E$21</x:f>
        <x:v>1.0015073552018483</x:v>
      </x:c>
      <x:c r="K44" s="32" t="n">
        <x:f>'02 Assumptions'!$E$14</x:f>
        <x:v>0.6</x:v>
      </x:c>
      <x:c r="L44" t="n">
        <x:f>(1+'02 Assumptions'!$E$15)^(A44-2026)</x:f>
        <x:v>1.4</x:v>
      </x:c>
      <x:c r="M44" t="n">
        <x:f>(1-'02 Assumptions'!$E$16)^(A44-2026)</x:f>
        <x:v>0.78</x:v>
      </x:c>
      <x:c r="N44" t="n">
        <x:f>IF(M44&gt;0,M44^(-'02 Assumptions'!$E$17),0)</x:f>
        <x:v>1.2199002430849164</x:v>
      </x:c>
      <x:c r="O44" t="n">
        <x:f>(1+'02 Assumptions'!$E$18)^(A44-2026)</x:f>
        <x:v>1.02</x:v>
      </x:c>
      <x:c r="P44" s="40" t="n">
        <x:f>F44*G44*12/1000*(1-K44)*H44*J44*O44</x:f>
        <x:v>0.7865181371614004</x:v>
      </x:c>
      <x:c r="Q44" s="40" t="n">
        <x:f>F44*G44*12/1000*K44*H44*J44*L44*M44*N44</x:f>
        <x:v>1.5408018294875967</x:v>
      </x:c>
      <x:c r="R44" s="40" t="n">
        <x:f>SUM(P44:Q44)</x:f>
        <x:v>2.327319966648997</x:v>
      </x:c>
      <x:c r="S44" s="40" t="n">
        <x:f>IFERROR('03 Sector Inputs'!M24*(D44/'03 Sector Inputs'!L24)*(1+'02 Assumptions'!$E$19)^(A44-2026),0)</x:f>
        <x:v>341.3700507555329</x:v>
      </x:c>
      <x:c r="T44" s="36" t="n">
        <x:f>IFERROR(R44/S44,0)</x:f>
        <x:v>0.006817586843069818</x:v>
      </x:c>
      <x:c r="U44" s="42" t="n">
        <x:f>S44*(I44-1)</x:f>
        <x:v>1.7182381131835498</x:v>
      </x:c>
      <x:c r="V44" t="str">
        <x:f>'03 Sector Inputs'!I24</x:f>
        <x:v>NATIONAL PROXY</x:v>
      </x:c>
      <x:c r="W44" t="n">
        <x:f>P44+F44*G44*12/1000*K44*H44*J44*L44*M44</x:f>
        <x:v>2.049573733897061</x:v>
      </x:c>
      <x:c r="X44" t="n">
        <x:f>F44*G44*12/1000*H44*((1-K44)*O44+K44*L44*M44*N44)</x:f>
        <x:v>2.323817148781637</x:v>
      </x:c>
      <x:c r="Y44" t="n">
        <x:f>F44*G44*12/1000*H44*((1-K44)*O44+K44*L44*M44)</x:f>
        <x:v>2.0464889481355644</x:v>
      </x:c>
      <x:c r="Z44" t="str">
        <x:f>IF(OR(F44&lt;0,E44&lt;0,E44&gt;1,R44&lt;0),"CHECK","OK")</x:f>
        <x:v>OK</x:v>
      </x:c>
    </x:row>
    <x:row r="45">
      <x:c r="A45" s="44" t="n">
        <x:f>2027</x:f>
        <x:v>2027</x:v>
      </x:c>
      <x:c r="B45" s="28" t="str">
        <x:f>'03 Sector Inputs'!A25</x:f>
        <x:v>72</x:v>
      </x:c>
      <x:c r="C45" s="28" t="str">
        <x:f>'03 Sector Inputs'!B25</x:f>
        <x:v>Accommodation and Food Services</x:v>
      </x:c>
      <x:c r="D45" t="n">
        <x:f>'03 Sector Inputs'!L25*('03 Sector Inputs'!D25/'03 Sector Inputs'!C25)^((A45-2026)/10)</x:f>
        <x:v>14.321553583919755</x:v>
      </x:c>
      <x:c r="E45" s="32" t="n">
        <x:f>MIN(0.98,1-(1-'03 Sector Inputs'!K25)*(1-'02 Assumptions'!$E$12)^(A45-2026))</x:f>
        <x:v>0.39747186999999995</x:v>
      </x:c>
      <x:c r="F45" t="n">
        <x:f>D45*E45</x:f>
        <x:v>5.692414684305787</x:v>
      </x:c>
      <x:c r="G45" s="38" t="n">
        <x:f>'03 Sector Inputs'!Q25</x:f>
        <x:v>86.70668944553024</x:v>
      </x:c>
      <x:c r="H45" t="n">
        <x:f>(1+'02 Assumptions'!$E$19)^((A45-2026)*'02 Assumptions'!$E$20)</x:f>
        <x:v>1.0099259840370036</x:v>
      </x:c>
      <x:c r="I45" t="n">
        <x:f>(1+'03 Sector Inputs'!U25)^((A45-2026)/10)</x:f>
        <x:v>1.0028897150111367</x:v>
      </x:c>
      <x:c r="J45" t="n">
        <x:f>I45^'02 Assumptions'!$E$21</x:f>
        <x:v>1.0008660391387583</x:v>
      </x:c>
      <x:c r="K45" s="32" t="n">
        <x:f>'02 Assumptions'!$E$14</x:f>
        <x:v>0.6</x:v>
      </x:c>
      <x:c r="L45" t="n">
        <x:f>(1+'02 Assumptions'!$E$15)^(A45-2026)</x:f>
        <x:v>1.4</x:v>
      </x:c>
      <x:c r="M45" t="n">
        <x:f>(1-'02 Assumptions'!$E$16)^(A45-2026)</x:f>
        <x:v>0.78</x:v>
      </x:c>
      <x:c r="N45" t="n">
        <x:f>IF(M45&gt;0,M45^(-'02 Assumptions'!$E$17),0)</x:f>
        <x:v>1.2199002430849164</x:v>
      </x:c>
      <x:c r="O45" t="n">
        <x:f>(1+'02 Assumptions'!$E$18)^(A45-2026)</x:f>
        <x:v>1.02</x:v>
      </x:c>
      <x:c r="P45" s="40" t="n">
        <x:f>F45*G45*12/1000*(1-K45)*H45*J45*O45</x:f>
        <x:v>2.44262075816908</x:v>
      </x:c>
      <x:c r="Q45" s="40" t="n">
        <x:f>F45*G45*12/1000*K45*H45*J45*L45*M45*N45</x:f>
        <x:v>4.785133813333762</x:v>
      </x:c>
      <x:c r="R45" s="40" t="n">
        <x:f>SUM(P45:Q45)</x:f>
        <x:v>7.227754571502842</x:v>
      </x:c>
      <x:c r="S45" s="40" t="n">
        <x:f>IFERROR('03 Sector Inputs'!M25*(D45/'03 Sector Inputs'!L25)*(1+'02 Assumptions'!$E$19)^(A45-2026),0)</x:f>
        <x:v>1040.5209886478124</x:v>
      </x:c>
      <x:c r="T45" s="36" t="n">
        <x:f>IFERROR(R45/S45,0)</x:f>
        <x:v>0.006946284265630741</x:v>
      </x:c>
      <x:c r="U45" s="42" t="n">
        <x:f>S45*(I45-1)</x:f>
        <x:v>3.006809120298344</x:v>
      </x:c>
      <x:c r="V45" t="str">
        <x:f>'03 Sector Inputs'!I25</x:f>
        <x:v>DIRECT RAMP</x:v>
      </x:c>
      <x:c r="W45" t="n">
        <x:f>P45+F45*G45*12/1000*K45*H45*J45*L45*M45</x:f>
        <x:v>6.3651823286406035</x:v>
      </x:c>
      <x:c r="X45" t="n">
        <x:f>F45*G45*12/1000*H45*((1-K45)*O45+K45*L45*M45*N45)</x:f>
        <x:v>7.221500469455733</x:v>
      </x:c>
      <x:c r="Y45" t="n">
        <x:f>F45*G45*12/1000*H45*((1-K45)*O45+K45*L45*M45)</x:f>
        <x:v>6.359674601525916</x:v>
      </x:c>
      <x:c r="Z45" t="str">
        <x:f>IF(OR(F45&lt;0,E45&lt;0,E45&gt;1,R45&lt;0),"CHECK","OK")</x:f>
        <x:v>OK</x:v>
      </x:c>
    </x:row>
    <x:row r="46">
      <x:c r="A46" s="44" t="n">
        <x:f>2027</x:f>
        <x:v>2027</x:v>
      </x:c>
      <x:c r="B46" s="28" t="str">
        <x:f>'03 Sector Inputs'!A26</x:f>
        <x:v>81</x:v>
      </x:c>
      <x:c r="C46" s="28" t="str">
        <x:f>'03 Sector Inputs'!B26</x:f>
        <x:v>Other Services Except Public Administration</x:v>
      </x:c>
      <x:c r="D46" t="n">
        <x:f>'03 Sector Inputs'!L26*('03 Sector Inputs'!D26/'03 Sector Inputs'!C26)^((A46-2026)/10)</x:f>
        <x:v>6.293136913653645</x:v>
      </x:c>
      <x:c r="E46" s="32" t="n">
        <x:f>MIN(0.98,1-(1-'03 Sector Inputs'!K26)*(1-'02 Assumptions'!$E$12)^(A46-2026))</x:f>
        <x:v>0.60519034</x:v>
      </x:c>
      <x:c r="F46" t="n">
        <x:f>D46*E46</x:f>
        <x:v>3.8085456684406003</x:v>
      </x:c>
      <x:c r="G46" s="38" t="n">
        <x:f>'03 Sector Inputs'!Q26</x:f>
        <x:v>92.75230522798783</x:v>
      </x:c>
      <x:c r="H46" t="n">
        <x:f>(1+'02 Assumptions'!$E$19)^((A46-2026)*'02 Assumptions'!$E$20)</x:f>
        <x:v>1.0099259840370036</x:v>
      </x:c>
      <x:c r="I46" t="n">
        <x:f>(1+'03 Sector Inputs'!U26)^((A46-2026)/10)</x:f>
        <x:v>1.0052252309403535</x:v>
      </x:c>
      <x:c r="J46" t="n">
        <x:f>I46^'02 Assumptions'!$E$21</x:f>
        <x:v>1.0015647109218007</x:v>
      </x:c>
      <x:c r="K46" s="32" t="n">
        <x:f>'02 Assumptions'!$E$14</x:f>
        <x:v>0.6</x:v>
      </x:c>
      <x:c r="L46" t="n">
        <x:f>(1+'02 Assumptions'!$E$15)^(A46-2026)</x:f>
        <x:v>1.4</x:v>
      </x:c>
      <x:c r="M46" t="n">
        <x:f>(1-'02 Assumptions'!$E$16)^(A46-2026)</x:f>
        <x:v>0.78</x:v>
      </x:c>
      <x:c r="N46" t="n">
        <x:f>IF(M46&gt;0,M46^(-'02 Assumptions'!$E$17),0)</x:f>
        <x:v>1.2199002430849164</x:v>
      </x:c>
      <x:c r="O46" t="n">
        <x:f>(1+'02 Assumptions'!$E$18)^(A46-2026)</x:f>
        <x:v>1.02</x:v>
      </x:c>
      <x:c r="P46" s="40" t="n">
        <x:f>F46*G46*12/1000*(1-K46)*H46*J46*O46</x:f>
        <x:v>1.7494190416813995</x:v>
      </x:c>
      <x:c r="Q46" s="40" t="n">
        <x:f>F46*G46*12/1000*K46*H46*J46*L46*M46*N46</x:f>
        <x:v>3.427140370457847</x:v>
      </x:c>
      <x:c r="R46" s="40" t="n">
        <x:f>SUM(P46:Q46)</x:f>
        <x:v>5.176559412139246</x:v>
      </x:c>
      <x:c r="S46" s="40" t="n">
        <x:f>IFERROR('03 Sector Inputs'!M26*(D46/'03 Sector Inputs'!L26)*(1+'02 Assumptions'!$E$19)^(A46-2026),0)</x:f>
        <x:v>640.4547197696405</x:v>
      </x:c>
      <x:c r="T46" s="36" t="n">
        <x:f>IFERROR(R46/S46,0)</x:f>
        <x:v>0.008082631374785024</x:v>
      </x:c>
      <x:c r="U46" s="42" t="n">
        <x:f>S46*(I46-1)</x:f>
        <x:v>3.3465238176357834</x:v>
      </x:c>
      <x:c r="V46" t="str">
        <x:f>'03 Sector Inputs'!I26</x:f>
        <x:v>NATIONAL PROXY</x:v>
      </x:c>
      <x:c r="W46" t="n">
        <x:f>P46+F46*G46*12/1000*K46*H46*J46*L46*M46</x:f>
        <x:v>4.558780208616823</x:v>
      </x:c>
      <x:c r="X46" t="n">
        <x:f>F46*G46*12/1000*H46*((1-K46)*O46+K46*L46*M46*N46)</x:f>
        <x:v>5.1684722471650835</x:v>
      </x:c>
      <x:c r="Y46" t="n">
        <x:f>F46*G46*12/1000*H46*((1-K46)*O46+K46*L46*M46)</x:f>
        <x:v>4.551658179351289</x:v>
      </x:c>
      <x:c r="Z46" t="str">
        <x:f>IF(OR(F46&lt;0,E46&lt;0,E46&gt;1,R46&lt;0),"CHECK","OK")</x:f>
        <x:v>OK</x:v>
      </x:c>
    </x:row>
    <x:row r="47">
      <x:c r="A47" s="44" t="n">
        <x:f>2027</x:f>
        <x:v>2027</x:v>
      </x:c>
      <x:c r="B47" s="28" t="str">
        <x:f>'03 Sector Inputs'!A27</x:f>
        <x:v>Gov</x:v>
      </x:c>
      <x:c r="C47" s="28" t="str">
        <x:f>'03 Sector Inputs'!B27</x:f>
        <x:v>Federal and State/Local Government</x:v>
      </x:c>
      <x:c r="D47" t="n">
        <x:f>'03 Sector Inputs'!L27*('03 Sector Inputs'!D27/'03 Sector Inputs'!C27)^((A47-2026)/10)</x:f>
        <x:v>0</x:v>
      </x:c>
      <x:c r="E47" s="32" t="n">
        <x:f>IF(D47=0,0,MIN(0.98,1-(1-'03 Sector Inputs'!K27)*(1-'02 Assumptions'!$E$12)^(A47-2026)))</x:f>
        <x:v>0</x:v>
      </x:c>
      <x:c r="F47" t="n">
        <x:f>D47*E47</x:f>
        <x:v>0</x:v>
      </x:c>
      <x:c r="G47" s="38" t="n">
        <x:f>'03 Sector Inputs'!Q27</x:f>
        <x:v>0</x:v>
      </x:c>
      <x:c r="H47" t="n">
        <x:f>(1+'02 Assumptions'!$E$19)^((A47-2026)*'02 Assumptions'!$E$20)</x:f>
        <x:v>1.0099259840370036</x:v>
      </x:c>
      <x:c r="I47" t="n">
        <x:f>(1+'03 Sector Inputs'!U27)^((A47-2026)/10)</x:f>
        <x:v>1</x:v>
      </x:c>
      <x:c r="J47" t="n">
        <x:f>I47^'02 Assumptions'!$E$21</x:f>
        <x:v>1</x:v>
      </x:c>
      <x:c r="K47" s="32" t="n">
        <x:f>'02 Assumptions'!$E$14</x:f>
        <x:v>0.6</x:v>
      </x:c>
      <x:c r="L47" t="n">
        <x:f>(1+'02 Assumptions'!$E$15)^(A47-2026)</x:f>
        <x:v>1.4</x:v>
      </x:c>
      <x:c r="M47" t="n">
        <x:f>(1-'02 Assumptions'!$E$16)^(A47-2026)</x:f>
        <x:v>0.78</x:v>
      </x:c>
      <x:c r="N47" t="n">
        <x:f>IF(M47&gt;0,M47^(-'02 Assumptions'!$E$17),0)</x:f>
        <x:v>1.2199002430849164</x:v>
      </x:c>
      <x:c r="O47" t="n">
        <x:f>(1+'02 Assumptions'!$E$18)^(A47-2026)</x:f>
        <x:v>1.02</x:v>
      </x:c>
      <x:c r="P47" s="40" t="n">
        <x:f>F47*G47*12/1000*(1-K47)*H47*J47*O47</x:f>
        <x:v>0</x:v>
      </x:c>
      <x:c r="Q47" s="40" t="n">
        <x:f>F47*G47*12/1000*K47*H47*J47*L47*M47*N47</x:f>
        <x:v>0</x:v>
      </x:c>
      <x:c r="R47" s="40" t="n">
        <x:f>SUM(P47:Q47)</x:f>
        <x:v>0</x:v>
      </x:c>
      <x:c r="S47" s="40" t="n">
        <x:f>IFERROR('03 Sector Inputs'!M27*(D47/'03 Sector Inputs'!L27)*(1+'02 Assumptions'!$E$19)^(A47-2026),0)</x:f>
        <x:v>0</x:v>
      </x:c>
      <x:c r="T47" s="36" t="n">
        <x:f>IFERROR(R47/S47,0)</x:f>
        <x:v>0</x:v>
      </x:c>
      <x:c r="U47" s="42" t="n">
        <x:f>S47*(I47-1)</x:f>
        <x:v>0</x:v>
      </x:c>
      <x:c r="V47" t="str">
        <x:f>'03 Sector Inputs'!I27</x:f>
        <x:v>NATIONAL PROXY</x:v>
      </x:c>
      <x:c r="W47" t="n">
        <x:f>P47+F47*G47*12/1000*K47*H47*J47*L47*M47</x:f>
        <x:v>0</x:v>
      </x:c>
      <x:c r="X47" t="n">
        <x:f>F47*G47*12/1000*H47*((1-K47)*O47+K47*L47*M47*N47)</x:f>
        <x:v>0</x:v>
      </x:c>
      <x:c r="Y47" t="n">
        <x:f>F47*G47*12/1000*H47*((1-K47)*O47+K47*L47*M47)</x:f>
        <x:v>0</x:v>
      </x:c>
      <x:c r="Z47" t="str">
        <x:f>IF(OR(F47&lt;0,E47&lt;0,E47&gt;1,R47&lt;0),"CHECK","OK")</x:f>
        <x:v>OK</x:v>
      </x:c>
    </x:row>
    <x:row r="48">
      <x:c r="A48" s="44" t="n">
        <x:f>2028</x:f>
        <x:v>2028</x:v>
      </x:c>
      <x:c r="B48" s="28" t="str">
        <x:f>'03 Sector Inputs'!A8</x:f>
        <x:v>11</x:v>
      </x:c>
      <x:c r="C48" s="28" t="str">
        <x:f>'03 Sector Inputs'!B8</x:f>
        <x:v>Agriculture, Forestry, Fishing and Hunting</x:v>
      </x:c>
      <x:c r="D48" t="n">
        <x:f>'03 Sector Inputs'!L8*('03 Sector Inputs'!D8/'03 Sector Inputs'!C8)^((A48-2026)/10)</x:f>
        <x:v>0</x:v>
      </x:c>
      <x:c r="E48" s="32" t="n">
        <x:f>IF(D48=0,0,MIN(0.98,1-(1-'03 Sector Inputs'!K8)*(1-'02 Assumptions'!$E$12)^(A48-2026)))</x:f>
        <x:v>0</x:v>
      </x:c>
      <x:c r="F48" t="n">
        <x:f>D48*E48</x:f>
        <x:v>0</x:v>
      </x:c>
      <x:c r="G48" s="38" t="n">
        <x:f>'03 Sector Inputs'!Q8</x:f>
        <x:v>0</x:v>
      </x:c>
      <x:c r="H48" t="n">
        <x:f>(1+'02 Assumptions'!$E$19)^((A48-2026)*'02 Assumptions'!$E$20)</x:f>
        <x:v>1.01995049323311</x:v>
      </x:c>
      <x:c r="I48" t="n">
        <x:f>(1+'03 Sector Inputs'!U8)^((A48-2026)/10)</x:f>
        <x:v>1.0052065852866112</x:v>
      </x:c>
      <x:c r="J48" t="n">
        <x:f>I48^'02 Assumptions'!$E$21</x:f>
        <x:v>1.001559137558897</x:v>
      </x:c>
      <x:c r="K48" s="32" t="n">
        <x:f>'02 Assumptions'!$E$14</x:f>
        <x:v>0.6</x:v>
      </x:c>
      <x:c r="L48" t="n">
        <x:f>(1+'02 Assumptions'!$E$15)^(A48-2026)</x:f>
        <x:v>1.9599999999999997</x:v>
      </x:c>
      <x:c r="M48" t="n">
        <x:f>(1-'02 Assumptions'!$E$16)^(A48-2026)</x:f>
        <x:v>0.6084</x:v>
      </x:c>
      <x:c r="N48" t="n">
        <x:f>IF(M48&gt;0,M48^(-'02 Assumptions'!$E$17),0)</x:f>
        <x:v>1.488156603078638</x:v>
      </x:c>
      <x:c r="O48" t="n">
        <x:f>(1+'02 Assumptions'!$E$18)^(A48-2026)</x:f>
        <x:v>1.0404</x:v>
      </x:c>
      <x:c r="P48" s="40" t="n">
        <x:f>F48*G48*12/1000*(1-K48)*H48*J48*O48</x:f>
        <x:v>0</x:v>
      </x:c>
      <x:c r="Q48" s="40" t="n">
        <x:f>F48*G48*12/1000*K48*H48*J48*L48*M48*N48</x:f>
        <x:v>0</x:v>
      </x:c>
      <x:c r="R48" s="40" t="n">
        <x:f>SUM(P48:Q48)</x:f>
        <x:v>0</x:v>
      </x:c>
      <x:c r="S48" s="40" t="n">
        <x:f>IFERROR('03 Sector Inputs'!M8*(D48/'03 Sector Inputs'!L8)*(1+'02 Assumptions'!$E$19)^(A48-2026),0)</x:f>
        <x:v>0</x:v>
      </x:c>
      <x:c r="T48" s="36" t="n">
        <x:f>IFERROR(R48/S48,0)</x:f>
        <x:v>0</x:v>
      </x:c>
      <x:c r="U48" s="42" t="n">
        <x:f>S48*(I48-1)</x:f>
        <x:v>0</x:v>
      </x:c>
      <x:c r="V48" t="str">
        <x:f>'03 Sector Inputs'!I8</x:f>
        <x:v>NATIONAL PROXY</x:v>
      </x:c>
      <x:c r="W48" t="n">
        <x:f>P48+F48*G48*12/1000*K48*H48*J48*L48*M48</x:f>
        <x:v>0</x:v>
      </x:c>
      <x:c r="X48" t="n">
        <x:f>F48*G48*12/1000*H48*((1-K48)*O48+K48*L48*M48*N48)</x:f>
        <x:v>0</x:v>
      </x:c>
      <x:c r="Y48" t="n">
        <x:f>F48*G48*12/1000*H48*((1-K48)*O48+K48*L48*M48)</x:f>
        <x:v>0</x:v>
      </x:c>
      <x:c r="Z48" t="str">
        <x:f>IF(OR(F48&lt;0,E48&lt;0,E48&gt;1,R48&lt;0),"CHECK","OK")</x:f>
        <x:v>OK</x:v>
      </x:c>
    </x:row>
    <x:row r="49">
      <x:c r="A49" s="44" t="n">
        <x:f>2028</x:f>
        <x:v>2028</x:v>
      </x:c>
      <x:c r="B49" s="28" t="str">
        <x:f>'03 Sector Inputs'!A9</x:f>
        <x:v>21</x:v>
      </x:c>
      <x:c r="C49" s="28" t="str">
        <x:f>'03 Sector Inputs'!B9</x:f>
        <x:v>Mining, Quarrying, Oil and Gas Extraction</x:v>
      </x:c>
      <x:c r="D49" t="n">
        <x:f>'03 Sector Inputs'!L9*('03 Sector Inputs'!D9/'03 Sector Inputs'!C9)^((A49-2026)/10)</x:f>
        <x:v>0.5746373661160813</x:v>
      </x:c>
      <x:c r="E49" s="32" t="n">
        <x:f>MIN(0.98,1-(1-'03 Sector Inputs'!K9)*(1-'02 Assumptions'!$E$12)^(A49-2026))</x:f>
        <x:v>0.644671306</x:v>
      </x:c>
      <x:c r="F49" t="n">
        <x:f>D49*E49</x:f>
        <x:v>0.3704522212904543</x:v>
      </x:c>
      <x:c r="G49" s="38" t="n">
        <x:f>'03 Sector Inputs'!Q9</x:f>
        <x:v>144.21605034049728</x:v>
      </x:c>
      <x:c r="H49" t="n">
        <x:f>(1+'02 Assumptions'!$E$19)^((A49-2026)*'02 Assumptions'!$E$20)</x:f>
        <x:v>1.01995049323311</x:v>
      </x:c>
      <x:c r="I49" t="n">
        <x:f>(1+'03 Sector Inputs'!U9)^((A49-2026)/10)</x:f>
        <x:v>1.008186953158876</x:v>
      </x:c>
      <x:c r="J49" t="n">
        <x:f>I49^'02 Assumptions'!$E$21</x:f>
        <x:v>1.0024490806671582</x:v>
      </x:c>
      <x:c r="K49" s="32" t="n">
        <x:f>'02 Assumptions'!$E$14</x:f>
        <x:v>0.6</x:v>
      </x:c>
      <x:c r="L49" t="n">
        <x:f>(1+'02 Assumptions'!$E$15)^(A49-2026)</x:f>
        <x:v>1.9599999999999997</x:v>
      </x:c>
      <x:c r="M49" t="n">
        <x:f>(1-'02 Assumptions'!$E$16)^(A49-2026)</x:f>
        <x:v>0.6084</x:v>
      </x:c>
      <x:c r="N49" t="n">
        <x:f>IF(M49&gt;0,M49^(-'02 Assumptions'!$E$17),0)</x:f>
        <x:v>1.488156603078638</x:v>
      </x:c>
      <x:c r="O49" t="n">
        <x:f>(1+'02 Assumptions'!$E$18)^(A49-2026)</x:f>
        <x:v>1.0404</x:v>
      </x:c>
      <x:c r="P49" s="40" t="n">
        <x:f>F49*G49*12/1000*(1-K49)*H49*J49*O49</x:f>
        <x:v>0.27279021974598705</x:v>
      </x:c>
      <x:c r="Q49" s="40" t="n">
        <x:f>F49*G49*12/1000*K49*H49*J49*L49*M49*N49</x:f>
        <x:v>0.6979328236867576</x:v>
      </x:c>
      <x:c r="R49" s="40" t="n">
        <x:f>SUM(P49:Q49)</x:f>
        <x:v>0.9707230434327446</x:v>
      </x:c>
      <x:c r="S49" s="40" t="n">
        <x:f>IFERROR('03 Sector Inputs'!M9*(D49/'03 Sector Inputs'!L9)*(1+'02 Assumptions'!$E$19)^(A49-2026),0)</x:f>
        <x:v>544.7326465967193</x:v>
      </x:c>
      <x:c r="T49" s="36" t="n">
        <x:f>IFERROR(R49/S49,0)</x:f>
        <x:v>0.0017820173795300319</x:v>
      </x:c>
      <x:c r="U49" s="42" t="n">
        <x:f>S49*(I49-1)</x:f>
        <x:v>4.459700661797936</x:v>
      </x:c>
      <x:c r="V49" t="str">
        <x:f>'03 Sector Inputs'!I9</x:f>
        <x:v>NATIONAL PROXY</x:v>
      </x:c>
      <x:c r="W49" t="n">
        <x:f>P49+F49*G49*12/1000*K49*H49*J49*L49*M49</x:f>
        <x:v>0.7417817373341915</x:v>
      </x:c>
      <x:c r="X49" t="n">
        <x:f>F49*G49*12/1000*H49*((1-K49)*O49+K49*L49*M49*N49)</x:f>
        <x:v>0.9683514725622782</x:v>
      </x:c>
      <x:c r="Y49" t="n">
        <x:f>F49*G49*12/1000*H49*((1-K49)*O49+K49*L49*M49)</x:f>
        <x:v>0.7399694923561752</x:v>
      </x:c>
      <x:c r="Z49" t="str">
        <x:f>IF(OR(F49&lt;0,E49&lt;0,E49&gt;1,R49&lt;0),"CHECK","OK")</x:f>
        <x:v>OK</x:v>
      </x:c>
    </x:row>
    <x:row r="50">
      <x:c r="A50" s="44" t="n">
        <x:f>2028</x:f>
        <x:v>2028</x:v>
      </x:c>
      <x:c r="B50" s="28" t="str">
        <x:f>'03 Sector Inputs'!A10</x:f>
        <x:v>22</x:v>
      </x:c>
      <x:c r="C50" s="28" t="str">
        <x:f>'03 Sector Inputs'!B10</x:f>
        <x:v>Utilities</x:v>
      </x:c>
      <x:c r="D50" t="n">
        <x:f>'03 Sector Inputs'!L10*('03 Sector Inputs'!D10/'03 Sector Inputs'!C10)^((A50-2026)/10)</x:f>
        <x:v>0.6183676517033309</x:v>
      </x:c>
      <x:c r="E50" s="32" t="n">
        <x:f>MIN(0.98,1-(1-'03 Sector Inputs'!K10)*(1-'02 Assumptions'!$E$12)^(A50-2026))</x:f>
        <x:v>0.644671306</x:v>
      </x:c>
      <x:c r="F50" t="n">
        <x:f>D50*E50</x:f>
        <x:v>0.3986438816117394</x:v>
      </x:c>
      <x:c r="G50" s="38" t="n">
        <x:f>'03 Sector Inputs'!Q10</x:f>
        <x:v>143.37803430608625</x:v>
      </x:c>
      <x:c r="H50" t="n">
        <x:f>(1+'02 Assumptions'!$E$19)^((A50-2026)*'02 Assumptions'!$E$20)</x:f>
        <x:v>1.01995049323311</x:v>
      </x:c>
      <x:c r="I50" t="n">
        <x:f>(1+'03 Sector Inputs'!U10)^((A50-2026)/10)</x:f>
        <x:v>1.009529372029291</x:v>
      </x:c>
      <x:c r="J50" t="n">
        <x:f>I50^'02 Assumptions'!$E$21</x:f>
        <x:v>1.0028493278305808</x:v>
      </x:c>
      <x:c r="K50" s="32" t="n">
        <x:f>'02 Assumptions'!$E$14</x:f>
        <x:v>0.6</x:v>
      </x:c>
      <x:c r="L50" t="n">
        <x:f>(1+'02 Assumptions'!$E$15)^(A50-2026)</x:f>
        <x:v>1.9599999999999997</x:v>
      </x:c>
      <x:c r="M50" t="n">
        <x:f>(1-'02 Assumptions'!$E$16)^(A50-2026)</x:f>
        <x:v>0.6084</x:v>
      </x:c>
      <x:c r="N50" t="n">
        <x:f>IF(M50&gt;0,M50^(-'02 Assumptions'!$E$17),0)</x:f>
        <x:v>1.488156603078638</x:v>
      </x:c>
      <x:c r="O50" t="n">
        <x:f>(1+'02 Assumptions'!$E$18)^(A50-2026)</x:f>
        <x:v>1.0404</x:v>
      </x:c>
      <x:c r="P50" s="40" t="n">
        <x:f>F50*G50*12/1000*(1-K50)*H50*J50*O50</x:f>
        <x:v>0.2919604913444462</x:v>
      </x:c>
      <x:c r="Q50" s="40" t="n">
        <x:f>F50*G50*12/1000*K50*H50*J50*L50*M50*N50</x:f>
        <x:v>0.746979896562073</x:v>
      </x:c>
      <x:c r="R50" s="40" t="n">
        <x:f>SUM(P50:Q50)</x:f>
        <x:v>1.038940387906519</x:v>
      </x:c>
      <x:c r="S50" s="40" t="n">
        <x:f>IFERROR('03 Sector Inputs'!M10*(D50/'03 Sector Inputs'!L10)*(1+'02 Assumptions'!$E$19)^(A50-2026),0)</x:f>
        <x:v>569.3527555480741</x:v>
      </x:c>
      <x:c r="T50" s="36" t="n">
        <x:f>IFERROR(R50/S50,0)</x:f>
        <x:v>0.0018247744966236397</x:v>
      </x:c>
      <x:c r="U50" s="42" t="n">
        <x:f>S50*(I50-1)</x:f>
        <x:v>5.425574223519602</x:v>
      </x:c>
      <x:c r="V50" t="str">
        <x:f>'03 Sector Inputs'!I10</x:f>
        <x:v>NATIONAL PROXY</x:v>
      </x:c>
      <x:c r="W50" t="n">
        <x:f>P50+F50*G50*12/1000*K50*H50*J50*L50*M50</x:f>
        <x:v>0.7939102827956626</x:v>
      </x:c>
      <x:c r="X50" t="n">
        <x:f>F50*G50*12/1000*H50*((1-K50)*O50+K50*L50*M50*N50)</x:f>
        <x:v>1.035988516992889</x:v>
      </x:c>
      <x:c r="Y50" t="n">
        <x:f>F50*G50*12/1000*H50*((1-K50)*O50+K50*L50*M50)</x:f>
        <x:v>0.7916545993136309</x:v>
      </x:c>
      <x:c r="Z50" t="str">
        <x:f>IF(OR(F50&lt;0,E50&lt;0,E50&gt;1,R50&lt;0),"CHECK","OK")</x:f>
        <x:v>OK</x:v>
      </x:c>
    </x:row>
    <x:row r="51">
      <x:c r="A51" s="44" t="n">
        <x:f>2028</x:f>
        <x:v>2028</x:v>
      </x:c>
      <x:c r="B51" s="28" t="str">
        <x:f>'03 Sector Inputs'!A11</x:f>
        <x:v>23</x:v>
      </x:c>
      <x:c r="C51" s="28" t="str">
        <x:f>'03 Sector Inputs'!B11</x:f>
        <x:v>Construction</x:v>
      </x:c>
      <x:c r="D51" t="n">
        <x:f>'03 Sector Inputs'!L11*('03 Sector Inputs'!D11/'03 Sector Inputs'!C11)^((A51-2026)/10)</x:f>
        <x:v>8.387825934672119</x:v>
      </x:c>
      <x:c r="E51" s="32" t="n">
        <x:f>MIN(0.98,1-(1-'03 Sector Inputs'!K11)*(1-'02 Assumptions'!$E$12)^(A51-2026))</x:f>
        <x:v>0.5316326469999999</x:v>
      </x:c>
      <x:c r="F51" t="n">
        <x:f>D51*E51</x:f>
        <x:v>4.459242104224987</x:v>
      </x:c>
      <x:c r="G51" s="38" t="n">
        <x:f>'03 Sector Inputs'!Q11</x:f>
        <x:v>102.71551089956172</x:v>
      </x:c>
      <x:c r="H51" t="n">
        <x:f>(1+'02 Assumptions'!$E$19)^((A51-2026)*'02 Assumptions'!$E$20)</x:f>
        <x:v>1.01995049323311</x:v>
      </x:c>
      <x:c r="I51" t="n">
        <x:f>(1+'03 Sector Inputs'!U11)^((A51-2026)/10)</x:f>
        <x:v>1.0069813475634288</x:v>
      </x:c>
      <x:c r="J51" t="n">
        <x:f>I51^'02 Assumptions'!$E$21</x:f>
        <x:v>1.0020893068024541</x:v>
      </x:c>
      <x:c r="K51" s="32" t="n">
        <x:f>'02 Assumptions'!$E$14</x:f>
        <x:v>0.6</x:v>
      </x:c>
      <x:c r="L51" t="n">
        <x:f>(1+'02 Assumptions'!$E$15)^(A51-2026)</x:f>
        <x:v>1.9599999999999997</x:v>
      </x:c>
      <x:c r="M51" t="n">
        <x:f>(1-'02 Assumptions'!$E$16)^(A51-2026)</x:f>
        <x:v>0.6084</x:v>
      </x:c>
      <x:c r="N51" t="n">
        <x:f>IF(M51&gt;0,M51^(-'02 Assumptions'!$E$17),0)</x:f>
        <x:v>1.488156603078638</x:v>
      </x:c>
      <x:c r="O51" t="n">
        <x:f>(1+'02 Assumptions'!$E$18)^(A51-2026)</x:f>
        <x:v>1.0404</x:v>
      </x:c>
      <x:c r="P51" s="40" t="n">
        <x:f>F51*G51*12/1000*(1-K51)*H51*J51*O51</x:f>
        <x:v>2.3378905941467107</x:v>
      </x:c>
      <x:c r="Q51" s="40" t="n">
        <x:f>F51*G51*12/1000*K51*H51*J51*L51*M51*N51</x:f>
        <x:v>5.9814849130694645</x:v>
      </x:c>
      <x:c r="R51" s="40" t="n">
        <x:f>SUM(P51:Q51)</x:f>
        <x:v>8.319375507216176</x:v>
      </x:c>
      <x:c r="S51" s="40" t="n">
        <x:f>IFERROR('03 Sector Inputs'!M11*(D51/'03 Sector Inputs'!L11)*(1+'02 Assumptions'!$E$19)^(A51-2026),0)</x:f>
        <x:v>1457.3072217378278</x:v>
      </x:c>
      <x:c r="T51" s="36" t="n">
        <x:f>IFERROR(R51/S51,0)</x:f>
        <x:v>0.005708731407571962</x:v>
      </x:c>
      <x:c r="U51" s="42" t="n">
        <x:f>S51*(I51-1)</x:f>
        <x:v>10.173968221646623</x:v>
      </x:c>
      <x:c r="V51" t="str">
        <x:f>'03 Sector Inputs'!I11</x:f>
        <x:v>DIRECT RAMP</x:v>
      </x:c>
      <x:c r="W51" t="n">
        <x:f>P51+F51*G51*12/1000*K51*H51*J51*L51*M51</x:f>
        <x:v>6.3572827069762425</x:v>
      </x:c>
      <x:c r="X51" t="n">
        <x:f>F51*G51*12/1000*H51*((1-K51)*O51+K51*L51*M51*N51)</x:f>
        <x:v>8.302030019422416</x:v>
      </x:c>
      <x:c r="Y51" t="n">
        <x:f>F51*G51*12/1000*H51*((1-K51)*O51+K51*L51*M51)</x:f>
        <x:v>6.344028085941324</x:v>
      </x:c>
      <x:c r="Z51" t="str">
        <x:f>IF(OR(F51&lt;0,E51&lt;0,E51&gt;1,R51&lt;0),"CHECK","OK")</x:f>
        <x:v>OK</x:v>
      </x:c>
    </x:row>
    <x:row r="52">
      <x:c r="A52" s="44" t="n">
        <x:f>2028</x:f>
        <x:v>2028</x:v>
      </x:c>
      <x:c r="B52" s="28" t="str">
        <x:f>'03 Sector Inputs'!A12</x:f>
        <x:v>31-33</x:v>
      </x:c>
      <x:c r="C52" s="28" t="str">
        <x:f>'03 Sector Inputs'!B12</x:f>
        <x:v>Manufacturing</x:v>
      </x:c>
      <x:c r="D52" t="n">
        <x:f>'03 Sector Inputs'!L12*('03 Sector Inputs'!D12/'03 Sector Inputs'!C12)^((A52-2026)/10)</x:f>
        <x:v>12.655286934656653</x:v>
      </x:c>
      <x:c r="E52" s="32" t="n">
        <x:f>MIN(0.98,1-(1-'03 Sector Inputs'!K12)*(1-'02 Assumptions'!$E$12)^(A52-2026))</x:f>
        <x:v>0.6845230629999999</x:v>
      </x:c>
      <x:c r="F52" t="n">
        <x:f>D52*E52</x:f>
        <x:v>8.66283577565505</x:v>
      </x:c>
      <x:c r="G52" s="38" t="n">
        <x:f>'03 Sector Inputs'!Q12</x:f>
        <x:v>111.62191536298072</x:v>
      </x:c>
      <x:c r="H52" t="n">
        <x:f>(1+'02 Assumptions'!$E$19)^((A52-2026)*'02 Assumptions'!$E$20)</x:f>
        <x:v>1.01995049323311</x:v>
      </x:c>
      <x:c r="I52" t="n">
        <x:f>(1+'03 Sector Inputs'!U12)^((A52-2026)/10)</x:f>
        <x:v>1.0089757945738012</x:v>
      </x:c>
      <x:c r="J52" t="n">
        <x:f>I52^'02 Assumptions'!$E$21</x:f>
        <x:v>1.002684321826379</x:v>
      </x:c>
      <x:c r="K52" s="32" t="n">
        <x:f>'02 Assumptions'!$E$14</x:f>
        <x:v>0.6</x:v>
      </x:c>
      <x:c r="L52" t="n">
        <x:f>(1+'02 Assumptions'!$E$15)^(A52-2026)</x:f>
        <x:v>1.9599999999999997</x:v>
      </x:c>
      <x:c r="M52" t="n">
        <x:f>(1-'02 Assumptions'!$E$16)^(A52-2026)</x:f>
        <x:v>0.6084</x:v>
      </x:c>
      <x:c r="N52" t="n">
        <x:f>IF(M52&gt;0,M52^(-'02 Assumptions'!$E$17),0)</x:f>
        <x:v>1.488156603078638</x:v>
      </x:c>
      <x:c r="O52" t="n">
        <x:f>(1+'02 Assumptions'!$E$18)^(A52-2026)</x:f>
        <x:v>1.0404</x:v>
      </x:c>
      <x:c r="P52" s="40" t="n">
        <x:f>F52*G52*12/1000*(1-K52)*H52*J52*O52</x:f>
        <x:v>4.938493077872531</x:v>
      </x:c>
      <x:c r="Q52" s="40" t="n">
        <x:f>F52*G52*12/1000*K52*H52*J52*L52*M52*N52</x:f>
        <x:v>12.635117277322355</x:v>
      </x:c>
      <x:c r="R52" s="40" t="n">
        <x:f>SUM(P52:Q52)</x:f>
        <x:v>17.573610355194887</x:v>
      </x:c>
      <x:c r="S52" s="40" t="n">
        <x:f>IFERROR('03 Sector Inputs'!M12*(D52/'03 Sector Inputs'!L12)*(1+'02 Assumptions'!$E$19)^(A52-2026),0)</x:f>
        <x:v>3332.275524683726</x:v>
      </x:c>
      <x:c r="T52" s="36" t="n">
        <x:f>IFERROR(R52/S52,0)</x:f>
        <x:v>0.0052737566941925785</x:v>
      </x:c>
      <x:c r="U52" s="42" t="n">
        <x:f>S52*(I52-1)</x:f>
        <x:v>29.909820572866582</x:v>
      </x:c>
      <x:c r="V52" t="str">
        <x:f>'03 Sector Inputs'!I12</x:f>
        <x:v>DIRECT RAMP</x:v>
      </x:c>
      <x:c r="W52" t="n">
        <x:f>P52+F52*G52*12/1000*K52*H52*J52*L52*M52</x:f>
        <x:v>13.428941765318017</x:v>
      </x:c>
      <x:c r="X52" t="n">
        <x:f>F52*G52*12/1000*H52*((1-K52)*O52+K52*L52*M52*N52)</x:f>
        <x:v>17.526563418469273</x:v>
      </x:c>
      <x:c r="Y52" t="n">
        <x:f>F52*G52*12/1000*H52*((1-K52)*O52+K52*L52*M52)</x:f>
        <x:v>13.39299066814702</x:v>
      </x:c>
      <x:c r="Z52" t="str">
        <x:f>IF(OR(F52&lt;0,E52&lt;0,E52&gt;1,R52&lt;0),"CHECK","OK")</x:f>
        <x:v>OK</x:v>
      </x:c>
    </x:row>
    <x:row r="53">
      <x:c r="A53" s="44" t="n">
        <x:f>2028</x:f>
        <x:v>2028</x:v>
      </x:c>
      <x:c r="B53" s="28" t="str">
        <x:f>'03 Sector Inputs'!A13</x:f>
        <x:v>42</x:v>
      </x:c>
      <x:c r="C53" s="28" t="str">
        <x:f>'03 Sector Inputs'!B13</x:f>
        <x:v>Wholesale Trade</x:v>
      </x:c>
      <x:c r="D53" t="n">
        <x:f>'03 Sector Inputs'!L13*('03 Sector Inputs'!D13/'03 Sector Inputs'!C13)^((A53-2026)/10)</x:f>
        <x:v>6.096791516889497</x:v>
      </x:c>
      <x:c r="E53" s="32" t="n">
        <x:f>MIN(0.98,1-(1-'03 Sector Inputs'!K13)*(1-'02 Assumptions'!$E$12)^(A53-2026))</x:f>
        <x:v>0.644671306</x:v>
      </x:c>
      <x:c r="F53" t="n">
        <x:f>D53*E53</x:f>
        <x:v>3.930426549602873</x:v>
      </x:c>
      <x:c r="G53" s="38" t="n">
        <x:f>'03 Sector Inputs'!Q13</x:f>
        <x:v>118.90648391909023</x:v>
      </x:c>
      <x:c r="H53" t="n">
        <x:f>(1+'02 Assumptions'!$E$19)^((A53-2026)*'02 Assumptions'!$E$20)</x:f>
        <x:v>1.01995049323311</x:v>
      </x:c>
      <x:c r="I53" t="n">
        <x:f>(1+'03 Sector Inputs'!U13)^((A53-2026)/10)</x:f>
        <x:v>1.0114117137475407</x:v>
      </x:c>
      <x:c r="J53" t="n">
        <x:f>I53^'02 Assumptions'!$E$21</x:f>
        <x:v>1.0034099280156046</x:v>
      </x:c>
      <x:c r="K53" s="32" t="n">
        <x:f>'02 Assumptions'!$E$14</x:f>
        <x:v>0.6</x:v>
      </x:c>
      <x:c r="L53" t="n">
        <x:f>(1+'02 Assumptions'!$E$15)^(A53-2026)</x:f>
        <x:v>1.9599999999999997</x:v>
      </x:c>
      <x:c r="M53" t="n">
        <x:f>(1-'02 Assumptions'!$E$16)^(A53-2026)</x:f>
        <x:v>0.6084</x:v>
      </x:c>
      <x:c r="N53" t="n">
        <x:f>IF(M53&gt;0,M53^(-'02 Assumptions'!$E$17),0)</x:f>
        <x:v>1.488156603078638</x:v>
      </x:c>
      <x:c r="O53" t="n">
        <x:f>(1+'02 Assumptions'!$E$18)^(A53-2026)</x:f>
        <x:v>1.0404</x:v>
      </x:c>
      <x:c r="P53" s="40" t="n">
        <x:f>F53*G53*12/1000*(1-K53)*H53*J53*O53</x:f>
        <x:v>2.3886047348659796</x:v>
      </x:c>
      <x:c r="Q53" s="40" t="n">
        <x:f>F53*G53*12/1000*K53*H53*J53*L53*M53*N53</x:f>
        <x:v>6.111236864829342</x:v>
      </x:c>
      <x:c r="R53" s="40" t="n">
        <x:f>SUM(P53:Q53)</x:f>
        <x:v>8.499841599695323</x:v>
      </x:c>
      <x:c r="S53" s="40" t="n">
        <x:f>IFERROR('03 Sector Inputs'!M13*(D53/'03 Sector Inputs'!L13)*(1+'02 Assumptions'!$E$19)^(A53-2026),0)</x:f>
        <x:v>2202.1686950363605</x:v>
      </x:c>
      <x:c r="T53" s="36" t="n">
        <x:f>IFERROR(R53/S53,0)</x:f>
        <x:v>0.003859759526531177</x:v>
      </x:c>
      <x:c r="U53" s="42" t="n">
        <x:f>S53*(I53-1)</x:f>
        <x:v>25.130518771550168</x:v>
      </x:c>
      <x:c r="V53" t="str">
        <x:f>'03 Sector Inputs'!I13</x:f>
        <x:v>NATIONAL PROXY</x:v>
      </x:c>
      <x:c r="W53" t="n">
        <x:f>P53+F53*G53*12/1000*K53*H53*J53*L53*M53</x:f>
        <x:v>6.495186563812385</x:v>
      </x:c>
      <x:c r="X53" t="n">
        <x:f>F53*G53*12/1000*H53*((1-K53)*O53+K53*L53*M53*N53)</x:f>
        <x:v>8.47095624866404</x:v>
      </x:c>
      <x:c r="Y53" t="n">
        <x:f>F53*G53*12/1000*H53*((1-K53)*O53+K53*L53*M53)</x:f>
        <x:v>6.4731137120175815</x:v>
      </x:c>
      <x:c r="Z53" t="str">
        <x:f>IF(OR(F53&lt;0,E53&lt;0,E53&gt;1,R53&lt;0),"CHECK","OK")</x:f>
        <x:v>OK</x:v>
      </x:c>
    </x:row>
    <x:row r="54">
      <x:c r="A54" s="44" t="n">
        <x:f>2028</x:f>
        <x:v>2028</x:v>
      </x:c>
      <x:c r="B54" s="28" t="str">
        <x:f>'03 Sector Inputs'!A14</x:f>
        <x:v>44-45</x:v>
      </x:c>
      <x:c r="C54" s="28" t="str">
        <x:f>'03 Sector Inputs'!B14</x:f>
        <x:v>Retail Trade</x:v>
      </x:c>
      <x:c r="D54" t="n">
        <x:f>'03 Sector Inputs'!L14*('03 Sector Inputs'!D14/'03 Sector Inputs'!C14)^((A54-2026)/10)</x:f>
        <x:v>15.432644852211643</x:v>
      </x:c>
      <x:c r="E54" s="32" t="n">
        <x:f>MIN(0.98,1-(1-'03 Sector Inputs'!K14)*(1-'02 Assumptions'!$E$12)^(A54-2026))</x:f>
        <x:v>0.5850735309999999</x:v>
      </x:c>
      <x:c r="F54" t="n">
        <x:f>D54*E54</x:f>
        <x:v>9.029232016352438</x:v>
      </x:c>
      <x:c r="G54" s="38" t="n">
        <x:f>'03 Sector Inputs'!Q14</x:f>
        <x:v>96.49221383995867</x:v>
      </x:c>
      <x:c r="H54" t="n">
        <x:f>(1+'02 Assumptions'!$E$19)^((A54-2026)*'02 Assumptions'!$E$20)</x:f>
        <x:v>1.01995049323311</x:v>
      </x:c>
      <x:c r="I54" t="n">
        <x:f>(1+'03 Sector Inputs'!U14)^((A54-2026)/10)</x:f>
        <x:v>1.0114117137475407</x:v>
      </x:c>
      <x:c r="J54" t="n">
        <x:f>I54^'02 Assumptions'!$E$21</x:f>
        <x:v>1.0034099280156046</x:v>
      </x:c>
      <x:c r="K54" s="32" t="n">
        <x:f>'02 Assumptions'!$E$14</x:f>
        <x:v>0.6</x:v>
      </x:c>
      <x:c r="L54" t="n">
        <x:f>(1+'02 Assumptions'!$E$15)^(A54-2026)</x:f>
        <x:v>1.9599999999999997</x:v>
      </x:c>
      <x:c r="M54" t="n">
        <x:f>(1-'02 Assumptions'!$E$16)^(A54-2026)</x:f>
        <x:v>0.6084</x:v>
      </x:c>
      <x:c r="N54" t="n">
        <x:f>IF(M54&gt;0,M54^(-'02 Assumptions'!$E$17),0)</x:f>
        <x:v>1.488156603078638</x:v>
      </x:c>
      <x:c r="O54" t="n">
        <x:f>(1+'02 Assumptions'!$E$18)^(A54-2026)</x:f>
        <x:v>1.0404</x:v>
      </x:c>
      <x:c r="P54" s="40" t="n">
        <x:f>F54*G54*12/1000*(1-K54)*H54*J54*O54</x:f>
        <x:v>4.452891882174723</x:v>
      </x:c>
      <x:c r="Q54" s="40" t="n">
        <x:f>F54*G54*12/1000*K54*H54*J54*L54*M54*N54</x:f>
        <x:v>11.392708315539839</x:v>
      </x:c>
      <x:c r="R54" s="40" t="n">
        <x:f>SUM(P54:Q54)</x:f>
        <x:v>15.84560019771456</x:v>
      </x:c>
      <x:c r="S54" s="40" t="n">
        <x:f>IFERROR('03 Sector Inputs'!M14*(D54/'03 Sector Inputs'!L14)*(1+'02 Assumptions'!$E$19)^(A54-2026),0)</x:f>
        <x:v>1961.6578909913128</x:v>
      </x:c>
      <x:c r="T54" s="36" t="n">
        <x:f>IFERROR(R54/S54,0)</x:f>
        <x:v>0.008077657307364167</x:v>
      </x:c>
      <x:c r="U54" s="42" t="n">
        <x:f>S54*(I54-1)</x:f>
        <x:v>22.385878322597232</x:v>
      </x:c>
      <x:c r="V54" t="str">
        <x:f>'03 Sector Inputs'!I14</x:f>
        <x:v>DIRECT RAMP</x:v>
      </x:c>
      <x:c r="W54" t="n">
        <x:f>P54+F54*G54*12/1000*K54*H54*J54*L54*M54</x:f>
        <x:v>12.108476174829855</x:v>
      </x:c>
      <x:c r="X54" t="n">
        <x:f>F54*G54*12/1000*H54*((1-K54)*O54+K54*L54*M54*N54)</x:f>
        <x:v>15.791751461988861</x:v>
      </x:c>
      <x:c r="Y54" t="n">
        <x:f>F54*G54*12/1000*H54*((1-K54)*O54+K54*L54*M54)</x:f>
        <x:v>12.06732745686123</x:v>
      </x:c>
      <x:c r="Z54" t="str">
        <x:f>IF(OR(F54&lt;0,E54&lt;0,E54&gt;1,R54&lt;0),"CHECK","OK")</x:f>
        <x:v>OK</x:v>
      </x:c>
    </x:row>
    <x:row r="55">
      <x:c r="A55" s="44" t="n">
        <x:f>2028</x:f>
        <x:v>2028</x:v>
      </x:c>
      <x:c r="B55" s="28" t="str">
        <x:f>'03 Sector Inputs'!A15</x:f>
        <x:v>48-49</x:v>
      </x:c>
      <x:c r="C55" s="28" t="str">
        <x:f>'03 Sector Inputs'!B15</x:f>
        <x:v>Transportation and Warehousing</x:v>
      </x:c>
      <x:c r="D55" t="n">
        <x:f>'03 Sector Inputs'!L15*('03 Sector Inputs'!D15/'03 Sector Inputs'!C15)^((A55-2026)/10)</x:f>
        <x:v>6.365971068620967</x:v>
      </x:c>
      <x:c r="E55" s="32" t="n">
        <x:f>MIN(0.98,1-(1-'03 Sector Inputs'!K15)*(1-'02 Assumptions'!$E$12)^(A55-2026))</x:f>
        <x:v>0.644671306</x:v>
      </x:c>
      <x:c r="F55" t="n">
        <x:f>D55*E55</x:f>
        <x:v>4.103958882766094</x:v>
      </x:c>
      <x:c r="G55" s="38" t="n">
        <x:f>'03 Sector Inputs'!Q15</x:f>
        <x:v>101.76066164601345</x:v>
      </x:c>
      <x:c r="H55" t="n">
        <x:f>(1+'02 Assumptions'!$E$19)^((A55-2026)*'02 Assumptions'!$E$20)</x:f>
        <x:v>1.01995049323311</x:v>
      </x:c>
      <x:c r="I55" t="n">
        <x:f>(1+'03 Sector Inputs'!U15)^((A55-2026)/10)</x:f>
        <x:v>1.0086742136228968</x:v>
      </x:c>
      <x:c r="J55" t="n">
        <x:f>I55^'02 Assumptions'!$E$21</x:f>
        <x:v>1.002594402286406</x:v>
      </x:c>
      <x:c r="K55" s="32" t="n">
        <x:f>'02 Assumptions'!$E$14</x:f>
        <x:v>0.6</x:v>
      </x:c>
      <x:c r="L55" t="n">
        <x:f>(1+'02 Assumptions'!$E$15)^(A55-2026)</x:f>
        <x:v>1.9599999999999997</x:v>
      </x:c>
      <x:c r="M55" t="n">
        <x:f>(1-'02 Assumptions'!$E$16)^(A55-2026)</x:f>
        <x:v>0.6084</x:v>
      </x:c>
      <x:c r="N55" t="n">
        <x:f>IF(M55&gt;0,M55^(-'02 Assumptions'!$E$17),0)</x:f>
        <x:v>1.488156603078638</x:v>
      </x:c>
      <x:c r="O55" t="n">
        <x:f>(1+'02 Assumptions'!$E$18)^(A55-2026)</x:f>
        <x:v>1.0404</x:v>
      </x:c>
      <x:c r="P55" s="40" t="n">
        <x:f>F55*G55*12/1000*(1-K55)*H55*J55*O55</x:f>
        <x:v>2.132695594280637</x:v>
      </x:c>
      <x:c r="Q55" s="40" t="n">
        <x:f>F55*G55*12/1000*K55*H55*J55*L55*M55*N55</x:f>
        <x:v>5.4564942231675815</x:v>
      </x:c>
      <x:c r="R55" s="40" t="n">
        <x:f>SUM(P55:Q55)</x:f>
        <x:v>7.589189817448219</x:v>
      </x:c>
      <x:c r="S55" s="40" t="n">
        <x:f>IFERROR('03 Sector Inputs'!M15*(D55/'03 Sector Inputs'!L15)*(1+'02 Assumptions'!$E$19)^(A55-2026),0)</x:f>
        <x:v>1055.567051091371</x:v>
      </x:c>
      <x:c r="T55" s="36" t="n">
        <x:f>IFERROR(R55/S55,0)</x:f>
        <x:v>0.007189680475154667</x:v>
      </x:c>
      <x:c r="U55" s="42" t="n">
        <x:f>S55*(I55-1)</x:f>
        <x:v>9.156214094457747</x:v>
      </x:c>
      <x:c r="V55" t="str">
        <x:f>'03 Sector Inputs'!I15</x:f>
        <x:v>NATIONAL PROXY</x:v>
      </x:c>
      <x:c r="W55" t="n">
        <x:f>P55+F55*G55*12/1000*K55*H55*J55*L55*M55</x:f>
        <x:v>5.799308511146649</x:v>
      </x:c>
      <x:c r="X55" t="n">
        <x:f>F55*G55*12/1000*H55*((1-K55)*O55+K55*L55*M55*N55)</x:f>
        <x:v>7.5695513561028775</x:v>
      </x:c>
      <x:c r="Y55" t="n">
        <x:f>F55*G55*12/1000*H55*((1-K55)*O55+K55*L55*M55)</x:f>
        <x:v>5.784301705576441</x:v>
      </x:c>
      <x:c r="Z55" t="str">
        <x:f>IF(OR(F55&lt;0,E55&lt;0,E55&gt;1,R55&lt;0),"CHECK","OK")</x:f>
        <x:v>OK</x:v>
      </x:c>
    </x:row>
    <x:row r="56">
      <x:c r="A56" s="44" t="n">
        <x:f>2028</x:f>
        <x:v>2028</x:v>
      </x:c>
      <x:c r="B56" s="28" t="str">
        <x:f>'03 Sector Inputs'!A16</x:f>
        <x:v>51</x:v>
      </x:c>
      <x:c r="C56" s="28" t="str">
        <x:f>'03 Sector Inputs'!B16</x:f>
        <x:v>Information</x:v>
      </x:c>
      <x:c r="D56" t="n">
        <x:f>'03 Sector Inputs'!L16*('03 Sector Inputs'!D16/'03 Sector Inputs'!C16)^((A56-2026)/10)</x:f>
        <x:v>2.9063876101789825</x:v>
      </x:c>
      <x:c r="E56" s="32" t="n">
        <x:f>MIN(0.98,1-(1-'03 Sector Inputs'!K16)*(1-'02 Assumptions'!$E$12)^(A56-2026))</x:f>
        <x:v>0.845478811</x:v>
      </x:c>
      <x:c r="F56" t="n">
        <x:f>D56*E56</x:f>
        <x:v>2.4572891409592574</x:v>
      </x:c>
      <x:c r="G56" s="38" t="n">
        <x:f>'03 Sector Inputs'!Q16</x:f>
        <x:v>135.72518396753694</x:v>
      </x:c>
      <x:c r="H56" t="n">
        <x:f>(1+'02 Assumptions'!$E$19)^((A56-2026)*'02 Assumptions'!$E$20)</x:f>
        <x:v>1.01995049323311</x:v>
      </x:c>
      <x:c r="I56" t="n">
        <x:f>(1+'03 Sector Inputs'!U16)^((A56-2026)/10)</x:f>
        <x:v>1.016495470754939</x:v>
      </x:c>
      <x:c r="J56" t="n">
        <x:f>I56^'02 Assumptions'!$E$21</x:f>
        <x:v>1.0049203347918085</x:v>
      </x:c>
      <x:c r="K56" s="32" t="n">
        <x:f>'02 Assumptions'!$E$14</x:f>
        <x:v>0.6</x:v>
      </x:c>
      <x:c r="L56" t="n">
        <x:f>(1+'02 Assumptions'!$E$15)^(A56-2026)</x:f>
        <x:v>1.9599999999999997</x:v>
      </x:c>
      <x:c r="M56" t="n">
        <x:f>(1-'02 Assumptions'!$E$16)^(A56-2026)</x:f>
        <x:v>0.6084</x:v>
      </x:c>
      <x:c r="N56" t="n">
        <x:f>IF(M56&gt;0,M56^(-'02 Assumptions'!$E$17),0)</x:f>
        <x:v>1.488156603078638</x:v>
      </x:c>
      <x:c r="O56" t="n">
        <x:f>(1+'02 Assumptions'!$E$18)^(A56-2026)</x:f>
        <x:v>1.0404</x:v>
      </x:c>
      <x:c r="P56" s="40" t="n">
        <x:f>F56*G56*12/1000*(1-K56)*H56*J56*O56</x:f>
        <x:v>1.7071394874451975</x:v>
      </x:c>
      <x:c r="Q56" s="40" t="n">
        <x:f>F56*G56*12/1000*K56*H56*J56*L56*M56*N56</x:f>
        <x:v>4.367710411352892</x:v>
      </x:c>
      <x:c r="R56" s="40" t="n">
        <x:f>SUM(P56:Q56)</x:f>
        <x:v>6.07484989879809</x:v>
      </x:c>
      <x:c r="S56" s="40" t="n">
        <x:f>IFERROR('03 Sector Inputs'!M16*(D56/'03 Sector Inputs'!L16)*(1+'02 Assumptions'!$E$19)^(A56-2026),0)</x:f>
        <x:v>2034.1233395584727</x:v>
      </x:c>
      <x:c r="T56" s="36" t="n">
        <x:f>IFERROR(R56/S56,0)</x:f>
        <x:v>0.0029864707712938874</x:v>
      </x:c>
      <x:c r="U56" s="42" t="n">
        <x:f>S56*(I56-1)</x:f>
        <x:v>33.55382205962555</x:v>
      </x:c>
      <x:c r="V56" t="str">
        <x:f>'03 Sector Inputs'!I16</x:f>
        <x:v>DIRECT RAMP</x:v>
      </x:c>
      <x:c r="W56" t="n">
        <x:f>P56+F56*G56*12/1000*K56*H56*J56*L56*M56</x:f>
        <x:v>4.64211985329994</x:v>
      </x:c>
      <x:c r="X56" t="n">
        <x:f>F56*G56*12/1000*H56*((1-K56)*O56+K56*L56*M56*N56)</x:f>
        <x:v>6.045105953654156</x:v>
      </x:c>
      <x:c r="Y56" t="n">
        <x:f>F56*G56*12/1000*H56*((1-K56)*O56+K56*L56*M56)</x:f>
        <x:v>4.619390903520385</x:v>
      </x:c>
      <x:c r="Z56" t="str">
        <x:f>IF(OR(F56&lt;0,E56&lt;0,E56&gt;1,R56&lt;0),"CHECK","OK")</x:f>
        <x:v>OK</x:v>
      </x:c>
    </x:row>
    <x:row r="57">
      <x:c r="A57" s="44" t="n">
        <x:f>2028</x:f>
        <x:v>2028</x:v>
      </x:c>
      <x:c r="B57" s="28" t="str">
        <x:f>'03 Sector Inputs'!A17</x:f>
        <x:v>52</x:v>
      </x:c>
      <x:c r="C57" s="28" t="str">
        <x:f>'03 Sector Inputs'!B17</x:f>
        <x:v>Finance and Insurance</x:v>
      </x:c>
      <x:c r="D57" t="n">
        <x:f>'03 Sector Inputs'!L17*('03 Sector Inputs'!D17/'03 Sector Inputs'!C17)^((A57-2026)/10)</x:f>
        <x:v>6.445962607358445</x:v>
      </x:c>
      <x:c r="E57" s="32" t="n">
        <x:f>MIN(0.98,1-(1-'03 Sector Inputs'!K17)*(1-'02 Assumptions'!$E$12)^(A57-2026))</x:f>
        <x:v>0.7870110669999999</x:v>
      </x:c>
      <x:c r="F57" t="n">
        <x:f>D57*E57</x:f>
        <x:v>5.073043909459272</x:v>
      </x:c>
      <x:c r="G57" s="38" t="n">
        <x:f>'03 Sector Inputs'!Q17</x:f>
        <x:v>124.6049898658694</x:v>
      </x:c>
      <x:c r="H57" t="n">
        <x:f>(1+'02 Assumptions'!$E$19)^((A57-2026)*'02 Assumptions'!$E$20)</x:f>
        <x:v>1.01995049323311</x:v>
      </x:c>
      <x:c r="I57" t="n">
        <x:f>(1+'03 Sector Inputs'!U17)^((A57-2026)/10)</x:f>
        <x:v>1.0178268836783464</x:v>
      </x:c>
      <x:c r="J57" t="n">
        <x:f>I57^'02 Assumptions'!$E$21</x:f>
        <x:v>1.0053150294209445</x:v>
      </x:c>
      <x:c r="K57" s="32" t="n">
        <x:f>'02 Assumptions'!$E$14</x:f>
        <x:v>0.6</x:v>
      </x:c>
      <x:c r="L57" t="n">
        <x:f>(1+'02 Assumptions'!$E$15)^(A57-2026)</x:f>
        <x:v>1.9599999999999997</x:v>
      </x:c>
      <x:c r="M57" t="n">
        <x:f>(1-'02 Assumptions'!$E$16)^(A57-2026)</x:f>
        <x:v>0.6084</x:v>
      </x:c>
      <x:c r="N57" t="n">
        <x:f>IF(M57&gt;0,M57^(-'02 Assumptions'!$E$17),0)</x:f>
        <x:v>1.488156603078638</x:v>
      </x:c>
      <x:c r="O57" t="n">
        <x:f>(1+'02 Assumptions'!$E$18)^(A57-2026)</x:f>
        <x:v>1.0404</x:v>
      </x:c>
      <x:c r="P57" s="40" t="n">
        <x:f>F57*G57*12/1000*(1-K57)*H57*J57*O57</x:f>
        <x:v>3.2368822719722767</x:v>
      </x:c>
      <x:c r="Q57" s="40" t="n">
        <x:f>F57*G57*12/1000*K57*H57*J57*L57*M57*N57</x:f>
        <x:v>8.28155197837679</x:v>
      </x:c>
      <x:c r="R57" s="40" t="n">
        <x:f>SUM(P57:Q57)</x:f>
        <x:v>11.518434250349067</x:v>
      </x:c>
      <x:c r="S57" s="40" t="n">
        <x:f>IFERROR('03 Sector Inputs'!M17*(D57/'03 Sector Inputs'!L17)*(1+'02 Assumptions'!$E$19)^(A57-2026),0)</x:f>
        <x:v>2942.296989298433</x:v>
      </x:c>
      <x:c r="T57" s="36" t="n">
        <x:f>IFERROR(R57/S57,0)</x:f>
        <x:v>0.0039147762079230295</x:v>
      </x:c>
      <x:c r="U57" s="42" t="n">
        <x:f>S57*(I57-1)</x:f>
        <x:v>52.45198617537197</x:v>
      </x:c>
      <x:c r="V57" t="str">
        <x:f>'03 Sector Inputs'!I17</x:f>
        <x:v>DIRECT RAMP</x:v>
      </x:c>
      <x:c r="W57" t="n">
        <x:f>P57+F57*G57*12/1000*K57*H57*J57*L57*M57</x:f>
        <x:v>8.801855717135409</x:v>
      </x:c>
      <x:c r="X57" t="n">
        <x:f>F57*G57*12/1000*H57*((1-K57)*O57+K57*L57*M57*N57)</x:f>
        <x:v>11.457537103552124</x:v>
      </x:c>
      <x:c r="Y57" t="n">
        <x:f>F57*G57*12/1000*H57*((1-K57)*O57+K57*L57*M57)</x:f>
        <x:v>8.755320928808977</x:v>
      </x:c>
      <x:c r="Z57" t="str">
        <x:f>IF(OR(F57&lt;0,E57&lt;0,E57&gt;1,R57&lt;0),"CHECK","OK")</x:f>
        <x:v>OK</x:v>
      </x:c>
    </x:row>
    <x:row r="58">
      <x:c r="A58" s="44" t="n">
        <x:f>2028</x:f>
        <x:v>2028</x:v>
      </x:c>
      <x:c r="B58" s="28" t="str">
        <x:f>'03 Sector Inputs'!A18</x:f>
        <x:v>53</x:v>
      </x:c>
      <x:c r="C58" s="28" t="str">
        <x:f>'03 Sector Inputs'!B18</x:f>
        <x:v>Real Estate and Rental and Leasing</x:v>
      </x:c>
      <x:c r="D58" t="n">
        <x:f>'03 Sector Inputs'!L18*('03 Sector Inputs'!D18/'03 Sector Inputs'!C18)^((A58-2026)/10)</x:f>
        <x:v>2.4813110739059354</x:v>
      </x:c>
      <x:c r="E58" s="32" t="n">
        <x:f>MIN(0.98,1-(1-'03 Sector Inputs'!K18)*(1-'02 Assumptions'!$E$12)^(A58-2026))</x:f>
        <x:v>0.644671306</x:v>
      </x:c>
      <x:c r="F58" t="n">
        <x:f>D58*E58</x:f>
        <x:v>1.5996300506072019</x:v>
      </x:c>
      <x:c r="G58" s="38" t="n">
        <x:f>'03 Sector Inputs'!Q18</x:f>
        <x:v>134.08799266238282</x:v>
      </x:c>
      <x:c r="H58" t="n">
        <x:f>(1+'02 Assumptions'!$E$19)^((A58-2026)*'02 Assumptions'!$E$20)</x:f>
        <x:v>1.01995049323311</x:v>
      </x:c>
      <x:c r="I58" t="n">
        <x:f>(1+'03 Sector Inputs'!U18)^((A58-2026)/10)</x:f>
        <x:v>1.0124384691266046</x:v>
      </x:c>
      <x:c r="J58" t="n">
        <x:f>I58^'02 Assumptions'!$E$21</x:f>
        <x:v>1.0037154091596239</x:v>
      </x:c>
      <x:c r="K58" s="32" t="n">
        <x:f>'02 Assumptions'!$E$14</x:f>
        <x:v>0.6</x:v>
      </x:c>
      <x:c r="L58" t="n">
        <x:f>(1+'02 Assumptions'!$E$15)^(A58-2026)</x:f>
        <x:v>1.9599999999999997</x:v>
      </x:c>
      <x:c r="M58" t="n">
        <x:f>(1-'02 Assumptions'!$E$16)^(A58-2026)</x:f>
        <x:v>0.6084</x:v>
      </x:c>
      <x:c r="N58" t="n">
        <x:f>IF(M58&gt;0,M58^(-'02 Assumptions'!$E$17),0)</x:f>
        <x:v>1.488156603078638</x:v>
      </x:c>
      <x:c r="O58" t="n">
        <x:f>(1+'02 Assumptions'!$E$18)^(A58-2026)</x:f>
        <x:v>1.0404</x:v>
      </x:c>
      <x:c r="P58" s="40" t="n">
        <x:f>F58*G58*12/1000*(1-K58)*H58*J58*O58</x:f>
        <x:v>1.096580978461253</x:v>
      </x:c>
      <x:c r="Q58" s="40" t="n">
        <x:f>F58*G58*12/1000*K58*H58*J58*L58*M58*N58</x:f>
        <x:v>2.8055986003138544</x:v>
      </x:c>
      <x:c r="R58" s="40" t="n">
        <x:f>SUM(P58:Q58)</x:f>
        <x:v>3.9021795787751072</x:v>
      </x:c>
      <x:c r="S58" s="40" t="n">
        <x:f>IFERROR('03 Sector Inputs'!M18*(D58/'03 Sector Inputs'!L18)*(1+'02 Assumptions'!$E$19)^(A58-2026),0)</x:f>
        <x:v>1634.3768977153918</x:v>
      </x:c>
      <x:c r="T58" s="36" t="n">
        <x:f>IFERROR(R58/S58,0)</x:f>
        <x:v>0.0023875640828194254</x:v>
      </x:c>
      <x:c r="U58" s="42" t="n">
        <x:f>S58*(I58-1)</x:f>
        <x:v>20.32914658346874</x:v>
      </x:c>
      <x:c r="V58" t="str">
        <x:f>'03 Sector Inputs'!I18</x:f>
        <x:v>NATIONAL PROXY</x:v>
      </x:c>
      <x:c r="W58" t="n">
        <x:f>P58+F58*G58*12/1000*K58*H58*J58*L58*M58</x:f>
        <x:v>2.981865493887752</x:v>
      </x:c>
      <x:c r="X58" t="n">
        <x:f>F58*G58*12/1000*H58*((1-K58)*O58+K58*L58*M58*N58)</x:f>
        <x:v>3.887735052351409</x:v>
      </x:c>
      <x:c r="Y58" t="n">
        <x:f>F58*G58*12/1000*H58*((1-K58)*O58+K58*L58*M58)</x:f>
        <x:v>2.970827653611858</x:v>
      </x:c>
      <x:c r="Z58" t="str">
        <x:f>IF(OR(F58&lt;0,E58&lt;0,E58&gt;1,R58&lt;0),"CHECK","OK")</x:f>
        <x:v>OK</x:v>
      </x:c>
    </x:row>
    <x:row r="59">
      <x:c r="A59" s="44" t="n">
        <x:f>2028</x:f>
        <x:v>2028</x:v>
      </x:c>
      <x:c r="B59" s="28" t="str">
        <x:f>'03 Sector Inputs'!A19</x:f>
        <x:v>54</x:v>
      </x:c>
      <x:c r="C59" s="28" t="str">
        <x:f>'03 Sector Inputs'!B19</x:f>
        <x:v>Professional, Scientific and Technical Services</x:v>
      </x:c>
      <x:c r="D59" t="n">
        <x:f>'03 Sector Inputs'!L19*('03 Sector Inputs'!D19/'03 Sector Inputs'!C19)^((A59-2026)/10)</x:f>
        <x:v>11.049230000448347</x:v>
      </x:c>
      <x:c r="E59" s="32" t="n">
        <x:f>MIN(0.98,1-(1-'03 Sector Inputs'!K19)*(1-'02 Assumptions'!$E$12)^(A59-2026))</x:f>
        <x:v>0.8032718305692063</x:v>
      </x:c>
      <x:c r="F59" t="n">
        <x:f>D59*E59</x:f>
        <x:v>8.875535208840335</x:v>
      </x:c>
      <x:c r="G59" s="38" t="n">
        <x:f>'03 Sector Inputs'!Q19</x:f>
        <x:v>110.53049517658319</x:v>
      </x:c>
      <x:c r="H59" t="n">
        <x:f>(1+'02 Assumptions'!$E$19)^((A59-2026)*'02 Assumptions'!$E$20)</x:f>
        <x:v>1.01995049323311</x:v>
      </x:c>
      <x:c r="I59" t="n">
        <x:f>(1+'03 Sector Inputs'!U19)^((A59-2026)/10)</x:f>
        <x:v>1.0171349030349295</x:v>
      </x:c>
      <x:c r="J59" t="n">
        <x:f>I59^'02 Assumptions'!$E$21</x:f>
        <x:v>1.0051099383149698</x:v>
      </x:c>
      <x:c r="K59" s="32" t="n">
        <x:f>'02 Assumptions'!$E$14</x:f>
        <x:v>0.6</x:v>
      </x:c>
      <x:c r="L59" t="n">
        <x:f>(1+'02 Assumptions'!$E$15)^(A59-2026)</x:f>
        <x:v>1.9599999999999997</x:v>
      </x:c>
      <x:c r="M59" t="n">
        <x:f>(1-'02 Assumptions'!$E$16)^(A59-2026)</x:f>
        <x:v>0.6084</x:v>
      </x:c>
      <x:c r="N59" t="n">
        <x:f>IF(M59&gt;0,M59^(-'02 Assumptions'!$E$17),0)</x:f>
        <x:v>1.488156603078638</x:v>
      </x:c>
      <x:c r="O59" t="n">
        <x:f>(1+'02 Assumptions'!$E$18)^(A59-2026)</x:f>
        <x:v>1.0404</x:v>
      </x:c>
      <x:c r="P59" s="40" t="n">
        <x:f>F59*G59*12/1000*(1-K59)*H59*J59*O59</x:f>
        <x:v>5.022395477202524</x:v>
      </x:c>
      <x:c r="Q59" s="40" t="n">
        <x:f>F59*G59*12/1000*K59*H59*J59*L59*M59*N59</x:f>
        <x:v>12.8497812727288</x:v>
      </x:c>
      <x:c r="R59" s="40" t="n">
        <x:f>SUM(P59:Q59)</x:f>
        <x:v>17.872176749931324</x:v>
      </x:c>
      <x:c r="S59" s="40" t="n">
        <x:f>IFERROR('03 Sector Inputs'!M19*(D59/'03 Sector Inputs'!L19)*(1+'02 Assumptions'!$E$19)^(A59-2026),0)</x:f>
        <x:v>2769.9003603126293</x:v>
      </x:c>
      <x:c r="T59" s="36" t="n">
        <x:f>IFERROR(R59/S59,0)</x:f>
        <x:v>0.006452281463263231</x:v>
      </x:c>
      <x:c r="U59" s="42" t="n">
        <x:f>S59*(I59-1)</x:f>
        <x:v>47.46197409037314</x:v>
      </x:c>
      <x:c r="V59" t="str">
        <x:f>'03 Sector Inputs'!I19</x:f>
        <x:v>CENSUS PROXY</x:v>
      </x:c>
      <x:c r="W59" t="n">
        <x:f>P59+F59*G59*12/1000*K59*H59*J59*L59*M59</x:f>
        <x:v>13.657092421157007</x:v>
      </x:c>
      <x:c r="X59" t="n">
        <x:f>F59*G59*12/1000*H59*((1-K59)*O59+K59*L59*M59*N59)</x:f>
        <x:v>17.7813153254592</x:v>
      </x:c>
      <x:c r="Y59" t="n">
        <x:f>F59*G59*12/1000*H59*((1-K59)*O59+K59*L59*M59)</x:f>
        <x:v>13.587660315102074</x:v>
      </x:c>
      <x:c r="Z59" t="str">
        <x:f>IF(OR(F59&lt;0,E59&lt;0,E59&gt;1,R59&lt;0),"CHECK","OK")</x:f>
        <x:v>OK</x:v>
      </x:c>
    </x:row>
    <x:row r="60">
      <x:c r="A60" s="44" t="n">
        <x:f>2028</x:f>
        <x:v>2028</x:v>
      </x:c>
      <x:c r="B60" s="28" t="str">
        <x:f>'03 Sector Inputs'!A20</x:f>
        <x:v>55</x:v>
      </x:c>
      <x:c r="C60" s="28" t="str">
        <x:f>'03 Sector Inputs'!B20</x:f>
        <x:v>Management of Companies and Enterprises</x:v>
      </x:c>
      <x:c r="D60" t="n">
        <x:f>'03 Sector Inputs'!L20*('03 Sector Inputs'!D20/'03 Sector Inputs'!C20)^((A60-2026)/10)</x:f>
        <x:v>2.6552645987581553</x:v>
      </x:c>
      <x:c r="E60" s="32" t="n">
        <x:f>MIN(0.98,1-(1-'03 Sector Inputs'!K20)*(1-'02 Assumptions'!$E$12)^(A60-2026))</x:f>
        <x:v>0.644671306</x:v>
      </x:c>
      <x:c r="F60" t="n">
        <x:f>D60*E60</x:f>
        <x:v>1.711772896656986</x:v>
      </x:c>
      <x:c r="G60" s="38" t="n">
        <x:f>'03 Sector Inputs'!Q20</x:f>
        <x:v>108.91030551487428</x:v>
      </x:c>
      <x:c r="H60" t="n">
        <x:f>(1+'02 Assumptions'!$E$19)^((A60-2026)*'02 Assumptions'!$E$20)</x:f>
        <x:v>1.01995049323311</x:v>
      </x:c>
      <x:c r="I60" t="n">
        <x:f>(1+'03 Sector Inputs'!U20)^((A60-2026)/10)</x:f>
        <x:v>1.0171349030349295</x:v>
      </x:c>
      <x:c r="J60" t="n">
        <x:f>I60^'02 Assumptions'!$E$21</x:f>
        <x:v>1.0051099383149698</x:v>
      </x:c>
      <x:c r="K60" s="32" t="n">
        <x:f>'02 Assumptions'!$E$14</x:f>
        <x:v>0.6</x:v>
      </x:c>
      <x:c r="L60" t="n">
        <x:f>(1+'02 Assumptions'!$E$15)^(A60-2026)</x:f>
        <x:v>1.9599999999999997</x:v>
      </x:c>
      <x:c r="M60" t="n">
        <x:f>(1-'02 Assumptions'!$E$16)^(A60-2026)</x:f>
        <x:v>0.6084</x:v>
      </x:c>
      <x:c r="N60" t="n">
        <x:f>IF(M60&gt;0,M60^(-'02 Assumptions'!$E$17),0)</x:f>
        <x:v>1.488156603078638</x:v>
      </x:c>
      <x:c r="O60" t="n">
        <x:f>(1+'02 Assumptions'!$E$18)^(A60-2026)</x:f>
        <x:v>1.0404</x:v>
      </x:c>
      <x:c r="P60" s="40" t="n">
        <x:f>F60*G60*12/1000*(1-K60)*H60*J60*O60</x:f>
        <x:v>0.9544416051767637</x:v>
      </x:c>
      <x:c r="Q60" s="40" t="n">
        <x:f>F60*G60*12/1000*K60*H60*J60*L60*M60*N60</x:f>
        <x:v>2.4419355106111342</x:v>
      </x:c>
      <x:c r="R60" s="40" t="n">
        <x:f>SUM(P60:Q60)</x:f>
        <x:v>3.3963771157878977</x:v>
      </x:c>
      <x:c r="S60" s="40" t="n">
        <x:f>IFERROR('03 Sector Inputs'!M20*(D60/'03 Sector Inputs'!L20)*(1+'02 Assumptions'!$E$19)^(A60-2026),0)</x:f>
        <x:v>618.2644016002719</x:v>
      </x:c>
      <x:c r="T60" s="36" t="n">
        <x:f>IFERROR(R60/S60,0)</x:f>
        <x:v>0.005493405583431547</x:v>
      </x:c>
      <x:c r="U60" s="42" t="n">
        <x:f>S60*(I60-1)</x:f>
        <x:v>10.593900571369359</x:v>
      </x:c>
      <x:c r="V60" t="str">
        <x:f>'03 Sector Inputs'!I20</x:f>
        <x:v>NATIONAL PROXY</x:v>
      </x:c>
      <x:c r="W60" t="n">
        <x:f>P60+F60*G60*12/1000*K60*H60*J60*L60*M60</x:f>
        <x:v>2.595354601537064</x:v>
      </x:c>
      <x:c r="X60" t="n">
        <x:f>F60*G60*12/1000*H60*((1-K60)*O60+K60*L60*M60*N60)</x:f>
        <x:v>3.3791100717617018</x:v>
      </x:c>
      <x:c r="Y60" t="n">
        <x:f>F60*G60*12/1000*H60*((1-K60)*O60+K60*L60*M60)</x:f>
        <x:v>2.5821599236080397</x:v>
      </x:c>
      <x:c r="Z60" t="str">
        <x:f>IF(OR(F60&lt;0,E60&lt;0,E60&gt;1,R60&lt;0),"CHECK","OK")</x:f>
        <x:v>OK</x:v>
      </x:c>
    </x:row>
    <x:row r="61">
      <x:c r="A61" s="44" t="n">
        <x:f>2028</x:f>
        <x:v>2028</x:v>
      </x:c>
      <x:c r="B61" s="28" t="str">
        <x:f>'03 Sector Inputs'!A21</x:f>
        <x:v>56</x:v>
      </x:c>
      <x:c r="C61" s="28" t="str">
        <x:f>'03 Sector Inputs'!B21</x:f>
        <x:v>Administrative, Support and Waste Services</x:v>
      </x:c>
      <x:c r="D61" t="n">
        <x:f>'03 Sector Inputs'!L21*('03 Sector Inputs'!D21/'03 Sector Inputs'!C21)^((A61-2026)/10)</x:f>
        <x:v>9.037145072794004</x:v>
      </x:c>
      <x:c r="E61" s="32" t="n">
        <x:f>MIN(0.98,1-(1-'03 Sector Inputs'!K21)*(1-'02 Assumptions'!$E$12)^(A61-2026))</x:f>
        <x:v>0.644671306</x:v>
      </x:c>
      <x:c r="F61" t="n">
        <x:f>D61*E61</x:f>
        <x:v>5.825988116589576</x:v>
      </x:c>
      <x:c r="G61" s="38" t="n">
        <x:f>'03 Sector Inputs'!Q21</x:f>
        <x:v>93.90408661465632</x:v>
      </x:c>
      <x:c r="H61" t="n">
        <x:f>(1+'02 Assumptions'!$E$19)^((A61-2026)*'02 Assumptions'!$E$20)</x:f>
        <x:v>1.01995049323311</x:v>
      </x:c>
      <x:c r="I61" t="n">
        <x:f>(1+'03 Sector Inputs'!U21)^((A61-2026)/10)</x:f>
        <x:v>1.009690901462784</x:v>
      </x:c>
      <x:c r="J61" t="n">
        <x:f>I61^'02 Assumptions'!$E$21</x:f>
        <x:v>1.002897463313537</x:v>
      </x:c>
      <x:c r="K61" s="32" t="n">
        <x:f>'02 Assumptions'!$E$14</x:f>
        <x:v>0.6</x:v>
      </x:c>
      <x:c r="L61" t="n">
        <x:f>(1+'02 Assumptions'!$E$15)^(A61-2026)</x:f>
        <x:v>1.9599999999999997</x:v>
      </x:c>
      <x:c r="M61" t="n">
        <x:f>(1-'02 Assumptions'!$E$16)^(A61-2026)</x:f>
        <x:v>0.6084</x:v>
      </x:c>
      <x:c r="N61" t="n">
        <x:f>IF(M61&gt;0,M61^(-'02 Assumptions'!$E$17),0)</x:f>
        <x:v>1.488156603078638</x:v>
      </x:c>
      <x:c r="O61" t="n">
        <x:f>(1+'02 Assumptions'!$E$18)^(A61-2026)</x:f>
        <x:v>1.0404</x:v>
      </x:c>
      <x:c r="P61" s="40" t="n">
        <x:f>F61*G61*12/1000*(1-K61)*H61*J61*O61</x:f>
        <x:v>2.794674892635365</x:v>
      </x:c>
      <x:c r="Q61" s="40" t="n">
        <x:f>F61*G61*12/1000*K61*H61*J61*L61*M61*N61</x:f>
        <x:v>7.150165944071313</x:v>
      </x:c>
      <x:c r="R61" s="40" t="n">
        <x:f>SUM(P61:Q61)</x:f>
        <x:v>9.944840836706678</x:v>
      </x:c>
      <x:c r="S61" s="40" t="n">
        <x:f>IFERROR('03 Sector Inputs'!M21*(D61/'03 Sector Inputs'!L21)*(1+'02 Assumptions'!$E$19)^(A61-2026),0)</x:f>
        <x:v>1002.7098294772379</x:v>
      </x:c>
      <x:c r="T61" s="36" t="n">
        <x:f>IFERROR(R61/S61,0)</x:f>
        <x:v>0.009917964843220311</x:v>
      </x:c>
      <x:c r="U61" s="42" t="n">
        <x:f>S61*(I61-1)</x:f>
        <x:v>9.717162153228811</x:v>
      </x:c>
      <x:c r="V61" t="str">
        <x:f>'03 Sector Inputs'!I21</x:f>
        <x:v>NATIONAL PROXY</x:v>
      </x:c>
      <x:c r="W61" t="n">
        <x:f>P61+F61*G61*12/1000*K61*H61*J61*L61*M61</x:f>
        <x:v>7.599388273793867</x:v>
      </x:c>
      <x:c r="X61" t="n">
        <x:f>F61*G61*12/1000*H61*((1-K61)*O61+K61*L61*M61*N61)</x:f>
        <x:v>9.916109273872607</x:v>
      </x:c>
      <x:c r="Y61" t="n">
        <x:f>F61*G61*12/1000*H61*((1-K61)*O61+K61*L61*M61)</x:f>
        <x:v>7.577432939839893</x:v>
      </x:c>
      <x:c r="Z61" t="str">
        <x:f>IF(OR(F61&lt;0,E61&lt;0,E61&gt;1,R61&lt;0),"CHECK","OK")</x:f>
        <x:v>OK</x:v>
      </x:c>
    </x:row>
    <x:row r="62">
      <x:c r="A62" s="44" t="n">
        <x:f>2028</x:f>
        <x:v>2028</x:v>
      </x:c>
      <x:c r="B62" s="28" t="str">
        <x:f>'03 Sector Inputs'!A22</x:f>
        <x:v>61</x:v>
      </x:c>
      <x:c r="C62" s="28" t="str">
        <x:f>'03 Sector Inputs'!B22</x:f>
        <x:v>Educational Services (Private)</x:v>
      </x:c>
      <x:c r="D62" t="n">
        <x:f>'03 Sector Inputs'!L22*('03 Sector Inputs'!D22/'03 Sector Inputs'!C22)^((A62-2026)/10)</x:f>
        <x:v>4.079163456012684</x:v>
      </x:c>
      <x:c r="E62" s="32" t="n">
        <x:f>MIN(0.98,1-(1-'03 Sector Inputs'!K22)*(1-'02 Assumptions'!$E$12)^(A62-2026))</x:f>
        <x:v>0.644671306</x:v>
      </x:c>
      <x:c r="F62" t="n">
        <x:f>D62*E62</x:f>
        <x:v>2.6297196325751706</x:v>
      </x:c>
      <x:c r="G62" s="38" t="n">
        <x:f>'03 Sector Inputs'!Q22</x:f>
        <x:v>90.94311072364238</x:v>
      </x:c>
      <x:c r="H62" t="n">
        <x:f>(1+'02 Assumptions'!$E$19)^((A62-2026)*'02 Assumptions'!$E$20)</x:f>
        <x:v>1.01995049323311</x:v>
      </x:c>
      <x:c r="I62" t="n">
        <x:f>(1+'03 Sector Inputs'!U22)^((A62-2026)/10)</x:f>
        <x:v>1.0123210411102936</x:v>
      </x:c>
      <x:c r="J62" t="n">
        <x:f>I62^'02 Assumptions'!$E$21</x:f>
        <x:v>1.0036804828609796</x:v>
      </x:c>
      <x:c r="K62" s="32" t="n">
        <x:f>'02 Assumptions'!$E$14</x:f>
        <x:v>0.6</x:v>
      </x:c>
      <x:c r="L62" t="n">
        <x:f>(1+'02 Assumptions'!$E$15)^(A62-2026)</x:f>
        <x:v>1.9599999999999997</x:v>
      </x:c>
      <x:c r="M62" t="n">
        <x:f>(1-'02 Assumptions'!$E$16)^(A62-2026)</x:f>
        <x:v>0.6084</x:v>
      </x:c>
      <x:c r="N62" t="n">
        <x:f>IF(M62&gt;0,M62^(-'02 Assumptions'!$E$17),0)</x:f>
        <x:v>1.488156603078638</x:v>
      </x:c>
      <x:c r="O62" t="n">
        <x:f>(1+'02 Assumptions'!$E$18)^(A62-2026)</x:f>
        <x:v>1.0404</x:v>
      </x:c>
      <x:c r="P62" s="40" t="n">
        <x:f>F62*G62*12/1000*(1-K62)*H62*J62*O62</x:f>
        <x:v>1.2226310085929404</x:v>
      </x:c>
      <x:c r="Q62" s="40" t="n">
        <x:f>F62*G62*12/1000*K62*H62*J62*L62*M62*N62</x:f>
        <x:v>3.128097161800144</x:v>
      </x:c>
      <x:c r="R62" s="40" t="n">
        <x:f>SUM(P62:Q62)</x:f>
        <x:v>4.350728170393085</x:v>
      </x:c>
      <x:c r="S62" s="40" t="n">
        <x:f>IFERROR('03 Sector Inputs'!M22*(D62/'03 Sector Inputs'!L22)*(1+'02 Assumptions'!$E$19)^(A62-2026),0)</x:f>
        <x:v>385.60414083474035</x:v>
      </x:c>
      <x:c r="T62" s="36" t="n">
        <x:f>IFERROR(R62/S62,0)</x:f>
        <x:v>0.01128288757733463</x:v>
      </x:c>
      <x:c r="U62" s="42" t="n">
        <x:f>S62*(I62-1)</x:f>
        <x:v>4.7510444715242945</x:v>
      </x:c>
      <x:c r="V62" t="str">
        <x:f>'03 Sector Inputs'!I22</x:f>
        <x:v>NATIONAL PROXY</x:v>
      </x:c>
      <x:c r="W62" t="n">
        <x:f>P62+F62*G62*12/1000*K62*H62*J62*L62*M62</x:f>
        <x:v>3.324625620805703</x:v>
      </x:c>
      <x:c r="X62" t="n">
        <x:f>F62*G62*12/1000*H62*((1-K62)*O62+K62*L62*M62*N62)</x:f>
        <x:v>4.334774108580236</x:v>
      </x:c>
      <x:c r="Y62" t="n">
        <x:f>F62*G62*12/1000*H62*((1-K62)*O62+K62*L62*M62)</x:f>
        <x:v>3.3124342632716104</x:v>
      </x:c>
      <x:c r="Z62" t="str">
        <x:f>IF(OR(F62&lt;0,E62&lt;0,E62&gt;1,R62&lt;0),"CHECK","OK")</x:f>
        <x:v>OK</x:v>
      </x:c>
    </x:row>
    <x:row r="63">
      <x:c r="A63" s="44" t="n">
        <x:f>2028</x:f>
        <x:v>2028</x:v>
      </x:c>
      <x:c r="B63" s="28" t="str">
        <x:f>'03 Sector Inputs'!A23</x:f>
        <x:v>62</x:v>
      </x:c>
      <x:c r="C63" s="28" t="str">
        <x:f>'03 Sector Inputs'!B23</x:f>
        <x:v>Health Care and Social Assistance (Private)</x:v>
      </x:c>
      <x:c r="D63" t="n">
        <x:f>'03 Sector Inputs'!L23*('03 Sector Inputs'!D23/'03 Sector Inputs'!C23)^((A63-2026)/10)</x:f>
        <x:v>23.930629600536836</x:v>
      </x:c>
      <x:c r="E63" s="32" t="n">
        <x:f>MIN(0.98,1-(1-'03 Sector Inputs'!K23)*(1-'02 Assumptions'!$E$12)^(A63-2026))</x:f>
        <x:v>0.541316602</x:v>
      </x:c>
      <x:c r="F63" t="n">
        <x:f>D63*E63</x:f>
        <x:v>12.954047099083217</x:v>
      </x:c>
      <x:c r="G63" s="38" t="n">
        <x:f>'03 Sector Inputs'!Q23</x:f>
        <x:v>93.69693394431226</x:v>
      </x:c>
      <x:c r="H63" t="n">
        <x:f>(1+'02 Assumptions'!$E$19)^((A63-2026)*'02 Assumptions'!$E$20)</x:f>
        <x:v>1.01995049323311</x:v>
      </x:c>
      <x:c r="I63" t="n">
        <x:f>(1+'03 Sector Inputs'!U23)^((A63-2026)/10)</x:f>
        <x:v>1.0110756628562794</x:v>
      </x:c>
      <x:c r="J63" t="n">
        <x:f>I63^'02 Assumptions'!$E$21</x:f>
        <x:v>1.0033098987150908</x:v>
      </x:c>
      <x:c r="K63" s="32" t="n">
        <x:f>'02 Assumptions'!$E$14</x:f>
        <x:v>0.6</x:v>
      </x:c>
      <x:c r="L63" t="n">
        <x:f>(1+'02 Assumptions'!$E$15)^(A63-2026)</x:f>
        <x:v>1.9599999999999997</x:v>
      </x:c>
      <x:c r="M63" t="n">
        <x:f>(1-'02 Assumptions'!$E$16)^(A63-2026)</x:f>
        <x:v>0.6084</x:v>
      </x:c>
      <x:c r="N63" t="n">
        <x:f>IF(M63&gt;0,M63^(-'02 Assumptions'!$E$17),0)</x:f>
        <x:v>1.488156603078638</x:v>
      </x:c>
      <x:c r="O63" t="n">
        <x:f>(1+'02 Assumptions'!$E$18)^(A63-2026)</x:f>
        <x:v>1.0404</x:v>
      </x:c>
      <x:c r="P63" s="40" t="n">
        <x:f>F63*G63*12/1000*(1-K63)*H63*J63*O63</x:f>
        <x:v>6.2027834815635865</x:v>
      </x:c>
      <x:c r="Q63" s="40" t="n">
        <x:f>F63*G63*12/1000*K63*H63*J63*L63*M63*N63</x:f>
        <x:v>15.869799855861352</x:v>
      </x:c>
      <x:c r="R63" s="40" t="n">
        <x:f>SUM(P63:Q63)</x:f>
        <x:v>22.072583337424938</x:v>
      </x:c>
      <x:c r="S63" s="40" t="n">
        <x:f>IFERROR('03 Sector Inputs'!M23*(D63/'03 Sector Inputs'!L23)*(1+'02 Assumptions'!$E$19)^(A63-2026),0)</x:f>
        <x:v>2626.0475012715488</x:v>
      </x:c>
      <x:c r="T63" s="36" t="n">
        <x:f>IFERROR(R63/S63,0)</x:f>
        <x:v>0.00840524907745852</x:v>
      </x:c>
      <x:c r="U63" s="42" t="n">
        <x:f>S63*(I63-1)</x:f>
        <x:v>29.085216768658537</x:v>
      </x:c>
      <x:c r="V63" t="str">
        <x:f>'03 Sector Inputs'!I23</x:f>
        <x:v>DIRECT RAMP</x:v>
      </x:c>
      <x:c r="W63" t="n">
        <x:f>P63+F63*G63*12/1000*K63*H63*J63*L63*M63</x:f>
        <x:v>16.866849227756262</x:v>
      </x:c>
      <x:c r="X63" t="n">
        <x:f>F63*G63*12/1000*H63*((1-K63)*O63+K63*L63*M63*N63)</x:f>
        <x:v>21.999766339086893</x:v>
      </x:c>
      <x:c r="Y63" t="n">
        <x:f>F63*G63*12/1000*H63*((1-K63)*O63+K63*L63*M63)</x:f>
        <x:v>16.81120583915013</x:v>
      </x:c>
      <x:c r="Z63" t="str">
        <x:f>IF(OR(F63&lt;0,E63&lt;0,E63&gt;1,R63&lt;0),"CHECK","OK")</x:f>
        <x:v>OK</x:v>
      </x:c>
    </x:row>
    <x:row r="64">
      <x:c r="A64" s="44" t="n">
        <x:f>2028</x:f>
        <x:v>2028</x:v>
      </x:c>
      <x:c r="B64" s="28" t="str">
        <x:f>'03 Sector Inputs'!A24</x:f>
        <x:v>71</x:v>
      </x:c>
      <x:c r="C64" s="28" t="str">
        <x:f>'03 Sector Inputs'!B24</x:f>
        <x:v>Arts, Entertainment and Recreation</x:v>
      </x:c>
      <x:c r="D64" t="n">
        <x:f>'03 Sector Inputs'!L24*('03 Sector Inputs'!D24/'03 Sector Inputs'!C24)^((A64-2026)/10)</x:f>
        <x:v>2.726740832151067</x:v>
      </x:c>
      <x:c r="E64" s="32" t="n">
        <x:f>MIN(0.98,1-(1-'03 Sector Inputs'!K24)*(1-'02 Assumptions'!$E$12)^(A64-2026))</x:f>
        <x:v>0.644671306</x:v>
      </x:c>
      <x:c r="F64" t="n">
        <x:f>D64*E64</x:f>
        <x:v>1.7578515733863551</x:v>
      </x:c>
      <x:c r="G64" s="38" t="n">
        <x:f>'03 Sector Inputs'!Q24</x:f>
        <x:v>96.78298617210244</x:v>
      </x:c>
      <x:c r="H64" t="n">
        <x:f>(1+'02 Assumptions'!$E$19)^((A64-2026)*'02 Assumptions'!$E$20)</x:f>
        <x:v>1.01995049323311</x:v>
      </x:c>
      <x:c r="I64" t="n">
        <x:f>(1+'03 Sector Inputs'!U24)^((A64-2026)/10)</x:f>
        <x:v>1.010092053267403</x:v>
      </x:c>
      <x:c r="J64" t="n">
        <x:f>I64^'02 Assumptions'!$E$21</x:f>
        <x:v>1.003016982523401</x:v>
      </x:c>
      <x:c r="K64" s="32" t="n">
        <x:f>'02 Assumptions'!$E$14</x:f>
        <x:v>0.6</x:v>
      </x:c>
      <x:c r="L64" t="n">
        <x:f>(1+'02 Assumptions'!$E$15)^(A64-2026)</x:f>
        <x:v>1.9599999999999997</x:v>
      </x:c>
      <x:c r="M64" t="n">
        <x:f>(1-'02 Assumptions'!$E$16)^(A64-2026)</x:f>
        <x:v>0.6084</x:v>
      </x:c>
      <x:c r="N64" t="n">
        <x:f>IF(M64&gt;0,M64^(-'02 Assumptions'!$E$17),0)</x:f>
        <x:v>1.488156603078638</x:v>
      </x:c>
      <x:c r="O64" t="n">
        <x:f>(1+'02 Assumptions'!$E$18)^(A64-2026)</x:f>
        <x:v>1.0404</x:v>
      </x:c>
      <x:c r="P64" s="40" t="n">
        <x:f>F64*G64*12/1000*(1-K64)*H64*J64*O64</x:f>
        <x:v>0.8691809102860497</x:v>
      </x:c>
      <x:c r="Q64" s="40" t="n">
        <x:f>F64*G64*12/1000*K64*H64*J64*L64*M64*N64</x:f>
        <x:v>2.2237963207604814</x:v>
      </x:c>
      <x:c r="R64" s="40" t="n">
        <x:f>SUM(P64:Q64)</x:f>
        <x:v>3.092977231046531</x:v>
      </x:c>
      <x:c r="S64" s="40" t="n">
        <x:f>IFERROR('03 Sector Inputs'!M24*(D64/'03 Sector Inputs'!L24)*(1+'02 Assumptions'!$E$19)^(A64-2026),0)</x:f>
        <x:v>351.8523899542123</x:v>
      </x:c>
      <x:c r="T64" s="36" t="n">
        <x:f>IFERROR(R64/S64,0)</x:f>
        <x:v>0.008790553423408693</x:v>
      </x:c>
      <x:c r="U64" s="42" t="n">
        <x:f>S64*(I64-1)</x:f>
        <x:v>3.5509130616809355</x:v>
      </x:c>
      <x:c r="V64" t="str">
        <x:f>'03 Sector Inputs'!I24</x:f>
        <x:v>NATIONAL PROXY</x:v>
      </x:c>
      <x:c r="W64" t="n">
        <x:f>P64+F64*G64*12/1000*K64*H64*J64*L64*M64</x:f>
        <x:v>2.3635104157695332</x:v>
      </x:c>
      <x:c r="X64" t="n">
        <x:f>F64*G64*12/1000*H64*((1-K64)*O64+K64*L64*M64*N64)</x:f>
        <x:v>3.083673840960484</x:v>
      </x:c>
      <x:c r="Y64" t="n">
        <x:f>F64*G64*12/1000*H64*((1-K64)*O64+K64*L64*M64)</x:f>
        <x:v>2.356401194547462</x:v>
      </x:c>
      <x:c r="Z64" t="str">
        <x:f>IF(OR(F64&lt;0,E64&lt;0,E64&gt;1,R64&lt;0),"CHECK","OK")</x:f>
        <x:v>OK</x:v>
      </x:c>
    </x:row>
    <x:row r="65">
      <x:c r="A65" s="44" t="n">
        <x:f>2028</x:f>
        <x:v>2028</x:v>
      </x:c>
      <x:c r="B65" s="28" t="str">
        <x:f>'03 Sector Inputs'!A25</x:f>
        <x:v>72</x:v>
      </x:c>
      <x:c r="C65" s="28" t="str">
        <x:f>'03 Sector Inputs'!B25</x:f>
        <x:v>Accommodation and Food Services</x:v>
      </x:c>
      <x:c r="D65" t="n">
        <x:f>'03 Sector Inputs'!L25*('03 Sector Inputs'!D25/'03 Sector Inputs'!C25)^((A65-2026)/10)</x:f>
        <x:v>14.381656620024946</x:v>
      </x:c>
      <x:c r="E65" s="32" t="n">
        <x:f>MIN(0.98,1-(1-'03 Sector Inputs'!K25)*(1-'02 Assumptions'!$E$12)^(A65-2026))</x:f>
        <x:v>0.4577246829999999</x:v>
      </x:c>
      <x:c r="F65" t="n">
        <x:f>D65*E65</x:f>
        <x:v>6.582839217415769</x:v>
      </x:c>
      <x:c r="G65" s="38" t="n">
        <x:f>'03 Sector Inputs'!Q25</x:f>
        <x:v>86.70668944553024</x:v>
      </x:c>
      <x:c r="H65" t="n">
        <x:f>(1+'02 Assumptions'!$E$19)^((A65-2026)*'02 Assumptions'!$E$20)</x:f>
        <x:v>1.01995049323311</x:v>
      </x:c>
      <x:c r="I65" t="n">
        <x:f>(1+'03 Sector Inputs'!U25)^((A65-2026)/10)</x:f>
        <x:v>1.005787780475119</x:v>
      </x:c>
      <x:c r="J65" t="n">
        <x:f>I65^'02 Assumptions'!$E$21</x:f>
        <x:v>1.0017328283013063</x:v>
      </x:c>
      <x:c r="K65" s="32" t="n">
        <x:f>'02 Assumptions'!$E$14</x:f>
        <x:v>0.6</x:v>
      </x:c>
      <x:c r="L65" t="n">
        <x:f>(1+'02 Assumptions'!$E$15)^(A65-2026)</x:f>
        <x:v>1.9599999999999997</x:v>
      </x:c>
      <x:c r="M65" t="n">
        <x:f>(1-'02 Assumptions'!$E$16)^(A65-2026)</x:f>
        <x:v>0.6084</x:v>
      </x:c>
      <x:c r="N65" t="n">
        <x:f>IF(M65&gt;0,M65^(-'02 Assumptions'!$E$17),0)</x:f>
        <x:v>1.488156603078638</x:v>
      </x:c>
      <x:c r="O65" t="n">
        <x:f>(1+'02 Assumptions'!$E$18)^(A65-2026)</x:f>
        <x:v>1.0404</x:v>
      </x:c>
      <x:c r="P65" s="40" t="n">
        <x:f>F65*G65*12/1000*(1-K65)*H65*J65*O65</x:f>
        <x:v>2.912315570948224</x:v>
      </x:c>
      <x:c r="Q65" s="40" t="n">
        <x:f>F65*G65*12/1000*K65*H65*J65*L65*M65*N65</x:f>
        <x:v>7.45114920832387</x:v>
      </x:c>
      <x:c r="R65" s="40" t="n">
        <x:f>SUM(P65:Q65)</x:f>
        <x:v>10.363464779272094</x:v>
      </x:c>
      <x:c r="S65" s="40" t="n">
        <x:f>IFERROR('03 Sector Inputs'!M25*(D65/'03 Sector Inputs'!L25)*(1+'02 Assumptions'!$E$19)^(A65-2026),0)</x:f>
        <x:v>1071.009919691978</x:v>
      </x:c>
      <x:c r="T65" s="36" t="n">
        <x:f>IFERROR(R65/S65,0)</x:f>
        <x:v>0.009676348079252732</x:v>
      </x:c>
      <x:c r="U65" s="42" t="n">
        <x:f>S65*(I65-1)</x:f>
        <x:v>6.19877030185196</x:v>
      </x:c>
      <x:c r="V65" t="str">
        <x:f>'03 Sector Inputs'!I25</x:f>
        <x:v>DIRECT RAMP</x:v>
      </x:c>
      <x:c r="W65" t="n">
        <x:f>P65+F65*G65*12/1000*K65*H65*J65*L65*M65</x:f>
        <x:v>7.919281365347304</x:v>
      </x:c>
      <x:c r="X65" t="n">
        <x:f>F65*G65*12/1000*H65*((1-K65)*O65+K65*L65*M65*N65)</x:f>
        <x:v>10.345537738686264</x:v>
      </x:c>
      <x:c r="Y65" t="n">
        <x:f>F65*G65*12/1000*H65*((1-K65)*O65+K65*L65*M65)</x:f>
        <x:v>7.905582348515488</x:v>
      </x:c>
      <x:c r="Z65" t="str">
        <x:f>IF(OR(F65&lt;0,E65&lt;0,E65&gt;1,R65&lt;0),"CHECK","OK")</x:f>
        <x:v>OK</x:v>
      </x:c>
    </x:row>
    <x:row r="66">
      <x:c r="A66" s="44" t="n">
        <x:f>2028</x:f>
        <x:v>2028</x:v>
      </x:c>
      <x:c r="B66" s="28" t="str">
        <x:f>'03 Sector Inputs'!A26</x:f>
        <x:v>81</x:v>
      </x:c>
      <x:c r="C66" s="28" t="str">
        <x:f>'03 Sector Inputs'!B26</x:f>
        <x:v>Other Services Except Public Administration</x:v>
      </x:c>
      <x:c r="D66" t="n">
        <x:f>'03 Sector Inputs'!L26*('03 Sector Inputs'!D26/'03 Sector Inputs'!C26)^((A66-2026)/10)</x:f>
        <x:v>6.316375963982084</x:v>
      </x:c>
      <x:c r="E66" s="32" t="n">
        <x:f>MIN(0.98,1-(1-'03 Sector Inputs'!K26)*(1-'02 Assumptions'!$E$12)^(A66-2026))</x:f>
        <x:v>0.644671306</x:v>
      </x:c>
      <x:c r="F66" t="n">
        <x:f>D66*E66</x:f>
        <x:v>4.071986341887339</x:v>
      </x:c>
      <x:c r="G66" s="38" t="n">
        <x:f>'03 Sector Inputs'!Q26</x:f>
        <x:v>92.75230522798783</x:v>
      </x:c>
      <x:c r="H66" t="n">
        <x:f>(1+'02 Assumptions'!$E$19)^((A66-2026)*'02 Assumptions'!$E$20)</x:f>
        <x:v>1.01995049323311</x:v>
      </x:c>
      <x:c r="I66" t="n">
        <x:f>(1+'03 Sector Inputs'!U26)^((A66-2026)/10)</x:f>
        <x:v>1.010477764919087</x:v>
      </x:c>
      <x:c r="J66" t="n">
        <x:f>I66^'02 Assumptions'!$E$21</x:f>
        <x:v>1.00313187016387</x:v>
      </x:c>
      <x:c r="K66" s="32" t="n">
        <x:f>'02 Assumptions'!$E$14</x:f>
        <x:v>0.6</x:v>
      </x:c>
      <x:c r="L66" t="n">
        <x:f>(1+'02 Assumptions'!$E$15)^(A66-2026)</x:f>
        <x:v>1.9599999999999997</x:v>
      </x:c>
      <x:c r="M66" t="n">
        <x:f>(1-'02 Assumptions'!$E$16)^(A66-2026)</x:f>
        <x:v>0.6084</x:v>
      </x:c>
      <x:c r="N66" t="n">
        <x:f>IF(M66&gt;0,M66^(-'02 Assumptions'!$E$17),0)</x:f>
        <x:v>1.488156603078638</x:v>
      </x:c>
      <x:c r="O66" t="n">
        <x:f>(1+'02 Assumptions'!$E$18)^(A66-2026)</x:f>
        <x:v>1.0404</x:v>
      </x:c>
      <x:c r="P66" s="40" t="n">
        <x:f>F66*G66*12/1000*(1-K66)*H66*J66*O66</x:f>
        <x:v>1.9297885554408876</x:v>
      </x:c>
      <x:c r="Q66" s="40" t="n">
        <x:f>F66*G66*12/1000*K66*H66*J66*L66*M66*N66</x:f>
        <x:v>4.937357273554017</x:v>
      </x:c>
      <x:c r="R66" s="40" t="n">
        <x:f>SUM(P66:Q66)</x:f>
        <x:v>6.8671458289949046</x:v>
      </x:c>
      <x:c r="S66" s="40" t="n">
        <x:f>IFERROR('03 Sector Inputs'!M26*(D66/'03 Sector Inputs'!L26)*(1+'02 Assumptions'!$E$19)^(A66-2026),0)</x:f>
        <x:v>658.8902601061931</x:v>
      </x:c>
      <x:c r="T66" s="36" t="n">
        <x:f>IFERROR(R66/S66,0)</x:f>
        <x:v>0.010422290698132539</x:v>
      </x:c>
      <x:c r="U66" s="42" t="n">
        <x:f>S66*(I66-1)</x:f>
        <x:v>6.903697252868798</x:v>
      </x:c>
      <x:c r="V66" t="str">
        <x:f>'03 Sector Inputs'!I26</x:f>
        <x:v>NATIONAL PROXY</x:v>
      </x:c>
      <x:c r="W66" t="n">
        <x:f>P66+F66*G66*12/1000*K66*H66*J66*L66*M66</x:f>
        <x:v>5.24755582760822</x:v>
      </x:c>
      <x:c r="X66" t="n">
        <x:f>F66*G66*12/1000*H66*((1-K66)*O66+K66*L66*M66*N66)</x:f>
        <x:v>6.845705966727085</x:v>
      </x:c>
      <x:c r="Y66" t="n">
        <x:f>F66*G66*12/1000*H66*((1-K66)*O66+K66*L66*M66)</x:f>
        <x:v>5.231172474612922</x:v>
      </x:c>
      <x:c r="Z66" t="str">
        <x:f>IF(OR(F66&lt;0,E66&lt;0,E66&gt;1,R66&lt;0),"CHECK","OK")</x:f>
        <x:v>OK</x:v>
      </x:c>
    </x:row>
    <x:row r="67">
      <x:c r="A67" s="44" t="n">
        <x:f>2028</x:f>
        <x:v>2028</x:v>
      </x:c>
      <x:c r="B67" s="28" t="str">
        <x:f>'03 Sector Inputs'!A27</x:f>
        <x:v>Gov</x:v>
      </x:c>
      <x:c r="C67" s="28" t="str">
        <x:f>'03 Sector Inputs'!B27</x:f>
        <x:v>Federal and State/Local Government</x:v>
      </x:c>
      <x:c r="D67" t="n">
        <x:f>'03 Sector Inputs'!L27*('03 Sector Inputs'!D27/'03 Sector Inputs'!C27)^((A67-2026)/10)</x:f>
        <x:v>0</x:v>
      </x:c>
      <x:c r="E67" s="32" t="n">
        <x:f>IF(D67=0,0,MIN(0.98,1-(1-'03 Sector Inputs'!K27)*(1-'02 Assumptions'!$E$12)^(A67-2026)))</x:f>
        <x:v>0</x:v>
      </x:c>
      <x:c r="F67" t="n">
        <x:f>D67*E67</x:f>
        <x:v>0</x:v>
      </x:c>
      <x:c r="G67" s="38" t="n">
        <x:f>'03 Sector Inputs'!Q27</x:f>
        <x:v>0</x:v>
      </x:c>
      <x:c r="H67" t="n">
        <x:f>(1+'02 Assumptions'!$E$19)^((A67-2026)*'02 Assumptions'!$E$20)</x:f>
        <x:v>1.01995049323311</x:v>
      </x:c>
      <x:c r="I67" t="n">
        <x:f>(1+'03 Sector Inputs'!U27)^((A67-2026)/10)</x:f>
        <x:v>1</x:v>
      </x:c>
      <x:c r="J67" t="n">
        <x:f>I67^'02 Assumptions'!$E$21</x:f>
        <x:v>1</x:v>
      </x:c>
      <x:c r="K67" s="32" t="n">
        <x:f>'02 Assumptions'!$E$14</x:f>
        <x:v>0.6</x:v>
      </x:c>
      <x:c r="L67" t="n">
        <x:f>(1+'02 Assumptions'!$E$15)^(A67-2026)</x:f>
        <x:v>1.9599999999999997</x:v>
      </x:c>
      <x:c r="M67" t="n">
        <x:f>(1-'02 Assumptions'!$E$16)^(A67-2026)</x:f>
        <x:v>0.6084</x:v>
      </x:c>
      <x:c r="N67" t="n">
        <x:f>IF(M67&gt;0,M67^(-'02 Assumptions'!$E$17),0)</x:f>
        <x:v>1.488156603078638</x:v>
      </x:c>
      <x:c r="O67" t="n">
        <x:f>(1+'02 Assumptions'!$E$18)^(A67-2026)</x:f>
        <x:v>1.0404</x:v>
      </x:c>
      <x:c r="P67" s="40" t="n">
        <x:f>F67*G67*12/1000*(1-K67)*H67*J67*O67</x:f>
        <x:v>0</x:v>
      </x:c>
      <x:c r="Q67" s="40" t="n">
        <x:f>F67*G67*12/1000*K67*H67*J67*L67*M67*N67</x:f>
        <x:v>0</x:v>
      </x:c>
      <x:c r="R67" s="40" t="n">
        <x:f>SUM(P67:Q67)</x:f>
        <x:v>0</x:v>
      </x:c>
      <x:c r="S67" s="40" t="n">
        <x:f>IFERROR('03 Sector Inputs'!M27*(D67/'03 Sector Inputs'!L27)*(1+'02 Assumptions'!$E$19)^(A67-2026),0)</x:f>
        <x:v>0</x:v>
      </x:c>
      <x:c r="T67" s="36" t="n">
        <x:f>IFERROR(R67/S67,0)</x:f>
        <x:v>0</x:v>
      </x:c>
      <x:c r="U67" s="42" t="n">
        <x:f>S67*(I67-1)</x:f>
        <x:v>0</x:v>
      </x:c>
      <x:c r="V67" t="str">
        <x:f>'03 Sector Inputs'!I27</x:f>
        <x:v>NATIONAL PROXY</x:v>
      </x:c>
      <x:c r="W67" t="n">
        <x:f>P67+F67*G67*12/1000*K67*H67*J67*L67*M67</x:f>
        <x:v>0</x:v>
      </x:c>
      <x:c r="X67" t="n">
        <x:f>F67*G67*12/1000*H67*((1-K67)*O67+K67*L67*M67*N67)</x:f>
        <x:v>0</x:v>
      </x:c>
      <x:c r="Y67" t="n">
        <x:f>F67*G67*12/1000*H67*((1-K67)*O67+K67*L67*M67)</x:f>
        <x:v>0</x:v>
      </x:c>
      <x:c r="Z67" t="str">
        <x:f>IF(OR(F67&lt;0,E67&lt;0,E67&gt;1,R67&lt;0),"CHECK","OK")</x:f>
        <x:v>OK</x:v>
      </x:c>
    </x:row>
    <x:row r="68">
      <x:c r="A68" s="44" t="n">
        <x:f>2029</x:f>
        <x:v>2029</x:v>
      </x:c>
      <x:c r="B68" s="28" t="str">
        <x:f>'03 Sector Inputs'!A8</x:f>
        <x:v>11</x:v>
      </x:c>
      <x:c r="C68" s="28" t="str">
        <x:f>'03 Sector Inputs'!B8</x:f>
        <x:v>Agriculture, Forestry, Fishing and Hunting</x:v>
      </x:c>
      <x:c r="D68" t="n">
        <x:f>'03 Sector Inputs'!L8*('03 Sector Inputs'!D8/'03 Sector Inputs'!C8)^((A68-2026)/10)</x:f>
        <x:v>0</x:v>
      </x:c>
      <x:c r="E68" s="32" t="n">
        <x:f>IF(D68=0,0,MIN(0.98,1-(1-'03 Sector Inputs'!K8)*(1-'02 Assumptions'!$E$12)^(A68-2026)))</x:f>
        <x:v>0</x:v>
      </x:c>
      <x:c r="F68" t="n">
        <x:f>D68*E68</x:f>
        <x:v>0</x:v>
      </x:c>
      <x:c r="G68" s="38" t="n">
        <x:f>'03 Sector Inputs'!Q8</x:f>
        <x:v>0</x:v>
      </x:c>
      <x:c r="H68" t="n">
        <x:f>(1+'02 Assumptions'!$E$19)^((A68-2026)*'02 Assumptions'!$E$20)</x:f>
        <x:v>1.0300745055474758</x:v>
      </x:c>
      <x:c r="I68" t="n">
        <x:f>(1+'03 Sector Inputs'!U8)^((A68-2026)/10)</x:f>
        <x:v>1.007820034824546</x:v>
      </x:c>
      <x:c r="J68" t="n">
        <x:f>I68^'02 Assumptions'!$E$21</x:f>
        <x:v>1.002339617692824</x:v>
      </x:c>
      <x:c r="K68" s="32" t="n">
        <x:f>'02 Assumptions'!$E$14</x:f>
        <x:v>0.6</x:v>
      </x:c>
      <x:c r="L68" t="n">
        <x:f>(1+'02 Assumptions'!$E$15)^(A68-2026)</x:f>
        <x:v>2.7439999999999993</x:v>
      </x:c>
      <x:c r="M68" t="n">
        <x:f>(1-'02 Assumptions'!$E$16)^(A68-2026)</x:f>
        <x:v>0.47455200000000003</x:v>
      </x:c>
      <x:c r="N68" t="n">
        <x:f>IF(M68&gt;0,M68^(-'02 Assumptions'!$E$17),0)</x:f>
        <x:v>1.8154026018440537</x:v>
      </x:c>
      <x:c r="O68" t="n">
        <x:f>(1+'02 Assumptions'!$E$18)^(A68-2026)</x:f>
        <x:v>1.061208</x:v>
      </x:c>
      <x:c r="P68" s="40" t="n">
        <x:f>F68*G68*12/1000*(1-K68)*H68*J68*O68</x:f>
        <x:v>0</x:v>
      </x:c>
      <x:c r="Q68" s="40" t="n">
        <x:f>F68*G68*12/1000*K68*H68*J68*L68*M68*N68</x:f>
        <x:v>0</x:v>
      </x:c>
      <x:c r="R68" s="40" t="n">
        <x:f>SUM(P68:Q68)</x:f>
        <x:v>0</x:v>
      </x:c>
      <x:c r="S68" s="40" t="n">
        <x:f>IFERROR('03 Sector Inputs'!M8*(D68/'03 Sector Inputs'!L8)*(1+'02 Assumptions'!$E$19)^(A68-2026),0)</x:f>
        <x:v>0</x:v>
      </x:c>
      <x:c r="T68" s="36" t="n">
        <x:f>IFERROR(R68/S68,0)</x:f>
        <x:v>0</x:v>
      </x:c>
      <x:c r="U68" s="42" t="n">
        <x:f>S68*(I68-1)</x:f>
        <x:v>0</x:v>
      </x:c>
      <x:c r="V68" t="str">
        <x:f>'03 Sector Inputs'!I8</x:f>
        <x:v>NATIONAL PROXY</x:v>
      </x:c>
      <x:c r="W68" t="n">
        <x:f>P68+F68*G68*12/1000*K68*H68*J68*L68*M68</x:f>
        <x:v>0</x:v>
      </x:c>
      <x:c r="X68" t="n">
        <x:f>F68*G68*12/1000*H68*((1-K68)*O68+K68*L68*M68*N68)</x:f>
        <x:v>0</x:v>
      </x:c>
      <x:c r="Y68" t="n">
        <x:f>F68*G68*12/1000*H68*((1-K68)*O68+K68*L68*M68)</x:f>
        <x:v>0</x:v>
      </x:c>
      <x:c r="Z68" t="str">
        <x:f>IF(OR(F68&lt;0,E68&lt;0,E68&gt;1,R68&lt;0),"CHECK","OK")</x:f>
        <x:v>OK</x:v>
      </x:c>
    </x:row>
    <x:row r="69">
      <x:c r="A69" s="44" t="n">
        <x:f>2029</x:f>
        <x:v>2029</x:v>
      </x:c>
      <x:c r="B69" s="28" t="str">
        <x:f>'03 Sector Inputs'!A9</x:f>
        <x:v>21</x:v>
      </x:c>
      <x:c r="C69" s="28" t="str">
        <x:f>'03 Sector Inputs'!B9</x:f>
        <x:v>Mining, Quarrying, Oil and Gas Extraction</x:v>
      </x:c>
      <x:c r="D69" t="n">
        <x:f>'03 Sector Inputs'!L9*('03 Sector Inputs'!D9/'03 Sector Inputs'!C9)^((A69-2026)/10)</x:f>
        <x:v>0.5750169891843392</x:v>
      </x:c>
      <x:c r="E69" s="32" t="n">
        <x:f>MIN(0.98,1-(1-'03 Sector Inputs'!K9)*(1-'02 Assumptions'!$E$12)^(A69-2026))</x:f>
        <x:v>0.6802041753999999</x:v>
      </x:c>
      <x:c r="F69" t="n">
        <x:f>D69*E69</x:f>
        <x:v>0.3911289569691241</x:v>
      </x:c>
      <x:c r="G69" s="38" t="n">
        <x:f>'03 Sector Inputs'!Q9</x:f>
        <x:v>144.21605034049728</x:v>
      </x:c>
      <x:c r="H69" t="n">
        <x:f>(1+'02 Assumptions'!$E$19)^((A69-2026)*'02 Assumptions'!$E$20)</x:f>
        <x:v>1.0300745055474758</x:v>
      </x:c>
      <x:c r="I69" t="n">
        <x:f>(1+'03 Sector Inputs'!U9)^((A69-2026)/10)</x:f>
        <x:v>1.0123055303726647</x:v>
      </x:c>
      <x:c r="J69" t="n">
        <x:f>I69^'02 Assumptions'!$E$21</x:f>
        <x:v>1.0036758693320238</x:v>
      </x:c>
      <x:c r="K69" s="32" t="n">
        <x:f>'02 Assumptions'!$E$14</x:f>
        <x:v>0.6</x:v>
      </x:c>
      <x:c r="L69" t="n">
        <x:f>(1+'02 Assumptions'!$E$15)^(A69-2026)</x:f>
        <x:v>2.7439999999999993</x:v>
      </x:c>
      <x:c r="M69" t="n">
        <x:f>(1-'02 Assumptions'!$E$16)^(A69-2026)</x:f>
        <x:v>0.47455200000000003</x:v>
      </x:c>
      <x:c r="N69" t="n">
        <x:f>IF(M69&gt;0,M69^(-'02 Assumptions'!$E$17),0)</x:f>
        <x:v>1.8154026018440537</x:v>
      </x:c>
      <x:c r="O69" t="n">
        <x:f>(1+'02 Assumptions'!$E$18)^(A69-2026)</x:f>
        <x:v>1.061208</x:v>
      </x:c>
      <x:c r="P69" s="40" t="n">
        <x:f>F69*G69*12/1000*(1-K69)*H69*J69*O69</x:f>
        <x:v>0.2970553928592159</x:v>
      </x:c>
      <x:c r="Q69" s="40" t="n">
        <x:f>F69*G69*12/1000*K69*H69*J69*L69*M69*N69</x:f>
        <x:v>0.9925880756765636</x:v>
      </x:c>
      <x:c r="R69" s="40" t="n">
        <x:f>SUM(P69:Q69)</x:f>
        <x:v>1.2896434685357794</x:v>
      </x:c>
      <x:c r="S69" s="40" t="n">
        <x:f>IFERROR('03 Sector Inputs'!M9*(D69/'03 Sector Inputs'!L9)*(1+'02 Assumptions'!$E$19)^(A69-2026),0)</x:f>
        <x:v>558.7198265323332</x:v>
      </x:c>
      <x:c r="T69" s="36" t="n">
        <x:f>IFERROR(R69/S69,0)</x:f>
        <x:v>0.002308211391995676</x:v>
      </x:c>
      <x:c r="U69" s="42" t="n">
        <x:f>S69*(I69-1)</x:f>
        <x:v>6.8753437952035705</x:v>
      </x:c>
      <x:c r="V69" t="str">
        <x:f>'03 Sector Inputs'!I9</x:f>
        <x:v>NATIONAL PROXY</x:v>
      </x:c>
      <x:c r="W69" t="n">
        <x:f>P69+F69*G69*12/1000*K69*H69*J69*L69*M69</x:f>
        <x:v>0.8438145936383215</x:v>
      </x:c>
      <x:c r="X69" t="n">
        <x:f>F69*G69*12/1000*H69*((1-K69)*O69+K69*L69*M69*N69)</x:f>
        <x:v>1.2849202695229445</x:v>
      </x:c>
      <x:c r="Y69" t="n">
        <x:f>F69*G69*12/1000*H69*((1-K69)*O69+K69*L69*M69)</x:f>
        <x:v>0.8407242013299626</x:v>
      </x:c>
      <x:c r="Z69" t="str">
        <x:f>IF(OR(F69&lt;0,E69&lt;0,E69&gt;1,R69&lt;0),"CHECK","OK")</x:f>
        <x:v>OK</x:v>
      </x:c>
    </x:row>
    <x:row r="70">
      <x:c r="A70" s="44" t="n">
        <x:f>2029</x:f>
        <x:v>2029</x:v>
      </x:c>
      <x:c r="B70" s="28" t="str">
        <x:f>'03 Sector Inputs'!A10</x:f>
        <x:v>22</x:v>
      </x:c>
      <x:c r="C70" s="28" t="str">
        <x:f>'03 Sector Inputs'!B10</x:f>
        <x:v>Utilities</x:v>
      </x:c>
      <x:c r="D70" t="n">
        <x:f>'03 Sector Inputs'!L10*('03 Sector Inputs'!D10/'03 Sector Inputs'!C10)^((A70-2026)/10)</x:f>
        <x:v>0.6241638551653924</x:v>
      </x:c>
      <x:c r="E70" s="32" t="n">
        <x:f>MIN(0.98,1-(1-'03 Sector Inputs'!K10)*(1-'02 Assumptions'!$E$12)^(A70-2026))</x:f>
        <x:v>0.6802041753999999</x:v>
      </x:c>
      <x:c r="F70" t="n">
        <x:f>D70*E70</x:f>
        <x:v>0.4245588604172607</x:v>
      </x:c>
      <x:c r="G70" s="38" t="n">
        <x:f>'03 Sector Inputs'!Q10</x:f>
        <x:v>143.37803430608625</x:v>
      </x:c>
      <x:c r="H70" t="n">
        <x:f>(1+'02 Assumptions'!$E$19)^((A70-2026)*'02 Assumptions'!$E$20)</x:f>
        <x:v>1.0300745055474758</x:v>
      </x:c>
      <x:c r="I70" t="n">
        <x:f>(1+'03 Sector Inputs'!U10)^((A70-2026)/10)</x:f>
        <x:v>1.0143280575010143</x:v>
      </x:c>
      <x:c r="J70" t="n">
        <x:f>I70^'02 Assumptions'!$E$21</x:f>
        <x:v>1.004277034802524</x:v>
      </x:c>
      <x:c r="K70" s="32" t="n">
        <x:f>'02 Assumptions'!$E$14</x:f>
        <x:v>0.6</x:v>
      </x:c>
      <x:c r="L70" t="n">
        <x:f>(1+'02 Assumptions'!$E$15)^(A70-2026)</x:f>
        <x:v>2.7439999999999993</x:v>
      </x:c>
      <x:c r="M70" t="n">
        <x:f>(1-'02 Assumptions'!$E$16)^(A70-2026)</x:f>
        <x:v>0.47455200000000003</x:v>
      </x:c>
      <x:c r="N70" t="n">
        <x:f>IF(M70&gt;0,M70^(-'02 Assumptions'!$E$17),0)</x:f>
        <x:v>1.8154026018440537</x:v>
      </x:c>
      <x:c r="O70" t="n">
        <x:f>(1+'02 Assumptions'!$E$18)^(A70-2026)</x:f>
        <x:v>1.061208</x:v>
      </x:c>
      <x:c r="P70" s="40" t="n">
        <x:f>F70*G70*12/1000*(1-K70)*H70*J70*O70</x:f>
        <x:v>0.3207631381042261</x:v>
      </x:c>
      <x:c r="Q70" s="40" t="n">
        <x:f>F70*G70*12/1000*K70*H70*J70*L70*M70*N70</x:f>
        <x:v>1.0718057091451043</x:v>
      </x:c>
      <x:c r="R70" s="40" t="n">
        <x:f>SUM(P70:Q70)</x:f>
        <x:v>1.3925688472493305</x:v>
      </x:c>
      <x:c r="S70" s="40" t="n">
        <x:f>IFERROR('03 Sector Inputs'!M10*(D70/'03 Sector Inputs'!L10)*(1+'02 Assumptions'!$E$19)^(A70-2026),0)</x:f>
        <x:v>589.0567611676723</x:v>
      </x:c>
      <x:c r="T70" s="36" t="n">
        <x:f>IFERROR(R70/S70,0)</x:f>
        <x:v>0.00236406563688171</x:v>
      </x:c>
      <x:c r="U70" s="42" t="n">
        <x:f>S70*(I70-1)</x:f>
        <x:v>8.440039145371651</x:v>
      </x:c>
      <x:c r="V70" t="str">
        <x:f>'03 Sector Inputs'!I10</x:f>
        <x:v>NATIONAL PROXY</x:v>
      </x:c>
      <x:c r="W70" t="n">
        <x:f>P70+F70*G70*12/1000*K70*H70*J70*L70*M70</x:f>
        <x:v>0.9111587385381922</x:v>
      </x:c>
      <x:c r="X70" t="n">
        <x:f>F70*G70*12/1000*H70*((1-K70)*O70+K70*L70*M70*N70)</x:f>
        <x:v>1.3866381476333953</x:v>
      </x:c>
      <x:c r="Y70" t="n">
        <x:f>F70*G70*12/1000*H70*((1-K70)*O70+K70*L70*M70)</x:f>
        <x:v>0.907278277768602</x:v>
      </x:c>
      <x:c r="Z70" t="str">
        <x:f>IF(OR(F70&lt;0,E70&lt;0,E70&gt;1,R70&lt;0),"CHECK","OK")</x:f>
        <x:v>OK</x:v>
      </x:c>
    </x:row>
    <x:row r="71">
      <x:c r="A71" s="44" t="n">
        <x:f>2029</x:f>
        <x:v>2029</x:v>
      </x:c>
      <x:c r="B71" s="28" t="str">
        <x:f>'03 Sector Inputs'!A11</x:f>
        <x:v>23</x:v>
      </x:c>
      <x:c r="C71" s="28" t="str">
        <x:f>'03 Sector Inputs'!B11</x:f>
        <x:v>Construction</x:v>
      </x:c>
      <x:c r="D71" t="n">
        <x:f>'03 Sector Inputs'!L11*('03 Sector Inputs'!D11/'03 Sector Inputs'!C11)^((A71-2026)/10)</x:f>
        <x:v>8.428594363197469</x:v>
      </x:c>
      <x:c r="E71" s="32" t="n">
        <x:f>MIN(0.98,1-(1-'03 Sector Inputs'!K11)*(1-'02 Assumptions'!$E$12)^(A71-2026))</x:f>
        <x:v>0.5784693823</x:v>
      </x:c>
      <x:c r="F71" t="n">
        <x:f>D71*E71</x:f>
        <x:v>4.8756837749361015</x:v>
      </x:c>
      <x:c r="G71" s="38" t="n">
        <x:f>'03 Sector Inputs'!Q11</x:f>
        <x:v>102.71551089956172</x:v>
      </x:c>
      <x:c r="H71" t="n">
        <x:f>(1+'02 Assumptions'!$E$19)^((A71-2026)*'02 Assumptions'!$E$20)</x:f>
        <x:v>1.0300745055474758</x:v>
      </x:c>
      <x:c r="I71" t="n">
        <x:f>(1+'03 Sector Inputs'!U11)^((A71-2026)/10)</x:f>
        <x:v>1.0104902773392141</x:v>
      </x:c>
      <x:c r="J71" t="n">
        <x:f>I71^'02 Assumptions'!$E$21</x:f>
        <x:v>1.0031355965852047</x:v>
      </x:c>
      <x:c r="K71" s="32" t="n">
        <x:f>'02 Assumptions'!$E$14</x:f>
        <x:v>0.6</x:v>
      </x:c>
      <x:c r="L71" t="n">
        <x:f>(1+'02 Assumptions'!$E$15)^(A71-2026)</x:f>
        <x:v>2.7439999999999993</x:v>
      </x:c>
      <x:c r="M71" t="n">
        <x:f>(1-'02 Assumptions'!$E$16)^(A71-2026)</x:f>
        <x:v>0.47455200000000003</x:v>
      </x:c>
      <x:c r="N71" t="n">
        <x:f>IF(M71&gt;0,M71^(-'02 Assumptions'!$E$17),0)</x:f>
        <x:v>1.8154026018440537</x:v>
      </x:c>
      <x:c r="O71" t="n">
        <x:f>(1+'02 Assumptions'!$E$18)^(A71-2026)</x:f>
        <x:v>1.061208</x:v>
      </x:c>
      <x:c r="P71" s="40" t="n">
        <x:f>F71*G71*12/1000*(1-K71)*H71*J71*O71</x:f>
        <x:v>2.635976863843224</x:v>
      </x:c>
      <x:c r="Q71" s="40" t="n">
        <x:f>F71*G71*12/1000*K71*H71*J71*L71*M71*N71</x:f>
        <x:v>8.807916858961397</x:v>
      </x:c>
      <x:c r="R71" s="40" t="n">
        <x:f>SUM(P71:Q71)</x:f>
        <x:v>11.44389372280462</x:v>
      </x:c>
      <x:c r="S71" s="40" t="n">
        <x:f>IFERROR('03 Sector Inputs'!M11*(D71/'03 Sector Inputs'!L11)*(1+'02 Assumptions'!$E$19)^(A71-2026),0)</x:f>
        <x:v>1501.0001183272325</x:v>
      </x:c>
      <x:c r="T71" s="36" t="n">
        <x:f>IFERROR(R71/S71,0)</x:f>
        <x:v>0.007624179094374822</x:v>
      </x:c>
      <x:c r="U71" s="42" t="n">
        <x:f>S71*(I71-1)</x:f>
        <x:v>15.745907527445924</x:v>
      </x:c>
      <x:c r="V71" t="str">
        <x:f>'03 Sector Inputs'!I11</x:f>
        <x:v>DIRECT RAMP</x:v>
      </x:c>
      <x:c r="W71" t="n">
        <x:f>P71+F71*G71*12/1000*K71*H71*J71*L71*M71</x:f>
        <x:v>7.487747402243065</x:v>
      </x:c>
      <x:c r="X71" t="n">
        <x:f>F71*G71*12/1000*H71*((1-K71)*O71+K71*L71*M71*N71)</x:f>
        <x:v>11.408122452997405</x:v>
      </x:c>
      <x:c r="Y71" t="n">
        <x:f>F71*G71*12/1000*H71*((1-K71)*O71+K71*L71*M71)</x:f>
        <x:v>7.464342236216386</x:v>
      </x:c>
      <x:c r="Z71" t="str">
        <x:f>IF(OR(F71&lt;0,E71&lt;0,E71&gt;1,R71&lt;0),"CHECK","OK")</x:f>
        <x:v>OK</x:v>
      </x:c>
    </x:row>
    <x:row r="72">
      <x:c r="A72" s="44" t="n">
        <x:f>2029</x:f>
        <x:v>2029</x:v>
      </x:c>
      <x:c r="B72" s="28" t="str">
        <x:f>'03 Sector Inputs'!A12</x:f>
        <x:v>31-33</x:v>
      </x:c>
      <x:c r="C72" s="28" t="str">
        <x:f>'03 Sector Inputs'!B12</x:f>
        <x:v>Manufacturing</x:v>
      </x:c>
      <x:c r="D72" t="n">
        <x:f>'03 Sector Inputs'!L12*('03 Sector Inputs'!D12/'03 Sector Inputs'!C12)^((A72-2026)/10)</x:f>
        <x:v>12.662490773129058</x:v>
      </x:c>
      <x:c r="E72" s="32" t="n">
        <x:f>MIN(0.98,1-(1-'03 Sector Inputs'!K12)*(1-'02 Assumptions'!$E$12)^(A72-2026))</x:f>
        <x:v>0.7160707567</x:v>
      </x:c>
      <x:c r="F72" t="n">
        <x:f>D72*E72</x:f>
        <x:v>9.067239349621293</x:v>
      </x:c>
      <x:c r="G72" s="38" t="n">
        <x:f>'03 Sector Inputs'!Q12</x:f>
        <x:v>111.62191536298072</x:v>
      </x:c>
      <x:c r="H72" t="n">
        <x:f>(1+'02 Assumptions'!$E$19)^((A72-2026)*'02 Assumptions'!$E$20)</x:f>
        <x:v>1.0300745055474758</x:v>
      </x:c>
      <x:c r="I72" t="n">
        <x:f>(1+'03 Sector Inputs'!U12)^((A72-2026)/10)</x:f>
        <x:v>1.0134938586493671</x:v>
      </x:c>
      <x:c r="J72" t="n">
        <x:f>I72^'02 Assumptions'!$E$21</x:f>
        <x:v>1.0040291836257775</x:v>
      </x:c>
      <x:c r="K72" s="32" t="n">
        <x:f>'02 Assumptions'!$E$14</x:f>
        <x:v>0.6</x:v>
      </x:c>
      <x:c r="L72" t="n">
        <x:f>(1+'02 Assumptions'!$E$15)^(A72-2026)</x:f>
        <x:v>2.7439999999999993</x:v>
      </x:c>
      <x:c r="M72" t="n">
        <x:f>(1-'02 Assumptions'!$E$16)^(A72-2026)</x:f>
        <x:v>0.47455200000000003</x:v>
      </x:c>
      <x:c r="N72" t="n">
        <x:f>IF(M72&gt;0,M72^(-'02 Assumptions'!$E$17),0)</x:f>
        <x:v>1.8154026018440537</x:v>
      </x:c>
      <x:c r="O72" t="n">
        <x:f>(1+'02 Assumptions'!$E$18)^(A72-2026)</x:f>
        <x:v>1.061208</x:v>
      </x:c>
      <x:c r="P72" s="40" t="n">
        <x:f>F72*G72*12/1000*(1-K72)*H72*J72*O72</x:f>
        <x:v>5.331891190477188</x:v>
      </x:c>
      <x:c r="Q72" s="40" t="n">
        <x:f>F72*G72*12/1000*K72*H72*J72*L72*M72*N72</x:f>
        <x:v>17.81611020602073</x:v>
      </x:c>
      <x:c r="R72" s="40" t="n">
        <x:f>SUM(P72:Q72)</x:f>
        <x:v>23.148001396497918</x:v>
      </x:c>
      <x:c r="S72" s="40" t="n">
        <x:f>IFERROR('03 Sector Inputs'!M12*(D72/'03 Sector Inputs'!L12)*(1+'02 Assumptions'!$E$19)^(A72-2026),0)</x:f>
        <x:v>3417.5266835327316</x:v>
      </x:c>
      <x:c r="T72" s="36" t="n">
        <x:f>IFERROR(R72/S72,0)</x:f>
        <x:v>0.006773319871366621</x:v>
      </x:c>
      <x:c r="U72" s="42" t="n">
        <x:f>S72*(I72-1)</x:f>
        <x:v>46.11562199803115</x:v>
      </x:c>
      <x:c r="V72" t="str">
        <x:f>'03 Sector Inputs'!I12</x:f>
        <x:v>DIRECT RAMP</x:v>
      </x:c>
      <x:c r="W72" t="n">
        <x:f>P72+F72*G72*12/1000*K72*H72*J72*L72*M72</x:f>
        <x:v>15.145752968533165</x:v>
      </x:c>
      <x:c r="X72" t="n">
        <x:f>F72*G72*12/1000*H72*((1-K72)*O72+K72*L72*M72*N72)</x:f>
        <x:v>23.055108132320647</x:v>
      </x:c>
      <x:c r="Y72" t="n">
        <x:f>F72*G72*12/1000*H72*((1-K72)*O72+K72*L72*M72)</x:f>
        <x:v>15.08497284295902</x:v>
      </x:c>
      <x:c r="Z72" t="str">
        <x:f>IF(OR(F72&lt;0,E72&lt;0,E72&gt;1,R72&lt;0),"CHECK","OK")</x:f>
        <x:v>OK</x:v>
      </x:c>
    </x:row>
    <x:row r="73">
      <x:c r="A73" s="44" t="n">
        <x:f>2029</x:f>
        <x:v>2029</x:v>
      </x:c>
      <x:c r="B73" s="28" t="str">
        <x:f>'03 Sector Inputs'!A13</x:f>
        <x:v>42</x:v>
      </x:c>
      <x:c r="C73" s="28" t="str">
        <x:f>'03 Sector Inputs'!B13</x:f>
        <x:v>Wholesale Trade</x:v>
      </x:c>
      <x:c r="D73" t="n">
        <x:f>'03 Sector Inputs'!L13*('03 Sector Inputs'!D13/'03 Sector Inputs'!C13)^((A73-2026)/10)</x:f>
        <x:v>6.109272953022315</x:v>
      </x:c>
      <x:c r="E73" s="32" t="n">
        <x:f>MIN(0.98,1-(1-'03 Sector Inputs'!K13)*(1-'02 Assumptions'!$E$12)^(A73-2026))</x:f>
        <x:v>0.6802041753999999</x:v>
      </x:c>
      <x:c r="F73" t="n">
        <x:f>D73*E73</x:f>
        <x:v>4.155552971304066</x:v>
      </x:c>
      <x:c r="G73" s="38" t="n">
        <x:f>'03 Sector Inputs'!Q13</x:f>
        <x:v>118.90648391909023</x:v>
      </x:c>
      <x:c r="H73" t="n">
        <x:f>(1+'02 Assumptions'!$E$19)^((A73-2026)*'02 Assumptions'!$E$20)</x:f>
        <x:v>1.0300745055474758</x:v>
      </x:c>
      <x:c r="I73" t="n">
        <x:f>(1+'03 Sector Inputs'!U13)^((A73-2026)/10)</x:f>
        <x:v>1.0171663133383053</x:v>
      </x:c>
      <x:c r="J73" t="n">
        <x:f>I73^'02 Assumptions'!$E$21</x:f>
        <x:v>1.0051192499018902</x:v>
      </x:c>
      <x:c r="K73" s="32" t="n">
        <x:f>'02 Assumptions'!$E$14</x:f>
        <x:v>0.6</x:v>
      </x:c>
      <x:c r="L73" t="n">
        <x:f>(1+'02 Assumptions'!$E$15)^(A73-2026)</x:f>
        <x:v>2.7439999999999993</x:v>
      </x:c>
      <x:c r="M73" t="n">
        <x:f>(1-'02 Assumptions'!$E$16)^(A73-2026)</x:f>
        <x:v>0.47455200000000003</x:v>
      </x:c>
      <x:c r="N73" t="n">
        <x:f>IF(M73&gt;0,M73^(-'02 Assumptions'!$E$17),0)</x:f>
        <x:v>1.8154026018440537</x:v>
      </x:c>
      <x:c r="O73" t="n">
        <x:f>(1+'02 Assumptions'!$E$18)^(A73-2026)</x:f>
        <x:v>1.061208</x:v>
      </x:c>
      <x:c r="P73" s="40" t="n">
        <x:f>F73*G73*12/1000*(1-K73)*H73*J73*O73</x:f>
        <x:v>2.605927575765078</x:v>
      </x:c>
      <x:c r="Q73" s="40" t="n">
        <x:f>F73*G73*12/1000*K73*H73*J73*L73*M73*N73</x:f>
        <x:v>8.707509440863879</x:v>
      </x:c>
      <x:c r="R73" s="40" t="n">
        <x:f>SUM(P73:Q73)</x:f>
        <x:v>11.313437016628956</x:v>
      </x:c>
      <x:c r="S73" s="40" t="n">
        <x:f>IFERROR('03 Sector Inputs'!M13*(D73/'03 Sector Inputs'!L13)*(1+'02 Assumptions'!$E$19)^(A73-2026),0)</x:f>
        <x:v>2261.8439304577055</x:v>
      </x:c>
      <x:c r="T73" s="36" t="n">
        <x:f>IFERROR(R73/S73,0)</x:f>
        <x:v>0.005001864569117099</x:v>
      </x:c>
      <x:c r="U73" s="42" t="n">
        <x:f>S73*(I73-1)</x:f>
        <x:v>38.82752163258103</x:v>
      </x:c>
      <x:c r="V73" t="str">
        <x:f>'03 Sector Inputs'!I13</x:f>
        <x:v>NATIONAL PROXY</x:v>
      </x:c>
      <x:c r="W73" t="n">
        <x:f>P73+F73*G73*12/1000*K73*H73*J73*L73*M73</x:f>
        <x:v>7.402389491165522</x:v>
      </x:c>
      <x:c r="X73" t="n">
        <x:f>F73*G73*12/1000*H73*((1-K73)*O73+K73*L73*M73*N73)</x:f>
        <x:v>11.255815683296547</x:v>
      </x:c>
      <x:c r="Y73" t="n">
        <x:f>F73*G73*12/1000*H73*((1-K73)*O73+K73*L73*M73)</x:f>
        <x:v>7.364687813797288</x:v>
      </x:c>
      <x:c r="Z73" t="str">
        <x:f>IF(OR(F73&lt;0,E73&lt;0,E73&gt;1,R73&lt;0),"CHECK","OK")</x:f>
        <x:v>OK</x:v>
      </x:c>
    </x:row>
    <x:row r="74">
      <x:c r="A74" s="44" t="n">
        <x:f>2029</x:f>
        <x:v>2029</x:v>
      </x:c>
      <x:c r="B74" s="28" t="str">
        <x:f>'03 Sector Inputs'!A14</x:f>
        <x:v>44-45</x:v>
      </x:c>
      <x:c r="C74" s="28" t="str">
        <x:f>'03 Sector Inputs'!B14</x:f>
        <x:v>Retail Trade</x:v>
      </x:c>
      <x:c r="D74" t="n">
        <x:f>'03 Sector Inputs'!L14*('03 Sector Inputs'!D14/'03 Sector Inputs'!C14)^((A74-2026)/10)</x:f>
        <x:v>15.429894117162887</x:v>
      </x:c>
      <x:c r="E74" s="32" t="n">
        <x:f>MIN(0.98,1-(1-'03 Sector Inputs'!K14)*(1-'02 Assumptions'!$E$12)^(A74-2026))</x:f>
        <x:v>0.6265661778999999</x:v>
      </x:c>
      <x:c r="F74" t="n">
        <x:f>D74*E74</x:f>
        <x:v>9.667849782392443</x:v>
      </x:c>
      <x:c r="G74" s="38" t="n">
        <x:f>'03 Sector Inputs'!Q14</x:f>
        <x:v>96.49221383995867</x:v>
      </x:c>
      <x:c r="H74" t="n">
        <x:f>(1+'02 Assumptions'!$E$19)^((A74-2026)*'02 Assumptions'!$E$20)</x:f>
        <x:v>1.0300745055474758</x:v>
      </x:c>
      <x:c r="I74" t="n">
        <x:f>(1+'03 Sector Inputs'!U14)^((A74-2026)/10)</x:f>
        <x:v>1.0171663133383053</x:v>
      </x:c>
      <x:c r="J74" t="n">
        <x:f>I74^'02 Assumptions'!$E$21</x:f>
        <x:v>1.0051192499018902</x:v>
      </x:c>
      <x:c r="K74" s="32" t="n">
        <x:f>'02 Assumptions'!$E$14</x:f>
        <x:v>0.6</x:v>
      </x:c>
      <x:c r="L74" t="n">
        <x:f>(1+'02 Assumptions'!$E$15)^(A74-2026)</x:f>
        <x:v>2.7439999999999993</x:v>
      </x:c>
      <x:c r="M74" t="n">
        <x:f>(1-'02 Assumptions'!$E$16)^(A74-2026)</x:f>
        <x:v>0.47455200000000003</x:v>
      </x:c>
      <x:c r="N74" t="n">
        <x:f>IF(M74&gt;0,M74^(-'02 Assumptions'!$E$17),0)</x:f>
        <x:v>1.8154026018440537</x:v>
      </x:c>
      <x:c r="O74" t="n">
        <x:f>(1+'02 Assumptions'!$E$18)^(A74-2026)</x:f>
        <x:v>1.061208</x:v>
      </x:c>
      <x:c r="P74" s="40" t="n">
        <x:f>F74*G74*12/1000*(1-K74)*H74*J74*O74</x:f>
        <x:v>4.919830563626591</x:v>
      </x:c>
      <x:c r="Q74" s="40" t="n">
        <x:f>F74*G74*12/1000*K74*H74*J74*L74*M74*N74</x:f>
        <x:v>16.439240859428683</x:v>
      </x:c>
      <x:c r="R74" s="40" t="n">
        <x:f>SUM(P74:Q74)</x:f>
        <x:v>21.359071423055273</x:v>
      </x:c>
      <x:c r="S74" s="40" t="n">
        <x:f>IFERROR('03 Sector Inputs'!M14*(D74/'03 Sector Inputs'!L14)*(1+'02 Assumptions'!$E$19)^(A74-2026),0)</x:f>
        <x:v>2010.3409485542059</x:v>
      </x:c>
      <x:c r="T74" s="36" t="n">
        <x:f>IFERROR(R74/S74,0)</x:f>
        <x:v>0.01062460148285606</x:v>
      </x:c>
      <x:c r="U74" s="42" t="n">
        <x:f>S74*(I74-1)</x:f>
        <x:v>34.510142639707425</x:v>
      </x:c>
      <x:c r="V74" t="str">
        <x:f>'03 Sector Inputs'!I14</x:f>
        <x:v>DIRECT RAMP</x:v>
      </x:c>
      <x:c r="W74" t="n">
        <x:f>P74+F74*G74*12/1000*K74*H74*J74*L74*M74</x:f>
        <x:v>13.975254877070888</x:v>
      </x:c>
      <x:c r="X74" t="n">
        <x:f>F74*G74*12/1000*H74*((1-K74)*O74+K74*L74*M74*N74)</x:f>
        <x:v>21.250285899051416</x:v>
      </x:c>
      <x:c r="Y74" t="n">
        <x:f>F74*G74*12/1000*H74*((1-K74)*O74+K74*L74*M74)</x:f>
        <x:v>13.904076435144402</x:v>
      </x:c>
      <x:c r="Z74" t="str">
        <x:f>IF(OR(F74&lt;0,E74&lt;0,E74&gt;1,R74&lt;0),"CHECK","OK")</x:f>
        <x:v>OK</x:v>
      </x:c>
    </x:row>
    <x:row r="75">
      <x:c r="A75" s="44" t="n">
        <x:f>2029</x:f>
        <x:v>2029</x:v>
      </x:c>
      <x:c r="B75" s="28" t="str">
        <x:f>'03 Sector Inputs'!A15</x:f>
        <x:v>48-49</x:v>
      </x:c>
      <x:c r="C75" s="28" t="str">
        <x:f>'03 Sector Inputs'!B15</x:f>
        <x:v>Transportation and Warehousing</x:v>
      </x:c>
      <x:c r="D75" t="n">
        <x:f>'03 Sector Inputs'!L15*('03 Sector Inputs'!D15/'03 Sector Inputs'!C15)^((A75-2026)/10)</x:f>
        <x:v>6.385573192699643</x:v>
      </x:c>
      <x:c r="E75" s="32" t="n">
        <x:f>MIN(0.98,1-(1-'03 Sector Inputs'!K15)*(1-'02 Assumptions'!$E$12)^(A75-2026))</x:f>
        <x:v>0.6802041753999999</x:v>
      </x:c>
      <x:c r="F75" t="n">
        <x:f>D75*E75</x:f>
        <x:v>4.343493547996605</x:v>
      </x:c>
      <x:c r="G75" s="38" t="n">
        <x:f>'03 Sector Inputs'!Q15</x:f>
        <x:v>101.76066164601345</x:v>
      </x:c>
      <x:c r="H75" t="n">
        <x:f>(1+'02 Assumptions'!$E$19)^((A75-2026)*'02 Assumptions'!$E$20)</x:f>
        <x:v>1.0300745055474758</x:v>
      </x:c>
      <x:c r="I75" t="n">
        <x:f>(1+'03 Sector Inputs'!U15)^((A75-2026)/10)</x:f>
        <x:v>1.0130394955181374</x:v>
      </x:c>
      <x:c r="J75" t="n">
        <x:f>I75^'02 Assumptions'!$E$21</x:f>
        <x:v>1.0038941264354582</x:v>
      </x:c>
      <x:c r="K75" s="32" t="n">
        <x:f>'02 Assumptions'!$E$14</x:f>
        <x:v>0.6</x:v>
      </x:c>
      <x:c r="L75" t="n">
        <x:f>(1+'02 Assumptions'!$E$15)^(A75-2026)</x:f>
        <x:v>2.7439999999999993</x:v>
      </x:c>
      <x:c r="M75" t="n">
        <x:f>(1-'02 Assumptions'!$E$16)^(A75-2026)</x:f>
        <x:v>0.47455200000000003</x:v>
      </x:c>
      <x:c r="N75" t="n">
        <x:f>IF(M75&gt;0,M75^(-'02 Assumptions'!$E$17),0)</x:f>
        <x:v>1.8154026018440537</x:v>
      </x:c>
      <x:c r="O75" t="n">
        <x:f>(1+'02 Assumptions'!$E$18)^(A75-2026)</x:f>
        <x:v>1.061208</x:v>
      </x:c>
      <x:c r="P75" s="40" t="n">
        <x:f>F75*G75*12/1000*(1-K75)*H75*J75*O75</x:f>
        <x:v>2.3281845732149304</x:v>
      </x:c>
      <x:c r="Q75" s="40" t="n">
        <x:f>F75*G75*12/1000*K75*H75*J75*L75*M75*N75</x:f>
        <x:v>7.779452253346203</x:v>
      </x:c>
      <x:c r="R75" s="40" t="n">
        <x:f>SUM(P75:Q75)</x:f>
        <x:v>10.107636826561134</x:v>
      </x:c>
      <x:c r="S75" s="40" t="n">
        <x:f>IFERROR('03 Sector Inputs'!M15*(D75/'03 Sector Inputs'!L15)*(1+'02 Assumptions'!$E$19)^(A75-2026),0)</x:f>
        <x:v>1085.2877913968234</x:v>
      </x:c>
      <x:c r="T75" s="36" t="n">
        <x:f>IFERROR(R75/S75,0)</x:f>
        <x:v>0.009313323992663793</x:v>
      </x:c>
      <x:c r="U75" s="42" t="n">
        <x:f>S75*(I75-1)</x:f>
        <x:v>14.151605291808153</x:v>
      </x:c>
      <x:c r="V75" t="str">
        <x:f>'03 Sector Inputs'!I15</x:f>
        <x:v>NATIONAL PROXY</x:v>
      </x:c>
      <x:c r="W75" t="n">
        <x:f>P75+F75*G75*12/1000*K75*H75*J75*L75*M75</x:f>
        <x:v>6.61343361133131</x:v>
      </x:c>
      <x:c r="X75" t="n">
        <x:f>F75*G75*12/1000*H75*((1-K75)*O75+K75*L75*M75*N75)</x:f>
        <x:v>10.068429090675599</x:v>
      </x:c>
      <x:c r="Y75" t="n">
        <x:f>F75*G75*12/1000*H75*((1-K75)*O75+K75*L75*M75)</x:f>
        <x:v>6.5877799632255325</x:v>
      </x:c>
      <x:c r="Z75" t="str">
        <x:f>IF(OR(F75&lt;0,E75&lt;0,E75&gt;1,R75&lt;0),"CHECK","OK")</x:f>
        <x:v>OK</x:v>
      </x:c>
    </x:row>
    <x:row r="76">
      <x:c r="A76" s="44" t="n">
        <x:f>2029</x:f>
        <x:v>2029</x:v>
      </x:c>
      <x:c r="B76" s="28" t="str">
        <x:f>'03 Sector Inputs'!A16</x:f>
        <x:v>51</x:v>
      </x:c>
      <x:c r="C76" s="28" t="str">
        <x:f>'03 Sector Inputs'!B16</x:f>
        <x:v>Information</x:v>
      </x:c>
      <x:c r="D76" t="n">
        <x:f>'03 Sector Inputs'!L16*('03 Sector Inputs'!D16/'03 Sector Inputs'!C16)^((A76-2026)/10)</x:f>
        <x:v>2.9213699639358413</x:v>
      </x:c>
      <x:c r="E76" s="32" t="n">
        <x:f>MIN(0.98,1-(1-'03 Sector Inputs'!K16)*(1-'02 Assumptions'!$E$12)^(A76-2026))</x:f>
        <x:v>0.8609309299</x:v>
      </x:c>
      <x:c r="F76" t="n">
        <x:f>D76*E76</x:f>
        <x:v>2.515097759633213</x:v>
      </x:c>
      <x:c r="G76" s="38" t="n">
        <x:f>'03 Sector Inputs'!Q16</x:f>
        <x:v>135.72518396753694</x:v>
      </x:c>
      <x:c r="H76" t="n">
        <x:f>(1+'02 Assumptions'!$E$19)^((A76-2026)*'02 Assumptions'!$E$20)</x:f>
        <x:v>1.0300745055474758</x:v>
      </x:c>
      <x:c r="I76" t="n">
        <x:f>(1+'03 Sector Inputs'!U16)^((A76-2026)/10)</x:f>
        <x:v>1.024844965035128</x:v>
      </x:c>
      <x:c r="J76" t="n">
        <x:f>I76^'02 Assumptions'!$E$21</x:f>
        <x:v>1.0073895733918523</x:v>
      </x:c>
      <x:c r="K76" s="32" t="n">
        <x:f>'02 Assumptions'!$E$14</x:f>
        <x:v>0.6</x:v>
      </x:c>
      <x:c r="L76" t="n">
        <x:f>(1+'02 Assumptions'!$E$15)^(A76-2026)</x:f>
        <x:v>2.7439999999999993</x:v>
      </x:c>
      <x:c r="M76" t="n">
        <x:f>(1-'02 Assumptions'!$E$16)^(A76-2026)</x:f>
        <x:v>0.47455200000000003</x:v>
      </x:c>
      <x:c r="N76" t="n">
        <x:f>IF(M76&gt;0,M76^(-'02 Assumptions'!$E$17),0)</x:f>
        <x:v>1.8154026018440537</x:v>
      </x:c>
      <x:c r="O76" t="n">
        <x:f>(1+'02 Assumptions'!$E$18)^(A76-2026)</x:f>
        <x:v>1.061208</x:v>
      </x:c>
      <x:c r="P76" s="40" t="n">
        <x:f>F76*G76*12/1000*(1-K76)*H76*J76*O76</x:f>
        <x:v>1.8043598386423412</x:v>
      </x:c>
      <x:c r="Q76" s="40" t="n">
        <x:f>F76*G76*12/1000*K76*H76*J76*L76*M76*N76</x:f>
        <x:v>6.02913161356031</x:v>
      </x:c>
      <x:c r="R76" s="40" t="n">
        <x:f>SUM(P76:Q76)</x:f>
        <x:v>7.833491452202651</x:v>
      </x:c>
      <x:c r="S76" s="40" t="n">
        <x:f>IFERROR('03 Sector Inputs'!M16*(D76/'03 Sector Inputs'!L16)*(1+'02 Assumptions'!$E$19)^(A76-2026),0)</x:f>
        <x:v>2095.7244231543036</x:v>
      </x:c>
      <x:c r="T76" s="36" t="n">
        <x:f>IFERROR(R76/S76,0)</x:f>
        <x:v>0.0037378442345069184</x:v>
      </x:c>
      <x:c r="U76" s="42" t="n">
        <x:f>S76*(I76-1)</x:f>
        <x:v>52.06820001653225</x:v>
      </x:c>
      <x:c r="V76" t="str">
        <x:f>'03 Sector Inputs'!I16</x:f>
        <x:v>DIRECT RAMP</x:v>
      </x:c>
      <x:c r="W76" t="n">
        <x:f>P76+F76*G76*12/1000*K76*H76*J76*L76*M76</x:f>
        <x:v>5.125458754902583</x:v>
      </x:c>
      <x:c r="X76" t="n">
        <x:f>F76*G76*12/1000*H76*((1-K76)*O76+K76*L76*M76*N76)</x:f>
        <x:v>7.776029908496578</x:v>
      </x:c>
      <x:c r="Y76" t="n">
        <x:f>F76*G76*12/1000*H76*((1-K76)*O76+K76*L76*M76)</x:f>
        <x:v>5.087861627994926</x:v>
      </x:c>
      <x:c r="Z76" t="str">
        <x:f>IF(OR(F76&lt;0,E76&lt;0,E76&gt;1,R76&lt;0),"CHECK","OK")</x:f>
        <x:v>OK</x:v>
      </x:c>
    </x:row>
    <x:row r="77">
      <x:c r="A77" s="44" t="n">
        <x:f>2029</x:f>
        <x:v>2029</x:v>
      </x:c>
      <x:c r="B77" s="28" t="str">
        <x:f>'03 Sector Inputs'!A17</x:f>
        <x:v>52</x:v>
      </x:c>
      <x:c r="C77" s="28" t="str">
        <x:f>'03 Sector Inputs'!B17</x:f>
        <x:v>Finance and Insurance</x:v>
      </x:c>
      <x:c r="D77" t="n">
        <x:f>'03 Sector Inputs'!L17*('03 Sector Inputs'!D17/'03 Sector Inputs'!C17)^((A77-2026)/10)</x:f>
        <x:v>6.460571108453151</x:v>
      </x:c>
      <x:c r="E77" s="32" t="n">
        <x:f>MIN(0.98,1-(1-'03 Sector Inputs'!K17)*(1-'02 Assumptions'!$E$12)^(A77-2026))</x:f>
        <x:v>0.8083099602999999</x:v>
      </x:c>
      <x:c r="F77" t="n">
        <x:f>D77*E77</x:f>
        <x:v>5.222143976189093</x:v>
      </x:c>
      <x:c r="G77" s="38" t="n">
        <x:f>'03 Sector Inputs'!Q17</x:f>
        <x:v>124.6049898658694</x:v>
      </x:c>
      <x:c r="H77" t="n">
        <x:f>(1+'02 Assumptions'!$E$19)^((A77-2026)*'02 Assumptions'!$E$20)</x:f>
        <x:v>1.0300745055474758</x:v>
      </x:c>
      <x:c r="I77" t="n">
        <x:f>(1+'03 Sector Inputs'!U17)^((A77-2026)/10)</x:f>
        <x:v>1.0268591479478433</x:v>
      </x:c>
      <x:c r="J77" t="n">
        <x:f>I77^'02 Assumptions'!$E$21</x:f>
        <x:v>1.0079831283425305</x:v>
      </x:c>
      <x:c r="K77" s="32" t="n">
        <x:f>'02 Assumptions'!$E$14</x:f>
        <x:v>0.6</x:v>
      </x:c>
      <x:c r="L77" t="n">
        <x:f>(1+'02 Assumptions'!$E$15)^(A77-2026)</x:f>
        <x:v>2.7439999999999993</x:v>
      </x:c>
      <x:c r="M77" t="n">
        <x:f>(1-'02 Assumptions'!$E$16)^(A77-2026)</x:f>
        <x:v>0.47455200000000003</x:v>
      </x:c>
      <x:c r="N77" t="n">
        <x:f>IF(M77&gt;0,M77^(-'02 Assumptions'!$E$17),0)</x:f>
        <x:v>1.8154026018440537</x:v>
      </x:c>
      <x:c r="O77" t="n">
        <x:f>(1+'02 Assumptions'!$E$18)^(A77-2026)</x:f>
        <x:v>1.061208</x:v>
      </x:c>
      <x:c r="P77" s="40" t="n">
        <x:f>F77*G77*12/1000*(1-K77)*H77*J77*O77</x:f>
        <x:v>3.4415012335502353</x:v>
      </x:c>
      <x:c r="Q77" s="40" t="n">
        <x:f>F77*G77*12/1000*K77*H77*J77*L77*M77*N77</x:f>
        <x:v>11.499515474095762</x:v>
      </x:c>
      <x:c r="R77" s="40" t="n">
        <x:f>SUM(P77:Q77)</x:f>
        <x:v>14.941016707645998</x:v>
      </x:c>
      <x:c r="S77" s="40" t="n">
        <x:f>IFERROR('03 Sector Inputs'!M17*(D77/'03 Sector Inputs'!L17)*(1+'02 Assumptions'!$E$19)^(A77-2026),0)</x:f>
        <x:v>3022.6892523929023</x:v>
      </x:c>
      <x:c r="T77" s="36" t="n">
        <x:f>IFERROR(R77/S77,0)</x:f>
        <x:v>0.0049429549186433865</x:v>
      </x:c>
      <x:c r="U77" s="42" t="n">
        <x:f>S77*(I77-1)</x:f>
        <x:v>81.18685783037675</x:v>
      </x:c>
      <x:c r="V77" t="str">
        <x:f>'03 Sector Inputs'!I17</x:f>
        <x:v>DIRECT RAMP</x:v>
      </x:c>
      <x:c r="W77" t="n">
        <x:f>P77+F77*G77*12/1000*K77*H77*J77*L77*M77</x:f>
        <x:v>9.775917336300534</x:v>
      </x:c>
      <x:c r="X77" t="n">
        <x:f>F77*G77*12/1000*H77*((1-K77)*O77+K77*L77*M77*N77)</x:f>
        <x:v>14.822685308447717</x:v>
      </x:c>
      <x:c r="Y77" t="n">
        <x:f>F77*G77*12/1000*H77*((1-K77)*O77+K77*L77*M77)</x:f>
        <x:v>9.698493021778539</x:v>
      </x:c>
      <x:c r="Z77" t="str">
        <x:f>IF(OR(F77&lt;0,E77&lt;0,E77&gt;1,R77&lt;0),"CHECK","OK")</x:f>
        <x:v>OK</x:v>
      </x:c>
    </x:row>
    <x:row r="78">
      <x:c r="A78" s="44" t="n">
        <x:f>2029</x:f>
        <x:v>2029</x:v>
      </x:c>
      <x:c r="B78" s="28" t="str">
        <x:f>'03 Sector Inputs'!A18</x:f>
        <x:v>53</x:v>
      </x:c>
      <x:c r="C78" s="28" t="str">
        <x:f>'03 Sector Inputs'!B18</x:f>
        <x:v>Real Estate and Rental and Leasing</x:v>
      </x:c>
      <x:c r="D78" t="n">
        <x:f>'03 Sector Inputs'!L18*('03 Sector Inputs'!D18/'03 Sector Inputs'!C18)^((A78-2026)/10)</x:f>
        <x:v>2.4895694331347746</x:v>
      </x:c>
      <x:c r="E78" s="32" t="n">
        <x:f>MIN(0.98,1-(1-'03 Sector Inputs'!K18)*(1-'02 Assumptions'!$E$12)^(A78-2026))</x:f>
        <x:v>0.6802041753999999</x:v>
      </x:c>
      <x:c r="F78" t="n">
        <x:f>D78*E78</x:f>
        <x:v>1.6934155233664845</x:v>
      </x:c>
      <x:c r="G78" s="38" t="n">
        <x:f>'03 Sector Inputs'!Q18</x:f>
        <x:v>134.08799266238282</x:v>
      </x:c>
      <x:c r="H78" t="n">
        <x:f>(1+'02 Assumptions'!$E$19)^((A78-2026)*'02 Assumptions'!$E$20)</x:f>
        <x:v>1.0300745055474758</x:v>
      </x:c>
      <x:c r="I78" t="n">
        <x:f>(1+'03 Sector Inputs'!U18)^((A78-2026)/10)</x:f>
        <x:v>1.0187156022887847</x:v>
      </x:c>
      <x:c r="J78" t="n">
        <x:f>I78^'02 Assumptions'!$E$21</x:f>
        <x:v>1.0055782871378216</x:v>
      </x:c>
      <x:c r="K78" s="32" t="n">
        <x:f>'02 Assumptions'!$E$14</x:f>
        <x:v>0.6</x:v>
      </x:c>
      <x:c r="L78" t="n">
        <x:f>(1+'02 Assumptions'!$E$15)^(A78-2026)</x:f>
        <x:v>2.7439999999999993</x:v>
      </x:c>
      <x:c r="M78" t="n">
        <x:f>(1-'02 Assumptions'!$E$16)^(A78-2026)</x:f>
        <x:v>0.47455200000000003</x:v>
      </x:c>
      <x:c r="N78" t="n">
        <x:f>IF(M78&gt;0,M78^(-'02 Assumptions'!$E$17),0)</x:f>
        <x:v>1.8154026018440537</x:v>
      </x:c>
      <x:c r="O78" t="n">
        <x:f>(1+'02 Assumptions'!$E$18)^(A78-2026)</x:f>
        <x:v>1.061208</x:v>
      </x:c>
      <x:c r="P78" s="40" t="n">
        <x:f>F78*G78*12/1000*(1-K78)*H78*J78*O78</x:f>
        <x:v>1.1980631334086882</x:v>
      </x:c>
      <x:c r="Q78" s="40" t="n">
        <x:f>F78*G78*12/1000*K78*H78*J78*L78*M78*N78</x:f>
        <x:v>4.003237135953147</x:v>
      </x:c>
      <x:c r="R78" s="40" t="n">
        <x:f>SUM(P78:Q78)</x:f>
        <x:v>5.201300269361835</x:v>
      </x:c>
      <x:c r="S78" s="40" t="n">
        <x:f>IFERROR('03 Sector Inputs'!M18*(D78/'03 Sector Inputs'!L18)*(1+'02 Assumptions'!$E$19)^(A78-2026),0)</x:f>
        <x:v>1680.8118819935316</x:v>
      </x:c>
      <x:c r="T78" s="36" t="n">
        <x:f>IFERROR(R78/S78,0)</x:f>
        <x:v>0.003094516599438135</x:v>
      </x:c>
      <x:c r="U78" s="42" t="n">
        <x:f>S78*(I78-1)</x:f>
        <x:v>31.457406705654595</x:v>
      </x:c>
      <x:c r="V78" t="str">
        <x:f>'03 Sector Inputs'!I18</x:f>
        <x:v>NATIONAL PROXY</x:v>
      </x:c>
      <x:c r="W78" t="n">
        <x:f>P78+F78*G78*12/1000*K78*H78*J78*L78*M78</x:f>
        <x:v>3.4032142838404047</x:v>
      </x:c>
      <x:c r="X78" t="n">
        <x:f>F78*G78*12/1000*H78*((1-K78)*O78+K78*L78*M78*N78)</x:f>
        <x:v>5.17244687548525</x:v>
      </x:c>
      <x:c r="Y78" t="n">
        <x:f>F78*G78*12/1000*H78*((1-K78)*O78+K78*L78*M78)</x:f>
        <x:v>3.3843354887136408</x:v>
      </x:c>
      <x:c r="Z78" t="str">
        <x:f>IF(OR(F78&lt;0,E78&lt;0,E78&gt;1,R78&lt;0),"CHECK","OK")</x:f>
        <x:v>OK</x:v>
      </x:c>
    </x:row>
    <x:row r="79">
      <x:c r="A79" s="44" t="n">
        <x:f>2029</x:f>
        <x:v>2029</x:v>
      </x:c>
      <x:c r="B79" s="28" t="str">
        <x:f>'03 Sector Inputs'!A19</x:f>
        <x:v>54</x:v>
      </x:c>
      <x:c r="C79" s="28" t="str">
        <x:f>'03 Sector Inputs'!B19</x:f>
        <x:v>Professional, Scientific and Technical Services</x:v>
      </x:c>
      <x:c r="D79" t="n">
        <x:f>'03 Sector Inputs'!L19*('03 Sector Inputs'!D19/'03 Sector Inputs'!C19)^((A79-2026)/10)</x:f>
        <x:v>11.14073494694578</x:v>
      </x:c>
      <x:c r="E79" s="32" t="n">
        <x:f>MIN(0.98,1-(1-'03 Sector Inputs'!K19)*(1-'02 Assumptions'!$E$12)^(A79-2026))</x:f>
        <x:v>0.8229446475122856</x:v>
      </x:c>
      <x:c r="F79" t="n">
        <x:f>D79*E79</x:f>
        <x:v>9.168208193942096</x:v>
      </x:c>
      <x:c r="G79" s="38" t="n">
        <x:f>'03 Sector Inputs'!Q19</x:f>
        <x:v>110.53049517658319</x:v>
      </x:c>
      <x:c r="H79" t="n">
        <x:f>(1+'02 Assumptions'!$E$19)^((A79-2026)*'02 Assumptions'!$E$20)</x:f>
        <x:v>1.0300745055474758</x:v>
      </x:c>
      <x:c r="I79" t="n">
        <x:f>(1+'03 Sector Inputs'!U19)^((A79-2026)/10)</x:f>
        <x:v>1.025812143963194</x:v>
      </x:c>
      <x:c r="J79" t="n">
        <x:f>I79^'02 Assumptions'!$E$21</x:f>
        <x:v>1.0076746909502374</x:v>
      </x:c>
      <x:c r="K79" s="32" t="n">
        <x:f>'02 Assumptions'!$E$14</x:f>
        <x:v>0.6</x:v>
      </x:c>
      <x:c r="L79" t="n">
        <x:f>(1+'02 Assumptions'!$E$15)^(A79-2026)</x:f>
        <x:v>2.7439999999999993</x:v>
      </x:c>
      <x:c r="M79" t="n">
        <x:f>(1-'02 Assumptions'!$E$16)^(A79-2026)</x:f>
        <x:v>0.47455200000000003</x:v>
      </x:c>
      <x:c r="N79" t="n">
        <x:f>IF(M79&gt;0,M79^(-'02 Assumptions'!$E$17),0)</x:f>
        <x:v>1.8154026018440537</x:v>
      </x:c>
      <x:c r="O79" t="n">
        <x:f>(1+'02 Assumptions'!$E$18)^(A79-2026)</x:f>
        <x:v>1.061208</x:v>
      </x:c>
      <x:c r="P79" s="40" t="n">
        <x:f>F79*G79*12/1000*(1-K79)*H79*J79*O79</x:f>
        <x:v>5.357933566282389</x:v>
      </x:c>
      <x:c r="Q79" s="40" t="n">
        <x:f>F79*G79*12/1000*K79*H79*J79*L79*M79*N79</x:f>
        <x:v>17.903128830519424</x:v>
      </x:c>
      <x:c r="R79" s="40" t="n">
        <x:f>SUM(P79:Q79)</x:f>
        <x:v>23.26106239680181</x:v>
      </x:c>
      <x:c r="S79" s="40" t="n">
        <x:f>IFERROR('03 Sector Inputs'!M19*(D79/'03 Sector Inputs'!L19)*(1+'02 Assumptions'!$E$19)^(A79-2026),0)</x:f>
        <x:v>2862.6604646659957</x:v>
      </x:c>
      <x:c r="T79" s="36" t="n">
        <x:f>IFERROR(R79/S79,0)</x:f>
        <x:v>0.00812567982962514</x:v>
      </x:c>
      <x:c r="U79" s="42" t="n">
        <x:f>S79*(I79-1)</x:f>
        <x:v>73.89140403170245</x:v>
      </x:c>
      <x:c r="V79" t="str">
        <x:f>'03 Sector Inputs'!I19</x:f>
        <x:v>CENSUS PROXY</x:v>
      </x:c>
      <x:c r="W79" t="n">
        <x:f>P79+F79*G79*12/1000*K79*H79*J79*L79*M79</x:f>
        <x:v>15.219728857494237</x:v>
      </x:c>
      <x:c r="X79" t="n">
        <x:f>F79*G79*12/1000*H79*((1-K79)*O79+K79*L79*M79*N79)</x:f>
        <x:v>23.083900593818264</x:v>
      </x:c>
      <x:c r="Y79" t="n">
        <x:f>F79*G79*12/1000*H79*((1-K79)*O79+K79*L79*M79)</x:f>
        <x:v>15.103811769989015</x:v>
      </x:c>
      <x:c r="Z79" t="str">
        <x:f>IF(OR(F79&lt;0,E79&lt;0,E79&gt;1,R79&lt;0),"CHECK","OK")</x:f>
        <x:v>OK</x:v>
      </x:c>
    </x:row>
    <x:row r="80">
      <x:c r="A80" s="44" t="n">
        <x:f>2029</x:f>
        <x:v>2029</x:v>
      </x:c>
      <x:c r="B80" s="28" t="str">
        <x:f>'03 Sector Inputs'!A20</x:f>
        <x:v>55</x:v>
      </x:c>
      <x:c r="C80" s="28" t="str">
        <x:f>'03 Sector Inputs'!B20</x:f>
        <x:v>Management of Companies and Enterprises</x:v>
      </x:c>
      <x:c r="D80" t="n">
        <x:f>'03 Sector Inputs'!L20*('03 Sector Inputs'!D20/'03 Sector Inputs'!C20)^((A80-2026)/10)</x:f>
        <x:v>2.665870293868371</x:v>
      </x:c>
      <x:c r="E80" s="32" t="n">
        <x:f>MIN(0.98,1-(1-'03 Sector Inputs'!K20)*(1-'02 Assumptions'!$E$12)^(A80-2026))</x:f>
        <x:v>0.6802041753999999</x:v>
      </x:c>
      <x:c r="F80" t="n">
        <x:f>D80*E80</x:f>
        <x:v>1.8133361049640906</x:v>
      </x:c>
      <x:c r="G80" s="38" t="n">
        <x:f>'03 Sector Inputs'!Q20</x:f>
        <x:v>108.91030551487428</x:v>
      </x:c>
      <x:c r="H80" t="n">
        <x:f>(1+'02 Assumptions'!$E$19)^((A80-2026)*'02 Assumptions'!$E$20)</x:f>
        <x:v>1.0300745055474758</x:v>
      </x:c>
      <x:c r="I80" t="n">
        <x:f>(1+'03 Sector Inputs'!U20)^((A80-2026)/10)</x:f>
        <x:v>1.025812143963194</x:v>
      </x:c>
      <x:c r="J80" t="n">
        <x:f>I80^'02 Assumptions'!$E$21</x:f>
        <x:v>1.0076746909502374</x:v>
      </x:c>
      <x:c r="K80" s="32" t="n">
        <x:f>'02 Assumptions'!$E$14</x:f>
        <x:v>0.6</x:v>
      </x:c>
      <x:c r="L80" t="n">
        <x:f>(1+'02 Assumptions'!$E$15)^(A80-2026)</x:f>
        <x:v>2.7439999999999993</x:v>
      </x:c>
      <x:c r="M80" t="n">
        <x:f>(1-'02 Assumptions'!$E$16)^(A80-2026)</x:f>
        <x:v>0.47455200000000003</x:v>
      </x:c>
      <x:c r="N80" t="n">
        <x:f>IF(M80&gt;0,M80^(-'02 Assumptions'!$E$17),0)</x:f>
        <x:v>1.8154026018440537</x:v>
      </x:c>
      <x:c r="O80" t="n">
        <x:f>(1+'02 Assumptions'!$E$18)^(A80-2026)</x:f>
        <x:v>1.061208</x:v>
      </x:c>
      <x:c r="P80" s="40" t="n">
        <x:f>F80*G80*12/1000*(1-K80)*H80*J80*O80</x:f>
        <x:v>1.044186387087303</x:v>
      </x:c>
      <x:c r="Q80" s="40" t="n">
        <x:f>F80*G80*12/1000*K80*H80*J80*L80*M80*N80</x:f>
        <x:v>3.4890696534092376</x:v>
      </x:c>
      <x:c r="R80" s="40" t="n">
        <x:f>SUM(P80:Q80)</x:f>
        <x:v>4.533256040496541</x:v>
      </x:c>
      <x:c r="S80" s="40" t="n">
        <x:f>IFERROR('03 Sector Inputs'!M20*(D80/'03 Sector Inputs'!L20)*(1+'02 Assumptions'!$E$19)^(A80-2026),0)</x:f>
        <x:v>636.2522289952411</x:v>
      </x:c>
      <x:c r="T80" s="36" t="n">
        <x:f>IFERROR(R80/S80,0)</x:f>
        <x:v>0.0071249354169735215</x:v>
      </x:c>
      <x:c r="U80" s="42" t="n">
        <x:f>S80*(I80-1)</x:f>
        <x:v>16.423034131728226</x:v>
      </x:c>
      <x:c r="V80" t="str">
        <x:f>'03 Sector Inputs'!I20</x:f>
        <x:v>NATIONAL PROXY</x:v>
      </x:c>
      <x:c r="W80" t="n">
        <x:f>P80+F80*G80*12/1000*K80*H80*J80*L80*M80</x:f>
        <x:v>2.9661124931009786</x:v>
      </x:c>
      <x:c r="X80" t="n">
        <x:f>F80*G80*12/1000*H80*((1-K80)*O80+K80*L80*M80*N80)</x:f>
        <x:v>4.498729680529814</x:v>
      </x:c>
      <x:c r="Y80" t="n">
        <x:f>F80*G80*12/1000*H80*((1-K80)*O80+K80*L80*M80)</x:f>
        <x:v>2.9435218724248537</x:v>
      </x:c>
      <x:c r="Z80" t="str">
        <x:f>IF(OR(F80&lt;0,E80&lt;0,E80&gt;1,R80&lt;0),"CHECK","OK")</x:f>
        <x:v>OK</x:v>
      </x:c>
    </x:row>
    <x:row r="81">
      <x:c r="A81" s="44" t="n">
        <x:f>2029</x:f>
        <x:v>2029</x:v>
      </x:c>
      <x:c r="B81" s="28" t="str">
        <x:f>'03 Sector Inputs'!A21</x:f>
        <x:v>56</x:v>
      </x:c>
      <x:c r="C81" s="28" t="str">
        <x:f>'03 Sector Inputs'!B21</x:f>
        <x:v>Administrative, Support and Waste Services</x:v>
      </x:c>
      <x:c r="D81" t="n">
        <x:f>'03 Sector Inputs'!L21*('03 Sector Inputs'!D21/'03 Sector Inputs'!C21)^((A81-2026)/10)</x:f>
        <x:v>9.045174343560246</x:v>
      </x:c>
      <x:c r="E81" s="32" t="n">
        <x:f>MIN(0.98,1-(1-'03 Sector Inputs'!K21)*(1-'02 Assumptions'!$E$12)^(A81-2026))</x:f>
        <x:v>0.6802041753999999</x:v>
      </x:c>
      <x:c r="F81" t="n">
        <x:f>D81*E81</x:f>
        <x:v>6.152565355710633</x:v>
      </x:c>
      <x:c r="G81" s="38" t="n">
        <x:f>'03 Sector Inputs'!Q21</x:f>
        <x:v>93.90408661465632</x:v>
      </x:c>
      <x:c r="H81" t="n">
        <x:f>(1+'02 Assumptions'!$E$19)^((A81-2026)*'02 Assumptions'!$E$20)</x:f>
        <x:v>1.0300745055474758</x:v>
      </x:c>
      <x:c r="I81" t="n">
        <x:f>(1+'03 Sector Inputs'!U21)^((A81-2026)/10)</x:f>
        <x:v>1.0145715131073807</x:v>
      </x:c>
      <x:c r="J81" t="n">
        <x:f>I81^'02 Assumptions'!$E$21</x:f>
        <x:v>1.004349341686759</x:v>
      </x:c>
      <x:c r="K81" s="32" t="n">
        <x:f>'02 Assumptions'!$E$14</x:f>
        <x:v>0.6</x:v>
      </x:c>
      <x:c r="L81" t="n">
        <x:f>(1+'02 Assumptions'!$E$15)^(A81-2026)</x:f>
        <x:v>2.7439999999999993</x:v>
      </x:c>
      <x:c r="M81" t="n">
        <x:f>(1-'02 Assumptions'!$E$16)^(A81-2026)</x:f>
        <x:v>0.47455200000000003</x:v>
      </x:c>
      <x:c r="N81" t="n">
        <x:f>IF(M81&gt;0,M81^(-'02 Assumptions'!$E$17),0)</x:f>
        <x:v>1.8154026018440537</x:v>
      </x:c>
      <x:c r="O81" t="n">
        <x:f>(1+'02 Assumptions'!$E$18)^(A81-2026)</x:f>
        <x:v>1.061208</x:v>
      </x:c>
      <x:c r="P81" s="40" t="n">
        <x:f>F81*G81*12/1000*(1-K81)*H81*J81*O81</x:f>
        <x:v>3.0446397900317552</x:v>
      </x:c>
      <x:c r="Q81" s="40" t="n">
        <x:f>F81*G81*12/1000*K81*H81*J81*L81*M81*N81</x:f>
        <x:v>10.173433046368475</x:v>
      </x:c>
      <x:c r="R81" s="40" t="n">
        <x:f>SUM(P81:Q81)</x:f>
        <x:v>13.21807283640023</x:v>
      </x:c>
      <x:c r="S81" s="40" t="n">
        <x:f>IFERROR('03 Sector Inputs'!M21*(D81/'03 Sector Inputs'!L21)*(1+'02 Assumptions'!$E$19)^(A81-2026),0)</x:f>
        <x:v>1028.690729133066</x:v>
      </x:c>
      <x:c r="T81" s="36" t="n">
        <x:f>IFERROR(R81/S81,0)</x:f>
        <x:v>0.012849413785948886</x:v>
      </x:c>
      <x:c r="U81" s="42" t="n">
        <x:f>S81*(I81-1)</x:f>
        <x:v>14.989580443003478</x:v>
      </x:c>
      <x:c r="V81" t="str">
        <x:f>'03 Sector Inputs'!I21</x:f>
        <x:v>NATIONAL PROXY</x:v>
      </x:c>
      <x:c r="W81" t="n">
        <x:f>P81+F81*G81*12/1000*K81*H81*J81*L81*M81</x:f>
        <x:v>8.648593996131538</x:v>
      </x:c>
      <x:c r="X81" t="n">
        <x:f>F81*G81*12/1000*H81*((1-K81)*O81+K81*L81*M81*N81)</x:f>
        <x:v>13.160831881664878</x:v>
      </x:c>
      <x:c r="Y81" t="n">
        <x:f>F81*G81*12/1000*H81*((1-K81)*O81+K81*L81*M81)</x:f>
        <x:v>8.611141200736608</x:v>
      </x:c>
      <x:c r="Z81" t="str">
        <x:f>IF(OR(F81&lt;0,E81&lt;0,E81&gt;1,R81&lt;0),"CHECK","OK")</x:f>
        <x:v>OK</x:v>
      </x:c>
    </x:row>
    <x:row r="82">
      <x:c r="A82" s="44" t="n">
        <x:f>2029</x:f>
        <x:v>2029</x:v>
      </x:c>
      <x:c r="B82" s="28" t="str">
        <x:f>'03 Sector Inputs'!A22</x:f>
        <x:v>61</x:v>
      </x:c>
      <x:c r="C82" s="28" t="str">
        <x:f>'03 Sector Inputs'!B22</x:f>
        <x:v>Educational Services (Private)</x:v>
      </x:c>
      <x:c r="D82" t="n">
        <x:f>'03 Sector Inputs'!L22*('03 Sector Inputs'!D22/'03 Sector Inputs'!C22)^((A82-2026)/10)</x:f>
        <x:v>4.089335125470964</x:v>
      </x:c>
      <x:c r="E82" s="32" t="n">
        <x:f>MIN(0.98,1-(1-'03 Sector Inputs'!K22)*(1-'02 Assumptions'!$E$12)^(A82-2026))</x:f>
        <x:v>0.6802041753999999</x:v>
      </x:c>
      <x:c r="F82" t="n">
        <x:f>D82*E82</x:f>
        <x:v>2.781582826955232</x:v>
      </x:c>
      <x:c r="G82" s="38" t="n">
        <x:f>'03 Sector Inputs'!Q22</x:f>
        <x:v>90.94311072364238</x:v>
      </x:c>
      <x:c r="H82" t="n">
        <x:f>(1+'02 Assumptions'!$E$19)^((A82-2026)*'02 Assumptions'!$E$20)</x:f>
        <x:v>1.0300745055474758</x:v>
      </x:c>
      <x:c r="I82" t="n">
        <x:f>(1+'03 Sector Inputs'!U22)^((A82-2026)/10)</x:f>
        <x:v>1.0185383733204558</x:v>
      </x:c>
      <x:c r="J82" t="n">
        <x:f>I82^'02 Assumptions'!$E$21</x:f>
        <x:v>1.0055258009125676</x:v>
      </x:c>
      <x:c r="K82" s="32" t="n">
        <x:f>'02 Assumptions'!$E$14</x:f>
        <x:v>0.6</x:v>
      </x:c>
      <x:c r="L82" t="n">
        <x:f>(1+'02 Assumptions'!$E$15)^(A82-2026)</x:f>
        <x:v>2.7439999999999993</x:v>
      </x:c>
      <x:c r="M82" t="n">
        <x:f>(1-'02 Assumptions'!$E$16)^(A82-2026)</x:f>
        <x:v>0.47455200000000003</x:v>
      </x:c>
      <x:c r="N82" t="n">
        <x:f>IF(M82&gt;0,M82^(-'02 Assumptions'!$E$17),0)</x:f>
        <x:v>1.8154026018440537</x:v>
      </x:c>
      <x:c r="O82" t="n">
        <x:f>(1+'02 Assumptions'!$E$18)^(A82-2026)</x:f>
        <x:v>1.061208</x:v>
      </x:c>
      <x:c r="P82" s="40" t="n">
        <x:f>F82*G82*12/1000*(1-K82)*H82*J82*O82</x:f>
        <x:v>1.3346439172832922</x:v>
      </x:c>
      <x:c r="Q82" s="40" t="n">
        <x:f>F82*G82*12/1000*K82*H82*J82*L82*M82*N82</x:f>
        <x:v>4.459611471176005</x:v>
      </x:c>
      <x:c r="R82" s="40" t="n">
        <x:f>SUM(P82:Q82)</x:f>
        <x:v>5.794255388459296</x:v>
      </x:c>
      <x:c r="S82" s="40" t="n">
        <x:f>IFERROR('03 Sector Inputs'!M22*(D82/'03 Sector Inputs'!L22)*(1+'02 Assumptions'!$E$19)^(A82-2026),0)</x:f>
        <x:v>396.2298125614984</x:v>
      </x:c>
      <x:c r="T82" s="36" t="n">
        <x:f>IFERROR(R82/S82,0)</x:f>
        <x:v>0.014623471542944478</x:v>
      </x:c>
      <x:c r="U82" s="42" t="n">
        <x:f>S82*(I82-1)</x:f>
        <x:v>7.345456185959295</x:v>
      </x:c>
      <x:c r="V82" t="str">
        <x:f>'03 Sector Inputs'!I22</x:f>
        <x:v>NATIONAL PROXY</x:v>
      </x:c>
      <x:c r="W82" t="n">
        <x:f>P82+F82*G82*12/1000*K82*H82*J82*L82*M82</x:f>
        <x:v>3.791185219276586</x:v>
      </x:c>
      <x:c r="X82" t="n">
        <x:f>F82*G82*12/1000*H82*((1-K82)*O82+K82*L82*M82*N82)</x:f>
        <x:v>5.762413439019372</x:v>
      </x:c>
      <x:c r="Y82" t="n">
        <x:f>F82*G82*12/1000*H82*((1-K82)*O82+K82*L82*M82)</x:f>
        <x:v>3.770351010223593</x:v>
      </x:c>
      <x:c r="Z82" t="str">
        <x:f>IF(OR(F82&lt;0,E82&lt;0,E82&gt;1,R82&lt;0),"CHECK","OK")</x:f>
        <x:v>OK</x:v>
      </x:c>
    </x:row>
    <x:row r="83">
      <x:c r="A83" s="44" t="n">
        <x:f>2029</x:f>
        <x:v>2029</x:v>
      </x:c>
      <x:c r="B83" s="28" t="str">
        <x:f>'03 Sector Inputs'!A23</x:f>
        <x:v>62</x:v>
      </x:c>
      <x:c r="C83" s="28" t="str">
        <x:f>'03 Sector Inputs'!B23</x:f>
        <x:v>Health Care and Social Assistance (Private)</x:v>
      </x:c>
      <x:c r="D83" t="n">
        <x:f>'03 Sector Inputs'!L23*('03 Sector Inputs'!D23/'03 Sector Inputs'!C23)^((A83-2026)/10)</x:f>
        <x:v>24.14806503847407</x:v>
      </x:c>
      <x:c r="E83" s="32" t="n">
        <x:f>MIN(0.98,1-(1-'03 Sector Inputs'!K23)*(1-'02 Assumptions'!$E$12)^(A83-2026))</x:f>
        <x:v>0.5871849417999999</x:v>
      </x:c>
      <x:c r="F83" t="n">
        <x:f>D83*E83</x:f>
        <x:v>14.179380164199008</x:v>
      </x:c>
      <x:c r="G83" s="38" t="n">
        <x:f>'03 Sector Inputs'!Q23</x:f>
        <x:v>93.69693394431226</x:v>
      </x:c>
      <x:c r="H83" t="n">
        <x:f>(1+'02 Assumptions'!$E$19)^((A83-2026)*'02 Assumptions'!$E$20)</x:f>
        <x:v>1.0300745055474758</x:v>
      </x:c>
      <x:c r="I83" t="n">
        <x:f>(1+'03 Sector Inputs'!U23)^((A83-2026)/10)</x:f>
        <x:v>1.0166594110846203</x:v>
      </x:c>
      <x:c r="J83" t="n">
        <x:f>I83^'02 Assumptions'!$E$21</x:f>
        <x:v>1.0049689540951734</x:v>
      </x:c>
      <x:c r="K83" s="32" t="n">
        <x:f>'02 Assumptions'!$E$14</x:f>
        <x:v>0.6</x:v>
      </x:c>
      <x:c r="L83" t="n">
        <x:f>(1+'02 Assumptions'!$E$15)^(A83-2026)</x:f>
        <x:v>2.7439999999999993</x:v>
      </x:c>
      <x:c r="M83" t="n">
        <x:f>(1-'02 Assumptions'!$E$16)^(A83-2026)</x:f>
        <x:v>0.47455200000000003</x:v>
      </x:c>
      <x:c r="N83" t="n">
        <x:f>IF(M83&gt;0,M83^(-'02 Assumptions'!$E$17),0)</x:f>
        <x:v>1.8154026018440537</x:v>
      </x:c>
      <x:c r="O83" t="n">
        <x:f>(1+'02 Assumptions'!$E$18)^(A83-2026)</x:f>
        <x:v>1.061208</x:v>
      </x:c>
      <x:c r="P83" s="40" t="n">
        <x:f>F83*G83*12/1000*(1-K83)*H83*J83*O83</x:f>
        <x:v>7.005605262092081</x:v>
      </x:c>
      <x:c r="Q83" s="40" t="n">
        <x:f>F83*G83*12/1000*K83*H83*J83*L83*M83*N83</x:f>
        <x:v>23.408698893223455</x:v>
      </x:c>
      <x:c r="R83" s="40" t="n">
        <x:f>SUM(P83:Q83)</x:f>
        <x:v>30.414304155315534</x:v>
      </x:c>
      <x:c r="S83" s="40" t="n">
        <x:f>IFERROR('03 Sector Inputs'!M23*(D83/'03 Sector Inputs'!L23)*(1+'02 Assumptions'!$E$19)^(A83-2026),0)</x:f>
        <x:v>2716.1556585097214</x:v>
      </x:c>
      <x:c r="T83" s="36" t="n">
        <x:f>IFERROR(R83/S83,0)</x:f>
        <x:v>0.011197555655555842</x:v>
      </x:c>
      <x:c r="U83" s="42" t="n">
        <x:f>S83*(I83-1)</x:f>
        <x:v>45.249553684931065</x:v>
      </x:c>
      <x:c r="V83" t="str">
        <x:f>'03 Sector Inputs'!I23</x:f>
        <x:v>DIRECT RAMP</x:v>
      </x:c>
      <x:c r="W83" t="n">
        <x:f>P83+F83*G83*12/1000*K83*H83*J83*L83*M83</x:f>
        <x:v>19.90009977776883</x:v>
      </x:c>
      <x:c r="X83" t="n">
        <x:f>F83*G83*12/1000*H83*((1-K83)*O83+K83*L83*M83*N83)</x:f>
        <x:v>30.263924105694535</x:v>
      </x:c>
      <x:c r="Y83" t="n">
        <x:f>F83*G83*12/1000*H83*((1-K83)*O83+K83*L83*M83)</x:f>
        <x:v>19.80170600960101</x:v>
      </x:c>
      <x:c r="Z83" t="str">
        <x:f>IF(OR(F83&lt;0,E83&lt;0,E83&gt;1,R83&lt;0),"CHECK","OK")</x:f>
        <x:v>OK</x:v>
      </x:c>
    </x:row>
    <x:row r="84">
      <x:c r="A84" s="44" t="n">
        <x:f>2029</x:f>
        <x:v>2029</x:v>
      </x:c>
      <x:c r="B84" s="28" t="str">
        <x:f>'03 Sector Inputs'!A24</x:f>
        <x:v>71</x:v>
      </x:c>
      <x:c r="C84" s="28" t="str">
        <x:f>'03 Sector Inputs'!B24</x:f>
        <x:v>Arts, Entertainment and Recreation</x:v>
      </x:c>
      <x:c r="D84" t="n">
        <x:f>'03 Sector Inputs'!L24*('03 Sector Inputs'!D24/'03 Sector Inputs'!C24)^((A84-2026)/10)</x:f>
        <x:v>2.741921928445252</x:v>
      </x:c>
      <x:c r="E84" s="32" t="n">
        <x:f>MIN(0.98,1-(1-'03 Sector Inputs'!K24)*(1-'02 Assumptions'!$E$12)^(A84-2026))</x:f>
        <x:v>0.6802041753999999</x:v>
      </x:c>
      <x:c r="F84" t="n">
        <x:f>D84*E84</x:f>
        <x:v>1.86506674434928</x:v>
      </x:c>
      <x:c r="G84" s="38" t="n">
        <x:f>'03 Sector Inputs'!Q24</x:f>
        <x:v>96.78298617210244</x:v>
      </x:c>
      <x:c r="H84" t="n">
        <x:f>(1+'02 Assumptions'!$E$19)^((A84-2026)*'02 Assumptions'!$E$20)</x:f>
        <x:v>1.0300745055474758</x:v>
      </x:c>
      <x:c r="I84" t="n">
        <x:f>(1+'03 Sector Inputs'!U24)^((A84-2026)/10)</x:f>
        <x:v>1.0151762094782557</x:v>
      </x:c>
      <x:c r="J84" t="n">
        <x:f>I84^'02 Assumptions'!$E$21</x:f>
        <x:v>1.0045288853895498</x:v>
      </x:c>
      <x:c r="K84" s="32" t="n">
        <x:f>'02 Assumptions'!$E$14</x:f>
        <x:v>0.6</x:v>
      </x:c>
      <x:c r="L84" t="n">
        <x:f>(1+'02 Assumptions'!$E$15)^(A84-2026)</x:f>
        <x:v>2.7439999999999993</x:v>
      </x:c>
      <x:c r="M84" t="n">
        <x:f>(1-'02 Assumptions'!$E$16)^(A84-2026)</x:f>
        <x:v>0.47455200000000003</x:v>
      </x:c>
      <x:c r="N84" t="n">
        <x:f>IF(M84&gt;0,M84^(-'02 Assumptions'!$E$17),0)</x:f>
        <x:v>1.8154026018440537</x:v>
      </x:c>
      <x:c r="O84" t="n">
        <x:f>(1+'02 Assumptions'!$E$18)^(A84-2026)</x:f>
        <x:v>1.061208</x:v>
      </x:c>
      <x:c r="P84" s="40" t="n">
        <x:f>F84*G84*12/1000*(1-K84)*H84*J84*O84</x:f>
        <x:v>0.9514067247277794</x:v>
      </x:c>
      <x:c r="Q84" s="40" t="n">
        <x:f>F84*G84*12/1000*K84*H84*J84*L84*M84*N84</x:f>
        <x:v>3.1790534451964945</x:v>
      </x:c>
      <x:c r="R84" s="40" t="n">
        <x:f>SUM(P84:Q84)</x:f>
        <x:v>4.130460169924274</x:v>
      </x:c>
      <x:c r="S84" s="40" t="n">
        <x:f>IFERROR('03 Sector Inputs'!M24*(D84/'03 Sector Inputs'!L24)*(1+'02 Assumptions'!$E$19)^(A84-2026),0)</x:f>
        <x:v>362.65660693576393</x:v>
      </x:c>
      <x:c r="T84" s="36" t="n">
        <x:f>IFERROR(R84/S84,0)</x:f>
        <x:v>0.01138945242118776</x:v>
      </x:c>
      <x:c r="U84" s="42" t="n">
        <x:f>S84*(I84-1)</x:f>
        <x:v>5.503752635530596</x:v>
      </x:c>
      <x:c r="V84" t="str">
        <x:f>'03 Sector Inputs'!I24</x:f>
        <x:v>NATIONAL PROXY</x:v>
      </x:c>
      <x:c r="W84" t="n">
        <x:f>P84+F84*G84*12/1000*K84*H84*J84*L84*M84</x:f>
        <x:v>2.702562882577982</x:v>
      </x:c>
      <x:c r="X84" t="n">
        <x:f>F84*G84*12/1000*H84*((1-K84)*O84+K84*L84*M84*N84)</x:f>
        <x:v>4.111838126309836</x:v>
      </x:c>
      <x:c r="Y84" t="n">
        <x:f>F84*G84*12/1000*H84*((1-K84)*O84+K84*L84*M84)</x:f>
        <x:v>2.6903784668471196</x:v>
      </x:c>
      <x:c r="Z84" t="str">
        <x:f>IF(OR(F84&lt;0,E84&lt;0,E84&gt;1,R84&lt;0),"CHECK","OK")</x:f>
        <x:v>OK</x:v>
      </x:c>
    </x:row>
    <x:row r="85">
      <x:c r="A85" s="44" t="n">
        <x:f>2029</x:f>
        <x:v>2029</x:v>
      </x:c>
      <x:c r="B85" s="28" t="str">
        <x:f>'03 Sector Inputs'!A25</x:f>
        <x:v>72</x:v>
      </x:c>
      <x:c r="C85" s="28" t="str">
        <x:f>'03 Sector Inputs'!B25</x:f>
        <x:v>Accommodation and Food Services</x:v>
      </x:c>
      <x:c r="D85" t="n">
        <x:f>'03 Sector Inputs'!L25*('03 Sector Inputs'!D25/'03 Sector Inputs'!C25)^((A85-2026)/10)</x:f>
        <x:v>14.442011889585675</x:v>
      </x:c>
      <x:c r="E85" s="32" t="n">
        <x:f>MIN(0.98,1-(1-'03 Sector Inputs'!K25)*(1-'02 Assumptions'!$E$12)^(A85-2026))</x:f>
        <x:v>0.5119522147</x:v>
      </x:c>
      <x:c r="F85" t="n">
        <x:f>D85*E85</x:f>
        <x:v>7.393619971597118</x:v>
      </x:c>
      <x:c r="G85" s="38" t="n">
        <x:f>'03 Sector Inputs'!Q25</x:f>
        <x:v>86.70668944553024</x:v>
      </x:c>
      <x:c r="H85" t="n">
        <x:f>(1+'02 Assumptions'!$E$19)^((A85-2026)*'02 Assumptions'!$E$20)</x:f>
        <x:v>1.0300745055474758</x:v>
      </x:c>
      <x:c r="I85" t="n">
        <x:f>(1+'03 Sector Inputs'!U25)^((A85-2026)/10)</x:f>
        <x:v>1.0086942205223757</x:v>
      </x:c>
      <x:c r="J85" t="n">
        <x:f>I85^'02 Assumptions'!$E$21</x:f>
        <x:v>1.002600368137194</x:v>
      </x:c>
      <x:c r="K85" s="32" t="n">
        <x:f>'02 Assumptions'!$E$14</x:f>
        <x:v>0.6</x:v>
      </x:c>
      <x:c r="L85" t="n">
        <x:f>(1+'02 Assumptions'!$E$15)^(A85-2026)</x:f>
        <x:v>2.7439999999999993</x:v>
      </x:c>
      <x:c r="M85" t="n">
        <x:f>(1-'02 Assumptions'!$E$16)^(A85-2026)</x:f>
        <x:v>0.47455200000000003</x:v>
      </x:c>
      <x:c r="N85" t="n">
        <x:f>IF(M85&gt;0,M85^(-'02 Assumptions'!$E$17),0)</x:f>
        <x:v>1.8154026018440537</x:v>
      </x:c>
      <x:c r="O85" t="n">
        <x:f>(1+'02 Assumptions'!$E$18)^(A85-2026)</x:f>
        <x:v>1.061208</x:v>
      </x:c>
      <x:c r="P85" s="40" t="n">
        <x:f>F85*G85*12/1000*(1-K85)*H85*J85*O85</x:f>
        <x:v>3.3724691054585083</x:v>
      </x:c>
      <x:c r="Q85" s="40" t="n">
        <x:f>F85*G85*12/1000*K85*H85*J85*L85*M85*N85</x:f>
        <x:v>11.268849851354819</x:v>
      </x:c>
      <x:c r="R85" s="40" t="n">
        <x:f>SUM(P85:Q85)</x:f>
        <x:v>14.641318956813327</x:v>
      </x:c>
      <x:c r="S85" s="40" t="n">
        <x:f>IFERROR('03 Sector Inputs'!M25*(D85/'03 Sector Inputs'!L25)*(1+'02 Assumptions'!$E$19)^(A85-2026),0)</x:f>
        <x:v>1102.3922252344553</x:v>
      </x:c>
      <x:c r="T85" s="36" t="n">
        <x:f>IFERROR(R85/S85,0)</x:f>
        <x:v>0.01328140621973221</x:v>
      </x:c>
      <x:c r="U85" s="42" t="n">
        <x:f>S85*(I85-1)</x:f>
        <x:v>9.584441108340787</x:v>
      </x:c>
      <x:c r="V85" t="str">
        <x:f>'03 Sector Inputs'!I25</x:f>
        <x:v>DIRECT RAMP</x:v>
      </x:c>
      <x:c r="W85" t="n">
        <x:f>P85+F85*G85*12/1000*K85*H85*J85*L85*M85</x:f>
        <x:v>9.579824895247572</x:v>
      </x:c>
      <x:c r="X85" t="n">
        <x:f>F85*G85*12/1000*H85*((1-K85)*O85+K85*L85*M85*N85)</x:f>
        <x:v>14.603344884080315</x:v>
      </x:c>
      <x:c r="Y85" t="n">
        <x:f>F85*G85*12/1000*H85*((1-K85)*O85+K85*L85*M85)</x:f>
        <x:v>9.554978433776807</x:v>
      </x:c>
      <x:c r="Z85" t="str">
        <x:f>IF(OR(F85&lt;0,E85&lt;0,E85&gt;1,R85&lt;0),"CHECK","OK")</x:f>
        <x:v>OK</x:v>
      </x:c>
    </x:row>
    <x:row r="86">
      <x:c r="A86" s="44" t="n">
        <x:f>2029</x:f>
        <x:v>2029</x:v>
      </x:c>
      <x:c r="B86" s="28" t="str">
        <x:f>'03 Sector Inputs'!A26</x:f>
        <x:v>81</x:v>
      </x:c>
      <x:c r="C86" s="28" t="str">
        <x:f>'03 Sector Inputs'!B26</x:f>
        <x:v>Other Services Except Public Administration</x:v>
      </x:c>
      <x:c r="D86" t="n">
        <x:f>'03 Sector Inputs'!L26*('03 Sector Inputs'!D26/'03 Sector Inputs'!C26)^((A86-2026)/10)</x:f>
        <x:v>6.339700830568388</x:v>
      </x:c>
      <x:c r="E86" s="32" t="n">
        <x:f>MIN(0.98,1-(1-'03 Sector Inputs'!K26)*(1-'02 Assumptions'!$E$12)^(A86-2026))</x:f>
        <x:v>0.6802041753999999</x:v>
      </x:c>
      <x:c r="F86" t="n">
        <x:f>D86*E86</x:f>
        <x:v>4.312290975739464</x:v>
      </x:c>
      <x:c r="G86" s="38" t="n">
        <x:f>'03 Sector Inputs'!Q26</x:f>
        <x:v>92.75230522798783</x:v>
      </x:c>
      <x:c r="H86" t="n">
        <x:f>(1+'02 Assumptions'!$E$19)^((A86-2026)*'02 Assumptions'!$E$20)</x:f>
        <x:v>1.0300745055474758</x:v>
      </x:c>
      <x:c r="I86" t="n">
        <x:f>(1+'03 Sector Inputs'!U26)^((A86-2026)/10)</x:f>
        <x:v>1.0157577446008816</x:v>
      </x:c>
      <x:c r="J86" t="n">
        <x:f>I86^'02 Assumptions'!$E$21</x:f>
        <x:v>1.0047014815571216</x:v>
      </x:c>
      <x:c r="K86" s="32" t="n">
        <x:f>'02 Assumptions'!$E$14</x:f>
        <x:v>0.6</x:v>
      </x:c>
      <x:c r="L86" t="n">
        <x:f>(1+'02 Assumptions'!$E$15)^(A86-2026)</x:f>
        <x:v>2.7439999999999993</x:v>
      </x:c>
      <x:c r="M86" t="n">
        <x:f>(1-'02 Assumptions'!$E$16)^(A86-2026)</x:f>
        <x:v>0.47455200000000003</x:v>
      </x:c>
      <x:c r="N86" t="n">
        <x:f>IF(M86&gt;0,M86^(-'02 Assumptions'!$E$17),0)</x:f>
        <x:v>1.8154026018440537</x:v>
      </x:c>
      <x:c r="O86" t="n">
        <x:f>(1+'02 Assumptions'!$E$18)^(A86-2026)</x:f>
        <x:v>1.061208</x:v>
      </x:c>
      <x:c r="P86" s="40" t="n">
        <x:f>F86*G86*12/1000*(1-K86)*H86*J86*O86</x:f>
        <x:v>2.108532034712283</x:v>
      </x:c>
      <x:c r="Q86" s="40" t="n">
        <x:f>F86*G86*12/1000*K86*H86*J86*L86*M86*N86</x:f>
        <x:v>7.0454999476456175</x:v>
      </x:c>
      <x:c r="R86" s="40" t="n">
        <x:f>SUM(P86:Q86)</x:f>
        <x:v>9.1540319823579</x:v>
      </x:c>
      <x:c r="S86" s="40" t="n">
        <x:f>IFERROR('03 Sector Inputs'!M26*(D86/'03 Sector Inputs'!L26)*(1+'02 Assumptions'!$E$19)^(A86-2026),0)</x:f>
        <x:v>677.8564689459347</x:v>
      </x:c>
      <x:c r="T86" s="36" t="n">
        <x:f>IFERROR(R86/S86,0)</x:f>
        <x:v>0.01350438094452709</x:v>
      </x:c>
      <x:c r="U86" s="42" t="n">
        <x:f>S86*(I86-1)</x:f>
        <x:v>10.681489113705496</x:v>
      </x:c>
      <x:c r="V86" t="str">
        <x:f>'03 Sector Inputs'!I26</x:f>
        <x:v>NATIONAL PROXY</x:v>
      </x:c>
      <x:c r="W86" t="n">
        <x:f>P86+F86*G86*12/1000*K86*H86*J86*L86*M86</x:f>
        <x:v>5.9894893168539545</x:v>
      </x:c>
      <x:c r="X86" t="n">
        <x:f>F86*G86*12/1000*H86*((1-K86)*O86+K86*L86*M86*N86)</x:f>
        <x:v>9.111195863044475</x:v>
      </x:c>
      <x:c r="Y86" t="n">
        <x:f>F86*G86*12/1000*H86*((1-K86)*O86+K86*L86*M86)</x:f>
        <x:v>5.961461615017462</x:v>
      </x:c>
      <x:c r="Z86" t="str">
        <x:f>IF(OR(F86&lt;0,E86&lt;0,E86&gt;1,R86&lt;0),"CHECK","OK")</x:f>
        <x:v>OK</x:v>
      </x:c>
    </x:row>
    <x:row r="87">
      <x:c r="A87" s="44" t="n">
        <x:f>2029</x:f>
        <x:v>2029</x:v>
      </x:c>
      <x:c r="B87" s="28" t="str">
        <x:f>'03 Sector Inputs'!A27</x:f>
        <x:v>Gov</x:v>
      </x:c>
      <x:c r="C87" s="28" t="str">
        <x:f>'03 Sector Inputs'!B27</x:f>
        <x:v>Federal and State/Local Government</x:v>
      </x:c>
      <x:c r="D87" t="n">
        <x:f>'03 Sector Inputs'!L27*('03 Sector Inputs'!D27/'03 Sector Inputs'!C27)^((A87-2026)/10)</x:f>
        <x:v>0</x:v>
      </x:c>
      <x:c r="E87" s="32" t="n">
        <x:f>IF(D87=0,0,MIN(0.98,1-(1-'03 Sector Inputs'!K27)*(1-'02 Assumptions'!$E$12)^(A87-2026)))</x:f>
        <x:v>0</x:v>
      </x:c>
      <x:c r="F87" t="n">
        <x:f>D87*E87</x:f>
        <x:v>0</x:v>
      </x:c>
      <x:c r="G87" s="38" t="n">
        <x:f>'03 Sector Inputs'!Q27</x:f>
        <x:v>0</x:v>
      </x:c>
      <x:c r="H87" t="n">
        <x:f>(1+'02 Assumptions'!$E$19)^((A87-2026)*'02 Assumptions'!$E$20)</x:f>
        <x:v>1.0300745055474758</x:v>
      </x:c>
      <x:c r="I87" t="n">
        <x:f>(1+'03 Sector Inputs'!U27)^((A87-2026)/10)</x:f>
        <x:v>1</x:v>
      </x:c>
      <x:c r="J87" t="n">
        <x:f>I87^'02 Assumptions'!$E$21</x:f>
        <x:v>1</x:v>
      </x:c>
      <x:c r="K87" s="32" t="n">
        <x:f>'02 Assumptions'!$E$14</x:f>
        <x:v>0.6</x:v>
      </x:c>
      <x:c r="L87" t="n">
        <x:f>(1+'02 Assumptions'!$E$15)^(A87-2026)</x:f>
        <x:v>2.7439999999999993</x:v>
      </x:c>
      <x:c r="M87" t="n">
        <x:f>(1-'02 Assumptions'!$E$16)^(A87-2026)</x:f>
        <x:v>0.47455200000000003</x:v>
      </x:c>
      <x:c r="N87" t="n">
        <x:f>IF(M87&gt;0,M87^(-'02 Assumptions'!$E$17),0)</x:f>
        <x:v>1.8154026018440537</x:v>
      </x:c>
      <x:c r="O87" t="n">
        <x:f>(1+'02 Assumptions'!$E$18)^(A87-2026)</x:f>
        <x:v>1.061208</x:v>
      </x:c>
      <x:c r="P87" s="40" t="n">
        <x:f>F87*G87*12/1000*(1-K87)*H87*J87*O87</x:f>
        <x:v>0</x:v>
      </x:c>
      <x:c r="Q87" s="40" t="n">
        <x:f>F87*G87*12/1000*K87*H87*J87*L87*M87*N87</x:f>
        <x:v>0</x:v>
      </x:c>
      <x:c r="R87" s="40" t="n">
        <x:f>SUM(P87:Q87)</x:f>
        <x:v>0</x:v>
      </x:c>
      <x:c r="S87" s="40" t="n">
        <x:f>IFERROR('03 Sector Inputs'!M27*(D87/'03 Sector Inputs'!L27)*(1+'02 Assumptions'!$E$19)^(A87-2026),0)</x:f>
        <x:v>0</x:v>
      </x:c>
      <x:c r="T87" s="36" t="n">
        <x:f>IFERROR(R87/S87,0)</x:f>
        <x:v>0</x:v>
      </x:c>
      <x:c r="U87" s="42" t="n">
        <x:f>S87*(I87-1)</x:f>
        <x:v>0</x:v>
      </x:c>
      <x:c r="V87" t="str">
        <x:f>'03 Sector Inputs'!I27</x:f>
        <x:v>NATIONAL PROXY</x:v>
      </x:c>
      <x:c r="W87" t="n">
        <x:f>P87+F87*G87*12/1000*K87*H87*J87*L87*M87</x:f>
        <x:v>0</x:v>
      </x:c>
      <x:c r="X87" t="n">
        <x:f>F87*G87*12/1000*H87*((1-K87)*O87+K87*L87*M87*N87)</x:f>
        <x:v>0</x:v>
      </x:c>
      <x:c r="Y87" t="n">
        <x:f>F87*G87*12/1000*H87*((1-K87)*O87+K87*L87*M87)</x:f>
        <x:v>0</x:v>
      </x:c>
      <x:c r="Z87" t="str">
        <x:f>IF(OR(F87&lt;0,E87&lt;0,E87&gt;1,R87&lt;0),"CHECK","OK")</x:f>
        <x:v>OK</x:v>
      </x:c>
    </x:row>
    <x:row r="88">
      <x:c r="A88" s="44" t="n">
        <x:f>2030</x:f>
        <x:v>2030</x:v>
      </x:c>
      <x:c r="B88" s="28" t="str">
        <x:f>'03 Sector Inputs'!A8</x:f>
        <x:v>11</x:v>
      </x:c>
      <x:c r="C88" s="28" t="str">
        <x:f>'03 Sector Inputs'!B8</x:f>
        <x:v>Agriculture, Forestry, Fishing and Hunting</x:v>
      </x:c>
      <x:c r="D88" t="n">
        <x:f>'03 Sector Inputs'!L8*('03 Sector Inputs'!D8/'03 Sector Inputs'!C8)^((A88-2026)/10)</x:f>
        <x:v>0</x:v>
      </x:c>
      <x:c r="E88" s="32" t="n">
        <x:f>IF(D88=0,0,MIN(0.98,1-(1-'03 Sector Inputs'!K8)*(1-'02 Assumptions'!$E$12)^(A88-2026)))</x:f>
        <x:v>0</x:v>
      </x:c>
      <x:c r="F88" t="n">
        <x:f>D88*E88</x:f>
        <x:v>0</x:v>
      </x:c>
      <x:c r="G88" s="38" t="n">
        <x:f>'03 Sector Inputs'!Q8</x:f>
        <x:v>0</x:v>
      </x:c>
      <x:c r="H88" t="n">
        <x:f>(1+'02 Assumptions'!$E$19)^((A88-2026)*'02 Assumptions'!$E$20)</x:f>
        <x:v>1.0402990086464643</x:v>
      </x:c>
      <x:c r="I88" t="n">
        <x:f>(1+'03 Sector Inputs'!U8)^((A88-2026)/10)</x:f>
        <x:v>1.0104402791035692</x:v>
      </x:c>
      <x:c r="J88" t="n">
        <x:f>I88^'02 Assumptions'!$E$21</x:f>
        <x:v>1.0031207060277214</x:v>
      </x:c>
      <x:c r="K88" s="32" t="n">
        <x:f>'02 Assumptions'!$E$14</x:f>
        <x:v>0.6</x:v>
      </x:c>
      <x:c r="L88" t="n">
        <x:f>(1+'02 Assumptions'!$E$15)^(A88-2026)</x:f>
        <x:v>3.841599999999999</x:v>
      </x:c>
      <x:c r="M88" t="n">
        <x:f>(1-'02 Assumptions'!$E$16)^(A88-2026)</x:f>
        <x:v>0.3701505600000001</x:v>
      </x:c>
      <x:c r="N88" t="n">
        <x:f>IF(M88&gt;0,M88^(-'02 Assumptions'!$E$17),0)</x:f>
        <x:v>2.2146100752865503</x:v>
      </x:c>
      <x:c r="O88" t="n">
        <x:f>(1+'02 Assumptions'!$E$18)^(A88-2026)</x:f>
        <x:v>1.08243216</x:v>
      </x:c>
      <x:c r="P88" s="40" t="n">
        <x:f>F88*G88*12/1000*(1-K88)*H88*J88*O88</x:f>
        <x:v>0</x:v>
      </x:c>
      <x:c r="Q88" s="40" t="n">
        <x:f>F88*G88*12/1000*K88*H88*J88*L88*M88*N88</x:f>
        <x:v>0</x:v>
      </x:c>
      <x:c r="R88" s="40" t="n">
        <x:f>SUM(P88:Q88)</x:f>
        <x:v>0</x:v>
      </x:c>
      <x:c r="S88" s="40" t="n">
        <x:f>IFERROR('03 Sector Inputs'!M8*(D88/'03 Sector Inputs'!L8)*(1+'02 Assumptions'!$E$19)^(A88-2026),0)</x:f>
        <x:v>0</x:v>
      </x:c>
      <x:c r="T88" s="36" t="n">
        <x:f>IFERROR(R88/S88,0)</x:f>
        <x:v>0</x:v>
      </x:c>
      <x:c r="U88" s="42" t="n">
        <x:f>S88*(I88-1)</x:f>
        <x:v>0</x:v>
      </x:c>
      <x:c r="V88" t="str">
        <x:f>'03 Sector Inputs'!I8</x:f>
        <x:v>NATIONAL PROXY</x:v>
      </x:c>
      <x:c r="W88" t="n">
        <x:f>P88+F88*G88*12/1000*K88*H88*J88*L88*M88</x:f>
        <x:v>0</x:v>
      </x:c>
      <x:c r="X88" t="n">
        <x:f>F88*G88*12/1000*H88*((1-K88)*O88+K88*L88*M88*N88)</x:f>
        <x:v>0</x:v>
      </x:c>
      <x:c r="Y88" t="n">
        <x:f>F88*G88*12/1000*H88*((1-K88)*O88+K88*L88*M88)</x:f>
        <x:v>0</x:v>
      </x:c>
      <x:c r="Z88" t="str">
        <x:f>IF(OR(F88&lt;0,E88&lt;0,E88&gt;1,R88&lt;0),"CHECK","OK")</x:f>
        <x:v>OK</x:v>
      </x:c>
    </x:row>
    <x:row r="89">
      <x:c r="A89" s="44" t="n">
        <x:f>2030</x:f>
        <x:v>2030</x:v>
      </x:c>
      <x:c r="B89" s="28" t="str">
        <x:f>'03 Sector Inputs'!A9</x:f>
        <x:v>21</x:v>
      </x:c>
      <x:c r="C89" s="28" t="str">
        <x:f>'03 Sector Inputs'!B9</x:f>
        <x:v>Mining, Quarrying, Oil and Gas Extraction</x:v>
      </x:c>
      <x:c r="D89" t="n">
        <x:f>'03 Sector Inputs'!L9*('03 Sector Inputs'!D9/'03 Sector Inputs'!C9)^((A89-2026)/10)</x:f>
        <x:v>0.575396863043239</x:v>
      </x:c>
      <x:c r="E89" s="32" t="n">
        <x:f>MIN(0.98,1-(1-'03 Sector Inputs'!K9)*(1-'02 Assumptions'!$E$12)^(A89-2026))</x:f>
        <x:v>0.7121837578599999</x:v>
      </x:c>
      <x:c r="F89" t="n">
        <x:f>D89*E89</x:f>
        <x:v>0.4097883001829896</x:v>
      </x:c>
      <x:c r="G89" s="38" t="n">
        <x:f>'03 Sector Inputs'!Q9</x:f>
        <x:v>144.21605034049728</x:v>
      </x:c>
      <x:c r="H89" t="n">
        <x:f>(1+'02 Assumptions'!$E$19)^((A89-2026)*'02 Assumptions'!$E$20)</x:f>
        <x:v>1.0402990086464643</x:v>
      </x:c>
      <x:c r="I89" t="n">
        <x:f>(1+'03 Sector Inputs'!U9)^((A89-2026)/10)</x:f>
        <x:v>1.0164409325197779</x:v>
      </x:c>
      <x:c r="J89" t="n">
        <x:f>I89^'02 Assumptions'!$E$21</x:f>
        <x:v>1.0049041593304306</x:v>
      </x:c>
      <x:c r="K89" s="32" t="n">
        <x:f>'02 Assumptions'!$E$14</x:f>
        <x:v>0.6</x:v>
      </x:c>
      <x:c r="L89" t="n">
        <x:f>(1+'02 Assumptions'!$E$15)^(A89-2026)</x:f>
        <x:v>3.841599999999999</x:v>
      </x:c>
      <x:c r="M89" t="n">
        <x:f>(1-'02 Assumptions'!$E$16)^(A89-2026)</x:f>
        <x:v>0.3701505600000001</x:v>
      </x:c>
      <x:c r="N89" t="n">
        <x:f>IF(M89&gt;0,M89^(-'02 Assumptions'!$E$17),0)</x:f>
        <x:v>2.2146100752865503</x:v>
      </x:c>
      <x:c r="O89" t="n">
        <x:f>(1+'02 Assumptions'!$E$18)^(A89-2026)</x:f>
        <x:v>1.08243216</x:v>
      </x:c>
      <x:c r="P89" s="40" t="n">
        <x:f>F89*G89*12/1000*(1-K89)*H89*J89*O89</x:f>
        <x:v>0.32099473189988786</x:v>
      </x:c>
      <x:c r="Q89" s="40" t="n">
        <x:f>F89*G89*12/1000*K89*H89*J89*L89*M89*N89</x:f>
        <x:v>1.4008005441637987</x:v>
      </x:c>
      <x:c r="R89" s="40" t="n">
        <x:f>SUM(P89:Q89)</x:f>
        <x:v>1.7217952760636865</x:v>
      </x:c>
      <x:c r="S89" s="40" t="n">
        <x:f>IFERROR('03 Sector Inputs'!M9*(D89/'03 Sector Inputs'!L9)*(1+'02 Assumptions'!$E$19)^(A89-2026),0)</x:f>
        <x:v>573.0661573353926</x:v>
      </x:c>
      <x:c r="T89" s="36" t="n">
        <x:f>IFERROR(R89/S89,0)</x:f>
        <x:v>0.0030045314210659082</x:v>
      </x:c>
      <x:c r="U89" s="42" t="n">
        <x:f>S89*(I89-1)</x:f>
        <x:v>9.421742022119588</x:v>
      </x:c>
      <x:c r="V89" t="str">
        <x:f>'03 Sector Inputs'!I9</x:f>
        <x:v>NATIONAL PROXY</x:v>
      </x:c>
      <x:c r="W89" t="n">
        <x:f>P89+F89*G89*12/1000*K89*H89*J89*L89*M89</x:f>
        <x:v>0.95352167639261</x:v>
      </x:c>
      <x:c r="X89" t="n">
        <x:f>F89*G89*12/1000*H89*((1-K89)*O89+K89*L89*M89*N89)</x:f>
        <x:v>1.7133925261200247</x:v>
      </x:c>
      <x:c r="Y89" t="n">
        <x:f>F89*G89*12/1000*H89*((1-K89)*O89+K89*L89*M89)</x:f>
        <x:v>0.9488682751874994</x:v>
      </x:c>
      <x:c r="Z89" t="str">
        <x:f>IF(OR(F89&lt;0,E89&lt;0,E89&gt;1,R89&lt;0),"CHECK","OK")</x:f>
        <x:v>OK</x:v>
      </x:c>
    </x:row>
    <x:row r="90">
      <x:c r="A90" s="44" t="n">
        <x:f>2030</x:f>
        <x:v>2030</x:v>
      </x:c>
      <x:c r="B90" s="28" t="str">
        <x:f>'03 Sector Inputs'!A10</x:f>
        <x:v>22</x:v>
      </x:c>
      <x:c r="C90" s="28" t="str">
        <x:f>'03 Sector Inputs'!B10</x:f>
        <x:v>Utilities</x:v>
      </x:c>
      <x:c r="D90" t="n">
        <x:f>'03 Sector Inputs'!L10*('03 Sector Inputs'!D10/'03 Sector Inputs'!C10)^((A90-2026)/10)</x:f>
        <x:v>0.6300143887245752</x:v>
      </x:c>
      <x:c r="E90" s="32" t="n">
        <x:f>MIN(0.98,1-(1-'03 Sector Inputs'!K10)*(1-'02 Assumptions'!$E$12)^(A90-2026))</x:f>
        <x:v>0.7121837578599999</x:v>
      </x:c>
      <x:c r="F90" t="n">
        <x:f>D90*E90</x:f>
        <x:v>0.4486860148677387</x:v>
      </x:c>
      <x:c r="G90" s="38" t="n">
        <x:f>'03 Sector Inputs'!Q10</x:f>
        <x:v>143.37803430608625</x:v>
      </x:c>
      <x:c r="H90" t="n">
        <x:f>(1+'02 Assumptions'!$E$19)^((A90-2026)*'02 Assumptions'!$E$20)</x:f>
        <x:v>1.0402990086464643</x:v>
      </x:c>
      <x:c r="I90" t="n">
        <x:f>(1+'03 Sector Inputs'!U10)^((A90-2026)/10)</x:f>
        <x:v>1.0191495529898549</x:v>
      </x:c>
      <x:c r="J90" t="n">
        <x:f>I90^'02 Assumptions'!$E$21</x:f>
        <x:v>1.0057067743302475</x:v>
      </x:c>
      <x:c r="K90" s="32" t="n">
        <x:f>'02 Assumptions'!$E$14</x:f>
        <x:v>0.6</x:v>
      </x:c>
      <x:c r="L90" t="n">
        <x:f>(1+'02 Assumptions'!$E$15)^(A90-2026)</x:f>
        <x:v>3.841599999999999</x:v>
      </x:c>
      <x:c r="M90" t="n">
        <x:f>(1-'02 Assumptions'!$E$16)^(A90-2026)</x:f>
        <x:v>0.3701505600000001</x:v>
      </x:c>
      <x:c r="N90" t="n">
        <x:f>IF(M90&gt;0,M90^(-'02 Assumptions'!$E$17),0)</x:f>
        <x:v>2.2146100752865503</x:v>
      </x:c>
      <x:c r="O90" t="n">
        <x:f>(1+'02 Assumptions'!$E$18)^(A90-2026)</x:f>
        <x:v>1.08243216</x:v>
      </x:c>
      <x:c r="P90" s="40" t="n">
        <x:f>F90*G90*12/1000*(1-K90)*H90*J90*O90</x:f>
        <x:v>0.34970081116743634</x:v>
      </x:c>
      <x:c r="Q90" s="40" t="n">
        <x:f>F90*G90*12/1000*K90*H90*J90*L90*M90*N90</x:f>
        <x:v>1.5260720438572335</x:v>
      </x:c>
      <x:c r="R90" s="40" t="n">
        <x:f>SUM(P90:Q90)</x:f>
        <x:v>1.8757728550246697</x:v>
      </x:c>
      <x:c r="S90" s="40" t="n">
        <x:f>IFERROR('03 Sector Inputs'!M10*(D90/'03 Sector Inputs'!L10)*(1+'02 Assumptions'!$E$19)^(A90-2026),0)</x:f>
        <x:v>609.4426776653225</x:v>
      </x:c>
      <x:c r="T90" s="36" t="n">
        <x:f>IFERROR(R90/S90,0)</x:f>
        <x:v>0.00307784952345388</x:v>
      </x:c>
      <x:c r="U90" s="42" t="n">
        <x:f>S90*(I90-1)</x:f>
        <x:v>11.67055485023114</x:v>
      </x:c>
      <x:c r="V90" t="str">
        <x:f>'03 Sector Inputs'!I10</x:f>
        <x:v>NATIONAL PROXY</x:v>
      </x:c>
      <x:c r="W90" t="n">
        <x:f>P90+F90*G90*12/1000*K90*H90*J90*L90*M90</x:f>
        <x:v>1.0387936952318122</x:v>
      </x:c>
      <x:c r="X90" t="n">
        <x:f>F90*G90*12/1000*H90*((1-K90)*O90+K90*L90*M90*N90)</x:f>
        <x:v>1.8651289848115467</x:v>
      </x:c>
      <x:c r="Y90" t="n">
        <x:f>F90*G90*12/1000*H90*((1-K90)*O90+K90*L90*M90)</x:f>
        <x:v>1.0328991727470456</x:v>
      </x:c>
      <x:c r="Z90" t="str">
        <x:f>IF(OR(F90&lt;0,E90&lt;0,E90&gt;1,R90&lt;0),"CHECK","OK")</x:f>
        <x:v>OK</x:v>
      </x:c>
    </x:row>
    <x:row r="91">
      <x:c r="A91" s="44" t="n">
        <x:f>2030</x:f>
        <x:v>2030</x:v>
      </x:c>
      <x:c r="B91" s="28" t="str">
        <x:f>'03 Sector Inputs'!A11</x:f>
        <x:v>23</x:v>
      </x:c>
      <x:c r="C91" s="28" t="str">
        <x:f>'03 Sector Inputs'!B11</x:f>
        <x:v>Construction</x:v>
      </x:c>
      <x:c r="D91" t="n">
        <x:f>'03 Sector Inputs'!L11*('03 Sector Inputs'!D11/'03 Sector Inputs'!C11)^((A91-2026)/10)</x:f>
        <x:v>8.469560943756177</x:v>
      </x:c>
      <x:c r="E91" s="32" t="n">
        <x:f>MIN(0.98,1-(1-'03 Sector Inputs'!K11)*(1-'02 Assumptions'!$E$12)^(A91-2026))</x:f>
        <x:v>0.6206224440699999</x:v>
      </x:c>
      <x:c r="F91" t="n">
        <x:f>D91*E91</x:f>
        <x:v>5.256399613113773</x:v>
      </x:c>
      <x:c r="G91" s="38" t="n">
        <x:f>'03 Sector Inputs'!Q11</x:f>
        <x:v>102.71551089956172</x:v>
      </x:c>
      <x:c r="H91" t="n">
        <x:f>(1+'02 Assumptions'!$E$19)^((A91-2026)*'02 Assumptions'!$E$20)</x:f>
        <x:v>1.0402990086464643</x:v>
      </x:c>
      <x:c r="I91" t="n">
        <x:f>(1+'03 Sector Inputs'!U11)^((A91-2026)/10)</x:f>
        <x:v>1.014011434340659</x:v>
      </x:c>
      <x:c r="J91" t="n">
        <x:f>I91^'02 Assumptions'!$E$21</x:f>
        <x:v>1.004182978807823</x:v>
      </x:c>
      <x:c r="K91" s="32" t="n">
        <x:f>'02 Assumptions'!$E$14</x:f>
        <x:v>0.6</x:v>
      </x:c>
      <x:c r="L91" t="n">
        <x:f>(1+'02 Assumptions'!$E$15)^(A91-2026)</x:f>
        <x:v>3.841599999999999</x:v>
      </x:c>
      <x:c r="M91" t="n">
        <x:f>(1-'02 Assumptions'!$E$16)^(A91-2026)</x:f>
        <x:v>0.3701505600000001</x:v>
      </x:c>
      <x:c r="N91" t="n">
        <x:f>IF(M91&gt;0,M91^(-'02 Assumptions'!$E$17),0)</x:f>
        <x:v>2.2146100752865503</x:v>
      </x:c>
      <x:c r="O91" t="n">
        <x:f>(1+'02 Assumptions'!$E$18)^(A91-2026)</x:f>
        <x:v>1.08243216</x:v>
      </x:c>
      <x:c r="P91" s="40" t="n">
        <x:f>F91*G91*12/1000*(1-K91)*H91*J91*O91</x:f>
        <x:v>2.930470609191948</x:v>
      </x:c>
      <x:c r="Q91" s="40" t="n">
        <x:f>F91*G91*12/1000*K91*H91*J91*L91*M91*N91</x:f>
        <x:v>12.788386898799233</x:v>
      </x:c>
      <x:c r="R91" s="40" t="n">
        <x:f>SUM(P91:Q91)</x:f>
        <x:v>15.718857507991181</x:v>
      </x:c>
      <x:c r="S91" s="40" t="n">
        <x:f>IFERROR('03 Sector Inputs'!M11*(D91/'03 Sector Inputs'!L11)*(1+'02 Assumptions'!$E$19)^(A91-2026),0)</x:f>
        <x:v>1546.0030126877969</x:v>
      </x:c>
      <x:c r="T91" s="36" t="n">
        <x:f>IFERROR(R91/S91,0)</x:f>
        <x:v>0.010167417125962277</x:v>
      </x:c>
      <x:c r="U91" s="42" t="n">
        <x:f>S91*(I91-1)</x:f>
        <x:v>21.661719702736054</x:v>
      </x:c>
      <x:c r="V91" t="str">
        <x:f>'03 Sector Inputs'!I11</x:f>
        <x:v>DIRECT RAMP</x:v>
      </x:c>
      <x:c r="W91" t="n">
        <x:f>P91+F91*G91*12/1000*K91*H91*J91*L91*M91</x:f>
        <x:v>8.70502525495483</x:v>
      </x:c>
      <x:c r="X91" t="n">
        <x:f>F91*G91*12/1000*H91*((1-K91)*O91+K91*L91*M91*N91)</x:f>
        <x:v>15.653379752216853</x:v>
      </x:c>
      <x:c r="Y91" t="n">
        <x:f>F91*G91*12/1000*H91*((1-K91)*O91+K91*L91*M91)</x:f>
        <x:v>8.668763998857589</x:v>
      </x:c>
      <x:c r="Z91" t="str">
        <x:f>IF(OR(F91&lt;0,E91&lt;0,E91&gt;1,R91&lt;0),"CHECK","OK")</x:f>
        <x:v>OK</x:v>
      </x:c>
    </x:row>
    <x:row r="92">
      <x:c r="A92" s="44" t="n">
        <x:f>2030</x:f>
        <x:v>2030</x:v>
      </x:c>
      <x:c r="B92" s="28" t="str">
        <x:f>'03 Sector Inputs'!A12</x:f>
        <x:v>31-33</x:v>
      </x:c>
      <x:c r="C92" s="28" t="str">
        <x:f>'03 Sector Inputs'!B12</x:f>
        <x:v>Manufacturing</x:v>
      </x:c>
      <x:c r="D92" t="n">
        <x:f>'03 Sector Inputs'!L12*('03 Sector Inputs'!D12/'03 Sector Inputs'!C12)^((A92-2026)/10)</x:f>
        <x:v>12.669698712281996</x:v>
      </x:c>
      <x:c r="E92" s="32" t="n">
        <x:f>MIN(0.98,1-(1-'03 Sector Inputs'!K12)*(1-'02 Assumptions'!$E$12)^(A92-2026))</x:f>
        <x:v>0.7444636810299999</x:v>
      </x:c>
      <x:c r="F92" t="n">
        <x:f>D92*E92</x:f>
        <x:v>9.432130540886504</x:v>
      </x:c>
      <x:c r="G92" s="38" t="n">
        <x:f>'03 Sector Inputs'!Q12</x:f>
        <x:v>111.62191536298072</x:v>
      </x:c>
      <x:c r="H92" t="n">
        <x:f>(1+'02 Assumptions'!$E$19)^((A92-2026)*'02 Assumptions'!$E$20)</x:f>
        <x:v>1.0402990086464643</x:v>
      </x:c>
      <x:c r="I92" t="n">
        <x:f>(1+'03 Sector Inputs'!U12)^((A92-2026)/10)</x:f>
        <x:v>1.0180321540358335</x:v>
      </x:c>
      <x:c r="J92" t="n">
        <x:f>I92^'02 Assumptions'!$E$21</x:f>
        <x:v>1.0053758492364255</x:v>
      </x:c>
      <x:c r="K92" s="32" t="n">
        <x:f>'02 Assumptions'!$E$14</x:f>
        <x:v>0.6</x:v>
      </x:c>
      <x:c r="L92" t="n">
        <x:f>(1+'02 Assumptions'!$E$15)^(A92-2026)</x:f>
        <x:v>3.841599999999999</x:v>
      </x:c>
      <x:c r="M92" t="n">
        <x:f>(1-'02 Assumptions'!$E$16)^(A92-2026)</x:f>
        <x:v>0.3701505600000001</x:v>
      </x:c>
      <x:c r="N92" t="n">
        <x:f>IF(M92&gt;0,M92^(-'02 Assumptions'!$E$17),0)</x:f>
        <x:v>2.2146100752865503</x:v>
      </x:c>
      <x:c r="O92" t="n">
        <x:f>(1+'02 Assumptions'!$E$18)^(A92-2026)</x:f>
        <x:v>1.08243216</x:v>
      </x:c>
      <x:c r="P92" s="40" t="n">
        <x:f>F92*G92*12/1000*(1-K92)*H92*J92*O92</x:f>
        <x:v>5.721209233114231</x:v>
      </x:c>
      <x:c r="Q92" s="40" t="n">
        <x:f>F92*G92*12/1000*K92*H92*J92*L92*M92*N92</x:f>
        <x:v>24.966992322854892</x:v>
      </x:c>
      <x:c r="R92" s="40" t="n">
        <x:f>SUM(P92:Q92)</x:f>
        <x:v>30.688201555969123</x:v>
      </x:c>
      <x:c r="S92" s="40" t="n">
        <x:f>IFERROR('03 Sector Inputs'!M12*(D92/'03 Sector Inputs'!L12)*(1+'02 Assumptions'!$E$19)^(A92-2026),0)</x:f>
        <x:v>3504.9588625378624</x:v>
      </x:c>
      <x:c r="T92" s="36" t="n">
        <x:f>IFERROR(R92/S92,0)</x:f>
        <x:v>0.008755652422621725</x:v>
      </x:c>
      <x:c r="U92" s="42" t="n">
        <x:f>S92*(I92-1)</x:f>
        <x:v>63.201958098542406</x:v>
      </x:c>
      <x:c r="V92" t="str">
        <x:f>'03 Sector Inputs'!I12</x:f>
        <x:v>DIRECT RAMP</x:v>
      </x:c>
      <x:c r="W92" t="n">
        <x:f>P92+F92*G92*12/1000*K92*H92*J92*L92*M92</x:f>
        <x:v>16.99497367655667</x:v>
      </x:c>
      <x:c r="X92" t="n">
        <x:f>F92*G92*12/1000*H92*((1-K92)*O92+K92*L92*M92*N92)</x:f>
        <x:v>30.524108550326282</x:v>
      </x:c>
      <x:c r="Y92" t="n">
        <x:f>F92*G92*12/1000*H92*((1-K92)*O92+K92*L92*M92)</x:f>
        <x:v>16.90409978463697</x:v>
      </x:c>
      <x:c r="Z92" t="str">
        <x:f>IF(OR(F92&lt;0,E92&lt;0,E92&gt;1,R92&lt;0),"CHECK","OK")</x:f>
        <x:v>OK</x:v>
      </x:c>
    </x:row>
    <x:row r="93">
      <x:c r="A93" s="44" t="n">
        <x:f>2030</x:f>
        <x:v>2030</x:v>
      </x:c>
      <x:c r="B93" s="28" t="str">
        <x:f>'03 Sector Inputs'!A13</x:f>
        <x:v>42</x:v>
      </x:c>
      <x:c r="C93" s="28" t="str">
        <x:f>'03 Sector Inputs'!B13</x:f>
        <x:v>Wholesale Trade</x:v>
      </x:c>
      <x:c r="D93" t="n">
        <x:f>'03 Sector Inputs'!L13*('03 Sector Inputs'!D13/'03 Sector Inputs'!C13)^((A93-2026)/10)</x:f>
        <x:v>6.121779941324254</x:v>
      </x:c>
      <x:c r="E93" s="32" t="n">
        <x:f>MIN(0.98,1-(1-'03 Sector Inputs'!K13)*(1-'02 Assumptions'!$E$12)^(A93-2026))</x:f>
        <x:v>0.7121837578599999</x:v>
      </x:c>
      <x:c r="F93" t="n">
        <x:f>D93*E93</x:f>
        <x:v>4.359832243404277</x:v>
      </x:c>
      <x:c r="G93" s="38" t="n">
        <x:f>'03 Sector Inputs'!Q13</x:f>
        <x:v>118.90648391909023</x:v>
      </x:c>
      <x:c r="H93" t="n">
        <x:f>(1+'02 Assumptions'!$E$19)^((A93-2026)*'02 Assumptions'!$E$20)</x:f>
        <x:v>1.0402990086464643</x:v>
      </x:c>
      <x:c r="I93" t="n">
        <x:f>(1+'03 Sector Inputs'!U13)^((A93-2026)/10)</x:f>
        <x:v>1.022953654705737</x:v>
      </x:c>
      <x:c r="J93" t="n">
        <x:f>I93^'02 Assumptions'!$E$21</x:f>
        <x:v>1.0068314836402805</x:v>
      </x:c>
      <x:c r="K93" s="32" t="n">
        <x:f>'02 Assumptions'!$E$14</x:f>
        <x:v>0.6</x:v>
      </x:c>
      <x:c r="L93" t="n">
        <x:f>(1+'02 Assumptions'!$E$15)^(A93-2026)</x:f>
        <x:v>3.841599999999999</x:v>
      </x:c>
      <x:c r="M93" t="n">
        <x:f>(1-'02 Assumptions'!$E$16)^(A93-2026)</x:f>
        <x:v>0.3701505600000001</x:v>
      </x:c>
      <x:c r="N93" t="n">
        <x:f>IF(M93&gt;0,M93^(-'02 Assumptions'!$E$17),0)</x:f>
        <x:v>2.2146100752865503</x:v>
      </x:c>
      <x:c r="O93" t="n">
        <x:f>(1+'02 Assumptions'!$E$18)^(A93-2026)</x:f>
        <x:v>1.08243216</x:v>
      </x:c>
      <x:c r="P93" s="40" t="n">
        <x:f>F93*G93*12/1000*(1-K93)*H93*J93*O93</x:f>
        <x:v>2.8211891998594334</x:v>
      </x:c>
      <x:c r="Q93" s="40" t="n">
        <x:f>F93*G93*12/1000*K93*H93*J93*L93*M93*N93</x:f>
        <x:v>12.311489795990347</x:v>
      </x:c>
      <x:c r="R93" s="40" t="n">
        <x:f>SUM(P93:Q93)</x:f>
        <x:v>15.13267899584978</x:v>
      </x:c>
      <x:c r="S93" s="40" t="n">
        <x:f>IFERROR('03 Sector Inputs'!M13*(D93/'03 Sector Inputs'!L13)*(1+'02 Assumptions'!$E$19)^(A93-2026),0)</x:f>
        <x:v>2323.136268933244</x:v>
      </x:c>
      <x:c r="T93" s="36" t="n">
        <x:f>IFERROR(R93/S93,0)</x:f>
        <x:v>0.006513900711815981</x:v>
      </x:c>
      <x:c r="U93" s="42" t="n">
        <x:f>S93*(I93-1)</x:f>
        <x:v>53.32446775146776</x:v>
      </x:c>
      <x:c r="V93" t="str">
        <x:f>'03 Sector Inputs'!I13</x:f>
        <x:v>NATIONAL PROXY</x:v>
      </x:c>
      <x:c r="W93" t="n">
        <x:f>P93+F93*G93*12/1000*K93*H93*J93*L93*M93</x:f>
        <x:v>8.38040250489118</x:v>
      </x:c>
      <x:c r="X93" t="n">
        <x:f>F93*G93*12/1000*H93*((1-K93)*O93+K93*L93*M93*N93)</x:f>
        <x:v>15.03000178454527</x:v>
      </x:c>
      <x:c r="Y93" t="n">
        <x:f>F93*G93*12/1000*H93*((1-K93)*O93+K93*L93*M93)</x:f>
        <x:v>8.32354037499022</x:v>
      </x:c>
      <x:c r="Z93" t="str">
        <x:f>IF(OR(F93&lt;0,E93&lt;0,E93&gt;1,R93&lt;0),"CHECK","OK")</x:f>
        <x:v>OK</x:v>
      </x:c>
    </x:row>
    <x:row r="94">
      <x:c r="A94" s="44" t="n">
        <x:f>2030</x:f>
        <x:v>2030</x:v>
      </x:c>
      <x:c r="B94" s="28" t="str">
        <x:f>'03 Sector Inputs'!A14</x:f>
        <x:v>44-45</x:v>
      </x:c>
      <x:c r="C94" s="28" t="str">
        <x:f>'03 Sector Inputs'!B14</x:f>
        <x:v>Retail Trade</x:v>
      </x:c>
      <x:c r="D94" t="n">
        <x:f>'03 Sector Inputs'!L14*('03 Sector Inputs'!D14/'03 Sector Inputs'!C14)^((A94-2026)/10)</x:f>
        <x:v>15.427143872408784</x:v>
      </x:c>
      <x:c r="E94" s="32" t="n">
        <x:f>MIN(0.98,1-(1-'03 Sector Inputs'!K14)*(1-'02 Assumptions'!$E$12)^(A94-2026))</x:f>
        <x:v>0.6639095601099999</x:v>
      </x:c>
      <x:c r="F94" t="n">
        <x:f>D94*E94</x:f>
        <x:v>10.242228302084596</x:v>
      </x:c>
      <x:c r="G94" s="38" t="n">
        <x:f>'03 Sector Inputs'!Q14</x:f>
        <x:v>96.49221383995867</x:v>
      </x:c>
      <x:c r="H94" t="n">
        <x:f>(1+'02 Assumptions'!$E$19)^((A94-2026)*'02 Assumptions'!$E$20)</x:f>
        <x:v>1.0402990086464643</x:v>
      </x:c>
      <x:c r="I94" t="n">
        <x:f>(1+'03 Sector Inputs'!U14)^((A94-2026)/10)</x:f>
        <x:v>1.022953654705737</x:v>
      </x:c>
      <x:c r="J94" t="n">
        <x:f>I94^'02 Assumptions'!$E$21</x:f>
        <x:v>1.0068314836402805</x:v>
      </x:c>
      <x:c r="K94" s="32" t="n">
        <x:f>'02 Assumptions'!$E$14</x:f>
        <x:v>0.6</x:v>
      </x:c>
      <x:c r="L94" t="n">
        <x:f>(1+'02 Assumptions'!$E$15)^(A94-2026)</x:f>
        <x:v>3.841599999999999</x:v>
      </x:c>
      <x:c r="M94" t="n">
        <x:f>(1-'02 Assumptions'!$E$16)^(A94-2026)</x:f>
        <x:v>0.3701505600000001</x:v>
      </x:c>
      <x:c r="N94" t="n">
        <x:f>IF(M94&gt;0,M94^(-'02 Assumptions'!$E$17),0)</x:f>
        <x:v>2.2146100752865503</x:v>
      </x:c>
      <x:c r="O94" t="n">
        <x:f>(1+'02 Assumptions'!$E$18)^(A94-2026)</x:f>
        <x:v>1.08243216</x:v>
      </x:c>
      <x:c r="P94" s="40" t="n">
        <x:f>F94*G94*12/1000*(1-K94)*H94*J94*O94</x:f>
        <x:v>5.378282611962471</x:v>
      </x:c>
      <x:c r="Q94" s="40" t="n">
        <x:f>F94*G94*12/1000*K94*H94*J94*L94*M94*N94</x:f>
        <x:v>23.470482412320113</x:v>
      </x:c>
      <x:c r="R94" s="40" t="n">
        <x:f>SUM(P94:Q94)</x:f>
        <x:v>28.848765024282585</x:v>
      </x:c>
      <x:c r="S94" s="40" t="n">
        <x:f>IFERROR('03 Sector Inputs'!M14*(D94/'03 Sector Inputs'!L14)*(1+'02 Assumptions'!$E$19)^(A94-2026),0)</x:f>
        <x:v>2060.2321882902265</x:v>
      </x:c>
      <x:c r="T94" s="36" t="n">
        <x:f>IFERROR(R94/S94,0)</x:f>
        <x:v>0.014002676585799774</x:v>
      </x:c>
      <x:c r="U94" s="42" t="n">
        <x:f>S94*(I94-1)</x:f>
        <x:v>47.28985826365871</x:v>
      </x:c>
      <x:c r="V94" t="str">
        <x:f>'03 Sector Inputs'!I14</x:f>
        <x:v>DIRECT RAMP</x:v>
      </x:c>
      <x:c r="W94" t="n">
        <x:f>P94+F94*G94*12/1000*K94*H94*J94*L94*M94</x:f>
        <x:v>15.976302856805457</x:v>
      </x:c>
      <x:c r="X94" t="n">
        <x:f>F94*G94*12/1000*H94*((1-K94)*O94+K94*L94*M94*N94)</x:f>
        <x:v>28.653022370712467</x:v>
      </x:c>
      <x:c r="Y94" t="n">
        <x:f>F94*G94*12/1000*H94*((1-K94)*O94+K94*L94*M94)</x:f>
        <x:v>15.86790154698167</x:v>
      </x:c>
      <x:c r="Z94" t="str">
        <x:f>IF(OR(F94&lt;0,E94&lt;0,E94&gt;1,R94&lt;0),"CHECK","OK")</x:f>
        <x:v>OK</x:v>
      </x:c>
    </x:row>
    <x:row r="95">
      <x:c r="A95" s="44" t="n">
        <x:f>2030</x:f>
        <x:v>2030</x:v>
      </x:c>
      <x:c r="B95" s="28" t="str">
        <x:f>'03 Sector Inputs'!A15</x:f>
        <x:v>48-49</x:v>
      </x:c>
      <x:c r="C95" s="28" t="str">
        <x:f>'03 Sector Inputs'!B15</x:f>
        <x:v>Transportation and Warehousing</x:v>
      </x:c>
      <x:c r="D95" t="n">
        <x:f>'03 Sector Inputs'!L15*('03 Sector Inputs'!D15/'03 Sector Inputs'!C15)^((A95-2026)/10)</x:f>
        <x:v>6.40523567571873</x:v>
      </x:c>
      <x:c r="E95" s="32" t="n">
        <x:f>MIN(0.98,1-(1-'03 Sector Inputs'!K15)*(1-'02 Assumptions'!$E$12)^(A95-2026))</x:f>
        <x:v>0.7121837578599999</x:v>
      </x:c>
      <x:c r="F95" t="n">
        <x:f>D95*E95</x:f>
        <x:v>4.561704813512301</x:v>
      </x:c>
      <x:c r="G95" s="38" t="n">
        <x:f>'03 Sector Inputs'!Q15</x:f>
        <x:v>101.76066164601345</x:v>
      </x:c>
      <x:c r="H95" t="n">
        <x:f>(1+'02 Assumptions'!$E$19)^((A95-2026)*'02 Assumptions'!$E$20)</x:f>
        <x:v>1.0402990086464643</x:v>
      </x:c>
      <x:c r="I95" t="n">
        <x:f>(1+'03 Sector Inputs'!U15)^((A95-2026)/10)</x:f>
        <x:v>1.0174236692277692</x:v>
      </x:c>
      <x:c r="J95" t="n">
        <x:f>I95^'02 Assumptions'!$E$21</x:f>
        <x:v>1.0051955354960358</x:v>
      </x:c>
      <x:c r="K95" s="32" t="n">
        <x:f>'02 Assumptions'!$E$14</x:f>
        <x:v>0.6</x:v>
      </x:c>
      <x:c r="L95" t="n">
        <x:f>(1+'02 Assumptions'!$E$15)^(A95-2026)</x:f>
        <x:v>3.841599999999999</x:v>
      </x:c>
      <x:c r="M95" t="n">
        <x:f>(1-'02 Assumptions'!$E$16)^(A95-2026)</x:f>
        <x:v>0.3701505600000001</x:v>
      </x:c>
      <x:c r="N95" t="n">
        <x:f>IF(M95&gt;0,M95^(-'02 Assumptions'!$E$17),0)</x:f>
        <x:v>2.2146100752865503</x:v>
      </x:c>
      <x:c r="O95" t="n">
        <x:f>(1+'02 Assumptions'!$E$18)^(A95-2026)</x:f>
        <x:v>1.08243216</x:v>
      </x:c>
      <x:c r="P95" s="40" t="n">
        <x:f>F95*G95*12/1000*(1-K95)*H95*J95*O95</x:f>
        <x:v>2.522073627968717</x:v>
      </x:c>
      <x:c r="Q95" s="40" t="n">
        <x:f>F95*G95*12/1000*K95*H95*J95*L95*M95*N95</x:f>
        <x:v>11.006168511144272</x:v>
      </x:c>
      <x:c r="R95" s="40" t="n">
        <x:f>SUM(P95:Q95)</x:f>
        <x:v>13.52824213911299</x:v>
      </x:c>
      <x:c r="S95" s="40" t="n">
        <x:f>IFERROR('03 Sector Inputs'!M15*(D95/'03 Sector Inputs'!L15)*(1+'02 Assumptions'!$E$19)^(A95-2026),0)</x:f>
        <x:v>1115.8453543402982</x:v>
      </x:c>
      <x:c r="T95" s="36" t="n">
        <x:f>IFERROR(R95/S95,0)</x:f>
        <x:v>0.01212376077607193</x:v>
      </x:c>
      <x:c r="U95" s="42" t="n">
        <x:f>S95*(I95-1)</x:f>
        <x:v>19.442120363368236</x:v>
      </x:c>
      <x:c r="V95" t="str">
        <x:f>'03 Sector Inputs'!I15</x:f>
        <x:v>NATIONAL PROXY</x:v>
      </x:c>
      <x:c r="W95" t="n">
        <x:f>P95+F95*G95*12/1000*K95*H95*J95*L95*M95</x:f>
        <x:v>7.49187333852055</x:v>
      </x:c>
      <x:c r="X95" t="n">
        <x:f>F95*G95*12/1000*H95*((1-K95)*O95+K95*L95*M95*N95)</x:f>
        <x:v>13.458318965212257</x:v>
      </x:c>
      <x:c r="Y95" t="n">
        <x:f>F95*G95*12/1000*H95*((1-K95)*O95+K95*L95*M95)</x:f>
        <x:v>7.453150231933254</x:v>
      </x:c>
      <x:c r="Z95" t="str">
        <x:f>IF(OR(F95&lt;0,E95&lt;0,E95&gt;1,R95&lt;0),"CHECK","OK")</x:f>
        <x:v>OK</x:v>
      </x:c>
    </x:row>
    <x:row r="96">
      <x:c r="A96" s="44" t="n">
        <x:f>2030</x:f>
        <x:v>2030</x:v>
      </x:c>
      <x:c r="B96" s="28" t="str">
        <x:f>'03 Sector Inputs'!A16</x:f>
        <x:v>51</x:v>
      </x:c>
      <x:c r="C96" s="28" t="str">
        <x:f>'03 Sector Inputs'!B16</x:f>
        <x:v>Information</x:v>
      </x:c>
      <x:c r="D96" t="n">
        <x:f>'03 Sector Inputs'!L16*('03 Sector Inputs'!D16/'03 Sector Inputs'!C16)^((A96-2026)/10)</x:f>
        <x:v>2.9364295513429233</x:v>
      </x:c>
      <x:c r="E96" s="32" t="n">
        <x:f>MIN(0.98,1-(1-'03 Sector Inputs'!K16)*(1-'02 Assumptions'!$E$12)^(A96-2026))</x:f>
        <x:v>0.87483783691</x:v>
      </x:c>
      <x:c r="F96" t="n">
        <x:f>D96*E96</x:f>
        <x:v>2.568899676935445</x:v>
      </x:c>
      <x:c r="G96" s="38" t="n">
        <x:f>'03 Sector Inputs'!Q16</x:f>
        <x:v>135.72518396753694</x:v>
      </x:c>
      <x:c r="H96" t="n">
        <x:f>(1+'02 Assumptions'!$E$19)^((A96-2026)*'02 Assumptions'!$E$20)</x:f>
        <x:v>1.0402990086464643</x:v>
      </x:c>
      <x:c r="I96" t="n">
        <x:f>(1+'03 Sector Inputs'!U16)^((A96-2026)/10)</x:f>
        <x:v>1.0332630420653048</x:v>
      </x:c>
      <x:c r="J96" t="n">
        <x:f>I96^'02 Assumptions'!$E$21</x:f>
        <x:v>1.0098648792780807</x:v>
      </x:c>
      <x:c r="K96" s="32" t="n">
        <x:f>'02 Assumptions'!$E$14</x:f>
        <x:v>0.6</x:v>
      </x:c>
      <x:c r="L96" t="n">
        <x:f>(1+'02 Assumptions'!$E$15)^(A96-2026)</x:f>
        <x:v>3.841599999999999</x:v>
      </x:c>
      <x:c r="M96" t="n">
        <x:f>(1-'02 Assumptions'!$E$16)^(A96-2026)</x:f>
        <x:v>0.3701505600000001</x:v>
      </x:c>
      <x:c r="N96" t="n">
        <x:f>IF(M96&gt;0,M96^(-'02 Assumptions'!$E$17),0)</x:f>
        <x:v>2.2146100752865503</x:v>
      </x:c>
      <x:c r="O96" t="n">
        <x:f>(1+'02 Assumptions'!$E$18)^(A96-2026)</x:f>
        <x:v>1.08243216</x:v>
      </x:c>
      <x:c r="P96" s="40" t="n">
        <x:f>F96*G96*12/1000*(1-K96)*H96*J96*O96</x:f>
        <x:v>1.9031409797464278</x:v>
      </x:c>
      <x:c r="Q96" s="40" t="n">
        <x:f>F96*G96*12/1000*K96*H96*J96*L96*M96*N96</x:f>
        <x:v>8.305185895950064</x:v>
      </x:c>
      <x:c r="R96" s="40" t="n">
        <x:f>SUM(P96:Q96)</x:f>
        <x:v>10.208326875696493</x:v>
      </x:c>
      <x:c r="S96" s="40" t="n">
        <x:f>IFERROR('03 Sector Inputs'!M16*(D96/'03 Sector Inputs'!L16)*(1+'02 Assumptions'!$E$19)^(A96-2026),0)</x:f>
        <x:v>2159.191024649853</x:v>
      </x:c>
      <x:c r="T96" s="36" t="n">
        <x:f>IFERROR(R96/S96,0)</x:f>
        <x:v>0.004727847957478396</x:v>
      </x:c>
      <x:c r="U96" s="42" t="n">
        <x:f>S96*(I96-1)</x:f>
        <x:v>71.82126187995671</x:v>
      </x:c>
      <x:c r="V96" t="str">
        <x:f>'03 Sector Inputs'!I16</x:f>
        <x:v>DIRECT RAMP</x:v>
      </x:c>
      <x:c r="W96" t="n">
        <x:f>P96+F96*G96*12/1000*K96*H96*J96*L96*M96</x:f>
        <x:v>5.653320746663387</x:v>
      </x:c>
      <x:c r="X96" t="n">
        <x:f>F96*G96*12/1000*H96*((1-K96)*O96+K96*L96*M96*N96)</x:f>
        <x:v>10.10860669101998</x:v>
      </x:c>
      <x:c r="Y96" t="n">
        <x:f>F96*G96*12/1000*H96*((1-K96)*O96+K96*L96*M96)</x:f>
        <x:v>5.598096203429473</x:v>
      </x:c>
      <x:c r="Z96" t="str">
        <x:f>IF(OR(F96&lt;0,E96&lt;0,E96&gt;1,R96&lt;0),"CHECK","OK")</x:f>
        <x:v>OK</x:v>
      </x:c>
    </x:row>
    <x:row r="97">
      <x:c r="A97" s="44" t="n">
        <x:f>2030</x:f>
        <x:v>2030</x:v>
      </x:c>
      <x:c r="B97" s="28" t="str">
        <x:f>'03 Sector Inputs'!A17</x:f>
        <x:v>52</x:v>
      </x:c>
      <x:c r="C97" s="28" t="str">
        <x:f>'03 Sector Inputs'!B17</x:f>
        <x:v>Finance and Insurance</x:v>
      </x:c>
      <x:c r="D97" t="n">
        <x:f>'03 Sector Inputs'!L17*('03 Sector Inputs'!D17/'03 Sector Inputs'!C17)^((A97-2026)/10)</x:f>
        <x:v>6.475212716830237</x:v>
      </x:c>
      <x:c r="E97" s="32" t="n">
        <x:f>MIN(0.98,1-(1-'03 Sector Inputs'!K17)*(1-'02 Assumptions'!$E$12)^(A97-2026))</x:f>
        <x:v>0.8274789642699999</x:v>
      </x:c>
      <x:c r="F97" t="n">
        <x:f>D97*E97</x:f>
        <x:v>5.358102312350616</x:v>
      </x:c>
      <x:c r="G97" s="38" t="n">
        <x:f>'03 Sector Inputs'!Q17</x:f>
        <x:v>124.6049898658694</x:v>
      </x:c>
      <x:c r="H97" t="n">
        <x:f>(1+'02 Assumptions'!$E$19)^((A97-2026)*'02 Assumptions'!$E$20)</x:f>
        <x:v>1.0402990086464643</x:v>
      </x:c>
      <x:c r="I97" t="n">
        <x:f>(1+'03 Sector Inputs'!U17)^((A97-2026)/10)</x:f>
        <x:v>1.0359715651383743</x:v>
      </x:c>
      <x:c r="J97" t="n">
        <x:f>I97^'02 Assumptions'!$E$21</x:f>
        <x:v>1.0106583083796343</x:v>
      </x:c>
      <x:c r="K97" s="32" t="n">
        <x:f>'02 Assumptions'!$E$14</x:f>
        <x:v>0.6</x:v>
      </x:c>
      <x:c r="L97" t="n">
        <x:f>(1+'02 Assumptions'!$E$15)^(A97-2026)</x:f>
        <x:v>3.841599999999999</x:v>
      </x:c>
      <x:c r="M97" t="n">
        <x:f>(1-'02 Assumptions'!$E$16)^(A97-2026)</x:f>
        <x:v>0.3701505600000001</x:v>
      </x:c>
      <x:c r="N97" t="n">
        <x:f>IF(M97&gt;0,M97^(-'02 Assumptions'!$E$17),0)</x:f>
        <x:v>2.2146100752865503</x:v>
      </x:c>
      <x:c r="O97" t="n">
        <x:f>(1+'02 Assumptions'!$E$18)^(A97-2026)</x:f>
        <x:v>1.08243216</x:v>
      </x:c>
      <x:c r="P97" s="40" t="n">
        <x:f>F97*G97*12/1000*(1-K97)*H97*J97*O97</x:f>
        <x:v>3.647127079225756</x:v>
      </x:c>
      <x:c r="Q97" s="40" t="n">
        <x:f>F97*G97*12/1000*K97*H97*J97*L97*M97*N97</x:f>
        <x:v>15.915830041744522</x:v>
      </x:c>
      <x:c r="R97" s="40" t="n">
        <x:f>SUM(P97:Q97)</x:f>
        <x:v>19.562957120970278</x:v>
      </x:c>
      <x:c r="S97" s="40" t="n">
        <x:f>IFERROR('03 Sector Inputs'!M17*(D97/'03 Sector Inputs'!L17)*(1+'02 Assumptions'!$E$19)^(A97-2026),0)</x:f>
        <x:v>3105.2780700802487</x:v>
      </x:c>
      <x:c r="T97" s="36" t="n">
        <x:f>IFERROR(R97/S97,0)</x:f>
        <x:v>0.006299905090452888</x:v>
      </x:c>
      <x:c r="U97" s="42" t="n">
        <x:f>S97*(I97-1)</x:f>
        <x:v>111.70171237065688</x:v>
      </x:c>
      <x:c r="V97" t="str">
        <x:f>'03 Sector Inputs'!I17</x:f>
        <x:v>DIRECT RAMP</x:v>
      </x:c>
      <x:c r="W97" t="n">
        <x:f>P97+F97*G97*12/1000*K97*H97*J97*L97*M97</x:f>
        <x:v>10.833868537396517</x:v>
      </x:c>
      <x:c r="X97" t="n">
        <x:f>F97*G97*12/1000*H97*((1-K97)*O97+K97*L97*M97*N97)</x:f>
        <x:v>19.356647997417767</x:v>
      </x:c>
      <x:c r="Y97" t="n">
        <x:f>F97*G97*12/1000*H97*((1-K97)*O97+K97*L97*M97)</x:f>
        <x:v>10.719615568951502</x:v>
      </x:c>
      <x:c r="Z97" t="str">
        <x:f>IF(OR(F97&lt;0,E97&lt;0,E97&gt;1,R97&lt;0),"CHECK","OK")</x:f>
        <x:v>OK</x:v>
      </x:c>
    </x:row>
    <x:row r="98">
      <x:c r="A98" s="44" t="n">
        <x:f>2030</x:f>
        <x:v>2030</x:v>
      </x:c>
      <x:c r="B98" s="28" t="str">
        <x:f>'03 Sector Inputs'!A18</x:f>
        <x:v>53</x:v>
      </x:c>
      <x:c r="C98" s="28" t="str">
        <x:f>'03 Sector Inputs'!B18</x:f>
        <x:v>Real Estate and Rental and Leasing</x:v>
      </x:c>
      <x:c r="D98" t="n">
        <x:f>'03 Sector Inputs'!L18*('03 Sector Inputs'!D18/'03 Sector Inputs'!C18)^((A98-2026)/10)</x:f>
        <x:v>2.4978552780335366</x:v>
      </x:c>
      <x:c r="E98" s="32" t="n">
        <x:f>MIN(0.98,1-(1-'03 Sector Inputs'!K18)*(1-'02 Assumptions'!$E$12)^(A98-2026))</x:f>
        <x:v>0.7121837578599999</x:v>
      </x:c>
      <x:c r="F98" t="n">
        <x:f>D98*E98</x:f>
        <x:v>1.778931958500359</x:v>
      </x:c>
      <x:c r="G98" s="38" t="n">
        <x:f>'03 Sector Inputs'!Q18</x:f>
        <x:v>134.08799266238282</x:v>
      </x:c>
      <x:c r="H98" t="n">
        <x:f>(1+'02 Assumptions'!$E$19)^((A98-2026)*'02 Assumptions'!$E$20)</x:f>
        <x:v>1.0402990086464643</x:v>
      </x:c>
      <x:c r="I98" t="n">
        <x:f>(1+'03 Sector Inputs'!U18)^((A98-2026)/10)</x:f>
        <x:v>1.0250316537674227</x:v>
      </x:c>
      <x:c r="J98" t="n">
        <x:f>I98^'02 Assumptions'!$E$21</x:f>
        <x:v>1.007444622584471</x:v>
      </x:c>
      <x:c r="K98" s="32" t="n">
        <x:f>'02 Assumptions'!$E$14</x:f>
        <x:v>0.6</x:v>
      </x:c>
      <x:c r="L98" t="n">
        <x:f>(1+'02 Assumptions'!$E$15)^(A98-2026)</x:f>
        <x:v>3.841599999999999</x:v>
      </x:c>
      <x:c r="M98" t="n">
        <x:f>(1-'02 Assumptions'!$E$16)^(A98-2026)</x:f>
        <x:v>0.3701505600000001</x:v>
      </x:c>
      <x:c r="N98" t="n">
        <x:f>IF(M98&gt;0,M98^(-'02 Assumptions'!$E$17),0)</x:f>
        <x:v>2.2146100752865503</x:v>
      </x:c>
      <x:c r="O98" t="n">
        <x:f>(1+'02 Assumptions'!$E$18)^(A98-2026)</x:f>
        <x:v>1.08243216</x:v>
      </x:c>
      <x:c r="P98" s="40" t="n">
        <x:f>F98*G98*12/1000*(1-K98)*H98*J98*O98</x:f>
        <x:v>1.298884453542561</x:v>
      </x:c>
      <x:c r="Q98" s="40" t="n">
        <x:f>F98*G98*12/1000*K98*H98*J98*L98*M98*N98</x:f>
        <x:v>5.668248941530224</x:v>
      </x:c>
      <x:c r="R98" s="40" t="n">
        <x:f>SUM(P98:Q98)</x:f>
        <x:v>6.967133395072785</x:v>
      </x:c>
      <x:c r="S98" s="40" t="n">
        <x:f>IFERROR('03 Sector Inputs'!M18*(D98/'03 Sector Inputs'!L18)*(1+'02 Assumptions'!$E$19)^(A98-2026),0)</x:f>
        <x:v>1728.566150561559</x:v>
      </x:c>
      <x:c r="T98" s="36" t="n">
        <x:f>IFERROR(R98/S98,0)</x:f>
        <x:v>0.004030585345437532</x:v>
      </x:c>
      <x:c r="U98" s="42" t="n">
        <x:f>S98*(I98-1)</x:f>
        <x:v>43.26886939494354</x:v>
      </x:c>
      <x:c r="V98" t="str">
        <x:f>'03 Sector Inputs'!I18</x:f>
        <x:v>NATIONAL PROXY</x:v>
      </x:c>
      <x:c r="W98" t="n">
        <x:f>P98+F98*G98*12/1000*K98*H98*J98*L98*M98</x:f>
        <x:v>3.8583638873190935</x:v>
      </x:c>
      <x:c r="X98" t="n">
        <x:f>F98*G98*12/1000*H98*((1-K98)*O98+K98*L98*M98*N98)</x:f>
        <x:v>6.915648998353368</x:v>
      </x:c>
      <x:c r="Y98" t="n">
        <x:f>F98*G98*12/1000*H98*((1-K98)*O98+K98*L98*M98)</x:f>
        <x:v>3.8298520839993677</x:v>
      </x:c>
      <x:c r="Z98" t="str">
        <x:f>IF(OR(F98&lt;0,E98&lt;0,E98&gt;1,R98&lt;0),"CHECK","OK")</x:f>
        <x:v>OK</x:v>
      </x:c>
    </x:row>
    <x:row r="99">
      <x:c r="A99" s="44" t="n">
        <x:f>2030</x:f>
        <x:v>2030</x:v>
      </x:c>
      <x:c r="B99" s="28" t="str">
        <x:f>'03 Sector Inputs'!A19</x:f>
        <x:v>54</x:v>
      </x:c>
      <x:c r="C99" s="28" t="str">
        <x:f>'03 Sector Inputs'!B19</x:f>
        <x:v>Professional, Scientific and Technical Services</x:v>
      </x:c>
      <x:c r="D99" t="n">
        <x:f>'03 Sector Inputs'!L19*('03 Sector Inputs'!D19/'03 Sector Inputs'!C19)^((A99-2026)/10)</x:f>
        <x:v>11.232997697854302</x:v>
      </x:c>
      <x:c r="E99" s="32" t="n">
        <x:f>MIN(0.98,1-(1-'03 Sector Inputs'!K19)*(1-'02 Assumptions'!$E$12)^(A99-2026))</x:f>
        <x:v>0.8406501827610571</x:v>
      </x:c>
      <x:c r="F99" t="n">
        <x:f>D99*E99</x:f>
        <x:v>9.443021567655752</x:v>
      </x:c>
      <x:c r="G99" s="38" t="n">
        <x:f>'03 Sector Inputs'!Q19</x:f>
        <x:v>110.53049517658319</x:v>
      </x:c>
      <x:c r="H99" t="n">
        <x:f>(1+'02 Assumptions'!$E$19)^((A99-2026)*'02 Assumptions'!$E$20)</x:f>
        <x:v>1.0402990086464643</x:v>
      </x:c>
      <x:c r="I99" t="n">
        <x:f>(1+'03 Sector Inputs'!U19)^((A99-2026)/10)</x:f>
        <x:v>1.0345634109718755</x:v>
      </x:c>
      <x:c r="J99" t="n">
        <x:f>I99^'02 Assumptions'!$E$21</x:f>
        <x:v>1.0102459880995225</x:v>
      </x:c>
      <x:c r="K99" s="32" t="n">
        <x:f>'02 Assumptions'!$E$14</x:f>
        <x:v>0.6</x:v>
      </x:c>
      <x:c r="L99" t="n">
        <x:f>(1+'02 Assumptions'!$E$15)^(A99-2026)</x:f>
        <x:v>3.841599999999999</x:v>
      </x:c>
      <x:c r="M99" t="n">
        <x:f>(1-'02 Assumptions'!$E$16)^(A99-2026)</x:f>
        <x:v>0.3701505600000001</x:v>
      </x:c>
      <x:c r="N99" t="n">
        <x:f>IF(M99&gt;0,M99^(-'02 Assumptions'!$E$17),0)</x:f>
        <x:v>2.2146100752865503</x:v>
      </x:c>
      <x:c r="O99" t="n">
        <x:f>(1+'02 Assumptions'!$E$18)^(A99-2026)</x:f>
        <x:v>1.08243216</x:v>
      </x:c>
      <x:c r="P99" s="40" t="n">
        <x:f>F99*G99*12/1000*(1-K99)*H99*J99*O99</x:f>
        <x:v>5.699284551194343</x:v>
      </x:c>
      <x:c r="Q99" s="40" t="n">
        <x:f>F99*G99*12/1000*K99*H99*J99*L99*M99*N99</x:f>
        <x:v>24.87131440882116</x:v>
      </x:c>
      <x:c r="R99" s="40" t="n">
        <x:f>SUM(P99:Q99)</x:f>
        <x:v>30.570598960015502</x:v>
      </x:c>
      <x:c r="S99" s="40" t="n">
        <x:f>IFERROR('03 Sector Inputs'!M19*(D99/'03 Sector Inputs'!L19)*(1+'02 Assumptions'!$E$19)^(A99-2026),0)</x:f>
        <x:v>2958.5269756912166</x:v>
      </x:c>
      <x:c r="T99" s="36" t="n">
        <x:f>IFERROR(R99/S99,0)</x:f>
        <x:v>0.010333047226271489</x:v>
      </x:c>
      <x:c r="U99" s="42" t="n">
        <x:f>S99*(I99-1)</x:f>
        <x:v>102.25678373219556</x:v>
      </x:c>
      <x:c r="V99" t="str">
        <x:f>'03 Sector Inputs'!I19</x:f>
        <x:v>CENSUS PROXY</x:v>
      </x:c>
      <x:c r="W99" t="n">
        <x:f>P99+F99*G99*12/1000*K99*H99*J99*L99*M99</x:f>
        <x:v>16.92984594273097</x:v>
      </x:c>
      <x:c r="X99" t="n">
        <x:f>F99*G99*12/1000*H99*((1-K99)*O99+K99*L99*M99*N99)</x:f>
        <x:v>30.260549727621285</x:v>
      </x:c>
      <x:c r="Y99" t="n">
        <x:f>F99*G99*12/1000*H99*((1-K99)*O99+K99*L99*M99)</x:f>
        <x:v>16.758142217005428</x:v>
      </x:c>
      <x:c r="Z99" t="str">
        <x:f>IF(OR(F99&lt;0,E99&lt;0,E99&gt;1,R99&lt;0),"CHECK","OK")</x:f>
        <x:v>OK</x:v>
      </x:c>
    </x:row>
    <x:row r="100">
      <x:c r="A100" s="44" t="n">
        <x:f>2030</x:f>
        <x:v>2030</x:v>
      </x:c>
      <x:c r="B100" s="28" t="str">
        <x:f>'03 Sector Inputs'!A20</x:f>
        <x:v>55</x:v>
      </x:c>
      <x:c r="C100" s="28" t="str">
        <x:f>'03 Sector Inputs'!B20</x:f>
        <x:v>Management of Companies and Enterprises</x:v>
      </x:c>
      <x:c r="D100" t="n">
        <x:f>'03 Sector Inputs'!L20*('03 Sector Inputs'!D20/'03 Sector Inputs'!C20)^((A100-2026)/10)</x:f>
        <x:v>2.6765183503947805</x:v>
      </x:c>
      <x:c r="E100" s="32" t="n">
        <x:f>MIN(0.98,1-(1-'03 Sector Inputs'!K20)*(1-'02 Assumptions'!$E$12)^(A100-2026))</x:f>
        <x:v>0.7121837578599999</x:v>
      </x:c>
      <x:c r="F100" t="n">
        <x:f>D100*E100</x:f>
        <x:v>1.9061728967654026</x:v>
      </x:c>
      <x:c r="G100" s="38" t="n">
        <x:f>'03 Sector Inputs'!Q20</x:f>
        <x:v>108.91030551487428</x:v>
      </x:c>
      <x:c r="H100" t="n">
        <x:f>(1+'02 Assumptions'!$E$19)^((A100-2026)*'02 Assumptions'!$E$20)</x:f>
        <x:v>1.0402990086464643</x:v>
      </x:c>
      <x:c r="I100" t="n">
        <x:f>(1+'03 Sector Inputs'!U20)^((A100-2026)/10)</x:f>
        <x:v>1.0345634109718755</x:v>
      </x:c>
      <x:c r="J100" t="n">
        <x:f>I100^'02 Assumptions'!$E$21</x:f>
        <x:v>1.0102459880995225</x:v>
      </x:c>
      <x:c r="K100" s="32" t="n">
        <x:f>'02 Assumptions'!$E$14</x:f>
        <x:v>0.6</x:v>
      </x:c>
      <x:c r="L100" t="n">
        <x:f>(1+'02 Assumptions'!$E$15)^(A100-2026)</x:f>
        <x:v>3.841599999999999</x:v>
      </x:c>
      <x:c r="M100" t="n">
        <x:f>(1-'02 Assumptions'!$E$16)^(A100-2026)</x:f>
        <x:v>0.3701505600000001</x:v>
      </x:c>
      <x:c r="N100" t="n">
        <x:f>IF(M100&gt;0,M100^(-'02 Assumptions'!$E$17),0)</x:f>
        <x:v>2.2146100752865503</x:v>
      </x:c>
      <x:c r="O100" t="n">
        <x:f>(1+'02 Assumptions'!$E$18)^(A100-2026)</x:f>
        <x:v>1.08243216</x:v>
      </x:c>
      <x:c r="P100" s="40" t="n">
        <x:f>F100*G100*12/1000*(1-K100)*H100*J100*O100</x:f>
        <x:v>1.1335965355936108</x:v>
      </x:c>
      <x:c r="Q100" s="40" t="n">
        <x:f>F100*G100*12/1000*K100*H100*J100*L100*M100*N100</x:f>
        <x:v>4.946943005958665</x:v>
      </x:c>
      <x:c r="R100" s="40" t="n">
        <x:f>SUM(P100:Q100)</x:f>
        <x:v>6.080539541552276</x:v>
      </x:c>
      <x:c r="S100" s="40" t="n">
        <x:f>IFERROR('03 Sector Inputs'!M20*(D100/'03 Sector Inputs'!L20)*(1+'02 Assumptions'!$E$19)^(A100-2026),0)</x:f>
        <x:v>654.7633954884243</x:v>
      </x:c>
      <x:c r="T100" s="36" t="n">
        <x:f>IFERROR(R100/S100,0)</x:f>
        <x:v>0.009286621065639237</x:v>
      </x:c>
      <x:c r="U100" s="42" t="n">
        <x:f>S100*(I100-1)</x:f>
        <x:v>22.630856327607088</x:v>
      </x:c>
      <x:c r="V100" t="str">
        <x:f>'03 Sector Inputs'!I20</x:f>
        <x:v>NATIONAL PROXY</x:v>
      </x:c>
      <x:c r="W100" t="n">
        <x:f>P100+F100*G100*12/1000*K100*H100*J100*L100*M100</x:f>
        <x:v>3.3673726125486363</x:v>
      </x:c>
      <x:c r="X100" t="n">
        <x:f>F100*G100*12/1000*H100*((1-K100)*O100+K100*L100*M100*N100)</x:f>
        <x:v>6.0188702684095805</x:v>
      </x:c>
      <x:c r="Y100" t="n">
        <x:f>F100*G100*12/1000*H100*((1-K100)*O100+K100*L100*M100)</x:f>
        <x:v>3.333220475226382</x:v>
      </x:c>
      <x:c r="Z100" t="str">
        <x:f>IF(OR(F100&lt;0,E100&lt;0,E100&gt;1,R100&lt;0),"CHECK","OK")</x:f>
        <x:v>OK</x:v>
      </x:c>
    </x:row>
    <x:row r="101">
      <x:c r="A101" s="44" t="n">
        <x:f>2030</x:f>
        <x:v>2030</x:v>
      </x:c>
      <x:c r="B101" s="28" t="str">
        <x:f>'03 Sector Inputs'!A21</x:f>
        <x:v>56</x:v>
      </x:c>
      <x:c r="C101" s="28" t="str">
        <x:f>'03 Sector Inputs'!B21</x:f>
        <x:v>Administrative, Support and Waste Services</x:v>
      </x:c>
      <x:c r="D101" t="n">
        <x:f>'03 Sector Inputs'!L21*('03 Sector Inputs'!D21/'03 Sector Inputs'!C21)^((A101-2026)/10)</x:f>
        <x:v>9.053210748126878</x:v>
      </x:c>
      <x:c r="E101" s="32" t="n">
        <x:f>MIN(0.98,1-(1-'03 Sector Inputs'!K21)*(1-'02 Assumptions'!$E$12)^(A101-2026))</x:f>
        <x:v>0.7121837578599999</x:v>
      </x:c>
      <x:c r="F101" t="n">
        <x:f>D101*E101</x:f>
        <x:v>6.447549651299541</x:v>
      </x:c>
      <x:c r="G101" s="38" t="n">
        <x:f>'03 Sector Inputs'!Q21</x:f>
        <x:v>93.90408661465632</x:v>
      </x:c>
      <x:c r="H101" t="n">
        <x:f>(1+'02 Assumptions'!$E$19)^((A101-2026)*'02 Assumptions'!$E$20)</x:f>
        <x:v>1.0402990086464643</x:v>
      </x:c>
      <x:c r="I101" t="n">
        <x:f>(1+'03 Sector Inputs'!U21)^((A101-2026)/10)</x:f>
        <x:v>1.0194757164967292</x:v>
      </x:c>
      <x:c r="J101" t="n">
        <x:f>I101^'02 Assumptions'!$E$21</x:f>
        <x:v>1.0058033219207274</x:v>
      </x:c>
      <x:c r="K101" s="32" t="n">
        <x:f>'02 Assumptions'!$E$14</x:f>
        <x:v>0.6</x:v>
      </x:c>
      <x:c r="L101" t="n">
        <x:f>(1+'02 Assumptions'!$E$15)^(A101-2026)</x:f>
        <x:v>3.841599999999999</x:v>
      </x:c>
      <x:c r="M101" t="n">
        <x:f>(1-'02 Assumptions'!$E$16)^(A101-2026)</x:f>
        <x:v>0.3701505600000001</x:v>
      </x:c>
      <x:c r="N101" t="n">
        <x:f>IF(M101&gt;0,M101^(-'02 Assumptions'!$E$17),0)</x:f>
        <x:v>2.2146100752865503</x:v>
      </x:c>
      <x:c r="O101" t="n">
        <x:f>(1+'02 Assumptions'!$E$18)^(A101-2026)</x:f>
        <x:v>1.08243216</x:v>
      </x:c>
      <x:c r="P101" s="40" t="n">
        <x:f>F101*G101*12/1000*(1-K101)*H101*J101*O101</x:f>
        <x:v>3.291488656341071</x:v>
      </x:c>
      <x:c r="Q101" s="40" t="n">
        <x:f>F101*G101*12/1000*K101*H101*J101*L101*M101*N101</x:f>
        <x:v>14.36384663892097</x:v>
      </x:c>
      <x:c r="R101" s="40" t="n">
        <x:f>SUM(P101:Q101)</x:f>
        <x:v>17.65533529526204</x:v>
      </x:c>
      <x:c r="S101" s="40" t="n">
        <x:f>IFERROR('03 Sector Inputs'!M21*(D101/'03 Sector Inputs'!L21)*(1+'02 Assumptions'!$E$19)^(A101-2026),0)</x:f>
        <x:v>1055.3448117248572</x:v>
      </x:c>
      <x:c r="T101" s="36" t="n">
        <x:f>IFERROR(R101/S101,0)</x:f>
        <x:v>0.01672944719025636</x:v>
      </x:c>
      <x:c r="U101" s="42" t="n">
        <x:f>S101*(I101-1)</x:f>
        <x:v>20.55359635944736</x:v>
      </x:c>
      <x:c r="V101" t="str">
        <x:f>'03 Sector Inputs'!I21</x:f>
        <x:v>NATIONAL PROXY</x:v>
      </x:c>
      <x:c r="W101" t="n">
        <x:f>P101+F101*G101*12/1000*K101*H101*J101*L101*M101</x:f>
        <x:v>9.77743704030768</x:v>
      </x:c>
      <x:c r="X101" t="n">
        <x:f>F101*G101*12/1000*H101*((1-K101)*O101+K101*L101*M101*N101)</x:f>
        <x:v>17.55346687615489</x:v>
      </x:c>
      <x:c r="Y101" t="n">
        <x:f>F101*G101*12/1000*H101*((1-K101)*O101+K101*L101*M101)</x:f>
        <x:v>9.721022815510537</x:v>
      </x:c>
      <x:c r="Z101" t="str">
        <x:f>IF(OR(F101&lt;0,E101&lt;0,E101&gt;1,R101&lt;0),"CHECK","OK")</x:f>
        <x:v>OK</x:v>
      </x:c>
    </x:row>
    <x:row r="102">
      <x:c r="A102" s="44" t="n">
        <x:f>2030</x:f>
        <x:v>2030</x:v>
      </x:c>
      <x:c r="B102" s="28" t="str">
        <x:f>'03 Sector Inputs'!A22</x:f>
        <x:v>61</x:v>
      </x:c>
      <x:c r="C102" s="28" t="str">
        <x:f>'03 Sector Inputs'!B22</x:f>
        <x:v>Educational Services (Private)</x:v>
      </x:c>
      <x:c r="D102" t="n">
        <x:f>'03 Sector Inputs'!L22*('03 Sector Inputs'!D22/'03 Sector Inputs'!C22)^((A102-2026)/10)</x:f>
        <x:v>4.099532158673719</x:v>
      </x:c>
      <x:c r="E102" s="32" t="n">
        <x:f>MIN(0.98,1-(1-'03 Sector Inputs'!K22)*(1-'02 Assumptions'!$E$12)^(A102-2026))</x:f>
        <x:v>0.7121837578599999</x:v>
      </x:c>
      <x:c r="F102" t="n">
        <x:f>D102*E102</x:f>
        <x:v>2.919620218232166</x:v>
      </x:c>
      <x:c r="G102" s="38" t="n">
        <x:f>'03 Sector Inputs'!Q22</x:f>
        <x:v>90.94311072364238</x:v>
      </x:c>
      <x:c r="H102" t="n">
        <x:f>(1+'02 Assumptions'!$E$19)^((A102-2026)*'02 Assumptions'!$E$20)</x:f>
        <x:v>1.0402990086464643</x:v>
      </x:c>
      <x:c r="I102" t="n">
        <x:f>(1+'03 Sector Inputs'!U22)^((A102-2026)/10)</x:f>
        <x:v>1.0247938902746287</x:v>
      </x:c>
      <x:c r="J102" t="n">
        <x:f>I102^'02 Assumptions'!$E$21</x:f>
        <x:v>1.007374511676049</x:v>
      </x:c>
      <x:c r="K102" s="32" t="n">
        <x:f>'02 Assumptions'!$E$14</x:f>
        <x:v>0.6</x:v>
      </x:c>
      <x:c r="L102" t="n">
        <x:f>(1+'02 Assumptions'!$E$15)^(A102-2026)</x:f>
        <x:v>3.841599999999999</x:v>
      </x:c>
      <x:c r="M102" t="n">
        <x:f>(1-'02 Assumptions'!$E$16)^(A102-2026)</x:f>
        <x:v>0.3701505600000001</x:v>
      </x:c>
      <x:c r="N102" t="n">
        <x:f>IF(M102&gt;0,M102^(-'02 Assumptions'!$E$17),0)</x:f>
        <x:v>2.2146100752865503</x:v>
      </x:c>
      <x:c r="O102" t="n">
        <x:f>(1+'02 Assumptions'!$E$18)^(A102-2026)</x:f>
        <x:v>1.08243216</x:v>
      </x:c>
      <x:c r="P102" s="40" t="n">
        <x:f>F102*G102*12/1000*(1-K102)*H102*J102*O102</x:f>
        <x:v>1.4457301396260427</x:v>
      </x:c>
      <x:c r="Q102" s="40" t="n">
        <x:f>F102*G102*12/1000*K102*H102*J102*L102*M102*N102</x:f>
        <x:v>6.309074153072954</x:v>
      </x:c>
      <x:c r="R102" s="40" t="n">
        <x:f>SUM(P102:Q102)</x:f>
        <x:v>7.754804292698997</x:v>
      </x:c>
      <x:c r="S102" s="40" t="n">
        <x:f>IFERROR('03 Sector Inputs'!M22*(D102/'03 Sector Inputs'!L22)*(1+'02 Assumptions'!$E$19)^(A102-2026),0)</x:f>
        <x:v>407.1482843069504</x:v>
      </x:c>
      <x:c r="T102" s="36" t="n">
        <x:f>IFERROR(R102/S102,0)</x:f>
        <x:v>0.019046633847172555</x:v>
      </x:c>
      <x:c r="U102" s="42" t="n">
        <x:f>S102*(I102-1)</x:f>
        <x:v>10.09478988660988</x:v>
      </x:c>
      <x:c r="V102" t="str">
        <x:f>'03 Sector Inputs'!I22</x:f>
        <x:v>NATIONAL PROXY</x:v>
      </x:c>
      <x:c r="W102" t="n">
        <x:f>P102+F102*G102*12/1000*K102*H102*J102*L102*M102</x:f>
        <x:v>4.294572120197551</x:v>
      </x:c>
      <x:c r="X102" t="n">
        <x:f>F102*G102*12/1000*H102*((1-K102)*O102+K102*L102*M102*N102)</x:f>
        <x:v>7.69803504338889</x:v>
      </x:c>
      <x:c r="Y102" t="n">
        <x:f>F102*G102*12/1000*H102*((1-K102)*O102+K102*L102*M102)</x:f>
        <x:v>4.263133591748644</x:v>
      </x:c>
      <x:c r="Z102" t="str">
        <x:f>IF(OR(F102&lt;0,E102&lt;0,E102&gt;1,R102&lt;0),"CHECK","OK")</x:f>
        <x:v>OK</x:v>
      </x:c>
    </x:row>
    <x:row r="103">
      <x:c r="A103" s="44" t="n">
        <x:f>2030</x:f>
        <x:v>2030</x:v>
      </x:c>
      <x:c r="B103" s="28" t="str">
        <x:f>'03 Sector Inputs'!A23</x:f>
        <x:v>62</x:v>
      </x:c>
      <x:c r="C103" s="28" t="str">
        <x:f>'03 Sector Inputs'!B23</x:f>
        <x:v>Health Care and Social Assistance (Private)</x:v>
      </x:c>
      <x:c r="D103" t="n">
        <x:f>'03 Sector Inputs'!L23*('03 Sector Inputs'!D23/'03 Sector Inputs'!C23)^((A103-2026)/10)</x:f>
        <x:v>24.367476110586423</x:v>
      </x:c>
      <x:c r="E103" s="32" t="n">
        <x:f>MIN(0.98,1-(1-'03 Sector Inputs'!K23)*(1-'02 Assumptions'!$E$12)^(A103-2026))</x:f>
        <x:v>0.6284664476199999</x:v>
      </x:c>
      <x:c r="F103" t="n">
        <x:f>D103*E103</x:f>
        <x:v>15.314141148685462</x:v>
      </x:c>
      <x:c r="G103" s="38" t="n">
        <x:f>'03 Sector Inputs'!Q23</x:f>
        <x:v>93.69693394431226</x:v>
      </x:c>
      <x:c r="H103" t="n">
        <x:f>(1+'02 Assumptions'!$E$19)^((A103-2026)*'02 Assumptions'!$E$20)</x:f>
        <x:v>1.0402990086464643</x:v>
      </x:c>
      <x:c r="I103" t="n">
        <x:f>(1+'03 Sector Inputs'!U23)^((A103-2026)/10)</x:f>
        <x:v>1.022273996020265</x:v>
      </x:c>
      <x:c r="J103" t="n">
        <x:f>I103^'02 Assumptions'!$E$21</x:f>
        <x:v>1.0066307528596856</x:v>
      </x:c>
      <x:c r="K103" s="32" t="n">
        <x:f>'02 Assumptions'!$E$14</x:f>
        <x:v>0.6</x:v>
      </x:c>
      <x:c r="L103" t="n">
        <x:f>(1+'02 Assumptions'!$E$15)^(A103-2026)</x:f>
        <x:v>3.841599999999999</x:v>
      </x:c>
      <x:c r="M103" t="n">
        <x:f>(1-'02 Assumptions'!$E$16)^(A103-2026)</x:f>
        <x:v>0.3701505600000001</x:v>
      </x:c>
      <x:c r="N103" t="n">
        <x:f>IF(M103&gt;0,M103^(-'02 Assumptions'!$E$17),0)</x:f>
        <x:v>2.2146100752865503</x:v>
      </x:c>
      <x:c r="O103" t="n">
        <x:f>(1+'02 Assumptions'!$E$18)^(A103-2026)</x:f>
        <x:v>1.08243216</x:v>
      </x:c>
      <x:c r="P103" s="40" t="n">
        <x:f>F103*G103*12/1000*(1-K103)*H103*J103*O103</x:f>
        <x:v>7.807074584687517</x:v>
      </x:c>
      <x:c r="Q103" s="40" t="n">
        <x:f>F103*G103*12/1000*K103*H103*J103*L103*M103*N103</x:f>
        <x:v>34.0695757273936</x:v>
      </x:c>
      <x:c r="R103" s="40" t="n">
        <x:f>SUM(P103:Q103)</x:f>
        <x:v>41.87665031208112</x:v>
      </x:c>
      <x:c r="S103" s="40" t="n">
        <x:f>IFERROR('03 Sector Inputs'!M23*(D103/'03 Sector Inputs'!L23)*(1+'02 Assumptions'!$E$19)^(A103-2026),0)</x:f>
        <x:v>2809.3557171689185</x:v>
      </x:c>
      <x:c r="T103" s="36" t="n">
        <x:f>IFERROR(R103/S103,0)</x:f>
        <x:v>0.01490614024281753</x:v>
      </x:c>
      <x:c r="U103" s="42" t="n">
        <x:f>S103*(I103-1)</x:f>
        <x:v>62.57557806372899</x:v>
      </x:c>
      <x:c r="V103" t="str">
        <x:f>'03 Sector Inputs'!I23</x:f>
        <x:v>DIRECT RAMP</x:v>
      </x:c>
      <x:c r="W103" t="n">
        <x:f>P103+F103*G103*12/1000*K103*H103*J103*L103*M103</x:f>
        <x:v>23.19108105498469</x:v>
      </x:c>
      <x:c r="X103" t="n">
        <x:f>F103*G103*12/1000*H103*((1-K103)*O103+K103*L103*M103*N103)</x:f>
        <x:v>41.60080565104521</x:v>
      </x:c>
      <x:c r="Y103" t="n">
        <x:f>F103*G103*12/1000*H103*((1-K103)*O103+K103*L103*M103)</x:f>
        <x:v>23.038319651075962</x:v>
      </x:c>
      <x:c r="Z103" t="str">
        <x:f>IF(OR(F103&lt;0,E103&lt;0,E103&gt;1,R103&lt;0),"CHECK","OK")</x:f>
        <x:v>OK</x:v>
      </x:c>
    </x:row>
    <x:row r="104">
      <x:c r="A104" s="44" t="n">
        <x:f>2030</x:f>
        <x:v>2030</x:v>
      </x:c>
      <x:c r="B104" s="28" t="str">
        <x:f>'03 Sector Inputs'!A24</x:f>
        <x:v>71</x:v>
      </x:c>
      <x:c r="C104" s="28" t="str">
        <x:f>'03 Sector Inputs'!B24</x:f>
        <x:v>Arts, Entertainment and Recreation</x:v>
      </x:c>
      <x:c r="D104" t="n">
        <x:f>'03 Sector Inputs'!L24*('03 Sector Inputs'!D24/'03 Sector Inputs'!C24)^((A104-2026)/10)</x:f>
        <x:v>2.757187545307718</x:v>
      </x:c>
      <x:c r="E104" s="32" t="n">
        <x:f>MIN(0.98,1-(1-'03 Sector Inputs'!K24)*(1-'02 Assumptions'!$E$12)^(A104-2026))</x:f>
        <x:v>0.7121837578599999</x:v>
      </x:c>
      <x:c r="F104" t="n">
        <x:f>D104*E104</x:f>
        <x:v>1.9636241871420395</x:v>
      </x:c>
      <x:c r="G104" s="38" t="n">
        <x:f>'03 Sector Inputs'!Q24</x:f>
        <x:v>96.78298617210244</x:v>
      </x:c>
      <x:c r="H104" t="n">
        <x:f>(1+'02 Assumptions'!$E$19)^((A104-2026)*'02 Assumptions'!$E$20)</x:f>
        <x:v>1.0402990086464643</x:v>
      </x:c>
      <x:c r="I104" t="n">
        <x:f>(1+'03 Sector Inputs'!U24)^((A104-2026)/10)</x:f>
        <x:v>1.020285956073958</x:v>
      </x:c>
      <x:c r="J104" t="n">
        <x:f>I104^'02 Assumptions'!$E$21</x:f>
        <x:v>1.0060430672303486</x:v>
      </x:c>
      <x:c r="K104" s="32" t="n">
        <x:f>'02 Assumptions'!$E$14</x:f>
        <x:v>0.6</x:v>
      </x:c>
      <x:c r="L104" t="n">
        <x:f>(1+'02 Assumptions'!$E$15)^(A104-2026)</x:f>
        <x:v>3.841599999999999</x:v>
      </x:c>
      <x:c r="M104" t="n">
        <x:f>(1-'02 Assumptions'!$E$16)^(A104-2026)</x:f>
        <x:v>0.3701505600000001</x:v>
      </x:c>
      <x:c r="N104" t="n">
        <x:f>IF(M104&gt;0,M104^(-'02 Assumptions'!$E$17),0)</x:f>
        <x:v>2.2146100752865503</x:v>
      </x:c>
      <x:c r="O104" t="n">
        <x:f>(1+'02 Assumptions'!$E$18)^(A104-2026)</x:f>
        <x:v>1.08243216</x:v>
      </x:c>
      <x:c r="P104" s="40" t="n">
        <x:f>F104*G104*12/1000*(1-K104)*H104*J104*O104</x:f>
        <x:v>1.033413361482351</x:v>
      </x:c>
      <x:c r="Q104" s="40" t="n">
        <x:f>F104*G104*12/1000*K104*H104*J104*L104*M104*N104</x:f>
        <x:v>4.509750021573869</x:v>
      </x:c>
      <x:c r="R104" s="40" t="n">
        <x:f>SUM(P104:Q104)</x:f>
        <x:v>5.54316338305622</x:v>
      </x:c>
      <x:c r="S104" s="40" t="n">
        <x:f>IFERROR('03 Sector Inputs'!M24*(D104/'03 Sector Inputs'!L24)*(1+'02 Assumptions'!$E$19)^(A104-2026),0)</x:f>
        <x:v>373.7925854966517</x:v>
      </x:c>
      <x:c r="T104" s="36" t="n">
        <x:f>IFERROR(R104/S104,0)</x:f>
        <x:v>0.014829516684209012</x:v>
      </x:c>
      <x:c r="U104" s="42" t="n">
        <x:f>S104*(I104-1)</x:f>
        <x:v>7.582739970156226</x:v>
      </x:c>
      <x:c r="V104" t="str">
        <x:f>'03 Sector Inputs'!I24</x:f>
        <x:v>NATIONAL PROXY</x:v>
      </x:c>
      <x:c r="W104" t="n">
        <x:f>P104+F104*G104*12/1000*K104*H104*J104*L104*M104</x:f>
        <x:v>3.0697763636647326</x:v>
      </x:c>
      <x:c r="X104" t="n">
        <x:f>F104*G104*12/1000*H104*((1-K104)*O104+K104*L104*M104*N104)</x:f>
        <x:v>5.50986688702764</x:v>
      </x:c>
      <x:c r="Y104" t="n">
        <x:f>F104*G104*12/1000*H104*((1-K104)*O104+K104*L104*M104)</x:f>
        <x:v>3.051336929457575</x:v>
      </x:c>
      <x:c r="Z104" t="str">
        <x:f>IF(OR(F104&lt;0,E104&lt;0,E104&gt;1,R104&lt;0),"CHECK","OK")</x:f>
        <x:v>OK</x:v>
      </x:c>
    </x:row>
    <x:row r="105">
      <x:c r="A105" s="44" t="n">
        <x:f>2030</x:f>
        <x:v>2030</x:v>
      </x:c>
      <x:c r="B105" s="28" t="str">
        <x:f>'03 Sector Inputs'!A25</x:f>
        <x:v>72</x:v>
      </x:c>
      <x:c r="C105" s="28" t="str">
        <x:f>'03 Sector Inputs'!B25</x:f>
        <x:v>Accommodation and Food Services</x:v>
      </x:c>
      <x:c r="D105" t="n">
        <x:f>'03 Sector Inputs'!L25*('03 Sector Inputs'!D25/'03 Sector Inputs'!C25)^((A105-2026)/10)</x:f>
        <x:v>14.502620451146063</x:v>
      </x:c>
      <x:c r="E105" s="32" t="n">
        <x:f>MIN(0.98,1-(1-'03 Sector Inputs'!K25)*(1-'02 Assumptions'!$E$12)^(A105-2026))</x:f>
        <x:v>0.5607569932299998</x:v>
      </x:c>
      <x:c r="F105" t="n">
        <x:f>D105*E105</x:f>
        <x:v>8.13244583814057</x:v>
      </x:c>
      <x:c r="G105" s="38" t="n">
        <x:f>'03 Sector Inputs'!Q25</x:f>
        <x:v>86.70668944553024</x:v>
      </x:c>
      <x:c r="H105" t="n">
        <x:f>(1+'02 Assumptions'!$E$19)^((A105-2026)*'02 Assumptions'!$E$20)</x:f>
        <x:v>1.0402990086464643</x:v>
      </x:c>
      <x:c r="I105" t="n">
        <x:f>(1+'03 Sector Inputs'!U25)^((A105-2026)/10)</x:f>
        <x:v>1.0116090593530658</x:v>
      </x:c>
      <x:c r="J105" t="n">
        <x:f>I105^'02 Assumptions'!$E$21</x:f>
        <x:v>1.003468659296534</x:v>
      </x:c>
      <x:c r="K105" s="32" t="n">
        <x:f>'02 Assumptions'!$E$14</x:f>
        <x:v>0.6</x:v>
      </x:c>
      <x:c r="L105" t="n">
        <x:f>(1+'02 Assumptions'!$E$15)^(A105-2026)</x:f>
        <x:v>3.841599999999999</x:v>
      </x:c>
      <x:c r="M105" t="n">
        <x:f>(1-'02 Assumptions'!$E$16)^(A105-2026)</x:f>
        <x:v>0.3701505600000001</x:v>
      </x:c>
      <x:c r="N105" t="n">
        <x:f>IF(M105&gt;0,M105^(-'02 Assumptions'!$E$17),0)</x:f>
        <x:v>2.2146100752865503</x:v>
      </x:c>
      <x:c r="O105" t="n">
        <x:f>(1+'02 Assumptions'!$E$18)^(A105-2026)</x:f>
        <x:v>1.08243216</x:v>
      </x:c>
      <x:c r="P105" s="40" t="n">
        <x:f>F105*G105*12/1000*(1-K105)*H105*J105*O105</x:f>
        <x:v>3.824526780445958</x:v>
      </x:c>
      <x:c r="Q105" s="40" t="n">
        <x:f>F105*G105*12/1000*K105*H105*J105*L105*M105*N105</x:f>
        <x:v>16.689991027293836</x:v>
      </x:c>
      <x:c r="R105" s="40" t="n">
        <x:f>SUM(P105:Q105)</x:f>
        <x:v>20.514517807739793</x:v>
      </x:c>
      <x:c r="S105" s="40" t="n">
        <x:f>IFERROR('03 Sector Inputs'!M25*(D105/'03 Sector Inputs'!L25)*(1+'02 Assumptions'!$E$19)^(A105-2026),0)</x:f>
        <x:v>1134.6940825785111</x:v>
      </x:c>
      <x:c r="T105" s="36" t="n">
        <x:f>IFERROR(R105/S105,0)</x:f>
        <x:v>0.01807933796668968</x:v>
      </x:c>
      <x:c r="U105" s="42" t="n">
        <x:f>S105*(I105-1)</x:f>
        <x:v>13.172730952226456</x:v>
      </x:c>
      <x:c r="V105" t="str">
        <x:f>'03 Sector Inputs'!I25</x:f>
        <x:v>DIRECT RAMP</x:v>
      </x:c>
      <x:c r="W105" t="n">
        <x:f>P105+F105*G105*12/1000*K105*H105*J105*L105*M105</x:f>
        <x:v>11.360838121906058</x:v>
      </x:c>
      <x:c r="X105" t="n">
        <x:f>F105*G105*12/1000*H105*((1-K105)*O105+K105*L105*M105*N105)</x:f>
        <x:v>20.443605904065976</x:v>
      </x:c>
      <x:c r="Y105" t="n">
        <x:f>F105*G105*12/1000*H105*((1-K105)*O105+K105*L105*M105)</x:f>
        <x:v>11.321567461678768</x:v>
      </x:c>
      <x:c r="Z105" t="str">
        <x:f>IF(OR(F105&lt;0,E105&lt;0,E105&gt;1,R105&lt;0),"CHECK","OK")</x:f>
        <x:v>OK</x:v>
      </x:c>
    </x:row>
    <x:row r="106">
      <x:c r="A106" s="44" t="n">
        <x:f>2030</x:f>
        <x:v>2030</x:v>
      </x:c>
      <x:c r="B106" s="28" t="str">
        <x:f>'03 Sector Inputs'!A26</x:f>
        <x:v>81</x:v>
      </x:c>
      <x:c r="C106" s="28" t="str">
        <x:f>'03 Sector Inputs'!B26</x:f>
        <x:v>Other Services Except Public Administration</x:v>
      </x:c>
      <x:c r="D106" t="n">
        <x:f>'03 Sector Inputs'!L26*('03 Sector Inputs'!D26/'03 Sector Inputs'!C26)^((A106-2026)/10)</x:f>
        <x:v>6.363111830311486</x:v>
      </x:c>
      <x:c r="E106" s="32" t="n">
        <x:f>MIN(0.98,1-(1-'03 Sector Inputs'!K26)*(1-'02 Assumptions'!$E$12)^(A106-2026))</x:f>
        <x:v>0.7121837578599999</x:v>
      </x:c>
      <x:c r="F106" t="n">
        <x:f>D106*E106</x:f>
        <x:v>4.531704894994656</x:v>
      </x:c>
      <x:c r="G106" s="38" t="n">
        <x:f>'03 Sector Inputs'!Q26</x:f>
        <x:v>92.75230522798783</x:v>
      </x:c>
      <x:c r="H106" t="n">
        <x:f>(1+'02 Assumptions'!$E$19)^((A106-2026)*'02 Assumptions'!$E$20)</x:f>
        <x:v>1.0402990086464643</x:v>
      </x:c>
      <x:c r="I106" t="n">
        <x:f>(1+'03 Sector Inputs'!U26)^((A106-2026)/10)</x:f>
        <x:v>1.0210653133958738</x:v>
      </x:c>
      <x:c r="J106" t="n">
        <x:f>I106^'02 Assumptions'!$E$21</x:f>
        <x:v>1.0062735489384633</x:v>
      </x:c>
      <x:c r="K106" s="32" t="n">
        <x:f>'02 Assumptions'!$E$14</x:f>
        <x:v>0.6</x:v>
      </x:c>
      <x:c r="L106" t="n">
        <x:f>(1+'02 Assumptions'!$E$15)^(A106-2026)</x:f>
        <x:v>3.841599999999999</x:v>
      </x:c>
      <x:c r="M106" t="n">
        <x:f>(1-'02 Assumptions'!$E$16)^(A106-2026)</x:f>
        <x:v>0.3701505600000001</x:v>
      </x:c>
      <x:c r="N106" t="n">
        <x:f>IF(M106&gt;0,M106^(-'02 Assumptions'!$E$17),0)</x:f>
        <x:v>2.2146100752865503</x:v>
      </x:c>
      <x:c r="O106" t="n">
        <x:f>(1+'02 Assumptions'!$E$18)^(A106-2026)</x:f>
        <x:v>1.08243216</x:v>
      </x:c>
      <x:c r="P106" s="40" t="n">
        <x:f>F106*G106*12/1000*(1-K106)*H106*J106*O106</x:f>
        <x:v>2.286138297187193</x:v>
      </x:c>
      <x:c r="Q106" s="40" t="n">
        <x:f>F106*G106*12/1000*K106*H106*J106*L106*M106*N106</x:f>
        <x:v>9.976561770279437</x:v>
      </x:c>
      <x:c r="R106" s="40" t="n">
        <x:f>SUM(P106:Q106)</x:f>
        <x:v>12.26270006746663</x:v>
      </x:c>
      <x:c r="S106" s="40" t="n">
        <x:f>IFERROR('03 Sector Inputs'!M26*(D106/'03 Sector Inputs'!L26)*(1+'02 Assumptions'!$E$19)^(A106-2026),0)</x:f>
        <x:v>697.3686216241764</x:v>
      </x:c>
      <x:c r="T106" s="36" t="n">
        <x:f>IFERROR(R106/S106,0)</x:f>
        <x:v>0.017584244095908298</x:v>
      </x:c>
      <x:c r="U106" s="42" t="n">
        <x:f>S106*(I106-1)</x:f>
        <x:v>14.690288566961817</x:v>
      </x:c>
      <x:c r="V106" t="str">
        <x:f>'03 Sector Inputs'!I26</x:f>
        <x:v>NATIONAL PROXY</x:v>
      </x:c>
      <x:c r="W106" t="n">
        <x:f>P106+F106*G106*12/1000*K106*H106*J106*L106*M106</x:f>
        <x:v>6.791022421760934</x:v>
      </x:c>
      <x:c r="X106" t="n">
        <x:f>F106*G106*12/1000*H106*((1-K106)*O106+K106*L106*M106*N106)</x:f>
        <x:v>12.18624903775199</x:v>
      </x:c>
      <x:c r="Y106" t="n">
        <x:f>F106*G106*12/1000*H106*((1-K106)*O106+K106*L106*M106)</x:f>
        <x:v>6.748684221030066</x:v>
      </x:c>
      <x:c r="Z106" t="str">
        <x:f>IF(OR(F106&lt;0,E106&lt;0,E106&gt;1,R106&lt;0),"CHECK","OK")</x:f>
        <x:v>OK</x:v>
      </x:c>
    </x:row>
    <x:row r="107">
      <x:c r="A107" s="44" t="n">
        <x:f>2030</x:f>
        <x:v>2030</x:v>
      </x:c>
      <x:c r="B107" s="28" t="str">
        <x:f>'03 Sector Inputs'!A27</x:f>
        <x:v>Gov</x:v>
      </x:c>
      <x:c r="C107" s="28" t="str">
        <x:f>'03 Sector Inputs'!B27</x:f>
        <x:v>Federal and State/Local Government</x:v>
      </x:c>
      <x:c r="D107" t="n">
        <x:f>'03 Sector Inputs'!L27*('03 Sector Inputs'!D27/'03 Sector Inputs'!C27)^((A107-2026)/10)</x:f>
        <x:v>0</x:v>
      </x:c>
      <x:c r="E107" s="32" t="n">
        <x:f>IF(D107=0,0,MIN(0.98,1-(1-'03 Sector Inputs'!K27)*(1-'02 Assumptions'!$E$12)^(A107-2026)))</x:f>
        <x:v>0</x:v>
      </x:c>
      <x:c r="F107" t="n">
        <x:f>D107*E107</x:f>
        <x:v>0</x:v>
      </x:c>
      <x:c r="G107" s="38" t="n">
        <x:f>'03 Sector Inputs'!Q27</x:f>
        <x:v>0</x:v>
      </x:c>
      <x:c r="H107" t="n">
        <x:f>(1+'02 Assumptions'!$E$19)^((A107-2026)*'02 Assumptions'!$E$20)</x:f>
        <x:v>1.0402990086464643</x:v>
      </x:c>
      <x:c r="I107" t="n">
        <x:f>(1+'03 Sector Inputs'!U27)^((A107-2026)/10)</x:f>
        <x:v>1</x:v>
      </x:c>
      <x:c r="J107" t="n">
        <x:f>I107^'02 Assumptions'!$E$21</x:f>
        <x:v>1</x:v>
      </x:c>
      <x:c r="K107" s="32" t="n">
        <x:f>'02 Assumptions'!$E$14</x:f>
        <x:v>0.6</x:v>
      </x:c>
      <x:c r="L107" t="n">
        <x:f>(1+'02 Assumptions'!$E$15)^(A107-2026)</x:f>
        <x:v>3.841599999999999</x:v>
      </x:c>
      <x:c r="M107" t="n">
        <x:f>(1-'02 Assumptions'!$E$16)^(A107-2026)</x:f>
        <x:v>0.3701505600000001</x:v>
      </x:c>
      <x:c r="N107" t="n">
        <x:f>IF(M107&gt;0,M107^(-'02 Assumptions'!$E$17),0)</x:f>
        <x:v>2.2146100752865503</x:v>
      </x:c>
      <x:c r="O107" t="n">
        <x:f>(1+'02 Assumptions'!$E$18)^(A107-2026)</x:f>
        <x:v>1.08243216</x:v>
      </x:c>
      <x:c r="P107" s="40" t="n">
        <x:f>F107*G107*12/1000*(1-K107)*H107*J107*O107</x:f>
        <x:v>0</x:v>
      </x:c>
      <x:c r="Q107" s="40" t="n">
        <x:f>F107*G107*12/1000*K107*H107*J107*L107*M107*N107</x:f>
        <x:v>0</x:v>
      </x:c>
      <x:c r="R107" s="40" t="n">
        <x:f>SUM(P107:Q107)</x:f>
        <x:v>0</x:v>
      </x:c>
      <x:c r="S107" s="40" t="n">
        <x:f>IFERROR('03 Sector Inputs'!M27*(D107/'03 Sector Inputs'!L27)*(1+'02 Assumptions'!$E$19)^(A107-2026),0)</x:f>
        <x:v>0</x:v>
      </x:c>
      <x:c r="T107" s="36" t="n">
        <x:f>IFERROR(R107/S107,0)</x:f>
        <x:v>0</x:v>
      </x:c>
      <x:c r="U107" s="42" t="n">
        <x:f>S107*(I107-1)</x:f>
        <x:v>0</x:v>
      </x:c>
      <x:c r="V107" t="str">
        <x:f>'03 Sector Inputs'!I27</x:f>
        <x:v>NATIONAL PROXY</x:v>
      </x:c>
      <x:c r="W107" t="n">
        <x:f>P107+F107*G107*12/1000*K107*H107*J107*L107*M107</x:f>
        <x:v>0</x:v>
      </x:c>
      <x:c r="X107" t="n">
        <x:f>F107*G107*12/1000*H107*((1-K107)*O107+K107*L107*M107*N107)</x:f>
        <x:v>0</x:v>
      </x:c>
      <x:c r="Y107" t="n">
        <x:f>F107*G107*12/1000*H107*((1-K107)*O107+K107*L107*M107)</x:f>
        <x:v>0</x:v>
      </x:c>
      <x:c r="Z107" t="str">
        <x:f>IF(OR(F107&lt;0,E107&lt;0,E107&gt;1,R107&lt;0),"CHECK","OK")</x:f>
        <x:v>OK</x:v>
      </x:c>
    </x:row>
    <x:row r="108">
      <x:c r="A108" s="44" t="n">
        <x:f>2031</x:f>
        <x:v>2031</x:v>
      </x:c>
      <x:c r="B108" s="28" t="str">
        <x:f>'03 Sector Inputs'!A8</x:f>
        <x:v>11</x:v>
      </x:c>
      <x:c r="C108" s="28" t="str">
        <x:f>'03 Sector Inputs'!B8</x:f>
        <x:v>Agriculture, Forestry, Fishing and Hunting</x:v>
      </x:c>
      <x:c r="D108" t="n">
        <x:f>'03 Sector Inputs'!L8*('03 Sector Inputs'!D8/'03 Sector Inputs'!C8)^((A108-2026)/10)</x:f>
        <x:v>0</x:v>
      </x:c>
      <x:c r="E108" s="32" t="n">
        <x:f>IF(D108=0,0,MIN(0.98,1-(1-'03 Sector Inputs'!K8)*(1-'02 Assumptions'!$E$12)^(A108-2026)))</x:f>
        <x:v>0</x:v>
      </x:c>
      <x:c r="F108" t="n">
        <x:f>D108*E108</x:f>
        <x:v>0</x:v>
      </x:c>
      <x:c r="G108" s="38" t="n">
        <x:f>'03 Sector Inputs'!Q8</x:f>
        <x:v>0</x:v>
      </x:c>
      <x:c r="H108" t="n">
        <x:f>(1+'02 Assumptions'!$E$19)^((A108-2026)*'02 Assumptions'!$E$20)</x:f>
        <x:v>1.050625</x:v>
      </x:c>
      <x:c r="I108" t="n">
        <x:f>(1+'03 Sector Inputs'!U8)^((A108-2026)/10)</x:f>
        <x:v>1.0130673357894155</x:v>
      </x:c>
      <x:c r="J108" t="n">
        <x:f>I108^'02 Assumptions'!$E$21</x:f>
        <x:v>1.0039024030375394</x:v>
      </x:c>
      <x:c r="K108" s="32" t="n">
        <x:f>'02 Assumptions'!$E$14</x:f>
        <x:v>0.6</x:v>
      </x:c>
      <x:c r="L108" t="n">
        <x:f>(1+'02 Assumptions'!$E$15)^(A108-2026)</x:f>
        <x:v>5.378239999999998</x:v>
      </x:c>
      <x:c r="M108" t="n">
        <x:f>(1-'02 Assumptions'!$E$16)^(A108-2026)</x:f>
        <x:v>0.28871743680000006</x:v>
      </x:c>
      <x:c r="N108" t="n">
        <x:f>IF(M108&gt;0,M108^(-'02 Assumptions'!$E$17),0)</x:f>
        <x:v>2.701603369180368</x:v>
      </x:c>
      <x:c r="O108" t="n">
        <x:f>(1+'02 Assumptions'!$E$18)^(A108-2026)</x:f>
        <x:v>1.1040808032</x:v>
      </x:c>
      <x:c r="P108" s="40" t="n">
        <x:f>F108*G108*12/1000*(1-K108)*H108*J108*O108</x:f>
        <x:v>0</x:v>
      </x:c>
      <x:c r="Q108" s="40" t="n">
        <x:f>F108*G108*12/1000*K108*H108*J108*L108*M108*N108</x:f>
        <x:v>0</x:v>
      </x:c>
      <x:c r="R108" s="40" t="n">
        <x:f>SUM(P108:Q108)</x:f>
        <x:v>0</x:v>
      </x:c>
      <x:c r="S108" s="40" t="n">
        <x:f>IFERROR('03 Sector Inputs'!M8*(D108/'03 Sector Inputs'!L8)*(1+'02 Assumptions'!$E$19)^(A108-2026),0)</x:f>
        <x:v>0</x:v>
      </x:c>
      <x:c r="T108" s="36" t="n">
        <x:f>IFERROR(R108/S108,0)</x:f>
        <x:v>0</x:v>
      </x:c>
      <x:c r="U108" s="42" t="n">
        <x:f>S108*(I108-1)</x:f>
        <x:v>0</x:v>
      </x:c>
      <x:c r="V108" t="str">
        <x:f>'03 Sector Inputs'!I8</x:f>
        <x:v>NATIONAL PROXY</x:v>
      </x:c>
      <x:c r="W108" t="n">
        <x:f>P108+F108*G108*12/1000*K108*H108*J108*L108*M108</x:f>
        <x:v>0</x:v>
      </x:c>
      <x:c r="X108" t="n">
        <x:f>F108*G108*12/1000*H108*((1-K108)*O108+K108*L108*M108*N108)</x:f>
        <x:v>0</x:v>
      </x:c>
      <x:c r="Y108" t="n">
        <x:f>F108*G108*12/1000*H108*((1-K108)*O108+K108*L108*M108)</x:f>
        <x:v>0</x:v>
      </x:c>
      <x:c r="Z108" t="str">
        <x:f>IF(OR(F108&lt;0,E108&lt;0,E108&gt;1,R108&lt;0),"CHECK","OK")</x:f>
        <x:v>OK</x:v>
      </x:c>
    </x:row>
    <x:row r="109">
      <x:c r="A109" s="44" t="n">
        <x:f>2031</x:f>
        <x:v>2031</x:v>
      </x:c>
      <x:c r="B109" s="28" t="str">
        <x:f>'03 Sector Inputs'!A9</x:f>
        <x:v>21</x:v>
      </x:c>
      <x:c r="C109" s="28" t="str">
        <x:f>'03 Sector Inputs'!B9</x:f>
        <x:v>Mining, Quarrying, Oil and Gas Extraction</x:v>
      </x:c>
      <x:c r="D109" t="n">
        <x:f>'03 Sector Inputs'!L9*('03 Sector Inputs'!D9/'03 Sector Inputs'!C9)^((A109-2026)/10)</x:f>
        <x:v>0.5757769878584608</x:v>
      </x:c>
      <x:c r="E109" s="32" t="n">
        <x:f>MIN(0.98,1-(1-'03 Sector Inputs'!K9)*(1-'02 Assumptions'!$E$12)^(A109-2026))</x:f>
        <x:v>0.7409653820739999</x:v>
      </x:c>
      <x:c r="F109" t="n">
        <x:f>D109*E109</x:f>
        <x:v>0.42663081579796114</x:v>
      </x:c>
      <x:c r="G109" s="38" t="n">
        <x:f>'03 Sector Inputs'!Q9</x:f>
        <x:v>144.21605034049728</x:v>
      </x:c>
      <x:c r="H109" t="n">
        <x:f>(1+'02 Assumptions'!$E$19)^((A109-2026)*'02 Assumptions'!$E$20)</x:f>
        <x:v>1.050625</x:v>
      </x:c>
      <x:c r="I109" t="n">
        <x:f>(1+'03 Sector Inputs'!U9)^((A109-2026)/10)</x:f>
        <x:v>1.020593228332297</x:v>
      </x:c>
      <x:c r="J109" t="n">
        <x:f>I109^'02 Assumptions'!$E$21</x:f>
        <x:v>1.006133952499698</x:v>
      </x:c>
      <x:c r="K109" s="32" t="n">
        <x:f>'02 Assumptions'!$E$14</x:f>
        <x:v>0.6</x:v>
      </x:c>
      <x:c r="L109" t="n">
        <x:f>(1+'02 Assumptions'!$E$15)^(A109-2026)</x:f>
        <x:v>5.378239999999998</x:v>
      </x:c>
      <x:c r="M109" t="n">
        <x:f>(1-'02 Assumptions'!$E$16)^(A109-2026)</x:f>
        <x:v>0.28871743680000006</x:v>
      </x:c>
      <x:c r="N109" t="n">
        <x:f>IF(M109&gt;0,M109^(-'02 Assumptions'!$E$17),0)</x:f>
        <x:v>2.701603369180368</x:v>
      </x:c>
      <x:c r="O109" t="n">
        <x:f>(1+'02 Assumptions'!$E$18)^(A109-2026)</x:f>
        <x:v>1.1040808032</x:v>
      </x:c>
      <x:c r="P109" s="40" t="n">
        <x:f>F109*G109*12/1000*(1-K109)*H109*J109*O109</x:f>
        <x:v>0.3446763224970179</x:v>
      </x:c>
      <x:c r="Q109" s="40" t="n">
        <x:f>F109*G109*12/1000*K109*H109*J109*L109*M109*N109</x:f>
        <x:v>1.96443033500833</x:v>
      </x:c>
      <x:c r="R109" s="40" t="n">
        <x:f>SUM(P109:Q109)</x:f>
        <x:v>2.309106657505348</x:v>
      </x:c>
      <x:c r="S109" s="40" t="n">
        <x:f>IFERROR('03 Sector Inputs'!M9*(D109/'03 Sector Inputs'!L9)*(1+'02 Assumptions'!$E$19)^(A109-2026),0)</x:f>
        <x:v>587.7808609753142</x:v>
      </x:c>
      <x:c r="T109" s="36" t="n">
        <x:f>IFERROR(R109/S109,0)</x:f>
        <x:v>0.003928516239323972</x:v>
      </x:c>
      <x:c r="U109" s="42" t="n">
        <x:f>S109*(I109-1)</x:f>
        <x:v>12.104305479418725</x:v>
      </x:c>
      <x:c r="V109" t="str">
        <x:f>'03 Sector Inputs'!I9</x:f>
        <x:v>NATIONAL PROXY</x:v>
      </x:c>
      <x:c r="W109" t="n">
        <x:f>P109+F109*G109*12/1000*K109*H109*J109*L109*M109</x:f>
        <x:v>1.071811311081339</x:v>
      </x:c>
      <x:c r="X109" t="n">
        <x:f>F109*G109*12/1000*H109*((1-K109)*O109+K109*L109*M109*N109)</x:f>
        <x:v>2.295029058276454</x:v>
      </x:c>
      <x:c r="Y109" t="n">
        <x:f>F109*G109*12/1000*H109*((1-K109)*O109+K109*L109*M109)</x:f>
        <x:v>1.0652769528535124</x:v>
      </x:c>
      <x:c r="Z109" t="str">
        <x:f>IF(OR(F109&lt;0,E109&lt;0,E109&gt;1,R109&lt;0),"CHECK","OK")</x:f>
        <x:v>OK</x:v>
      </x:c>
    </x:row>
    <x:row r="110">
      <x:c r="A110" s="44" t="n">
        <x:f>2031</x:f>
        <x:v>2031</x:v>
      </x:c>
      <x:c r="B110" s="28" t="str">
        <x:f>'03 Sector Inputs'!A10</x:f>
        <x:v>22</x:v>
      </x:c>
      <x:c r="C110" s="28" t="str">
        <x:f>'03 Sector Inputs'!B10</x:f>
        <x:v>Utilities</x:v>
      </x:c>
      <x:c r="D110" t="n">
        <x:f>'03 Sector Inputs'!L10*('03 Sector Inputs'!D10/'03 Sector Inputs'!C10)^((A110-2026)/10)</x:f>
        <x:v>0.6359197616382701</x:v>
      </x:c>
      <x:c r="E110" s="32" t="n">
        <x:f>MIN(0.98,1-(1-'03 Sector Inputs'!K10)*(1-'02 Assumptions'!$E$12)^(A110-2026))</x:f>
        <x:v>0.7409653820739999</x:v>
      </x:c>
      <x:c r="F110" t="n">
        <x:f>D110*E110</x:f>
        <x:v>0.47119452915070775</x:v>
      </x:c>
      <x:c r="G110" s="38" t="n">
        <x:f>'03 Sector Inputs'!Q10</x:f>
        <x:v>143.37803430608625</x:v>
      </x:c>
      <x:c r="H110" t="n">
        <x:f>(1+'02 Assumptions'!$E$19)^((A110-2026)*'02 Assumptions'!$E$20)</x:f>
        <x:v>1.050625</x:v>
      </x:c>
      <x:c r="I110" t="n">
        <x:f>(1+'03 Sector Inputs'!U10)^((A110-2026)/10)</x:f>
        <x:v>1.0239939669206897</x:v>
      </x:c>
      <x:c r="J110" t="n">
        <x:f>I110^'02 Assumptions'!$E$21</x:f>
        <x:v>1.0071385493074</x:v>
      </x:c>
      <x:c r="K110" s="32" t="n">
        <x:f>'02 Assumptions'!$E$14</x:f>
        <x:v>0.6</x:v>
      </x:c>
      <x:c r="L110" t="n">
        <x:f>(1+'02 Assumptions'!$E$15)^(A110-2026)</x:f>
        <x:v>5.378239999999998</x:v>
      </x:c>
      <x:c r="M110" t="n">
        <x:f>(1-'02 Assumptions'!$E$16)^(A110-2026)</x:f>
        <x:v>0.28871743680000006</x:v>
      </x:c>
      <x:c r="N110" t="n">
        <x:f>IF(M110&gt;0,M110^(-'02 Assumptions'!$E$17),0)</x:f>
        <x:v>2.701603369180368</x:v>
      </x:c>
      <x:c r="O110" t="n">
        <x:f>(1+'02 Assumptions'!$E$18)^(A110-2026)</x:f>
        <x:v>1.1040808032</x:v>
      </x:c>
      <x:c r="P110" s="40" t="n">
        <x:f>F110*G110*12/1000*(1-K110)*H110*J110*O110</x:f>
        <x:v>0.3788453034831931</x:v>
      </x:c>
      <x:c r="Q110" s="40" t="n">
        <x:f>F110*G110*12/1000*K110*H110*J110*L110*M110*N110</x:f>
        <x:v>2.159171251005385</x:v>
      </x:c>
      <x:c r="R110" s="40" t="n">
        <x:f>SUM(P110:Q110)</x:f>
        <x:v>2.5380165544885784</x:v>
      </x:c>
      <x:c r="S110" s="40" t="n">
        <x:f>IFERROR('03 Sector Inputs'!M10*(D110/'03 Sector Inputs'!L10)*(1+'02 Assumptions'!$E$19)^(A110-2026),0)</x:f>
        <x:v>630.5341044275956</x:v>
      </x:c>
      <x:c r="T110" s="36" t="n">
        <x:f>IFERROR(R110/S110,0)</x:f>
        <x:v>0.004025185214672269</x:v>
      </x:c>
      <x:c r="U110" s="42" t="n">
        <x:f>S110*(I110-1)</x:f>
        <x:v>15.129014444002413</x:v>
      </x:c>
      <x:c r="V110" t="str">
        <x:f>'03 Sector Inputs'!I10</x:f>
        <x:v>NATIONAL PROXY</x:v>
      </x:c>
      <x:c r="W110" t="n">
        <x:f>P110+F110*G110*12/1000*K110*H110*J110*L110*M110</x:f>
        <x:v>1.178063751178737</x:v>
      </x:c>
      <x:c r="X110" t="n">
        <x:f>F110*G110*12/1000*H110*((1-K110)*O110+K110*L110*M110*N110)</x:f>
        <x:v>2.520027215951518</x:v>
      </x:c>
      <x:c r="Y110" t="n">
        <x:f>F110*G110*12/1000*H110*((1-K110)*O110+K110*L110*M110)</x:f>
        <x:v>1.1697136923106364</x:v>
      </x:c>
      <x:c r="Z110" t="str">
        <x:f>IF(OR(F110&lt;0,E110&lt;0,E110&gt;1,R110&lt;0),"CHECK","OK")</x:f>
        <x:v>OK</x:v>
      </x:c>
    </x:row>
    <x:row r="111">
      <x:c r="A111" s="44" t="n">
        <x:f>2031</x:f>
        <x:v>2031</x:v>
      </x:c>
      <x:c r="B111" s="28" t="str">
        <x:f>'03 Sector Inputs'!A11</x:f>
        <x:v>23</x:v>
      </x:c>
      <x:c r="C111" s="28" t="str">
        <x:f>'03 Sector Inputs'!B11</x:f>
        <x:v>Construction</x:v>
      </x:c>
      <x:c r="D111" t="n">
        <x:f>'03 Sector Inputs'!L11*('03 Sector Inputs'!D11/'03 Sector Inputs'!C11)^((A111-2026)/10)</x:f>
        <x:v>8.510726639452045</x:v>
      </x:c>
      <x:c r="E111" s="32" t="n">
        <x:f>MIN(0.98,1-(1-'03 Sector Inputs'!K11)*(1-'02 Assumptions'!$E$12)^(A111-2026))</x:f>
        <x:v>0.658560199663</x:v>
      </x:c>
      <x:c r="F111" t="n">
        <x:f>D111*E111</x:f>
        <x:v>5.6048258349547515</x:v>
      </x:c>
      <x:c r="G111" s="38" t="n">
        <x:f>'03 Sector Inputs'!Q11</x:f>
        <x:v>102.71551089956172</x:v>
      </x:c>
      <x:c r="H111" t="n">
        <x:f>(1+'02 Assumptions'!$E$19)^((A111-2026)*'02 Assumptions'!$E$20)</x:f>
        <x:v>1.050625</x:v>
      </x:c>
      <x:c r="I111" t="n">
        <x:f>(1+'03 Sector Inputs'!U11)^((A111-2026)/10)</x:f>
        <x:v>1.0175448611747848</x:v>
      </x:c>
      <x:c r="J111" t="n">
        <x:f>I111^'02 Assumptions'!$E$21</x:f>
        <x:v>1.005231454610934</x:v>
      </x:c>
      <x:c r="K111" s="32" t="n">
        <x:f>'02 Assumptions'!$E$14</x:f>
        <x:v>0.6</x:v>
      </x:c>
      <x:c r="L111" t="n">
        <x:f>(1+'02 Assumptions'!$E$15)^(A111-2026)</x:f>
        <x:v>5.378239999999998</x:v>
      </x:c>
      <x:c r="M111" t="n">
        <x:f>(1-'02 Assumptions'!$E$16)^(A111-2026)</x:f>
        <x:v>0.28871743680000006</x:v>
      </x:c>
      <x:c r="N111" t="n">
        <x:f>IF(M111&gt;0,M111^(-'02 Assumptions'!$E$17),0)</x:f>
        <x:v>2.701603369180368</x:v>
      </x:c>
      <x:c r="O111" t="n">
        <x:f>(1+'02 Assumptions'!$E$18)^(A111-2026)</x:f>
        <x:v>1.1040808032</x:v>
      </x:c>
      <x:c r="P111" s="40" t="n">
        <x:f>F111*G111*12/1000*(1-K111)*H111*J111*O111</x:f>
        <x:v>3.222211542516585</x:v>
      </x:c>
      <x:c r="Q111" s="40" t="n">
        <x:f>F111*G111*12/1000*K111*H111*J111*L111*M111*N111</x:f>
        <x:v>18.36450515102711</x:v>
      </x:c>
      <x:c r="R111" s="40" t="n">
        <x:f>SUM(P111:Q111)</x:f>
        <x:v>21.586716693543696</x:v>
      </x:c>
      <x:c r="S111" s="40" t="n">
        <x:f>IFERROR('03 Sector Inputs'!M11*(D111/'03 Sector Inputs'!L11)*(1+'02 Assumptions'!$E$19)^(A111-2026),0)</x:f>
        <x:v>1592.3551810931135</x:v>
      </x:c>
      <x:c r="T111" s="36" t="n">
        <x:f>IFERROR(R111/S111,0)</x:f>
        <x:v>0.013556470911674954</x:v>
      </x:c>
      <x:c r="U111" s="42" t="n">
        <x:f>S111*(I111-1)</x:f>
        <x:v>27.937650593228017</x:v>
      </x:c>
      <x:c r="V111" t="str">
        <x:f>'03 Sector Inputs'!I11</x:f>
        <x:v>DIRECT RAMP</x:v>
      </x:c>
      <x:c r="W111" t="n">
        <x:f>P111+F111*G111*12/1000*K111*H111*J111*L111*M111</x:f>
        <x:v>10.019843408292154</x:v>
      </x:c>
      <x:c r="X111" t="n">
        <x:f>F111*G111*12/1000*H111*((1-K111)*O111+K111*L111*M111*N111)</x:f>
        <x:v>21.474374478162982</x:v>
      </x:c>
      <x:c r="Y111" t="n">
        <x:f>F111*G111*12/1000*H111*((1-K111)*O111+K111*L111*M111)</x:f>
        <x:v>9.967697849417421</x:v>
      </x:c>
      <x:c r="Z111" t="str">
        <x:f>IF(OR(F111&lt;0,E111&lt;0,E111&gt;1,R111&lt;0),"CHECK","OK")</x:f>
        <x:v>OK</x:v>
      </x:c>
    </x:row>
    <x:row r="112">
      <x:c r="A112" s="44" t="n">
        <x:f>2031</x:f>
        <x:v>2031</x:v>
      </x:c>
      <x:c r="B112" s="28" t="str">
        <x:f>'03 Sector Inputs'!A12</x:f>
        <x:v>31-33</x:v>
      </x:c>
      <x:c r="C112" s="28" t="str">
        <x:f>'03 Sector Inputs'!B12</x:f>
        <x:v>Manufacturing</x:v>
      </x:c>
      <x:c r="D112" t="n">
        <x:f>'03 Sector Inputs'!L12*('03 Sector Inputs'!D12/'03 Sector Inputs'!C12)^((A112-2026)/10)</x:f>
        <x:v>12.676910754449713</x:v>
      </x:c>
      <x:c r="E112" s="32" t="n">
        <x:f>MIN(0.98,1-(1-'03 Sector Inputs'!K12)*(1-'02 Assumptions'!$E$12)^(A112-2026))</x:f>
        <x:v>0.7700173129269999</x:v>
      </x:c>
      <x:c r="F112" t="n">
        <x:f>D112*E112</x:f>
        <x:v>9.761440755356755</x:v>
      </x:c>
      <x:c r="G112" s="38" t="n">
        <x:f>'03 Sector Inputs'!Q12</x:f>
        <x:v>111.62191536298072</x:v>
      </x:c>
      <x:c r="H112" t="n">
        <x:f>(1+'02 Assumptions'!$E$19)^((A112-2026)*'02 Assumptions'!$E$20)</x:f>
        <x:v>1.050625</x:v>
      </x:c>
      <x:c r="I112" t="n">
        <x:f>(1+'03 Sector Inputs'!U12)^((A112-2026)/10)</x:f>
        <x:v>1.022590771326413</x:v>
      </x:c>
      <x:c r="J112" t="n">
        <x:f>I112^'02 Assumptions'!$E$21</x:f>
        <x:v>1.0067243210777055</x:v>
      </x:c>
      <x:c r="K112" s="32" t="n">
        <x:f>'02 Assumptions'!$E$14</x:f>
        <x:v>0.6</x:v>
      </x:c>
      <x:c r="L112" t="n">
        <x:f>(1+'02 Assumptions'!$E$15)^(A112-2026)</x:f>
        <x:v>5.378239999999998</x:v>
      </x:c>
      <x:c r="M112" t="n">
        <x:f>(1-'02 Assumptions'!$E$16)^(A112-2026)</x:f>
        <x:v>0.28871743680000006</x:v>
      </x:c>
      <x:c r="N112" t="n">
        <x:f>IF(M112&gt;0,M112^(-'02 Assumptions'!$E$17),0)</x:f>
        <x:v>2.701603369180368</x:v>
      </x:c>
      <x:c r="O112" t="n">
        <x:f>(1+'02 Assumptions'!$E$18)^(A112-2026)</x:f>
        <x:v>1.1040808032</x:v>
      </x:c>
      <x:c r="P112" s="40" t="n">
        <x:f>F112*G112*12/1000*(1-K112)*H112*J112*O112</x:f>
        <x:v>6.107504293035122</x:v>
      </x:c>
      <x:c r="Q112" s="40" t="n">
        <x:f>F112*G112*12/1000*K112*H112*J112*L112*M112*N112</x:f>
        <x:v>34.80879283355938</x:v>
      </x:c>
      <x:c r="R112" s="40" t="n">
        <x:f>SUM(P112:Q112)</x:f>
        <x:v>40.9162971265945</x:v>
      </x:c>
      <x:c r="S112" s="40" t="n">
        <x:f>IFERROR('03 Sector Inputs'!M12*(D112/'03 Sector Inputs'!L12)*(1+'02 Assumptions'!$E$19)^(A112-2026),0)</x:f>
        <x:v>3594.627859754953</x:v>
      </x:c>
      <x:c r="T112" s="36" t="n">
        <x:f>IFERROR(R112/S112,0)</x:f>
        <x:v>0.011382623938541381</x:v>
      </x:c>
      <x:c r="U112" s="42" t="n">
        <x:f>S112*(I112-1)</x:f>
        <x:v>81.20541598327779</x:v>
      </x:c>
      <x:c r="V112" t="str">
        <x:f>'03 Sector Inputs'!I12</x:f>
        <x:v>DIRECT RAMP</x:v>
      </x:c>
      <x:c r="W112" t="n">
        <x:f>P112+F112*G112*12/1000*K112*H112*J112*L112*M112</x:f>
        <x:v>18.991998453301115</x:v>
      </x:c>
      <x:c r="X112" t="n">
        <x:f>F112*G112*12/1000*H112*((1-K112)*O112+K112*L112*M112*N112)</x:f>
        <x:v>40.64300054139282</x:v>
      </x:c>
      <x:c r="Y112" t="n">
        <x:f>F112*G112*12/1000*H112*((1-K112)*O112+K112*L112*M112)</x:f>
        <x:v>18.865143173426112</x:v>
      </x:c>
      <x:c r="Z112" t="str">
        <x:f>IF(OR(F112&lt;0,E112&lt;0,E112&gt;1,R112&lt;0),"CHECK","OK")</x:f>
        <x:v>OK</x:v>
      </x:c>
    </x:row>
    <x:row r="113">
      <x:c r="A113" s="44" t="n">
        <x:f>2031</x:f>
        <x:v>2031</x:v>
      </x:c>
      <x:c r="B113" s="28" t="str">
        <x:f>'03 Sector Inputs'!A13</x:f>
        <x:v>42</x:v>
      </x:c>
      <x:c r="C113" s="28" t="str">
        <x:f>'03 Sector Inputs'!B13</x:f>
        <x:v>Wholesale Trade</x:v>
      </x:c>
      <x:c r="D113" t="n">
        <x:f>'03 Sector Inputs'!L13*('03 Sector Inputs'!D13/'03 Sector Inputs'!C13)^((A113-2026)/10)</x:f>
        <x:v>6.13431253410607</x:v>
      </x:c>
      <x:c r="E113" s="32" t="n">
        <x:f>MIN(0.98,1-(1-'03 Sector Inputs'!K13)*(1-'02 Assumptions'!$E$12)^(A113-2026))</x:f>
        <x:v>0.7409653820739999</x:v>
      </x:c>
      <x:c r="F113" t="n">
        <x:f>D113*E113</x:f>
        <x:v>4.54531323059523</x:v>
      </x:c>
      <x:c r="G113" s="38" t="n">
        <x:f>'03 Sector Inputs'!Q13</x:f>
        <x:v>118.90648391909023</x:v>
      </x:c>
      <x:c r="H113" t="n">
        <x:f>(1+'02 Assumptions'!$E$19)^((A113-2026)*'02 Assumptions'!$E$20)</x:f>
        <x:v>1.050625</x:v>
      </x:c>
      <x:c r="I113" t="n">
        <x:f>(1+'03 Sector Inputs'!U13)^((A113-2026)/10)</x:f>
        <x:v>1.0287739241397633</x:v>
      </x:c>
      <x:c r="J113" t="n">
        <x:f>I113^'02 Assumptions'!$E$21</x:f>
        <x:v>1.008546634191154</x:v>
      </x:c>
      <x:c r="K113" s="32" t="n">
        <x:f>'02 Assumptions'!$E$14</x:f>
        <x:v>0.6</x:v>
      </x:c>
      <x:c r="L113" t="n">
        <x:f>(1+'02 Assumptions'!$E$15)^(A113-2026)</x:f>
        <x:v>5.378239999999998</x:v>
      </x:c>
      <x:c r="M113" t="n">
        <x:f>(1-'02 Assumptions'!$E$16)^(A113-2026)</x:f>
        <x:v>0.28871743680000006</x:v>
      </x:c>
      <x:c r="N113" t="n">
        <x:f>IF(M113&gt;0,M113^(-'02 Assumptions'!$E$17),0)</x:f>
        <x:v>2.701603369180368</x:v>
      </x:c>
      <x:c r="O113" t="n">
        <x:f>(1+'02 Assumptions'!$E$18)^(A113-2026)</x:f>
        <x:v>1.1040808032</x:v>
      </x:c>
      <x:c r="P113" s="40" t="n">
        <x:f>F113*G113*12/1000*(1-K113)*H113*J113*O113</x:f>
        <x:v>3.0349753322103283</x:v>
      </x:c>
      <x:c r="Q113" s="40" t="n">
        <x:f>F113*G113*12/1000*K113*H113*J113*L113*M113*N113</x:f>
        <x:v>17.297380816309293</x:v>
      </x:c>
      <x:c r="R113" s="40" t="n">
        <x:f>SUM(P113:Q113)</x:f>
        <x:v>20.332356148519622</x:v>
      </x:c>
      <x:c r="S113" s="40" t="n">
        <x:f>IFERROR('03 Sector Inputs'!M13*(D113/'03 Sector Inputs'!L13)*(1+'02 Assumptions'!$E$19)^(A113-2026),0)</x:f>
        <x:v>2386.0895313590213</x:v>
      </x:c>
      <x:c r="T113" s="36" t="n">
        <x:f>IFERROR(R113/S113,0)</x:f>
        <x:v>0.008521204205166234</x:v>
      </x:c>
      <x:c r="U113" s="42" t="n">
        <x:f>S113*(I113-1)</x:f>
        <x:v>68.65715916600789</x:v>
      </x:c>
      <x:c r="V113" t="str">
        <x:f>'03 Sector Inputs'!I13</x:f>
        <x:v>NATIONAL PROXY</x:v>
      </x:c>
      <x:c r="W113" t="n">
        <x:f>P113+F113*G113*12/1000*K113*H113*J113*L113*M113</x:f>
        <x:v>9.437610527900471</x:v>
      </x:c>
      <x:c r="X113" t="n">
        <x:f>F113*G113*12/1000*H113*((1-K113)*O113+K113*L113*M113*N113)</x:f>
        <x:v>20.16005552864296</x:v>
      </x:c>
      <x:c r="Y113" t="n">
        <x:f>F113*G113*12/1000*H113*((1-K113)*O113+K113*L113*M113)</x:f>
        <x:v>9.35763425106203</x:v>
      </x:c>
      <x:c r="Z113" t="str">
        <x:f>IF(OR(F113&lt;0,E113&lt;0,E113&gt;1,R113&lt;0),"CHECK","OK")</x:f>
        <x:v>OK</x:v>
      </x:c>
    </x:row>
    <x:row r="114">
      <x:c r="A114" s="44" t="n">
        <x:f>2031</x:f>
        <x:v>2031</x:v>
      </x:c>
      <x:c r="B114" s="28" t="str">
        <x:f>'03 Sector Inputs'!A14</x:f>
        <x:v>44-45</x:v>
      </x:c>
      <x:c r="C114" s="28" t="str">
        <x:f>'03 Sector Inputs'!B14</x:f>
        <x:v>Retail Trade</x:v>
      </x:c>
      <x:c r="D114" t="n">
        <x:f>'03 Sector Inputs'!L14*('03 Sector Inputs'!D14/'03 Sector Inputs'!C14)^((A114-2026)/10)</x:f>
        <x:v>15.424394117861949</x:v>
      </x:c>
      <x:c r="E114" s="32" t="n">
        <x:f>MIN(0.98,1-(1-'03 Sector Inputs'!K14)*(1-'02 Assumptions'!$E$12)^(A114-2026))</x:f>
        <x:v>0.6975186040989998</x:v>
      </x:c>
      <x:c r="F114" t="n">
        <x:f>D114*E114</x:f>
        <x:v>10.75880185416389</x:v>
      </x:c>
      <x:c r="G114" s="38" t="n">
        <x:f>'03 Sector Inputs'!Q14</x:f>
        <x:v>96.49221383995867</x:v>
      </x:c>
      <x:c r="H114" t="n">
        <x:f>(1+'02 Assumptions'!$E$19)^((A114-2026)*'02 Assumptions'!$E$20)</x:f>
        <x:v>1.050625</x:v>
      </x:c>
      <x:c r="I114" t="n">
        <x:f>(1+'03 Sector Inputs'!U14)^((A114-2026)/10)</x:f>
        <x:v>1.0287739241397633</x:v>
      </x:c>
      <x:c r="J114" t="n">
        <x:f>I114^'02 Assumptions'!$E$21</x:f>
        <x:v>1.008546634191154</x:v>
      </x:c>
      <x:c r="K114" s="32" t="n">
        <x:f>'02 Assumptions'!$E$14</x:f>
        <x:v>0.6</x:v>
      </x:c>
      <x:c r="L114" t="n">
        <x:f>(1+'02 Assumptions'!$E$15)^(A114-2026)</x:f>
        <x:v>5.378239999999998</x:v>
      </x:c>
      <x:c r="M114" t="n">
        <x:f>(1-'02 Assumptions'!$E$16)^(A114-2026)</x:f>
        <x:v>0.28871743680000006</x:v>
      </x:c>
      <x:c r="N114" t="n">
        <x:f>IF(M114&gt;0,M114^(-'02 Assumptions'!$E$17),0)</x:f>
        <x:v>2.701603369180368</x:v>
      </x:c>
      <x:c r="O114" t="n">
        <x:f>(1+'02 Assumptions'!$E$18)^(A114-2026)</x:f>
        <x:v>1.1040808032</x:v>
      </x:c>
      <x:c r="P114" s="40" t="n">
        <x:f>F114*G114*12/1000*(1-K114)*H114*J114*O114</x:f>
        <x:v>5.829643418365858</x:v>
      </x:c>
      <x:c r="Q114" s="40" t="n">
        <x:f>F114*G114*12/1000*K114*H114*J114*L114*M114*N114</x:f>
        <x:v>33.2251669924865</x:v>
      </x:c>
      <x:c r="R114" s="40" t="n">
        <x:f>SUM(P114:Q114)</x:f>
        <x:v>39.054810410852355</x:v>
      </x:c>
      <x:c r="S114" s="40" t="n">
        <x:f>IFERROR('03 Sector Inputs'!M14*(D114/'03 Sector Inputs'!L14)*(1+'02 Assumptions'!$E$19)^(A114-2026),0)</x:f>
        <x:v>2111.3615940220143</x:v>
      </x:c>
      <x:c r="T114" s="36" t="n">
        <x:f>IFERROR(R114/S114,0)</x:f>
        <x:v>0.018497452317703354</x:v>
      </x:c>
      <x:c r="U114" s="42" t="n">
        <x:f>S114*(I114-1)</x:f>
        <x:v>60.7521583379992</x:v>
      </x:c>
      <x:c r="V114" t="str">
        <x:f>'03 Sector Inputs'!I14</x:f>
        <x:v>DIRECT RAMP</x:v>
      </x:c>
      <x:c r="W114" t="n">
        <x:f>P114+F114*G114*12/1000*K114*H114*J114*L114*M114</x:f>
        <x:v>18.12795758672825</x:v>
      </x:c>
      <x:c r="X114" t="n">
        <x:f>F114*G114*12/1000*H114*((1-K114)*O114+K114*L114*M114*N114)</x:f>
        <x:v>38.7238518149178</x:v>
      </x:c>
      <x:c r="Y114" t="n">
        <x:f>F114*G114*12/1000*H114*((1-K114)*O114+K114*L114*M114)</x:f>
        <x:v>17.974337499293448</x:v>
      </x:c>
      <x:c r="Z114" t="str">
        <x:f>IF(OR(F114&lt;0,E114&lt;0,E114&gt;1,R114&lt;0),"CHECK","OK")</x:f>
        <x:v>OK</x:v>
      </x:c>
    </x:row>
    <x:row r="115">
      <x:c r="A115" s="44" t="n">
        <x:f>2031</x:f>
        <x:v>2031</x:v>
      </x:c>
      <x:c r="B115" s="28" t="str">
        <x:f>'03 Sector Inputs'!A15</x:f>
        <x:v>48-49</x:v>
      </x:c>
      <x:c r="C115" s="28" t="str">
        <x:f>'03 Sector Inputs'!B15</x:f>
        <x:v>Transportation and Warehousing</x:v>
      </x:c>
      <x:c r="D115" t="n">
        <x:f>'03 Sector Inputs'!L15*('03 Sector Inputs'!D15/'03 Sector Inputs'!C15)^((A115-2026)/10)</x:f>
        <x:v>6.424958703535726</x:v>
      </x:c>
      <x:c r="E115" s="32" t="n">
        <x:f>MIN(0.98,1-(1-'03 Sector Inputs'!K15)*(1-'02 Assumptions'!$E$12)^(A115-2026))</x:f>
        <x:v>0.7409653820739999</x:v>
      </x:c>
      <x:c r="F115" t="n">
        <x:f>D115*E115</x:f>
        <x:v>4.76067198057502</x:v>
      </x:c>
      <x:c r="G115" s="38" t="n">
        <x:f>'03 Sector Inputs'!Q15</x:f>
        <x:v>101.76066164601345</x:v>
      </x:c>
      <x:c r="H115" t="n">
        <x:f>(1+'02 Assumptions'!$E$19)^((A115-2026)*'02 Assumptions'!$E$20)</x:f>
        <x:v>1.050625</x:v>
      </x:c>
      <x:c r="I115" t="n">
        <x:f>(1+'03 Sector Inputs'!U15)^((A115-2026)/10)</x:f>
        <x:v>1.0218268165106934</x:v>
      </x:c>
      <x:c r="J115" t="n">
        <x:f>I115^'02 Assumptions'!$E$21</x:f>
        <x:v>1.006498631652392</x:v>
      </x:c>
      <x:c r="K115" s="32" t="n">
        <x:f>'02 Assumptions'!$E$14</x:f>
        <x:v>0.6</x:v>
      </x:c>
      <x:c r="L115" t="n">
        <x:f>(1+'02 Assumptions'!$E$15)^(A115-2026)</x:f>
        <x:v>5.378239999999998</x:v>
      </x:c>
      <x:c r="M115" t="n">
        <x:f>(1-'02 Assumptions'!$E$16)^(A115-2026)</x:f>
        <x:v>0.28871743680000006</x:v>
      </x:c>
      <x:c r="N115" t="n">
        <x:f>IF(M115&gt;0,M115^(-'02 Assumptions'!$E$17),0)</x:f>
        <x:v>2.701603369180368</x:v>
      </x:c>
      <x:c r="O115" t="n">
        <x:f>(1+'02 Assumptions'!$E$18)^(A115-2026)</x:f>
        <x:v>1.1040808032</x:v>
      </x:c>
      <x:c r="P115" s="40" t="n">
        <x:f>F115*G115*12/1000*(1-K115)*H115*J115*O115</x:f>
        <x:v>2.7148834911468174</x:v>
      </x:c>
      <x:c r="Q115" s="40" t="n">
        <x:f>F115*G115*12/1000*K115*H115*J115*L115*M115*N115</x:f>
        <x:v>15.473065998225827</x:v>
      </x:c>
      <x:c r="R115" s="40" t="n">
        <x:f>SUM(P115:Q115)</x:f>
        <x:v>18.187949489372645</x:v>
      </x:c>
      <x:c r="S115" s="40" t="n">
        <x:f>IFERROR('03 Sector Inputs'!M15*(D115/'03 Sector Inputs'!L15)*(1+'02 Assumptions'!$E$19)^(A115-2026),0)</x:f>
        <x:v>1147.2633016541185</x:v>
      </x:c>
      <x:c r="T115" s="36" t="n">
        <x:f>IFERROR(R115/S115,0)</x:f>
        <x:v>0.015853335030545604</x:v>
      </x:c>
      <x:c r="U115" s="42" t="n">
        <x:f>S115*(I115-1)</x:f>
        <x:v>25.04110557465674</x:v>
      </x:c>
      <x:c r="V115" t="str">
        <x:f>'03 Sector Inputs'!I15</x:f>
        <x:v>NATIONAL PROXY</x:v>
      </x:c>
      <x:c r="W115" t="n">
        <x:f>P115+F115*G115*12/1000*K115*H115*J115*L115*M115</x:f>
        <x:v>8.442247535307066</x:v>
      </x:c>
      <x:c r="X115" t="n">
        <x:f>F115*G115*12/1000*H115*((1-K115)*O115+K115*L115*M115*N115)</x:f>
        <x:v>18.070515863010232</x:v>
      </x:c>
      <x:c r="Y115" t="n">
        <x:f>F115*G115*12/1000*H115*((1-K115)*O115+K115*L115*M115)</x:f>
        <x:v>8.387738711027588</x:v>
      </x:c>
      <x:c r="Z115" t="str">
        <x:f>IF(OR(F115&lt;0,E115&lt;0,E115&gt;1,R115&lt;0),"CHECK","OK")</x:f>
        <x:v>OK</x:v>
      </x:c>
    </x:row>
    <x:row r="116">
      <x:c r="A116" s="44" t="n">
        <x:f>2031</x:f>
        <x:v>2031</x:v>
      </x:c>
      <x:c r="B116" s="28" t="str">
        <x:f>'03 Sector Inputs'!A16</x:f>
        <x:v>51</x:v>
      </x:c>
      <x:c r="C116" s="28" t="str">
        <x:f>'03 Sector Inputs'!B16</x:f>
        <x:v>Information</x:v>
      </x:c>
      <x:c r="D116" t="n">
        <x:f>'03 Sector Inputs'!L16*('03 Sector Inputs'!D16/'03 Sector Inputs'!C16)^((A116-2026)/10)</x:f>
        <x:v>2.951566770537718</x:v>
      </x:c>
      <x:c r="E116" s="32" t="n">
        <x:f>MIN(0.98,1-(1-'03 Sector Inputs'!K16)*(1-'02 Assumptions'!$E$12)^(A116-2026))</x:f>
        <x:v>0.887354053219</x:v>
      </x:c>
      <x:c r="F116" t="n">
        <x:f>D116*E116</x:f>
        <x:v>2.619084737183158</x:v>
      </x:c>
      <x:c r="G116" s="38" t="n">
        <x:f>'03 Sector Inputs'!Q16</x:f>
        <x:v>135.72518396753694</x:v>
      </x:c>
      <x:c r="H116" t="n">
        <x:f>(1+'02 Assumptions'!$E$19)^((A116-2026)*'02 Assumptions'!$E$20)</x:f>
        <x:v>1.050625</x:v>
      </x:c>
      <x:c r="I116" t="n">
        <x:f>(1+'03 Sector Inputs'!U16)^((A116-2026)/10)</x:f>
        <x:v>1.0417502651842112</x:v>
      </x:c>
      <x:c r="J116" t="n">
        <x:f>I116^'02 Assumptions'!$E$21</x:f>
        <x:v>1.0123462673587174</x:v>
      </x:c>
      <x:c r="K116" s="32" t="n">
        <x:f>'02 Assumptions'!$E$14</x:f>
        <x:v>0.6</x:v>
      </x:c>
      <x:c r="L116" t="n">
        <x:f>(1+'02 Assumptions'!$E$15)^(A116-2026)</x:f>
        <x:v>5.378239999999998</x:v>
      </x:c>
      <x:c r="M116" t="n">
        <x:f>(1-'02 Assumptions'!$E$16)^(A116-2026)</x:f>
        <x:v>0.28871743680000006</x:v>
      </x:c>
      <x:c r="N116" t="n">
        <x:f>IF(M116&gt;0,M116^(-'02 Assumptions'!$E$17),0)</x:f>
        <x:v>2.701603369180368</x:v>
      </x:c>
      <x:c r="O116" t="n">
        <x:f>(1+'02 Assumptions'!$E$18)^(A116-2026)</x:f>
        <x:v>1.1040808032</x:v>
      </x:c>
      <x:c r="P116" s="40" t="n">
        <x:f>F116*G116*12/1000*(1-K116)*H116*J116*O116</x:f>
        <x:v>2.003682483651723</x:v>
      </x:c>
      <x:c r="Q116" s="40" t="n">
        <x:f>F116*G116*12/1000*K116*H116*J116*L116*M116*N116</x:f>
        <x:v>11.419683905454027</x:v>
      </x:c>
      <x:c r="R116" s="40" t="n">
        <x:f>SUM(P116:Q116)</x:f>
        <x:v>13.42336638910575</x:v>
      </x:c>
      <x:c r="S116" s="40" t="n">
        <x:f>IFERROR('03 Sector Inputs'!M16*(D116/'03 Sector Inputs'!L16)*(1+'02 Assumptions'!$E$19)^(A116-2026),0)</x:f>
        <x:v>2224.579639107074</x:v>
      </x:c>
      <x:c r="T116" s="36" t="n">
        <x:f>IFERROR(R116/S116,0)</x:f>
        <x:v>0.006034113660454866</x:v>
      </x:c>
      <x:c r="U116" s="42" t="n">
        <x:f>S116*(I116-1)</x:f>
        <x:v>92.87678985611721</x:v>
      </x:c>
      <x:c r="V116" t="str">
        <x:f>'03 Sector Inputs'!I16</x:f>
        <x:v>DIRECT RAMP</x:v>
      </x:c>
      <x:c r="W116" t="n">
        <x:f>P116+F116*G116*12/1000*K116*H116*J116*L116*M116</x:f>
        <x:v>6.230684876278518</x:v>
      </x:c>
      <x:c r="X116" t="n">
        <x:f>F116*G116*12/1000*H116*((1-K116)*O116+K116*L116*M116*N116)</x:f>
        <x:v>13.259659092859856</x:v>
      </x:c>
      <x:c r="Y116" t="n">
        <x:f>F116*G116*12/1000*H116*((1-K116)*O116+K116*L116*M116)</x:f>
        <x:v>6.154697337438517</x:v>
      </x:c>
      <x:c r="Z116" t="str">
        <x:f>IF(OR(F116&lt;0,E116&lt;0,E116&gt;1,R116&lt;0),"CHECK","OK")</x:f>
        <x:v>OK</x:v>
      </x:c>
    </x:row>
    <x:row r="117">
      <x:c r="A117" s="44" t="n">
        <x:f>2031</x:f>
        <x:v>2031</x:v>
      </x:c>
      <x:c r="B117" s="28" t="str">
        <x:f>'03 Sector Inputs'!A17</x:f>
        <x:v>52</x:v>
      </x:c>
      <x:c r="C117" s="28" t="str">
        <x:f>'03 Sector Inputs'!B17</x:f>
        <x:v>Finance and Insurance</x:v>
      </x:c>
      <x:c r="D117" t="n">
        <x:f>'03 Sector Inputs'!L17*('03 Sector Inputs'!D17/'03 Sector Inputs'!C17)^((A117-2026)/10)</x:f>
        <x:v>6.489887507520814</x:v>
      </x:c>
      <x:c r="E117" s="32" t="n">
        <x:f>MIN(0.98,1-(1-'03 Sector Inputs'!K17)*(1-'02 Assumptions'!$E$12)^(A117-2026))</x:f>
        <x:v>0.8447310678429999</x:v>
      </x:c>
      <x:c r="F117" t="n">
        <x:f>D117*E117</x:f>
        <x:v>5.482209604409002</x:v>
      </x:c>
      <x:c r="G117" s="38" t="n">
        <x:f>'03 Sector Inputs'!Q17</x:f>
        <x:v>124.6049898658694</x:v>
      </x:c>
      <x:c r="H117" t="n">
        <x:f>(1+'02 Assumptions'!$E$19)^((A117-2026)*'02 Assumptions'!$E$20)</x:f>
        <x:v>1.050625</x:v>
      </x:c>
      <x:c r="I117" t="n">
        <x:f>(1+'03 Sector Inputs'!U17)^((A117-2026)/10)</x:f>
        <x:v>1.0451648465323553</x:v>
      </x:c>
      <x:c r="J117" t="n">
        <x:f>I117^'02 Assumptions'!$E$21</x:f>
        <x:v>1.0133405883254865</x:v>
      </x:c>
      <x:c r="K117" s="32" t="n">
        <x:f>'02 Assumptions'!$E$14</x:f>
        <x:v>0.6</x:v>
      </x:c>
      <x:c r="L117" t="n">
        <x:f>(1+'02 Assumptions'!$E$15)^(A117-2026)</x:f>
        <x:v>5.378239999999998</x:v>
      </x:c>
      <x:c r="M117" t="n">
        <x:f>(1-'02 Assumptions'!$E$16)^(A117-2026)</x:f>
        <x:v>0.28871743680000006</x:v>
      </x:c>
      <x:c r="N117" t="n">
        <x:f>IF(M117&gt;0,M117^(-'02 Assumptions'!$E$17),0)</x:f>
        <x:v>2.701603369180368</x:v>
      </x:c>
      <x:c r="O117" t="n">
        <x:f>(1+'02 Assumptions'!$E$18)^(A117-2026)</x:f>
        <x:v>1.1040808032</x:v>
      </x:c>
      <x:c r="P117" s="40" t="n">
        <x:f>F117*G117*12/1000*(1-K117)*H117*J117*O117</x:f>
        <x:v>3.854218534398609</x:v>
      </x:c>
      <x:c r="Q117" s="40" t="n">
        <x:f>F117*G117*12/1000*K117*H117*J117*L117*M117*N117</x:f>
        <x:v>21.966532983389023</x:v>
      </x:c>
      <x:c r="R117" s="40" t="n">
        <x:f>SUM(P117:Q117)</x:f>
        <x:v>25.82075151778763</x:v>
      </x:c>
      <x:c r="S117" s="40" t="n">
        <x:f>IFERROR('03 Sector Inputs'!M17*(D117/'03 Sector Inputs'!L17)*(1+'02 Assumptions'!$E$19)^(A117-2026),0)</x:f>
        <x:v>3190.1234587338604</x:v>
      </x:c>
      <x:c r="T117" s="36" t="n">
        <x:f>IFERROR(R117/S117,0)</x:f>
        <x:v>0.008093966221619436</x:v>
      </x:c>
      <x:c r="U117" s="42" t="n">
        <x:f>S117*(I117-1)</x:f>
        <x:v>144.08143643298132</x:v>
      </x:c>
      <x:c r="V117" t="str">
        <x:f>'03 Sector Inputs'!I17</x:f>
        <x:v>DIRECT RAMP</x:v>
      </x:c>
      <x:c r="W117" t="n">
        <x:f>P117+F117*G117*12/1000*K117*H117*J117*L117*M117</x:f>
        <x:v>11.985143019458526</x:v>
      </x:c>
      <x:c r="X117" t="n">
        <x:f>F117*G117*12/1000*H117*((1-K117)*O117+K117*L117*M117*N117)</x:f>
        <x:v>25.480822356534258</x:v>
      </x:c>
      <x:c r="Y117" t="n">
        <x:f>F117*G117*12/1000*H117*((1-K117)*O117+K117*L117*M117)</x:f>
        <x:v>11.8273590908498</x:v>
      </x:c>
      <x:c r="Z117" t="str">
        <x:f>IF(OR(F117&lt;0,E117&lt;0,E117&gt;1,R117&lt;0),"CHECK","OK")</x:f>
        <x:v>OK</x:v>
      </x:c>
    </x:row>
    <x:row r="118">
      <x:c r="A118" s="44" t="n">
        <x:f>2031</x:f>
        <x:v>2031</x:v>
      </x:c>
      <x:c r="B118" s="28" t="str">
        <x:f>'03 Sector Inputs'!A18</x:f>
        <x:v>53</x:v>
      </x:c>
      <x:c r="C118" s="28" t="str">
        <x:f>'03 Sector Inputs'!B18</x:f>
        <x:v>Real Estate and Rental and Leasing</x:v>
      </x:c>
      <x:c r="D118" t="n">
        <x:f>'03 Sector Inputs'!L18*('03 Sector Inputs'!D18/'03 Sector Inputs'!C18)^((A118-2026)/10)</x:f>
        <x:v>2.506168700080689</x:v>
      </x:c>
      <x:c r="E118" s="32" t="n">
        <x:f>MIN(0.98,1-(1-'03 Sector Inputs'!K18)*(1-'02 Assumptions'!$E$12)^(A118-2026))</x:f>
        <x:v>0.7409653820739999</x:v>
      </x:c>
      <x:c r="F118" t="n">
        <x:f>D118*E118</x:f>
        <x:v>1.8569842483971875</x:v>
      </x:c>
      <x:c r="G118" s="38" t="n">
        <x:f>'03 Sector Inputs'!Q18</x:f>
        <x:v>134.08799266238282</x:v>
      </x:c>
      <x:c r="H118" t="n">
        <x:f>(1+'02 Assumptions'!$E$19)^((A118-2026)*'02 Assumptions'!$E$20)</x:f>
        <x:v>1.050625</x:v>
      </x:c>
      <x:c r="I118" t="n">
        <x:f>(1+'03 Sector Inputs'!U18)^((A118-2026)/10)</x:f>
        <x:v>1.031386864856644</x:v>
      </x:c>
      <x:c r="J118" t="n">
        <x:f>I118^'02 Assumptions'!$E$21</x:f>
        <x:v>1.0093144219165724</x:v>
      </x:c>
      <x:c r="K118" s="32" t="n">
        <x:f>'02 Assumptions'!$E$14</x:f>
        <x:v>0.6</x:v>
      </x:c>
      <x:c r="L118" t="n">
        <x:f>(1+'02 Assumptions'!$E$15)^(A118-2026)</x:f>
        <x:v>5.378239999999998</x:v>
      </x:c>
      <x:c r="M118" t="n">
        <x:f>(1-'02 Assumptions'!$E$16)^(A118-2026)</x:f>
        <x:v>0.28871743680000006</x:v>
      </x:c>
      <x:c r="N118" t="n">
        <x:f>IF(M118&gt;0,M118^(-'02 Assumptions'!$E$17),0)</x:f>
        <x:v>2.701603369180368</x:v>
      </x:c>
      <x:c r="O118" t="n">
        <x:f>(1+'02 Assumptions'!$E$18)^(A118-2026)</x:f>
        <x:v>1.1040808032</x:v>
      </x:c>
      <x:c r="P118" s="40" t="n">
        <x:f>F118*G118*12/1000*(1-K118)*H118*J118*O118</x:f>
        <x:v>1.3993115377733742</x:v>
      </x:c>
      <x:c r="Q118" s="40" t="n">
        <x:f>F118*G118*12/1000*K118*H118*J118*L118*M118*N118</x:f>
        <x:v>7.975163518674695</x:v>
      </x:c>
      <x:c r="R118" s="40" t="n">
        <x:f>SUM(P118:Q118)</x:f>
        <x:v>9.37447505644807</x:v>
      </x:c>
      <x:c r="S118" s="40" t="n">
        <x:f>IFERROR('03 Sector Inputs'!M18*(D118/'03 Sector Inputs'!L18)*(1+'02 Assumptions'!$E$19)^(A118-2026),0)</x:f>
        <x:v>1777.6771861722864</x:v>
      </x:c>
      <x:c r="T118" s="36" t="n">
        <x:f>IFERROR(R118/S118,0)</x:f>
        <x:v>0.005273440605171566</x:v>
      </x:c>
      <x:c r="U118" s="42" t="n">
        <x:f>S118*(I118-1)</x:f>
        <x:v>55.79571360112872</x:v>
      </x:c>
      <x:c r="V118" t="str">
        <x:f>'03 Sector Inputs'!I18</x:f>
        <x:v>NATIONAL PROXY</x:v>
      </x:c>
      <x:c r="W118" t="n">
        <x:f>P118+F118*G118*12/1000*K118*H118*J118*L118*M118</x:f>
        <x:v>4.351322780302383</x:v>
      </x:c>
      <x:c r="X118" t="n">
        <x:f>F118*G118*12/1000*H118*((1-K118)*O118+K118*L118*M118*N118)</x:f>
        <x:v>9.287963049856176</x:v>
      </x:c>
      <x:c r="Y118" t="n">
        <x:f>F118*G118*12/1000*H118*((1-K118)*O118+K118*L118*M118)</x:f>
        <x:v>4.3111667542010546</x:v>
      </x:c>
      <x:c r="Z118" t="str">
        <x:f>IF(OR(F118&lt;0,E118&lt;0,E118&gt;1,R118&lt;0),"CHECK","OK")</x:f>
        <x:v>OK</x:v>
      </x:c>
    </x:row>
    <x:row r="119">
      <x:c r="A119" s="44" t="n">
        <x:f>2031</x:f>
        <x:v>2031</x:v>
      </x:c>
      <x:c r="B119" s="28" t="str">
        <x:f>'03 Sector Inputs'!A19</x:f>
        <x:v>54</x:v>
      </x:c>
      <x:c r="C119" s="28" t="str">
        <x:f>'03 Sector Inputs'!B19</x:f>
        <x:v>Professional, Scientific and Technical Services</x:v>
      </x:c>
      <x:c r="D119" t="n">
        <x:f>'03 Sector Inputs'!L19*('03 Sector Inputs'!D19/'03 Sector Inputs'!C19)^((A119-2026)/10)</x:f>
        <x:v>11.326024528982463</x:v>
      </x:c>
      <x:c r="E119" s="32" t="n">
        <x:f>MIN(0.98,1-(1-'03 Sector Inputs'!K19)*(1-'02 Assumptions'!$E$12)^(A119-2026))</x:f>
        <x:v>0.8565851644849514</x:v>
      </x:c>
      <x:c r="F119" t="n">
        <x:f>D119*E119</x:f>
        <x:v>9.701704584119037</x:v>
      </x:c>
      <x:c r="G119" s="38" t="n">
        <x:f>'03 Sector Inputs'!Q19</x:f>
        <x:v>110.53049517658319</x:v>
      </x:c>
      <x:c r="H119" t="n">
        <x:f>(1+'02 Assumptions'!$E$19)^((A119-2026)*'02 Assumptions'!$E$20)</x:f>
        <x:v>1.050625</x:v>
      </x:c>
      <x:c r="I119" t="n">
        <x:f>(1+'03 Sector Inputs'!U19)^((A119-2026)/10)</x:f>
        <x:v>1.0433893355820565</x:v>
      </x:c>
      <x:c r="J119" t="n">
        <x:f>I119^'02 Assumptions'!$E$21</x:f>
        <x:v>1.0128238464625494</x:v>
      </x:c>
      <x:c r="K119" s="32" t="n">
        <x:f>'02 Assumptions'!$E$14</x:f>
        <x:v>0.6</x:v>
      </x:c>
      <x:c r="L119" t="n">
        <x:f>(1+'02 Assumptions'!$E$15)^(A119-2026)</x:f>
        <x:v>5.378239999999998</x:v>
      </x:c>
      <x:c r="M119" t="n">
        <x:f>(1-'02 Assumptions'!$E$16)^(A119-2026)</x:f>
        <x:v>0.28871743680000006</x:v>
      </x:c>
      <x:c r="N119" t="n">
        <x:f>IF(M119&gt;0,M119^(-'02 Assumptions'!$E$17),0)</x:f>
        <x:v>2.701603369180368</x:v>
      </x:c>
      <x:c r="O119" t="n">
        <x:f>(1+'02 Assumptions'!$E$18)^(A119-2026)</x:f>
        <x:v>1.1040808032</x:v>
      </x:c>
      <x:c r="P119" s="40" t="n">
        <x:f>F119*G119*12/1000*(1-K119)*H119*J119*O119</x:f>
        <x:v>6.047194077001945</x:v>
      </x:c>
      <x:c r="Q119" s="40" t="n">
        <x:f>F119*G119*12/1000*K119*H119*J119*L119*M119*N119</x:f>
        <x:v>34.46506391992765</x:v>
      </x:c>
      <x:c r="R119" s="40" t="n">
        <x:f>SUM(P119:Q119)</x:f>
        <x:v>40.5122579969296</x:v>
      </x:c>
      <x:c r="S119" s="40" t="n">
        <x:f>IFERROR('03 Sector Inputs'!M19*(D119/'03 Sector Inputs'!L19)*(1+'02 Assumptions'!$E$19)^(A119-2026),0)</x:f>
        <x:v>3057.603922620236</x:v>
      </x:c>
      <x:c r="T119" s="36" t="n">
        <x:f>IFERROR(R119/S119,0)</x:f>
        <x:v>0.01324967491610631</x:v>
      </x:c>
      <x:c r="U119" s="42" t="n">
        <x:f>S119*(I119-1)</x:f>
        <x:v>132.6674026755817</x:v>
      </x:c>
      <x:c r="V119" t="str">
        <x:f>'03 Sector Inputs'!I19</x:f>
        <x:v>CENSUS PROXY</x:v>
      </x:c>
      <x:c r="W119" t="n">
        <x:f>P119+F119*G119*12/1000*K119*H119*J119*L119*M119</x:f>
        <x:v>18.80445678739896</x:v>
      </x:c>
      <x:c r="X119" t="n">
        <x:f>F119*G119*12/1000*H119*((1-K119)*O119+K119*L119*M119*N119)</x:f>
        <x:v>39.999312949063345</x:v>
      </x:c>
      <x:c r="Y119" t="n">
        <x:f>F119*G119*12/1000*H119*((1-K119)*O119+K119*L119*M119)</x:f>
        <x:v>18.566364578674325</x:v>
      </x:c>
      <x:c r="Z119" t="str">
        <x:f>IF(OR(F119&lt;0,E119&lt;0,E119&gt;1,R119&lt;0),"CHECK","OK")</x:f>
        <x:v>OK</x:v>
      </x:c>
    </x:row>
    <x:row r="120">
      <x:c r="A120" s="44" t="n">
        <x:f>2031</x:f>
        <x:v>2031</x:v>
      </x:c>
      <x:c r="B120" s="28" t="str">
        <x:f>'03 Sector Inputs'!A20</x:f>
        <x:v>55</x:v>
      </x:c>
      <x:c r="C120" s="28" t="str">
        <x:f>'03 Sector Inputs'!B20</x:f>
        <x:v>Management of Companies and Enterprises</x:v>
      </x:c>
      <x:c r="D120" t="n">
        <x:f>'03 Sector Inputs'!L20*('03 Sector Inputs'!D20/'03 Sector Inputs'!C20)^((A120-2026)/10)</x:f>
        <x:v>2.6872089375379455</x:v>
      </x:c>
      <x:c r="E120" s="32" t="n">
        <x:f>MIN(0.98,1-(1-'03 Sector Inputs'!K20)*(1-'02 Assumptions'!$E$12)^(A120-2026))</x:f>
        <x:v>0.7409653820739999</x:v>
      </x:c>
      <x:c r="F120" t="n">
        <x:f>D120*E120</x:f>
        <x:v>1.991128797115471</x:v>
      </x:c>
      <x:c r="G120" s="38" t="n">
        <x:f>'03 Sector Inputs'!Q20</x:f>
        <x:v>108.91030551487428</x:v>
      </x:c>
      <x:c r="H120" t="n">
        <x:f>(1+'02 Assumptions'!$E$19)^((A120-2026)*'02 Assumptions'!$E$20)</x:f>
        <x:v>1.050625</x:v>
      </x:c>
      <x:c r="I120" t="n">
        <x:f>(1+'03 Sector Inputs'!U20)^((A120-2026)/10)</x:f>
        <x:v>1.0433893355820565</x:v>
      </x:c>
      <x:c r="J120" t="n">
        <x:f>I120^'02 Assumptions'!$E$21</x:f>
        <x:v>1.0128238464625494</x:v>
      </x:c>
      <x:c r="K120" s="32" t="n">
        <x:f>'02 Assumptions'!$E$14</x:f>
        <x:v>0.6</x:v>
      </x:c>
      <x:c r="L120" t="n">
        <x:f>(1+'02 Assumptions'!$E$15)^(A120-2026)</x:f>
        <x:v>5.378239999999998</x:v>
      </x:c>
      <x:c r="M120" t="n">
        <x:f>(1-'02 Assumptions'!$E$16)^(A120-2026)</x:f>
        <x:v>0.28871743680000006</x:v>
      </x:c>
      <x:c r="N120" t="n">
        <x:f>IF(M120&gt;0,M120^(-'02 Assumptions'!$E$17),0)</x:f>
        <x:v>2.701603369180368</x:v>
      </x:c>
      <x:c r="O120" t="n">
        <x:f>(1+'02 Assumptions'!$E$18)^(A120-2026)</x:f>
        <x:v>1.1040808032</x:v>
      </x:c>
      <x:c r="P120" s="40" t="n">
        <x:f>F120*G120*12/1000*(1-K120)*H120*J120*O120</x:f>
        <x:v>1.2229031814223117</x:v>
      </x:c>
      <x:c r="Q120" s="40" t="n">
        <x:f>F120*G120*12/1000*K120*H120*J120*L120*M120*N120</x:f>
        <x:v>6.969750892549253</x:v>
      </x:c>
      <x:c r="R120" s="40" t="n">
        <x:f>SUM(P120:Q120)</x:f>
        <x:v>8.192654073971564</x:v>
      </x:c>
      <x:c r="S120" s="40" t="n">
        <x:f>IFERROR('03 Sector Inputs'!M20*(D120/'03 Sector Inputs'!L20)*(1+'02 Assumptions'!$E$19)^(A120-2026),0)</x:f>
        <x:v>673.8131271438538</x:v>
      </x:c>
      <x:c r="T120" s="36" t="n">
        <x:f>IFERROR(R120/S120,0)</x:f>
        <x:v>0.012158644205550625</x:v>
      </x:c>
      <x:c r="U120" s="42" t="n">
        <x:f>S120*(I120-1)</x:f>
        <x:v>29.236303893239565</x:v>
      </x:c>
      <x:c r="V120" t="str">
        <x:f>'03 Sector Inputs'!I20</x:f>
        <x:v>NATIONAL PROXY</x:v>
      </x:c>
      <x:c r="W120" t="n">
        <x:f>P120+F120*G120*12/1000*K120*H120*J120*L120*M120</x:f>
        <x:v>3.8027603773599177</x:v>
      </x:c>
      <x:c r="X120" t="n">
        <x:f>F120*G120*12/1000*H120*((1-K120)*O120+K120*L120*M120*N120)</x:f>
        <x:v>8.088922967785297</x:v>
      </x:c>
      <x:c r="Y120" t="n">
        <x:f>F120*G120*12/1000*H120*((1-K120)*O120+K120*L120*M120)</x:f>
        <x:v>3.754611811956908</x:v>
      </x:c>
      <x:c r="Z120" t="str">
        <x:f>IF(OR(F120&lt;0,E120&lt;0,E120&gt;1,R120&lt;0),"CHECK","OK")</x:f>
        <x:v>OK</x:v>
      </x:c>
    </x:row>
    <x:row r="121">
      <x:c r="A121" s="44" t="n">
        <x:f>2031</x:f>
        <x:v>2031</x:v>
      </x:c>
      <x:c r="B121" s="28" t="str">
        <x:f>'03 Sector Inputs'!A21</x:f>
        <x:v>56</x:v>
      </x:c>
      <x:c r="C121" s="28" t="str">
        <x:f>'03 Sector Inputs'!B21</x:f>
        <x:v>Administrative, Support and Waste Services</x:v>
      </x:c>
      <x:c r="D121" t="n">
        <x:f>'03 Sector Inputs'!L21*('03 Sector Inputs'!D21/'03 Sector Inputs'!C21)^((A121-2026)/10)</x:f>
        <x:v>9.061254292832094</x:v>
      </x:c>
      <x:c r="E121" s="32" t="n">
        <x:f>MIN(0.98,1-(1-'03 Sector Inputs'!K21)*(1-'02 Assumptions'!$E$12)^(A121-2026))</x:f>
        <x:v>0.7409653820739999</x:v>
      </x:c>
      <x:c r="F121" t="n">
        <x:f>D121*E121</x:f>
        <x:v>6.714075749158004</x:v>
      </x:c>
      <x:c r="G121" s="38" t="n">
        <x:f>'03 Sector Inputs'!Q21</x:f>
        <x:v>93.90408661465632</x:v>
      </x:c>
      <x:c r="H121" t="n">
        <x:f>(1+'02 Assumptions'!$E$19)^((A121-2026)*'02 Assumptions'!$E$20)</x:f>
        <x:v>1.050625</x:v>
      </x:c>
      <x:c r="I121" t="n">
        <x:f>(1+'03 Sector Inputs'!U21)^((A121-2026)/10)</x:f>
        <x:v>1.0244036256678521</x:v>
      </x:c>
      <x:c r="J121" t="n">
        <x:f>I121^'02 Assumptions'!$E$21</x:f>
        <x:v>1.0072594070582717</x:v>
      </x:c>
      <x:c r="K121" s="32" t="n">
        <x:f>'02 Assumptions'!$E$14</x:f>
        <x:v>0.6</x:v>
      </x:c>
      <x:c r="L121" t="n">
        <x:f>(1+'02 Assumptions'!$E$15)^(A121-2026)</x:f>
        <x:v>5.378239999999998</x:v>
      </x:c>
      <x:c r="M121" t="n">
        <x:f>(1-'02 Assumptions'!$E$16)^(A121-2026)</x:f>
        <x:v>0.28871743680000006</x:v>
      </x:c>
      <x:c r="N121" t="n">
        <x:f>IF(M121&gt;0,M121^(-'02 Assumptions'!$E$17),0)</x:f>
        <x:v>2.701603369180368</x:v>
      </x:c>
      <x:c r="O121" t="n">
        <x:f>(1+'02 Assumptions'!$E$18)^(A121-2026)</x:f>
        <x:v>1.1040808032</x:v>
      </x:c>
      <x:c r="P121" s="40" t="n">
        <x:f>F121*G121*12/1000*(1-K121)*H121*J121*O121</x:f>
        <x:v>3.535915586664847</x:v>
      </x:c>
      <x:c r="Q121" s="40" t="n">
        <x:f>F121*G121*12/1000*K121*H121*J121*L121*M121*N121</x:f>
        <x:v>20.15241369106025</x:v>
      </x:c>
      <x:c r="R121" s="40" t="n">
        <x:f>SUM(P121:Q121)</x:f>
        <x:v>23.688329277725096</x:v>
      </x:c>
      <x:c r="S121" s="40" t="n">
        <x:f>IFERROR('03 Sector Inputs'!M21*(D121/'03 Sector Inputs'!L21)*(1+'02 Assumptions'!$E$19)^(A121-2026),0)</x:f>
        <x:v>1082.6895198843624</x:v>
      </x:c>
      <x:c r="T121" s="36" t="n">
        <x:f>IFERROR(R121/S121,0)</x:f>
        <x:v>0.021879152649648948</x:v>
      </x:c>
      <x:c r="U121" s="42" t="n">
        <x:f>S121*(I121-1)</x:f>
        <x:v>26.421549757764545</x:v>
      </x:c>
      <x:c r="V121" t="str">
        <x:f>'03 Sector Inputs'!I21</x:f>
        <x:v>NATIONAL PROXY</x:v>
      </x:c>
      <x:c r="W121" t="n">
        <x:f>P121+F121*G121*12/1000*K121*H121*J121*L121*M121</x:f>
        <x:v>10.995342799762467</x:v>
      </x:c>
      <x:c r="X121" t="n">
        <x:f>F121*G121*12/1000*H121*((1-K121)*O121+K121*L121*M121*N121)</x:f>
        <x:v>23.51760540703959</x:v>
      </x:c>
      <x:c r="Y121" t="n">
        <x:f>F121*G121*12/1000*H121*((1-K121)*O121+K121*L121*M121)</x:f>
        <x:v>10.916098398003214</x:v>
      </x:c>
      <x:c r="Z121" t="str">
        <x:f>IF(OR(F121&lt;0,E121&lt;0,E121&gt;1,R121&lt;0),"CHECK","OK")</x:f>
        <x:v>OK</x:v>
      </x:c>
    </x:row>
    <x:row r="122">
      <x:c r="A122" s="44" t="n">
        <x:f>2031</x:f>
        <x:v>2031</x:v>
      </x:c>
      <x:c r="B122" s="28" t="str">
        <x:f>'03 Sector Inputs'!A22</x:f>
        <x:v>61</x:v>
      </x:c>
      <x:c r="C122" s="28" t="str">
        <x:f>'03 Sector Inputs'!B22</x:f>
        <x:v>Educational Services (Private)</x:v>
      </x:c>
      <x:c r="D122" t="n">
        <x:f>'03 Sector Inputs'!L22*('03 Sector Inputs'!D22/'03 Sector Inputs'!C22)^((A122-2026)/10)</x:f>
        <x:v>4.109754618867156</x:v>
      </x:c>
      <x:c r="E122" s="32" t="n">
        <x:f>MIN(0.98,1-(1-'03 Sector Inputs'!K22)*(1-'02 Assumptions'!$E$12)^(A122-2026))</x:f>
        <x:v>0.7409653820739999</x:v>
      </x:c>
      <x:c r="F122" t="n">
        <x:f>D122*E122</x:f>
        <x:v>3.045185901399288</x:v>
      </x:c>
      <x:c r="G122" s="38" t="n">
        <x:f>'03 Sector Inputs'!Q22</x:f>
        <x:v>90.94311072364238</x:v>
      </x:c>
      <x:c r="H122" t="n">
        <x:f>(1+'02 Assumptions'!$E$19)^((A122-2026)*'02 Assumptions'!$E$20)</x:f>
        <x:v>1.050625</x:v>
      </x:c>
      <x:c r="I122" t="n">
        <x:f>(1+'03 Sector Inputs'!U22)^((A122-2026)/10)</x:f>
        <x:v>1.0310878264905488</x:v>
      </x:c>
      <x:c r="J122" t="n">
        <x:f>I122^'02 Assumptions'!$E$21</x:f>
        <x:v>1.009226621389099</x:v>
      </x:c>
      <x:c r="K122" s="32" t="n">
        <x:f>'02 Assumptions'!$E$14</x:f>
        <x:v>0.6</x:v>
      </x:c>
      <x:c r="L122" t="n">
        <x:f>(1+'02 Assumptions'!$E$15)^(A122-2026)</x:f>
        <x:v>5.378239999999998</x:v>
      </x:c>
      <x:c r="M122" t="n">
        <x:f>(1-'02 Assumptions'!$E$16)^(A122-2026)</x:f>
        <x:v>0.28871743680000006</x:v>
      </x:c>
      <x:c r="N122" t="n">
        <x:f>IF(M122&gt;0,M122^(-'02 Assumptions'!$E$17),0)</x:f>
        <x:v>2.701603369180368</x:v>
      </x:c>
      <x:c r="O122" t="n">
        <x:f>(1+'02 Assumptions'!$E$18)^(A122-2026)</x:f>
        <x:v>1.1040808032</x:v>
      </x:c>
      <x:c r="P122" s="40" t="n">
        <x:f>F122*G122*12/1000*(1-K122)*H122*J122*O122</x:f>
        <x:v>1.5561882808267349</x:v>
      </x:c>
      <x:c r="Q122" s="40" t="n">
        <x:f>F122*G122*12/1000*K122*H122*J122*L122*M122*N122</x:f>
        <x:v>8.869258682156646</x:v>
      </x:c>
      <x:c r="R122" s="40" t="n">
        <x:f>SUM(P122:Q122)</x:f>
        <x:v>10.425446962983381</x:v>
      </x:c>
      <x:c r="S122" s="40" t="n">
        <x:f>IFERROR('03 Sector Inputs'!M22*(D122/'03 Sector Inputs'!L22)*(1+'02 Assumptions'!$E$19)^(A122-2026),0)</x:f>
        <x:v>418.367624441092</x:v>
      </x:c>
      <x:c r="T122" s="36" t="n">
        <x:f>IFERROR(R122/S122,0)</x:f>
        <x:v>0.02491934450451562</x:v>
      </x:c>
      <x:c r="U122" s="42" t="n">
        <x:f>S122*(I122-1)</x:f>
        <x:v>13.006140117887732</x:v>
      </x:c>
      <x:c r="V122" t="str">
        <x:f>'03 Sector Inputs'!I22</x:f>
        <x:v>NATIONAL PROXY</x:v>
      </x:c>
      <x:c r="W122" t="n">
        <x:f>P122+F122*G122*12/1000*K122*H122*J122*L122*M122</x:f>
        <x:v>4.83914934881188</x:v>
      </x:c>
      <x:c r="X122" t="n">
        <x:f>F122*G122*12/1000*H122*((1-K122)*O122+K122*L122*M122*N122)</x:f>
        <x:v>10.330134721014197</x:v>
      </x:c>
      <x:c r="Y122" t="n">
        <x:f>F122*G122*12/1000*H122*((1-K122)*O122+K122*L122*M122)</x:f>
        <x:v>4.794908543089437</x:v>
      </x:c>
      <x:c r="Z122" t="str">
        <x:f>IF(OR(F122&lt;0,E122&lt;0,E122&gt;1,R122&lt;0),"CHECK","OK")</x:f>
        <x:v>OK</x:v>
      </x:c>
    </x:row>
    <x:row r="123">
      <x:c r="A123" s="44" t="n">
        <x:f>2031</x:f>
        <x:v>2031</x:v>
      </x:c>
      <x:c r="B123" s="28" t="str">
        <x:f>'03 Sector Inputs'!A23</x:f>
        <x:v>62</x:v>
      </x:c>
      <x:c r="C123" s="28" t="str">
        <x:f>'03 Sector Inputs'!B23</x:f>
        <x:v>Health Care and Social Assistance (Private)</x:v>
      </x:c>
      <x:c r="D123" t="n">
        <x:f>'03 Sector Inputs'!L23*('03 Sector Inputs'!D23/'03 Sector Inputs'!C23)^((A123-2026)/10)</x:f>
        <x:v>24.588880767629448</x:v>
      </x:c>
      <x:c r="E123" s="32" t="n">
        <x:f>MIN(0.98,1-(1-'03 Sector Inputs'!K23)*(1-'02 Assumptions'!$E$12)^(A123-2026))</x:f>
        <x:v>0.6656198028579998</x:v>
      </x:c>
      <x:c r="F123" t="n">
        <x:f>D123*E123</x:f>
        <x:v>16.366845969048377</x:v>
      </x:c>
      <x:c r="G123" s="38" t="n">
        <x:f>'03 Sector Inputs'!Q23</x:f>
        <x:v>93.69693394431226</x:v>
      </x:c>
      <x:c r="H123" t="n">
        <x:f>(1+'02 Assumptions'!$E$19)^((A123-2026)*'02 Assumptions'!$E$20)</x:f>
        <x:v>1.050625</x:v>
      </x:c>
      <x:c r="I123" t="n">
        <x:f>(1+'03 Sector Inputs'!U23)^((A123-2026)/10)</x:f>
        <x:v>1.027919587961457</x:v>
      </x:c>
      <x:c r="J123" t="n">
        <x:f>I123^'02 Assumptions'!$E$21</x:f>
        <x:v>1.0082952995450392</x:v>
      </x:c>
      <x:c r="K123" s="32" t="n">
        <x:f>'02 Assumptions'!$E$14</x:f>
        <x:v>0.6</x:v>
      </x:c>
      <x:c r="L123" t="n">
        <x:f>(1+'02 Assumptions'!$E$15)^(A123-2026)</x:f>
        <x:v>5.378239999999998</x:v>
      </x:c>
      <x:c r="M123" t="n">
        <x:f>(1-'02 Assumptions'!$E$16)^(A123-2026)</x:f>
        <x:v>0.28871743680000006</x:v>
      </x:c>
      <x:c r="N123" t="n">
        <x:f>IF(M123&gt;0,M123^(-'02 Assumptions'!$E$17),0)</x:f>
        <x:v>2.701603369180368</x:v>
      </x:c>
      <x:c r="O123" t="n">
        <x:f>(1+'02 Assumptions'!$E$18)^(A123-2026)</x:f>
        <x:v>1.1040808032</x:v>
      </x:c>
      <x:c r="P123" s="40" t="n">
        <x:f>F123*G123*12/1000*(1-K123)*H123*J123*O123</x:f>
        <x:v>8.60930204032032</x:v>
      </x:c>
      <x:c r="Q123" s="40" t="n">
        <x:f>F123*G123*12/1000*K123*H123*J123*L123*M123*N123</x:f>
        <x:v>49.067409007767495</x:v>
      </x:c>
      <x:c r="R123" s="40" t="n">
        <x:f>SUM(P123:Q123)</x:f>
        <x:v>57.67671104808782</x:v>
      </x:c>
      <x:c r="S123" s="40" t="n">
        <x:f>IFERROR('03 Sector Inputs'!M23*(D123/'03 Sector Inputs'!L23)*(1+'02 Assumptions'!$E$19)^(A123-2026),0)</x:f>
        <x:v>2905.7537703564726</x:v>
      </x:c>
      <x:c r="T123" s="36" t="n">
        <x:f>IFERROR(R123/S123,0)</x:f>
        <x:v>0.019849139192895944</x:v>
      </x:c>
      <x:c r="U123" s="42" t="n">
        <x:f>S123*(I123-1)</x:f>
        <x:v>81.12744798580316</x:v>
      </x:c>
      <x:c r="V123" t="str">
        <x:f>'03 Sector Inputs'!I23</x:f>
        <x:v>DIRECT RAMP</x:v>
      </x:c>
      <x:c r="W123" t="n">
        <x:f>P123+F123*G123*12/1000*K123*H123*J123*L123*M123</x:f>
        <x:v>26.771630962294502</x:v>
      </x:c>
      <x:c r="X123" t="n">
        <x:f>F123*G123*12/1000*H123*((1-K123)*O123+K123*L123*M123*N123)</x:f>
        <x:v>57.202201650759044</x:v>
      </x:c>
      <x:c r="Y123" t="n">
        <x:f>F123*G123*12/1000*H123*((1-K123)*O123+K123*L123*M123)</x:f>
        <x:v>26.551379317521707</x:v>
      </x:c>
      <x:c r="Z123" t="str">
        <x:f>IF(OR(F123&lt;0,E123&lt;0,E123&gt;1,R123&lt;0),"CHECK","OK")</x:f>
        <x:v>OK</x:v>
      </x:c>
    </x:row>
    <x:row r="124">
      <x:c r="A124" s="44" t="n">
        <x:f>2031</x:f>
        <x:v>2031</x:v>
      </x:c>
      <x:c r="B124" s="28" t="str">
        <x:f>'03 Sector Inputs'!A24</x:f>
        <x:v>71</x:v>
      </x:c>
      <x:c r="C124" s="28" t="str">
        <x:f>'03 Sector Inputs'!B24</x:f>
        <x:v>Arts, Entertainment and Recreation</x:v>
      </x:c>
      <x:c r="D124" t="n">
        <x:f>'03 Sector Inputs'!L24*('03 Sector Inputs'!D24/'03 Sector Inputs'!C24)^((A124-2026)/10)</x:f>
        <x:v>2.7725381533056996</x:v>
      </x:c>
      <x:c r="E124" s="32" t="n">
        <x:f>MIN(0.98,1-(1-'03 Sector Inputs'!K24)*(1-'02 Assumptions'!$E$12)^(A124-2026))</x:f>
        <x:v>0.7409653820739999</x:v>
      </x:c>
      <x:c r="F124" t="n">
        <x:f>D124*E124</x:f>
        <x:v>2.0543547920789</x:v>
      </x:c>
      <x:c r="G124" s="38" t="n">
        <x:f>'03 Sector Inputs'!Q24</x:f>
        <x:v>96.78298617210244</x:v>
      </x:c>
      <x:c r="H124" t="n">
        <x:f>(1+'02 Assumptions'!$E$19)^((A124-2026)*'02 Assumptions'!$E$20)</x:f>
        <x:v>1.050625</x:v>
      </x:c>
      <x:c r="I124" t="n">
        <x:f>(1+'03 Sector Inputs'!U24)^((A124-2026)/10)</x:f>
        <x:v>1.0254214218601105</x:v>
      </x:c>
      <x:c r="J124" t="n">
        <x:f>I124^'02 Assumptions'!$E$21</x:f>
        <x:v>1.0075595314810215</x:v>
      </x:c>
      <x:c r="K124" s="32" t="n">
        <x:f>'02 Assumptions'!$E$14</x:f>
        <x:v>0.6</x:v>
      </x:c>
      <x:c r="L124" t="n">
        <x:f>(1+'02 Assumptions'!$E$15)^(A124-2026)</x:f>
        <x:v>5.378239999999998</x:v>
      </x:c>
      <x:c r="M124" t="n">
        <x:f>(1-'02 Assumptions'!$E$16)^(A124-2026)</x:f>
        <x:v>0.28871743680000006</x:v>
      </x:c>
      <x:c r="N124" t="n">
        <x:f>IF(M124&gt;0,M124^(-'02 Assumptions'!$E$17),0)</x:f>
        <x:v>2.701603369180368</x:v>
      </x:c>
      <x:c r="O124" t="n">
        <x:f>(1+'02 Assumptions'!$E$18)^(A124-2026)</x:f>
        <x:v>1.1040808032</x:v>
      </x:c>
      <x:c r="P124" s="40" t="n">
        <x:f>F124*G124*12/1000*(1-K124)*H124*J124*O124</x:f>
        <x:v>1.1154112232551696</x:v>
      </x:c>
      <x:c r="Q124" s="40" t="n">
        <x:f>F124*G124*12/1000*K124*H124*J124*L124*M124*N124</x:f>
        <x:v>6.357116807726652</x:v>
      </x:c>
      <x:c r="R124" s="40" t="n">
        <x:f>SUM(P124:Q124)</x:f>
        <x:v>7.472528030981822</x:v>
      </x:c>
      <x:c r="S124" s="40" t="n">
        <x:f>IFERROR('03 Sector Inputs'!M24*(D124/'03 Sector Inputs'!L24)*(1+'02 Assumptions'!$E$19)^(A124-2026),0)</x:f>
        <x:v>385.2705129318656</x:v>
      </x:c>
      <x:c r="T124" s="36" t="n">
        <x:f>IFERROR(R124/S124,0)</x:f>
        <x:v>0.019395535812270496</x:v>
      </x:c>
      <x:c r="U124" s="42" t="n">
        <x:f>S124*(I124-1)</x:f>
        <x:v>9.794124239502128</x:v>
      </x:c>
      <x:c r="V124" t="str">
        <x:f>'03 Sector Inputs'!I24</x:f>
        <x:v>NATIONAL PROXY</x:v>
      </x:c>
      <x:c r="W124" t="n">
        <x:f>P124+F124*G124*12/1000*K124*H124*J124*L124*M124</x:f>
        <x:v>3.468501569620602</x:v>
      </x:c>
      <x:c r="X124" t="n">
        <x:f>F124*G124*12/1000*H124*((1-K124)*O124+K124*L124*M124*N124)</x:f>
        <x:v>7.416463045114444</x:v>
      </x:c>
      <x:c r="Y124" t="n">
        <x:f>F124*G124*12/1000*H124*((1-K124)*O124+K124*L124*M124)</x:f>
        <x:v>3.4424780484406883</x:v>
      </x:c>
      <x:c r="Z124" t="str">
        <x:f>IF(OR(F124&lt;0,E124&lt;0,E124&gt;1,R124&lt;0),"CHECK","OK")</x:f>
        <x:v>OK</x:v>
      </x:c>
    </x:row>
    <x:row r="125">
      <x:c r="A125" s="44" t="n">
        <x:f>2031</x:f>
        <x:v>2031</x:v>
      </x:c>
      <x:c r="B125" s="28" t="str">
        <x:f>'03 Sector Inputs'!A25</x:f>
        <x:v>72</x:v>
      </x:c>
      <x:c r="C125" s="28" t="str">
        <x:f>'03 Sector Inputs'!B25</x:f>
        <x:v>Accommodation and Food Services</x:v>
      </x:c>
      <x:c r="D125" t="n">
        <x:f>'03 Sector Inputs'!L25*('03 Sector Inputs'!D25/'03 Sector Inputs'!C25)^((A125-2026)/10)</x:f>
        <x:v>14.563483367692623</x:v>
      </x:c>
      <x:c r="E125" s="32" t="n">
        <x:f>MIN(0.98,1-(1-'03 Sector Inputs'!K25)*(1-'02 Assumptions'!$E$12)^(A125-2026))</x:f>
        <x:v>0.6046812939069999</x:v>
      </x:c>
      <x:c r="F125" t="n">
        <x:f>D125*E125</x:f>
        <x:v>8.806265966569446</x:v>
      </x:c>
      <x:c r="G125" s="38" t="n">
        <x:f>'03 Sector Inputs'!Q25</x:f>
        <x:v>86.70668944553024</x:v>
      </x:c>
      <x:c r="H125" t="n">
        <x:f>(1+'02 Assumptions'!$E$19)^((A125-2026)*'02 Assumptions'!$E$20)</x:f>
        <x:v>1.050625</x:v>
      </x:c>
      <x:c r="I125" t="n">
        <x:f>(1+'03 Sector Inputs'!U25)^((A125-2026)/10)</x:f>
        <x:v>1.0145323212372803</x:v>
      </x:c>
      <x:c r="J125" t="n">
        <x:f>I125^'02 Assumptions'!$E$21</x:f>
        <x:v>1.0043377024300022</x:v>
      </x:c>
      <x:c r="K125" s="32" t="n">
        <x:f>'02 Assumptions'!$E$14</x:f>
        <x:v>0.6</x:v>
      </x:c>
      <x:c r="L125" t="n">
        <x:f>(1+'02 Assumptions'!$E$15)^(A125-2026)</x:f>
        <x:v>5.378239999999998</x:v>
      </x:c>
      <x:c r="M125" t="n">
        <x:f>(1-'02 Assumptions'!$E$16)^(A125-2026)</x:f>
        <x:v>0.28871743680000006</x:v>
      </x:c>
      <x:c r="N125" t="n">
        <x:f>IF(M125&gt;0,M125^(-'02 Assumptions'!$E$17),0)</x:f>
        <x:v>2.701603369180368</x:v>
      </x:c>
      <x:c r="O125" t="n">
        <x:f>(1+'02 Assumptions'!$E$18)^(A125-2026)</x:f>
        <x:v>1.1040808032</x:v>
      </x:c>
      <x:c r="P125" s="40" t="n">
        <x:f>F125*G125*12/1000*(1-K125)*H125*J125*O125</x:f>
        <x:v>4.2698635409739465</x:v>
      </x:c>
      <x:c r="Q125" s="40" t="n">
        <x:f>F125*G125*12/1000*K125*H125*J125*L125*M125*N125</x:f>
        <x:v>24.335438551361115</x:v>
      </x:c>
      <x:c r="R125" s="40" t="n">
        <x:f>SUM(P125:Q125)</x:f>
        <x:v>28.605302092335062</x:v>
      </x:c>
      <x:c r="S125" s="40" t="n">
        <x:f>IFERROR('03 Sector Inputs'!M25*(D125/'03 Sector Inputs'!L25)*(1+'02 Assumptions'!$E$19)^(A125-2026),0)</x:f>
        <x:v>1167.9424360643136</x:v>
      </x:c>
      <x:c r="T125" s="36" t="n">
        <x:f>IFERROR(R125/S125,0)</x:f>
        <x:v>0.024492047903258044</x:v>
      </x:c>
      <x:c r="U125" s="42" t="n">
        <x:f>S125*(I125-1)</x:f>
        <x:v>16.972914667538337</x:v>
      </x:c>
      <x:c r="V125" t="str">
        <x:f>'03 Sector Inputs'!I25</x:f>
        <x:v>DIRECT RAMP</x:v>
      </x:c>
      <x:c r="W125" t="n">
        <x:f>P125+F125*G125*12/1000*K125*H125*J125*L125*M125</x:f>
        <x:v>13.277639748605853</x:v>
      </x:c>
      <x:c r="X125" t="n">
        <x:f>F125*G125*12/1000*H125*((1-K125)*O125+K125*L125*M125*N125)</x:f>
        <x:v>28.48175670705613</x:v>
      </x:c>
      <x:c r="Y125" t="n">
        <x:f>F125*G125*12/1000*H125*((1-K125)*O125+K125*L125*M125)</x:f>
        <x:v>13.220294046992866</x:v>
      </x:c>
      <x:c r="Z125" t="str">
        <x:f>IF(OR(F125&lt;0,E125&lt;0,E125&gt;1,R125&lt;0),"CHECK","OK")</x:f>
        <x:v>OK</x:v>
      </x:c>
    </x:row>
    <x:row r="126">
      <x:c r="A126" s="44" t="n">
        <x:f>2031</x:f>
        <x:v>2031</x:v>
      </x:c>
      <x:c r="B126" s="28" t="str">
        <x:f>'03 Sector Inputs'!A26</x:f>
        <x:v>81</x:v>
      </x:c>
      <x:c r="C126" s="28" t="str">
        <x:f>'03 Sector Inputs'!B26</x:f>
        <x:v>Other Services Except Public Administration</x:v>
      </x:c>
      <x:c r="D126" t="n">
        <x:f>'03 Sector Inputs'!L26*('03 Sector Inputs'!D26/'03 Sector Inputs'!C26)^((A126-2026)/10)</x:f>
        <x:v>6.386609281280537</x:v>
      </x:c>
      <x:c r="E126" s="32" t="n">
        <x:f>MIN(0.98,1-(1-'03 Sector Inputs'!K26)*(1-'02 Assumptions'!$E$12)^(A126-2026))</x:f>
        <x:v>0.7409653820739999</x:v>
      </x:c>
      <x:c r="F126" t="n">
        <x:f>D126*E126</x:f>
        <x:v>4.732256386261387</x:v>
      </x:c>
      <x:c r="G126" s="38" t="n">
        <x:f>'03 Sector Inputs'!Q26</x:f>
        <x:v>92.75230522798783</x:v>
      </x:c>
      <x:c r="H126" t="n">
        <x:f>(1+'02 Assumptions'!$E$19)^((A126-2026)*'02 Assumptions'!$E$20)</x:f>
        <x:v>1.050625</x:v>
      </x:c>
      <x:c r="I126" t="n">
        <x:f>(1+'03 Sector Inputs'!U26)^((A126-2026)/10)</x:f>
        <x:v>1.0264006154635517</x:v>
      </x:c>
      <x:c r="J126" t="n">
        <x:f>I126^'02 Assumptions'!$E$21</x:f>
        <x:v>1.0078480761508064</x:v>
      </x:c>
      <x:c r="K126" s="32" t="n">
        <x:f>'02 Assumptions'!$E$14</x:f>
        <x:v>0.6</x:v>
      </x:c>
      <x:c r="L126" t="n">
        <x:f>(1+'02 Assumptions'!$E$15)^(A126-2026)</x:f>
        <x:v>5.378239999999998</x:v>
      </x:c>
      <x:c r="M126" t="n">
        <x:f>(1-'02 Assumptions'!$E$16)^(A126-2026)</x:f>
        <x:v>0.28871743680000006</x:v>
      </x:c>
      <x:c r="N126" t="n">
        <x:f>IF(M126&gt;0,M126^(-'02 Assumptions'!$E$17),0)</x:f>
        <x:v>2.701603369180368</x:v>
      </x:c>
      <x:c r="O126" t="n">
        <x:f>(1+'02 Assumptions'!$E$18)^(A126-2026)</x:f>
        <x:v>1.1040808032</x:v>
      </x:c>
      <x:c r="P126" s="40" t="n">
        <x:f>F126*G126*12/1000*(1-K126)*H126*J126*O126</x:f>
        <x:v>2.463076361700176</x:v>
      </x:c>
      <x:c r="Q126" s="40" t="n">
        <x:f>F126*G126*12/1000*K126*H126*J126*L126*M126*N126</x:f>
        <x:v>14.037929519825482</x:v>
      </x:c>
      <x:c r="R126" s="40" t="n">
        <x:f>SUM(P126:Q126)</x:f>
        <x:v>16.501005881525657</x:v>
      </x:c>
      <x:c r="S126" s="40" t="n">
        <x:f>IFERROR('03 Sector Inputs'!M26*(D126/'03 Sector Inputs'!L26)*(1+'02 Assumptions'!$E$19)^(A126-2026),0)</x:f>
        <x:v>717.4424331779778</x:v>
      </x:c>
      <x:c r="T126" s="36" t="n">
        <x:f>IFERROR(R126/S126,0)</x:f>
        <x:v>0.02299976293349826</x:v>
      </x:c>
      <x:c r="U126" s="42" t="n">
        <x:f>S126*(I126-1)</x:f>
        <x:v>18.94092179556665</x:v>
      </x:c>
      <x:c r="V126" t="str">
        <x:f>'03 Sector Inputs'!I26</x:f>
        <x:v>NATIONAL PROXY</x:v>
      </x:c>
      <x:c r="W126" t="n">
        <x:f>P126+F126*G126*12/1000*K126*H126*J126*L126*M126</x:f>
        <x:v>7.659223834704109</x:v>
      </x:c>
      <x:c r="X126" t="n">
        <x:f>F126*G126*12/1000*H126*((1-K126)*O126+K126*L126*M126*N126)</x:f>
        <x:v>16.372513151532353</x:v>
      </x:c>
      <x:c r="Y126" t="n">
        <x:f>F126*G126*12/1000*H126*((1-K126)*O126+K126*L126*M126)</x:f>
        <x:v>7.599581738506036</x:v>
      </x:c>
      <x:c r="Z126" t="str">
        <x:f>IF(OR(F126&lt;0,E126&lt;0,E126&gt;1,R126&lt;0),"CHECK","OK")</x:f>
        <x:v>OK</x:v>
      </x:c>
    </x:row>
    <x:row r="127">
      <x:c r="A127" s="44" t="n">
        <x:f>2031</x:f>
        <x:v>2031</x:v>
      </x:c>
      <x:c r="B127" s="28" t="str">
        <x:f>'03 Sector Inputs'!A27</x:f>
        <x:v>Gov</x:v>
      </x:c>
      <x:c r="C127" s="28" t="str">
        <x:f>'03 Sector Inputs'!B27</x:f>
        <x:v>Federal and State/Local Government</x:v>
      </x:c>
      <x:c r="D127" t="n">
        <x:f>'03 Sector Inputs'!L27*('03 Sector Inputs'!D27/'03 Sector Inputs'!C27)^((A127-2026)/10)</x:f>
        <x:v>0</x:v>
      </x:c>
      <x:c r="E127" s="32" t="n">
        <x:f>IF(D127=0,0,MIN(0.98,1-(1-'03 Sector Inputs'!K27)*(1-'02 Assumptions'!$E$12)^(A127-2026)))</x:f>
        <x:v>0</x:v>
      </x:c>
      <x:c r="F127" t="n">
        <x:f>D127*E127</x:f>
        <x:v>0</x:v>
      </x:c>
      <x:c r="G127" s="38" t="n">
        <x:f>'03 Sector Inputs'!Q27</x:f>
        <x:v>0</x:v>
      </x:c>
      <x:c r="H127" t="n">
        <x:f>(1+'02 Assumptions'!$E$19)^((A127-2026)*'02 Assumptions'!$E$20)</x:f>
        <x:v>1.050625</x:v>
      </x:c>
      <x:c r="I127" t="n">
        <x:f>(1+'03 Sector Inputs'!U27)^((A127-2026)/10)</x:f>
        <x:v>1</x:v>
      </x:c>
      <x:c r="J127" t="n">
        <x:f>I127^'02 Assumptions'!$E$21</x:f>
        <x:v>1</x:v>
      </x:c>
      <x:c r="K127" s="32" t="n">
        <x:f>'02 Assumptions'!$E$14</x:f>
        <x:v>0.6</x:v>
      </x:c>
      <x:c r="L127" t="n">
        <x:f>(1+'02 Assumptions'!$E$15)^(A127-2026)</x:f>
        <x:v>5.378239999999998</x:v>
      </x:c>
      <x:c r="M127" t="n">
        <x:f>(1-'02 Assumptions'!$E$16)^(A127-2026)</x:f>
        <x:v>0.28871743680000006</x:v>
      </x:c>
      <x:c r="N127" t="n">
        <x:f>IF(M127&gt;0,M127^(-'02 Assumptions'!$E$17),0)</x:f>
        <x:v>2.701603369180368</x:v>
      </x:c>
      <x:c r="O127" t="n">
        <x:f>(1+'02 Assumptions'!$E$18)^(A127-2026)</x:f>
        <x:v>1.1040808032</x:v>
      </x:c>
      <x:c r="P127" s="40" t="n">
        <x:f>F127*G127*12/1000*(1-K127)*H127*J127*O127</x:f>
        <x:v>0</x:v>
      </x:c>
      <x:c r="Q127" s="40" t="n">
        <x:f>F127*G127*12/1000*K127*H127*J127*L127*M127*N127</x:f>
        <x:v>0</x:v>
      </x:c>
      <x:c r="R127" s="40" t="n">
        <x:f>SUM(P127:Q127)</x:f>
        <x:v>0</x:v>
      </x:c>
      <x:c r="S127" s="40" t="n">
        <x:f>IFERROR('03 Sector Inputs'!M27*(D127/'03 Sector Inputs'!L27)*(1+'02 Assumptions'!$E$19)^(A127-2026),0)</x:f>
        <x:v>0</x:v>
      </x:c>
      <x:c r="T127" s="36" t="n">
        <x:f>IFERROR(R127/S127,0)</x:f>
        <x:v>0</x:v>
      </x:c>
      <x:c r="U127" s="42" t="n">
        <x:f>S127*(I127-1)</x:f>
        <x:v>0</x:v>
      </x:c>
      <x:c r="V127" t="str">
        <x:f>'03 Sector Inputs'!I27</x:f>
        <x:v>NATIONAL PROXY</x:v>
      </x:c>
      <x:c r="W127" t="n">
        <x:f>P127+F127*G127*12/1000*K127*H127*J127*L127*M127</x:f>
        <x:v>0</x:v>
      </x:c>
      <x:c r="X127" t="n">
        <x:f>F127*G127*12/1000*H127*((1-K127)*O127+K127*L127*M127*N127)</x:f>
        <x:v>0</x:v>
      </x:c>
      <x:c r="Y127" t="n">
        <x:f>F127*G127*12/1000*H127*((1-K127)*O127+K127*L127*M127)</x:f>
        <x:v>0</x:v>
      </x:c>
      <x:c r="Z127" t="str">
        <x:f>IF(OR(F127&lt;0,E127&lt;0,E127&gt;1,R127&lt;0),"CHECK","OK")</x:f>
        <x:v>OK</x:v>
      </x:c>
    </x:row>
    <x:row r="128">
      <x:c r="A128" s="44" t="n">
        <x:f>2032</x:f>
        <x:v>2032</x:v>
      </x:c>
      <x:c r="B128" s="28" t="str">
        <x:f>'03 Sector Inputs'!A8</x:f>
        <x:v>11</x:v>
      </x:c>
      <x:c r="C128" s="28" t="str">
        <x:f>'03 Sector Inputs'!B8</x:f>
        <x:v>Agriculture, Forestry, Fishing and Hunting</x:v>
      </x:c>
      <x:c r="D128" t="n">
        <x:f>'03 Sector Inputs'!L8*('03 Sector Inputs'!D8/'03 Sector Inputs'!C8)^((A128-2026)/10)</x:f>
        <x:v>0</x:v>
      </x:c>
      <x:c r="E128" s="32" t="n">
        <x:f>IF(D128=0,0,MIN(0.98,1-(1-'03 Sector Inputs'!K8)*(1-'02 Assumptions'!$E$12)^(A128-2026)))</x:f>
        <x:v>0</x:v>
      </x:c>
      <x:c r="F128" t="n">
        <x:f>D128*E128</x:f>
        <x:v>0</x:v>
      </x:c>
      <x:c r="G128" s="38" t="n">
        <x:f>'03 Sector Inputs'!Q8</x:f>
        <x:v>0</x:v>
      </x:c>
      <x:c r="H128" t="n">
        <x:f>(1+'02 Assumptions'!$E$19)^((A128-2026)*'02 Assumptions'!$E$20)</x:f>
        <x:v>1.0610534869788768</x:v>
      </x:c>
      <x:c r="I128" t="n">
        <x:f>(1+'03 Sector Inputs'!U8)^((A128-2026)/10)</x:f>
        <x:v>1.0157012225937492</x:v>
      </x:c>
      <x:c r="J128" t="n">
        <x:f>I128^'02 Assumptions'!$E$21</x:f>
        <x:v>1.0046847091965965</x:v>
      </x:c>
      <x:c r="K128" s="32" t="n">
        <x:f>'02 Assumptions'!$E$14</x:f>
        <x:v>0.6</x:v>
      </x:c>
      <x:c r="L128" t="n">
        <x:f>(1+'02 Assumptions'!$E$15)^(A128-2026)</x:f>
        <x:v>7.529535999999997</x:v>
      </x:c>
      <x:c r="M128" t="n">
        <x:f>(1-'02 Assumptions'!$E$16)^(A128-2026)</x:f>
        <x:v>0.22519960070400005</x:v>
      </x:c>
      <x:c r="N128" t="n">
        <x:f>IF(M128&gt;0,M128^(-'02 Assumptions'!$E$17),0)</x:f>
        <x:v>3.2956866067821595</x:v>
      </x:c>
      <x:c r="O128" t="n">
        <x:f>(1+'02 Assumptions'!$E$18)^(A128-2026)</x:f>
        <x:v>1.126162419264</x:v>
      </x:c>
      <x:c r="P128" s="40" t="n">
        <x:f>F128*G128*12/1000*(1-K128)*H128*J128*O128</x:f>
        <x:v>0</x:v>
      </x:c>
      <x:c r="Q128" s="40" t="n">
        <x:f>F128*G128*12/1000*K128*H128*J128*L128*M128*N128</x:f>
        <x:v>0</x:v>
      </x:c>
      <x:c r="R128" s="40" t="n">
        <x:f>SUM(P128:Q128)</x:f>
        <x:v>0</x:v>
      </x:c>
      <x:c r="S128" s="40" t="n">
        <x:f>IFERROR('03 Sector Inputs'!M8*(D128/'03 Sector Inputs'!L8)*(1+'02 Assumptions'!$E$19)^(A128-2026),0)</x:f>
        <x:v>0</x:v>
      </x:c>
      <x:c r="T128" s="36" t="n">
        <x:f>IFERROR(R128/S128,0)</x:f>
        <x:v>0</x:v>
      </x:c>
      <x:c r="U128" s="42" t="n">
        <x:f>S128*(I128-1)</x:f>
        <x:v>0</x:v>
      </x:c>
      <x:c r="V128" t="str">
        <x:f>'03 Sector Inputs'!I8</x:f>
        <x:v>NATIONAL PROXY</x:v>
      </x:c>
      <x:c r="W128" t="n">
        <x:f>P128+F128*G128*12/1000*K128*H128*J128*L128*M128</x:f>
        <x:v>0</x:v>
      </x:c>
      <x:c r="X128" t="n">
        <x:f>F128*G128*12/1000*H128*((1-K128)*O128+K128*L128*M128*N128)</x:f>
        <x:v>0</x:v>
      </x:c>
      <x:c r="Y128" t="n">
        <x:f>F128*G128*12/1000*H128*((1-K128)*O128+K128*L128*M128)</x:f>
        <x:v>0</x:v>
      </x:c>
      <x:c r="Z128" t="str">
        <x:f>IF(OR(F128&lt;0,E128&lt;0,E128&gt;1,R128&lt;0),"CHECK","OK")</x:f>
        <x:v>OK</x:v>
      </x:c>
    </x:row>
    <x:row r="129">
      <x:c r="A129" s="44" t="n">
        <x:f>2032</x:f>
        <x:v>2032</x:v>
      </x:c>
      <x:c r="B129" s="28" t="str">
        <x:f>'03 Sector Inputs'!A9</x:f>
        <x:v>21</x:v>
      </x:c>
      <x:c r="C129" s="28" t="str">
        <x:f>'03 Sector Inputs'!B9</x:f>
        <x:v>Mining, Quarrying, Oil and Gas Extraction</x:v>
      </x:c>
      <x:c r="D129" t="n">
        <x:f>'03 Sector Inputs'!L9*('03 Sector Inputs'!D9/'03 Sector Inputs'!C9)^((A129-2026)/10)</x:f>
        <x:v>0.576157363795794</x:v>
      </x:c>
      <x:c r="E129" s="32" t="n">
        <x:f>MIN(0.98,1-(1-'03 Sector Inputs'!K9)*(1-'02 Assumptions'!$E$12)^(A129-2026))</x:f>
        <x:v>0.7668688438665999</x:v>
      </x:c>
      <x:c r="F129" t="n">
        <x:f>D129*E129</x:f>
        <x:v>0.44183713145930853</x:v>
      </x:c>
      <x:c r="G129" s="38" t="n">
        <x:f>'03 Sector Inputs'!Q9</x:f>
        <x:v>144.21605034049728</x:v>
      </x:c>
      <x:c r="H129" t="n">
        <x:f>(1+'02 Assumptions'!$E$19)^((A129-2026)*'02 Assumptions'!$E$20)</x:f>
        <x:v>1.0610534869788768</x:v>
      </x:c>
      <x:c r="I129" t="n">
        <x:f>(1+'03 Sector Inputs'!U9)^((A129-2026)/10)</x:f>
        <x:v>1.0247624868230818</x:v>
      </x:c>
      <x:c r="J129" t="n">
        <x:f>I129^'02 Assumptions'!$E$21</x:f>
        <x:v>1.0073652506793938</x:v>
      </x:c>
      <x:c r="K129" s="32" t="n">
        <x:f>'02 Assumptions'!$E$14</x:f>
        <x:v>0.6</x:v>
      </x:c>
      <x:c r="L129" t="n">
        <x:f>(1+'02 Assumptions'!$E$15)^(A129-2026)</x:f>
        <x:v>7.529535999999997</x:v>
      </x:c>
      <x:c r="M129" t="n">
        <x:f>(1-'02 Assumptions'!$E$16)^(A129-2026)</x:f>
        <x:v>0.22519960070400005</x:v>
      </x:c>
      <x:c r="N129" t="n">
        <x:f>IF(M129&gt;0,M129^(-'02 Assumptions'!$E$17),0)</x:f>
        <x:v>3.2956866067821595</x:v>
      </x:c>
      <x:c r="O129" t="n">
        <x:f>(1+'02 Assumptions'!$E$18)^(A129-2026)</x:f>
        <x:v>1.126162419264</x:v>
      </x:c>
      <x:c r="P129" s="40" t="n">
        <x:f>F129*G129*12/1000*(1-K129)*H129*J129*O129</x:f>
        <x:v>0.3681648466308121</x:v>
      </x:c>
      <x:c r="Q129" s="40" t="n">
        <x:f>F129*G129*12/1000*K129*H129*J129*L129*M129*N129</x:f>
        <x:v>2.740402053767698</x:v>
      </x:c>
      <x:c r="R129" s="40" t="n">
        <x:f>SUM(P129:Q129)</x:f>
        <x:v>3.10856690039851</x:v>
      </x:c>
      <x:c r="S129" s="40" t="n">
        <x:f>IFERROR('03 Sector Inputs'!M9*(D129/'03 Sector Inputs'!L9)*(1+'02 Assumptions'!$E$19)^(A129-2026),0)</x:f>
        <x:v>602.8733962153735</x:v>
      </x:c>
      <x:c r="T129" s="36" t="n">
        <x:f>IFERROR(R129/S129,0)</x:f>
        <x:v>0.005156251577715979</x:v>
      </x:c>
      <x:c r="U129" s="42" t="n">
        <x:f>S129*(I129-1)</x:f>
        <x:v>14.928644529769759</x:v>
      </x:c>
      <x:c r="V129" t="str">
        <x:f>'03 Sector Inputs'!I9</x:f>
        <x:v>NATIONAL PROXY</x:v>
      </x:c>
      <x:c r="W129" t="n">
        <x:f>P129+F129*G129*12/1000*K129*H129*J129*L129*M129</x:f>
        <x:v>1.1996765711158566</x:v>
      </x:c>
      <x:c r="X129" t="n">
        <x:f>F129*G129*12/1000*H129*((1-K129)*O129+K129*L129*M129*N129)</x:f>
        <x:v>3.0858389231731103</x:v>
      </x:c>
      <x:c r="Y129" t="n">
        <x:f>F129*G129*12/1000*H129*((1-K129)*O129+K129*L129*M129)</x:f>
        <x:v>1.1909052553746151</x:v>
      </x:c>
      <x:c r="Z129" t="str">
        <x:f>IF(OR(F129&lt;0,E129&lt;0,E129&gt;1,R129&lt;0),"CHECK","OK")</x:f>
        <x:v>OK</x:v>
      </x:c>
    </x:row>
    <x:row r="130">
      <x:c r="A130" s="44" t="n">
        <x:f>2032</x:f>
        <x:v>2032</x:v>
      </x:c>
      <x:c r="B130" s="28" t="str">
        <x:f>'03 Sector Inputs'!A10</x:f>
        <x:v>22</x:v>
      </x:c>
      <x:c r="C130" s="28" t="str">
        <x:f>'03 Sector Inputs'!B10</x:f>
        <x:v>Utilities</x:v>
      </x:c>
      <x:c r="D130" t="n">
        <x:f>'03 Sector Inputs'!L10*('03 Sector Inputs'!D10/'03 Sector Inputs'!C10)^((A130-2026)/10)</x:f>
        <x:v>0.6418804879373384</x:v>
      </x:c>
      <x:c r="E130" s="32" t="n">
        <x:f>MIN(0.98,1-(1-'03 Sector Inputs'!K10)*(1-'02 Assumptions'!$E$12)^(A130-2026))</x:f>
        <x:v>0.7668688438665999</x:v>
      </x:c>
      <x:c r="F130" t="n">
        <x:f>D130*E130</x:f>
        <x:v>0.49223814768503577</x:v>
      </x:c>
      <x:c r="G130" s="38" t="n">
        <x:f>'03 Sector Inputs'!Q10</x:f>
        <x:v>143.37803430608625</x:v>
      </x:c>
      <x:c r="H130" t="n">
        <x:f>(1+'02 Assumptions'!$E$19)^((A130-2026)*'02 Assumptions'!$E$20)</x:f>
        <x:v>1.0610534869788768</x:v>
      </x:c>
      <x:c r="I130" t="n">
        <x:f>(1+'03 Sector Inputs'!U10)^((A130-2026)/10)</x:f>
        <x:v>1.028861408233781</x:v>
      </x:c>
      <x:c r="J130" t="n">
        <x:f>I130^'02 Assumptions'!$E$21</x:f>
        <x:v>1.0085723626317502</x:v>
      </x:c>
      <x:c r="K130" s="32" t="n">
        <x:f>'02 Assumptions'!$E$14</x:f>
        <x:v>0.6</x:v>
      </x:c>
      <x:c r="L130" t="n">
        <x:f>(1+'02 Assumptions'!$E$15)^(A130-2026)</x:f>
        <x:v>7.529535999999997</x:v>
      </x:c>
      <x:c r="M130" t="n">
        <x:f>(1-'02 Assumptions'!$E$16)^(A130-2026)</x:f>
        <x:v>0.22519960070400005</x:v>
      </x:c>
      <x:c r="N130" t="n">
        <x:f>IF(M130&gt;0,M130^(-'02 Assumptions'!$E$17),0)</x:f>
        <x:v>3.2956866067821595</x:v>
      </x:c>
      <x:c r="O130" t="n">
        <x:f>(1+'02 Assumptions'!$E$18)^(A130-2026)</x:f>
        <x:v>1.126162419264</x:v>
      </x:c>
      <x:c r="P130" s="40" t="n">
        <x:f>F130*G130*12/1000*(1-K130)*H130*J130*O130</x:f>
        <x:v>0.4082672071572204</x:v>
      </x:c>
      <x:c r="Q130" s="40" t="n">
        <x:f>F130*G130*12/1000*K130*H130*J130*L130*M130*N130</x:f>
        <x:v>3.0389003817672315</x:v>
      </x:c>
      <x:c r="R130" s="40" t="n">
        <x:f>SUM(P130:Q130)</x:f>
        <x:v>3.4471675889244517</x:v>
      </x:c>
      <x:c r="S130" s="40" t="n">
        <x:f>IFERROR('03 Sector Inputs'!M10*(D130/'03 Sector Inputs'!L10)*(1+'02 Assumptions'!$E$19)^(A130-2026),0)</x:f>
        <x:v>652.3554575622263</x:v>
      </x:c>
      <x:c r="T130" s="36" t="n">
        <x:f>IFERROR(R130/S130,0)</x:f>
        <x:v>0.005284186020005261</x:v>
      </x:c>
      <x:c r="U130" s="42" t="n">
        <x:f>S130*(I130-1)</x:f>
        <x:v>18.82789717423843</x:v>
      </x:c>
      <x:c r="V130" t="str">
        <x:f>'03 Sector Inputs'!I10</x:f>
        <x:v>NATIONAL PROXY</x:v>
      </x:c>
      <x:c r="W130" t="n">
        <x:f>P130+F130*G130*12/1000*K130*H130*J130*L130*M130</x:f>
        <x:v>1.3303513566371832</x:v>
      </x:c>
      <x:c r="X130" t="n">
        <x:f>F130*G130*12/1000*H130*((1-K130)*O130+K130*L130*M130*N130)</x:f>
        <x:v>3.4178683817286815</x:v>
      </x:c>
      <x:c r="Y130" t="n">
        <x:f>F130*G130*12/1000*H130*((1-K130)*O130+K130*L130*M130)</x:f>
        <x:v>1.3190440328602588</x:v>
      </x:c>
      <x:c r="Z130" t="str">
        <x:f>IF(OR(F130&lt;0,E130&lt;0,E130&gt;1,R130&lt;0),"CHECK","OK")</x:f>
        <x:v>OK</x:v>
      </x:c>
    </x:row>
    <x:row r="131">
      <x:c r="A131" s="44" t="n">
        <x:f>2032</x:f>
        <x:v>2032</x:v>
      </x:c>
      <x:c r="B131" s="28" t="str">
        <x:f>'03 Sector Inputs'!A11</x:f>
        <x:v>23</x:v>
      </x:c>
      <x:c r="C131" s="28" t="str">
        <x:f>'03 Sector Inputs'!B11</x:f>
        <x:v>Construction</x:v>
      </x:c>
      <x:c r="D131" t="n">
        <x:f>'03 Sector Inputs'!L11*('03 Sector Inputs'!D11/'03 Sector Inputs'!C11)^((A131-2026)/10)</x:f>
        <x:v>8.552092418069963</x:v>
      </x:c>
      <x:c r="E131" s="32" t="n">
        <x:f>MIN(0.98,1-(1-'03 Sector Inputs'!K11)*(1-'02 Assumptions'!$E$12)^(A131-2026))</x:f>
        <x:v>0.6927041796967</x:v>
      </x:c>
      <x:c r="F131" t="n">
        <x:f>D131*E131</x:f>
        <x:v>5.924070163149521</x:v>
      </x:c>
      <x:c r="G131" s="38" t="n">
        <x:f>'03 Sector Inputs'!Q11</x:f>
        <x:v>102.71551089956172</x:v>
      </x:c>
      <x:c r="H131" t="n">
        <x:f>(1+'02 Assumptions'!$E$19)^((A131-2026)*'02 Assumptions'!$E$20)</x:f>
        <x:v>1.0610534869788768</x:v>
      </x:c>
      <x:c r="I131" t="n">
        <x:f>(1+'03 Sector Inputs'!U11)^((A131-2026)/10)</x:f>
        <x:v>1.021090600597082</x:v>
      </x:c>
      <x:c r="J131" t="n">
        <x:f>I131^'02 Assumptions'!$E$21</x:f>
        <x:v>1.0062810251363545</x:v>
      </x:c>
      <x:c r="K131" s="32" t="n">
        <x:f>'02 Assumptions'!$E$14</x:f>
        <x:v>0.6</x:v>
      </x:c>
      <x:c r="L131" t="n">
        <x:f>(1+'02 Assumptions'!$E$15)^(A131-2026)</x:f>
        <x:v>7.529535999999997</x:v>
      </x:c>
      <x:c r="M131" t="n">
        <x:f>(1-'02 Assumptions'!$E$16)^(A131-2026)</x:f>
        <x:v>0.22519960070400005</x:v>
      </x:c>
      <x:c r="N131" t="n">
        <x:f>IF(M131&gt;0,M131^(-'02 Assumptions'!$E$17),0)</x:f>
        <x:v>3.2956866067821595</x:v>
      </x:c>
      <x:c r="O131" t="n">
        <x:f>(1+'02 Assumptions'!$E$18)^(A131-2026)</x:f>
        <x:v>1.126162419264</x:v>
      </x:c>
      <x:c r="P131" s="40" t="n">
        <x:f>F131*G131*12/1000*(1-K131)*H131*J131*O131</x:f>
        <x:v>3.512004410241858</x:v>
      </x:c>
      <x:c r="Q131" s="40" t="n">
        <x:f>F131*G131*12/1000*K131*H131*J131*L131*M131*N131</x:f>
        <x:v>26.141290203947822</x:v>
      </x:c>
      <x:c r="R131" s="40" t="n">
        <x:f>SUM(P131:Q131)</x:f>
        <x:v>29.65329461418968</x:v>
      </x:c>
      <x:c r="S131" s="40" t="n">
        <x:f>IFERROR('03 Sector Inputs'!M11*(D131/'03 Sector Inputs'!L11)*(1+'02 Assumptions'!$E$19)^(A131-2026),0)</x:f>
        <x:v>1640.0970773956215</x:v>
      </x:c>
      <x:c r="T131" s="36" t="n">
        <x:f>IFERROR(R131/S131,0)</x:f>
        <x:v>0.018080206972429572</x:v>
      </x:c>
      <x:c r="U131" s="42" t="n">
        <x:f>S131*(I131-1)</x:f>
        <x:v>34.59063239979237</x:v>
      </x:c>
      <x:c r="V131" t="str">
        <x:f>'03 Sector Inputs'!I11</x:f>
        <x:v>DIRECT RAMP</x:v>
      </x:c>
      <x:c r="W131" t="n">
        <x:f>P131+F131*G131*12/1000*K131*H131*J131*L131*M131</x:f>
        <x:v>11.443975293077601</x:v>
      </x:c>
      <x:c r="X131" t="n">
        <x:f>F131*G131*12/1000*H131*((1-K131)*O131+K131*L131*M131*N131)</x:f>
        <x:v>29.468204083617263</x:v>
      </x:c>
      <x:c r="Y131" t="n">
        <x:f>F131*G131*12/1000*H131*((1-K131)*O131+K131*L131*M131)</x:f>
        <x:v>11.372544057985099</x:v>
      </x:c>
      <x:c r="Z131" t="str">
        <x:f>IF(OR(F131&lt;0,E131&lt;0,E131&gt;1,R131&lt;0),"CHECK","OK")</x:f>
        <x:v>OK</x:v>
      </x:c>
    </x:row>
    <x:row r="132">
      <x:c r="A132" s="44" t="n">
        <x:f>2032</x:f>
        <x:v>2032</x:v>
      </x:c>
      <x:c r="B132" s="28" t="str">
        <x:f>'03 Sector Inputs'!A12</x:f>
        <x:v>31-33</x:v>
      </x:c>
      <x:c r="C132" s="28" t="str">
        <x:f>'03 Sector Inputs'!B12</x:f>
        <x:v>Manufacturing</x:v>
      </x:c>
      <x:c r="D132" t="n">
        <x:f>'03 Sector Inputs'!L12*('03 Sector Inputs'!D12/'03 Sector Inputs'!C12)^((A132-2026)/10)</x:f>
        <x:v>12.684126901967796</x:v>
      </x:c>
      <x:c r="E132" s="32" t="n">
        <x:f>MIN(0.98,1-(1-'03 Sector Inputs'!K12)*(1-'02 Assumptions'!$E$12)^(A132-2026))</x:f>
        <x:v>0.7930155816342999</x:v>
      </x:c>
      <x:c r="F132" t="n">
        <x:f>D132*E132</x:f>
        <x:v>10.05871027268726</x:v>
      </x:c>
      <x:c r="G132" s="38" t="n">
        <x:f>'03 Sector Inputs'!Q12</x:f>
        <x:v>111.62191536298072</x:v>
      </x:c>
      <x:c r="H132" t="n">
        <x:f>(1+'02 Assumptions'!$E$19)^((A132-2026)*'02 Assumptions'!$E$20)</x:f>
        <x:v>1.0610534869788768</x:v>
      </x:c>
      <x:c r="I132" t="n">
        <x:f>(1+'03 Sector Inputs'!U12)^((A132-2026)/10)</x:f>
        <x:v>1.0271698015199835</x:v>
      </x:c>
      <x:c r="J132" t="n">
        <x:f>I132^'02 Assumptions'!$E$21</x:f>
        <x:v>1.008074601572245</x:v>
      </x:c>
      <x:c r="K132" s="32" t="n">
        <x:f>'02 Assumptions'!$E$14</x:f>
        <x:v>0.6</x:v>
      </x:c>
      <x:c r="L132" t="n">
        <x:f>(1+'02 Assumptions'!$E$15)^(A132-2026)</x:f>
        <x:v>7.529535999999997</x:v>
      </x:c>
      <x:c r="M132" t="n">
        <x:f>(1-'02 Assumptions'!$E$16)^(A132-2026)</x:f>
        <x:v>0.22519960070400005</x:v>
      </x:c>
      <x:c r="N132" t="n">
        <x:f>IF(M132&gt;0,M132^(-'02 Assumptions'!$E$17),0)</x:f>
        <x:v>3.2956866067821595</x:v>
      </x:c>
      <x:c r="O132" t="n">
        <x:f>(1+'02 Assumptions'!$E$18)^(A132-2026)</x:f>
        <x:v>1.126162419264</x:v>
      </x:c>
      <x:c r="P132" s="40" t="n">
        <x:f>F132*G132*12/1000*(1-K132)*H132*J132*O132</x:f>
        <x:v>6.4917828949942935</x:v>
      </x:c>
      <x:c r="Q132" s="40" t="n">
        <x:f>F132*G132*12/1000*K132*H132*J132*L132*M132*N132</x:f>
        <x:v>48.321004411091714</x:v>
      </x:c>
      <x:c r="R132" s="40" t="n">
        <x:f>SUM(P132:Q132)</x:f>
        <x:v>54.81278730608601</x:v>
      </x:c>
      <x:c r="S132" s="40" t="n">
        <x:f>IFERROR('03 Sector Inputs'!M12*(D132/'03 Sector Inputs'!L12)*(1+'02 Assumptions'!$E$19)^(A132-2026),0)</x:f>
        <x:v>3686.590900747523</x:v>
      </x:c>
      <x:c r="T132" s="36" t="n">
        <x:f>IFERROR(R132/S132,0)</x:f>
        <x:v>0.014868150218396005</x:v>
      </x:c>
      <x:c r="U132" s="42" t="n">
        <x:f>S132*(I132-1)</x:f>
        <x:v>100.16394305868737</x:v>
      </x:c>
      <x:c r="V132" t="str">
        <x:f>'03 Sector Inputs'!I12</x:f>
        <x:v>DIRECT RAMP</x:v>
      </x:c>
      <x:c r="W132" t="n">
        <x:f>P132+F132*G132*12/1000*K132*H132*J132*L132*M132</x:f>
        <x:v>21.153675901341565</x:v>
      </x:c>
      <x:c r="X132" t="n">
        <x:f>F132*G132*12/1000*H132*((1-K132)*O132+K132*L132*M132*N132)</x:f>
        <x:v>54.37374101142632</x:v>
      </x:c>
      <x:c r="Y132" t="n">
        <x:f>F132*G132*12/1000*H132*((1-K132)*O132+K132*L132*M132)</x:f>
        <x:v>20.98423655188734</x:v>
      </x:c>
      <x:c r="Z132" t="str">
        <x:f>IF(OR(F132&lt;0,E132&lt;0,E132&gt;1,R132&lt;0),"CHECK","OK")</x:f>
        <x:v>OK</x:v>
      </x:c>
    </x:row>
    <x:row r="133">
      <x:c r="A133" s="44" t="n">
        <x:f>2032</x:f>
        <x:v>2032</x:v>
      </x:c>
      <x:c r="B133" s="28" t="str">
        <x:f>'03 Sector Inputs'!A13</x:f>
        <x:v>42</x:v>
      </x:c>
      <x:c r="C133" s="28" t="str">
        <x:f>'03 Sector Inputs'!B13</x:f>
        <x:v>Wholesale Trade</x:v>
      </x:c>
      <x:c r="D133" t="n">
        <x:f>'03 Sector Inputs'!L13*('03 Sector Inputs'!D13/'03 Sector Inputs'!C13)^((A133-2026)/10)</x:f>
        <x:v>6.146870783785609</x:v>
      </x:c>
      <x:c r="E133" s="32" t="n">
        <x:f>MIN(0.98,1-(1-'03 Sector Inputs'!K13)*(1-'02 Assumptions'!$E$12)^(A133-2026))</x:f>
        <x:v>0.7668688438665999</x:v>
      </x:c>
      <x:c r="F133" t="n">
        <x:f>D133*E133</x:f>
        <x:v>4.713843691359051</x:v>
      </x:c>
      <x:c r="G133" s="38" t="n">
        <x:f>'03 Sector Inputs'!Q13</x:f>
        <x:v>118.90648391909023</x:v>
      </x:c>
      <x:c r="H133" t="n">
        <x:f>(1+'02 Assumptions'!$E$19)^((A133-2026)*'02 Assumptions'!$E$20)</x:f>
        <x:v>1.0610534869788768</x:v>
      </x:c>
      <x:c r="I133" t="n">
        <x:f>(1+'03 Sector Inputs'!U13)^((A133-2026)/10)</x:f>
        <x:v>1.0346273089902394</x:v>
      </x:c>
      <x:c r="J133" t="n">
        <x:f>I133^'02 Assumptions'!$E$21</x:f>
        <x:v>1.010264706523338</x:v>
      </x:c>
      <x:c r="K133" s="32" t="n">
        <x:f>'02 Assumptions'!$E$14</x:f>
        <x:v>0.6</x:v>
      </x:c>
      <x:c r="L133" t="n">
        <x:f>(1+'02 Assumptions'!$E$15)^(A133-2026)</x:f>
        <x:v>7.529535999999997</x:v>
      </x:c>
      <x:c r="M133" t="n">
        <x:f>(1-'02 Assumptions'!$E$16)^(A133-2026)</x:f>
        <x:v>0.22519960070400005</x:v>
      </x:c>
      <x:c r="N133" t="n">
        <x:f>IF(M133&gt;0,M133^(-'02 Assumptions'!$E$17),0)</x:f>
        <x:v>3.2956866067821595</x:v>
      </x:c>
      <x:c r="O133" t="n">
        <x:f>(1+'02 Assumptions'!$E$18)^(A133-2026)</x:f>
        <x:v>1.126162419264</x:v>
      </x:c>
      <x:c r="P133" s="40" t="n">
        <x:f>F133*G133*12/1000*(1-K133)*H133*J133*O133</x:f>
        <x:v>3.2478460911073275</x:v>
      </x:c>
      <x:c r="Q133" s="40" t="n">
        <x:f>F133*G133*12/1000*K133*H133*J133*L133*M133*N133</x:f>
        <x:v>24.17505142015106</x:v>
      </x:c>
      <x:c r="R133" s="40" t="n">
        <x:f>SUM(P133:Q133)</x:f>
        <x:v>27.422897511258387</x:v>
      </x:c>
      <x:c r="S133" s="40" t="n">
        <x:f>IFERROR('03 Sector Inputs'!M13*(D133/'03 Sector Inputs'!L13)*(1+'02 Assumptions'!$E$19)^(A133-2026),0)</x:f>
        <x:v>2450.7487261069987</x:v>
      </x:c>
      <x:c r="T133" s="36" t="n">
        <x:f>IFERROR(R133/S133,0)</x:f>
        <x:v>0.011189599822752744</x:v>
      </x:c>
      <x:c r="U133" s="42" t="n">
        <x:f>S133*(I133-1)</x:f>
        <x:v>84.86283339634252</x:v>
      </x:c>
      <x:c r="V133" t="str">
        <x:f>'03 Sector Inputs'!I13</x:f>
        <x:v>NATIONAL PROXY</x:v>
      </x:c>
      <x:c r="W133" t="n">
        <x:f>P133+F133*G133*12/1000*K133*H133*J133*L133*M133</x:f>
        <x:v>10.58320721749643</x:v>
      </x:c>
      <x:c r="X133" t="n">
        <x:f>F133*G133*12/1000*H133*((1-K133)*O133+K133*L133*M133*N133)</x:f>
        <x:v>27.144269550531803</x:v>
      </x:c>
      <x:c r="Y133" t="n">
        <x:f>F133*G133*12/1000*H133*((1-K133)*O133+K133*L133*M133)</x:f>
        <x:v>10.47567746270858</x:v>
      </x:c>
      <x:c r="Z133" t="str">
        <x:f>IF(OR(F133&lt;0,E133&lt;0,E133&gt;1,R133&lt;0),"CHECK","OK")</x:f>
        <x:v>OK</x:v>
      </x:c>
    </x:row>
    <x:row r="134">
      <x:c r="A134" s="44" t="n">
        <x:f>2032</x:f>
        <x:v>2032</x:v>
      </x:c>
      <x:c r="B134" s="28" t="str">
        <x:f>'03 Sector Inputs'!A14</x:f>
        <x:v>44-45</x:v>
      </x:c>
      <x:c r="C134" s="28" t="str">
        <x:f>'03 Sector Inputs'!B14</x:f>
        <x:v>Retail Trade</x:v>
      </x:c>
      <x:c r="D134" t="n">
        <x:f>'03 Sector Inputs'!L14*('03 Sector Inputs'!D14/'03 Sector Inputs'!C14)^((A134-2026)/10)</x:f>
        <x:v>15.421644853435005</x:v>
      </x:c>
      <x:c r="E134" s="32" t="n">
        <x:f>MIN(0.98,1-(1-'03 Sector Inputs'!K14)*(1-'02 Assumptions'!$E$12)^(A134-2026))</x:f>
        <x:v>0.7277667436890999</x:v>
      </x:c>
      <x:c r="F134" t="n">
        <x:f>D134*E134</x:f>
        <x:v>11.223360257314159</x:v>
      </x:c>
      <x:c r="G134" s="38" t="n">
        <x:f>'03 Sector Inputs'!Q14</x:f>
        <x:v>96.49221383995867</x:v>
      </x:c>
      <x:c r="H134" t="n">
        <x:f>(1+'02 Assumptions'!$E$19)^((A134-2026)*'02 Assumptions'!$E$20)</x:f>
        <x:v>1.0610534869788768</x:v>
      </x:c>
      <x:c r="I134" t="n">
        <x:f>(1+'03 Sector Inputs'!U14)^((A134-2026)/10)</x:f>
        <x:v>1.0346273089902394</x:v>
      </x:c>
      <x:c r="J134" t="n">
        <x:f>I134^'02 Assumptions'!$E$21</x:f>
        <x:v>1.010264706523338</x:v>
      </x:c>
      <x:c r="K134" s="32" t="n">
        <x:f>'02 Assumptions'!$E$14</x:f>
        <x:v>0.6</x:v>
      </x:c>
      <x:c r="L134" t="n">
        <x:f>(1+'02 Assumptions'!$E$15)^(A134-2026)</x:f>
        <x:v>7.529535999999997</x:v>
      </x:c>
      <x:c r="M134" t="n">
        <x:f>(1-'02 Assumptions'!$E$16)^(A134-2026)</x:f>
        <x:v>0.22519960070400005</x:v>
      </x:c>
      <x:c r="N134" t="n">
        <x:f>IF(M134&gt;0,M134^(-'02 Assumptions'!$E$17),0)</x:f>
        <x:v>3.2956866067821595</x:v>
      </x:c>
      <x:c r="O134" t="n">
        <x:f>(1+'02 Assumptions'!$E$18)^(A134-2026)</x:f>
        <x:v>1.126162419264</x:v>
      </x:c>
      <x:c r="P134" s="40" t="n">
        <x:f>F134*G134*12/1000*(1-K134)*H134*J134*O134</x:f>
        <x:v>6.275233641510573</x:v>
      </x:c>
      <x:c r="Q134" s="40" t="n">
        <x:f>F134*G134*12/1000*K134*H134*J134*L134*M134*N134</x:f>
        <x:v>46.70913944239814</x:v>
      </x:c>
      <x:c r="R134" s="40" t="n">
        <x:f>SUM(P134:Q134)</x:f>
        <x:v>52.984373083908714</x:v>
      </x:c>
      <x:c r="S134" s="40" t="n">
        <x:f>IFERROR('03 Sector Inputs'!M14*(D134/'03 Sector Inputs'!L14)*(1+'02 Assumptions'!$E$19)^(A134-2026),0)</x:f>
        <x:v>2163.759893689808</x:v>
      </x:c>
      <x:c r="T134" s="36" t="n">
        <x:f>IFERROR(R134/S134,0)</x:f>
        <x:v>0.024487177730961512</x:v>
      </x:c>
      <x:c r="U134" s="42" t="n">
        <x:f>S134*(I134-1)</x:f>
        <x:v>74.92518241948444</x:v>
      </x:c>
      <x:c r="V134" t="str">
        <x:f>'03 Sector Inputs'!I14</x:f>
        <x:v>DIRECT RAMP</x:v>
      </x:c>
      <x:c r="W134" t="n">
        <x:f>P134+F134*G134*12/1000*K134*H134*J134*L134*M134</x:f>
        <x:v>20.44804344274467</x:v>
      </x:c>
      <x:c r="X134" t="n">
        <x:f>F134*G134*12/1000*H134*((1-K134)*O134+K134*L134*M134*N134)</x:f>
        <x:v>52.446029977871675</x:v>
      </x:c>
      <x:c r="Y134" t="n">
        <x:f>F134*G134*12/1000*H134*((1-K134)*O134+K134*L134*M134)</x:f>
        <x:v>20.240282879041963</x:v>
      </x:c>
      <x:c r="Z134" t="str">
        <x:f>IF(OR(F134&lt;0,E134&lt;0,E134&gt;1,R134&lt;0),"CHECK","OK")</x:f>
        <x:v>OK</x:v>
      </x:c>
    </x:row>
    <x:row r="135">
      <x:c r="A135" s="44" t="n">
        <x:f>2032</x:f>
        <x:v>2032</x:v>
      </x:c>
      <x:c r="B135" s="28" t="str">
        <x:f>'03 Sector Inputs'!A15</x:f>
        <x:v>48-49</x:v>
      </x:c>
      <x:c r="C135" s="28" t="str">
        <x:f>'03 Sector Inputs'!B15</x:f>
        <x:v>Transportation and Warehousing</x:v>
      </x:c>
      <x:c r="D135" t="n">
        <x:f>'03 Sector Inputs'!L15*('03 Sector Inputs'!D15/'03 Sector Inputs'!C15)^((A135-2026)/10)</x:f>
        <x:v>6.444742462580418</x:v>
      </x:c>
      <x:c r="E135" s="32" t="n">
        <x:f>MIN(0.98,1-(1-'03 Sector Inputs'!K15)*(1-'02 Assumptions'!$E$12)^(A135-2026))</x:f>
        <x:v>0.7668688438665999</x:v>
      </x:c>
      <x:c r="F135" t="n">
        <x:f>D135*E135</x:f>
        <x:v>4.94227220129703</x:v>
      </x:c>
      <x:c r="G135" s="38" t="n">
        <x:f>'03 Sector Inputs'!Q15</x:f>
        <x:v>101.76066164601345</x:v>
      </x:c>
      <x:c r="H135" t="n">
        <x:f>(1+'02 Assumptions'!$E$19)^((A135-2026)*'02 Assumptions'!$E$20)</x:f>
        <x:v>1.0610534869788768</x:v>
      </x:c>
      <x:c r="I135" t="n">
        <x:f>(1+'03 Sector Inputs'!U15)^((A135-2026)/10)</x:f>
        <x:v>1.0262490194796423</x:v>
      </x:c>
      <x:c r="J135" t="n">
        <x:f>I135^'02 Assumptions'!$E$21</x:f>
        <x:v>1.0078034170916117</x:v>
      </x:c>
      <x:c r="K135" s="32" t="n">
        <x:f>'02 Assumptions'!$E$14</x:f>
        <x:v>0.6</x:v>
      </x:c>
      <x:c r="L135" t="n">
        <x:f>(1+'02 Assumptions'!$E$15)^(A135-2026)</x:f>
        <x:v>7.529535999999997</x:v>
      </x:c>
      <x:c r="M135" t="n">
        <x:f>(1-'02 Assumptions'!$E$16)^(A135-2026)</x:f>
        <x:v>0.22519960070400005</x:v>
      </x:c>
      <x:c r="N135" t="n">
        <x:f>IF(M135&gt;0,M135^(-'02 Assumptions'!$E$17),0)</x:f>
        <x:v>3.2956866067821595</x:v>
      </x:c>
      <x:c r="O135" t="n">
        <x:f>(1+'02 Assumptions'!$E$18)^(A135-2026)</x:f>
        <x:v>1.126162419264</x:v>
      </x:c>
      <x:c r="P135" s="40" t="n">
        <x:f>F135*G135*12/1000*(1-K135)*H135*J135*O135</x:f>
        <x:v>2.907113276586396</x:v>
      </x:c>
      <x:c r="Q135" s="40" t="n">
        <x:f>F135*G135*12/1000*K135*H135*J135*L135*M135*N135</x:f>
        <x:v>21.638837239888627</x:v>
      </x:c>
      <x:c r="R135" s="40" t="n">
        <x:f>SUM(P135:Q135)</x:f>
        <x:v>24.545950516475024</x:v>
      </x:c>
      <x:c r="S135" s="40" t="n">
        <x:f>IFERROR('03 Sector Inputs'!M15*(D135/'03 Sector Inputs'!L15)*(1+'02 Assumptions'!$E$19)^(A135-2026),0)</x:f>
        <x:v>1179.5658584790817</x:v>
      </x:c>
      <x:c r="T135" s="36" t="n">
        <x:f>IFERROR(R135/S135,0)</x:f>
        <x:v>0.020809309069121654</x:v>
      </x:c>
      <x:c r="U135" s="42" t="n">
        <x:f>S135*(I135-1)</x:f>
        <x:v>30.96244719673842</x:v>
      </x:c>
      <x:c r="V135" t="str">
        <x:f>'03 Sector Inputs'!I15</x:f>
        <x:v>NATIONAL PROXY</x:v>
      </x:c>
      <x:c r="W135" t="n">
        <x:f>P135+F135*G135*12/1000*K135*H135*J135*L135*M135</x:f>
        <x:v>9.47291877379547</x:v>
      </x:c>
      <x:c r="X135" t="n">
        <x:f>F135*G135*12/1000*H135*((1-K135)*O135+K135*L135*M135*N135)</x:f>
        <x:v>24.355891337728757</x:v>
      </x:c>
      <x:c r="Y135" t="n">
        <x:f>F135*G135*12/1000*H135*((1-K135)*O135+K135*L135*M135)</x:f>
        <x:v>9.399570008537053</x:v>
      </x:c>
      <x:c r="Z135" t="str">
        <x:f>IF(OR(F135&lt;0,E135&lt;0,E135&gt;1,R135&lt;0),"CHECK","OK")</x:f>
        <x:v>OK</x:v>
      </x:c>
    </x:row>
    <x:row r="136">
      <x:c r="A136" s="44" t="n">
        <x:f>2032</x:f>
        <x:v>2032</x:v>
      </x:c>
      <x:c r="B136" s="28" t="str">
        <x:f>'03 Sector Inputs'!A16</x:f>
        <x:v>51</x:v>
      </x:c>
      <x:c r="C136" s="28" t="str">
        <x:f>'03 Sector Inputs'!B16</x:f>
        <x:v>Information</x:v>
      </x:c>
      <x:c r="D136" t="n">
        <x:f>'03 Sector Inputs'!L16*('03 Sector Inputs'!D16/'03 Sector Inputs'!C16)^((A136-2026)/10)</x:f>
        <x:v>2.9667820217101055</x:v>
      </x:c>
      <x:c r="E136" s="32" t="n">
        <x:f>MIN(0.98,1-(1-'03 Sector Inputs'!K16)*(1-'02 Assumptions'!$E$12)^(A136-2026))</x:f>
        <x:v>0.8986186478971</x:v>
      </x:c>
      <x:c r="F136" t="n">
        <x:f>D136*E136</x:f>
        <x:v>2.6660056489545596</x:v>
      </x:c>
      <x:c r="G136" s="38" t="n">
        <x:f>'03 Sector Inputs'!Q16</x:f>
        <x:v>135.72518396753694</x:v>
      </x:c>
      <x:c r="H136" t="n">
        <x:f>(1+'02 Assumptions'!$E$19)^((A136-2026)*'02 Assumptions'!$E$20)</x:f>
        <x:v>1.0610534869788768</x:v>
      </x:c>
      <x:c r="I136" t="n">
        <x:f>(1+'03 Sector Inputs'!U16)^((A136-2026)/10)</x:f>
        <x:v>1.0503072023578524</x:v>
      </x:c>
      <x:c r="J136" t="n">
        <x:f>I136^'02 Assumptions'!$E$21</x:f>
        <x:v>1.0148337525786182</x:v>
      </x:c>
      <x:c r="K136" s="32" t="n">
        <x:f>'02 Assumptions'!$E$14</x:f>
        <x:v>0.6</x:v>
      </x:c>
      <x:c r="L136" t="n">
        <x:f>(1+'02 Assumptions'!$E$15)^(A136-2026)</x:f>
        <x:v>7.529535999999997</x:v>
      </x:c>
      <x:c r="M136" t="n">
        <x:f>(1-'02 Assumptions'!$E$16)^(A136-2026)</x:f>
        <x:v>0.22519960070400005</x:v>
      </x:c>
      <x:c r="N136" t="n">
        <x:f>IF(M136&gt;0,M136^(-'02 Assumptions'!$E$17),0)</x:f>
        <x:v>3.2956866067821595</x:v>
      </x:c>
      <x:c r="O136" t="n">
        <x:f>(1+'02 Assumptions'!$E$18)^(A136-2026)</x:f>
        <x:v>1.126162419264</x:v>
      </x:c>
      <x:c r="P136" s="40" t="n">
        <x:f>F136*G136*12/1000*(1-K136)*H136*J136*O136</x:f>
        <x:v>2.106182268719916</x:v>
      </x:c>
      <x:c r="Q136" s="40" t="n">
        <x:f>F136*G136*12/1000*K136*H136*J136*L136*M136*N136</x:f>
        <x:v>15.677179034414962</x:v>
      </x:c>
      <x:c r="R136" s="40" t="n">
        <x:f>SUM(P136:Q136)</x:f>
        <x:v>17.78336130313488</x:v>
      </x:c>
      <x:c r="S136" s="40" t="n">
        <x:f>IFERROR('03 Sector Inputs'!M16*(D136/'03 Sector Inputs'!L16)*(1+'02 Assumptions'!$E$19)^(A136-2026),0)</x:f>
        <x:v>2291.948472475833</x:v>
      </x:c>
      <x:c r="T136" s="36" t="n">
        <x:f>IFERROR(R136/S136,0)</x:f>
        <x:v>0.007759058075125374</x:v>
      </x:c>
      <x:c r="U136" s="42" t="n">
        <x:f>S136*(I136-1)</x:f>
        <x:v>115.30151559861233</x:v>
      </x:c>
      <x:c r="V136" t="str">
        <x:f>'03 Sector Inputs'!I16</x:f>
        <x:v>DIRECT RAMP</x:v>
      </x:c>
      <x:c r="W136" t="n">
        <x:f>P136+F136*G136*12/1000*K136*H136*J136*L136*M136</x:f>
        <x:v>6.863060244360275</x:v>
      </x:c>
      <x:c r="X136" t="n">
        <x:f>F136*G136*12/1000*H136*((1-K136)*O136+K136*L136*M136*N136)</x:f>
        <x:v>17.523423179361806</x:v>
      </x:c>
      <x:c r="Y136" t="n">
        <x:f>F136*G136*12/1000*H136*((1-K136)*O136+K136*L136*M136)</x:f>
        <x:v>6.762743382274922</x:v>
      </x:c>
      <x:c r="Z136" t="str">
        <x:f>IF(OR(F136&lt;0,E136&lt;0,E136&gt;1,R136&lt;0),"CHECK","OK")</x:f>
        <x:v>OK</x:v>
      </x:c>
    </x:row>
    <x:row r="137">
      <x:c r="A137" s="44" t="n">
        <x:f>2032</x:f>
        <x:v>2032</x:v>
      </x:c>
      <x:c r="B137" s="28" t="str">
        <x:f>'03 Sector Inputs'!A17</x:f>
        <x:v>52</x:v>
      </x:c>
      <x:c r="C137" s="28" t="str">
        <x:f>'03 Sector Inputs'!B17</x:f>
        <x:v>Finance and Insurance</x:v>
      </x:c>
      <x:c r="D137" t="n">
        <x:f>'03 Sector Inputs'!L17*('03 Sector Inputs'!D17/'03 Sector Inputs'!C17)^((A137-2026)/10)</x:f>
        <x:v>6.504595555726045</x:v>
      </x:c>
      <x:c r="E137" s="32" t="n">
        <x:f>MIN(0.98,1-(1-'03 Sector Inputs'!K17)*(1-'02 Assumptions'!$E$12)^(A137-2026))</x:f>
        <x:v>0.8602579610586999</x:v>
      </x:c>
      <x:c r="F137" t="n">
        <x:f>D137*E137</x:f>
        <x:v>5.595630110280369</x:v>
      </x:c>
      <x:c r="G137" s="38" t="n">
        <x:f>'03 Sector Inputs'!Q17</x:f>
        <x:v>124.6049898658694</x:v>
      </x:c>
      <x:c r="H137" t="n">
        <x:f>(1+'02 Assumptions'!$E$19)^((A137-2026)*'02 Assumptions'!$E$20)</x:f>
        <x:v>1.0610534869788768</x:v>
      </x:c>
      <x:c r="I137" t="n">
        <x:f>(1+'03 Sector Inputs'!U17)^((A137-2026)/10)</x:f>
        <x:v>1.0544397097241704</x:v>
      </x:c>
      <x:c r="J137" t="n">
        <x:f>I137^'02 Assumptions'!$E$21</x:f>
        <x:v>1.0160299870231941</x:v>
      </x:c>
      <x:c r="K137" s="32" t="n">
        <x:f>'02 Assumptions'!$E$14</x:f>
        <x:v>0.6</x:v>
      </x:c>
      <x:c r="L137" t="n">
        <x:f>(1+'02 Assumptions'!$E$15)^(A137-2026)</x:f>
        <x:v>7.529535999999997</x:v>
      </x:c>
      <x:c r="M137" t="n">
        <x:f>(1-'02 Assumptions'!$E$16)^(A137-2026)</x:f>
        <x:v>0.22519960070400005</x:v>
      </x:c>
      <x:c r="N137" t="n">
        <x:f>IF(M137&gt;0,M137^(-'02 Assumptions'!$E$17),0)</x:f>
        <x:v>3.2956866067821595</x:v>
      </x:c>
      <x:c r="O137" t="n">
        <x:f>(1+'02 Assumptions'!$E$18)^(A137-2026)</x:f>
        <x:v>1.126162419264</x:v>
      </x:c>
      <x:c r="P137" s="40" t="n">
        <x:f>F137*G137*12/1000*(1-K137)*H137*J137*O137</x:f>
        <x:v>4.0632215521908375</x:v>
      </x:c>
      <x:c r="Q137" s="40" t="n">
        <x:f>F137*G137*12/1000*K137*H137*J137*L137*M137*N137</x:f>
        <x:v>30.244225619136174</x:v>
      </x:c>
      <x:c r="R137" s="40" t="n">
        <x:f>SUM(P137:Q137)</x:f>
        <x:v>34.30744717132701</x:v>
      </x:c>
      <x:c r="S137" s="40" t="n">
        <x:f>IFERROR('03 Sector Inputs'!M17*(D137/'03 Sector Inputs'!L17)*(1+'02 Assumptions'!$E$19)^(A137-2026),0)</x:f>
        <x:v>3277.2870745520995</x:v>
      </x:c>
      <x:c r="T137" s="36" t="n">
        <x:f>IFERROR(R137/S137,0)</x:f>
        <x:v>0.010468245957982104</x:v>
      </x:c>
      <x:c r="U137" s="42" t="n">
        <x:f>S137*(I137-1)</x:f>
        <x:v>178.41455702139206</x:v>
      </x:c>
      <x:c r="V137" t="str">
        <x:f>'03 Sector Inputs'!I17</x:f>
        <x:v>DIRECT RAMP</x:v>
      </x:c>
      <x:c r="W137" t="n">
        <x:f>P137+F137*G137*12/1000*K137*H137*J137*L137*M137</x:f>
        <x:v>13.240133445723703</x:v>
      </x:c>
      <x:c r="X137" t="n">
        <x:f>F137*G137*12/1000*H137*((1-K137)*O137+K137*L137*M137*N137)</x:f>
        <x:v>33.76617581124979</x:v>
      </x:c>
      <x:c r="Y137" t="n">
        <x:f>F137*G137*12/1000*H137*((1-K137)*O137+K137*L137*M137)</x:f>
        <x:v>13.031242792858096</x:v>
      </x:c>
      <x:c r="Z137" t="str">
        <x:f>IF(OR(F137&lt;0,E137&lt;0,E137&gt;1,R137&lt;0),"CHECK","OK")</x:f>
        <x:v>OK</x:v>
      </x:c>
    </x:row>
    <x:row r="138">
      <x:c r="A138" s="44" t="n">
        <x:f>2032</x:f>
        <x:v>2032</x:v>
      </x:c>
      <x:c r="B138" s="28" t="str">
        <x:f>'03 Sector Inputs'!A18</x:f>
        <x:v>53</x:v>
      </x:c>
      <x:c r="C138" s="28" t="str">
        <x:f>'03 Sector Inputs'!B18</x:f>
        <x:v>Real Estate and Rental and Leasing</x:v>
      </x:c>
      <x:c r="D138" t="n">
        <x:f>'03 Sector Inputs'!L18*('03 Sector Inputs'!D18/'03 Sector Inputs'!C18)^((A138-2026)/10)</x:f>
        <x:v>2.5145097910591607</x:v>
      </x:c>
      <x:c r="E138" s="32" t="n">
        <x:f>MIN(0.98,1-(1-'03 Sector Inputs'!K18)*(1-'02 Assumptions'!$E$12)^(A138-2026))</x:f>
        <x:v>0.7668688438665999</x:v>
      </x:c>
      <x:c r="F138" t="n">
        <x:f>D138*E138</x:f>
        <x:v>1.9282992163607844</x:v>
      </x:c>
      <x:c r="G138" s="38" t="n">
        <x:f>'03 Sector Inputs'!Q18</x:f>
        <x:v>134.08799266238282</x:v>
      </x:c>
      <x:c r="H138" t="n">
        <x:f>(1+'02 Assumptions'!$E$19)^((A138-2026)*'02 Assumptions'!$E$20)</x:f>
        <x:v>1.0610534869788768</x:v>
      </x:c>
      <x:c r="I138" t="n">
        <x:f>(1+'03 Sector Inputs'!U18)^((A138-2026)/10)</x:f>
        <x:v>1.0377814783466013</x:v>
      </x:c>
      <x:c r="J138" t="n">
        <x:f>I138^'02 Assumptions'!$E$21</x:f>
        <x:v>1.0111876915630353</x:v>
      </x:c>
      <x:c r="K138" s="32" t="n">
        <x:f>'02 Assumptions'!$E$14</x:f>
        <x:v>0.6</x:v>
      </x:c>
      <x:c r="L138" t="n">
        <x:f>(1+'02 Assumptions'!$E$15)^(A138-2026)</x:f>
        <x:v>7.529535999999997</x:v>
      </x:c>
      <x:c r="M138" t="n">
        <x:f>(1-'02 Assumptions'!$E$16)^(A138-2026)</x:f>
        <x:v>0.22519960070400005</x:v>
      </x:c>
      <x:c r="N138" t="n">
        <x:f>IF(M138&gt;0,M138^(-'02 Assumptions'!$E$17),0)</x:f>
        <x:v>3.2956866067821595</x:v>
      </x:c>
      <x:c r="O138" t="n">
        <x:f>(1+'02 Assumptions'!$E$18)^(A138-2026)</x:f>
        <x:v>1.126162419264</x:v>
      </x:c>
      <x:c r="P138" s="40" t="n">
        <x:f>F138*G138*12/1000*(1-K138)*H138*J138*O138</x:f>
        <x:v>1.4996006969097926</x:v>
      </x:c>
      <x:c r="Q138" s="40" t="n">
        <x:f>F138*G138*12/1000*K138*H138*J138*L138*M138*N138</x:f>
        <x:v>11.162143445389816</x:v>
      </x:c>
      <x:c r="R138" s="40" t="n">
        <x:f>SUM(P138:Q138)</x:f>
        <x:v>12.661744142299609</x:v>
      </x:c>
      <x:c r="S138" s="40" t="n">
        <x:f>IFERROR('03 Sector Inputs'!M18*(D138/'03 Sector Inputs'!L18)*(1+'02 Assumptions'!$E$19)^(A138-2026),0)</x:f>
        <x:v>1828.183536517121</x:v>
      </x:c>
      <x:c r="T138" s="36" t="n">
        <x:f>IFERROR(R138/S138,0)</x:f>
        <x:v>0.006925860499991999</x:v>
      </x:c>
      <x:c r="U138" s="42" t="n">
        <x:f>S138*(I138-1)</x:f>
        <x:v>69.07147669853457</x:v>
      </x:c>
      <x:c r="V138" t="str">
        <x:f>'03 Sector Inputs'!I18</x:f>
        <x:v>NATIONAL PROXY</x:v>
      </x:c>
      <x:c r="W138" t="n">
        <x:f>P138+F138*G138*12/1000*K138*H138*J138*L138*M138</x:f>
        <x:v>4.886495379923449</x:v>
      </x:c>
      <x:c r="X138" t="n">
        <x:f>F138*G138*12/1000*H138*((1-K138)*O138+K138*L138*M138*N138)</x:f>
        <x:v>12.521655720243015</x:v>
      </x:c>
      <x:c r="Y138" t="n">
        <x:f>F138*G138*12/1000*H138*((1-K138)*O138+K138*L138*M138)</x:f>
        <x:v>4.832431625399027</x:v>
      </x:c>
      <x:c r="Z138" t="str">
        <x:f>IF(OR(F138&lt;0,E138&lt;0,E138&gt;1,R138&lt;0),"CHECK","OK")</x:f>
        <x:v>OK</x:v>
      </x:c>
    </x:row>
    <x:row r="139">
      <x:c r="A139" s="44" t="n">
        <x:f>2032</x:f>
        <x:v>2032</x:v>
      </x:c>
      <x:c r="B139" s="28" t="str">
        <x:f>'03 Sector Inputs'!A19</x:f>
        <x:v>54</x:v>
      </x:c>
      <x:c r="C139" s="28" t="str">
        <x:f>'03 Sector Inputs'!B19</x:f>
        <x:v>Professional, Scientific and Technical Services</x:v>
      </x:c>
      <x:c r="D139" t="n">
        <x:f>'03 Sector Inputs'!L19*('03 Sector Inputs'!D19/'03 Sector Inputs'!C19)^((A139-2026)/10)</x:f>
        <x:v>11.419821768112346</x:v>
      </x:c>
      <x:c r="E139" s="32" t="n">
        <x:f>MIN(0.98,1-(1-'03 Sector Inputs'!K19)*(1-'02 Assumptions'!$E$12)^(A139-2026))</x:f>
        <x:v>0.8709266480364561</x:v>
      </x:c>
      <x:c r="F139" t="n">
        <x:f>D139*E139</x:f>
        <x:v>9.945827093675842</x:v>
      </x:c>
      <x:c r="G139" s="38" t="n">
        <x:f>'03 Sector Inputs'!Q19</x:f>
        <x:v>110.53049517658319</x:v>
      </x:c>
      <x:c r="H139" t="n">
        <x:f>(1+'02 Assumptions'!$E$19)^((A139-2026)*'02 Assumptions'!$E$20)</x:f>
        <x:v>1.0610534869788768</x:v>
      </x:c>
      <x:c r="I139" t="n">
        <x:f>(1+'03 Sector Inputs'!U19)^((A139-2026)/10)</x:f>
        <x:v>1.0522905547023644</x:v>
      </x:c>
      <x:c r="J139" t="n">
        <x:f>I139^'02 Assumptions'!$E$21</x:f>
        <x:v>1.0154082827816566</x:v>
      </x:c>
      <x:c r="K139" s="32" t="n">
        <x:f>'02 Assumptions'!$E$14</x:f>
        <x:v>0.6</x:v>
      </x:c>
      <x:c r="L139" t="n">
        <x:f>(1+'02 Assumptions'!$E$15)^(A139-2026)</x:f>
        <x:v>7.529535999999997</x:v>
      </x:c>
      <x:c r="M139" t="n">
        <x:f>(1-'02 Assumptions'!$E$16)^(A139-2026)</x:f>
        <x:v>0.22519960070400005</x:v>
      </x:c>
      <x:c r="N139" t="n">
        <x:f>IF(M139&gt;0,M139^(-'02 Assumptions'!$E$17),0)</x:f>
        <x:v>3.2956866067821595</x:v>
      </x:c>
      <x:c r="O139" t="n">
        <x:f>(1+'02 Assumptions'!$E$18)^(A139-2026)</x:f>
        <x:v>1.126162419264</x:v>
      </x:c>
      <x:c r="P139" s="40" t="n">
        <x:f>F139*G139*12/1000*(1-K139)*H139*J139*O139</x:f>
        <x:v>6.402406828031926</x:v>
      </x:c>
      <x:c r="Q139" s="40" t="n">
        <x:f>F139*G139*12/1000*K139*H139*J139*L139*M139*N139</x:f>
        <x:v>47.65574166343194</x:v>
      </x:c>
      <x:c r="R139" s="40" t="n">
        <x:f>SUM(P139:Q139)</x:f>
        <x:v>54.05814849146387</x:v>
      </x:c>
      <x:c r="S139" s="40" t="n">
        <x:f>IFERROR('03 Sector Inputs'!M19*(D139/'03 Sector Inputs'!L19)*(1+'02 Assumptions'!$E$19)^(A139-2026),0)</x:f>
        <x:v>3159.998818479055</x:v>
      </x:c>
      <x:c r="T139" s="36" t="n">
        <x:f>IFERROR(R139/S139,0)</x:f>
        <x:v>0.017107015412582558</x:v>
      </x:c>
      <x:c r="U139" s="42" t="n">
        <x:f>S139*(I139-1)</x:f>
        <x:v>165.238091077086</x:v>
      </x:c>
      <x:c r="V139" t="str">
        <x:f>'03 Sector Inputs'!I19</x:f>
        <x:v>CENSUS PROXY</x:v>
      </x:c>
      <x:c r="W139" t="n">
        <x:f>P139+F139*G139*12/1000*K139*H139*J139*L139*M139</x:f>
        <x:v>20.862441215209905</x:v>
      </x:c>
      <x:c r="X139" t="n">
        <x:f>F139*G139*12/1000*H139*((1-K139)*O139+K139*L139*M139*N139)</x:f>
        <x:v>53.23784472525128</x:v>
      </x:c>
      <x:c r="Y139" t="n">
        <x:f>F139*G139*12/1000*H139*((1-K139)*O139+K139*L139*M139)</x:f>
        <x:v>20.54586472158605</x:v>
      </x:c>
      <x:c r="Z139" t="str">
        <x:f>IF(OR(F139&lt;0,E139&lt;0,E139&gt;1,R139&lt;0),"CHECK","OK")</x:f>
        <x:v>OK</x:v>
      </x:c>
    </x:row>
    <x:row r="140">
      <x:c r="A140" s="44" t="n">
        <x:f>2032</x:f>
        <x:v>2032</x:v>
      </x:c>
      <x:c r="B140" s="28" t="str">
        <x:f>'03 Sector Inputs'!A20</x:f>
        <x:v>55</x:v>
      </x:c>
      <x:c r="C140" s="28" t="str">
        <x:f>'03 Sector Inputs'!B20</x:f>
        <x:v>Management of Companies and Enterprises</x:v>
      </x:c>
      <x:c r="D140" t="n">
        <x:f>'03 Sector Inputs'!L20*('03 Sector Inputs'!D20/'03 Sector Inputs'!C20)^((A140-2026)/10)</x:f>
        <x:v>2.697942225174253</x:v>
      </x:c>
      <x:c r="E140" s="32" t="n">
        <x:f>MIN(0.98,1-(1-'03 Sector Inputs'!K20)*(1-'02 Assumptions'!$E$12)^(A140-2026))</x:f>
        <x:v>0.7668688438665999</x:v>
      </x:c>
      <x:c r="F140" t="n">
        <x:f>D140*E140</x:f>
        <x:v>2.0689678350382614</x:v>
      </x:c>
      <x:c r="G140" s="38" t="n">
        <x:f>'03 Sector Inputs'!Q20</x:f>
        <x:v>108.91030551487428</x:v>
      </x:c>
      <x:c r="H140" t="n">
        <x:f>(1+'02 Assumptions'!$E$19)^((A140-2026)*'02 Assumptions'!$E$20)</x:f>
        <x:v>1.0610534869788768</x:v>
      </x:c>
      <x:c r="I140" t="n">
        <x:f>(1+'03 Sector Inputs'!U20)^((A140-2026)/10)</x:f>
        <x:v>1.0522905547023644</x:v>
      </x:c>
      <x:c r="J140" t="n">
        <x:f>I140^'02 Assumptions'!$E$21</x:f>
        <x:v>1.0154082827816566</x:v>
      </x:c>
      <x:c r="K140" s="32" t="n">
        <x:f>'02 Assumptions'!$E$14</x:f>
        <x:v>0.6</x:v>
      </x:c>
      <x:c r="L140" t="n">
        <x:f>(1+'02 Assumptions'!$E$15)^(A140-2026)</x:f>
        <x:v>7.529535999999997</x:v>
      </x:c>
      <x:c r="M140" t="n">
        <x:f>(1-'02 Assumptions'!$E$16)^(A140-2026)</x:f>
        <x:v>0.22519960070400005</x:v>
      </x:c>
      <x:c r="N140" t="n">
        <x:f>IF(M140&gt;0,M140^(-'02 Assumptions'!$E$17),0)</x:f>
        <x:v>3.2956866067821595</x:v>
      </x:c>
      <x:c r="O140" t="n">
        <x:f>(1+'02 Assumptions'!$E$18)^(A140-2026)</x:f>
        <x:v>1.126162419264</x:v>
      </x:c>
      <x:c r="P140" s="40" t="n">
        <x:f>F140*G140*12/1000*(1-K140)*H140*J140*O140</x:f>
        <x:v>1.3123297127203437</x:v>
      </x:c>
      <x:c r="Q140" s="40" t="n">
        <x:f>F140*G140*12/1000*K140*H140*J140*L140*M140*N140</x:f>
        <x:v>9.768208651287958</x:v>
      </x:c>
      <x:c r="R140" s="40" t="n">
        <x:f>SUM(P140:Q140)</x:f>
        <x:v>11.080538364008301</x:v>
      </x:c>
      <x:c r="S140" s="40" t="n">
        <x:f>IFERROR('03 Sector Inputs'!M20*(D140/'03 Sector Inputs'!L20)*(1+'02 Assumptions'!$E$19)^(A140-2026),0)</x:f>
        <x:v>693.4170930137251</x:v>
      </x:c>
      <x:c r="T140" s="36" t="n">
        <x:f>IFERROR(R140/S140,0)</x:f>
        <x:v>0.015979615264241805</x:v>
      </x:c>
      <x:c r="U140" s="42" t="n">
        <x:f>S140*(I140-1)</x:f>
        <x:v>36.25916443378872</x:v>
      </x:c>
      <x:c r="V140" t="str">
        <x:f>'03 Sector Inputs'!I20</x:f>
        <x:v>NATIONAL PROXY</x:v>
      </x:c>
      <x:c r="W140" t="n">
        <x:f>P140+F140*G140*12/1000*K140*H140*J140*L140*M140</x:f>
        <x:v>4.276267069866519</x:v>
      </x:c>
      <x:c r="X140" t="n">
        <x:f>F140*G140*12/1000*H140*((1-K140)*O140+K140*L140*M140*N140)</x:f>
        <x:v>10.912397064217126</x:v>
      </x:c>
      <x:c r="Y140" t="n">
        <x:f>F140*G140*12/1000*H140*((1-K140)*O140+K140*L140*M140)</x:f>
        <x:v>4.211376982421212</x:v>
      </x:c>
      <x:c r="Z140" t="str">
        <x:f>IF(OR(F140&lt;0,E140&lt;0,E140&gt;1,R140&lt;0),"CHECK","OK")</x:f>
        <x:v>OK</x:v>
      </x:c>
    </x:row>
    <x:row r="141">
      <x:c r="A141" s="44" t="n">
        <x:f>2032</x:f>
        <x:v>2032</x:v>
      </x:c>
      <x:c r="B141" s="28" t="str">
        <x:f>'03 Sector Inputs'!A21</x:f>
        <x:v>56</x:v>
      </x:c>
      <x:c r="C141" s="28" t="str">
        <x:f>'03 Sector Inputs'!B21</x:f>
        <x:v>Administrative, Support and Waste Services</x:v>
      </x:c>
      <x:c r="D141" t="n">
        <x:f>'03 Sector Inputs'!L21*('03 Sector Inputs'!D21/'03 Sector Inputs'!C21)^((A141-2026)/10)</x:f>
        <x:v>9.069304984019729</x:v>
      </x:c>
      <x:c r="E141" s="32" t="n">
        <x:f>MIN(0.98,1-(1-'03 Sector Inputs'!K21)*(1-'02 Assumptions'!$E$12)^(A141-2026))</x:f>
        <x:v>0.7668688438665999</x:v>
      </x:c>
      <x:c r="F141" t="n">
        <x:f>D141*E141</x:f>
        <x:v>6.954967427768802</x:v>
      </x:c>
      <x:c r="G141" s="38" t="n">
        <x:f>'03 Sector Inputs'!Q21</x:f>
        <x:v>93.90408661465632</x:v>
      </x:c>
      <x:c r="H141" t="n">
        <x:f>(1+'02 Assumptions'!$E$19)^((A141-2026)*'02 Assumptions'!$E$20)</x:f>
        <x:v>1.0610534869788768</x:v>
      </x:c>
      <x:c r="I141" t="n">
        <x:f>(1+'03 Sector Inputs'!U21)^((A141-2026)/10)</x:f>
        <x:v>1.0293553552090002</x:v>
      </x:c>
      <x:c r="J141" t="n">
        <x:f>I141^'02 Assumptions'!$E$21</x:f>
        <x:v>1.0087176001466265</x:v>
      </x:c>
      <x:c r="K141" s="32" t="n">
        <x:f>'02 Assumptions'!$E$14</x:f>
        <x:v>0.6</x:v>
      </x:c>
      <x:c r="L141" t="n">
        <x:f>(1+'02 Assumptions'!$E$15)^(A141-2026)</x:f>
        <x:v>7.529535999999997</x:v>
      </x:c>
      <x:c r="M141" t="n">
        <x:f>(1-'02 Assumptions'!$E$16)^(A141-2026)</x:f>
        <x:v>0.22519960070400005</x:v>
      </x:c>
      <x:c r="N141" t="n">
        <x:f>IF(M141&gt;0,M141^(-'02 Assumptions'!$E$17),0)</x:f>
        <x:v>3.2956866067821595</x:v>
      </x:c>
      <x:c r="O141" t="n">
        <x:f>(1+'02 Assumptions'!$E$18)^(A141-2026)</x:f>
        <x:v>1.126162419264</x:v>
      </x:c>
      <x:c r="P141" s="40" t="n">
        <x:f>F141*G141*12/1000*(1-K141)*H141*J141*O141</x:f>
        <x:v>3.7785810005398</x:v>
      </x:c>
      <x:c r="Q141" s="40" t="n">
        <x:f>F141*G141*12/1000*K141*H141*J141*L141*M141*N141</x:f>
        <x:v>28.125529172508084</x:v>
      </x:c>
      <x:c r="R141" s="40" t="n">
        <x:f>SUM(P141:Q141)</x:f>
        <x:v>31.904110173047883</x:v>
      </x:c>
      <x:c r="S141" s="40" t="n">
        <x:f>IFERROR('03 Sector Inputs'!M21*(D141/'03 Sector Inputs'!L21)*(1+'02 Assumptions'!$E$19)^(A141-2026),0)</x:f>
        <x:v>1110.74274819389</x:v>
      </x:c>
      <x:c r="T141" s="36" t="n">
        <x:f>IFERROR(R141/S141,0)</x:f>
        <x:v>0.02872322166849631</x:v>
      </x:c>
      <x:c r="U141" s="42" t="n">
        <x:f>S141*(I141-1)</x:f>
        <x:v>32.60624791905275</x:v>
      </x:c>
      <x:c r="V141" t="str">
        <x:f>'03 Sector Inputs'!I21</x:f>
        <x:v>NATIONAL PROXY</x:v>
      </x:c>
      <x:c r="W141" t="n">
        <x:f>P141+F141*G141*12/1000*K141*H141*J141*L141*M141</x:f>
        <x:v>12.3126233802457</x:v>
      </x:c>
      <x:c r="X141" t="n">
        <x:f>F141*G141*12/1000*H141*((1-K141)*O141+K141*L141*M141*N141)</x:f>
        <x:v>31.628386545858156</x:v>
      </x:c>
      <x:c r="Y141" t="n">
        <x:f>F141*G141*12/1000*H141*((1-K141)*O141+K141*L141*M141)</x:f>
        <x:v>12.206214483078263</x:v>
      </x:c>
      <x:c r="Z141" t="str">
        <x:f>IF(OR(F141&lt;0,E141&lt;0,E141&gt;1,R141&lt;0),"CHECK","OK")</x:f>
        <x:v>OK</x:v>
      </x:c>
    </x:row>
    <x:row r="142">
      <x:c r="A142" s="44" t="n">
        <x:f>2032</x:f>
        <x:v>2032</x:v>
      </x:c>
      <x:c r="B142" s="28" t="str">
        <x:f>'03 Sector Inputs'!A22</x:f>
        <x:v>61</x:v>
      </x:c>
      <x:c r="C142" s="28" t="str">
        <x:f>'03 Sector Inputs'!B22</x:f>
        <x:v>Educational Services (Private)</x:v>
      </x:c>
      <x:c r="D142" t="n">
        <x:f>'03 Sector Inputs'!L22*('03 Sector Inputs'!D22/'03 Sector Inputs'!C22)^((A142-2026)/10)</x:f>
        <x:v>4.120002569455197</x:v>
      </x:c>
      <x:c r="E142" s="32" t="n">
        <x:f>MIN(0.98,1-(1-'03 Sector Inputs'!K22)*(1-'02 Assumptions'!$E$12)^(A142-2026))</x:f>
        <x:v>0.7668688438665999</x:v>
      </x:c>
      <x:c r="F142" t="n">
        <x:f>D142*E142</x:f>
        <x:v>3.159501607165528</x:v>
      </x:c>
      <x:c r="G142" s="38" t="n">
        <x:f>'03 Sector Inputs'!Q22</x:f>
        <x:v>90.94311072364238</x:v>
      </x:c>
      <x:c r="H142" t="n">
        <x:f>(1+'02 Assumptions'!$E$19)^((A142-2026)*'02 Assumptions'!$E$20)</x:f>
        <x:v>1.0610534869788768</x:v>
      </x:c>
      <x:c r="I142" t="n">
        <x:f>(1+'03 Sector Inputs'!U22)^((A142-2026)/10)</x:f>
        <x:v>1.0374204179262803</x:v>
      </x:c>
      <x:c r="J142" t="n">
        <x:f>I142^'02 Assumptions'!$E$21</x:f>
        <x:v>1.0110821363008604</x:v>
      </x:c>
      <x:c r="K142" s="32" t="n">
        <x:f>'02 Assumptions'!$E$14</x:f>
        <x:v>0.6</x:v>
      </x:c>
      <x:c r="L142" t="n">
        <x:f>(1+'02 Assumptions'!$E$15)^(A142-2026)</x:f>
        <x:v>7.529535999999997</x:v>
      </x:c>
      <x:c r="M142" t="n">
        <x:f>(1-'02 Assumptions'!$E$16)^(A142-2026)</x:f>
        <x:v>0.22519960070400005</x:v>
      </x:c>
      <x:c r="N142" t="n">
        <x:f>IF(M142&gt;0,M142^(-'02 Assumptions'!$E$17),0)</x:f>
        <x:v>3.2956866067821595</x:v>
      </x:c>
      <x:c r="O142" t="n">
        <x:f>(1+'02 Assumptions'!$E$18)^(A142-2026)</x:f>
        <x:v>1.126162419264</x:v>
      </x:c>
      <x:c r="P142" s="40" t="n">
        <x:f>F142*G142*12/1000*(1-K142)*H142*J142*O142</x:f>
        <x:v>1.6663045036544808</x:v>
      </x:c>
      <x:c r="Q142" s="40" t="n">
        <x:f>F142*G142*12/1000*K142*H142*J142*L142*M142*N142</x:f>
        <x:v>12.402988296696716</x:v>
      </x:c>
      <x:c r="R142" s="40" t="n">
        <x:f>SUM(P142:Q142)</x:f>
        <x:v>14.069292800351196</x:v>
      </x:c>
      <x:c r="S142" s="40" t="n">
        <x:f>IFERROR('03 Sector Inputs'!M22*(D142/'03 Sector Inputs'!L22)*(1+'02 Assumptions'!$E$19)^(A142-2026),0)</x:f>
        <x:v>429.8961236651703</x:v>
      </x:c>
      <x:c r="T142" s="36" t="n">
        <x:f>IFERROR(R142/S142,0)</x:f>
        <x:v>0.03272719158386558</x:v>
      </x:c>
      <x:c r="U142" s="42" t="n">
        <x:f>S142*(I142-1)</x:f>
        <x:v>16.086892612438533</x:v>
      </x:c>
      <x:c r="V142" t="str">
        <x:f>'03 Sector Inputs'!I22</x:f>
        <x:v>NATIONAL PROXY</x:v>
      </x:c>
      <x:c r="W142" t="n">
        <x:f>P142+F142*G142*12/1000*K142*H142*J142*L142*M142</x:f>
        <x:v>5.4297049044003325</x:v>
      </x:c>
      <x:c r="X142" t="n">
        <x:f>F142*G142*12/1000*H142*((1-K142)*O142+K142*L142*M142*N142)</x:f>
        <x:v>13.91508394345195</x:v>
      </x:c>
      <x:c r="Y142" t="n">
        <x:f>F142*G142*12/1000*H142*((1-K142)*O142+K142*L142*M142)</x:f>
        <x:v>5.370191707931288</x:v>
      </x:c>
      <x:c r="Z142" t="str">
        <x:f>IF(OR(F142&lt;0,E142&lt;0,E142&gt;1,R142&lt;0),"CHECK","OK")</x:f>
        <x:v>OK</x:v>
      </x:c>
    </x:row>
    <x:row r="143">
      <x:c r="A143" s="44" t="n">
        <x:f>2032</x:f>
        <x:v>2032</x:v>
      </x:c>
      <x:c r="B143" s="28" t="str">
        <x:f>'03 Sector Inputs'!A23</x:f>
        <x:v>62</x:v>
      </x:c>
      <x:c r="C143" s="28" t="str">
        <x:f>'03 Sector Inputs'!B23</x:f>
        <x:v>Health Care and Social Assistance (Private)</x:v>
      </x:c>
      <x:c r="D143" t="n">
        <x:f>'03 Sector Inputs'!L23*('03 Sector Inputs'!D23/'03 Sector Inputs'!C23)^((A143-2026)/10)</x:f>
        <x:v>24.812297123460553</x:v>
      </x:c>
      <x:c r="E143" s="32" t="n">
        <x:f>MIN(0.98,1-(1-'03 Sector Inputs'!K23)*(1-'02 Assumptions'!$E$12)^(A143-2026))</x:f>
        <x:v>0.6990578225722</x:v>
      </x:c>
      <x:c r="F143" t="n">
        <x:f>D143*E143</x:f>
        <x:v>17.345230400140796</x:v>
      </x:c>
      <x:c r="G143" s="38" t="n">
        <x:f>'03 Sector Inputs'!Q23</x:f>
        <x:v>93.69693394431226</x:v>
      </x:c>
      <x:c r="H143" t="n">
        <x:f>(1+'02 Assumptions'!$E$19)^((A143-2026)*'02 Assumptions'!$E$20)</x:f>
        <x:v>1.0610534869788768</x:v>
      </x:c>
      <x:c r="I143" t="n">
        <x:f>(1+'03 Sector Inputs'!U23)^((A143-2026)/10)</x:f>
        <x:v>1.033596358146927</x:v>
      </x:c>
      <x:c r="J143" t="n">
        <x:f>I143^'02 Assumptions'!$E$21</x:f>
        <x:v>1.0099625986951468</x:v>
      </x:c>
      <x:c r="K143" s="32" t="n">
        <x:f>'02 Assumptions'!$E$14</x:f>
        <x:v>0.6</x:v>
      </x:c>
      <x:c r="L143" t="n">
        <x:f>(1+'02 Assumptions'!$E$15)^(A143-2026)</x:f>
        <x:v>7.529535999999997</x:v>
      </x:c>
      <x:c r="M143" t="n">
        <x:f>(1-'02 Assumptions'!$E$16)^(A143-2026)</x:f>
        <x:v>0.22519960070400005</x:v>
      </x:c>
      <x:c r="N143" t="n">
        <x:f>IF(M143&gt;0,M143^(-'02 Assumptions'!$E$17),0)</x:f>
        <x:v>3.2956866067821595</x:v>
      </x:c>
      <x:c r="O143" t="n">
        <x:f>(1+'02 Assumptions'!$E$18)^(A143-2026)</x:f>
        <x:v>1.126162419264</x:v>
      </x:c>
      <x:c r="P143" s="40" t="n">
        <x:f>F143*G143*12/1000*(1-K143)*H143*J143*O143</x:f>
        <x:v>9.41434888451427</x:v>
      </x:c>
      <x:c r="Q143" s="40" t="n">
        <x:f>F143*G143*12/1000*K143*H143*J143*L143*M143*N143</x:f>
        <x:v>70.07486253536676</x:v>
      </x:c>
      <x:c r="R143" s="40" t="n">
        <x:f>SUM(P143:Q143)</x:f>
        <x:v>79.48921141988103</x:v>
      </x:c>
      <x:c r="S143" s="40" t="n">
        <x:f>IFERROR('03 Sector Inputs'!M23*(D143/'03 Sector Inputs'!L23)*(1+'02 Assumptions'!$E$19)^(A143-2026),0)</x:f>
        <x:v>3005.4595515763144</x:v>
      </x:c>
      <x:c r="T143" s="36" t="n">
        <x:f>IFERROR(R143/S143,0)</x:f>
        <x:v>0.026448271905103578</x:v>
      </x:c>
      <x:c r="U143" s="42" t="n">
        <x:f>S143*(I143-1)</x:f>
        <x:v>100.97249549086037</x:v>
      </x:c>
      <x:c r="V143" t="str">
        <x:f>'03 Sector Inputs'!I23</x:f>
        <x:v>DIRECT RAMP</x:v>
      </x:c>
      <x:c r="W143" t="n">
        <x:f>P143+F143*G143*12/1000*K143*H143*J143*L143*M143</x:f>
        <x:v>30.676947819485946</x:v>
      </x:c>
      <x:c r="X143" t="n">
        <x:f>F143*G143*12/1000*H143*((1-K143)*O143+K143*L143*M143*N143)</x:f>
        <x:v>78.70510405294182</x:v>
      </x:c>
      <x:c r="Y143" t="n">
        <x:f>F143*G143*12/1000*H143*((1-K143)*O143+K143*L143*M143)</x:f>
        <x:v>30.37434045490398</x:v>
      </x:c>
      <x:c r="Z143" t="str">
        <x:f>IF(OR(F143&lt;0,E143&lt;0,E143&gt;1,R143&lt;0),"CHECK","OK")</x:f>
        <x:v>OK</x:v>
      </x:c>
    </x:row>
    <x:row r="144">
      <x:c r="A144" s="44" t="n">
        <x:f>2032</x:f>
        <x:v>2032</x:v>
      </x:c>
      <x:c r="B144" s="28" t="str">
        <x:f>'03 Sector Inputs'!A24</x:f>
        <x:v>71</x:v>
      </x:c>
      <x:c r="C144" s="28" t="str">
        <x:f>'03 Sector Inputs'!B24</x:f>
        <x:v>Arts, Entertainment and Recreation</x:v>
      </x:c>
      <x:c r="D144" t="n">
        <x:f>'03 Sector Inputs'!L24*('03 Sector Inputs'!D24/'03 Sector Inputs'!C24)^((A144-2026)/10)</x:f>
        <x:v>2.787974225626306</x:v>
      </x:c>
      <x:c r="E144" s="32" t="n">
        <x:f>MIN(0.98,1-(1-'03 Sector Inputs'!K24)*(1-'02 Assumptions'!$E$12)^(A144-2026))</x:f>
        <x:v>0.7668688438665999</x:v>
      </x:c>
      <x:c r="F144" t="n">
        <x:f>D144*E144</x:f>
        <x:v>2.1380105711359243</x:v>
      </x:c>
      <x:c r="G144" s="38" t="n">
        <x:f>'03 Sector Inputs'!Q24</x:f>
        <x:v>96.78298617210244</x:v>
      </x:c>
      <x:c r="H144" t="n">
        <x:f>(1+'02 Assumptions'!$E$19)^((A144-2026)*'02 Assumptions'!$E$20)</x:f>
        <x:v>1.0610534869788768</x:v>
      </x:c>
      <x:c r="I144" t="n">
        <x:f>(1+'03 Sector Inputs'!U24)^((A144-2026)/10)</x:f>
        <x:v>1.0305827362906395</x:v>
      </x:c>
      <x:c r="J144" t="n">
        <x:f>I144^'02 Assumptions'!$E$21</x:f>
        <x:v>1.0090782815819712</x:v>
      </x:c>
      <x:c r="K144" s="32" t="n">
        <x:f>'02 Assumptions'!$E$14</x:f>
        <x:v>0.6</x:v>
      </x:c>
      <x:c r="L144" t="n">
        <x:f>(1+'02 Assumptions'!$E$15)^(A144-2026)</x:f>
        <x:v>7.529535999999997</x:v>
      </x:c>
      <x:c r="M144" t="n">
        <x:f>(1-'02 Assumptions'!$E$16)^(A144-2026)</x:f>
        <x:v>0.22519960070400005</x:v>
      </x:c>
      <x:c r="N144" t="n">
        <x:f>IF(M144&gt;0,M144^(-'02 Assumptions'!$E$17),0)</x:f>
        <x:v>3.2956866067821595</x:v>
      </x:c>
      <x:c r="O144" t="n">
        <x:f>(1+'02 Assumptions'!$E$18)^(A144-2026)</x:f>
        <x:v>1.126162419264</x:v>
      </x:c>
      <x:c r="P144" s="40" t="n">
        <x:f>F144*G144*12/1000*(1-K144)*H144*J144*O144</x:f>
        <x:v>1.1976040881830798</x:v>
      </x:c>
      <x:c r="Q144" s="40" t="n">
        <x:f>F144*G144*12/1000*K144*H144*J144*L144*M144*N144</x:f>
        <x:v>8.914258742765139</x:v>
      </x:c>
      <x:c r="R144" s="40" t="n">
        <x:f>SUM(P144:Q144)</x:f>
        <x:v>10.111862830948219</x:v>
      </x:c>
      <x:c r="S144" s="40" t="n">
        <x:f>IFERROR('03 Sector Inputs'!M24*(D144/'03 Sector Inputs'!L24)*(1+'02 Assumptions'!$E$19)^(A144-2026),0)</x:f>
        <x:v>397.10088935435135</x:v>
      </x:c>
      <x:c r="T144" s="36" t="n">
        <x:f>IFERROR(R144/S144,0)</x:f>
        <x:v>0.025464216026786432</x:v>
      </x:c>
      <x:c r="U144" s="42" t="n">
        <x:f>S144*(I144-1)</x:f>
        <x:v>12.144431779902524</x:v>
      </x:c>
      <x:c r="V144" t="str">
        <x:f>'03 Sector Inputs'!I24</x:f>
        <x:v>NATIONAL PROXY</x:v>
      </x:c>
      <x:c r="W144" t="n">
        <x:f>P144+F144*G144*12/1000*K144*H144*J144*L144*M144</x:f>
        <x:v>3.9024300641786667</x:v>
      </x:c>
      <x:c r="X144" t="n">
        <x:f>F144*G144*12/1000*H144*((1-K144)*O144+K144*L144*M144*N144)</x:f>
        <x:v>10.020890366499078</x:v>
      </x:c>
      <x:c r="Y144" t="n">
        <x:f>F144*G144*12/1000*H144*((1-K144)*O144+K144*L144*M144)</x:f>
        <x:v>3.867321431257717</x:v>
      </x:c>
      <x:c r="Z144" t="str">
        <x:f>IF(OR(F144&lt;0,E144&lt;0,E144&gt;1,R144&lt;0),"CHECK","OK")</x:f>
        <x:v>OK</x:v>
      </x:c>
    </x:row>
    <x:row r="145">
      <x:c r="A145" s="44" t="n">
        <x:f>2032</x:f>
        <x:v>2032</x:v>
      </x:c>
      <x:c r="B145" s="28" t="str">
        <x:f>'03 Sector Inputs'!A25</x:f>
        <x:v>72</x:v>
      </x:c>
      <x:c r="C145" s="28" t="str">
        <x:f>'03 Sector Inputs'!B25</x:f>
        <x:v>Accommodation and Food Services</x:v>
      </x:c>
      <x:c r="D145" t="n">
        <x:f>'03 Sector Inputs'!L25*('03 Sector Inputs'!D25/'03 Sector Inputs'!C25)^((A145-2026)/10)</x:f>
        <x:v>14.624601706672872</x:v>
      </x:c>
      <x:c r="E145" s="32" t="n">
        <x:f>MIN(0.98,1-(1-'03 Sector Inputs'!K25)*(1-'02 Assumptions'!$E$12)^(A145-2026))</x:f>
        <x:v>0.6442131645162998</x:v>
      </x:c>
      <x:c r="F145" t="n">
        <x:f>D145*E145</x:f>
        <x:v>9.42136094524621</x:v>
      </x:c>
      <x:c r="G145" s="38" t="n">
        <x:f>'03 Sector Inputs'!Q25</x:f>
        <x:v>86.70668944553024</x:v>
      </x:c>
      <x:c r="H145" t="n">
        <x:f>(1+'02 Assumptions'!$E$19)^((A145-2026)*'02 Assumptions'!$E$20)</x:f>
        <x:v>1.0610534869788768</x:v>
      </x:c>
      <x:c r="I145" t="n">
        <x:f>(1+'03 Sector Inputs'!U25)^((A145-2026)/10)</x:f>
        <x:v>1.017464030515243</x:v>
      </x:c>
      <x:c r="J145" t="n">
        <x:f>I145^'02 Assumptions'!$E$21</x:f>
        <x:v>1.005207498188837</x:v>
      </x:c>
      <x:c r="K145" s="32" t="n">
        <x:f>'02 Assumptions'!$E$14</x:f>
        <x:v>0.6</x:v>
      </x:c>
      <x:c r="L145" t="n">
        <x:f>(1+'02 Assumptions'!$E$15)^(A145-2026)</x:f>
        <x:v>7.529535999999997</x:v>
      </x:c>
      <x:c r="M145" t="n">
        <x:f>(1-'02 Assumptions'!$E$16)^(A145-2026)</x:f>
        <x:v>0.22519960070400005</x:v>
      </x:c>
      <x:c r="N145" t="n">
        <x:f>IF(M145&gt;0,M145^(-'02 Assumptions'!$E$17),0)</x:f>
        <x:v>3.2956866067821595</x:v>
      </x:c>
      <x:c r="O145" t="n">
        <x:f>(1+'02 Assumptions'!$E$18)^(A145-2026)</x:f>
        <x:v>1.126162419264</x:v>
      </x:c>
      <x:c r="P145" s="40" t="n">
        <x:f>F145*G145*12/1000*(1-K145)*H145*J145*O145</x:f>
        <x:v>4.70978965690679</x:v>
      </x:c>
      <x:c r="Q145" s="40" t="n">
        <x:f>F145*G145*12/1000*K145*H145*J145*L145*M145*N145</x:f>
        <x:v>35.056897383643516</x:v>
      </x:c>
      <x:c r="R145" s="40" t="n">
        <x:f>SUM(P145:Q145)</x:f>
        <x:v>39.76668704055031</x:v>
      </x:c>
      <x:c r="S145" s="40" t="n">
        <x:f>IFERROR('03 Sector Inputs'!M25*(D145/'03 Sector Inputs'!L25)*(1+'02 Assumptions'!$E$19)^(A145-2026),0)</x:f>
        <x:v>1202.1650195443403</x:v>
      </x:c>
      <x:c r="T145" s="36" t="n">
        <x:f>IFERROR(R145/S145,0)</x:f>
        <x:v>0.03307922489345363</x:v>
      </x:c>
      <x:c r="U145" s="42" t="n">
        <x:f>S145*(I145-1)</x:f>
        <x:v>20.994646585679966</x:v>
      </x:c>
      <x:c r="V145" t="str">
        <x:f>'03 Sector Inputs'!I25</x:f>
        <x:v>DIRECT RAMP</x:v>
      </x:c>
      <x:c r="W145" t="n">
        <x:f>P145+F145*G145*12/1000*K145*H145*J145*L145*M145</x:f>
        <x:v>15.346995667787887</x:v>
      </x:c>
      <x:c r="X145" t="n">
        <x:f>F145*G145*12/1000*H145*((1-K145)*O145+K145*L145*M145*N145)</x:f>
        <x:v>39.56067489767152</x:v>
      </x:c>
      <x:c r="Y145" t="n">
        <x:f>F145*G145*12/1000*H145*((1-K145)*O145+K145*L145*M145)</x:f>
        <x:v>15.267490240014926</x:v>
      </x:c>
      <x:c r="Z145" t="str">
        <x:f>IF(OR(F145&lt;0,E145&lt;0,E145&gt;1,R145&lt;0),"CHECK","OK")</x:f>
        <x:v>OK</x:v>
      </x:c>
    </x:row>
    <x:row r="146">
      <x:c r="A146" s="44" t="n">
        <x:f>2032</x:f>
        <x:v>2032</x:v>
      </x:c>
      <x:c r="B146" s="28" t="str">
        <x:f>'03 Sector Inputs'!A26</x:f>
        <x:v>81</x:v>
      </x:c>
      <x:c r="C146" s="28" t="str">
        <x:f>'03 Sector Inputs'!B26</x:f>
        <x:v>Other Services Except Public Administration</x:v>
      </x:c>
      <x:c r="D146" t="n">
        <x:f>'03 Sector Inputs'!L26*('03 Sector Inputs'!D26/'03 Sector Inputs'!C26)^((A146-2026)/10)</x:f>
        <x:v>6.410193502719252</x:v>
      </x:c>
      <x:c r="E146" s="32" t="n">
        <x:f>MIN(0.98,1-(1-'03 Sector Inputs'!K26)*(1-'02 Assumptions'!$E$12)^(A146-2026))</x:f>
        <x:v>0.7668688438665999</x:v>
      </x:c>
      <x:c r="F146" t="n">
        <x:f>D146*E146</x:f>
        <x:v>4.915777680391503</x:v>
      </x:c>
      <x:c r="G146" s="38" t="n">
        <x:f>'03 Sector Inputs'!Q26</x:f>
        <x:v>92.75230522798783</x:v>
      </x:c>
      <x:c r="H146" t="n">
        <x:f>(1+'02 Assumptions'!$E$19)^((A146-2026)*'02 Assumptions'!$E$20)</x:f>
        <x:v>1.0610534869788768</x:v>
      </x:c>
      <x:c r="I146" t="n">
        <x:f>(1+'03 Sector Inputs'!U26)^((A146-2026)/10)</x:f>
        <x:v>1.0317637957166699</x:v>
      </x:c>
      <x:c r="J146" t="n">
        <x:f>I146^'02 Assumptions'!$E$21</x:f>
        <x:v>1.0094250670430753</x:v>
      </x:c>
      <x:c r="K146" s="32" t="n">
        <x:f>'02 Assumptions'!$E$14</x:f>
        <x:v>0.6</x:v>
      </x:c>
      <x:c r="L146" t="n">
        <x:f>(1+'02 Assumptions'!$E$15)^(A146-2026)</x:f>
        <x:v>7.529535999999997</x:v>
      </x:c>
      <x:c r="M146" t="n">
        <x:f>(1-'02 Assumptions'!$E$16)^(A146-2026)</x:f>
        <x:v>0.22519960070400005</x:v>
      </x:c>
      <x:c r="N146" t="n">
        <x:f>IF(M146&gt;0,M146^(-'02 Assumptions'!$E$17),0)</x:f>
        <x:v>3.2956866067821595</x:v>
      </x:c>
      <x:c r="O146" t="n">
        <x:f>(1+'02 Assumptions'!$E$18)^(A146-2026)</x:f>
        <x:v>1.126162419264</x:v>
      </x:c>
      <x:c r="P146" s="40" t="n">
        <x:f>F146*G146*12/1000*(1-K146)*H146*J146*O146</x:f>
        <x:v>2.639797272629348</x:v>
      </x:c>
      <x:c r="Q146" s="40" t="n">
        <x:f>F146*G146*12/1000*K146*H146*J146*L146*M146*N146</x:f>
        <x:v>19.649094511997355</x:v>
      </x:c>
      <x:c r="R146" s="40" t="n">
        <x:f>SUM(P146:Q146)</x:f>
        <x:v>22.288891784626703</x:v>
      </x:c>
      <x:c r="S146" s="40" t="n">
        <x:f>IFERROR('03 Sector Inputs'!M26*(D146/'03 Sector Inputs'!L26)*(1+'02 Assumptions'!$E$19)^(A146-2026),0)</x:f>
        <x:v>738.0940710029973</x:v>
      </x:c>
      <x:c r="T146" s="36" t="n">
        <x:f>IFERROR(R146/S146,0)</x:f>
        <x:v>0.03019790113520122</x:v>
      </x:c>
      <x:c r="U146" s="42" t="n">
        <x:f>S146*(I146-1)</x:f>
        <x:v>23.444669291024436</x:v>
      </x:c>
      <x:c r="V146" t="str">
        <x:f>'03 Sector Inputs'!I26</x:f>
        <x:v>NATIONAL PROXY</x:v>
      </x:c>
      <x:c r="W146" t="n">
        <x:f>P146+F146*G146*12/1000*K146*H146*J146*L146*M146</x:f>
        <x:v>8.601861284286793</x:v>
      </x:c>
      <x:c r="X146" t="n">
        <x:f>F146*G146*12/1000*H146*((1-K146)*O146+K146*L146*M146*N146)</x:f>
        <x:v>22.080778962541423</x:v>
      </x:c>
      <x:c r="Y146" t="n">
        <x:f>F146*G146*12/1000*H146*((1-K146)*O146+K146*L146*M146)</x:f>
        <x:v>8.521545149938033</x:v>
      </x:c>
      <x:c r="Z146" t="str">
        <x:f>IF(OR(F146&lt;0,E146&lt;0,E146&gt;1,R146&lt;0),"CHECK","OK")</x:f>
        <x:v>OK</x:v>
      </x:c>
    </x:row>
    <x:row r="147">
      <x:c r="A147" s="44" t="n">
        <x:f>2032</x:f>
        <x:v>2032</x:v>
      </x:c>
      <x:c r="B147" s="28" t="str">
        <x:f>'03 Sector Inputs'!A27</x:f>
        <x:v>Gov</x:v>
      </x:c>
      <x:c r="C147" s="28" t="str">
        <x:f>'03 Sector Inputs'!B27</x:f>
        <x:v>Federal and State/Local Government</x:v>
      </x:c>
      <x:c r="D147" t="n">
        <x:f>'03 Sector Inputs'!L27*('03 Sector Inputs'!D27/'03 Sector Inputs'!C27)^((A147-2026)/10)</x:f>
        <x:v>0</x:v>
      </x:c>
      <x:c r="E147" s="32" t="n">
        <x:f>IF(D147=0,0,MIN(0.98,1-(1-'03 Sector Inputs'!K27)*(1-'02 Assumptions'!$E$12)^(A147-2026)))</x:f>
        <x:v>0</x:v>
      </x:c>
      <x:c r="F147" t="n">
        <x:f>D147*E147</x:f>
        <x:v>0</x:v>
      </x:c>
      <x:c r="G147" s="38" t="n">
        <x:f>'03 Sector Inputs'!Q27</x:f>
        <x:v>0</x:v>
      </x:c>
      <x:c r="H147" t="n">
        <x:f>(1+'02 Assumptions'!$E$19)^((A147-2026)*'02 Assumptions'!$E$20)</x:f>
        <x:v>1.0610534869788768</x:v>
      </x:c>
      <x:c r="I147" t="n">
        <x:f>(1+'03 Sector Inputs'!U27)^((A147-2026)/10)</x:f>
        <x:v>1</x:v>
      </x:c>
      <x:c r="J147" t="n">
        <x:f>I147^'02 Assumptions'!$E$21</x:f>
        <x:v>1</x:v>
      </x:c>
      <x:c r="K147" s="32" t="n">
        <x:f>'02 Assumptions'!$E$14</x:f>
        <x:v>0.6</x:v>
      </x:c>
      <x:c r="L147" t="n">
        <x:f>(1+'02 Assumptions'!$E$15)^(A147-2026)</x:f>
        <x:v>7.529535999999997</x:v>
      </x:c>
      <x:c r="M147" t="n">
        <x:f>(1-'02 Assumptions'!$E$16)^(A147-2026)</x:f>
        <x:v>0.22519960070400005</x:v>
      </x:c>
      <x:c r="N147" t="n">
        <x:f>IF(M147&gt;0,M147^(-'02 Assumptions'!$E$17),0)</x:f>
        <x:v>3.2956866067821595</x:v>
      </x:c>
      <x:c r="O147" t="n">
        <x:f>(1+'02 Assumptions'!$E$18)^(A147-2026)</x:f>
        <x:v>1.126162419264</x:v>
      </x:c>
      <x:c r="P147" s="40" t="n">
        <x:f>F147*G147*12/1000*(1-K147)*H147*J147*O147</x:f>
        <x:v>0</x:v>
      </x:c>
      <x:c r="Q147" s="40" t="n">
        <x:f>F147*G147*12/1000*K147*H147*J147*L147*M147*N147</x:f>
        <x:v>0</x:v>
      </x:c>
      <x:c r="R147" s="40" t="n">
        <x:f>SUM(P147:Q147)</x:f>
        <x:v>0</x:v>
      </x:c>
      <x:c r="S147" s="40" t="n">
        <x:f>IFERROR('03 Sector Inputs'!M27*(D147/'03 Sector Inputs'!L27)*(1+'02 Assumptions'!$E$19)^(A147-2026),0)</x:f>
        <x:v>0</x:v>
      </x:c>
      <x:c r="T147" s="36" t="n">
        <x:f>IFERROR(R147/S147,0)</x:f>
        <x:v>0</x:v>
      </x:c>
      <x:c r="U147" s="42" t="n">
        <x:f>S147*(I147-1)</x:f>
        <x:v>0</x:v>
      </x:c>
      <x:c r="V147" t="str">
        <x:f>'03 Sector Inputs'!I27</x:f>
        <x:v>NATIONAL PROXY</x:v>
      </x:c>
      <x:c r="W147" t="n">
        <x:f>P147+F147*G147*12/1000*K147*H147*J147*L147*M147</x:f>
        <x:v>0</x:v>
      </x:c>
      <x:c r="X147" t="n">
        <x:f>F147*G147*12/1000*H147*((1-K147)*O147+K147*L147*M147*N147)</x:f>
        <x:v>0</x:v>
      </x:c>
      <x:c r="Y147" t="n">
        <x:f>F147*G147*12/1000*H147*((1-K147)*O147+K147*L147*M147)</x:f>
        <x:v>0</x:v>
      </x:c>
      <x:c r="Z147" t="str">
        <x:f>IF(OR(F147&lt;0,E147&lt;0,E147&gt;1,R147&lt;0),"CHECK","OK")</x:f>
        <x:v>OK</x:v>
      </x:c>
    </x:row>
  </x:sheetData>
  <x:mergeCells>
    <x:mergeCell ref="A1:Z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66" hidden="0" customWidth="1"/>
  </x:cols>
  <x:sheetData>
    <x:row r="1" ht="25" customHeight="1">
      <x:c r="A1" s="8" t="str">
        <x:v>U.S. CONSUMER PAID AI DEMAND | STANFORD USERS; WELFARE NEVER ADDED TO REVENUE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7" ht="30" customHeight="1">
      <x:c r="A7" s="16" t="str">
        <x:v>Year</x:v>
      </x:c>
      <x:c r="B7" s="16" t="str">
        <x:v>All U.S. GenAI users (M)</x:v>
      </x:c>
      <x:c r="C7" s="16" t="str">
        <x:v>New users vs prior (M)</x:v>
      </x:c>
      <x:c r="D7" s="16" t="str">
        <x:v>Personally paying share (ASSUMED)</x:v>
      </x:c>
      <x:c r="E7" s="16" t="str">
        <x:v>Personally paying users (M)</x:v>
      </x:c>
      <x:c r="F7" s="16" t="str">
        <x:v>Realized revenue / paying user / month ($)</x:v>
      </x:c>
      <x:c r="G7" s="16" t="str">
        <x:v>CONSUMER REVENUE ($B)</x:v>
      </x:c>
      <x:c r="H7" s="16" t="str">
        <x:v>Stanford WTA/user/month ($, context only)</x:v>
      </x:c>
      <x:c r="I7" s="16" t="str">
        <x:v>Indicative consumer surplus ($B, NOT revenue)</x:v>
      </x:c>
      <x:c r="J7" s="16" t="str">
        <x:v>Revenue per ALL users/month ($)</x:v>
      </x:c>
      <x:c r="K7" s="16" t="str">
        <x:v>Evidence</x:v>
      </x:c>
    </x:row>
    <x:row r="8">
      <x:c r="A8" t="n">
        <x:f>2026</x:f>
        <x:v>2026</x:v>
      </x:c>
      <x:c r="B8" t="n">
        <x:f>'Data Stanford'!B10</x:f>
        <x:v>127</x:v>
      </x:c>
      <x:c r="C8" t="n">
        <x:f>0</x:f>
        <x:v>0</x:v>
      </x:c>
      <x:c r="D8" s="32" t="n">
        <x:f>MIN(0.95,'02 Assumptions'!$E$25+'02 Assumptions'!$E$26*(A8-2026))</x:f>
        <x:v>0.22</x:v>
      </x:c>
      <x:c r="E8" t="n">
        <x:f>B8*D8</x:f>
        <x:v>27.94</x:v>
      </x:c>
      <x:c r="F8" s="34" t="n">
        <x:f>'02 Assumptions'!$E$27*(1+'02 Assumptions'!$E$28)^(A8-2026)</x:f>
        <x:v>30</x:v>
      </x:c>
      <x:c r="G8" s="46" t="n">
        <x:f>E8*F8*12/1000</x:f>
        <x:v>10.0584</x:v>
      </x:c>
      <x:c r="H8" s="46" t="n">
        <x:f>'Data Stanford'!C10</x:f>
        <x:v>120</x:v>
      </x:c>
      <x:c r="I8" s="46" t="n">
        <x:f>B8*H8*12/1000</x:f>
        <x:v>182.88</x:v>
      </x:c>
      <x:c r="J8" t="n">
        <x:f>IFERROR(G8*1000/(B8*12),0)</x:f>
        <x:v>6.6000000000000005</x:v>
      </x:c>
      <x:c r="K8" t="str">
        <x:f>"2026 users + WTA: Stanford; all payer assumptions analyst scenarios"</x:f>
        <x:v>2026 users + WTA: Stanford; all payer assumptions analyst scenarios</x:v>
      </x:c>
    </x:row>
    <x:row r="9">
      <x:c r="A9" t="n">
        <x:f>2027</x:f>
        <x:v>2027</x:v>
      </x:c>
      <x:c r="B9" t="n">
        <x:f>MIN('02 Assumptions'!$E$29,B8+MAX(0,'02 Assumptions'!$E$29-B8)*('Data Stanford'!B10-'Data Stanford'!B8)/('02 Assumptions'!$E$29-'Data Stanford'!B8)*'02 Assumptions'!$E$30)</x:f>
        <x:v>150.80864197530863</x:v>
      </x:c>
      <x:c r="C9" t="n">
        <x:f>B9-B8</x:f>
        <x:v>23.808641975308632</x:v>
      </x:c>
      <x:c r="D9" s="32" t="n">
        <x:f>MIN(0.95,'02 Assumptions'!$E$25+'02 Assumptions'!$E$26*(A9-2026))</x:f>
        <x:v>0.245</x:v>
      </x:c>
      <x:c r="E9" t="n">
        <x:f>B9*D9</x:f>
        <x:v>36.948117283950616</x:v>
      </x:c>
      <x:c r="F9" s="34" t="n">
        <x:f>'02 Assumptions'!$E$27*(1+'02 Assumptions'!$E$28)^(A9-2026)</x:f>
        <x:v>30.749999999999996</x:v>
      </x:c>
      <x:c r="G9" s="46" t="n">
        <x:f>E9*F9*12/1000</x:f>
        <x:v>13.633855277777776</x:v>
      </x:c>
      <x:c r="H9" s="46" t="n">
        <x:f>'Data Stanford'!C10</x:f>
        <x:v>120</x:v>
      </x:c>
      <x:c r="I9" s="46" t="n">
        <x:f>B9*H9*12/1000</x:f>
        <x:v>217.16444444444443</x:v>
      </x:c>
      <x:c r="J9" t="n">
        <x:f>IFERROR(G9*1000/(B9*12),0)</x:f>
        <x:v>7.53375</x:v>
      </x:c>
      <x:c r="K9" t="str">
        <x:f>"2026 users + WTA: Stanford; all payer assumptions analyst scenarios"</x:f>
        <x:v>2026 users + WTA: Stanford; all payer assumptions analyst scenarios</x:v>
      </x:c>
    </x:row>
    <x:row r="10">
      <x:c r="A10" t="n">
        <x:f>2028</x:f>
        <x:v>2028</x:v>
      </x:c>
      <x:c r="B10" t="n">
        <x:f>MIN('02 Assumptions'!$E$29,B9+MAX(0,'02 Assumptions'!$E$29-B9)*('Data Stanford'!B10-'Data Stanford'!B8)/('02 Assumptions'!$E$29-'Data Stanford'!B8)*'02 Assumptions'!$E$30)</x:f>
        <x:v>170.35524310318547</x:v>
      </x:c>
      <x:c r="C10" t="n">
        <x:f>B10-B9</x:f>
        <x:v>19.54660112787684</x:v>
      </x:c>
      <x:c r="D10" s="32" t="n">
        <x:f>MIN(0.95,'02 Assumptions'!$E$25+'02 Assumptions'!$E$26*(A10-2026))</x:f>
        <x:v>0.27</x:v>
      </x:c>
      <x:c r="E10" t="n">
        <x:f>B10*D10</x:f>
        <x:v>45.99591563786008</x:v>
      </x:c>
      <x:c r="F10" s="34" t="n">
        <x:f>'02 Assumptions'!$E$27*(1+'02 Assumptions'!$E$28)^(A10-2026)</x:f>
        <x:v>31.518749999999997</x:v>
      </x:c>
      <x:c r="G10" s="46" t="n">
        <x:f>E10*F10*12/1000</x:f>
        <x:v>17.396805192129627</x:v>
      </x:c>
      <x:c r="H10" s="46" t="n">
        <x:f>'Data Stanford'!C10</x:f>
        <x:v>120</x:v>
      </x:c>
      <x:c r="I10" s="46" t="n">
        <x:f>B10*H10*12/1000</x:f>
        <x:v>245.31155006858708</x:v>
      </x:c>
      <x:c r="J10" t="n">
        <x:f>IFERROR(G10*1000/(B10*12),0)</x:f>
        <x:v>8.5100625</x:v>
      </x:c>
      <x:c r="K10" t="str">
        <x:f>"2026 users + WTA: Stanford; all payer assumptions analyst scenarios"</x:f>
        <x:v>2026 users + WTA: Stanford; all payer assumptions analyst scenarios</x:v>
      </x:c>
    </x:row>
    <x:row r="11">
      <x:c r="A11" t="n">
        <x:f>2029</x:f>
        <x:v>2029</x:v>
      </x:c>
      <x:c r="B11" t="n">
        <x:f>MIN('02 Assumptions'!$E$29,B10+MAX(0,'02 Assumptions'!$E$29-B10)*('Data Stanford'!B10-'Data Stanford'!B8)/('02 Assumptions'!$E$29-'Data Stanford'!B8)*'02 Assumptions'!$E$30)</x:f>
        <x:v>186.40276131310907</x:v>
      </x:c>
      <x:c r="C11" t="n">
        <x:f>B11-B10</x:f>
        <x:v>16.047518209923595</x:v>
      </x:c>
      <x:c r="D11" s="32" t="n">
        <x:f>MIN(0.95,'02 Assumptions'!$E$25+'02 Assumptions'!$E$26*(A11-2026))</x:f>
        <x:v>0.29500000000000004</x:v>
      </x:c>
      <x:c r="E11" t="n">
        <x:f>B11*D11</x:f>
        <x:v>54.98881458736718</x:v>
      </x:c>
      <x:c r="F11" s="34" t="n">
        <x:f>'02 Assumptions'!$E$27*(1+'02 Assumptions'!$E$28)^(A11-2026)</x:f>
        <x:v>32.306718749999995</x:v>
      </x:c>
      <x:c r="G11" s="46" t="n">
        <x:f>E11*F11*12/1000</x:f>
        <x:v>21.31809800723962</x:v>
      </x:c>
      <x:c r="H11" s="46" t="n">
        <x:f>'Data Stanford'!C10</x:f>
        <x:v>120</x:v>
      </x:c>
      <x:c r="I11" s="46" t="n">
        <x:f>B11*H11*12/1000</x:f>
        <x:v>268.41997629087706</x:v>
      </x:c>
      <x:c r="J11" t="n">
        <x:f>IFERROR(G11*1000/(B11*12),0)</x:f>
        <x:v>9.53048203125</x:v>
      </x:c>
      <x:c r="K11" t="str">
        <x:f>"2026 users + WTA: Stanford; all payer assumptions analyst scenarios"</x:f>
        <x:v>2026 users + WTA: Stanford; all payer assumptions analyst scenarios</x:v>
      </x:c>
    </x:row>
    <x:row r="12">
      <x:c r="A12" t="n">
        <x:f>2030</x:f>
        <x:v>2030</x:v>
      </x:c>
      <x:c r="B12" t="n">
        <x:f>MIN('02 Assumptions'!$E$29,B11+MAX(0,'02 Assumptions'!$E$29-B11)*('Data Stanford'!B10-'Data Stanford'!B8)/('02 Assumptions'!$E$29-'Data Stanford'!B8)*'02 Assumptions'!$E$30)</x:f>
        <x:v>199.57757564594758</x:v>
      </x:c>
      <x:c r="C12" t="n">
        <x:f>B12-B11</x:f>
        <x:v>13.174814332838508</x:v>
      </x:c>
      <x:c r="D12" s="32" t="n">
        <x:f>MIN(0.95,'02 Assumptions'!$E$25+'02 Assumptions'!$E$26*(A12-2026))</x:f>
        <x:v>0.32</x:v>
      </x:c>
      <x:c r="E12" t="n">
        <x:f>B12*D12</x:f>
        <x:v>63.864824206703226</x:v>
      </x:c>
      <x:c r="F12" s="34" t="n">
        <x:f>'02 Assumptions'!$E$27*(1+'02 Assumptions'!$E$28)^(A12-2026)</x:f>
        <x:v>33.11438671874999</x:v>
      </x:c>
      <x:c r="G12" s="46" t="n">
        <x:f>E12*F12*12/1000</x:f>
        <x:v>25.378133838069076</x:v>
      </x:c>
      <x:c r="H12" s="46" t="n">
        <x:f>'Data Stanford'!C10</x:f>
        <x:v>120</x:v>
      </x:c>
      <x:c r="I12" s="46" t="n">
        <x:f>B12*H12*12/1000</x:f>
        <x:v>287.3917089301645</x:v>
      </x:c>
      <x:c r="J12" t="n">
        <x:f>IFERROR(G12*1000/(B12*12),0)</x:f>
        <x:v>10.596603749999998</x:v>
      </x:c>
      <x:c r="K12" t="str">
        <x:f>"2026 users + WTA: Stanford; all payer assumptions analyst scenarios"</x:f>
        <x:v>2026 users + WTA: Stanford; all payer assumptions analyst scenarios</x:v>
      </x:c>
    </x:row>
    <x:row r="13">
      <x:c r="A13" t="n">
        <x:f>2031</x:f>
        <x:v>2031</x:v>
      </x:c>
      <x:c r="B13" t="n">
        <x:f>MIN('02 Assumptions'!$E$29,B12+MAX(0,'02 Assumptions'!$E$29-B12)*('Data Stanford'!B10-'Data Stanford'!B8)/('02 Assumptions'!$E$29-'Data Stanford'!B8)*'02 Assumptions'!$E$30)</x:f>
        <x:v>210.39393556117918</x:v>
      </x:c>
      <x:c r="C13" t="n">
        <x:f>B13-B12</x:f>
        <x:v>10.816359915231601</x:v>
      </x:c>
      <x:c r="D13" s="32" t="n">
        <x:f>MIN(0.95,'02 Assumptions'!$E$25+'02 Assumptions'!$E$26*(A13-2026))</x:f>
        <x:v>0.345</x:v>
      </x:c>
      <x:c r="E13" t="n">
        <x:f>B13*D13</x:f>
        <x:v>72.58590776860682</x:v>
      </x:c>
      <x:c r="F13" s="34" t="n">
        <x:f>'02 Assumptions'!$E$27*(1+'02 Assumptions'!$E$28)^(A13-2026)</x:f>
        <x:v>33.942246386718736</x:v>
      </x:c>
      <x:c r="G13" s="46" t="n">
        <x:f>E13*F13*12/1000</x:f>
        <x:v>29.564745188228333</x:v>
      </x:c>
      <x:c r="H13" s="46" t="n">
        <x:f>'Data Stanford'!C10</x:f>
        <x:v>120</x:v>
      </x:c>
      <x:c r="I13" s="46" t="n">
        <x:f>B13*H13*12/1000</x:f>
        <x:v>302.967267208098</x:v>
      </x:c>
      <x:c r="J13" t="n">
        <x:f>IFERROR(G13*1000/(B13*12),0)</x:f>
        <x:v>11.710075003417964</x:v>
      </x:c>
      <x:c r="K13" t="str">
        <x:f>"2026 users + WTA: Stanford; all payer assumptions analyst scenarios"</x:f>
        <x:v>2026 users + WTA: Stanford; all payer assumptions analyst scenarios</x:v>
      </x:c>
    </x:row>
    <x:row r="14">
      <x:c r="A14" t="n">
        <x:f>2032</x:f>
        <x:v>2032</x:v>
      </x:c>
      <x:c r="B14" t="n">
        <x:f>MIN('02 Assumptions'!$E$29,B13+MAX(0,'02 Assumptions'!$E$29-B13)*('Data Stanford'!B10-'Data Stanford'!B8)/('02 Assumptions'!$E$29-'Data Stanford'!B8)*'02 Assumptions'!$E$30)</x:f>
        <x:v>219.27403351627675</x:v>
      </x:c>
      <x:c r="C14" t="n">
        <x:f>B14-B13</x:f>
        <x:v>8.880097955097568</x:v>
      </x:c>
      <x:c r="D14" s="32" t="n">
        <x:f>MIN(0.95,'02 Assumptions'!$E$25+'02 Assumptions'!$E$26*(A14-2026))</x:f>
        <x:v>0.37</x:v>
      </x:c>
      <x:c r="E14" t="n">
        <x:f>B14*D14</x:f>
        <x:v>81.1313924010224</x:v>
      </x:c>
      <x:c r="F14" s="34" t="n">
        <x:f>'02 Assumptions'!$E$27*(1+'02 Assumptions'!$E$28)^(A14-2026)</x:f>
        <x:v>34.79080254638671</x:v>
      </x:c>
      <x:c r="G14" s="46" t="n">
        <x:f>E14*F14*12/1000</x:f>
        <x:v>33.87151504004868</x:v>
      </x:c>
      <x:c r="H14" s="46" t="n">
        <x:f>'Data Stanford'!C10</x:f>
        <x:v>120</x:v>
      </x:c>
      <x:c r="I14" s="46" t="n">
        <x:f>B14*H14*12/1000</x:f>
        <x:v>315.7546082634385</x:v>
      </x:c>
      <x:c r="J14" t="n">
        <x:f>IFERROR(G14*1000/(B14*12),0)</x:f>
        <x:v>12.872596942163083</x:v>
      </x:c>
      <x:c r="K14" t="str">
        <x:f>"2026 users + WTA: Stanford; all payer assumptions analyst scenarios"</x:f>
        <x:v>2026 users + WTA: Stanford; all payer assumptions analyst scenarios</x:v>
      </x:c>
    </x:row>
  </x:sheetData>
  <x:mergeCells>
    <x:mergeCell ref="A1:K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9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</x:cols>
  <x:sheetData>
    <x:row r="1" ht="25" customHeight="1">
      <x:c r="A1" s="8" t="str">
        <x:v>AI CUSTOMER SPENDING | ANNUALIZED LEVELS ($B), NOT RECOGNIZED CALENDAR YEAR REVENUE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t="str">
        <x:v>2026 annualization applies a mid-2026 spend-rate observation ×12; no within-year revenue integration. 2027–2032 are modeled annualized demand levels.</x:v>
      </x:c>
    </x:row>
    <x:row r="7" ht="30" customHeight="1">
      <x:c r="A7" s="16" t="str">
        <x:v>Year</x:v>
      </x:c>
      <x:c r="B7" s="16" t="str">
        <x:v>Enterprise covered workers (M)</x:v>
      </x:c>
      <x:c r="C7" s="16" t="str">
        <x:v>Enterprise paying workers (M)</x:v>
      </x:c>
      <x:c r="D7" s="16" t="str">
        <x:v>Enterprise non-token ($B)</x:v>
      </x:c>
      <x:c r="E7" s="16" t="str">
        <x:v>Enterprise token/metered ($B)</x:v>
      </x:c>
      <x:c r="F7" s="16" t="str">
        <x:v>TOTAL ENTERPRISE ($B)</x:v>
      </x:c>
      <x:c r="G7" s="16" t="str">
        <x:v>Personally paid consumers ($B)</x:v>
      </x:c>
      <x:c r="H7" s="16" t="str">
        <x:v>TOTAL END-CUSTOMER AI SPEND ($B)</x:v>
      </x:c>
      <x:c r="I7" s="16" t="str">
        <x:v>Enterprise token revenue mix</x:v>
      </x:c>
      <x:c r="J7" s="16" t="str">
        <x:v>Sector baseline operating Value Added ($B)</x:v>
      </x:c>
      <x:c r="K7" s="16" t="str">
        <x:v>AI spending / operating sector Value Added</x:v>
      </x:c>
      <x:c r="L7" s="16" t="str">
        <x:v>OECD incremental Value Added ($B, NOT revenue)</x:v>
      </x:c>
      <x:c r="M7" s="16" t="str">
        <x:v>Total rev WITHOUT price rebound ($B)</x:v>
      </x:c>
      <x:c r="N7" s="16" t="str">
        <x:v>Total rev WITHOUT productivity feedback ($B)</x:v>
      </x:c>
      <x:c r="O7" s="16" t="str">
        <x:v>Total rev WITHOUT both ($B)</x:v>
      </x:c>
    </x:row>
    <x:row r="8">
      <x:c r="A8" t="n">
        <x:f>2026</x:f>
        <x:v>2026</x:v>
      </x:c>
      <x:c r="B8" s="40" t="n">
        <x:f>SUMIF('04 Enterprise Annual'!$A$8:$A$147,A8,'04 Enterprise Annual'!$D$8:$D$147)</x:f>
        <x:v>135.03654269953267</x:v>
      </x:c>
      <x:c r="C8" s="40" t="n">
        <x:f>SUMIF('04 Enterprise Annual'!$A$8:$A$147,A8,'04 Enterprise Annual'!$F$8:$F$147)</x:f>
        <x:v>71.80434104228983</x:v>
      </x:c>
      <x:c r="D8" s="40" t="n">
        <x:f>SUMIF('04 Enterprise Annual'!$A$8:$A$147,A8,'04 Enterprise Annual'!$P$8:$P$147)</x:f>
        <x:v>35.95524429778788</x:v>
      </x:c>
      <x:c r="E8" s="40" t="n">
        <x:f>SUMIF('04 Enterprise Annual'!$A$8:$A$147,A8,'04 Enterprise Annual'!$Q$8:$Q$147)</x:f>
        <x:v>53.932866446681814</x:v>
      </x:c>
      <x:c r="F8" s="40" t="n">
        <x:f>SUMIF('04 Enterprise Annual'!$A$8:$A$147,A8,'04 Enterprise Annual'!$R$8:$R$147)</x:f>
        <x:v>89.8881107444697</x:v>
      </x:c>
      <x:c r="G8" s="40" t="n">
        <x:f>'05 Consumer Annual'!G8</x:f>
        <x:v>10.0584</x:v>
      </x:c>
      <x:c r="H8" s="50" t="n">
        <x:f>SUM(F8:G8)</x:f>
        <x:v>99.9465107444697</x:v>
      </x:c>
      <x:c r="I8" s="32" t="n">
        <x:f>IFERROR(E8/F8,0)</x:f>
        <x:v>0.6</x:v>
      </x:c>
      <x:c r="J8" t="n">
        <x:f>SUMIF('04 Enterprise Annual'!$A$8:$A$147,A8,'04 Enterprise Annual'!$S$8:$S$147)</x:f>
        <x:v>25709.170000000002</x:v>
      </x:c>
      <x:c r="K8" s="36" t="n">
        <x:f>IFERROR(F8/J8,0)</x:f>
        <x:v>0.003496344329454031</x:v>
      </x:c>
      <x:c r="L8" t="n">
        <x:f>SUMIF('04 Enterprise Annual'!$A$8:$A$147,A8,'04 Enterprise Annual'!$U$8:$U$147)</x:f>
        <x:v>0</x:v>
      </x:c>
      <x:c r="M8" t="n">
        <x:f>SUMIF('04 Enterprise Annual'!$A$8:$A$147,A8,'04 Enterprise Annual'!$W$8:$W$147)+G8</x:f>
        <x:v>99.9465107444697</x:v>
      </x:c>
      <x:c r="N8" t="n">
        <x:f>SUMIF('04 Enterprise Annual'!$A$8:$A$147,A8,'04 Enterprise Annual'!$X$8:$X$147)+G8</x:f>
        <x:v>99.9465107444697</x:v>
      </x:c>
      <x:c r="O8" t="n">
        <x:f>SUMIF('04 Enterprise Annual'!$A$8:$A$147,A8,'04 Enterprise Annual'!$Y$8:$Y$147)+G8</x:f>
        <x:v>99.9465107444697</x:v>
      </x:c>
    </x:row>
    <x:row r="9">
      <x:c r="A9" t="n">
        <x:f>2027</x:f>
        <x:v>2027</x:v>
      </x:c>
      <x:c r="B9" s="40" t="n">
        <x:f>SUMIF('04 Enterprise Annual'!$A$8:$A$147,A9,'04 Enterprise Annual'!$D$8:$D$147)</x:f>
        <x:v>135.5871393211747</x:v>
      </x:c>
      <x:c r="C9" s="40" t="n">
        <x:f>SUMIF('04 Enterprise Annual'!$A$8:$A$147,A9,'04 Enterprise Annual'!$F$8:$F$147)</x:f>
        <x:v>78.44072218823965</x:v>
      </x:c>
      <x:c r="D9" s="40" t="n">
        <x:f>SUMIF('04 Enterprise Annual'!$A$8:$A$147,A9,'04 Enterprise Annual'!$P$8:$P$147)</x:f>
        <x:v>40.38576449933312</x:v>
      </x:c>
      <x:c r="E9" s="40" t="n">
        <x:f>SUMIF('04 Enterprise Annual'!$A$8:$A$147,A9,'04 Enterprise Annual'!$Q$8:$Q$147)</x:f>
        <x:v>79.1163698403795</x:v>
      </x:c>
      <x:c r="F9" s="40" t="n">
        <x:f>SUMIF('04 Enterprise Annual'!$A$8:$A$147,A9,'04 Enterprise Annual'!$R$8:$R$147)</x:f>
        <x:v>119.50213433971267</x:v>
      </x:c>
      <x:c r="G9" s="40" t="n">
        <x:f>'05 Consumer Annual'!G9</x:f>
        <x:v>13.633855277777776</x:v>
      </x:c>
      <x:c r="H9" s="50" t="n">
        <x:f>SUM(F9:G9)</x:f>
        <x:v>133.13598961749045</x:v>
      </x:c>
      <x:c r="I9" s="32" t="n">
        <x:f>IFERROR(E9/F9,0)</x:f>
        <x:v>0.6620498477079312</x:v>
      </x:c>
      <x:c r="J9" t="n">
        <x:f>SUMIF('04 Enterprise Annual'!$A$8:$A$147,A9,'04 Enterprise Annual'!$S$8:$S$147)</x:f>
        <x:v>26452.777151225684</x:v>
      </x:c>
      <x:c r="K9" s="36" t="n">
        <x:f>IFERROR(F9/J9,0)</x:f>
        <x:v>0.004517564778039782</x:v>
      </x:c>
      <x:c r="L9" t="n">
        <x:f>SUMIF('04 Enterprise Annual'!$A$8:$A$147,A9,'04 Enterprise Annual'!$U$8:$U$147)</x:f>
        <x:v>160.39621592111607</x:v>
      </x:c>
      <x:c r="M9" t="n">
        <x:f>SUMIF('04 Enterprise Annual'!$A$8:$A$147,A9,'04 Enterprise Annual'!$W$8:$W$147)+G9</x:f>
        <x:v>118.8744062966282</x:v>
      </x:c>
      <x:c r="N9" t="n">
        <x:f>SUMIF('04 Enterprise Annual'!$A$8:$A$147,A9,'04 Enterprise Annual'!$X$8:$X$147)+G9</x:f>
        <x:v>132.92754277877796</x:v>
      </x:c>
      <x:c r="O9" t="n">
        <x:f>SUMIF('04 Enterprise Annual'!$A$8:$A$147,A9,'04 Enterprise Annual'!$Y$8:$Y$147)+G9</x:f>
        <x:v>118.69083585007974</x:v>
      </x:c>
    </x:row>
    <x:row r="10">
      <x:c r="A10" t="n">
        <x:f>2028</x:f>
        <x:v>2028</x:v>
      </x:c>
      <x:c r="B10" s="40" t="n">
        <x:f>SUMIF('04 Enterprise Annual'!$A$8:$A$147,A10,'04 Enterprise Annual'!$D$8:$D$147)</x:f>
        <x:v>136.14139276102176</x:v>
      </x:c>
      <x:c r="C10" s="40" t="n">
        <x:f>SUMIF('04 Enterprise Annual'!$A$8:$A$147,A10,'04 Enterprise Annual'!$F$8:$F$147)</x:f>
        <x:v>84.49449461896411</x:v>
      </x:c>
      <x:c r="D10" s="40" t="n">
        <x:f>SUMIF('04 Enterprise Annual'!$A$8:$A$147,A10,'04 Enterprise Annual'!$P$8:$P$147)</x:f>
        <x:v>44.76414083415607</x:v>
      </x:c>
      <x:c r="E10" s="40" t="n">
        <x:f>SUMIF('04 Enterprise Annual'!$A$8:$A$147,A10,'04 Enterprise Annual'!$Q$8:$Q$147)</x:f>
        <x:v>114.52889785193204</x:v>
      </x:c>
      <x:c r="F10" s="40" t="n">
        <x:f>SUMIF('04 Enterprise Annual'!$A$8:$A$147,A10,'04 Enterprise Annual'!$R$8:$R$147)</x:f>
        <x:v>159.29303868608812</x:v>
      </x:c>
      <x:c r="G10" s="40" t="n">
        <x:f>'05 Consumer Annual'!G10</x:f>
        <x:v>17.396805192129627</x:v>
      </x:c>
      <x:c r="H10" s="50" t="n">
        <x:f>SUM(F10:G10)</x:f>
        <x:v>176.68984387821774</x:v>
      </x:c>
      <x:c r="I10" s="32" t="n">
        <x:f>IFERROR(E10/F10,0)</x:f>
        <x:v>0.7189824413961314</x:v>
      </x:c>
      <x:c r="J10" t="n">
        <x:f>SUMIF('04 Enterprise Annual'!$A$8:$A$147,A10,'04 Enterprise Annual'!$S$8:$S$147)</x:f>
        <x:v>27218.137815506496</x:v>
      </x:c>
      <x:c r="K10" s="36" t="n">
        <x:f>IFERROR(F10/J10,0)</x:f>
        <x:v>0.0058524591125898775</x:v>
      </x:c>
      <x:c r="L10" t="n">
        <x:f>SUMIF('04 Enterprise Annual'!$A$8:$A$147,A10,'04 Enterprise Annual'!$U$8:$U$147)</x:f>
        <x:v>331.239308358458</x:v>
      </x:c>
      <x:c r="M10" t="n">
        <x:f>SUMIF('04 Enterprise Annual'!$A$8:$A$147,A10,'04 Enterprise Annual'!$W$8:$W$147)+G10</x:f>
        <x:v>139.1211917524407</x:v>
      </x:c>
      <x:c r="N10" t="n">
        <x:f>SUMIF('04 Enterprise Annual'!$A$8:$A$147,A10,'04 Enterprise Annual'!$X$8:$X$147)+G10</x:f>
        <x:v>176.13836846102438</x:v>
      </x:c>
      <x:c r="O10" t="n">
        <x:f>SUMIF('04 Enterprise Annual'!$A$8:$A$147,A10,'04 Enterprise Annual'!$Y$8:$Y$147)+G10</x:f>
        <x:v>138.69977969693187</x:v>
      </x:c>
    </x:row>
    <x:row r="11">
      <x:c r="A11" t="n">
        <x:f>2029</x:f>
        <x:v>2029</x:v>
      </x:c>
      <x:c r="B11" s="40" t="n">
        <x:f>SUMIF('04 Enterprise Annual'!$A$8:$A$147,A11,'04 Enterprise Annual'!$D$8:$D$147)</x:f>
        <x:v>136.6993311460036</x:v>
      </x:c>
      <x:c r="C11" s="40" t="n">
        <x:f>SUMIF('04 Enterprise Annual'!$A$8:$A$147,A11,'04 Enterprise Annual'!$F$8:$F$147)</x:f>
        <x:v>90.02221484028259</x:v>
      </x:c>
      <x:c r="D11" s="40" t="n">
        <x:f>SUMIF('04 Enterprise Annual'!$A$8:$A$147,A11,'04 Enterprise Annual'!$P$8:$P$147)</x:f>
        <x:v>49.10297029116711</x:v>
      </x:c>
      <x:c r="E11" s="40" t="n">
        <x:f>SUMIF('04 Enterprise Annual'!$A$8:$A$147,A11,'04 Enterprise Annual'!$Q$8:$Q$147)</x:f>
        <x:v>164.07385276594528</x:v>
      </x:c>
      <x:c r="F11" s="40" t="n">
        <x:f>SUMIF('04 Enterprise Annual'!$A$8:$A$147,A11,'04 Enterprise Annual'!$R$8:$R$147)</x:f>
        <x:v>213.17682305711247</x:v>
      </x:c>
      <x:c r="G11" s="40" t="n">
        <x:f>'05 Consumer Annual'!G11</x:f>
        <x:v>21.31809800723962</x:v>
      </x:c>
      <x:c r="H11" s="50" t="n">
        <x:f>SUM(F11:G11)</x:f>
        <x:v>234.4949210643521</x:v>
      </x:c>
      <x:c r="I11" s="32" t="n">
        <x:f>IFERROR(E11/F11,0)</x:f>
        <x:v>0.7696608402968274</x:v>
      </x:c>
      <x:c r="J11" t="n">
        <x:f>SUMIF('04 Enterprise Annual'!$A$8:$A$147,A11,'04 Enterprise Annual'!$S$8:$S$147)</x:f>
        <x:v>28005.895812491115</x:v>
      </x:c>
      <x:c r="K11" s="36" t="n">
        <x:f>IFERROR(F11/J11,0)</x:f>
        <x:v>0.007611855178081178</x:v>
      </x:c>
      <x:c r="L11" t="n">
        <x:f>SUMIF('04 Enterprise Annual'!$A$8:$A$147,A11,'04 Enterprise Annual'!$U$8:$U$147)</x:f>
        <x:v>513.0473579176139</x:v>
      </x:c>
      <x:c r="M11" t="n">
        <x:f>SUMIF('04 Enterprise Annual'!$A$8:$A$147,A11,'04 Enterprise Annual'!$W$8:$W$147)+G11</x:f>
        <x:v>160.79983750325528</x:v>
      </x:c>
      <x:c r="N11" t="n">
        <x:f>SUMIF('04 Enterprise Annual'!$A$8:$A$147,A11,'04 Enterprise Annual'!$X$8:$X$147)+G11</x:f>
        <x:v>233.39475834932864</x:v>
      </x:c>
      <x:c r="O11" t="n">
        <x:f>SUMIF('04 Enterprise Annual'!$A$8:$A$147,A11,'04 Enterprise Annual'!$Y$8:$Y$147)+G11</x:f>
        <x:v>160.0800002947844</x:v>
      </x:c>
    </x:row>
    <x:row r="12">
      <x:c r="A12" t="n">
        <x:f>2030</x:f>
        <x:v>2030</x:v>
      </x:c>
      <x:c r="B12" s="40" t="n">
        <x:f>SUMIF('04 Enterprise Annual'!$A$8:$A$147,A12,'04 Enterprise Annual'!$D$8:$D$147)</x:f>
        <x:v>137.2609828358658</x:v>
      </x:c>
      <x:c r="C12" s="40" t="n">
        <x:f>SUMIF('04 Enterprise Annual'!$A$8:$A$147,A12,'04 Enterprise Annual'!$F$8:$F$147)</x:f>
        <x:v>95.07498417875419</x:v>
      </x:c>
      <x:c r="D12" s="40" t="n">
        <x:f>SUMIF('04 Enterprise Annual'!$A$8:$A$147,A12,'04 Enterprise Annual'!$P$8:$P$147)</x:f>
        <x:v>53.41432624423697</x:v>
      </x:c>
      <x:c r="E12" s="40" t="n">
        <x:f>SUMIF('04 Enterprise Annual'!$A$8:$A$147,A12,'04 Enterprise Annual'!$Q$8:$Q$147)</x:f>
        <x:v>233.09671416166915</x:v>
      </x:c>
      <x:c r="F12" s="40" t="n">
        <x:f>SUMIF('04 Enterprise Annual'!$A$8:$A$147,A12,'04 Enterprise Annual'!$R$8:$R$147)</x:f>
        <x:v>286.51104040590616</x:v>
      </x:c>
      <x:c r="G12" s="40" t="n">
        <x:f>'05 Consumer Annual'!G12</x:f>
        <x:v>25.378133838069076</x:v>
      </x:c>
      <x:c r="H12" s="50" t="n">
        <x:f>SUM(F12:G12)</x:f>
        <x:v>311.8891742439752</x:v>
      </x:c>
      <x:c r="I12" s="32" t="n">
        <x:f>IFERROR(E12/F12,0)</x:f>
        <x:v>0.8135697452755614</x:v>
      </x:c>
      <x:c r="J12" t="n">
        <x:f>SUMIF('04 Enterprise Annual'!$A$8:$A$147,A12,'04 Enterprise Annual'!$S$8:$S$147)</x:f>
        <x:v>28816.714241161506</x:v>
      </x:c>
      <x:c r="K12" s="36" t="n">
        <x:f>IFERROR(F12/J12,0)</x:f>
        <x:v>0.009942529811280727</x:v>
      </x:c>
      <x:c r="L12" t="n">
        <x:f>SUMIF('04 Enterprise Annual'!$A$8:$A$147,A12,'04 Enterprise Annual'!$U$8:$U$147)</x:f>
        <x:v>706.3616285566144</x:v>
      </x:c>
      <x:c r="M12" t="n">
        <x:f>SUMIF('04 Enterprise Annual'!$A$8:$A$147,A12,'04 Enterprise Annual'!$W$8:$W$147)+G12</x:f>
        <x:v>184.04652569090246</x:v>
      </x:c>
      <x:c r="N12" t="n">
        <x:f>SUMIF('04 Enterprise Annual'!$A$8:$A$147,A12,'04 Enterprise Annual'!$X$8:$X$147)+G12</x:f>
        <x:v>309.9278398542703</x:v>
      </x:c>
      <x:c r="O12" t="n">
        <x:f>SUMIF('04 Enterprise Annual'!$A$8:$A$147,A12,'04 Enterprise Annual'!$Y$8:$Y$147)+G12</x:f>
        <x:v>182.960348442517</x:v>
      </x:c>
    </x:row>
    <x:row r="13">
      <x:c r="A13" t="n">
        <x:f>2031</x:f>
        <x:v>2031</x:v>
      </x:c>
      <x:c r="B13" s="40" t="n">
        <x:f>SUMIF('04 Enterprise Annual'!$A$8:$A$147,A13,'04 Enterprise Annual'!$D$8:$D$147)</x:f>
        <x:v>137.8263764251694</x:v>
      </x:c>
      <x:c r="C13" s="40" t="n">
        <x:f>SUMIF('04 Enterprise Annual'!$A$8:$A$147,A13,'04 Enterprise Annual'!$F$8:$F$147)</x:f>
        <x:v>99.69897573633355</x:v>
      </x:c>
      <x:c r="D13" s="40" t="n">
        <x:f>SUMIF('04 Enterprise Annual'!$A$8:$A$147,A13,'04 Enterprise Annual'!$P$8:$P$147)</x:f>
        <x:v>57.709806551244085</x:v>
      </x:c>
      <x:c r="E13" s="40" t="n">
        <x:f>SUMIF('04 Enterprise Annual'!$A$8:$A$147,A13,'04 Enterprise Annual'!$Q$8:$Q$147)</x:f>
        <x:v>328.9082748575141</x:v>
      </x:c>
      <x:c r="F13" s="40" t="n">
        <x:f>SUMIF('04 Enterprise Annual'!$A$8:$A$147,A13,'04 Enterprise Annual'!$R$8:$R$147)</x:f>
        <x:v>386.61808140875826</x:v>
      </x:c>
      <x:c r="G13" s="40" t="n">
        <x:f>'05 Consumer Annual'!G13</x:f>
        <x:v>29.564745188228333</x:v>
      </x:c>
      <x:c r="H13" s="50" t="n">
        <x:f>SUM(F13:G13)</x:f>
        <x:v>416.1828265969866</x:v>
      </x:c>
      <x:c r="I13" s="32" t="n">
        <x:f>IFERROR(E13/F13,0)</x:f>
        <x:v>0.8507317445139625</x:v>
      </x:c>
      <x:c r="J13" t="n">
        <x:f>SUMIF('04 Enterprise Annual'!$A$8:$A$147,A13,'04 Enterprise Annual'!$S$8:$S$147)</x:f>
        <x:v>29651.276063919526</x:v>
      </x:c>
      <x:c r="K13" s="36" t="n">
        <x:f>IFERROR(F13/J13,0)</x:f>
        <x:v>0.013038834503288228</x:v>
      </x:c>
      <x:c r="L13" t="n">
        <x:f>SUMIF('04 Enterprise Annual'!$A$8:$A$147,A13,'04 Enterprise Annual'!$U$8:$U$147)</x:f>
        <x:v>911.7475546017018</x:v>
      </x:c>
      <x:c r="M13" t="n">
        <x:f>SUMIF('04 Enterprise Annual'!$A$8:$A$147,A13,'04 Enterprise Annual'!$W$8:$W$147)+G13</x:f>
        <x:v>209.02013386661517</x:v>
      </x:c>
      <x:c r="N13" t="n">
        <x:f>SUMIF('04 Enterprise Annual'!$A$8:$A$147,A13,'04 Enterprise Annual'!$X$8:$X$147)+G13</x:f>
        <x:v>412.8889547871978</x:v>
      </x:c>
      <x:c r="O13" t="n">
        <x:f>SUMIF('04 Enterprise Annual'!$A$8:$A$147,A13,'04 Enterprise Annual'!$Y$8:$Y$147)+G13</x:f>
        <x:v>207.49122698329361</x:v>
      </x:c>
    </x:row>
    <x:row r="14">
      <x:c r="A14" t="n">
        <x:f>2032</x:f>
        <x:v>2032</x:v>
      </x:c>
      <x:c r="B14" s="40" t="n">
        <x:f>SUMIF('04 Enterprise Annual'!$A$8:$A$147,A14,'04 Enterprise Annual'!$D$8:$D$147)</x:f>
        <x:v>138.39554074530773</x:v>
      </x:c>
      <x:c r="C14" s="40" t="n">
        <x:f>SUMIF('04 Enterprise Annual'!$A$8:$A$147,A14,'04 Enterprise Annual'!$F$8:$F$147)</x:f>
        <x:v>103.93591040110994</x:v>
      </x:c>
      <x:c r="D14" s="40" t="n">
        <x:f>SUMIF('04 Enterprise Annual'!$A$8:$A$147,A14,'04 Enterprise Annual'!$P$8:$P$147)</x:f>
        <x:v>62.000578833229056</x:v>
      </x:c>
      <x:c r="E14" s="40" t="n">
        <x:f>SUMIF('04 Enterprise Annual'!$A$8:$A$147,A14,'04 Enterprise Annual'!$Q$8:$Q$147)</x:f>
        <x:v>461.4957542096507</x:v>
      </x:c>
      <x:c r="F14" s="40" t="n">
        <x:f>SUMIF('04 Enterprise Annual'!$A$8:$A$147,A14,'04 Enterprise Annual'!$R$8:$R$147)</x:f>
        <x:v>523.4963330428798</x:v>
      </x:c>
      <x:c r="G14" s="40" t="n">
        <x:f>'05 Consumer Annual'!G14</x:f>
        <x:v>33.87151504004868</x:v>
      </x:c>
      <x:c r="H14" s="50" t="n">
        <x:f>SUM(F14:G14)</x:f>
        <x:v>557.3678480829285</x:v>
      </x:c>
      <x:c r="I14" s="32" t="n">
        <x:f>IFERROR(E14/F14,0)</x:f>
        <x:v>0.8815644448303126</x:v>
      </x:c>
      <x:c r="J14" t="n">
        <x:f>SUMIF('04 Enterprise Annual'!$A$8:$A$147,A14,'04 Enterprise Annual'!$S$8:$S$147)</x:f>
        <x:v>30510.284708571533</x:v>
      </x:c>
      <x:c r="K14" s="36" t="n">
        <x:f>IFERROR(F14/J14,0)</x:f>
        <x:v>0.017158028449856096</x:v>
      </x:c>
      <x:c r="L14" t="n">
        <x:f>SUMIF('04 Enterprise Annual'!$A$8:$A$147,A14,'04 Enterprise Annual'!$U$8:$U$147)</x:f>
        <x:v>1129.7957686834254</x:v>
      </x:c>
      <x:c r="M14" t="n">
        <x:f>SUMIF('04 Enterprise Annual'!$A$8:$A$147,A14,'04 Enterprise Annual'!$W$8:$W$147)+G14</x:f>
        <x:v>235.90232407172664</x:v>
      </x:c>
      <x:c r="N14" t="n">
        <x:f>SUMIF('04 Enterprise Annual'!$A$8:$A$147,A14,'04 Enterprise Annual'!$X$8:$X$147)+G14</x:f>
        <x:v>552.0357735754133</x:v>
      </x:c>
      <x:c r="O14" t="n">
        <x:f>SUMIF('04 Enterprise Annual'!$A$8:$A$147,A14,'04 Enterprise Annual'!$Y$8:$Y$147)+G14</x:f>
        <x:v>233.84453826010707</x:v>
      </x:c>
    </x:row>
  </x:sheetData>
  <x:mergeCells>
    <x:mergeCell ref="A1:O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9" hidden="0" customWidth="1"/>
    <x:col min="3" max="3" width="26" hidden="0" customWidth="1"/>
    <x:col min="4" max="4" width="42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 ht="25" customHeight="1">
      <x:c r="A1" s="8" t="str">
        <x:v>IDENTIFY THE TWO AI DEMAND FLYWHEELS WITHOUT DOUBLE COUNTING</x:v>
      </x:c>
      <x:c r="B1" s="2"/>
      <x:c r="C1" s="2"/>
      <x:c r="D1" s="2"/>
      <x:c r="E1" s="2"/>
      <x:c r="F1" s="2"/>
      <x:c r="G1" s="2"/>
      <x:c r="H1" s="2"/>
    </x:row>
    <x:row r="2" ht="25" customHeight="1">
      <x:c r="A2" s="2"/>
      <x:c r="B2" s="2"/>
      <x:c r="C2" s="2"/>
      <x:c r="D2" s="2"/>
      <x:c r="E2" s="2"/>
      <x:c r="F2" s="2"/>
      <x:c r="G2" s="2"/>
      <x:c r="H2" s="2"/>
    </x:row>
    <x:row r="7" ht="30" customHeight="1">
      <x:c r="A7" s="16" t="str">
        <x:v>Year</x:v>
      </x:c>
      <x:c r="B7" s="16" t="str">
        <x:v>Full demand model ($B)</x:v>
      </x:c>
      <x:c r="C7" s="16" t="str">
        <x:v>No TOKEN price rebound ($B)</x:v>
      </x:c>
      <x:c r="D7" s="16" t="str">
        <x:v>No OECD productivity-to-spend feedback ($B)</x:v>
      </x:c>
      <x:c r="E7" s="16" t="str">
        <x:v>No either channel ($B)</x:v>
      </x:c>
      <x:c r="F7" s="16" t="str">
        <x:v>Price rebound contribution ($B)</x:v>
      </x:c>
      <x:c r="G7" s="16" t="str">
        <x:v>Productivity feedback contribution ($B)</x:v>
      </x:c>
      <x:c r="H7" s="16" t="str">
        <x:v>Combined change vs neither ($B)</x:v>
      </x:c>
    </x:row>
    <x:row r="8">
      <x:c r="A8" t="n">
        <x:f>'06 Revenue Summary'!A8</x:f>
        <x:v>2026</x:v>
      </x:c>
      <x:c r="B8" t="n">
        <x:f>'06 Revenue Summary'!H8</x:f>
        <x:v>99.9465107444697</x:v>
      </x:c>
      <x:c r="C8" t="n">
        <x:f>'06 Revenue Summary'!M8</x:f>
        <x:v>99.9465107444697</x:v>
      </x:c>
      <x:c r="D8" t="n">
        <x:f>'06 Revenue Summary'!N8</x:f>
        <x:v>99.9465107444697</x:v>
      </x:c>
      <x:c r="E8" t="n">
        <x:f>'06 Revenue Summary'!O8</x:f>
        <x:v>99.9465107444697</x:v>
      </x:c>
      <x:c r="F8" t="n">
        <x:f>B8-C8</x:f>
        <x:v>0</x:v>
      </x:c>
      <x:c r="G8" t="n">
        <x:f>B8-D8</x:f>
        <x:v>0</x:v>
      </x:c>
      <x:c r="H8" t="n">
        <x:f>B8-E8</x:f>
        <x:v>0</x:v>
      </x:c>
    </x:row>
    <x:row r="9">
      <x:c r="A9" t="n">
        <x:f>'06 Revenue Summary'!A9</x:f>
        <x:v>2027</x:v>
      </x:c>
      <x:c r="B9" t="n">
        <x:f>'06 Revenue Summary'!H9</x:f>
        <x:v>133.13598961749045</x:v>
      </x:c>
      <x:c r="C9" t="n">
        <x:f>'06 Revenue Summary'!M9</x:f>
        <x:v>118.8744062966282</x:v>
      </x:c>
      <x:c r="D9" t="n">
        <x:f>'06 Revenue Summary'!N9</x:f>
        <x:v>132.92754277877796</x:v>
      </x:c>
      <x:c r="E9" t="n">
        <x:f>'06 Revenue Summary'!O9</x:f>
        <x:v>118.69083585007974</x:v>
      </x:c>
      <x:c r="F9" t="n">
        <x:f>B9-C9</x:f>
        <x:v>14.261583320862258</x:v>
      </x:c>
      <x:c r="G9" t="n">
        <x:f>B9-D9</x:f>
        <x:v>0.20844683871249003</x:v>
      </x:c>
      <x:c r="H9" t="n">
        <x:f>B9-E9</x:f>
        <x:v>14.445153767410716</x:v>
      </x:c>
    </x:row>
    <x:row r="10">
      <x:c r="A10" t="n">
        <x:f>'06 Revenue Summary'!A10</x:f>
        <x:v>2028</x:v>
      </x:c>
      <x:c r="B10" t="n">
        <x:f>'06 Revenue Summary'!H10</x:f>
        <x:v>176.68984387821774</x:v>
      </x:c>
      <x:c r="C10" t="n">
        <x:f>'06 Revenue Summary'!M10</x:f>
        <x:v>139.1211917524407</x:v>
      </x:c>
      <x:c r="D10" t="n">
        <x:f>'06 Revenue Summary'!N10</x:f>
        <x:v>176.13836846102438</x:v>
      </x:c>
      <x:c r="E10" t="n">
        <x:f>'06 Revenue Summary'!O10</x:f>
        <x:v>138.69977969693187</x:v>
      </x:c>
      <x:c r="F10" t="n">
        <x:f>B10-C10</x:f>
        <x:v>37.56865212577705</x:v>
      </x:c>
      <x:c r="G10" t="n">
        <x:f>B10-D10</x:f>
        <x:v>0.5514754171933589</x:v>
      </x:c>
      <x:c r="H10" t="n">
        <x:f>B10-E10</x:f>
        <x:v>37.990064181285874</x:v>
      </x:c>
    </x:row>
    <x:row r="11">
      <x:c r="A11" t="n">
        <x:f>'06 Revenue Summary'!A11</x:f>
        <x:v>2029</x:v>
      </x:c>
      <x:c r="B11" t="n">
        <x:f>'06 Revenue Summary'!H11</x:f>
        <x:v>234.4949210643521</x:v>
      </x:c>
      <x:c r="C11" t="n">
        <x:f>'06 Revenue Summary'!M11</x:f>
        <x:v>160.79983750325528</x:v>
      </x:c>
      <x:c r="D11" t="n">
        <x:f>'06 Revenue Summary'!N11</x:f>
        <x:v>233.39475834932864</x:v>
      </x:c>
      <x:c r="E11" t="n">
        <x:f>'06 Revenue Summary'!O11</x:f>
        <x:v>160.0800002947844</x:v>
      </x:c>
      <x:c r="F11" t="n">
        <x:f>B11-C11</x:f>
        <x:v>73.69508356109682</x:v>
      </x:c>
      <x:c r="G11" t="n">
        <x:f>B11-D11</x:f>
        <x:v>1.1001627150234583</x:v>
      </x:c>
      <x:c r="H11" t="n">
        <x:f>B11-E11</x:f>
        <x:v>74.41492076956769</x:v>
      </x:c>
    </x:row>
    <x:row r="12">
      <x:c r="A12" t="n">
        <x:f>'06 Revenue Summary'!A12</x:f>
        <x:v>2030</x:v>
      </x:c>
      <x:c r="B12" t="n">
        <x:f>'06 Revenue Summary'!H12</x:f>
        <x:v>311.8891742439752</x:v>
      </x:c>
      <x:c r="C12" t="n">
        <x:f>'06 Revenue Summary'!M12</x:f>
        <x:v>184.04652569090246</x:v>
      </x:c>
      <x:c r="D12" t="n">
        <x:f>'06 Revenue Summary'!N12</x:f>
        <x:v>309.9278398542703</x:v>
      </x:c>
      <x:c r="E12" t="n">
        <x:f>'06 Revenue Summary'!O12</x:f>
        <x:v>182.960348442517</x:v>
      </x:c>
      <x:c r="F12" t="n">
        <x:f>B12-C12</x:f>
        <x:v>127.84264855307276</x:v>
      </x:c>
      <x:c r="G12" t="n">
        <x:f>B12-D12</x:f>
        <x:v>1.9613343897049162</x:v>
      </x:c>
      <x:c r="H12" t="n">
        <x:f>B12-E12</x:f>
        <x:v>128.92882580145823</x:v>
      </x:c>
    </x:row>
    <x:row r="13">
      <x:c r="A13" t="n">
        <x:f>'06 Revenue Summary'!A13</x:f>
        <x:v>2031</x:v>
      </x:c>
      <x:c r="B13" t="n">
        <x:f>'06 Revenue Summary'!H13</x:f>
        <x:v>416.1828265969866</x:v>
      </x:c>
      <x:c r="C13" t="n">
        <x:f>'06 Revenue Summary'!M13</x:f>
        <x:v>209.02013386661517</x:v>
      </x:c>
      <x:c r="D13" t="n">
        <x:f>'06 Revenue Summary'!N13</x:f>
        <x:v>412.8889547871978</x:v>
      </x:c>
      <x:c r="E13" t="n">
        <x:f>'06 Revenue Summary'!O13</x:f>
        <x:v>207.49122698329361</x:v>
      </x:c>
      <x:c r="F13" t="n">
        <x:f>B13-C13</x:f>
        <x:v>207.16269273037145</x:v>
      </x:c>
      <x:c r="G13" t="n">
        <x:f>B13-D13</x:f>
        <x:v>3.2938718097888113</x:v>
      </x:c>
      <x:c r="H13" t="n">
        <x:f>B13-E13</x:f>
        <x:v>208.691599613693</x:v>
      </x:c>
    </x:row>
    <x:row r="14">
      <x:c r="A14" t="n">
        <x:f>'06 Revenue Summary'!A14</x:f>
        <x:v>2032</x:v>
      </x:c>
      <x:c r="B14" t="n">
        <x:f>'06 Revenue Summary'!H14</x:f>
        <x:v>557.3678480829285</x:v>
      </x:c>
      <x:c r="C14" t="n">
        <x:f>'06 Revenue Summary'!M14</x:f>
        <x:v>235.90232407172664</x:v>
      </x:c>
      <x:c r="D14" t="n">
        <x:f>'06 Revenue Summary'!N14</x:f>
        <x:v>552.0357735754133</x:v>
      </x:c>
      <x:c r="E14" t="n">
        <x:f>'06 Revenue Summary'!O14</x:f>
        <x:v>233.84453826010707</x:v>
      </x:c>
      <x:c r="F14" t="n">
        <x:f>B14-C14</x:f>
        <x:v>321.46552401120186</x:v>
      </x:c>
      <x:c r="G14" t="n">
        <x:f>B14-D14</x:f>
        <x:v>5.3320745075152445</x:v>
      </x:c>
      <x:c r="H14" t="n">
        <x:f>B14-E14</x:f>
        <x:v>323.52330982282143</x:v>
      </x:c>
    </x:row>
    <x:row r="17">
      <x:c r="A17" t="str">
        <x:v>INTERPRETATION</x:v>
      </x:c>
    </x:row>
    <x:row r="18" ht="25" customHeight="1">
      <x:c r="A18" t="str">
        <x:v>Price rebound elasticity &gt;1 implies lower net token price increases metered revenue (Jevons condition).</x:v>
      </x:c>
    </x:row>
    <x:row r="19" ht="25" customHeight="1">
      <x:c r="A19" t="str">
        <x:v>Productivity uplift is OECD's 2023–2033 LEVEL scenario, rebased to post-2026; only a share converts to spending.</x:v>
      </x:c>
    </x:row>
    <x:row r="20" ht="25" customHeight="1">
      <x:c r="A20" t="str">
        <x:v>Do not add columns F and G: the two mechanisms interact. H is the correct combined delta.</x:v>
      </x:c>
    </x:row>
  </x:sheetData>
  <x:mergeCells>
    <x:mergeCell ref="A1:H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5" customHeight="1">
      <x:c r="A1" s="8" t="str">
        <x:v>2032 DEMAND SENSITIVITY | NET TOKEN PRICE DEFLATION × PRICE ELASTICITY</x:v>
      </x:c>
      <x:c r="B1" s="2"/>
      <x:c r="C1" s="2"/>
      <x:c r="D1" s="2"/>
      <x:c r="E1" s="2"/>
      <x:c r="F1" s="2"/>
      <x:c r="G1" s="2"/>
    </x:row>
    <x:row r="2" ht="25" customHeight="1">
      <x:c r="A2" s="2"/>
      <x:c r="B2" s="2"/>
      <x:c r="C2" s="2"/>
      <x:c r="D2" s="2"/>
      <x:c r="E2" s="2"/>
      <x:c r="F2" s="2"/>
      <x:c r="G2" s="2"/>
    </x:row>
    <x:row r="4">
      <x:c r="A4" t="str">
        <x:v>Sensitivity is the same ACTIVE scenario, varying only the stated parameters; values = U.S. end-customer AI spending ($B).</x:v>
      </x:c>
    </x:row>
    <x:row r="7">
      <x:c r="A7" s="14" t="str">
        <x:v>Annual decline / elasticity →</x:v>
      </x:c>
      <x:c r="B7" s="54" t="n">
        <x:v>0.4</x:v>
      </x:c>
      <x:c r="C7" s="54" t="n">
        <x:v>0.7</x:v>
      </x:c>
      <x:c r="D7" s="54" t="n">
        <x:v>0.8</x:v>
      </x:c>
      <x:c r="E7" s="54" t="n">
        <x:v>1</x:v>
      </x:c>
      <x:c r="F7" s="54" t="n">
        <x:v>1.3</x:v>
      </x:c>
    </x:row>
    <x:row r="8">
      <x:c r="A8" s="52" t="n">
        <x:v>0.1</x:v>
      </x:c>
      <x:c r="B8" s="42" t="n">
        <x:f>'06 Revenue Summary'!$D$14+'06 Revenue Summary'!$G$14+'06 Revenue Summary'!$E$14*((1-$A8)^((2032-2026)*(1-B$7)))/((1-'02 Assumptions'!$E$16)^((2032-2026)*(1-'02 Assumptions'!$E$17)))</x:f>
        <x:v>521.3991908730858</x:v>
      </x:c>
      <x:c r="C8" s="42" t="n">
        <x:f>'06 Revenue Summary'!$D$14+'06 Revenue Summary'!$G$14+'06 Revenue Summary'!$E$14*((1-$A8)^((2032-2026)*(1-C$7)))/((1-'02 Assumptions'!$E$16)^((2032-2026)*(1-'02 Assumptions'!$E$17)))</x:f>
        <x:v>610.2599459320217</x:v>
      </x:c>
      <x:c r="D8" s="42" t="n">
        <x:f>'06 Revenue Summary'!$D$14+'06 Revenue Summary'!$G$14+'06 Revenue Summary'!$E$14*((1-$A8)^((2032-2026)*(1-D$7)))/((1-'02 Assumptions'!$E$16)^((2032-2026)*(1-'02 Assumptions'!$E$17)))</x:f>
        <x:v>643.8274771692385</x:v>
      </x:c>
      <x:c r="E8" s="42" t="n">
        <x:f>'06 Revenue Summary'!$D$14+'06 Revenue Summary'!$G$14+'06 Revenue Summary'!$E$14*((1-$A8)^((2032-2026)*(1-E$7)))/((1-'02 Assumptions'!$E$16)^((2032-2026)*(1-'02 Assumptions'!$E$17)))</x:f>
        <x:v>717.6770604926597</x:v>
      </x:c>
      <x:c r="F8" s="42" t="n">
        <x:f>'06 Revenue Summary'!$D$14+'06 Revenue Summary'!$G$14+'06 Revenue Summary'!$E$14*((1-$A8)^((2032-2026)*(1-F$7)))/((1-'02 Assumptions'!$E$16)^((2032-2026)*(1-'02 Assumptions'!$E$17)))</x:f>
        <x:v>847.5255689020304</x:v>
      </x:c>
    </x:row>
    <x:row r="9">
      <x:c r="A9" s="52" t="n">
        <x:v>0.18</x:v>
      </x:c>
      <x:c r="B9" s="42" t="n">
        <x:f>'06 Revenue Summary'!$D$14+'06 Revenue Summary'!$G$14+'06 Revenue Summary'!$E$14*((1-$A9)^((2032-2026)*(1-B$7)))/((1-'02 Assumptions'!$E$16)^((2032-2026)*(1-'02 Assumptions'!$E$17)))</x:f>
        <x:v>400.2296268523775</x:v>
      </x:c>
      <x:c r="C9" s="42" t="n">
        <x:f>'06 Revenue Summary'!$D$14+'06 Revenue Summary'!$G$14+'06 Revenue Summary'!$E$14*((1-$A9)^((2032-2026)*(1-C$7)))/((1-'02 Assumptions'!$E$16)^((2032-2026)*(1-'02 Assumptions'!$E$17)))</x:f>
        <x:v>530.9020073670818</x:v>
      </x:c>
      <x:c r="D9" s="42" t="n">
        <x:f>'06 Revenue Summary'!$D$14+'06 Revenue Summary'!$G$14+'06 Revenue Summary'!$E$14*((1-$A9)^((2032-2026)*(1-D$7)))/((1-'02 Assumptions'!$E$16)^((2032-2026)*(1-'02 Assumptions'!$E$17)))</x:f>
        <x:v>585.9112795181918</x:v>
      </x:c>
      <x:c r="E9" s="42" t="n">
        <x:f>'06 Revenue Summary'!$D$14+'06 Revenue Summary'!$G$14+'06 Revenue Summary'!$E$14*((1-$A9)^((2032-2026)*(1-E$7)))/((1-'02 Assumptions'!$E$16)^((2032-2026)*(1-'02 Assumptions'!$E$17)))</x:f>
        <x:v>717.6770604926597</x:v>
      </x:c>
      <x:c r="F9" s="42" t="n">
        <x:f>'06 Revenue Summary'!$D$14+'06 Revenue Summary'!$G$14+'06 Revenue Summary'!$E$14*((1-$A9)^((2032-2026)*(1-F$7)))/((1-'02 Assumptions'!$E$16)^((2032-2026)*(1-'02 Assumptions'!$E$17)))</x:f>
        <x:v>984.6418187120677</x:v>
      </x:c>
    </x:row>
    <x:row r="10">
      <x:c r="A10" s="52" t="n">
        <x:v>0.22</x:v>
      </x:c>
      <x:c r="B10" s="42" t="n">
        <x:f>'06 Revenue Summary'!$D$14+'06 Revenue Summary'!$G$14+'06 Revenue Summary'!$E$14*((1-$A10)^((2032-2026)*(1-B$7)))/((1-'02 Assumptions'!$E$16)^((2032-2026)*(1-'02 Assumptions'!$E$17)))</x:f>
        <x:v>350.08333811236366</x:v>
      </x:c>
      <x:c r="C10" s="42" t="n">
        <x:f>'06 Revenue Summary'!$D$14+'06 Revenue Summary'!$G$14+'06 Revenue Summary'!$E$14*((1-$A10)^((2032-2026)*(1-C$7)))/((1-'02 Assumptions'!$E$16)^((2032-2026)*(1-'02 Assumptions'!$E$17)))</x:f>
        <x:v>493.45204085043144</x:v>
      </x:c>
      <x:c r="D10" s="42" t="n">
        <x:f>'06 Revenue Summary'!$D$14+'06 Revenue Summary'!$G$14+'06 Revenue Summary'!$E$14*((1-$A10)^((2032-2026)*(1-D$7)))/((1-'02 Assumptions'!$E$16)^((2032-2026)*(1-'02 Assumptions'!$E$17)))</x:f>
        <x:v>557.3678480829285</x:v>
      </x:c>
      <x:c r="E10" s="42" t="n">
        <x:f>'06 Revenue Summary'!$D$14+'06 Revenue Summary'!$G$14+'06 Revenue Summary'!$E$14*((1-$A10)^((2032-2026)*(1-E$7)))/((1-'02 Assumptions'!$E$16)^((2032-2026)*(1-'02 Assumptions'!$E$17)))</x:f>
        <x:v>717.6770604926597</x:v>
      </x:c>
      <x:c r="F10" s="42" t="n">
        <x:f>'06 Revenue Summary'!$D$14+'06 Revenue Summary'!$G$14+'06 Revenue Summary'!$E$14*((1-$A10)^((2032-2026)*(1-F$7)))/((1-'02 Assumptions'!$E$16)^((2032-2026)*(1-'02 Assumptions'!$E$17)))</x:f>
        <x:v>1068.3593117327553</x:v>
      </x:c>
    </x:row>
    <x:row r="11">
      <x:c r="A11" s="52" t="n">
        <x:v>0.3</x:v>
      </x:c>
      <x:c r="B11" s="42" t="n">
        <x:f>'06 Revenue Summary'!$D$14+'06 Revenue Summary'!$G$14+'06 Revenue Summary'!$E$14*((1-$A11)^((2032-2026)*(1-B$7)))/((1-'02 Assumptions'!$E$16)^((2032-2026)*(1-'02 Assumptions'!$E$17)))</x:f>
        <x:v>268.0617785251736</x:v>
      </x:c>
      <x:c r="C11" s="42" t="n">
        <x:f>'06 Revenue Summary'!$D$14+'06 Revenue Summary'!$G$14+'06 Revenue Summary'!$E$14*((1-$A11)^((2032-2026)*(1-C$7)))/((1-'02 Assumptions'!$E$16)^((2032-2026)*(1-'02 Assumptions'!$E$17)))</x:f>
        <x:v>423.085176003522</x:v>
      </x:c>
      <x:c r="D11" s="42" t="n">
        <x:f>'06 Revenue Summary'!$D$14+'06 Revenue Summary'!$G$14+'06 Revenue Summary'!$E$14*((1-$A11)^((2032-2026)*(1-D$7)))/((1-'02 Assumptions'!$E$16)^((2032-2026)*(1-'02 Assumptions'!$E$17)))</x:f>
        <x:v>501.1676431845079</x:v>
      </x:c>
      <x:c r="E11" s="42" t="n">
        <x:f>'06 Revenue Summary'!$D$14+'06 Revenue Summary'!$G$14+'06 Revenue Summary'!$E$14*((1-$A11)^((2032-2026)*(1-E$7)))/((1-'02 Assumptions'!$E$16)^((2032-2026)*(1-'02 Assumptions'!$E$17)))</x:f>
        <x:v>717.6770604926597</x:v>
      </x:c>
      <x:c r="F11" s="42" t="n">
        <x:f>'06 Revenue Summary'!$D$14+'06 Revenue Summary'!$G$14+'06 Revenue Summary'!$E$14*((1-$A11)^((2032-2026)*(1-F$7)))/((1-'02 Assumptions'!$E$16)^((2032-2026)*(1-'02 Assumptions'!$E$17)))</x:f>
        <x:v>1277.4917711654941</x:v>
      </x:c>
    </x:row>
    <x:row r="12">
      <x:c r="A12" s="52" t="n">
        <x:v>0.4</x:v>
      </x:c>
      <x:c r="B12" s="42" t="n">
        <x:f>'06 Revenue Summary'!$D$14+'06 Revenue Summary'!$G$14+'06 Revenue Summary'!$E$14*((1-$A12)^((2032-2026)*(1-B$7)))/((1-'02 Assumptions'!$E$16)^((2032-2026)*(1-'02 Assumptions'!$E$17)))</x:f>
        <x:v>194.72710469743498</x:v>
      </x:c>
      <x:c r="C12" s="42" t="n">
        <x:f>'06 Revenue Summary'!$D$14+'06 Revenue Summary'!$G$14+'06 Revenue Summary'!$E$14*((1-$A12)^((2032-2026)*(1-C$7)))/((1-'02 Assumptions'!$E$16)^((2032-2026)*(1-'02 Assumptions'!$E$17)))</x:f>
        <x:v>343.8005849864891</x:v>
      </x:c>
      <x:c r="D12" s="42" t="n">
        <x:f>'06 Revenue Summary'!$D$14+'06 Revenue Summary'!$G$14+'06 Revenue Summary'!$E$14*((1-$A12)^((2032-2026)*(1-D$7)))/((1-'02 Assumptions'!$E$16)^((2032-2026)*(1-'02 Assumptions'!$E$17)))</x:f>
        <x:v>432.7214232574164</x:v>
      </x:c>
      <x:c r="E12" s="42" t="n">
        <x:f>'06 Revenue Summary'!$D$14+'06 Revenue Summary'!$G$14+'06 Revenue Summary'!$E$14*((1-$A12)^((2032-2026)*(1-E$7)))/((1-'02 Assumptions'!$E$16)^((2032-2026)*(1-'02 Assumptions'!$E$17)))</x:f>
        <x:v>717.6770604926597</x:v>
      </x:c>
      <x:c r="F12" s="42" t="n">
        <x:f>'06 Revenue Summary'!$D$14+'06 Revenue Summary'!$G$14+'06 Revenue Summary'!$E$14*((1-$A12)^((2032-2026)*(1-F$7)))/((1-'02 Assumptions'!$E$16)^((2032-2026)*(1-'02 Assumptions'!$E$17)))</x:f>
        <x:v>1655.359729910957</x:v>
      </x:c>
    </x:row>
    <x:row r="16">
      <x:c r="A16" t="str">
        <x:v>Interpretation</x:v>
      </x:c>
    </x:row>
    <x:row r="17">
      <x:c r="A17" t="str">
        <x:v>At elasticity = 1.0, falling monetized token price is exactly offset by induced token volume (other things equal).</x:v>
      </x:c>
    </x:row>
    <x:row r="18">
      <x:c r="A18" t="str">
        <x:v>At elasticity above 1.0, falling prices increase metered spending. This is a SCENARIO, not an estimated U.S. demand elasticity.</x:v>
      </x:c>
    </x:row>
  </x:sheetData>
  <x:mergeCells>
    <x:mergeCell ref="A1:G2"/>
  </x:mergeCells>
  <x:conditionalFormatting sqref="B8:F12">
    <x:cfRule type="colorScale" priority="1">
      <x:colorScale>
        <x:cfvo type="min"/>
        <x:cfvo type="percentile" val="50"/>
        <x:cfvo type="max"/>
        <x:color rgb="FFFEE2E2"/>
        <x:color rgb="FFF2F5F8"/>
        <x:color rgb="FFD1FAE5"/>
      </x:colorScale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5" customHeight="1">
      <x:c r="A1" s="8" t="str">
        <x:v>2032 DEMAND SENSITIVITY | PAID-WORKER MEAN CALIBRATION × ORGANIC TOKEN WORKLOAD</x:v>
      </x:c>
      <x:c r="B1" s="2"/>
      <x:c r="C1" s="2"/>
      <x:c r="D1" s="2"/>
      <x:c r="E1" s="2"/>
      <x:c r="F1" s="2"/>
      <x:c r="G1" s="2"/>
    </x:row>
    <x:row r="2" ht="25" customHeight="1">
      <x:c r="A2" s="2"/>
      <x:c r="B2" s="2"/>
      <x:c r="C2" s="2"/>
      <x:c r="D2" s="2"/>
      <x:c r="E2" s="2"/>
      <x:c r="F2" s="2"/>
      <x:c r="G2" s="2"/>
    </x:row>
    <x:row r="3">
      <x:c r="A3" t="str">
        <x:v>Rows stress the IMPLIED median-to-paid-worker-mean factor; columns stress organic token growth. The center row links to active assumption.</x:v>
      </x:c>
    </x:row>
    <x:row r="4">
      <x:c r="A4" t="str">
        <x:v>All else held at ACTIVE scenario; $B U.S. enterprise plus consumer demand. Median-to-mean cannot be validated from Ramp's median.</x:v>
      </x:c>
    </x:row>
    <x:row r="7">
      <x:c r="A7" s="12" t="str">
        <x:v>Mean / organic volume →</x:v>
      </x:c>
      <x:c r="B7" s="56" t="n">
        <x:v>0.2</x:v>
      </x:c>
      <x:c r="C7" s="56" t="n">
        <x:v>0.3</x:v>
      </x:c>
      <x:c r="D7" s="56" t="n">
        <x:v>0.4</x:v>
      </x:c>
      <x:c r="E7" s="56" t="n">
        <x:v>0.5</x:v>
      </x:c>
      <x:c r="F7" s="56" t="n">
        <x:v>0.6</x:v>
      </x:c>
    </x:row>
    <x:row r="8">
      <x:c r="A8" t="n">
        <x:v>3</x:v>
      </x:c>
      <x:c r="B8" s="42" t="n">
        <x:f>'06 Revenue Summary'!$G$14+$A8/'02 Assumptions'!$E$8*('06 Revenue Summary'!$D$14+'06 Revenue Summary'!$E$14*((1+B$7)/(1+'02 Assumptions'!$E$15))^(2032-2026))</x:f>
        <x:v>117.01160462853701</x:v>
      </x:c>
      <x:c r="C8" s="42" t="n">
        <x:f>'06 Revenue Summary'!$G$14+$A8/'02 Assumptions'!$E$8*('06 Revenue Summary'!$D$14+'06 Revenue Summary'!$E$14*((1+C$7)/(1+'02 Assumptions'!$E$15))^(2032-2026))</x:f>
        <x:v>155.29659790664525</x:v>
      </x:c>
      <x:c r="D8" s="42" t="n">
        <x:f>'06 Revenue Summary'!$G$14+$A8/'02 Assumptions'!$E$8*('06 Revenue Summary'!$D$14+'06 Revenue Summary'!$E$14*((1+D$7)/(1+'02 Assumptions'!$E$15))^(2032-2026))</x:f>
        <x:v>211.50720186278528</x:v>
      </x:c>
      <x:c r="E8" s="42" t="n">
        <x:f>'06 Revenue Summary'!$G$14+$A8/'02 Assumptions'!$E$8*('06 Revenue Summary'!$D$14+'06 Revenue Summary'!$E$14*((1+E$7)/(1+'02 Assumptions'!$E$15))^(2032-2026))</x:f>
        <x:v>291.8091134574113</x:v>
      </x:c>
      <x:c r="F8" s="42" t="n">
        <x:f>'06 Revenue Summary'!$G$14+$A8/'02 Assumptions'!$E$8*('06 Revenue Summary'!$D$14+'06 Revenue Summary'!$E$14*((1+F$7)/(1+'02 Assumptions'!$E$15))^(2032-2026))</x:f>
        <x:v>403.838013666241</x:v>
      </x:c>
    </x:row>
    <x:row r="9">
      <x:c r="A9" t="n">
        <x:v>5</x:v>
      </x:c>
      <x:c r="B9" s="42" t="n">
        <x:f>'06 Revenue Summary'!$G$14+$A9/'02 Assumptions'!$E$8*('06 Revenue Summary'!$D$14+'06 Revenue Summary'!$E$14*((1+B$7)/(1+'02 Assumptions'!$E$15))^(2032-2026))</x:f>
        <x:v>172.43833102086256</x:v>
      </x:c>
      <x:c r="C9" s="42" t="n">
        <x:f>'06 Revenue Summary'!$G$14+$A9/'02 Assumptions'!$E$8*('06 Revenue Summary'!$D$14+'06 Revenue Summary'!$E$14*((1+C$7)/(1+'02 Assumptions'!$E$15))^(2032-2026))</x:f>
        <x:v>236.24665315104298</x:v>
      </x:c>
      <x:c r="D9" s="42" t="n">
        <x:f>'06 Revenue Summary'!$G$14+$A9/'02 Assumptions'!$E$8*('06 Revenue Summary'!$D$14+'06 Revenue Summary'!$E$14*((1+D$7)/(1+'02 Assumptions'!$E$15))^(2032-2026))</x:f>
        <x:v>329.930993077943</x:v>
      </x:c>
      <x:c r="E9" s="42" t="n">
        <x:f>'06 Revenue Summary'!$G$14+$A9/'02 Assumptions'!$E$8*('06 Revenue Summary'!$D$14+'06 Revenue Summary'!$E$14*((1+E$7)/(1+'02 Assumptions'!$E$15))^(2032-2026))</x:f>
        <x:v>463.7675124023197</x:v>
      </x:c>
      <x:c r="F9" s="42" t="n">
        <x:f>'06 Revenue Summary'!$G$14+$A9/'02 Assumptions'!$E$8*('06 Revenue Summary'!$D$14+'06 Revenue Summary'!$E$14*((1+F$7)/(1+'02 Assumptions'!$E$15))^(2032-2026))</x:f>
        <x:v>650.4823460837026</x:v>
      </x:c>
    </x:row>
    <x:row r="10">
      <x:c r="A10" t="n">
        <x:f>'02 Assumptions'!E8</x:f>
        <x:v>8.841066945606695</x:v>
      </x:c>
      <x:c r="B10" s="42" t="n">
        <x:f>'06 Revenue Summary'!$G$14+$A10/'02 Assumptions'!$E$8*('06 Revenue Summary'!$D$14+'06 Revenue Summary'!$E$14*((1+B$7)/(1+'02 Assumptions'!$E$15))^(2032-2026))</x:f>
        <x:v>278.88721434523654</x:v>
      </x:c>
      <x:c r="C10" s="42" t="n">
        <x:f>'06 Revenue Summary'!$G$14+$A10/'02 Assumptions'!$E$8*('06 Revenue Summary'!$D$14+'06 Revenue Summary'!$E$14*((1+C$7)/(1+'02 Assumptions'!$E$15))^(2032-2026))</x:f>
        <x:v>391.71394387318895</x:v>
      </x:c>
      <x:c r="D10" s="42" t="n">
        <x:f>'06 Revenue Summary'!$G$14+$A10/'02 Assumptions'!$E$8*('06 Revenue Summary'!$D$14+'06 Revenue Summary'!$E$14*((1+D$7)/(1+'02 Assumptions'!$E$15))^(2032-2026))</x:f>
        <x:v>557.3678480829285</x:v>
      </x:c>
      <x:c r="E10" s="42" t="n">
        <x:f>'06 Revenue Summary'!$G$14+$A10/'02 Assumptions'!$E$8*('06 Revenue Summary'!$D$14+'06 Revenue Summary'!$E$14*((1+E$7)/(1+'02 Assumptions'!$E$15))^(2032-2026))</x:f>
        <x:v>794.0193735056882</x:v>
      </x:c>
      <x:c r="F10" s="42" t="n">
        <x:f>'06 Revenue Summary'!$G$14+$A10/'02 Assumptions'!$E$8*('06 Revenue Summary'!$D$14+'06 Revenue Summary'!$E$14*((1+F$7)/(1+'02 Assumptions'!$E$15))^(2032-2026))</x:f>
        <x:v>1124.1710423686734</x:v>
      </x:c>
    </x:row>
    <x:row r="11">
      <x:c r="A11" t="n">
        <x:v>8</x:v>
      </x:c>
      <x:c r="B11" s="42" t="n">
        <x:f>'06 Revenue Summary'!$G$14+$A11/'02 Assumptions'!$E$8*('06 Revenue Summary'!$D$14+'06 Revenue Summary'!$E$14*((1+B$7)/(1+'02 Assumptions'!$E$15))^(2032-2026))</x:f>
        <x:v>255.5784206093509</x:v>
      </x:c>
      <x:c r="C11" s="42" t="n">
        <x:f>'06 Revenue Summary'!$G$14+$A11/'02 Assumptions'!$E$8*('06 Revenue Summary'!$D$14+'06 Revenue Summary'!$E$14*((1+C$7)/(1+'02 Assumptions'!$E$15))^(2032-2026))</x:f>
        <x:v>357.67173601763955</x:v>
      </x:c>
      <x:c r="D11" s="42" t="n">
        <x:f>'06 Revenue Summary'!$G$14+$A11/'02 Assumptions'!$E$8*('06 Revenue Summary'!$D$14+'06 Revenue Summary'!$E$14*((1+D$7)/(1+'02 Assumptions'!$E$15))^(2032-2026))</x:f>
        <x:v>507.5666799006796</x:v>
      </x:c>
      <x:c r="E11" s="42" t="n">
        <x:f>'06 Revenue Summary'!$G$14+$A11/'02 Assumptions'!$E$8*('06 Revenue Summary'!$D$14+'06 Revenue Summary'!$E$14*((1+E$7)/(1+'02 Assumptions'!$E$15))^(2032-2026))</x:f>
        <x:v>721.7051108196824</x:v>
      </x:c>
      <x:c r="F11" s="42" t="n">
        <x:f>'06 Revenue Summary'!$G$14+$A11/'02 Assumptions'!$E$8*('06 Revenue Summary'!$D$14+'06 Revenue Summary'!$E$14*((1+F$7)/(1+'02 Assumptions'!$E$15))^(2032-2026))</x:f>
        <x:v>1020.448844709895</x:v>
      </x:c>
    </x:row>
    <x:row r="12">
      <x:c r="A12" t="n">
        <x:v>12</x:v>
      </x:c>
      <x:c r="B12" s="42" t="n">
        <x:f>'06 Revenue Summary'!$G$14+$A12/'02 Assumptions'!$E$8*('06 Revenue Summary'!$D$14+'06 Revenue Summary'!$E$14*((1+B$7)/(1+'02 Assumptions'!$E$15))^(2032-2026))</x:f>
        <x:v>366.431873394002</x:v>
      </x:c>
      <x:c r="C12" s="42" t="n">
        <x:f>'06 Revenue Summary'!$G$14+$A12/'02 Assumptions'!$E$8*('06 Revenue Summary'!$D$14+'06 Revenue Summary'!$E$14*((1+C$7)/(1+'02 Assumptions'!$E$15))^(2032-2026))</x:f>
        <x:v>519.5718465064349</x:v>
      </x:c>
      <x:c r="D12" s="42" t="n">
        <x:f>'06 Revenue Summary'!$G$14+$A12/'02 Assumptions'!$E$8*('06 Revenue Summary'!$D$14+'06 Revenue Summary'!$E$14*((1+D$7)/(1+'02 Assumptions'!$E$15))^(2032-2026))</x:f>
        <x:v>744.4142623309951</x:v>
      </x:c>
      <x:c r="E12" s="42" t="n">
        <x:f>'06 Revenue Summary'!$G$14+$A12/'02 Assumptions'!$E$8*('06 Revenue Summary'!$D$14+'06 Revenue Summary'!$E$14*((1+E$7)/(1+'02 Assumptions'!$E$15))^(2032-2026))</x:f>
        <x:v>1065.6219087094992</x:v>
      </x:c>
      <x:c r="F12" s="42" t="n">
        <x:f>'06 Revenue Summary'!$G$14+$A12/'02 Assumptions'!$E$8*('06 Revenue Summary'!$D$14+'06 Revenue Summary'!$E$14*((1+F$7)/(1+'02 Assumptions'!$E$15))^(2032-2026))</x:f>
        <x:v>1513.737509544818</x:v>
      </x:c>
    </x:row>
  </x:sheetData>
  <x:mergeCells>
    <x:mergeCell ref="A1:G2"/>
  </x:mergeCells>
  <x:conditionalFormatting sqref="B8:F12">
    <x:cfRule type="colorScale" priority="1">
      <x:colorScale>
        <x:cfvo type="min"/>
        <x:cfvo type="percentile" val="50"/>
        <x:cfvo type="max"/>
        <x:color rgb="FFFEE2E2"/>
        <x:color rgb="FFF2F5F8"/>
        <x:color rgb="FFD1FAE5"/>
      </x:colorScale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60" hidden="0" customWidth="1"/>
    <x:col min="2" max="2" width="18" hidden="0" customWidth="1"/>
    <x:col min="3" max="3" width="50" hidden="0" customWidth="1"/>
    <x:col min="4" max="4" width="24" hidden="0" customWidth="1"/>
    <x:col min="5" max="5" width="74" hidden="0" customWidth="1"/>
  </x:cols>
  <x:sheetData>
    <x:row r="1" ht="25" customHeight="1">
      <x:c r="A1" s="8" t="str">
        <x:v>SOURCE COVERAGE, RECONCILIATION &amp; RESEARCH RISKS</x:v>
      </x:c>
      <x:c r="B1" s="2"/>
      <x:c r="C1" s="2"/>
      <x:c r="D1" s="2"/>
      <x:c r="E1" s="2"/>
    </x:row>
    <x:row r="2" ht="25" customHeight="1">
      <x:c r="A2" s="2"/>
      <x:c r="B2" s="2"/>
      <x:c r="C2" s="2"/>
      <x:c r="D2" s="2"/>
      <x:c r="E2" s="2"/>
    </x:row>
    <x:row r="7" ht="30" customHeight="1">
      <x:c r="A7" s="16" t="str">
        <x:v>Audit or evidence question</x:v>
      </x:c>
      <x:c r="B7" s="16" t="str">
        <x:v>Live value</x:v>
      </x:c>
      <x:c r="C7" s="16" t="str">
        <x:v>Benchmark / definition</x:v>
      </x:c>
      <x:c r="D7" s="16" t="str">
        <x:v>PASS or interpret</x:v>
      </x:c>
      <x:c r="E7" s="16" t="str">
        <x:v>Primary implication</x:v>
      </x:c>
    </x:row>
    <x:row r="8" ht="24" customHeight="1">
      <x:c r="A8" t="str">
        <x:v>Active 2032 enterprise ties to independent scenario</x:v>
      </x:c>
      <x:c r="B8" s="58" t="n">
        <x:f>ABS('06 Revenue Summary'!F14-INDEX('11 Scenario Comparison'!X14:X16,'02 Assumptions'!B4))</x:f>
        <x:v>0</x:v>
      </x:c>
      <x:c r="C8" t="str">
        <x:v>0</x:v>
      </x:c>
      <x:c r="D8" t="str">
        <x:f>IF(B8&lt;0.000001,"PASS","FAIL")</x:f>
        <x:v>PASS</x:v>
      </x:c>
      <x:c r="E8" t="str">
        <x:v>Independent 2032 sector calculation cross-check</x:v>
      </x:c>
    </x:row>
    <x:row r="9" ht="24" customHeight="1">
      <x:c r="A9" t="str">
        <x:v>Active 2032 consumer ties to independent scenario</x:v>
      </x:c>
      <x:c r="B9" s="58" t="n">
        <x:f>ABS('06 Revenue Summary'!G14-INDEX('11 Scenario Comparison'!Y14:Y16,'02 Assumptions'!B4))</x:f>
        <x:v>0</x:v>
      </x:c>
      <x:c r="C9" t="str">
        <x:v>0</x:v>
      </x:c>
      <x:c r="D9" t="str">
        <x:f>IF(B9&lt;0.000001,"PASS","FAIL")</x:f>
        <x:v>PASS</x:v>
      </x:c>
      <x:c r="E9" t="str">
        <x:v>Independent Stanford cohort calculation</x:v>
      </x:c>
    </x:row>
    <x:row r="10" ht="24" customHeight="1">
      <x:c r="A10" t="str">
        <x:v>2032 all AI revenue = enterprise + consumer</x:v>
      </x:c>
      <x:c r="B10" s="58" t="n">
        <x:f>ABS('06 Revenue Summary'!H14-SUM('06 Revenue Summary'!F14:G14))</x:f>
        <x:v>0</x:v>
      </x:c>
      <x:c r="C10" t="str">
        <x:v>0</x:v>
      </x:c>
      <x:c r="D10" t="str">
        <x:f>IF(B10&lt;0.000001,"PASS","FAIL")</x:f>
        <x:v>PASS</x:v>
      </x:c>
      <x:c r="E10" t="str">
        <x:v>No adding consumer surplus to revenue</x:v>
      </x:c>
    </x:row>
    <x:row r="11" ht="24" customHeight="1">
      <x:c r="A11" t="str">
        <x:v>Industry-years populated</x:v>
      </x:c>
      <x:c r="B11" s="58" t="n">
        <x:f>COUNTA('04 Enterprise Annual'!A8:A147)</x:f>
        <x:v>140</x:v>
      </x:c>
      <x:c r="C11" t="str">
        <x:v>140</x:v>
      </x:c>
      <x:c r="D11" t="str">
        <x:f>IF(B11=140,"PASS","FAIL")</x:f>
        <x:v>PASS</x:v>
      </x:c>
      <x:c r="E11" t="str">
        <x:v>20 rows each year × seven forecast years</x:v>
      </x:c>
    </x:row>
    <x:row r="12" ht="24" customHeight="1">
      <x:c r="A12" t="str">
        <x:v>Ramp sector PAID adoption direct observations</x:v>
      </x:c>
      <x:c r="B12" s="58" t="n">
        <x:f>COUNT('Data Ramp Paid'!C8:C27)</x:f>
        <x:v>7</x:v>
      </x:c>
      <x:c r="C12" t="str">
        <x:v>7 sectors (sample only)</x:v>
      </x:c>
      <x:c r="D12" t="str">
        <x:f>IF(B12=7,"PASS","REVIEW")</x:f>
        <x:v>PASS</x:v>
      </x:c>
      <x:c r="E12" t="str">
        <x:v>Industry usage outside seven sectors is estimated</x:v>
      </x:c>
    </x:row>
    <x:row r="13" ht="24" customHeight="1">
      <x:c r="A13" t="str">
        <x:v>Census industry AI USE direct observations</x:v>
      </x:c>
      <x:c r="B13" s="58" t="n">
        <x:f>COUNT('Data Census'!C8:C27)</x:f>
        <x:v>5</x:v>
      </x:c>
      <x:c r="C13" t="str">
        <x:v>5 sectors (earlier workbook values)</x:v>
      </x:c>
      <x:c r="D13" t="str">
        <x:f>IF(B13=5,"PASS","REVIEW")</x:f>
        <x:v>PASS</x:v>
      </x:c>
      <x:c r="E13" t="str">
        <x:v>Not a direct paid adoption rate</x:v>
      </x:c>
    </x:row>
    <x:row r="14" ht="24" customHeight="1">
      <x:c r="A14" t="str">
        <x:v>2032 Finance &amp; Insurance customer spending ($B)</x:v>
      </x:c>
      <x:c r="B14" s="58" t="n">
        <x:f>'04 Enterprise Annual'!R137</x:f>
        <x:v>34.30744717132701</x:v>
      </x:c>
      <x:c r="C14" t="str">
        <x:v>Positive</x:v>
      </x:c>
      <x:c r="D14" t="str">
        <x:f>IF(B14&gt;0,"PASS","FAIL")</x:f>
        <x:v>PASS</x:v>
      </x:c>
      <x:c r="E14" t="str">
        <x:v>Former Partial-sector zeroing bug removed</x:v>
      </x:c>
    </x:row>
    <x:row r="15" ht="24" customHeight="1">
      <x:c r="A15" t="str">
        <x:v>2032 Transport &amp; Warehousing customer spending ($B)</x:v>
      </x:c>
      <x:c r="B15" s="58" t="n">
        <x:f>'04 Enterprise Annual'!R135</x:f>
        <x:v>24.545950516475024</x:v>
      </x:c>
      <x:c r="C15" t="str">
        <x:v>Positive</x:v>
      </x:c>
      <x:c r="D15" t="str">
        <x:f>IF(B15&gt;0,"PASS","FAIL")</x:f>
        <x:v>PASS</x:v>
      </x:c>
      <x:c r="E15" t="str">
        <x:v>Former Partial-sector zeroing bug removed</x:v>
      </x:c>
    </x:row>
    <x:row r="16" ht="24" customHeight="1">
      <x:c r="A16" t="str">
        <x:v>2032 Other Services customer spending ($B)</x:v>
      </x:c>
      <x:c r="B16" s="58" t="n">
        <x:f>'04 Enterprise Annual'!R146</x:f>
        <x:v>22.288891784626703</x:v>
      </x:c>
      <x:c r="C16" t="str">
        <x:v>Positive</x:v>
      </x:c>
      <x:c r="D16" t="str">
        <x:f>IF(B16&gt;0,"PASS","FAIL")</x:f>
        <x:v>PASS</x:v>
      </x:c>
      <x:c r="E16" t="str">
        <x:v>Former Partial-sector zeroing bug removed</x:v>
      </x:c>
    </x:row>
    <x:row r="17" ht="24" customHeight="1">
      <x:c r="A17" t="str">
        <x:v>2032 Agriculture in narrow-scope customer market</x:v>
      </x:c>
      <x:c r="B17" s="58" t="n">
        <x:f>'04 Enterprise Annual'!R128</x:f>
        <x:v>0</x:v>
      </x:c>
      <x:c r="C17" t="str">
        <x:v>0 intentional</x:v>
      </x:c>
      <x:c r="D17" t="str">
        <x:f>IF(B17=0,"PASS","FAIL")</x:f>
        <x:v>PASS</x:v>
      </x:c>
      <x:c r="E17" t="str">
        <x:v>Real market may be positive; excluded by model scope</x:v>
      </x:c>
    </x:row>
    <x:row r="18" ht="24" customHeight="1">
      <x:c r="A18" t="str">
        <x:v>2032 Government in narrow-scope customer market</x:v>
      </x:c>
      <x:c r="B18" s="58" t="n">
        <x:f>'04 Enterprise Annual'!R147</x:f>
        <x:v>0</x:v>
      </x:c>
      <x:c r="C18" t="str">
        <x:v>0 intentional</x:v>
      </x:c>
      <x:c r="D18" t="str">
        <x:f>IF(B18=0,"PASS","FAIL")</x:f>
        <x:v>PASS</x:v>
      </x:c>
      <x:c r="E18" t="str">
        <x:v>No public-sector or military AI purchasing revenue</x:v>
      </x:c>
    </x:row>
    <x:row r="19" ht="24" customHeight="1">
      <x:c r="A19" t="str">
        <x:v>2026 productivity feedback amount ($B)</x:v>
      </x:c>
      <x:c r="B19" s="58" t="n">
        <x:f>'07 Flywheel Bridge'!G8</x:f>
        <x:v>0</x:v>
      </x:c>
      <x:c r="C19" t="str">
        <x:v>0 by reference year</x:v>
      </x:c>
      <x:c r="D19" t="str">
        <x:f>IF(ABS(B19)&lt;0.0000001,"PASS","FAIL")</x:f>
        <x:v>PASS</x:v>
      </x:c>
      <x:c r="E19" t="str">
        <x:v>Avoids pre-2026 gains counted twice</x:v>
      </x:c>
    </x:row>
    <x:row r="20" ht="24" customHeight="1">
      <x:c r="A20" t="str">
        <x:v>2032 total vs no-flywheel case ($B)</x:v>
      </x:c>
      <x:c r="B20" s="58" t="n">
        <x:f>'07 Flywheel Bridge'!H14</x:f>
        <x:v>323.52330982282143</x:v>
      </x:c>
      <x:c r="C20" t="str">
        <x:v>Scenario delta</x:v>
      </x:c>
      <x:c r="D20" t="str">
        <x:f>IF(ISNUMBER(B20),"PASS","FAIL")</x:f>
        <x:v>PASS</x:v>
      </x:c>
      <x:c r="E20" t="str">
        <x:v>Do not sum two separate contribution columns</x:v>
      </x:c>
    </x:row>
    <x:row r="21" ht="24" customHeight="1">
      <x:c r="A21" t="str">
        <x:v>2026 covered private employees (M)</x:v>
      </x:c>
      <x:c r="B21" s="58" t="n">
        <x:f>'06 Revenue Summary'!B8</x:f>
        <x:v>135.03654269953267</x:v>
      </x:c>
      <x:c r="C21" t="str">
        <x:v>Narrow private-scope employment</x:v>
      </x:c>
      <x:c r="D21" t="str">
        <x:f>IF(AND(B21&gt;100,B21&lt;200),"PASS","REVIEW")</x:f>
        <x:v>PASS</x:v>
      </x:c>
      <x:c r="E21" t="str">
        <x:v>BLS 2025→2026 jobs; private-sector exclusions</x:v>
      </x:c>
    </x:row>
    <x:row r="22" ht="24" customHeight="1">
      <x:c r="A22" t="str">
        <x:v>2026 weighted paid employee proxy (M)</x:v>
      </x:c>
      <x:c r="B22" s="58" t="n">
        <x:f>'06 Revenue Summary'!C8</x:f>
        <x:v>71.80434104228983</x:v>
      </x:c>
      <x:c r="C22" t="str">
        <x:v>Not observed nationally</x:v>
      </x:c>
      <x:c r="D22" t="str">
        <x:f>IF(AND(B22&gt;=0,B22&lt;=B21),"PASS","FAIL")</x:f>
        <x:v>PASS</x:v>
      </x:c>
      <x:c r="E22" t="str">
        <x:v>Ramp firm incidence is not employment-weighted</x:v>
      </x:c>
    </x:row>
    <x:row r="23" ht="24" customHeight="1">
      <x:c r="A23" t="str">
        <x:v>2032 enterprise spend / operating sector Value Added</x:v>
      </x:c>
      <x:c r="B23" s="58" t="n">
        <x:f>'06 Revenue Summary'!K14</x:f>
        <x:v>0.017158028449856096</x:v>
      </x:c>
      <x:c r="C23" t="str">
        <x:v>Plausibility diagnostic</x:v>
      </x:c>
      <x:c r="D23" t="str">
        <x:f>IF(B23&lt;0.15,"PASS","REVIEW")</x:f>
        <x:v>PASS</x:v>
      </x:c>
      <x:c r="E23" t="str">
        <x:v>If high, market demand exceeds sector economic scale</x:v>
      </x:c>
    </x:row>
    <x:row r="24" ht="24" customHeight="1">
      <x:c r="A24" t="str">
        <x:v>2032 largest sector AI spend / Value Added</x:v>
      </x:c>
      <x:c r="B24" s="58" t="n">
        <x:f>MAX('04 Enterprise Annual'!T128:T147)</x:f>
        <x:v>0.03307922489345363</x:v>
      </x:c>
      <x:c r="C24" t="str">
        <x:v>Review if &gt; 15%</x:v>
      </x:c>
      <x:c r="D24" t="str">
        <x:f>IF(B24&lt;0.15,"PASS","REVIEW")</x:f>
        <x:v>PASS</x:v>
      </x:c>
      <x:c r="E24" t="str">
        <x:v>May flag miscalibration, not an absolute economic prohibition</x:v>
      </x:c>
    </x:row>
    <x:row r="25" ht="24" customHeight="1">
      <x:c r="A25" t="str">
        <x:v>Absolute conversion from firm median to nationwide mean</x:v>
      </x:c>
      <x:c r="B25" s="58" t="n">
        <x:f>'02 Assumptions'!E8</x:f>
        <x:v>8.841066945606695</x:v>
      </x:c>
      <x:c r="C25" t="str">
        <x:v>NO direct published U.S. weighted mean</x:v>
      </x:c>
      <x:c r="D25" t="str">
        <x:f>"ANALYST ASSUMPTION"</x:f>
        <x:v>ANALYST ASSUMPTION</x:v>
      </x:c>
      <x:c r="E25" t="str">
        <x:v>Primary absolute-market-size uncertainty</x:v>
      </x:c>
    </x:row>
    <x:row r="26" ht="24" customHeight="1">
      <x:c r="A26" t="str">
        <x:v>Share of 2032 enterprise demand in direct Ramp industries</x:v>
      </x:c>
      <x:c r="B26" s="58" t="n">
        <x:f>IFERROR(SUMIF('04 Enterprise Annual'!V128:V147,"DIRECT RAMP",'04 Enterprise Annual'!R128:R147)/'06 Revenue Summary'!F14,0)</x:f>
        <x:v>0.5898745462917768</x:v>
      </x:c>
      <x:c r="C26" t="str">
        <x:v>Other sectors: Census/National proxy</x:v>
      </x:c>
      <x:c r="D26" t="str">
        <x:f>"DATA COVERAGE"</x:f>
        <x:v>DATA COVERAGE</x:v>
      </x:c>
      <x:c r="E26" t="str">
        <x:v>Demand-weighted evidence quality is NOT the same as 7/20</x:v>
      </x:c>
    </x:row>
    <x:row r="27" ht="24" customHeight="1">
      <x:c r="A27" t="str">
        <x:v>Share of 2032 enterprise demand in missing-Ramp proxy sectors</x:v>
      </x:c>
      <x:c r="B27" s="58" t="n">
        <x:f>1-B26</x:f>
        <x:v>0.4101254537082232</x:v>
      </x:c>
      <x:c r="C27" t="str">
        <x:v>13 of 20 sector rows lack direct Ramp paid series</x:v>
      </x:c>
      <x:c r="D27" t="str">
        <x:f>"DATA COVERAGE"</x:f>
        <x:v>DATA COVERAGE</x:v>
      </x:c>
      <x:c r="E27" t="str">
        <x:v>Do not publish a single precise TAM without proxy uncertainty</x:v>
      </x:c>
    </x:row>
    <x:row r="28" ht="24" customHeight="1">
      <x:c r="A28" t="str">
        <x:v>2026 Ramp median observed monthly $/employee</x:v>
      </x:c>
      <x:c r="B28" s="58" t="n">
        <x:f>'Data Ramp Spend'!C8</x:f>
        <x:v>11.95</x:v>
      </x:c>
      <x:c r="C28" t="str">
        <x:v>11.95 US dollars, median within paying firms</x:v>
      </x:c>
      <x:c r="D28" t="str">
        <x:f>IF(ABS(B28-11.95)&lt;0.001,"PASS","FAIL")</x:f>
        <x:v>PASS</x:v>
      </x:c>
      <x:c r="E28" t="str">
        <x:v>NOT the US employee-weighted average</x:v>
      </x:c>
    </x:row>
    <x:row r="29" ht="24" customHeight="1">
      <x:c r="A29" t="str">
        <x:v>2032 consumer welfare included in combined vendor revenue?</x:v>
      </x:c>
      <x:c r="B29" s="58" t="n">
        <x:f>ABS('06 Revenue Summary'!H14-'06 Revenue Summary'!F14-'06 Revenue Summary'!G14)</x:f>
        <x:v>5.684341886080802e-14</x:v>
      </x:c>
      <x:c r="C29" t="str">
        <x:v>Should be zero</x:v>
      </x:c>
      <x:c r="D29" t="str">
        <x:f>IF(B29&lt;0.00001,"PASS","FAIL")</x:f>
        <x:v>PASS</x:v>
      </x:c>
      <x:c r="E29" t="str">
        <x:v>Stanford WTA/welfare shown but not monetization</x:v>
      </x:c>
    </x:row>
    <x:row r="31">
      <x:c r="A31" t="str">
        <x:v>PUBLICATION GATES</x:v>
      </x:c>
      <x:c r="B31" t="str">
        <x:v>Current status</x:v>
      </x:c>
      <x:c r="C31" t="str">
        <x:v>Needed before report</x:v>
      </x:c>
      <x:c r="D31" t="str">
        <x:v>Why</x:v>
      </x:c>
      <x:c r="E31" t="str">
        <x:v>Priority</x:v>
      </x:c>
    </x:row>
    <x:row r="32">
      <x:c r="A32" t="str">
        <x:v>2026 actual national AI spending</x:v>
      </x:c>
      <x:c r="B32" t="str">
        <x:v>NOT OBSERVED</x:v>
      </x:c>
      <x:c r="C32" t="str">
        <x:v>Independent weighted enterprise purchase survey or exhaustively scoped revenues</x:v>
      </x:c>
      <x:c r="D32" t="str">
        <x:v>Current 2026 run-rate is a scenario, not national actual</x:v>
      </x:c>
      <x:c r="E32" t="str">
        <x:v>CRITICAL</x:v>
      </x:c>
    </x:row>
    <x:row r="33">
      <x:c r="A33" t="str">
        <x:v>Ramp to employee national coverage</x:v>
      </x:c>
      <x:c r="B33" t="str">
        <x:v>UNVERIFIED</x:v>
      </x:c>
      <x:c r="C33" t="str">
        <x:v>A defensible paid-worker weighted sampling frame</x:v>
      </x:c>
      <x:c r="D33" t="str">
        <x:v>Observed firm medians cannot directly estimate full-market total</x:v>
      </x:c>
      <x:c r="E33" t="str">
        <x:v>CRITICAL</x:v>
      </x:c>
    </x:row>
    <x:row r="34">
      <x:c r="A34" t="str">
        <x:v>2026 census sector data recency</x:v>
      </x:c>
      <x:c r="B34" t="str">
        <x:v>NOT REFRESHED</x:v>
      </x:c>
      <x:c r="C34" t="str">
        <x:v>Replace five point estimates and fill sector by employment-size file</x:v>
      </x:c>
      <x:c r="D34" t="str">
        <x:v>Available 2026-10-04 BTOS release is not integrated</x:v>
      </x:c>
      <x:c r="E34" t="str">
        <x:v>HIGH</x:v>
      </x:c>
    </x:row>
    <x:row r="35">
      <x:c r="A35" t="str">
        <x:v>OECD sector crosswalk</x:v>
      </x:c>
      <x:c r="B35" t="str">
        <x:v>PARTLY UNWEIGHTED</x:v>
      </x:c>
      <x:c r="C35" t="str">
        <x:v>Obtain sub-sector VA weights for mappings with multiple OECD categories</x:v>
      </x:c>
      <x:c r="D35" t="str">
        <x:v>Unweighted averages can bias industry economic impact</x:v>
      </x:c>
      <x:c r="E35" t="str">
        <x:v>MEDIUM</x:v>
      </x:c>
    </x:row>
    <x:row r="36">
      <x:c r="A36" t="str">
        <x:v>Consumer paid subscriptions</x:v>
      </x:c>
      <x:c r="B36" t="str">
        <x:v>NO DIRECT USER PAYMENT SURVEY</x:v>
      </x:c>
      <x:c r="C36" t="str">
        <x:v>Verify paying share and ARPPU separately from Stanford welfare</x:v>
      </x:c>
      <x:c r="D36" t="str">
        <x:v>Stanford WTA != subscription receipts</x:v>
      </x:c>
      <x:c r="E36" t="str">
        <x:v>HIGH</x:v>
      </x:c>
    </x:row>
    <x:row r="37">
      <x:c r="A37" t="str">
        <x:v>Regional scope vs global capex</x:v>
      </x:c>
      <x:c r="B37" t="str">
        <x:v>US ONLY</x:v>
      </x:c>
      <x:c r="C37" t="str">
        <x:v>Add independently sourced geography bridge if comparing global capex</x:v>
      </x:c>
      <x:c r="D37" t="str">
        <x:v>Do not compare US AI demand to world datacenter capex</x:v>
      </x:c>
      <x:c r="E37" t="str">
        <x:v>CRITICAL</x:v>
      </x:c>
    </x:row>
    <x:row r="38">
      <x:c r="A38" s="159" t="str">
        <x:v>NEW-BASE COHORT WEIGHT SUM ERROR</x:v>
      </x:c>
      <x:c r="B38" s="159" t="n">
        <x:f>SUM(ABS('13 Spend Calibration'!E8-1),ABS('13 Spend Calibration'!E9-1),ABS('13 Spend Calibration'!E10-1))</x:f>
        <x:v>0</x:v>
      </x:c>
      <x:c r="C38" s="159" t="str">
        <x:v>Should be 0</x:v>
      </x:c>
      <x:c r="D38" s="159" t="str">
        <x:f>IF(ABS(B38)&lt;0.00000001,"PASS","FAIL")</x:f>
        <x:v>PASS</x:v>
      </x:c>
      <x:c r="E38" s="159" t="str">
        <x:v>No hidden worker share / no group overlap in the ASSUMED tiers</x:v>
      </x:c>
    </x:row>
    <x:row r="39">
      <x:c r="A39" s="159" t="str">
        <x:v>REVISED-BASE 2026 FORMULA BRIDGE ERROR</x:v>
      </x:c>
      <x:c r="B39" s="159" t="n">
        <x:f>'16 Recalibration'!C32</x:f>
        <x:v>0</x:v>
      </x:c>
      <x:c r="C39" s="159" t="str">
        <x:v>Zero when Base selected</x:v>
      </x:c>
      <x:c r="D39" s="159" t="str">
        <x:f>IF(ABS(B39)&lt;0.00000001,"PASS","FAIL")</x:f>
        <x:v>PASS</x:v>
      </x:c>
      <x:c r="E39" s="159" t="str">
        <x:v>Revised Base from mix change only; previous workbook outputs archived</x:v>
      </x:c>
    </x:row>
    <x:row r="40">
      <x:c r="A40" s="159" t="str">
        <x:v>2026 SCENARIO SENSITIVITY BRIDGE ERROR</x:v>
      </x:c>
      <x:c r="B40" s="159" t="n">
        <x:f>'17 Simple Sensitivity'!B31</x:f>
        <x:v>0</x:v>
      </x:c>
      <x:c r="C40" s="159" t="str">
        <x:v>Always zero</x:v>
      </x:c>
      <x:c r="D40" s="159" t="str">
        <x:f>IF(ABS(B40)&lt;0.00000001,"PASS","FAIL")</x:f>
        <x:v>PASS</x:v>
      </x:c>
      <x:c r="E40" s="159" t="str">
        <x:v>Active coverage 1x + active per-worker spend reproduces revenue</x:v>
      </x:c>
    </x:row>
    <x:row r="41">
      <x:c r="A41" s="159" t="str">
        <x:v>2032 SCENARIO SENSITIVITY BRIDGE ERROR</x:v>
      </x:c>
      <x:c r="B41" s="159" t="n">
        <x:f>'17 Simple Sensitivity'!C31</x:f>
        <x:v>0</x:v>
      </x:c>
      <x:c r="C41" s="159" t="str">
        <x:v>Always zero</x:v>
      </x:c>
      <x:c r="D41" s="159" t="str">
        <x:f>IF(ABS(B41)&lt;0.00000001,"PASS","FAIL")</x:f>
        <x:v>PASS</x:v>
      </x:c>
      <x:c r="E41" s="159" t="str">
        <x:v>Active coverage 1x + active per-worker spend reproduces revenue</x:v>
      </x:c>
    </x:row>
    <x:row r="42">
      <x:c r="A42" t="str">
        <x:v>REVISION CAUSALITY</x:v>
      </x:c>
      <x:c r="B42" t="str">
        <x:v>HOLD</x:v>
      </x:c>
      <x:c r="C42" t="str">
        <x:v>All original core data and adoption/token/consumer assumptions unchanged</x:v>
      </x:c>
      <x:c r="D42" t="str">
        <x:v>RESEARCH</x:v>
      </x:c>
      <x:c r="E42" t="str">
        <x:v>Only 13 Spend Calibration Base worker cohort share inputs changed</x:v>
      </x:c>
    </x:row>
    <x:row r="43" ht="34" customHeight="1">
      <x:c r="A43" t="str">
        <x:v>2026 BASE SPEND CONCENTRATION</x:v>
      </x:c>
      <x:c r="B43" t="n">
        <x:f>'16 Recalibration'!C14</x:f>
        <x:v>0.6039521726064416</x:v>
      </x:c>
      <x:c r="C43" t="str">
        <x:v>For review, not a published worker distribution</x:v>
      </x:c>
      <x:c r="D43" t="str">
        <x:f>IF(B43&gt;0.5,"CRITICAL ASSUMPTION","REVIEW")</x:f>
        <x:v>CRITICAL ASSUMPTION</x:v>
      </x:c>
      <x:c r="E43" t="str">
        <x:v>Model share attributed to &lt;1% of assumed high-spend workers</x:v>
      </x:c>
    </x:row>
    <x:row r="45" ht="25" customHeight="1">
      <x:c r="A45" s="163" t="str">
        <x:v>SOURCE TRACEABILITY CHECKS (Not a statistical validation of revenue)</x:v>
      </x:c>
      <x:c r="B45" s="163"/>
      <x:c r="C45" s="163"/>
      <x:c r="D45" s="163"/>
      <x:c r="E45" s="163"/>
    </x:row>
    <x:row r="46" ht="23" customHeight="1">
      <x:c r="A46" s="182" t="str">
        <x:v>All Census industry observations have publisher link</x:v>
      </x:c>
      <x:c r="B46" s="205" t="str">
        <x:f>IF(COUNTBLANK('Data Census'!F8:F27)=0,"PASS","MISSING LINK")</x:f>
        <x:v>PASS</x:v>
      </x:c>
      <x:c r="C46" s="182"/>
      <x:c r="D46" s="182"/>
      <x:c r="E46" s="182"/>
    </x:row>
    <x:row r="47" ht="23" customHeight="1">
      <x:c r="A47" s="190" t="str">
        <x:v>All 43 OECD sector observations have publisher XLSX link</x:v>
      </x:c>
      <x:c r="B47" s="206" t="str">
        <x:f>IF(COUNTBLANK('Data OECD Raw'!G8:G50)=0,"PASS","MISSING LINK")</x:f>
        <x:v>PASS</x:v>
      </x:c>
      <x:c r="C47" s="190"/>
      <x:c r="D47" s="190"/>
      <x:c r="E47" s="190"/>
    </x:row>
    <x:row r="48" ht="23" customHeight="1">
      <x:c r="A48" s="182" t="str">
        <x:v>BLS industry rows have publisher URL</x:v>
      </x:c>
      <x:c r="B48" s="205" t="str">
        <x:f>IF(COUNTBLANK('Data BLS'!F8:F27)=0,"PASS","MISSING LINK")</x:f>
        <x:v>PASS</x:v>
      </x:c>
      <x:c r="C48" s="182"/>
      <x:c r="D48" s="182"/>
      <x:c r="E48" s="182"/>
    </x:row>
    <x:row r="49" ht="23" customHeight="1">
      <x:c r="A49" s="190" t="str">
        <x:v>Master source catalog includes 17 download references</x:v>
      </x:c>
      <x:c r="B49" s="206" t="str">
        <x:f>IF(COUNTA('15 Source Register'!E6:E22)=17,"PASS","MISSING LINK")</x:f>
        <x:v>PASS</x:v>
      </x:c>
      <x:c r="C49" s="190"/>
      <x:c r="D49" s="190"/>
      <x:c r="E49" s="190"/>
    </x:row>
  </x:sheetData>
  <x:mergeCells>
    <x:mergeCell ref="A1:E2"/>
  </x:mergeCells>
  <x:conditionalFormatting sqref="D8:D29">
    <x:cfRule type="expression" dxfId="0" priority="1">
      <x:formula>D8="FAIL"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4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3" max="23" width="18" hidden="0" customWidth="1"/>
    <x:col min="24" max="24" width="24" hidden="0" customWidth="1"/>
    <x:col min="25" max="25" width="24" hidden="0" customWidth="1"/>
    <x:col min="26" max="26" width="24" hidden="0" customWidth="1"/>
    <x:col min="27" max="27" width="18" hidden="0" customWidth="1"/>
  </x:cols>
  <x:sheetData>
    <x:row r="1" ht="25" customHeight="1">
      <x:c r="A1" s="8" t="str">
        <x:v>INDEPENDENT 2032 BEAR / BASE / BULL | ALL INPUTS LIVE, NOT HARDCODED OUTPUTS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7" ht="30" customHeight="1">
      <x:c r="A7" s="16" t="str">
        <x:v>Scenario ID</x:v>
      </x:c>
      <x:c r="B7" s="16" t="str">
        <x:v>Scenario</x:v>
      </x:c>
      <x:c r="C7" s="16" t="str">
        <x:v>NAICS</x:v>
      </x:c>
      <x:c r="D7" s="16" t="str">
        <x:v>Industry</x:v>
      </x:c>
      <x:c r="E7" s="16" t="str">
        <x:v>Covered jobs 2026 (M)</x:v>
      </x:c>
      <x:c r="F7" s="16" t="str">
        <x:v>Covered jobs 2032 (M)</x:v>
      </x:c>
      <x:c r="G7" s="16" t="str">
        <x:v>Adjusted operating VA 2026 ($B)</x:v>
      </x:c>
      <x:c r="H7" s="16" t="str">
        <x:v>2026 paid-firm proxy</x:v>
      </x:c>
      <x:c r="I7" s="16" t="str">
        <x:v>2026 paid-worker proxy</x:v>
      </x:c>
      <x:c r="J7" s="16" t="str">
        <x:v>2032 paid-worker share</x:v>
      </x:c>
      <x:c r="K7" s="16" t="str">
        <x:v>Adjusted 2026 VA per employee (USD)</x:v>
      </x:c>
      <x:c r="L7" s="16" t="str">
        <x:v>Sector VA ratio vs scenario country baseline</x:v>
      </x:c>
      <x:c r="M7" s="16" t="str">
        <x:v>Conditional AI spend/paid worker ($/mo)</x:v>
      </x:c>
      <x:c r="N7" s="16" t="str">
        <x:v>Selected OECD 2033 cumulative uplift</x:v>
      </x:c>
      <x:c r="O7" s="16" t="str">
        <x:v>Nominal baseline income-spend factor</x:v>
      </x:c>
      <x:c r="P7" s="16" t="str">
        <x:v>OECD incremental demand feedback factor</x:v>
      </x:c>
      <x:c r="Q7" s="16" t="str">
        <x:v>Token workload × price factor</x:v>
      </x:c>
      <x:c r="R7" s="16" t="str">
        <x:v>2032 non-token ($B)</x:v>
      </x:c>
      <x:c r="S7" s="16" t="str">
        <x:v>2032 metered ($B)</x:v>
      </x:c>
      <x:c r="T7" s="16" t="str">
        <x:v>2032 ENTERPRISE ($B)</x:v>
      </x:c>
      <x:c r="Z7" t="str">
        <x:v>National adjusted VA per worker case</x:v>
      </x:c>
      <x:c r="AA7" t="str">
        <x:v>USD</x:v>
      </x:c>
    </x:row>
    <x:row r="8">
      <x:c r="A8" t="n">
        <x:f>1</x:f>
        <x:v>1</x:v>
      </x:c>
      <x:c r="B8" t="str">
        <x:f>"Bear"</x:f>
        <x:v>Bear</x:v>
      </x:c>
      <x:c r="C8" t="str">
        <x:f>'Data BLS'!A8</x:f>
        <x:v>11</x:v>
      </x:c>
      <x:c r="D8" t="str">
        <x:f>'Data BLS'!B8</x:f>
        <x:v>Agriculture, Forestry, Fishing and Hunting</x:v>
      </x:c>
      <x:c r="E8" t="n">
        <x:f>'Data BLS'!C8/1000*('Data BLS'!D8/'Data BLS'!C8)^(1/10)*(IF('Data BLS'!E8="Excluded",0,IF('Data BLS'!E8="Partial",'02 Assumptions'!$B$22,1)))</x:f>
        <x:v>0</x:v>
      </x:c>
      <x:c r="F8" t="n">
        <x:f>E8*('Data BLS'!D8/'Data BLS'!C8)^(6/10)</x:f>
        <x:v>0</x:v>
      </x:c>
      <x:c r="G8" t="n">
        <x:f>'Data BEA'!C8*(IF('Data BLS'!E8="Excluded",0,IF('Data BLS'!E8="Partial",'02 Assumptions'!$B$22,1)))*IF(C8="53",'02 Assumptions'!$B$23,1)</x:f>
        <x:v>0</x:v>
      </x:c>
      <x:c r="H8" s="32" t="n">
        <x:f>IF(E8=0,0,MIN(0.95,IF(ISNUMBER('Data Ramp Paid'!C8),'Data Ramp Paid'!C8,'Data Ramp Spend'!$C$11*IF(ISNUMBER('Data Census'!C8),('Data Census'!C8/'Data Census'!$D$8)^'02 Assumptions'!$B$10,1))))</x:f>
        <x:v>0</x:v>
      </x:c>
      <x:c r="I8" s="32" t="n">
        <x:f>MIN(0.98,H8*'02 Assumptions'!$B$11)</x:f>
        <x:v>0</x:v>
      </x:c>
      <x:c r="J8" s="32" t="n">
        <x:f>IF(F8=0,0,MIN(0.98,1-(1-I8)*(1-'02 Assumptions'!$B$12)^6))</x:f>
        <x:v>0</x:v>
      </x:c>
      <x:c r="K8" t="n">
        <x:f>IFERROR(G8*1000/E8,0)</x:f>
        <x:v>0</x:v>
      </x:c>
      <x:c r="L8" t="n">
        <x:f>IFERROR(K8/$AA$8,0)</x:f>
        <x:v>0</x:v>
      </x:c>
      <x:c r="M8" t="n">
        <x:f>IF(E8=0,0,'Data Ramp Spend'!$C$8*'02 Assumptions'!$B$8*'02 Assumptions'!$B$9*MIN(2,MAX(0.5,L8^'02 Assumptions'!$B$13)))</x:f>
        <x:v>0</x:v>
      </x:c>
      <x:c r="N8" s="32" t="n">
        <x:f>IF('02 Assumptions'!$B$24=1,'Data OECD Mapping'!C8,IF('02 Assumptions'!$B$24=2,'Data OECD Mapping'!D8,'Data OECD Mapping'!E8))</x:f>
        <x:v>0.009175185684580357</x:v>
      </x:c>
      <x:c r="O8" t="n">
        <x:f>(1+'02 Assumptions'!$B$19)^(6*'02 Assumptions'!$B$20)</x:f>
        <x:v>1.018026892722934</x:v>
      </x:c>
      <x:c r="P8" t="n">
        <x:f>(1+N8)^(6/10*'02 Assumptions'!$B$21)</x:f>
        <x:v>1</x:v>
      </x:c>
      <x:c r="Q8" t="n">
        <x:f>(1+'02 Assumptions'!$B$15)^6*(1-'02 Assumptions'!$B$16)^(6*(1-'02 Assumptions'!$B$17))</x:f>
        <x:v>0.9130865132942924</x:v>
      </x:c>
      <x:c r="R8" s="40" t="n">
        <x:f>F8*J8*M8*12/1000*(1-'02 Assumptions'!$B$14)*O8*P8*(1+'02 Assumptions'!$B$18)^6</x:f>
        <x:v>0</x:v>
      </x:c>
      <x:c r="S8" s="40" t="n">
        <x:f>F8*J8*M8*12/1000*'02 Assumptions'!$B$14*O8*P8*Q8</x:f>
        <x:v>0</x:v>
      </x:c>
      <x:c r="T8" s="40" t="n">
        <x:f>SUM(R8:S8)</x:f>
        <x:v>0</x:v>
      </x:c>
      <x:c r="Z8" t="str">
        <x:v>Bear</x:v>
      </x:c>
      <x:c r="AA8" t="n">
        <x:f>SUM(G8:G27)*1000/SUM(E8:E27)</x:f>
        <x:v>186443.6630936968</x:v>
      </x:c>
    </x:row>
    <x:row r="9">
      <x:c r="A9" t="n">
        <x:f>1</x:f>
        <x:v>1</x:v>
      </x:c>
      <x:c r="B9" t="str">
        <x:f>"Bear"</x:f>
        <x:v>Bear</x:v>
      </x:c>
      <x:c r="C9" t="str">
        <x:f>'Data BLS'!A9</x:f>
        <x:v>21</x:v>
      </x:c>
      <x:c r="D9" t="str">
        <x:f>'Data BLS'!B9</x:f>
        <x:v>Mining, Quarrying, Oil and Gas Extraction</x:v>
      </x:c>
      <x:c r="E9" t="n">
        <x:f>'Data BLS'!C9/1000*('Data BLS'!D9/'Data BLS'!C9)^(1/10)*(IF('Data BLS'!E9="Excluded",0,IF('Data BLS'!E9="Partial",'02 Assumptions'!$B$22,1)))</x:f>
        <x:v>0.5738788716893184</x:v>
      </x:c>
      <x:c r="F9" t="n">
        <x:f>E9*('Data BLS'!D9/'Data BLS'!C9)^(6/10)</x:f>
        <x:v>0.576157363795794</x:v>
      </x:c>
      <x:c r="G9" t="n">
        <x:f>'Data BEA'!C9*(IF('Data BLS'!E9="Excluded",0,IF('Data BLS'!E9="Partial",'02 Assumptions'!$B$22,1)))*IF(C9="53",'02 Assumptions'!$B$23,1)</x:f>
        <x:v>517.8</x:v>
      </x:c>
      <x:c r="H9" s="32" t="n">
        <x:f>IF(E9=0,0,MIN(0.95,IF(ISNUMBER('Data Ramp Paid'!C9),'Data Ramp Paid'!C9,'Data Ramp Spend'!$C$11*IF(ISNUMBER('Data Census'!C9),('Data Census'!C9/'Data Census'!$D$8)^'02 Assumptions'!$B$10,1))))</x:f>
        <x:v>0.5613226</x:v>
      </x:c>
      <x:c r="I9" s="32" t="n">
        <x:f>MIN(0.98,H9*'02 Assumptions'!$B$11)</x:f>
        <x:v>0.5051903400000001</x:v>
      </x:c>
      <x:c r="J9" s="32" t="n">
        <x:f>MIN(0.98,1-(1-I9)*(1-'02 Assumptions'!$B$12)^6)</x:f>
        <x:v>0.6586457681914063</x:v>
      </x:c>
      <x:c r="K9" t="n">
        <x:f>IFERROR(G9*1000/E9,0)</x:f>
        <x:v>902280.9961198956</x:v>
      </x:c>
      <x:c r="L9" t="n">
        <x:f>IFERROR(K9/$AA$8,0)</x:f>
        <x:v>4.839429676225877</x:v>
      </x:c>
      <x:c r="M9" t="n">
        <x:f>IF(E9=0,0,'Data Ramp Spend'!$C$8*'02 Assumptions'!$B$8*'02 Assumptions'!$B$9*MIN(2,MAX(0.5,L9^'02 Assumptions'!$B$13)))</x:f>
        <x:v>31.882339735693538</x:v>
      </x:c>
      <x:c r="N9" s="32" t="n">
        <x:f>IF('02 Assumptions'!$B$24=1,'Data OECD Mapping'!C9,IF('02 Assumptions'!$B$24=2,'Data OECD Mapping'!D9,'Data OECD Mapping'!E9))</x:f>
        <x:v>0.014854933631916844</x:v>
      </x:c>
      <x:c r="O9" t="n">
        <x:f>(1+'02 Assumptions'!$B$19)^(6*'02 Assumptions'!$B$20)</x:f>
        <x:v>1.018026892722934</x:v>
      </x:c>
      <x:c r="P9" t="n">
        <x:f>(1+N9)^(6/10*'02 Assumptions'!$B$21)</x:f>
        <x:v>1</x:v>
      </x:c>
      <x:c r="Q9" t="n">
        <x:f>(1+'02 Assumptions'!$B$15)^6*(1-'02 Assumptions'!$B$16)^(6*(1-'02 Assumptions'!$B$17))</x:f>
        <x:v>0.9130865132942924</x:v>
      </x:c>
      <x:c r="R9" s="40" t="n">
        <x:f>F9*J9*M9*12/1000*(1-'02 Assumptions'!$B$14)*O9*P9*(1+'02 Assumptions'!$B$18)^6</x:f>
        <x:v>0.07614652339554179</x:v>
      </x:c>
      <x:c r="S9" s="40" t="n">
        <x:f>F9*J9*M9*12/1000*'02 Assumptions'!$B$14*O9*P9*Q9</x:f>
        <x:v>0.06747853375373593</x:v>
      </x:c>
      <x:c r="T9" s="40" t="n">
        <x:f>SUM(R9:S9)</x:f>
        <x:v>0.1436250571492777</x:v>
      </x:c>
      <x:c r="Z9" t="str">
        <x:v>Base</x:v>
      </x:c>
      <x:c r="AA9" t="n">
        <x:f>SUM(G28:G47)*1000/SUM(E28:E47)</x:f>
        <x:v>190386.76113920513</x:v>
      </x:c>
    </x:row>
    <x:row r="10">
      <x:c r="A10" t="n">
        <x:f>1</x:f>
        <x:v>1</x:v>
      </x:c>
      <x:c r="B10" t="str">
        <x:f>"Bear"</x:f>
        <x:v>Bear</x:v>
      </x:c>
      <x:c r="C10" t="str">
        <x:f>'Data BLS'!A10</x:f>
        <x:v>22</x:v>
      </x:c>
      <x:c r="D10" t="str">
        <x:f>'Data BLS'!B10</x:f>
        <x:v>Utilities</x:v>
      </x:c>
      <x:c r="E10" t="n">
        <x:f>'Data BLS'!C10/1000*('Data BLS'!D10/'Data BLS'!C10)^(1/10)*(IF('Data BLS'!E10="Excluded",0,IF('Data BLS'!E10="Partial",'02 Assumptions'!$B$22,1)))</x:f>
        <x:v>0.6069362216427999</x:v>
      </x:c>
      <x:c r="F10" t="n">
        <x:f>E10*('Data BLS'!D10/'Data BLS'!C10)^(6/10)</x:f>
        <x:v>0.6418804879373384</x:v>
      </x:c>
      <x:c r="G10" t="n">
        <x:f>'Data BEA'!C10*(IF('Data BLS'!E10="Excluded",0,IF('Data BLS'!E10="Partial",'02 Assumptions'!$B$22,1)))*IF(C10="53",'02 Assumptions'!$B$23,1)</x:f>
        <x:v>531.9</x:v>
      </x:c>
      <x:c r="H10" s="32" t="n">
        <x:f>IF(E10=0,0,MIN(0.95,IF(ISNUMBER('Data Ramp Paid'!C10),'Data Ramp Paid'!C10,'Data Ramp Spend'!$C$11*IF(ISNUMBER('Data Census'!C10),('Data Census'!C10/'Data Census'!$D$8)^'02 Assumptions'!$B$10,1))))</x:f>
        <x:v>0.5613226</x:v>
      </x:c>
      <x:c r="I10" s="32" t="n">
        <x:f>MIN(0.98,H10*'02 Assumptions'!$B$11)</x:f>
        <x:v>0.5051903400000001</x:v>
      </x:c>
      <x:c r="J10" s="32" t="n">
        <x:f>MIN(0.98,1-(1-I10)*(1-'02 Assumptions'!$B$12)^6)</x:f>
        <x:v>0.6586457681914063</x:v>
      </x:c>
      <x:c r="K10" t="n">
        <x:f>IFERROR(G10*1000/E10,0)</x:f>
        <x:v>876368.852332295</x:v>
      </x:c>
      <x:c r="L10" t="n">
        <x:f>IFERROR(K10/$AA$8,0)</x:f>
        <x:v>4.700448584792491</x:v>
      </x:c>
      <x:c r="M10" t="n">
        <x:f>IF(E10=0,0,'Data Ramp Spend'!$C$8*'02 Assumptions'!$B$8*'02 Assumptions'!$B$9*MIN(2,MAX(0.5,L10^'02 Assumptions'!$B$13)))</x:f>
        <x:v>31.78957322880567</x:v>
      </x:c>
      <x:c r="N10" s="32" t="n">
        <x:f>IF('02 Assumptions'!$B$24=1,'Data OECD Mapping'!C10,IF('02 Assumptions'!$B$24=2,'Data OECD Mapping'!D10,'Data OECD Mapping'!E10))</x:f>
        <x:v>0.017856734595261513</x:v>
      </x:c>
      <x:c r="O10" t="n">
        <x:f>(1+'02 Assumptions'!$B$19)^(6*'02 Assumptions'!$B$20)</x:f>
        <x:v>1.018026892722934</x:v>
      </x:c>
      <x:c r="P10" t="n">
        <x:f>(1+N10)^(6/10*'02 Assumptions'!$B$21)</x:f>
        <x:v>1</x:v>
      </x:c>
      <x:c r="Q10" t="n">
        <x:f>(1+'02 Assumptions'!$B$15)^6*(1-'02 Assumptions'!$B$16)^(6*(1-'02 Assumptions'!$B$17))</x:f>
        <x:v>0.9130865132942924</x:v>
      </x:c>
      <x:c r="R10" s="40" t="n">
        <x:f>F10*J10*M10*12/1000*(1-'02 Assumptions'!$B$14)*O10*P10*(1+'02 Assumptions'!$B$18)^6</x:f>
        <x:v>0.08458583660987767</x:v>
      </x:c>
      <x:c r="S10" s="40" t="n">
        <x:f>F10*J10*M10*12/1000*'02 Assumptions'!$B$14*O10*P10*Q10</x:f>
        <x:v>0.07495717435606257</x:v>
      </x:c>
      <x:c r="T10" s="40" t="n">
        <x:f>SUM(R10:S10)</x:f>
        <x:v>0.15954301096594026</x:v>
      </x:c>
      <x:c r="Z10" t="str">
        <x:v>Bull</x:v>
      </x:c>
      <x:c r="AA10" t="n">
        <x:f>SUM(G48:G67)*1000/SUM(E48:E67)</x:f>
        <x:v>193937.59110744728</x:v>
      </x:c>
    </x:row>
    <x:row r="11">
      <x:c r="A11" t="n">
        <x:f>1</x:f>
        <x:v>1</x:v>
      </x:c>
      <x:c r="B11" t="str">
        <x:f>"Bear"</x:f>
        <x:v>Bear</x:v>
      </x:c>
      <x:c r="C11" t="str">
        <x:f>'Data BLS'!A11</x:f>
        <x:v>23</x:v>
      </x:c>
      <x:c r="D11" t="str">
        <x:f>'Data BLS'!B11</x:f>
        <x:v>Construction</x:v>
      </x:c>
      <x:c r="E11" t="n">
        <x:f>'Data BLS'!C11/1000*('Data BLS'!D11/'Data BLS'!C11)^(1/10)*(IF('Data BLS'!E11="Excluded",0,IF('Data BLS'!E11="Partial",'02 Assumptions'!$B$22,1)))</x:f>
        <x:v>8.306879704576057</x:v>
      </x:c>
      <x:c r="F11" t="n">
        <x:f>E11*('Data BLS'!D11/'Data BLS'!C11)^(6/10)</x:f>
        <x:v>8.552092418069961</x:v>
      </x:c>
      <x:c r="G11" t="n">
        <x:f>'Data BEA'!C11*(IF('Data BLS'!E11="Excluded",0,IF('Data BLS'!E11="Partial",'02 Assumptions'!$B$22,1)))*IF(C11="53",'02 Assumptions'!$B$23,1)</x:f>
        <x:v>1373.7</x:v>
      </x:c>
      <x:c r="H11" s="32" t="n">
        <x:f>IF(E11=0,0,MIN(0.95,IF(ISNUMBER('Data Ramp Paid'!C11),'Data Ramp Paid'!C11,'Data Ramp Spend'!$C$11*IF(ISNUMBER('Data Census'!C11),('Data Census'!C11/'Data Census'!$D$8)^'02 Assumptions'!$B$10,1))))</x:f>
        <x:v>0.4217687</x:v>
      </x:c>
      <x:c r="I11" s="32" t="n">
        <x:f>MIN(0.98,H11*'02 Assumptions'!$B$11)</x:f>
        <x:v>0.37959183</x:v>
      </x:c>
      <x:c r="J11" s="32" t="n">
        <x:f>MIN(0.98,1-(1-I11)*(1-'02 Assumptions'!$B$12)^6)</x:f>
        <x:v>0.5719991515967464</x:v>
      </x:c>
      <x:c r="K11" t="n">
        <x:f>IFERROR(G11*1000/E11,0)</x:f>
        <x:v>165368.95306708995</x:v>
      </x:c>
      <x:c r="L11" t="n">
        <x:f>IFERROR(K11/$AA$8,0)</x:f>
        <x:v>0.88696472877163</x:v>
      </x:c>
      <x:c r="M11" t="n">
        <x:f>IF(E11=0,0,'Data Ramp Spend'!$C$8*'02 Assumptions'!$B$8*'02 Assumptions'!$B$9*MIN(2,MAX(0.5,L11^'02 Assumptions'!$B$13)))</x:f>
        <x:v>26.906759811600185</x:v>
      </x:c>
      <x:c r="N11" s="32" t="n">
        <x:f>IF('02 Assumptions'!$B$24=1,'Data OECD Mapping'!C11,IF('02 Assumptions'!$B$24=2,'Data OECD Mapping'!D11,'Data OECD Mapping'!E11))</x:f>
        <x:v>0.012666949909180403</x:v>
      </x:c>
      <x:c r="O11" t="n">
        <x:f>(1+'02 Assumptions'!$B$19)^(6*'02 Assumptions'!$B$20)</x:f>
        <x:v>1.018026892722934</x:v>
      </x:c>
      <x:c r="P11" t="n">
        <x:f>(1+N11)^(6/10*'02 Assumptions'!$B$21)</x:f>
        <x:v>1</x:v>
      </x:c>
      <x:c r="Q11" t="n">
        <x:f>(1+'02 Assumptions'!$B$15)^6*(1-'02 Assumptions'!$B$16)^(6*(1-'02 Assumptions'!$B$17))</x:f>
        <x:v>0.9130865132942924</x:v>
      </x:c>
      <x:c r="R11" s="40" t="n">
        <x:f>F11*J11*M11*12/1000*(1-'02 Assumptions'!$B$14)*O11*P11*(1+'02 Assumptions'!$B$18)^6</x:f>
        <x:v>0.8283922813006479</x:v>
      </x:c>
      <x:c r="S11" s="40" t="n">
        <x:f>F11*J11*M11*12/1000*'02 Assumptions'!$B$14*O11*P11*Q11</x:f>
        <x:v>0.7340938761539418</x:v>
      </x:c>
      <x:c r="T11" s="40" t="n">
        <x:f>SUM(R11:S11)</x:f>
        <x:v>1.5624861574545896</x:v>
      </x:c>
    </x:row>
    <x:row r="12">
      <x:c r="A12" t="n">
        <x:f>1</x:f>
        <x:v>1</x:v>
      </x:c>
      <x:c r="B12" t="str">
        <x:f>"Bear"</x:f>
        <x:v>Bear</x:v>
      </x:c>
      <x:c r="C12" t="str">
        <x:f>'Data BLS'!A12</x:f>
        <x:v>31-33</x:v>
      </x:c>
      <x:c r="D12" t="str">
        <x:f>'Data BLS'!B12</x:f>
        <x:v>Manufacturing</x:v>
      </x:c>
      <x:c r="E12" t="n">
        <x:f>'Data BLS'!C12/1000*('Data BLS'!D12/'Data BLS'!C12)^(1/10)*(IF('Data BLS'!E12="Excluded",0,IF('Data BLS'!E12="Partial",'02 Assumptions'!$B$22,1)))</x:f>
        <x:v>12.640891550423058</x:v>
      </x:c>
      <x:c r="F12" t="n">
        <x:f>E12*('Data BLS'!D12/'Data BLS'!C12)^(6/10)</x:f>
        <x:v>12.684126901967796</x:v>
      </x:c>
      <x:c r="G12" t="n">
        <x:f>'Data BEA'!C12*(IF('Data BLS'!E12="Excluded",0,IF('Data BLS'!E12="Partial",'02 Assumptions'!$B$22,1)))*IF(C12="53",'02 Assumptions'!$B$23,1)</x:f>
        <x:v>3168.1</x:v>
      </x:c>
      <x:c r="H12" s="32" t="n">
        <x:f>IF(E12=0,0,MIN(0.95,IF(ISNUMBER('Data Ramp Paid'!C12),'Data Ramp Paid'!C12,'Data Ramp Spend'!$C$11*IF(ISNUMBER('Data Census'!C12),('Data Census'!C12/'Data Census'!$D$8)^'02 Assumptions'!$B$10,1))))</x:f>
        <x:v>0.6105223</x:v>
      </x:c>
      <x:c r="I12" s="32" t="n">
        <x:f>MIN(0.98,H12*'02 Assumptions'!$B$11)</x:f>
        <x:v>0.54947007</x:v>
      </x:c>
      <x:c r="J12" s="32" t="n">
        <x:f>MIN(0.98,1-(1-I12)*(1-'02 Assumptions'!$B$12)^6)</x:f>
        <x:v>0.689193015831725</x:v>
      </x:c>
      <x:c r="K12" t="n">
        <x:f>IFERROR(G12*1000/E12,0)</x:f>
        <x:v>250623.14531873126</x:v>
      </x:c>
      <x:c r="L12" t="n">
        <x:f>IFERROR(K12/$AA$8,0)</x:f>
        <x:v>1.344229893148909</x:v>
      </x:c>
      <x:c r="M12" t="n">
        <x:f>IF(E12=0,0,'Data Ramp Spend'!$C$8*'02 Assumptions'!$B$8*'02 Assumptions'!$B$9*MIN(2,MAX(0.5,L12^'02 Assumptions'!$B$13)))</x:f>
        <x:v>28.049047754662606</x:v>
      </x:c>
      <x:c r="N12" s="32" t="n">
        <x:f>IF('02 Assumptions'!$B$24=1,'Data OECD Mapping'!C12,IF('02 Assumptions'!$B$24=2,'Data OECD Mapping'!D12,'Data OECD Mapping'!E12))</x:f>
        <x:v>0.01654331667403526</x:v>
      </x:c>
      <x:c r="O12" t="n">
        <x:f>(1+'02 Assumptions'!$B$19)^(6*'02 Assumptions'!$B$20)</x:f>
        <x:v>1.018026892722934</x:v>
      </x:c>
      <x:c r="P12" t="n">
        <x:f>(1+N12)^(6/10*'02 Assumptions'!$B$21)</x:f>
        <x:v>1</x:v>
      </x:c>
      <x:c r="Q12" t="n">
        <x:f>(1+'02 Assumptions'!$B$15)^6*(1-'02 Assumptions'!$B$16)^(6*(1-'02 Assumptions'!$B$17))</x:f>
        <x:v>0.9130865132942924</x:v>
      </x:c>
      <x:c r="R12" s="40" t="n">
        <x:f>F12*J12*M12*12/1000*(1-'02 Assumptions'!$B$14)*O12*P12*(1+'02 Assumptions'!$B$18)^6</x:f>
        <x:v>1.5432150128580282</x:v>
      </x:c>
      <x:c r="S12" s="40" t="n">
        <x:f>F12*J12*M12*12/1000*'02 Assumptions'!$B$14*O12*P12*Q12</x:f>
        <x:v>1.367546168765852</x:v>
      </x:c>
      <x:c r="T12" s="40" t="n">
        <x:f>SUM(R12:S12)</x:f>
        <x:v>2.9107611816238803</x:v>
      </x:c>
    </x:row>
    <x:row r="13">
      <x:c r="A13" t="n">
        <x:f>1</x:f>
        <x:v>1</x:v>
      </x:c>
      <x:c r="B13" t="str">
        <x:f>"Bear"</x:f>
        <x:v>Bear</x:v>
      </x:c>
      <x:c r="C13" t="str">
        <x:f>'Data BLS'!A13</x:f>
        <x:v>42</x:v>
      </x:c>
      <x:c r="D13" t="str">
        <x:f>'Data BLS'!B13</x:f>
        <x:v>Wholesale Trade</x:v>
      </x:c>
      <x:c r="E13" t="n">
        <x:f>'Data BLS'!C13/1000*('Data BLS'!D13/'Data BLS'!C13)^(1/10)*(IF('Data BLS'!E13="Excluded",0,IF('Data BLS'!E13="Partial",'02 Assumptions'!$B$22,1)))</x:f>
        <x:v>6.071905092422349</x:v>
      </x:c>
      <x:c r="F13" t="n">
        <x:f>E13*('Data BLS'!D13/'Data BLS'!C13)^(6/10)</x:f>
        <x:v>6.146870783785609</x:v>
      </x:c>
      <x:c r="G13" t="n">
        <x:f>'Data BEA'!C13*(IF('Data BLS'!E13="Excluded",0,IF('Data BLS'!E13="Partial",'02 Assumptions'!$B$22,1)))*IF(C13="53",'02 Assumptions'!$B$23,1)</x:f>
        <x:v>2087.5</x:v>
      </x:c>
      <x:c r="H13" s="32" t="n">
        <x:f>IF(E13=0,0,MIN(0.95,IF(ISNUMBER('Data Ramp Paid'!C13),'Data Ramp Paid'!C13,'Data Ramp Spend'!$C$11*IF(ISNUMBER('Data Census'!C13),('Data Census'!C13/'Data Census'!$D$8)^'02 Assumptions'!$B$10,1))))</x:f>
        <x:v>0.5613226</x:v>
      </x:c>
      <x:c r="I13" s="32" t="n">
        <x:f>MIN(0.98,H13*'02 Assumptions'!$B$11)</x:f>
        <x:v>0.5051903400000001</x:v>
      </x:c>
      <x:c r="J13" s="32" t="n">
        <x:f>MIN(0.98,1-(1-I13)*(1-'02 Assumptions'!$B$12)^6)</x:f>
        <x:v>0.6586457681914063</x:v>
      </x:c>
      <x:c r="K13" t="n">
        <x:f>IFERROR(G13*1000/E13,0)</x:f>
        <x:v>343796.54626110184</x:v>
      </x:c>
      <x:c r="L13" t="n">
        <x:f>IFERROR(K13/$AA$8,0)</x:f>
        <x:v>1.8439701331566722</x:v>
      </x:c>
      <x:c r="M13" t="n">
        <x:f>IF(E13=0,0,'Data Ramp Spend'!$C$8*'02 Assumptions'!$B$8*'02 Assumptions'!$B$9*MIN(2,MAX(0.5,L13^'02 Assumptions'!$B$13)))</x:f>
        <x:v>28.949839158997264</x:v>
      </x:c>
      <x:c r="N13" s="32" t="n">
        <x:f>IF('02 Assumptions'!$B$24=1,'Data OECD Mapping'!C13,IF('02 Assumptions'!$B$24=2,'Data OECD Mapping'!D13,'Data OECD Mapping'!E13))</x:f>
        <x:v>0.02322462685406208</x:v>
      </x:c>
      <x:c r="O13" t="n">
        <x:f>(1+'02 Assumptions'!$B$19)^(6*'02 Assumptions'!$B$20)</x:f>
        <x:v>1.018026892722934</x:v>
      </x:c>
      <x:c r="P13" t="n">
        <x:f>(1+N13)^(6/10*'02 Assumptions'!$B$21)</x:f>
        <x:v>1</x:v>
      </x:c>
      <x:c r="Q13" t="n">
        <x:f>(1+'02 Assumptions'!$B$15)^6*(1-'02 Assumptions'!$B$16)^(6*(1-'02 Assumptions'!$B$17))</x:f>
        <x:v>0.9130865132942924</x:v>
      </x:c>
      <x:c r="R13" s="40" t="n">
        <x:f>F13*J13*M13*12/1000*(1-'02 Assumptions'!$B$14)*O13*P13*(1+'02 Assumptions'!$B$18)^6</x:f>
        <x:v>0.7376647254772684</x:v>
      </x:c>
      <x:c r="S13" s="40" t="n">
        <x:f>F13*J13*M13*12/1000*'02 Assumptions'!$B$14*O13*P13*Q13</x:f>
        <x:v>0.6536941131047423</x:v>
      </x:c>
      <x:c r="T13" s="40" t="n">
        <x:f>SUM(R13:S13)</x:f>
        <x:v>1.3913588385820108</x:v>
      </x:c>
      <x:c r="W13" s="12" t="str">
        <x:v>Scenario</x:v>
      </x:c>
      <x:c r="X13" s="12" t="str">
        <x:v>2032 Enterprise ($B)</x:v>
      </x:c>
      <x:c r="Y13" s="12" t="str">
        <x:v>2032 Consumer ($B)</x:v>
      </x:c>
      <x:c r="Z13" s="12" t="str">
        <x:v>2032 Total ($B)</x:v>
      </x:c>
    </x:row>
    <x:row r="14">
      <x:c r="A14" t="n">
        <x:f>1</x:f>
        <x:v>1</x:v>
      </x:c>
      <x:c r="B14" t="str">
        <x:f>"Bear"</x:f>
        <x:v>Bear</x:v>
      </x:c>
      <x:c r="C14" t="str">
        <x:f>'Data BLS'!A14</x:f>
        <x:v>44-45</x:v>
      </x:c>
      <x:c r="D14" t="str">
        <x:f>'Data BLS'!B14</x:f>
        <x:v>Retail Trade</x:v>
      </x:c>
      <x:c r="E14" t="n">
        <x:f>'Data BLS'!C14/1000*('Data BLS'!D14/'Data BLS'!C14)^(1/10)*(IF('Data BLS'!E14="Excluded",0,IF('Data BLS'!E14="Partial",'02 Assumptions'!$B$22,1)))</x:f>
        <x:v>15.43814779354277</x:v>
      </x:c>
      <x:c r="F14" t="n">
        <x:f>E14*('Data BLS'!D14/'Data BLS'!C14)^(6/10)</x:f>
        <x:v>15.421644853435005</x:v>
      </x:c>
      <x:c r="G14" t="n">
        <x:f>'Data BEA'!C14*(IF('Data BLS'!E14="Excluded",0,IF('Data BLS'!E14="Partial",'02 Assumptions'!$B$22,1)))*IF(C14="53",'02 Assumptions'!$B$23,1)</x:f>
        <x:v>1867.8</x:v>
      </x:c>
      <x:c r="H14" s="32" t="n">
        <x:f>IF(E14=0,0,MIN(0.95,IF(ISNUMBER('Data Ramp Paid'!C14),'Data Ramp Paid'!C14,'Data Ramp Spend'!$C$11*IF(ISNUMBER('Data Census'!C14),('Data Census'!C14/'Data Census'!$D$8)^'02 Assumptions'!$B$10,1))))</x:f>
        <x:v>0.4877451</x:v>
      </x:c>
      <x:c r="I14" s="32" t="n">
        <x:f>MIN(0.98,H14*'02 Assumptions'!$B$11)</x:f>
        <x:v>0.43897059</x:v>
      </x:c>
      <x:c r="J14" s="32" t="n">
        <x:f>MIN(0.98,1-(1-I14)*(1-'02 Assumptions'!$B$12)^6)</x:f>
        <x:v>0.6129627637573232</x:v>
      </x:c>
      <x:c r="K14" t="n">
        <x:f>IFERROR(G14*1000/E14,0)</x:f>
        <x:v>120986.01626169393</x:v>
      </x:c>
      <x:c r="L14" t="n">
        <x:f>IFERROR(K14/$AA$8,0)</x:f>
        <x:v>0.6489146064508113</x:v>
      </x:c>
      <x:c r="M14" t="n">
        <x:f>IF(E14=0,0,'Data Ramp Spend'!$C$8*'02 Assumptions'!$B$8*'02 Assumptions'!$B$9*MIN(2,MAX(0.5,L14^'02 Assumptions'!$B$13)))</x:f>
        <x:v>26.078915185739216</x:v>
      </x:c>
      <x:c r="N14" s="32" t="n">
        <x:f>IF('02 Assumptions'!$B$24=1,'Data OECD Mapping'!C14,IF('02 Assumptions'!$B$24=2,'Data OECD Mapping'!D14,'Data OECD Mapping'!E14))</x:f>
        <x:v>0.02322462685406208</x:v>
      </x:c>
      <x:c r="O14" t="n">
        <x:f>(1+'02 Assumptions'!$B$19)^(6*'02 Assumptions'!$B$20)</x:f>
        <x:v>1.018026892722934</x:v>
      </x:c>
      <x:c r="P14" t="n">
        <x:f>(1+N14)^(6/10*'02 Assumptions'!$B$21)</x:f>
        <x:v>1</x:v>
      </x:c>
      <x:c r="Q14" t="n">
        <x:f>(1+'02 Assumptions'!$B$15)^6*(1-'02 Assumptions'!$B$16)^(6*(1-'02 Assumptions'!$B$17))</x:f>
        <x:v>0.9130865132942924</x:v>
      </x:c>
      <x:c r="R14" s="40" t="n">
        <x:f>F14*J14*M14*12/1000*(1-'02 Assumptions'!$B$14)*O14*P14*(1+'02 Assumptions'!$B$18)^6</x:f>
        <x:v>1.5515335955545417</x:v>
      </x:c>
      <x:c r="S14" s="40" t="n">
        <x:f>F14*J14*M14*12/1000*'02 Assumptions'!$B$14*O14*P14*Q14</x:f>
        <x:v>1.3749178219712668</x:v>
      </x:c>
      <x:c r="T14" s="40" t="n">
        <x:f>SUM(R14:S14)</x:f>
        <x:v>2.9264514175258087</x:v>
      </x:c>
      <x:c r="W14" t="str">
        <x:v>Bear</x:v>
      </x:c>
      <x:c r="X14" s="42" t="n">
        <x:f>SUMIF($A$8:$A$67,1,$T$8:$T$67)</x:f>
        <x:v>27.58609981967937</x:v>
      </x:c>
      <x:c r="Y14" s="42" t="n">
        <x:f>MIN('02 Assumptions'!$B$29,'02 Assumptions'!$B$29-('02 Assumptions'!$B$29-'Data Stanford'!$B$10)*(1-('Data Stanford'!$B$10-'Data Stanford'!$B$8)/('02 Assumptions'!$B$29-'Data Stanford'!$B$8)*'02 Assumptions'!$B$30)^6)*MIN(0.95,'02 Assumptions'!$B$25+6*'02 Assumptions'!$B$26)*'02 Assumptions'!$B$27*(1+'02 Assumptions'!$B$28)^6*12/1000</x:f>
        <x:v>16.785558293117283</x:v>
      </x:c>
      <x:c r="Z14" s="42" t="n">
        <x:f>SUM(X14:Y14)</x:f>
        <x:v>44.37165811279665</x:v>
      </x:c>
    </x:row>
    <x:row r="15">
      <x:c r="A15" t="n">
        <x:f>1</x:f>
        <x:v>1</x:v>
      </x:c>
      <x:c r="B15" t="str">
        <x:f>"Bear"</x:f>
        <x:v>Bear</x:v>
      </x:c>
      <x:c r="C15" t="str">
        <x:f>'Data BLS'!A15</x:f>
        <x:v>48-49</x:v>
      </x:c>
      <x:c r="D15" t="str">
        <x:f>'Data BLS'!B15</x:f>
        <x:v>Transportation and Warehousing</x:v>
      </x:c>
      <x:c r="E15" t="n">
        <x:f>'Data BLS'!C15/1000*('Data BLS'!D15/'Data BLS'!C15)^(1/10)*(IF('Data BLS'!E15="Excluded",0,IF('Data BLS'!E15="Partial",'02 Assumptions'!$B$22,1)))</x:f>
        <x:v>5.660952719157821</x:v>
      </x:c>
      <x:c r="F15" t="n">
        <x:f>E15*('Data BLS'!D15/'Data BLS'!C15)^(6/10)</x:f>
        <x:v>5.766348519150901</x:v>
      </x:c>
      <x:c r="G15" t="n">
        <x:f>'Data BEA'!C15*(IF('Data BLS'!E15="Excluded",0,IF('Data BLS'!E15="Partial",'02 Assumptions'!$B$22,1)))*IF(C15="53",'02 Assumptions'!$B$23,1)</x:f>
        <x:v>893.435</x:v>
      </x:c>
      <x:c r="H15" s="32" t="n">
        <x:f>IF(E15=0,0,MIN(0.95,IF(ISNUMBER('Data Ramp Paid'!C15),'Data Ramp Paid'!C15,'Data Ramp Spend'!$C$11*IF(ISNUMBER('Data Census'!C15),('Data Census'!C15/'Data Census'!$D$8)^'02 Assumptions'!$B$10,1))))</x:f>
        <x:v>0.5613226</x:v>
      </x:c>
      <x:c r="I15" s="32" t="n">
        <x:f>MIN(0.98,H15*'02 Assumptions'!$B$11)</x:f>
        <x:v>0.5051903400000001</x:v>
      </x:c>
      <x:c r="J15" s="32" t="n">
        <x:f>MIN(0.98,1-(1-I15)*(1-'02 Assumptions'!$B$12)^6)</x:f>
        <x:v>0.6586457681914063</x:v>
      </x:c>
      <x:c r="K15" t="n">
        <x:f>IFERROR(G15*1000/E15,0)</x:f>
        <x:v>157824.14097479268</x:v>
      </x:c>
      <x:c r="L15" t="n">
        <x:f>IFERROR(K15/$AA$8,0)</x:f>
        <x:v>0.8464977481990286</x:v>
      </x:c>
      <x:c r="M15" t="n">
        <x:f>IF(E15=0,0,'Data Ramp Spend'!$C$8*'02 Assumptions'!$B$8*'02 Assumptions'!$B$9*MIN(2,MAX(0.5,L15^'02 Assumptions'!$B$13)))</x:f>
        <x:v>26.781404415972766</x:v>
      </x:c>
      <x:c r="N15" s="32" t="n">
        <x:f>IF('02 Assumptions'!$B$24=1,'Data OECD Mapping'!C15,IF('02 Assumptions'!$B$24=2,'Data OECD Mapping'!D15,'Data OECD Mapping'!E15))</x:f>
        <x:v>0.015773185091093184</x:v>
      </x:c>
      <x:c r="O15" t="n">
        <x:f>(1+'02 Assumptions'!$B$19)^(6*'02 Assumptions'!$B$20)</x:f>
        <x:v>1.018026892722934</x:v>
      </x:c>
      <x:c r="P15" t="n">
        <x:f>(1+N15)^(6/10*'02 Assumptions'!$B$21)</x:f>
        <x:v>1</x:v>
      </x:c>
      <x:c r="Q15" t="n">
        <x:f>(1+'02 Assumptions'!$B$15)^6*(1-'02 Assumptions'!$B$16)^(6*(1-'02 Assumptions'!$B$17))</x:f>
        <x:v>0.9130865132942924</x:v>
      </x:c>
      <x:c r="R15" s="40" t="n">
        <x:f>F15*J15*M15*12/1000*(1-'02 Assumptions'!$B$14)*O15*P15*(1+'02 Assumptions'!$B$18)^6</x:f>
        <x:v>0.6401666018167937</x:v>
      </x:c>
      <x:c r="S15" s="40" t="n">
        <x:f>F15*J15*M15*12/1000*'02 Assumptions'!$B$14*O15*P15*Q15</x:f>
        <x:v>0.567294496484367</x:v>
      </x:c>
      <x:c r="T15" s="40" t="n">
        <x:f>SUM(R15:S15)</x:f>
        <x:v>1.2074610983011609</x:v>
      </x:c>
      <x:c r="W15" t="str">
        <x:v>Base</x:v>
      </x:c>
      <x:c r="X15" s="42" t="n">
        <x:f>SUMIF($A$8:$A$67,2,$T$8:$T$67)</x:f>
        <x:v>523.4963330428798</x:v>
      </x:c>
      <x:c r="Y15" s="42" t="n">
        <x:f>MIN('02 Assumptions'!$C$29,'02 Assumptions'!$C$29-('02 Assumptions'!$C$29-'Data Stanford'!$B$10)*(1-('Data Stanford'!$B$10-'Data Stanford'!$B$8)/('02 Assumptions'!$C$29-'Data Stanford'!$B$8)*'02 Assumptions'!$C$30)^6)*MIN(0.95,'02 Assumptions'!$C$25+6*'02 Assumptions'!$C$26)*'02 Assumptions'!$C$27*(1+'02 Assumptions'!$C$28)^6*12/1000</x:f>
        <x:v>33.87151504004868</x:v>
      </x:c>
      <x:c r="Z15" s="42" t="n">
        <x:f>SUM(X15:Y15)</x:f>
        <x:v>557.3678480829285</x:v>
      </x:c>
    </x:row>
    <x:row r="16">
      <x:c r="A16" t="n">
        <x:f>1</x:f>
        <x:v>1</x:v>
      </x:c>
      <x:c r="B16" t="str">
        <x:f>"Bear"</x:f>
        <x:v>Bear</x:v>
      </x:c>
      <x:c r="C16" t="str">
        <x:f>'Data BLS'!A16</x:f>
        <x:v>51</x:v>
      </x:c>
      <x:c r="D16" t="str">
        <x:f>'Data BLS'!B16</x:f>
        <x:v>Information</x:v>
      </x:c>
      <x:c r="E16" t="n">
        <x:f>'Data BLS'!C16/1000*('Data BLS'!D16/'Data BLS'!C16)^(1/10)*(IF('Data BLS'!E16="Excluded",0,IF('Data BLS'!E16="Partial",'02 Assumptions'!$B$22,1)))</x:f>
        <x:v>2.876653021264812</x:v>
      </x:c>
      <x:c r="F16" t="n">
        <x:f>E16*('Data BLS'!D16/'Data BLS'!C16)^(6/10)</x:f>
        <x:v>2.9667820217101046</x:v>
      </x:c>
      <x:c r="G16" t="n">
        <x:f>'Data BEA'!C16*(IF('Data BLS'!E16="Excluded",0,IF('Data BLS'!E16="Partial",'02 Assumptions'!$B$22,1)))*IF(C16="53",'02 Assumptions'!$B$23,1)</x:f>
        <x:v>1916.3</x:v>
      </x:c>
      <x:c r="H16" s="32" t="n">
        <x:f>IF(E16=0,0,MIN(0.95,IF(ISNUMBER('Data Ramp Paid'!C16),'Data Ramp Paid'!C16,'Data Ramp Spend'!$C$11*IF(ISNUMBER('Data Census'!C16),('Data Census'!C16/'Data Census'!$D$8)^'02 Assumptions'!$B$10,1))))</x:f>
        <x:v>0.8092331</x:v>
      </x:c>
      <x:c r="I16" s="32" t="n">
        <x:f>MIN(0.98,H16*'02 Assumptions'!$B$11)</x:f>
        <x:v>0.7283097900000001</x:v>
      </x:c>
      <x:c r="J16" s="32" t="n">
        <x:f>MIN(0.98,1-(1-I16)*(1-'02 Assumptions'!$B$12)^6)</x:f>
        <x:v>0.8125691343122414</x:v>
      </x:c>
      <x:c r="K16" t="n">
        <x:f>IFERROR(G16*1000/E16,0)</x:f>
        <x:v>666156.114704942</x:v>
      </x:c>
      <x:c r="L16" t="n">
        <x:f>IFERROR(K16/$AA$8,0)</x:f>
        <x:v>3.5729619534999526</x:v>
      </x:c>
      <x:c r="M16" t="n">
        <x:f>IF(E16=0,0,'Data Ramp Spend'!$C$8*'02 Assumptions'!$B$8*'02 Assumptions'!$B$9*MIN(2,MAX(0.5,L16^'02 Assumptions'!$B$13)))</x:f>
        <x:v>30.92955033450793</x:v>
      </x:c>
      <x:c r="N16" s="32" t="n">
        <x:f>IF('02 Assumptions'!$B$24=1,'Data OECD Mapping'!C16,IF('02 Assumptions'!$B$24=2,'Data OECD Mapping'!D16,'Data OECD Mapping'!E16))</x:f>
        <x:v>0.03209695521121224</x:v>
      </x:c>
      <x:c r="O16" t="n">
        <x:f>(1+'02 Assumptions'!$B$19)^(6*'02 Assumptions'!$B$20)</x:f>
        <x:v>1.018026892722934</x:v>
      </x:c>
      <x:c r="P16" t="n">
        <x:f>(1+N16)^(6/10*'02 Assumptions'!$B$21)</x:f>
        <x:v>1</x:v>
      </x:c>
      <x:c r="Q16" t="n">
        <x:f>(1+'02 Assumptions'!$B$15)^6*(1-'02 Assumptions'!$B$16)^(6*(1-'02 Assumptions'!$B$17))</x:f>
        <x:v>0.9130865132942924</x:v>
      </x:c>
      <x:c r="R16" s="40" t="n">
        <x:f>F16*J16*M16*12/1000*(1-'02 Assumptions'!$B$14)*O16*P16*(1+'02 Assumptions'!$B$18)^6</x:f>
        <x:v>0.46927394046354115</x:v>
      </x:c>
      <x:c r="S16" s="40" t="n">
        <x:f>F16*J16*M16*12/1000*'02 Assumptions'!$B$14*O16*P16*Q16</x:f>
        <x:v>0.4158550649361846</x:v>
      </x:c>
      <x:c r="T16" s="40" t="n">
        <x:f>SUM(R16:S16)</x:f>
        <x:v>0.8851290053997258</x:v>
      </x:c>
      <x:c r="W16" t="str">
        <x:v>Bull</x:v>
      </x:c>
      <x:c r="X16" s="42" t="n">
        <x:f>SUMIF($A$8:$A$67,3,$T$8:$T$67)</x:f>
        <x:v>1472.0107093193735</x:v>
      </x:c>
      <x:c r="Y16" s="42" t="n">
        <x:f>MIN('02 Assumptions'!$D$29,'02 Assumptions'!$D$29-('02 Assumptions'!$D$29-'Data Stanford'!$B$10)*(1-('Data Stanford'!$B$10-'Data Stanford'!$B$8)/('02 Assumptions'!$D$29-'Data Stanford'!$B$8)*'02 Assumptions'!$D$30)^6)*MIN(0.95,'02 Assumptions'!$D$25+6*'02 Assumptions'!$D$26)*'02 Assumptions'!$D$27*(1+'02 Assumptions'!$D$28)^6*12/1000</x:f>
        <x:v>72.01791594864554</x:v>
      </x:c>
      <x:c r="Z16" s="42" t="n">
        <x:f>SUM(X16:Y16)</x:f>
        <x:v>1544.0286252680191</x:v>
      </x:c>
    </x:row>
    <x:row r="17">
      <x:c r="A17" t="n">
        <x:f>1</x:f>
        <x:v>1</x:v>
      </x:c>
      <x:c r="B17" t="str">
        <x:f>"Bear"</x:f>
        <x:v>Bear</x:v>
      </x:c>
      <x:c r="C17" t="str">
        <x:f>'Data BLS'!A17</x:f>
        <x:v>52</x:v>
      </x:c>
      <x:c r="D17" t="str">
        <x:f>'Data BLS'!B17</x:f>
        <x:v>Finance and Insurance</x:v>
      </x:c>
      <x:c r="E17" t="n">
        <x:f>'Data BLS'!C17/1000*('Data BLS'!D17/'Data BLS'!C17)^(1/10)*(IF('Data BLS'!E17="Excluded",0,IF('Data BLS'!E17="Partial",'02 Assumptions'!$B$22,1)))</x:f>
        <x:v>5.741387298503858</x:v>
      </x:c>
      <x:c r="F17" t="n">
        <x:f>E17*('Data BLS'!D17/'Data BLS'!C17)^(6/10)</x:f>
        <x:v>5.819901286702251</x:v>
      </x:c>
      <x:c r="G17" t="n">
        <x:f>'Data BEA'!C17*(IF('Data BLS'!E17="Excluded",0,IF('Data BLS'!E17="Partial",'02 Assumptions'!$B$22,1)))*IF(C17="53",'02 Assumptions'!$B$23,1)</x:f>
        <x:v>2494.41</x:v>
      </x:c>
      <x:c r="H17" s="32" t="n">
        <x:f>IF(E17=0,0,MIN(0.95,IF(ISNUMBER('Data Ramp Paid'!C17),'Data Ramp Paid'!C17,'Data Ramp Spend'!$C$11*IF(ISNUMBER('Data Census'!C17),('Data Census'!C17/'Data Census'!$D$8)^'02 Assumptions'!$B$10,1))))</x:f>
        <x:v>0.7370507</x:v>
      </x:c>
      <x:c r="I17" s="32" t="n">
        <x:f>MIN(0.98,H17*'02 Assumptions'!$B$11)</x:f>
        <x:v>0.66334563</x:v>
      </x:c>
      <x:c r="J17" s="32" t="n">
        <x:f>MIN(0.98,1-(1-I17)*(1-'02 Assumptions'!$B$12)^6)</x:f>
        <x:v>0.7677523234765544</x:v>
      </x:c>
      <x:c r="K17" t="n">
        <x:f>IFERROR(G17*1000/E17,0)</x:f>
        <x:v>434461.1973224687</x:v>
      </x:c>
      <x:c r="L17" t="n">
        <x:f>IFERROR(K17/$AA$8,0)</x:f>
        <x:v>2.330254566518205</x:v>
      </x:c>
      <x:c r="M17" t="n">
        <x:f>IF(E17=0,0,'Data Ramp Spend'!$C$8*'02 Assumptions'!$B$8*'02 Assumptions'!$B$9*MIN(2,MAX(0.5,L17^'02 Assumptions'!$B$13)))</x:f>
        <x:v>29.635421172131938</x:v>
      </x:c>
      <x:c r="N17" s="32" t="n">
        <x:f>IF('02 Assumptions'!$B$24=1,'Data OECD Mapping'!C17,IF('02 Assumptions'!$B$24=2,'Data OECD Mapping'!D17,'Data OECD Mapping'!E17))</x:f>
        <x:v>0.03540151612833142</x:v>
      </x:c>
      <x:c r="O17" t="n">
        <x:f>(1+'02 Assumptions'!$B$19)^(6*'02 Assumptions'!$B$20)</x:f>
        <x:v>1.018026892722934</x:v>
      </x:c>
      <x:c r="P17" t="n">
        <x:f>(1+N17)^(6/10*'02 Assumptions'!$B$21)</x:f>
        <x:v>1</x:v>
      </x:c>
      <x:c r="Q17" t="n">
        <x:f>(1+'02 Assumptions'!$B$15)^6*(1-'02 Assumptions'!$B$16)^(6*(1-'02 Assumptions'!$B$17))</x:f>
        <x:v>0.9130865132942924</x:v>
      </x:c>
      <x:c r="R17" s="40" t="n">
        <x:f>F17*J17*M17*12/1000*(1-'02 Assumptions'!$B$14)*O17*P17*(1+'02 Assumptions'!$B$18)^6</x:f>
        <x:v>0.8334023740699689</x:v>
      </x:c>
      <x:c r="S17" s="40" t="n">
        <x:f>F17*J17*M17*12/1000*'02 Assumptions'!$B$14*O17*P17*Q17</x:f>
        <x:v>0.7385336548722407</x:v>
      </x:c>
      <x:c r="T17" s="40" t="n">
        <x:f>SUM(R17:S17)</x:f>
        <x:v>1.5719360289422095</x:v>
      </x:c>
    </x:row>
    <x:row r="18">
      <x:c r="A18" t="n">
        <x:f>1</x:f>
        <x:v>1</x:v>
      </x:c>
      <x:c r="B18" t="str">
        <x:f>"Bear"</x:f>
        <x:v>Bear</x:v>
      </x:c>
      <x:c r="C18" t="str">
        <x:f>'Data BLS'!A18</x:f>
        <x:v>53</x:v>
      </x:c>
      <x:c r="D18" t="str">
        <x:f>'Data BLS'!B18</x:f>
        <x:v>Real Estate and Rental and Leasing</x:v>
      </x:c>
      <x:c r="E18" t="n">
        <x:f>'Data BLS'!C18/1000*('Data BLS'!D18/'Data BLS'!C18)^(1/10)*(IF('Data BLS'!E18="Excluded",0,IF('Data BLS'!E18="Partial",'02 Assumptions'!$B$22,1)))</x:f>
        <x:v>2.4648764480604</x:v>
      </x:c>
      <x:c r="F18" t="n">
        <x:f>E18*('Data BLS'!D18/'Data BLS'!C18)^(6/10)</x:f>
        <x:v>2.5145097910591607</x:v>
      </x:c>
      <x:c r="G18" t="n">
        <x:f>'Data BEA'!C18*(IF('Data BLS'!E18="Excluded",0,IF('Data BLS'!E18="Partial",'02 Assumptions'!$B$22,1)))*IF(C18="53",'02 Assumptions'!$B$23,1)</x:f>
        <x:v>1103.8</x:v>
      </x:c>
      <x:c r="H18" s="32" t="n">
        <x:f>IF(E18=0,0,MIN(0.95,IF(ISNUMBER('Data Ramp Paid'!C18),'Data Ramp Paid'!C18,'Data Ramp Spend'!$C$11*IF(ISNUMBER('Data Census'!C18),('Data Census'!C18/'Data Census'!$D$8)^'02 Assumptions'!$B$10,1))))</x:f>
        <x:v>0.5613226</x:v>
      </x:c>
      <x:c r="I18" s="32" t="n">
        <x:f>MIN(0.98,H18*'02 Assumptions'!$B$11)</x:f>
        <x:v>0.5051903400000001</x:v>
      </x:c>
      <x:c r="J18" s="32" t="n">
        <x:f>MIN(0.98,1-(1-I18)*(1-'02 Assumptions'!$B$12)^6)</x:f>
        <x:v>0.6586457681914063</x:v>
      </x:c>
      <x:c r="K18" t="n">
        <x:f>IFERROR(G18*1000/E18,0)</x:f>
        <x:v>447811.4920804956</x:v>
      </x:c>
      <x:c r="L18" t="n">
        <x:f>IFERROR(K18/$AA$8,0)</x:f>
        <x:v>2.4018595464703405</x:v>
      </x:c>
      <x:c r="M18" t="n">
        <x:f>IF(E18=0,0,'Data Ramp Spend'!$C$8*'02 Assumptions'!$B$8*'02 Assumptions'!$B$9*MIN(2,MAX(0.5,L18^'02 Assumptions'!$B$13)))</x:f>
        <x:v>29.72525080931581</x:v>
      </x:c>
      <x:c r="N18" s="32" t="n">
        <x:f>IF('02 Assumptions'!$B$24=1,'Data OECD Mapping'!C18,IF('02 Assumptions'!$B$24=2,'Data OECD Mapping'!D18,'Data OECD Mapping'!E18))</x:f>
        <x:v>0.024818832986056805</x:v>
      </x:c>
      <x:c r="O18" t="n">
        <x:f>(1+'02 Assumptions'!$B$19)^(6*'02 Assumptions'!$B$20)</x:f>
        <x:v>1.018026892722934</x:v>
      </x:c>
      <x:c r="P18" t="n">
        <x:f>(1+N18)^(6/10*'02 Assumptions'!$B$21)</x:f>
        <x:v>1</x:v>
      </x:c>
      <x:c r="Q18" t="n">
        <x:f>(1+'02 Assumptions'!$B$15)^6*(1-'02 Assumptions'!$B$16)^(6*(1-'02 Assumptions'!$B$17))</x:f>
        <x:v>0.9130865132942924</x:v>
      </x:c>
      <x:c r="R18" s="40" t="n">
        <x:f>F18*J18*M18*12/1000*(1-'02 Assumptions'!$B$14)*O18*P18*(1+'02 Assumptions'!$B$18)^6</x:f>
        <x:v>0.3098401085799794</x:v>
      </x:c>
      <x:c r="S18" s="40" t="n">
        <x:f>F18*J18*M18*12/1000*'02 Assumptions'!$B$14*O18*P18*Q18</x:f>
        <x:v>0.27457006955486873</x:v>
      </x:c>
      <x:c r="T18" s="40" t="n">
        <x:f>SUM(R18:S18)</x:f>
        <x:v>0.5844101781348481</x:v>
      </x:c>
    </x:row>
    <x:row r="19">
      <x:c r="A19" t="n">
        <x:f>1</x:f>
        <x:v>1</x:v>
      </x:c>
      <x:c r="B19" t="str">
        <x:f>"Bear"</x:f>
        <x:v>Bear</x:v>
      </x:c>
      <x:c r="C19" t="str">
        <x:f>'Data BLS'!A19</x:f>
        <x:v>54</x:v>
      </x:c>
      <x:c r="D19" t="str">
        <x:f>'Data BLS'!B19</x:f>
        <x:v>Professional, Scientific and Technical Services</x:v>
      </x:c>
      <x:c r="E19" t="n">
        <x:f>'Data BLS'!C19/1000*('Data BLS'!D19/'Data BLS'!C19)^(1/10)*(IF('Data BLS'!E19="Excluded",0,IF('Data BLS'!E19="Partial",'02 Assumptions'!$B$22,1)))</x:f>
        <x:v>10.868468674762415</x:v>
      </x:c>
      <x:c r="F19" t="n">
        <x:f>E19*('Data BLS'!D19/'Data BLS'!C19)^(6/10)</x:f>
        <x:v>11.419821768112346</x:v>
      </x:c>
      <x:c r="G19" t="n">
        <x:f>'Data BEA'!C19*(IF('Data BLS'!E19="Excluded",0,IF('Data BLS'!E19="Partial",'02 Assumptions'!$B$22,1)))*IF(C19="53",'02 Assumptions'!$B$23,1)</x:f>
        <x:v>2593.3</x:v>
      </x:c>
      <x:c r="H19" s="32" t="n">
        <x:f>IF(E19=0,0,MIN(0.95,IF(ISNUMBER('Data Ramp Paid'!C19),'Data Ramp Paid'!C19,'Data Ramp Spend'!$C$11*IF(ISNUMBER('Data Census'!C19),('Data Census'!C19/'Data Census'!$D$8)^'02 Assumptions'!$B$10,1))))</x:f>
        <x:v>0.6519139328578244</x:v>
      </x:c>
      <x:c r="I19" s="32" t="n">
        <x:f>MIN(0.98,H19*'02 Assumptions'!$B$11)</x:f>
        <x:v>0.586722539572042</x:v>
      </x:c>
      <x:c r="J19" s="32" t="n">
        <x:f>MIN(0.98,1-(1-I19)*(1-'02 Assumptions'!$B$12)^6)</x:f>
        <x:v>0.714892368859185</x:v>
      </x:c>
      <x:c r="K19" t="n">
        <x:f>IFERROR(G19*1000/E19,0)</x:f>
        <x:v>238607.67120044073</x:v>
      </x:c>
      <x:c r="L19" t="n">
        <x:f>IFERROR(K19/$AA$8,0)</x:f>
        <x:v>1.2797842910892017</x:v>
      </x:c>
      <x:c r="M19" t="n">
        <x:f>IF(E19=0,0,'Data Ramp Spend'!$C$8*'02 Assumptions'!$B$8*'02 Assumptions'!$B$9*MIN(2,MAX(0.5,L19^'02 Assumptions'!$B$13)))</x:f>
        <x:v>27.911581479155043</x:v>
      </x:c>
      <x:c r="N19" s="32" t="n">
        <x:f>IF('02 Assumptions'!$B$24=1,'Data OECD Mapping'!C19,IF('02 Assumptions'!$B$24=2,'Data OECD Mapping'!D19,'Data OECD Mapping'!E19))</x:f>
        <x:v>0.03261405983939767</x:v>
      </x:c>
      <x:c r="O19" t="n">
        <x:f>(1+'02 Assumptions'!$B$19)^(6*'02 Assumptions'!$B$20)</x:f>
        <x:v>1.018026892722934</x:v>
      </x:c>
      <x:c r="P19" t="n">
        <x:f>(1+N19)^(6/10*'02 Assumptions'!$B$21)</x:f>
        <x:v>1</x:v>
      </x:c>
      <x:c r="Q19" t="n">
        <x:f>(1+'02 Assumptions'!$B$15)^6*(1-'02 Assumptions'!$B$16)^(6*(1-'02 Assumptions'!$B$17))</x:f>
        <x:v>0.9130865132942924</x:v>
      </x:c>
      <x:c r="R19" s="40" t="n">
        <x:f>F19*J19*M19*12/1000*(1-'02 Assumptions'!$B$14)*O19*P19*(1+'02 Assumptions'!$B$18)^6</x:f>
        <x:v>1.4341391879674465</x:v>
      </x:c>
      <x:c r="S19" s="40" t="n">
        <x:f>F19*J19*M19*12/1000*'02 Assumptions'!$B$14*O19*P19*Q19</x:f>
        <x:v>1.2708867757511129</x:v>
      </x:c>
      <x:c r="T19" s="40" t="n">
        <x:f>SUM(R19:S19)</x:f>
        <x:v>2.705025963718559</x:v>
      </x:c>
    </x:row>
    <x:row r="20">
      <x:c r="A20" t="n">
        <x:f>1</x:f>
        <x:v>1</x:v>
      </x:c>
      <x:c r="B20" t="str">
        <x:f>"Bear"</x:f>
        <x:v>Bear</x:v>
      </x:c>
      <x:c r="C20" t="str">
        <x:f>'Data BLS'!A20</x:f>
        <x:v>55</x:v>
      </x:c>
      <x:c r="D20" t="str">
        <x:f>'Data BLS'!B20</x:f>
        <x:v>Management of Companies and Enterprises</x:v>
      </x:c>
      <x:c r="E20" t="n">
        <x:f>'Data BLS'!C20/1000*('Data BLS'!D20/'Data BLS'!C20)^(1/10)*(IF('Data BLS'!E20="Excluded",0,IF('Data BLS'!E20="Partial",'02 Assumptions'!$B$22,1)))</x:f>
        <x:v>2.634179619347046</x:v>
      </x:c>
      <x:c r="F20" t="n">
        <x:f>E20*('Data BLS'!D20/'Data BLS'!C20)^(6/10)</x:f>
        <x:v>2.6979422251742533</x:v>
      </x:c>
      <x:c r="G20" t="n">
        <x:f>'Data BEA'!C20*(IF('Data BLS'!E20="Excluded",0,IF('Data BLS'!E20="Partial",'02 Assumptions'!$B$22,1)))*IF(C20="53",'02 Assumptions'!$B$23,1)</x:f>
        <x:v>583.8</x:v>
      </x:c>
      <x:c r="H20" s="32" t="n">
        <x:f>IF(E20=0,0,MIN(0.95,IF(ISNUMBER('Data Ramp Paid'!C20),'Data Ramp Paid'!C20,'Data Ramp Spend'!$C$11*IF(ISNUMBER('Data Census'!C20),('Data Census'!C20/'Data Census'!$D$8)^'02 Assumptions'!$B$10,1))))</x:f>
        <x:v>0.5613226</x:v>
      </x:c>
      <x:c r="I20" s="32" t="n">
        <x:f>MIN(0.98,H20*'02 Assumptions'!$B$11)</x:f>
        <x:v>0.5051903400000001</x:v>
      </x:c>
      <x:c r="J20" s="32" t="n">
        <x:f>MIN(0.98,1-(1-I20)*(1-'02 Assumptions'!$B$12)^6)</x:f>
        <x:v>0.6586457681914063</x:v>
      </x:c>
      <x:c r="K20" t="n">
        <x:f>IFERROR(G20*1000/E20,0)</x:f>
        <x:v>221624.97792945147</x:v>
      </x:c>
      <x:c r="L20" t="n">
        <x:f>IFERROR(K20/$AA$8,0)</x:f>
        <x:v>1.1886967583235821</x:v>
      </x:c>
      <x:c r="M20" t="n">
        <x:f>IF(E20=0,0,'Data Ramp Spend'!$C$8*'02 Assumptions'!$B$8*'02 Assumptions'!$B$9*MIN(2,MAX(0.5,L20^'02 Assumptions'!$B$13)))</x:f>
        <x:v>27.70625804702907</x:v>
      </x:c>
      <x:c r="N20" s="32" t="n">
        <x:f>IF('02 Assumptions'!$B$24=1,'Data OECD Mapping'!C20,IF('02 Assumptions'!$B$24=2,'Data OECD Mapping'!D20,'Data OECD Mapping'!E20))</x:f>
        <x:v>0.03261405983939767</x:v>
      </x:c>
      <x:c r="O20" t="n">
        <x:f>(1+'02 Assumptions'!$B$19)^(6*'02 Assumptions'!$B$20)</x:f>
        <x:v>1.018026892722934</x:v>
      </x:c>
      <x:c r="P20" t="n">
        <x:f>(1+N20)^(6/10*'02 Assumptions'!$B$21)</x:f>
        <x:v>1</x:v>
      </x:c>
      <x:c r="Q20" t="n">
        <x:f>(1+'02 Assumptions'!$B$15)^6*(1-'02 Assumptions'!$B$16)^(6*(1-'02 Assumptions'!$B$17))</x:f>
        <x:v>0.9130865132942924</x:v>
      </x:c>
      <x:c r="R20" s="40" t="n">
        <x:f>F20*J20*M20*12/1000*(1-'02 Assumptions'!$B$14)*O20*P20*(1+'02 Assumptions'!$B$18)^6</x:f>
        <x:v>0.3098626976470514</x:v>
      </x:c>
      <x:c r="S20" s="40" t="n">
        <x:f>F20*J20*M20*12/1000*'02 Assumptions'!$B$14*O20*P20*Q20</x:f>
        <x:v>0.27459008723994366</x:v>
      </x:c>
      <x:c r="T20" s="40" t="n">
        <x:f>SUM(R20:S20)</x:f>
        <x:v>0.584452784886995</x:v>
      </x:c>
    </x:row>
    <x:row r="21">
      <x:c r="A21" t="n">
        <x:f>1</x:f>
        <x:v>1</x:v>
      </x:c>
      <x:c r="B21" t="str">
        <x:f>"Bear"</x:f>
        <x:v>Bear</x:v>
      </x:c>
      <x:c r="C21" t="str">
        <x:f>'Data BLS'!A21</x:f>
        <x:v>56</x:v>
      </x:c>
      <x:c r="D21" t="str">
        <x:f>'Data BLS'!B21</x:f>
        <x:v>Administrative, Support and Waste Services</x:v>
      </x:c>
      <x:c r="E21" t="n">
        <x:f>'Data BLS'!C21/1000*('Data BLS'!D21/'Data BLS'!C21)^(1/10)*(IF('Data BLS'!E21="Excluded",0,IF('Data BLS'!E21="Partial",'02 Assumptions'!$B$22,1)))</x:f>
        <x:v>9.021107907338024</x:v>
      </x:c>
      <x:c r="F21" t="n">
        <x:f>E21*('Data BLS'!D21/'Data BLS'!C21)^(6/10)</x:f>
        <x:v>9.069304984019729</x:v>
      </x:c>
      <x:c r="G21" t="n">
        <x:f>'Data BEA'!C21*(IF('Data BLS'!E21="Excluded",0,IF('Data BLS'!E21="Partial",'02 Assumptions'!$B$22,1)))*IF(C21="53",'02 Assumptions'!$B$23,1)</x:f>
        <x:v>952.7</x:v>
      </x:c>
      <x:c r="H21" s="32" t="n">
        <x:f>IF(E21=0,0,MIN(0.95,IF(ISNUMBER('Data Ramp Paid'!C21),'Data Ramp Paid'!C21,'Data Ramp Spend'!$C$11*IF(ISNUMBER('Data Census'!C21),('Data Census'!C21/'Data Census'!$D$8)^'02 Assumptions'!$B$10,1))))</x:f>
        <x:v>0.5613226</x:v>
      </x:c>
      <x:c r="I21" s="32" t="n">
        <x:f>MIN(0.98,H21*'02 Assumptions'!$B$11)</x:f>
        <x:v>0.5051903400000001</x:v>
      </x:c>
      <x:c r="J21" s="32" t="n">
        <x:f>MIN(0.98,1-(1-I21)*(1-'02 Assumptions'!$B$12)^6)</x:f>
        <x:v>0.6586457681914063</x:v>
      </x:c>
      <x:c r="K21" t="n">
        <x:f>IFERROR(G21*1000/E21,0)</x:f>
        <x:v>105607.87098279214</x:v>
      </x:c>
      <x:c r="L21" t="n">
        <x:f>IFERROR(K21/$AA$8,0)</x:f>
        <x:v>0.5664331478497028</x:v>
      </x:c>
      <x:c r="M21" t="n">
        <x:f>IF(E21=0,0,'Data Ramp Spend'!$C$8*'02 Assumptions'!$B$8*'02 Assumptions'!$B$9*MIN(2,MAX(0.5,L21^'02 Assumptions'!$B$13)))</x:f>
        <x:v>25.726791864803307</x:v>
      </x:c>
      <x:c r="N21" s="32" t="n">
        <x:f>IF('02 Assumptions'!$B$24=1,'Data OECD Mapping'!C21,IF('02 Assumptions'!$B$24=2,'Data OECD Mapping'!D21,'Data OECD Mapping'!E21))</x:f>
        <x:v>0.01921068448573351</x:v>
      </x:c>
      <x:c r="O21" t="n">
        <x:f>(1+'02 Assumptions'!$B$19)^(6*'02 Assumptions'!$B$20)</x:f>
        <x:v>1.018026892722934</x:v>
      </x:c>
      <x:c r="P21" t="n">
        <x:f>(1+N21)^(6/10*'02 Assumptions'!$B$21)</x:f>
        <x:v>1</x:v>
      </x:c>
      <x:c r="Q21" t="n">
        <x:f>(1+'02 Assumptions'!$B$15)^6*(1-'02 Assumptions'!$B$16)^(6*(1-'02 Assumptions'!$B$17))</x:f>
        <x:v>0.9130865132942924</x:v>
      </x:c>
      <x:c r="R21" s="40" t="n">
        <x:f>F21*J21*M21*12/1000*(1-'02 Assumptions'!$B$14)*O21*P21*(1+'02 Assumptions'!$B$18)^6</x:f>
        <x:v>0.9672047419781544</x:v>
      </x:c>
      <x:c r="S21" s="40" t="n">
        <x:f>F21*J21*M21*12/1000*'02 Assumptions'!$B$14*O21*P21*Q21</x:f>
        <x:v>0.857104893539598</x:v>
      </x:c>
      <x:c r="T21" s="40" t="n">
        <x:f>SUM(R21:S21)</x:f>
        <x:v>1.8243096355177524</x:v>
      </x:c>
    </x:row>
    <x:row r="22">
      <x:c r="A22" t="n">
        <x:f>1</x:f>
        <x:v>1</x:v>
      </x:c>
      <x:c r="B22" t="str">
        <x:f>"Bear"</x:f>
        <x:v>Bear</x:v>
      </x:c>
      <x:c r="C22" t="str">
        <x:f>'Data BLS'!A22</x:f>
        <x:v>61</x:v>
      </x:c>
      <x:c r="D22" t="str">
        <x:f>'Data BLS'!B22</x:f>
        <x:v>Educational Services (Private)</x:v>
      </x:c>
      <x:c r="E22" t="n">
        <x:f>'Data BLS'!C22/1000*('Data BLS'!D22/'Data BLS'!C22)^(1/10)*(IF('Data BLS'!E22="Excluded",0,IF('Data BLS'!E22="Partial",'02 Assumptions'!$B$22,1)))</x:f>
        <x:v>4.058895956130902</x:v>
      </x:c>
      <x:c r="F22" t="n">
        <x:f>E22*('Data BLS'!D22/'Data BLS'!C22)^(6/10)</x:f>
        <x:v>4.120002569455197</x:v>
      </x:c>
      <x:c r="G22" t="n">
        <x:f>'Data BEA'!C22*(IF('Data BLS'!E22="Excluded",0,IF('Data BLS'!E22="Partial",'02 Assumptions'!$B$22,1)))*IF(C22="53",'02 Assumptions'!$B$23,1)</x:f>
        <x:v>365.2</x:v>
      </x:c>
      <x:c r="H22" s="32" t="n">
        <x:f>IF(E22=0,0,MIN(0.95,IF(ISNUMBER('Data Ramp Paid'!C22),'Data Ramp Paid'!C22,'Data Ramp Spend'!$C$11*IF(ISNUMBER('Data Census'!C22),('Data Census'!C22/'Data Census'!$D$8)^'02 Assumptions'!$B$10,1))))</x:f>
        <x:v>0.5613226</x:v>
      </x:c>
      <x:c r="I22" s="32" t="n">
        <x:f>MIN(0.98,H22*'02 Assumptions'!$B$11)</x:f>
        <x:v>0.5051903400000001</x:v>
      </x:c>
      <x:c r="J22" s="32" t="n">
        <x:f>MIN(0.98,1-(1-I22)*(1-'02 Assumptions'!$B$12)^6)</x:f>
        <x:v>0.6586457681914063</x:v>
      </x:c>
      <x:c r="K22" t="n">
        <x:f>IFERROR(G22*1000/E22,0)</x:f>
        <x:v>89975.20605286046</x:v>
      </x:c>
      <x:c r="L22" t="n">
        <x:f>IFERROR(K22/$AA$8,0)</x:f>
        <x:v>0.4825865602503403</x:v>
      </x:c>
      <x:c r="M22" t="n">
        <x:f>IF(E22=0,0,'Data Ramp Spend'!$C$8*'02 Assumptions'!$B$8*'02 Assumptions'!$B$9*MIN(2,MAX(0.5,L22^'02 Assumptions'!$B$13)))</x:f>
        <x:v>25.317935506630242</x:v>
      </x:c>
      <x:c r="N22" s="32" t="n">
        <x:f>IF('02 Assumptions'!$B$24=1,'Data OECD Mapping'!C22,IF('02 Assumptions'!$B$24=2,'Data OECD Mapping'!D22,'Data OECD Mapping'!E22))</x:f>
        <x:v>0.024575921148061754</x:v>
      </x:c>
      <x:c r="O22" t="n">
        <x:f>(1+'02 Assumptions'!$B$19)^(6*'02 Assumptions'!$B$20)</x:f>
        <x:v>1.018026892722934</x:v>
      </x:c>
      <x:c r="P22" t="n">
        <x:f>(1+N22)^(6/10*'02 Assumptions'!$B$21)</x:f>
        <x:v>1</x:v>
      </x:c>
      <x:c r="Q22" t="n">
        <x:f>(1+'02 Assumptions'!$B$15)^6*(1-'02 Assumptions'!$B$16)^(6*(1-'02 Assumptions'!$B$17))</x:f>
        <x:v>0.9130865132942924</x:v>
      </x:c>
      <x:c r="R22" s="40" t="n">
        <x:f>F22*J22*M22*12/1000*(1-'02 Assumptions'!$B$14)*O22*P22*(1+'02 Assumptions'!$B$18)^6</x:f>
        <x:v>0.43239887321709264</x:v>
      </x:c>
      <x:c r="S22" s="40" t="n">
        <x:f>F22*J22*M22*12/1000*'02 Assumptions'!$B$14*O22*P22*Q22</x:f>
        <x:v>0.3831775984032024</x:v>
      </x:c>
      <x:c r="T22" s="40" t="n">
        <x:f>SUM(R22:S22)</x:f>
        <x:v>0.8155764716202951</x:v>
      </x:c>
    </x:row>
    <x:row r="23">
      <x:c r="A23" t="n">
        <x:f>1</x:f>
        <x:v>1</x:v>
      </x:c>
      <x:c r="B23" t="str">
        <x:f>"Bear"</x:f>
        <x:v>Bear</x:v>
      </x:c>
      <x:c r="C23" t="str">
        <x:f>'Data BLS'!A23</x:f>
        <x:v>62</x:v>
      </x:c>
      <x:c r="D23" t="str">
        <x:f>'Data BLS'!B23</x:f>
        <x:v>Health Care and Social Assistance (Private)</x:v>
      </x:c>
      <x:c r="E23" t="n">
        <x:f>'Data BLS'!C23/1000*('Data BLS'!D23/'Data BLS'!C23)^(1/10)*(IF('Data BLS'!E23="Excluded",0,IF('Data BLS'!E23="Partial",'02 Assumptions'!$B$22,1)))</x:f>
        <x:v>23.501614630876432</x:v>
      </x:c>
      <x:c r="F23" t="n">
        <x:f>E23*('Data BLS'!D23/'Data BLS'!C23)^(6/10)</x:f>
        <x:v>24.812297123460553</x:v>
      </x:c>
      <x:c r="G23" t="n">
        <x:f>'Data BEA'!C23*(IF('Data BLS'!E23="Excluded",0,IF('Data BLS'!E23="Partial",'02 Assumptions'!$B$22,1)))*IF(C23="53",'02 Assumptions'!$B$23,1)</x:f>
        <x:v>2454.7</x:v>
      </x:c>
      <x:c r="H23" s="32" t="n">
        <x:f>IF(E23=0,0,MIN(0.95,IF(ISNUMBER('Data Ramp Paid'!C23),'Data Ramp Paid'!C23,'Data Ramp Spend'!$C$11*IF(ISNUMBER('Data Census'!C23),('Data Census'!C23/'Data Census'!$D$8)^'02 Assumptions'!$B$10,1))))</x:f>
        <x:v>0.4337242</x:v>
      </x:c>
      <x:c r="I23" s="32" t="n">
        <x:f>MIN(0.98,H23*'02 Assumptions'!$B$11)</x:f>
        <x:v>0.39035178000000004</x:v>
      </x:c>
      <x:c r="J23" s="32" t="n">
        <x:f>MIN(0.98,1-(1-I23)*(1-'02 Assumptions'!$B$12)^6)</x:f>
        <x:v>0.57942211594742</x:v>
      </x:c>
      <x:c r="K23" t="n">
        <x:f>IFERROR(G23*1000/E23,0)</x:f>
        <x:v>104448.142757605</x:v>
      </x:c>
      <x:c r="L23" t="n">
        <x:f>IFERROR(K23/$AA$8,0)</x:f>
        <x:v>0.5602128869626147</x:v>
      </x:c>
      <x:c r="M23" t="n">
        <x:f>IF(E23=0,0,'Data Ramp Spend'!$C$8*'02 Assumptions'!$B$8*'02 Assumptions'!$B$9*MIN(2,MAX(0.5,L23^'02 Assumptions'!$B$13)))</x:f>
        <x:v>25.698399511360748</x:v>
      </x:c>
      <x:c r="N23" s="32" t="n">
        <x:f>IF('02 Assumptions'!$B$24=1,'Data OECD Mapping'!C23,IF('02 Assumptions'!$B$24=2,'Data OECD Mapping'!D23,'Data OECD Mapping'!E23))</x:f>
        <x:v>0.0215854249894619</x:v>
      </x:c>
      <x:c r="O23" t="n">
        <x:f>(1+'02 Assumptions'!$B$19)^(6*'02 Assumptions'!$B$20)</x:f>
        <x:v>1.018026892722934</x:v>
      </x:c>
      <x:c r="P23" t="n">
        <x:f>(1+N23)^(6/10*'02 Assumptions'!$B$21)</x:f>
        <x:v>1</x:v>
      </x:c>
      <x:c r="Q23" t="n">
        <x:f>(1+'02 Assumptions'!$B$15)^6*(1-'02 Assumptions'!$B$16)^(6*(1-'02 Assumptions'!$B$17))</x:f>
        <x:v>0.9130865132942924</x:v>
      </x:c>
      <x:c r="R23" s="40" t="n">
        <x:f>F23*J23*M23*12/1000*(1-'02 Assumptions'!$B$14)*O23*P23*(1+'02 Assumptions'!$B$18)^6</x:f>
        <x:v>2.32527856909983</x:v>
      </x:c>
      <x:c r="S23" s="40" t="n">
        <x:f>F23*J23*M23*12/1000*'02 Assumptions'!$B$14*O23*P23*Q23</x:f>
        <x:v>2.0605850591076122</x:v>
      </x:c>
      <x:c r="T23" s="40" t="n">
        <x:f>SUM(R23:S23)</x:f>
        <x:v>4.385863628207442</x:v>
      </x:c>
    </x:row>
    <x:row r="24">
      <x:c r="A24" t="n">
        <x:f>1</x:f>
        <x:v>1</x:v>
      </x:c>
      <x:c r="B24" t="str">
        <x:f>"Bear"</x:f>
        <x:v>Bear</x:v>
      </x:c>
      <x:c r="C24" t="str">
        <x:f>'Data BLS'!A24</x:f>
        <x:v>71</x:v>
      </x:c>
      <x:c r="D24" t="str">
        <x:f>'Data BLS'!B24</x:f>
        <x:v>Arts, Entertainment and Recreation</x:v>
      </x:c>
      <x:c r="E24" t="n">
        <x:f>'Data BLS'!C24/1000*('Data BLS'!D24/'Data BLS'!C24)^(1/10)*(IF('Data BLS'!E24="Excluded",0,IF('Data BLS'!E24="Partial",'02 Assumptions'!$B$22,1)))</x:f>
        <x:v>2.696630332011054</x:v>
      </x:c>
      <x:c r="F24" t="n">
        <x:f>E24*('Data BLS'!D24/'Data BLS'!C24)^(6/10)</x:f>
        <x:v>2.787974225626306</x:v>
      </x:c>
      <x:c r="G24" t="n">
        <x:f>'Data BEA'!C24*(IF('Data BLS'!E24="Excluded",0,IF('Data BLS'!E24="Partial",'02 Assumptions'!$B$22,1)))*IF(C24="53",'02 Assumptions'!$B$23,1)</x:f>
        <x:v>331.2</x:v>
      </x:c>
      <x:c r="H24" s="32" t="n">
        <x:f>IF(E24=0,0,MIN(0.95,IF(ISNUMBER('Data Ramp Paid'!C24),'Data Ramp Paid'!C24,'Data Ramp Spend'!$C$11*IF(ISNUMBER('Data Census'!C24),('Data Census'!C24/'Data Census'!$D$8)^'02 Assumptions'!$B$10,1))))</x:f>
        <x:v>0.5613226</x:v>
      </x:c>
      <x:c r="I24" s="32" t="n">
        <x:f>MIN(0.98,H24*'02 Assumptions'!$B$11)</x:f>
        <x:v>0.5051903400000001</x:v>
      </x:c>
      <x:c r="J24" s="32" t="n">
        <x:f>MIN(0.98,1-(1-I24)*(1-'02 Assumptions'!$B$12)^6)</x:f>
        <x:v>0.6586457681914063</x:v>
      </x:c>
      <x:c r="K24" t="n">
        <x:f>IFERROR(G24*1000/E24,0)</x:f>
        <x:v>122819.94905582866</x:v>
      </x:c>
      <x:c r="L24" t="n">
        <x:f>IFERROR(K24/$AA$8,0)</x:f>
        <x:v>0.6587509975820728</x:v>
      </x:c>
      <x:c r="M24" t="n">
        <x:f>IF(E24=0,0,'Data Ramp Spend'!$C$8*'02 Assumptions'!$B$8*'02 Assumptions'!$B$9*MIN(2,MAX(0.5,L24^'02 Assumptions'!$B$13)))</x:f>
        <x:v>26.118179093943475</x:v>
      </x:c>
      <x:c r="N24" s="32" t="n">
        <x:f>IF('02 Assumptions'!$B$24=1,'Data OECD Mapping'!C24,IF('02 Assumptions'!$B$24=2,'Data OECD Mapping'!D24,'Data OECD Mapping'!E24))</x:f>
        <x:v>0.020705626253038647</x:v>
      </x:c>
      <x:c r="O24" t="n">
        <x:f>(1+'02 Assumptions'!$B$19)^(6*'02 Assumptions'!$B$20)</x:f>
        <x:v>1.018026892722934</x:v>
      </x:c>
      <x:c r="P24" t="n">
        <x:f>(1+N24)^(6/10*'02 Assumptions'!$B$21)</x:f>
        <x:v>1</x:v>
      </x:c>
      <x:c r="Q24" t="n">
        <x:f>(1+'02 Assumptions'!$B$15)^6*(1-'02 Assumptions'!$B$16)^(6*(1-'02 Assumptions'!$B$17))</x:f>
        <x:v>0.9130865132942924</x:v>
      </x:c>
      <x:c r="R24" s="40" t="n">
        <x:f>F24*J24*M24*12/1000*(1-'02 Assumptions'!$B$14)*O24*P24*(1+'02 Assumptions'!$B$18)^6</x:f>
        <x:v>0.30184947681245367</x:v>
      </x:c>
      <x:c r="S24" s="40" t="n">
        <x:f>F24*J24*M24*12/1000*'02 Assumptions'!$B$14*O24*P24*Q24</x:f>
        <x:v>0.2674890356298159</x:v>
      </x:c>
      <x:c r="T24" s="40" t="n">
        <x:f>SUM(R24:S24)</x:f>
        <x:v>0.5693385124422696</x:v>
      </x:c>
    </x:row>
    <x:row r="25">
      <x:c r="A25" t="n">
        <x:f>1</x:f>
        <x:v>1</x:v>
      </x:c>
      <x:c r="B25" t="str">
        <x:f>"Bear"</x:f>
        <x:v>Bear</x:v>
      </x:c>
      <x:c r="C25" t="str">
        <x:f>'Data BLS'!A25</x:f>
        <x:v>72</x:v>
      </x:c>
      <x:c r="D25" t="str">
        <x:f>'Data BLS'!B25</x:f>
        <x:v>Accommodation and Food Services</x:v>
      </x:c>
      <x:c r="E25" t="n">
        <x:f>'Data BLS'!C25/1000*('Data BLS'!D25/'Data BLS'!C25)^(1/10)*(IF('Data BLS'!E25="Excluded",0,IF('Data BLS'!E25="Partial",'02 Assumptions'!$B$22,1)))</x:f>
        <x:v>14.261701727149767</x:v>
      </x:c>
      <x:c r="F25" t="n">
        <x:f>E25*('Data BLS'!D25/'Data BLS'!C25)^(6/10)</x:f>
        <x:v>14.624601706672868</x:v>
      </x:c>
      <x:c r="G25" t="n">
        <x:f>'Data BEA'!C25*(IF('Data BLS'!E25="Excluded",0,IF('Data BLS'!E25="Partial",'02 Assumptions'!$B$22,1)))*IF(C25="53",'02 Assumptions'!$B$23,1)</x:f>
        <x:v>1010.9</x:v>
      </x:c>
      <x:c r="H25" s="32" t="n">
        <x:f>IF(E25=0,0,MIN(0.95,IF(ISNUMBER('Data Ramp Paid'!C25),'Data Ramp Paid'!C25,'Data Ramp Spend'!$C$11*IF(ISNUMBER('Data Census'!C25),('Data Census'!C25/'Data Census'!$D$8)^'02 Assumptions'!$B$10,1))))</x:f>
        <x:v>0.3305243</x:v>
      </x:c>
      <x:c r="I25" s="32" t="n">
        <x:f>MIN(0.98,H25*'02 Assumptions'!$B$11)</x:f>
        <x:v>0.29747187</x:v>
      </x:c>
      <x:c r="J25" s="32" t="n">
        <x:f>MIN(0.98,1-(1-I25)*(1-'02 Assumptions'!$B$12)^6)</x:f>
        <x:v>0.515347072771219</x:v>
      </x:c>
      <x:c r="K25" t="n">
        <x:f>IFERROR(G25*1000/E25,0)</x:f>
        <x:v>70882.14431490783</x:v>
      </x:c>
      <x:c r="L25" t="n">
        <x:f>IFERROR(K25/$AA$8,0)</x:f>
        <x:v>0.38017995966581164</x:v>
      </x:c>
      <x:c r="M25" t="n">
        <x:f>IF(E25=0,0,'Data Ramp Spend'!$C$8*'02 Assumptions'!$B$8*'02 Assumptions'!$B$9*MIN(2,MAX(0.5,L25^'02 Assumptions'!$B$13)))</x:f>
        <x:v>24.721208015343393</x:v>
      </x:c>
      <x:c r="N25" s="32" t="n">
        <x:f>IF('02 Assumptions'!$B$24=1,'Data OECD Mapping'!C25,IF('02 Assumptions'!$B$24=2,'Data OECD Mapping'!D25,'Data OECD Mapping'!E25))</x:f>
        <x:v>0.012064071139320731</x:v>
      </x:c>
      <x:c r="O25" t="n">
        <x:f>(1+'02 Assumptions'!$B$19)^(6*'02 Assumptions'!$B$20)</x:f>
        <x:v>1.018026892722934</x:v>
      </x:c>
      <x:c r="P25" t="n">
        <x:f>(1+N25)^(6/10*'02 Assumptions'!$B$21)</x:f>
        <x:v>1</x:v>
      </x:c>
      <x:c r="Q25" t="n">
        <x:f>(1+'02 Assumptions'!$B$15)^6*(1-'02 Assumptions'!$B$16)^(6*(1-'02 Assumptions'!$B$17))</x:f>
        <x:v>0.9130865132942924</x:v>
      </x:c>
      <x:c r="R25" s="40" t="n">
        <x:f>F25*J25*M25*12/1000*(1-'02 Assumptions'!$B$14)*O25*P25*(1+'02 Assumptions'!$B$18)^6</x:f>
        <x:v>1.1726284353172352</x:v>
      </x:c>
      <x:c r="S25" s="40" t="n">
        <x:f>F25*J25*M25*12/1000*'02 Assumptions'!$B$14*O25*P25*Q25</x:f>
        <x:v>1.0391445850012022</x:v>
      </x:c>
      <x:c r="T25" s="40" t="n">
        <x:f>SUM(R25:S25)</x:f>
        <x:v>2.2117730203184376</x:v>
      </x:c>
    </x:row>
    <x:row r="26">
      <x:c r="A26" t="n">
        <x:f>1</x:f>
        <x:v>1</x:v>
      </x:c>
      <x:c r="B26" t="str">
        <x:f>"Bear"</x:f>
        <x:v>Bear</x:v>
      </x:c>
      <x:c r="C26" t="str">
        <x:f>'Data BLS'!A26</x:f>
        <x:v>81</x:v>
      </x:c>
      <x:c r="D26" t="str">
        <x:f>'Data BLS'!B26</x:f>
        <x:v>Other Services Except Public Administration</x:v>
      </x:c>
      <x:c r="E26" t="n">
        <x:f>'Data BLS'!C26/1000*('Data BLS'!D26/'Data BLS'!C26)^(1/10)*(IF('Data BLS'!E26="Excluded",0,IF('Data BLS'!E26="Partial",'02 Assumptions'!$B$22,1)))</x:f>
        <x:v>5.609985115023748</x:v>
      </x:c>
      <x:c r="F26" t="n">
        <x:f>E26*('Data BLS'!D26/'Data BLS'!C26)^(6/10)</x:f>
        <x:v>5.735436291906698</x:v>
      </x:c>
      <x:c r="G26" t="n">
        <x:f>'Data BEA'!C26*(IF('Data BLS'!E26="Excluded",0,IF('Data BLS'!E26="Partial",'02 Assumptions'!$B$22,1)))*IF(C26="53",'02 Assumptions'!$B$23,1)</x:f>
        <x:v>557.005</x:v>
      </x:c>
      <x:c r="H26" s="32" t="n">
        <x:f>IF(E26=0,0,MIN(0.95,IF(ISNUMBER('Data Ramp Paid'!C26),'Data Ramp Paid'!C26,'Data Ramp Spend'!$C$11*IF(ISNUMBER('Data Census'!C26),('Data Census'!C26/'Data Census'!$D$8)^'02 Assumptions'!$B$10,1))))</x:f>
        <x:v>0.5613226</x:v>
      </x:c>
      <x:c r="I26" s="32" t="n">
        <x:f>MIN(0.98,H26*'02 Assumptions'!$B$11)</x:f>
        <x:v>0.5051903400000001</x:v>
      </x:c>
      <x:c r="J26" s="32" t="n">
        <x:f>MIN(0.98,1-(1-I26)*(1-'02 Assumptions'!$B$12)^6)</x:f>
        <x:v>0.6586457681914063</x:v>
      </x:c>
      <x:c r="K26" t="n">
        <x:f>IFERROR(G26*1000/E26,0)</x:f>
        <x:v>99288.14222845618</x:v>
      </x:c>
      <x:c r="L26" t="n">
        <x:f>IFERROR(K26/$AA$8,0)</x:f>
        <x:v>0.5325369636111428</x:v>
      </x:c>
      <x:c r="M26" t="n">
        <x:f>IF(E26=0,0,'Data Ramp Spend'!$C$8*'02 Assumptions'!$B$8*'02 Assumptions'!$B$9*MIN(2,MAX(0.5,L26^'02 Assumptions'!$B$13)))</x:f>
        <x:v>25.568528979735845</x:v>
      </x:c>
      <x:c r="N26" s="32" t="n">
        <x:f>IF('02 Assumptions'!$B$24=1,'Data OECD Mapping'!C26,IF('02 Assumptions'!$B$24=2,'Data OECD Mapping'!D26,'Data OECD Mapping'!E26))</x:f>
        <x:v>0.021124568954110145</x:v>
      </x:c>
      <x:c r="O26" t="n">
        <x:f>(1+'02 Assumptions'!$B$19)^(6*'02 Assumptions'!$B$20)</x:f>
        <x:v>1.018026892722934</x:v>
      </x:c>
      <x:c r="P26" t="n">
        <x:f>(1+N26)^(6/10*'02 Assumptions'!$B$21)</x:f>
        <x:v>1</x:v>
      </x:c>
      <x:c r="Q26" t="n">
        <x:f>(1+'02 Assumptions'!$B$15)^6*(1-'02 Assumptions'!$B$16)^(6*(1-'02 Assumptions'!$B$17))</x:f>
        <x:v>0.9130865132942924</x:v>
      </x:c>
      <x:c r="R26" s="40" t="n">
        <x:f>F26*J26*M26*12/1000*(1-'02 Assumptions'!$B$14)*O26*P26*(1+'02 Assumptions'!$B$18)^6</x:f>
        <x:v>0.6078983718834261</x:v>
      </x:c>
      <x:c r="S26" s="40" t="n">
        <x:f>F26*J26*M26*12/1000*'02 Assumptions'!$B$14*O26*P26*Q26</x:f>
        <x:v>0.5386994570047373</x:v>
      </x:c>
      <x:c r="T26" s="40" t="n">
        <x:f>SUM(R26:S26)</x:f>
        <x:v>1.1465978288881633</x:v>
      </x:c>
    </x:row>
    <x:row r="27">
      <x:c r="A27" t="n">
        <x:f>1</x:f>
        <x:v>1</x:v>
      </x:c>
      <x:c r="B27" t="str">
        <x:f>"Bear"</x:f>
        <x:v>Bear</x:v>
      </x:c>
      <x:c r="C27" t="str">
        <x:f>'Data BLS'!A27</x:f>
        <x:v>Gov</x:v>
      </x:c>
      <x:c r="D27" t="str">
        <x:f>'Data BLS'!B27</x:f>
        <x:v>Federal and State/Local Government</x:v>
      </x:c>
      <x:c r="E27" t="n">
        <x:f>'Data BLS'!C27/1000*('Data BLS'!D27/'Data BLS'!C27)^(1/10)*(IF('Data BLS'!E27="Excluded",0,IF('Data BLS'!E27="Partial",'02 Assumptions'!$B$22,1)))</x:f>
        <x:v>0</x:v>
      </x:c>
      <x:c r="F27" t="n">
        <x:f>E27*('Data BLS'!D27/'Data BLS'!C27)^(6/10)</x:f>
        <x:v>0</x:v>
      </x:c>
      <x:c r="G27" t="n">
        <x:f>'Data BEA'!C27*(IF('Data BLS'!E27="Excluded",0,IF('Data BLS'!E27="Partial",'02 Assumptions'!$B$22,1)))*IF(C27="53",'02 Assumptions'!$B$23,1)</x:f>
        <x:v>0</x:v>
      </x:c>
      <x:c r="H27" s="32" t="n">
        <x:f>IF(E27=0,0,MIN(0.95,IF(ISNUMBER('Data Ramp Paid'!C27),'Data Ramp Paid'!C27,'Data Ramp Spend'!$C$11*IF(ISNUMBER('Data Census'!C27),('Data Census'!C27/'Data Census'!$D$8)^'02 Assumptions'!$B$10,1))))</x:f>
        <x:v>0</x:v>
      </x:c>
      <x:c r="I27" s="32" t="n">
        <x:f>MIN(0.98,H27*'02 Assumptions'!$B$11)</x:f>
        <x:v>0</x:v>
      </x:c>
      <x:c r="J27" s="32" t="n">
        <x:f>IF(F27=0,0,MIN(0.98,1-(1-I27)*(1-'02 Assumptions'!$B$12)^6))</x:f>
        <x:v>0</x:v>
      </x:c>
      <x:c r="K27" t="n">
        <x:f>IFERROR(G27*1000/E27,0)</x:f>
        <x:v>0</x:v>
      </x:c>
      <x:c r="L27" t="n">
        <x:f>IFERROR(K27/$AA$8,0)</x:f>
        <x:v>0</x:v>
      </x:c>
      <x:c r="M27" t="n">
        <x:f>IF(E27=0,0,'Data Ramp Spend'!$C$8*'02 Assumptions'!$B$8*'02 Assumptions'!$B$9*MIN(2,MAX(0.5,L27^'02 Assumptions'!$B$13)))</x:f>
        <x:v>0</x:v>
      </x:c>
      <x:c r="N27" s="32" t="n">
        <x:f>IF('02 Assumptions'!$B$24=1,'Data OECD Mapping'!C27,IF('02 Assumptions'!$B$24=2,'Data OECD Mapping'!D27,'Data OECD Mapping'!E27))</x:f>
        <x:v>0</x:v>
      </x:c>
      <x:c r="O27" t="n">
        <x:f>(1+'02 Assumptions'!$B$19)^(6*'02 Assumptions'!$B$20)</x:f>
        <x:v>1.018026892722934</x:v>
      </x:c>
      <x:c r="P27" t="n">
        <x:f>(1+N27)^(6/10*'02 Assumptions'!$B$21)</x:f>
        <x:v>1</x:v>
      </x:c>
      <x:c r="Q27" t="n">
        <x:f>(1+'02 Assumptions'!$B$15)^6*(1-'02 Assumptions'!$B$16)^(6*(1-'02 Assumptions'!$B$17))</x:f>
        <x:v>0.9130865132942924</x:v>
      </x:c>
      <x:c r="R27" s="40" t="n">
        <x:f>F27*J27*M27*12/1000*(1-'02 Assumptions'!$B$14)*O27*P27*(1+'02 Assumptions'!$B$18)^6</x:f>
        <x:v>0</x:v>
      </x:c>
      <x:c r="S27" s="40" t="n">
        <x:f>F27*J27*M27*12/1000*'02 Assumptions'!$B$14*O27*P27*Q27</x:f>
        <x:v>0</x:v>
      </x:c>
      <x:c r="T27" s="40" t="n">
        <x:f>SUM(R27:S27)</x:f>
        <x:v>0</x:v>
      </x:c>
    </x:row>
    <x:row r="28">
      <x:c r="A28" t="n">
        <x:f>2</x:f>
        <x:v>2</x:v>
      </x:c>
      <x:c r="B28" t="str">
        <x:f>"Base"</x:f>
        <x:v>Base</x:v>
      </x:c>
      <x:c r="C28" t="str">
        <x:f>'Data BLS'!A8</x:f>
        <x:v>11</x:v>
      </x:c>
      <x:c r="D28" t="str">
        <x:f>'Data BLS'!B8</x:f>
        <x:v>Agriculture, Forestry, Fishing and Hunting</x:v>
      </x:c>
      <x:c r="E28" t="n">
        <x:f>'Data BLS'!C8/1000*('Data BLS'!D8/'Data BLS'!C8)^(1/10)*(IF('Data BLS'!E8="Excluded",0,IF('Data BLS'!E8="Partial",'02 Assumptions'!$C$22,1)))</x:f>
        <x:v>0</x:v>
      </x:c>
      <x:c r="F28" t="n">
        <x:f>E28*('Data BLS'!D8/'Data BLS'!C8)^(6/10)</x:f>
        <x:v>0</x:v>
      </x:c>
      <x:c r="G28" t="n">
        <x:f>'Data BEA'!C8*(IF('Data BLS'!E8="Excluded",0,IF('Data BLS'!E8="Partial",'02 Assumptions'!$C$22,1)))*IF(C28="53",'02 Assumptions'!$C$23,1)</x:f>
        <x:v>0</x:v>
      </x:c>
      <x:c r="H28" s="32" t="n">
        <x:f>IF(E28=0,0,MIN(0.95,IF(ISNUMBER('Data Ramp Paid'!C8),'Data Ramp Paid'!C8,'Data Ramp Spend'!$C$11*IF(ISNUMBER('Data Census'!C8),('Data Census'!C8/'Data Census'!$D$8)^'02 Assumptions'!$C$10,1))))</x:f>
        <x:v>0</x:v>
      </x:c>
      <x:c r="I28" s="32" t="n">
        <x:f>MIN(0.98,H28*'02 Assumptions'!$C$11)</x:f>
        <x:v>0</x:v>
      </x:c>
      <x:c r="J28" s="32" t="n">
        <x:f>IF(F28=0,0,MIN(0.98,1-(1-I28)*(1-'02 Assumptions'!$C$12)^6))</x:f>
        <x:v>0</x:v>
      </x:c>
      <x:c r="K28" t="n">
        <x:f>IFERROR(G28*1000/E28,0)</x:f>
        <x:v>0</x:v>
      </x:c>
      <x:c r="L28" t="n">
        <x:f>IFERROR(K28/$AA$9,0)</x:f>
        <x:v>0</x:v>
      </x:c>
      <x:c r="M28" t="n">
        <x:f>IF(E28=0,0,'Data Ramp Spend'!$C$8*'02 Assumptions'!$C$8*'02 Assumptions'!$C$9*MIN(2,MAX(0.5,L28^'02 Assumptions'!$C$13)))</x:f>
        <x:v>0</x:v>
      </x:c>
      <x:c r="N28" s="32" t="n">
        <x:f>IF('02 Assumptions'!$C$24=1,'Data OECD Mapping'!C8,IF('02 Assumptions'!$C$24=2,'Data OECD Mapping'!D8,'Data OECD Mapping'!E8))</x:f>
        <x:v>0.026305426843464375</x:v>
      </x:c>
      <x:c r="O28" t="n">
        <x:f>(1+'02 Assumptions'!$C$19)^(6*'02 Assumptions'!$C$20)</x:f>
        <x:v>1.0610534869788768</x:v>
      </x:c>
      <x:c r="P28" t="n">
        <x:f>(1+N28)^(6/10*'02 Assumptions'!$C$21)</x:f>
        <x:v>1.0046847091965965</x:v>
      </x:c>
      <x:c r="Q28" t="n">
        <x:f>(1+'02 Assumptions'!$C$15)^6*(1-'02 Assumptions'!$C$16)^(6*(1-'02 Assumptions'!$C$17))</x:f>
        <x:v>5.588326053522395</x:v>
      </x:c>
      <x:c r="R28" s="40" t="n">
        <x:f>F28*J28*M28*12/1000*(1-'02 Assumptions'!$C$14)*O28*P28*(1+'02 Assumptions'!$C$18)^6</x:f>
        <x:v>0</x:v>
      </x:c>
      <x:c r="S28" s="40" t="n">
        <x:f>F28*J28*M28*12/1000*'02 Assumptions'!$C$14*O28*P28*Q28</x:f>
        <x:v>0</x:v>
      </x:c>
      <x:c r="T28" s="40" t="n">
        <x:f>SUM(R28:S28)</x:f>
        <x:v>0</x:v>
      </x:c>
    </x:row>
    <x:row r="29">
      <x:c r="A29" t="n">
        <x:f>2</x:f>
        <x:v>2</x:v>
      </x:c>
      <x:c r="B29" t="str">
        <x:f>"Base"</x:f>
        <x:v>Base</x:v>
      </x:c>
      <x:c r="C29" t="str">
        <x:f>'Data BLS'!A9</x:f>
        <x:v>21</x:v>
      </x:c>
      <x:c r="D29" t="str">
        <x:f>'Data BLS'!B9</x:f>
        <x:v>Mining, Quarrying, Oil and Gas Extraction</x:v>
      </x:c>
      <x:c r="E29" t="n">
        <x:f>'Data BLS'!C9/1000*('Data BLS'!D9/'Data BLS'!C9)^(1/10)*(IF('Data BLS'!E9="Excluded",0,IF('Data BLS'!E9="Partial",'02 Assumptions'!$C$22,1)))</x:f>
        <x:v>0.5738788716893184</x:v>
      </x:c>
      <x:c r="F29" t="n">
        <x:f>E29*('Data BLS'!D9/'Data BLS'!C9)^(6/10)</x:f>
        <x:v>0.576157363795794</x:v>
      </x:c>
      <x:c r="G29" t="n">
        <x:f>'Data BEA'!C9*(IF('Data BLS'!E9="Excluded",0,IF('Data BLS'!E9="Partial",'02 Assumptions'!$C$22,1)))*IF(C29="53",'02 Assumptions'!$C$23,1)</x:f>
        <x:v>517.8</x:v>
      </x:c>
      <x:c r="H29" s="32" t="n">
        <x:f>IF(E29=0,0,MIN(0.95,IF(ISNUMBER('Data Ramp Paid'!C9),'Data Ramp Paid'!C9,'Data Ramp Spend'!$C$11*IF(ISNUMBER('Data Census'!C9),('Data Census'!C9/'Data Census'!$D$8)^'02 Assumptions'!$C$10,1))))</x:f>
        <x:v>0.5613226</x:v>
      </x:c>
      <x:c r="I29" s="32" t="n">
        <x:f>MIN(0.98,H29*'02 Assumptions'!$C$11)</x:f>
        <x:v>0.5613226</x:v>
      </x:c>
      <x:c r="J29" s="32" t="n">
        <x:f>MIN(0.98,1-(1-I29)*(1-'02 Assumptions'!$C$12)^6)</x:f>
        <x:v>0.7668688438665999</x:v>
      </x:c>
      <x:c r="K29" t="n">
        <x:f>IFERROR(G29*1000/E29,0)</x:f>
        <x:v>902280.9961198956</x:v>
      </x:c>
      <x:c r="L29" t="n">
        <x:f>IFERROR(K29/$AA$9,0)</x:f>
        <x:v>4.739200303219479</x:v>
      </x:c>
      <x:c r="M29" t="n">
        <x:f>IF(E29=0,0,'Data Ramp Spend'!$C$8*'02 Assumptions'!$C$8*'02 Assumptions'!$C$9*MIN(2,MAX(0.5,L29^'02 Assumptions'!$C$13)))</x:f>
        <x:v>144.21605034049728</x:v>
      </x:c>
      <x:c r="N29" s="32" t="n">
        <x:f>IF('02 Assumptions'!$C$24=1,'Data OECD Mapping'!C9,IF('02 Assumptions'!$C$24=2,'Data OECD Mapping'!D9,'Data OECD Mapping'!E9))</x:f>
        <x:v>0.04161053771773974</x:v>
      </x:c>
      <x:c r="O29" t="n">
        <x:f>(1+'02 Assumptions'!$C$19)^(6*'02 Assumptions'!$C$20)</x:f>
        <x:v>1.0610534869788768</x:v>
      </x:c>
      <x:c r="P29" t="n">
        <x:f>(1+N29)^(6/10*'02 Assumptions'!$C$21)</x:f>
        <x:v>1.0073652506793935</x:v>
      </x:c>
      <x:c r="Q29" t="n">
        <x:f>(1+'02 Assumptions'!$C$15)^6*(1-'02 Assumptions'!$C$16)^(6*(1-'02 Assumptions'!$C$17))</x:f>
        <x:v>5.588326053522395</x:v>
      </x:c>
      <x:c r="R29" s="40" t="n">
        <x:f>F29*J29*M29*12/1000*(1-'02 Assumptions'!$C$14)*O29*P29*(1+'02 Assumptions'!$C$18)^6</x:f>
        <x:v>0.36816484663081206</x:v>
      </x:c>
      <x:c r="S29" s="40" t="n">
        <x:f>F29*J29*M29*12/1000*'02 Assumptions'!$C$14*O29*P29*Q29</x:f>
        <x:v>2.7404020537676974</x:v>
      </x:c>
      <x:c r="T29" s="40" t="n">
        <x:f>SUM(R29:S29)</x:f>
        <x:v>3.1085669003985092</x:v>
      </x:c>
    </x:row>
    <x:row r="30">
      <x:c r="A30" t="n">
        <x:f>2</x:f>
        <x:v>2</x:v>
      </x:c>
      <x:c r="B30" t="str">
        <x:f>"Base"</x:f>
        <x:v>Base</x:v>
      </x:c>
      <x:c r="C30" t="str">
        <x:f>'Data BLS'!A10</x:f>
        <x:v>22</x:v>
      </x:c>
      <x:c r="D30" t="str">
        <x:f>'Data BLS'!B10</x:f>
        <x:v>Utilities</x:v>
      </x:c>
      <x:c r="E30" t="n">
        <x:f>'Data BLS'!C10/1000*('Data BLS'!D10/'Data BLS'!C10)^(1/10)*(IF('Data BLS'!E10="Excluded",0,IF('Data BLS'!E10="Partial",'02 Assumptions'!$C$22,1)))</x:f>
        <x:v>0.6069362216427999</x:v>
      </x:c>
      <x:c r="F30" t="n">
        <x:f>E30*('Data BLS'!D10/'Data BLS'!C10)^(6/10)</x:f>
        <x:v>0.6418804879373384</x:v>
      </x:c>
      <x:c r="G30" t="n">
        <x:f>'Data BEA'!C10*(IF('Data BLS'!E10="Excluded",0,IF('Data BLS'!E10="Partial",'02 Assumptions'!$C$22,1)))*IF(C30="53",'02 Assumptions'!$C$23,1)</x:f>
        <x:v>531.9</x:v>
      </x:c>
      <x:c r="H30" s="32" t="n">
        <x:f>IF(E30=0,0,MIN(0.95,IF(ISNUMBER('Data Ramp Paid'!C10),'Data Ramp Paid'!C10,'Data Ramp Spend'!$C$11*IF(ISNUMBER('Data Census'!C10),('Data Census'!C10/'Data Census'!$D$8)^'02 Assumptions'!$C$10,1))))</x:f>
        <x:v>0.5613226</x:v>
      </x:c>
      <x:c r="I30" s="32" t="n">
        <x:f>MIN(0.98,H30*'02 Assumptions'!$C$11)</x:f>
        <x:v>0.5613226</x:v>
      </x:c>
      <x:c r="J30" s="32" t="n">
        <x:f>MIN(0.98,1-(1-I30)*(1-'02 Assumptions'!$C$12)^6)</x:f>
        <x:v>0.7668688438665999</x:v>
      </x:c>
      <x:c r="K30" t="n">
        <x:f>IFERROR(G30*1000/E30,0)</x:f>
        <x:v>876368.852332295</x:v>
      </x:c>
      <x:c r="L30" t="n">
        <x:f>IFERROR(K30/$AA$9,0)</x:f>
        <x:v>4.603097647590738</x:v>
      </x:c>
      <x:c r="M30" t="n">
        <x:f>IF(E30=0,0,'Data Ramp Spend'!$C$8*'02 Assumptions'!$C$8*'02 Assumptions'!$C$9*MIN(2,MAX(0.5,L30^'02 Assumptions'!$C$13)))</x:f>
        <x:v>143.37803430608625</x:v>
      </x:c>
      <x:c r="N30" s="32" t="n">
        <x:f>IF('02 Assumptions'!$C$24=1,'Data OECD Mapping'!C10,IF('02 Assumptions'!$C$24=2,'Data OECD Mapping'!D10,'Data OECD Mapping'!E10))</x:f>
        <x:v>0.0485636442899704</x:v>
      </x:c>
      <x:c r="O30" t="n">
        <x:f>(1+'02 Assumptions'!$C$19)^(6*'02 Assumptions'!$C$20)</x:f>
        <x:v>1.0610534869788768</x:v>
      </x:c>
      <x:c r="P30" t="n">
        <x:f>(1+N30)^(6/10*'02 Assumptions'!$C$21)</x:f>
        <x:v>1.0085723626317502</x:v>
      </x:c>
      <x:c r="Q30" t="n">
        <x:f>(1+'02 Assumptions'!$C$15)^6*(1-'02 Assumptions'!$C$16)^(6*(1-'02 Assumptions'!$C$17))</x:f>
        <x:v>5.588326053522395</x:v>
      </x:c>
      <x:c r="R30" s="40" t="n">
        <x:f>F30*J30*M30*12/1000*(1-'02 Assumptions'!$C$14)*O30*P30*(1+'02 Assumptions'!$C$18)^6</x:f>
        <x:v>0.4082672071572204</x:v>
      </x:c>
      <x:c r="S30" s="40" t="n">
        <x:f>F30*J30*M30*12/1000*'02 Assumptions'!$C$14*O30*P30*Q30</x:f>
        <x:v>3.038900381767232</x:v>
      </x:c>
      <x:c r="T30" s="40" t="n">
        <x:f>SUM(R30:S30)</x:f>
        <x:v>3.4471675889244526</x:v>
      </x:c>
    </x:row>
    <x:row r="31">
      <x:c r="A31" t="n">
        <x:f>2</x:f>
        <x:v>2</x:v>
      </x:c>
      <x:c r="B31" t="str">
        <x:f>"Base"</x:f>
        <x:v>Base</x:v>
      </x:c>
      <x:c r="C31" t="str">
        <x:f>'Data BLS'!A11</x:f>
        <x:v>23</x:v>
      </x:c>
      <x:c r="D31" t="str">
        <x:f>'Data BLS'!B11</x:f>
        <x:v>Construction</x:v>
      </x:c>
      <x:c r="E31" t="n">
        <x:f>'Data BLS'!C11/1000*('Data BLS'!D11/'Data BLS'!C11)^(1/10)*(IF('Data BLS'!E11="Excluded",0,IF('Data BLS'!E11="Partial",'02 Assumptions'!$C$22,1)))</x:f>
        <x:v>8.306879704576057</x:v>
      </x:c>
      <x:c r="F31" t="n">
        <x:f>E31*('Data BLS'!D11/'Data BLS'!C11)^(6/10)</x:f>
        <x:v>8.552092418069961</x:v>
      </x:c>
      <x:c r="G31" t="n">
        <x:f>'Data BEA'!C11*(IF('Data BLS'!E11="Excluded",0,IF('Data BLS'!E11="Partial",'02 Assumptions'!$C$22,1)))*IF(C31="53",'02 Assumptions'!$C$23,1)</x:f>
        <x:v>1373.7</x:v>
      </x:c>
      <x:c r="H31" s="32" t="n">
        <x:f>IF(E31=0,0,MIN(0.95,IF(ISNUMBER('Data Ramp Paid'!C11),'Data Ramp Paid'!C11,'Data Ramp Spend'!$C$11*IF(ISNUMBER('Data Census'!C11),('Data Census'!C11/'Data Census'!$D$8)^'02 Assumptions'!$C$10,1))))</x:f>
        <x:v>0.4217687</x:v>
      </x:c>
      <x:c r="I31" s="32" t="n">
        <x:f>MIN(0.98,H31*'02 Assumptions'!$C$11)</x:f>
        <x:v>0.4217687</x:v>
      </x:c>
      <x:c r="J31" s="32" t="n">
        <x:f>MIN(0.98,1-(1-I31)*(1-'02 Assumptions'!$C$12)^6)</x:f>
        <x:v>0.6927041796967</x:v>
      </x:c>
      <x:c r="K31" t="n">
        <x:f>IFERROR(G31*1000/E31,0)</x:f>
        <x:v>165368.95306708995</x:v>
      </x:c>
      <x:c r="L31" t="n">
        <x:f>IFERROR(K31/$AA$9,0)</x:f>
        <x:v>0.868594812357657</x:v>
      </x:c>
      <x:c r="M31" t="n">
        <x:f>IF(E31=0,0,'Data Ramp Spend'!$C$8*'02 Assumptions'!$C$8*'02 Assumptions'!$C$9*MIN(2,MAX(0.5,L31^'02 Assumptions'!$C$13)))</x:f>
        <x:v>102.71551089956172</x:v>
      </x:c>
      <x:c r="N31" s="32" t="n">
        <x:f>IF('02 Assumptions'!$C$24=1,'Data OECD Mapping'!C11,IF('02 Assumptions'!$C$24=2,'Data OECD Mapping'!D11,'Data OECD Mapping'!E11))</x:f>
        <x:v>0.035397544503211975</x:v>
      </x:c>
      <x:c r="O31" t="n">
        <x:f>(1+'02 Assumptions'!$C$19)^(6*'02 Assumptions'!$C$20)</x:f>
        <x:v>1.0610534869788768</x:v>
      </x:c>
      <x:c r="P31" t="n">
        <x:f>(1+N31)^(6/10*'02 Assumptions'!$C$21)</x:f>
        <x:v>1.0062810251363545</x:v>
      </x:c>
      <x:c r="Q31" t="n">
        <x:f>(1+'02 Assumptions'!$C$15)^6*(1-'02 Assumptions'!$C$16)^(6*(1-'02 Assumptions'!$C$17))</x:f>
        <x:v>5.588326053522395</x:v>
      </x:c>
      <x:c r="R31" s="40" t="n">
        <x:f>F31*J31*M31*12/1000*(1-'02 Assumptions'!$C$14)*O31*P31*(1+'02 Assumptions'!$C$18)^6</x:f>
        <x:v>3.5120044102418575</x:v>
      </x:c>
      <x:c r="S31" s="40" t="n">
        <x:f>F31*J31*M31*12/1000*'02 Assumptions'!$C$14*O31*P31*Q31</x:f>
        <x:v>26.141290203947825</x:v>
      </x:c>
      <x:c r="T31" s="40" t="n">
        <x:f>SUM(R31:S31)</x:f>
        <x:v>29.653294614189683</x:v>
      </x:c>
    </x:row>
    <x:row r="32">
      <x:c r="A32" t="n">
        <x:f>2</x:f>
        <x:v>2</x:v>
      </x:c>
      <x:c r="B32" t="str">
        <x:f>"Base"</x:f>
        <x:v>Base</x:v>
      </x:c>
      <x:c r="C32" t="str">
        <x:f>'Data BLS'!A12</x:f>
        <x:v>31-33</x:v>
      </x:c>
      <x:c r="D32" t="str">
        <x:f>'Data BLS'!B12</x:f>
        <x:v>Manufacturing</x:v>
      </x:c>
      <x:c r="E32" t="n">
        <x:f>'Data BLS'!C12/1000*('Data BLS'!D12/'Data BLS'!C12)^(1/10)*(IF('Data BLS'!E12="Excluded",0,IF('Data BLS'!E12="Partial",'02 Assumptions'!$C$22,1)))</x:f>
        <x:v>12.640891550423058</x:v>
      </x:c>
      <x:c r="F32" t="n">
        <x:f>E32*('Data BLS'!D12/'Data BLS'!C12)^(6/10)</x:f>
        <x:v>12.684126901967796</x:v>
      </x:c>
      <x:c r="G32" t="n">
        <x:f>'Data BEA'!C12*(IF('Data BLS'!E12="Excluded",0,IF('Data BLS'!E12="Partial",'02 Assumptions'!$C$22,1)))*IF(C32="53",'02 Assumptions'!$C$23,1)</x:f>
        <x:v>3168.1</x:v>
      </x:c>
      <x:c r="H32" s="32" t="n">
        <x:f>IF(E32=0,0,MIN(0.95,IF(ISNUMBER('Data Ramp Paid'!C12),'Data Ramp Paid'!C12,'Data Ramp Spend'!$C$11*IF(ISNUMBER('Data Census'!C12),('Data Census'!C12/'Data Census'!$D$8)^'02 Assumptions'!$C$10,1))))</x:f>
        <x:v>0.6105223</x:v>
      </x:c>
      <x:c r="I32" s="32" t="n">
        <x:f>MIN(0.98,H32*'02 Assumptions'!$C$11)</x:f>
        <x:v>0.6105223</x:v>
      </x:c>
      <x:c r="J32" s="32" t="n">
        <x:f>MIN(0.98,1-(1-I32)*(1-'02 Assumptions'!$C$12)^6)</x:f>
        <x:v>0.7930155816342999</x:v>
      </x:c>
      <x:c r="K32" t="n">
        <x:f>IFERROR(G32*1000/E32,0)</x:f>
        <x:v>250623.14531873126</x:v>
      </x:c>
      <x:c r="L32" t="n">
        <x:f>IFERROR(K32/$AA$9,0)</x:f>
        <x:v>1.3163895631140186</x:v>
      </x:c>
      <x:c r="M32" t="n">
        <x:f>IF(E32=0,0,'Data Ramp Spend'!$C$8*'02 Assumptions'!$C$8*'02 Assumptions'!$C$9*MIN(2,MAX(0.5,L32^'02 Assumptions'!$C$13)))</x:f>
        <x:v>111.62191536298072</x:v>
      </x:c>
      <x:c r="N32" s="32" t="n">
        <x:f>IF('02 Assumptions'!$C$24=1,'Data OECD Mapping'!C12,IF('02 Assumptions'!$C$24=2,'Data OECD Mapping'!D12,'Data OECD Mapping'!E12))</x:f>
        <x:v>0.04569188560194829</x:v>
      </x:c>
      <x:c r="O32" t="n">
        <x:f>(1+'02 Assumptions'!$C$19)^(6*'02 Assumptions'!$C$20)</x:f>
        <x:v>1.0610534869788768</x:v>
      </x:c>
      <x:c r="P32" t="n">
        <x:f>(1+N32)^(6/10*'02 Assumptions'!$C$21)</x:f>
        <x:v>1.008074601572245</x:v>
      </x:c>
      <x:c r="Q32" t="n">
        <x:f>(1+'02 Assumptions'!$C$15)^6*(1-'02 Assumptions'!$C$16)^(6*(1-'02 Assumptions'!$C$17))</x:f>
        <x:v>5.588326053522395</x:v>
      </x:c>
      <x:c r="R32" s="40" t="n">
        <x:f>F32*J32*M32*12/1000*(1-'02 Assumptions'!$C$14)*O32*P32*(1+'02 Assumptions'!$C$18)^6</x:f>
        <x:v>6.4917828949942935</x:v>
      </x:c>
      <x:c r="S32" s="40" t="n">
        <x:f>F32*J32*M32*12/1000*'02 Assumptions'!$C$14*O32*P32*Q32</x:f>
        <x:v>48.321004411091714</x:v>
      </x:c>
      <x:c r="T32" s="40" t="n">
        <x:f>SUM(R32:S32)</x:f>
        <x:v>54.81278730608601</x:v>
      </x:c>
    </x:row>
    <x:row r="33">
      <x:c r="A33" t="n">
        <x:f>2</x:f>
        <x:v>2</x:v>
      </x:c>
      <x:c r="B33" t="str">
        <x:f>"Base"</x:f>
        <x:v>Base</x:v>
      </x:c>
      <x:c r="C33" t="str">
        <x:f>'Data BLS'!A13</x:f>
        <x:v>42</x:v>
      </x:c>
      <x:c r="D33" t="str">
        <x:f>'Data BLS'!B13</x:f>
        <x:v>Wholesale Trade</x:v>
      </x:c>
      <x:c r="E33" t="n">
        <x:f>'Data BLS'!C13/1000*('Data BLS'!D13/'Data BLS'!C13)^(1/10)*(IF('Data BLS'!E13="Excluded",0,IF('Data BLS'!E13="Partial",'02 Assumptions'!$C$22,1)))</x:f>
        <x:v>6.071905092422349</x:v>
      </x:c>
      <x:c r="F33" t="n">
        <x:f>E33*('Data BLS'!D13/'Data BLS'!C13)^(6/10)</x:f>
        <x:v>6.146870783785609</x:v>
      </x:c>
      <x:c r="G33" t="n">
        <x:f>'Data BEA'!C13*(IF('Data BLS'!E13="Excluded",0,IF('Data BLS'!E13="Partial",'02 Assumptions'!$C$22,1)))*IF(C33="53",'02 Assumptions'!$C$23,1)</x:f>
        <x:v>2087.5</x:v>
      </x:c>
      <x:c r="H33" s="32" t="n">
        <x:f>IF(E33=0,0,MIN(0.95,IF(ISNUMBER('Data Ramp Paid'!C13),'Data Ramp Paid'!C13,'Data Ramp Spend'!$C$11*IF(ISNUMBER('Data Census'!C13),('Data Census'!C13/'Data Census'!$D$8)^'02 Assumptions'!$C$10,1))))</x:f>
        <x:v>0.5613226</x:v>
      </x:c>
      <x:c r="I33" s="32" t="n">
        <x:f>MIN(0.98,H33*'02 Assumptions'!$C$11)</x:f>
        <x:v>0.5613226</x:v>
      </x:c>
      <x:c r="J33" s="32" t="n">
        <x:f>MIN(0.98,1-(1-I33)*(1-'02 Assumptions'!$C$12)^6)</x:f>
        <x:v>0.7668688438665999</x:v>
      </x:c>
      <x:c r="K33" t="n">
        <x:f>IFERROR(G33*1000/E33,0)</x:f>
        <x:v>343796.54626110184</x:v>
      </x:c>
      <x:c r="L33" t="n">
        <x:f>IFERROR(K33/$AA$9,0)</x:f>
        <x:v>1.8057796886923667</x:v>
      </x:c>
      <x:c r="M33" t="n">
        <x:f>IF(E33=0,0,'Data Ramp Spend'!$C$8*'02 Assumptions'!$C$8*'02 Assumptions'!$C$9*MIN(2,MAX(0.5,L33^'02 Assumptions'!$C$13)))</x:f>
        <x:v>118.90648391909023</x:v>
      </x:c>
      <x:c r="N33" s="32" t="n">
        <x:f>IF('02 Assumptions'!$C$24=1,'Data OECD Mapping'!C13,IF('02 Assumptions'!$C$24=2,'Data OECD Mapping'!D13,'Data OECD Mapping'!E13))</x:f>
        <x:v>0.05837578698992729</x:v>
      </x:c>
      <x:c r="O33" t="n">
        <x:f>(1+'02 Assumptions'!$C$19)^(6*'02 Assumptions'!$C$20)</x:f>
        <x:v>1.0610534869788768</x:v>
      </x:c>
      <x:c r="P33" t="n">
        <x:f>(1+N33)^(6/10*'02 Assumptions'!$C$21)</x:f>
        <x:v>1.010264706523338</x:v>
      </x:c>
      <x:c r="Q33" t="n">
        <x:f>(1+'02 Assumptions'!$C$15)^6*(1-'02 Assumptions'!$C$16)^(6*(1-'02 Assumptions'!$C$17))</x:f>
        <x:v>5.588326053522395</x:v>
      </x:c>
      <x:c r="R33" s="40" t="n">
        <x:f>F33*J33*M33*12/1000*(1-'02 Assumptions'!$C$14)*O33*P33*(1+'02 Assumptions'!$C$18)^6</x:f>
        <x:v>3.2478460911073275</x:v>
      </x:c>
      <x:c r="S33" s="40" t="n">
        <x:f>F33*J33*M33*12/1000*'02 Assumptions'!$C$14*O33*P33*Q33</x:f>
        <x:v>24.175051420151064</x:v>
      </x:c>
      <x:c r="T33" s="40" t="n">
        <x:f>SUM(R33:S33)</x:f>
        <x:v>27.42289751125839</x:v>
      </x:c>
    </x:row>
    <x:row r="34">
      <x:c r="A34" t="n">
        <x:f>2</x:f>
        <x:v>2</x:v>
      </x:c>
      <x:c r="B34" t="str">
        <x:f>"Base"</x:f>
        <x:v>Base</x:v>
      </x:c>
      <x:c r="C34" t="str">
        <x:f>'Data BLS'!A14</x:f>
        <x:v>44-45</x:v>
      </x:c>
      <x:c r="D34" t="str">
        <x:f>'Data BLS'!B14</x:f>
        <x:v>Retail Trade</x:v>
      </x:c>
      <x:c r="E34" t="n">
        <x:f>'Data BLS'!C14/1000*('Data BLS'!D14/'Data BLS'!C14)^(1/10)*(IF('Data BLS'!E14="Excluded",0,IF('Data BLS'!E14="Partial",'02 Assumptions'!$C$22,1)))</x:f>
        <x:v>15.43814779354277</x:v>
      </x:c>
      <x:c r="F34" t="n">
        <x:f>E34*('Data BLS'!D14/'Data BLS'!C14)^(6/10)</x:f>
        <x:v>15.421644853435005</x:v>
      </x:c>
      <x:c r="G34" t="n">
        <x:f>'Data BEA'!C14*(IF('Data BLS'!E14="Excluded",0,IF('Data BLS'!E14="Partial",'02 Assumptions'!$C$22,1)))*IF(C34="53",'02 Assumptions'!$C$23,1)</x:f>
        <x:v>1867.8</x:v>
      </x:c>
      <x:c r="H34" s="32" t="n">
        <x:f>IF(E34=0,0,MIN(0.95,IF(ISNUMBER('Data Ramp Paid'!C14),'Data Ramp Paid'!C14,'Data Ramp Spend'!$C$11*IF(ISNUMBER('Data Census'!C14),('Data Census'!C14/'Data Census'!$D$8)^'02 Assumptions'!$C$10,1))))</x:f>
        <x:v>0.4877451</x:v>
      </x:c>
      <x:c r="I34" s="32" t="n">
        <x:f>MIN(0.98,H34*'02 Assumptions'!$C$11)</x:f>
        <x:v>0.4877451</x:v>
      </x:c>
      <x:c r="J34" s="32" t="n">
        <x:f>MIN(0.98,1-(1-I34)*(1-'02 Assumptions'!$C$12)^6)</x:f>
        <x:v>0.7277667436890999</x:v>
      </x:c>
      <x:c r="K34" t="n">
        <x:f>IFERROR(G34*1000/E34,0)</x:f>
        <x:v>120986.01626169393</x:v>
      </x:c>
      <x:c r="L34" t="n">
        <x:f>IFERROR(K34/$AA$9,0)</x:f>
        <x:v>0.6354749434139098</x:v>
      </x:c>
      <x:c r="M34" t="n">
        <x:f>IF(E34=0,0,'Data Ramp Spend'!$C$8*'02 Assumptions'!$C$8*'02 Assumptions'!$C$9*MIN(2,MAX(0.5,L34^'02 Assumptions'!$C$13)))</x:f>
        <x:v>96.49221383995867</x:v>
      </x:c>
      <x:c r="N34" s="32" t="n">
        <x:f>IF('02 Assumptions'!$C$24=1,'Data OECD Mapping'!C14,IF('02 Assumptions'!$C$24=2,'Data OECD Mapping'!D14,'Data OECD Mapping'!E14))</x:f>
        <x:v>0.05837578698992729</x:v>
      </x:c>
      <x:c r="O34" t="n">
        <x:f>(1+'02 Assumptions'!$C$19)^(6*'02 Assumptions'!$C$20)</x:f>
        <x:v>1.0610534869788768</x:v>
      </x:c>
      <x:c r="P34" t="n">
        <x:f>(1+N34)^(6/10*'02 Assumptions'!$C$21)</x:f>
        <x:v>1.010264706523338</x:v>
      </x:c>
      <x:c r="Q34" t="n">
        <x:f>(1+'02 Assumptions'!$C$15)^6*(1-'02 Assumptions'!$C$16)^(6*(1-'02 Assumptions'!$C$17))</x:f>
        <x:v>5.588326053522395</x:v>
      </x:c>
      <x:c r="R34" s="40" t="n">
        <x:f>F34*J34*M34*12/1000*(1-'02 Assumptions'!$C$14)*O34*P34*(1+'02 Assumptions'!$C$18)^6</x:f>
        <x:v>6.275233641510573</x:v>
      </x:c>
      <x:c r="S34" s="40" t="n">
        <x:f>F34*J34*M34*12/1000*'02 Assumptions'!$C$14*O34*P34*Q34</x:f>
        <x:v>46.70913944239814</x:v>
      </x:c>
      <x:c r="T34" s="40" t="n">
        <x:f>SUM(R34:S34)</x:f>
        <x:v>52.984373083908714</x:v>
      </x:c>
    </x:row>
    <x:row r="35">
      <x:c r="A35" t="n">
        <x:f>2</x:f>
        <x:v>2</x:v>
      </x:c>
      <x:c r="B35" t="str">
        <x:f>"Base"</x:f>
        <x:v>Base</x:v>
      </x:c>
      <x:c r="C35" t="str">
        <x:f>'Data BLS'!A15</x:f>
        <x:v>48-49</x:v>
      </x:c>
      <x:c r="D35" t="str">
        <x:f>'Data BLS'!B15</x:f>
        <x:v>Transportation and Warehousing</x:v>
      </x:c>
      <x:c r="E35" t="n">
        <x:f>'Data BLS'!C15/1000*('Data BLS'!D15/'Data BLS'!C15)^(1/10)*(IF('Data BLS'!E15="Excluded",0,IF('Data BLS'!E15="Partial",'02 Assumptions'!$C$22,1)))</x:f>
        <x:v>6.3269471567058</x:v>
      </x:c>
      <x:c r="F35" t="n">
        <x:f>E35*('Data BLS'!D15/'Data BLS'!C15)^(6/10)</x:f>
        <x:v>6.444742462580418</x:v>
      </x:c>
      <x:c r="G35" t="n">
        <x:f>'Data BEA'!C15*(IF('Data BLS'!E15="Excluded",0,IF('Data BLS'!E15="Partial",'02 Assumptions'!$C$22,1)))*IF(C35="53",'02 Assumptions'!$C$23,1)</x:f>
        <x:v>998.5449999999998</x:v>
      </x:c>
      <x:c r="H35" s="32" t="n">
        <x:f>IF(E35=0,0,MIN(0.95,IF(ISNUMBER('Data Ramp Paid'!C15),'Data Ramp Paid'!C15,'Data Ramp Spend'!$C$11*IF(ISNUMBER('Data Census'!C15),('Data Census'!C15/'Data Census'!$D$8)^'02 Assumptions'!$C$10,1))))</x:f>
        <x:v>0.5613226</x:v>
      </x:c>
      <x:c r="I35" s="32" t="n">
        <x:f>MIN(0.98,H35*'02 Assumptions'!$C$11)</x:f>
        <x:v>0.5613226</x:v>
      </x:c>
      <x:c r="J35" s="32" t="n">
        <x:f>MIN(0.98,1-(1-I35)*(1-'02 Assumptions'!$C$12)^6)</x:f>
        <x:v>0.7668688438665999</x:v>
      </x:c>
      <x:c r="K35" t="n">
        <x:f>IFERROR(G35*1000/E35,0)</x:f>
        <x:v>157824.14097479268</x:v>
      </x:c>
      <x:c r="L35" t="n">
        <x:f>IFERROR(K35/$AA$9,0)</x:f>
        <x:v>0.8289659429596387</x:v>
      </x:c>
      <x:c r="M35" t="n">
        <x:f>IF(E35=0,0,'Data Ramp Spend'!$C$8*'02 Assumptions'!$C$8*'02 Assumptions'!$C$9*MIN(2,MAX(0.5,L35^'02 Assumptions'!$C$13)))</x:f>
        <x:v>101.76066164601345</x:v>
      </x:c>
      <x:c r="N35" s="32" t="n">
        <x:f>IF('02 Assumptions'!$C$24=1,'Data OECD Mapping'!C15,IF('02 Assumptions'!$C$24=2,'Data OECD Mapping'!D15,'Data OECD Mapping'!E15))</x:f>
        <x:v>0.044130042940378186</x:v>
      </x:c>
      <x:c r="O35" t="n">
        <x:f>(1+'02 Assumptions'!$C$19)^(6*'02 Assumptions'!$C$20)</x:f>
        <x:v>1.0610534869788768</x:v>
      </x:c>
      <x:c r="P35" t="n">
        <x:f>(1+N35)^(6/10*'02 Assumptions'!$C$21)</x:f>
        <x:v>1.007803417091612</x:v>
      </x:c>
      <x:c r="Q35" t="n">
        <x:f>(1+'02 Assumptions'!$C$15)^6*(1-'02 Assumptions'!$C$16)^(6*(1-'02 Assumptions'!$C$17))</x:f>
        <x:v>5.588326053522395</x:v>
      </x:c>
      <x:c r="R35" s="40" t="n">
        <x:f>F35*J35*M35*12/1000*(1-'02 Assumptions'!$C$14)*O35*P35*(1+'02 Assumptions'!$C$18)^6</x:f>
        <x:v>2.9071132765863963</x:v>
      </x:c>
      <x:c r="S35" s="40" t="n">
        <x:f>F35*J35*M35*12/1000*'02 Assumptions'!$C$14*O35*P35*Q35</x:f>
        <x:v>21.63883723988863</x:v>
      </x:c>
      <x:c r="T35" s="40" t="n">
        <x:f>SUM(R35:S35)</x:f>
        <x:v>24.545950516475028</x:v>
      </x:c>
    </x:row>
    <x:row r="36">
      <x:c r="A36" t="n">
        <x:f>2</x:f>
        <x:v>2</x:v>
      </x:c>
      <x:c r="B36" t="str">
        <x:f>"Base"</x:f>
        <x:v>Base</x:v>
      </x:c>
      <x:c r="C36" t="str">
        <x:f>'Data BLS'!A16</x:f>
        <x:v>51</x:v>
      </x:c>
      <x:c r="D36" t="str">
        <x:f>'Data BLS'!B16</x:f>
        <x:v>Information</x:v>
      </x:c>
      <x:c r="E36" t="n">
        <x:f>'Data BLS'!C16/1000*('Data BLS'!D16/'Data BLS'!C16)^(1/10)*(IF('Data BLS'!E16="Excluded",0,IF('Data BLS'!E16="Partial",'02 Assumptions'!$C$22,1)))</x:f>
        <x:v>2.876653021264812</x:v>
      </x:c>
      <x:c r="F36" t="n">
        <x:f>E36*('Data BLS'!D16/'Data BLS'!C16)^(6/10)</x:f>
        <x:v>2.9667820217101046</x:v>
      </x:c>
      <x:c r="G36" t="n">
        <x:f>'Data BEA'!C16*(IF('Data BLS'!E16="Excluded",0,IF('Data BLS'!E16="Partial",'02 Assumptions'!$C$22,1)))*IF(C36="53",'02 Assumptions'!$C$23,1)</x:f>
        <x:v>1916.3</x:v>
      </x:c>
      <x:c r="H36" s="32" t="n">
        <x:f>IF(E36=0,0,MIN(0.95,IF(ISNUMBER('Data Ramp Paid'!C16),'Data Ramp Paid'!C16,'Data Ramp Spend'!$C$11*IF(ISNUMBER('Data Census'!C16),('Data Census'!C16/'Data Census'!$D$8)^'02 Assumptions'!$C$10,1))))</x:f>
        <x:v>0.8092331</x:v>
      </x:c>
      <x:c r="I36" s="32" t="n">
        <x:f>MIN(0.98,H36*'02 Assumptions'!$C$11)</x:f>
        <x:v>0.8092331</x:v>
      </x:c>
      <x:c r="J36" s="32" t="n">
        <x:f>MIN(0.98,1-(1-I36)*(1-'02 Assumptions'!$C$12)^6)</x:f>
        <x:v>0.8986186478971</x:v>
      </x:c>
      <x:c r="K36" t="n">
        <x:f>IFERROR(G36*1000/E36,0)</x:f>
        <x:v>666156.114704942</x:v>
      </x:c>
      <x:c r="L36" t="n">
        <x:f>IFERROR(K36/$AA$9,0)</x:f>
        <x:v>3.4989623791008686</x:v>
      </x:c>
      <x:c r="M36" t="n">
        <x:f>IF(E36=0,0,'Data Ramp Spend'!$C$8*'02 Assumptions'!$C$8*'02 Assumptions'!$C$9*MIN(2,MAX(0.5,L36^'02 Assumptions'!$C$13)))</x:f>
        <x:v>135.72518396753694</x:v>
      </x:c>
      <x:c r="N36" s="32" t="n">
        <x:f>IF('02 Assumptions'!$C$24=1,'Data OECD Mapping'!C16,IF('02 Assumptions'!$C$24=2,'Data OECD Mapping'!D16,'Data OECD Mapping'!E16))</x:f>
        <x:v>0.08524361501137416</x:v>
      </x:c>
      <x:c r="O36" t="n">
        <x:f>(1+'02 Assumptions'!$C$19)^(6*'02 Assumptions'!$C$20)</x:f>
        <x:v>1.0610534869788768</x:v>
      </x:c>
      <x:c r="P36" t="n">
        <x:f>(1+N36)^(6/10*'02 Assumptions'!$C$21)</x:f>
        <x:v>1.0148337525786182</x:v>
      </x:c>
      <x:c r="Q36" t="n">
        <x:f>(1+'02 Assumptions'!$C$15)^6*(1-'02 Assumptions'!$C$16)^(6*(1-'02 Assumptions'!$C$17))</x:f>
        <x:v>5.588326053522395</x:v>
      </x:c>
      <x:c r="R36" s="40" t="n">
        <x:f>F36*J36*M36*12/1000*(1-'02 Assumptions'!$C$14)*O36*P36*(1+'02 Assumptions'!$C$18)^6</x:f>
        <x:v>2.106182268719915</x:v>
      </x:c>
      <x:c r="S36" s="40" t="n">
        <x:f>F36*J36*M36*12/1000*'02 Assumptions'!$C$14*O36*P36*Q36</x:f>
        <x:v>15.677179034414959</x:v>
      </x:c>
      <x:c r="T36" s="40" t="n">
        <x:f>SUM(R36:S36)</x:f>
        <x:v>17.783361303134875</x:v>
      </x:c>
    </x:row>
    <x:row r="37">
      <x:c r="A37" t="n">
        <x:f>2</x:f>
        <x:v>2</x:v>
      </x:c>
      <x:c r="B37" t="str">
        <x:f>"Base"</x:f>
        <x:v>Base</x:v>
      </x:c>
      <x:c r="C37" t="str">
        <x:f>'Data BLS'!A17</x:f>
        <x:v>52</x:v>
      </x:c>
      <x:c r="D37" t="str">
        <x:f>'Data BLS'!B17</x:f>
        <x:v>Finance and Insurance</x:v>
      </x:c>
      <x:c r="E37" t="n">
        <x:f>'Data BLS'!C17/1000*('Data BLS'!D17/'Data BLS'!C17)^(1/10)*(IF('Data BLS'!E17="Excluded",0,IF('Data BLS'!E17="Partial",'02 Assumptions'!$C$22,1)))</x:f>
        <x:v>6.416844627739605</x:v>
      </x:c>
      <x:c r="F37" t="n">
        <x:f>E37*('Data BLS'!D17/'Data BLS'!C17)^(6/10)</x:f>
        <x:v>6.504595555726045</x:v>
      </x:c>
      <x:c r="G37" t="n">
        <x:f>'Data BEA'!C17*(IF('Data BLS'!E17="Excluded",0,IF('Data BLS'!E17="Partial",'02 Assumptions'!$C$22,1)))*IF(C37="53",'02 Assumptions'!$C$23,1)</x:f>
        <x:v>2787.87</x:v>
      </x:c>
      <x:c r="H37" s="32" t="n">
        <x:f>IF(E37=0,0,MIN(0.95,IF(ISNUMBER('Data Ramp Paid'!C17),'Data Ramp Paid'!C17,'Data Ramp Spend'!$C$11*IF(ISNUMBER('Data Census'!C17),('Data Census'!C17/'Data Census'!$D$8)^'02 Assumptions'!$C$10,1))))</x:f>
        <x:v>0.7370507</x:v>
      </x:c>
      <x:c r="I37" s="32" t="n">
        <x:f>MIN(0.98,H37*'02 Assumptions'!$C$11)</x:f>
        <x:v>0.7370507</x:v>
      </x:c>
      <x:c r="J37" s="32" t="n">
        <x:f>MIN(0.98,1-(1-I37)*(1-'02 Assumptions'!$C$12)^6)</x:f>
        <x:v>0.8602579610586999</x:v>
      </x:c>
      <x:c r="K37" t="n">
        <x:f>IFERROR(G37*1000/E37,0)</x:f>
        <x:v>434461.19732246874</x:v>
      </x:c>
      <x:c r="L37" t="n">
        <x:f>IFERROR(K37/$AA$9,0)</x:f>
        <x:v>2.28199269068296</x:v>
      </x:c>
      <x:c r="M37" t="n">
        <x:f>IF(E37=0,0,'Data Ramp Spend'!$C$8*'02 Assumptions'!$C$8*'02 Assumptions'!$C$9*MIN(2,MAX(0.5,L37^'02 Assumptions'!$C$13)))</x:f>
        <x:v>124.6049898658694</x:v>
      </x:c>
      <x:c r="N37" s="32" t="n">
        <x:f>IF('02 Assumptions'!$C$24=1,'Data OECD Mapping'!C17,IF('02 Assumptions'!$C$24=2,'Data OECD Mapping'!D17,'Data OECD Mapping'!E17))</x:f>
        <x:v>0.09236955642700195</x:v>
      </x:c>
      <x:c r="O37" t="n">
        <x:f>(1+'02 Assumptions'!$C$19)^(6*'02 Assumptions'!$C$20)</x:f>
        <x:v>1.0610534869788768</x:v>
      </x:c>
      <x:c r="P37" t="n">
        <x:f>(1+N37)^(6/10*'02 Assumptions'!$C$21)</x:f>
        <x:v>1.0160299870231941</x:v>
      </x:c>
      <x:c r="Q37" t="n">
        <x:f>(1+'02 Assumptions'!$C$15)^6*(1-'02 Assumptions'!$C$16)^(6*(1-'02 Assumptions'!$C$17))</x:f>
        <x:v>5.588326053522395</x:v>
      </x:c>
      <x:c r="R37" s="40" t="n">
        <x:f>F37*J37*M37*12/1000*(1-'02 Assumptions'!$C$14)*O37*P37*(1+'02 Assumptions'!$C$18)^6</x:f>
        <x:v>4.0632215521908375</x:v>
      </x:c>
      <x:c r="S37" s="40" t="n">
        <x:f>F37*J37*M37*12/1000*'02 Assumptions'!$C$14*O37*P37*Q37</x:f>
        <x:v>30.24422561913617</x:v>
      </x:c>
      <x:c r="T37" s="40" t="n">
        <x:f>SUM(R37:S37)</x:f>
        <x:v>34.307447171327006</x:v>
      </x:c>
    </x:row>
    <x:row r="38">
      <x:c r="A38" t="n">
        <x:f>2</x:f>
        <x:v>2</x:v>
      </x:c>
      <x:c r="B38" t="str">
        <x:f>"Base"</x:f>
        <x:v>Base</x:v>
      </x:c>
      <x:c r="C38" t="str">
        <x:f>'Data BLS'!A18</x:f>
        <x:v>53</x:v>
      </x:c>
      <x:c r="D38" t="str">
        <x:f>'Data BLS'!B18</x:f>
        <x:v>Real Estate and Rental and Leasing</x:v>
      </x:c>
      <x:c r="E38" t="n">
        <x:f>'Data BLS'!C18/1000*('Data BLS'!D18/'Data BLS'!C18)^(1/10)*(IF('Data BLS'!E18="Excluded",0,IF('Data BLS'!E18="Partial",'02 Assumptions'!$C$22,1)))</x:f>
        <x:v>2.4648764480604</x:v>
      </x:c>
      <x:c r="F38" t="n">
        <x:f>E38*('Data BLS'!D18/'Data BLS'!C18)^(6/10)</x:f>
        <x:v>2.5145097910591607</x:v>
      </x:c>
      <x:c r="G38" t="n">
        <x:f>'Data BEA'!C18*(IF('Data BLS'!E18="Excluded",0,IF('Data BLS'!E18="Partial",'02 Assumptions'!$C$22,1)))*IF(C38="53",'02 Assumptions'!$C$23,1)</x:f>
        <x:v>1545.32</x:v>
      </x:c>
      <x:c r="H38" s="32" t="n">
        <x:f>IF(E38=0,0,MIN(0.95,IF(ISNUMBER('Data Ramp Paid'!C18),'Data Ramp Paid'!C18,'Data Ramp Spend'!$C$11*IF(ISNUMBER('Data Census'!C18),('Data Census'!C18/'Data Census'!$D$8)^'02 Assumptions'!$C$10,1))))</x:f>
        <x:v>0.5613226</x:v>
      </x:c>
      <x:c r="I38" s="32" t="n">
        <x:f>MIN(0.98,H38*'02 Assumptions'!$C$11)</x:f>
        <x:v>0.5613226</x:v>
      </x:c>
      <x:c r="J38" s="32" t="n">
        <x:f>MIN(0.98,1-(1-I38)*(1-'02 Assumptions'!$C$12)^6)</x:f>
        <x:v>0.7668688438665999</x:v>
      </x:c>
      <x:c r="K38" t="n">
        <x:f>IFERROR(G38*1000/E38,0)</x:f>
        <x:v>626936.0889126938</x:v>
      </x:c>
      <x:c r="L38" t="n">
        <x:f>IFERROR(K38/$AA$9,0)</x:f>
        <x:v>3.292960524993105</x:v>
      </x:c>
      <x:c r="M38" t="n">
        <x:f>IF(E38=0,0,'Data Ramp Spend'!$C$8*'02 Assumptions'!$C$8*'02 Assumptions'!$C$9*MIN(2,MAX(0.5,L38^'02 Assumptions'!$C$13)))</x:f>
        <x:v>134.08799266238282</x:v>
      </x:c>
      <x:c r="N38" s="32" t="n">
        <x:f>IF('02 Assumptions'!$C$24=1,'Data OECD Mapping'!C18,IF('02 Assumptions'!$C$24=2,'Data OECD Mapping'!D18,'Data OECD Mapping'!E18))</x:f>
        <x:v>0.06375886499881744</x:v>
      </x:c>
      <x:c r="O38" t="n">
        <x:f>(1+'02 Assumptions'!$C$19)^(6*'02 Assumptions'!$C$20)</x:f>
        <x:v>1.0610534869788768</x:v>
      </x:c>
      <x:c r="P38" t="n">
        <x:f>(1+N38)^(6/10*'02 Assumptions'!$C$21)</x:f>
        <x:v>1.0111876915630353</x:v>
      </x:c>
      <x:c r="Q38" t="n">
        <x:f>(1+'02 Assumptions'!$C$15)^6*(1-'02 Assumptions'!$C$16)^(6*(1-'02 Assumptions'!$C$17))</x:f>
        <x:v>5.588326053522395</x:v>
      </x:c>
      <x:c r="R38" s="40" t="n">
        <x:f>F38*J38*M38*12/1000*(1-'02 Assumptions'!$C$14)*O38*P38*(1+'02 Assumptions'!$C$18)^6</x:f>
        <x:v>1.4996006969097926</x:v>
      </x:c>
      <x:c r="S38" s="40" t="n">
        <x:f>F38*J38*M38*12/1000*'02 Assumptions'!$C$14*O38*P38*Q38</x:f>
        <x:v>11.162143445389816</x:v>
      </x:c>
      <x:c r="T38" s="40" t="n">
        <x:f>SUM(R38:S38)</x:f>
        <x:v>12.661744142299609</x:v>
      </x:c>
    </x:row>
    <x:row r="39">
      <x:c r="A39" t="n">
        <x:f>2</x:f>
        <x:v>2</x:v>
      </x:c>
      <x:c r="B39" t="str">
        <x:f>"Base"</x:f>
        <x:v>Base</x:v>
      </x:c>
      <x:c r="C39" t="str">
        <x:f>'Data BLS'!A19</x:f>
        <x:v>54</x:v>
      </x:c>
      <x:c r="D39" t="str">
        <x:f>'Data BLS'!B19</x:f>
        <x:v>Professional, Scientific and Technical Services</x:v>
      </x:c>
      <x:c r="E39" t="n">
        <x:f>'Data BLS'!C19/1000*('Data BLS'!D19/'Data BLS'!C19)^(1/10)*(IF('Data BLS'!E19="Excluded",0,IF('Data BLS'!E19="Partial",'02 Assumptions'!$C$22,1)))</x:f>
        <x:v>10.868468674762415</x:v>
      </x:c>
      <x:c r="F39" t="n">
        <x:f>E39*('Data BLS'!D19/'Data BLS'!C19)^(6/10)</x:f>
        <x:v>11.419821768112346</x:v>
      </x:c>
      <x:c r="G39" t="n">
        <x:f>'Data BEA'!C19*(IF('Data BLS'!E19="Excluded",0,IF('Data BLS'!E19="Partial",'02 Assumptions'!$C$22,1)))*IF(C39="53",'02 Assumptions'!$C$23,1)</x:f>
        <x:v>2593.3</x:v>
      </x:c>
      <x:c r="H39" s="32" t="n">
        <x:f>IF(E39=0,0,MIN(0.95,IF(ISNUMBER('Data Ramp Paid'!C19),'Data Ramp Paid'!C19,'Data Ramp Spend'!$C$11*IF(ISNUMBER('Data Census'!C19),('Data Census'!C19/'Data Census'!$D$8)^'02 Assumptions'!$C$10,1))))</x:f>
        <x:v>0.7571257167521065</x:v>
      </x:c>
      <x:c r="I39" s="32" t="n">
        <x:f>MIN(0.98,H39*'02 Assumptions'!$C$11)</x:f>
        <x:v>0.7571257167521065</x:v>
      </x:c>
      <x:c r="J39" s="32" t="n">
        <x:f>MIN(0.98,1-(1-I39)*(1-'02 Assumptions'!$C$12)^6)</x:f>
        <x:v>0.8709266480364561</x:v>
      </x:c>
      <x:c r="K39" t="n">
        <x:f>IFERROR(G39*1000/E39,0)</x:f>
        <x:v>238607.67120044073</x:v>
      </x:c>
      <x:c r="L39" t="n">
        <x:f>IFERROR(K39/$AA$9,0)</x:f>
        <x:v>1.2532786931859086</x:v>
      </x:c>
      <x:c r="M39" t="n">
        <x:f>IF(E39=0,0,'Data Ramp Spend'!$C$8*'02 Assumptions'!$C$8*'02 Assumptions'!$C$9*MIN(2,MAX(0.5,L39^'02 Assumptions'!$C$13)))</x:f>
        <x:v>110.53049517658319</x:v>
      </x:c>
      <x:c r="N39" s="32" t="n">
        <x:f>IF('02 Assumptions'!$C$24=1,'Data OECD Mapping'!C19,IF('02 Assumptions'!$C$24=2,'Data OECD Mapping'!D19,'Data OECD Mapping'!E19))</x:f>
        <x:v>0.0886613056063652</x:v>
      </x:c>
      <x:c r="O39" t="n">
        <x:f>(1+'02 Assumptions'!$C$19)^(6*'02 Assumptions'!$C$20)</x:f>
        <x:v>1.0610534869788768</x:v>
      </x:c>
      <x:c r="P39" t="n">
        <x:f>(1+N39)^(6/10*'02 Assumptions'!$C$21)</x:f>
        <x:v>1.0154082827816566</x:v>
      </x:c>
      <x:c r="Q39" t="n">
        <x:f>(1+'02 Assumptions'!$C$15)^6*(1-'02 Assumptions'!$C$16)^(6*(1-'02 Assumptions'!$C$17))</x:f>
        <x:v>5.588326053522395</x:v>
      </x:c>
      <x:c r="R39" s="40" t="n">
        <x:f>F39*J39*M39*12/1000*(1-'02 Assumptions'!$C$14)*O39*P39*(1+'02 Assumptions'!$C$18)^6</x:f>
        <x:v>6.402406828031926</x:v>
      </x:c>
      <x:c r="S39" s="40" t="n">
        <x:f>F39*J39*M39*12/1000*'02 Assumptions'!$C$14*O39*P39*Q39</x:f>
        <x:v>47.65574166343195</x:v>
      </x:c>
      <x:c r="T39" s="40" t="n">
        <x:f>SUM(R39:S39)</x:f>
        <x:v>54.058148491463875</x:v>
      </x:c>
    </x:row>
    <x:row r="40">
      <x:c r="A40" t="n">
        <x:f>2</x:f>
        <x:v>2</x:v>
      </x:c>
      <x:c r="B40" t="str">
        <x:f>"Base"</x:f>
        <x:v>Base</x:v>
      </x:c>
      <x:c r="C40" t="str">
        <x:f>'Data BLS'!A20</x:f>
        <x:v>55</x:v>
      </x:c>
      <x:c r="D40" t="str">
        <x:f>'Data BLS'!B20</x:f>
        <x:v>Management of Companies and Enterprises</x:v>
      </x:c>
      <x:c r="E40" t="n">
        <x:f>'Data BLS'!C20/1000*('Data BLS'!D20/'Data BLS'!C20)^(1/10)*(IF('Data BLS'!E20="Excluded",0,IF('Data BLS'!E20="Partial",'02 Assumptions'!$C$22,1)))</x:f>
        <x:v>2.634179619347046</x:v>
      </x:c>
      <x:c r="F40" t="n">
        <x:f>E40*('Data BLS'!D20/'Data BLS'!C20)^(6/10)</x:f>
        <x:v>2.6979422251742533</x:v>
      </x:c>
      <x:c r="G40" t="n">
        <x:f>'Data BEA'!C20*(IF('Data BLS'!E20="Excluded",0,IF('Data BLS'!E20="Partial",'02 Assumptions'!$C$22,1)))*IF(C40="53",'02 Assumptions'!$C$23,1)</x:f>
        <x:v>583.8</x:v>
      </x:c>
      <x:c r="H40" s="32" t="n">
        <x:f>IF(E40=0,0,MIN(0.95,IF(ISNUMBER('Data Ramp Paid'!C20),'Data Ramp Paid'!C20,'Data Ramp Spend'!$C$11*IF(ISNUMBER('Data Census'!C20),('Data Census'!C20/'Data Census'!$D$8)^'02 Assumptions'!$C$10,1))))</x:f>
        <x:v>0.5613226</x:v>
      </x:c>
      <x:c r="I40" s="32" t="n">
        <x:f>MIN(0.98,H40*'02 Assumptions'!$C$11)</x:f>
        <x:v>0.5613226</x:v>
      </x:c>
      <x:c r="J40" s="32" t="n">
        <x:f>MIN(0.98,1-(1-I40)*(1-'02 Assumptions'!$C$12)^6)</x:f>
        <x:v>0.7668688438665999</x:v>
      </x:c>
      <x:c r="K40" t="n">
        <x:f>IFERROR(G40*1000/E40,0)</x:f>
        <x:v>221624.97792945147</x:v>
      </x:c>
      <x:c r="L40" t="n">
        <x:f>IFERROR(K40/$AA$9,0)</x:f>
        <x:v>1.1640776732758529</x:v>
      </x:c>
      <x:c r="M40" t="n">
        <x:f>IF(E40=0,0,'Data Ramp Spend'!$C$8*'02 Assumptions'!$C$8*'02 Assumptions'!$C$9*MIN(2,MAX(0.5,L40^'02 Assumptions'!$C$13)))</x:f>
        <x:v>108.91030551487428</x:v>
      </x:c>
      <x:c r="N40" s="32" t="n">
        <x:f>IF('02 Assumptions'!$C$24=1,'Data OECD Mapping'!C20,IF('02 Assumptions'!$C$24=2,'Data OECD Mapping'!D20,'Data OECD Mapping'!E20))</x:f>
        <x:v>0.0886613056063652</x:v>
      </x:c>
      <x:c r="O40" t="n">
        <x:f>(1+'02 Assumptions'!$C$19)^(6*'02 Assumptions'!$C$20)</x:f>
        <x:v>1.0610534869788768</x:v>
      </x:c>
      <x:c r="P40" t="n">
        <x:f>(1+N40)^(6/10*'02 Assumptions'!$C$21)</x:f>
        <x:v>1.0154082827816566</x:v>
      </x:c>
      <x:c r="Q40" t="n">
        <x:f>(1+'02 Assumptions'!$C$15)^6*(1-'02 Assumptions'!$C$16)^(6*(1-'02 Assumptions'!$C$17))</x:f>
        <x:v>5.588326053522395</x:v>
      </x:c>
      <x:c r="R40" s="40" t="n">
        <x:f>F40*J40*M40*12/1000*(1-'02 Assumptions'!$C$14)*O40*P40*(1+'02 Assumptions'!$C$18)^6</x:f>
        <x:v>1.3123297127203437</x:v>
      </x:c>
      <x:c r="S40" s="40" t="n">
        <x:f>F40*J40*M40*12/1000*'02 Assumptions'!$C$14*O40*P40*Q40</x:f>
        <x:v>9.768208651287958</x:v>
      </x:c>
      <x:c r="T40" s="40" t="n">
        <x:f>SUM(R40:S40)</x:f>
        <x:v>11.080538364008301</x:v>
      </x:c>
    </x:row>
    <x:row r="41">
      <x:c r="A41" t="n">
        <x:f>2</x:f>
        <x:v>2</x:v>
      </x:c>
      <x:c r="B41" t="str">
        <x:f>"Base"</x:f>
        <x:v>Base</x:v>
      </x:c>
      <x:c r="C41" t="str">
        <x:f>'Data BLS'!A21</x:f>
        <x:v>56</x:v>
      </x:c>
      <x:c r="D41" t="str">
        <x:f>'Data BLS'!B21</x:f>
        <x:v>Administrative, Support and Waste Services</x:v>
      </x:c>
      <x:c r="E41" t="n">
        <x:f>'Data BLS'!C21/1000*('Data BLS'!D21/'Data BLS'!C21)^(1/10)*(IF('Data BLS'!E21="Excluded",0,IF('Data BLS'!E21="Partial",'02 Assumptions'!$C$22,1)))</x:f>
        <x:v>9.021107907338024</x:v>
      </x:c>
      <x:c r="F41" t="n">
        <x:f>E41*('Data BLS'!D21/'Data BLS'!C21)^(6/10)</x:f>
        <x:v>9.069304984019729</x:v>
      </x:c>
      <x:c r="G41" t="n">
        <x:f>'Data BEA'!C21*(IF('Data BLS'!E21="Excluded",0,IF('Data BLS'!E21="Partial",'02 Assumptions'!$C$22,1)))*IF(C41="53",'02 Assumptions'!$C$23,1)</x:f>
        <x:v>952.7</x:v>
      </x:c>
      <x:c r="H41" s="32" t="n">
        <x:f>IF(E41=0,0,MIN(0.95,IF(ISNUMBER('Data Ramp Paid'!C21),'Data Ramp Paid'!C21,'Data Ramp Spend'!$C$11*IF(ISNUMBER('Data Census'!C21),('Data Census'!C21/'Data Census'!$D$8)^'02 Assumptions'!$C$10,1))))</x:f>
        <x:v>0.5613226</x:v>
      </x:c>
      <x:c r="I41" s="32" t="n">
        <x:f>MIN(0.98,H41*'02 Assumptions'!$C$11)</x:f>
        <x:v>0.5613226</x:v>
      </x:c>
      <x:c r="J41" s="32" t="n">
        <x:f>MIN(0.98,1-(1-I41)*(1-'02 Assumptions'!$C$12)^6)</x:f>
        <x:v>0.7668688438665999</x:v>
      </x:c>
      <x:c r="K41" t="n">
        <x:f>IFERROR(G41*1000/E41,0)</x:f>
        <x:v>105607.87098279214</x:v>
      </x:c>
      <x:c r="L41" t="n">
        <x:f>IFERROR(K41/$AA$9,0)</x:f>
        <x:v>0.5547017573641836</x:v>
      </x:c>
      <x:c r="M41" t="n">
        <x:f>IF(E41=0,0,'Data Ramp Spend'!$C$8*'02 Assumptions'!$C$8*'02 Assumptions'!$C$9*MIN(2,MAX(0.5,L41^'02 Assumptions'!$C$13)))</x:f>
        <x:v>93.90408661465632</x:v>
      </x:c>
      <x:c r="N41" s="32" t="n">
        <x:f>IF('02 Assumptions'!$C$24=1,'Data OECD Mapping'!C21,IF('02 Assumptions'!$C$24=2,'Data OECD Mapping'!D21,'Data OECD Mapping'!E21))</x:f>
        <x:v>0.049402788281440735</x:v>
      </x:c>
      <x:c r="O41" t="n">
        <x:f>(1+'02 Assumptions'!$C$19)^(6*'02 Assumptions'!$C$20)</x:f>
        <x:v>1.0610534869788768</x:v>
      </x:c>
      <x:c r="P41" t="n">
        <x:f>(1+N41)^(6/10*'02 Assumptions'!$C$21)</x:f>
        <x:v>1.0087176001466265</x:v>
      </x:c>
      <x:c r="Q41" t="n">
        <x:f>(1+'02 Assumptions'!$C$15)^6*(1-'02 Assumptions'!$C$16)^(6*(1-'02 Assumptions'!$C$17))</x:f>
        <x:v>5.588326053522395</x:v>
      </x:c>
      <x:c r="R41" s="40" t="n">
        <x:f>F41*J41*M41*12/1000*(1-'02 Assumptions'!$C$14)*O41*P41*(1+'02 Assumptions'!$C$18)^6</x:f>
        <x:v>3.7785810005398</x:v>
      </x:c>
      <x:c r="S41" s="40" t="n">
        <x:f>F41*J41*M41*12/1000*'02 Assumptions'!$C$14*O41*P41*Q41</x:f>
        <x:v>28.125529172508084</x:v>
      </x:c>
      <x:c r="T41" s="40" t="n">
        <x:f>SUM(R41:S41)</x:f>
        <x:v>31.904110173047883</x:v>
      </x:c>
    </x:row>
    <x:row r="42">
      <x:c r="A42" t="n">
        <x:f>2</x:f>
        <x:v>2</x:v>
      </x:c>
      <x:c r="B42" t="str">
        <x:f>"Base"</x:f>
        <x:v>Base</x:v>
      </x:c>
      <x:c r="C42" t="str">
        <x:f>'Data BLS'!A22</x:f>
        <x:v>61</x:v>
      </x:c>
      <x:c r="D42" t="str">
        <x:f>'Data BLS'!B22</x:f>
        <x:v>Educational Services (Private)</x:v>
      </x:c>
      <x:c r="E42" t="n">
        <x:f>'Data BLS'!C22/1000*('Data BLS'!D22/'Data BLS'!C22)^(1/10)*(IF('Data BLS'!E22="Excluded",0,IF('Data BLS'!E22="Partial",'02 Assumptions'!$C$22,1)))</x:f>
        <x:v>4.058895956130902</x:v>
      </x:c>
      <x:c r="F42" t="n">
        <x:f>E42*('Data BLS'!D22/'Data BLS'!C22)^(6/10)</x:f>
        <x:v>4.120002569455197</x:v>
      </x:c>
      <x:c r="G42" t="n">
        <x:f>'Data BEA'!C22*(IF('Data BLS'!E22="Excluded",0,IF('Data BLS'!E22="Partial",'02 Assumptions'!$C$22,1)))*IF(C42="53",'02 Assumptions'!$C$23,1)</x:f>
        <x:v>365.2</x:v>
      </x:c>
      <x:c r="H42" s="32" t="n">
        <x:f>IF(E42=0,0,MIN(0.95,IF(ISNUMBER('Data Ramp Paid'!C22),'Data Ramp Paid'!C22,'Data Ramp Spend'!$C$11*IF(ISNUMBER('Data Census'!C22),('Data Census'!C22/'Data Census'!$D$8)^'02 Assumptions'!$C$10,1))))</x:f>
        <x:v>0.5613226</x:v>
      </x:c>
      <x:c r="I42" s="32" t="n">
        <x:f>MIN(0.98,H42*'02 Assumptions'!$C$11)</x:f>
        <x:v>0.5613226</x:v>
      </x:c>
      <x:c r="J42" s="32" t="n">
        <x:f>MIN(0.98,1-(1-I42)*(1-'02 Assumptions'!$C$12)^6)</x:f>
        <x:v>0.7668688438665999</x:v>
      </x:c>
      <x:c r="K42" t="n">
        <x:f>IFERROR(G42*1000/E42,0)</x:f>
        <x:v>89975.20605286046</x:v>
      </x:c>
      <x:c r="L42" t="n">
        <x:f>IFERROR(K42/$AA$9,0)</x:f>
        <x:v>0.4725917154873666</x:v>
      </x:c>
      <x:c r="M42" t="n">
        <x:f>IF(E42=0,0,'Data Ramp Spend'!$C$8*'02 Assumptions'!$C$8*'02 Assumptions'!$C$9*MIN(2,MAX(0.5,L42^'02 Assumptions'!$C$13)))</x:f>
        <x:v>90.94311072364238</x:v>
      </x:c>
      <x:c r="N42" s="32" t="n">
        <x:f>IF('02 Assumptions'!$C$24=1,'Data OECD Mapping'!C22,IF('02 Assumptions'!$C$24=2,'Data OECD Mapping'!D22,'Data OECD Mapping'!E22))</x:f>
        <x:v>0.06314210593700409</x:v>
      </x:c>
      <x:c r="O42" t="n">
        <x:f>(1+'02 Assumptions'!$C$19)^(6*'02 Assumptions'!$C$20)</x:f>
        <x:v>1.0610534869788768</x:v>
      </x:c>
      <x:c r="P42" t="n">
        <x:f>(1+N42)^(6/10*'02 Assumptions'!$C$21)</x:f>
        <x:v>1.0110821363008604</x:v>
      </x:c>
      <x:c r="Q42" t="n">
        <x:f>(1+'02 Assumptions'!$C$15)^6*(1-'02 Assumptions'!$C$16)^(6*(1-'02 Assumptions'!$C$17))</x:f>
        <x:v>5.588326053522395</x:v>
      </x:c>
      <x:c r="R42" s="40" t="n">
        <x:f>F42*J42*M42*12/1000*(1-'02 Assumptions'!$C$14)*O42*P42*(1+'02 Assumptions'!$C$18)^6</x:f>
        <x:v>1.6663045036544808</x:v>
      </x:c>
      <x:c r="S42" s="40" t="n">
        <x:f>F42*J42*M42*12/1000*'02 Assumptions'!$C$14*O42*P42*Q42</x:f>
        <x:v>12.402988296696716</x:v>
      </x:c>
      <x:c r="T42" s="40" t="n">
        <x:f>SUM(R42:S42)</x:f>
        <x:v>14.069292800351196</x:v>
      </x:c>
    </x:row>
    <x:row r="43">
      <x:c r="A43" t="n">
        <x:f>2</x:f>
        <x:v>2</x:v>
      </x:c>
      <x:c r="B43" t="str">
        <x:f>"Base"</x:f>
        <x:v>Base</x:v>
      </x:c>
      <x:c r="C43" t="str">
        <x:f>'Data BLS'!A23</x:f>
        <x:v>62</x:v>
      </x:c>
      <x:c r="D43" t="str">
        <x:f>'Data BLS'!B23</x:f>
        <x:v>Health Care and Social Assistance (Private)</x:v>
      </x:c>
      <x:c r="E43" t="n">
        <x:f>'Data BLS'!C23/1000*('Data BLS'!D23/'Data BLS'!C23)^(1/10)*(IF('Data BLS'!E23="Excluded",0,IF('Data BLS'!E23="Partial",'02 Assumptions'!$C$22,1)))</x:f>
        <x:v>23.501614630876432</x:v>
      </x:c>
      <x:c r="F43" t="n">
        <x:f>E43*('Data BLS'!D23/'Data BLS'!C23)^(6/10)</x:f>
        <x:v>24.812297123460553</x:v>
      </x:c>
      <x:c r="G43" t="n">
        <x:f>'Data BEA'!C23*(IF('Data BLS'!E23="Excluded",0,IF('Data BLS'!E23="Partial",'02 Assumptions'!$C$22,1)))*IF(C43="53",'02 Assumptions'!$C$23,1)</x:f>
        <x:v>2454.7</x:v>
      </x:c>
      <x:c r="H43" s="32" t="n">
        <x:f>IF(E43=0,0,MIN(0.95,IF(ISNUMBER('Data Ramp Paid'!C23),'Data Ramp Paid'!C23,'Data Ramp Spend'!$C$11*IF(ISNUMBER('Data Census'!C23),('Data Census'!C23/'Data Census'!$D$8)^'02 Assumptions'!$C$10,1))))</x:f>
        <x:v>0.4337242</x:v>
      </x:c>
      <x:c r="I43" s="32" t="n">
        <x:f>MIN(0.98,H43*'02 Assumptions'!$C$11)</x:f>
        <x:v>0.4337242</x:v>
      </x:c>
      <x:c r="J43" s="32" t="n">
        <x:f>MIN(0.98,1-(1-I43)*(1-'02 Assumptions'!$C$12)^6)</x:f>
        <x:v>0.6990578225722</x:v>
      </x:c>
      <x:c r="K43" t="n">
        <x:f>IFERROR(G43*1000/E43,0)</x:f>
        <x:v>104448.142757605</x:v>
      </x:c>
      <x:c r="L43" t="n">
        <x:f>IFERROR(K43/$AA$9,0)</x:f>
        <x:v>0.5486103242296119</x:v>
      </x:c>
      <x:c r="M43" t="n">
        <x:f>IF(E43=0,0,'Data Ramp Spend'!$C$8*'02 Assumptions'!$C$8*'02 Assumptions'!$C$9*MIN(2,MAX(0.5,L43^'02 Assumptions'!$C$13)))</x:f>
        <x:v>93.69693394431226</x:v>
      </x:c>
      <x:c r="N43" s="32" t="n">
        <x:f>IF('02 Assumptions'!$C$24=1,'Data OECD Mapping'!C23,IF('02 Assumptions'!$C$24=2,'Data OECD Mapping'!D23,'Data OECD Mapping'!E23))</x:f>
        <x:v>0.05661867931485176</x:v>
      </x:c>
      <x:c r="O43" t="n">
        <x:f>(1+'02 Assumptions'!$C$19)^(6*'02 Assumptions'!$C$20)</x:f>
        <x:v>1.0610534869788768</x:v>
      </x:c>
      <x:c r="P43" t="n">
        <x:f>(1+N43)^(6/10*'02 Assumptions'!$C$21)</x:f>
        <x:v>1.0099625986951468</x:v>
      </x:c>
      <x:c r="Q43" t="n">
        <x:f>(1+'02 Assumptions'!$C$15)^6*(1-'02 Assumptions'!$C$16)^(6*(1-'02 Assumptions'!$C$17))</x:f>
        <x:v>5.588326053522395</x:v>
      </x:c>
      <x:c r="R43" s="40" t="n">
        <x:f>F43*J43*M43*12/1000*(1-'02 Assumptions'!$C$14)*O43*P43*(1+'02 Assumptions'!$C$18)^6</x:f>
        <x:v>9.41434888451427</x:v>
      </x:c>
      <x:c r="S43" s="40" t="n">
        <x:f>F43*J43*M43*12/1000*'02 Assumptions'!$C$14*O43*P43*Q43</x:f>
        <x:v>70.07486253536676</x:v>
      </x:c>
      <x:c r="T43" s="40" t="n">
        <x:f>SUM(R43:S43)</x:f>
        <x:v>79.48921141988103</x:v>
      </x:c>
    </x:row>
    <x:row r="44">
      <x:c r="A44" t="n">
        <x:f>2</x:f>
        <x:v>2</x:v>
      </x:c>
      <x:c r="B44" t="str">
        <x:f>"Base"</x:f>
        <x:v>Base</x:v>
      </x:c>
      <x:c r="C44" t="str">
        <x:f>'Data BLS'!A24</x:f>
        <x:v>71</x:v>
      </x:c>
      <x:c r="D44" t="str">
        <x:f>'Data BLS'!B24</x:f>
        <x:v>Arts, Entertainment and Recreation</x:v>
      </x:c>
      <x:c r="E44" t="n">
        <x:f>'Data BLS'!C24/1000*('Data BLS'!D24/'Data BLS'!C24)^(1/10)*(IF('Data BLS'!E24="Excluded",0,IF('Data BLS'!E24="Partial",'02 Assumptions'!$C$22,1)))</x:f>
        <x:v>2.696630332011054</x:v>
      </x:c>
      <x:c r="F44" t="n">
        <x:f>E44*('Data BLS'!D24/'Data BLS'!C24)^(6/10)</x:f>
        <x:v>2.787974225626306</x:v>
      </x:c>
      <x:c r="G44" t="n">
        <x:f>'Data BEA'!C24*(IF('Data BLS'!E24="Excluded",0,IF('Data BLS'!E24="Partial",'02 Assumptions'!$C$22,1)))*IF(C44="53",'02 Assumptions'!$C$23,1)</x:f>
        <x:v>331.2</x:v>
      </x:c>
      <x:c r="H44" s="32" t="n">
        <x:f>IF(E44=0,0,MIN(0.95,IF(ISNUMBER('Data Ramp Paid'!C24),'Data Ramp Paid'!C24,'Data Ramp Spend'!$C$11*IF(ISNUMBER('Data Census'!C24),('Data Census'!C24/'Data Census'!$D$8)^'02 Assumptions'!$C$10,1))))</x:f>
        <x:v>0.5613226</x:v>
      </x:c>
      <x:c r="I44" s="32" t="n">
        <x:f>MIN(0.98,H44*'02 Assumptions'!$C$11)</x:f>
        <x:v>0.5613226</x:v>
      </x:c>
      <x:c r="J44" s="32" t="n">
        <x:f>MIN(0.98,1-(1-I44)*(1-'02 Assumptions'!$C$12)^6)</x:f>
        <x:v>0.7668688438665999</x:v>
      </x:c>
      <x:c r="K44" t="n">
        <x:f>IFERROR(G44*1000/E44,0)</x:f>
        <x:v>122819.94905582866</x:v>
      </x:c>
      <x:c r="L44" t="n">
        <x:f>IFERROR(K44/$AA$9,0)</x:f>
        <x:v>0.6451076131602783</x:v>
      </x:c>
      <x:c r="M44" t="n">
        <x:f>IF(E44=0,0,'Data Ramp Spend'!$C$8*'02 Assumptions'!$C$8*'02 Assumptions'!$C$9*MIN(2,MAX(0.5,L44^'02 Assumptions'!$C$13)))</x:f>
        <x:v>96.78298617210244</x:v>
      </x:c>
      <x:c r="N44" s="32" t="n">
        <x:f>IF('02 Assumptions'!$C$24=1,'Data OECD Mapping'!C24,IF('02 Assumptions'!$C$24=2,'Data OECD Mapping'!D24,'Data OECD Mapping'!E24))</x:f>
        <x:v>0.05148909240961075</x:v>
      </x:c>
      <x:c r="O44" t="n">
        <x:f>(1+'02 Assumptions'!$C$19)^(6*'02 Assumptions'!$C$20)</x:f>
        <x:v>1.0610534869788768</x:v>
      </x:c>
      <x:c r="P44" t="n">
        <x:f>(1+N44)^(6/10*'02 Assumptions'!$C$21)</x:f>
        <x:v>1.0090782815819712</x:v>
      </x:c>
      <x:c r="Q44" t="n">
        <x:f>(1+'02 Assumptions'!$C$15)^6*(1-'02 Assumptions'!$C$16)^(6*(1-'02 Assumptions'!$C$17))</x:f>
        <x:v>5.588326053522395</x:v>
      </x:c>
      <x:c r="R44" s="40" t="n">
        <x:f>F44*J44*M44*12/1000*(1-'02 Assumptions'!$C$14)*O44*P44*(1+'02 Assumptions'!$C$18)^6</x:f>
        <x:v>1.1976040881830798</x:v>
      </x:c>
      <x:c r="S44" s="40" t="n">
        <x:f>F44*J44*M44*12/1000*'02 Assumptions'!$C$14*O44*P44*Q44</x:f>
        <x:v>8.914258742765139</x:v>
      </x:c>
      <x:c r="T44" s="40" t="n">
        <x:f>SUM(R44:S44)</x:f>
        <x:v>10.111862830948219</x:v>
      </x:c>
    </x:row>
    <x:row r="45">
      <x:c r="A45" t="n">
        <x:f>2</x:f>
        <x:v>2</x:v>
      </x:c>
      <x:c r="B45" t="str">
        <x:f>"Base"</x:f>
        <x:v>Base</x:v>
      </x:c>
      <x:c r="C45" t="str">
        <x:f>'Data BLS'!A25</x:f>
        <x:v>72</x:v>
      </x:c>
      <x:c r="D45" t="str">
        <x:f>'Data BLS'!B25</x:f>
        <x:v>Accommodation and Food Services</x:v>
      </x:c>
      <x:c r="E45" t="n">
        <x:f>'Data BLS'!C25/1000*('Data BLS'!D25/'Data BLS'!C25)^(1/10)*(IF('Data BLS'!E25="Excluded",0,IF('Data BLS'!E25="Partial",'02 Assumptions'!$C$22,1)))</x:f>
        <x:v>14.261701727149767</x:v>
      </x:c>
      <x:c r="F45" t="n">
        <x:f>E45*('Data BLS'!D25/'Data BLS'!C25)^(6/10)</x:f>
        <x:v>14.624601706672868</x:v>
      </x:c>
      <x:c r="G45" t="n">
        <x:f>'Data BEA'!C25*(IF('Data BLS'!E25="Excluded",0,IF('Data BLS'!E25="Partial",'02 Assumptions'!$C$22,1)))*IF(C45="53",'02 Assumptions'!$C$23,1)</x:f>
        <x:v>1010.9</x:v>
      </x:c>
      <x:c r="H45" s="32" t="n">
        <x:f>IF(E45=0,0,MIN(0.95,IF(ISNUMBER('Data Ramp Paid'!C25),'Data Ramp Paid'!C25,'Data Ramp Spend'!$C$11*IF(ISNUMBER('Data Census'!C25),('Data Census'!C25/'Data Census'!$D$8)^'02 Assumptions'!$C$10,1))))</x:f>
        <x:v>0.3305243</x:v>
      </x:c>
      <x:c r="I45" s="32" t="n">
        <x:f>MIN(0.98,H45*'02 Assumptions'!$C$11)</x:f>
        <x:v>0.3305243</x:v>
      </x:c>
      <x:c r="J45" s="32" t="n">
        <x:f>MIN(0.98,1-(1-I45)*(1-'02 Assumptions'!$C$12)^6)</x:f>
        <x:v>0.6442131645162998</x:v>
      </x:c>
      <x:c r="K45" t="n">
        <x:f>IFERROR(G45*1000/E45,0)</x:f>
        <x:v>70882.14431490783</x:v>
      </x:c>
      <x:c r="L45" t="n">
        <x:f>IFERROR(K45/$AA$9,0)</x:f>
        <x:v>0.37230605684331647</x:v>
      </x:c>
      <x:c r="M45" t="n">
        <x:f>IF(E45=0,0,'Data Ramp Spend'!$C$8*'02 Assumptions'!$C$8*'02 Assumptions'!$C$9*MIN(2,MAX(0.5,L45^'02 Assumptions'!$C$13)))</x:f>
        <x:v>86.70668944553024</x:v>
      </x:c>
      <x:c r="N45" s="32" t="n">
        <x:f>IF('02 Assumptions'!$C$24=1,'Data OECD Mapping'!C25,IF('02 Assumptions'!$C$24=2,'Data OECD Mapping'!D25,'Data OECD Mapping'!E25))</x:f>
        <x:v>0.02927583083510399</x:v>
      </x:c>
      <x:c r="O45" t="n">
        <x:f>(1+'02 Assumptions'!$C$19)^(6*'02 Assumptions'!$C$20)</x:f>
        <x:v>1.0610534869788768</x:v>
      </x:c>
      <x:c r="P45" t="n">
        <x:f>(1+N45)^(6/10*'02 Assumptions'!$C$21)</x:f>
        <x:v>1.005207498188837</x:v>
      </x:c>
      <x:c r="Q45" t="n">
        <x:f>(1+'02 Assumptions'!$C$15)^6*(1-'02 Assumptions'!$C$16)^(6*(1-'02 Assumptions'!$C$17))</x:f>
        <x:v>5.588326053522395</x:v>
      </x:c>
      <x:c r="R45" s="40" t="n">
        <x:f>F45*J45*M45*12/1000*(1-'02 Assumptions'!$C$14)*O45*P45*(1+'02 Assumptions'!$C$18)^6</x:f>
        <x:v>4.709789656906788</x:v>
      </x:c>
      <x:c r="S45" s="40" t="n">
        <x:f>F45*J45*M45*12/1000*'02 Assumptions'!$C$14*O45*P45*Q45</x:f>
        <x:v>35.0568973836435</x:v>
      </x:c>
      <x:c r="T45" s="40" t="n">
        <x:f>SUM(R45:S45)</x:f>
        <x:v>39.76668704055029</x:v>
      </x:c>
    </x:row>
    <x:row r="46">
      <x:c r="A46" t="n">
        <x:f>2</x:f>
        <x:v>2</x:v>
      </x:c>
      <x:c r="B46" t="str">
        <x:f>"Base"</x:f>
        <x:v>Base</x:v>
      </x:c>
      <x:c r="C46" t="str">
        <x:f>'Data BLS'!A26</x:f>
        <x:v>81</x:v>
      </x:c>
      <x:c r="D46" t="str">
        <x:f>'Data BLS'!B26</x:f>
        <x:v>Other Services Except Public Administration</x:v>
      </x:c>
      <x:c r="E46" t="n">
        <x:f>'Data BLS'!C26/1000*('Data BLS'!D26/'Data BLS'!C26)^(1/10)*(IF('Data BLS'!E26="Excluded",0,IF('Data BLS'!E26="Partial",'02 Assumptions'!$C$22,1)))</x:f>
        <x:v>6.269983363850071</x:v>
      </x:c>
      <x:c r="F46" t="n">
        <x:f>E46*('Data BLS'!D26/'Data BLS'!C26)^(6/10)</x:f>
        <x:v>6.41019350271925</x:v>
      </x:c>
      <x:c r="G46" t="n">
        <x:f>'Data BEA'!C26*(IF('Data BLS'!E26="Excluded",0,IF('Data BLS'!E26="Partial",'02 Assumptions'!$C$22,1)))*IF(C46="53",'02 Assumptions'!$C$23,1)</x:f>
        <x:v>622.535</x:v>
      </x:c>
      <x:c r="H46" s="32" t="n">
        <x:f>IF(E46=0,0,MIN(0.95,IF(ISNUMBER('Data Ramp Paid'!C26),'Data Ramp Paid'!C26,'Data Ramp Spend'!$C$11*IF(ISNUMBER('Data Census'!C26),('Data Census'!C26/'Data Census'!$D$8)^'02 Assumptions'!$C$10,1))))</x:f>
        <x:v>0.5613226</x:v>
      </x:c>
      <x:c r="I46" s="32" t="n">
        <x:f>MIN(0.98,H46*'02 Assumptions'!$C$11)</x:f>
        <x:v>0.5613226</x:v>
      </x:c>
      <x:c r="J46" s="32" t="n">
        <x:f>MIN(0.98,1-(1-I46)*(1-'02 Assumptions'!$C$12)^6)</x:f>
        <x:v>0.7668688438665999</x:v>
      </x:c>
      <x:c r="K46" t="n">
        <x:f>IFERROR(G46*1000/E46,0)</x:f>
        <x:v>99288.14222845618</x:v>
      </x:c>
      <x:c r="L46" t="n">
        <x:f>IFERROR(K46/$AA$9,0)</x:f>
        <x:v>0.5215075966120336</x:v>
      </x:c>
      <x:c r="M46" t="n">
        <x:f>IF(E46=0,0,'Data Ramp Spend'!$C$8*'02 Assumptions'!$C$8*'02 Assumptions'!$C$9*MIN(2,MAX(0.5,L46^'02 Assumptions'!$C$13)))</x:f>
        <x:v>92.75230522798783</x:v>
      </x:c>
      <x:c r="N46" s="32" t="n">
        <x:f>IF('02 Assumptions'!$C$24=1,'Data OECD Mapping'!C26,IF('02 Assumptions'!$C$24=2,'Data OECD Mapping'!D26,'Data OECD Mapping'!E26))</x:f>
        <x:v>0.053498223423957825</x:v>
      </x:c>
      <x:c r="O46" t="n">
        <x:f>(1+'02 Assumptions'!$C$19)^(6*'02 Assumptions'!$C$20)</x:f>
        <x:v>1.0610534869788768</x:v>
      </x:c>
      <x:c r="P46" t="n">
        <x:f>(1+N46)^(6/10*'02 Assumptions'!$C$21)</x:f>
        <x:v>1.0094250670430753</x:v>
      </x:c>
      <x:c r="Q46" t="n">
        <x:f>(1+'02 Assumptions'!$C$15)^6*(1-'02 Assumptions'!$C$16)^(6*(1-'02 Assumptions'!$C$17))</x:f>
        <x:v>5.588326053522395</x:v>
      </x:c>
      <x:c r="R46" s="40" t="n">
        <x:f>F46*J46*M46*12/1000*(1-'02 Assumptions'!$C$14)*O46*P46*(1+'02 Assumptions'!$C$18)^6</x:f>
        <x:v>2.6397972726293477</x:v>
      </x:c>
      <x:c r="S46" s="40" t="n">
        <x:f>F46*J46*M46*12/1000*'02 Assumptions'!$C$14*O46*P46*Q46</x:f>
        <x:v>19.64909451199734</x:v>
      </x:c>
      <x:c r="T46" s="40" t="n">
        <x:f>SUM(R46:S46)</x:f>
        <x:v>22.28889178462669</x:v>
      </x:c>
    </x:row>
    <x:row r="47">
      <x:c r="A47" t="n">
        <x:f>2</x:f>
        <x:v>2</x:v>
      </x:c>
      <x:c r="B47" t="str">
        <x:f>"Base"</x:f>
        <x:v>Base</x:v>
      </x:c>
      <x:c r="C47" t="str">
        <x:f>'Data BLS'!A27</x:f>
        <x:v>Gov</x:v>
      </x:c>
      <x:c r="D47" t="str">
        <x:f>'Data BLS'!B27</x:f>
        <x:v>Federal and State/Local Government</x:v>
      </x:c>
      <x:c r="E47" t="n">
        <x:f>'Data BLS'!C27/1000*('Data BLS'!D27/'Data BLS'!C27)^(1/10)*(IF('Data BLS'!E27="Excluded",0,IF('Data BLS'!E27="Partial",'02 Assumptions'!$C$22,1)))</x:f>
        <x:v>0</x:v>
      </x:c>
      <x:c r="F47" t="n">
        <x:f>E47*('Data BLS'!D27/'Data BLS'!C27)^(6/10)</x:f>
        <x:v>0</x:v>
      </x:c>
      <x:c r="G47" t="n">
        <x:f>'Data BEA'!C27*(IF('Data BLS'!E27="Excluded",0,IF('Data BLS'!E27="Partial",'02 Assumptions'!$C$22,1)))*IF(C47="53",'02 Assumptions'!$C$23,1)</x:f>
        <x:v>0</x:v>
      </x:c>
      <x:c r="H47" s="32" t="n">
        <x:f>IF(E47=0,0,MIN(0.95,IF(ISNUMBER('Data Ramp Paid'!C27),'Data Ramp Paid'!C27,'Data Ramp Spend'!$C$11*IF(ISNUMBER('Data Census'!C27),('Data Census'!C27/'Data Census'!$D$8)^'02 Assumptions'!$C$10,1))))</x:f>
        <x:v>0</x:v>
      </x:c>
      <x:c r="I47" s="32" t="n">
        <x:f>MIN(0.98,H47*'02 Assumptions'!$C$11)</x:f>
        <x:v>0</x:v>
      </x:c>
      <x:c r="J47" s="32" t="n">
        <x:f>IF(F47=0,0,MIN(0.98,1-(1-I47)*(1-'02 Assumptions'!$C$12)^6))</x:f>
        <x:v>0</x:v>
      </x:c>
      <x:c r="K47" t="n">
        <x:f>IFERROR(G47*1000/E47,0)</x:f>
        <x:v>0</x:v>
      </x:c>
      <x:c r="L47" t="n">
        <x:f>IFERROR(K47/$AA$9,0)</x:f>
        <x:v>0</x:v>
      </x:c>
      <x:c r="M47" t="n">
        <x:f>IF(E47=0,0,'Data Ramp Spend'!$C$8*'02 Assumptions'!$C$8*'02 Assumptions'!$C$9*MIN(2,MAX(0.5,L47^'02 Assumptions'!$C$13)))</x:f>
        <x:v>0</x:v>
      </x:c>
      <x:c r="N47" s="32" t="n">
        <x:f>IF('02 Assumptions'!$C$24=1,'Data OECD Mapping'!C27,IF('02 Assumptions'!$C$24=2,'Data OECD Mapping'!D27,'Data OECD Mapping'!E27))</x:f>
        <x:v>0</x:v>
      </x:c>
      <x:c r="O47" t="n">
        <x:f>(1+'02 Assumptions'!$C$19)^(6*'02 Assumptions'!$C$20)</x:f>
        <x:v>1.0610534869788768</x:v>
      </x:c>
      <x:c r="P47" t="n">
        <x:f>(1+N47)^(6/10*'02 Assumptions'!$C$21)</x:f>
        <x:v>1</x:v>
      </x:c>
      <x:c r="Q47" t="n">
        <x:f>(1+'02 Assumptions'!$C$15)^6*(1-'02 Assumptions'!$C$16)^(6*(1-'02 Assumptions'!$C$17))</x:f>
        <x:v>5.588326053522395</x:v>
      </x:c>
      <x:c r="R47" s="40" t="n">
        <x:f>F47*J47*M47*12/1000*(1-'02 Assumptions'!$C$14)*O47*P47*(1+'02 Assumptions'!$C$18)^6</x:f>
        <x:v>0</x:v>
      </x:c>
      <x:c r="S47" s="40" t="n">
        <x:f>F47*J47*M47*12/1000*'02 Assumptions'!$C$14*O47*P47*Q47</x:f>
        <x:v>0</x:v>
      </x:c>
      <x:c r="T47" s="40" t="n">
        <x:f>SUM(R47:S47)</x:f>
        <x:v>0</x:v>
      </x:c>
    </x:row>
    <x:row r="48">
      <x:c r="A48" t="n">
        <x:f>3</x:f>
        <x:v>3</x:v>
      </x:c>
      <x:c r="B48" t="str">
        <x:f>"Bull"</x:f>
        <x:v>Bull</x:v>
      </x:c>
      <x:c r="C48" t="str">
        <x:f>'Data BLS'!A8</x:f>
        <x:v>11</x:v>
      </x:c>
      <x:c r="D48" t="str">
        <x:f>'Data BLS'!B8</x:f>
        <x:v>Agriculture, Forestry, Fishing and Hunting</x:v>
      </x:c>
      <x:c r="E48" t="n">
        <x:f>'Data BLS'!C8/1000*('Data BLS'!D8/'Data BLS'!C8)^(1/10)*(IF('Data BLS'!E8="Excluded",0,IF('Data BLS'!E8="Partial",'02 Assumptions'!$D$22,1)))</x:f>
        <x:v>0</x:v>
      </x:c>
      <x:c r="F48" t="n">
        <x:f>E48*('Data BLS'!D8/'Data BLS'!C8)^(6/10)</x:f>
        <x:v>0</x:v>
      </x:c>
      <x:c r="G48" t="n">
        <x:f>'Data BEA'!C8*(IF('Data BLS'!E8="Excluded",0,IF('Data BLS'!E8="Partial",'02 Assumptions'!$D$22,1)))*IF(C48="53",'02 Assumptions'!$D$23,1)</x:f>
        <x:v>0</x:v>
      </x:c>
      <x:c r="H48" s="32" t="n">
        <x:f>IF(E48=0,0,MIN(0.95,IF(ISNUMBER('Data Ramp Paid'!C8),'Data Ramp Paid'!C8,'Data Ramp Spend'!$C$11*IF(ISNUMBER('Data Census'!C8),('Data Census'!C8/'Data Census'!$D$8)^'02 Assumptions'!$D$10,1))))</x:f>
        <x:v>0</x:v>
      </x:c>
      <x:c r="I48" s="32" t="n">
        <x:f>MIN(0.98,H48*'02 Assumptions'!$D$11)</x:f>
        <x:v>0</x:v>
      </x:c>
      <x:c r="J48" s="32" t="n">
        <x:f>IF(F48=0,0,MIN(0.98,1-(1-I48)*(1-'02 Assumptions'!$D$12)^6))</x:f>
        <x:v>0</x:v>
      </x:c>
      <x:c r="K48" t="n">
        <x:f>IFERROR(G48*1000/E48,0)</x:f>
        <x:v>0</x:v>
      </x:c>
      <x:c r="L48" t="n">
        <x:f>IFERROR(K48/$AA$10,0)</x:f>
        <x:v>0</x:v>
      </x:c>
      <x:c r="M48" t="n">
        <x:f>IF(E48=0,0,'Data Ramp Spend'!$C$8*'02 Assumptions'!$D$8*'02 Assumptions'!$D$9*MIN(2,MAX(0.5,L48^'02 Assumptions'!$D$13)))</x:f>
        <x:v>0</x:v>
      </x:c>
      <x:c r="N48" s="32" t="n">
        <x:f>IF('02 Assumptions'!$D$24=1,'Data OECD Mapping'!C8,IF('02 Assumptions'!$D$24=2,'Data OECD Mapping'!D8,'Data OECD Mapping'!E8))</x:f>
        <x:v>0.008775511472514385</x:v>
      </x:c>
      <x:c r="O48" t="n">
        <x:f>(1+'02 Assumptions'!$D$19)^(6*'02 Assumptions'!$D$20)</x:f>
        <x:v>1.1435821402312916</x:v>
      </x:c>
      <x:c r="P48" t="n">
        <x:f>(1+N48)^(6/10*'02 Assumptions'!$D$21)</x:f>
        <x:v>1.0023618369787866</x:v>
      </x:c>
      <x:c r="Q48" t="n">
        <x:f>(1+'02 Assumptions'!$D$15)^6*(1-'02 Assumptions'!$D$16)^(6*(1-'02 Assumptions'!$D$17))</x:f>
        <x:v>9.168181680586315</x:v>
      </x:c>
      <x:c r="R48" s="40" t="n">
        <x:f>F48*J48*M48*12/1000*(1-'02 Assumptions'!$D$14)*O48*P48*(1+'02 Assumptions'!$D$18)^6</x:f>
        <x:v>0</x:v>
      </x:c>
      <x:c r="S48" s="40" t="n">
        <x:f>F48*J48*M48*12/1000*'02 Assumptions'!$D$14*O48*P48*Q48</x:f>
        <x:v>0</x:v>
      </x:c>
      <x:c r="T48" s="40" t="n">
        <x:f>SUM(R48:S48)</x:f>
        <x:v>0</x:v>
      </x:c>
    </x:row>
    <x:row r="49">
      <x:c r="A49" t="n">
        <x:f>3</x:f>
        <x:v>3</x:v>
      </x:c>
      <x:c r="B49" t="str">
        <x:f>"Bull"</x:f>
        <x:v>Bull</x:v>
      </x:c>
      <x:c r="C49" t="str">
        <x:f>'Data BLS'!A9</x:f>
        <x:v>21</x:v>
      </x:c>
      <x:c r="D49" t="str">
        <x:f>'Data BLS'!B9</x:f>
        <x:v>Mining, Quarrying, Oil and Gas Extraction</x:v>
      </x:c>
      <x:c r="E49" t="n">
        <x:f>'Data BLS'!C9/1000*('Data BLS'!D9/'Data BLS'!C9)^(1/10)*(IF('Data BLS'!E9="Excluded",0,IF('Data BLS'!E9="Partial",'02 Assumptions'!$D$22,1)))</x:f>
        <x:v>0.5738788716893184</x:v>
      </x:c>
      <x:c r="F49" t="n">
        <x:f>E49*('Data BLS'!D9/'Data BLS'!C9)^(6/10)</x:f>
        <x:v>0.576157363795794</x:v>
      </x:c>
      <x:c r="G49" t="n">
        <x:f>'Data BEA'!C9*(IF('Data BLS'!E9="Excluded",0,IF('Data BLS'!E9="Partial",'02 Assumptions'!$D$22,1)))*IF(C49="53",'02 Assumptions'!$D$23,1)</x:f>
        <x:v>517.8</x:v>
      </x:c>
      <x:c r="H49" s="32" t="n">
        <x:f>IF(E49=0,0,MIN(0.95,IF(ISNUMBER('Data Ramp Paid'!C9),'Data Ramp Paid'!C9,'Data Ramp Spend'!$C$11*IF(ISNUMBER('Data Census'!C9),('Data Census'!C9/'Data Census'!$D$8)^'02 Assumptions'!$D$10,1))))</x:f>
        <x:v>0.5613226</x:v>
      </x:c>
      <x:c r="I49" s="32" t="n">
        <x:f>MIN(0.98,H49*'02 Assumptions'!$D$11)</x:f>
        <x:v>0.6286813120000001</x:v>
      </x:c>
      <x:c r="J49" s="32" t="n">
        <x:f>MIN(0.98,1-(1-I49)*(1-'02 Assumptions'!$D$12)^6)</x:f>
        <x:v>0.8497766250415131</x:v>
      </x:c>
      <x:c r="K49" t="n">
        <x:f>IFERROR(G49*1000/E49,0)</x:f>
        <x:v>902280.9961198956</x:v>
      </x:c>
      <x:c r="L49" t="n">
        <x:f>IFERROR(K49/$AA$10,0)</x:f>
        <x:v>4.652429634541582</x:v>
      </x:c>
      <x:c r="M49" t="n">
        <x:f>IF(E49=0,0,'Data Ramp Spend'!$C$8*'02 Assumptions'!$D$8*'02 Assumptions'!$D$9*MIN(2,MAX(0.5,L49^'02 Assumptions'!$D$13)))</x:f>
        <x:v>215.03535151758948</x:v>
      </x:c>
      <x:c r="N49" s="32" t="n">
        <x:f>IF('02 Assumptions'!$D$24=1,'Data OECD Mapping'!C9,IF('02 Assumptions'!$D$24=2,'Data OECD Mapping'!D9,'Data OECD Mapping'!E9))</x:f>
        <x:v>0.017527260929675232</x:v>
      </x:c>
      <x:c r="O49" t="n">
        <x:f>(1+'02 Assumptions'!$D$19)^(6*'02 Assumptions'!$D$20)</x:f>
        <x:v>1.1435821402312916</x:v>
      </x:c>
      <x:c r="P49" t="n">
        <x:f>(1+N49)^(6/10*'02 Assumptions'!$D$21)</x:f>
        <x:v>1.0047023877987782</x:v>
      </x:c>
      <x:c r="Q49" t="n">
        <x:f>(1+'02 Assumptions'!$D$15)^6*(1-'02 Assumptions'!$D$16)^(6*(1-'02 Assumptions'!$D$17))</x:f>
        <x:v>9.168181680586315</x:v>
      </x:c>
      <x:c r="R49" s="40" t="n">
        <x:f>F49*J49*M49*12/1000*(1-'02 Assumptions'!$D$14)*O49*P49*(1+'02 Assumptions'!$D$18)^6</x:f>
        <x:v>0.6245280493880401</x:v>
      </x:c>
      <x:c r="S49" s="40" t="n">
        <x:f>F49*J49*M49*12/1000*'02 Assumptions'!$D$14*O49*P49*Q49</x:f>
        <x:v>8.650443481990434</x:v>
      </x:c>
      <x:c r="T49" s="40" t="n">
        <x:f>SUM(R49:S49)</x:f>
        <x:v>9.274971531378474</x:v>
      </x:c>
    </x:row>
    <x:row r="50">
      <x:c r="A50" t="n">
        <x:f>3</x:f>
        <x:v>3</x:v>
      </x:c>
      <x:c r="B50" t="str">
        <x:f>"Bull"</x:f>
        <x:v>Bull</x:v>
      </x:c>
      <x:c r="C50" t="str">
        <x:f>'Data BLS'!A10</x:f>
        <x:v>22</x:v>
      </x:c>
      <x:c r="D50" t="str">
        <x:f>'Data BLS'!B10</x:f>
        <x:v>Utilities</x:v>
      </x:c>
      <x:c r="E50" t="n">
        <x:f>'Data BLS'!C10/1000*('Data BLS'!D10/'Data BLS'!C10)^(1/10)*(IF('Data BLS'!E10="Excluded",0,IF('Data BLS'!E10="Partial",'02 Assumptions'!$D$22,1)))</x:f>
        <x:v>0.6069362216427999</x:v>
      </x:c>
      <x:c r="F50" t="n">
        <x:f>E50*('Data BLS'!D10/'Data BLS'!C10)^(6/10)</x:f>
        <x:v>0.6418804879373384</x:v>
      </x:c>
      <x:c r="G50" t="n">
        <x:f>'Data BEA'!C10*(IF('Data BLS'!E10="Excluded",0,IF('Data BLS'!E10="Partial",'02 Assumptions'!$D$22,1)))*IF(C50="53",'02 Assumptions'!$D$23,1)</x:f>
        <x:v>531.9</x:v>
      </x:c>
      <x:c r="H50" s="32" t="n">
        <x:f>IF(E50=0,0,MIN(0.95,IF(ISNUMBER('Data Ramp Paid'!C10),'Data Ramp Paid'!C10,'Data Ramp Spend'!$C$11*IF(ISNUMBER('Data Census'!C10),('Data Census'!C10/'Data Census'!$D$8)^'02 Assumptions'!$D$10,1))))</x:f>
        <x:v>0.5613226</x:v>
      </x:c>
      <x:c r="I50" s="32" t="n">
        <x:f>MIN(0.98,H50*'02 Assumptions'!$D$11)</x:f>
        <x:v>0.6286813120000001</x:v>
      </x:c>
      <x:c r="J50" s="32" t="n">
        <x:f>MIN(0.98,1-(1-I50)*(1-'02 Assumptions'!$D$12)^6)</x:f>
        <x:v>0.8497766250415131</x:v>
      </x:c>
      <x:c r="K50" t="n">
        <x:f>IFERROR(G50*1000/E50,0)</x:f>
        <x:v>876368.852332295</x:v>
      </x:c>
      <x:c r="L50" t="n">
        <x:f>IFERROR(K50/$AA$10,0)</x:f>
        <x:v>4.518818901111132</x:v>
      </x:c>
      <x:c r="M50" t="n">
        <x:f>IF(E50=0,0,'Data Ramp Spend'!$C$8*'02 Assumptions'!$D$8*'02 Assumptions'!$D$9*MIN(2,MAX(0.5,L50^'02 Assumptions'!$D$13)))</x:f>
        <x:v>213.47456831997408</x:v>
      </x:c>
      <x:c r="N50" s="32" t="n">
        <x:f>IF('02 Assumptions'!$D$24=1,'Data OECD Mapping'!C10,IF('02 Assumptions'!$D$24=2,'Data OECD Mapping'!D10,'Data OECD Mapping'!E10))</x:f>
        <x:v>0.007707325971646135</x:v>
      </x:c>
      <x:c r="O50" t="n">
        <x:f>(1+'02 Assumptions'!$D$19)^(6*'02 Assumptions'!$D$20)</x:f>
        <x:v>1.1435821402312916</x:v>
      </x:c>
      <x:c r="P50" t="n">
        <x:f>(1+N50)^(6/10*'02 Assumptions'!$D$21)</x:f>
        <x:v>1.0020751497421863</x:v>
      </x:c>
      <x:c r="Q50" t="n">
        <x:f>(1+'02 Assumptions'!$D$15)^6*(1-'02 Assumptions'!$D$16)^(6*(1-'02 Assumptions'!$D$17))</x:f>
        <x:v>9.168181680586315</x:v>
      </x:c>
      <x:c r="R50" s="40" t="n">
        <x:f>F50*J50*M50*12/1000*(1-'02 Assumptions'!$D$14)*O50*P50*(1+'02 Assumptions'!$D$18)^6</x:f>
        <x:v>0.6889126261605275</x:v>
      </x:c>
      <x:c r="S50" s="40" t="n">
        <x:f>F50*J50*M50*12/1000*'02 Assumptions'!$D$14*O50*P50*Q50</x:f>
        <x:v>9.542245128094281</x:v>
      </x:c>
      <x:c r="T50" s="40" t="n">
        <x:f>SUM(R50:S50)</x:f>
        <x:v>10.23115775425481</x:v>
      </x:c>
    </x:row>
    <x:row r="51">
      <x:c r="A51" t="n">
        <x:f>3</x:f>
        <x:v>3</x:v>
      </x:c>
      <x:c r="B51" t="str">
        <x:f>"Bull"</x:f>
        <x:v>Bull</x:v>
      </x:c>
      <x:c r="C51" t="str">
        <x:f>'Data BLS'!A11</x:f>
        <x:v>23</x:v>
      </x:c>
      <x:c r="D51" t="str">
        <x:f>'Data BLS'!B11</x:f>
        <x:v>Construction</x:v>
      </x:c>
      <x:c r="E51" t="n">
        <x:f>'Data BLS'!C11/1000*('Data BLS'!D11/'Data BLS'!C11)^(1/10)*(IF('Data BLS'!E11="Excluded",0,IF('Data BLS'!E11="Partial",'02 Assumptions'!$D$22,1)))</x:f>
        <x:v>8.306879704576057</x:v>
      </x:c>
      <x:c r="F51" t="n">
        <x:f>E51*('Data BLS'!D11/'Data BLS'!C11)^(6/10)</x:f>
        <x:v>8.552092418069961</x:v>
      </x:c>
      <x:c r="G51" t="n">
        <x:f>'Data BEA'!C11*(IF('Data BLS'!E11="Excluded",0,IF('Data BLS'!E11="Partial",'02 Assumptions'!$D$22,1)))*IF(C51="53",'02 Assumptions'!$D$23,1)</x:f>
        <x:v>1373.7</x:v>
      </x:c>
      <x:c r="H51" s="32" t="n">
        <x:f>IF(E51=0,0,MIN(0.95,IF(ISNUMBER('Data Ramp Paid'!C11),'Data Ramp Paid'!C11,'Data Ramp Spend'!$C$11*IF(ISNUMBER('Data Census'!C11),('Data Census'!C11/'Data Census'!$D$8)^'02 Assumptions'!$D$10,1))))</x:f>
        <x:v>0.4217687</x:v>
      </x:c>
      <x:c r="I51" s="32" t="n">
        <x:f>MIN(0.98,H51*'02 Assumptions'!$D$11)</x:f>
        <x:v>0.472380944</x:v>
      </x:c>
      <x:c r="J51" s="32" t="n">
        <x:f>MIN(0.98,1-(1-I51)*(1-'02 Assumptions'!$D$12)^6)</x:f>
        <x:v>0.7865426173090138</x:v>
      </x:c>
      <x:c r="K51" t="n">
        <x:f>IFERROR(G51*1000/E51,0)</x:f>
        <x:v>165368.95306708995</x:v>
      </x:c>
      <x:c r="L51" t="n">
        <x:f>IFERROR(K51/$AA$10,0)</x:f>
        <x:v>0.8526915907472036</x:v>
      </x:c>
      <x:c r="M51" t="n">
        <x:f>IF(E51=0,0,'Data Ramp Spend'!$C$8*'02 Assumptions'!$D$8*'02 Assumptions'!$D$9*MIN(2,MAX(0.5,L51^'02 Assumptions'!$D$13)))</x:f>
        <x:v>140.69799378097437</x:v>
      </x:c>
      <x:c r="N51" s="32" t="n">
        <x:f>IF('02 Assumptions'!$D$24=1,'Data OECD Mapping'!C11,IF('02 Assumptions'!$D$24=2,'Data OECD Mapping'!D11,'Data OECD Mapping'!E11))</x:f>
        <x:v>0.00736541873726304</x:v>
      </x:c>
      <x:c r="O51" t="n">
        <x:f>(1+'02 Assumptions'!$D$19)^(6*'02 Assumptions'!$D$20)</x:f>
        <x:v>1.1435821402312916</x:v>
      </x:c>
      <x:c r="P51" t="n">
        <x:f>(1+N51)^(6/10*'02 Assumptions'!$D$21)</x:f>
        <x:v>1.001983339375572</x:v>
      </x:c>
      <x:c r="Q51" t="n">
        <x:f>(1+'02 Assumptions'!$D$15)^6*(1-'02 Assumptions'!$D$16)^(6*(1-'02 Assumptions'!$D$17))</x:f>
        <x:v>9.168181680586315</x:v>
      </x:c>
      <x:c r="R51" s="40" t="n">
        <x:f>F51*J51*M51*12/1000*(1-'02 Assumptions'!$D$14)*O51*P51*(1+'02 Assumptions'!$D$18)^6</x:f>
        <x:v>5.5988882961085045</x:v>
      </x:c>
      <x:c r="S51" s="40" t="n">
        <x:f>F51*J51*M51*12/1000*'02 Assumptions'!$D$14*O51*P51*Q51</x:f>
        <x:v>77.55114732624504</x:v>
      </x:c>
      <x:c r="T51" s="40" t="n">
        <x:f>SUM(R51:S51)</x:f>
        <x:v>83.15003562235354</x:v>
      </x:c>
    </x:row>
    <x:row r="52">
      <x:c r="A52" t="n">
        <x:f>3</x:f>
        <x:v>3</x:v>
      </x:c>
      <x:c r="B52" t="str">
        <x:f>"Bull"</x:f>
        <x:v>Bull</x:v>
      </x:c>
      <x:c r="C52" t="str">
        <x:f>'Data BLS'!A12</x:f>
        <x:v>31-33</x:v>
      </x:c>
      <x:c r="D52" t="str">
        <x:f>'Data BLS'!B12</x:f>
        <x:v>Manufacturing</x:v>
      </x:c>
      <x:c r="E52" t="n">
        <x:f>'Data BLS'!C12/1000*('Data BLS'!D12/'Data BLS'!C12)^(1/10)*(IF('Data BLS'!E12="Excluded",0,IF('Data BLS'!E12="Partial",'02 Assumptions'!$D$22,1)))</x:f>
        <x:v>12.640891550423058</x:v>
      </x:c>
      <x:c r="F52" t="n">
        <x:f>E52*('Data BLS'!D12/'Data BLS'!C12)^(6/10)</x:f>
        <x:v>12.684126901967796</x:v>
      </x:c>
      <x:c r="G52" t="n">
        <x:f>'Data BEA'!C12*(IF('Data BLS'!E12="Excluded",0,IF('Data BLS'!E12="Partial",'02 Assumptions'!$D$22,1)))*IF(C52="53",'02 Assumptions'!$D$23,1)</x:f>
        <x:v>3168.1</x:v>
      </x:c>
      <x:c r="H52" s="32" t="n">
        <x:f>IF(E52=0,0,MIN(0.95,IF(ISNUMBER('Data Ramp Paid'!C12),'Data Ramp Paid'!C12,'Data Ramp Spend'!$C$11*IF(ISNUMBER('Data Census'!C12),('Data Census'!C12/'Data Census'!$D$8)^'02 Assumptions'!$D$10,1))))</x:f>
        <x:v>0.6105223</x:v>
      </x:c>
      <x:c r="I52" s="32" t="n">
        <x:f>MIN(0.98,H52*'02 Assumptions'!$D$11)</x:f>
        <x:v>0.683784976</x:v>
      </x:c>
      <x:c r="J52" s="32" t="n">
        <x:f>MIN(0.98,1-(1-I52)*(1-'02 Assumptions'!$D$12)^6)</x:f>
        <x:v>0.8720697620318562</x:v>
      </x:c>
      <x:c r="K52" t="n">
        <x:f>IFERROR(G52*1000/E52,0)</x:f>
        <x:v>250623.14531873126</x:v>
      </x:c>
      <x:c r="L52" t="n">
        <x:f>IFERROR(K52/$AA$10,0)</x:f>
        <x:v>1.2922876059643251</x:v>
      </x:c>
      <x:c r="M52" t="n">
        <x:f>IF(E52=0,0,'Data Ramp Spend'!$C$8*'02 Assumptions'!$D$8*'02 Assumptions'!$D$9*MIN(2,MAX(0.5,L52^'02 Assumptions'!$D$13)))</x:f>
        <x:v>156.10963368254036</x:v>
      </x:c>
      <x:c r="N52" s="32" t="n">
        <x:f>IF('02 Assumptions'!$D$24=1,'Data OECD Mapping'!C12,IF('02 Assumptions'!$D$24=2,'Data OECD Mapping'!D12,'Data OECD Mapping'!E12))</x:f>
        <x:v>0.014877987770876303</x:v>
      </x:c>
      <x:c r="O52" t="n">
        <x:f>(1+'02 Assumptions'!$D$19)^(6*'02 Assumptions'!$D$20)</x:f>
        <x:v>1.1435821402312916</x:v>
      </x:c>
      <x:c r="P52" t="n">
        <x:f>(1+N52)^(6/10*'02 Assumptions'!$D$21)</x:f>
        <x:v>1.0039954274910041</x:v>
      </x:c>
      <x:c r="Q52" t="n">
        <x:f>(1+'02 Assumptions'!$D$15)^6*(1-'02 Assumptions'!$D$16)^(6*(1-'02 Assumptions'!$D$17))</x:f>
        <x:v>9.168181680586315</x:v>
      </x:c>
      <x:c r="R52" s="40" t="n">
        <x:f>F52*J52*M52*12/1000*(1-'02 Assumptions'!$D$14)*O52*P52*(1+'02 Assumptions'!$D$18)^6</x:f>
        <x:v>10.236040590719997</x:v>
      </x:c>
      <x:c r="S52" s="40" t="n">
        <x:f>F52*J52*M52*12/1000*'02 Assumptions'!$D$14*O52*P52*Q52</x:f>
        <x:v>141.7811268783647</x:v>
      </x:c>
      <x:c r="T52" s="40" t="n">
        <x:f>SUM(R52:S52)</x:f>
        <x:v>152.01716746908468</x:v>
      </x:c>
    </x:row>
    <x:row r="53">
      <x:c r="A53" t="n">
        <x:f>3</x:f>
        <x:v>3</x:v>
      </x:c>
      <x:c r="B53" t="str">
        <x:f>"Bull"</x:f>
        <x:v>Bull</x:v>
      </x:c>
      <x:c r="C53" t="str">
        <x:f>'Data BLS'!A13</x:f>
        <x:v>42</x:v>
      </x:c>
      <x:c r="D53" t="str">
        <x:f>'Data BLS'!B13</x:f>
        <x:v>Wholesale Trade</x:v>
      </x:c>
      <x:c r="E53" t="n">
        <x:f>'Data BLS'!C13/1000*('Data BLS'!D13/'Data BLS'!C13)^(1/10)*(IF('Data BLS'!E13="Excluded",0,IF('Data BLS'!E13="Partial",'02 Assumptions'!$D$22,1)))</x:f>
        <x:v>6.071905092422349</x:v>
      </x:c>
      <x:c r="F53" t="n">
        <x:f>E53*('Data BLS'!D13/'Data BLS'!C13)^(6/10)</x:f>
        <x:v>6.146870783785609</x:v>
      </x:c>
      <x:c r="G53" t="n">
        <x:f>'Data BEA'!C13*(IF('Data BLS'!E13="Excluded",0,IF('Data BLS'!E13="Partial",'02 Assumptions'!$D$22,1)))*IF(C53="53",'02 Assumptions'!$D$23,1)</x:f>
        <x:v>2087.5</x:v>
      </x:c>
      <x:c r="H53" s="32" t="n">
        <x:f>IF(E53=0,0,MIN(0.95,IF(ISNUMBER('Data Ramp Paid'!C13),'Data Ramp Paid'!C13,'Data Ramp Spend'!$C$11*IF(ISNUMBER('Data Census'!C13),('Data Census'!C13/'Data Census'!$D$8)^'02 Assumptions'!$D$10,1))))</x:f>
        <x:v>0.5613226</x:v>
      </x:c>
      <x:c r="I53" s="32" t="n">
        <x:f>MIN(0.98,H53*'02 Assumptions'!$D$11)</x:f>
        <x:v>0.6286813120000001</x:v>
      </x:c>
      <x:c r="J53" s="32" t="n">
        <x:f>MIN(0.98,1-(1-I53)*(1-'02 Assumptions'!$D$12)^6)</x:f>
        <x:v>0.8497766250415131</x:v>
      </x:c>
      <x:c r="K53" t="n">
        <x:f>IFERROR(G53*1000/E53,0)</x:f>
        <x:v>343796.54626110184</x:v>
      </x:c>
      <x:c r="L53" t="n">
        <x:f>IFERROR(K53/$AA$10,0)</x:f>
        <x:v>1.7727174205779848</x:v>
      </x:c>
      <x:c r="M53" t="n">
        <x:f>IF(E53=0,0,'Data Ramp Spend'!$C$8*'02 Assumptions'!$D$8*'02 Assumptions'!$D$9*MIN(2,MAX(0.5,L53^'02 Assumptions'!$D$13)))</x:f>
        <x:v>168.94672909188347</x:v>
      </x:c>
      <x:c r="N53" s="32" t="n">
        <x:f>IF('02 Assumptions'!$D$24=1,'Data OECD Mapping'!C13,IF('02 Assumptions'!$D$24=2,'Data OECD Mapping'!D13,'Data OECD Mapping'!E13))</x:f>
        <x:v>0.0173056950280382</x:v>
      </x:c>
      <x:c r="O53" t="n">
        <x:f>(1+'02 Assumptions'!$D$19)^(6*'02 Assumptions'!$D$20)</x:f>
        <x:v>1.1435821402312916</x:v>
      </x:c>
      <x:c r="P53" t="n">
        <x:f>(1+N53)^(6/10*'02 Assumptions'!$D$21)</x:f>
        <x:v>1.0046433143141564</x:v>
      </x:c>
      <x:c r="Q53" t="n">
        <x:f>(1+'02 Assumptions'!$D$15)^6*(1-'02 Assumptions'!$D$16)^(6*(1-'02 Assumptions'!$D$17))</x:f>
        <x:v>9.168181680586315</x:v>
      </x:c>
      <x:c r="R53" s="40" t="n">
        <x:f>F53*J53*M53*12/1000*(1-'02 Assumptions'!$D$14)*O53*P53*(1+'02 Assumptions'!$D$18)^6</x:f>
        <x:v>5.23454941786958</x:v>
      </x:c>
      <x:c r="S53" s="40" t="n">
        <x:f>F53*J53*M53*12/1000*'02 Assumptions'!$D$14*O53*P53*Q53</x:f>
        <x:v>72.50462799442981</x:v>
      </x:c>
      <x:c r="T53" s="40" t="n">
        <x:f>SUM(R53:S53)</x:f>
        <x:v>77.7391774122994</x:v>
      </x:c>
    </x:row>
    <x:row r="54">
      <x:c r="A54" t="n">
        <x:f>3</x:f>
        <x:v>3</x:v>
      </x:c>
      <x:c r="B54" t="str">
        <x:f>"Bull"</x:f>
        <x:v>Bull</x:v>
      </x:c>
      <x:c r="C54" t="str">
        <x:f>'Data BLS'!A14</x:f>
        <x:v>44-45</x:v>
      </x:c>
      <x:c r="D54" t="str">
        <x:f>'Data BLS'!B14</x:f>
        <x:v>Retail Trade</x:v>
      </x:c>
      <x:c r="E54" t="n">
        <x:f>'Data BLS'!C14/1000*('Data BLS'!D14/'Data BLS'!C14)^(1/10)*(IF('Data BLS'!E14="Excluded",0,IF('Data BLS'!E14="Partial",'02 Assumptions'!$D$22,1)))</x:f>
        <x:v>15.43814779354277</x:v>
      </x:c>
      <x:c r="F54" t="n">
        <x:f>E54*('Data BLS'!D14/'Data BLS'!C14)^(6/10)</x:f>
        <x:v>15.421644853435005</x:v>
      </x:c>
      <x:c r="G54" t="n">
        <x:f>'Data BEA'!C14*(IF('Data BLS'!E14="Excluded",0,IF('Data BLS'!E14="Partial",'02 Assumptions'!$D$22,1)))*IF(C54="53",'02 Assumptions'!$D$23,1)</x:f>
        <x:v>1867.8</x:v>
      </x:c>
      <x:c r="H54" s="32" t="n">
        <x:f>IF(E54=0,0,MIN(0.95,IF(ISNUMBER('Data Ramp Paid'!C14),'Data Ramp Paid'!C14,'Data Ramp Spend'!$C$11*IF(ISNUMBER('Data Census'!C14),('Data Census'!C14/'Data Census'!$D$8)^'02 Assumptions'!$D$10,1))))</x:f>
        <x:v>0.4877451</x:v>
      </x:c>
      <x:c r="I54" s="32" t="n">
        <x:f>MIN(0.98,H54*'02 Assumptions'!$D$11)</x:f>
        <x:v>0.546274512</x:v>
      </x:c>
      <x:c r="J54" s="32" t="n">
        <x:f>MIN(0.98,1-(1-I54)*(1-'02 Assumptions'!$D$12)^6)</x:f>
        <x:v>0.8164375338091077</x:v>
      </x:c>
      <x:c r="K54" t="n">
        <x:f>IFERROR(G54*1000/E54,0)</x:f>
        <x:v>120986.01626169393</x:v>
      </x:c>
      <x:c r="L54" t="n">
        <x:f>IFERROR(K54/$AA$10,0)</x:f>
        <x:v>0.6238399454733045</x:v>
      </x:c>
      <x:c r="M54" t="n">
        <x:f>IF(E54=0,0,'Data Ramp Spend'!$C$8*'02 Assumptions'!$D$8*'02 Assumptions'!$D$9*MIN(2,MAX(0.5,L54^'02 Assumptions'!$D$13)))</x:f>
        <x:v>130.12423964963838</x:v>
      </x:c>
      <x:c r="N54" s="32" t="n">
        <x:f>IF('02 Assumptions'!$D$24=1,'Data OECD Mapping'!C14,IF('02 Assumptions'!$D$24=2,'Data OECD Mapping'!D14,'Data OECD Mapping'!E14))</x:f>
        <x:v>0.0173056950280382</x:v>
      </x:c>
      <x:c r="O54" t="n">
        <x:f>(1+'02 Assumptions'!$D$19)^(6*'02 Assumptions'!$D$20)</x:f>
        <x:v>1.1435821402312916</x:v>
      </x:c>
      <x:c r="P54" t="n">
        <x:f>(1+N54)^(6/10*'02 Assumptions'!$D$21)</x:f>
        <x:v>1.0046433143141564</x:v>
      </x:c>
      <x:c r="Q54" t="n">
        <x:f>(1+'02 Assumptions'!$D$15)^6*(1-'02 Assumptions'!$D$16)^(6*(1-'02 Assumptions'!$D$17))</x:f>
        <x:v>9.168181680586315</x:v>
      </x:c>
      <x:c r="R54" s="40" t="n">
        <x:f>F54*J54*M54*12/1000*(1-'02 Assumptions'!$D$14)*O54*P54*(1+'02 Assumptions'!$D$18)^6</x:f>
        <x:v>9.718125792074908</x:v>
      </x:c>
      <x:c r="S54" s="40" t="n">
        <x:f>F54*J54*M54*12/1000*'02 Assumptions'!$D$14*O54*P54*Q54</x:f>
        <x:v>134.6074015371957</x:v>
      </x:c>
      <x:c r="T54" s="40" t="n">
        <x:f>SUM(R54:S54)</x:f>
        <x:v>144.3255273292706</x:v>
      </x:c>
    </x:row>
    <x:row r="55">
      <x:c r="A55" t="n">
        <x:f>3</x:f>
        <x:v>3</x:v>
      </x:c>
      <x:c r="B55" t="str">
        <x:f>"Bull"</x:f>
        <x:v>Bull</x:v>
      </x:c>
      <x:c r="C55" t="str">
        <x:f>'Data BLS'!A15</x:f>
        <x:v>48-49</x:v>
      </x:c>
      <x:c r="D55" t="str">
        <x:f>'Data BLS'!B15</x:f>
        <x:v>Transportation and Warehousing</x:v>
      </x:c>
      <x:c r="E55" t="n">
        <x:f>'Data BLS'!C15/1000*('Data BLS'!D15/'Data BLS'!C15)^(1/10)*(IF('Data BLS'!E15="Excluded",0,IF('Data BLS'!E15="Partial",'02 Assumptions'!$D$22,1)))</x:f>
        <x:v>6.65994437547979</x:v>
      </x:c>
      <x:c r="F55" t="n">
        <x:f>E55*('Data BLS'!D15/'Data BLS'!C15)^(6/10)</x:f>
        <x:v>6.783939434295177</x:v>
      </x:c>
      <x:c r="G55" t="n">
        <x:f>'Data BEA'!C15*(IF('Data BLS'!E15="Excluded",0,IF('Data BLS'!E15="Partial",'02 Assumptions'!$D$22,1)))*IF(C55="53",'02 Assumptions'!$D$23,1)</x:f>
        <x:v>1051.1</x:v>
      </x:c>
      <x:c r="H55" s="32" t="n">
        <x:f>IF(E55=0,0,MIN(0.95,IF(ISNUMBER('Data Ramp Paid'!C15),'Data Ramp Paid'!C15,'Data Ramp Spend'!$C$11*IF(ISNUMBER('Data Census'!C15),('Data Census'!C15/'Data Census'!$D$8)^'02 Assumptions'!$D$10,1))))</x:f>
        <x:v>0.5613226</x:v>
      </x:c>
      <x:c r="I55" s="32" t="n">
        <x:f>MIN(0.98,H55*'02 Assumptions'!$D$11)</x:f>
        <x:v>0.6286813120000001</x:v>
      </x:c>
      <x:c r="J55" s="32" t="n">
        <x:f>MIN(0.98,1-(1-I55)*(1-'02 Assumptions'!$D$12)^6)</x:f>
        <x:v>0.8497766250415131</x:v>
      </x:c>
      <x:c r="K55" t="n">
        <x:f>IFERROR(G55*1000/E55,0)</x:f>
        <x:v>157824.14097479268</x:v>
      </x:c>
      <x:c r="L55" t="n">
        <x:f>IFERROR(K55/$AA$10,0)</x:f>
        <x:v>0.8137882917569773</x:v>
      </x:c>
      <x:c r="M55" t="n">
        <x:f>IF(E55=0,0,'Data Ramp Spend'!$C$8*'02 Assumptions'!$D$8*'02 Assumptions'!$D$9*MIN(2,MAX(0.5,L55^'02 Assumptions'!$D$13)))</x:f>
        <x:v>139.064977275082</x:v>
      </x:c>
      <x:c r="N55" s="32" t="n">
        <x:f>IF('02 Assumptions'!$D$24=1,'Data OECD Mapping'!C15,IF('02 Assumptions'!$D$24=2,'Data OECD Mapping'!D15,'Data OECD Mapping'!E15))</x:f>
        <x:v>0.010617017305773621</x:v>
      </x:c>
      <x:c r="O55" t="n">
        <x:f>(1+'02 Assumptions'!$D$19)^(6*'02 Assumptions'!$D$20)</x:f>
        <x:v>1.1435821402312916</x:v>
      </x:c>
      <x:c r="P55" t="n">
        <x:f>(1+N55)^(6/10*'02 Assumptions'!$D$21)</x:f>
        <x:v>1.002855553536037</x:v>
      </x:c>
      <x:c r="Q55" t="n">
        <x:f>(1+'02 Assumptions'!$D$15)^6*(1-'02 Assumptions'!$D$16)^(6*(1-'02 Assumptions'!$D$17))</x:f>
        <x:v>9.168181680586315</x:v>
      </x:c>
      <x:c r="R55" s="40" t="n">
        <x:f>F55*J55*M55*12/1000*(1-'02 Assumptions'!$D$14)*O55*P55*(1+'02 Assumptions'!$D$18)^6</x:f>
        <x:v>4.74680781856435</x:v>
      </x:c>
      <x:c r="S55" s="40" t="n">
        <x:f>F55*J55*M55*12/1000*'02 Assumptions'!$D$14*O55*P55*Q55</x:f>
        <x:v>65.74883673294877</x:v>
      </x:c>
      <x:c r="T55" s="40" t="n">
        <x:f>SUM(R55:S55)</x:f>
        <x:v>70.49564455151312</x:v>
      </x:c>
    </x:row>
    <x:row r="56">
      <x:c r="A56" t="n">
        <x:f>3</x:f>
        <x:v>3</x:v>
      </x:c>
      <x:c r="B56" t="str">
        <x:f>"Bull"</x:f>
        <x:v>Bull</x:v>
      </x:c>
      <x:c r="C56" t="str">
        <x:f>'Data BLS'!A16</x:f>
        <x:v>51</x:v>
      </x:c>
      <x:c r="D56" t="str">
        <x:f>'Data BLS'!B16</x:f>
        <x:v>Information</x:v>
      </x:c>
      <x:c r="E56" t="n">
        <x:f>'Data BLS'!C16/1000*('Data BLS'!D16/'Data BLS'!C16)^(1/10)*(IF('Data BLS'!E16="Excluded",0,IF('Data BLS'!E16="Partial",'02 Assumptions'!$D$22,1)))</x:f>
        <x:v>2.876653021264812</x:v>
      </x:c>
      <x:c r="F56" t="n">
        <x:f>E56*('Data BLS'!D16/'Data BLS'!C16)^(6/10)</x:f>
        <x:v>2.9667820217101046</x:v>
      </x:c>
      <x:c r="G56" t="n">
        <x:f>'Data BEA'!C16*(IF('Data BLS'!E16="Excluded",0,IF('Data BLS'!E16="Partial",'02 Assumptions'!$D$22,1)))*IF(C56="53",'02 Assumptions'!$D$23,1)</x:f>
        <x:v>1916.3</x:v>
      </x:c>
      <x:c r="H56" s="32" t="n">
        <x:f>IF(E56=0,0,MIN(0.95,IF(ISNUMBER('Data Ramp Paid'!C16),'Data Ramp Paid'!C16,'Data Ramp Spend'!$C$11*IF(ISNUMBER('Data Census'!C16),('Data Census'!C16/'Data Census'!$D$8)^'02 Assumptions'!$D$10,1))))</x:f>
        <x:v>0.8092331</x:v>
      </x:c>
      <x:c r="I56" s="32" t="n">
        <x:f>MIN(0.98,H56*'02 Assumptions'!$D$11)</x:f>
        <x:v>0.9063410720000001</x:v>
      </x:c>
      <x:c r="J56" s="32" t="n">
        <x:f>MIN(0.98,1-(1-I56)*(1-'02 Assumptions'!$D$12)^6)</x:f>
        <x:v>0.9621086664532383</x:v>
      </x:c>
      <x:c r="K56" t="n">
        <x:f>IFERROR(G56*1000/E56,0)</x:f>
        <x:v>666156.114704942</x:v>
      </x:c>
      <x:c r="L56" t="n">
        <x:f>IFERROR(K56/$AA$10,0)</x:f>
        <x:v>3.434899396764557</x:v>
      </x:c>
      <x:c r="M56" t="n">
        <x:f>IF(E56=0,0,'Data Ramp Spend'!$C$8*'02 Assumptions'!$D$8*'02 Assumptions'!$D$9*MIN(2,MAX(0.5,L56^'02 Assumptions'!$D$13)))</x:f>
        <x:v>199.3280486941335</x:v>
      </x:c>
      <x:c r="N56" s="32" t="n">
        <x:f>IF('02 Assumptions'!$D$24=1,'Data OECD Mapping'!C16,IF('02 Assumptions'!$D$24=2,'Data OECD Mapping'!D16,'Data OECD Mapping'!E16))</x:f>
        <x:v>0.18340012437672934</x:v>
      </x:c>
      <x:c r="O56" t="n">
        <x:f>(1+'02 Assumptions'!$D$19)^(6*'02 Assumptions'!$D$20)</x:f>
        <x:v>1.1435821402312916</x:v>
      </x:c>
      <x:c r="P56" t="n">
        <x:f>(1+N56)^(6/10*'02 Assumptions'!$D$21)</x:f>
        <x:v>1.046515186199995</x:v>
      </x:c>
      <x:c r="Q56" t="n">
        <x:f>(1+'02 Assumptions'!$D$15)^6*(1-'02 Assumptions'!$D$16)^(6*(1-'02 Assumptions'!$D$17))</x:f>
        <x:v>9.168181680586315</x:v>
      </x:c>
      <x:c r="R56" s="40" t="n">
        <x:f>F56*J56*M56*12/1000*(1-'02 Assumptions'!$D$14)*O56*P56*(1+'02 Assumptions'!$D$18)^6</x:f>
        <x:v>3.515462493205293</x:v>
      </x:c>
      <x:c r="S56" s="40" t="n">
        <x:f>F56*J56*M56*12/1000*'02 Assumptions'!$D$14*O56*P56*Q56</x:f>
        <x:v>48.69326468255173</x:v>
      </x:c>
      <x:c r="T56" s="40" t="n">
        <x:f>SUM(R56:S56)</x:f>
        <x:v>52.20872717575702</x:v>
      </x:c>
    </x:row>
    <x:row r="57">
      <x:c r="A57" t="n">
        <x:f>3</x:f>
        <x:v>3</x:v>
      </x:c>
      <x:c r="B57" t="str">
        <x:f>"Bull"</x:f>
        <x:v>Bull</x:v>
      </x:c>
      <x:c r="C57" t="str">
        <x:f>'Data BLS'!A17</x:f>
        <x:v>52</x:v>
      </x:c>
      <x:c r="D57" t="str">
        <x:f>'Data BLS'!B17</x:f>
        <x:v>Finance and Insurance</x:v>
      </x:c>
      <x:c r="E57" t="n">
        <x:f>'Data BLS'!C17/1000*('Data BLS'!D17/'Data BLS'!C17)^(1/10)*(IF('Data BLS'!E17="Excluded",0,IF('Data BLS'!E17="Partial",'02 Assumptions'!$D$22,1)))</x:f>
        <x:v>6.754573292357479</x:v>
      </x:c>
      <x:c r="F57" t="n">
        <x:f>E57*('Data BLS'!D17/'Data BLS'!C17)^(6/10)</x:f>
        <x:v>6.846942690237942</x:v>
      </x:c>
      <x:c r="G57" t="n">
        <x:f>'Data BEA'!C17*(IF('Data BLS'!E17="Excluded",0,IF('Data BLS'!E17="Partial",'02 Assumptions'!$D$22,1)))*IF(C57="53",'02 Assumptions'!$D$23,1)</x:f>
        <x:v>2934.6</x:v>
      </x:c>
      <x:c r="H57" s="32" t="n">
        <x:f>IF(E57=0,0,MIN(0.95,IF(ISNUMBER('Data Ramp Paid'!C17),'Data Ramp Paid'!C17,'Data Ramp Spend'!$C$11*IF(ISNUMBER('Data Census'!C17),('Data Census'!C17/'Data Census'!$D$8)^'02 Assumptions'!$D$10,1))))</x:f>
        <x:v>0.7370507</x:v>
      </x:c>
      <x:c r="I57" s="32" t="n">
        <x:f>MIN(0.98,H57*'02 Assumptions'!$D$11)</x:f>
        <x:v>0.825496784</x:v>
      </x:c>
      <x:c r="J57" s="32" t="n">
        <x:f>MIN(0.98,1-(1-I57)*(1-'02 Assumptions'!$D$12)^6)</x:f>
        <x:v>0.9294017163805398</x:v>
      </x:c>
      <x:c r="K57" t="n">
        <x:f>IFERROR(G57*1000/E57,0)</x:f>
        <x:v>434461.19732246874</x:v>
      </x:c>
      <x:c r="L57" t="n">
        <x:f>IFERROR(K57/$AA$10,0)</x:f>
        <x:v>2.240211373367859</x:v>
      </x:c>
      <x:c r="M57" t="n">
        <x:f>IF(E57=0,0,'Data Ramp Spend'!$C$8*'02 Assumptions'!$D$8*'02 Assumptions'!$D$9*MIN(2,MAX(0.5,L57^'02 Assumptions'!$D$13)))</x:f>
        <x:v>179.12745652973203</x:v>
      </x:c>
      <x:c r="N57" s="32" t="n">
        <x:f>IF('02 Assumptions'!$D$24=1,'Data OECD Mapping'!C17,IF('02 Assumptions'!$D$24=2,'Data OECD Mapping'!D17,'Data OECD Mapping'!E17))</x:f>
        <x:v>0.109327502939443</x:v>
      </x:c>
      <x:c r="O57" t="n">
        <x:f>(1+'02 Assumptions'!$D$19)^(6*'02 Assumptions'!$D$20)</x:f>
        <x:v>1.1435821402312916</x:v>
      </x:c>
      <x:c r="P57" t="n">
        <x:f>(1+N57)^(6/10*'02 Assumptions'!$D$21)</x:f>
        <x:v>1.0284096441634263</x:v>
      </x:c>
      <x:c r="Q57" t="n">
        <x:f>(1+'02 Assumptions'!$D$15)^6*(1-'02 Assumptions'!$D$16)^(6*(1-'02 Assumptions'!$D$17))</x:f>
        <x:v>9.168181680586315</x:v>
      </x:c>
      <x:c r="R57" s="40" t="n">
        <x:f>F57*J57*M57*12/1000*(1-'02 Assumptions'!$D$14)*O57*P57*(1+'02 Assumptions'!$D$18)^6</x:f>
        <x:v>6.921292707276402</x:v>
      </x:c>
      <x:c r="S57" s="40" t="n">
        <x:f>F57*J57*M57*12/1000*'02 Assumptions'!$D$14*O57*P57*Q57</x:f>
        <x:v>95.86799415218331</x:v>
      </x:c>
      <x:c r="T57" s="40" t="n">
        <x:f>SUM(R57:S57)</x:f>
        <x:v>102.78928685945972</x:v>
      </x:c>
    </x:row>
    <x:row r="58">
      <x:c r="A58" t="n">
        <x:f>3</x:f>
        <x:v>3</x:v>
      </x:c>
      <x:c r="B58" t="str">
        <x:f>"Bull"</x:f>
        <x:v>Bull</x:v>
      </x:c>
      <x:c r="C58" t="str">
        <x:f>'Data BLS'!A18</x:f>
        <x:v>53</x:v>
      </x:c>
      <x:c r="D58" t="str">
        <x:f>'Data BLS'!B18</x:f>
        <x:v>Real Estate and Rental and Leasing</x:v>
      </x:c>
      <x:c r="E58" t="n">
        <x:f>'Data BLS'!C18/1000*('Data BLS'!D18/'Data BLS'!C18)^(1/10)*(IF('Data BLS'!E18="Excluded",0,IF('Data BLS'!E18="Partial",'02 Assumptions'!$D$22,1)))</x:f>
        <x:v>2.4648764480604</x:v>
      </x:c>
      <x:c r="F58" t="n">
        <x:f>E58*('Data BLS'!D18/'Data BLS'!C18)^(6/10)</x:f>
        <x:v>2.5145097910591607</x:v>
      </x:c>
      <x:c r="G58" t="n">
        <x:f>'Data BEA'!C18*(IF('Data BLS'!E18="Excluded",0,IF('Data BLS'!E18="Partial",'02 Assumptions'!$D$22,1)))*IF(C58="53",'02 Assumptions'!$D$23,1)</x:f>
        <x:v>1986.84</x:v>
      </x:c>
      <x:c r="H58" s="32" t="n">
        <x:f>IF(E58=0,0,MIN(0.95,IF(ISNUMBER('Data Ramp Paid'!C18),'Data Ramp Paid'!C18,'Data Ramp Spend'!$C$11*IF(ISNUMBER('Data Census'!C18),('Data Census'!C18/'Data Census'!$D$8)^'02 Assumptions'!$D$10,1))))</x:f>
        <x:v>0.5613226</x:v>
      </x:c>
      <x:c r="I58" s="32" t="n">
        <x:f>MIN(0.98,H58*'02 Assumptions'!$D$11)</x:f>
        <x:v>0.6286813120000001</x:v>
      </x:c>
      <x:c r="J58" s="32" t="n">
        <x:f>MIN(0.98,1-(1-I58)*(1-'02 Assumptions'!$D$12)^6)</x:f>
        <x:v>0.8497766250415131</x:v>
      </x:c>
      <x:c r="K58" t="n">
        <x:f>IFERROR(G58*1000/E58,0)</x:f>
        <x:v>806060.6857448921</x:v>
      </x:c>
      <x:c r="L58" t="n">
        <x:f>IFERROR(K58/$AA$10,0)</x:f>
        <x:v>4.156289047120886</x:v>
      </x:c>
      <x:c r="M58" t="n">
        <x:f>IF(E58=0,0,'Data Ramp Spend'!$C$8*'02 Assumptions'!$D$8*'02 Assumptions'!$D$9*MIN(2,MAX(0.5,L58^'02 Assumptions'!$D$13)))</x:f>
        <x:v>209.0577854213226</x:v>
      </x:c>
      <x:c r="N58" s="32" t="n">
        <x:f>IF('02 Assumptions'!$D$24=1,'Data OECD Mapping'!C18,IF('02 Assumptions'!$D$24=2,'Data OECD Mapping'!D18,'Data OECD Mapping'!E18))</x:f>
        <x:v>0.0617439735019932</x:v>
      </x:c>
      <x:c r="O58" t="n">
        <x:f>(1+'02 Assumptions'!$D$19)^(6*'02 Assumptions'!$D$20)</x:f>
        <x:v>1.1435821402312916</x:v>
      </x:c>
      <x:c r="P58" t="n">
        <x:f>(1+N58)^(6/10*'02 Assumptions'!$D$21)</x:f>
        <x:v>1.0163080071236905</x:v>
      </x:c>
      <x:c r="Q58" t="n">
        <x:f>(1+'02 Assumptions'!$D$15)^6*(1-'02 Assumptions'!$D$16)^(6*(1-'02 Assumptions'!$D$17))</x:f>
        <x:v>9.168181680586315</x:v>
      </x:c>
      <x:c r="R58" s="40" t="n">
        <x:f>F58*J58*M58*12/1000*(1-'02 Assumptions'!$D$14)*O58*P58*(1+'02 Assumptions'!$D$18)^6</x:f>
        <x:v>2.6804552299464492</x:v>
      </x:c>
      <x:c r="S58" s="40" t="n">
        <x:f>F58*J58*M58*12/1000*'02 Assumptions'!$D$14*O58*P58*Q58</x:f>
        <x:v>37.12743806363532</x:v>
      </x:c>
      <x:c r="T58" s="40" t="n">
        <x:f>SUM(R58:S58)</x:f>
        <x:v>39.80789329358176</x:v>
      </x:c>
    </x:row>
    <x:row r="59">
      <x:c r="A59" t="n">
        <x:f>3</x:f>
        <x:v>3</x:v>
      </x:c>
      <x:c r="B59" t="str">
        <x:f>"Bull"</x:f>
        <x:v>Bull</x:v>
      </x:c>
      <x:c r="C59" t="str">
        <x:f>'Data BLS'!A19</x:f>
        <x:v>54</x:v>
      </x:c>
      <x:c r="D59" t="str">
        <x:f>'Data BLS'!B19</x:f>
        <x:v>Professional, Scientific and Technical Services</x:v>
      </x:c>
      <x:c r="E59" t="n">
        <x:f>'Data BLS'!C19/1000*('Data BLS'!D19/'Data BLS'!C19)^(1/10)*(IF('Data BLS'!E19="Excluded",0,IF('Data BLS'!E19="Partial",'02 Assumptions'!$D$22,1)))</x:f>
        <x:v>10.868468674762415</x:v>
      </x:c>
      <x:c r="F59" t="n">
        <x:f>E59*('Data BLS'!D19/'Data BLS'!C19)^(6/10)</x:f>
        <x:v>11.419821768112346</x:v>
      </x:c>
      <x:c r="G59" t="n">
        <x:f>'Data BEA'!C19*(IF('Data BLS'!E19="Excluded",0,IF('Data BLS'!E19="Partial",'02 Assumptions'!$D$22,1)))*IF(C59="53",'02 Assumptions'!$D$23,1)</x:f>
        <x:v>2593.3</x:v>
      </x:c>
      <x:c r="H59" s="32" t="n">
        <x:f>IF(E59=0,0,MIN(0.95,IF(ISNUMBER('Data Ramp Paid'!C19),'Data Ramp Paid'!C19,'Data Ramp Spend'!$C$11*IF(ISNUMBER('Data Census'!C19),('Data Census'!C19/'Data Census'!$D$8)^'02 Assumptions'!$D$10,1))))</x:f>
        <x:v>0.8533951800863804</x:v>
      </x:c>
      <x:c r="I59" s="32" t="n">
        <x:f>MIN(0.98,H59*'02 Assumptions'!$D$11)</x:f>
        <x:v>0.9558026016967461</x:v>
      </x:c>
      <x:c r="J59" s="32" t="n">
        <x:f>MIN(0.98,1-(1-I59)*(1-'02 Assumptions'!$D$12)^6)</x:f>
        <x:v>0.98</x:v>
      </x:c>
      <x:c r="K59" t="n">
        <x:f>IFERROR(G59*1000/E59,0)</x:f>
        <x:v>238607.67120044073</x:v>
      </x:c>
      <x:c r="L59" t="n">
        <x:f>IFERROR(K59/$AA$10,0)</x:f>
        <x:v>1.2303322416139781</x:v>
      </x:c>
      <x:c r="M59" t="n">
        <x:f>IF(E59=0,0,'Data Ramp Spend'!$C$8*'02 Assumptions'!$D$8*'02 Assumptions'!$D$9*MIN(2,MAX(0.5,L59^'02 Assumptions'!$D$13)))</x:f>
        <x:v>154.20395448771148</x:v>
      </x:c>
      <x:c r="N59" s="32" t="n">
        <x:f>IF('02 Assumptions'!$D$24=1,'Data OECD Mapping'!C19,IF('02 Assumptions'!$D$24=2,'Data OECD Mapping'!D19,'Data OECD Mapping'!E19))</x:f>
        <x:v>0.149583914710917</x:v>
      </x:c>
      <x:c r="O59" t="n">
        <x:f>(1+'02 Assumptions'!$D$19)^(6*'02 Assumptions'!$D$20)</x:f>
        <x:v>1.1435821402312916</x:v>
      </x:c>
      <x:c r="P59" t="n">
        <x:f>(1+N59)^(6/10*'02 Assumptions'!$D$21)</x:f>
        <x:v>1.038355298057195</x:v>
      </x:c>
      <x:c r="Q59" t="n">
        <x:f>(1+'02 Assumptions'!$D$15)^6*(1-'02 Assumptions'!$D$16)^(6*(1-'02 Assumptions'!$D$17))</x:f>
        <x:v>9.168181680586315</x:v>
      </x:c>
      <x:c r="R59" s="40" t="n">
        <x:f>F59*J59*M59*12/1000*(1-'02 Assumptions'!$D$14)*O59*P59*(1+'02 Assumptions'!$D$18)^6</x:f>
        <x:v>10.579999548583947</x:v>
      </x:c>
      <x:c r="S59" s="40" t="n">
        <x:f>F59*J59*M59*12/1000*'02 Assumptions'!$D$14*O59*P59*Q59</x:f>
        <x:v>146.54536049131767</x:v>
      </x:c>
      <x:c r="T59" s="40" t="n">
        <x:f>SUM(R59:S59)</x:f>
        <x:v>157.1253600399016</x:v>
      </x:c>
    </x:row>
    <x:row r="60">
      <x:c r="A60" t="n">
        <x:f>3</x:f>
        <x:v>3</x:v>
      </x:c>
      <x:c r="B60" t="str">
        <x:f>"Bull"</x:f>
        <x:v>Bull</x:v>
      </x:c>
      <x:c r="C60" t="str">
        <x:f>'Data BLS'!A20</x:f>
        <x:v>55</x:v>
      </x:c>
      <x:c r="D60" t="str">
        <x:f>'Data BLS'!B20</x:f>
        <x:v>Management of Companies and Enterprises</x:v>
      </x:c>
      <x:c r="E60" t="n">
        <x:f>'Data BLS'!C20/1000*('Data BLS'!D20/'Data BLS'!C20)^(1/10)*(IF('Data BLS'!E20="Excluded",0,IF('Data BLS'!E20="Partial",'02 Assumptions'!$D$22,1)))</x:f>
        <x:v>2.634179619347046</x:v>
      </x:c>
      <x:c r="F60" t="n">
        <x:f>E60*('Data BLS'!D20/'Data BLS'!C20)^(6/10)</x:f>
        <x:v>2.6979422251742533</x:v>
      </x:c>
      <x:c r="G60" t="n">
        <x:f>'Data BEA'!C20*(IF('Data BLS'!E20="Excluded",0,IF('Data BLS'!E20="Partial",'02 Assumptions'!$D$22,1)))*IF(C60="53",'02 Assumptions'!$D$23,1)</x:f>
        <x:v>583.8</x:v>
      </x:c>
      <x:c r="H60" s="32" t="n">
        <x:f>IF(E60=0,0,MIN(0.95,IF(ISNUMBER('Data Ramp Paid'!C20),'Data Ramp Paid'!C20,'Data Ramp Spend'!$C$11*IF(ISNUMBER('Data Census'!C20),('Data Census'!C20/'Data Census'!$D$8)^'02 Assumptions'!$D$10,1))))</x:f>
        <x:v>0.5613226</x:v>
      </x:c>
      <x:c r="I60" s="32" t="n">
        <x:f>MIN(0.98,H60*'02 Assumptions'!$D$11)</x:f>
        <x:v>0.6286813120000001</x:v>
      </x:c>
      <x:c r="J60" s="32" t="n">
        <x:f>MIN(0.98,1-(1-I60)*(1-'02 Assumptions'!$D$12)^6)</x:f>
        <x:v>0.8497766250415131</x:v>
      </x:c>
      <x:c r="K60" t="n">
        <x:f>IFERROR(G60*1000/E60,0)</x:f>
        <x:v>221624.97792945147</x:v>
      </x:c>
      <x:c r="L60" t="n">
        <x:f>IFERROR(K60/$AA$10,0)</x:f>
        <x:v>1.1427644154178678</x:v>
      </x:c>
      <x:c r="M60" t="n">
        <x:f>IF(E60=0,0,'Data Ramp Spend'!$C$8*'02 Assumptions'!$D$8*'02 Assumptions'!$D$9*MIN(2,MAX(0.5,L60^'02 Assumptions'!$D$13)))</x:f>
        <x:v>151.38368997798372</x:v>
      </x:c>
      <x:c r="N60" s="32" t="n">
        <x:f>IF('02 Assumptions'!$D$24=1,'Data OECD Mapping'!C20,IF('02 Assumptions'!$D$24=2,'Data OECD Mapping'!D20,'Data OECD Mapping'!E20))</x:f>
        <x:v>0.149583914710917</x:v>
      </x:c>
      <x:c r="O60" t="n">
        <x:f>(1+'02 Assumptions'!$D$19)^(6*'02 Assumptions'!$D$20)</x:f>
        <x:v>1.1435821402312916</x:v>
      </x:c>
      <x:c r="P60" t="n">
        <x:f>(1+N60)^(6/10*'02 Assumptions'!$D$21)</x:f>
        <x:v>1.038355298057195</x:v>
      </x:c>
      <x:c r="Q60" t="n">
        <x:f>(1+'02 Assumptions'!$D$15)^6*(1-'02 Assumptions'!$D$16)^(6*(1-'02 Assumptions'!$D$17))</x:f>
        <x:v>9.168181680586315</x:v>
      </x:c>
      <x:c r="R60" s="40" t="n">
        <x:f>F60*J60*M60*12/1000*(1-'02 Assumptions'!$D$14)*O60*P60*(1+'02 Assumptions'!$D$18)^6</x:f>
        <x:v>2.127753185877623</x:v>
      </x:c>
      <x:c r="S60" s="40" t="n">
        <x:f>F60*J60*M60*12/1000*'02 Assumptions'!$D$14*O60*P60*Q60</x:f>
        <x:v>29.47186871125335</x:v>
      </x:c>
      <x:c r="T60" s="40" t="n">
        <x:f>SUM(R60:S60)</x:f>
        <x:v>31.599621897130973</x:v>
      </x:c>
    </x:row>
    <x:row r="61">
      <x:c r="A61" t="n">
        <x:f>3</x:f>
        <x:v>3</x:v>
      </x:c>
      <x:c r="B61" t="str">
        <x:f>"Bull"</x:f>
        <x:v>Bull</x:v>
      </x:c>
      <x:c r="C61" t="str">
        <x:f>'Data BLS'!A21</x:f>
        <x:v>56</x:v>
      </x:c>
      <x:c r="D61" t="str">
        <x:f>'Data BLS'!B21</x:f>
        <x:v>Administrative, Support and Waste Services</x:v>
      </x:c>
      <x:c r="E61" t="n">
        <x:f>'Data BLS'!C21/1000*('Data BLS'!D21/'Data BLS'!C21)^(1/10)*(IF('Data BLS'!E21="Excluded",0,IF('Data BLS'!E21="Partial",'02 Assumptions'!$D$22,1)))</x:f>
        <x:v>9.021107907338024</x:v>
      </x:c>
      <x:c r="F61" t="n">
        <x:f>E61*('Data BLS'!D21/'Data BLS'!C21)^(6/10)</x:f>
        <x:v>9.069304984019729</x:v>
      </x:c>
      <x:c r="G61" t="n">
        <x:f>'Data BEA'!C21*(IF('Data BLS'!E21="Excluded",0,IF('Data BLS'!E21="Partial",'02 Assumptions'!$D$22,1)))*IF(C61="53",'02 Assumptions'!$D$23,1)</x:f>
        <x:v>952.7</x:v>
      </x:c>
      <x:c r="H61" s="32" t="n">
        <x:f>IF(E61=0,0,MIN(0.95,IF(ISNUMBER('Data Ramp Paid'!C21),'Data Ramp Paid'!C21,'Data Ramp Spend'!$C$11*IF(ISNUMBER('Data Census'!C21),('Data Census'!C21/'Data Census'!$D$8)^'02 Assumptions'!$D$10,1))))</x:f>
        <x:v>0.5613226</x:v>
      </x:c>
      <x:c r="I61" s="32" t="n">
        <x:f>MIN(0.98,H61*'02 Assumptions'!$D$11)</x:f>
        <x:v>0.6286813120000001</x:v>
      </x:c>
      <x:c r="J61" s="32" t="n">
        <x:f>MIN(0.98,1-(1-I61)*(1-'02 Assumptions'!$D$12)^6)</x:f>
        <x:v>0.8497766250415131</x:v>
      </x:c>
      <x:c r="K61" t="n">
        <x:f>IFERROR(G61*1000/E61,0)</x:f>
        <x:v>105607.87098279214</x:v>
      </x:c>
      <x:c r="L61" t="n">
        <x:f>IFERROR(K61/$AA$10,0)</x:f>
        <x:v>0.5445456467708841</x:v>
      </x:c>
      <x:c r="M61" t="n">
        <x:f>IF(E61=0,0,'Data Ramp Spend'!$C$8*'02 Assumptions'!$D$8*'02 Assumptions'!$D$9*MIN(2,MAX(0.5,L61^'02 Assumptions'!$D$13)))</x:f>
        <x:v>125.77620375817185</x:v>
      </x:c>
      <x:c r="N61" s="32" t="n">
        <x:f>IF('02 Assumptions'!$D$24=1,'Data OECD Mapping'!C21,IF('02 Assumptions'!$D$24=2,'Data OECD Mapping'!D21,'Data OECD Mapping'!E21))</x:f>
        <x:v>0.0328930849758054</x:v>
      </x:c>
      <x:c r="O61" t="n">
        <x:f>(1+'02 Assumptions'!$D$19)^(6*'02 Assumptions'!$D$20)</x:f>
        <x:v>1.1435821402312916</x:v>
      </x:c>
      <x:c r="P61" t="n">
        <x:f>(1+N61)^(6/10*'02 Assumptions'!$D$21)</x:f>
        <x:v>1.0087764844870082</x:v>
      </x:c>
      <x:c r="Q61" t="n">
        <x:f>(1+'02 Assumptions'!$D$15)^6*(1-'02 Assumptions'!$D$16)^(6*(1-'02 Assumptions'!$D$17))</x:f>
        <x:v>9.168181680586315</x:v>
      </x:c>
      <x:c r="R61" s="40" t="n">
        <x:f>F61*J61*M61*12/1000*(1-'02 Assumptions'!$D$14)*O61*P61*(1+'02 Assumptions'!$D$18)^6</x:f>
        <x:v>5.7733910294400435</x:v>
      </x:c>
      <x:c r="S61" s="40" t="n">
        <x:f>F61*J61*M61*12/1000*'02 Assumptions'!$D$14*O61*P61*Q61</x:f>
        <x:v>79.96821415553555</x:v>
      </x:c>
      <x:c r="T61" s="40" t="n">
        <x:f>SUM(R61:S61)</x:f>
        <x:v>85.7416051849756</x:v>
      </x:c>
    </x:row>
    <x:row r="62">
      <x:c r="A62" t="n">
        <x:f>3</x:f>
        <x:v>3</x:v>
      </x:c>
      <x:c r="B62" t="str">
        <x:f>"Bull"</x:f>
        <x:v>Bull</x:v>
      </x:c>
      <x:c r="C62" t="str">
        <x:f>'Data BLS'!A22</x:f>
        <x:v>61</x:v>
      </x:c>
      <x:c r="D62" t="str">
        <x:f>'Data BLS'!B22</x:f>
        <x:v>Educational Services (Private)</x:v>
      </x:c>
      <x:c r="E62" t="n">
        <x:f>'Data BLS'!C22/1000*('Data BLS'!D22/'Data BLS'!C22)^(1/10)*(IF('Data BLS'!E22="Excluded",0,IF('Data BLS'!E22="Partial",'02 Assumptions'!$D$22,1)))</x:f>
        <x:v>4.058895956130902</x:v>
      </x:c>
      <x:c r="F62" t="n">
        <x:f>E62*('Data BLS'!D22/'Data BLS'!C22)^(6/10)</x:f>
        <x:v>4.120002569455197</x:v>
      </x:c>
      <x:c r="G62" t="n">
        <x:f>'Data BEA'!C22*(IF('Data BLS'!E22="Excluded",0,IF('Data BLS'!E22="Partial",'02 Assumptions'!$D$22,1)))*IF(C62="53",'02 Assumptions'!$D$23,1)</x:f>
        <x:v>365.2</x:v>
      </x:c>
      <x:c r="H62" s="32" t="n">
        <x:f>IF(E62=0,0,MIN(0.95,IF(ISNUMBER('Data Ramp Paid'!C22),'Data Ramp Paid'!C22,'Data Ramp Spend'!$C$11*IF(ISNUMBER('Data Census'!C22),('Data Census'!C22/'Data Census'!$D$8)^'02 Assumptions'!$D$10,1))))</x:f>
        <x:v>0.5613226</x:v>
      </x:c>
      <x:c r="I62" s="32" t="n">
        <x:f>MIN(0.98,H62*'02 Assumptions'!$D$11)</x:f>
        <x:v>0.6286813120000001</x:v>
      </x:c>
      <x:c r="J62" s="32" t="n">
        <x:f>MIN(0.98,1-(1-I62)*(1-'02 Assumptions'!$D$12)^6)</x:f>
        <x:v>0.8497766250415131</x:v>
      </x:c>
      <x:c r="K62" t="n">
        <x:f>IFERROR(G62*1000/E62,0)</x:f>
        <x:v>89975.20605286046</x:v>
      </x:c>
      <x:c r="L62" t="n">
        <x:f>IFERROR(K62/$AA$10,0)</x:f>
        <x:v>0.4639389689181582</x:v>
      </x:c>
      <x:c r="M62" t="n">
        <x:f>IF(E62=0,0,'Data Ramp Spend'!$C$8*'02 Assumptions'!$D$8*'02 Assumptions'!$D$9*MIN(2,MAX(0.5,L62^'02 Assumptions'!$D$13)))</x:f>
        <x:v>120.83844364877626</x:v>
      </x:c>
      <x:c r="N62" s="32" t="n">
        <x:f>IF('02 Assumptions'!$D$24=1,'Data OECD Mapping'!C22,IF('02 Assumptions'!$D$24=2,'Data OECD Mapping'!D22,'Data OECD Mapping'!E22))</x:f>
        <x:v>0.0822636415146217</x:v>
      </x:c>
      <x:c r="O62" t="n">
        <x:f>(1+'02 Assumptions'!$D$19)^(6*'02 Assumptions'!$D$20)</x:f>
        <x:v>1.1435821402312916</x:v>
      </x:c>
      <x:c r="P62" t="n">
        <x:f>(1+N62)^(6/10*'02 Assumptions'!$D$21)</x:f>
        <x:v>1.0215742289455476</x:v>
      </x:c>
      <x:c r="Q62" t="n">
        <x:f>(1+'02 Assumptions'!$D$15)^6*(1-'02 Assumptions'!$D$16)^(6*(1-'02 Assumptions'!$D$17))</x:f>
        <x:v>9.168181680586315</x:v>
      </x:c>
      <x:c r="R62" s="40" t="n">
        <x:f>F62*J62*M62*12/1000*(1-'02 Assumptions'!$D$14)*O62*P62*(1+'02 Assumptions'!$D$18)^6</x:f>
        <x:v>2.551737949814188</x:v>
      </x:c>
      <x:c r="S62" s="40" t="n">
        <x:f>F62*J62*M62*12/1000*'02 Assumptions'!$D$14*O62*P62*Q62</x:f>
        <x:v>35.344553278827476</x:v>
      </x:c>
      <x:c r="T62" s="40" t="n">
        <x:f>SUM(R62:S62)</x:f>
        <x:v>37.896291228641665</x:v>
      </x:c>
    </x:row>
    <x:row r="63">
      <x:c r="A63" t="n">
        <x:f>3</x:f>
        <x:v>3</x:v>
      </x:c>
      <x:c r="B63" t="str">
        <x:f>"Bull"</x:f>
        <x:v>Bull</x:v>
      </x:c>
      <x:c r="C63" t="str">
        <x:f>'Data BLS'!A23</x:f>
        <x:v>62</x:v>
      </x:c>
      <x:c r="D63" t="str">
        <x:f>'Data BLS'!B23</x:f>
        <x:v>Health Care and Social Assistance (Private)</x:v>
      </x:c>
      <x:c r="E63" t="n">
        <x:f>'Data BLS'!C23/1000*('Data BLS'!D23/'Data BLS'!C23)^(1/10)*(IF('Data BLS'!E23="Excluded",0,IF('Data BLS'!E23="Partial",'02 Assumptions'!$D$22,1)))</x:f>
        <x:v>23.501614630876432</x:v>
      </x:c>
      <x:c r="F63" t="n">
        <x:f>E63*('Data BLS'!D23/'Data BLS'!C23)^(6/10)</x:f>
        <x:v>24.812297123460553</x:v>
      </x:c>
      <x:c r="G63" t="n">
        <x:f>'Data BEA'!C23*(IF('Data BLS'!E23="Excluded",0,IF('Data BLS'!E23="Partial",'02 Assumptions'!$D$22,1)))*IF(C63="53",'02 Assumptions'!$D$23,1)</x:f>
        <x:v>2454.7</x:v>
      </x:c>
      <x:c r="H63" s="32" t="n">
        <x:f>IF(E63=0,0,MIN(0.95,IF(ISNUMBER('Data Ramp Paid'!C23),'Data Ramp Paid'!C23,'Data Ramp Spend'!$C$11*IF(ISNUMBER('Data Census'!C23),('Data Census'!C23/'Data Census'!$D$8)^'02 Assumptions'!$D$10,1))))</x:f>
        <x:v>0.4337242</x:v>
      </x:c>
      <x:c r="I63" s="32" t="n">
        <x:f>MIN(0.98,H63*'02 Assumptions'!$D$11)</x:f>
        <x:v>0.48577110400000006</x:v>
      </x:c>
      <x:c r="J63" s="32" t="n">
        <x:f>MIN(0.98,1-(1-I63)*(1-'02 Assumptions'!$D$12)^6)</x:f>
        <x:v>0.7919598373182424</x:v>
      </x:c>
      <x:c r="K63" t="n">
        <x:f>IFERROR(G63*1000/E63,0)</x:f>
        <x:v>104448.142757605</x:v>
      </x:c>
      <x:c r="L63" t="n">
        <x:f>IFERROR(K63/$AA$10,0)</x:f>
        <x:v>0.5385657425214567</x:v>
      </x:c>
      <x:c r="M63" t="n">
        <x:f>IF(E63=0,0,'Data Ramp Spend'!$C$8*'02 Assumptions'!$D$8*'02 Assumptions'!$D$9*MIN(2,MAX(0.5,L63^'02 Assumptions'!$D$13)))</x:f>
        <x:v>125.4294711397352</x:v>
      </x:c>
      <x:c r="N63" s="32" t="n">
        <x:f>IF('02 Assumptions'!$D$24=1,'Data OECD Mapping'!C23,IF('02 Assumptions'!$D$24=2,'Data OECD Mapping'!D23,'Data OECD Mapping'!E23))</x:f>
        <x:v>0.0418903865623875</x:v>
      </x:c>
      <x:c r="O63" t="n">
        <x:f>(1+'02 Assumptions'!$D$19)^(6*'02 Assumptions'!$D$20)</x:f>
        <x:v>1.1435821402312916</x:v>
      </x:c>
      <x:c r="P63" t="n">
        <x:f>(1+N63)^(6/10*'02 Assumptions'!$D$21)</x:f>
        <x:v>1.01114153014338</x:v>
      </x:c>
      <x:c r="Q63" t="n">
        <x:f>(1+'02 Assumptions'!$D$15)^6*(1-'02 Assumptions'!$D$16)^(6*(1-'02 Assumptions'!$D$17))</x:f>
        <x:v>9.168181680586315</x:v>
      </x:c>
      <x:c r="R63" s="40" t="n">
        <x:f>F63*J63*M63*12/1000*(1-'02 Assumptions'!$D$14)*O63*P63*(1+'02 Assumptions'!$D$18)^6</x:f>
        <x:v>14.714327692655264</x:v>
      </x:c>
      <x:c r="S63" s="40" t="n">
        <x:f>F63*J63*M63*12/1000*'02 Assumptions'!$D$14*O63*P63*Q63</x:f>
        <x:v>203.81063781766895</x:v>
      </x:c>
      <x:c r="T63" s="40" t="n">
        <x:f>SUM(R63:S63)</x:f>
        <x:v>218.52496551032422</x:v>
      </x:c>
    </x:row>
    <x:row r="64">
      <x:c r="A64" t="n">
        <x:f>3</x:f>
        <x:v>3</x:v>
      </x:c>
      <x:c r="B64" t="str">
        <x:f>"Bull"</x:f>
        <x:v>Bull</x:v>
      </x:c>
      <x:c r="C64" t="str">
        <x:f>'Data BLS'!A24</x:f>
        <x:v>71</x:v>
      </x:c>
      <x:c r="D64" t="str">
        <x:f>'Data BLS'!B24</x:f>
        <x:v>Arts, Entertainment and Recreation</x:v>
      </x:c>
      <x:c r="E64" t="n">
        <x:f>'Data BLS'!C24/1000*('Data BLS'!D24/'Data BLS'!C24)^(1/10)*(IF('Data BLS'!E24="Excluded",0,IF('Data BLS'!E24="Partial",'02 Assumptions'!$D$22,1)))</x:f>
        <x:v>2.696630332011054</x:v>
      </x:c>
      <x:c r="F64" t="n">
        <x:f>E64*('Data BLS'!D24/'Data BLS'!C24)^(6/10)</x:f>
        <x:v>2.787974225626306</x:v>
      </x:c>
      <x:c r="G64" t="n">
        <x:f>'Data BEA'!C24*(IF('Data BLS'!E24="Excluded",0,IF('Data BLS'!E24="Partial",'02 Assumptions'!$D$22,1)))*IF(C64="53",'02 Assumptions'!$D$23,1)</x:f>
        <x:v>331.2</x:v>
      </x:c>
      <x:c r="H64" s="32" t="n">
        <x:f>IF(E64=0,0,MIN(0.95,IF(ISNUMBER('Data Ramp Paid'!C24),'Data Ramp Paid'!C24,'Data Ramp Spend'!$C$11*IF(ISNUMBER('Data Census'!C24),('Data Census'!C24/'Data Census'!$D$8)^'02 Assumptions'!$D$10,1))))</x:f>
        <x:v>0.5613226</x:v>
      </x:c>
      <x:c r="I64" s="32" t="n">
        <x:f>MIN(0.98,H64*'02 Assumptions'!$D$11)</x:f>
        <x:v>0.6286813120000001</x:v>
      </x:c>
      <x:c r="J64" s="32" t="n">
        <x:f>MIN(0.98,1-(1-I64)*(1-'02 Assumptions'!$D$12)^6)</x:f>
        <x:v>0.8497766250415131</x:v>
      </x:c>
      <x:c r="K64" t="n">
        <x:f>IFERROR(G64*1000/E64,0)</x:f>
        <x:v>122819.94905582866</x:v>
      </x:c>
      <x:c r="L64" t="n">
        <x:f>IFERROR(K64/$AA$10,0)</x:f>
        <x:v>0.6332962493474651</x:v>
      </x:c>
      <x:c r="M64" t="n">
        <x:f>IF(E64=0,0,'Data Ramp Spend'!$C$8*'02 Assumptions'!$D$8*'02 Assumptions'!$D$9*MIN(2,MAX(0.5,L64^'02 Assumptions'!$D$13)))</x:f>
        <x:v>130.61457416224718</x:v>
      </x:c>
      <x:c r="N64" s="32" t="n">
        <x:f>IF('02 Assumptions'!$D$24=1,'Data OECD Mapping'!C24,IF('02 Assumptions'!$D$24=2,'Data OECD Mapping'!D24,'Data OECD Mapping'!E24))</x:f>
        <x:v>0.0380870666495382</x:v>
      </x:c>
      <x:c r="O64" t="n">
        <x:f>(1+'02 Assumptions'!$D$19)^(6*'02 Assumptions'!$D$20)</x:f>
        <x:v>1.1435821402312916</x:v>
      </x:c>
      <x:c r="P64" t="n">
        <x:f>(1+N64)^(6/10*'02 Assumptions'!$D$21)</x:f>
        <x:v>1.0101436094557439</x:v>
      </x:c>
      <x:c r="Q64" t="n">
        <x:f>(1+'02 Assumptions'!$D$15)^6*(1-'02 Assumptions'!$D$16)^(6*(1-'02 Assumptions'!$D$17))</x:f>
        <x:v>9.168181680586315</x:v>
      </x:c>
      <x:c r="R64" s="40" t="n">
        <x:f>F64*J64*M64*12/1000*(1-'02 Assumptions'!$D$14)*O64*P64*(1+'02 Assumptions'!$D$18)^6</x:f>
        <x:v>1.8455552369236454</x:v>
      </x:c>
      <x:c r="S64" s="40" t="n">
        <x:f>F64*J64*M64*12/1000*'02 Assumptions'!$D$14*O64*P64*Q64</x:f>
        <x:v>25.563097262874027</x:v>
      </x:c>
      <x:c r="T64" s="40" t="n">
        <x:f>SUM(R64:S64)</x:f>
        <x:v>27.40865249979767</x:v>
      </x:c>
    </x:row>
    <x:row r="65">
      <x:c r="A65" t="n">
        <x:f>3</x:f>
        <x:v>3</x:v>
      </x:c>
      <x:c r="B65" t="str">
        <x:f>"Bull"</x:f>
        <x:v>Bull</x:v>
      </x:c>
      <x:c r="C65" t="str">
        <x:f>'Data BLS'!A25</x:f>
        <x:v>72</x:v>
      </x:c>
      <x:c r="D65" t="str">
        <x:f>'Data BLS'!B25</x:f>
        <x:v>Accommodation and Food Services</x:v>
      </x:c>
      <x:c r="E65" t="n">
        <x:f>'Data BLS'!C25/1000*('Data BLS'!D25/'Data BLS'!C25)^(1/10)*(IF('Data BLS'!E25="Excluded",0,IF('Data BLS'!E25="Partial",'02 Assumptions'!$D$22,1)))</x:f>
        <x:v>14.261701727149767</x:v>
      </x:c>
      <x:c r="F65" t="n">
        <x:f>E65*('Data BLS'!D25/'Data BLS'!C25)^(6/10)</x:f>
        <x:v>14.624601706672868</x:v>
      </x:c>
      <x:c r="G65" t="n">
        <x:f>'Data BEA'!C25*(IF('Data BLS'!E25="Excluded",0,IF('Data BLS'!E25="Partial",'02 Assumptions'!$D$22,1)))*IF(C65="53",'02 Assumptions'!$D$23,1)</x:f>
        <x:v>1010.9</x:v>
      </x:c>
      <x:c r="H65" s="32" t="n">
        <x:f>IF(E65=0,0,MIN(0.95,IF(ISNUMBER('Data Ramp Paid'!C25),'Data Ramp Paid'!C25,'Data Ramp Spend'!$C$11*IF(ISNUMBER('Data Census'!C25),('Data Census'!C25/'Data Census'!$D$8)^'02 Assumptions'!$D$10,1))))</x:f>
        <x:v>0.3305243</x:v>
      </x:c>
      <x:c r="I65" s="32" t="n">
        <x:f>MIN(0.98,H65*'02 Assumptions'!$D$11)</x:f>
        <x:v>0.37018721600000004</x:v>
      </x:c>
      <x:c r="J65" s="32" t="n">
        <x:f>MIN(0.98,1-(1-I65)*(1-'02 Assumptions'!$D$12)^6)</x:f>
        <x:v>0.7451983833238134</x:v>
      </x:c>
      <x:c r="K65" t="n">
        <x:f>IFERROR(G65*1000/E65,0)</x:f>
        <x:v>70882.14431490783</x:v>
      </x:c>
      <x:c r="L65" t="n">
        <x:f>IFERROR(K65/$AA$10,0)</x:f>
        <x:v>0.36548945415969913</x:v>
      </x:c>
      <x:c r="M65" t="n">
        <x:f>IF(E65=0,0,'Data Ramp Spend'!$C$8*'02 Assumptions'!$D$8*'02 Assumptions'!$D$9*MIN(2,MAX(0.5,L65^'02 Assumptions'!$D$13)))</x:f>
        <x:v>113.84360045697191</x:v>
      </x:c>
      <x:c r="N65" s="32" t="n">
        <x:f>IF('02 Assumptions'!$D$24=1,'Data OECD Mapping'!C25,IF('02 Assumptions'!$D$24=2,'Data OECD Mapping'!D25,'Data OECD Mapping'!E25))</x:f>
        <x:v>0.0107414765899434</x:v>
      </x:c>
      <x:c r="O65" t="n">
        <x:f>(1+'02 Assumptions'!$D$19)^(6*'02 Assumptions'!$D$20)</x:f>
        <x:v>1.1435821402312916</x:v>
      </x:c>
      <x:c r="P65" t="n">
        <x:f>(1+N65)^(6/10*'02 Assumptions'!$D$21)</x:f>
        <x:v>1.002888897967676</x:v>
      </x:c>
      <x:c r="Q65" t="n">
        <x:f>(1+'02 Assumptions'!$D$15)^6*(1-'02 Assumptions'!$D$16)^(6*(1-'02 Assumptions'!$D$17))</x:f>
        <x:v>9.168181680586315</x:v>
      </x:c>
      <x:c r="R65" s="40" t="n">
        <x:f>F65*J65*M65*12/1000*(1-'02 Assumptions'!$D$14)*O65*P65*(1+'02 Assumptions'!$D$18)^6</x:f>
        <x:v>7.3464267155623295</x:v>
      </x:c>
      <x:c r="S65" s="40" t="n">
        <x:f>F65*J65*M65*12/1000*'02 Assumptions'!$D$14*O65*P65*Q65</x:f>
        <x:v>101.75659709732417</x:v>
      </x:c>
      <x:c r="T65" s="40" t="n">
        <x:f>SUM(R65:S65)</x:f>
        <x:v>109.1030238128865</x:v>
      </x:c>
    </x:row>
    <x:row r="66">
      <x:c r="A66" t="n">
        <x:f>3</x:f>
        <x:v>3</x:v>
      </x:c>
      <x:c r="B66" t="str">
        <x:f>"Bull"</x:f>
        <x:v>Bull</x:v>
      </x:c>
      <x:c r="C66" t="str">
        <x:f>'Data BLS'!A26</x:f>
        <x:v>81</x:v>
      </x:c>
      <x:c r="D66" t="str">
        <x:f>'Data BLS'!B26</x:f>
        <x:v>Other Services Except Public Administration</x:v>
      </x:c>
      <x:c r="E66" t="n">
        <x:f>'Data BLS'!C26/1000*('Data BLS'!D26/'Data BLS'!C26)^(1/10)*(IF('Data BLS'!E26="Excluded",0,IF('Data BLS'!E26="Partial",'02 Assumptions'!$D$22,1)))</x:f>
        <x:v>6.599982488263233</x:v>
      </x:c>
      <x:c r="F66" t="n">
        <x:f>E66*('Data BLS'!D26/'Data BLS'!C26)^(6/10)</x:f>
        <x:v>6.747572108125527</x:v>
      </x:c>
      <x:c r="G66" t="n">
        <x:f>'Data BEA'!C26*(IF('Data BLS'!E26="Excluded",0,IF('Data BLS'!E26="Partial",'02 Assumptions'!$D$22,1)))*IF(C66="53",'02 Assumptions'!$D$23,1)</x:f>
        <x:v>655.3</x:v>
      </x:c>
      <x:c r="H66" s="32" t="n">
        <x:f>IF(E66=0,0,MIN(0.95,IF(ISNUMBER('Data Ramp Paid'!C26),'Data Ramp Paid'!C26,'Data Ramp Spend'!$C$11*IF(ISNUMBER('Data Census'!C26),('Data Census'!C26/'Data Census'!$D$8)^'02 Assumptions'!$D$10,1))))</x:f>
        <x:v>0.5613226</x:v>
      </x:c>
      <x:c r="I66" s="32" t="n">
        <x:f>MIN(0.98,H66*'02 Assumptions'!$D$11)</x:f>
        <x:v>0.6286813120000001</x:v>
      </x:c>
      <x:c r="J66" s="32" t="n">
        <x:f>MIN(0.98,1-(1-I66)*(1-'02 Assumptions'!$D$12)^6)</x:f>
        <x:v>0.8497766250415131</x:v>
      </x:c>
      <x:c r="K66" t="n">
        <x:f>IFERROR(G66*1000/E66,0)</x:f>
        <x:v>99288.14222845617</x:v>
      </x:c>
      <x:c r="L66" t="n">
        <x:f>IFERROR(K66/$AA$10,0)</x:f>
        <x:v>0.5119592424629402</x:v>
      </x:c>
      <x:c r="M66" t="n">
        <x:f>IF(E66=0,0,'Data Ramp Spend'!$C$8*'02 Assumptions'!$D$8*'02 Assumptions'!$D$9*MIN(2,MAX(0.5,L66^'02 Assumptions'!$D$13)))</x:f>
        <x:v>123.85078305914737</x:v>
      </x:c>
      <x:c r="N66" s="32" t="n">
        <x:f>IF('02 Assumptions'!$D$24=1,'Data OECD Mapping'!C26,IF('02 Assumptions'!$D$24=2,'Data OECD Mapping'!D26,'Data OECD Mapping'!E26))</x:f>
        <x:v>0.0181293589459603</x:v>
      </x:c>
      <x:c r="O66" t="n">
        <x:f>(1+'02 Assumptions'!$D$19)^(6*'02 Assumptions'!$D$20)</x:f>
        <x:v>1.1435821402312916</x:v>
      </x:c>
      <x:c r="P66" t="n">
        <x:f>(1+N66)^(6/10*'02 Assumptions'!$D$21)</x:f>
        <x:v>1.0048628706251446</x:v>
      </x:c>
      <x:c r="Q66" t="n">
        <x:f>(1+'02 Assumptions'!$D$15)^6*(1-'02 Assumptions'!$D$16)^(6*(1-'02 Assumptions'!$D$17))</x:f>
        <x:v>9.168181680586315</x:v>
      </x:c>
      <x:c r="R66" s="40" t="n">
        <x:f>F66*J66*M66*12/1000*(1-'02 Assumptions'!$D$14)*O66*P66*(1+'02 Assumptions'!$D$18)^6</x:f>
        <x:v>4.213244132830037</x:v>
      </x:c>
      <x:c r="S66" s="40" t="n">
        <x:f>F66*J66*M66*12/1000*'02 Assumptions'!$D$14*O66*P66*Q66</x:f>
        <x:v>58.35835601393246</x:v>
      </x:c>
      <x:c r="T66" s="40" t="n">
        <x:f>SUM(R66:S66)</x:f>
        <x:v>62.57160014676249</x:v>
      </x:c>
    </x:row>
    <x:row r="67">
      <x:c r="A67" t="n">
        <x:f>3</x:f>
        <x:v>3</x:v>
      </x:c>
      <x:c r="B67" t="str">
        <x:f>"Bull"</x:f>
        <x:v>Bull</x:v>
      </x:c>
      <x:c r="C67" t="str">
        <x:f>'Data BLS'!A27</x:f>
        <x:v>Gov</x:v>
      </x:c>
      <x:c r="D67" t="str">
        <x:f>'Data BLS'!B27</x:f>
        <x:v>Federal and State/Local Government</x:v>
      </x:c>
      <x:c r="E67" t="n">
        <x:f>'Data BLS'!C27/1000*('Data BLS'!D27/'Data BLS'!C27)^(1/10)*(IF('Data BLS'!E27="Excluded",0,IF('Data BLS'!E27="Partial",'02 Assumptions'!$D$22,1)))</x:f>
        <x:v>0</x:v>
      </x:c>
      <x:c r="F67" t="n">
        <x:f>E67*('Data BLS'!D27/'Data BLS'!C27)^(6/10)</x:f>
        <x:v>0</x:v>
      </x:c>
      <x:c r="G67" t="n">
        <x:f>'Data BEA'!C27*(IF('Data BLS'!E27="Excluded",0,IF('Data BLS'!E27="Partial",'02 Assumptions'!$D$22,1)))*IF(C67="53",'02 Assumptions'!$D$23,1)</x:f>
        <x:v>0</x:v>
      </x:c>
      <x:c r="H67" s="32" t="n">
        <x:f>IF(E67=0,0,MIN(0.95,IF(ISNUMBER('Data Ramp Paid'!C27),'Data Ramp Paid'!C27,'Data Ramp Spend'!$C$11*IF(ISNUMBER('Data Census'!C27),('Data Census'!C27/'Data Census'!$D$8)^'02 Assumptions'!$D$10,1))))</x:f>
        <x:v>0</x:v>
      </x:c>
      <x:c r="I67" s="32" t="n">
        <x:f>MIN(0.98,H67*'02 Assumptions'!$D$11)</x:f>
        <x:v>0</x:v>
      </x:c>
      <x:c r="J67" s="32" t="n">
        <x:f>IF(F67=0,0,MIN(0.98,1-(1-I67)*(1-'02 Assumptions'!$D$12)^6))</x:f>
        <x:v>0</x:v>
      </x:c>
      <x:c r="K67" t="n">
        <x:f>IFERROR(G67*1000/E67,0)</x:f>
        <x:v>0</x:v>
      </x:c>
      <x:c r="L67" t="n">
        <x:f>IFERROR(K67/$AA$10,0)</x:f>
        <x:v>0</x:v>
      </x:c>
      <x:c r="M67" t="n">
        <x:f>IF(E67=0,0,'Data Ramp Spend'!$C$8*'02 Assumptions'!$D$8*'02 Assumptions'!$D$9*MIN(2,MAX(0.5,L67^'02 Assumptions'!$D$13)))</x:f>
        <x:v>0</x:v>
      </x:c>
      <x:c r="N67" s="32" t="n">
        <x:f>IF('02 Assumptions'!$D$24=1,'Data OECD Mapping'!C27,IF('02 Assumptions'!$D$24=2,'Data OECD Mapping'!D27,'Data OECD Mapping'!E27))</x:f>
        <x:v>0</x:v>
      </x:c>
      <x:c r="O67" t="n">
        <x:f>(1+'02 Assumptions'!$D$19)^(6*'02 Assumptions'!$D$20)</x:f>
        <x:v>1.1435821402312916</x:v>
      </x:c>
      <x:c r="P67" t="n">
        <x:f>(1+N67)^(6/10*'02 Assumptions'!$D$21)</x:f>
        <x:v>1</x:v>
      </x:c>
      <x:c r="Q67" t="n">
        <x:f>(1+'02 Assumptions'!$D$15)^6*(1-'02 Assumptions'!$D$16)^(6*(1-'02 Assumptions'!$D$17))</x:f>
        <x:v>9.168181680586315</x:v>
      </x:c>
      <x:c r="R67" s="40" t="n">
        <x:f>F67*J67*M67*12/1000*(1-'02 Assumptions'!$D$14)*O67*P67*(1+'02 Assumptions'!$D$18)^6</x:f>
        <x:v>0</x:v>
      </x:c>
      <x:c r="S67" s="40" t="n">
        <x:f>F67*J67*M67*12/1000*'02 Assumptions'!$D$14*O67*P67*Q67</x:f>
        <x:v>0</x:v>
      </x:c>
      <x:c r="T67" s="40" t="n">
        <x:f>SUM(R67:S67)</x:f>
        <x:v>0</x:v>
      </x:c>
    </x:row>
  </x:sheetData>
  <x:mergeCells>
    <x:mergeCell ref="A1:AB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5" hidden="0" customWidth="1"/>
    <x:col min="4" max="4" width="29" hidden="0" customWidth="1"/>
    <x:col min="5" max="5" width="66" hidden="0" customWidth="1"/>
    <x:col min="6" max="6" width="73" hidden="0" customWidth="1"/>
  </x:cols>
  <x:sheetData>
    <x:row r="1" ht="25" customHeight="1">
      <x:c r="A1" s="8" t="str">
        <x:v>AI TOKEN PRICE OBSERVATIONS | PUBLIC RAMP NET TRANSACTION PRICE INDEX</x:v>
      </x:c>
      <x:c r="B1" s="2"/>
      <x:c r="C1" s="2"/>
      <x:c r="D1" s="2"/>
      <x:c r="E1" s="2"/>
      <x:c r="F1" s="2"/>
    </x:row>
    <x:row r="2" ht="25" customHeight="1">
      <x:c r="A2" s="2"/>
      <x:c r="B2" s="2"/>
      <x:c r="C2" s="2"/>
      <x:c r="D2" s="2"/>
      <x:c r="E2" s="2"/>
      <x:c r="F2" s="2"/>
    </x:row>
    <x:row r="3" ht="23" customHeight="1">
      <x:c r="A3" s="163" t="str">
        <x:v>OFFICIAL / PRIMARY SOURCE</x:v>
      </x:c>
      <x:c r="B3" s="165" t="str">
        <x:v>https://ramp.com/data/ai-index-sept-2026</x:v>
      </x:c>
      <x:c r="D3" s="167" t="str">
        <x:v>COPY B3 LINK</x:v>
      </x:c>
    </x:row>
    <x:row r="4" ht="20" customHeight="1">
      <x:c r="A4" s="168" t="str">
        <x:v>REBUILD: Effective $/million tokens cited by Ramp. Short-window changes do NOT imply recurring annual price decline.  Model vintage: Ramp Sept 2026.  This workbook is NOT automatically refreshed from the website.</x:v>
      </x:c>
    </x:row>
    <x:row r="7" ht="30" customHeight="1">
      <x:c r="A7" s="16" t="str">
        <x:v>Date</x:v>
      </x:c>
      <x:c r="B7" s="16" t="str">
        <x:v>Effective spending per 1M tokens (USD)</x:v>
      </x:c>
      <x:c r="C7" s="16" t="str">
        <x:v>Measure</x:v>
      </x:c>
      <x:c r="D7" s="16" t="str">
        <x:v>Source type</x:v>
      </x:c>
      <x:c r="E7" s="16" t="str">
        <x:v>Used in forecast?</x:v>
      </x:c>
      <x:c r="F7" s="16" t="str">
        <x:v>Primary source URL</x:v>
      </x:c>
    </x:row>
    <x:row r="8">
      <x:c r="A8" t="str">
        <x:v>March 2026</x:v>
      </x:c>
      <x:c r="B8" s="34" t="n">
        <x:v>1.15</x:v>
      </x:c>
      <x:c r="C8" t="str">
        <x:v>Reported 2026 peak of Ramp effective price per 1 million tokens</x:v>
      </x:c>
      <x:c r="D8" t="str">
        <x:v>Observed Ramp commentary</x:v>
      </x:c>
      <x:c r="E8" t="str">
        <x:v>No; annual future rate remains a visible assumption</x:v>
      </x:c>
      <x:c r="F8" t="str">
        <x:v>https://ramp.com/data/ai-index-sept-2026</x:v>
      </x:c>
    </x:row>
    <x:row r="9">
      <x:c r="A9" t="str">
        <x:v>September 9, 2026</x:v>
      </x:c>
      <x:c r="B9" s="34" t="n">
        <x:v>0.68</x:v>
      </x:c>
      <x:c r="C9" t="str">
        <x:v>Ramp reported effective price; about 41% below March peak</x:v>
      </x:c>
      <x:c r="D9" t="str">
        <x:v>Observed Ramp commentary</x:v>
      </x:c>
      <x:c r="E9" t="str">
        <x:v>No; short-period price change not assumed to repeat annually</x:v>
      </x:c>
      <x:c r="F9" t="str">
        <x:v>https://ramp.com/data/ai-index-sept-2026</x:v>
      </x:c>
    </x:row>
    <x:row r="11">
      <x:c r="A11" t="str">
        <x:v>Research use: price compression is directly observable; U.S. annual 2032 NET token realization decline is NOT identified by these two data points.</x:v>
      </x:c>
    </x:row>
  </x:sheetData>
  <x:mergeCells>
    <x:mergeCell ref="A1:F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4" hidden="0" customWidth="1"/>
    <x:col min="2" max="2" width="24" hidden="0" customWidth="1"/>
    <x:col min="3" max="3" width="66" hidden="0" customWidth="1"/>
    <x:col min="4" max="4" width="38" hidden="0" customWidth="1"/>
    <x:col min="5" max="5" width="50" hidden="0" customWidth="1"/>
    <x:col min="6" max="6" width="27" hidden="0" customWidth="1"/>
    <x:col min="7" max="7" width="29" hidden="0" customWidth="1"/>
    <x:col min="8" max="8" width="55" hidden="0" customWidth="1"/>
  </x:cols>
  <x:sheetData>
    <x:row r="1" ht="32" customHeight="1">
      <x:c r="A1" s="98" t="str">
        <x:v>2026 BASE YEAR  |  INTERNAL INVERSE CALIBRATION (NO COMPANY REVENUE INPUTS)</x:v>
      </x:c>
      <x:c r="B1" s="98"/>
      <x:c r="C1" s="98"/>
      <x:c r="D1" s="98"/>
      <x:c r="E1" s="98"/>
      <x:c r="F1" s="98"/>
      <x:c r="G1" s="98"/>
      <x:c r="H1" s="98"/>
    </x:row>
    <x:row r="2" ht="23" customHeight="1">
      <x:c r="A2" s="62"/>
      <x:c r="B2" s="62"/>
      <x:c r="C2" s="62"/>
      <x:c r="D2" s="62"/>
      <x:c r="E2" s="62"/>
      <x:c r="F2" s="62"/>
      <x:c r="G2" s="62"/>
      <x:c r="H2" s="62"/>
    </x:row>
    <x:row r="3" ht="42" customHeight="1">
      <x:c r="A3" s="62" t="str">
        <x:v>This sheet audits the modeled U.S. market baseline. It does NOT use bank forecasts or vendor ARR; do not equate annualized customer spending with recognized full-year vendor revenue.</x:v>
      </x:c>
      <x:c r="B3" s="62"/>
      <x:c r="C3" s="62"/>
      <x:c r="D3" s="62"/>
      <x:c r="E3" s="62"/>
      <x:c r="F3" s="62"/>
      <x:c r="G3" s="62"/>
      <x:c r="H3" s="62"/>
    </x:row>
    <x:row r="4" ht="23" customHeight="1">
      <x:c r="A4" s="62"/>
      <x:c r="B4" s="62"/>
      <x:c r="C4" s="62"/>
      <x:c r="D4" s="62"/>
      <x:c r="E4" s="62"/>
      <x:c r="F4" s="62"/>
      <x:c r="G4" s="62"/>
      <x:c r="H4" s="62"/>
    </x:row>
    <x:row r="5" ht="23" customHeight="1">
      <x:c r="A5" s="112"/>
      <x:c r="B5" s="112"/>
      <x:c r="C5" s="112"/>
      <x:c r="D5" s="112"/>
      <x:c r="E5" s="112"/>
      <x:c r="F5" s="112"/>
      <x:c r="G5" s="112"/>
      <x:c r="H5" s="112"/>
    </x:row>
    <x:row r="6" ht="30" customHeight="1">
      <x:c r="A6" s="100" t="str">
        <x:v>Metric</x:v>
      </x:c>
      <x:c r="B6" s="100" t="str">
        <x:v>Value</x:v>
      </x:c>
      <x:c r="C6" s="100" t="str">
        <x:v>Definition</x:v>
      </x:c>
      <x:c r="D6" s="100" t="str">
        <x:v>Status</x:v>
      </x:c>
      <x:c r="E6" s="100" t="str">
        <x:v>Where to check</x:v>
      </x:c>
      <x:c r="F6" s="62"/>
      <x:c r="G6" s="62"/>
      <x:c r="H6" s="62"/>
    </x:row>
    <x:row r="7" ht="23" customHeight="1">
      <x:c r="A7" s="87" t="str">
        <x:v>2026 covered employees (M)</x:v>
      </x:c>
      <x:c r="B7" s="119" t="n">
        <x:f>'06 Revenue Summary'!B8</x:f>
        <x:v>135.03654269953267</x:v>
      </x:c>
      <x:c r="C7" s="87" t="str">
        <x:v>Excludes Census-ineligible farming and government</x:v>
      </x:c>
      <x:c r="D7" s="87" t="str">
        <x:v>MODELED COVERAGE</x:v>
      </x:c>
      <x:c r="E7" s="87" t="str">
        <x:v>06 Revenue Summary!B8</x:v>
      </x:c>
      <x:c r="F7" s="87"/>
      <x:c r="G7" s="87"/>
      <x:c r="H7" s="87"/>
    </x:row>
    <x:row r="8" ht="23" customHeight="1">
      <x:c r="A8" s="62" t="str">
        <x:v>2026 paid employees (M)</x:v>
      </x:c>
      <x:c r="B8" s="120" t="n">
        <x:f>'06 Revenue Summary'!C8</x:f>
        <x:v>71.80434104228983</x:v>
      </x:c>
      <x:c r="C8" s="62" t="str">
        <x:v>Ramp firm payment incidence translated into workforce proxy</x:v>
      </x:c>
      <x:c r="D8" s="114" t="str">
        <x:v>NOT OBSERVED</x:v>
      </x:c>
      <x:c r="E8" s="115" t="str">
        <x:v>04 Enterprise Annual F8:F27</x:v>
      </x:c>
      <x:c r="F8" s="62"/>
      <x:c r="G8" s="62"/>
      <x:c r="H8" s="62"/>
    </x:row>
    <x:row r="9" ht="23" customHeight="1">
      <x:c r="A9" s="62" t="str">
        <x:v>2026 enterprise modeled spending ($B)</x:v>
      </x:c>
      <x:c r="B9" s="120" t="n">
        <x:f>'06 Revenue Summary'!F8</x:f>
        <x:v>89.8881107444697</x:v>
      </x:c>
      <x:c r="C9" s="62" t="str">
        <x:v>Non-token plus token spending</x:v>
      </x:c>
      <x:c r="D9" s="114" t="str">
        <x:v>SCENARIO, NOT ACTUAL FY REVENUE</x:v>
      </x:c>
      <x:c r="E9" s="115" t="str">
        <x:v>06 Revenue Summary!F8</x:v>
      </x:c>
      <x:c r="F9" s="62"/>
      <x:c r="G9" s="62"/>
      <x:c r="H9" s="62"/>
    </x:row>
    <x:row r="10" ht="23" customHeight="1">
      <x:c r="A10" s="62" t="str">
        <x:v>2026 consumer paid spending ($B)</x:v>
      </x:c>
      <x:c r="B10" s="120" t="n">
        <x:f>'06 Revenue Summary'!G8</x:f>
        <x:v>10.0584</x:v>
      </x:c>
      <x:c r="C10" s="62" t="str">
        <x:v>Stanford users x analyst paid conversion x price</x:v>
      </x:c>
      <x:c r="D10" s="62" t="str">
        <x:v>SCENARIO, NOT OBSERVED REVENUE</x:v>
      </x:c>
      <x:c r="E10" s="115" t="str">
        <x:v>05 Consumer Annual</x:v>
      </x:c>
      <x:c r="F10" s="62"/>
      <x:c r="G10" s="62"/>
      <x:c r="H10" s="62"/>
    </x:row>
    <x:row r="11" ht="23" customHeight="1">
      <x:c r="A11" s="62" t="str">
        <x:v>2026 total U.S. modeled spending ($B)</x:v>
      </x:c>
      <x:c r="B11" s="120" t="n">
        <x:f>'06 Revenue Summary'!H8</x:f>
        <x:v>99.9465107444697</x:v>
      </x:c>
      <x:c r="C11" s="62" t="str">
        <x:v>Enterprise + consumer paid purchases</x:v>
      </x:c>
      <x:c r="D11" s="62" t="str">
        <x:v>SCENARIO</x:v>
      </x:c>
      <x:c r="E11" s="115" t="str">
        <x:v>06 Revenue Summary!H8</x:v>
      </x:c>
      <x:c r="F11" s="62"/>
      <x:c r="G11" s="62"/>
      <x:c r="H11" s="62"/>
    </x:row>
    <x:row r="12" ht="23" customHeight="1">
      <x:c r="A12" s="112" t="str">
        <x:v>Spend tier worker-weighted modeled mean ($/mo)</x:v>
      </x:c>
      <x:c r="B12" s="121" t="n">
        <x:f>'13 Spend Calibration'!F9</x:f>
        <x:v>105.65074999999999</x:v>
      </x:c>
      <x:c r="C12" s="112" t="str">
        <x:v>Base scenario / payers; not measured national mean</x:v>
      </x:c>
      <x:c r="D12" s="112" t="str">
        <x:v>ASSUMPTION MIX</x:v>
      </x:c>
      <x:c r="E12" s="116" t="str">
        <x:v>13 Spend Calibration!F9</x:v>
      </x:c>
      <x:c r="F12" s="112"/>
      <x:c r="G12" s="112"/>
      <x:c r="H12" s="112"/>
    </x:row>
    <x:row r="13" ht="23" customHeight="1">
      <x:c r="A13" s="62" t="str">
        <x:v>2026 paying-worker average modeled spending ($/mo)</x:v>
      </x:c>
      <x:c r="B13" s="120" t="n">
        <x:f>IFERROR(B9*1000/B8/12,0)</x:f>
        <x:v>104.32065508352441</x:v>
      </x:c>
      <x:c r="C13" s="62" t="str">
        <x:v>Check market average after industry adjustments</x:v>
      </x:c>
      <x:c r="D13" s="114" t="str">
        <x:v>DERIVED</x:v>
      </x:c>
      <x:c r="E13" s="115" t="str">
        <x:v>Sector spending mix / employee counts</x:v>
      </x:c>
      <x:c r="F13" s="62"/>
      <x:c r="G13" s="62"/>
      <x:c r="H13" s="62"/>
    </x:row>
    <x:row r="14" ht="23" customHeight="1">
      <x:c r="A14" s="62"/>
      <x:c r="B14" s="62"/>
      <x:c r="C14" s="62"/>
      <x:c r="D14" s="62"/>
      <x:c r="E14" s="115"/>
      <x:c r="F14" s="62"/>
      <x:c r="G14" s="62"/>
      <x:c r="H14" s="62"/>
    </x:row>
    <x:row r="15" ht="23" customHeight="1">
      <x:c r="A15" s="62"/>
      <x:c r="B15" s="62"/>
      <x:c r="C15" s="62"/>
      <x:c r="D15" s="62"/>
      <x:c r="E15" s="115"/>
      <x:c r="F15" s="62"/>
      <x:c r="G15" s="62"/>
      <x:c r="H15" s="62"/>
    </x:row>
    <x:row r="16" ht="23" customHeight="1">
      <x:c r="A16" s="62" t="str">
        <x:v>Optional hypothesis: U.S. 2026 AI spend ($B)</x:v>
      </x:c>
      <x:c r="B16" s="102"/>
      <x:c r="C16" s="62" t="str">
        <x:v>USER-DEFINED reverse stress test; BLANK by default</x:v>
      </x:c>
      <x:c r="D16" s="62" t="str">
        <x:v>NOT A FACT</x:v>
      </x:c>
      <x:c r="E16" s="115" t="str">
        <x:v>Type in B16</x:v>
      </x:c>
      <x:c r="F16" s="62"/>
      <x:c r="G16" s="62"/>
      <x:c r="H16" s="62"/>
    </x:row>
    <x:row r="17" ht="23" customHeight="1">
      <x:c r="A17" s="62" t="str">
        <x:v>Implied total / model multiple</x:v>
      </x:c>
      <x:c r="B17" s="62" t="str">
        <x:f>IF(ISNUMBER(B16),IFERROR(B16/B11,0),"")</x:f>
      </x:c>
      <x:c r="C17" s="62" t="str">
        <x:v>If a user enters a hypothetical market amount above</x:v>
      </x:c>
      <x:c r="D17" s="62" t="str">
        <x:v>DERIVED</x:v>
      </x:c>
      <x:c r="E17" s="117" t="str">
        <x:v>B16 / modeled total</x:v>
      </x:c>
      <x:c r="F17" s="62"/>
      <x:c r="G17" s="62"/>
      <x:c r="H17" s="62"/>
    </x:row>
    <x:row r="18" ht="23" customHeight="1">
      <x:c r="A18" s="62" t="str">
        <x:v>Implied paying-worker mean ($/month)</x:v>
      </x:c>
      <x:c r="B18" s="62" t="str">
        <x:f>IF(ISNUMBER(B16),IFERROR(MAX(0,B16-B10)*1000/B8/12,0),"")</x:f>
      </x:c>
      <x:c r="C18" s="62" t="str">
        <x:v>Holding consumer spend and all paid-worker assumptions constant</x:v>
      </x:c>
      <x:c r="D18" s="62" t="str">
        <x:v>DERIVED</x:v>
      </x:c>
      <x:c r="E18" s="62" t="str">
        <x:v>Does not verify feasibility</x:v>
      </x:c>
      <x:c r="F18" s="62"/>
      <x:c r="G18" s="62"/>
      <x:c r="H18" s="62"/>
    </x:row>
    <x:row r="19" ht="23" customHeight="1">
      <x:c r="A19" s="112"/>
      <x:c r="B19" s="112"/>
      <x:c r="C19" s="112"/>
      <x:c r="D19" s="112"/>
      <x:c r="E19" s="112"/>
      <x:c r="F19" s="112"/>
      <x:c r="G19" s="112"/>
      <x:c r="H19" s="112"/>
    </x:row>
    <x:row r="20" ht="23" customHeight="1">
      <x:c r="A20" s="62"/>
      <x:c r="B20" s="62"/>
      <x:c r="C20" s="62"/>
      <x:c r="D20" s="118"/>
      <x:c r="E20" s="115"/>
      <x:c r="F20" s="62"/>
      <x:c r="G20" s="62"/>
      <x:c r="H20" s="62"/>
    </x:row>
    <x:row r="21" ht="45" customHeight="1">
      <x:c r="A21" s="123" t="str">
        <x:v>RESEARCH BLOCKERS: (1) Ramp firms != national employers; (2) firm-weighted medians != worker-weighted means; (3) incomplete 2026 Census sector refresh; (4) cloud/reseller recognition; (5) US-only vs global demand.</x:v>
      </x:c>
      <x:c r="B21" s="123"/>
      <x:c r="C21" s="123"/>
      <x:c r="D21" s="123"/>
      <x:c r="E21" s="124"/>
      <x:c r="F21" s="123"/>
      <x:c r="G21" s="123"/>
      <x:c r="H21" s="123"/>
    </x:row>
    <x:row r="22" ht="23" customHeight="1">
      <x:c r="A22" s="62"/>
      <x:c r="B22" s="62"/>
      <x:c r="C22" s="62"/>
      <x:c r="D22" s="62"/>
      <x:c r="E22" s="115"/>
      <x:c r="F22" s="62"/>
      <x:c r="G22" s="62"/>
      <x:c r="H22" s="62"/>
    </x:row>
    <x:row r="24">
      <x:c r="A24" s="81"/>
      <x:c r="B24" s="81"/>
      <x:c r="C24" s="81"/>
      <x:c r="D24" s="81"/>
      <x:c r="E24" s="81"/>
      <x:c r="F24" s="81"/>
      <x:c r="G24" s="81"/>
      <x:c r="H24" s="81"/>
    </x:row>
    <x:row r="25" ht="34" customHeight="1">
      <x:c r="A25" s="87"/>
      <x:c r="B25" s="87"/>
      <x:c r="C25" s="87"/>
      <x:c r="D25" s="87"/>
      <x:c r="E25" s="87"/>
      <x:c r="F25" s="87"/>
    </x:row>
    <x:row r="26">
      <x:c r="A26" s="32"/>
      <x:c r="B26" s="92"/>
      <x:c r="C26" s="92"/>
      <x:c r="D26" s="92"/>
      <x:c r="E26" s="92"/>
      <x:c r="F26" s="92"/>
    </x:row>
    <x:row r="27">
      <x:c r="A27" s="32"/>
      <x:c r="B27" s="92"/>
      <x:c r="C27" s="92"/>
      <x:c r="D27" s="92"/>
      <x:c r="E27" s="92"/>
      <x:c r="F27" s="92"/>
    </x:row>
    <x:row r="28">
      <x:c r="A28" s="32"/>
      <x:c r="B28" s="92"/>
      <x:c r="C28" s="92"/>
      <x:c r="D28" s="92"/>
      <x:c r="E28" s="92"/>
      <x:c r="F28" s="92"/>
    </x:row>
    <x:row r="29">
      <x:c r="A29" s="32"/>
      <x:c r="B29" s="92"/>
      <x:c r="C29" s="92"/>
      <x:c r="D29" s="92"/>
      <x:c r="E29" s="92"/>
      <x:c r="F29" s="92"/>
    </x:row>
    <x:row r="30">
      <x:c r="A30" s="32"/>
      <x:c r="B30" s="92"/>
      <x:c r="C30" s="92"/>
      <x:c r="D30" s="92"/>
      <x:c r="E30" s="92"/>
      <x:c r="F30" s="92"/>
    </x:row>
    <x:row r="32">
      <x:c r="A32"/>
      <x:c r="B32"/>
      <x:c r="C32"/>
      <x:c r="D32"/>
      <x:c r="E32"/>
      <x:c r="F32"/>
    </x:row>
    <x:row r="34">
      <x:c r="A34" s="81"/>
      <x:c r="B34" s="81"/>
      <x:c r="C34" s="81"/>
      <x:c r="D34" s="81"/>
      <x:c r="E34" s="81"/>
      <x:c r="F34" s="81"/>
      <x:c r="G34" s="81"/>
      <x:c r="H34" s="81"/>
    </x:row>
    <x:row r="35" ht="43" customHeight="1">
      <x:c r="A35" s="62"/>
      <x:c r="B35" s="62"/>
    </x:row>
    <x:row r="36" ht="43" customHeight="1">
      <x:c r="A36" s="62"/>
      <x:c r="B36" s="62"/>
    </x:row>
    <x:row r="37" ht="43" customHeight="1">
      <x:c r="A37" s="62"/>
      <x:c r="B37" s="62"/>
    </x:row>
    <x:row r="38" ht="43" customHeight="1">
      <x:c r="A38" s="62"/>
      <x:c r="B38" s="62"/>
    </x:row>
    <x:row r="40" ht="58" customHeight="1">
      <x:c r="A40" s="83"/>
      <x:c r="B40" s="83"/>
      <x:c r="C40" s="83"/>
      <x:c r="D40" s="83"/>
      <x:c r="E40" s="83"/>
      <x:c r="F40" s="83"/>
      <x:c r="G40" s="83"/>
      <x:c r="H40" s="83"/>
    </x:row>
  </x:sheetData>
  <x:mergeCells>
    <x:mergeCell ref="A1:H1"/>
    <x:mergeCell ref="A3:H3"/>
    <x:mergeCell ref="A5:H5"/>
    <x:mergeCell ref="A12:H12"/>
    <x:mergeCell ref="A19:H19"/>
    <x:mergeCell ref="A24:H24"/>
    <x:mergeCell ref="A34:H34"/>
    <x:mergeCell ref="A40:H40"/>
    <x:mergeCell ref="A21:H2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8" hidden="0" customWidth="1"/>
    <x:col min="4" max="4" width="27" hidden="0" customWidth="1"/>
    <x:col min="5" max="5" width="26" hidden="0" customWidth="1"/>
    <x:col min="6" max="6" width="27" hidden="0" customWidth="1"/>
    <x:col min="7" max="7" width="29" hidden="0" customWidth="1"/>
    <x:col min="8" max="8" width="55" hidden="0" customWidth="1"/>
    <x:col min="10" max="10" width="30" hidden="0" customWidth="1"/>
    <x:col min="11" max="11" width="22" hidden="0" customWidth="1"/>
    <x:col min="12" max="12" width="65" hidden="0" customWidth="1"/>
  </x:cols>
  <x:sheetData>
    <x:row r="1" ht="32" customHeight="1">
      <x:c r="A1" s="98" t="str">
        <x:v>SPEND CALIBRATION  |  REPLACES AN UNEXPLAINED RAMP 5x MULTIPLE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</x:row>
    <x:row r="2" ht="23" customHeight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</x:row>
    <x:row r="3" ht="36" customHeight="1">
      <x:c r="A3" s="62" t="str">
        <x:v>Ramp reports median spend per employee ACROSS FIRMS; no U.S. employee-weighted mean is published. Rows 8–10 are conditional worker-cohort scenarios, NOT observed worker frequencies.</x:v>
      </x:c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</x:row>
    <x:row r="4" ht="23" customHeight="1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</x:row>
    <x:row r="5" ht="23" customHeight="1">
      <x:c r="A5" s="62" t="str">
        <x:v>2026 SPENDING COHORT ASSUMPTIONS</x:v>
      </x:c>
      <x:c r="B5" s="62"/>
      <x:c r="C5" s="62"/>
      <x:c r="D5" s="62"/>
      <x:c r="E5" s="62"/>
      <x:c r="F5" s="62"/>
      <x:c r="G5" s="62"/>
      <x:c r="H5" s="62"/>
      <x:c r="I5" s="62"/>
      <x:c r="J5" s="62"/>
      <x:c r="K5" s="62"/>
      <x:c r="L5" s="62"/>
    </x:row>
    <x:row r="6" ht="23" customHeight="1">
      <x:c r="A6" s="62"/>
      <x:c r="B6" s="62"/>
      <x:c r="C6" s="62"/>
      <x:c r="D6" s="62"/>
      <x:c r="E6" s="62"/>
      <x:c r="F6" s="62"/>
      <x:c r="G6" s="62"/>
      <x:c r="H6" s="62"/>
      <x:c r="I6" s="62"/>
      <x:c r="J6" s="100" t="str">
        <x:v>Spending tier reference</x:v>
      </x:c>
      <x:c r="K6" s="100" t="str">
        <x:v>Dollars per paying worker / month</x:v>
      </x:c>
      <x:c r="L6" s="100" t="str">
        <x:v>Measured population</x:v>
      </x:c>
    </x:row>
    <x:row r="7" ht="36" customHeight="1">
      <x:c r="A7" s="100" t="str">
        <x:v>Scenario</x:v>
      </x:c>
      <x:c r="B7" s="100" t="str">
        <x:v>Core-paying worker share</x:v>
      </x:c>
      <x:c r="C7" s="100" t="str">
        <x:v>Advanced-paying worker share</x:v>
      </x:c>
      <x:c r="D7" s="100" t="str">
        <x:v>Very-high-paying worker share</x:v>
      </x:c>
      <x:c r="E7" s="100" t="str">
        <x:v>Total share</x:v>
      </x:c>
      <x:c r="F7" s="100" t="str">
        <x:v>Modeled spend/paid worker ($/mo)</x:v>
      </x:c>
      <x:c r="G7" s="100" t="str">
        <x:v>Implied multiple vs Ramp median</x:v>
      </x:c>
      <x:c r="H7" s="100" t="str">
        <x:v>Source / interpretation</x:v>
      </x:c>
      <x:c r="I7" s="62"/>
      <x:c r="J7" s="62" t="str">
        <x:v>Core</x:v>
      </x:c>
      <x:c r="K7" s="107" t="n">
        <x:f>'Data Ramp Spend'!C8</x:f>
        <x:v>11.95</x:v>
      </x:c>
      <x:c r="L7" s="62" t="str">
        <x:v>Ramp median FIRM spend/employee (not employee-weighted mean)</x:v>
      </x:c>
    </x:row>
    <x:row r="8" ht="23" customHeight="1">
      <x:c r="A8" s="62" t="str">
        <x:v>Bear</x:v>
      </x:c>
      <x:c r="B8" s="103" t="n">
        <x:v>0.98</x:v>
      </x:c>
      <x:c r="C8" s="103" t="n">
        <x:v>0.019</x:v>
      </x:c>
      <x:c r="D8" s="103" t="n">
        <x:v>0.001</x:v>
      </x:c>
      <x:c r="E8" s="104" t="n">
        <x:f>SUM(B8:D8)</x:f>
        <x:v>1</x:v>
      </x:c>
      <x:c r="F8" s="105" t="n">
        <x:f>B8*$K$7+C8*$K$8+D8*$K$9</x:f>
        <x:v>32.037</x:v>
      </x:c>
      <x:c r="G8" s="106" t="n">
        <x:f>IFERROR(F8/$K$7,0)</x:f>
        <x:v>2.68092050209205</x:v>
      </x:c>
      <x:c r="H8" s="62" t="str">
        <x:v>Analyst employee shares; low advanced usage / model prices unchanged in base year</x:v>
      </x:c>
      <x:c r="I8" s="62"/>
      <x:c r="J8" s="62" t="str">
        <x:v>Advanced</x:v>
      </x:c>
      <x:c r="K8" s="107" t="n">
        <x:f>'Data Ramp Spend'!C9</x:f>
        <x:v>650</x:v>
      </x:c>
      <x:c r="L8" s="62" t="str">
        <x:v>Ramp median among top 10% firms (not worker mean)</x:v>
      </x:c>
    </x:row>
    <x:row r="9" ht="23" customHeight="1">
      <x:c r="A9" s="62" t="str">
        <x:v>Base</x:v>
      </x:c>
      <x:c r="B9" s="158" t="n">
        <x:v>0.945</x:v>
      </x:c>
      <x:c r="C9" s="158" t="n">
        <x:v>0.047</x:v>
      </x:c>
      <x:c r="D9" s="158" t="n">
        <x:v>0.008</x:v>
      </x:c>
      <x:c r="E9" s="104" t="n">
        <x:f>SUM(B9:D9)</x:f>
        <x:v>1</x:v>
      </x:c>
      <x:c r="F9" s="105" t="n">
        <x:f>B9*$K$7+C9*$K$8+D9*$K$9</x:f>
        <x:v>105.65074999999999</x:v>
      </x:c>
      <x:c r="G9" s="106" t="n">
        <x:f>IFERROR(F9/$K$7,0)</x:f>
        <x:v>8.841066945606695</x:v>
      </x:c>
      <x:c r="H9" s="62" t="str">
        <x:v>REVISED analyst scenario (2026-10-11): slightly larger high-intensity workforce tail; NOT observed U.S. workforce composition. Do not represent as Ramp measured mean.</x:v>
      </x:c>
      <x:c r="I9" s="62"/>
      <x:c r="J9" s="62" t="str">
        <x:v>Very-high</x:v>
      </x:c>
      <x:c r="K9" s="107" t="n">
        <x:f>'Data Ramp Spend'!C10</x:f>
        <x:v>7976</x:v>
      </x:c>
      <x:c r="L9" s="62" t="str">
        <x:v>Ramp median among top 1% firms (not worker mean)</x:v>
      </x:c>
    </x:row>
    <x:row r="10" ht="23" customHeight="1">
      <x:c r="A10" s="62" t="str">
        <x:v>Bull</x:v>
      </x:c>
      <x:c r="B10" s="103" t="n">
        <x:v>0.915</x:v>
      </x:c>
      <x:c r="C10" s="103" t="n">
        <x:v>0.075</x:v>
      </x:c>
      <x:c r="D10" s="103" t="n">
        <x:v>0.01</x:v>
      </x:c>
      <x:c r="E10" s="104" t="n">
        <x:f>SUM(B10:D10)</x:f>
        <x:v>1</x:v>
      </x:c>
      <x:c r="F10" s="105" t="n">
        <x:f>B10*$K$7+C10*$K$8+D10*$K$9</x:f>
        <x:v>139.44425</x:v>
      </x:c>
      <x:c r="G10" s="106" t="n">
        <x:f>IFERROR(F10/$K$7,0)</x:f>
        <x:v>11.668974895397492</x:v>
      </x:c>
      <x:c r="H10" s="62" t="str">
        <x:v>Analyst employee shares; only a stress case, NOT implied by Ramp top-firm percentiles</x:v>
      </x:c>
      <x:c r="I10" s="62"/>
      <x:c r="J10" s="62"/>
      <x:c r="K10" s="62"/>
      <x:c r="L10" s="62"/>
    </x:row>
    <x:row r="11" ht="23" customHeight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 t="str">
        <x:v>Ramp series</x:v>
      </x:c>
      <x:c r="K11" s="62" t="str">
        <x:v>Published</x:v>
      </x:c>
      <x:c r="L11" s="62" t="str">
        <x:v>Source URL</x:v>
      </x:c>
    </x:row>
    <x:row r="12" ht="39" customHeight="1">
      <x:c r="A12" s="109" t="str">
        <x:v>IMPORTANT: Published 10% / 1% categories refer to FIRMS. Worker-share weights and within-tier means are NOT measured. Do NOT claim these are national spending estimates.</x:v>
      </x:c>
      <x:c r="B12" s="109"/>
      <x:c r="C12" s="109"/>
      <x:c r="D12" s="109"/>
      <x:c r="E12" s="109"/>
      <x:c r="F12" s="109"/>
      <x:c r="G12" s="109"/>
      <x:c r="H12" s="109"/>
      <x:c r="I12" s="62"/>
      <x:c r="J12" s="62" t="str">
        <x:v>July 2026 core median</x:v>
      </x:c>
      <x:c r="K12" s="62" t="n">
        <x:v>11.95</x:v>
      </x:c>
      <x:c r="L12" s="62" t="str">
        <x:v>https://ramp.com/data/ai-index-august-2026</x:v>
      </x:c>
    </x:row>
    <x:row r="13" ht="23" customHeight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 t="str">
        <x:v>July 2026 upper decile median</x:v>
      </x:c>
      <x:c r="K13" s="62" t="n">
        <x:v>650</x:v>
      </x:c>
      <x:c r="L13" s="62" t="str">
        <x:v>https://ramp.com/data/ai-index-august-2026</x:v>
      </x:c>
    </x:row>
    <x:row r="14" ht="35" customHeight="1">
      <x:c r="A14" s="62" t="str">
        <x:v>The 2026 baseline is a run-rate spending scenario; different worker cohort weights can move the full-year forecast substantially without changing any Token CAGR assumption.</x:v>
      </x:c>
      <x:c r="B14" s="62"/>
      <x:c r="C14" s="62"/>
      <x:c r="D14" s="62"/>
      <x:c r="E14" s="62"/>
      <x:c r="F14" s="62"/>
      <x:c r="G14" s="62"/>
      <x:c r="H14" s="62"/>
      <x:c r="I14" s="62"/>
      <x:c r="J14" s="62" t="str">
        <x:v>July 2026 upper percentile revised</x:v>
      </x:c>
      <x:c r="K14" s="62" t="n">
        <x:v>7976</x:v>
      </x:c>
      <x:c r="L14" s="62" t="str">
        <x:v>https://ramp.com/data/ai-index-sept-2026</x:v>
      </x:c>
    </x:row>
    <x:row r="15" ht="23" customHeight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</x:row>
    <x:row r="16" ht="23" customHeight="1">
      <x:c r="A16" s="62" t="str">
        <x:v>ASSUMPTION / DATA QUALITY</x:v>
      </x:c>
      <x:c r="B16" s="62" t="str">
        <x:v>Status</x:v>
      </x:c>
      <x:c r="C16" s="62" t="str">
        <x:v>Action required for publication</x:v>
      </x:c>
      <x:c r="D16" s="62"/>
      <x:c r="E16" s="62"/>
      <x:c r="F16" s="62"/>
      <x:c r="G16" s="62"/>
      <x:c r="H16" s="62"/>
      <x:c r="I16" s="62"/>
      <x:c r="J16" s="62" t="str">
        <x:v>Demography caution</x:v>
      </x:c>
      <x:c r="K16" s="62" t="str">
        <x:v>NOT a weighted percentile estimate</x:v>
      </x:c>
      <x:c r="L16" s="62" t="str">
        <x:v>The observed Ramp firm's median of $650 in the top decile is NOT a measured $650 mean for 4% of paid WORKERS.</x:v>
      </x:c>
    </x:row>
    <x:row r="17" ht="23" customHeight="1">
      <x:c r="A17" s="62" t="str">
        <x:v>Ramp firm distribution percentiles</x:v>
      </x:c>
      <x:c r="B17" s="62" t="str">
        <x:v>OBSERVED in Ramp sample</x:v>
      </x:c>
      <x:c r="C17" s="62" t="str">
        <x:v>Keep July 2026 vintage, distinguish firms vs workers</x:v>
      </x:c>
      <x:c r="D17" s="62"/>
      <x:c r="E17" s="62"/>
      <x:c r="F17" s="62"/>
      <x:c r="G17" s="62"/>
      <x:c r="H17" s="62"/>
      <x:c r="I17" s="62"/>
      <x:c r="J17" s="62" t="str">
        <x:v>Population caution</x:v>
      </x:c>
      <x:c r="K17" s="62" t="str">
        <x:v>Paid worker definition modeled</x:v>
      </x:c>
      <x:c r="L17" s="62" t="str">
        <x:v>An employee of a paying firm need not have an individual paid seat; API costs are allocated across that firm's workforce.</x:v>
      </x:c>
    </x:row>
    <x:row r="18" ht="23" customHeight="1">
      <x:c r="A18" s="62" t="str">
        <x:v>Cohort worker shares</x:v>
      </x:c>
      <x:c r="B18" s="62" t="str">
        <x:v>ANALYST SCENARIO</x:v>
      </x:c>
      <x:c r="C18" s="62" t="str">
        <x:v>Replace with worker-weighted distribution from appropriately licensed transaction or survey microdata</x:v>
      </x:c>
      <x:c r="D18" s="62"/>
      <x:c r="E18" s="62"/>
      <x:c r="F18" s="62"/>
      <x:c r="G18" s="62"/>
      <x:c r="H18" s="62"/>
      <x:c r="I18" s="62"/>
      <x:c r="J18" s="62"/>
      <x:c r="K18" s="62"/>
      <x:c r="L18" s="62"/>
    </x:row>
    <x:row r="19" ht="23" customHeight="1">
      <x:c r="A19" s="62" t="str">
        <x:v>Large enterprise / off-platform spending</x:v>
      </x:c>
      <x:c r="B19" s="62" t="str">
        <x:v>NOT MEASURED</x:v>
      </x:c>
      <x:c r="C19" s="62" t="str">
        <x:v>Do not infer an arbitrary 2026 market total from Ramp median alone</x:v>
      </x:c>
      <x:c r="D19" s="62"/>
      <x:c r="E19" s="62"/>
      <x:c r="F19" s="62"/>
      <x:c r="G19" s="62"/>
      <x:c r="H19" s="62"/>
      <x:c r="I19" s="62"/>
      <x:c r="J19" s="62"/>
      <x:c r="K19" s="62"/>
      <x:c r="L19" s="62"/>
    </x:row>
    <x:row r="20" ht="42" customHeight="1">
      <x:c r="A20" s="110" t="str">
        <x:v>DO NOT infer country-wide per-employee mean from 1%, 10% and median firm values without WORKER cohort shares. Tier blending is a transparent scenario construction, not a statistical estimator.</x:v>
      </x:c>
      <x:c r="B20" s="110"/>
      <x:c r="C20" s="110"/>
      <x:c r="D20" s="110"/>
      <x:c r="E20" s="110"/>
      <x:c r="F20" s="110"/>
      <x:c r="G20" s="110"/>
      <x:c r="H20" s="110"/>
      <x:c r="I20" s="62"/>
      <x:c r="J20" s="62"/>
      <x:c r="K20" s="62"/>
      <x:c r="L20" s="62"/>
    </x:row>
    <x:row r="21">
      <x:c r="A21" t="str">
        <x:v>REVISED BASE</x:v>
      </x:c>
      <x:c r="B21" t="str">
        <x:v>Prior tier mix: 95.5% / 4.0% / 0.5%; Revised: 94.5% / 4.7% / 0.8%.</x:v>
      </x:c>
      <x:c r="C21" t="str">
        <x:v>Change is SCENARIO ONLY, NOT a new observation.</x:v>
      </x:c>
    </x:row>
    <x:row r="22">
      <x:c r="A22" t="str">
        <x:v>MIX INCREMENT</x:v>
      </x:c>
      <x:c r="B22" t="str">
        <x:v>Core -1.0pp; advanced +0.7pp; very-high +0.3pp.</x:v>
      </x:c>
      <x:c r="C22" t="str">
        <x:v>Does not imply measured incidence of 1% tail firms among workers.</x:v>
      </x:c>
    </x:row>
  </x:sheetData>
  <x:mergeCells>
    <x:mergeCell ref="A1:H1"/>
    <x:mergeCell ref="A3:H3"/>
    <x:mergeCell ref="A12:H12"/>
    <x:mergeCell ref="A14:H14"/>
    <x:mergeCell ref="A20:H20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85" hidden="0" customWidth="1"/>
    <x:col min="3" max="3" width="78" hidden="0" customWidth="1"/>
    <x:col min="4" max="4" width="27" hidden="0" customWidth="1"/>
    <x:col min="5" max="5" width="26" hidden="0" customWidth="1"/>
    <x:col min="6" max="6" width="27" hidden="0" customWidth="1"/>
    <x:col min="7" max="7" width="29" hidden="0" customWidth="1"/>
  </x:cols>
  <x:sheetData>
    <x:row r="1" ht="32" customHeight="1">
      <x:c r="A1" s="98" t="str">
        <x:v>REPRODUCE THE ENTERPRISE MODEL  |  STEP-BY-STEP, CELL REFERENCES</x:v>
      </x:c>
      <x:c r="B1" s="98"/>
      <x:c r="C1" s="98"/>
      <x:c r="D1" s="98"/>
      <x:c r="E1" s="98"/>
      <x:c r="F1" s="98"/>
      <x:c r="G1" s="98"/>
    </x:row>
    <x:row r="2" ht="23" customHeight="1">
      <x:c r="A2" s="62"/>
      <x:c r="B2" s="62"/>
      <x:c r="C2" s="62"/>
      <x:c r="D2" s="62"/>
      <x:c r="E2" s="62"/>
      <x:c r="F2" s="62"/>
      <x:c r="G2" s="62"/>
    </x:row>
    <x:row r="3" ht="23" customHeight="1">
      <x:c r="A3" s="62"/>
      <x:c r="B3" s="62"/>
      <x:c r="C3" s="62"/>
      <x:c r="D3" s="62"/>
      <x:c r="E3" s="62"/>
      <x:c r="F3" s="62"/>
      <x:c r="G3" s="62"/>
    </x:row>
    <x:row r="4" ht="23" customHeight="1">
      <x:c r="A4" s="62"/>
      <x:c r="B4" s="62"/>
      <x:c r="C4" s="62"/>
      <x:c r="D4" s="62"/>
      <x:c r="E4" s="62"/>
      <x:c r="F4" s="62"/>
      <x:c r="G4" s="62"/>
    </x:row>
    <x:row r="5" ht="30" customHeight="1">
      <x:c r="A5" s="100" t="str">
        <x:v>STEP</x:v>
      </x:c>
      <x:c r="B5" s="100" t="str">
        <x:v>WHAT TO REPRODUCE IN EXCEL</x:v>
      </x:c>
      <x:c r="C5" s="100" t="str">
        <x:v>IMPORTANT CONTROL / CAVEAT</x:v>
      </x:c>
      <x:c r="D5" s="62"/>
      <x:c r="E5" s="62"/>
      <x:c r="F5" s="62"/>
      <x:c r="G5" s="62"/>
    </x:row>
    <x:row r="6" ht="39" customHeight="1">
      <x:c r="A6" s="62" t="str">
        <x:v>01  SET SCOPE</x:v>
      </x:c>
      <x:c r="B6" s="62" t="str">
        <x:v>US private nonfarm end-customer AI spending, not global AI market, not realized vendor accounting revenue.</x:v>
      </x:c>
      <x:c r="C6" s="62" t="str">
        <x:v>US-only; excluded industries are unmodeled, not zero actuals.</x:v>
      </x:c>
      <x:c r="D6" s="62"/>
      <x:c r="E6" s="62"/>
      <x:c r="F6" s="62"/>
      <x:c r="G6" s="62"/>
    </x:row>
    <x:row r="7" ht="39" customHeight="1">
      <x:c r="A7" s="62" t="str">
        <x:v>02  IMPORT SOURCE DATA</x:v>
      </x:c>
      <x:c r="B7" s="62" t="str">
        <x:v>START with '15 Source Register': download BLS XLSX, Census Sector/AI Supplement XLSX, OECD 43-sector XLSX. For BEA, choose current-dollar industry Value Added. For Ramp and Stanford, use publisher pages and label manual chart extracts.</x:v>
      </x:c>
      <x:c r="C7" s="62" t="str">
        <x:v>Save each raw downloaded file in your firm workspace; record observation date, download date, source URL and units. Original data are snapshots, not API feeds.</x:v>
      </x:c>
      <x:c r="D7" s="62"/>
      <x:c r="E7" s="62"/>
      <x:c r="F7" s="62"/>
      <x:c r="G7" s="62"/>
    </x:row>
    <x:row r="8" ht="39" customHeight="1">
      <x:c r="A8" s="62" t="str">
        <x:v>03  DEFINE COHORT MIX</x:v>
      </x:c>
      <x:c r="B8" s="62" t="str">
        <x:v>13 Spend Calibration!B8:D10 are paying-worker distribution assumptions; row F computes $/payer/month.</x:v>
      </x:c>
      <x:c r="C8" s="62" t="str">
        <x:v>Ramp source cohort medians are observations; employee shares are UNOBSERVED.</x:v>
      </x:c>
      <x:c r="D8" s="62"/>
      <x:c r="E8" s="62"/>
      <x:c r="F8" s="62"/>
      <x:c r="G8" s="62"/>
    </x:row>
    <x:row r="9" ht="39" customHeight="1">
      <x:c r="A9" s="62" t="str">
        <x:v>04  SELECT SCENARIO</x:v>
      </x:c>
      <x:c r="B9" s="62" t="str">
        <x:v>02 Assumptions!B4 = 1 Bear, 2 Base, 3 Bull. Row 8 factor links to 13 Spend Calibration.</x:v>
      </x:c>
      <x:c r="C9" s="62" t="str">
        <x:v>Other editable assumptions are in B:D rows 9:30.</x:v>
      </x:c>
      <x:c r="D9" s="62"/>
      <x:c r="E9" s="62"/>
      <x:c r="F9" s="62"/>
      <x:c r="G9" s="62"/>
    </x:row>
    <x:row r="10" ht="39" customHeight="1">
      <x:c r="A10" s="62" t="str">
        <x:v>05  INDUSTRY BASE</x:v>
      </x:c>
      <x:c r="B10" s="62" t="str">
        <x:v>03 Sector Inputs: C/D employment; E BEA VA; F coverage; G/H Ramp/Census adoption; J/K paid-firm/worker; L/Q employed workers and spend.</x:v>
      </x:c>
      <x:c r="C10" s="62" t="str">
        <x:v>Warning: Census use and Ramp payment have different definitions.</x:v>
      </x:c>
      <x:c r="D10" s="62"/>
      <x:c r="E10" s="62"/>
      <x:c r="F10" s="62"/>
      <x:c r="G10" s="62"/>
    </x:row>
    <x:row r="11" ht="39" customHeight="1">
      <x:c r="A11" s="62" t="str">
        <x:v>06  YEARLY EMPLOYMENT</x:v>
      </x:c>
      <x:c r="B11" s="62" t="str">
        <x:v>04 Enterprise Annual!D139 (Professional Services, 2032) = BLS 2025→2035 geometric employment trajectory.</x:v>
      </x:c>
      <x:c r="C11" s="62" t="str">
        <x:v>2025-to-2035 CAGR; 2032 is +7 years from 2025.</x:v>
      </x:c>
      <x:c r="D11" s="62"/>
      <x:c r="E11" s="62"/>
      <x:c r="F11" s="62"/>
      <x:c r="G11" s="62"/>
    </x:row>
    <x:row r="12" ht="39" customHeight="1">
      <x:c r="A12" s="62" t="str">
        <x:v>07  YEARLY PAYING WORKERS</x:v>
      </x:c>
      <x:c r="B12" s="62" t="str">
        <x:v>04 Enterprise Annual!E139 paid employee share; F139 = D139*E139.</x:v>
      </x:c>
      <x:c r="C12" s="62" t="str">
        <x:v>Paid-firm to paid-worker conversion remains assumption.</x:v>
      </x:c>
      <x:c r="D12" s="62"/>
      <x:c r="E12" s="62"/>
      <x:c r="F12" s="62"/>
      <x:c r="G12" s="62"/>
    </x:row>
    <x:row r="13" ht="39" customHeight="1">
      <x:c r="A13" s="62" t="str">
        <x:v>08  ANNUAL PER-WORKER SPEND</x:v>
      </x:c>
      <x:c r="B13" s="62" t="str">
        <x:v>04 Enterprise Annual!G139 linked to 03 Sector Inputs!Q19; includes cohort mean, capture ratio and bounded VA/worker proxy.</x:v>
      </x:c>
      <x:c r="C13" s="62" t="str">
        <x:v>Industry-specific dollars but NOT published mean.</x:v>
      </x:c>
      <x:c r="D13" s="62"/>
      <x:c r="E13" s="62"/>
      <x:c r="F13" s="62"/>
      <x:c r="G13" s="62"/>
    </x:row>
    <x:row r="14" ht="39" customHeight="1">
      <x:c r="A14" s="62" t="str">
        <x:v>09  ECONOMY GROWTH</x:v>
      </x:c>
      <x:c r="B14" s="62" t="str">
        <x:v>04 Enterprise Annual!H139 = (1+nominal VA/worker)^((2032-2026)*spend elasticity).</x:v>
      </x:c>
      <x:c r="C14" s="62" t="str">
        <x:v>Employment already in D; avoids adding employee growth again.</x:v>
      </x:c>
      <x:c r="D14" s="62"/>
      <x:c r="E14" s="62"/>
      <x:c r="F14" s="62"/>
      <x:c r="G14" s="62"/>
    </x:row>
    <x:row r="15" ht="39" customHeight="1">
      <x:c r="A15" s="62" t="str">
        <x:v>10  OECD EFFECT</x:v>
      </x:c>
      <x:c r="B15" s="62" t="str">
        <x:v>I139 OECD 2026→2032 output level multiplier; J139 = I139 ^ income-feedback elasticity.</x:v>
      </x:c>
      <x:c r="C15" s="62" t="str">
        <x:v>OECD 2033 cumulative percentage is level uplift, NOT yearly 2033 growth.</x:v>
      </x:c>
      <x:c r="D15" s="62"/>
      <x:c r="E15" s="62"/>
      <x:c r="F15" s="62"/>
      <x:c r="G15" s="62"/>
    </x:row>
    <x:row r="16" ht="39" customHeight="1">
      <x:c r="A16" s="62" t="str">
        <x:v>11  SPLIT EXISTING SPEND</x:v>
      </x:c>
      <x:c r="B16" s="62" t="str">
        <x:v>K139 = token-sensitive fraction of SAME base spending. Non-token = (1-K), token = K.</x:v>
      </x:c>
      <x:c r="C16" s="62" t="str">
        <x:v>Do not add 1x 'agents' on top of full starting spend.</x:v>
      </x:c>
      <x:c r="D16" s="62"/>
      <x:c r="E16" s="62"/>
      <x:c r="F16" s="62"/>
      <x:c r="G16" s="62"/>
    </x:row>
    <x:row r="17" ht="39" customHeight="1">
      <x:c r="A17" s="62" t="str">
        <x:v>12  TOKEN ECONOMICS</x:v>
      </x:c>
      <x:c r="B17" s="62" t="str">
        <x:v>L139 organic usage volume; M139 net realized price; N139 extra volume induced by price.</x:v>
      </x:c>
      <x:c r="C17" s="62" t="str">
        <x:v>Token revenue factor = L*M*N; N uses price elasticity.</x:v>
      </x:c>
      <x:c r="D17" s="62"/>
      <x:c r="E17" s="62"/>
      <x:c r="F17" s="62"/>
      <x:c r="G17" s="62"/>
    </x:row>
    <x:row r="18" ht="39" customHeight="1">
      <x:c r="A18" s="62" t="str">
        <x:v>13  NON-TOKEN MIX</x:v>
      </x:c>
      <x:c r="B18" s="62" t="str">
        <x:v>O139 per-paying-worker price/tier factor.</x:v>
      </x:c>
      <x:c r="C18" s="62" t="str">
        <x:v>No second paid coverage multiplying O.</x:v>
      </x:c>
      <x:c r="D18" s="62"/>
      <x:c r="E18" s="62"/>
      <x:c r="F18" s="62"/>
      <x:c r="G18" s="62"/>
    </x:row>
    <x:row r="19" ht="39" customHeight="1">
      <x:c r="A19" s="62" t="str">
        <x:v>14  CALCULATE NON-TOKEN</x:v>
      </x:c>
      <x:c r="B19" s="62" t="str">
        <x:v>P139 = F139*G139*12/1000*(1-K139)*H139*J139*O139.</x:v>
      </x:c>
      <x:c r="C19" s="62" t="str">
        <x:v>M workers x $/worker/mo x 12 /1000 = $B.</x:v>
      </x:c>
      <x:c r="D19" s="62"/>
      <x:c r="E19" s="62"/>
      <x:c r="F19" s="62"/>
      <x:c r="G19" s="62"/>
    </x:row>
    <x:row r="20" ht="39" customHeight="1">
      <x:c r="A20" s="62" t="str">
        <x:v>15  CALCULATE TOKEN</x:v>
      </x:c>
      <x:c r="B20" s="62" t="str">
        <x:v>Q139 = F139*G139*12/1000*K139*H139*J139*L139*M139*N139.</x:v>
      </x:c>
      <x:c r="C20" s="62" t="str">
        <x:v>Token volume and net token price offsets explicitly visible.</x:v>
      </x:c>
      <x:c r="D20" s="62"/>
      <x:c r="E20" s="62"/>
      <x:c r="F20" s="62"/>
      <x:c r="G20" s="62"/>
    </x:row>
    <x:row r="21" ht="39" customHeight="1">
      <x:c r="A21" s="62" t="str">
        <x:v>16  SUM ENTEPRISE</x:v>
      </x:c>
      <x:c r="B21" s="62" t="str">
        <x:v>R139 = SUM(P139:Q139). Annual total in 06 Revenue Summary F8:F14.</x:v>
      </x:c>
      <x:c r="C21" s="62" t="str">
        <x:v>No double counting of resellers / market scope caveat.</x:v>
      </x:c>
      <x:c r="D21" s="62"/>
      <x:c r="E21" s="62"/>
      <x:c r="F21" s="62"/>
      <x:c r="G21" s="62"/>
    </x:row>
    <x:row r="22" ht="39" customHeight="1">
      <x:c r="A22" s="62" t="str">
        <x:v>17  CONSUMERS</x:v>
      </x:c>
      <x:c r="B22" s="62" t="str">
        <x:v>05 Consumer Annual uses Stanford surveyed users * unobserved paying share * price.</x:v>
      </x:c>
      <x:c r="C22" s="62" t="str">
        <x:v>WTA and consumer surplus remain a SEPARATE welfare metric.</x:v>
      </x:c>
      <x:c r="D22" s="62"/>
      <x:c r="E22" s="62"/>
      <x:c r="F22" s="62"/>
      <x:c r="G22" s="62"/>
    </x:row>
    <x:row r="23" ht="39" customHeight="1">
      <x:c r="A23" s="62" t="str">
        <x:v>18  SCENARIOS / SENSITIVITY</x:v>
      </x:c>
      <x:c r="B23" s="62" t="str">
        <x:v>11 Scenario Comparison / 08 Token Sensitivity / 09 Spend Sensitivity / 07 Flywheel Bridge.</x:v>
      </x:c>
      <x:c r="C23" s="62" t="str">
        <x:v>Scenario ranges are NOT probabilistic confidence intervals.</x:v>
      </x:c>
      <x:c r="D23" s="62"/>
      <x:c r="E23" s="62"/>
      <x:c r="F23" s="62"/>
      <x:c r="G23" s="62"/>
    </x:row>
    <x:row r="24" ht="39" customHeight="1">
      <x:c r="A24" s="62" t="str">
        <x:v>19  PUBLICATION GATES</x:v>
      </x:c>
      <x:c r="B24" s="62" t="str">
        <x:v>10 Coverage QA / 12 Revenue Reality Check / 15 Source Register.</x:v>
      </x:c>
      <x:c r="C24" s="62" t="str">
        <x:v>Publish raw official observations; market revenue scenarios must show caveats.</x:v>
      </x:c>
      <x:c r="D24" s="62"/>
      <x:c r="E24" s="62"/>
      <x:c r="F24" s="62"/>
      <x:c r="G24" s="62"/>
    </x:row>
    <x:row r="25" ht="39" customHeight="1">
      <x:c r="A25" s="62"/>
      <x:c r="B25" s="62"/>
      <x:c r="C25" s="62"/>
      <x:c r="D25" s="62"/>
      <x:c r="E25" s="62"/>
      <x:c r="F25" s="62"/>
      <x:c r="G25" s="62"/>
    </x:row>
    <x:row r="26" ht="39" customHeight="1">
      <x:c r="A26" s="62" t="str">
        <x:v>20  RECALCULATE</x:v>
      </x:c>
      <x:c r="B26" s="62" t="str">
        <x:v>Excel &gt; Formulas &gt; Calculation Options &gt; Automatic; use Ctrl+Alt+Shift+F9 once after opening.</x:v>
      </x:c>
      <x:c r="C26" s="62" t="str">
        <x:v>Recheck 10 Coverage QA and Scenario Comparison.</x:v>
      </x:c>
      <x:c r="D26" s="62"/>
      <x:c r="E26" s="62"/>
      <x:c r="F26" s="62"/>
      <x:c r="G26" s="62"/>
    </x:row>
    <x:row r="27" ht="39" customHeight="1">
      <x:c r="A27" s="62" t="str">
        <x:v>21  EDIT CELLS</x:v>
      </x:c>
      <x:c r="B27" s="62" t="str">
        <x:v>Blue + yellow cells on 13 Spend Calibration / 02 Assumptions are the only core scenario inputs.</x:v>
      </x:c>
      <x:c r="C27" s="62" t="str">
        <x:v>Keep government/Ramp raw data unchanged and source dated.</x:v>
      </x:c>
      <x:c r="D27" s="62"/>
      <x:c r="E27" s="62"/>
      <x:c r="F27" s="62"/>
      <x:c r="G27" s="62"/>
    </x:row>
    <x:row r="28" ht="39" customHeight="1">
      <x:c r="A28" s="62" t="str">
        <x:v>22  RECONCILE GEOGRAPHY</x:v>
      </x:c>
      <x:c r="B28" s="62" t="str">
        <x:v>The demand model is UNITED STATES ONLY. No global expansion is auto-estimated.</x:v>
      </x:c>
      <x:c r="C28" s="62" t="str">
        <x:v>World data center spending cannot be benchmarked without a geographic bridge.</x:v>
      </x:c>
      <x:c r="D28" s="62"/>
      <x:c r="E28" s="62"/>
      <x:c r="F28" s="62"/>
      <x:c r="G28" s="62"/>
    </x:row>
    <x:row r="29" ht="39" customHeight="1">
      <x:c r="A29" s="62" t="str">
        <x:v>23  RELEASE DECISION</x:v>
      </x:c>
      <x:c r="B29" s="62" t="str">
        <x:v>Never cite market scenarios as actual data. Do not publish model TAM before key cohort and coverage gates are resolved.</x:v>
      </x:c>
      <x:c r="C29" s="62" t="str">
        <x:v>Report raw BLS/BEA/Census/OECD/Ramp observations separately from scenario forecasts.</x:v>
      </x:c>
      <x:c r="D29" s="62"/>
      <x:c r="E29" s="62"/>
      <x:c r="F29" s="62"/>
      <x:c r="G29" s="62"/>
    </x:row>
    <x:row r="30" ht="23" customHeight="1">
      <x:c r="A30" s="62"/>
      <x:c r="B30" s="62"/>
      <x:c r="C30" s="62"/>
      <x:c r="D30" s="62"/>
      <x:c r="E30" s="62"/>
      <x:c r="F30" s="62"/>
      <x:c r="G30" s="62"/>
    </x:row>
  </x:sheetData>
  <x:mergeCells>
    <x:mergeCell ref="A1:G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74" hidden="0" customWidth="1"/>
    <x:col min="3" max="3" width="19" hidden="0" customWidth="1"/>
    <x:col min="4" max="4" width="33" hidden="0" customWidth="1"/>
    <x:col min="5" max="5" width="57" hidden="0" customWidth="1"/>
    <x:col min="6" max="6" width="19" hidden="0" customWidth="1"/>
    <x:col min="7" max="7" width="58" hidden="0" customWidth="1"/>
    <x:col min="8" max="8" width="23" hidden="0" customWidth="1"/>
    <x:col min="9" max="9" width="22" hidden="0" customWidth="1"/>
    <x:col min="10" max="10" width="23" hidden="0" customWidth="1"/>
    <x:col min="11" max="11" width="58" hidden="0" customWidth="1"/>
    <x:col min="12" max="12" width="22" hidden="0" customWidth="1"/>
  </x:cols>
  <x:sheetData>
    <x:row r="1" ht="34" customHeight="1">
      <x:c r="A1" s="173" t="str">
        <x:v>OFFICIAL DOWNLOAD INDEX  |  REBUILD THE U.S. AI DEMAND MODEL</x:v>
      </x:c>
      <x:c r="B1" s="173"/>
      <x:c r="C1" s="173"/>
      <x:c r="D1" s="173"/>
      <x:c r="E1" s="173"/>
      <x:c r="F1" s="173"/>
      <x:c r="G1" s="173"/>
      <x:c r="H1" s="173"/>
      <x:c r="I1" s="174"/>
      <x:c r="J1" s="174"/>
      <x:c r="K1" s="174"/>
      <x:c r="L1" s="174"/>
    </x:row>
    <x:row r="2" ht="23" customHeight="1">
      <x:c r="A2" s="62" t="str">
        <x:v>For company-computer reconstruction: see '00 Download Index' for official downloads, file formats, exact table selection, and refresh limitations.</x:v>
      </x:c>
      <x:c r="B2" s="62"/>
      <x:c r="C2" s="62"/>
      <x:c r="D2" s="62"/>
      <x:c r="E2" s="62"/>
      <x:c r="F2" s="62"/>
      <x:c r="G2" s="62"/>
      <x:c r="H2" s="62"/>
    </x:row>
    <x:row r="3" ht="34" customHeight="1">
      <x:c r="A3" s="176" t="str">
        <x:v>All links lead to first-party publishers or FRED-hosted public data. Original workbook inputs do NOT auto-refresh. Save downloaded file name, update date and NAICS mapping when rebuilding.</x:v>
      </x:c>
      <x:c r="B3" s="176"/>
      <x:c r="C3" s="176"/>
      <x:c r="D3" s="176"/>
      <x:c r="E3" s="176"/>
      <x:c r="F3" s="176"/>
      <x:c r="G3" s="176"/>
      <x:c r="H3" s="176"/>
      <x:c r="I3" s="176"/>
      <x:c r="J3" s="176"/>
      <x:c r="K3" s="176"/>
      <x:c r="L3" s="176"/>
    </x:row>
    <x:row r="4" ht="23" customHeight="1">
      <x:c r="A4" s="62"/>
      <x:c r="B4" s="62"/>
      <x:c r="C4" s="62"/>
      <x:c r="D4" s="62"/>
      <x:c r="E4" s="62"/>
      <x:c r="F4" s="62"/>
      <x:c r="G4" s="62"/>
      <x:c r="H4" s="62"/>
    </x:row>
    <x:row r="5" ht="32" customHeight="1">
      <x:c r="A5" s="179" t="str">
        <x:v>ID</x:v>
      </x:c>
      <x:c r="B5" s="179" t="str">
        <x:v>Model Data Tab</x:v>
      </x:c>
      <x:c r="C5" s="179" t="str">
        <x:v>Publisher</x:v>
      </x:c>
      <x:c r="D5" s="179" t="str">
        <x:v>Exact raw dataset</x:v>
      </x:c>
      <x:c r="E5" s="179" t="str">
        <x:v>Official download / source URL</x:v>
      </x:c>
      <x:c r="F5" s="179" t="str">
        <x:v>Download type</x:v>
      </x:c>
      <x:c r="G5" s="179" t="str">
        <x:v>Where to click / which columns to use</x:v>
      </x:c>
      <x:c r="H5" s="179" t="str">
        <x:v>Observation / model vintage</x:v>
      </x:c>
      <x:c r="I5" s="179" t="str">
        <x:v>Model use</x:v>
      </x:c>
      <x:c r="J5" s="179" t="str">
        <x:v>Evidence / restriction</x:v>
      </x:c>
      <x:c r="K5" s="179" t="str">
        <x:v>Rebuild instruction</x:v>
      </x:c>
      <x:c r="L5" s="179" t="str">
        <x:v>Access method</x:v>
      </x:c>
    </x:row>
    <x:row r="6" ht="48" customHeight="1">
      <x:c r="A6" s="183" t="str">
        <x:v>01</x:v>
      </x:c>
      <x:c r="B6" s="183" t="str">
        <x:v>Data BLS</x:v>
      </x:c>
      <x:c r="C6" s="183" t="str">
        <x:v>BLS</x:v>
      </x:c>
      <x:c r="D6" s="183" t="str">
        <x:v>2025 industry employment / 2035 projections</x:v>
      </x:c>
      <x:c r="E6" s="185" t="str">
        <x:v>https://www.bls.gov/emp/industry-employment/industry.xlsx</x:v>
      </x:c>
      <x:c r="F6" s="183" t="str">
        <x:v>DIRECT XLSX</x:v>
      </x:c>
      <x:c r="G6" s="183" t="str">
        <x:v>Table 2.1: columns 2025, 2035; values in THOUSANDS; match NAICS</x:v>
      </x:c>
      <x:c r="H6" s="183" t="str">
        <x:v>2026-08-27</x:v>
      </x:c>
      <x:c r="I6" s="183" t="str">
        <x:v>INPUT</x:v>
      </x:c>
      <x:c r="J6" s="183" t="str">
        <x:v>Observed projection</x:v>
      </x:c>
      <x:c r="K6" s="183" t="str">
        <x:v>Open publisher workbook; paste values in Data BLS C:D</x:v>
      </x:c>
      <x:c r="L6" s="188" t="str">
        <x:v>COPY URL IN E; PASTE IN BROWSER</x:v>
      </x:c>
    </x:row>
    <x:row r="7" ht="48" customHeight="1">
      <x:c r="A7" s="191" t="str">
        <x:v>02</x:v>
      </x:c>
      <x:c r="B7" s="191" t="str">
        <x:v>Data Census</x:v>
      </x:c>
      <x:c r="C7" s="191" t="str">
        <x:v>U.S. Census Bureau</x:v>
      </x:c>
      <x:c r="D7" s="191" t="str">
        <x:v>BTOS industry AI use</x:v>
      </x:c>
      <x:c r="E7" s="193" t="str">
        <x:v>https://www.census.gov/hfp/btos/data_downloads</x:v>
      </x:c>
      <x:c r="F7" s="191" t="str">
        <x:v>PAGE -&gt; XLSX</x:v>
      </x:c>
      <x:c r="G7" s="191" t="str">
        <x:v>Core Questions &gt; Sector + National; also Sector by Employment Size</x:v>
      </x:c>
      <x:c r="H7" s="191" t="str">
        <x:v>Sector extracts older than 2026-10-04</x:v>
      </x:c>
      <x:c r="I7" s="191" t="str">
        <x:v>INPUT; REFRESH</x:v>
      </x:c>
      <x:c r="J7" s="191" t="str">
        <x:v>NOT CURRENT</x:v>
      </x:c>
      <x:c r="K7" s="191" t="str">
        <x:v>Page is JavaScript-powered: click XLSX inside Downloads</x:v>
      </x:c>
      <x:c r="L7" s="188" t="str">
        <x:v>COPY URL IN E; PASTE IN BROWSER</x:v>
      </x:c>
    </x:row>
    <x:row r="8" ht="48" customHeight="1">
      <x:c r="A8" s="183" t="str">
        <x:v>03</x:v>
      </x:c>
      <x:c r="B8" s="183" t="str">
        <x:v>Data Census</x:v>
      </x:c>
      <x:c r="C8" s="183" t="str">
        <x:v>U.S. Census Bureau</x:v>
      </x:c>
      <x:c r="D8" s="183" t="str">
        <x:v>BTOS AI Supplement</x:v>
      </x:c>
      <x:c r="E8" s="185" t="str">
        <x:v>https://www.census.gov/hfp/btos/data_downloads</x:v>
      </x:c>
      <x:c r="F8" s="183" t="str">
        <x:v>PAGE -&gt; XLSX</x:v>
      </x:c>
      <x:c r="G8" s="183" t="str">
        <x:v>AI Supplement Table 2026: task/use vs purchase questions; NOT direct spend</x:v>
      </x:c>
      <x:c r="H8" s="183" t="str">
        <x:v>2025-11-17 to 2026-02-08</x:v>
      </x:c>
      <x:c r="I8" s="183" t="str">
        <x:v>RESEARCH / COVERAGE</x:v>
      </x:c>
      <x:c r="J8" s="183" t="str">
        <x:v>AVAILABLE</x:v>
      </x:c>
      <x:c r="K8" s="183" t="str">
        <x:v>Optional cross-check; do not treat firm use as paid seats</x:v>
      </x:c>
      <x:c r="L8" s="188" t="str">
        <x:v>COPY URL IN E; PASTE IN BROWSER</x:v>
      </x:c>
    </x:row>
    <x:row r="9" ht="48" customHeight="1">
      <x:c r="A9" s="191" t="str">
        <x:v>04</x:v>
      </x:c>
      <x:c r="B9" s="191" t="str">
        <x:v>Data Ramp Paid</x:v>
      </x:c>
      <x:c r="C9" s="191" t="str">
        <x:v>Ramp (publisher)</x:v>
      </x:c>
      <x:c r="D9" s="191" t="str">
        <x:v>Paid AI firm adoption, overall and industry</x:v>
      </x:c>
      <x:c r="E9" s="193" t="str">
        <x:v>https://ramp.com/data/ai-index</x:v>
      </x:c>
      <x:c r="F9" s="191" t="str">
        <x:v>PUBLISHER PAGE</x:v>
      </x:c>
      <x:c r="G9" s="191" t="str">
        <x:v>AI Index &gt; industry adoption; FRED per-sector exact series in Data Ramp Paid G</x:v>
      </x:c>
      <x:c r="H9" s="191" t="str">
        <x:v>2026 Aug</x:v>
      </x:c>
      <x:c r="I9" s="191" t="str">
        <x:v>INPUT / SAMPLE</x:v>
      </x:c>
      <x:c r="J9" s="191" t="str">
        <x:v>SAMPLE BIAS</x:v>
      </x:c>
      <x:c r="K9" s="191" t="str">
        <x:v>Firm paying share is not employment-weighted paying share</x:v>
      </x:c>
      <x:c r="L9" s="188" t="str">
        <x:v>COPY URL IN E; PASTE IN BROWSER</x:v>
      </x:c>
    </x:row>
    <x:row r="10" ht="48" customHeight="1">
      <x:c r="A10" s="183" t="str">
        <x:v>05</x:v>
      </x:c>
      <x:c r="B10" s="183" t="str">
        <x:v>Data Ramp Paid</x:v>
      </x:c>
      <x:c r="C10" s="183" t="str">
        <x:v>FRED (Ramp data)</x:v>
      </x:c>
      <x:c r="D10" s="183" t="str">
        <x:v>Ramp industry monthly paid adoption, downloadable chart CSV</x:v>
      </x:c>
      <x:c r="E10" s="185" t="str">
        <x:v>https://fred.stlouisfed.org/series/RAMPAITECH</x:v>
      </x:c>
      <x:c r="F10" s="183" t="str">
        <x:v>FRED DATA PAGE</x:v>
      </x:c>
      <x:c r="G10" s="183" t="str">
        <x:v>Open each industry FRED series listed at Data Ramp Paid G11:G25; Download &gt; CSV/XLSX</x:v>
      </x:c>
      <x:c r="H10" s="183" t="str">
        <x:v>2026 Aug</x:v>
      </x:c>
      <x:c r="I10" s="183" t="str">
        <x:v>INPUT FOR 7 SECTORS</x:v>
      </x:c>
      <x:c r="J10" s="183" t="str">
        <x:v>OTHER SECTORS PROXY</x:v>
      </x:c>
      <x:c r="K10" s="183" t="str">
        <x:v>Not all sectors have direct published Ramp series</x:v>
      </x:c>
      <x:c r="L10" s="188" t="str">
        <x:v>COPY URL IN E; PASTE IN BROWSER</x:v>
      </x:c>
    </x:row>
    <x:row r="11" ht="48" customHeight="1">
      <x:c r="A11" s="191" t="str">
        <x:v>06</x:v>
      </x:c>
      <x:c r="B11" s="191" t="str">
        <x:v>Data Ramp Spend</x:v>
      </x:c>
      <x:c r="C11" s="191" t="str">
        <x:v>Ramp (publisher)</x:v>
      </x:c>
      <x:c r="D11" s="191" t="str">
        <x:v>Monthly AI spend per employee distribution</x:v>
      </x:c>
      <x:c r="E11" s="193" t="str">
        <x:v>https://ramp.com/data/ai-index-august-2026</x:v>
      </x:c>
      <x:c r="F11" s="191" t="str">
        <x:v>PUBLISHER ARTICLE</x:v>
      </x:c>
      <x:c r="G11" s="191" t="str">
        <x:v>July median firm $11.95; top 10% median $650; do NOT use as worker mean</x:v>
      </x:c>
      <x:c r="H11" s="191" t="str">
        <x:v>July 2026</x:v>
      </x:c>
      <x:c r="I11" s="191" t="str">
        <x:v>INPUT - MEDIANS</x:v>
      </x:c>
      <x:c r="J11" s="191" t="str">
        <x:v>NO NATIONAL MEAN</x:v>
      </x:c>
      <x:c r="K11" s="191" t="str">
        <x:v>Worker cohort weights are ANALYST assumptions, not a Ramp fact</x:v>
      </x:c>
      <x:c r="L11" s="188" t="str">
        <x:v>COPY URL IN E; PASTE IN BROWSER</x:v>
      </x:c>
    </x:row>
    <x:row r="12" ht="48" customHeight="1">
      <x:c r="A12" s="183" t="str">
        <x:v>07</x:v>
      </x:c>
      <x:c r="B12" s="183" t="str">
        <x:v>Data Ramp Spend</x:v>
      </x:c>
      <x:c r="C12" s="183" t="str">
        <x:v>Ramp (publisher)</x:v>
      </x:c>
      <x:c r="D12" s="183" t="str">
        <x:v>Revision to July extreme tail</x:v>
      </x:c>
      <x:c r="E12" s="185" t="str">
        <x:v>https://ramp.com/data/ai-index-sept-2026</x:v>
      </x:c>
      <x:c r="F12" s="183" t="str">
        <x:v>PUBLISHER ARTICLE</x:v>
      </x:c>
      <x:c r="G12" s="183" t="str">
        <x:v>Top 1% July median revised to $7,976; updated in Sept 2026 article</x:v>
      </x:c>
      <x:c r="H12" s="183" t="str">
        <x:v>2026-09-09</x:v>
      </x:c>
      <x:c r="I12" s="183" t="str">
        <x:v>INPUT - REVISED</x:v>
      </x:c>
      <x:c r="J12" s="183" t="str">
        <x:v>RIGHT-TAIL RISK</x:v>
      </x:c>
      <x:c r="K12" s="183" t="str">
        <x:v>Use revised value, not original ~$7,400</x:v>
      </x:c>
      <x:c r="L12" s="188" t="str">
        <x:v>COPY URL IN E; PASTE IN BROWSER</x:v>
      </x:c>
    </x:row>
    <x:row r="13" ht="48" customHeight="1">
      <x:c r="A13" s="191" t="str">
        <x:v>08</x:v>
      </x:c>
      <x:c r="B13" s="191" t="str">
        <x:v>Data BEA</x:v>
      </x:c>
      <x:c r="C13" s="191" t="str">
        <x:v>BEA</x:v>
      </x:c>
      <x:c r="D13" s="191" t="str">
        <x:v>Current-dollar Industry Value Added</x:v>
      </x:c>
      <x:c r="E13" s="193" t="str">
        <x:v>https://www.bea.gov/itable/gdp-by-industry</x:v>
      </x:c>
      <x:c r="F13" s="191" t="str">
        <x:v>BEA TABLE SELECTOR</x:v>
      </x:c>
      <x:c r="G13" s="191" t="str">
        <x:v>Value added by industry; CURRENT $; 2026 Q2 SAAR; reconcile to prior FRED extract</x:v>
      </x:c>
      <x:c r="H13" s="191" t="str">
        <x:v>2026 Q2</x:v>
      </x:c>
      <x:c r="I13" s="191" t="str">
        <x:v>INPUT</x:v>
      </x:c>
      <x:c r="J13" s="191" t="str">
        <x:v>FRED EXTRACT</x:v>
      </x:c>
      <x:c r="K13" s="191" t="str">
        <x:v>Do not substitute gross output for GDP by industry</x:v>
      </x:c>
      <x:c r="L13" s="188" t="str">
        <x:v>COPY URL IN E; PASTE IN BROWSER</x:v>
      </x:c>
    </x:row>
    <x:row r="14" ht="48" customHeight="1">
      <x:c r="A14" s="183" t="str">
        <x:v>09</x:v>
      </x:c>
      <x:c r="B14" s="183" t="str">
        <x:v>Data BEA</x:v>
      </x:c>
      <x:c r="C14" s="183" t="str">
        <x:v>FRED / BEA data</x:v>
      </x:c>
      <x:c r="D14" s="183" t="str">
        <x:v>Prior cached industry value-added values</x:v>
      </x:c>
      <x:c r="E14" s="185" t="str">
        <x:v>https://fred.stlouisfed.org/release/tables?eid=1822&amp;rid=331</x:v>
      </x:c>
      <x:c r="F14" s="183" t="str">
        <x:v>RELEASE TABLES</x:v>
      </x:c>
      <x:c r="G14" s="183" t="str">
        <x:v>Cross-check 2026 Q2 level and category groupings against BEA primary table</x:v>
      </x:c>
      <x:c r="H14" s="183" t="str">
        <x:v>2026 Q2</x:v>
      </x:c>
      <x:c r="I14" s="183" t="str">
        <x:v>CROSS-CHECK</x:v>
      </x:c>
      <x:c r="J14" s="183" t="str">
        <x:v>SECONDARY HOST</x:v>
      </x:c>
      <x:c r="K14" s="183" t="str">
        <x:v>Publisher is BEA; FRED hosts re-distributed BEA series</x:v>
      </x:c>
      <x:c r="L14" s="188" t="str">
        <x:v>COPY URL IN E; PASTE IN BROWSER</x:v>
      </x:c>
    </x:row>
    <x:row r="15" ht="48" customHeight="1">
      <x:c r="A15" s="191" t="str">
        <x:v>10</x:v>
      </x:c>
      <x:c r="B15" s="191" t="str">
        <x:v>Data OECD Raw</x:v>
      </x:c>
      <x:c r="C15" s="191" t="str">
        <x:v>OECD</x:v>
      </x:c>
      <x:c r="D15" s="191" t="str">
        <x:v>U.S. sector-level cumulative TFP / VA effect</x:v>
      </x:c>
      <x:c r="E15" s="193" t="str">
        <x:v>https://www.oecd.org/content/dam/oecd/en/topics/policy-sub-issues/macroeconomics-of-ai/SectoralProductivityGains_website.xlsx</x:v>
      </x:c>
      <x:c r="F15" s="191" t="str">
        <x:v>DIRECT XLSX</x:v>
      </x:c>
      <x:c r="G15" s="191" t="str">
        <x:v>Use original 43 industry entries: Low / High expanded / Uneven; decimals=level gain through 2033</x:v>
      </x:c>
      <x:c r="H15" s="191" t="str">
        <x:v>2023–2033</x:v>
      </x:c>
      <x:c r="I15" s="191" t="str">
        <x:v>INPUT</x:v>
      </x:c>
      <x:c r="J15" s="191" t="str">
        <x:v>OFFICIAL ORIGINAL</x:v>
      </x:c>
      <x:c r="K15" s="191" t="str">
        <x:v>2023-2033 cumulative levels, not annual rates</x:v>
      </x:c>
      <x:c r="L15" s="188" t="str">
        <x:v>COPY URL IN E; PASTE IN BROWSER</x:v>
      </x:c>
    </x:row>
    <x:row r="16" ht="48" customHeight="1">
      <x:c r="A16" s="183" t="str">
        <x:v>11</x:v>
      </x:c>
      <x:c r="B16" s="183" t="str">
        <x:v>Data OECD Mapping</x:v>
      </x:c>
      <x:c r="C16" s="183" t="str">
        <x:v>OECD</x:v>
      </x:c>
      <x:c r="D16" s="183" t="str">
        <x:v>Original data for sector/NAICS bridge</x:v>
      </x:c>
      <x:c r="E16" s="185" t="str">
        <x:v>https://www.oecd.org/content/dam/oecd/en/topics/policy-sub-issues/macroeconomics-of-ai/SectoralProductivityGains_website.xlsx</x:v>
      </x:c>
      <x:c r="F16" s="183" t="str">
        <x:v>DIRECT XLSX</x:v>
      </x:c>
      <x:c r="G16" s="183" t="str">
        <x:v>Map OECD sector labels onto BLS/BEA NAICS; mapping is analyst-created</x:v>
      </x:c>
      <x:c r="H16" s="183" t="str">
        <x:v>2023–2033</x:v>
      </x:c>
      <x:c r="I16" s="183" t="str">
        <x:v>ANALYST CROSSWALK</x:v>
      </x:c>
      <x:c r="J16" s="183" t="str">
        <x:v>MANUAL MAPPING</x:v>
      </x:c>
      <x:c r="K16" s="183" t="str">
        <x:v>Subsector weights not fully modeled; do not label as official mapping</x:v>
      </x:c>
      <x:c r="L16" s="188" t="str">
        <x:v>COPY URL IN E; PASTE IN BROWSER</x:v>
      </x:c>
    </x:row>
    <x:row r="17" ht="48" customHeight="1">
      <x:c r="A17" s="191" t="str">
        <x:v>12</x:v>
      </x:c>
      <x:c r="B17" s="191" t="str">
        <x:v>Data Stanford</x:v>
      </x:c>
      <x:c r="C17" s="191" t="str">
        <x:v>Stanford Digital Economy Lab</x:v>
      </x:c>
      <x:c r="D17" s="191" t="str">
        <x:v>July 2026 consumer users and surplus</x:v>
      </x:c>
      <x:c r="E17" s="193" t="str">
        <x:v>https://digitaleconomy.stanford.edu/project/indicators/</x:v>
      </x:c>
      <x:c r="F17" s="191" t="str">
        <x:v>PUBLISHER DASHBOARD</x:v>
      </x:c>
      <x:c r="G17" s="191" t="str">
        <x:v>GDP-B Surplus Observer &gt; July 2026. Copy exact chart value and vintage</x:v>
      </x:c>
      <x:c r="H17" s="191" t="str">
        <x:v>2026-07</x:v>
      </x:c>
      <x:c r="I17" s="191" t="str">
        <x:v>INPUT / MANUAL</x:v>
      </x:c>
      <x:c r="J17" s="191" t="str">
        <x:v>NO PUBLIC BULK FILE VERIFIED</x:v>
      </x:c>
      <x:c r="K17" s="191" t="str">
        <x:v>July workbook values are approximate chart readings, not audited CSV</x:v>
      </x:c>
      <x:c r="L17" s="188" t="str">
        <x:v>COPY URL IN E; PASTE IN BROWSER</x:v>
      </x:c>
    </x:row>
    <x:row r="18" ht="48" customHeight="1">
      <x:c r="A18" s="183" t="str">
        <x:v>13</x:v>
      </x:c>
      <x:c r="B18" s="183" t="str">
        <x:v>Data Stanford</x:v>
      </x:c>
      <x:c r="C18" s="183" t="str">
        <x:v>Stanford Digital Economy Lab</x:v>
      </x:c>
      <x:c r="D18" s="183" t="str">
        <x:v>Published consumer valuation study</x:v>
      </x:c>
      <x:c r="E18" s="185" t="str">
        <x:v>https://digitaleconomy.stanford.edu/publication/what-is-generative-ai-worth/</x:v>
      </x:c>
      <x:c r="F18" s="183" t="str">
        <x:v>PAPER / STUDY</x:v>
      </x:c>
      <x:c r="G18" s="183" t="str">
        <x:v>Consumer WTA and surplus are economic welfare, NOT subscriptions / vendor revenue</x:v>
      </x:c>
      <x:c r="H18" s="183" t="str">
        <x:v>2026 Mar</x:v>
      </x:c>
      <x:c r="I18" s="183" t="str">
        <x:v>INPUT / PAPER</x:v>
      </x:c>
      <x:c r="J18" s="183" t="str">
        <x:v>WTA NOT PRICE</x:v>
      </x:c>
      <x:c r="K18" s="183" t="str">
        <x:v>Consumer paid conversion and price remain analyst assumptions</x:v>
      </x:c>
      <x:c r="L18" s="188" t="str">
        <x:v>COPY URL IN E; PASTE IN BROWSER</x:v>
      </x:c>
    </x:row>
    <x:row r="19" ht="48" customHeight="1">
      <x:c r="A19" s="191" t="str">
        <x:v>14</x:v>
      </x:c>
      <x:c r="B19" s="191" t="str">
        <x:v>Data Token Pricing</x:v>
      </x:c>
      <x:c r="C19" s="191" t="str">
        <x:v>Ramp (publisher)</x:v>
      </x:c>
      <x:c r="D19" s="191" t="str">
        <x:v>Effective net cost per million tokens</x:v>
      </x:c>
      <x:c r="E19" s="193" t="str">
        <x:v>https://ramp.com/data/ai-index-sept-2026</x:v>
      </x:c>
      <x:c r="F19" s="191" t="str">
        <x:v>PUBLISHER ARTICLE</x:v>
      </x:c>
      <x:c r="G19" s="191" t="str">
        <x:v>Extract dated March peak and Sept value; annual forecast price decline is assumption</x:v>
      </x:c>
      <x:c r="H19" s="191" t="str">
        <x:v>2026 Mar/Sep</x:v>
      </x:c>
      <x:c r="I19" s="191" t="str">
        <x:v>PRICE REFERENCE</x:v>
      </x:c>
      <x:c r="J19" s="191" t="str">
        <x:v>NOT FUTURE CAGR</x:v>
      </x:c>
      <x:c r="K19" s="191" t="str">
        <x:v>Do not equate a six-month price change with every future year</x:v>
      </x:c>
      <x:c r="L19" s="188" t="str">
        <x:v>COPY URL IN E; PASTE IN BROWSER</x:v>
      </x:c>
    </x:row>
    <x:row r="20" ht="48" customHeight="1">
      <x:c r="A20" s="184" t="str">
        <x:v>15</x:v>
      </x:c>
      <x:c r="B20" s="184" t="str">
        <x:v>Data Research</x:v>
      </x:c>
      <x:c r="C20" s="184" t="str">
        <x:v>Census / NBER working paper</x:v>
      </x:c>
      <x:c r="D20" s="183" t="str">
        <x:v>AI use: firm-weighted vs employment-weighted</x:v>
      </x:c>
      <x:c r="E20" s="185" t="str">
        <x:v>https://lehd.ces.census.gov/applications/creat/paper-profile/1413</x:v>
      </x:c>
      <x:c r="F20" s="183" t="str">
        <x:v>PAPER PAGE</x:v>
      </x:c>
      <x:c r="G20" s="183" t="str">
        <x:v>See definitions and national sample coverage; academic context, not AI revenue dataset</x:v>
      </x:c>
      <x:c r="H20" s="183" t="str">
        <x:v>2026 Apr</x:v>
      </x:c>
      <x:c r="I20" s="183" t="str">
        <x:v>METHOD ONLY</x:v>
      </x:c>
      <x:c r="J20" s="183" t="str">
        <x:v>NOT AN INPUT TABLE</x:v>
      </x:c>
      <x:c r="K20" s="183" t="str">
        <x:v>Report observed 18% firms / 32% employment-weighted carefully</x:v>
      </x:c>
      <x:c r="L20" s="188" t="str">
        <x:v>COPY URL IN E; PASTE IN BROWSER</x:v>
      </x:c>
    </x:row>
    <x:row r="21" ht="48" customHeight="1">
      <x:c r="A21" s="192" t="str">
        <x:v>16</x:v>
      </x:c>
      <x:c r="B21" s="192" t="str">
        <x:v>Optional - not used</x:v>
      </x:c>
      <x:c r="C21" s="192" t="str">
        <x:v>OECD</x:v>
      </x:c>
      <x:c r="D21" s="191" t="str">
        <x:v>Real income per capita gains by country</x:v>
      </x:c>
      <x:c r="E21" s="193" t="str">
        <x:v>https://www.oecd.org/content/dam/oecd/en/topics/policy-sub-issues/macroeconomics-of-ai/CrossCountryGains_website.xlsx</x:v>
      </x:c>
      <x:c r="F21" s="191" t="str">
        <x:v>DIRECT XLSX</x:v>
      </x:c>
      <x:c r="G21" s="191" t="str">
        <x:v>Country calibration; complementary, not included in current Revenue model</x:v>
      </x:c>
      <x:c r="H21" s="191" t="str">
        <x:v>2023–2033</x:v>
      </x:c>
      <x:c r="I21" s="191" t="str">
        <x:v>NOT MODELED</x:v>
      </x:c>
      <x:c r="J21" s="191" t="str">
        <x:v>OPTIONAL</x:v>
      </x:c>
      <x:c r="K21" s="191" t="str">
        <x:v>Do not mix sector TFP with income gains as separate cash revenue</x:v>
      </x:c>
      <x:c r="L21" s="188" t="str">
        <x:v>COPY URL IN E; PASTE IN BROWSER</x:v>
      </x:c>
    </x:row>
    <x:row r="22" ht="48" customHeight="1">
      <x:c r="A22" s="184" t="str">
        <x:v>17</x:v>
      </x:c>
      <x:c r="B22" s="184" t="str">
        <x:v>Optional - not used</x:v>
      </x:c>
      <x:c r="C22" s="184" t="str">
        <x:v>OECD</x:v>
      </x:c>
      <x:c r="D22" s="183" t="str">
        <x:v>Labour productivity gains by country</x:v>
      </x:c>
      <x:c r="E22" s="185" t="str">
        <x:v>https://www.oecd.org/content/dam/oecd/en/topics/policy-sub-issues/macroeconomics-of-ai/CrossCountryGains_LP_website.xlsx</x:v>
      </x:c>
      <x:c r="F22" s="183" t="str">
        <x:v>DIRECT XLSX</x:v>
      </x:c>
      <x:c r="G22" s="183" t="str">
        <x:v>Cross-check only; not used in sector demand formulas</x:v>
      </x:c>
      <x:c r="H22" s="183" t="str">
        <x:v>2023–2033</x:v>
      </x:c>
      <x:c r="I22" s="183" t="str">
        <x:v>NOT MODELED</x:v>
      </x:c>
      <x:c r="J22" s="183" t="str">
        <x:v>OPTIONAL</x:v>
      </x:c>
      <x:c r="K22" s="183" t="str">
        <x:v>Measures differ; keep independent</x:v>
      </x:c>
      <x:c r="L22" s="188" t="str">
        <x:v>COPY URL IN E; PASTE IN BROWSER</x:v>
      </x:c>
    </x:row>
    <x:row r="24" ht="24" customHeight="1">
      <x:c r="A24" s="163" t="str">
        <x:v>REFRESH / PUBLICATION GATES</x:v>
      </x:c>
      <x:c r="B24" s="163"/>
      <x:c r="C24" s="163"/>
      <x:c r="D24" s="163"/>
      <x:c r="E24" s="163"/>
      <x:c r="F24" s="163"/>
      <x:c r="G24" s="163"/>
      <x:c r="H24" s="163"/>
      <x:c r="I24" s="163"/>
      <x:c r="J24" s="163"/>
      <x:c r="K24" s="163"/>
      <x:c r="L24" s="163"/>
    </x:row>
    <x:row r="25" ht="30" customHeight="1">
      <x:c r="A25" s="194" t="str">
        <x:v>01 Census freshness</x:v>
      </x:c>
      <x:c r="B25" s="196" t="str">
        <x:v>Refresh 2026-10-04 sector XLSX; compare question wording / period before overwriting current sector input cells.</x:v>
      </x:c>
    </x:row>
    <x:row r="26" ht="30" customHeight="1">
      <x:c r="A26" s="194" t="str">
        <x:v>02 Ramp sample</x:v>
      </x:c>
      <x:c r="B26" s="196" t="str">
        <x:v>Do not call Ramp paid-firm penetration a nationally observed employee AI-paid rate.</x:v>
      </x:c>
    </x:row>
    <x:row r="27" ht="30" customHeight="1">
      <x:c r="A27" s="194" t="str">
        <x:v>03 Ramp tail spend</x:v>
      </x:c>
      <x:c r="B27" s="196" t="str">
        <x:v>Company cohort medians are not worker-weighted means. Worker cohort weights are analyst assumptions.</x:v>
      </x:c>
    </x:row>
    <x:row r="28" ht="30" customHeight="1">
      <x:c r="A28" s="194" t="str">
        <x:v>04 OECD calibration</x:v>
      </x:c>
      <x:c r="B28" s="196" t="str">
        <x:v>Use official 43-sector file, map labels and keep 2023-2033 cumulative LEVEL effects distinct from annual growth.</x:v>
      </x:c>
    </x:row>
    <x:row r="29" ht="30" customHeight="1">
      <x:c r="A29" s="194" t="str">
        <x:v>05 Consumer</x:v>
      </x:c>
      <x:c r="B29" s="196" t="str">
        <x:v>Stanford WTA / surplus is welfare; paid consumer rate and ARPPU are analyst assumptions.</x:v>
      </x:c>
    </x:row>
    <x:row r="30" ht="30" customHeight="1">
      <x:c r="A30" s="194" t="str">
        <x:v>06 Audit after update</x:v>
      </x:c>
      <x:c r="B30" s="196" t="str">
        <x:v>When replacing data, rerun 10 Coverage QA and compare 01 Dashboard / 06 Revenue Summary / 11 Scenario Comparison.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4" hidden="0" customWidth="1"/>
    <x:col min="3" max="3" width="27" hidden="0" customWidth="1"/>
    <x:col min="4" max="4" width="22" hidden="0" customWidth="1"/>
    <x:col min="5" max="5" width="22" hidden="0" customWidth="1"/>
    <x:col min="6" max="6" width="22" hidden="0" customWidth="1"/>
    <x:col min="7" max="7" width="15" hidden="0" customWidth="1"/>
  </x:cols>
  <x:sheetData>
    <x:row r="1" ht="32" customHeight="1">
      <x:c r="A1" s="128" t="str">
        <x:v>WHY THE 2026 REVENUE WAS LOW | ONE-PARAMETER REVISED BASE CASE</x:v>
      </x:c>
      <x:c r="B1" s="128"/>
      <x:c r="C1" s="128"/>
      <x:c r="D1" s="128"/>
      <x:c r="E1" s="128"/>
      <x:c r="F1" s="128"/>
      <x:c r="G1" s="128"/>
    </x:row>
    <x:row r="3" ht="27" customHeight="1">
      <x:c r="A3" s="131" t="str">
        <x:v>IMPORTANT: All numbers below are U.S. annualized end-customer AI spending SCENARIOS, not observed industry revenue or global TAM.</x:v>
      </x:c>
      <x:c r="B3" s="131"/>
      <x:c r="C3" s="131"/>
      <x:c r="D3" s="131"/>
      <x:c r="E3" s="131"/>
      <x:c r="F3" s="131"/>
      <x:c r="G3" s="131"/>
    </x:row>
    <x:row r="5" ht="24" customHeight="1">
      <x:c r="A5" s="134" t="str">
        <x:v>Item</x:v>
      </x:c>
      <x:c r="B5" s="134" t="str">
        <x:v>Previous Base</x:v>
      </x:c>
      <x:c r="C5" s="134" t="str">
        <x:v>Revised Base</x:v>
      </x:c>
    </x:row>
    <x:row r="6">
      <x:c r="A6" t="str">
        <x:v>Core-paying worker share</x:v>
      </x:c>
      <x:c r="B6" s="139" t="n">
        <x:v>0.955</x:v>
      </x:c>
      <x:c r="C6" s="141" t="n">
        <x:f>'13 Spend Calibration'!B9</x:f>
        <x:v>0.945</x:v>
      </x:c>
    </x:row>
    <x:row r="7">
      <x:c r="A7" t="str">
        <x:v>Advanced-paying worker share</x:v>
      </x:c>
      <x:c r="B7" s="139" t="n">
        <x:v>0.04</x:v>
      </x:c>
      <x:c r="C7" s="141" t="n">
        <x:f>'13 Spend Calibration'!C9</x:f>
        <x:v>0.047</x:v>
      </x:c>
    </x:row>
    <x:row r="8">
      <x:c r="A8" t="str">
        <x:v>Very-high-paying worker share</x:v>
      </x:c>
      <x:c r="B8" s="139" t="n">
        <x:v>0.005</x:v>
      </x:c>
      <x:c r="C8" s="141" t="n">
        <x:f>'13 Spend Calibration'!D9</x:f>
        <x:v>0.008</x:v>
      </x:c>
    </x:row>
    <x:row r="9">
      <x:c r="A9" t="str">
        <x:v>Ramp core median firm ($/employee/month)</x:v>
      </x:c>
      <x:c r="B9" s="140" t="n">
        <x:v>11.95</x:v>
      </x:c>
      <x:c r="C9" s="142" t="n">
        <x:f>'13 Spend Calibration'!K7</x:f>
        <x:v>11.95</x:v>
      </x:c>
    </x:row>
    <x:row r="10">
      <x:c r="A10" t="str">
        <x:v>Ramp advanced firm tier ($/employee/month)</x:v>
      </x:c>
      <x:c r="B10" s="140" t="n">
        <x:v>650</x:v>
      </x:c>
      <x:c r="C10" s="142" t="n">
        <x:f>'13 Spend Calibration'!K8</x:f>
        <x:v>650</x:v>
      </x:c>
    </x:row>
    <x:row r="11">
      <x:c r="A11" t="str">
        <x:v>Ramp very-high firm tier ($/employee/month)</x:v>
      </x:c>
      <x:c r="B11" s="140" t="n">
        <x:v>7976</x:v>
      </x:c>
      <x:c r="C11" s="142" t="n">
        <x:f>'13 Spend Calibration'!K9</x:f>
        <x:v>7976</x:v>
      </x:c>
    </x:row>
    <x:row r="12">
      <x:c r="A12" t="str">
        <x:v>Modeled worker-weighted conditional spend ($/month)</x:v>
      </x:c>
      <x:c r="B12" s="136" t="n">
        <x:f>SUMPRODUCT(B6:B8,B9:B11)</x:f>
        <x:v>77.29225</x:v>
      </x:c>
      <x:c r="C12" s="144" t="n">
        <x:f>SUMPRODUCT(C6:C8,C9:C11)</x:f>
        <x:v>105.65074999999999</x:v>
      </x:c>
    </x:row>
    <x:row r="13">
      <x:c r="A13" t="str">
        <x:v>Conditional spend factor: Revised / Previous</x:v>
      </x:c>
      <x:c r="B13" s="137" t="n">
        <x:f>1</x:f>
        <x:v>1</x:v>
      </x:c>
      <x:c r="C13" s="145" t="n">
        <x:f>IFERROR(C12/B12,0)</x:f>
        <x:v>1.3668996568219969</x:v>
      </x:c>
    </x:row>
    <x:row r="14">
      <x:c r="A14" t="str">
        <x:v>Very-high-spending tier's share of modeled spending</x:v>
      </x:c>
      <x:c r="B14" s="135" t="n">
        <x:f>B8*B11/B12</x:f>
        <x:v>0.5159637609204029</x:v>
      </x:c>
      <x:c r="C14" s="135" t="n">
        <x:f>C8*C11/C12</x:f>
        <x:v>0.6039521726064416</x:v>
      </x:c>
    </x:row>
    <x:row r="15">
      <x:c r="A15" t="str">
        <x:v>2026 enterprise end-customer spending ($B)</x:v>
      </x:c>
      <x:c r="B15" s="138" t="n">
        <x:v>65.76057744681641</x:v>
      </x:c>
      <x:c r="C15" s="143" t="n">
        <x:f>B15*C13</x:f>
        <x:v>89.8881107444697</x:v>
      </x:c>
    </x:row>
    <x:row r="16">
      <x:c r="A16" t="str">
        <x:v>2026 personally paid consumer revenue ($B)</x:v>
      </x:c>
      <x:c r="B16" s="138" t="n">
        <x:v>10.0584</x:v>
      </x:c>
      <x:c r="C16" s="143" t="n">
        <x:f>B16</x:f>
        <x:v>10.0584</x:v>
      </x:c>
    </x:row>
    <x:row r="17">
      <x:c r="A17" t="str">
        <x:v>2026 U.S. combined spending ($B)</x:v>
      </x:c>
      <x:c r="B17" s="138" t="n">
        <x:f>SUM(B15:B16)</x:f>
        <x:v>75.81897744681642</x:v>
      </x:c>
      <x:c r="C17" s="147" t="n">
        <x:f>SUM(C15:C16)</x:f>
        <x:v>99.9465107444697</x:v>
      </x:c>
    </x:row>
    <x:row r="18">
      <x:c r="B18" s="138"/>
      <x:c r="C18" s="143"/>
    </x:row>
    <x:row r="19">
      <x:c r="A19" t="str">
        <x:v>2032 enterprise end-customer spending ($B)</x:v>
      </x:c>
      <x:c r="B19" s="138" t="n">
        <x:v>382.98080655019976</x:v>
      </x:c>
      <x:c r="C19" s="143" t="n">
        <x:f>B19*C13</x:f>
        <x:v>523.4963330428797</x:v>
      </x:c>
    </x:row>
    <x:row r="20">
      <x:c r="A20" t="str">
        <x:v>2032 personally paid consumer revenue ($B)</x:v>
      </x:c>
      <x:c r="B20" s="138" t="n">
        <x:v>33.87151504004868</x:v>
      </x:c>
      <x:c r="C20" s="143" t="n">
        <x:f>B20</x:f>
        <x:v>33.87151504004868</x:v>
      </x:c>
    </x:row>
    <x:row r="21">
      <x:c r="A21" t="str">
        <x:v>2032 U.S. combined spending ($B)</x:v>
      </x:c>
      <x:c r="B21" s="138" t="n">
        <x:f>SUM(B19:B20)</x:f>
        <x:v>416.85232159024844</x:v>
      </x:c>
      <x:c r="C21" s="149" t="n">
        <x:f>SUM(C19:C20)</x:f>
        <x:v>557.3678480829283</x:v>
      </x:c>
    </x:row>
    <x:row r="23">
      <x:c r="A23" t="str">
        <x:v>WHY IT CHANGES</x:v>
      </x:c>
      <x:c r="B23" t="str">
        <x:v>Revised paid-worker distribution makes the 2026 spend assumption less conservative.</x:v>
      </x:c>
      <x:c r="C23" t="str">
        <x:v>NO change to jobs, paid adoption, token growth, token unit price, macro or Stanford inputs.</x:v>
      </x:c>
    </x:row>
    <x:row r="25">
      <x:c r="A25" t="str">
        <x:v>PUBLISHABILITY</x:v>
      </x:c>
      <x:c r="B25" t="str">
        <x:v>All cohort weights are analyst scenarios, not an observed nationwide workforce distribution.</x:v>
      </x:c>
      <x:c r="C25" t="str">
        <x:v>Do not cite the modeled $/worker or demand amount as Ramp-measured 2026 U.S. spending.</x:v>
      </x:c>
    </x:row>
    <x:row r="27">
      <x:c r="A27" t="str">
        <x:v>GEO &amp; TIMING</x:v>
      </x:c>
      <x:c r="B27" t="str">
        <x:v>U.S. only; an annualized mid-2026 run-rate scenario.</x:v>
      </x:c>
      <x:c r="C27" t="str">
        <x:v>Do not compare directly with GLOBAL exit ARR or book it as FY2026 recognized revenue.</x:v>
      </x:c>
    </x:row>
    <x:row r="29">
      <x:c r="A29" t="str">
        <x:v>SCENARIO CHECK</x:v>
      </x:c>
      <x:c r="B29" t="str">
        <x:v>Prior model constant is archived from the previous workbook.</x:v>
      </x:c>
      <x:c r="C29" t="str">
        <x:v>Revised model is live in 06 Revenue Summary when Base (2) is selected.</x:v>
      </x:c>
    </x:row>
    <x:row r="31" ht="24" customHeight="1">
      <x:c r="A31" s="134" t="str">
        <x:v>Control check</x:v>
      </x:c>
      <x:c r="B31" s="134" t="str">
        <x:v>Current Base? (1=yes)</x:v>
      </x:c>
      <x:c r="C31" s="134" t="str">
        <x:v>Live minus recalculated 2026 Base ($B)</x:v>
      </x:c>
    </x:row>
    <x:row r="32">
      <x:c r="B32" t="n">
        <x:f>IF('02 Assumptions'!B4=2,1,0)</x:f>
        <x:v>1</x:v>
      </x:c>
      <x:c r="C32" t="n">
        <x:f>IF(B32=1,'06 Revenue Summary'!H8-C17,0)</x:f>
        <x:v>0</x:v>
      </x:c>
    </x:row>
    <x:row r="34">
      <x:c r="A34" t="str">
        <x:v>Original published Ramp evidence</x:v>
      </x:c>
      <x:c r="B34" t="str">
        <x:v>Firm-level median / upper-tail, NOT employee-weighted nationwide mean</x:v>
      </x:c>
      <x:c r="C34" t="str">
        <x:v>https://ramp.com/data/ai-index-august-2026</x:v>
      </x:c>
    </x:row>
    <x:row r="35">
      <x:c r="A35" t="str">
        <x:v>Revised upper-tail observed figure</x:v>
      </x:c>
      <x:c r="B35" t="str">
        <x:v>July 2026 top-1% firm cohort value revised by Ramp Sept 2026</x:v>
      </x:c>
      <x:c r="C35" t="str">
        <x:v>https://ramp.com/data/ai-index-sept-2026</x:v>
      </x:c>
    </x:row>
    <x:row r="37" ht="38" customHeight="1">
      <x:c r="A37" s="62" t="str">
        <x:v>MAJOR LIMITATION</x:v>
      </x:c>
      <x:c r="B37" s="62" t="str">
        <x:v>At the revised Base, &lt;1% of modeled paying workers generate over half the starting spend.</x:v>
      </x:c>
      <x:c r="C37" s="62" t="str">
        <x:v>This is an intentionally explicit ANALYST risk, not a weighted Ramp estimate.</x:v>
      </x:c>
    </x:row>
    <x:row r="38" ht="38" customHeight="1">
      <x:c r="A38" s="62"/>
      <x:c r="B38" s="62"/>
      <x:c r="C38" s="62"/>
    </x:row>
    <x:row r="39" ht="38" customHeight="1">
      <x:c r="A39" s="62" t="str">
        <x:v>NO FALSE PRECISION</x:v>
      </x:c>
      <x:c r="B39" s="62" t="str">
        <x:v>Use rounded $100B / $557B for modeled run-rates, not observed market numbers.</x:v>
      </x:c>
      <x:c r="C39" s="62" t="str">
        <x:v>Publication gates (10 Coverage QA) remain OPEN.</x:v>
      </x:c>
    </x:row>
  </x:sheetData>
  <x:mergeCells>
    <x:mergeCell ref="A1:G1"/>
    <x:mergeCell ref="A3:G3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4" hidden="0" customWidth="1"/>
    <x:col min="3" max="3" width="27" hidden="0" customWidth="1"/>
    <x:col min="4" max="4" width="22" hidden="0" customWidth="1"/>
    <x:col min="5" max="5" width="22" hidden="0" customWidth="1"/>
    <x:col min="6" max="6" width="22" hidden="0" customWidth="1"/>
    <x:col min="7" max="7" width="15" hidden="0" customWidth="1"/>
  </x:cols>
  <x:sheetData>
    <x:row r="1" ht="32" customHeight="1">
      <x:c r="A1" s="128" t="str">
        <x:v>AI DEMAND SENSITIVITY | TWO INPUTS, NO ADDED REVENUE LINE</x:v>
      </x:c>
      <x:c r="B1" s="128"/>
      <x:c r="C1" s="128"/>
      <x:c r="D1" s="128"/>
      <x:c r="E1" s="128"/>
      <x:c r="F1" s="128"/>
      <x:c r="G1" s="128"/>
    </x:row>
    <x:row r="3" ht="27" customHeight="1">
      <x:c r="A3" s="131" t="str">
        <x:v>What if paying-worker coverage or paid-worker monthly AI spending differs? All other enterprise and consumer drivers held at ACTIVE scenario.</x:v>
      </x:c>
      <x:c r="B3" s="131"/>
      <x:c r="C3" s="131"/>
      <x:c r="D3" s="131"/>
      <x:c r="E3" s="131"/>
      <x:c r="F3" s="131"/>
      <x:c r="G3" s="131"/>
    </x:row>
    <x:row r="5">
      <x:c r="A5" t="str">
        <x:v>Model input (active scenario)</x:v>
      </x:c>
      <x:c r="B5" t="str">
        <x:v>Current formula / value</x:v>
      </x:c>
    </x:row>
    <x:row r="6">
      <x:c r="A6" t="str">
        <x:v>Paid-worker monthly benchmark ($)</x:v>
      </x:c>
      <x:c r="B6" t="n">
        <x:f>'13 Spend Calibration'!K7*'02 Assumptions'!E8</x:f>
        <x:v>105.65075</x:v>
      </x:c>
    </x:row>
    <x:row r="7">
      <x:c r="A7" t="str">
        <x:v>2026 enterprise demand ($B)</x:v>
      </x:c>
      <x:c r="B7" t="n">
        <x:f>'06 Revenue Summary'!F8</x:f>
        <x:v>89.8881107444697</x:v>
      </x:c>
    </x:row>
    <x:row r="8">
      <x:c r="A8" t="str">
        <x:v>2032 enterprise demand ($B)</x:v>
      </x:c>
      <x:c r="B8" t="n">
        <x:f>'06 Revenue Summary'!F14</x:f>
        <x:v>523.4963330428798</x:v>
      </x:c>
    </x:row>
    <x:row r="10" ht="24" customHeight="1">
      <x:c r="A10" s="134" t="str">
        <x:v>2026 total demand ($B) / Paid coverage multiplier</x:v>
      </x:c>
      <x:c r="B10" s="134" t="str">
        <x:v>$60/month</x:v>
      </x:c>
      <x:c r="C10" s="134" t="str">
        <x:v>$77/month</x:v>
      </x:c>
      <x:c r="D10" s="134" t="str">
        <x:v>ACTIVE spend</x:v>
      </x:c>
      <x:c r="E10" s="134" t="str">
        <x:v>$130/month</x:v>
      </x:c>
      <x:c r="F10" s="134" t="str">
        <x:v>$160/month</x:v>
      </x:c>
    </x:row>
    <x:row r="11">
      <x:c r="B11" s="151" t="n">
        <x:v>60</x:v>
      </x:c>
      <x:c r="C11" s="151" t="n">
        <x:v>77.29225</x:v>
      </x:c>
      <x:c r="D11" s="151" t="n">
        <x:f>$B$6</x:f>
        <x:v>105.65075</x:v>
      </x:c>
      <x:c r="E11" s="151" t="n">
        <x:v>130</x:v>
      </x:c>
      <x:c r="F11" s="151" t="n">
        <x:v>160</x:v>
      </x:c>
    </x:row>
    <x:row r="12">
      <x:c r="A12" s="154" t="n">
        <x:v>0.8</x:v>
      </x:c>
      <x:c r="B12" s="138" t="n">
        <x:f>$B$7*B$11/$B$6*$A12+'06 Revenue Summary'!G8</x:f>
        <x:v>50.89700564865413</x:v>
      </x:c>
      <x:c r="C12" s="138" t="n">
        <x:f>$B$7*C$11/$B$6*$A12+'06 Revenue Summary'!G8</x:f>
        <x:v>62.66686195745312</x:v>
      </x:c>
      <x:c r="D12" s="138" t="n">
        <x:f>$B$7*D$11/$B$6*$A12+'06 Revenue Summary'!G8</x:f>
        <x:v>81.96888859557576</x:v>
      </x:c>
      <x:c r="E12" s="138" t="n">
        <x:f>$B$7*E$11/$B$6*$A12+'06 Revenue Summary'!G8</x:f>
        <x:v>98.54204557208396</x:v>
      </x:c>
      <x:c r="F12" s="138" t="n">
        <x:f>$B$7*F$11/$B$6*$A12+'06 Revenue Summary'!G8</x:f>
        <x:v>118.96134839641103</x:v>
      </x:c>
    </x:row>
    <x:row r="13">
      <x:c r="A13" s="154" t="n">
        <x:v>0.9</x:v>
      </x:c>
      <x:c r="B13" s="138" t="n">
        <x:f>$B$7*B$11/$B$6*$A13+'06 Revenue Summary'!G8</x:f>
        <x:v>56.0018313547359</x:v>
      </x:c>
      <x:c r="C13" s="138" t="n">
        <x:f>$B$7*C$11/$B$6*$A13+'06 Revenue Summary'!G8</x:f>
        <x:v>69.24291970213476</x:v>
      </x:c>
      <x:c r="D13" s="138" t="n">
        <x:f>$B$7*D$11/$B$6*$A13+'06 Revenue Summary'!G8</x:f>
        <x:v>90.95769967002273</x:v>
      </x:c>
      <x:c r="E13" s="138" t="n">
        <x:f>$B$7*E$11/$B$6*$A13+'06 Revenue Summary'!G8</x:f>
        <x:v>109.60250126859445</x:v>
      </x:c>
      <x:c r="F13" s="138" t="n">
        <x:f>$B$7*F$11/$B$6*$A13+'06 Revenue Summary'!G8</x:f>
        <x:v>132.57421694596238</x:v>
      </x:c>
    </x:row>
    <x:row r="14">
      <x:c r="A14" s="154" t="n">
        <x:v>1</x:v>
      </x:c>
      <x:c r="B14" s="138" t="n">
        <x:f>$B$7*B$11/$B$6*$A14+'06 Revenue Summary'!G8</x:f>
        <x:v>61.10665706081766</x:v>
      </x:c>
      <x:c r="C14" s="138" t="n">
        <x:f>$B$7*C$11/$B$6*$A14+'06 Revenue Summary'!G8</x:f>
        <x:v>75.8189774468164</x:v>
      </x:c>
      <x:c r="D14" s="156" t="n">
        <x:f>$B$7*D$11/$B$6*$A14+'06 Revenue Summary'!G8</x:f>
        <x:v>99.9465107444697</x:v>
      </x:c>
      <x:c r="E14" s="138" t="n">
        <x:f>$B$7*E$11/$B$6*$A14+'06 Revenue Summary'!G8</x:f>
        <x:v>120.66295696510494</x:v>
      </x:c>
      <x:c r="F14" s="138" t="n">
        <x:f>$B$7*F$11/$B$6*$A14+'06 Revenue Summary'!G8</x:f>
        <x:v>146.18708549551377</x:v>
      </x:c>
    </x:row>
    <x:row r="15">
      <x:c r="A15" s="154" t="n">
        <x:v>1.1</x:v>
      </x:c>
      <x:c r="B15" s="138" t="n">
        <x:f>$B$7*B$11/$B$6*$A15+'06 Revenue Summary'!G8</x:f>
        <x:v>66.21148276689944</x:v>
      </x:c>
      <x:c r="C15" s="138" t="n">
        <x:f>$B$7*C$11/$B$6*$A15+'06 Revenue Summary'!G8</x:f>
        <x:v>82.39503519149805</x:v>
      </x:c>
      <x:c r="D15" s="138" t="n">
        <x:f>$B$7*D$11/$B$6*$A15+'06 Revenue Summary'!G8</x:f>
        <x:v>108.93532181891668</x:v>
      </x:c>
      <x:c r="E15" s="138" t="n">
        <x:f>$B$7*E$11/$B$6*$A15+'06 Revenue Summary'!G8</x:f>
        <x:v>131.72341266161544</x:v>
      </x:c>
      <x:c r="F15" s="138" t="n">
        <x:f>$B$7*F$11/$B$6*$A15+'06 Revenue Summary'!G8</x:f>
        <x:v>159.79995404506516</x:v>
      </x:c>
    </x:row>
    <x:row r="16">
      <x:c r="A16" s="154" t="n">
        <x:v>1.2</x:v>
      </x:c>
      <x:c r="B16" s="138" t="n">
        <x:f>$B$7*B$11/$B$6*$A16+'06 Revenue Summary'!G8</x:f>
        <x:v>71.31630847298119</x:v>
      </x:c>
      <x:c r="C16" s="138" t="n">
        <x:f>$B$7*C$11/$B$6*$A16+'06 Revenue Summary'!G8</x:f>
        <x:v>88.97109293617969</x:v>
      </x:c>
      <x:c r="D16" s="138" t="n">
        <x:f>$B$7*D$11/$B$6*$A16+'06 Revenue Summary'!G8</x:f>
        <x:v>117.92413289336365</x:v>
      </x:c>
      <x:c r="E16" s="138" t="n">
        <x:f>$B$7*E$11/$B$6*$A16+'06 Revenue Summary'!G8</x:f>
        <x:v>142.78386835812591</x:v>
      </x:c>
      <x:c r="F16" s="138" t="n">
        <x:f>$B$7*F$11/$B$6*$A16+'06 Revenue Summary'!G8</x:f>
        <x:v>173.41282259461653</x:v>
      </x:c>
    </x:row>
    <x:row r="19" ht="24" customHeight="1">
      <x:c r="A19" s="134" t="str">
        <x:v>2032 total demand ($B) / Paid coverage multiplier</x:v>
      </x:c>
      <x:c r="B19" s="134" t="str">
        <x:v>$60/month</x:v>
      </x:c>
      <x:c r="C19" s="134" t="str">
        <x:v>$77/month</x:v>
      </x:c>
      <x:c r="D19" s="134" t="str">
        <x:v>ACTIVE spend</x:v>
      </x:c>
      <x:c r="E19" s="134" t="str">
        <x:v>$130/month</x:v>
      </x:c>
      <x:c r="F19" s="134" t="str">
        <x:v>$160/month</x:v>
      </x:c>
    </x:row>
    <x:row r="20">
      <x:c r="B20" s="153" t="n">
        <x:f>B11</x:f>
        <x:v>60</x:v>
      </x:c>
      <x:c r="C20" s="153" t="n">
        <x:f>C11</x:f>
        <x:v>77.29225</x:v>
      </x:c>
      <x:c r="D20" s="153" t="n">
        <x:f>D11</x:f>
        <x:v>105.65075</x:v>
      </x:c>
      <x:c r="E20" s="153" t="n">
        <x:f>E11</x:f>
        <x:v>130</x:v>
      </x:c>
      <x:c r="F20" s="153" t="n">
        <x:f>F11</x:f>
        <x:v>160</x:v>
      </x:c>
    </x:row>
    <x:row r="21">
      <x:c r="A21" s="154" t="n">
        <x:v>0.8</x:v>
      </x:c>
      <x:c r="B21" s="138" t="n">
        <x:f>$B$8*B$20/$B$6*$A21+'06 Revenue Summary'!G14</x:f>
        <x:v>271.71009153911024</x:v>
      </x:c>
      <x:c r="C21" s="138" t="n">
        <x:f>$B$8*C$20/$B$6*$A21+'06 Revenue Summary'!G14</x:f>
        <x:v>340.2561602802085</x:v>
      </x:c>
      <x:c r="D21" s="138" t="n">
        <x:f>$B$8*D$20/$B$6*$A21+'06 Revenue Summary'!G14</x:f>
        <x:v>452.6685814743525</x:v>
      </x:c>
      <x:c r="E21" s="138" t="n">
        <x:f>$B$8*E$20/$B$6*$A21+'06 Revenue Summary'!G14</x:f>
        <x:v>549.1884307880155</x:v>
      </x:c>
      <x:c r="F21" s="138" t="n">
        <x:f>$B$8*F$20/$B$6*$A21+'06 Revenue Summary'!G14</x:f>
        <x:v>668.1077190375463</x:v>
      </x:c>
    </x:row>
    <x:row r="22">
      <x:c r="A22" s="154" t="n">
        <x:v>0.9</x:v>
      </x:c>
      <x:c r="B22" s="138" t="n">
        <x:f>$B$8*B$20/$B$6*$A22+'06 Revenue Summary'!G14</x:f>
        <x:v>301.4399136014929</x:v>
      </x:c>
      <x:c r="C22" s="138" t="n">
        <x:f>$B$8*C$20/$B$6*$A22+'06 Revenue Summary'!G14</x:f>
        <x:v>378.55424093522845</x:v>
      </x:c>
      <x:c r="D22" s="138" t="n">
        <x:f>$B$8*D$20/$B$6*$A22+'06 Revenue Summary'!G14</x:f>
        <x:v>505.01821477864047</x:v>
      </x:c>
      <x:c r="E22" s="138" t="n">
        <x:f>$B$8*E$20/$B$6*$A22+'06 Revenue Summary'!G14</x:f>
        <x:v>613.6030452565112</x:v>
      </x:c>
      <x:c r="F22" s="138" t="n">
        <x:f>$B$8*F$20/$B$6*$A22+'06 Revenue Summary'!G14</x:f>
        <x:v>747.3872445372333</x:v>
      </x:c>
    </x:row>
    <x:row r="23">
      <x:c r="A23" s="154" t="n">
        <x:v>1</x:v>
      </x:c>
      <x:c r="B23" s="138" t="n">
        <x:f>$B$8*B$20/$B$6*$A23+'06 Revenue Summary'!G14</x:f>
        <x:v>331.1697356638756</x:v>
      </x:c>
      <x:c r="C23" s="138" t="n">
        <x:f>$B$8*C$20/$B$6*$A23+'06 Revenue Summary'!G14</x:f>
        <x:v>416.85232159024844</x:v>
      </x:c>
      <x:c r="D23" s="156" t="n">
        <x:f>$B$8*D$20/$B$6*$A23+'06 Revenue Summary'!G14</x:f>
        <x:v>557.3678480829285</x:v>
      </x:c>
      <x:c r="E23" s="138" t="n">
        <x:f>$B$8*E$20/$B$6*$A23+'06 Revenue Summary'!G14</x:f>
        <x:v>678.017659725007</x:v>
      </x:c>
      <x:c r="F23" s="138" t="n">
        <x:f>$B$8*F$20/$B$6*$A23+'06 Revenue Summary'!G14</x:f>
        <x:v>826.6667700369205</x:v>
      </x:c>
    </x:row>
    <x:row r="24">
      <x:c r="A24" s="154" t="n">
        <x:v>1.1</x:v>
      </x:c>
      <x:c r="B24" s="138" t="n">
        <x:f>$B$8*B$20/$B$6*$A24+'06 Revenue Summary'!G14</x:f>
        <x:v>360.8995577262583</x:v>
      </x:c>
      <x:c r="C24" s="138" t="n">
        <x:f>$B$8*C$20/$B$6*$A24+'06 Revenue Summary'!G14</x:f>
        <x:v>455.1504022452684</x:v>
      </x:c>
      <x:c r="D24" s="138" t="n">
        <x:f>$B$8*D$20/$B$6*$A24+'06 Revenue Summary'!G14</x:f>
        <x:v>609.7174813872164</x:v>
      </x:c>
      <x:c r="E24" s="138" t="n">
        <x:f>$B$8*E$20/$B$6*$A24+'06 Revenue Summary'!G14</x:f>
        <x:v>742.432274193503</x:v>
      </x:c>
      <x:c r="F24" s="138" t="n">
        <x:f>$B$8*F$20/$B$6*$A24+'06 Revenue Summary'!G14</x:f>
        <x:v>905.9462955366077</x:v>
      </x:c>
    </x:row>
    <x:row r="25">
      <x:c r="A25" s="154" t="n">
        <x:v>1.2</x:v>
      </x:c>
      <x:c r="B25" s="138" t="n">
        <x:f>$B$8*B$20/$B$6*$A25+'06 Revenue Summary'!G14</x:f>
        <x:v>390.62937978864096</x:v>
      </x:c>
      <x:c r="C25" s="138" t="n">
        <x:f>$B$8*C$20/$B$6*$A25+'06 Revenue Summary'!G14</x:f>
        <x:v>493.44848290028835</x:v>
      </x:c>
      <x:c r="D25" s="138" t="n">
        <x:f>$B$8*D$20/$B$6*$A25+'06 Revenue Summary'!G14</x:f>
        <x:v>662.0671146915045</x:v>
      </x:c>
      <x:c r="E25" s="138" t="n">
        <x:f>$B$8*E$20/$B$6*$A25+'06 Revenue Summary'!G14</x:f>
        <x:v>806.8468886619987</x:v>
      </x:c>
      <x:c r="F25" s="138" t="n">
        <x:f>$B$8*F$20/$B$6*$A25+'06 Revenue Summary'!G14</x:f>
        <x:v>985.225821036295</x:v>
      </x:c>
    </x:row>
    <x:row r="28">
      <x:c r="A28" t="str">
        <x:v>CAVEAT: coverage multipliers test modeled paid-worker counts, not nationally observed adoption. Spending inputs are analyst scenarios.</x:v>
      </x:c>
    </x:row>
    <x:row r="30">
      <x:c r="A30" t="str">
        <x:v>Interpretation</x:v>
      </x:c>
      <x:c r="B30" t="str">
        <x:v>1.0x coverage, active spend</x:v>
      </x:c>
      <x:c r="C30" t="str">
        <x:v>Matches selected scenario's total demand; 2032 projection includes existing Token and flywheel assumptions.</x:v>
      </x:c>
    </x:row>
    <x:row r="31">
      <x:c r="A31" t="str">
        <x:v>Reconciliation difference ($B); 2026 in B / 2032 in C</x:v>
      </x:c>
      <x:c r="B31" t="n">
        <x:f>D14-'06 Revenue Summary'!H8</x:f>
        <x:v>0</x:v>
      </x:c>
      <x:c r="C31" t="n">
        <x:f>D23-'06 Revenue Summary'!H14</x:f>
        <x:v>0</x:v>
      </x:c>
    </x:row>
    <x:row r="33">
      <x:c r="A33" t="str">
        <x:v>Research boundary</x:v>
      </x:c>
      <x:c r="B33" t="str">
        <x:v>No bank TAM estimates or private sell-side research used.</x:v>
      </x:c>
      <x:c r="C33" t="str">
        <x:v>Only existing public Ramp/BLS/Census/BEA/OECD/Stanford data + explicit scenarios.</x:v>
      </x:c>
    </x:row>
  </x:sheetData>
  <x:mergeCells>
    <x:mergeCell ref="A1:G1"/>
    <x:mergeCell ref="A3:G3"/>
    <x:mergeCell ref="A28:G28"/>
  </x:mergeCells>
  <x:pageMargins left="0.7" right="0.7" top="0.75" bottom="0.75" header="0.3" footer="0.3"/>
</x:worksheet>
</file>