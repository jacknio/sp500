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020" activeTab="2"/>
  </bookViews>
  <sheets>
    <sheet name="READ ME" sheetId="1" r:id="rId1"/>
    <sheet name="01 Industry Model" sheetId="2" r:id="rId2"/>
    <sheet name="Five-Year Projection" sheetId="3" r:id="rId3"/>
    <sheet name="DATA QCEW" sheetId="7" r:id="rId4"/>
    <sheet name="Projection Assumptions" sheetId="4" r:id="rId5"/>
    <sheet name="DATA BLS Projections" sheetId="5" r:id="rId6"/>
    <sheet name="DATA QCEW Raw" sheetId="6" r:id="rId7"/>
    <sheet name="DATA OEWS" sheetId="8" r:id="rId8"/>
    <sheet name="DATA Wharton" sheetId="9" r:id="rId9"/>
    <sheet name="DATA Census" sheetId="10" r:id="rId10"/>
    <sheet name="03 Sources and Q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<sst xmlns="http://schemas.openxmlformats.org/spreadsheetml/2006/main" count="33575" uniqueCount="1978">
  <si>
    <t>AI-EXPOSED WAGE POOL | COMPANY REBUILD GUIDE</t>
  </si>
  <si>
    <t>Formula-driven • Official data in local tabs • No website or external-workbook links • Blue = source inputs / Green = cross-sheet links</t>
  </si>
  <si>
    <t>STEP</t>
  </si>
  <si>
    <t>ACTION</t>
  </si>
  <si>
    <t>WHAT TO DO</t>
  </si>
  <si>
    <t>RESULT</t>
  </si>
  <si>
    <t>IMPORTANT</t>
  </si>
  <si>
    <t/>
  </si>
  <si>
    <t>01</t>
  </si>
  <si>
    <t>QCEW raw</t>
  </si>
  <si>
    <t>Paste the BLS Industry column into DATA QCEW Raw A, and Total Annual Wages into D. You may paste all ~2,000 rows.</t>
  </si>
  <si>
    <t>Columns E:G parse the NAICS codes automatically.</t>
  </si>
  <si>
    <t>Do not sum parent and child industries.</t>
  </si>
  <si>
    <t>02</t>
  </si>
  <si>
    <t>QCEW mapping</t>
  </si>
  <si>
    <t>DATA QCEW uses one XLOOKUP per 19 industry codes.</t>
  </si>
  <si>
    <t>Annual industry wage totals pulled from raw table.</t>
  </si>
  <si>
    <t>Rows labelled 1013 / 1022 are BLS aggregation IDs, not NAICS.</t>
  </si>
  <si>
    <t>03</t>
  </si>
  <si>
    <t>Wharton</t>
  </si>
  <si>
    <t>DATA Wharton has 784 SOC codes with task exposure as 0–1 fractions.</t>
  </si>
  <si>
    <t>Occupation-level AI task exposure.</t>
  </si>
  <si>
    <t>Original 47.75% in CSV must be 0.4775 internally.</t>
  </si>
  <si>
    <t>04</t>
  </si>
  <si>
    <t>OEWS</t>
  </si>
  <si>
    <t>DATA OEWS contains 7,805 unique sector × detailed SOC records. G/I/J/K are drag-down formulas; H is a verified 2025 Wharton SOC join (replace with XLOOKUP if scores change).</t>
  </si>
  <si>
    <t>G:K are simple drag-down formulas.</t>
  </si>
  <si>
    <t>Some suppressed occupations have blank wages.</t>
  </si>
  <si>
    <t>05</t>
  </si>
  <si>
    <t>Industry Model</t>
  </si>
  <si>
    <t>Read C:K in 01 Industry Model.</t>
  </si>
  <si>
    <t>QCEW wage bill × (OEWS weighted Wharton exposure).</t>
  </si>
  <si>
    <t>The base projection A:K is unchanged. New employee / price revenue scenarios are separate in columns L:Q.</t>
  </si>
  <si>
    <t>06</t>
  </si>
  <si>
    <t>Projection</t>
  </si>
  <si>
    <t>Five-Year Projection: 2025–2030 driven by BLS employment CAGR and editable wage / adoption growth.</t>
  </si>
  <si>
    <t>Simple annual sector forecast.</t>
  </si>
  <si>
    <t>No AI economic savings / revenue estimation.</t>
  </si>
  <si>
    <t>QA</t>
  </si>
  <si>
    <t>Reconciliation</t>
  </si>
  <si>
    <t>19 industry wages + NAICS 99 must equal $10,532,191,402,092 in 2025.</t>
  </si>
  <si>
    <t>0 reconciliation difference.</t>
  </si>
  <si>
    <t>Raw QCEW source must be US TOTAL, private, all sizes.</t>
  </si>
  <si>
    <t>Formula in DATA QCEW Raw!E2</t>
  </si>
  <si>
    <t>KEY FORMULA</t>
  </si>
  <si>
    <t>EXCEL EXAMPLE</t>
  </si>
  <si>
    <t>WHY</t>
  </si>
  <si>
    <t>Extract code from BLS Industry</t>
  </si>
  <si>
    <t>NAICS 31-33 Manufacturing → 31-33</t>
  </si>
  <si>
    <t>Extract the code between NAICS and first following space.</t>
  </si>
  <si>
    <t>Wage weight</t>
  </si>
  <si>
    <t>SUMIF of occupation wage bills by NAICS</t>
  </si>
  <si>
    <t>Use occupation structure to compute exposure, not sector wages.</t>
  </si>
  <si>
    <t>Final Gross Exposure</t>
  </si>
  <si>
    <t>QCEW Annual Wages × Exposure Share</t>
  </si>
  <si>
    <t>Exposure value ≠ cost saved / layoffs.</t>
  </si>
  <si>
    <t>OPTIONAL LIVE WHARTON REFRESH</t>
  </si>
  <si>
    <t>DATA OEWS H2: paste this formula and drag down to H7806</t>
  </si>
  <si>
    <t>SOC lookup formula</t>
  </si>
  <si>
    <t>=IFERROR(XLOOKUP(C2,'DATA Wharton'!$A$2:$A$785,'DATA Wharton'!$C$2:$C$785),)</t>
  </si>
  <si>
    <t>Use only if Wharton scores changed; baseline H values already verified against the 2025 source.</t>
  </si>
  <si>
    <t>NEW</t>
  </si>
  <si>
    <t>QCEW employment</t>
  </si>
  <si>
    <t>Use BLS QCEW annual_avg_emplvl, filtered US000 + own_code 5 + 2025 + annual + all sizes.</t>
  </si>
  <si>
    <t>DATA QCEW Raw C → DATA QCEW F → Industry Model L.</t>
  </si>
  <si>
    <t>All data from supplied 2025 QCEW ZIP.</t>
  </si>
  <si>
    <t>2025 revenue proxy</t>
  </si>
  <si>
    <t>Task-exposed equivalents = QCEW employment × Wharton weighted task exposure.</t>
  </si>
  <si>
    <t>Industry Model M = L × H; implied revenue O = M × N × 12 / 1e9.</t>
  </si>
  <si>
    <t>Exposure ≠ actual employee AI-use or paid seat count.</t>
  </si>
  <si>
    <t>Pricing</t>
  </si>
  <si>
    <t>Projection Assumptions C9 = editable monthly AI spend per seat; C10 = annual price growth.</t>
  </si>
  <si>
    <t>Industry Model N and Projection N pull price assumptions.</t>
  </si>
  <si>
    <t>$30 / month is illustrative, not observed market revenue.</t>
  </si>
  <si>
    <t>Five-year AI revenue</t>
  </si>
  <si>
    <t>Projection L:Q derive employees, proxy seats, price and enterprise revenue independently of A:K.</t>
  </si>
  <si>
    <t>Revenue summary added Five-Year Projection rows 10–14.</t>
  </si>
  <si>
    <t>BTOS-adjusted seats multiply a firm-use rate, NOT an employee-use rate.</t>
  </si>
  <si>
    <t>AI-EXPOSED WAGE POOL | U.S. PRIVATE INDUSTRIES (2025)</t>
  </si>
  <si>
    <t>Source → DATA QCEW Raw → DATA QCEW. SOC mapping is done in DATA OEWS against DATA Wharton. Gross exposure is NOT AI cost savings.</t>
  </si>
  <si>
    <t>AI SOFTWARE SEAT &amp; REVENUE SCENARIO  |  NOT OBSERVED PAID USERS</t>
  </si>
  <si>
    <t>NAICS</t>
  </si>
  <si>
    <t>Industry</t>
  </si>
  <si>
    <t>QCEW Wages ($bn)</t>
  </si>
  <si>
    <t>OEWS Wages ($bn)</t>
  </si>
  <si>
    <t>Matched Wages ($bn)</t>
  </si>
  <si>
    <t>Exposure-Weighted Wages ($bn)</t>
  </si>
  <si>
    <t>Wharton Match Rate</t>
  </si>
  <si>
    <t>Weighted Task Exposure</t>
  </si>
  <si>
    <t>GROSS EXPOSED ($bn)</t>
  </si>
  <si>
    <t>BTOS Firms Using AI</t>
  </si>
  <si>
    <t>Firm-Use Proxy ($bn)</t>
  </si>
  <si>
    <t>2025 Employees (QCEW)</t>
  </si>
  <si>
    <t>Task-Exposed Seat Eq. (Proxy)</t>
  </si>
  <si>
    <t>AI Price ($/seat/month)</t>
  </si>
  <si>
    <t>Task-Equivalent Revenue ($bn)</t>
  </si>
  <si>
    <t>BTOS-Adjusted Seat Eq. (Proxy)</t>
  </si>
  <si>
    <t>BTOS-Adjusted Revenue ($bn)</t>
  </si>
  <si>
    <t>11</t>
  </si>
  <si>
    <t>Agriculture, forestry, fishing and hunting</t>
  </si>
  <si>
    <t>21</t>
  </si>
  <si>
    <t>Mining, quarrying, and oil and gas extraction</t>
  </si>
  <si>
    <t>22</t>
  </si>
  <si>
    <t>Utilities</t>
  </si>
  <si>
    <t>23</t>
  </si>
  <si>
    <t>Construction</t>
  </si>
  <si>
    <t>31-33</t>
  </si>
  <si>
    <t>Manufacturing</t>
  </si>
  <si>
    <t>42</t>
  </si>
  <si>
    <t>Wholesale trade</t>
  </si>
  <si>
    <t>44-45</t>
  </si>
  <si>
    <t>Retail trade</t>
  </si>
  <si>
    <t>48-49</t>
  </si>
  <si>
    <t>Transportation and warehousing</t>
  </si>
  <si>
    <t>51</t>
  </si>
  <si>
    <t>Information</t>
  </si>
  <si>
    <t>52</t>
  </si>
  <si>
    <t>Finance and insurance</t>
  </si>
  <si>
    <t>53</t>
  </si>
  <si>
    <t>Real estate and rental and leasing</t>
  </si>
  <si>
    <t>54</t>
  </si>
  <si>
    <t>Professional, scientific, and technical services</t>
  </si>
  <si>
    <t>55</t>
  </si>
  <si>
    <t>Management of companies and enterprises</t>
  </si>
  <si>
    <t>56</t>
  </si>
  <si>
    <t>Administrative and support and waste management</t>
  </si>
  <si>
    <t>61</t>
  </si>
  <si>
    <t>Educational services</t>
  </si>
  <si>
    <t>62</t>
  </si>
  <si>
    <t>Health care and social assistance</t>
  </si>
  <si>
    <t>71</t>
  </si>
  <si>
    <t>Arts, entertainment, and recreation</t>
  </si>
  <si>
    <t>72</t>
  </si>
  <si>
    <t>Accommodation and food services</t>
  </si>
  <si>
    <t>81</t>
  </si>
  <si>
    <t>Other services (except public administration)</t>
  </si>
  <si>
    <t>TOTAL | 19 PRIVATE INDUSTRIES</t>
  </si>
  <si>
    <t>FIVE-YEAR PROJECTION | 2025–2030</t>
  </si>
  <si>
    <t>BLS 2025–2035 employment projections + illustrative nominal wages + Wharton exposure + Census BTOS firm adoption.</t>
  </si>
  <si>
    <t>U.S. PRIVATE SECTORS ($bn)</t>
  </si>
  <si>
    <t>Industry Annual Wages ($bn)</t>
  </si>
  <si>
    <t>Gross AI-Exposed Wages ($bn)</t>
  </si>
  <si>
    <t>Firm-use proxy / Gross Exposure</t>
  </si>
  <si>
    <t>Private Employment (million)</t>
  </si>
  <si>
    <t>Task-Exposed Seat Eq. (million)</t>
  </si>
  <si>
    <t>Task-Equivalent AI Revenue ($bn)</t>
  </si>
  <si>
    <t>BTOS-Adj. Seat Eq. (million)</t>
  </si>
  <si>
    <t>BTOS-Adj. AI Revenue ($bn)</t>
  </si>
  <si>
    <t>ADD-ON: EMPLOYEES → TASK SEATS → IMPLIED AI SUBSCRIPTION REVENUE</t>
  </si>
  <si>
    <t>Year</t>
  </si>
  <si>
    <t>BLS Employment CAGR</t>
  </si>
  <si>
    <t>Nominal Wage Growth</t>
  </si>
  <si>
    <t>Industry Wages ($bn)</t>
  </si>
  <si>
    <t>AI Adoption Change (pp)</t>
  </si>
  <si>
    <t>AI-Using Firms</t>
  </si>
  <si>
    <t>AI Task Exposure</t>
  </si>
  <si>
    <t>Gross Exposed Wages ($bn)</t>
  </si>
  <si>
    <t>Projected Employees</t>
  </si>
  <si>
    <t>AI Price ($/month)</t>
  </si>
  <si>
    <t>Potential AI Revenue ($bn)</t>
  </si>
  <si>
    <t>BTOS-Adj. Seat Eq. (Proxy)</t>
  </si>
  <si>
    <t>NAICS (TEXT)</t>
  </si>
  <si>
    <t>2025 Private Annual Wages ($)</t>
  </si>
  <si>
    <t>Raw rows with this NAICS</t>
  </si>
  <si>
    <t>Data Check</t>
  </si>
  <si>
    <t>2025 Private Avg Employment</t>
  </si>
  <si>
    <t>TOTAL 19 INDUSTRIES</t>
  </si>
  <si>
    <t>NAICS 99 UNCLASSIFIED</t>
  </si>
  <si>
    <t>US PRIVATE TOTAL</t>
  </si>
  <si>
    <t>RECONCILIATION GAP (SHOULD BE 0)</t>
  </si>
  <si>
    <t>PROJECTION ASSUMPTIONS | BLUE = EDITABLE</t>
  </si>
  <si>
    <t>Nominal wage growth, BTOS firm adoption and task exposure expansion are illustrative assumptions, not official forecasts.</t>
  </si>
  <si>
    <t>Annual nominal wage growth per employee</t>
  </si>
  <si>
    <t>Illustrative wage assumption (not BLS official forecast)</t>
  </si>
  <si>
    <t>Annual AI-using firm growth (percentage points)</t>
  </si>
  <si>
    <t>Linear adoption increase after observed 2026, capped at 100%</t>
  </si>
  <si>
    <t>Annual task exposure increase (percentage points)</t>
  </si>
  <si>
    <t>Keep Wharton task exposure unchanged by default</t>
  </si>
  <si>
    <t>Enterprise AI monthly spend / seat ($)</t>
  </si>
  <si>
    <t>Illustrative price assumption; editable by user. Not BLS or Census data.</t>
  </si>
  <si>
    <t>Annual AI spend per seat growth</t>
  </si>
  <si>
    <t>Illustrative nominal seat price inflation after 2025.</t>
  </si>
  <si>
    <t>Revenue interpretation</t>
  </si>
  <si>
    <t>Wharton is task exposure, NOT share of workers using AI. Revenue is a seat-equivalent scenario, not measured AI sales.</t>
  </si>
  <si>
    <t>Wage Growth per Year</t>
  </si>
  <si>
    <t>AI Task Exposure Change (pp)</t>
  </si>
  <si>
    <t>Use / Override</t>
  </si>
  <si>
    <t>Override C:E for sector-specific scenario</t>
  </si>
  <si>
    <t>2025 Employed (000s)</t>
  </si>
  <si>
    <t>2035 Employed (000s)</t>
  </si>
  <si>
    <t>BLS Annual Employment CAGR [FORMULA]</t>
  </si>
  <si>
    <t>Sector mapping / notes</t>
  </si>
  <si>
    <t>Corresponding private-sector NAICS major sector; rounded BLS 2025 &amp; 2035 employment</t>
  </si>
  <si>
    <t>BLS transportation excludes postal service; minor NAICS scope mismatch</t>
  </si>
  <si>
    <t>Administrative and support and waste management and remediation services</t>
  </si>
  <si>
    <t>BLS employment projections private education only</t>
  </si>
  <si>
    <t>BLS employment projections private healthcare only</t>
  </si>
  <si>
    <t>Industry (paste BLS raw)</t>
  </si>
  <si>
    <t>Annual Establishments (optional)</t>
  </si>
  <si>
    <t>2025 Private Avg Employment (BLS QCEW)</t>
  </si>
  <si>
    <t>Total Annual Wages ($)</t>
  </si>
  <si>
    <t>NAICS code [FORMULA]</t>
  </si>
  <si>
    <t>Industry title [FORMULA]</t>
  </si>
  <si>
    <t>Sector classification [FORMULA]</t>
  </si>
  <si>
    <t>NAICS 11 Agriculture, forestry, fishing and hunting</t>
  </si>
  <si>
    <t>NAICS 21 Mining, quarrying, and oil and gas extraction</t>
  </si>
  <si>
    <t>NAICS 22 Utilities</t>
  </si>
  <si>
    <t>NAICS 23 Construction</t>
  </si>
  <si>
    <t>NAICS 31-33 Manufacturing</t>
  </si>
  <si>
    <t>NAICS 42 Wholesale trade</t>
  </si>
  <si>
    <t>NAICS 44-45 Retail trade</t>
  </si>
  <si>
    <t>NAICS 48-49 Transportation and warehousing</t>
  </si>
  <si>
    <t>NAICS 51 Information</t>
  </si>
  <si>
    <t>NAICS 52 Finance and insurance</t>
  </si>
  <si>
    <t>NAICS 53 Real estate and rental and leasing</t>
  </si>
  <si>
    <t>NAICS 54 Professional, scientific, and technical services</t>
  </si>
  <si>
    <t>NAICS 55 Management of companies and enterprises</t>
  </si>
  <si>
    <t>NAICS 56 Administrative and support and waste management</t>
  </si>
  <si>
    <t>NAICS 61 Educational services</t>
  </si>
  <si>
    <t>NAICS 62 Health care and social assistance</t>
  </si>
  <si>
    <t>NAICS 71 Arts, entertainment, and recreation</t>
  </si>
  <si>
    <t>NAICS 72 Accommodation and food services</t>
  </si>
  <si>
    <t>NAICS 81 Other services (except public administration)</t>
  </si>
  <si>
    <t>NAICS 99 Unclassified</t>
  </si>
  <si>
    <t>10 Total, all industries</t>
  </si>
  <si>
    <t>SOC code (TEXT)</t>
  </si>
  <si>
    <t>Occupation</t>
  </si>
  <si>
    <t>Employment</t>
  </si>
  <si>
    <t>Annual Mean Wage ($)</t>
  </si>
  <si>
    <t>Wage Bill [FORMULA]</t>
  </si>
  <si>
    <t>Wharton Exposure [VERIFIED INPUT]</t>
  </si>
  <si>
    <t>Matched Wage Bill [FORMULA]</t>
  </si>
  <si>
    <t>Exposed Wage Bill [FORMULA]</t>
  </si>
  <si>
    <t>Match Status [FORMULA]</t>
  </si>
  <si>
    <t>Agriculture, Forestry, Fishing and Hunting</t>
  </si>
  <si>
    <t>11-1011</t>
  </si>
  <si>
    <t>Chief Executives</t>
  </si>
  <si>
    <t>11-1021</t>
  </si>
  <si>
    <t>General and Operations Managers</t>
  </si>
  <si>
    <t>11-2021</t>
  </si>
  <si>
    <t>Marketing Managers</t>
  </si>
  <si>
    <t>11-2022</t>
  </si>
  <si>
    <t>Sales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</si>
  <si>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</si>
  <si>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</si>
  <si>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</si>
  <si>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</si>
  <si>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</si>
  <si>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</si>
  <si>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</si>
  <si>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</si>
  <si>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</si>
  <si>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</si>
  <si>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</si>
  <si>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</si>
  <si>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</si>
  <si>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</si>
  <si>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11-3121</t>
  </si>
  <si>
    <t>Human Resources Managers</t>
  </si>
  <si>
    <t>11-9013</t>
  </si>
  <si>
    <t>Farmers, Ranchers, and Other Agricultural Managers</t>
  </si>
  <si>
    <t>11-9121</t>
  </si>
  <si>
    <t>Natural Sciences Managers</t>
  </si>
  <si>
    <t>11-9199</t>
  </si>
  <si>
    <t>Managers, All Other</t>
  </si>
  <si>
    <t>13-1020</t>
  </si>
  <si>
    <t>Buyers and Purchasing Agents</t>
  </si>
  <si>
    <t>13-1041</t>
  </si>
  <si>
    <t>Compliance Officers</t>
  </si>
  <si>
    <t>13-1071</t>
  </si>
  <si>
    <t>Human Resources Specialists</t>
  </si>
  <si>
    <t>13-1074</t>
  </si>
  <si>
    <t>Farm Labor Contractors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</si>
  <si>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</si>
  <si>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</si>
  <si>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</si>
  <si>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</si>
  <si>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</si>
  <si>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</si>
  <si>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</si>
  <si>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</si>
  <si>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</si>
  <si>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</si>
  <si>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</si>
  <si>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</si>
  <si>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</si>
  <si>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</si>
  <si>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</si>
  <si>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</si>
  <si>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</si>
  <si>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</si>
  <si>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15-1211</t>
  </si>
  <si>
    <t>Computer Systems Analysts</t>
  </si>
  <si>
    <t>15-1232</t>
  </si>
  <si>
    <t>Computer User Support Specialists</t>
  </si>
  <si>
    <t>15-1244</t>
  </si>
  <si>
    <t>Network and Computer Systems Administrators</t>
  </si>
  <si>
    <t>15-1252</t>
  </si>
  <si>
    <t>Software Developers</t>
  </si>
  <si>
    <t>15-1299</t>
  </si>
  <si>
    <t>Computer Occupations, All Other</t>
  </si>
  <si>
    <t>17-2112</t>
  </si>
  <si>
    <t>Industrial Engineers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</si>
  <si>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</si>
  <si>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</si>
  <si>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</si>
  <si>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</si>
  <si>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</si>
  <si>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</si>
  <si>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19-1029</t>
  </si>
  <si>
    <t>Biological Scientists, All Other</t>
  </si>
  <si>
    <t>19-1032</t>
  </si>
  <si>
    <t>Foresters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</si>
  <si>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</si>
  <si>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</si>
  <si>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</si>
  <si>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</si>
  <si>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</si>
  <si>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</si>
  <si>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19-5011</t>
  </si>
  <si>
    <t>Occupational Health and Safety Specialists</t>
  </si>
  <si>
    <t>25-3021</t>
  </si>
  <si>
    <t>Self-Enrichment Teachers</t>
  </si>
  <si>
    <t>27-3031</t>
  </si>
  <si>
    <t>Public Relations Specialists</t>
  </si>
  <si>
    <t>29-1131</t>
  </si>
  <si>
    <t>Veterinarians</t>
  </si>
  <si>
    <t>29-2056</t>
  </si>
  <si>
    <t>Veterinary Technologists and Technicians</t>
  </si>
  <si>
    <t>33-9032</t>
  </si>
  <si>
    <t>Security Guards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</si>
  <si>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</si>
  <si>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</si>
  <si>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</si>
  <si>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</si>
  <si>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</si>
  <si>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</si>
  <si>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</si>
  <si>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</si>
  <si>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</si>
  <si>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</si>
  <si>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</si>
  <si>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</si>
  <si>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</si>
  <si>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</si>
  <si>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</si>
  <si>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</si>
  <si>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</si>
  <si>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</si>
  <si>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</si>
  <si>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</si>
  <si>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</si>
  <si>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</si>
  <si>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</si>
  <si>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</si>
  <si>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41-1011</t>
  </si>
  <si>
    <t>First-Line Supervisors of Retail Sales Workers</t>
  </si>
  <si>
    <t>41-1012</t>
  </si>
  <si>
    <t>First-Line Supervisors of Non-Retail Sales Workers</t>
  </si>
  <si>
    <t>41-2031</t>
  </si>
  <si>
    <t>Retail Salespersons</t>
  </si>
  <si>
    <t>41-3091</t>
  </si>
  <si>
    <t>Sales Representatives of Services, Except Advertising, Insurance, Financial Services, and Travel</t>
  </si>
  <si>
    <t>41-4012</t>
  </si>
  <si>
    <t>Sales Representatives, Wholesale and Manufacturing, Except Technical and Scientific Products</t>
  </si>
  <si>
    <t>41-9099</t>
  </si>
  <si>
    <t>Sales and Related Workers, All Other</t>
  </si>
  <si>
    <t>43-1011</t>
  </si>
  <si>
    <t>First-Line Supervisors of Office and Administrative Support Workers</t>
  </si>
  <si>
    <t>43-3021</t>
  </si>
  <si>
    <t>Billing and Posting Clerks</t>
  </si>
  <si>
    <t>43-3031</t>
  </si>
  <si>
    <t>Bookkeeping, Accounting, and Auditing Clerks</t>
  </si>
  <si>
    <t>43-3051</t>
  </si>
  <si>
    <t>Payroll and Timekeeping Clerks</t>
  </si>
  <si>
    <t>43-3061</t>
  </si>
  <si>
    <t>Procurement Clerks</t>
  </si>
  <si>
    <t>43-4051</t>
  </si>
  <si>
    <t>Customer Service Representatives</t>
  </si>
  <si>
    <t>43-4071</t>
  </si>
  <si>
    <t>File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</si>
  <si>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</si>
  <si>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</si>
  <si>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</si>
  <si>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</si>
  <si>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</si>
  <si>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</si>
  <si>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43-5032</t>
  </si>
  <si>
    <t>Dispatchers, Except Police, Fire, and Ambulance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</si>
  <si>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</si>
  <si>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</si>
  <si>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</si>
  <si>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</si>
  <si>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</si>
  <si>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</si>
  <si>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</si>
  <si>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</si>
  <si>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43-6014</t>
  </si>
  <si>
    <t>Secretaries and Administrative Assistants, Except Legal, Medical, and Executive</t>
  </si>
  <si>
    <t>43-9021</t>
  </si>
  <si>
    <t>Data Entry Keyers</t>
  </si>
  <si>
    <t>43-9061</t>
  </si>
  <si>
    <t>Office Clerks, General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</si>
  <si>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</si>
  <si>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</si>
  <si>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</si>
  <si>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</si>
  <si>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</si>
  <si>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</si>
  <si>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</si>
  <si>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</si>
  <si>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</si>
  <si>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</si>
  <si>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</si>
  <si>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</si>
  <si>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</si>
  <si>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</si>
  <si>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</si>
  <si>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</si>
  <si>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</si>
  <si>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</si>
  <si>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</si>
  <si>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</si>
  <si>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</si>
  <si>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</si>
  <si>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</si>
  <si>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</si>
  <si>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47-2031</t>
  </si>
  <si>
    <t>Carpenters</t>
  </si>
  <si>
    <t>47-2073</t>
  </si>
  <si>
    <t>Operating Engineers and Other Construction Equipment Operators</t>
  </si>
  <si>
    <t>47-2111</t>
  </si>
  <si>
    <t>Electricians</t>
  </si>
  <si>
    <t>49-1011</t>
  </si>
  <si>
    <t>First-Line Supervisors of Mechanics, Installers, and Repairers</t>
  </si>
  <si>
    <t>49-3011</t>
  </si>
  <si>
    <t>Aircraft Mechanics and Service Technicians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</si>
  <si>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</si>
  <si>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</si>
  <si>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</si>
  <si>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</si>
  <si>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</si>
  <si>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</si>
  <si>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49-9021</t>
  </si>
  <si>
    <t>Heating, Air Conditioning, and Refrigeration Mechanics and Installers</t>
  </si>
  <si>
    <t>49-9041</t>
  </si>
  <si>
    <t>Industrial Machinery Mechanics</t>
  </si>
  <si>
    <t>49-9043</t>
  </si>
  <si>
    <t>Maintenance Workers, Machinery</t>
  </si>
  <si>
    <t>49-9071</t>
  </si>
  <si>
    <t>Maintenance and Repair Workers, General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</si>
  <si>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</si>
  <si>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</si>
  <si>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</si>
  <si>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</si>
  <si>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</si>
  <si>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</si>
  <si>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51-2090</t>
  </si>
  <si>
    <t>Miscellaneous Assemblers and Fabricators</t>
  </si>
  <si>
    <t>51-3091</t>
  </si>
  <si>
    <t>Food and Tobacco Roasting, Baking, and Drying Machine Operators and Tenders</t>
  </si>
  <si>
    <t>51-3092</t>
  </si>
  <si>
    <t>Food Batchmakers</t>
  </si>
  <si>
    <t>51-3099</t>
  </si>
  <si>
    <t>Food Processing Workers, All Other</t>
  </si>
  <si>
    <t>51-4121</t>
  </si>
  <si>
    <t>Welders, Cutters, Solderers, and Brazers</t>
  </si>
  <si>
    <t>51-7041</t>
  </si>
  <si>
    <t>Sawing Machine Setters, Operators, and Tenders, Wood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</si>
  <si>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</si>
  <si>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</si>
  <si>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</si>
  <si>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</si>
  <si>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</si>
  <si>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</si>
  <si>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</si>
  <si>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</si>
  <si>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</si>
  <si>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</si>
  <si>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</si>
  <si>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</si>
  <si>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51-9061</t>
  </si>
  <si>
    <t>Inspectors, Testers, Sorters, Samplers, and Weighers</t>
  </si>
  <si>
    <t>51-9111</t>
  </si>
  <si>
    <t>Packaging and Filling Machine Operators and Tenders</t>
  </si>
  <si>
    <t>51-9192</t>
  </si>
  <si>
    <t>Cleaning, Washing, and Metal Pickling Equipment Operators and Tenders</t>
  </si>
  <si>
    <t>51-9196</t>
  </si>
  <si>
    <t>Paper Goods Machine Setters, Operators, and Tenders</t>
  </si>
  <si>
    <t>51-9198</t>
  </si>
  <si>
    <t>Helpers--Production Workers</t>
  </si>
  <si>
    <t>51-9199</t>
  </si>
  <si>
    <t>Production Workers, All Other</t>
  </si>
  <si>
    <t>53-1047</t>
  </si>
  <si>
    <t>First-Line Supervisors of Transportation and Material Moving Workers, Except Aircraft Cargo Handling Supervisors</t>
  </si>
  <si>
    <t>53-2012</t>
  </si>
  <si>
    <t>Commercial Pilots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</si>
  <si>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</si>
  <si>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</si>
  <si>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</si>
  <si>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</si>
  <si>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</si>
  <si>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</si>
  <si>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53-3053</t>
  </si>
  <si>
    <t>Shuttle Drivers and Chauffeurs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</si>
  <si>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</si>
  <si>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</si>
  <si>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</si>
  <si>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</si>
  <si>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</si>
  <si>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</si>
  <si>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</si>
  <si>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</si>
  <si>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</si>
  <si>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</si>
  <si>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</si>
  <si>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</si>
  <si>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</si>
  <si>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</si>
  <si>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53-7199</t>
  </si>
  <si>
    <t>Material Moving Workers, All Other</t>
  </si>
  <si>
    <t>Mining, Quarrying, and Oil and Gas Extraction</t>
  </si>
  <si>
    <t>11-2032</t>
  </si>
  <si>
    <t>Public Relations Managers</t>
  </si>
  <si>
    <t>11-3111</t>
  </si>
  <si>
    <t>Compensation and Benefits Managers</t>
  </si>
  <si>
    <t>11-3131</t>
  </si>
  <si>
    <t>Training and Development Managers</t>
  </si>
  <si>
    <t>11-9021</t>
  </si>
  <si>
    <t>Construction Managers</t>
  </si>
  <si>
    <t>11-9041</t>
  </si>
  <si>
    <t>Architectural and Engineering Managers</t>
  </si>
  <si>
    <t>11-9141</t>
  </si>
  <si>
    <t>Property, Real Estate, and Community Association Managers</t>
  </si>
  <si>
    <t>13-1051</t>
  </si>
  <si>
    <t>Cost Estimators</t>
  </si>
  <si>
    <t>13-2051</t>
  </si>
  <si>
    <t>Financial and Investment Analysts</t>
  </si>
  <si>
    <t>13-2099</t>
  </si>
  <si>
    <t>Financial Specialists, All Other</t>
  </si>
  <si>
    <t>15-1212</t>
  </si>
  <si>
    <t>Information Security Analysts</t>
  </si>
  <si>
    <t>15-1231</t>
  </si>
  <si>
    <t>Computer Network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</si>
  <si>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</si>
  <si>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</si>
  <si>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</si>
  <si>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</si>
  <si>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</si>
  <si>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</si>
  <si>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15-1251</t>
  </si>
  <si>
    <t>Computer Programmers</t>
  </si>
  <si>
    <t>15-1253</t>
  </si>
  <si>
    <t>Software Quality Assurance Analysts and Testers</t>
  </si>
  <si>
    <t>15-2031</t>
  </si>
  <si>
    <t>Operations Research Analysts</t>
  </si>
  <si>
    <t>15-2051</t>
  </si>
  <si>
    <t>Data Scientists</t>
  </si>
  <si>
    <t>17-1021</t>
  </si>
  <si>
    <t>Cartographers and Photogrammetrists</t>
  </si>
  <si>
    <t>17-1022</t>
  </si>
  <si>
    <t>Surveyors</t>
  </si>
  <si>
    <t>17-2041</t>
  </si>
  <si>
    <t>Chemical Engineers</t>
  </si>
  <si>
    <t>17-2051</t>
  </si>
  <si>
    <t>Civil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</si>
  <si>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</si>
  <si>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</si>
  <si>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</si>
  <si>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</si>
  <si>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</si>
  <si>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</si>
  <si>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</si>
  <si>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</si>
  <si>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</si>
  <si>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</si>
  <si>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</si>
  <si>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</si>
  <si>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</si>
  <si>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</si>
  <si>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</si>
  <si>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</si>
  <si>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</si>
  <si>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</si>
  <si>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</si>
  <si>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</si>
  <si>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17-3013</t>
  </si>
  <si>
    <t>Mechanical Drafters</t>
  </si>
  <si>
    <t>17-3019</t>
  </si>
  <si>
    <t>Drafters, All Other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</si>
  <si>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</si>
  <si>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</si>
  <si>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</si>
  <si>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</si>
  <si>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</si>
  <si>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</si>
  <si>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</si>
  <si>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</si>
  <si>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</si>
  <si>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</si>
  <si>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</si>
  <si>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</si>
  <si>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</si>
  <si>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</si>
  <si>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</si>
  <si>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</si>
  <si>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</si>
  <si>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</si>
  <si>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19-2031</t>
  </si>
  <si>
    <t>Chemists</t>
  </si>
  <si>
    <t>19-2041</t>
  </si>
  <si>
    <t>Environmental Scientists and Specialists, Including Health</t>
  </si>
  <si>
    <t>19-2042</t>
  </si>
  <si>
    <t>Geoscientists, Except Hydrologists and Geographers</t>
  </si>
  <si>
    <t>19-3011</t>
  </si>
  <si>
    <t>Economists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</si>
  <si>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</si>
  <si>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</si>
  <si>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</si>
  <si>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</si>
  <si>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</si>
  <si>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</si>
  <si>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</si>
  <si>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</si>
  <si>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19-4099</t>
  </si>
  <si>
    <t>Life, Physical, and Social Science Technicians, All Other</t>
  </si>
  <si>
    <t>19-5012</t>
  </si>
  <si>
    <t>Occupational Health and Safety Technicians</t>
  </si>
  <si>
    <t>23-1011</t>
  </si>
  <si>
    <t>Lawyers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</si>
  <si>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</si>
  <si>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</si>
  <si>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</si>
  <si>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</si>
  <si>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</si>
  <si>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</si>
  <si>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27-3042</t>
  </si>
  <si>
    <t>Technical Writers</t>
  </si>
  <si>
    <t>29-1071</t>
  </si>
  <si>
    <t>Physician Assistants</t>
  </si>
  <si>
    <t>29-2042</t>
  </si>
  <si>
    <t>Emergency Medical Technicians</t>
  </si>
  <si>
    <t>29-2043</t>
  </si>
  <si>
    <t>Paramedics</t>
  </si>
  <si>
    <t>33-1091</t>
  </si>
  <si>
    <t>First-Line Supervisors of Security Workers</t>
  </si>
  <si>
    <t>37-2019</t>
  </si>
  <si>
    <t>Building Cleaning Workers, All Other</t>
  </si>
  <si>
    <t>41-2011</t>
  </si>
  <si>
    <t>Cashiers</t>
  </si>
  <si>
    <t>41-3031</t>
  </si>
  <si>
    <t>Securities, Commodities, and Financial Services Sales Agents</t>
  </si>
  <si>
    <t>41-4011</t>
  </si>
  <si>
    <t>Sales Representatives, Wholesale and Manufacturing, Technical and Scientific Products</t>
  </si>
  <si>
    <t>41-9022</t>
  </si>
  <si>
    <t>Real Estate Sales Agents</t>
  </si>
  <si>
    <t>41-9031</t>
  </si>
  <si>
    <t>Sales Engineers</t>
  </si>
  <si>
    <t>43-4199</t>
  </si>
  <si>
    <t>Information and Record Clerks, All Other</t>
  </si>
  <si>
    <t>43-9071</t>
  </si>
  <si>
    <t>Office Machine Operators, Except Computer</t>
  </si>
  <si>
    <t>43-9199</t>
  </si>
  <si>
    <t>Office and Administrative Support Workers, All Other</t>
  </si>
  <si>
    <t>47-1011</t>
  </si>
  <si>
    <t>First-Line Supervisors of Construction Trades and Extraction Workers</t>
  </si>
  <si>
    <t>47-2011</t>
  </si>
  <si>
    <t>Boilermakers</t>
  </si>
  <si>
    <t>47-2051</t>
  </si>
  <si>
    <t>Cement Masons and Concrete Finishers</t>
  </si>
  <si>
    <t>47-2061</t>
  </si>
  <si>
    <t>Construction Laborers</t>
  </si>
  <si>
    <t>47-2071</t>
  </si>
  <si>
    <t>Paving, Surfacing, and Tamping Equipment Operators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</si>
  <si>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</si>
  <si>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</si>
  <si>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</si>
  <si>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</si>
  <si>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</si>
  <si>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</si>
  <si>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47-2151</t>
  </si>
  <si>
    <t>Pipelayers</t>
  </si>
  <si>
    <t>47-2152</t>
  </si>
  <si>
    <t>Plumbers, Pipefitters, and Steamfitters</t>
  </si>
  <si>
    <t>47-2211</t>
  </si>
  <si>
    <t>Sheet Metal Workers</t>
  </si>
  <si>
    <t>47-2221</t>
  </si>
  <si>
    <t>Structural Iron and Steel Workers</t>
  </si>
  <si>
    <t>47-3013</t>
  </si>
  <si>
    <t>Helpers--Electricians</t>
  </si>
  <si>
    <t>47-3015</t>
  </si>
  <si>
    <t>Helpers--Pipelayers, Plumbers, Pipefitters, and Steamfitters</t>
  </si>
  <si>
    <t>47-3019</t>
  </si>
  <si>
    <t>Helpers, Construction Trades, All Other</t>
  </si>
  <si>
    <t>47-4011</t>
  </si>
  <si>
    <t>Construction and Building Inspectors</t>
  </si>
  <si>
    <t>47-4031</t>
  </si>
  <si>
    <t>Fence Erectors</t>
  </si>
  <si>
    <t>47-4041</t>
  </si>
  <si>
    <t>Hazardous Materials Removal Workers</t>
  </si>
  <si>
    <t>47-4061</t>
  </si>
  <si>
    <t>Rail-Track Laying and Maintenance Equipment Operators</t>
  </si>
  <si>
    <t>47-4090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</si>
  <si>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</si>
  <si>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</si>
  <si>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</si>
  <si>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</si>
  <si>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</si>
  <si>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</si>
  <si>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</si>
  <si>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</si>
  <si>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</si>
  <si>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</si>
  <si>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</si>
  <si>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</si>
  <si>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</si>
  <si>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</si>
  <si>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</si>
  <si>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</si>
  <si>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</si>
  <si>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</si>
  <si>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</si>
  <si>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</si>
  <si>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</si>
  <si>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</si>
  <si>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</si>
  <si>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</si>
  <si>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</si>
  <si>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</si>
  <si>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</si>
  <si>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</si>
  <si>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</si>
  <si>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49-2092</t>
  </si>
  <si>
    <t>Electric Motor, Power Tool, and Related Repairers</t>
  </si>
  <si>
    <t>49-2094</t>
  </si>
  <si>
    <t>Electrical and Electronics Repairers, Commercial and Industrial Equipment</t>
  </si>
  <si>
    <t>49-3023</t>
  </si>
  <si>
    <t>Automotive Service Technicians and Mechanics</t>
  </si>
  <si>
    <t>49-3093</t>
  </si>
  <si>
    <t>Tire Repairers and Changers</t>
  </si>
  <si>
    <t>49-9012</t>
  </si>
  <si>
    <t>Control and Valve Installers and Repairers, Except Mechanical Door</t>
  </si>
  <si>
    <t>49-9044</t>
  </si>
  <si>
    <t>Millwrights</t>
  </si>
  <si>
    <t>49-9051</t>
  </si>
  <si>
    <t>Electrical Power-Line Installers and Repairers</t>
  </si>
  <si>
    <t>49-9069</t>
  </si>
  <si>
    <t>Precision Instrument and Equipment Repairers, All Other</t>
  </si>
  <si>
    <t>49-9096</t>
  </si>
  <si>
    <t>Riggers</t>
  </si>
  <si>
    <t>51-4023</t>
  </si>
  <si>
    <t>Rolling Machine Setters, Operators, and Tenders, Metal and Plastic</t>
  </si>
  <si>
    <t>51-4032</t>
  </si>
  <si>
    <t>Drilling and Boring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</si>
  <si>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</si>
  <si>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</si>
  <si>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</si>
  <si>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</si>
  <si>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</si>
  <si>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</si>
  <si>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51-4111</t>
  </si>
  <si>
    <t>Tool and Die Makers</t>
  </si>
  <si>
    <t>51-4122</t>
  </si>
  <si>
    <t>Welding, Soldering, and Brazing Machine Setters, Operators, and Tenders</t>
  </si>
  <si>
    <t>51-4199</t>
  </si>
  <si>
    <t>Metal Workers and Plastic Workers, All Other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</si>
  <si>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</si>
  <si>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</si>
  <si>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</si>
  <si>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</si>
  <si>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</si>
  <si>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</si>
  <si>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</si>
  <si>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</si>
  <si>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</si>
  <si>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</si>
  <si>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</si>
  <si>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</si>
  <si>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</si>
  <si>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</si>
  <si>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51-9051</t>
  </si>
  <si>
    <t>Furnace, Kiln, Oven, Drier, and Kettle Operators and Tenders</t>
  </si>
  <si>
    <t>51-9124</t>
  </si>
  <si>
    <t>Coating, Painting, and Spraying Machine Setters, Operators, and Tenders</t>
  </si>
  <si>
    <t>51-9161</t>
  </si>
  <si>
    <t>Computer Numerically Controlled Tool Operators</t>
  </si>
  <si>
    <t>51-9195</t>
  </si>
  <si>
    <t>Molders, Shapers, and Casters, Except Metal and Plastic</t>
  </si>
  <si>
    <t>53-4011</t>
  </si>
  <si>
    <t>Locomotive Engineers</t>
  </si>
  <si>
    <t>53-4013</t>
  </si>
  <si>
    <t>Rail Yard Engineers, Dinkey Operators, and Hostlers</t>
  </si>
  <si>
    <t>53-4031</t>
  </si>
  <si>
    <t>Railroad Conductors and Yardmasters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</si>
  <si>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</si>
  <si>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</si>
  <si>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</si>
  <si>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</si>
  <si>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</si>
  <si>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</si>
  <si>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53-5031</t>
  </si>
  <si>
    <t>Ship Engineers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</si>
  <si>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</si>
  <si>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</si>
  <si>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</si>
  <si>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</si>
  <si>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</si>
  <si>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</si>
  <si>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</si>
  <si>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</si>
  <si>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</si>
  <si>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</si>
  <si>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</si>
  <si>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</si>
  <si>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53-7121</t>
  </si>
  <si>
    <t>Tank Car, Truck, and Ship Loaders</t>
  </si>
  <si>
    <t>11-9161</t>
  </si>
  <si>
    <t>Emergency Management Directors</t>
  </si>
  <si>
    <t>13-1031</t>
  </si>
  <si>
    <t>Claims Adjusters, Examiners, and Investigators</t>
  </si>
  <si>
    <t>13-1075</t>
  </si>
  <si>
    <t>Labor Relations Specialists</t>
  </si>
  <si>
    <t>13-2020</t>
  </si>
  <si>
    <t>Property Appraisers and Assessors</t>
  </si>
  <si>
    <t>13-2031</t>
  </si>
  <si>
    <t>Budget Analysts</t>
  </si>
  <si>
    <t>13-2041</t>
  </si>
  <si>
    <t>Credit Analysts</t>
  </si>
  <si>
    <t>13-2054</t>
  </si>
  <si>
    <t>Financial Risk Specialists</t>
  </si>
  <si>
    <t>15-1254</t>
  </si>
  <si>
    <t>Web Developers</t>
  </si>
  <si>
    <t>15-1255</t>
  </si>
  <si>
    <t>Web and Digital Interface Designers</t>
  </si>
  <si>
    <t>17-1011</t>
  </si>
  <si>
    <t>Architects, Except Landscape and Naval</t>
  </si>
  <si>
    <t>17-2021</t>
  </si>
  <si>
    <t>Agricultural Engineers</t>
  </si>
  <si>
    <t>17-2061</t>
  </si>
  <si>
    <t>Computer Hardware Engineers</t>
  </si>
  <si>
    <t>17-2161</t>
  </si>
  <si>
    <t>Nuclear Engineers</t>
  </si>
  <si>
    <t>17-3012</t>
  </si>
  <si>
    <t>Electrical and Electronics Drafters</t>
  </si>
  <si>
    <t>19-1023</t>
  </si>
  <si>
    <t>Zoologists and Wildlife Biologists</t>
  </si>
  <si>
    <t>19-2012</t>
  </si>
  <si>
    <t>Physicists</t>
  </si>
  <si>
    <t>19-2021</t>
  </si>
  <si>
    <t>Atmospheric and Space Scientists</t>
  </si>
  <si>
    <t>19-2099</t>
  </si>
  <si>
    <t>Physical Scientists, All Other</t>
  </si>
  <si>
    <t>19-3051</t>
  </si>
  <si>
    <t>Urban and Regional Planners</t>
  </si>
  <si>
    <t>19-4051</t>
  </si>
  <si>
    <t>Nuclear Technicians</t>
  </si>
  <si>
    <t>19-4071</t>
  </si>
  <si>
    <t>Forest and Conservation Technicians</t>
  </si>
  <si>
    <t>27-1024</t>
  </si>
  <si>
    <t>Graphic Designers</t>
  </si>
  <si>
    <t>27-3043</t>
  </si>
  <si>
    <t>Writers and Authors</t>
  </si>
  <si>
    <t>29-1141</t>
  </si>
  <si>
    <t>Registered Nurses</t>
  </si>
  <si>
    <t>33-1021</t>
  </si>
  <si>
    <t>First-Line Supervisors of Firefighting and Prevention Workers</t>
  </si>
  <si>
    <t>33-1099</t>
  </si>
  <si>
    <t>First-Line Supervisors of Protective Service Workers, All Other</t>
  </si>
  <si>
    <t>33-2011</t>
  </si>
  <si>
    <t>Firefighters</t>
  </si>
  <si>
    <t>33-9021</t>
  </si>
  <si>
    <t>Private Detectives and Investigators</t>
  </si>
  <si>
    <t>33-9099</t>
  </si>
  <si>
    <t>Protective Service Workers, All Other</t>
  </si>
  <si>
    <t>37-3019</t>
  </si>
  <si>
    <t>Grounds Maintenance Workers, All Other</t>
  </si>
  <si>
    <t>39-3091</t>
  </si>
  <si>
    <t>Amusement and Recreation Attendants</t>
  </si>
  <si>
    <t>41-2021</t>
  </si>
  <si>
    <t>Counter and Rental Clerks</t>
  </si>
  <si>
    <t>43-3011</t>
  </si>
  <si>
    <t>Bill and Account Collectors</t>
  </si>
  <si>
    <t>43-3071</t>
  </si>
  <si>
    <t>Tellers</t>
  </si>
  <si>
    <t>43-3099</t>
  </si>
  <si>
    <t>Financial Clerks, All Other</t>
  </si>
  <si>
    <t>43-5021</t>
  </si>
  <si>
    <t>Couriers and Messengers</t>
  </si>
  <si>
    <t>43-5041</t>
  </si>
  <si>
    <t>Meter Readers, Utilities</t>
  </si>
  <si>
    <t>43-6012</t>
  </si>
  <si>
    <t>Legal Secretaries and Administrative Assistants</t>
  </si>
  <si>
    <t>43-9051</t>
  </si>
  <si>
    <t>Mail Clerks and Mail Machine Operators, Except Postal Service</t>
  </si>
  <si>
    <t>47-2231</t>
  </si>
  <si>
    <t>Solar Photovoltaic Installers</t>
  </si>
  <si>
    <t>47-4071</t>
  </si>
  <si>
    <t>Septic Tank Servicers and Sewer Pipe Cleaners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</si>
  <si>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</si>
  <si>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</si>
  <si>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</si>
  <si>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</si>
  <si>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49-2093</t>
  </si>
  <si>
    <t>Electrical and Electronics Installers and Repairers, Transportation Equipment</t>
  </si>
  <si>
    <t>49-2095</t>
  </si>
  <si>
    <t>Electrical and Electronics Repairers, Powerhouse, Substation, and Relay</t>
  </si>
  <si>
    <t>49-9031</t>
  </si>
  <si>
    <t>Home Appliance Repairers</t>
  </si>
  <si>
    <t>49-9052</t>
  </si>
  <si>
    <t>Telecommunications Line Installers and Repairers</t>
  </si>
  <si>
    <t>49-9081</t>
  </si>
  <si>
    <t>Wind Turbine Service Technicians</t>
  </si>
  <si>
    <t>51-2028</t>
  </si>
  <si>
    <t>Electrical, Electronic, and Electromechanical Assemblers, Except Coil Winders, Tapers, and Finishers</t>
  </si>
  <si>
    <t>51-8011</t>
  </si>
  <si>
    <t>Nuclear Power Reactor Operators</t>
  </si>
  <si>
    <t>51-8012</t>
  </si>
  <si>
    <t>Power Distributors and Dispatchers</t>
  </si>
  <si>
    <t>53-7081</t>
  </si>
  <si>
    <t>Refuse and Recyclable Material Collectors</t>
  </si>
  <si>
    <t>11-2011</t>
  </si>
  <si>
    <t>Advertising and Promotions Managers</t>
  </si>
  <si>
    <t>11-2033</t>
  </si>
  <si>
    <t>Fundraising Managers</t>
  </si>
  <si>
    <t>11-9081</t>
  </si>
  <si>
    <t>Lodging Managers</t>
  </si>
  <si>
    <t>11-9151</t>
  </si>
  <si>
    <t>Social and Community Service Managers</t>
  </si>
  <si>
    <t>13-1131</t>
  </si>
  <si>
    <t>Fundraisers</t>
  </si>
  <si>
    <t>13-2052</t>
  </si>
  <si>
    <t>Personal Financial Advisors</t>
  </si>
  <si>
    <t>13-2071</t>
  </si>
  <si>
    <t>Credit Counselors</t>
  </si>
  <si>
    <t>13-2072</t>
  </si>
  <si>
    <t>Loan Officers</t>
  </si>
  <si>
    <t>17-1012</t>
  </si>
  <si>
    <t>Landscape Architects</t>
  </si>
  <si>
    <t>17-2121</t>
  </si>
  <si>
    <t>Marine Engineers and Naval Architects</t>
  </si>
  <si>
    <t>21-1093</t>
  </si>
  <si>
    <t>Social and Human Service Assistants</t>
  </si>
  <si>
    <t>21-1099</t>
  </si>
  <si>
    <t>Community and Social Service Specialists, All Other</t>
  </si>
  <si>
    <t>25-9031</t>
  </si>
  <si>
    <t>Instructional Coordinators</t>
  </si>
  <si>
    <t>27-1011</t>
  </si>
  <si>
    <t>Art Directors</t>
  </si>
  <si>
    <t>27-1013</t>
  </si>
  <si>
    <t>Fine Artists, Including Painters, Sculptors, and Illustrators</t>
  </si>
  <si>
    <t>27-1019</t>
  </si>
  <si>
    <t>Artists and Related Workers, All Other</t>
  </si>
  <si>
    <t>27-1021</t>
  </si>
  <si>
    <t>Commercial and Industrial Designers</t>
  </si>
  <si>
    <t>27-1025</t>
  </si>
  <si>
    <t>Interior Designers</t>
  </si>
  <si>
    <t>27-1026</t>
  </si>
  <si>
    <t>Merchandise Displayers and Window Trimmers</t>
  </si>
  <si>
    <t>27-1029</t>
  </si>
  <si>
    <t>Designers, All Other</t>
  </si>
  <si>
    <t>27-2012</t>
  </si>
  <si>
    <t>Producers and Directors</t>
  </si>
  <si>
    <t>27-4011</t>
  </si>
  <si>
    <t>Audio and Video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</si>
  <si>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</si>
  <si>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</si>
  <si>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</si>
  <si>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</si>
  <si>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</si>
  <si>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</si>
  <si>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</si>
  <si>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</si>
  <si>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31-1120</t>
  </si>
  <si>
    <t>Home Health and Personal Care Aides</t>
  </si>
  <si>
    <t>33-2021</t>
  </si>
  <si>
    <t>Fire Inspectors and Investigators</t>
  </si>
  <si>
    <t>33-9091</t>
  </si>
  <si>
    <t>Crossing Guards and Flaggers</t>
  </si>
  <si>
    <t>35-1011</t>
  </si>
  <si>
    <t>Chefs and Head Cooks</t>
  </si>
  <si>
    <t>35-1012</t>
  </si>
  <si>
    <t>First-Line Supervisors of Food Preparation and Serving Workers</t>
  </si>
  <si>
    <t>35-2012</t>
  </si>
  <si>
    <t>Cooks, Institution and Cafeteria</t>
  </si>
  <si>
    <t>35-2014</t>
  </si>
  <si>
    <t>Cooks, Restaurant</t>
  </si>
  <si>
    <t>35-2021</t>
  </si>
  <si>
    <t>Food Preparation Workers</t>
  </si>
  <si>
    <t>35-3023</t>
  </si>
  <si>
    <t>Fast Food and Counter Workers</t>
  </si>
  <si>
    <t>35-3031</t>
  </si>
  <si>
    <t>Waiters and Waitresses</t>
  </si>
  <si>
    <t>39-5012</t>
  </si>
  <si>
    <t>Hairdressers, Hairstylists, and Cosmetologists</t>
  </si>
  <si>
    <t>39-6012</t>
  </si>
  <si>
    <t>Concierges</t>
  </si>
  <si>
    <t>39-9011</t>
  </si>
  <si>
    <t>Childcare Workers</t>
  </si>
  <si>
    <t>39-9031</t>
  </si>
  <si>
    <t>Exercise Trainers and Group Fitness Instructors</t>
  </si>
  <si>
    <t>41-2022</t>
  </si>
  <si>
    <t>Parts Salespersons</t>
  </si>
  <si>
    <t>41-3011</t>
  </si>
  <si>
    <t>Advertising Sales Agents</t>
  </si>
  <si>
    <t>41-3021</t>
  </si>
  <si>
    <t>Insurance Sales Agents</t>
  </si>
  <si>
    <t>41-9011</t>
  </si>
  <si>
    <t>Demonstrators and Product Promoters</t>
  </si>
  <si>
    <t>41-9021</t>
  </si>
  <si>
    <t>Real Estate Brokers</t>
  </si>
  <si>
    <t>41-9041</t>
  </si>
  <si>
    <t>Telemarketers</t>
  </si>
  <si>
    <t>41-9091</t>
  </si>
  <si>
    <t>Door-to-Door Sales Workers, News and Street Vendors, and Related Workers</t>
  </si>
  <si>
    <t>43-2011</t>
  </si>
  <si>
    <t>Switchboard Operators, Including Answering Service</t>
  </si>
  <si>
    <t>43-4041</t>
  </si>
  <si>
    <t>Credit Authorizers, Checkers, and Clerks</t>
  </si>
  <si>
    <t>43-4131</t>
  </si>
  <si>
    <t>Loan Interviewers and Clerks</t>
  </si>
  <si>
    <t>43-9041</t>
  </si>
  <si>
    <t>Insurance Claims and Policy Processing Clerks</t>
  </si>
  <si>
    <t>47-2021</t>
  </si>
  <si>
    <t>Brickmasons and Blockmasons</t>
  </si>
  <si>
    <t>47-2022</t>
  </si>
  <si>
    <t>Stonemasons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</si>
  <si>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</si>
  <si>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</si>
  <si>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</si>
  <si>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</si>
  <si>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</si>
  <si>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</si>
  <si>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</si>
  <si>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</si>
  <si>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47-2053</t>
  </si>
  <si>
    <t>Terrazzo Workers and Finishers</t>
  </si>
  <si>
    <t>47-2072</t>
  </si>
  <si>
    <t>Pile Driver Operators</t>
  </si>
  <si>
    <t>47-2081</t>
  </si>
  <si>
    <t>Drywall and Ceiling Tile Installers</t>
  </si>
  <si>
    <t>47-2082</t>
  </si>
  <si>
    <t>Tapers</t>
  </si>
  <si>
    <t>47-2121</t>
  </si>
  <si>
    <t>Glaziers</t>
  </si>
  <si>
    <t>47-2142</t>
  </si>
  <si>
    <t>Paperhangers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</si>
  <si>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</si>
  <si>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</si>
  <si>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</si>
  <si>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</si>
  <si>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</si>
  <si>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</si>
  <si>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47-3011</t>
  </si>
  <si>
    <t>Helpers--Brickmasons, Blockmasons, Stonemasons, and Tile and Marble Setters</t>
  </si>
  <si>
    <t>47-3012</t>
  </si>
  <si>
    <t>Helpers--Carpenters</t>
  </si>
  <si>
    <t>47-3014</t>
  </si>
  <si>
    <t>Helpers--Painters, Paperhangers, Plasterers, and Stucco Masons</t>
  </si>
  <si>
    <t>47-3016</t>
  </si>
  <si>
    <t>Helpers--Roofers</t>
  </si>
  <si>
    <t>47-4021</t>
  </si>
  <si>
    <t>Elevator and Escalator Installers and Repairers</t>
  </si>
  <si>
    <t>47-4051</t>
  </si>
  <si>
    <t>Highway Maintenance Workers</t>
  </si>
  <si>
    <t>49-2011</t>
  </si>
  <si>
    <t>Computer, Automated Teller, and Office Machine Repairers</t>
  </si>
  <si>
    <t>49-2097</t>
  </si>
  <si>
    <t>Audiovisual Equipment Installers and Repairers</t>
  </si>
  <si>
    <t>49-2098</t>
  </si>
  <si>
    <t>Security and Fire Alarm Systems Installers</t>
  </si>
  <si>
    <t>49-3021</t>
  </si>
  <si>
    <t>Automotive Body and Related Repairers</t>
  </si>
  <si>
    <t>49-3022</t>
  </si>
  <si>
    <t>Automotive Glass Installers and Repairers</t>
  </si>
  <si>
    <t>49-3051</t>
  </si>
  <si>
    <t>Motorboat Mechanics and Service Technicians</t>
  </si>
  <si>
    <t>49-3053</t>
  </si>
  <si>
    <t>Outdoor Power Equipment and Other Small Engine Mechanics</t>
  </si>
  <si>
    <t>49-9011</t>
  </si>
  <si>
    <t>Mechanical Door Repairers</t>
  </si>
  <si>
    <t>49-9045</t>
  </si>
  <si>
    <t>Refractory Materials Repairers, Except Brickmasons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</si>
  <si>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</si>
  <si>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</si>
  <si>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</si>
  <si>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</si>
  <si>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</si>
  <si>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</si>
  <si>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</si>
  <si>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</si>
  <si>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49-9097</t>
  </si>
  <si>
    <t>Signal and Track Switch Repairers</t>
  </si>
  <si>
    <t>51-2041</t>
  </si>
  <si>
    <t>Structural Metal Fabricators and Fitters</t>
  </si>
  <si>
    <t>51-2051</t>
  </si>
  <si>
    <t>Fiberglass Laminators and Fabricators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</si>
  <si>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</si>
  <si>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</si>
  <si>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</si>
  <si>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</si>
  <si>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51-4031</t>
  </si>
  <si>
    <t>Cutting, Punching, and Press Machine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</si>
  <si>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</si>
  <si>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</si>
  <si>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</si>
  <si>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</si>
  <si>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</si>
  <si>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</si>
  <si>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</si>
  <si>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</si>
  <si>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51-4191</t>
  </si>
  <si>
    <t>Heat Treating Equipment Setters, Operators, and Tenders, Metal and Plastic</t>
  </si>
  <si>
    <t>51-4192</t>
  </si>
  <si>
    <t>Layout Workers, Metal and Plastic</t>
  </si>
  <si>
    <t>51-4194</t>
  </si>
  <si>
    <t>Tool Grinders, Filers, and Sharpeners</t>
  </si>
  <si>
    <t>51-6011</t>
  </si>
  <si>
    <t>Laundry and Dry-Cleaning Workers</t>
  </si>
  <si>
    <t>51-6031</t>
  </si>
  <si>
    <t>Sewing Machine Operators</t>
  </si>
  <si>
    <t>51-6093</t>
  </si>
  <si>
    <t>Upholsterers</t>
  </si>
  <si>
    <t>51-7011</t>
  </si>
  <si>
    <t>Cabinetmakers and Bench Carpenters</t>
  </si>
  <si>
    <t>51-7021</t>
  </si>
  <si>
    <t>Furniture Finishers</t>
  </si>
  <si>
    <t>51-7042</t>
  </si>
  <si>
    <t>Woodworking Machine Setters, Operators, and Tenders, Except Sawing</t>
  </si>
  <si>
    <t>51-9022</t>
  </si>
  <si>
    <t>Grinding and Polishing Workers, Hand</t>
  </si>
  <si>
    <t>51-9123</t>
  </si>
  <si>
    <t>Painting, Coating, and Decorating Workers</t>
  </si>
  <si>
    <t>51-9162</t>
  </si>
  <si>
    <t>Computer Numerically Controlled Tool Programmers</t>
  </si>
  <si>
    <t>53-3099</t>
  </si>
  <si>
    <t>Motor Vehicle Operators, All Other</t>
  </si>
  <si>
    <t>53-5022</t>
  </si>
  <si>
    <t>Motorboat Operators</t>
  </si>
  <si>
    <t>53-6031</t>
  </si>
  <si>
    <t>Automotive and Watercraft Service Attendants</t>
  </si>
  <si>
    <t>53-6041</t>
  </si>
  <si>
    <t>Traffic Technicians</t>
  </si>
  <si>
    <t>53-6099</t>
  </si>
  <si>
    <t>Transportation Workers, All Other</t>
  </si>
  <si>
    <t>11-9051</t>
  </si>
  <si>
    <t>Food Service Managers</t>
  </si>
  <si>
    <t>11-9111</t>
  </si>
  <si>
    <t>Medical and Health Services Managers</t>
  </si>
  <si>
    <t>11-9179</t>
  </si>
  <si>
    <t>Personal Service Managers, All Other</t>
  </si>
  <si>
    <t>13-2061</t>
  </si>
  <si>
    <t>Financial Examiners</t>
  </si>
  <si>
    <t>15-1221</t>
  </si>
  <si>
    <t>Computer and Information Research Scientists</t>
  </si>
  <si>
    <t>15-2021</t>
  </si>
  <si>
    <t>Mathematicians</t>
  </si>
  <si>
    <t>15-2041</t>
  </si>
  <si>
    <t>Statisticians</t>
  </si>
  <si>
    <t>15-2099</t>
  </si>
  <si>
    <t>Mathematical Science Occupations, All Other</t>
  </si>
  <si>
    <t>17-2011</t>
  </si>
  <si>
    <t>Aerospace Engineers</t>
  </si>
  <si>
    <t>17-2031</t>
  </si>
  <si>
    <t>Bioengineers and Biomedical Engineers</t>
  </si>
  <si>
    <t>17-3021</t>
  </si>
  <si>
    <t>Aerospace Engineering and Operations Technologists and Technicians</t>
  </si>
  <si>
    <t>19-1021</t>
  </si>
  <si>
    <t>Biochemists and Biophysicists</t>
  </si>
  <si>
    <t>19-1022</t>
  </si>
  <si>
    <t>Microbiologists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</si>
  <si>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</si>
  <si>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</si>
  <si>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</si>
  <si>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</si>
  <si>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</si>
  <si>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</si>
  <si>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19-2032</t>
  </si>
  <si>
    <t>Materials Scientists</t>
  </si>
  <si>
    <t>19-3099</t>
  </si>
  <si>
    <t>Social Scientists and Related Workers, All Other</t>
  </si>
  <si>
    <t>19-4061</t>
  </si>
  <si>
    <t>Social Science Research Assistants</t>
  </si>
  <si>
    <t>21-2011</t>
  </si>
  <si>
    <t>Clergy</t>
  </si>
  <si>
    <t>25-4022</t>
  </si>
  <si>
    <t>Librarians and Media Collections Specialists</t>
  </si>
  <si>
    <t>27-1012</t>
  </si>
  <si>
    <t>Craft Artists</t>
  </si>
  <si>
    <t>27-1014</t>
  </si>
  <si>
    <t>Special Effects Artists and Animators</t>
  </si>
  <si>
    <t>27-1022</t>
  </si>
  <si>
    <t>Fashion Designers</t>
  </si>
  <si>
    <t>27-1023</t>
  </si>
  <si>
    <t>Floral Designers</t>
  </si>
  <si>
    <t>27-1027</t>
  </si>
  <si>
    <t>Set and Exhibit Designers</t>
  </si>
  <si>
    <t>27-2099</t>
  </si>
  <si>
    <t>Entertainers and Performers, Sports and Related Workers, All Other</t>
  </si>
  <si>
    <t>27-3023</t>
  </si>
  <si>
    <t>News Analysts, Reporters, and Journalists</t>
  </si>
  <si>
    <t>27-3041</t>
  </si>
  <si>
    <t>Editors</t>
  </si>
  <si>
    <t>27-3091</t>
  </si>
  <si>
    <t>Interpreters and Translators</t>
  </si>
  <si>
    <t>27-3099</t>
  </si>
  <si>
    <t>Media and Communication Workers, All Other</t>
  </si>
  <si>
    <t>27-4032</t>
  </si>
  <si>
    <t>Film and Video Editors</t>
  </si>
  <si>
    <t>29-1021</t>
  </si>
  <si>
    <t>Dentists, General</t>
  </si>
  <si>
    <t>29-1024</t>
  </si>
  <si>
    <t>Prosthodontists</t>
  </si>
  <si>
    <t>29-1031</t>
  </si>
  <si>
    <t>Dietitians and Nutritionists</t>
  </si>
  <si>
    <t>29-1051</t>
  </si>
  <si>
    <t>Pharmacists</t>
  </si>
  <si>
    <t>29-1151</t>
  </si>
  <si>
    <t>Nurse Anesthetists</t>
  </si>
  <si>
    <t>29-1171</t>
  </si>
  <si>
    <t>Nurse Practitioners</t>
  </si>
  <si>
    <t>29-1229</t>
  </si>
  <si>
    <t>Physicians, All Other</t>
  </si>
  <si>
    <t>29-1292</t>
  </si>
  <si>
    <t>Dental Hygienists</t>
  </si>
  <si>
    <t>29-2010</t>
  </si>
  <si>
    <t>Clinical Laboratory Technologists and Technicians</t>
  </si>
  <si>
    <t>29-2034</t>
  </si>
  <si>
    <t>Radiologic Technologists and Technicians</t>
  </si>
  <si>
    <t>29-2052</t>
  </si>
  <si>
    <t>Pharmacy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</si>
  <si>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</si>
  <si>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</si>
  <si>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</si>
  <si>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</si>
  <si>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</si>
  <si>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</si>
  <si>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</si>
  <si>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</si>
  <si>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</si>
  <si>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</si>
  <si>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</si>
  <si>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</si>
  <si>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</si>
  <si>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</si>
  <si>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29-9092</t>
  </si>
  <si>
    <t>Genetic Counselors</t>
  </si>
  <si>
    <t>29-9099</t>
  </si>
  <si>
    <t>Healthcare Practitioners and Technical Workers, All Other</t>
  </si>
  <si>
    <t>31-9091</t>
  </si>
  <si>
    <t>Dental Assistants</t>
  </si>
  <si>
    <t>31-9092</t>
  </si>
  <si>
    <t>Medical Assistants</t>
  </si>
  <si>
    <t>31-9093</t>
  </si>
  <si>
    <t>Medical Equipment Preparers</t>
  </si>
  <si>
    <t>31-9096</t>
  </si>
  <si>
    <t>Veterinary Assistants and Laboratory Animal Caretakers</t>
  </si>
  <si>
    <t>31-9099</t>
  </si>
  <si>
    <t>Healthcare Support Workers, All Other</t>
  </si>
  <si>
    <t>35-2011</t>
  </si>
  <si>
    <t>Cooks, Fast Food</t>
  </si>
  <si>
    <t>35-2015</t>
  </si>
  <si>
    <t>Cooks, Short Order</t>
  </si>
  <si>
    <t>35-2019</t>
  </si>
  <si>
    <t>Cooks, All Other</t>
  </si>
  <si>
    <t>35-3011</t>
  </si>
  <si>
    <t>Bartenders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</si>
  <si>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</si>
  <si>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</si>
  <si>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</si>
  <si>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</si>
  <si>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</si>
  <si>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</si>
  <si>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</si>
  <si>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</si>
  <si>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</si>
  <si>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</si>
  <si>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39-3031</t>
  </si>
  <si>
    <t>Ushers, Lobby Attendants, and Ticket Takers</t>
  </si>
  <si>
    <t>39-7010</t>
  </si>
  <si>
    <t>Tour and Travel Guides</t>
  </si>
  <si>
    <t>39-9032</t>
  </si>
  <si>
    <t>Recreation Workers</t>
  </si>
  <si>
    <t>39-9041</t>
  </si>
  <si>
    <t>Residential Advisors</t>
  </si>
  <si>
    <t>43-4021</t>
  </si>
  <si>
    <t>Correspondence Clerks</t>
  </si>
  <si>
    <t>43-4111</t>
  </si>
  <si>
    <t>Interviewers, Except Eligibility and Loan</t>
  </si>
  <si>
    <t>43-5011</t>
  </si>
  <si>
    <t>Cargo and Freight Agents</t>
  </si>
  <si>
    <t>43-6013</t>
  </si>
  <si>
    <t>Medical Secretaries and Administrative Assistants</t>
  </si>
  <si>
    <t>43-9031</t>
  </si>
  <si>
    <t>Desktop Publishers</t>
  </si>
  <si>
    <t>43-9081</t>
  </si>
  <si>
    <t>Proofreaders and Copy Markers</t>
  </si>
  <si>
    <t>49-2091</t>
  </si>
  <si>
    <t>Avionics Technicians</t>
  </si>
  <si>
    <t>49-2096</t>
  </si>
  <si>
    <t>Electronic Equipment Installers and Repairers, Motor Vehicles</t>
  </si>
  <si>
    <t>49-3043</t>
  </si>
  <si>
    <t>Rail Car Repairers</t>
  </si>
  <si>
    <t>49-3052</t>
  </si>
  <si>
    <t>Motorcycle Mechanics</t>
  </si>
  <si>
    <t>49-3091</t>
  </si>
  <si>
    <t>Bicycle Repairers</t>
  </si>
  <si>
    <t>49-3092</t>
  </si>
  <si>
    <t>Recreational Vehicle Service Technicians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</si>
  <si>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</si>
  <si>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</si>
  <si>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</si>
  <si>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</si>
  <si>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</si>
  <si>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</si>
  <si>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51-2011</t>
  </si>
  <si>
    <t>Aircraft Structure, Surfaces, Rigging, and Systems Assemblers</t>
  </si>
  <si>
    <t>51-2021</t>
  </si>
  <si>
    <t>Coil Winders, Tapers, and Finishers</t>
  </si>
  <si>
    <t>51-2031</t>
  </si>
  <si>
    <t>Engine and Other Machine Assemblers</t>
  </si>
  <si>
    <t>51-2061</t>
  </si>
  <si>
    <t>Timing Device Assemblers and Adjusters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</si>
  <si>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</si>
  <si>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</si>
  <si>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</si>
  <si>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</si>
  <si>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</si>
  <si>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</si>
  <si>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</si>
  <si>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</si>
  <si>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51-3093</t>
  </si>
  <si>
    <t>Food Cooking Machine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</si>
  <si>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</si>
  <si>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</si>
  <si>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</si>
  <si>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</si>
  <si>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</si>
  <si>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</si>
  <si>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</si>
  <si>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</si>
  <si>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51-4193</t>
  </si>
  <si>
    <t>Plating Machine Setters, Operators, and Tenders, Metal and Plastic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</si>
  <si>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</si>
  <si>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</si>
  <si>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</si>
  <si>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</si>
  <si>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</si>
  <si>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</si>
  <si>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51-6021</t>
  </si>
  <si>
    <t>Pressers, Textile, Garment, and Related Materials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</si>
  <si>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</si>
  <si>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</si>
  <si>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</si>
  <si>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</si>
  <si>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</si>
  <si>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</si>
  <si>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</si>
  <si>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</si>
  <si>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</si>
  <si>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</si>
  <si>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</si>
  <si>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</si>
  <si>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</si>
  <si>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</si>
  <si>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</si>
  <si>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</si>
  <si>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</si>
  <si>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</si>
  <si>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</si>
  <si>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</si>
  <si>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51-6099</t>
  </si>
  <si>
    <t>Textile, Apparel, and Furnishings Workers, All Other</t>
  </si>
  <si>
    <t>51-7031</t>
  </si>
  <si>
    <t>Model Makers, Wood</t>
  </si>
  <si>
    <t>51-7032</t>
  </si>
  <si>
    <t>Patternmakers, Wood</t>
  </si>
  <si>
    <t>51-7099</t>
  </si>
  <si>
    <t>Woodworkers, All Other</t>
  </si>
  <si>
    <t>51-9011</t>
  </si>
  <si>
    <t>Chemical Equipment Operators and Tenders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</si>
  <si>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</si>
  <si>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</si>
  <si>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</si>
  <si>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</si>
  <si>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</si>
  <si>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</si>
  <si>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</si>
  <si>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</si>
  <si>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51-9141</t>
  </si>
  <si>
    <t>Semiconductor Processing Technicians</t>
  </si>
  <si>
    <t>51-9151</t>
  </si>
  <si>
    <t>Photographic Process Workers and Processing Machine Operators</t>
  </si>
  <si>
    <t>51-9191</t>
  </si>
  <si>
    <t>Adhesive Bonding Machine Operators and Tenders</t>
  </si>
  <si>
    <t>51-9193</t>
  </si>
  <si>
    <t>Cooling and Freezing Equipment Operators and Tenders</t>
  </si>
  <si>
    <t>51-9194</t>
  </si>
  <si>
    <t>Etchers and Engravers</t>
  </si>
  <si>
    <t>51-9197</t>
  </si>
  <si>
    <t>Tire Builders</t>
  </si>
  <si>
    <t>53-1041</t>
  </si>
  <si>
    <t>Aircraft Cargo Handling Supervisors</t>
  </si>
  <si>
    <t>53-2011</t>
  </si>
  <si>
    <t>Airline Pilots, Copilots, and Flight Engineers</t>
  </si>
  <si>
    <t>53-2022</t>
  </si>
  <si>
    <t>Airfield Operations Specialists</t>
  </si>
  <si>
    <t>53-4022</t>
  </si>
  <si>
    <t>Railroad Brake, Signal, and Switch Operators and Locomotive Firers</t>
  </si>
  <si>
    <t>53-6021</t>
  </si>
  <si>
    <t>Parking Attendants</t>
  </si>
  <si>
    <t>53-6032</t>
  </si>
  <si>
    <t>Aircraft Service Attendants</t>
  </si>
  <si>
    <t>53-6051</t>
  </si>
  <si>
    <t>Transportation Inspectors</t>
  </si>
  <si>
    <t>Wholesale Trade</t>
  </si>
  <si>
    <t>13-2082</t>
  </si>
  <si>
    <t>Tax Preparers</t>
  </si>
  <si>
    <t>21-1022</t>
  </si>
  <si>
    <t>Healthcare Social Workers</t>
  </si>
  <si>
    <t>21-1091</t>
  </si>
  <si>
    <t>Health Education Specialists</t>
  </si>
  <si>
    <t>23-1022</t>
  </si>
  <si>
    <t>Arbitrators, Mediators, and Conciliators</t>
  </si>
  <si>
    <t>25-3041</t>
  </si>
  <si>
    <t>Tutors</t>
  </si>
  <si>
    <t>25-4012</t>
  </si>
  <si>
    <t>Curators</t>
  </si>
  <si>
    <t>25-9099</t>
  </si>
  <si>
    <t>Educational Instruction and Library Workers, All Other</t>
  </si>
  <si>
    <t>27-4012</t>
  </si>
  <si>
    <t>Broadcast Technicians</t>
  </si>
  <si>
    <t>29-1124</t>
  </si>
  <si>
    <t>Radiation Therapists</t>
  </si>
  <si>
    <t>29-1126</t>
  </si>
  <si>
    <t>Respiratory Therapists</t>
  </si>
  <si>
    <t>29-1181</t>
  </si>
  <si>
    <t>Audiologists</t>
  </si>
  <si>
    <t>29-1217</t>
  </si>
  <si>
    <t>Neurologists</t>
  </si>
  <si>
    <t>29-1222</t>
  </si>
  <si>
    <t>Physicians, Pathologists</t>
  </si>
  <si>
    <t>29-2031</t>
  </si>
  <si>
    <t>Cardiovascular Technologists and Technicians</t>
  </si>
  <si>
    <t>31-1131</t>
  </si>
  <si>
    <t>Nursing Assistants</t>
  </si>
  <si>
    <t>31-9095</t>
  </si>
  <si>
    <t>Pharmacy Aides</t>
  </si>
  <si>
    <t>31-9097</t>
  </si>
  <si>
    <t>Phlebotomists</t>
  </si>
  <si>
    <t>39-5094</t>
  </si>
  <si>
    <t>Skincare Specialists</t>
  </si>
  <si>
    <t>41-9012</t>
  </si>
  <si>
    <t>Models</t>
  </si>
  <si>
    <t>43-4011</t>
  </si>
  <si>
    <t>Brokerage Clerks</t>
  </si>
  <si>
    <t>43-9022</t>
  </si>
  <si>
    <t>Word Processors and Typists</t>
  </si>
  <si>
    <t>53-3052</t>
  </si>
  <si>
    <t>Bus Drivers, Transit and Intercity</t>
  </si>
  <si>
    <t>Retail Trade</t>
  </si>
  <si>
    <t>11-9072</t>
  </si>
  <si>
    <t>Entertainment and Recreation Managers, Except Gambling</t>
  </si>
  <si>
    <t>13-1032</t>
  </si>
  <si>
    <t>Insurance Appraisers, Auto Damage</t>
  </si>
  <si>
    <t>21-1012</t>
  </si>
  <si>
    <t>Educational, Guidance, and Career Counselors and Advisors</t>
  </si>
  <si>
    <t>21-1015</t>
  </si>
  <si>
    <t>Rehabilitation Counselors</t>
  </si>
  <si>
    <t>21-1019</t>
  </si>
  <si>
    <t>Counselors, All Other</t>
  </si>
  <si>
    <t>25-4011</t>
  </si>
  <si>
    <t>Archivists</t>
  </si>
  <si>
    <t>25-4013</t>
  </si>
  <si>
    <t>Museum Technicians and Conservators</t>
  </si>
  <si>
    <t>27-2011</t>
  </si>
  <si>
    <t>Actors</t>
  </si>
  <si>
    <t>27-2022</t>
  </si>
  <si>
    <t>Coaches and Scouts</t>
  </si>
  <si>
    <t>27-2042</t>
  </si>
  <si>
    <t>Musicians and Singers</t>
  </si>
  <si>
    <t>27-3011</t>
  </si>
  <si>
    <t>Broadcast Announcers and Radio Disc Jockeys</t>
  </si>
  <si>
    <t>29-1041</t>
  </si>
  <si>
    <t>Optometrists</t>
  </si>
  <si>
    <t>29-1241</t>
  </si>
  <si>
    <t>Ophthalmologists, Except Pediatric</t>
  </si>
  <si>
    <t>29-1299</t>
  </si>
  <si>
    <t>Healthcare Diagnosing or Treating Practitioners, All Other</t>
  </si>
  <si>
    <t>29-2057</t>
  </si>
  <si>
    <t>Ophthalmic Medical Technicians</t>
  </si>
  <si>
    <t>31-9011</t>
  </si>
  <si>
    <t>Massage Therapists</t>
  </si>
  <si>
    <t>33-9092</t>
  </si>
  <si>
    <t>Lifeguards, Ski Patrol, and Other Recreational Protective Service Workers</t>
  </si>
  <si>
    <t>39-3093</t>
  </si>
  <si>
    <t>Locker Room, Coatroom, and Dressing Room Attendants</t>
  </si>
  <si>
    <t>39-5092</t>
  </si>
  <si>
    <t>Manicurists and Pedicurists</t>
  </si>
  <si>
    <t>39-6011</t>
  </si>
  <si>
    <t>Baggage Porters and Bellhops</t>
  </si>
  <si>
    <t>39-9099</t>
  </si>
  <si>
    <t>Personal Care and Service Workers, All Other</t>
  </si>
  <si>
    <t>43-2021</t>
  </si>
  <si>
    <t>Telephone Operators</t>
  </si>
  <si>
    <t>43-4031</t>
  </si>
  <si>
    <t>Court, Municipal, and License Clerks</t>
  </si>
  <si>
    <t>43-4081</t>
  </si>
  <si>
    <t>Hotel, Motel, and Resort Desk Clerks</t>
  </si>
  <si>
    <t>49-9064</t>
  </si>
  <si>
    <t>Watch and Clock Repairers</t>
  </si>
  <si>
    <t>Transportation and Warehousing</t>
  </si>
  <si>
    <t>11-9131</t>
  </si>
  <si>
    <t>Postmasters and Mail Superintendents</t>
  </si>
  <si>
    <t>19-4092</t>
  </si>
  <si>
    <t>Forensic Science Technicians</t>
  </si>
  <si>
    <t>25-1194</t>
  </si>
  <si>
    <t>Career/Technical Education Teachers, Postsecondary</t>
  </si>
  <si>
    <t>25-3099</t>
  </si>
  <si>
    <t>Teachers and Instructors, All Other</t>
  </si>
  <si>
    <t>27-4099</t>
  </si>
  <si>
    <t>Media and Communication Equipment Workers, All Other</t>
  </si>
  <si>
    <t>33-1012</t>
  </si>
  <si>
    <t>First-Line Supervisors of Police and Detectives</t>
  </si>
  <si>
    <t>33-3021</t>
  </si>
  <si>
    <t>Detectives and Criminal Investigators</t>
  </si>
  <si>
    <t>33-3051</t>
  </si>
  <si>
    <t>Police and Sheriff's Patrol Officers</t>
  </si>
  <si>
    <t>33-3052</t>
  </si>
  <si>
    <t>Transit and Railroad Police</t>
  </si>
  <si>
    <t>33-9093</t>
  </si>
  <si>
    <t>Transportation Security Screeners</t>
  </si>
  <si>
    <t>33-9094</t>
  </si>
  <si>
    <t>School Bus Monitors</t>
  </si>
  <si>
    <t>41-3041</t>
  </si>
  <si>
    <t>Travel Agents</t>
  </si>
  <si>
    <t>43-4061</t>
  </si>
  <si>
    <t>Eligibility Interviewers, Government Programs</t>
  </si>
  <si>
    <t>43-4181</t>
  </si>
  <si>
    <t>Reservation and Transportation Ticket Agents and Travel Clerks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</si>
  <si>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</si>
  <si>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</si>
  <si>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</si>
  <si>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</si>
  <si>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</si>
  <si>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</si>
  <si>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43-9111</t>
  </si>
  <si>
    <t>Statistical Assistants</t>
  </si>
  <si>
    <t>53-2021</t>
  </si>
  <si>
    <t>Air Traffic Controllers</t>
  </si>
  <si>
    <t>53-2031</t>
  </si>
  <si>
    <t>Flight Attendants</t>
  </si>
  <si>
    <t>53-3011</t>
  </si>
  <si>
    <t>Ambulance Drivers and Attendants, Except Emergency Medical Technicians</t>
  </si>
  <si>
    <t>53-3051</t>
  </si>
  <si>
    <t>Bus Drivers, School</t>
  </si>
  <si>
    <t>53-3054</t>
  </si>
  <si>
    <t>Taxi Drivers</t>
  </si>
  <si>
    <t>53-4041</t>
  </si>
  <si>
    <t>Subway and Streetcar Operators</t>
  </si>
  <si>
    <t>53-6011</t>
  </si>
  <si>
    <t>Bridge and Lock Tenders</t>
  </si>
  <si>
    <t>53-6061</t>
  </si>
  <si>
    <t>Passenger Attendants</t>
  </si>
  <si>
    <t>11-9039</t>
  </si>
  <si>
    <t>Education Administrators, All Other</t>
  </si>
  <si>
    <t>13-1011</t>
  </si>
  <si>
    <t>Agents and Business Managers of Artists, Performers, and Athletes</t>
  </si>
  <si>
    <t>19-3022</t>
  </si>
  <si>
    <t>Survey Researchers</t>
  </si>
  <si>
    <t>21-1094</t>
  </si>
  <si>
    <t>Community Health Workers</t>
  </si>
  <si>
    <t>25-3011</t>
  </si>
  <si>
    <t>Adult Basic Education, Adult Secondary Education, and English as a Second Language Instructors</t>
  </si>
  <si>
    <t>25-4031</t>
  </si>
  <si>
    <t>Library Technicians</t>
  </si>
  <si>
    <t>27-2031</t>
  </si>
  <si>
    <t>Dancers</t>
  </si>
  <si>
    <t>27-2041</t>
  </si>
  <si>
    <t>Music Directors and Composers</t>
  </si>
  <si>
    <t>27-2091</t>
  </si>
  <si>
    <t>Disc Jockeys, Except Radio</t>
  </si>
  <si>
    <t>27-3092</t>
  </si>
  <si>
    <t>Court Reporters and Simultaneous Captioners</t>
  </si>
  <si>
    <t>29-1123</t>
  </si>
  <si>
    <t>Physical Therapists</t>
  </si>
  <si>
    <t>39-1013</t>
  </si>
  <si>
    <t>First-Line Supervisors of Gambling Services Workers</t>
  </si>
  <si>
    <t>39-3019</t>
  </si>
  <si>
    <t>Gambling Service Workers, All Other</t>
  </si>
  <si>
    <t>39-3021</t>
  </si>
  <si>
    <t>Motion Picture Projectionists</t>
  </si>
  <si>
    <t>39-3092</t>
  </si>
  <si>
    <t>Costume Attendants</t>
  </si>
  <si>
    <t>39-3099</t>
  </si>
  <si>
    <t>Entertainment Attendants and Related Workers, All Other</t>
  </si>
  <si>
    <t>39-5091</t>
  </si>
  <si>
    <t>Makeup Artists, Theatrical and Performance</t>
  </si>
  <si>
    <t>43-2099</t>
  </si>
  <si>
    <t>Communications Equipment Operators, All Other</t>
  </si>
  <si>
    <t>43-4121</t>
  </si>
  <si>
    <t>Library Assistants, Clerical</t>
  </si>
  <si>
    <t>Finance and Insurance</t>
  </si>
  <si>
    <t>13-2053</t>
  </si>
  <si>
    <t>Insurance Underwriters</t>
  </si>
  <si>
    <t>15-2011</t>
  </si>
  <si>
    <t>Actuaries</t>
  </si>
  <si>
    <t>19-3033</t>
  </si>
  <si>
    <t>Clinical and Counseling Psychologists</t>
  </si>
  <si>
    <t>21-1018</t>
  </si>
  <si>
    <t>Substance Abuse, Behavioral Disorder, and Mental Health Counselors</t>
  </si>
  <si>
    <t>21-1021</t>
  </si>
  <si>
    <t>Child, Family, and School Social Workers</t>
  </si>
  <si>
    <t>21-1023</t>
  </si>
  <si>
    <t>Mental Health and Substance Abuse Social Workers</t>
  </si>
  <si>
    <t>21-1029</t>
  </si>
  <si>
    <t>Social Workers, All Other</t>
  </si>
  <si>
    <t>29-1122</t>
  </si>
  <si>
    <t>Occupational Therapists</t>
  </si>
  <si>
    <t>29-1129</t>
  </si>
  <si>
    <t>Therapists, All Other</t>
  </si>
  <si>
    <t>31-1133</t>
  </si>
  <si>
    <t>Psychiatric Aides</t>
  </si>
  <si>
    <t>31-9094</t>
  </si>
  <si>
    <t>Medical Transcriptionists</t>
  </si>
  <si>
    <t>43-4141</t>
  </si>
  <si>
    <t>New Accounts Clerks</t>
  </si>
  <si>
    <t>Real Estate and Rental and Leasing</t>
  </si>
  <si>
    <t>39-3011</t>
  </si>
  <si>
    <t>Gambling Dealers</t>
  </si>
  <si>
    <t>Professional, Scientific, and Technical Services</t>
  </si>
  <si>
    <t>11-9033</t>
  </si>
  <si>
    <t>Education Administrators, Postsecondary</t>
  </si>
  <si>
    <t>19-1031</t>
  </si>
  <si>
    <t>Conservation Scientists</t>
  </si>
  <si>
    <t>19-2011</t>
  </si>
  <si>
    <t>Astronomers</t>
  </si>
  <si>
    <t>19-2043</t>
  </si>
  <si>
    <t>Hydrologists</t>
  </si>
  <si>
    <t>19-3032</t>
  </si>
  <si>
    <t>Industrial-Organizational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</si>
  <si>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</si>
  <si>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</si>
  <si>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</si>
  <si>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</si>
  <si>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</si>
  <si>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</si>
  <si>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</si>
  <si>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</si>
  <si>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</si>
  <si>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</si>
  <si>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</si>
  <si>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</si>
  <si>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</si>
  <si>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</si>
  <si>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25-1042</t>
  </si>
  <si>
    <t>Biological Science Teachers, Postsecondary</t>
  </si>
  <si>
    <t>25-1071</t>
  </si>
  <si>
    <t>Health Specialties Teachers, Postsecondary</t>
  </si>
  <si>
    <t>25-1199</t>
  </si>
  <si>
    <t>Postsecondary Teachers, All Other</t>
  </si>
  <si>
    <t>25-2011</t>
  </si>
  <si>
    <t>Preschool Teachers, Except Special Education</t>
  </si>
  <si>
    <t>25-9021</t>
  </si>
  <si>
    <t>Farm and Home Management Educators</t>
  </si>
  <si>
    <t>25-9045</t>
  </si>
  <si>
    <t>Teaching Assistants, Except Postsecondary</t>
  </si>
  <si>
    <t>29-1011</t>
  </si>
  <si>
    <t>Chiropractors</t>
  </si>
  <si>
    <t>29-1127</t>
  </si>
  <si>
    <t>Speech-Language Pathologists</t>
  </si>
  <si>
    <t>29-1128</t>
  </si>
  <si>
    <t>Exercise Physiologists</t>
  </si>
  <si>
    <t>29-1211</t>
  </si>
  <si>
    <t>Anesthesiologists</t>
  </si>
  <si>
    <t>29-1216</t>
  </si>
  <si>
    <t>General Internal Medicine Physicians</t>
  </si>
  <si>
    <t>29-1221</t>
  </si>
  <si>
    <t>Pediatricians, General</t>
  </si>
  <si>
    <t>29-1223</t>
  </si>
  <si>
    <t>Psychiatrists</t>
  </si>
  <si>
    <t>29-1224</t>
  </si>
  <si>
    <t>Radiologists</t>
  </si>
  <si>
    <t>29-1249</t>
  </si>
  <si>
    <t>Surgeons, All Other</t>
  </si>
  <si>
    <t>29-2032</t>
  </si>
  <si>
    <t>Diagnostic Medical Sonographers</t>
  </si>
  <si>
    <t>29-2033</t>
  </si>
  <si>
    <t>Nuclear Medicine Technologists</t>
  </si>
  <si>
    <t>29-2035</t>
  </si>
  <si>
    <t>Magnetic Resonance Imaging Technologists</t>
  </si>
  <si>
    <t>29-2036</t>
  </si>
  <si>
    <t>Medical Dosimetrists</t>
  </si>
  <si>
    <t>29-2053</t>
  </si>
  <si>
    <t>Psychiatric Technicians</t>
  </si>
  <si>
    <t>29-2055</t>
  </si>
  <si>
    <t>Surgical Technologists</t>
  </si>
  <si>
    <t>29-9091</t>
  </si>
  <si>
    <t>Athletic Trainers</t>
  </si>
  <si>
    <t>31-2021</t>
  </si>
  <si>
    <t>Physical Therapist Assistants</t>
  </si>
  <si>
    <t>39-4012</t>
  </si>
  <si>
    <t>Crematory Operators</t>
  </si>
  <si>
    <t>45-4011</t>
  </si>
  <si>
    <t>Forest and Conservation Workers</t>
  </si>
  <si>
    <t>Management of Companies and Enterprises</t>
  </si>
  <si>
    <t>11-9031</t>
  </si>
  <si>
    <t>Education and Childcare Administrators, Preschool and Daycare</t>
  </si>
  <si>
    <t>11-9032</t>
  </si>
  <si>
    <t>Education Administrators, Kindergarten through Secondary</t>
  </si>
  <si>
    <t>11-9071</t>
  </si>
  <si>
    <t>Gambling Managers</t>
  </si>
  <si>
    <t>21-1013</t>
  </si>
  <si>
    <t>Marriage and Family Therapists</t>
  </si>
  <si>
    <t>21-2021</t>
  </si>
  <si>
    <t>Directors, Religious Activities and Education</t>
  </si>
  <si>
    <t>25-2059</t>
  </si>
  <si>
    <t>Special Education Teachers, All Other</t>
  </si>
  <si>
    <t>25-3031</t>
  </si>
  <si>
    <t>Substitute Teachers, Short-Term</t>
  </si>
  <si>
    <t>29-1081</t>
  </si>
  <si>
    <t>Podiatrists</t>
  </si>
  <si>
    <t>29-1212</t>
  </si>
  <si>
    <t>Cardiologists</t>
  </si>
  <si>
    <t>29-1214</t>
  </si>
  <si>
    <t>Emergency Medicine Physicians</t>
  </si>
  <si>
    <t>29-1215</t>
  </si>
  <si>
    <t>Family Medicine Physicians</t>
  </si>
  <si>
    <t>29-1218</t>
  </si>
  <si>
    <t>Obstetricians and Gynecologists</t>
  </si>
  <si>
    <t>29-2051</t>
  </si>
  <si>
    <t>Dietetic Technicians</t>
  </si>
  <si>
    <t>29-9093</t>
  </si>
  <si>
    <t>Surgical Assistants</t>
  </si>
  <si>
    <t>31-1132</t>
  </si>
  <si>
    <t>Orderlies</t>
  </si>
  <si>
    <t>31-2011</t>
  </si>
  <si>
    <t>Occupational Therapy Assistants</t>
  </si>
  <si>
    <t>43-5031</t>
  </si>
  <si>
    <t>Public Safety Telecommunicators</t>
  </si>
  <si>
    <t>Administrative and Support and Waste Management and Remediation Services</t>
  </si>
  <si>
    <t>21-1092</t>
  </si>
  <si>
    <t>Probation Officers and Correctional Treatment Specialists</t>
  </si>
  <si>
    <t>25-1072</t>
  </si>
  <si>
    <t>Nursing Instructors and Teachers, Postsecondary</t>
  </si>
  <si>
    <t>25-2031</t>
  </si>
  <si>
    <t>Secondary School Teachers, Except Special and Career/Technical Education</t>
  </si>
  <si>
    <t>25-2052</t>
  </si>
  <si>
    <t>Special Education Teachers, Kindergarten and Elementary School</t>
  </si>
  <si>
    <t>25-2058</t>
  </si>
  <si>
    <t>Special Education Teachers, Secondary School</t>
  </si>
  <si>
    <t>25-9044</t>
  </si>
  <si>
    <t>Teaching Assistants, Postsecondary</t>
  </si>
  <si>
    <t>29-1125</t>
  </si>
  <si>
    <t>Recreational Therapists</t>
  </si>
  <si>
    <t>29-1291</t>
  </si>
  <si>
    <t>Acupuncturists</t>
  </si>
  <si>
    <t>31-2022</t>
  </si>
  <si>
    <t>Physical Therapist Aides</t>
  </si>
  <si>
    <t>33-1011</t>
  </si>
  <si>
    <t>First-Line Supervisors of Correctional Officers</t>
  </si>
  <si>
    <t>33-3012</t>
  </si>
  <si>
    <t>Correctional Officers and Jailers</t>
  </si>
  <si>
    <t>33-9011</t>
  </si>
  <si>
    <t>Animal Control Workers</t>
  </si>
  <si>
    <t>33-9031</t>
  </si>
  <si>
    <t>Gambling Surveillance Officers and Gambling Investigators</t>
  </si>
  <si>
    <t>39-4031</t>
  </si>
  <si>
    <t>Morticians, Undertakers, and Funeral Arrangers</t>
  </si>
  <si>
    <t>39-5093</t>
  </si>
  <si>
    <t>Shampooers</t>
  </si>
  <si>
    <t>Educational Services</t>
  </si>
  <si>
    <t>21-2099</t>
  </si>
  <si>
    <t>Religious Workers, All Other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</si>
  <si>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</si>
  <si>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</si>
  <si>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</si>
  <si>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</si>
  <si>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</si>
  <si>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</si>
  <si>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</si>
  <si>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</si>
  <si>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</si>
  <si>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</si>
  <si>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</si>
  <si>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</si>
  <si>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</si>
  <si>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</si>
  <si>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</si>
  <si>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</si>
  <si>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</si>
  <si>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</si>
  <si>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</si>
  <si>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</si>
  <si>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</si>
  <si>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</si>
  <si>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</si>
  <si>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</si>
  <si>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</si>
  <si>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</si>
  <si>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</si>
  <si>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</si>
  <si>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</si>
  <si>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</si>
  <si>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</si>
  <si>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</si>
  <si>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</si>
  <si>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</si>
  <si>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</si>
  <si>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</si>
  <si>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</si>
  <si>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</si>
  <si>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</si>
  <si>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</si>
  <si>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</si>
  <si>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</si>
  <si>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</si>
  <si>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</si>
  <si>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</si>
  <si>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</si>
  <si>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</si>
  <si>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</si>
  <si>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</si>
  <si>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</si>
  <si>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</si>
  <si>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</si>
  <si>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</si>
  <si>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</si>
  <si>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</si>
  <si>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</si>
  <si>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</si>
  <si>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</si>
  <si>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</si>
  <si>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</si>
  <si>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</si>
  <si>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Family and Consumer Sciences Teachers, Postsecondary</t>
  </si>
  <si>
    <t>25-1193</t>
  </si>
  <si>
    <t>Recreation and Fitness Studies Teachers, Postsecondary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</si>
  <si>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</si>
  <si>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</si>
  <si>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</si>
  <si>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</si>
  <si>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</si>
  <si>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</si>
  <si>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</si>
  <si>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</si>
  <si>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25-2032</t>
  </si>
  <si>
    <t>Career/Technical Education Teachers, Secondary School</t>
  </si>
  <si>
    <t>25-2051</t>
  </si>
  <si>
    <t>Special Education Teachers, Preschool</t>
  </si>
  <si>
    <t>25-2057</t>
  </si>
  <si>
    <t>Special Education Teachers, Middle School</t>
  </si>
  <si>
    <t>27-2023</t>
  </si>
  <si>
    <t>Umpires, Referees, and Other Sports Officials</t>
  </si>
  <si>
    <t>27-2032</t>
  </si>
  <si>
    <t>Choreographers</t>
  </si>
  <si>
    <t>29-1161</t>
  </si>
  <si>
    <t>Nurse Midwives</t>
  </si>
  <si>
    <t>29-1213</t>
  </si>
  <si>
    <t>Dermatologists</t>
  </si>
  <si>
    <t>29-1242</t>
  </si>
  <si>
    <t>Orthopedic Surgeons, Except Pediatric</t>
  </si>
  <si>
    <t>31-2012</t>
  </si>
  <si>
    <t>Occupational Therapy Aides</t>
  </si>
  <si>
    <t>33-3041</t>
  </si>
  <si>
    <t>Parking Enforcement Workers</t>
  </si>
  <si>
    <t>Health Care and Social Assistance</t>
  </si>
  <si>
    <t>29-1022</t>
  </si>
  <si>
    <t>Oral and Maxillofacial Surgeons</t>
  </si>
  <si>
    <t>29-1023</t>
  </si>
  <si>
    <t>Orthodontists</t>
  </si>
  <si>
    <t>29-1029</t>
  </si>
  <si>
    <t>Dentists, All Other Specialists</t>
  </si>
  <si>
    <t>29-1243</t>
  </si>
  <si>
    <t>Pediatric Surgeons</t>
  </si>
  <si>
    <t>39-3012</t>
  </si>
  <si>
    <t>Gambling and Sports Book Writers and Runners</t>
  </si>
  <si>
    <t>39-5011</t>
  </si>
  <si>
    <t>Barbers</t>
  </si>
  <si>
    <t>Arts, Entertainment, and Recreation</t>
  </si>
  <si>
    <t>27-2021</t>
  </si>
  <si>
    <t>Athletes and Sports Competitors</t>
  </si>
  <si>
    <t>41-2012</t>
  </si>
  <si>
    <t>Gambling Change Persons and Booth Cashiers</t>
  </si>
  <si>
    <t>43-3041</t>
  </si>
  <si>
    <t>Gambling Cage Workers</t>
  </si>
  <si>
    <t>Accommodation and Food Services</t>
  </si>
  <si>
    <t>35-2013</t>
  </si>
  <si>
    <t>Cooks, Private Household</t>
  </si>
  <si>
    <t>Other Services (except Public Administration)</t>
  </si>
  <si>
    <t>11-9171</t>
  </si>
  <si>
    <t>Funeral Home Managers</t>
  </si>
  <si>
    <t>33-2022</t>
  </si>
  <si>
    <t>Forest Fire Inspectors and Prevention Specialists</t>
  </si>
  <si>
    <t>39-4011</t>
  </si>
  <si>
    <t>Embalmers</t>
  </si>
  <si>
    <t>39-4021</t>
  </si>
  <si>
    <t>Funeral Attendants</t>
  </si>
  <si>
    <t>Occupation title</t>
  </si>
  <si>
    <t>AI Task Exposure (0–1)</t>
  </si>
  <si>
    <t>11-1031</t>
  </si>
  <si>
    <t>Legislators</t>
  </si>
  <si>
    <t>13-2081</t>
  </si>
  <si>
    <t>Tax Examiners and Collectors, and Revenue Agents</t>
  </si>
  <si>
    <t>23-1012</t>
  </si>
  <si>
    <t>Judicial Law Clerks</t>
  </si>
  <si>
    <t>23-1021</t>
  </si>
  <si>
    <t>Administrative Law Judges, Adjudicators, and Hearing Officers</t>
  </si>
  <si>
    <t>23-1023</t>
  </si>
  <si>
    <t>Judges, Magistrate Judges, and Magistrates</t>
  </si>
  <si>
    <t>33-3011</t>
  </si>
  <si>
    <t>Bailiffs</t>
  </si>
  <si>
    <t>33-3031</t>
  </si>
  <si>
    <t>Fish and Game Wardens</t>
  </si>
  <si>
    <t>AI-using firms (%)</t>
  </si>
  <si>
    <t>Measurement / survey vintage</t>
  </si>
  <si>
    <t>Census BTOS | 2026 | firms, not employees</t>
  </si>
  <si>
    <t>DATA SOURCES / MAPPING / QUALITY ASSURANCE</t>
  </si>
  <si>
    <t>No web hyperlinks are embedded: source names and local downloaded filenames only. Rebuild all formulas by dragging down.</t>
  </si>
  <si>
    <t>Source</t>
  </si>
  <si>
    <t>Dataset / Downloaded filename</t>
  </si>
  <si>
    <t>Required fields / filters</t>
  </si>
  <si>
    <t>Workbook destination</t>
  </si>
  <si>
    <t>Notes</t>
  </si>
  <si>
    <t>BLS QCEW (2025)</t>
  </si>
  <si>
    <t>Private, All Industry Aggregations, U.S. TOTAL; 2025 Annual</t>
  </si>
  <si>
    <t>Industry; Total Annual Wages; US000; private</t>
  </si>
  <si>
    <t>DATA QCEW Raw → DATA QCEW</t>
  </si>
  <si>
    <t>Gross annual wages; 19 sectors; 99 unclassified separate</t>
  </si>
  <si>
    <t>BLS OEWS (May 2025)</t>
  </si>
  <si>
    <t>natsector_M2025_dl.xlsx; nat3d_owner_M2025_dl.xlsx</t>
  </si>
  <si>
    <t>NAICS; OCC_CODE; O_GROUP=detailed; TOT_EMP; A_MEAN</t>
  </si>
  <si>
    <t>DATA OEWS</t>
  </si>
  <si>
    <t>Private adjustment for education / public hospitals; remaining mixed sector caveats</t>
  </si>
  <si>
    <t>Penn Wharton (2025)</t>
  </si>
  <si>
    <t>supp_exposure_by_occupation.csv</t>
  </si>
  <si>
    <t>Occupation Code; Exposure to AI Automation (% of tasks)</t>
  </si>
  <si>
    <t>DATA Wharton</t>
  </si>
  <si>
    <t>Use 0–1 fraction in Excel (47.75 → 0.4775)</t>
  </si>
  <si>
    <t>Census BTOS (2026)</t>
  </si>
  <si>
    <t>Sector (3).xlsx; cycle 202620</t>
  </si>
  <si>
    <t>Industry; Question ID 7; Answer ID 1</t>
  </si>
  <si>
    <t>DATA Census</t>
  </si>
  <si>
    <t>Firm-use share: NOT employee adoption</t>
  </si>
  <si>
    <t>BLS Emp Projections (2026 release)</t>
  </si>
  <si>
    <t>Employment by Major Industry Sector; 2025–2035</t>
  </si>
  <si>
    <t>Employment in 2025/2035; private NAICS</t>
  </si>
  <si>
    <t>DATA BLS Projections</t>
  </si>
  <si>
    <t>Different statistical series from QCEW; use growth only</t>
  </si>
  <si>
    <t>CHECK: Private national total</t>
  </si>
  <si>
    <t>2025 QCEW private total</t>
  </si>
  <si>
    <t>10,532,191,402,092 dollars</t>
  </si>
  <si>
    <t>DATA QCEW C25</t>
  </si>
  <si>
    <t>Total 19 + NAICS 99 must equal this</t>
  </si>
  <si>
    <t>CHECK: 19-sector wages</t>
  </si>
  <si>
    <t>2025 QCEW private total less NAICS 99</t>
  </si>
  <si>
    <t>10,515,645,524,505 dollars</t>
  </si>
  <si>
    <t>01 Industry Model C25</t>
  </si>
  <si>
    <t>Should equal DATA QCEW C23 / 1e9</t>
  </si>
  <si>
    <t>CHECK: Wharton SOC coverage</t>
  </si>
  <si>
    <t>784 unique SOC codes</t>
  </si>
  <si>
    <t>XLOOKUP by exact SOC</t>
  </si>
  <si>
    <t>DATA OEWS K column</t>
  </si>
  <si>
    <t>Unmatched rows not forced to zero exposure</t>
  </si>
  <si>
    <t>CHECK: OEWS duplication</t>
  </si>
  <si>
    <t>7,805 unique Industry × SOC records</t>
  </si>
  <si>
    <t>Only detailed occupations, do not double count broad groups</t>
  </si>
  <si>
    <t>DATA OEWS A + C</t>
  </si>
  <si>
    <t>Old workbook had duplicate risk; new underlying detail has no duplicates</t>
  </si>
  <si>
    <t>MODEL SCOPE</t>
  </si>
  <si>
    <t>Potential wage exposure, not economic saving</t>
  </si>
  <si>
    <t>Gross Exposed = QCEW wages × wage-weighted task exposure</t>
  </si>
  <si>
    <t>01 Industry Model I</t>
  </si>
  <si>
    <t>Do not interpret as dollars of layoffs / AI provider revenue</t>
  </si>
  <si>
    <t>PROJECTION SCOPE</t>
  </si>
  <si>
    <t>Illustrative growth, not company guidance</t>
  </si>
  <si>
    <t>Industry wages × (1+employment CAGR) × (1+wage growth)</t>
  </si>
  <si>
    <t>Five-Year Projection F</t>
  </si>
  <si>
    <t>2026 BTOS survey anchors firm-use proxy, not wage-weighted adoption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</si>
</sst>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#,##0;[Red]\(#,##0\);\-"/>
    <numFmt numFmtId="180" formatCode="&quot;$&quot;#,##0.00;[Red]\(&quot;$&quot;#,##0.00\);\-"/>
    <numFmt numFmtId="181" formatCode="0.0%;[Red]\(0.0%\);\-"/>
    <numFmt numFmtId="182" formatCode="#,##0.0;[Red]\(#,##0.0\);\-"/>
    <numFmt numFmtId="183" formatCode="0.00;[Red]\(0.00\);\-"/>
  </numFmts>
  <fonts count="32">
    <font>
      <sz val="11"/>
      <name val="Carlito"/>
      <charset val="134"/>
    </font>
    <font>
      <b/>
      <sz val="14"/>
      <color rgb="FFFFFFFF"/>
      <name val="Carlito"/>
      <charset val="134"/>
    </font>
    <font>
      <sz val="10"/>
      <color rgb="FF1F465F"/>
      <name val="Carlito"/>
      <charset val="134"/>
    </font>
    <font>
      <b/>
      <sz val="11"/>
      <color rgb="FFFFFFFF"/>
      <name val="Carlito"/>
      <charset val="134"/>
    </font>
    <font>
      <sz val="11"/>
      <color rgb="FF2459C2"/>
      <name val="Carlito"/>
      <charset val="134"/>
    </font>
    <font>
      <sz val="11"/>
      <color rgb="FF0000FF"/>
      <name val="Carlito"/>
      <charset val="134"/>
    </font>
    <font>
      <b/>
      <sz val="11"/>
      <color rgb="FF2459C2"/>
      <name val="Carlito"/>
      <charset val="134"/>
    </font>
    <font>
      <b/>
      <sz val="11"/>
      <color rgb="FF0000FF"/>
      <name val="Carlito"/>
      <charset val="134"/>
    </font>
    <font>
      <sz val="11"/>
      <color rgb="FF008000"/>
      <name val="Carlito"/>
      <charset val="134"/>
    </font>
    <font>
      <b/>
      <sz val="11"/>
      <color rgb="FF17324C"/>
      <name val="Carlito"/>
      <charset val="134"/>
    </font>
    <font>
      <b/>
      <sz val="11"/>
      <name val="Carlito"/>
      <charset val="134"/>
    </font>
    <font>
      <b/>
      <sz val="11"/>
      <color rgb="FF19354A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17324C"/>
        <bgColor indexed="64"/>
      </patternFill>
    </fill>
    <fill>
      <patternFill patternType="solid">
        <fgColor rgb="FFE9F2F7"/>
        <bgColor indexed="64"/>
      </patternFill>
    </fill>
    <fill>
      <patternFill patternType="solid">
        <fgColor rgb="FFFFF4CD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2A9"/>
        <bgColor indexed="64"/>
      </patternFill>
    </fill>
    <fill>
      <patternFill patternType="solid">
        <fgColor rgb="FF14334A"/>
        <bgColor indexed="64"/>
      </patternFill>
    </fill>
    <fill>
      <patternFill patternType="solid">
        <fgColor rgb="FFEEF5F8"/>
        <bgColor indexed="64"/>
      </patternFill>
    </fill>
    <fill>
      <patternFill patternType="solid">
        <fgColor rgb="FFE0F2EB"/>
        <bgColor indexed="64"/>
      </patternFill>
    </fill>
    <fill>
      <patternFill patternType="solid">
        <fgColor rgb="FFFFF0D4"/>
        <bgColor indexed="64"/>
      </patternFill>
    </fill>
    <fill>
      <patternFill patternType="solid">
        <fgColor rgb="FF13617A"/>
        <bgColor indexed="64"/>
      </patternFill>
    </fill>
    <fill>
      <patternFill patternType="solid">
        <fgColor rgb="FFF0F7F9"/>
        <bgColor indexed="64"/>
      </patternFill>
    </fill>
    <fill>
      <patternFill patternType="solid">
        <fgColor rgb="FFDFF3EC"/>
        <bgColor indexed="64"/>
      </patternFill>
    </fill>
    <fill>
      <patternFill patternType="solid">
        <fgColor rgb="FFFFF0CA"/>
        <bgColor indexed="64"/>
      </patternFill>
    </fill>
    <fill>
      <patternFill patternType="solid">
        <fgColor rgb="FFCDECE1"/>
        <bgColor indexed="64"/>
      </patternFill>
    </fill>
    <fill>
      <patternFill patternType="solid">
        <fgColor rgb="FFD8EBF5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8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9" borderId="4" applyNumberFormat="0" applyAlignment="0" applyProtection="0">
      <alignment vertical="center"/>
    </xf>
    <xf numFmtId="0" fontId="22" fillId="20" borderId="5" applyNumberFormat="0" applyAlignment="0" applyProtection="0">
      <alignment vertical="center"/>
    </xf>
    <xf numFmtId="0" fontId="23" fillId="20" borderId="4" applyNumberFormat="0" applyAlignment="0" applyProtection="0">
      <alignment vertical="center"/>
    </xf>
    <xf numFmtId="0" fontId="24" fillId="21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178" fontId="0" fillId="0" borderId="0" xfId="0" applyNumberFormat="1" applyFont="1" applyFill="1" applyBorder="1"/>
    <xf numFmtId="0" fontId="4" fillId="0" borderId="0" xfId="0" applyNumberFormat="1" applyFont="1" applyFill="1" applyBorder="1"/>
    <xf numFmtId="10" fontId="4" fillId="0" borderId="0" xfId="0" applyNumberFormat="1" applyFont="1" applyFill="1" applyBorder="1"/>
    <xf numFmtId="179" fontId="0" fillId="0" borderId="0" xfId="0" applyNumberFormat="1" applyFont="1" applyFill="1" applyBorder="1"/>
    <xf numFmtId="179" fontId="5" fillId="0" borderId="0" xfId="0" applyNumberFormat="1" applyFont="1" applyFill="1" applyBorder="1"/>
    <xf numFmtId="179" fontId="4" fillId="0" borderId="0" xfId="0" applyNumberFormat="1" applyFont="1" applyFill="1" applyBorder="1"/>
    <xf numFmtId="10" fontId="0" fillId="0" borderId="0" xfId="0" applyNumberFormat="1" applyFont="1" applyFill="1" applyBorder="1"/>
    <xf numFmtId="178" fontId="6" fillId="4" borderId="0" xfId="0" applyNumberFormat="1" applyFont="1" applyFill="1" applyBorder="1"/>
    <xf numFmtId="0" fontId="0" fillId="5" borderId="0" xfId="0" applyNumberFormat="1" applyFont="1" applyFill="1" applyBorder="1"/>
    <xf numFmtId="180" fontId="7" fillId="6" borderId="0" xfId="0" applyNumberFormat="1" applyFont="1" applyFill="1" applyBorder="1" applyAlignment="1">
      <alignment horizontal="center"/>
    </xf>
    <xf numFmtId="181" fontId="7" fillId="6" borderId="0" xfId="0" applyNumberFormat="1" applyFont="1" applyFill="1" applyBorder="1" applyAlignment="1">
      <alignment horizontal="center"/>
    </xf>
    <xf numFmtId="0" fontId="3" fillId="7" borderId="0" xfId="0" applyNumberFormat="1" applyFont="1" applyFill="1" applyBorder="1" applyAlignment="1">
      <alignment wrapText="1"/>
    </xf>
    <xf numFmtId="179" fontId="8" fillId="0" borderId="0" xfId="0" applyNumberFormat="1" applyFont="1" applyFill="1" applyBorder="1"/>
    <xf numFmtId="0" fontId="9" fillId="3" borderId="0" xfId="0" applyNumberFormat="1" applyFont="1" applyFill="1" applyBorder="1"/>
    <xf numFmtId="179" fontId="9" fillId="3" borderId="0" xfId="0" applyNumberFormat="1" applyFont="1" applyFill="1" applyBorder="1"/>
    <xf numFmtId="182" fontId="0" fillId="0" borderId="0" xfId="0" applyNumberFormat="1" applyFont="1" applyFill="1" applyBorder="1"/>
    <xf numFmtId="0" fontId="10" fillId="8" borderId="0" xfId="0" applyNumberFormat="1" applyFont="1" applyFill="1" applyBorder="1"/>
    <xf numFmtId="183" fontId="0" fillId="8" borderId="0" xfId="0" applyNumberFormat="1" applyFont="1" applyFill="1" applyBorder="1"/>
    <xf numFmtId="0" fontId="10" fillId="9" borderId="0" xfId="0" applyNumberFormat="1" applyFont="1" applyFill="1" applyBorder="1"/>
    <xf numFmtId="183" fontId="0" fillId="9" borderId="0" xfId="0" applyNumberFormat="1" applyFont="1" applyFill="1" applyBorder="1"/>
    <xf numFmtId="0" fontId="10" fillId="10" borderId="0" xfId="0" applyNumberFormat="1" applyFont="1" applyFill="1" applyBorder="1"/>
    <xf numFmtId="183" fontId="0" fillId="10" borderId="0" xfId="0" applyNumberFormat="1" applyFont="1" applyFill="1" applyBorder="1"/>
    <xf numFmtId="0" fontId="3" fillId="7" borderId="0" xfId="0" applyNumberFormat="1" applyFont="1" applyFill="1" applyBorder="1"/>
    <xf numFmtId="0" fontId="3" fillId="11" borderId="0" xfId="0" applyNumberFormat="1" applyFont="1" applyFill="1" applyBorder="1" applyAlignment="1">
      <alignment horizontal="center" vertical="center" wrapText="1"/>
    </xf>
    <xf numFmtId="179" fontId="0" fillId="12" borderId="0" xfId="0" applyNumberFormat="1" applyFont="1" applyFill="1" applyBorder="1"/>
    <xf numFmtId="180" fontId="8" fillId="12" borderId="0" xfId="0" applyNumberFormat="1" applyFont="1" applyFill="1" applyBorder="1"/>
    <xf numFmtId="183" fontId="0" fillId="13" borderId="0" xfId="0" applyNumberFormat="1" applyFont="1" applyFill="1" applyBorder="1"/>
    <xf numFmtId="183" fontId="0" fillId="14" borderId="0" xfId="0" applyNumberFormat="1" applyFont="1" applyFill="1" applyBorder="1"/>
    <xf numFmtId="179" fontId="8" fillId="13" borderId="0" xfId="0" applyNumberFormat="1" applyFont="1" applyFill="1" applyBorder="1"/>
    <xf numFmtId="179" fontId="0" fillId="13" borderId="0" xfId="0" applyNumberFormat="1" applyFont="1" applyFill="1" applyBorder="1"/>
    <xf numFmtId="180" fontId="8" fillId="13" borderId="0" xfId="0" applyNumberFormat="1" applyFont="1" applyFill="1" applyBorder="1"/>
    <xf numFmtId="183" fontId="0" fillId="15" borderId="0" xfId="0" applyNumberFormat="1" applyFont="1" applyFill="1" applyBorder="1"/>
    <xf numFmtId="183" fontId="0" fillId="0" borderId="0" xfId="0" applyNumberFormat="1" applyFont="1" applyFill="1" applyBorder="1"/>
    <xf numFmtId="182" fontId="9" fillId="3" borderId="0" xfId="0" applyNumberFormat="1" applyFont="1" applyFill="1" applyBorder="1"/>
    <xf numFmtId="179" fontId="11" fillId="16" borderId="0" xfId="0" applyNumberFormat="1" applyFont="1" applyFill="1" applyBorder="1"/>
    <xf numFmtId="0" fontId="11" fillId="16" borderId="0" xfId="0" applyNumberFormat="1" applyFont="1" applyFill="1" applyBorder="1"/>
    <xf numFmtId="183" fontId="11" fillId="16" borderId="0" xfId="0" applyNumberFormat="1" applyFont="1" applyFill="1" applyBorder="1"/>
    <xf numFmtId="0" fontId="0" fillId="17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pane ySplit="1" topLeftCell="A2" activePane="bottomLeft" state="frozen"/>
      <selection/>
      <selection pane="bottomLeft" activeCell="A1" sqref="A1:G1"/>
    </sheetView>
  </sheetViews>
  <sheetFormatPr defaultColWidth="9" defaultRowHeight="16.8" outlineLevelCol="6"/>
  <cols>
    <col min="1" max="1" width="11" customWidth="1"/>
    <col min="2" max="2" width="24" customWidth="1"/>
    <col min="3" max="3" width="77" customWidth="1"/>
    <col min="4" max="4" width="52" customWidth="1"/>
    <col min="5" max="5" width="68" customWidth="1"/>
    <col min="6" max="7" width="10" customWidth="1"/>
  </cols>
  <sheetData>
    <row r="1" ht="34" customHeight="1" spans="1:7">
      <c r="A1" s="1" t="s">
        <v>0</v>
      </c>
      <c r="B1" s="1"/>
      <c r="C1" s="1"/>
      <c r="D1" s="1"/>
      <c r="E1" s="1"/>
      <c r="F1" s="1"/>
      <c r="G1" s="1"/>
    </row>
    <row r="2" ht="28" customHeight="1" spans="1:7">
      <c r="A2" s="2" t="s">
        <v>1</v>
      </c>
      <c r="B2" s="2"/>
      <c r="C2" s="2"/>
      <c r="D2" s="2"/>
      <c r="E2" s="2"/>
      <c r="F2" s="2"/>
      <c r="G2" s="2"/>
    </row>
    <row r="4" ht="32" customHeight="1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7</v>
      </c>
    </row>
    <row r="5" ht="47" customHeight="1" spans="1:7">
      <c r="A5" t="s">
        <v>8</v>
      </c>
      <c r="B5" t="s">
        <v>9</v>
      </c>
      <c r="C5" s="4" t="s">
        <v>10</v>
      </c>
      <c r="D5" s="4" t="s">
        <v>11</v>
      </c>
      <c r="E5" s="4" t="s">
        <v>12</v>
      </c>
      <c r="F5" t="s">
        <v>7</v>
      </c>
      <c r="G5" t="s">
        <v>7</v>
      </c>
    </row>
    <row r="6" ht="47" customHeight="1" spans="1:7">
      <c r="A6" t="s">
        <v>13</v>
      </c>
      <c r="B6" t="s">
        <v>14</v>
      </c>
      <c r="C6" s="4" t="s">
        <v>15</v>
      </c>
      <c r="D6" s="4" t="s">
        <v>16</v>
      </c>
      <c r="E6" s="4" t="s">
        <v>17</v>
      </c>
      <c r="F6" t="s">
        <v>7</v>
      </c>
      <c r="G6" t="s">
        <v>7</v>
      </c>
    </row>
    <row r="7" ht="47" customHeight="1" spans="1:7">
      <c r="A7" t="s">
        <v>18</v>
      </c>
      <c r="B7" t="s">
        <v>19</v>
      </c>
      <c r="C7" s="4" t="s">
        <v>20</v>
      </c>
      <c r="D7" s="4" t="s">
        <v>21</v>
      </c>
      <c r="E7" s="4" t="s">
        <v>22</v>
      </c>
      <c r="F7" t="s">
        <v>7</v>
      </c>
      <c r="G7" t="s">
        <v>7</v>
      </c>
    </row>
    <row r="8" ht="47" customHeight="1" spans="1:7">
      <c r="A8" t="s">
        <v>23</v>
      </c>
      <c r="B8" t="s">
        <v>24</v>
      </c>
      <c r="C8" s="4" t="s">
        <v>25</v>
      </c>
      <c r="D8" s="4" t="s">
        <v>26</v>
      </c>
      <c r="E8" s="4" t="s">
        <v>27</v>
      </c>
      <c r="F8" t="s">
        <v>7</v>
      </c>
      <c r="G8" t="s">
        <v>7</v>
      </c>
    </row>
    <row r="9" ht="47" customHeight="1" spans="1:7">
      <c r="A9" t="s">
        <v>28</v>
      </c>
      <c r="B9" t="s">
        <v>29</v>
      </c>
      <c r="C9" s="4" t="s">
        <v>30</v>
      </c>
      <c r="D9" s="4" t="s">
        <v>31</v>
      </c>
      <c r="E9" s="4" t="s">
        <v>32</v>
      </c>
      <c r="F9" t="s">
        <v>7</v>
      </c>
      <c r="G9" t="s">
        <v>7</v>
      </c>
    </row>
    <row r="10" ht="47" customHeight="1" spans="1:7">
      <c r="A10" t="s">
        <v>33</v>
      </c>
      <c r="B10" t="s">
        <v>34</v>
      </c>
      <c r="C10" s="4" t="s">
        <v>35</v>
      </c>
      <c r="D10" s="4" t="s">
        <v>36</v>
      </c>
      <c r="E10" s="4" t="s">
        <v>37</v>
      </c>
      <c r="F10" t="s">
        <v>7</v>
      </c>
      <c r="G10" t="s">
        <v>7</v>
      </c>
    </row>
    <row r="11" ht="47" customHeight="1" spans="1:7">
      <c r="A11" t="s">
        <v>38</v>
      </c>
      <c r="B11" t="s">
        <v>39</v>
      </c>
      <c r="C11" s="4" t="s">
        <v>40</v>
      </c>
      <c r="D11" s="4" t="s">
        <v>41</v>
      </c>
      <c r="E11" s="4" t="s">
        <v>42</v>
      </c>
      <c r="F11" t="s">
        <v>7</v>
      </c>
      <c r="G11" t="s">
        <v>7</v>
      </c>
    </row>
    <row r="13" spans="1:7">
      <c r="B13" t="s">
        <v>43</v>
      </c>
    </row>
    <row r="14" ht="32" customHeight="1" spans="1:7">
      <c r="A14" s="3" t="s">
        <v>44</v>
      </c>
      <c r="B14" s="3" t="s">
        <v>45</v>
      </c>
      <c r="C14" s="3" t="s">
        <v>46</v>
      </c>
      <c r="D14" s="3" t="s">
        <v>7</v>
      </c>
    </row>
    <row r="15" spans="1:7">
      <c r="A15" t="s">
        <v>47</v>
      </c>
      <c r="B15" t="s">
        <v>48</v>
      </c>
      <c r="C15" t="s">
        <v>49</v>
      </c>
      <c r="D15" t="s">
        <v>7</v>
      </c>
    </row>
    <row r="16" spans="1:7">
      <c r="A16" t="s">
        <v>50</v>
      </c>
      <c r="B16" t="s">
        <v>51</v>
      </c>
      <c r="C16" t="s">
        <v>52</v>
      </c>
      <c r="D16" t="s">
        <v>7</v>
      </c>
    </row>
    <row r="17" spans="1:5">
      <c r="A17" t="s">
        <v>53</v>
      </c>
      <c r="B17" t="s">
        <v>54</v>
      </c>
      <c r="C17" t="s">
        <v>55</v>
      </c>
      <c r="D17" t="s">
        <v>7</v>
      </c>
    </row>
    <row r="20" ht="32" customHeight="1" spans="1:5">
      <c r="A20" s="3" t="s">
        <v>56</v>
      </c>
      <c r="B20" s="3" t="s">
        <v>57</v>
      </c>
      <c r="C20" s="3" t="s">
        <v>7</v>
      </c>
    </row>
    <row r="21" spans="1:5">
      <c r="A21" t="s">
        <v>58</v>
      </c>
      <c r="B21" t="s">
        <v>59</v>
      </c>
      <c r="C21" t="s">
        <v>60</v>
      </c>
    </row>
    <row r="23" ht="32" customHeight="1" spans="1:5">
      <c r="A23" s="42" t="s">
        <v>61</v>
      </c>
      <c r="B23" s="42" t="s">
        <v>62</v>
      </c>
      <c r="C23" s="42" t="s">
        <v>63</v>
      </c>
      <c r="D23" s="42" t="s">
        <v>64</v>
      </c>
      <c r="E23" s="42" t="s">
        <v>65</v>
      </c>
    </row>
    <row r="24" ht="32" customHeight="1" spans="1:5">
      <c r="A24" s="4" t="s">
        <v>61</v>
      </c>
      <c r="B24" s="4" t="s">
        <v>66</v>
      </c>
      <c r="C24" s="4" t="s">
        <v>67</v>
      </c>
      <c r="D24" s="4" t="s">
        <v>68</v>
      </c>
      <c r="E24" s="4" t="s">
        <v>69</v>
      </c>
    </row>
    <row r="25" ht="32" customHeight="1" spans="1:5">
      <c r="A25" s="4" t="s">
        <v>61</v>
      </c>
      <c r="B25" s="4" t="s">
        <v>70</v>
      </c>
      <c r="C25" s="4" t="s">
        <v>71</v>
      </c>
      <c r="D25" s="4" t="s">
        <v>72</v>
      </c>
      <c r="E25" s="4" t="s">
        <v>73</v>
      </c>
    </row>
    <row r="26" ht="32" customHeight="1" spans="1:5">
      <c r="A26" s="4" t="s">
        <v>61</v>
      </c>
      <c r="B26" s="4" t="s">
        <v>74</v>
      </c>
      <c r="C26" s="4" t="s">
        <v>75</v>
      </c>
      <c r="D26" s="4" t="s">
        <v>76</v>
      </c>
      <c r="E26" s="4" t="s">
        <v>77</v>
      </c>
    </row>
  </sheetData>
  <mergeCells count="2">
    <mergeCell ref="A1:G1"/>
    <mergeCell ref="A2:G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topLeftCell="K1" workbookViewId="0">
      <pane ySplit="4" topLeftCell="A5" activePane="bottomLeft" state="frozen"/>
      <selection/>
      <selection pane="bottomLeft" activeCell="L5" sqref="L5"/>
    </sheetView>
  </sheetViews>
  <sheetFormatPr defaultColWidth="9" defaultRowHeight="16.8"/>
  <cols>
    <col min="1" max="1" width="13" customWidth="1"/>
    <col min="2" max="2" width="43" customWidth="1"/>
    <col min="3" max="4" width="24" customWidth="1"/>
    <col min="5" max="5" width="23" customWidth="1"/>
    <col min="6" max="6" width="34" customWidth="1"/>
    <col min="7" max="7" width="23" customWidth="1"/>
    <col min="8" max="8" width="28" customWidth="1"/>
    <col min="9" max="9" width="27" customWidth="1"/>
    <col min="10" max="10" width="24" customWidth="1"/>
    <col min="11" max="11" width="26" customWidth="1"/>
    <col min="12" max="14" width="22" customWidth="1"/>
    <col min="15" max="15" width="24" customWidth="1"/>
    <col min="16" max="16" width="22" customWidth="1"/>
    <col min="17" max="17" width="24" customWidth="1"/>
  </cols>
  <sheetData>
    <row r="1" ht="34" customHeight="1" spans="1:17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7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2" customHeight="1" spans="1:17">
      <c r="L3" s="27" t="s">
        <v>80</v>
      </c>
      <c r="M3" s="27"/>
      <c r="N3" s="27"/>
      <c r="O3" s="27"/>
      <c r="P3" s="27"/>
      <c r="Q3" s="27"/>
    </row>
    <row r="4" ht="48" customHeight="1" spans="1:17">
      <c r="A4" s="3" t="s">
        <v>81</v>
      </c>
      <c r="B4" s="3" t="s">
        <v>82</v>
      </c>
      <c r="C4" s="3" t="s">
        <v>83</v>
      </c>
      <c r="D4" s="3" t="s">
        <v>84</v>
      </c>
      <c r="E4" s="3" t="s">
        <v>85</v>
      </c>
      <c r="F4" s="3" t="s">
        <v>86</v>
      </c>
      <c r="G4" s="3" t="s">
        <v>87</v>
      </c>
      <c r="H4" s="3" t="s">
        <v>88</v>
      </c>
      <c r="I4" s="3" t="s">
        <v>89</v>
      </c>
      <c r="J4" s="3" t="s">
        <v>90</v>
      </c>
      <c r="K4" s="3" t="s">
        <v>91</v>
      </c>
      <c r="L4" s="28" t="s">
        <v>92</v>
      </c>
      <c r="M4" s="28" t="s">
        <v>93</v>
      </c>
      <c r="N4" s="28" t="s">
        <v>94</v>
      </c>
      <c r="O4" s="28" t="s">
        <v>95</v>
      </c>
      <c r="P4" s="28" t="s">
        <v>96</v>
      </c>
      <c r="Q4" s="28" t="s">
        <v>97</v>
      </c>
    </row>
    <row r="5" spans="1:17">
      <c r="A5" t="s">
        <v>98</v>
      </c>
      <c r="B5" t="s">
        <v>99</v>
      </c>
      <c r="C5" s="20">
        <f>IFERROR(_xlfn.XLOOKUP(A5,'DATA QCEW'!$A$2:$A$20,'DATA QCEW'!$C$2:$C$20)/1000000000,"")</f>
        <v>60.088224865</v>
      </c>
      <c r="D5" s="20">
        <f>SUMIF('DATA OEWS'!$A$2:$A$7806,A5,'DATA OEWS'!$G$2:$G$7806)/1000000000</f>
        <v>18.0241286</v>
      </c>
      <c r="E5" s="20">
        <f>SUMIF('DATA OEWS'!$A$2:$A$7806,A5,'DATA OEWS'!$I$2:$I$7806)/1000000000</f>
        <v>17.9009328</v>
      </c>
      <c r="F5" s="20">
        <f>SUMIF('DATA OEWS'!$A$2:$A$7806,A5,'DATA OEWS'!$J$2:$J$7806)/1000000000</f>
        <v>3.24568953574</v>
      </c>
      <c r="G5" s="5">
        <f t="shared" ref="G5:G23" si="0">IF(D5=0,"",E5/D5)</f>
        <v>0.993164951120022</v>
      </c>
      <c r="H5" s="5">
        <f t="shared" ref="H5:H23" si="1">IF(E5=0,"",F5/E5)</f>
        <v>0.181313989164855</v>
      </c>
      <c r="I5" s="20">
        <f t="shared" ref="I5:I23" si="2">IF(OR(C5="",H5=""),"",C5*H5)</f>
        <v>10.894835752108</v>
      </c>
      <c r="J5" s="5">
        <f>IFERROR(_xlfn.XLOOKUP(A5,'DATA Census'!$A$2:$A$20,'DATA Census'!$C$2:$C$20),"")</f>
        <v>0.095</v>
      </c>
      <c r="K5" s="20">
        <f t="shared" ref="K5:K23" si="3">IF(OR(I5="",J5=""),"",I5*J5)</f>
        <v>1.03500939645026</v>
      </c>
      <c r="L5" s="33">
        <f>IFERROR(_xlfn.XLOOKUP(A5,'DATA QCEW'!$A$2:$A$20,'DATA QCEW'!$F$2:$F$20),"")</f>
        <v>1231078</v>
      </c>
      <c r="M5" s="34">
        <f t="shared" ref="M5:M23" si="4">IF(OR(L5="",H5=""),"",L5*H5)</f>
        <v>223211.663153091</v>
      </c>
      <c r="N5" s="35">
        <f>'Projection Assumptions'!$C$9</f>
        <v>30</v>
      </c>
      <c r="O5" s="36">
        <f t="shared" ref="O5:O23" si="5">IF(OR(M5="",N5=""),"",M5*N5*12/1000000000)</f>
        <v>0.0803561987351129</v>
      </c>
      <c r="P5" s="34">
        <f t="shared" ref="P5:P23" si="6">IF(OR(M5="",J5=""),"",M5*J5)</f>
        <v>21205.1079995437</v>
      </c>
      <c r="Q5" s="32">
        <f t="shared" ref="Q5:Q23" si="7">IF(OR(P5="",N5=""),"",P5*N5*12/1000000000)</f>
        <v>0.00763383887983573</v>
      </c>
    </row>
    <row r="6" spans="1:17">
      <c r="A6" t="s">
        <v>100</v>
      </c>
      <c r="B6" t="s">
        <v>101</v>
      </c>
      <c r="C6" s="20">
        <f>IFERROR(_xlfn.XLOOKUP(A6,'DATA QCEW'!$A$2:$A$20,'DATA QCEW'!$C$2:$C$20)/1000000000,"")</f>
        <v>76.216722054</v>
      </c>
      <c r="D6" s="20">
        <f>SUMIF('DATA OEWS'!$A$2:$A$7806,A6,'DATA OEWS'!$G$2:$G$7806)/1000000000</f>
        <v>46.7185408</v>
      </c>
      <c r="E6" s="20">
        <f>SUMIF('DATA OEWS'!$A$2:$A$7806,A6,'DATA OEWS'!$I$2:$I$7806)/1000000000</f>
        <v>46.1565432</v>
      </c>
      <c r="F6" s="20">
        <f>SUMIF('DATA OEWS'!$A$2:$A$7806,A6,'DATA OEWS'!$J$2:$J$7806)/1000000000</f>
        <v>13.39759813915</v>
      </c>
      <c r="G6" s="5">
        <f t="shared" si="0"/>
        <v>0.987970566066995</v>
      </c>
      <c r="H6" s="5">
        <f t="shared" si="1"/>
        <v>0.290264331128463</v>
      </c>
      <c r="I6" s="20">
        <f t="shared" si="2"/>
        <v>22.1229958478083</v>
      </c>
      <c r="J6" s="5">
        <f>IFERROR(_xlfn.XLOOKUP(A6,'DATA Census'!$A$2:$A$20,'DATA Census'!$C$2:$C$20),"")</f>
        <v>0.13</v>
      </c>
      <c r="K6" s="20">
        <f t="shared" si="3"/>
        <v>2.87598946021508</v>
      </c>
      <c r="L6" s="33">
        <f>IFERROR(_xlfn.XLOOKUP(A6,'DATA QCEW'!$A$2:$A$20,'DATA QCEW'!$F$2:$F$20),"")</f>
        <v>570806</v>
      </c>
      <c r="M6" s="34">
        <f t="shared" si="4"/>
        <v>165684.621794113</v>
      </c>
      <c r="N6" s="35">
        <f>'Projection Assumptions'!$C$9</f>
        <v>30</v>
      </c>
      <c r="O6" s="36">
        <f t="shared" si="5"/>
        <v>0.0596464638458808</v>
      </c>
      <c r="P6" s="34">
        <f t="shared" si="6"/>
        <v>21539.0008332347</v>
      </c>
      <c r="Q6" s="32">
        <f t="shared" si="7"/>
        <v>0.00775404029996451</v>
      </c>
    </row>
    <row r="7" spans="1:17">
      <c r="A7" t="s">
        <v>102</v>
      </c>
      <c r="B7" t="s">
        <v>103</v>
      </c>
      <c r="C7" s="20">
        <f>IFERROR(_xlfn.XLOOKUP(A7,'DATA QCEW'!$A$2:$A$20,'DATA QCEW'!$C$2:$C$20)/1000000000,"")</f>
        <v>85.024861666</v>
      </c>
      <c r="D7" s="20">
        <f>SUMIF('DATA OEWS'!$A$2:$A$7806,A7,'DATA OEWS'!$G$2:$G$7806)/1000000000</f>
        <v>61.892073</v>
      </c>
      <c r="E7" s="20">
        <f>SUMIF('DATA OEWS'!$A$2:$A$7806,A7,'DATA OEWS'!$I$2:$I$7806)/1000000000</f>
        <v>61.6300773</v>
      </c>
      <c r="F7" s="20">
        <f>SUMIF('DATA OEWS'!$A$2:$A$7806,A7,'DATA OEWS'!$J$2:$J$7806)/1000000000</f>
        <v>22.58431696119</v>
      </c>
      <c r="G7" s="5">
        <f t="shared" si="0"/>
        <v>0.995766894089975</v>
      </c>
      <c r="H7" s="5">
        <f t="shared" si="1"/>
        <v>0.366449596537988</v>
      </c>
      <c r="I7" s="20">
        <f t="shared" si="2"/>
        <v>31.1573262532039</v>
      </c>
      <c r="J7" s="5">
        <f>IFERROR(_xlfn.XLOOKUP(A7,'DATA Census'!$A$2:$A$20,'DATA Census'!$C$2:$C$20),"")</f>
        <v>0.167</v>
      </c>
      <c r="K7" s="20">
        <f t="shared" si="3"/>
        <v>5.20327348428505</v>
      </c>
      <c r="L7" s="33">
        <f>IFERROR(_xlfn.XLOOKUP(A7,'DATA QCEW'!$A$2:$A$20,'DATA QCEW'!$F$2:$F$20),"")</f>
        <v>602080</v>
      </c>
      <c r="M7" s="34">
        <f t="shared" si="4"/>
        <v>220631.973083592</v>
      </c>
      <c r="N7" s="35">
        <f>'Projection Assumptions'!$C$9</f>
        <v>30</v>
      </c>
      <c r="O7" s="36">
        <f t="shared" si="5"/>
        <v>0.079427510310093</v>
      </c>
      <c r="P7" s="34">
        <f t="shared" si="6"/>
        <v>36845.5395049598</v>
      </c>
      <c r="Q7" s="32">
        <f t="shared" si="7"/>
        <v>0.0132643942217855</v>
      </c>
    </row>
    <row r="8" spans="1:17">
      <c r="A8" t="s">
        <v>104</v>
      </c>
      <c r="B8" t="s">
        <v>105</v>
      </c>
      <c r="C8" s="20">
        <f>IFERROR(_xlfn.XLOOKUP(A8,'DATA QCEW'!$A$2:$A$20,'DATA QCEW'!$C$2:$C$20)/1000000000,"")</f>
        <v>699.896249139</v>
      </c>
      <c r="D8" s="20">
        <f>SUMIF('DATA OEWS'!$A$2:$A$7806,A8,'DATA OEWS'!$G$2:$G$7806)/1000000000</f>
        <v>598.1219247</v>
      </c>
      <c r="E8" s="20">
        <f>SUMIF('DATA OEWS'!$A$2:$A$7806,A8,'DATA OEWS'!$I$2:$I$7806)/1000000000</f>
        <v>596.2757738</v>
      </c>
      <c r="F8" s="20">
        <f>SUMIF('DATA OEWS'!$A$2:$A$7806,A8,'DATA OEWS'!$J$2:$J$7806)/1000000000</f>
        <v>158.59374478674</v>
      </c>
      <c r="G8" s="5">
        <f t="shared" si="0"/>
        <v>0.996913420451982</v>
      </c>
      <c r="H8" s="5">
        <f t="shared" si="1"/>
        <v>0.265973819087164</v>
      </c>
      <c r="I8" s="20">
        <f t="shared" si="2"/>
        <v>186.154078348281</v>
      </c>
      <c r="J8" s="5">
        <f>IFERROR(_xlfn.XLOOKUP(A8,'DATA Census'!$A$2:$A$20,'DATA Census'!$C$2:$C$20),"")</f>
        <v>0.172</v>
      </c>
      <c r="K8" s="20">
        <f t="shared" si="3"/>
        <v>32.0185014759043</v>
      </c>
      <c r="L8" s="33">
        <f>IFERROR(_xlfn.XLOOKUP(A8,'DATA QCEW'!$A$2:$A$20,'DATA QCEW'!$F$2:$F$20),"")</f>
        <v>8251002</v>
      </c>
      <c r="M8" s="34">
        <f t="shared" si="4"/>
        <v>2194550.51323583</v>
      </c>
      <c r="N8" s="35">
        <f>'Projection Assumptions'!$C$9</f>
        <v>30</v>
      </c>
      <c r="O8" s="36">
        <f t="shared" si="5"/>
        <v>0.790038184764898</v>
      </c>
      <c r="P8" s="34">
        <f t="shared" si="6"/>
        <v>377462.688276562</v>
      </c>
      <c r="Q8" s="32">
        <f t="shared" si="7"/>
        <v>0.135886567779562</v>
      </c>
    </row>
    <row r="9" spans="1:17">
      <c r="A9" t="s">
        <v>106</v>
      </c>
      <c r="B9" t="s">
        <v>107</v>
      </c>
      <c r="C9" s="20">
        <f>IFERROR(_xlfn.XLOOKUP(A9,'DATA QCEW'!$A$2:$A$20,'DATA QCEW'!$C$2:$C$20)/1000000000,"")</f>
        <v>1125.542676332</v>
      </c>
      <c r="D9" s="20">
        <f>SUMIF('DATA OEWS'!$A$2:$A$7806,A9,'DATA OEWS'!$G$2:$G$7806)/1000000000</f>
        <v>874.4935248</v>
      </c>
      <c r="E9" s="20">
        <f>SUMIF('DATA OEWS'!$A$2:$A$7806,A9,'DATA OEWS'!$I$2:$I$7806)/1000000000</f>
        <v>864.0666109</v>
      </c>
      <c r="F9" s="20">
        <f>SUMIF('DATA OEWS'!$A$2:$A$7806,A9,'DATA OEWS'!$J$2:$J$7806)/1000000000</f>
        <v>286.93930602096</v>
      </c>
      <c r="G9" s="5">
        <f t="shared" si="0"/>
        <v>0.988076625378805</v>
      </c>
      <c r="H9" s="5">
        <f t="shared" si="1"/>
        <v>0.332080076236354</v>
      </c>
      <c r="I9" s="20">
        <f t="shared" si="2"/>
        <v>373.7702977636</v>
      </c>
      <c r="J9" s="5">
        <f>IFERROR(_xlfn.XLOOKUP(A9,'DATA Census'!$A$2:$A$20,'DATA Census'!$C$2:$C$20),"")</f>
        <v>0.208</v>
      </c>
      <c r="K9" s="20">
        <f t="shared" si="3"/>
        <v>77.7442219348289</v>
      </c>
      <c r="L9" s="33">
        <f>IFERROR(_xlfn.XLOOKUP(A9,'DATA QCEW'!$A$2:$A$20,'DATA QCEW'!$F$2:$F$20),"")</f>
        <v>12579906</v>
      </c>
      <c r="M9" s="34">
        <f t="shared" si="4"/>
        <v>4177536.14352617</v>
      </c>
      <c r="N9" s="35">
        <f>'Projection Assumptions'!$C$9</f>
        <v>30</v>
      </c>
      <c r="O9" s="36">
        <f t="shared" si="5"/>
        <v>1.50391301166942</v>
      </c>
      <c r="P9" s="34">
        <f t="shared" si="6"/>
        <v>868927.517853442</v>
      </c>
      <c r="Q9" s="32">
        <f t="shared" si="7"/>
        <v>0.312813906427239</v>
      </c>
    </row>
    <row r="10" spans="1:17">
      <c r="A10" t="s">
        <v>108</v>
      </c>
      <c r="B10" t="s">
        <v>109</v>
      </c>
      <c r="C10" s="20">
        <f>IFERROR(_xlfn.XLOOKUP(A10,'DATA QCEW'!$A$2:$A$20,'DATA QCEW'!$C$2:$C$20)/1000000000,"")</f>
        <v>638.878973832</v>
      </c>
      <c r="D10" s="20">
        <f>SUMIF('DATA OEWS'!$A$2:$A$7806,A10,'DATA OEWS'!$G$2:$G$7806)/1000000000</f>
        <v>458.1548422</v>
      </c>
      <c r="E10" s="20">
        <f>SUMIF('DATA OEWS'!$A$2:$A$7806,A10,'DATA OEWS'!$I$2:$I$7806)/1000000000</f>
        <v>455.3752298</v>
      </c>
      <c r="F10" s="20">
        <f>SUMIF('DATA OEWS'!$A$2:$A$7806,A10,'DATA OEWS'!$J$2:$J$7806)/1000000000</f>
        <v>210.41317116622</v>
      </c>
      <c r="G10" s="5">
        <f t="shared" si="0"/>
        <v>0.993933028434988</v>
      </c>
      <c r="H10" s="5">
        <f t="shared" si="1"/>
        <v>0.462065473474772</v>
      </c>
      <c r="I10" s="20">
        <f t="shared" si="2"/>
        <v>295.203915536759</v>
      </c>
      <c r="J10" s="5">
        <f>IFERROR(_xlfn.XLOOKUP(A10,'DATA Census'!$A$2:$A$20,'DATA Census'!$C$2:$C$20),"")</f>
        <v>0.216</v>
      </c>
      <c r="K10" s="20">
        <f t="shared" si="3"/>
        <v>63.76404575594</v>
      </c>
      <c r="L10" s="33">
        <f>IFERROR(_xlfn.XLOOKUP(A10,'DATA QCEW'!$A$2:$A$20,'DATA QCEW'!$F$2:$F$20),"")</f>
        <v>6037213</v>
      </c>
      <c r="M10" s="34">
        <f t="shared" si="4"/>
        <v>2789587.68331305</v>
      </c>
      <c r="N10" s="35">
        <f>'Projection Assumptions'!$C$9</f>
        <v>30</v>
      </c>
      <c r="O10" s="36">
        <f t="shared" si="5"/>
        <v>1.0042515659927</v>
      </c>
      <c r="P10" s="34">
        <f t="shared" si="6"/>
        <v>602550.939595618</v>
      </c>
      <c r="Q10" s="32">
        <f t="shared" si="7"/>
        <v>0.216918338254423</v>
      </c>
    </row>
    <row r="11" spans="1:17">
      <c r="A11" t="s">
        <v>110</v>
      </c>
      <c r="B11" t="s">
        <v>111</v>
      </c>
      <c r="C11" s="20">
        <f>IFERROR(_xlfn.XLOOKUP(A11,'DATA QCEW'!$A$2:$A$20,'DATA QCEW'!$C$2:$C$20)/1000000000,"")</f>
        <v>668.863568474</v>
      </c>
      <c r="D11" s="20">
        <f>SUMIF('DATA OEWS'!$A$2:$A$7806,A11,'DATA OEWS'!$G$2:$G$7806)/1000000000</f>
        <v>693.0297579</v>
      </c>
      <c r="E11" s="20">
        <f>SUMIF('DATA OEWS'!$A$2:$A$7806,A11,'DATA OEWS'!$I$2:$I$7806)/1000000000</f>
        <v>689.4455119</v>
      </c>
      <c r="F11" s="20">
        <f>SUMIF('DATA OEWS'!$A$2:$A$7806,A11,'DATA OEWS'!$J$2:$J$7806)/1000000000</f>
        <v>302.19336227755</v>
      </c>
      <c r="G11" s="5">
        <f t="shared" si="0"/>
        <v>0.994828149932752</v>
      </c>
      <c r="H11" s="5">
        <f t="shared" si="1"/>
        <v>0.438313626039503</v>
      </c>
      <c r="I11" s="20">
        <f t="shared" si="2"/>
        <v>293.17201602356</v>
      </c>
      <c r="J11" s="5">
        <f>IFERROR(_xlfn.XLOOKUP(A11,'DATA Census'!$A$2:$A$20,'DATA Census'!$C$2:$C$20),"")</f>
        <v>0.168</v>
      </c>
      <c r="K11" s="20">
        <f t="shared" si="3"/>
        <v>49.2528986919581</v>
      </c>
      <c r="L11" s="33">
        <f>IFERROR(_xlfn.XLOOKUP(A11,'DATA QCEW'!$A$2:$A$20,'DATA QCEW'!$F$2:$F$20),"")</f>
        <v>15391082</v>
      </c>
      <c r="M11" s="34">
        <f t="shared" si="4"/>
        <v>6746120.96009132</v>
      </c>
      <c r="N11" s="35">
        <f>'Projection Assumptions'!$C$9</f>
        <v>30</v>
      </c>
      <c r="O11" s="36">
        <f t="shared" si="5"/>
        <v>2.42860354563287</v>
      </c>
      <c r="P11" s="34">
        <f t="shared" si="6"/>
        <v>1133348.32129534</v>
      </c>
      <c r="Q11" s="32">
        <f t="shared" si="7"/>
        <v>0.408005395666323</v>
      </c>
    </row>
    <row r="12" spans="1:17">
      <c r="A12" t="s">
        <v>112</v>
      </c>
      <c r="B12" t="s">
        <v>113</v>
      </c>
      <c r="C12" s="20">
        <f>IFERROR(_xlfn.XLOOKUP(A12,'DATA QCEW'!$A$2:$A$20,'DATA QCEW'!$C$2:$C$20)/1000000000,"")</f>
        <v>455.483942924</v>
      </c>
      <c r="D12" s="20">
        <f>SUMIF('DATA OEWS'!$A$2:$A$7806,A12,'DATA OEWS'!$G$2:$G$7806)/1000000000</f>
        <v>478.8261694</v>
      </c>
      <c r="E12" s="20">
        <f>SUMIF('DATA OEWS'!$A$2:$A$7806,A12,'DATA OEWS'!$I$2:$I$7806)/1000000000</f>
        <v>477.1928756</v>
      </c>
      <c r="F12" s="20">
        <f>SUMIF('DATA OEWS'!$A$2:$A$7806,A12,'DATA OEWS'!$J$2:$J$7806)/1000000000</f>
        <v>157.08134734897</v>
      </c>
      <c r="G12" s="5">
        <f t="shared" si="0"/>
        <v>0.996588962959049</v>
      </c>
      <c r="H12" s="5">
        <f t="shared" si="1"/>
        <v>0.329177897200295</v>
      </c>
      <c r="I12" s="20">
        <f t="shared" si="2"/>
        <v>149.935246540222</v>
      </c>
      <c r="J12" s="5">
        <f>IFERROR(_xlfn.XLOOKUP(A12,'DATA Census'!$A$2:$A$20,'DATA Census'!$C$2:$C$20),"")</f>
        <v>0.105</v>
      </c>
      <c r="K12" s="20">
        <f t="shared" si="3"/>
        <v>15.7432008867233</v>
      </c>
      <c r="L12" s="33">
        <f>IFERROR(_xlfn.XLOOKUP(A12,'DATA QCEW'!$A$2:$A$20,'DATA QCEW'!$F$2:$F$20),"")</f>
        <v>6618917</v>
      </c>
      <c r="M12" s="34">
        <f t="shared" si="4"/>
        <v>2178801.17980329</v>
      </c>
      <c r="N12" s="35">
        <f>'Projection Assumptions'!$C$9</f>
        <v>30</v>
      </c>
      <c r="O12" s="36">
        <f t="shared" si="5"/>
        <v>0.784368424729183</v>
      </c>
      <c r="P12" s="34">
        <f t="shared" si="6"/>
        <v>228774.123879345</v>
      </c>
      <c r="Q12" s="32">
        <f t="shared" si="7"/>
        <v>0.0823586845965642</v>
      </c>
    </row>
    <row r="13" spans="1:17">
      <c r="A13" t="s">
        <v>114</v>
      </c>
      <c r="B13" t="s">
        <v>115</v>
      </c>
      <c r="C13" s="20">
        <f>IFERROR(_xlfn.XLOOKUP(A13,'DATA QCEW'!$A$2:$A$20,'DATA QCEW'!$C$2:$C$20)/1000000000,"")</f>
        <v>544.469565204</v>
      </c>
      <c r="D13" s="20">
        <f>SUMIF('DATA OEWS'!$A$2:$A$7806,A13,'DATA OEWS'!$G$2:$G$7806)/1000000000</f>
        <v>323.6261725</v>
      </c>
      <c r="E13" s="20">
        <f>SUMIF('DATA OEWS'!$A$2:$A$7806,A13,'DATA OEWS'!$I$2:$I$7806)/1000000000</f>
        <v>321.6147569</v>
      </c>
      <c r="F13" s="20">
        <f>SUMIF('DATA OEWS'!$A$2:$A$7806,A13,'DATA OEWS'!$J$2:$J$7806)/1000000000</f>
        <v>181.50197051651</v>
      </c>
      <c r="G13" s="5">
        <f t="shared" si="0"/>
        <v>0.993784756083039</v>
      </c>
      <c r="H13" s="5">
        <f t="shared" si="1"/>
        <v>0.564345903359604</v>
      </c>
      <c r="I13" s="20">
        <f t="shared" si="2"/>
        <v>307.269168626862</v>
      </c>
      <c r="J13" s="5">
        <f>IFERROR(_xlfn.XLOOKUP(A13,'DATA Census'!$A$2:$A$20,'DATA Census'!$C$2:$C$20),"")</f>
        <v>0.502</v>
      </c>
      <c r="K13" s="20">
        <f t="shared" si="3"/>
        <v>154.249122650685</v>
      </c>
      <c r="L13" s="33">
        <f>IFERROR(_xlfn.XLOOKUP(A13,'DATA QCEW'!$A$2:$A$20,'DATA QCEW'!$F$2:$F$20),"")</f>
        <v>2850904</v>
      </c>
      <c r="M13" s="34">
        <f t="shared" si="4"/>
        <v>1608895.99327151</v>
      </c>
      <c r="N13" s="35">
        <f>'Projection Assumptions'!$C$9</f>
        <v>30</v>
      </c>
      <c r="O13" s="36">
        <f t="shared" si="5"/>
        <v>0.579202557577743</v>
      </c>
      <c r="P13" s="34">
        <f t="shared" si="6"/>
        <v>807665.788622297</v>
      </c>
      <c r="Q13" s="32">
        <f t="shared" si="7"/>
        <v>0.290759683904027</v>
      </c>
    </row>
    <row r="14" spans="1:17">
      <c r="A14" t="s">
        <v>116</v>
      </c>
      <c r="B14" t="s">
        <v>117</v>
      </c>
      <c r="C14" s="20">
        <f>IFERROR(_xlfn.XLOOKUP(A14,'DATA QCEW'!$A$2:$A$20,'DATA QCEW'!$C$2:$C$20)/1000000000,"")</f>
        <v>966.666752201</v>
      </c>
      <c r="D14" s="20">
        <f>SUMIF('DATA OEWS'!$A$2:$A$7806,A14,'DATA OEWS'!$G$2:$G$7806)/1000000000</f>
        <v>632.3121974</v>
      </c>
      <c r="E14" s="20">
        <f>SUMIF('DATA OEWS'!$A$2:$A$7806,A14,'DATA OEWS'!$I$2:$I$7806)/1000000000</f>
        <v>628.9859789</v>
      </c>
      <c r="F14" s="20">
        <f>SUMIF('DATA OEWS'!$A$2:$A$7806,A14,'DATA OEWS'!$J$2:$J$7806)/1000000000</f>
        <v>426.9912904105</v>
      </c>
      <c r="G14" s="5">
        <f t="shared" si="0"/>
        <v>0.994739594596345</v>
      </c>
      <c r="H14" s="5">
        <f t="shared" si="1"/>
        <v>0.67885661164855</v>
      </c>
      <c r="I14" s="20">
        <f t="shared" si="2"/>
        <v>656.228115992479</v>
      </c>
      <c r="J14" s="5">
        <f>IFERROR(_xlfn.XLOOKUP(A14,'DATA Census'!$A$2:$A$20,'DATA Census'!$C$2:$C$20),"")</f>
        <v>0.401</v>
      </c>
      <c r="K14" s="20">
        <f t="shared" si="3"/>
        <v>263.147474512984</v>
      </c>
      <c r="L14" s="33">
        <f>IFERROR(_xlfn.XLOOKUP(A14,'DATA QCEW'!$A$2:$A$20,'DATA QCEW'!$F$2:$F$20),"")</f>
        <v>6316381</v>
      </c>
      <c r="M14" s="34">
        <f t="shared" si="4"/>
        <v>4287917.00354128</v>
      </c>
      <c r="N14" s="35">
        <f>'Projection Assumptions'!$C$9</f>
        <v>30</v>
      </c>
      <c r="O14" s="36">
        <f t="shared" si="5"/>
        <v>1.54365012127486</v>
      </c>
      <c r="P14" s="34">
        <f t="shared" si="6"/>
        <v>1719454.71842005</v>
      </c>
      <c r="Q14" s="32">
        <f t="shared" si="7"/>
        <v>0.619003698631219</v>
      </c>
    </row>
    <row r="15" spans="1:17">
      <c r="A15" t="s">
        <v>118</v>
      </c>
      <c r="B15" t="s">
        <v>119</v>
      </c>
      <c r="C15" s="20">
        <f>IFERROR(_xlfn.XLOOKUP(A15,'DATA QCEW'!$A$2:$A$20,'DATA QCEW'!$C$2:$C$20)/1000000000,"")</f>
        <v>193.529178704</v>
      </c>
      <c r="D15" s="20">
        <f>SUMIF('DATA OEWS'!$A$2:$A$7806,A15,'DATA OEWS'!$G$2:$G$7806)/1000000000</f>
        <v>157.8505715</v>
      </c>
      <c r="E15" s="20">
        <f>SUMIF('DATA OEWS'!$A$2:$A$7806,A15,'DATA OEWS'!$I$2:$I$7806)/1000000000</f>
        <v>156.904776</v>
      </c>
      <c r="F15" s="20">
        <f>SUMIF('DATA OEWS'!$A$2:$A$7806,A15,'DATA OEWS'!$J$2:$J$7806)/1000000000</f>
        <v>73.2112568577101</v>
      </c>
      <c r="G15" s="5">
        <f t="shared" si="0"/>
        <v>0.994008285868005</v>
      </c>
      <c r="H15" s="5">
        <f t="shared" si="1"/>
        <v>0.466596739271404</v>
      </c>
      <c r="I15" s="20">
        <f t="shared" si="2"/>
        <v>90.3000837371593</v>
      </c>
      <c r="J15" s="5">
        <f>IFERROR(_xlfn.XLOOKUP(A15,'DATA Census'!$A$2:$A$20,'DATA Census'!$C$2:$C$20),"")</f>
        <v>0.308</v>
      </c>
      <c r="K15" s="20">
        <f t="shared" si="3"/>
        <v>27.8124257910451</v>
      </c>
      <c r="L15" s="33">
        <f>IFERROR(_xlfn.XLOOKUP(A15,'DATA QCEW'!$A$2:$A$20,'DATA QCEW'!$F$2:$F$20),"")</f>
        <v>2411118</v>
      </c>
      <c r="M15" s="34">
        <f t="shared" si="4"/>
        <v>1125019.79679859</v>
      </c>
      <c r="N15" s="35">
        <f>'Projection Assumptions'!$C$9</f>
        <v>30</v>
      </c>
      <c r="O15" s="36">
        <f t="shared" si="5"/>
        <v>0.405007126847492</v>
      </c>
      <c r="P15" s="34">
        <f t="shared" si="6"/>
        <v>346506.097413965</v>
      </c>
      <c r="Q15" s="32">
        <f t="shared" si="7"/>
        <v>0.124742195069028</v>
      </c>
    </row>
    <row r="16" spans="1:17">
      <c r="A16" t="s">
        <v>120</v>
      </c>
      <c r="B16" t="s">
        <v>121</v>
      </c>
      <c r="C16" s="20">
        <f>IFERROR(_xlfn.XLOOKUP(A16,'DATA QCEW'!$A$2:$A$20,'DATA QCEW'!$C$2:$C$20)/1000000000,"")</f>
        <v>1454.390668355</v>
      </c>
      <c r="D16" s="20">
        <f>SUMIF('DATA OEWS'!$A$2:$A$7806,A16,'DATA OEWS'!$G$2:$G$7806)/1000000000</f>
        <v>1171.2565188</v>
      </c>
      <c r="E16" s="20">
        <f>SUMIF('DATA OEWS'!$A$2:$A$7806,A16,'DATA OEWS'!$I$2:$I$7806)/1000000000</f>
        <v>1167.2181934</v>
      </c>
      <c r="F16" s="20">
        <f>SUMIF('DATA OEWS'!$A$2:$A$7806,A16,'DATA OEWS'!$J$2:$J$7806)/1000000000</f>
        <v>647.40875141156</v>
      </c>
      <c r="G16" s="5">
        <f t="shared" si="0"/>
        <v>0.996552142647507</v>
      </c>
      <c r="H16" s="5">
        <f t="shared" si="1"/>
        <v>0.554659578708003</v>
      </c>
      <c r="I16" s="20">
        <f t="shared" si="2"/>
        <v>806.691715386635</v>
      </c>
      <c r="J16" s="5">
        <f>IFERROR(_xlfn.XLOOKUP(A16,'DATA Census'!$A$2:$A$20,'DATA Census'!$C$2:$C$20),"")</f>
        <v>0.427</v>
      </c>
      <c r="K16" s="20">
        <f t="shared" si="3"/>
        <v>344.457362470093</v>
      </c>
      <c r="L16" s="33">
        <f>IFERROR(_xlfn.XLOOKUP(A16,'DATA QCEW'!$A$2:$A$20,'DATA QCEW'!$F$2:$F$20),"")</f>
        <v>10750955</v>
      </c>
      <c r="M16" s="34">
        <f t="shared" si="4"/>
        <v>5963120.17100869</v>
      </c>
      <c r="N16" s="35">
        <f>'Projection Assumptions'!$C$9</f>
        <v>30</v>
      </c>
      <c r="O16" s="36">
        <f t="shared" si="5"/>
        <v>2.14672326156313</v>
      </c>
      <c r="P16" s="34">
        <f t="shared" si="6"/>
        <v>2546252.31302071</v>
      </c>
      <c r="Q16" s="32">
        <f t="shared" si="7"/>
        <v>0.916650832687457</v>
      </c>
    </row>
    <row r="17" spans="1:17">
      <c r="A17" t="s">
        <v>122</v>
      </c>
      <c r="B17" t="s">
        <v>123</v>
      </c>
      <c r="C17" s="20">
        <f>IFERROR(_xlfn.XLOOKUP(A17,'DATA QCEW'!$A$2:$A$20,'DATA QCEW'!$C$2:$C$20)/1000000000,"")</f>
        <v>433.010743495</v>
      </c>
      <c r="D17" s="20">
        <f>SUMIF('DATA OEWS'!$A$2:$A$7806,A17,'DATA OEWS'!$G$2:$G$7806)/1000000000</f>
        <v>324.2986958</v>
      </c>
      <c r="E17" s="20">
        <f>SUMIF('DATA OEWS'!$A$2:$A$7806,A17,'DATA OEWS'!$I$2:$I$7806)/1000000000</f>
        <v>322.8471945</v>
      </c>
      <c r="F17" s="20">
        <f>SUMIF('DATA OEWS'!$A$2:$A$7806,A17,'DATA OEWS'!$J$2:$J$7806)/1000000000</f>
        <v>187.32147113687</v>
      </c>
      <c r="G17" s="5">
        <f t="shared" si="0"/>
        <v>0.995524183973607</v>
      </c>
      <c r="H17" s="5">
        <f t="shared" si="1"/>
        <v>0.580217125401937</v>
      </c>
      <c r="I17" s="20">
        <f t="shared" si="2"/>
        <v>251.240248858824</v>
      </c>
      <c r="J17" s="5">
        <f>IFERROR(_xlfn.XLOOKUP(A17,'DATA Census'!$A$2:$A$20,'DATA Census'!$C$2:$C$20),"")</f>
        <v>0.232</v>
      </c>
      <c r="K17" s="20">
        <f t="shared" si="3"/>
        <v>58.2877377352472</v>
      </c>
      <c r="L17" s="33">
        <f>IFERROR(_xlfn.XLOOKUP(A17,'DATA QCEW'!$A$2:$A$20,'DATA QCEW'!$F$2:$F$20),"")</f>
        <v>2607739</v>
      </c>
      <c r="M17" s="34">
        <f t="shared" si="4"/>
        <v>1513054.82637852</v>
      </c>
      <c r="N17" s="35">
        <f>'Projection Assumptions'!$C$9</f>
        <v>30</v>
      </c>
      <c r="O17" s="36">
        <f t="shared" si="5"/>
        <v>0.544699737496268</v>
      </c>
      <c r="P17" s="34">
        <f t="shared" si="6"/>
        <v>351028.719719817</v>
      </c>
      <c r="Q17" s="32">
        <f t="shared" si="7"/>
        <v>0.126370339099134</v>
      </c>
    </row>
    <row r="18" spans="1:17">
      <c r="A18" t="s">
        <v>124</v>
      </c>
      <c r="B18" t="s">
        <v>125</v>
      </c>
      <c r="C18" s="20">
        <f>IFERROR(_xlfn.XLOOKUP(A18,'DATA QCEW'!$A$2:$A$20,'DATA QCEW'!$C$2:$C$20)/1000000000,"")</f>
        <v>541.582412876</v>
      </c>
      <c r="D18" s="20">
        <f>SUMIF('DATA OEWS'!$A$2:$A$7806,A18,'DATA OEWS'!$G$2:$G$7806)/1000000000</f>
        <v>506.1969039</v>
      </c>
      <c r="E18" s="20">
        <f>SUMIF('DATA OEWS'!$A$2:$A$7806,A18,'DATA OEWS'!$I$2:$I$7806)/1000000000</f>
        <v>499.3127734</v>
      </c>
      <c r="F18" s="20">
        <f>SUMIF('DATA OEWS'!$A$2:$A$7806,A18,'DATA OEWS'!$J$2:$J$7806)/1000000000</f>
        <v>185.28584699849</v>
      </c>
      <c r="G18" s="5">
        <f t="shared" si="0"/>
        <v>0.986400291177285</v>
      </c>
      <c r="H18" s="5">
        <f t="shared" si="1"/>
        <v>0.371081728466132</v>
      </c>
      <c r="I18" s="20">
        <f t="shared" si="2"/>
        <v>200.971337876884</v>
      </c>
      <c r="J18" s="5">
        <f>IFERROR(_xlfn.XLOOKUP(A18,'DATA Census'!$A$2:$A$20,'DATA Census'!$C$2:$C$20),"")</f>
        <v>0.217</v>
      </c>
      <c r="K18" s="20">
        <f t="shared" si="3"/>
        <v>43.6107803192839</v>
      </c>
      <c r="L18" s="33">
        <f>IFERROR(_xlfn.XLOOKUP(A18,'DATA QCEW'!$A$2:$A$20,'DATA QCEW'!$F$2:$F$20),"")</f>
        <v>9032175</v>
      </c>
      <c r="M18" s="34">
        <f t="shared" si="4"/>
        <v>3351675.11080858</v>
      </c>
      <c r="N18" s="35">
        <f>'Projection Assumptions'!$C$9</f>
        <v>30</v>
      </c>
      <c r="O18" s="36">
        <f t="shared" si="5"/>
        <v>1.20660303989109</v>
      </c>
      <c r="P18" s="34">
        <f t="shared" si="6"/>
        <v>727313.499045463</v>
      </c>
      <c r="Q18" s="32">
        <f t="shared" si="7"/>
        <v>0.261832859656367</v>
      </c>
    </row>
    <row r="19" spans="1:17">
      <c r="A19" t="s">
        <v>126</v>
      </c>
      <c r="B19" t="s">
        <v>127</v>
      </c>
      <c r="C19" s="20">
        <f>IFERROR(_xlfn.XLOOKUP(A19,'DATA QCEW'!$A$2:$A$20,'DATA QCEW'!$C$2:$C$20)/1000000000,"")</f>
        <v>213.875731365</v>
      </c>
      <c r="D19" s="20">
        <f>SUMIF('DATA OEWS'!$A$2:$A$7806,A19,'DATA OEWS'!$G$2:$G$7806)/1000000000</f>
        <v>242.5094337</v>
      </c>
      <c r="E19" s="20">
        <f>SUMIF('DATA OEWS'!$A$2:$A$7806,A19,'DATA OEWS'!$I$2:$I$7806)/1000000000</f>
        <v>230.1193375</v>
      </c>
      <c r="F19" s="20">
        <f>SUMIF('DATA OEWS'!$A$2:$A$7806,A19,'DATA OEWS'!$J$2:$J$7806)/1000000000</f>
        <v>94.8398891077599</v>
      </c>
      <c r="G19" s="5">
        <f t="shared" si="0"/>
        <v>0.948908807336017</v>
      </c>
      <c r="H19" s="5">
        <f t="shared" si="1"/>
        <v>0.412133504893998</v>
      </c>
      <c r="I19" s="20">
        <f t="shared" si="2"/>
        <v>88.1453547792247</v>
      </c>
      <c r="J19" s="5">
        <f>IFERROR(_xlfn.XLOOKUP(A19,'DATA Census'!$A$2:$A$20,'DATA Census'!$C$2:$C$20),"")</f>
        <v>0.399</v>
      </c>
      <c r="K19" s="20">
        <f t="shared" si="3"/>
        <v>35.1699965569107</v>
      </c>
      <c r="L19" s="33">
        <f>IFERROR(_xlfn.XLOOKUP(A19,'DATA QCEW'!$A$2:$A$20,'DATA QCEW'!$F$2:$F$20),"")</f>
        <v>3246686</v>
      </c>
      <c r="M19" s="34">
        <f t="shared" si="4"/>
        <v>1338068.08047028</v>
      </c>
      <c r="N19" s="35">
        <f>'Projection Assumptions'!$C$9</f>
        <v>30</v>
      </c>
      <c r="O19" s="36">
        <f t="shared" si="5"/>
        <v>0.481704508969299</v>
      </c>
      <c r="P19" s="34">
        <f t="shared" si="6"/>
        <v>533889.16410764</v>
      </c>
      <c r="Q19" s="32">
        <f t="shared" si="7"/>
        <v>0.19220009907875</v>
      </c>
    </row>
    <row r="20" spans="1:17">
      <c r="A20" t="s">
        <v>128</v>
      </c>
      <c r="B20" t="s">
        <v>129</v>
      </c>
      <c r="C20" s="20">
        <f>IFERROR(_xlfn.XLOOKUP(A20,'DATA QCEW'!$A$2:$A$20,'DATA QCEW'!$C$2:$C$20)/1000000000,"")</f>
        <v>1529.847054124</v>
      </c>
      <c r="D20" s="20">
        <f>SUMIF('DATA OEWS'!$A$2:$A$7806,A20,'DATA OEWS'!$G$2:$G$7806)/1000000000</f>
        <v>1626.7267178</v>
      </c>
      <c r="E20" s="20">
        <f>SUMIF('DATA OEWS'!$A$2:$A$7806,A20,'DATA OEWS'!$I$2:$I$7806)/1000000000</f>
        <v>1609.8302978</v>
      </c>
      <c r="F20" s="20">
        <f>SUMIF('DATA OEWS'!$A$2:$A$7806,A20,'DATA OEWS'!$J$2:$J$7806)/1000000000</f>
        <v>455.82115189276</v>
      </c>
      <c r="G20" s="5">
        <f t="shared" si="0"/>
        <v>0.989613240002076</v>
      </c>
      <c r="H20" s="5">
        <f t="shared" si="1"/>
        <v>0.283148573185439</v>
      </c>
      <c r="I20" s="20">
        <f t="shared" si="2"/>
        <v>433.174010567157</v>
      </c>
      <c r="J20" s="5">
        <f>IFERROR(_xlfn.XLOOKUP(A20,'DATA Census'!$A$2:$A$20,'DATA Census'!$C$2:$C$20),"")</f>
        <v>0.248</v>
      </c>
      <c r="K20" s="20">
        <f t="shared" si="3"/>
        <v>107.427154620655</v>
      </c>
      <c r="L20" s="33">
        <f>IFERROR(_xlfn.XLOOKUP(A20,'DATA QCEW'!$A$2:$A$20,'DATA QCEW'!$F$2:$F$20),"")</f>
        <v>22997661</v>
      </c>
      <c r="M20" s="34">
        <f t="shared" si="4"/>
        <v>6511754.89875241</v>
      </c>
      <c r="N20" s="35">
        <f>'Projection Assumptions'!$C$9</f>
        <v>30</v>
      </c>
      <c r="O20" s="36">
        <f t="shared" si="5"/>
        <v>2.34423176355087</v>
      </c>
      <c r="P20" s="34">
        <f t="shared" si="6"/>
        <v>1614915.2148906</v>
      </c>
      <c r="Q20" s="32">
        <f t="shared" si="7"/>
        <v>0.581369477360615</v>
      </c>
    </row>
    <row r="21" spans="1:17">
      <c r="A21" t="s">
        <v>130</v>
      </c>
      <c r="B21" t="s">
        <v>131</v>
      </c>
      <c r="C21" s="20">
        <f>IFERROR(_xlfn.XLOOKUP(A21,'DATA QCEW'!$A$2:$A$20,'DATA QCEW'!$C$2:$C$20)/1000000000,"")</f>
        <v>139.300037358</v>
      </c>
      <c r="D21" s="20">
        <f>SUMIF('DATA OEWS'!$A$2:$A$7806,A21,'DATA OEWS'!$G$2:$G$7806)/1000000000</f>
        <v>137.2756345</v>
      </c>
      <c r="E21" s="20">
        <f>SUMIF('DATA OEWS'!$A$2:$A$7806,A21,'DATA OEWS'!$I$2:$I$7806)/1000000000</f>
        <v>135.6710516</v>
      </c>
      <c r="F21" s="20">
        <f>SUMIF('DATA OEWS'!$A$2:$A$7806,A21,'DATA OEWS'!$J$2:$J$7806)/1000000000</f>
        <v>44.59987864247</v>
      </c>
      <c r="G21" s="5">
        <f t="shared" si="0"/>
        <v>0.988311233046969</v>
      </c>
      <c r="H21" s="5">
        <f t="shared" si="1"/>
        <v>0.328735409038946</v>
      </c>
      <c r="I21" s="20">
        <f t="shared" si="2"/>
        <v>45.7928547600227</v>
      </c>
      <c r="J21" s="5">
        <f>IFERROR(_xlfn.XLOOKUP(A21,'DATA Census'!$A$2:$A$20,'DATA Census'!$C$2:$C$20),"")</f>
        <v>0.168</v>
      </c>
      <c r="K21" s="20">
        <f t="shared" si="3"/>
        <v>7.69319959968381</v>
      </c>
      <c r="L21" s="33">
        <f>IFERROR(_xlfn.XLOOKUP(A21,'DATA QCEW'!$A$2:$A$20,'DATA QCEW'!$F$2:$F$20),"")</f>
        <v>2667729</v>
      </c>
      <c r="M21" s="34">
        <f t="shared" si="4"/>
        <v>876976.98402006</v>
      </c>
      <c r="N21" s="35">
        <f>'Projection Assumptions'!$C$9</f>
        <v>30</v>
      </c>
      <c r="O21" s="36">
        <f t="shared" si="5"/>
        <v>0.315711714247221</v>
      </c>
      <c r="P21" s="34">
        <f t="shared" si="6"/>
        <v>147332.13331537</v>
      </c>
      <c r="Q21" s="32">
        <f t="shared" si="7"/>
        <v>0.0530395679935332</v>
      </c>
    </row>
    <row r="22" spans="1:17">
      <c r="A22" t="s">
        <v>132</v>
      </c>
      <c r="B22" t="s">
        <v>133</v>
      </c>
      <c r="C22" s="20">
        <f>IFERROR(_xlfn.XLOOKUP(A22,'DATA QCEW'!$A$2:$A$20,'DATA QCEW'!$C$2:$C$20)/1000000000,"")</f>
        <v>434.509247245</v>
      </c>
      <c r="D22" s="20">
        <f>SUMIF('DATA OEWS'!$A$2:$A$7806,A22,'DATA OEWS'!$G$2:$G$7806)/1000000000</f>
        <v>556.6196119</v>
      </c>
      <c r="E22" s="20">
        <f>SUMIF('DATA OEWS'!$A$2:$A$7806,A22,'DATA OEWS'!$I$2:$I$7806)/1000000000</f>
        <v>553.2444118</v>
      </c>
      <c r="F22" s="20">
        <f>SUMIF('DATA OEWS'!$A$2:$A$7806,A22,'DATA OEWS'!$J$2:$J$7806)/1000000000</f>
        <v>129.45335952034</v>
      </c>
      <c r="G22" s="5">
        <f t="shared" si="0"/>
        <v>0.993936253721857</v>
      </c>
      <c r="H22" s="5">
        <f t="shared" si="1"/>
        <v>0.233989457027065</v>
      </c>
      <c r="I22" s="20">
        <f t="shared" si="2"/>
        <v>101.670582836096</v>
      </c>
      <c r="J22" s="5">
        <f>IFERROR(_xlfn.XLOOKUP(A22,'DATA Census'!$A$2:$A$20,'DATA Census'!$C$2:$C$20),"")</f>
        <v>0.101</v>
      </c>
      <c r="K22" s="20">
        <f t="shared" si="3"/>
        <v>10.2687288664457</v>
      </c>
      <c r="L22" s="33">
        <f>IFERROR(_xlfn.XLOOKUP(A22,'DATA QCEW'!$A$2:$A$20,'DATA QCEW'!$F$2:$F$20),"")</f>
        <v>14119799</v>
      </c>
      <c r="M22" s="34">
        <f t="shared" si="4"/>
        <v>3303884.1013413</v>
      </c>
      <c r="N22" s="35">
        <f>'Projection Assumptions'!$C$9</f>
        <v>30</v>
      </c>
      <c r="O22" s="36">
        <f t="shared" si="5"/>
        <v>1.18939827648287</v>
      </c>
      <c r="P22" s="34">
        <f t="shared" si="6"/>
        <v>333692.294235471</v>
      </c>
      <c r="Q22" s="32">
        <f t="shared" si="7"/>
        <v>0.12012922592477</v>
      </c>
    </row>
    <row r="23" spans="1:17">
      <c r="A23" t="s">
        <v>134</v>
      </c>
      <c r="B23" t="s">
        <v>135</v>
      </c>
      <c r="C23" s="20">
        <f>IFERROR(_xlfn.XLOOKUP(A23,'DATA QCEW'!$A$2:$A$20,'DATA QCEW'!$C$2:$C$20)/1000000000,"")</f>
        <v>254.468914292</v>
      </c>
      <c r="D23" s="20">
        <f>SUMIF('DATA OEWS'!$A$2:$A$7806,A23,'DATA OEWS'!$G$2:$G$7806)/1000000000</f>
        <v>254.7144353</v>
      </c>
      <c r="E23" s="20">
        <f>SUMIF('DATA OEWS'!$A$2:$A$7806,A23,'DATA OEWS'!$I$2:$I$7806)/1000000000</f>
        <v>250.74309</v>
      </c>
      <c r="F23" s="20">
        <f>SUMIF('DATA OEWS'!$A$2:$A$7806,A23,'DATA OEWS'!$J$2:$J$7806)/1000000000</f>
        <v>90.67271193404</v>
      </c>
      <c r="G23" s="5">
        <f t="shared" si="0"/>
        <v>0.984408636694176</v>
      </c>
      <c r="H23" s="5">
        <f t="shared" si="1"/>
        <v>0.361615994817803</v>
      </c>
      <c r="I23" s="20">
        <f t="shared" si="2"/>
        <v>92.0200295919079</v>
      </c>
      <c r="J23" s="5">
        <f>IFERROR(_xlfn.XLOOKUP(A23,'DATA Census'!$A$2:$A$20,'DATA Census'!$C$2:$C$20),"")</f>
        <v>0.127</v>
      </c>
      <c r="K23" s="20">
        <f t="shared" si="3"/>
        <v>11.6865437581723</v>
      </c>
      <c r="L23" s="33">
        <f>IFERROR(_xlfn.XLOOKUP(A23,'DATA QCEW'!$A$2:$A$20,'DATA QCEW'!$F$2:$F$20),"")</f>
        <v>4675880</v>
      </c>
      <c r="M23" s="34">
        <f t="shared" si="4"/>
        <v>1690872.99784867</v>
      </c>
      <c r="N23" s="35">
        <f>'Projection Assumptions'!$C$9</f>
        <v>30</v>
      </c>
      <c r="O23" s="36">
        <f t="shared" si="5"/>
        <v>0.608714279225521</v>
      </c>
      <c r="P23" s="34">
        <f t="shared" si="6"/>
        <v>214740.870726781</v>
      </c>
      <c r="Q23" s="32">
        <f t="shared" si="7"/>
        <v>0.0773067134616412</v>
      </c>
    </row>
    <row r="24" spans="1:17">
      <c r="C24" s="20"/>
      <c r="D24" s="20"/>
      <c r="E24" s="20"/>
      <c r="F24" s="20"/>
      <c r="I24" s="20"/>
      <c r="K24" s="20"/>
      <c r="L24" s="8"/>
      <c r="M24" s="8"/>
      <c r="O24" s="37"/>
      <c r="P24" s="8"/>
      <c r="Q24" s="37"/>
    </row>
    <row r="25" ht="24" customHeight="1" spans="1:17">
      <c r="B25" s="18" t="s">
        <v>136</v>
      </c>
      <c r="C25" s="38">
        <f>SUM(C5:C23)</f>
        <v>10515.645524505</v>
      </c>
      <c r="D25" s="38">
        <f>SUM(D5:D23)</f>
        <v>9162.6478545</v>
      </c>
      <c r="E25" s="38">
        <f>SUM(E5:E23)</f>
        <v>9084.5354171</v>
      </c>
      <c r="F25" s="38">
        <f>SUM(F5:F23)</f>
        <v>3671.55611466553</v>
      </c>
      <c r="G25" s="18"/>
      <c r="H25" s="18"/>
      <c r="I25" s="38">
        <f>SUM(I5:I23)</f>
        <v>4435.91421507879</v>
      </c>
      <c r="J25" s="18"/>
      <c r="K25" s="38">
        <f>SUM(K5:K23)</f>
        <v>1311.44766796751</v>
      </c>
      <c r="L25" s="39">
        <f>SUM(L5:L23)</f>
        <v>132959111</v>
      </c>
      <c r="M25" s="39">
        <f>SUM(M5:M23)</f>
        <v>50267364.7022403</v>
      </c>
      <c r="N25" s="40"/>
      <c r="O25" s="41">
        <f>SUM(O5:O23)</f>
        <v>18.0962512928065</v>
      </c>
      <c r="P25" s="39">
        <f>SUM(P5:P23)</f>
        <v>12633444.0527562</v>
      </c>
      <c r="Q25" s="41">
        <f>SUM(Q5:Q23)</f>
        <v>4.54803985899224</v>
      </c>
    </row>
  </sheetData>
  <mergeCells count="3">
    <mergeCell ref="A1:K1"/>
    <mergeCell ref="A2:K2"/>
    <mergeCell ref="L3:Q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0"/>
  <sheetViews>
    <sheetView tabSelected="1" topLeftCell="K1" workbookViewId="0">
      <pane ySplit="16" topLeftCell="A17" activePane="bottomLeft" state="frozen"/>
      <selection/>
      <selection pane="bottomLeft" activeCell="L18" sqref="L18"/>
    </sheetView>
  </sheetViews>
  <sheetFormatPr defaultColWidth="9" defaultRowHeight="16.8"/>
  <cols>
    <col min="1" max="1" width="16" customWidth="1"/>
    <col min="2" max="2" width="46" customWidth="1"/>
    <col min="3" max="3" width="14" customWidth="1"/>
    <col min="4" max="5" width="27" customWidth="1"/>
    <col min="6" max="6" width="25" customWidth="1"/>
    <col min="7" max="7" width="31" customWidth="1"/>
    <col min="8" max="8" width="25" customWidth="1"/>
    <col min="9" max="9" width="27" customWidth="1"/>
    <col min="10" max="11" width="29" customWidth="1"/>
    <col min="12" max="14" width="22" customWidth="1"/>
    <col min="15" max="15" width="24" customWidth="1"/>
    <col min="16" max="16" width="22" customWidth="1"/>
    <col min="17" max="17" width="24" customWidth="1"/>
  </cols>
  <sheetData>
    <row r="1" ht="34" customHeight="1" spans="1:17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7">
      <c r="A2" s="2" t="s">
        <v>138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ht="32" customHeight="1" spans="1:17">
      <c r="A5" s="3" t="s">
        <v>139</v>
      </c>
      <c r="B5" s="3">
        <v>2025</v>
      </c>
      <c r="C5" s="3">
        <v>2026</v>
      </c>
      <c r="D5" s="3">
        <v>2027</v>
      </c>
      <c r="E5" s="3">
        <v>2028</v>
      </c>
      <c r="F5" s="3">
        <v>2029</v>
      </c>
      <c r="G5" s="3">
        <v>2030</v>
      </c>
    </row>
    <row r="6" spans="1:17">
      <c r="A6" t="s">
        <v>140</v>
      </c>
      <c r="B6" s="20">
        <f t="shared" ref="B6:G6" si="0">SUMIF($C$17:$C$130,B$5,$F$17:$F$130)</f>
        <v>10515.645524505</v>
      </c>
      <c r="C6" s="20">
        <f t="shared" si="0"/>
        <v>10877.9169847697</v>
      </c>
      <c r="D6" s="20">
        <f t="shared" si="0"/>
        <v>11252.7824030479</v>
      </c>
      <c r="E6" s="20">
        <f t="shared" si="0"/>
        <v>11640.68357815</v>
      </c>
      <c r="F6" s="20">
        <f t="shared" si="0"/>
        <v>12042.0779466652</v>
      </c>
      <c r="G6" s="20">
        <f t="shared" si="0"/>
        <v>12457.4391413289</v>
      </c>
    </row>
    <row r="7" spans="1:17">
      <c r="A7" t="s">
        <v>141</v>
      </c>
      <c r="B7" s="20">
        <f t="shared" ref="B7:G7" si="1">SUMIF($C$17:$C$130,B$5,$J$17:$J$130)</f>
        <v>4435.91421507879</v>
      </c>
      <c r="C7" s="20">
        <f t="shared" si="1"/>
        <v>4588.42319455025</v>
      </c>
      <c r="D7" s="20">
        <f t="shared" si="1"/>
        <v>4746.22062765991</v>
      </c>
      <c r="E7" s="20">
        <f t="shared" si="1"/>
        <v>4909.4914845083</v>
      </c>
      <c r="F7" s="20">
        <f t="shared" si="1"/>
        <v>5078.42726029644</v>
      </c>
      <c r="G7" s="20">
        <f t="shared" si="1"/>
        <v>5253.22620744684</v>
      </c>
    </row>
    <row r="8" spans="1:17">
      <c r="A8" t="s">
        <v>91</v>
      </c>
      <c r="B8" s="20" t="str">
        <f t="shared" ref="B8:G8" si="2">IF(B$5=2025,"",SUMIF($C$17:$C$130,B$5,$K$17:$K$130))</f>
        <v/>
      </c>
      <c r="C8" s="20">
        <f t="shared" si="2"/>
        <v>1357.20128250827</v>
      </c>
      <c r="D8" s="20">
        <f t="shared" si="2"/>
        <v>1641.87505421191</v>
      </c>
      <c r="E8" s="20">
        <f t="shared" si="2"/>
        <v>1944.54207985995</v>
      </c>
      <c r="F8" s="20">
        <f t="shared" si="2"/>
        <v>2266.1111775919</v>
      </c>
      <c r="G8" s="20">
        <f t="shared" si="2"/>
        <v>2607.53292719576</v>
      </c>
    </row>
    <row r="9" spans="1:17">
      <c r="A9" t="s">
        <v>142</v>
      </c>
      <c r="B9" s="5" t="str">
        <f t="shared" ref="B9:G9" si="3">IF(B$5=2025,"",IFERROR(B8/B7,""))</f>
        <v/>
      </c>
      <c r="C9" s="5">
        <f t="shared" si="3"/>
        <v>0.295788166209308</v>
      </c>
      <c r="D9" s="5">
        <f t="shared" si="3"/>
        <v>0.345933150398326</v>
      </c>
      <c r="E9" s="5">
        <f t="shared" si="3"/>
        <v>0.396078104218303</v>
      </c>
      <c r="F9" s="5">
        <f t="shared" si="3"/>
        <v>0.446223025641922</v>
      </c>
      <c r="G9" s="5">
        <f t="shared" si="3"/>
        <v>0.496367912636122</v>
      </c>
    </row>
    <row r="10" spans="1:17">
      <c r="A10" s="21" t="s">
        <v>143</v>
      </c>
      <c r="B10" s="22">
        <f t="shared" ref="B10:G10" si="4">SUMIF($C$17:$C$130,B$5,$L$17:$L$130)/1000000</f>
        <v>132.959111</v>
      </c>
      <c r="C10" s="22">
        <f t="shared" si="4"/>
        <v>133.497149192987</v>
      </c>
      <c r="D10" s="22">
        <f t="shared" si="4"/>
        <v>134.038765676255</v>
      </c>
      <c r="E10" s="22">
        <f t="shared" si="4"/>
        <v>134.583988017007</v>
      </c>
      <c r="F10" s="22">
        <f t="shared" si="4"/>
        <v>135.132844010806</v>
      </c>
      <c r="G10" s="22">
        <f t="shared" si="4"/>
        <v>135.685361683531</v>
      </c>
    </row>
    <row r="11" spans="1:17">
      <c r="A11" s="21" t="s">
        <v>144</v>
      </c>
      <c r="B11" s="22">
        <f t="shared" ref="B11:G11" si="5">SUMIF($C$17:$C$130,B$5,$M$17:$M$130)/1000000</f>
        <v>50.2673647022403</v>
      </c>
      <c r="C11" s="22">
        <f t="shared" si="5"/>
        <v>50.4617890546545</v>
      </c>
      <c r="D11" s="22">
        <f t="shared" si="5"/>
        <v>50.6574864502346</v>
      </c>
      <c r="E11" s="22">
        <f t="shared" si="5"/>
        <v>50.8544665952355</v>
      </c>
      <c r="F11" s="22">
        <f t="shared" si="5"/>
        <v>51.0527392755252</v>
      </c>
      <c r="G11" s="22">
        <f t="shared" si="5"/>
        <v>51.252314357262</v>
      </c>
    </row>
    <row r="12" spans="1:17">
      <c r="A12" s="23" t="s">
        <v>145</v>
      </c>
      <c r="B12" s="24">
        <f t="shared" ref="B12:G12" si="6">SUMIF($C$17:$C$130,B$5,$O$17:$O$130)</f>
        <v>18.0962512928065</v>
      </c>
      <c r="C12" s="24">
        <f t="shared" si="6"/>
        <v>18.1662440596756</v>
      </c>
      <c r="D12" s="24">
        <f t="shared" si="6"/>
        <v>18.2366951220845</v>
      </c>
      <c r="E12" s="24">
        <f t="shared" si="6"/>
        <v>18.3076079742848</v>
      </c>
      <c r="F12" s="24">
        <f t="shared" si="6"/>
        <v>18.3789861391891</v>
      </c>
      <c r="G12" s="24">
        <f t="shared" si="6"/>
        <v>18.4508331686143</v>
      </c>
    </row>
    <row r="13" spans="1:17">
      <c r="A13" s="21" t="s">
        <v>146</v>
      </c>
      <c r="B13" s="22" t="str">
        <f t="shared" ref="B13:G13" si="7">IF(B$5=2025,"",SUMIF($C$17:$C$130,B$5,$P$17:$P$130)/1000000)</f>
        <v/>
      </c>
      <c r="C13" s="22">
        <f t="shared" si="7"/>
        <v>12.6892671235771</v>
      </c>
      <c r="D13" s="22">
        <f t="shared" si="7"/>
        <v>15.2783466924973</v>
      </c>
      <c r="E13" s="22">
        <f t="shared" si="7"/>
        <v>17.8875094303661</v>
      </c>
      <c r="F13" s="22">
        <f t="shared" si="7"/>
        <v>20.5169522209014</v>
      </c>
      <c r="G13" s="22">
        <f t="shared" si="7"/>
        <v>23.1668739458248</v>
      </c>
    </row>
    <row r="14" spans="1:17">
      <c r="A14" s="25" t="s">
        <v>147</v>
      </c>
      <c r="B14" s="26" t="str">
        <f t="shared" ref="B14:G14" si="8">IF(B$5=2025,"",SUMIF($C$17:$C$130,B$5,$Q$17:$Q$130))</f>
        <v/>
      </c>
      <c r="C14" s="26">
        <f t="shared" si="8"/>
        <v>4.56813616448777</v>
      </c>
      <c r="D14" s="26">
        <f t="shared" si="8"/>
        <v>5.50020480929904</v>
      </c>
      <c r="E14" s="26">
        <f t="shared" si="8"/>
        <v>6.43950339493178</v>
      </c>
      <c r="F14" s="26">
        <f t="shared" si="8"/>
        <v>7.3861027995245</v>
      </c>
      <c r="G14" s="26">
        <f t="shared" si="8"/>
        <v>8.34007462049691</v>
      </c>
    </row>
    <row r="15" ht="22" customHeight="1" spans="1:17">
      <c r="L15" s="27" t="s">
        <v>148</v>
      </c>
      <c r="M15" s="27"/>
      <c r="N15" s="27"/>
      <c r="O15" s="27"/>
      <c r="P15" s="27"/>
      <c r="Q15" s="27"/>
    </row>
    <row r="16" ht="44" customHeight="1" spans="1:17">
      <c r="A16" s="3" t="s">
        <v>81</v>
      </c>
      <c r="B16" s="3" t="s">
        <v>82</v>
      </c>
      <c r="C16" s="3" t="s">
        <v>149</v>
      </c>
      <c r="D16" s="3" t="s">
        <v>150</v>
      </c>
      <c r="E16" s="3" t="s">
        <v>151</v>
      </c>
      <c r="F16" s="3" t="s">
        <v>152</v>
      </c>
      <c r="G16" s="3" t="s">
        <v>153</v>
      </c>
      <c r="H16" s="3" t="s">
        <v>154</v>
      </c>
      <c r="I16" s="3" t="s">
        <v>155</v>
      </c>
      <c r="J16" s="3" t="s">
        <v>156</v>
      </c>
      <c r="K16" s="3" t="s">
        <v>91</v>
      </c>
      <c r="L16" s="28" t="s">
        <v>157</v>
      </c>
      <c r="M16" s="28" t="s">
        <v>93</v>
      </c>
      <c r="N16" s="28" t="s">
        <v>158</v>
      </c>
      <c r="O16" s="28" t="s">
        <v>159</v>
      </c>
      <c r="P16" s="28" t="s">
        <v>160</v>
      </c>
      <c r="Q16" s="28" t="s">
        <v>147</v>
      </c>
    </row>
    <row r="17" spans="1:17">
      <c r="A17" t="s">
        <v>98</v>
      </c>
      <c r="B17" t="s">
        <v>99</v>
      </c>
      <c r="C17">
        <v>2025</v>
      </c>
      <c r="D17" s="5">
        <f>IFERROR(_xlfn.XLOOKUP(A17,'DATA BLS Projections'!$A$2:$A$20,'DATA BLS Projections'!$E$2:$E$20),0)</f>
        <v>0.00147404595950484</v>
      </c>
      <c r="E17" s="5">
        <f>IFERROR(_xlfn.XLOOKUP(A17,'Projection Assumptions'!$A$13:$A$31,'Projection Assumptions'!$C$13:$C$31),0)</f>
        <v>0.03</v>
      </c>
      <c r="F17" s="20">
        <f>IF(C17=2025,_xlfn.XLOOKUP(A17,'01 Industry Model'!$A$5:$A$23,'01 Industry Model'!$C$5:$C$23),F16*(1+D17)*(1+E17))</f>
        <v>60.088224865</v>
      </c>
      <c r="G17" s="5">
        <f>IFERROR(_xlfn.XLOOKUP(A17,'Projection Assumptions'!$A$13:$A$31,'Projection Assumptions'!$D$13:$D$31),0)</f>
        <v>0.05</v>
      </c>
      <c r="H17" s="5" t="str">
        <f>IF(C17=2025,"",IF(C17=2026,_xlfn.XLOOKUP(A17,'DATA Census'!$A$2:$A$20,'DATA Census'!$C$2:$C$20),MIN(1,H16+G17)))</f>
        <v/>
      </c>
      <c r="I17" s="5">
        <f>MIN(1,MAX(0,_xlfn.XLOOKUP(A17,'01 Industry Model'!$A$5:$A$23,'01 Industry Model'!$H$5:$H$23)+(C17-2025)*_xlfn.XLOOKUP(A17,'Projection Assumptions'!$A$13:$A$31,'Projection Assumptions'!$E$13:$E$31)))</f>
        <v>0.181313989164855</v>
      </c>
      <c r="J17" s="20">
        <f t="shared" ref="J17:J80" si="9">IF(F17="","",F17*I17)</f>
        <v>10.894835752108</v>
      </c>
      <c r="K17" s="20" t="str">
        <f t="shared" ref="K17:K80" si="10">IF(H17="","",J17*H17)</f>
        <v/>
      </c>
      <c r="L17" s="29">
        <f>IF(C17=2025,IFERROR(_xlfn.XLOOKUP(A17,'DATA QCEW'!$A$2:$A$20,'DATA QCEW'!$F$2:$F$20),""),L16*(1+D17))</f>
        <v>1231078</v>
      </c>
      <c r="M17" s="29">
        <f t="shared" ref="M17:M80" si="11">IF(OR(L17="",I17=""),"",L17*I17)</f>
        <v>223211.663153091</v>
      </c>
      <c r="N17" s="30">
        <f>IF(C17=2025,'Projection Assumptions'!$C$9,N16*(1+'Projection Assumptions'!$C$10))</f>
        <v>30</v>
      </c>
      <c r="O17" s="31">
        <f t="shared" ref="O17:O80" si="12">IF(OR(M17="",N17=""),"",M17*N17*12/1000000000)</f>
        <v>0.0803561987351129</v>
      </c>
      <c r="P17" s="29" t="str">
        <f t="shared" ref="P17:P80" si="13">IF(OR(M17="",H17=""),"",M17*H17)</f>
        <v/>
      </c>
      <c r="Q17" s="32" t="str">
        <f t="shared" ref="Q17:Q80" si="14">IF(OR(P17="",N17=""),"",P17*N17*12/1000000000)</f>
        <v/>
      </c>
    </row>
    <row r="18" spans="1:17">
      <c r="A18" t="s">
        <v>98</v>
      </c>
      <c r="B18" t="s">
        <v>99</v>
      </c>
      <c r="C18">
        <v>2026</v>
      </c>
      <c r="D18" s="5">
        <f>IFERROR(_xlfn.XLOOKUP(A18,'DATA BLS Projections'!$A$2:$A$20,'DATA BLS Projections'!$E$2:$E$20),0)</f>
        <v>0.00147404595950484</v>
      </c>
      <c r="E18" s="5">
        <f>IFERROR(_xlfn.XLOOKUP(A18,'Projection Assumptions'!$A$13:$A$31,'Projection Assumptions'!$C$13:$C$31),0)</f>
        <v>0.03</v>
      </c>
      <c r="F18" s="20">
        <f>IF(C18=2025,_xlfn.XLOOKUP(A18,'01 Industry Model'!$A$5:$A$23,'01 Industry Model'!$C$5:$C$23),F17*(1+D18)*(1+E18))</f>
        <v>61.9821016001784</v>
      </c>
      <c r="G18" s="5">
        <f>IFERROR(_xlfn.XLOOKUP(A18,'Projection Assumptions'!$A$13:$A$31,'Projection Assumptions'!$D$13:$D$31),0)</f>
        <v>0.05</v>
      </c>
      <c r="H18" s="5">
        <f>IF(C18=2025,"",IF(C18=2026,_xlfn.XLOOKUP(A18,'DATA Census'!$A$2:$A$20,'DATA Census'!$C$2:$C$20),MIN(1,H17+G18)))</f>
        <v>0.095</v>
      </c>
      <c r="I18" s="5">
        <f>MIN(1,MAX(0,_xlfn.XLOOKUP(A18,'01 Industry Model'!$A$5:$A$23,'01 Industry Model'!$H$5:$H$23)+(C18-2025)*_xlfn.XLOOKUP(A18,'Projection Assumptions'!$A$13:$A$31,'Projection Assumptions'!$E$13:$E$31)))</f>
        <v>0.181313989164855</v>
      </c>
      <c r="J18" s="20">
        <f t="shared" si="9"/>
        <v>11.2382220979497</v>
      </c>
      <c r="K18" s="20">
        <f t="shared" si="10"/>
        <v>1.06763109930522</v>
      </c>
      <c r="L18" s="29">
        <f>IF(C18=2025,IFERROR(_xlfn.XLOOKUP(A18,'DATA QCEW'!$A$2:$A$20,'DATA QCEW'!$F$2:$F$20),""),L17*(1+D18))</f>
        <v>1232892.66555174</v>
      </c>
      <c r="M18" s="29">
        <f t="shared" si="11"/>
        <v>223540.687403277</v>
      </c>
      <c r="N18" s="30">
        <f>IF(C18=2025,'Projection Assumptions'!$C$9,N17*(1+'Projection Assumptions'!$C$10))</f>
        <v>30</v>
      </c>
      <c r="O18" s="31">
        <f t="shared" si="12"/>
        <v>0.0804746474651796</v>
      </c>
      <c r="P18" s="29">
        <f t="shared" si="13"/>
        <v>21236.3653033113</v>
      </c>
      <c r="Q18" s="32">
        <f t="shared" si="14"/>
        <v>0.00764509150919206</v>
      </c>
    </row>
    <row r="19" spans="1:17">
      <c r="A19" t="s">
        <v>98</v>
      </c>
      <c r="B19" t="s">
        <v>99</v>
      </c>
      <c r="C19">
        <v>2027</v>
      </c>
      <c r="D19" s="5">
        <f>IFERROR(_xlfn.XLOOKUP(A19,'DATA BLS Projections'!$A$2:$A$20,'DATA BLS Projections'!$E$2:$E$20),0)</f>
        <v>0.00147404595950484</v>
      </c>
      <c r="E19" s="5">
        <f>IFERROR(_xlfn.XLOOKUP(A19,'Projection Assumptions'!$A$13:$A$31,'Projection Assumptions'!$C$13:$C$31),0)</f>
        <v>0.03</v>
      </c>
      <c r="F19" s="20">
        <f>IF(C19=2025,_xlfn.XLOOKUP(A19,'01 Industry Model'!$A$5:$A$23,'01 Industry Model'!$C$5:$C$23),F18*(1+D19)*(1+E19))</f>
        <v>63.9356700486018</v>
      </c>
      <c r="G19" s="5">
        <f>IFERROR(_xlfn.XLOOKUP(A19,'Projection Assumptions'!$A$13:$A$31,'Projection Assumptions'!$D$13:$D$31),0)</f>
        <v>0.05</v>
      </c>
      <c r="H19" s="5">
        <f>IF(C19=2025,"",IF(C19=2026,_xlfn.XLOOKUP(A19,'DATA Census'!$A$2:$A$20,'DATA Census'!$C$2:$C$20),MIN(1,H18+G19)))</f>
        <v>0.145</v>
      </c>
      <c r="I19" s="5">
        <f>MIN(1,MAX(0,_xlfn.XLOOKUP(A19,'01 Industry Model'!$A$5:$A$23,'01 Industry Model'!$H$5:$H$23)+(C19-2025)*_xlfn.XLOOKUP(A19,'Projection Assumptions'!$A$13:$A$31,'Projection Assumptions'!$E$13:$E$31)))</f>
        <v>0.181313989164855</v>
      </c>
      <c r="J19" s="20">
        <f t="shared" si="9"/>
        <v>11.5924313864399</v>
      </c>
      <c r="K19" s="20">
        <f t="shared" si="10"/>
        <v>1.68090255103379</v>
      </c>
      <c r="L19" s="29">
        <f>IF(C19=2025,IFERROR(_xlfn.XLOOKUP(A19,'DATA QCEW'!$A$2:$A$20,'DATA QCEW'!$F$2:$F$20),""),L18*(1+D19))</f>
        <v>1234710.0060039</v>
      </c>
      <c r="M19" s="29">
        <f t="shared" si="11"/>
        <v>223870.196650328</v>
      </c>
      <c r="N19" s="30">
        <f>IF(C19=2025,'Projection Assumptions'!$C$9,N18*(1+'Projection Assumptions'!$C$10))</f>
        <v>30</v>
      </c>
      <c r="O19" s="31">
        <f t="shared" si="12"/>
        <v>0.0805932707941182</v>
      </c>
      <c r="P19" s="29">
        <f t="shared" si="13"/>
        <v>32461.1785142976</v>
      </c>
      <c r="Q19" s="32">
        <f t="shared" si="14"/>
        <v>0.0116860242651471</v>
      </c>
    </row>
    <row r="20" spans="1:17">
      <c r="A20" t="s">
        <v>98</v>
      </c>
      <c r="B20" t="s">
        <v>99</v>
      </c>
      <c r="C20">
        <v>2028</v>
      </c>
      <c r="D20" s="5">
        <f>IFERROR(_xlfn.XLOOKUP(A20,'DATA BLS Projections'!$A$2:$A$20,'DATA BLS Projections'!$E$2:$E$20),0)</f>
        <v>0.00147404595950484</v>
      </c>
      <c r="E20" s="5">
        <f>IFERROR(_xlfn.XLOOKUP(A20,'Projection Assumptions'!$A$13:$A$31,'Projection Assumptions'!$C$13:$C$31),0)</f>
        <v>0.03</v>
      </c>
      <c r="F20" s="20">
        <f>IF(C20=2025,_xlfn.XLOOKUP(A20,'01 Industry Model'!$A$5:$A$23,'01 Industry Model'!$C$5:$C$23),F19*(1+D20)*(1+E20))</f>
        <v>65.9508115896464</v>
      </c>
      <c r="G20" s="5">
        <f>IFERROR(_xlfn.XLOOKUP(A20,'Projection Assumptions'!$A$13:$A$31,'Projection Assumptions'!$D$13:$D$31),0)</f>
        <v>0.05</v>
      </c>
      <c r="H20" s="5">
        <f>IF(C20=2025,"",IF(C20=2026,_xlfn.XLOOKUP(A20,'DATA Census'!$A$2:$A$20,'DATA Census'!$C$2:$C$20),MIN(1,H19+G20)))</f>
        <v>0.195</v>
      </c>
      <c r="I20" s="5">
        <f>MIN(1,MAX(0,_xlfn.XLOOKUP(A20,'01 Industry Model'!$A$5:$A$23,'01 Industry Model'!$H$5:$H$23)+(C20-2025)*_xlfn.XLOOKUP(A20,'Projection Assumptions'!$A$13:$A$31,'Projection Assumptions'!$E$13:$E$31)))</f>
        <v>0.181313989164855</v>
      </c>
      <c r="J20" s="20">
        <f t="shared" si="9"/>
        <v>11.9578047379785</v>
      </c>
      <c r="K20" s="20">
        <f t="shared" si="10"/>
        <v>2.33177192390582</v>
      </c>
      <c r="L20" s="29">
        <f>IF(C20=2025,IFERROR(_xlfn.XLOOKUP(A20,'DATA QCEW'!$A$2:$A$20,'DATA QCEW'!$F$2:$F$20),""),L19*(1+D20))</f>
        <v>1236530.02529941</v>
      </c>
      <c r="M20" s="29">
        <f t="shared" si="11"/>
        <v>224200.191609154</v>
      </c>
      <c r="N20" s="30">
        <f>IF(C20=2025,'Projection Assumptions'!$C$9,N19*(1+'Projection Assumptions'!$C$10))</f>
        <v>30</v>
      </c>
      <c r="O20" s="31">
        <f t="shared" si="12"/>
        <v>0.0807120689792955</v>
      </c>
      <c r="P20" s="29">
        <f t="shared" si="13"/>
        <v>43719.0373637851</v>
      </c>
      <c r="Q20" s="32">
        <f t="shared" si="14"/>
        <v>0.0157388534509626</v>
      </c>
    </row>
    <row r="21" spans="1:17">
      <c r="A21" t="s">
        <v>98</v>
      </c>
      <c r="B21" t="s">
        <v>99</v>
      </c>
      <c r="C21">
        <v>2029</v>
      </c>
      <c r="D21" s="5">
        <f>IFERROR(_xlfn.XLOOKUP(A21,'DATA BLS Projections'!$A$2:$A$20,'DATA BLS Projections'!$E$2:$E$20),0)</f>
        <v>0.00147404595950484</v>
      </c>
      <c r="E21" s="5">
        <f>IFERROR(_xlfn.XLOOKUP(A21,'Projection Assumptions'!$A$13:$A$31,'Projection Assumptions'!$C$13:$C$31),0)</f>
        <v>0.03</v>
      </c>
      <c r="F21" s="20">
        <f>IF(C21=2025,_xlfn.XLOOKUP(A21,'01 Industry Model'!$A$5:$A$23,'01 Industry Model'!$C$5:$C$23),F20*(1+D21)*(1+E21))</f>
        <v>68.029466900506</v>
      </c>
      <c r="G21" s="5">
        <f>IFERROR(_xlfn.XLOOKUP(A21,'Projection Assumptions'!$A$13:$A$31,'Projection Assumptions'!$D$13:$D$31),0)</f>
        <v>0.05</v>
      </c>
      <c r="H21" s="5">
        <f>IF(C21=2025,"",IF(C21=2026,_xlfn.XLOOKUP(A21,'DATA Census'!$A$2:$A$20,'DATA Census'!$C$2:$C$20),MIN(1,H20+G21)))</f>
        <v>0.245</v>
      </c>
      <c r="I21" s="5">
        <f>MIN(1,MAX(0,_xlfn.XLOOKUP(A21,'01 Industry Model'!$A$5:$A$23,'01 Industry Model'!$H$5:$H$23)+(C21-2025)*_xlfn.XLOOKUP(A21,'Projection Assumptions'!$A$13:$A$31,'Projection Assumptions'!$E$13:$E$31)))</f>
        <v>0.181313989164855</v>
      </c>
      <c r="J21" s="20">
        <f t="shared" si="9"/>
        <v>12.3346940244892</v>
      </c>
      <c r="K21" s="20">
        <f t="shared" si="10"/>
        <v>3.02200003599986</v>
      </c>
      <c r="L21" s="29">
        <f>IF(C21=2025,IFERROR(_xlfn.XLOOKUP(A21,'DATA QCEW'!$A$2:$A$20,'DATA QCEW'!$F$2:$F$20),""),L20*(1+D21))</f>
        <v>1238352.727387</v>
      </c>
      <c r="M21" s="29">
        <f t="shared" si="11"/>
        <v>224530.672995716</v>
      </c>
      <c r="N21" s="30">
        <f>IF(C21=2025,'Projection Assumptions'!$C$9,N20*(1+'Projection Assumptions'!$C$10))</f>
        <v>30</v>
      </c>
      <c r="O21" s="31">
        <f t="shared" si="12"/>
        <v>0.0808310422784578</v>
      </c>
      <c r="P21" s="29">
        <f t="shared" si="13"/>
        <v>55010.0148839504</v>
      </c>
      <c r="Q21" s="32">
        <f t="shared" si="14"/>
        <v>0.0198036053582222</v>
      </c>
    </row>
    <row r="22" spans="1:17">
      <c r="A22" t="s">
        <v>98</v>
      </c>
      <c r="B22" t="s">
        <v>99</v>
      </c>
      <c r="C22">
        <v>2030</v>
      </c>
      <c r="D22" s="5">
        <f>IFERROR(_xlfn.XLOOKUP(A22,'DATA BLS Projections'!$A$2:$A$20,'DATA BLS Projections'!$E$2:$E$20),0)</f>
        <v>0.00147404595950484</v>
      </c>
      <c r="E22" s="5">
        <f>IFERROR(_xlfn.XLOOKUP(A22,'Projection Assumptions'!$A$13:$A$31,'Projection Assumptions'!$C$13:$C$31),0)</f>
        <v>0.03</v>
      </c>
      <c r="F22" s="20">
        <f>IF(C22=2025,_xlfn.XLOOKUP(A22,'01 Industry Model'!$A$5:$A$23,'01 Industry Model'!$C$5:$C$23),F21*(1+D22)*(1+E22))</f>
        <v>70.1736378251575</v>
      </c>
      <c r="G22" s="5">
        <f>IFERROR(_xlfn.XLOOKUP(A22,'Projection Assumptions'!$A$13:$A$31,'Projection Assumptions'!$D$13:$D$31),0)</f>
        <v>0.05</v>
      </c>
      <c r="H22" s="5">
        <f>IF(C22=2025,"",IF(C22=2026,_xlfn.XLOOKUP(A22,'DATA Census'!$A$2:$A$20,'DATA Census'!$C$2:$C$20),MIN(1,H21+G22)))</f>
        <v>0.295</v>
      </c>
      <c r="I22" s="5">
        <f>MIN(1,MAX(0,_xlfn.XLOOKUP(A22,'01 Industry Model'!$A$5:$A$23,'01 Industry Model'!$H$5:$H$23)+(C22-2025)*_xlfn.XLOOKUP(A22,'Projection Assumptions'!$A$13:$A$31,'Projection Assumptions'!$E$13:$E$31)))</f>
        <v>0.181313989164855</v>
      </c>
      <c r="J22" s="20">
        <f t="shared" si="9"/>
        <v>12.7234622082891</v>
      </c>
      <c r="K22" s="20">
        <f t="shared" si="10"/>
        <v>3.75342135144528</v>
      </c>
      <c r="L22" s="29">
        <f>IF(C22=2025,IFERROR(_xlfn.XLOOKUP(A22,'DATA QCEW'!$A$2:$A$20,'DATA QCEW'!$F$2:$F$20),""),L21*(1+D22))</f>
        <v>1240178.11622125</v>
      </c>
      <c r="M22" s="29">
        <f t="shared" si="11"/>
        <v>224861.64152703</v>
      </c>
      <c r="N22" s="30">
        <f>IF(C22=2025,'Projection Assumptions'!$C$9,N21*(1+'Projection Assumptions'!$C$10))</f>
        <v>30</v>
      </c>
      <c r="O22" s="31">
        <f t="shared" si="12"/>
        <v>0.0809501909497309</v>
      </c>
      <c r="P22" s="29">
        <f t="shared" si="13"/>
        <v>66334.1842504739</v>
      </c>
      <c r="Q22" s="32">
        <f t="shared" si="14"/>
        <v>0.0238803063301706</v>
      </c>
    </row>
    <row r="23" spans="1:17">
      <c r="A23" t="s">
        <v>100</v>
      </c>
      <c r="B23" t="s">
        <v>101</v>
      </c>
      <c r="C23">
        <v>2025</v>
      </c>
      <c r="D23" s="5">
        <f>IFERROR(_xlfn.XLOOKUP(A23,'DATA BLS Projections'!$A$2:$A$20,'DATA BLS Projections'!$E$2:$E$20),0)</f>
        <v>0.000660630670128004</v>
      </c>
      <c r="E23" s="5">
        <f>IFERROR(_xlfn.XLOOKUP(A23,'Projection Assumptions'!$A$13:$A$31,'Projection Assumptions'!$C$13:$C$31),0)</f>
        <v>0.03</v>
      </c>
      <c r="F23" s="20">
        <f>IF(C23=2025,_xlfn.XLOOKUP(A23,'01 Industry Model'!$A$5:$A$23,'01 Industry Model'!$C$5:$C$23),F22*(1+D23)*(1+E23))</f>
        <v>76.216722054</v>
      </c>
      <c r="G23" s="5">
        <f>IFERROR(_xlfn.XLOOKUP(A23,'Projection Assumptions'!$A$13:$A$31,'Projection Assumptions'!$D$13:$D$31),0)</f>
        <v>0.05</v>
      </c>
      <c r="H23" s="5" t="str">
        <f>IF(C23=2025,"",IF(C23=2026,_xlfn.XLOOKUP(A23,'DATA Census'!$A$2:$A$20,'DATA Census'!$C$2:$C$20),MIN(1,H22+G23)))</f>
        <v/>
      </c>
      <c r="I23" s="5">
        <f>MIN(1,MAX(0,_xlfn.XLOOKUP(A23,'01 Industry Model'!$A$5:$A$23,'01 Industry Model'!$H$5:$H$23)+(C23-2025)*_xlfn.XLOOKUP(A23,'Projection Assumptions'!$A$13:$A$31,'Projection Assumptions'!$E$13:$E$31)))</f>
        <v>0.290264331128463</v>
      </c>
      <c r="J23" s="20">
        <f t="shared" si="9"/>
        <v>22.1229958478083</v>
      </c>
      <c r="K23" s="20" t="str">
        <f t="shared" si="10"/>
        <v/>
      </c>
      <c r="L23" s="29">
        <f>IF(C23=2025,IFERROR(_xlfn.XLOOKUP(A23,'DATA QCEW'!$A$2:$A$20,'DATA QCEW'!$F$2:$F$20),""),L22*(1+D23))</f>
        <v>570806</v>
      </c>
      <c r="M23" s="29">
        <f t="shared" si="11"/>
        <v>165684.621794113</v>
      </c>
      <c r="N23" s="30">
        <f>IF(C23=2025,'Projection Assumptions'!$C$9,N22*(1+'Projection Assumptions'!$C$10))</f>
        <v>30</v>
      </c>
      <c r="O23" s="31">
        <f t="shared" si="12"/>
        <v>0.0596464638458808</v>
      </c>
      <c r="P23" s="29" t="str">
        <f t="shared" si="13"/>
        <v/>
      </c>
      <c r="Q23" s="32" t="str">
        <f t="shared" si="14"/>
        <v/>
      </c>
    </row>
    <row r="24" spans="1:17">
      <c r="A24" t="s">
        <v>100</v>
      </c>
      <c r="B24" t="s">
        <v>101</v>
      </c>
      <c r="C24">
        <v>2026</v>
      </c>
      <c r="D24" s="5">
        <f>IFERROR(_xlfn.XLOOKUP(A24,'DATA BLS Projections'!$A$2:$A$20,'DATA BLS Projections'!$E$2:$E$20),0)</f>
        <v>0.000660630670128004</v>
      </c>
      <c r="E24" s="5">
        <f>IFERROR(_xlfn.XLOOKUP(A24,'Projection Assumptions'!$A$13:$A$31,'Projection Assumptions'!$C$13:$C$31),0)</f>
        <v>0.03</v>
      </c>
      <c r="F24" s="20">
        <f>IF(C24=2025,_xlfn.XLOOKUP(A24,'01 Industry Model'!$A$5:$A$23,'01 Industry Model'!$C$5:$C$23),F23*(1+D24)*(1+E24))</f>
        <v>78.5550853529105</v>
      </c>
      <c r="G24" s="5">
        <f>IFERROR(_xlfn.XLOOKUP(A24,'Projection Assumptions'!$A$13:$A$31,'Projection Assumptions'!$D$13:$D$31),0)</f>
        <v>0.05</v>
      </c>
      <c r="H24" s="5">
        <f>IF(C24=2025,"",IF(C24=2026,_xlfn.XLOOKUP(A24,'DATA Census'!$A$2:$A$20,'DATA Census'!$C$2:$C$20),MIN(1,H23+G24)))</f>
        <v>0.13</v>
      </c>
      <c r="I24" s="5">
        <f>MIN(1,MAX(0,_xlfn.XLOOKUP(A24,'01 Industry Model'!$A$5:$A$23,'01 Industry Model'!$H$5:$H$23)+(C24-2025)*_xlfn.XLOOKUP(A24,'Projection Assumptions'!$A$13:$A$31,'Projection Assumptions'!$E$13:$E$31)))</f>
        <v>0.290264331128463</v>
      </c>
      <c r="J24" s="20">
        <f t="shared" si="9"/>
        <v>22.8017393067019</v>
      </c>
      <c r="K24" s="20">
        <f t="shared" si="10"/>
        <v>2.96422610987124</v>
      </c>
      <c r="L24" s="29">
        <f>IF(C24=2025,IFERROR(_xlfn.XLOOKUP(A24,'DATA QCEW'!$A$2:$A$20,'DATA QCEW'!$F$2:$F$20),""),L23*(1+D24))</f>
        <v>571183.091950293</v>
      </c>
      <c r="M24" s="29">
        <f t="shared" si="11"/>
        <v>165794.078136839</v>
      </c>
      <c r="N24" s="30">
        <f>IF(C24=2025,'Projection Assumptions'!$C$9,N23*(1+'Projection Assumptions'!$C$10))</f>
        <v>30</v>
      </c>
      <c r="O24" s="31">
        <f t="shared" si="12"/>
        <v>0.0596858681292621</v>
      </c>
      <c r="P24" s="29">
        <f t="shared" si="13"/>
        <v>21553.2301577891</v>
      </c>
      <c r="Q24" s="32">
        <f t="shared" si="14"/>
        <v>0.00775916285680407</v>
      </c>
    </row>
    <row r="25" spans="1:17">
      <c r="A25" t="s">
        <v>100</v>
      </c>
      <c r="B25" t="s">
        <v>101</v>
      </c>
      <c r="C25">
        <v>2027</v>
      </c>
      <c r="D25" s="5">
        <f>IFERROR(_xlfn.XLOOKUP(A25,'DATA BLS Projections'!$A$2:$A$20,'DATA BLS Projections'!$E$2:$E$20),0)</f>
        <v>0.000660630670128004</v>
      </c>
      <c r="E25" s="5">
        <f>IFERROR(_xlfn.XLOOKUP(A25,'Projection Assumptions'!$A$13:$A$31,'Projection Assumptions'!$C$13:$C$31),0)</f>
        <v>0.03</v>
      </c>
      <c r="F25" s="20">
        <f>IF(C25=2025,_xlfn.XLOOKUP(A25,'01 Industry Model'!$A$5:$A$23,'01 Industry Model'!$C$5:$C$23),F24*(1+D25)*(1+E25))</f>
        <v>80.9651906891368</v>
      </c>
      <c r="G25" s="5">
        <f>IFERROR(_xlfn.XLOOKUP(A25,'Projection Assumptions'!$A$13:$A$31,'Projection Assumptions'!$D$13:$D$31),0)</f>
        <v>0.05</v>
      </c>
      <c r="H25" s="5">
        <f>IF(C25=2025,"",IF(C25=2026,_xlfn.XLOOKUP(A25,'DATA Census'!$A$2:$A$20,'DATA Census'!$C$2:$C$20),MIN(1,H24+G25)))</f>
        <v>0.18</v>
      </c>
      <c r="I25" s="5">
        <f>MIN(1,MAX(0,_xlfn.XLOOKUP(A25,'01 Industry Model'!$A$5:$A$23,'01 Industry Model'!$H$5:$H$23)+(C25-2025)*_xlfn.XLOOKUP(A25,'Projection Assumptions'!$A$13:$A$31,'Projection Assumptions'!$E$13:$E$31)))</f>
        <v>0.290264331128463</v>
      </c>
      <c r="J25" s="20">
        <f t="shared" si="9"/>
        <v>23.5013069200707</v>
      </c>
      <c r="K25" s="20">
        <f t="shared" si="10"/>
        <v>4.23023524561273</v>
      </c>
      <c r="L25" s="29">
        <f>IF(C25=2025,IFERROR(_xlfn.XLOOKUP(A25,'DATA QCEW'!$A$2:$A$20,'DATA QCEW'!$F$2:$F$20),""),L24*(1+D25))</f>
        <v>571560.433019094</v>
      </c>
      <c r="M25" s="29">
        <f t="shared" si="11"/>
        <v>165903.606789782</v>
      </c>
      <c r="N25" s="30">
        <f>IF(C25=2025,'Projection Assumptions'!$C$9,N24*(1+'Projection Assumptions'!$C$10))</f>
        <v>30</v>
      </c>
      <c r="O25" s="31">
        <f t="shared" si="12"/>
        <v>0.0597252984443215</v>
      </c>
      <c r="P25" s="29">
        <f t="shared" si="13"/>
        <v>29862.6492221607</v>
      </c>
      <c r="Q25" s="32">
        <f t="shared" si="14"/>
        <v>0.0107505537199779</v>
      </c>
    </row>
    <row r="26" spans="1:17">
      <c r="A26" t="s">
        <v>100</v>
      </c>
      <c r="B26" t="s">
        <v>101</v>
      </c>
      <c r="C26">
        <v>2028</v>
      </c>
      <c r="D26" s="5">
        <f>IFERROR(_xlfn.XLOOKUP(A26,'DATA BLS Projections'!$A$2:$A$20,'DATA BLS Projections'!$E$2:$E$20),0)</f>
        <v>0.000660630670128004</v>
      </c>
      <c r="E26" s="5">
        <f>IFERROR(_xlfn.XLOOKUP(A26,'Projection Assumptions'!$A$13:$A$31,'Projection Assumptions'!$C$13:$C$31),0)</f>
        <v>0.03</v>
      </c>
      <c r="F26" s="20">
        <f>IF(C26=2025,_xlfn.XLOOKUP(A26,'01 Industry Model'!$A$5:$A$23,'01 Industry Model'!$C$5:$C$23),F25*(1+D26)*(1+E26))</f>
        <v>83.4492391406384</v>
      </c>
      <c r="G26" s="5">
        <f>IFERROR(_xlfn.XLOOKUP(A26,'Projection Assumptions'!$A$13:$A$31,'Projection Assumptions'!$D$13:$D$31),0)</f>
        <v>0.05</v>
      </c>
      <c r="H26" s="5">
        <f>IF(C26=2025,"",IF(C26=2026,_xlfn.XLOOKUP(A26,'DATA Census'!$A$2:$A$20,'DATA Census'!$C$2:$C$20),MIN(1,H25+G26)))</f>
        <v>0.23</v>
      </c>
      <c r="I26" s="5">
        <f>MIN(1,MAX(0,_xlfn.XLOOKUP(A26,'01 Industry Model'!$A$5:$A$23,'01 Industry Model'!$H$5:$H$23)+(C26-2025)*_xlfn.XLOOKUP(A26,'Projection Assumptions'!$A$13:$A$31,'Projection Assumptions'!$E$13:$E$31)))</f>
        <v>0.290264331128463</v>
      </c>
      <c r="J26" s="20">
        <f t="shared" si="9"/>
        <v>24.2223375823365</v>
      </c>
      <c r="K26" s="20">
        <f t="shared" si="10"/>
        <v>5.5711376439374</v>
      </c>
      <c r="L26" s="29">
        <f>IF(C26=2025,IFERROR(_xlfn.XLOOKUP(A26,'DATA QCEW'!$A$2:$A$20,'DATA QCEW'!$F$2:$F$20),""),L25*(1+D26))</f>
        <v>571938.023370978</v>
      </c>
      <c r="M26" s="29">
        <f t="shared" si="11"/>
        <v>166013.207800712</v>
      </c>
      <c r="N26" s="30">
        <f>IF(C26=2025,'Projection Assumptions'!$C$9,N25*(1+'Projection Assumptions'!$C$10))</f>
        <v>30</v>
      </c>
      <c r="O26" s="31">
        <f t="shared" si="12"/>
        <v>0.0597647548082563</v>
      </c>
      <c r="P26" s="29">
        <f t="shared" si="13"/>
        <v>38183.0377941638</v>
      </c>
      <c r="Q26" s="32">
        <f t="shared" si="14"/>
        <v>0.013745893605899</v>
      </c>
    </row>
    <row r="27" spans="1:17">
      <c r="A27" t="s">
        <v>100</v>
      </c>
      <c r="B27" t="s">
        <v>101</v>
      </c>
      <c r="C27">
        <v>2029</v>
      </c>
      <c r="D27" s="5">
        <f>IFERROR(_xlfn.XLOOKUP(A27,'DATA BLS Projections'!$A$2:$A$20,'DATA BLS Projections'!$E$2:$E$20),0)</f>
        <v>0.000660630670128004</v>
      </c>
      <c r="E27" s="5">
        <f>IFERROR(_xlfn.XLOOKUP(A27,'Projection Assumptions'!$A$13:$A$31,'Projection Assumptions'!$C$13:$C$31),0)</f>
        <v>0.03</v>
      </c>
      <c r="F27" s="20">
        <f>IF(C27=2025,_xlfn.XLOOKUP(A27,'01 Industry Model'!$A$5:$A$23,'01 Industry Model'!$C$5:$C$23),F26*(1+D27)*(1+E27))</f>
        <v>86.0094993154359</v>
      </c>
      <c r="G27" s="5">
        <f>IFERROR(_xlfn.XLOOKUP(A27,'Projection Assumptions'!$A$13:$A$31,'Projection Assumptions'!$D$13:$D$31),0)</f>
        <v>0.05</v>
      </c>
      <c r="H27" s="5">
        <f>IF(C27=2025,"",IF(C27=2026,_xlfn.XLOOKUP(A27,'DATA Census'!$A$2:$A$20,'DATA Census'!$C$2:$C$20),MIN(1,H26+G27)))</f>
        <v>0.28</v>
      </c>
      <c r="I27" s="5">
        <f>MIN(1,MAX(0,_xlfn.XLOOKUP(A27,'01 Industry Model'!$A$5:$A$23,'01 Industry Model'!$H$5:$H$23)+(C27-2025)*_xlfn.XLOOKUP(A27,'Projection Assumptions'!$A$13:$A$31,'Projection Assumptions'!$E$13:$E$31)))</f>
        <v>0.290264331128463</v>
      </c>
      <c r="J27" s="20">
        <f t="shared" si="9"/>
        <v>24.965489789489</v>
      </c>
      <c r="K27" s="20">
        <f t="shared" si="10"/>
        <v>6.99033714105692</v>
      </c>
      <c r="L27" s="29">
        <f>IF(C27=2025,IFERROR(_xlfn.XLOOKUP(A27,'DATA QCEW'!$A$2:$A$20,'DATA QCEW'!$F$2:$F$20),""),L26*(1+D27))</f>
        <v>572315.863170629</v>
      </c>
      <c r="M27" s="29">
        <f t="shared" si="11"/>
        <v>166122.881217432</v>
      </c>
      <c r="N27" s="30">
        <f>IF(C27=2025,'Projection Assumptions'!$C$9,N26*(1+'Projection Assumptions'!$C$10))</f>
        <v>30</v>
      </c>
      <c r="O27" s="31">
        <f t="shared" si="12"/>
        <v>0.0598042372382754</v>
      </c>
      <c r="P27" s="29">
        <f t="shared" si="13"/>
        <v>46514.4067408808</v>
      </c>
      <c r="Q27" s="32">
        <f t="shared" si="14"/>
        <v>0.0167451864267171</v>
      </c>
    </row>
    <row r="28" spans="1:17">
      <c r="A28" t="s">
        <v>100</v>
      </c>
      <c r="B28" t="s">
        <v>101</v>
      </c>
      <c r="C28">
        <v>2030</v>
      </c>
      <c r="D28" s="5">
        <f>IFERROR(_xlfn.XLOOKUP(A28,'DATA BLS Projections'!$A$2:$A$20,'DATA BLS Projections'!$E$2:$E$20),0)</f>
        <v>0.000660630670128004</v>
      </c>
      <c r="E28" s="5">
        <f>IFERROR(_xlfn.XLOOKUP(A28,'Projection Assumptions'!$A$13:$A$31,'Projection Assumptions'!$C$13:$C$31),0)</f>
        <v>0.03</v>
      </c>
      <c r="F28" s="20">
        <f>IF(C28=2025,_xlfn.XLOOKUP(A28,'01 Industry Model'!$A$5:$A$23,'01 Industry Model'!$C$5:$C$23),F27*(1+D28)*(1+E28))</f>
        <v>88.6483094234643</v>
      </c>
      <c r="G28" s="5">
        <f>IFERROR(_xlfn.XLOOKUP(A28,'Projection Assumptions'!$A$13:$A$31,'Projection Assumptions'!$D$13:$D$31),0)</f>
        <v>0.05</v>
      </c>
      <c r="H28" s="5">
        <f>IF(C28=2025,"",IF(C28=2026,_xlfn.XLOOKUP(A28,'DATA Census'!$A$2:$A$20,'DATA Census'!$C$2:$C$20),MIN(1,H27+G28)))</f>
        <v>0.33</v>
      </c>
      <c r="I28" s="5">
        <f>MIN(1,MAX(0,_xlfn.XLOOKUP(A28,'01 Industry Model'!$A$5:$A$23,'01 Industry Model'!$H$5:$H$23)+(C28-2025)*_xlfn.XLOOKUP(A28,'Projection Assumptions'!$A$13:$A$31,'Projection Assumptions'!$E$13:$E$31)))</f>
        <v>0.290264331128463</v>
      </c>
      <c r="J28" s="20">
        <f t="shared" si="9"/>
        <v>25.7314422404709</v>
      </c>
      <c r="K28" s="20">
        <f t="shared" si="10"/>
        <v>8.49137593935538</v>
      </c>
      <c r="L28" s="29">
        <f>IF(C28=2025,IFERROR(_xlfn.XLOOKUP(A28,'DATA QCEW'!$A$2:$A$20,'DATA QCEW'!$F$2:$F$20),""),L27*(1+D28))</f>
        <v>572693.952582841</v>
      </c>
      <c r="M28" s="29">
        <f t="shared" si="11"/>
        <v>166232.627087774</v>
      </c>
      <c r="N28" s="30">
        <f>IF(C28=2025,'Projection Assumptions'!$C$9,N27*(1+'Projection Assumptions'!$C$10))</f>
        <v>30</v>
      </c>
      <c r="O28" s="31">
        <f t="shared" si="12"/>
        <v>0.0598437457515986</v>
      </c>
      <c r="P28" s="29">
        <f t="shared" si="13"/>
        <v>54856.7669389654</v>
      </c>
      <c r="Q28" s="32">
        <f t="shared" si="14"/>
        <v>0.0197484360980275</v>
      </c>
    </row>
    <row r="29" spans="1:17">
      <c r="A29" t="s">
        <v>102</v>
      </c>
      <c r="B29" t="s">
        <v>103</v>
      </c>
      <c r="C29">
        <v>2025</v>
      </c>
      <c r="D29" s="5">
        <f>IFERROR(_xlfn.XLOOKUP(A29,'DATA BLS Projections'!$A$2:$A$20,'DATA BLS Projections'!$E$2:$E$20),0)</f>
        <v>0.00937339371827695</v>
      </c>
      <c r="E29" s="5">
        <f>IFERROR(_xlfn.XLOOKUP(A29,'Projection Assumptions'!$A$13:$A$31,'Projection Assumptions'!$C$13:$C$31),0)</f>
        <v>0.03</v>
      </c>
      <c r="F29" s="20">
        <f>IF(C29=2025,_xlfn.XLOOKUP(A29,'01 Industry Model'!$A$5:$A$23,'01 Industry Model'!$C$5:$C$23),F28*(1+D29)*(1+E29))</f>
        <v>85.024861666</v>
      </c>
      <c r="G29" s="5">
        <f>IFERROR(_xlfn.XLOOKUP(A29,'Projection Assumptions'!$A$13:$A$31,'Projection Assumptions'!$D$13:$D$31),0)</f>
        <v>0.05</v>
      </c>
      <c r="H29" s="5" t="str">
        <f>IF(C29=2025,"",IF(C29=2026,_xlfn.XLOOKUP(A29,'DATA Census'!$A$2:$A$20,'DATA Census'!$C$2:$C$20),MIN(1,H28+G29)))</f>
        <v/>
      </c>
      <c r="I29" s="5">
        <f>MIN(1,MAX(0,_xlfn.XLOOKUP(A29,'01 Industry Model'!$A$5:$A$23,'01 Industry Model'!$H$5:$H$23)+(C29-2025)*_xlfn.XLOOKUP(A29,'Projection Assumptions'!$A$13:$A$31,'Projection Assumptions'!$E$13:$E$31)))</f>
        <v>0.366449596537988</v>
      </c>
      <c r="J29" s="20">
        <f t="shared" si="9"/>
        <v>31.1573262532039</v>
      </c>
      <c r="K29" s="20" t="str">
        <f t="shared" si="10"/>
        <v/>
      </c>
      <c r="L29" s="29">
        <f>IF(C29=2025,IFERROR(_xlfn.XLOOKUP(A29,'DATA QCEW'!$A$2:$A$20,'DATA QCEW'!$F$2:$F$20),""),L28*(1+D29))</f>
        <v>602080</v>
      </c>
      <c r="M29" s="29">
        <f t="shared" si="11"/>
        <v>220631.973083592</v>
      </c>
      <c r="N29" s="30">
        <f>IF(C29=2025,'Projection Assumptions'!$C$9,N28*(1+'Projection Assumptions'!$C$10))</f>
        <v>30</v>
      </c>
      <c r="O29" s="31">
        <f t="shared" si="12"/>
        <v>0.079427510310093</v>
      </c>
      <c r="P29" s="29" t="str">
        <f t="shared" si="13"/>
        <v/>
      </c>
      <c r="Q29" s="32" t="str">
        <f t="shared" si="14"/>
        <v/>
      </c>
    </row>
    <row r="30" spans="1:17">
      <c r="A30" t="s">
        <v>102</v>
      </c>
      <c r="B30" t="s">
        <v>103</v>
      </c>
      <c r="C30">
        <v>2026</v>
      </c>
      <c r="D30" s="5">
        <f>IFERROR(_xlfn.XLOOKUP(A30,'DATA BLS Projections'!$A$2:$A$20,'DATA BLS Projections'!$E$2:$E$20),0)</f>
        <v>0.00937339371827695</v>
      </c>
      <c r="E30" s="5">
        <f>IFERROR(_xlfn.XLOOKUP(A30,'Projection Assumptions'!$A$13:$A$31,'Projection Assumptions'!$C$13:$C$31),0)</f>
        <v>0.03</v>
      </c>
      <c r="F30" s="20">
        <f>IF(C30=2025,_xlfn.XLOOKUP(A30,'01 Industry Model'!$A$5:$A$23,'01 Industry Model'!$C$5:$C$23),F29*(1+D30)*(1+E30))</f>
        <v>88.3964881653446</v>
      </c>
      <c r="G30" s="5">
        <f>IFERROR(_xlfn.XLOOKUP(A30,'Projection Assumptions'!$A$13:$A$31,'Projection Assumptions'!$D$13:$D$31),0)</f>
        <v>0.05</v>
      </c>
      <c r="H30" s="5">
        <f>IF(C30=2025,"",IF(C30=2026,_xlfn.XLOOKUP(A30,'DATA Census'!$A$2:$A$20,'DATA Census'!$C$2:$C$20),MIN(1,H29+G30)))</f>
        <v>0.167</v>
      </c>
      <c r="I30" s="5">
        <f>MIN(1,MAX(0,_xlfn.XLOOKUP(A30,'01 Industry Model'!$A$5:$A$23,'01 Industry Model'!$H$5:$H$23)+(C30-2025)*_xlfn.XLOOKUP(A30,'Projection Assumptions'!$A$13:$A$31,'Projection Assumptions'!$E$13:$E$31)))</f>
        <v>0.366449596537988</v>
      </c>
      <c r="J30" s="20">
        <f t="shared" si="9"/>
        <v>32.3928574235655</v>
      </c>
      <c r="K30" s="20">
        <f t="shared" si="10"/>
        <v>5.40960718973544</v>
      </c>
      <c r="L30" s="29">
        <f>IF(C30=2025,IFERROR(_xlfn.XLOOKUP(A30,'DATA QCEW'!$A$2:$A$20,'DATA QCEW'!$F$2:$F$20),""),L29*(1+D30))</f>
        <v>607723.5328899</v>
      </c>
      <c r="M30" s="29">
        <f t="shared" si="11"/>
        <v>222700.043434144</v>
      </c>
      <c r="N30" s="30">
        <f>IF(C30=2025,'Projection Assumptions'!$C$9,N29*(1+'Projection Assumptions'!$C$10))</f>
        <v>30</v>
      </c>
      <c r="O30" s="31">
        <f t="shared" si="12"/>
        <v>0.080172015636292</v>
      </c>
      <c r="P30" s="29">
        <f t="shared" si="13"/>
        <v>37190.9072535021</v>
      </c>
      <c r="Q30" s="32">
        <f t="shared" si="14"/>
        <v>0.0133887266112608</v>
      </c>
    </row>
    <row r="31" spans="1:17">
      <c r="A31" t="s">
        <v>102</v>
      </c>
      <c r="B31" t="s">
        <v>103</v>
      </c>
      <c r="C31">
        <v>2027</v>
      </c>
      <c r="D31" s="5">
        <f>IFERROR(_xlfn.XLOOKUP(A31,'DATA BLS Projections'!$A$2:$A$20,'DATA BLS Projections'!$E$2:$E$20),0)</f>
        <v>0.00937339371827695</v>
      </c>
      <c r="E31" s="5">
        <f>IFERROR(_xlfn.XLOOKUP(A31,'Projection Assumptions'!$A$13:$A$31,'Projection Assumptions'!$C$13:$C$31),0)</f>
        <v>0.03</v>
      </c>
      <c r="F31" s="20">
        <f>IF(C31=2025,_xlfn.XLOOKUP(A31,'01 Industry Model'!$A$5:$A$23,'01 Industry Model'!$C$5:$C$23),F30*(1+D31)*(1+E31))</f>
        <v>91.9018151497983</v>
      </c>
      <c r="G31" s="5">
        <f>IFERROR(_xlfn.XLOOKUP(A31,'Projection Assumptions'!$A$13:$A$31,'Projection Assumptions'!$D$13:$D$31),0)</f>
        <v>0.05</v>
      </c>
      <c r="H31" s="5">
        <f>IF(C31=2025,"",IF(C31=2026,_xlfn.XLOOKUP(A31,'DATA Census'!$A$2:$A$20,'DATA Census'!$C$2:$C$20),MIN(1,H30+G31)))</f>
        <v>0.217</v>
      </c>
      <c r="I31" s="5">
        <f>MIN(1,MAX(0,_xlfn.XLOOKUP(A31,'01 Industry Model'!$A$5:$A$23,'01 Industry Model'!$H$5:$H$23)+(C31-2025)*_xlfn.XLOOKUP(A31,'Projection Assumptions'!$A$13:$A$31,'Projection Assumptions'!$E$13:$E$31)))</f>
        <v>0.366449596537988</v>
      </c>
      <c r="J31" s="20">
        <f t="shared" si="9"/>
        <v>33.6773830827523</v>
      </c>
      <c r="K31" s="20">
        <f t="shared" si="10"/>
        <v>7.30799212895725</v>
      </c>
      <c r="L31" s="29">
        <f>IF(C31=2025,IFERROR(_xlfn.XLOOKUP(A31,'DATA QCEW'!$A$2:$A$20,'DATA QCEW'!$F$2:$F$20),""),L30*(1+D31))</f>
        <v>613419.964835539</v>
      </c>
      <c r="M31" s="29">
        <f t="shared" si="11"/>
        <v>224787.49862233</v>
      </c>
      <c r="N31" s="30">
        <f>IF(C31=2025,'Projection Assumptions'!$C$9,N30*(1+'Projection Assumptions'!$C$10))</f>
        <v>30</v>
      </c>
      <c r="O31" s="31">
        <f t="shared" si="12"/>
        <v>0.0809234995040388</v>
      </c>
      <c r="P31" s="29">
        <f t="shared" si="13"/>
        <v>48778.8872010456</v>
      </c>
      <c r="Q31" s="32">
        <f t="shared" si="14"/>
        <v>0.0175603993923764</v>
      </c>
    </row>
    <row r="32" spans="1:17">
      <c r="A32" t="s">
        <v>102</v>
      </c>
      <c r="B32" t="s">
        <v>103</v>
      </c>
      <c r="C32">
        <v>2028</v>
      </c>
      <c r="D32" s="5">
        <f>IFERROR(_xlfn.XLOOKUP(A32,'DATA BLS Projections'!$A$2:$A$20,'DATA BLS Projections'!$E$2:$E$20),0)</f>
        <v>0.00937339371827695</v>
      </c>
      <c r="E32" s="5">
        <f>IFERROR(_xlfn.XLOOKUP(A32,'Projection Assumptions'!$A$13:$A$31,'Projection Assumptions'!$C$13:$C$31),0)</f>
        <v>0.03</v>
      </c>
      <c r="F32" s="20">
        <f>IF(C32=2025,_xlfn.XLOOKUP(A32,'01 Industry Model'!$A$5:$A$23,'01 Industry Model'!$C$5:$C$23),F31*(1+D32)*(1+E32))</f>
        <v>95.5461444580203</v>
      </c>
      <c r="G32" s="5">
        <f>IFERROR(_xlfn.XLOOKUP(A32,'Projection Assumptions'!$A$13:$A$31,'Projection Assumptions'!$D$13:$D$31),0)</f>
        <v>0.05</v>
      </c>
      <c r="H32" s="5">
        <f>IF(C32=2025,"",IF(C32=2026,_xlfn.XLOOKUP(A32,'DATA Census'!$A$2:$A$20,'DATA Census'!$C$2:$C$20),MIN(1,H31+G32)))</f>
        <v>0.267</v>
      </c>
      <c r="I32" s="5">
        <f>MIN(1,MAX(0,_xlfn.XLOOKUP(A32,'01 Industry Model'!$A$5:$A$23,'01 Industry Model'!$H$5:$H$23)+(C32-2025)*_xlfn.XLOOKUP(A32,'Projection Assumptions'!$A$13:$A$31,'Projection Assumptions'!$E$13:$E$31)))</f>
        <v>0.366449596537988</v>
      </c>
      <c r="J32" s="20">
        <f t="shared" si="9"/>
        <v>35.0128460874018</v>
      </c>
      <c r="K32" s="20">
        <f t="shared" si="10"/>
        <v>9.34842990533629</v>
      </c>
      <c r="L32" s="29">
        <f>IF(C32=2025,IFERROR(_xlfn.XLOOKUP(A32,'DATA QCEW'!$A$2:$A$20,'DATA QCEW'!$F$2:$F$20),""),L31*(1+D32))</f>
        <v>619169.791680595</v>
      </c>
      <c r="M32" s="29">
        <f t="shared" si="11"/>
        <v>226894.520349864</v>
      </c>
      <c r="N32" s="30">
        <f>IF(C32=2025,'Projection Assumptions'!$C$9,N31*(1+'Projection Assumptions'!$C$10))</f>
        <v>30</v>
      </c>
      <c r="O32" s="31">
        <f t="shared" si="12"/>
        <v>0.081682027325951</v>
      </c>
      <c r="P32" s="29">
        <f t="shared" si="13"/>
        <v>60580.8369334136</v>
      </c>
      <c r="Q32" s="32">
        <f t="shared" si="14"/>
        <v>0.0218091012960289</v>
      </c>
    </row>
    <row r="33" spans="1:17">
      <c r="A33" t="s">
        <v>102</v>
      </c>
      <c r="B33" t="s">
        <v>103</v>
      </c>
      <c r="C33">
        <v>2029</v>
      </c>
      <c r="D33" s="5">
        <f>IFERROR(_xlfn.XLOOKUP(A33,'DATA BLS Projections'!$A$2:$A$20,'DATA BLS Projections'!$E$2:$E$20),0)</f>
        <v>0.00937339371827695</v>
      </c>
      <c r="E33" s="5">
        <f>IFERROR(_xlfn.XLOOKUP(A33,'Projection Assumptions'!$A$13:$A$31,'Projection Assumptions'!$C$13:$C$31),0)</f>
        <v>0.03</v>
      </c>
      <c r="F33" s="20">
        <f>IF(C33=2025,_xlfn.XLOOKUP(A33,'01 Industry Model'!$A$5:$A$23,'01 Industry Model'!$C$5:$C$23),F32*(1+D33)*(1+E33))</f>
        <v>99.3349881709374</v>
      </c>
      <c r="G33" s="5">
        <f>IFERROR(_xlfn.XLOOKUP(A33,'Projection Assumptions'!$A$13:$A$31,'Projection Assumptions'!$D$13:$D$31),0)</f>
        <v>0.05</v>
      </c>
      <c r="H33" s="5">
        <f>IF(C33=2025,"",IF(C33=2026,_xlfn.XLOOKUP(A33,'DATA Census'!$A$2:$A$20,'DATA Census'!$C$2:$C$20),MIN(1,H32+G33)))</f>
        <v>0.317</v>
      </c>
      <c r="I33" s="5">
        <f>MIN(1,MAX(0,_xlfn.XLOOKUP(A33,'01 Industry Model'!$A$5:$A$23,'01 Industry Model'!$H$5:$H$23)+(C33-2025)*_xlfn.XLOOKUP(A33,'Projection Assumptions'!$A$13:$A$31,'Projection Assumptions'!$E$13:$E$31)))</f>
        <v>0.366449596537988</v>
      </c>
      <c r="J33" s="20">
        <f t="shared" si="9"/>
        <v>36.4012663373458</v>
      </c>
      <c r="K33" s="20">
        <f t="shared" si="10"/>
        <v>11.5392014289386</v>
      </c>
      <c r="L33" s="29">
        <f>IF(C33=2025,IFERROR(_xlfn.XLOOKUP(A33,'DATA QCEW'!$A$2:$A$20,'DATA QCEW'!$F$2:$F$20),""),L32*(1+D33))</f>
        <v>624973.51391648</v>
      </c>
      <c r="M33" s="29">
        <f t="shared" si="11"/>
        <v>229021.292021623</v>
      </c>
      <c r="N33" s="30">
        <f>IF(C33=2025,'Projection Assumptions'!$C$9,N32*(1+'Projection Assumptions'!$C$10))</f>
        <v>30</v>
      </c>
      <c r="O33" s="31">
        <f t="shared" si="12"/>
        <v>0.0824476651277841</v>
      </c>
      <c r="P33" s="29">
        <f t="shared" si="13"/>
        <v>72599.7495708544</v>
      </c>
      <c r="Q33" s="32">
        <f t="shared" si="14"/>
        <v>0.0261359098455076</v>
      </c>
    </row>
    <row r="34" spans="1:17">
      <c r="A34" t="s">
        <v>102</v>
      </c>
      <c r="B34" t="s">
        <v>103</v>
      </c>
      <c r="C34">
        <v>2030</v>
      </c>
      <c r="D34" s="5">
        <f>IFERROR(_xlfn.XLOOKUP(A34,'DATA BLS Projections'!$A$2:$A$20,'DATA BLS Projections'!$E$2:$E$20),0)</f>
        <v>0.00937339371827695</v>
      </c>
      <c r="E34" s="5">
        <f>IFERROR(_xlfn.XLOOKUP(A34,'Projection Assumptions'!$A$13:$A$31,'Projection Assumptions'!$C$13:$C$31),0)</f>
        <v>0.03</v>
      </c>
      <c r="F34" s="20">
        <f>IF(C34=2025,_xlfn.XLOOKUP(A34,'01 Industry Model'!$A$5:$A$23,'01 Industry Model'!$C$5:$C$23),F33*(1+D34)*(1+E34))</f>
        <v>103.274076948816</v>
      </c>
      <c r="G34" s="5">
        <f>IFERROR(_xlfn.XLOOKUP(A34,'Projection Assumptions'!$A$13:$A$31,'Projection Assumptions'!$D$13:$D$31),0)</f>
        <v>0.05</v>
      </c>
      <c r="H34" s="5">
        <f>IF(C34=2025,"",IF(C34=2026,_xlfn.XLOOKUP(A34,'DATA Census'!$A$2:$A$20,'DATA Census'!$C$2:$C$20),MIN(1,H33+G34)))</f>
        <v>0.367</v>
      </c>
      <c r="I34" s="5">
        <f>MIN(1,MAX(0,_xlfn.XLOOKUP(A34,'01 Industry Model'!$A$5:$A$23,'01 Industry Model'!$H$5:$H$23)+(C34-2025)*_xlfn.XLOOKUP(A34,'Projection Assumptions'!$A$13:$A$31,'Projection Assumptions'!$E$13:$E$31)))</f>
        <v>0.366449596537988</v>
      </c>
      <c r="J34" s="20">
        <f t="shared" si="9"/>
        <v>37.8447438307267</v>
      </c>
      <c r="K34" s="20">
        <f t="shared" si="10"/>
        <v>13.8890209858767</v>
      </c>
      <c r="L34" s="29">
        <f>IF(C34=2025,IFERROR(_xlfn.XLOOKUP(A34,'DATA QCEW'!$A$2:$A$20,'DATA QCEW'!$F$2:$F$20),""),L33*(1+D34))</f>
        <v>630831.636725914</v>
      </c>
      <c r="M34" s="29">
        <f t="shared" si="11"/>
        <v>231167.99876161</v>
      </c>
      <c r="N34" s="30">
        <f>IF(C34=2025,'Projection Assumptions'!$C$9,N33*(1+'Projection Assumptions'!$C$10))</f>
        <v>30</v>
      </c>
      <c r="O34" s="31">
        <f t="shared" si="12"/>
        <v>0.0832204795541795</v>
      </c>
      <c r="P34" s="29">
        <f t="shared" si="13"/>
        <v>84838.6555455108</v>
      </c>
      <c r="Q34" s="32">
        <f t="shared" si="14"/>
        <v>0.0305419159963839</v>
      </c>
    </row>
    <row r="35" spans="1:17">
      <c r="A35" t="s">
        <v>104</v>
      </c>
      <c r="B35" t="s">
        <v>105</v>
      </c>
      <c r="C35">
        <v>2025</v>
      </c>
      <c r="D35" s="5">
        <f>IFERROR(_xlfn.XLOOKUP(A35,'DATA BLS Projections'!$A$2:$A$20,'DATA BLS Projections'!$E$2:$E$20),0)</f>
        <v>0.00486042853569812</v>
      </c>
      <c r="E35" s="5">
        <f>IFERROR(_xlfn.XLOOKUP(A35,'Projection Assumptions'!$A$13:$A$31,'Projection Assumptions'!$C$13:$C$31),0)</f>
        <v>0.03</v>
      </c>
      <c r="F35" s="20">
        <f>IF(C35=2025,_xlfn.XLOOKUP(A35,'01 Industry Model'!$A$5:$A$23,'01 Industry Model'!$C$5:$C$23),F34*(1+D35)*(1+E35))</f>
        <v>699.896249139</v>
      </c>
      <c r="G35" s="5">
        <f>IFERROR(_xlfn.XLOOKUP(A35,'Projection Assumptions'!$A$13:$A$31,'Projection Assumptions'!$D$13:$D$31),0)</f>
        <v>0.05</v>
      </c>
      <c r="H35" s="5" t="str">
        <f>IF(C35=2025,"",IF(C35=2026,_xlfn.XLOOKUP(A35,'DATA Census'!$A$2:$A$20,'DATA Census'!$C$2:$C$20),MIN(1,H34+G35)))</f>
        <v/>
      </c>
      <c r="I35" s="5">
        <f>MIN(1,MAX(0,_xlfn.XLOOKUP(A35,'01 Industry Model'!$A$5:$A$23,'01 Industry Model'!$H$5:$H$23)+(C35-2025)*_xlfn.XLOOKUP(A35,'Projection Assumptions'!$A$13:$A$31,'Projection Assumptions'!$E$13:$E$31)))</f>
        <v>0.265973819087164</v>
      </c>
      <c r="J35" s="20">
        <f t="shared" si="9"/>
        <v>186.154078348281</v>
      </c>
      <c r="K35" s="20" t="str">
        <f t="shared" si="10"/>
        <v/>
      </c>
      <c r="L35" s="29">
        <f>IF(C35=2025,IFERROR(_xlfn.XLOOKUP(A35,'DATA QCEW'!$A$2:$A$20,'DATA QCEW'!$F$2:$F$20),""),L34*(1+D35))</f>
        <v>8251002</v>
      </c>
      <c r="M35" s="29">
        <f t="shared" si="11"/>
        <v>2194550.51323583</v>
      </c>
      <c r="N35" s="30">
        <f>IF(C35=2025,'Projection Assumptions'!$C$9,N34*(1+'Projection Assumptions'!$C$10))</f>
        <v>30</v>
      </c>
      <c r="O35" s="31">
        <f t="shared" si="12"/>
        <v>0.790038184764898</v>
      </c>
      <c r="P35" s="29" t="str">
        <f t="shared" si="13"/>
        <v/>
      </c>
      <c r="Q35" s="32" t="str">
        <f t="shared" si="14"/>
        <v/>
      </c>
    </row>
    <row r="36" spans="1:17">
      <c r="A36" t="s">
        <v>104</v>
      </c>
      <c r="B36" t="s">
        <v>105</v>
      </c>
      <c r="C36">
        <v>2026</v>
      </c>
      <c r="D36" s="5">
        <f>IFERROR(_xlfn.XLOOKUP(A36,'DATA BLS Projections'!$A$2:$A$20,'DATA BLS Projections'!$E$2:$E$20),0)</f>
        <v>0.00486042853569812</v>
      </c>
      <c r="E36" s="5">
        <f>IFERROR(_xlfn.XLOOKUP(A36,'Projection Assumptions'!$A$13:$A$31,'Projection Assumptions'!$C$13:$C$31),0)</f>
        <v>0.03</v>
      </c>
      <c r="F36" s="20">
        <f>IF(C36=2025,_xlfn.XLOOKUP(A36,'01 Industry Model'!$A$5:$A$23,'01 Industry Model'!$C$5:$C$23),F35*(1+D36)*(1+E36))</f>
        <v>724.396986185554</v>
      </c>
      <c r="G36" s="5">
        <f>IFERROR(_xlfn.XLOOKUP(A36,'Projection Assumptions'!$A$13:$A$31,'Projection Assumptions'!$D$13:$D$31),0)</f>
        <v>0.05</v>
      </c>
      <c r="H36" s="5">
        <f>IF(C36=2025,"",IF(C36=2026,_xlfn.XLOOKUP(A36,'DATA Census'!$A$2:$A$20,'DATA Census'!$C$2:$C$20),MIN(1,H35+G36)))</f>
        <v>0.172</v>
      </c>
      <c r="I36" s="5">
        <f>MIN(1,MAX(0,_xlfn.XLOOKUP(A36,'01 Industry Model'!$A$5:$A$23,'01 Industry Model'!$H$5:$H$23)+(C36-2025)*_xlfn.XLOOKUP(A36,'Projection Assumptions'!$A$13:$A$31,'Projection Assumptions'!$E$13:$E$31)))</f>
        <v>0.265973819087164</v>
      </c>
      <c r="J36" s="20">
        <f t="shared" si="9"/>
        <v>192.670632951003</v>
      </c>
      <c r="K36" s="20">
        <f t="shared" si="10"/>
        <v>33.1393488675726</v>
      </c>
      <c r="L36" s="29">
        <f>IF(C36=2025,IFERROR(_xlfn.XLOOKUP(A36,'DATA QCEW'!$A$2:$A$20,'DATA QCEW'!$F$2:$F$20),""),L35*(1+D36))</f>
        <v>8291105.4055689</v>
      </c>
      <c r="M36" s="29">
        <f t="shared" si="11"/>
        <v>2205216.96917339</v>
      </c>
      <c r="N36" s="30">
        <f>IF(C36=2025,'Projection Assumptions'!$C$9,N35*(1+'Projection Assumptions'!$C$10))</f>
        <v>30</v>
      </c>
      <c r="O36" s="31">
        <f t="shared" si="12"/>
        <v>0.793878108902421</v>
      </c>
      <c r="P36" s="29">
        <f t="shared" si="13"/>
        <v>379297.318697823</v>
      </c>
      <c r="Q36" s="32">
        <f t="shared" si="14"/>
        <v>0.136547034731216</v>
      </c>
    </row>
    <row r="37" spans="1:17">
      <c r="A37" t="s">
        <v>104</v>
      </c>
      <c r="B37" t="s">
        <v>105</v>
      </c>
      <c r="C37">
        <v>2027</v>
      </c>
      <c r="D37" s="5">
        <f>IFERROR(_xlfn.XLOOKUP(A37,'DATA BLS Projections'!$A$2:$A$20,'DATA BLS Projections'!$E$2:$E$20),0)</f>
        <v>0.00486042853569812</v>
      </c>
      <c r="E37" s="5">
        <f>IFERROR(_xlfn.XLOOKUP(A37,'Projection Assumptions'!$A$13:$A$31,'Projection Assumptions'!$C$13:$C$31),0)</f>
        <v>0.03</v>
      </c>
      <c r="F37" s="20">
        <f>IF(C37=2025,_xlfn.XLOOKUP(A37,'01 Industry Model'!$A$5:$A$23,'01 Industry Model'!$C$5:$C$23),F36*(1+D37)*(1+E37))</f>
        <v>749.755401947435</v>
      </c>
      <c r="G37" s="5">
        <f>IFERROR(_xlfn.XLOOKUP(A37,'Projection Assumptions'!$A$13:$A$31,'Projection Assumptions'!$D$13:$D$31),0)</f>
        <v>0.05</v>
      </c>
      <c r="H37" s="5">
        <f>IF(C37=2025,"",IF(C37=2026,_xlfn.XLOOKUP(A37,'DATA Census'!$A$2:$A$20,'DATA Census'!$C$2:$C$20),MIN(1,H36+G37)))</f>
        <v>0.222</v>
      </c>
      <c r="I37" s="5">
        <f>MIN(1,MAX(0,_xlfn.XLOOKUP(A37,'01 Industry Model'!$A$5:$A$23,'01 Industry Model'!$H$5:$H$23)+(C37-2025)*_xlfn.XLOOKUP(A37,'Projection Assumptions'!$A$13:$A$31,'Projection Assumptions'!$E$13:$E$31)))</f>
        <v>0.265973819087164</v>
      </c>
      <c r="J37" s="20">
        <f t="shared" si="9"/>
        <v>199.415307637191</v>
      </c>
      <c r="K37" s="20">
        <f t="shared" si="10"/>
        <v>44.2701982954564</v>
      </c>
      <c r="L37" s="29">
        <f>IF(C37=2025,IFERROR(_xlfn.XLOOKUP(A37,'DATA QCEW'!$A$2:$A$20,'DATA QCEW'!$F$2:$F$20),""),L36*(1+D37))</f>
        <v>8331403.73087461</v>
      </c>
      <c r="M37" s="29">
        <f t="shared" si="11"/>
        <v>2215935.26865777</v>
      </c>
      <c r="N37" s="30">
        <f>IF(C37=2025,'Projection Assumptions'!$C$9,N36*(1+'Projection Assumptions'!$C$10))</f>
        <v>30</v>
      </c>
      <c r="O37" s="31">
        <f t="shared" si="12"/>
        <v>0.797736696716796</v>
      </c>
      <c r="P37" s="29">
        <f t="shared" si="13"/>
        <v>491937.629642024</v>
      </c>
      <c r="Q37" s="32">
        <f t="shared" si="14"/>
        <v>0.177097546671129</v>
      </c>
    </row>
    <row r="38" spans="1:17">
      <c r="A38" t="s">
        <v>104</v>
      </c>
      <c r="B38" t="s">
        <v>105</v>
      </c>
      <c r="C38">
        <v>2028</v>
      </c>
      <c r="D38" s="5">
        <f>IFERROR(_xlfn.XLOOKUP(A38,'DATA BLS Projections'!$A$2:$A$20,'DATA BLS Projections'!$E$2:$E$20),0)</f>
        <v>0.00486042853569812</v>
      </c>
      <c r="E38" s="5">
        <f>IFERROR(_xlfn.XLOOKUP(A38,'Projection Assumptions'!$A$13:$A$31,'Projection Assumptions'!$C$13:$C$31),0)</f>
        <v>0.03</v>
      </c>
      <c r="F38" s="20">
        <f>IF(C38=2025,_xlfn.XLOOKUP(A38,'01 Industry Model'!$A$5:$A$23,'01 Industry Model'!$C$5:$C$23),F37*(1+D38)*(1+E38))</f>
        <v>776.00152053279</v>
      </c>
      <c r="G38" s="5">
        <f>IFERROR(_xlfn.XLOOKUP(A38,'Projection Assumptions'!$A$13:$A$31,'Projection Assumptions'!$D$13:$D$31),0)</f>
        <v>0.05</v>
      </c>
      <c r="H38" s="5">
        <f>IF(C38=2025,"",IF(C38=2026,_xlfn.XLOOKUP(A38,'DATA Census'!$A$2:$A$20,'DATA Census'!$C$2:$C$20),MIN(1,H37+G38)))</f>
        <v>0.272</v>
      </c>
      <c r="I38" s="5">
        <f>MIN(1,MAX(0,_xlfn.XLOOKUP(A38,'01 Industry Model'!$A$5:$A$23,'01 Industry Model'!$H$5:$H$23)+(C38-2025)*_xlfn.XLOOKUP(A38,'Projection Assumptions'!$A$13:$A$31,'Projection Assumptions'!$E$13:$E$31)))</f>
        <v>0.265973819087164</v>
      </c>
      <c r="J38" s="20">
        <f t="shared" si="9"/>
        <v>206.396088033552</v>
      </c>
      <c r="K38" s="20">
        <f t="shared" si="10"/>
        <v>56.1397359451263</v>
      </c>
      <c r="L38" s="29">
        <f>IF(C38=2025,IFERROR(_xlfn.XLOOKUP(A38,'DATA QCEW'!$A$2:$A$20,'DATA QCEW'!$F$2:$F$20),""),L37*(1+D38))</f>
        <v>8371897.92331058</v>
      </c>
      <c r="M38" s="29">
        <f t="shared" si="11"/>
        <v>2226705.66367081</v>
      </c>
      <c r="N38" s="30">
        <f>IF(C38=2025,'Projection Assumptions'!$C$9,N37*(1+'Projection Assumptions'!$C$10))</f>
        <v>30</v>
      </c>
      <c r="O38" s="31">
        <f t="shared" si="12"/>
        <v>0.801614038921492</v>
      </c>
      <c r="P38" s="29">
        <f t="shared" si="13"/>
        <v>605663.94051846</v>
      </c>
      <c r="Q38" s="32">
        <f t="shared" si="14"/>
        <v>0.218039018586646</v>
      </c>
    </row>
    <row r="39" spans="1:17">
      <c r="A39" t="s">
        <v>104</v>
      </c>
      <c r="B39" t="s">
        <v>105</v>
      </c>
      <c r="C39">
        <v>2029</v>
      </c>
      <c r="D39" s="5">
        <f>IFERROR(_xlfn.XLOOKUP(A39,'DATA BLS Projections'!$A$2:$A$20,'DATA BLS Projections'!$E$2:$E$20),0)</f>
        <v>0.00486042853569812</v>
      </c>
      <c r="E39" s="5">
        <f>IFERROR(_xlfn.XLOOKUP(A39,'Projection Assumptions'!$A$13:$A$31,'Projection Assumptions'!$C$13:$C$31),0)</f>
        <v>0.03</v>
      </c>
      <c r="F39" s="20">
        <f>IF(C39=2025,_xlfn.XLOOKUP(A39,'01 Industry Model'!$A$5:$A$23,'01 Industry Model'!$C$5:$C$23),F38*(1+D39)*(1+E39))</f>
        <v>803.166417080941</v>
      </c>
      <c r="G39" s="5">
        <f>IFERROR(_xlfn.XLOOKUP(A39,'Projection Assumptions'!$A$13:$A$31,'Projection Assumptions'!$D$13:$D$31),0)</f>
        <v>0.05</v>
      </c>
      <c r="H39" s="5">
        <f>IF(C39=2025,"",IF(C39=2026,_xlfn.XLOOKUP(A39,'DATA Census'!$A$2:$A$20,'DATA Census'!$C$2:$C$20),MIN(1,H38+G39)))</f>
        <v>0.322</v>
      </c>
      <c r="I39" s="5">
        <f>MIN(1,MAX(0,_xlfn.XLOOKUP(A39,'01 Industry Model'!$A$5:$A$23,'01 Industry Model'!$H$5:$H$23)+(C39-2025)*_xlfn.XLOOKUP(A39,'Projection Assumptions'!$A$13:$A$31,'Projection Assumptions'!$E$13:$E$31)))</f>
        <v>0.265973819087164</v>
      </c>
      <c r="J39" s="20">
        <f t="shared" si="9"/>
        <v>213.621239313572</v>
      </c>
      <c r="K39" s="20">
        <f t="shared" si="10"/>
        <v>68.7860390589701</v>
      </c>
      <c r="L39" s="29">
        <f>IF(C39=2025,IFERROR(_xlfn.XLOOKUP(A39,'DATA QCEW'!$A$2:$A$20,'DATA QCEW'!$F$2:$F$20),""),L38*(1+D39))</f>
        <v>8412588.93487499</v>
      </c>
      <c r="M39" s="29">
        <f t="shared" si="11"/>
        <v>2237528.40741912</v>
      </c>
      <c r="N39" s="30">
        <f>IF(C39=2025,'Projection Assumptions'!$C$9,N38*(1+'Projection Assumptions'!$C$10))</f>
        <v>30</v>
      </c>
      <c r="O39" s="31">
        <f t="shared" si="12"/>
        <v>0.805510226670882</v>
      </c>
      <c r="P39" s="29">
        <f t="shared" si="13"/>
        <v>720484.147188956</v>
      </c>
      <c r="Q39" s="32">
        <f t="shared" si="14"/>
        <v>0.259374292988024</v>
      </c>
    </row>
    <row r="40" spans="1:17">
      <c r="A40" t="s">
        <v>104</v>
      </c>
      <c r="B40" t="s">
        <v>105</v>
      </c>
      <c r="C40">
        <v>2030</v>
      </c>
      <c r="D40" s="5">
        <f>IFERROR(_xlfn.XLOOKUP(A40,'DATA BLS Projections'!$A$2:$A$20,'DATA BLS Projections'!$E$2:$E$20),0)</f>
        <v>0.00486042853569812</v>
      </c>
      <c r="E40" s="5">
        <f>IFERROR(_xlfn.XLOOKUP(A40,'Projection Assumptions'!$A$13:$A$31,'Projection Assumptions'!$C$13:$C$31),0)</f>
        <v>0.03</v>
      </c>
      <c r="F40" s="20">
        <f>IF(C40=2025,_xlfn.XLOOKUP(A40,'01 Industry Model'!$A$5:$A$23,'01 Industry Model'!$C$5:$C$23),F39*(1+D40)*(1+E40))</f>
        <v>831.282254555038</v>
      </c>
      <c r="G40" s="5">
        <f>IFERROR(_xlfn.XLOOKUP(A40,'Projection Assumptions'!$A$13:$A$31,'Projection Assumptions'!$D$13:$D$31),0)</f>
        <v>0.05</v>
      </c>
      <c r="H40" s="5">
        <f>IF(C40=2025,"",IF(C40=2026,_xlfn.XLOOKUP(A40,'DATA Census'!$A$2:$A$20,'DATA Census'!$C$2:$C$20),MIN(1,H39+G40)))</f>
        <v>0.372</v>
      </c>
      <c r="I40" s="5">
        <f>MIN(1,MAX(0,_xlfn.XLOOKUP(A40,'01 Industry Model'!$A$5:$A$23,'01 Industry Model'!$H$5:$H$23)+(C40-2025)*_xlfn.XLOOKUP(A40,'Projection Assumptions'!$A$13:$A$31,'Projection Assumptions'!$E$13:$E$31)))</f>
        <v>0.265973819087164</v>
      </c>
      <c r="J40" s="20">
        <f t="shared" si="9"/>
        <v>221.099315983392</v>
      </c>
      <c r="K40" s="20">
        <f t="shared" si="10"/>
        <v>82.2489455458217</v>
      </c>
      <c r="L40" s="29">
        <f>IF(C40=2025,IFERROR(_xlfn.XLOOKUP(A40,'DATA QCEW'!$A$2:$A$20,'DATA QCEW'!$F$2:$F$20),""),L39*(1+D40))</f>
        <v>8453477.72219315</v>
      </c>
      <c r="M40" s="29">
        <f t="shared" si="11"/>
        <v>2248403.75433997</v>
      </c>
      <c r="N40" s="30">
        <f>IF(C40=2025,'Projection Assumptions'!$C$9,N39*(1+'Projection Assumptions'!$C$10))</f>
        <v>30</v>
      </c>
      <c r="O40" s="31">
        <f t="shared" si="12"/>
        <v>0.80942535156239</v>
      </c>
      <c r="P40" s="29">
        <f t="shared" si="13"/>
        <v>836406.19661447</v>
      </c>
      <c r="Q40" s="32">
        <f t="shared" si="14"/>
        <v>0.301106230781209</v>
      </c>
    </row>
    <row r="41" spans="1:17">
      <c r="A41" t="s">
        <v>106</v>
      </c>
      <c r="B41" t="s">
        <v>107</v>
      </c>
      <c r="C41">
        <v>2025</v>
      </c>
      <c r="D41" s="5">
        <f>IFERROR(_xlfn.XLOOKUP(A41,'DATA BLS Projections'!$A$2:$A$20,'DATA BLS Projections'!$E$2:$E$20),0)</f>
        <v>0.000569235491032494</v>
      </c>
      <c r="E41" s="5">
        <f>IFERROR(_xlfn.XLOOKUP(A41,'Projection Assumptions'!$A$13:$A$31,'Projection Assumptions'!$C$13:$C$31),0)</f>
        <v>0.03</v>
      </c>
      <c r="F41" s="20">
        <f>IF(C41=2025,_xlfn.XLOOKUP(A41,'01 Industry Model'!$A$5:$A$23,'01 Industry Model'!$C$5:$C$23),F40*(1+D41)*(1+E41))</f>
        <v>1125.542676332</v>
      </c>
      <c r="G41" s="5">
        <f>IFERROR(_xlfn.XLOOKUP(A41,'Projection Assumptions'!$A$13:$A$31,'Projection Assumptions'!$D$13:$D$31),0)</f>
        <v>0.05</v>
      </c>
      <c r="H41" s="5" t="str">
        <f>IF(C41=2025,"",IF(C41=2026,_xlfn.XLOOKUP(A41,'DATA Census'!$A$2:$A$20,'DATA Census'!$C$2:$C$20),MIN(1,H40+G41)))</f>
        <v/>
      </c>
      <c r="I41" s="5">
        <f>MIN(1,MAX(0,_xlfn.XLOOKUP(A41,'01 Industry Model'!$A$5:$A$23,'01 Industry Model'!$H$5:$H$23)+(C41-2025)*_xlfn.XLOOKUP(A41,'Projection Assumptions'!$A$13:$A$31,'Projection Assumptions'!$E$13:$E$31)))</f>
        <v>0.332080076236354</v>
      </c>
      <c r="J41" s="20">
        <f t="shared" si="9"/>
        <v>373.7702977636</v>
      </c>
      <c r="K41" s="20" t="str">
        <f t="shared" si="10"/>
        <v/>
      </c>
      <c r="L41" s="29">
        <f>IF(C41=2025,IFERROR(_xlfn.XLOOKUP(A41,'DATA QCEW'!$A$2:$A$20,'DATA QCEW'!$F$2:$F$20),""),L40*(1+D41))</f>
        <v>12579906</v>
      </c>
      <c r="M41" s="29">
        <f t="shared" si="11"/>
        <v>4177536.14352617</v>
      </c>
      <c r="N41" s="30">
        <f>IF(C41=2025,'Projection Assumptions'!$C$9,N40*(1+'Projection Assumptions'!$C$10))</f>
        <v>30</v>
      </c>
      <c r="O41" s="31">
        <f t="shared" si="12"/>
        <v>1.50391301166942</v>
      </c>
      <c r="P41" s="29" t="str">
        <f t="shared" si="13"/>
        <v/>
      </c>
      <c r="Q41" s="32" t="str">
        <f t="shared" si="14"/>
        <v/>
      </c>
    </row>
    <row r="42" spans="1:17">
      <c r="A42" t="s">
        <v>106</v>
      </c>
      <c r="B42" t="s">
        <v>107</v>
      </c>
      <c r="C42">
        <v>2026</v>
      </c>
      <c r="D42" s="5">
        <f>IFERROR(_xlfn.XLOOKUP(A42,'DATA BLS Projections'!$A$2:$A$20,'DATA BLS Projections'!$E$2:$E$20),0)</f>
        <v>0.000569235491032494</v>
      </c>
      <c r="E42" s="5">
        <f>IFERROR(_xlfn.XLOOKUP(A42,'Projection Assumptions'!$A$13:$A$31,'Projection Assumptions'!$C$13:$C$31),0)</f>
        <v>0.03</v>
      </c>
      <c r="F42" s="20">
        <f>IF(C42=2025,_xlfn.XLOOKUP(A42,'01 Industry Model'!$A$5:$A$23,'01 Industry Model'!$C$5:$C$23),F41*(1+D42)*(1+E42))</f>
        <v>1159.96887642514</v>
      </c>
      <c r="G42" s="5">
        <f>IFERROR(_xlfn.XLOOKUP(A42,'Projection Assumptions'!$A$13:$A$31,'Projection Assumptions'!$D$13:$D$31),0)</f>
        <v>0.05</v>
      </c>
      <c r="H42" s="5">
        <f>IF(C42=2025,"",IF(C42=2026,_xlfn.XLOOKUP(A42,'DATA Census'!$A$2:$A$20,'DATA Census'!$C$2:$C$20),MIN(1,H41+G42)))</f>
        <v>0.208</v>
      </c>
      <c r="I42" s="5">
        <f>MIN(1,MAX(0,_xlfn.XLOOKUP(A42,'01 Industry Model'!$A$5:$A$23,'01 Industry Model'!$H$5:$H$23)+(C42-2025)*_xlfn.XLOOKUP(A42,'Projection Assumptions'!$A$13:$A$31,'Projection Assumptions'!$E$13:$E$31)))</f>
        <v>0.332080076236354</v>
      </c>
      <c r="J42" s="20">
        <f t="shared" si="9"/>
        <v>385.202552915059</v>
      </c>
      <c r="K42" s="20">
        <f t="shared" si="10"/>
        <v>80.1221310063322</v>
      </c>
      <c r="L42" s="29">
        <f>IF(C42=2025,IFERROR(_xlfn.XLOOKUP(A42,'DATA QCEW'!$A$2:$A$20,'DATA QCEW'!$F$2:$F$20),""),L41*(1+D42))</f>
        <v>12587066.9289691</v>
      </c>
      <c r="M42" s="29">
        <f t="shared" si="11"/>
        <v>4179914.14536413</v>
      </c>
      <c r="N42" s="30">
        <f>IF(C42=2025,'Projection Assumptions'!$C$9,N41*(1+'Projection Assumptions'!$C$10))</f>
        <v>30</v>
      </c>
      <c r="O42" s="31">
        <f t="shared" si="12"/>
        <v>1.50476909233109</v>
      </c>
      <c r="P42" s="29">
        <f t="shared" si="13"/>
        <v>869422.142235739</v>
      </c>
      <c r="Q42" s="32">
        <f t="shared" si="14"/>
        <v>0.312991971204866</v>
      </c>
    </row>
    <row r="43" spans="1:17">
      <c r="A43" t="s">
        <v>106</v>
      </c>
      <c r="B43" t="s">
        <v>107</v>
      </c>
      <c r="C43">
        <v>2027</v>
      </c>
      <c r="D43" s="5">
        <f>IFERROR(_xlfn.XLOOKUP(A43,'DATA BLS Projections'!$A$2:$A$20,'DATA BLS Projections'!$E$2:$E$20),0)</f>
        <v>0.000569235491032494</v>
      </c>
      <c r="E43" s="5">
        <f>IFERROR(_xlfn.XLOOKUP(A43,'Projection Assumptions'!$A$13:$A$31,'Projection Assumptions'!$C$13:$C$31),0)</f>
        <v>0.03</v>
      </c>
      <c r="F43" s="20">
        <f>IF(C43=2025,_xlfn.XLOOKUP(A43,'01 Industry Model'!$A$5:$A$23,'01 Industry Model'!$C$5:$C$23),F42*(1+D43)*(1+E43))</f>
        <v>1195.44804703444</v>
      </c>
      <c r="G43" s="5">
        <f>IFERROR(_xlfn.XLOOKUP(A43,'Projection Assumptions'!$A$13:$A$31,'Projection Assumptions'!$D$13:$D$31),0)</f>
        <v>0.05</v>
      </c>
      <c r="H43" s="5">
        <f>IF(C43=2025,"",IF(C43=2026,_xlfn.XLOOKUP(A43,'DATA Census'!$A$2:$A$20,'DATA Census'!$C$2:$C$20),MIN(1,H42+G43)))</f>
        <v>0.258</v>
      </c>
      <c r="I43" s="5">
        <f>MIN(1,MAX(0,_xlfn.XLOOKUP(A43,'01 Industry Model'!$A$5:$A$23,'01 Industry Model'!$H$5:$H$23)+(C43-2025)*_xlfn.XLOOKUP(A43,'Projection Assumptions'!$A$13:$A$31,'Projection Assumptions'!$E$13:$E$31)))</f>
        <v>0.332080076236354</v>
      </c>
      <c r="J43" s="20">
        <f t="shared" si="9"/>
        <v>396.984478595797</v>
      </c>
      <c r="K43" s="20">
        <f t="shared" si="10"/>
        <v>102.421995477716</v>
      </c>
      <c r="L43" s="29">
        <f>IF(C43=2025,IFERROR(_xlfn.XLOOKUP(A43,'DATA QCEW'!$A$2:$A$20,'DATA QCEW'!$F$2:$F$20),""),L42*(1+D43))</f>
        <v>12594231.934193</v>
      </c>
      <c r="M43" s="29">
        <f t="shared" si="11"/>
        <v>4182293.50084514</v>
      </c>
      <c r="N43" s="30">
        <f>IF(C43=2025,'Projection Assumptions'!$C$9,N42*(1+'Projection Assumptions'!$C$10))</f>
        <v>30</v>
      </c>
      <c r="O43" s="31">
        <f t="shared" si="12"/>
        <v>1.50562566030425</v>
      </c>
      <c r="P43" s="29">
        <f t="shared" si="13"/>
        <v>1079031.72321805</v>
      </c>
      <c r="Q43" s="32">
        <f t="shared" si="14"/>
        <v>0.388451420358497</v>
      </c>
    </row>
    <row r="44" spans="1:17">
      <c r="A44" t="s">
        <v>106</v>
      </c>
      <c r="B44" t="s">
        <v>107</v>
      </c>
      <c r="C44">
        <v>2028</v>
      </c>
      <c r="D44" s="5">
        <f>IFERROR(_xlfn.XLOOKUP(A44,'DATA BLS Projections'!$A$2:$A$20,'DATA BLS Projections'!$E$2:$E$20),0)</f>
        <v>0.000569235491032494</v>
      </c>
      <c r="E44" s="5">
        <f>IFERROR(_xlfn.XLOOKUP(A44,'Projection Assumptions'!$A$13:$A$31,'Projection Assumptions'!$C$13:$C$31),0)</f>
        <v>0.03</v>
      </c>
      <c r="F44" s="20">
        <f>IF(C44=2025,_xlfn.XLOOKUP(A44,'01 Industry Model'!$A$5:$A$23,'01 Industry Model'!$C$5:$C$23),F43*(1+D44)*(1+E44))</f>
        <v>1232.01239464521</v>
      </c>
      <c r="G44" s="5">
        <f>IFERROR(_xlfn.XLOOKUP(A44,'Projection Assumptions'!$A$13:$A$31,'Projection Assumptions'!$D$13:$D$31),0)</f>
        <v>0.05</v>
      </c>
      <c r="H44" s="5">
        <f>IF(C44=2025,"",IF(C44=2026,_xlfn.XLOOKUP(A44,'DATA Census'!$A$2:$A$20,'DATA Census'!$C$2:$C$20),MIN(1,H43+G44)))</f>
        <v>0.308</v>
      </c>
      <c r="I44" s="5">
        <f>MIN(1,MAX(0,_xlfn.XLOOKUP(A44,'01 Industry Model'!$A$5:$A$23,'01 Industry Model'!$H$5:$H$23)+(C44-2025)*_xlfn.XLOOKUP(A44,'Projection Assumptions'!$A$13:$A$31,'Projection Assumptions'!$E$13:$E$31)))</f>
        <v>0.332080076236354</v>
      </c>
      <c r="J44" s="20">
        <f t="shared" si="9"/>
        <v>409.126769937915</v>
      </c>
      <c r="K44" s="20">
        <f t="shared" si="10"/>
        <v>126.011045140878</v>
      </c>
      <c r="L44" s="29">
        <f>IF(C44=2025,IFERROR(_xlfn.XLOOKUP(A44,'DATA QCEW'!$A$2:$A$20,'DATA QCEW'!$F$2:$F$20),""),L43*(1+D44))</f>
        <v>12601401.0179923</v>
      </c>
      <c r="M44" s="29">
        <f t="shared" si="11"/>
        <v>4184674.21073974</v>
      </c>
      <c r="N44" s="30">
        <f>IF(C44=2025,'Projection Assumptions'!$C$9,N43*(1+'Projection Assumptions'!$C$10))</f>
        <v>30</v>
      </c>
      <c r="O44" s="31">
        <f t="shared" si="12"/>
        <v>1.50648271586631</v>
      </c>
      <c r="P44" s="29">
        <f t="shared" si="13"/>
        <v>1288879.65690784</v>
      </c>
      <c r="Q44" s="32">
        <f t="shared" si="14"/>
        <v>0.463996676486822</v>
      </c>
    </row>
    <row r="45" spans="1:17">
      <c r="A45" t="s">
        <v>106</v>
      </c>
      <c r="B45" t="s">
        <v>107</v>
      </c>
      <c r="C45">
        <v>2029</v>
      </c>
      <c r="D45" s="5">
        <f>IFERROR(_xlfn.XLOOKUP(A45,'DATA BLS Projections'!$A$2:$A$20,'DATA BLS Projections'!$E$2:$E$20),0)</f>
        <v>0.000569235491032494</v>
      </c>
      <c r="E45" s="5">
        <f>IFERROR(_xlfn.XLOOKUP(A45,'Projection Assumptions'!$A$13:$A$31,'Projection Assumptions'!$C$13:$C$31),0)</f>
        <v>0.03</v>
      </c>
      <c r="F45" s="20">
        <f>IF(C45=2025,_xlfn.XLOOKUP(A45,'01 Industry Model'!$A$5:$A$23,'01 Industry Model'!$C$5:$C$23),F44*(1+D45)*(1+E45))</f>
        <v>1269.6951108204</v>
      </c>
      <c r="G45" s="5">
        <f>IFERROR(_xlfn.XLOOKUP(A45,'Projection Assumptions'!$A$13:$A$31,'Projection Assumptions'!$D$13:$D$31),0)</f>
        <v>0.05</v>
      </c>
      <c r="H45" s="5">
        <f>IF(C45=2025,"",IF(C45=2026,_xlfn.XLOOKUP(A45,'DATA Census'!$A$2:$A$20,'DATA Census'!$C$2:$C$20),MIN(1,H44+G45)))</f>
        <v>0.358</v>
      </c>
      <c r="I45" s="5">
        <f>MIN(1,MAX(0,_xlfn.XLOOKUP(A45,'01 Industry Model'!$A$5:$A$23,'01 Industry Model'!$H$5:$H$23)+(C45-2025)*_xlfn.XLOOKUP(A45,'Projection Assumptions'!$A$13:$A$31,'Projection Assumptions'!$E$13:$E$31)))</f>
        <v>0.332080076236354</v>
      </c>
      <c r="J45" s="20">
        <f t="shared" si="9"/>
        <v>421.640449198166</v>
      </c>
      <c r="K45" s="20">
        <f t="shared" si="10"/>
        <v>150.947280812943</v>
      </c>
      <c r="L45" s="29">
        <f>IF(C45=2025,IFERROR(_xlfn.XLOOKUP(A45,'DATA QCEW'!$A$2:$A$20,'DATA QCEW'!$F$2:$F$20),""),L44*(1+D45))</f>
        <v>12608574.1826884</v>
      </c>
      <c r="M45" s="29">
        <f t="shared" si="11"/>
        <v>4187056.2758189</v>
      </c>
      <c r="N45" s="30">
        <f>IF(C45=2025,'Projection Assumptions'!$C$9,N44*(1+'Projection Assumptions'!$C$10))</f>
        <v>30</v>
      </c>
      <c r="O45" s="31">
        <f t="shared" si="12"/>
        <v>1.5073402592948</v>
      </c>
      <c r="P45" s="29">
        <f t="shared" si="13"/>
        <v>1498966.14674317</v>
      </c>
      <c r="Q45" s="32">
        <f t="shared" si="14"/>
        <v>0.53962781282754</v>
      </c>
    </row>
    <row r="46" spans="1:17">
      <c r="A46" t="s">
        <v>106</v>
      </c>
      <c r="B46" t="s">
        <v>107</v>
      </c>
      <c r="C46">
        <v>2030</v>
      </c>
      <c r="D46" s="5">
        <f>IFERROR(_xlfn.XLOOKUP(A46,'DATA BLS Projections'!$A$2:$A$20,'DATA BLS Projections'!$E$2:$E$20),0)</f>
        <v>0.000569235491032494</v>
      </c>
      <c r="E46" s="5">
        <f>IFERROR(_xlfn.XLOOKUP(A46,'Projection Assumptions'!$A$13:$A$31,'Projection Assumptions'!$C$13:$C$31),0)</f>
        <v>0.03</v>
      </c>
      <c r="F46" s="20">
        <f>IF(C46=2025,_xlfn.XLOOKUP(A46,'01 Industry Model'!$A$5:$A$23,'01 Industry Model'!$C$5:$C$23),F45*(1+D46)*(1+E46))</f>
        <v>1308.53040233048</v>
      </c>
      <c r="G46" s="5">
        <f>IFERROR(_xlfn.XLOOKUP(A46,'Projection Assumptions'!$A$13:$A$31,'Projection Assumptions'!$D$13:$D$31),0)</f>
        <v>0.05</v>
      </c>
      <c r="H46" s="5">
        <f>IF(C46=2025,"",IF(C46=2026,_xlfn.XLOOKUP(A46,'DATA Census'!$A$2:$A$20,'DATA Census'!$C$2:$C$20),MIN(1,H45+G46)))</f>
        <v>0.408</v>
      </c>
      <c r="I46" s="5">
        <f>MIN(1,MAX(0,_xlfn.XLOOKUP(A46,'01 Industry Model'!$A$5:$A$23,'01 Industry Model'!$H$5:$H$23)+(C46-2025)*_xlfn.XLOOKUP(A46,'Projection Assumptions'!$A$13:$A$31,'Projection Assumptions'!$E$13:$E$31)))</f>
        <v>0.332080076236354</v>
      </c>
      <c r="J46" s="20">
        <f t="shared" si="9"/>
        <v>434.536875763493</v>
      </c>
      <c r="K46" s="20">
        <f t="shared" si="10"/>
        <v>177.291045311505</v>
      </c>
      <c r="L46" s="29">
        <f>IF(C46=2025,IFERROR(_xlfn.XLOOKUP(A46,'DATA QCEW'!$A$2:$A$20,'DATA QCEW'!$F$2:$F$20),""),L45*(1+D46))</f>
        <v>12615751.4306045</v>
      </c>
      <c r="M46" s="29">
        <f t="shared" si="11"/>
        <v>4189439.69685404</v>
      </c>
      <c r="N46" s="30">
        <f>IF(C46=2025,'Projection Assumptions'!$C$9,N45*(1+'Projection Assumptions'!$C$10))</f>
        <v>30</v>
      </c>
      <c r="O46" s="31">
        <f t="shared" si="12"/>
        <v>1.50819829086746</v>
      </c>
      <c r="P46" s="29">
        <f t="shared" si="13"/>
        <v>1709291.39631645</v>
      </c>
      <c r="Q46" s="32">
        <f t="shared" si="14"/>
        <v>0.615344902673922</v>
      </c>
    </row>
    <row r="47" spans="1:17">
      <c r="A47" t="s">
        <v>108</v>
      </c>
      <c r="B47" t="s">
        <v>109</v>
      </c>
      <c r="C47">
        <v>2025</v>
      </c>
      <c r="D47" s="5">
        <f>IFERROR(_xlfn.XLOOKUP(A47,'DATA BLS Projections'!$A$2:$A$20,'DATA BLS Projections'!$E$2:$E$20),0)</f>
        <v>0.0020472138662182</v>
      </c>
      <c r="E47" s="5">
        <f>IFERROR(_xlfn.XLOOKUP(A47,'Projection Assumptions'!$A$13:$A$31,'Projection Assumptions'!$C$13:$C$31),0)</f>
        <v>0.03</v>
      </c>
      <c r="F47" s="20">
        <f>IF(C47=2025,_xlfn.XLOOKUP(A47,'01 Industry Model'!$A$5:$A$23,'01 Industry Model'!$C$5:$C$23),F46*(1+D47)*(1+E47))</f>
        <v>638.878973832</v>
      </c>
      <c r="G47" s="5">
        <f>IFERROR(_xlfn.XLOOKUP(A47,'Projection Assumptions'!$A$13:$A$31,'Projection Assumptions'!$D$13:$D$31),0)</f>
        <v>0.05</v>
      </c>
      <c r="H47" s="5" t="str">
        <f>IF(C47=2025,"",IF(C47=2026,_xlfn.XLOOKUP(A47,'DATA Census'!$A$2:$A$20,'DATA Census'!$C$2:$C$20),MIN(1,H46+G47)))</f>
        <v/>
      </c>
      <c r="I47" s="5">
        <f>MIN(1,MAX(0,_xlfn.XLOOKUP(A47,'01 Industry Model'!$A$5:$A$23,'01 Industry Model'!$H$5:$H$23)+(C47-2025)*_xlfn.XLOOKUP(A47,'Projection Assumptions'!$A$13:$A$31,'Projection Assumptions'!$E$13:$E$31)))</f>
        <v>0.462065473474772</v>
      </c>
      <c r="J47" s="20">
        <f t="shared" si="9"/>
        <v>295.203915536759</v>
      </c>
      <c r="K47" s="20" t="str">
        <f t="shared" si="10"/>
        <v/>
      </c>
      <c r="L47" s="29">
        <f>IF(C47=2025,IFERROR(_xlfn.XLOOKUP(A47,'DATA QCEW'!$A$2:$A$20,'DATA QCEW'!$F$2:$F$20),""),L46*(1+D47))</f>
        <v>6037213</v>
      </c>
      <c r="M47" s="29">
        <f t="shared" si="11"/>
        <v>2789587.68331305</v>
      </c>
      <c r="N47" s="30">
        <f>IF(C47=2025,'Projection Assumptions'!$C$9,N46*(1+'Projection Assumptions'!$C$10))</f>
        <v>30</v>
      </c>
      <c r="O47" s="31">
        <f t="shared" si="12"/>
        <v>1.0042515659927</v>
      </c>
      <c r="P47" s="29" t="str">
        <f t="shared" si="13"/>
        <v/>
      </c>
      <c r="Q47" s="32" t="str">
        <f t="shared" si="14"/>
        <v/>
      </c>
    </row>
    <row r="48" spans="1:17">
      <c r="A48" t="s">
        <v>108</v>
      </c>
      <c r="B48" t="s">
        <v>109</v>
      </c>
      <c r="C48">
        <v>2026</v>
      </c>
      <c r="D48" s="5">
        <f>IFERROR(_xlfn.XLOOKUP(A48,'DATA BLS Projections'!$A$2:$A$20,'DATA BLS Projections'!$E$2:$E$20),0)</f>
        <v>0.0020472138662182</v>
      </c>
      <c r="E48" s="5">
        <f>IFERROR(_xlfn.XLOOKUP(A48,'Projection Assumptions'!$A$13:$A$31,'Projection Assumptions'!$C$13:$C$31),0)</f>
        <v>0.03</v>
      </c>
      <c r="F48" s="20">
        <f>IF(C48=2025,_xlfn.XLOOKUP(A48,'01 Industry Model'!$A$5:$A$23,'01 Industry Model'!$C$5:$C$23),F47*(1+D48)*(1+E48))</f>
        <v>659.392502597846</v>
      </c>
      <c r="G48" s="5">
        <f>IFERROR(_xlfn.XLOOKUP(A48,'Projection Assumptions'!$A$13:$A$31,'Projection Assumptions'!$D$13:$D$31),0)</f>
        <v>0.05</v>
      </c>
      <c r="H48" s="5">
        <f>IF(C48=2025,"",IF(C48=2026,_xlfn.XLOOKUP(A48,'DATA Census'!$A$2:$A$20,'DATA Census'!$C$2:$C$20),MIN(1,H47+G48)))</f>
        <v>0.216</v>
      </c>
      <c r="I48" s="5">
        <f>MIN(1,MAX(0,_xlfn.XLOOKUP(A48,'01 Industry Model'!$A$5:$A$23,'01 Industry Model'!$H$5:$H$23)+(C48-2025)*_xlfn.XLOOKUP(A48,'Projection Assumptions'!$A$13:$A$31,'Projection Assumptions'!$E$13:$E$31)))</f>
        <v>0.462065473474772</v>
      </c>
      <c r="J48" s="20">
        <f t="shared" si="9"/>
        <v>304.682508918588</v>
      </c>
      <c r="K48" s="20">
        <f t="shared" si="10"/>
        <v>65.8114219264151</v>
      </c>
      <c r="L48" s="29">
        <f>IF(C48=2025,IFERROR(_xlfn.XLOOKUP(A48,'DATA QCEW'!$A$2:$A$20,'DATA QCEW'!$F$2:$F$20),""),L47*(1+D48))</f>
        <v>6049572.46616691</v>
      </c>
      <c r="M48" s="29">
        <f t="shared" si="11"/>
        <v>2795298.56589936</v>
      </c>
      <c r="N48" s="30">
        <f>IF(C48=2025,'Projection Assumptions'!$C$9,N47*(1+'Projection Assumptions'!$C$10))</f>
        <v>30</v>
      </c>
      <c r="O48" s="31">
        <f t="shared" si="12"/>
        <v>1.00630748372377</v>
      </c>
      <c r="P48" s="29">
        <f t="shared" si="13"/>
        <v>603784.490234261</v>
      </c>
      <c r="Q48" s="32">
        <f t="shared" si="14"/>
        <v>0.217362416484334</v>
      </c>
    </row>
    <row r="49" spans="1:17">
      <c r="A49" t="s">
        <v>108</v>
      </c>
      <c r="B49" t="s">
        <v>109</v>
      </c>
      <c r="C49">
        <v>2027</v>
      </c>
      <c r="D49" s="5">
        <f>IFERROR(_xlfn.XLOOKUP(A49,'DATA BLS Projections'!$A$2:$A$20,'DATA BLS Projections'!$E$2:$E$20),0)</f>
        <v>0.0020472138662182</v>
      </c>
      <c r="E49" s="5">
        <f>IFERROR(_xlfn.XLOOKUP(A49,'Projection Assumptions'!$A$13:$A$31,'Projection Assumptions'!$C$13:$C$31),0)</f>
        <v>0.03</v>
      </c>
      <c r="F49" s="20">
        <f>IF(C49=2025,_xlfn.XLOOKUP(A49,'01 Industry Model'!$A$5:$A$23,'01 Industry Model'!$C$5:$C$23),F48*(1+D49)*(1+E49))</f>
        <v>680.564692674618</v>
      </c>
      <c r="G49" s="5">
        <f>IFERROR(_xlfn.XLOOKUP(A49,'Projection Assumptions'!$A$13:$A$31,'Projection Assumptions'!$D$13:$D$31),0)</f>
        <v>0.05</v>
      </c>
      <c r="H49" s="5">
        <f>IF(C49=2025,"",IF(C49=2026,_xlfn.XLOOKUP(A49,'DATA Census'!$A$2:$A$20,'DATA Census'!$C$2:$C$20),MIN(1,H48+G49)))</f>
        <v>0.266</v>
      </c>
      <c r="I49" s="5">
        <f>MIN(1,MAX(0,_xlfn.XLOOKUP(A49,'01 Industry Model'!$A$5:$A$23,'01 Industry Model'!$H$5:$H$23)+(C49-2025)*_xlfn.XLOOKUP(A49,'Projection Assumptions'!$A$13:$A$31,'Projection Assumptions'!$E$13:$E$31)))</f>
        <v>0.462065473474772</v>
      </c>
      <c r="J49" s="20">
        <f t="shared" si="9"/>
        <v>314.46544695091</v>
      </c>
      <c r="K49" s="20">
        <f t="shared" si="10"/>
        <v>83.6478088889421</v>
      </c>
      <c r="L49" s="29">
        <f>IF(C49=2025,IFERROR(_xlfn.XLOOKUP(A49,'DATA QCEW'!$A$2:$A$20,'DATA QCEW'!$F$2:$F$20),""),L48*(1+D49))</f>
        <v>6061957.23480434</v>
      </c>
      <c r="M49" s="29">
        <f t="shared" si="11"/>
        <v>2801021.13988369</v>
      </c>
      <c r="N49" s="30">
        <f>IF(C49=2025,'Projection Assumptions'!$C$9,N48*(1+'Projection Assumptions'!$C$10))</f>
        <v>30</v>
      </c>
      <c r="O49" s="31">
        <f t="shared" si="12"/>
        <v>1.00836761035813</v>
      </c>
      <c r="P49" s="29">
        <f t="shared" si="13"/>
        <v>745071.623209061</v>
      </c>
      <c r="Q49" s="32">
        <f t="shared" si="14"/>
        <v>0.268225784355262</v>
      </c>
    </row>
    <row r="50" spans="1:17">
      <c r="A50" t="s">
        <v>108</v>
      </c>
      <c r="B50" t="s">
        <v>109</v>
      </c>
      <c r="C50">
        <v>2028</v>
      </c>
      <c r="D50" s="5">
        <f>IFERROR(_xlfn.XLOOKUP(A50,'DATA BLS Projections'!$A$2:$A$20,'DATA BLS Projections'!$E$2:$E$20),0)</f>
        <v>0.0020472138662182</v>
      </c>
      <c r="E50" s="5">
        <f>IFERROR(_xlfn.XLOOKUP(A50,'Projection Assumptions'!$A$13:$A$31,'Projection Assumptions'!$C$13:$C$31),0)</f>
        <v>0.03</v>
      </c>
      <c r="F50" s="20">
        <f>IF(C50=2025,_xlfn.XLOOKUP(A50,'01 Industry Model'!$A$5:$A$23,'01 Industry Model'!$C$5:$C$23),F49*(1+D50)*(1+E50))</f>
        <v>702.41669277483</v>
      </c>
      <c r="G50" s="5">
        <f>IFERROR(_xlfn.XLOOKUP(A50,'Projection Assumptions'!$A$13:$A$31,'Projection Assumptions'!$D$13:$D$31),0)</f>
        <v>0.05</v>
      </c>
      <c r="H50" s="5">
        <f>IF(C50=2025,"",IF(C50=2026,_xlfn.XLOOKUP(A50,'DATA Census'!$A$2:$A$20,'DATA Census'!$C$2:$C$20),MIN(1,H49+G50)))</f>
        <v>0.316</v>
      </c>
      <c r="I50" s="5">
        <f>MIN(1,MAX(0,_xlfn.XLOOKUP(A50,'01 Industry Model'!$A$5:$A$23,'01 Industry Model'!$H$5:$H$23)+(C50-2025)*_xlfn.XLOOKUP(A50,'Projection Assumptions'!$A$13:$A$31,'Projection Assumptions'!$E$13:$E$31)))</f>
        <v>0.462065473474772</v>
      </c>
      <c r="J50" s="20">
        <f t="shared" si="9"/>
        <v>324.562501723585</v>
      </c>
      <c r="K50" s="20">
        <f t="shared" si="10"/>
        <v>102.561750544653</v>
      </c>
      <c r="L50" s="29">
        <f>IF(C50=2025,IFERROR(_xlfn.XLOOKUP(A50,'DATA QCEW'!$A$2:$A$20,'DATA QCEW'!$F$2:$F$20),""),L49*(1+D50))</f>
        <v>6074367.35771185</v>
      </c>
      <c r="M50" s="29">
        <f t="shared" si="11"/>
        <v>2806755.42920083</v>
      </c>
      <c r="N50" s="30">
        <f>IF(C50=2025,'Projection Assumptions'!$C$9,N49*(1+'Projection Assumptions'!$C$10))</f>
        <v>30</v>
      </c>
      <c r="O50" s="31">
        <f t="shared" si="12"/>
        <v>1.0104319545123</v>
      </c>
      <c r="P50" s="29">
        <f t="shared" si="13"/>
        <v>886934.715627461</v>
      </c>
      <c r="Q50" s="32">
        <f t="shared" si="14"/>
        <v>0.319296497625886</v>
      </c>
    </row>
    <row r="51" spans="1:17">
      <c r="A51" t="s">
        <v>108</v>
      </c>
      <c r="B51" t="s">
        <v>109</v>
      </c>
      <c r="C51">
        <v>2029</v>
      </c>
      <c r="D51" s="5">
        <f>IFERROR(_xlfn.XLOOKUP(A51,'DATA BLS Projections'!$A$2:$A$20,'DATA BLS Projections'!$E$2:$E$20),0)</f>
        <v>0.0020472138662182</v>
      </c>
      <c r="E51" s="5">
        <f>IFERROR(_xlfn.XLOOKUP(A51,'Projection Assumptions'!$A$13:$A$31,'Projection Assumptions'!$C$13:$C$31),0)</f>
        <v>0.03</v>
      </c>
      <c r="F51" s="20">
        <f>IF(C51=2025,_xlfn.XLOOKUP(A51,'01 Industry Model'!$A$5:$A$23,'01 Industry Model'!$C$5:$C$23),F50*(1+D51)*(1+E51))</f>
        <v>724.970330667186</v>
      </c>
      <c r="G51" s="5">
        <f>IFERROR(_xlfn.XLOOKUP(A51,'Projection Assumptions'!$A$13:$A$31,'Projection Assumptions'!$D$13:$D$31),0)</f>
        <v>0.05</v>
      </c>
      <c r="H51" s="5">
        <f>IF(C51=2025,"",IF(C51=2026,_xlfn.XLOOKUP(A51,'DATA Census'!$A$2:$A$20,'DATA Census'!$C$2:$C$20),MIN(1,H50+G51)))</f>
        <v>0.366</v>
      </c>
      <c r="I51" s="5">
        <f>MIN(1,MAX(0,_xlfn.XLOOKUP(A51,'01 Industry Model'!$A$5:$A$23,'01 Industry Model'!$H$5:$H$23)+(C51-2025)*_xlfn.XLOOKUP(A51,'Projection Assumptions'!$A$13:$A$31,'Projection Assumptions'!$E$13:$E$31)))</f>
        <v>0.462065473474772</v>
      </c>
      <c r="J51" s="20">
        <f t="shared" si="9"/>
        <v>334.983759094895</v>
      </c>
      <c r="K51" s="20">
        <f t="shared" si="10"/>
        <v>122.604055828732</v>
      </c>
      <c r="L51" s="29">
        <f>IF(C51=2025,IFERROR(_xlfn.XLOOKUP(A51,'DATA QCEW'!$A$2:$A$20,'DATA QCEW'!$F$2:$F$20),""),L50*(1+D51))</f>
        <v>6086802.88679507</v>
      </c>
      <c r="M51" s="29">
        <f t="shared" si="11"/>
        <v>2812501.45783457</v>
      </c>
      <c r="N51" s="30">
        <f>IF(C51=2025,'Projection Assumptions'!$C$9,N50*(1+'Projection Assumptions'!$C$10))</f>
        <v>30</v>
      </c>
      <c r="O51" s="31">
        <f t="shared" si="12"/>
        <v>1.01250052482045</v>
      </c>
      <c r="P51" s="29">
        <f t="shared" si="13"/>
        <v>1029375.53356745</v>
      </c>
      <c r="Q51" s="32">
        <f t="shared" si="14"/>
        <v>0.370575192084283</v>
      </c>
    </row>
    <row r="52" spans="1:17">
      <c r="A52" t="s">
        <v>108</v>
      </c>
      <c r="B52" t="s">
        <v>109</v>
      </c>
      <c r="C52">
        <v>2030</v>
      </c>
      <c r="D52" s="5">
        <f>IFERROR(_xlfn.XLOOKUP(A52,'DATA BLS Projections'!$A$2:$A$20,'DATA BLS Projections'!$E$2:$E$20),0)</f>
        <v>0.0020472138662182</v>
      </c>
      <c r="E52" s="5">
        <f>IFERROR(_xlfn.XLOOKUP(A52,'Projection Assumptions'!$A$13:$A$31,'Projection Assumptions'!$C$13:$C$31),0)</f>
        <v>0.03</v>
      </c>
      <c r="F52" s="20">
        <f>IF(C52=2025,_xlfn.XLOOKUP(A52,'01 Industry Model'!$A$5:$A$23,'01 Industry Model'!$C$5:$C$23),F51*(1+D52)*(1+E52))</f>
        <v>748.248134980146</v>
      </c>
      <c r="G52" s="5">
        <f>IFERROR(_xlfn.XLOOKUP(A52,'Projection Assumptions'!$A$13:$A$31,'Projection Assumptions'!$D$13:$D$31),0)</f>
        <v>0.05</v>
      </c>
      <c r="H52" s="5">
        <f>IF(C52=2025,"",IF(C52=2026,_xlfn.XLOOKUP(A52,'DATA Census'!$A$2:$A$20,'DATA Census'!$C$2:$C$20),MIN(1,H51+G52)))</f>
        <v>0.416</v>
      </c>
      <c r="I52" s="5">
        <f>MIN(1,MAX(0,_xlfn.XLOOKUP(A52,'01 Industry Model'!$A$5:$A$23,'01 Industry Model'!$H$5:$H$23)+(C52-2025)*_xlfn.XLOOKUP(A52,'Projection Assumptions'!$A$13:$A$31,'Projection Assumptions'!$E$13:$E$31)))</f>
        <v>0.462065473474772</v>
      </c>
      <c r="J52" s="20">
        <f t="shared" si="9"/>
        <v>345.739628766216</v>
      </c>
      <c r="K52" s="20">
        <f t="shared" si="10"/>
        <v>143.827685566746</v>
      </c>
      <c r="L52" s="29">
        <f>IF(C52=2025,IFERROR(_xlfn.XLOOKUP(A52,'DATA QCEW'!$A$2:$A$20,'DATA QCEW'!$F$2:$F$20),""),L51*(1+D52))</f>
        <v>6099263.87406585</v>
      </c>
      <c r="M52" s="29">
        <f t="shared" si="11"/>
        <v>2818259.24981781</v>
      </c>
      <c r="N52" s="30">
        <f>IF(C52=2025,'Projection Assumptions'!$C$9,N51*(1+'Projection Assumptions'!$C$10))</f>
        <v>30</v>
      </c>
      <c r="O52" s="31">
        <f t="shared" si="12"/>
        <v>1.01457332993441</v>
      </c>
      <c r="P52" s="29">
        <f t="shared" si="13"/>
        <v>1172395.84792421</v>
      </c>
      <c r="Q52" s="32">
        <f t="shared" si="14"/>
        <v>0.422062505252715</v>
      </c>
    </row>
    <row r="53" spans="1:17">
      <c r="A53" t="s">
        <v>110</v>
      </c>
      <c r="B53" t="s">
        <v>111</v>
      </c>
      <c r="C53">
        <v>2025</v>
      </c>
      <c r="D53" s="5">
        <f>IFERROR(_xlfn.XLOOKUP(A53,'DATA BLS Projections'!$A$2:$A$20,'DATA BLS Projections'!$E$2:$E$20),0)</f>
        <v>-0.000178241323836592</v>
      </c>
      <c r="E53" s="5">
        <f>IFERROR(_xlfn.XLOOKUP(A53,'Projection Assumptions'!$A$13:$A$31,'Projection Assumptions'!$C$13:$C$31),0)</f>
        <v>0.03</v>
      </c>
      <c r="F53" s="20">
        <f>IF(C53=2025,_xlfn.XLOOKUP(A53,'01 Industry Model'!$A$5:$A$23,'01 Industry Model'!$C$5:$C$23),F52*(1+D53)*(1+E53))</f>
        <v>668.863568474</v>
      </c>
      <c r="G53" s="5">
        <f>IFERROR(_xlfn.XLOOKUP(A53,'Projection Assumptions'!$A$13:$A$31,'Projection Assumptions'!$D$13:$D$31),0)</f>
        <v>0.05</v>
      </c>
      <c r="H53" s="5" t="str">
        <f>IF(C53=2025,"",IF(C53=2026,_xlfn.XLOOKUP(A53,'DATA Census'!$A$2:$A$20,'DATA Census'!$C$2:$C$20),MIN(1,H52+G53)))</f>
        <v/>
      </c>
      <c r="I53" s="5">
        <f>MIN(1,MAX(0,_xlfn.XLOOKUP(A53,'01 Industry Model'!$A$5:$A$23,'01 Industry Model'!$H$5:$H$23)+(C53-2025)*_xlfn.XLOOKUP(A53,'Projection Assumptions'!$A$13:$A$31,'Projection Assumptions'!$E$13:$E$31)))</f>
        <v>0.438313626039503</v>
      </c>
      <c r="J53" s="20">
        <f t="shared" si="9"/>
        <v>293.17201602356</v>
      </c>
      <c r="K53" s="20" t="str">
        <f t="shared" si="10"/>
        <v/>
      </c>
      <c r="L53" s="29">
        <f>IF(C53=2025,IFERROR(_xlfn.XLOOKUP(A53,'DATA QCEW'!$A$2:$A$20,'DATA QCEW'!$F$2:$F$20),""),L52*(1+D53))</f>
        <v>15391082</v>
      </c>
      <c r="M53" s="29">
        <f t="shared" si="11"/>
        <v>6746120.96009132</v>
      </c>
      <c r="N53" s="30">
        <f>IF(C53=2025,'Projection Assumptions'!$C$9,N52*(1+'Projection Assumptions'!$C$10))</f>
        <v>30</v>
      </c>
      <c r="O53" s="31">
        <f t="shared" si="12"/>
        <v>2.42860354563287</v>
      </c>
      <c r="P53" s="29" t="str">
        <f t="shared" si="13"/>
        <v/>
      </c>
      <c r="Q53" s="32" t="str">
        <f t="shared" si="14"/>
        <v/>
      </c>
    </row>
    <row r="54" spans="1:17">
      <c r="A54" t="s">
        <v>110</v>
      </c>
      <c r="B54" t="s">
        <v>111</v>
      </c>
      <c r="C54">
        <v>2026</v>
      </c>
      <c r="D54" s="5">
        <f>IFERROR(_xlfn.XLOOKUP(A54,'DATA BLS Projections'!$A$2:$A$20,'DATA BLS Projections'!$E$2:$E$20),0)</f>
        <v>-0.000178241323836592</v>
      </c>
      <c r="E54" s="5">
        <f>IFERROR(_xlfn.XLOOKUP(A54,'Projection Assumptions'!$A$13:$A$31,'Projection Assumptions'!$C$13:$C$31),0)</f>
        <v>0.03</v>
      </c>
      <c r="F54" s="20">
        <f>IF(C54=2025,_xlfn.XLOOKUP(A54,'01 Industry Model'!$A$5:$A$23,'01 Industry Model'!$C$5:$C$23),F53*(1+D54)*(1+E54))</f>
        <v>688.806679826472</v>
      </c>
      <c r="G54" s="5">
        <f>IFERROR(_xlfn.XLOOKUP(A54,'Projection Assumptions'!$A$13:$A$31,'Projection Assumptions'!$D$13:$D$31),0)</f>
        <v>0.05</v>
      </c>
      <c r="H54" s="5">
        <f>IF(C54=2025,"",IF(C54=2026,_xlfn.XLOOKUP(A54,'DATA Census'!$A$2:$A$20,'DATA Census'!$C$2:$C$20),MIN(1,H53+G54)))</f>
        <v>0.168</v>
      </c>
      <c r="I54" s="5">
        <f>MIN(1,MAX(0,_xlfn.XLOOKUP(A54,'01 Industry Model'!$A$5:$A$23,'01 Industry Model'!$H$5:$H$23)+(C54-2025)*_xlfn.XLOOKUP(A54,'Projection Assumptions'!$A$13:$A$31,'Projection Assumptions'!$E$13:$E$31)))</f>
        <v>0.438313626039503</v>
      </c>
      <c r="J54" s="20">
        <f t="shared" si="9"/>
        <v>301.913353474971</v>
      </c>
      <c r="K54" s="20">
        <f t="shared" si="10"/>
        <v>50.7214433837952</v>
      </c>
      <c r="L54" s="29">
        <f>IF(C54=2025,IFERROR(_xlfn.XLOOKUP(A54,'DATA QCEW'!$A$2:$A$20,'DATA QCEW'!$F$2:$F$20),""),L53*(1+D54))</f>
        <v>15388338.673169</v>
      </c>
      <c r="M54" s="29">
        <f t="shared" si="11"/>
        <v>6744918.52256063</v>
      </c>
      <c r="N54" s="30">
        <f>IF(C54=2025,'Projection Assumptions'!$C$9,N53*(1+'Projection Assumptions'!$C$10))</f>
        <v>30</v>
      </c>
      <c r="O54" s="31">
        <f t="shared" si="12"/>
        <v>2.42817066812183</v>
      </c>
      <c r="P54" s="29">
        <f t="shared" si="13"/>
        <v>1133146.31179019</v>
      </c>
      <c r="Q54" s="32">
        <f t="shared" si="14"/>
        <v>0.407932672244467</v>
      </c>
    </row>
    <row r="55" spans="1:17">
      <c r="A55" t="s">
        <v>110</v>
      </c>
      <c r="B55" t="s">
        <v>111</v>
      </c>
      <c r="C55">
        <v>2027</v>
      </c>
      <c r="D55" s="5">
        <f>IFERROR(_xlfn.XLOOKUP(A55,'DATA BLS Projections'!$A$2:$A$20,'DATA BLS Projections'!$E$2:$E$20),0)</f>
        <v>-0.000178241323836592</v>
      </c>
      <c r="E55" s="5">
        <f>IFERROR(_xlfn.XLOOKUP(A55,'Projection Assumptions'!$A$13:$A$31,'Projection Assumptions'!$C$13:$C$31),0)</f>
        <v>0.03</v>
      </c>
      <c r="F55" s="20">
        <f>IF(C55=2025,_xlfn.XLOOKUP(A55,'01 Industry Model'!$A$5:$A$23,'01 Industry Model'!$C$5:$C$23),F54*(1+D55)*(1+E55))</f>
        <v>709.344423192352</v>
      </c>
      <c r="G55" s="5">
        <f>IFERROR(_xlfn.XLOOKUP(A55,'Projection Assumptions'!$A$13:$A$31,'Projection Assumptions'!$D$13:$D$31),0)</f>
        <v>0.05</v>
      </c>
      <c r="H55" s="5">
        <f>IF(C55=2025,"",IF(C55=2026,_xlfn.XLOOKUP(A55,'DATA Census'!$A$2:$A$20,'DATA Census'!$C$2:$C$20),MIN(1,H54+G55)))</f>
        <v>0.218</v>
      </c>
      <c r="I55" s="5">
        <f>MIN(1,MAX(0,_xlfn.XLOOKUP(A55,'01 Industry Model'!$A$5:$A$23,'01 Industry Model'!$H$5:$H$23)+(C55-2025)*_xlfn.XLOOKUP(A55,'Projection Assumptions'!$A$13:$A$31,'Projection Assumptions'!$E$13:$E$31)))</f>
        <v>0.438313626039503</v>
      </c>
      <c r="J55" s="20">
        <f t="shared" si="9"/>
        <v>310.915326240339</v>
      </c>
      <c r="K55" s="20">
        <f t="shared" si="10"/>
        <v>67.7795411203939</v>
      </c>
      <c r="L55" s="29">
        <f>IF(C55=2025,IFERROR(_xlfn.XLOOKUP(A55,'DATA QCEW'!$A$2:$A$20,'DATA QCEW'!$F$2:$F$20),""),L54*(1+D55))</f>
        <v>15385595.8353123</v>
      </c>
      <c r="M55" s="29">
        <f t="shared" si="11"/>
        <v>6743716.299354</v>
      </c>
      <c r="N55" s="30">
        <f>IF(C55=2025,'Projection Assumptions'!$C$9,N54*(1+'Projection Assumptions'!$C$10))</f>
        <v>30</v>
      </c>
      <c r="O55" s="31">
        <f t="shared" si="12"/>
        <v>2.42773786776744</v>
      </c>
      <c r="P55" s="29">
        <f t="shared" si="13"/>
        <v>1470130.15325917</v>
      </c>
      <c r="Q55" s="32">
        <f t="shared" si="14"/>
        <v>0.529246855173302</v>
      </c>
    </row>
    <row r="56" spans="1:17">
      <c r="A56" t="s">
        <v>110</v>
      </c>
      <c r="B56" t="s">
        <v>111</v>
      </c>
      <c r="C56">
        <v>2028</v>
      </c>
      <c r="D56" s="5">
        <f>IFERROR(_xlfn.XLOOKUP(A56,'DATA BLS Projections'!$A$2:$A$20,'DATA BLS Projections'!$E$2:$E$20),0)</f>
        <v>-0.000178241323836592</v>
      </c>
      <c r="E56" s="5">
        <f>IFERROR(_xlfn.XLOOKUP(A56,'Projection Assumptions'!$A$13:$A$31,'Projection Assumptions'!$C$13:$C$31),0)</f>
        <v>0.03</v>
      </c>
      <c r="F56" s="20">
        <f>IF(C56=2025,_xlfn.XLOOKUP(A56,'01 Industry Model'!$A$5:$A$23,'01 Industry Model'!$C$5:$C$23),F55*(1+D56)*(1+E56))</f>
        <v>730.494528364405</v>
      </c>
      <c r="G56" s="5">
        <f>IFERROR(_xlfn.XLOOKUP(A56,'Projection Assumptions'!$A$13:$A$31,'Projection Assumptions'!$D$13:$D$31),0)</f>
        <v>0.05</v>
      </c>
      <c r="H56" s="5">
        <f>IF(C56=2025,"",IF(C56=2026,_xlfn.XLOOKUP(A56,'DATA Census'!$A$2:$A$20,'DATA Census'!$C$2:$C$20),MIN(1,H55+G56)))</f>
        <v>0.268</v>
      </c>
      <c r="I56" s="5">
        <f>MIN(1,MAX(0,_xlfn.XLOOKUP(A56,'01 Industry Model'!$A$5:$A$23,'01 Industry Model'!$H$5:$H$23)+(C56-2025)*_xlfn.XLOOKUP(A56,'Projection Assumptions'!$A$13:$A$31,'Projection Assumptions'!$E$13:$E$31)))</f>
        <v>0.438313626039503</v>
      </c>
      <c r="J56" s="20">
        <f t="shared" si="9"/>
        <v>320.185705529419</v>
      </c>
      <c r="K56" s="20">
        <f t="shared" si="10"/>
        <v>85.8097690818842</v>
      </c>
      <c r="L56" s="29">
        <f>IF(C56=2025,IFERROR(_xlfn.XLOOKUP(A56,'DATA QCEW'!$A$2:$A$20,'DATA QCEW'!$F$2:$F$20),""),L55*(1+D56))</f>
        <v>15382853.4863426</v>
      </c>
      <c r="M56" s="29">
        <f t="shared" si="11"/>
        <v>6742514.29043322</v>
      </c>
      <c r="N56" s="30">
        <f>IF(C56=2025,'Projection Assumptions'!$C$9,N55*(1+'Projection Assumptions'!$C$10))</f>
        <v>30</v>
      </c>
      <c r="O56" s="31">
        <f t="shared" si="12"/>
        <v>2.42730514455596</v>
      </c>
      <c r="P56" s="29">
        <f t="shared" si="13"/>
        <v>1806993.8298361</v>
      </c>
      <c r="Q56" s="32">
        <f t="shared" si="14"/>
        <v>0.650517778740997</v>
      </c>
    </row>
    <row r="57" spans="1:17">
      <c r="A57" t="s">
        <v>110</v>
      </c>
      <c r="B57" t="s">
        <v>111</v>
      </c>
      <c r="C57">
        <v>2029</v>
      </c>
      <c r="D57" s="5">
        <f>IFERROR(_xlfn.XLOOKUP(A57,'DATA BLS Projections'!$A$2:$A$20,'DATA BLS Projections'!$E$2:$E$20),0)</f>
        <v>-0.000178241323836592</v>
      </c>
      <c r="E57" s="5">
        <f>IFERROR(_xlfn.XLOOKUP(A57,'Projection Assumptions'!$A$13:$A$31,'Projection Assumptions'!$C$13:$C$31),0)</f>
        <v>0.03</v>
      </c>
      <c r="F57" s="20">
        <f>IF(C57=2025,_xlfn.XLOOKUP(A57,'01 Industry Model'!$A$5:$A$23,'01 Industry Model'!$C$5:$C$23),F56*(1+D57)*(1+E57))</f>
        <v>752.275253774192</v>
      </c>
      <c r="G57" s="5">
        <f>IFERROR(_xlfn.XLOOKUP(A57,'Projection Assumptions'!$A$13:$A$31,'Projection Assumptions'!$D$13:$D$31),0)</f>
        <v>0.05</v>
      </c>
      <c r="H57" s="5">
        <f>IF(C57=2025,"",IF(C57=2026,_xlfn.XLOOKUP(A57,'DATA Census'!$A$2:$A$20,'DATA Census'!$C$2:$C$20),MIN(1,H56+G57)))</f>
        <v>0.318</v>
      </c>
      <c r="I57" s="5">
        <f>MIN(1,MAX(0,_xlfn.XLOOKUP(A57,'01 Industry Model'!$A$5:$A$23,'01 Industry Model'!$H$5:$H$23)+(C57-2025)*_xlfn.XLOOKUP(A57,'Projection Assumptions'!$A$13:$A$31,'Projection Assumptions'!$E$13:$E$31)))</f>
        <v>0.438313626039503</v>
      </c>
      <c r="J57" s="20">
        <f t="shared" si="9"/>
        <v>329.732494261553</v>
      </c>
      <c r="K57" s="20">
        <f t="shared" si="10"/>
        <v>104.854933175174</v>
      </c>
      <c r="L57" s="29">
        <f>IF(C57=2025,IFERROR(_xlfn.XLOOKUP(A57,'DATA QCEW'!$A$2:$A$20,'DATA QCEW'!$F$2:$F$20),""),L56*(1+D57))</f>
        <v>15380111.6261728</v>
      </c>
      <c r="M57" s="29">
        <f t="shared" si="11"/>
        <v>6741312.49576011</v>
      </c>
      <c r="N57" s="30">
        <f>IF(C57=2025,'Projection Assumptions'!$C$9,N56*(1+'Projection Assumptions'!$C$10))</f>
        <v>30</v>
      </c>
      <c r="O57" s="31">
        <f t="shared" si="12"/>
        <v>2.42687249847364</v>
      </c>
      <c r="P57" s="29">
        <f t="shared" si="13"/>
        <v>2143737.37365171</v>
      </c>
      <c r="Q57" s="32">
        <f t="shared" si="14"/>
        <v>0.771745454514617</v>
      </c>
    </row>
    <row r="58" spans="1:17">
      <c r="A58" t="s">
        <v>110</v>
      </c>
      <c r="B58" t="s">
        <v>111</v>
      </c>
      <c r="C58">
        <v>2030</v>
      </c>
      <c r="D58" s="5">
        <f>IFERROR(_xlfn.XLOOKUP(A58,'DATA BLS Projections'!$A$2:$A$20,'DATA BLS Projections'!$E$2:$E$20),0)</f>
        <v>-0.000178241323836592</v>
      </c>
      <c r="E58" s="5">
        <f>IFERROR(_xlfn.XLOOKUP(A58,'Projection Assumptions'!$A$13:$A$31,'Projection Assumptions'!$C$13:$C$31),0)</f>
        <v>0.03</v>
      </c>
      <c r="F58" s="20">
        <f>IF(C58=2025,_xlfn.XLOOKUP(A58,'01 Industry Model'!$A$5:$A$23,'01 Industry Model'!$C$5:$C$23),F57*(1+D58)*(1+E58))</f>
        <v>774.705402254182</v>
      </c>
      <c r="G58" s="5">
        <f>IFERROR(_xlfn.XLOOKUP(A58,'Projection Assumptions'!$A$13:$A$31,'Projection Assumptions'!$D$13:$D$31),0)</f>
        <v>0.05</v>
      </c>
      <c r="H58" s="5">
        <f>IF(C58=2025,"",IF(C58=2026,_xlfn.XLOOKUP(A58,'DATA Census'!$A$2:$A$20,'DATA Census'!$C$2:$C$20),MIN(1,H57+G58)))</f>
        <v>0.368</v>
      </c>
      <c r="I58" s="5">
        <f>MIN(1,MAX(0,_xlfn.XLOOKUP(A58,'01 Industry Model'!$A$5:$A$23,'01 Industry Model'!$H$5:$H$23)+(C58-2025)*_xlfn.XLOOKUP(A58,'Projection Assumptions'!$A$13:$A$31,'Projection Assumptions'!$E$13:$E$31)))</f>
        <v>0.438313626039503</v>
      </c>
      <c r="J58" s="20">
        <f t="shared" si="9"/>
        <v>339.563933974422</v>
      </c>
      <c r="K58" s="20">
        <f t="shared" si="10"/>
        <v>124.959527702587</v>
      </c>
      <c r="L58" s="29">
        <f>IF(C58=2025,IFERROR(_xlfn.XLOOKUP(A58,'DATA QCEW'!$A$2:$A$20,'DATA QCEW'!$F$2:$F$20),""),L57*(1+D58))</f>
        <v>15377370.2547158</v>
      </c>
      <c r="M58" s="29">
        <f t="shared" si="11"/>
        <v>6740110.91529647</v>
      </c>
      <c r="N58" s="30">
        <f>IF(C58=2025,'Projection Assumptions'!$C$9,N57*(1+'Projection Assumptions'!$C$10))</f>
        <v>30</v>
      </c>
      <c r="O58" s="31">
        <f t="shared" si="12"/>
        <v>2.42643992950673</v>
      </c>
      <c r="P58" s="29">
        <f t="shared" si="13"/>
        <v>2480360.8168291</v>
      </c>
      <c r="Q58" s="32">
        <f t="shared" si="14"/>
        <v>0.892929894058476</v>
      </c>
    </row>
    <row r="59" spans="1:17">
      <c r="A59" t="s">
        <v>112</v>
      </c>
      <c r="B59" t="s">
        <v>113</v>
      </c>
      <c r="C59">
        <v>2025</v>
      </c>
      <c r="D59" s="5">
        <f>IFERROR(_xlfn.XLOOKUP(A59,'DATA BLS Projections'!$A$2:$A$20,'DATA BLS Projections'!$E$2:$E$20),0)</f>
        <v>0.00307920407858875</v>
      </c>
      <c r="E59" s="5">
        <f>IFERROR(_xlfn.XLOOKUP(A59,'Projection Assumptions'!$A$13:$A$31,'Projection Assumptions'!$C$13:$C$31),0)</f>
        <v>0.03</v>
      </c>
      <c r="F59" s="20">
        <f>IF(C59=2025,_xlfn.XLOOKUP(A59,'01 Industry Model'!$A$5:$A$23,'01 Industry Model'!$C$5:$C$23),F58*(1+D59)*(1+E59))</f>
        <v>455.483942924</v>
      </c>
      <c r="G59" s="5">
        <f>IFERROR(_xlfn.XLOOKUP(A59,'Projection Assumptions'!$A$13:$A$31,'Projection Assumptions'!$D$13:$D$31),0)</f>
        <v>0.05</v>
      </c>
      <c r="H59" s="5" t="str">
        <f>IF(C59=2025,"",IF(C59=2026,_xlfn.XLOOKUP(A59,'DATA Census'!$A$2:$A$20,'DATA Census'!$C$2:$C$20),MIN(1,H58+G59)))</f>
        <v/>
      </c>
      <c r="I59" s="5">
        <f>MIN(1,MAX(0,_xlfn.XLOOKUP(A59,'01 Industry Model'!$A$5:$A$23,'01 Industry Model'!$H$5:$H$23)+(C59-2025)*_xlfn.XLOOKUP(A59,'Projection Assumptions'!$A$13:$A$31,'Projection Assumptions'!$E$13:$E$31)))</f>
        <v>0.329177897200295</v>
      </c>
      <c r="J59" s="20">
        <f t="shared" si="9"/>
        <v>149.935246540222</v>
      </c>
      <c r="K59" s="20" t="str">
        <f t="shared" si="10"/>
        <v/>
      </c>
      <c r="L59" s="29">
        <f>IF(C59=2025,IFERROR(_xlfn.XLOOKUP(A59,'DATA QCEW'!$A$2:$A$20,'DATA QCEW'!$F$2:$F$20),""),L58*(1+D59))</f>
        <v>6618917</v>
      </c>
      <c r="M59" s="29">
        <f t="shared" si="11"/>
        <v>2178801.17980329</v>
      </c>
      <c r="N59" s="30">
        <f>IF(C59=2025,'Projection Assumptions'!$C$9,N58*(1+'Projection Assumptions'!$C$10))</f>
        <v>30</v>
      </c>
      <c r="O59" s="31">
        <f t="shared" si="12"/>
        <v>0.784368424729183</v>
      </c>
      <c r="P59" s="29" t="str">
        <f t="shared" si="13"/>
        <v/>
      </c>
      <c r="Q59" s="32" t="str">
        <f t="shared" si="14"/>
        <v/>
      </c>
    </row>
    <row r="60" spans="1:17">
      <c r="A60" t="s">
        <v>112</v>
      </c>
      <c r="B60" t="s">
        <v>113</v>
      </c>
      <c r="C60">
        <v>2026</v>
      </c>
      <c r="D60" s="5">
        <f>IFERROR(_xlfn.XLOOKUP(A60,'DATA BLS Projections'!$A$2:$A$20,'DATA BLS Projections'!$E$2:$E$20),0)</f>
        <v>0.00307920407858875</v>
      </c>
      <c r="E60" s="5">
        <f>IFERROR(_xlfn.XLOOKUP(A60,'Projection Assumptions'!$A$13:$A$31,'Projection Assumptions'!$C$13:$C$31),0)</f>
        <v>0.03</v>
      </c>
      <c r="F60" s="20">
        <f>IF(C60=2025,_xlfn.XLOOKUP(A60,'01 Industry Model'!$A$5:$A$23,'01 Industry Model'!$C$5:$C$23),F59*(1+D60)*(1+E60))</f>
        <v>470.593065066947</v>
      </c>
      <c r="G60" s="5">
        <f>IFERROR(_xlfn.XLOOKUP(A60,'Projection Assumptions'!$A$13:$A$31,'Projection Assumptions'!$D$13:$D$31),0)</f>
        <v>0.05</v>
      </c>
      <c r="H60" s="5">
        <f>IF(C60=2025,"",IF(C60=2026,_xlfn.XLOOKUP(A60,'DATA Census'!$A$2:$A$20,'DATA Census'!$C$2:$C$20),MIN(1,H59+G60)))</f>
        <v>0.105</v>
      </c>
      <c r="I60" s="5">
        <f>MIN(1,MAX(0,_xlfn.XLOOKUP(A60,'01 Industry Model'!$A$5:$A$23,'01 Industry Model'!$H$5:$H$23)+(C60-2025)*_xlfn.XLOOKUP(A60,'Projection Assumptions'!$A$13:$A$31,'Projection Assumptions'!$E$13:$E$31)))</f>
        <v>0.329177897200295</v>
      </c>
      <c r="J60" s="20">
        <f t="shared" si="9"/>
        <v>154.908835595779</v>
      </c>
      <c r="K60" s="20">
        <f t="shared" si="10"/>
        <v>16.2654277375568</v>
      </c>
      <c r="L60" s="29">
        <f>IF(C60=2025,IFERROR(_xlfn.XLOOKUP(A60,'DATA QCEW'!$A$2:$A$20,'DATA QCEW'!$F$2:$F$20),""),L59*(1+D60))</f>
        <v>6639297.99622224</v>
      </c>
      <c r="M60" s="29">
        <f t="shared" si="11"/>
        <v>2185510.15328257</v>
      </c>
      <c r="N60" s="30">
        <f>IF(C60=2025,'Projection Assumptions'!$C$9,N59*(1+'Projection Assumptions'!$C$10))</f>
        <v>30</v>
      </c>
      <c r="O60" s="31">
        <f t="shared" si="12"/>
        <v>0.786783655181725</v>
      </c>
      <c r="P60" s="29">
        <f t="shared" si="13"/>
        <v>229478.56609467</v>
      </c>
      <c r="Q60" s="32">
        <f t="shared" si="14"/>
        <v>0.0826122837940812</v>
      </c>
    </row>
    <row r="61" spans="1:17">
      <c r="A61" t="s">
        <v>112</v>
      </c>
      <c r="B61" t="s">
        <v>113</v>
      </c>
      <c r="C61">
        <v>2027</v>
      </c>
      <c r="D61" s="5">
        <f>IFERROR(_xlfn.XLOOKUP(A61,'DATA BLS Projections'!$A$2:$A$20,'DATA BLS Projections'!$E$2:$E$20),0)</f>
        <v>0.00307920407858875</v>
      </c>
      <c r="E61" s="5">
        <f>IFERROR(_xlfn.XLOOKUP(A61,'Projection Assumptions'!$A$13:$A$31,'Projection Assumptions'!$C$13:$C$31),0)</f>
        <v>0.03</v>
      </c>
      <c r="F61" s="20">
        <f>IF(C61=2025,_xlfn.XLOOKUP(A61,'01 Industry Model'!$A$5:$A$23,'01 Industry Model'!$C$5:$C$23),F60*(1+D61)*(1+E61))</f>
        <v>486.203380666824</v>
      </c>
      <c r="G61" s="5">
        <f>IFERROR(_xlfn.XLOOKUP(A61,'Projection Assumptions'!$A$13:$A$31,'Projection Assumptions'!$D$13:$D$31),0)</f>
        <v>0.05</v>
      </c>
      <c r="H61" s="5">
        <f>IF(C61=2025,"",IF(C61=2026,_xlfn.XLOOKUP(A61,'DATA Census'!$A$2:$A$20,'DATA Census'!$C$2:$C$20),MIN(1,H60+G61)))</f>
        <v>0.155</v>
      </c>
      <c r="I61" s="5">
        <f>MIN(1,MAX(0,_xlfn.XLOOKUP(A61,'01 Industry Model'!$A$5:$A$23,'01 Industry Model'!$H$5:$H$23)+(C61-2025)*_xlfn.XLOOKUP(A61,'Projection Assumptions'!$A$13:$A$31,'Projection Assumptions'!$E$13:$E$31)))</f>
        <v>0.329177897200295</v>
      </c>
      <c r="J61" s="20">
        <f t="shared" si="9"/>
        <v>160.04740645958</v>
      </c>
      <c r="K61" s="20">
        <f t="shared" si="10"/>
        <v>24.8073480012349</v>
      </c>
      <c r="L61" s="29">
        <f>IF(C61=2025,IFERROR(_xlfn.XLOOKUP(A61,'DATA QCEW'!$A$2:$A$20,'DATA QCEW'!$F$2:$F$20),""),L60*(1+D61))</f>
        <v>6659741.74969117</v>
      </c>
      <c r="M61" s="29">
        <f t="shared" si="11"/>
        <v>2192239.78506035</v>
      </c>
      <c r="N61" s="30">
        <f>IF(C61=2025,'Projection Assumptions'!$C$9,N60*(1+'Projection Assumptions'!$C$10))</f>
        <v>30</v>
      </c>
      <c r="O61" s="31">
        <f t="shared" si="12"/>
        <v>0.789206322621728</v>
      </c>
      <c r="P61" s="29">
        <f t="shared" si="13"/>
        <v>339797.166684355</v>
      </c>
      <c r="Q61" s="32">
        <f t="shared" si="14"/>
        <v>0.122326980006368</v>
      </c>
    </row>
    <row r="62" spans="1:17">
      <c r="A62" t="s">
        <v>112</v>
      </c>
      <c r="B62" t="s">
        <v>113</v>
      </c>
      <c r="C62">
        <v>2028</v>
      </c>
      <c r="D62" s="5">
        <f>IFERROR(_xlfn.XLOOKUP(A62,'DATA BLS Projections'!$A$2:$A$20,'DATA BLS Projections'!$E$2:$E$20),0)</f>
        <v>0.00307920407858875</v>
      </c>
      <c r="E62" s="5">
        <f>IFERROR(_xlfn.XLOOKUP(A62,'Projection Assumptions'!$A$13:$A$31,'Projection Assumptions'!$C$13:$C$31),0)</f>
        <v>0.03</v>
      </c>
      <c r="F62" s="20">
        <f>IF(C62=2025,_xlfn.XLOOKUP(A62,'01 Industry Model'!$A$5:$A$23,'01 Industry Model'!$C$5:$C$23),F61*(1+D62)*(1+E62))</f>
        <v>502.331515102585</v>
      </c>
      <c r="G62" s="5">
        <f>IFERROR(_xlfn.XLOOKUP(A62,'Projection Assumptions'!$A$13:$A$31,'Projection Assumptions'!$D$13:$D$31),0)</f>
        <v>0.05</v>
      </c>
      <c r="H62" s="5">
        <f>IF(C62=2025,"",IF(C62=2026,_xlfn.XLOOKUP(A62,'DATA Census'!$A$2:$A$20,'DATA Census'!$C$2:$C$20),MIN(1,H61+G62)))</f>
        <v>0.205</v>
      </c>
      <c r="I62" s="5">
        <f>MIN(1,MAX(0,_xlfn.XLOOKUP(A62,'01 Industry Model'!$A$5:$A$23,'01 Industry Model'!$H$5:$H$23)+(C62-2025)*_xlfn.XLOOKUP(A62,'Projection Assumptions'!$A$13:$A$31,'Projection Assumptions'!$E$13:$E$31)))</f>
        <v>0.329177897200295</v>
      </c>
      <c r="J62" s="20">
        <f t="shared" si="9"/>
        <v>165.356431838907</v>
      </c>
      <c r="K62" s="20">
        <f t="shared" si="10"/>
        <v>33.898068526976</v>
      </c>
      <c r="L62" s="29">
        <f>IF(C62=2025,IFERROR(_xlfn.XLOOKUP(A62,'DATA QCEW'!$A$2:$A$20,'DATA QCEW'!$F$2:$F$20),""),L61*(1+D62))</f>
        <v>6680248.45364917</v>
      </c>
      <c r="M62" s="29">
        <f t="shared" si="11"/>
        <v>2198990.13874776</v>
      </c>
      <c r="N62" s="30">
        <f>IF(C62=2025,'Projection Assumptions'!$C$9,N61*(1+'Projection Assumptions'!$C$10))</f>
        <v>30</v>
      </c>
      <c r="O62" s="31">
        <f t="shared" si="12"/>
        <v>0.791636449949193</v>
      </c>
      <c r="P62" s="29">
        <f t="shared" si="13"/>
        <v>450792.97844329</v>
      </c>
      <c r="Q62" s="32">
        <f t="shared" si="14"/>
        <v>0.162285472239585</v>
      </c>
    </row>
    <row r="63" spans="1:17">
      <c r="A63" t="s">
        <v>112</v>
      </c>
      <c r="B63" t="s">
        <v>113</v>
      </c>
      <c r="C63">
        <v>2029</v>
      </c>
      <c r="D63" s="5">
        <f>IFERROR(_xlfn.XLOOKUP(A63,'DATA BLS Projections'!$A$2:$A$20,'DATA BLS Projections'!$E$2:$E$20),0)</f>
        <v>0.00307920407858875</v>
      </c>
      <c r="E63" s="5">
        <f>IFERROR(_xlfn.XLOOKUP(A63,'Projection Assumptions'!$A$13:$A$31,'Projection Assumptions'!$C$13:$C$31),0)</f>
        <v>0.03</v>
      </c>
      <c r="F63" s="20">
        <f>IF(C63=2025,_xlfn.XLOOKUP(A63,'01 Industry Model'!$A$5:$A$23,'01 Industry Model'!$C$5:$C$23),F62*(1+D63)*(1+E63))</f>
        <v>518.994645243273</v>
      </c>
      <c r="G63" s="5">
        <f>IFERROR(_xlfn.XLOOKUP(A63,'Projection Assumptions'!$A$13:$A$31,'Projection Assumptions'!$D$13:$D$31),0)</f>
        <v>0.05</v>
      </c>
      <c r="H63" s="5">
        <f>IF(C63=2025,"",IF(C63=2026,_xlfn.XLOOKUP(A63,'DATA Census'!$A$2:$A$20,'DATA Census'!$C$2:$C$20),MIN(1,H62+G63)))</f>
        <v>0.255</v>
      </c>
      <c r="I63" s="5">
        <f>MIN(1,MAX(0,_xlfn.XLOOKUP(A63,'01 Industry Model'!$A$5:$A$23,'01 Industry Model'!$H$5:$H$23)+(C63-2025)*_xlfn.XLOOKUP(A63,'Projection Assumptions'!$A$13:$A$31,'Projection Assumptions'!$E$13:$E$31)))</f>
        <v>0.329177897200295</v>
      </c>
      <c r="J63" s="20">
        <f t="shared" si="9"/>
        <v>170.841565979394</v>
      </c>
      <c r="K63" s="20">
        <f t="shared" si="10"/>
        <v>43.5645993247454</v>
      </c>
      <c r="L63" s="29">
        <f>IF(C63=2025,IFERROR(_xlfn.XLOOKUP(A63,'DATA QCEW'!$A$2:$A$20,'DATA QCEW'!$F$2:$F$20),""),L62*(1+D63))</f>
        <v>6700818.30193363</v>
      </c>
      <c r="M63" s="29">
        <f t="shared" si="11"/>
        <v>2205761.27815177</v>
      </c>
      <c r="N63" s="30">
        <f>IF(C63=2025,'Projection Assumptions'!$C$9,N62*(1+'Projection Assumptions'!$C$10))</f>
        <v>30</v>
      </c>
      <c r="O63" s="31">
        <f t="shared" si="12"/>
        <v>0.794074060134636</v>
      </c>
      <c r="P63" s="29">
        <f t="shared" si="13"/>
        <v>562469.1259287</v>
      </c>
      <c r="Q63" s="32">
        <f t="shared" si="14"/>
        <v>0.202488885334332</v>
      </c>
    </row>
    <row r="64" spans="1:17">
      <c r="A64" t="s">
        <v>112</v>
      </c>
      <c r="B64" t="s">
        <v>113</v>
      </c>
      <c r="C64">
        <v>2030</v>
      </c>
      <c r="D64" s="5">
        <f>IFERROR(_xlfn.XLOOKUP(A64,'DATA BLS Projections'!$A$2:$A$20,'DATA BLS Projections'!$E$2:$E$20),0)</f>
        <v>0.00307920407858875</v>
      </c>
      <c r="E64" s="5">
        <f>IFERROR(_xlfn.XLOOKUP(A64,'Projection Assumptions'!$A$13:$A$31,'Projection Assumptions'!$C$13:$C$31),0)</f>
        <v>0.03</v>
      </c>
      <c r="F64" s="20">
        <f>IF(C64=2025,_xlfn.XLOOKUP(A64,'01 Industry Model'!$A$5:$A$23,'01 Industry Model'!$C$5:$C$23),F63*(1+D64)*(1+E64))</f>
        <v>536.210517741822</v>
      </c>
      <c r="G64" s="5">
        <f>IFERROR(_xlfn.XLOOKUP(A64,'Projection Assumptions'!$A$13:$A$31,'Projection Assumptions'!$D$13:$D$31),0)</f>
        <v>0.05</v>
      </c>
      <c r="H64" s="5">
        <f>IF(C64=2025,"",IF(C64=2026,_xlfn.XLOOKUP(A64,'DATA Census'!$A$2:$A$20,'DATA Census'!$C$2:$C$20),MIN(1,H63+G64)))</f>
        <v>0.305</v>
      </c>
      <c r="I64" s="5">
        <f>MIN(1,MAX(0,_xlfn.XLOOKUP(A64,'01 Industry Model'!$A$5:$A$23,'01 Industry Model'!$H$5:$H$23)+(C64-2025)*_xlfn.XLOOKUP(A64,'Projection Assumptions'!$A$13:$A$31,'Projection Assumptions'!$E$13:$E$31)))</f>
        <v>0.329177897200295</v>
      </c>
      <c r="J64" s="20">
        <f t="shared" si="9"/>
        <v>176.508650686935</v>
      </c>
      <c r="K64" s="20">
        <f t="shared" si="10"/>
        <v>53.8351384595151</v>
      </c>
      <c r="L64" s="29">
        <f>IF(C64=2025,IFERROR(_xlfn.XLOOKUP(A64,'DATA QCEW'!$A$2:$A$20,'DATA QCEW'!$F$2:$F$20),""),L63*(1+D64))</f>
        <v>6721451.48897883</v>
      </c>
      <c r="M64" s="29">
        <f t="shared" si="11"/>
        <v>2212553.26727584</v>
      </c>
      <c r="N64" s="30">
        <f>IF(C64=2025,'Projection Assumptions'!$C$9,N63*(1+'Projection Assumptions'!$C$10))</f>
        <v>30</v>
      </c>
      <c r="O64" s="31">
        <f t="shared" si="12"/>
        <v>0.796519176219304</v>
      </c>
      <c r="P64" s="29">
        <f t="shared" si="13"/>
        <v>674828.746519132</v>
      </c>
      <c r="Q64" s="32">
        <f t="shared" si="14"/>
        <v>0.242938348746888</v>
      </c>
    </row>
    <row r="65" spans="1:17">
      <c r="A65" t="s">
        <v>114</v>
      </c>
      <c r="B65" t="s">
        <v>115</v>
      </c>
      <c r="C65">
        <v>2025</v>
      </c>
      <c r="D65" s="5">
        <f>IFERROR(_xlfn.XLOOKUP(A65,'DATA BLS Projections'!$A$2:$A$20,'DATA BLS Projections'!$E$2:$E$20),0)</f>
        <v>0.005154974410291</v>
      </c>
      <c r="E65" s="5">
        <f>IFERROR(_xlfn.XLOOKUP(A65,'Projection Assumptions'!$A$13:$A$31,'Projection Assumptions'!$C$13:$C$31),0)</f>
        <v>0.03</v>
      </c>
      <c r="F65" s="20">
        <f>IF(C65=2025,_xlfn.XLOOKUP(A65,'01 Industry Model'!$A$5:$A$23,'01 Industry Model'!$C$5:$C$23),F64*(1+D65)*(1+E65))</f>
        <v>544.469565204</v>
      </c>
      <c r="G65" s="5">
        <f>IFERROR(_xlfn.XLOOKUP(A65,'Projection Assumptions'!$A$13:$A$31,'Projection Assumptions'!$D$13:$D$31),0)</f>
        <v>0.05</v>
      </c>
      <c r="H65" s="5" t="str">
        <f>IF(C65=2025,"",IF(C65=2026,_xlfn.XLOOKUP(A65,'DATA Census'!$A$2:$A$20,'DATA Census'!$C$2:$C$20),MIN(1,H64+G65)))</f>
        <v/>
      </c>
      <c r="I65" s="5">
        <f>MIN(1,MAX(0,_xlfn.XLOOKUP(A65,'01 Industry Model'!$A$5:$A$23,'01 Industry Model'!$H$5:$H$23)+(C65-2025)*_xlfn.XLOOKUP(A65,'Projection Assumptions'!$A$13:$A$31,'Projection Assumptions'!$E$13:$E$31)))</f>
        <v>0.564345903359604</v>
      </c>
      <c r="J65" s="20">
        <f t="shared" si="9"/>
        <v>307.269168626862</v>
      </c>
      <c r="K65" s="20" t="str">
        <f t="shared" si="10"/>
        <v/>
      </c>
      <c r="L65" s="29">
        <f>IF(C65=2025,IFERROR(_xlfn.XLOOKUP(A65,'DATA QCEW'!$A$2:$A$20,'DATA QCEW'!$F$2:$F$20),""),L64*(1+D65))</f>
        <v>2850904</v>
      </c>
      <c r="M65" s="29">
        <f t="shared" si="11"/>
        <v>1608895.99327151</v>
      </c>
      <c r="N65" s="30">
        <f>IF(C65=2025,'Projection Assumptions'!$C$9,N64*(1+'Projection Assumptions'!$C$10))</f>
        <v>30</v>
      </c>
      <c r="O65" s="31">
        <f t="shared" si="12"/>
        <v>0.579202557577743</v>
      </c>
      <c r="P65" s="29" t="str">
        <f t="shared" si="13"/>
        <v/>
      </c>
      <c r="Q65" s="32" t="str">
        <f t="shared" si="14"/>
        <v/>
      </c>
    </row>
    <row r="66" spans="1:17">
      <c r="A66" t="s">
        <v>114</v>
      </c>
      <c r="B66" t="s">
        <v>115</v>
      </c>
      <c r="C66">
        <v>2026</v>
      </c>
      <c r="D66" s="5">
        <f>IFERROR(_xlfn.XLOOKUP(A66,'DATA BLS Projections'!$A$2:$A$20,'DATA BLS Projections'!$E$2:$E$20),0)</f>
        <v>0.005154974410291</v>
      </c>
      <c r="E66" s="5">
        <f>IFERROR(_xlfn.XLOOKUP(A66,'Projection Assumptions'!$A$13:$A$31,'Projection Assumptions'!$C$13:$C$31),0)</f>
        <v>0.03</v>
      </c>
      <c r="F66" s="20">
        <f>IF(C66=2025,_xlfn.XLOOKUP(A66,'01 Industry Model'!$A$5:$A$23,'01 Industry Model'!$C$5:$C$23),F65*(1+D66)*(1+E66))</f>
        <v>563.694580636203</v>
      </c>
      <c r="G66" s="5">
        <f>IFERROR(_xlfn.XLOOKUP(A66,'Projection Assumptions'!$A$13:$A$31,'Projection Assumptions'!$D$13:$D$31),0)</f>
        <v>0.05</v>
      </c>
      <c r="H66" s="5">
        <f>IF(C66=2025,"",IF(C66=2026,_xlfn.XLOOKUP(A66,'DATA Census'!$A$2:$A$20,'DATA Census'!$C$2:$C$20),MIN(1,H65+G66)))</f>
        <v>0.502</v>
      </c>
      <c r="I66" s="5">
        <f>MIN(1,MAX(0,_xlfn.XLOOKUP(A66,'01 Industry Model'!$A$5:$A$23,'01 Industry Model'!$H$5:$H$23)+(C66-2025)*_xlfn.XLOOKUP(A66,'Projection Assumptions'!$A$13:$A$31,'Projection Assumptions'!$E$13:$E$31)))</f>
        <v>0.564345903359604</v>
      </c>
      <c r="J66" s="20">
        <f t="shared" si="9"/>
        <v>318.118727328051</v>
      </c>
      <c r="K66" s="20">
        <f t="shared" si="10"/>
        <v>159.695601118682</v>
      </c>
      <c r="L66" s="29">
        <f>IF(C66=2025,IFERROR(_xlfn.XLOOKUP(A66,'DATA QCEW'!$A$2:$A$20,'DATA QCEW'!$F$2:$F$20),""),L65*(1+D66))</f>
        <v>2865600.3371662</v>
      </c>
      <c r="M66" s="29">
        <f t="shared" si="11"/>
        <v>1617189.81094564</v>
      </c>
      <c r="N66" s="30">
        <f>IF(C66=2025,'Projection Assumptions'!$C$9,N65*(1+'Projection Assumptions'!$C$10))</f>
        <v>30</v>
      </c>
      <c r="O66" s="31">
        <f t="shared" si="12"/>
        <v>0.582188331940431</v>
      </c>
      <c r="P66" s="29">
        <f t="shared" si="13"/>
        <v>811829.285094712</v>
      </c>
      <c r="Q66" s="32">
        <f t="shared" si="14"/>
        <v>0.292258542634096</v>
      </c>
    </row>
    <row r="67" spans="1:17">
      <c r="A67" t="s">
        <v>114</v>
      </c>
      <c r="B67" t="s">
        <v>115</v>
      </c>
      <c r="C67">
        <v>2027</v>
      </c>
      <c r="D67" s="5">
        <f>IFERROR(_xlfn.XLOOKUP(A67,'DATA BLS Projections'!$A$2:$A$20,'DATA BLS Projections'!$E$2:$E$20),0)</f>
        <v>0.005154974410291</v>
      </c>
      <c r="E67" s="5">
        <f>IFERROR(_xlfn.XLOOKUP(A67,'Projection Assumptions'!$A$13:$A$31,'Projection Assumptions'!$C$13:$C$31),0)</f>
        <v>0.03</v>
      </c>
      <c r="F67" s="20">
        <f>IF(C67=2025,_xlfn.XLOOKUP(A67,'01 Industry Model'!$A$5:$A$23,'01 Industry Model'!$C$5:$C$23),F66*(1+D67)*(1+E67))</f>
        <v>583.598424127841</v>
      </c>
      <c r="G67" s="5">
        <f>IFERROR(_xlfn.XLOOKUP(A67,'Projection Assumptions'!$A$13:$A$31,'Projection Assumptions'!$D$13:$D$31),0)</f>
        <v>0.05</v>
      </c>
      <c r="H67" s="5">
        <f>IF(C67=2025,"",IF(C67=2026,_xlfn.XLOOKUP(A67,'DATA Census'!$A$2:$A$20,'DATA Census'!$C$2:$C$20),MIN(1,H66+G67)))</f>
        <v>0.552</v>
      </c>
      <c r="I67" s="5">
        <f>MIN(1,MAX(0,_xlfn.XLOOKUP(A67,'01 Industry Model'!$A$5:$A$23,'01 Industry Model'!$H$5:$H$23)+(C67-2025)*_xlfn.XLOOKUP(A67,'Projection Assumptions'!$A$13:$A$31,'Projection Assumptions'!$E$13:$E$31)))</f>
        <v>0.564345903359604</v>
      </c>
      <c r="J67" s="20">
        <f t="shared" si="9"/>
        <v>329.351379863667</v>
      </c>
      <c r="K67" s="20">
        <f t="shared" si="10"/>
        <v>181.801961684744</v>
      </c>
      <c r="L67" s="29">
        <f>IF(C67=2025,IFERROR(_xlfn.XLOOKUP(A67,'DATA QCEW'!$A$2:$A$20,'DATA QCEW'!$F$2:$F$20),""),L66*(1+D67))</f>
        <v>2880372.43357441</v>
      </c>
      <c r="M67" s="29">
        <f t="shared" si="11"/>
        <v>1625526.38303765</v>
      </c>
      <c r="N67" s="30">
        <f>IF(C67=2025,'Projection Assumptions'!$C$9,N66*(1+'Projection Assumptions'!$C$10))</f>
        <v>30</v>
      </c>
      <c r="O67" s="31">
        <f t="shared" si="12"/>
        <v>0.585189497893554</v>
      </c>
      <c r="P67" s="29">
        <f t="shared" si="13"/>
        <v>897290.563436783</v>
      </c>
      <c r="Q67" s="32">
        <f t="shared" si="14"/>
        <v>0.323024602837242</v>
      </c>
    </row>
    <row r="68" spans="1:17">
      <c r="A68" t="s">
        <v>114</v>
      </c>
      <c r="B68" t="s">
        <v>115</v>
      </c>
      <c r="C68">
        <v>2028</v>
      </c>
      <c r="D68" s="5">
        <f>IFERROR(_xlfn.XLOOKUP(A68,'DATA BLS Projections'!$A$2:$A$20,'DATA BLS Projections'!$E$2:$E$20),0)</f>
        <v>0.005154974410291</v>
      </c>
      <c r="E68" s="5">
        <f>IFERROR(_xlfn.XLOOKUP(A68,'Projection Assumptions'!$A$13:$A$31,'Projection Assumptions'!$C$13:$C$31),0)</f>
        <v>0.03</v>
      </c>
      <c r="F68" s="20">
        <f>IF(C68=2025,_xlfn.XLOOKUP(A68,'01 Industry Model'!$A$5:$A$23,'01 Industry Model'!$C$5:$C$23),F67*(1+D68)*(1+E68))</f>
        <v>604.205064842209</v>
      </c>
      <c r="G68" s="5">
        <f>IFERROR(_xlfn.XLOOKUP(A68,'Projection Assumptions'!$A$13:$A$31,'Projection Assumptions'!$D$13:$D$31),0)</f>
        <v>0.05</v>
      </c>
      <c r="H68" s="5">
        <f>IF(C68=2025,"",IF(C68=2026,_xlfn.XLOOKUP(A68,'DATA Census'!$A$2:$A$20,'DATA Census'!$C$2:$C$20),MIN(1,H67+G68)))</f>
        <v>0.602</v>
      </c>
      <c r="I68" s="5">
        <f>MIN(1,MAX(0,_xlfn.XLOOKUP(A68,'01 Industry Model'!$A$5:$A$23,'01 Industry Model'!$H$5:$H$23)+(C68-2025)*_xlfn.XLOOKUP(A68,'Projection Assumptions'!$A$13:$A$31,'Projection Assumptions'!$E$13:$E$31)))</f>
        <v>0.564345903359604</v>
      </c>
      <c r="J68" s="20">
        <f t="shared" si="9"/>
        <v>340.980653132824</v>
      </c>
      <c r="K68" s="20">
        <f t="shared" si="10"/>
        <v>205.27035318596</v>
      </c>
      <c r="L68" s="29">
        <f>IF(C68=2025,IFERROR(_xlfn.XLOOKUP(A68,'DATA QCEW'!$A$2:$A$20,'DATA QCEW'!$F$2:$F$20),""),L67*(1+D68))</f>
        <v>2895220.67976159</v>
      </c>
      <c r="M68" s="29">
        <f t="shared" si="11"/>
        <v>1633905.92994546</v>
      </c>
      <c r="N68" s="30">
        <f>IF(C68=2025,'Projection Assumptions'!$C$9,N67*(1+'Projection Assumptions'!$C$10))</f>
        <v>30</v>
      </c>
      <c r="O68" s="31">
        <f t="shared" si="12"/>
        <v>0.588206134780366</v>
      </c>
      <c r="P68" s="29">
        <f t="shared" si="13"/>
        <v>983611.369827168</v>
      </c>
      <c r="Q68" s="32">
        <f t="shared" si="14"/>
        <v>0.354100093137781</v>
      </c>
    </row>
    <row r="69" spans="1:17">
      <c r="A69" t="s">
        <v>114</v>
      </c>
      <c r="B69" t="s">
        <v>115</v>
      </c>
      <c r="C69">
        <v>2029</v>
      </c>
      <c r="D69" s="5">
        <f>IFERROR(_xlfn.XLOOKUP(A69,'DATA BLS Projections'!$A$2:$A$20,'DATA BLS Projections'!$E$2:$E$20),0)</f>
        <v>0.005154974410291</v>
      </c>
      <c r="E69" s="5">
        <f>IFERROR(_xlfn.XLOOKUP(A69,'Projection Assumptions'!$A$13:$A$31,'Projection Assumptions'!$C$13:$C$31),0)</f>
        <v>0.03</v>
      </c>
      <c r="F69" s="20">
        <f>IF(C69=2025,_xlfn.XLOOKUP(A69,'01 Industry Model'!$A$5:$A$23,'01 Industry Model'!$C$5:$C$23),F68*(1+D69)*(1+E69))</f>
        <v>625.53931828474</v>
      </c>
      <c r="G69" s="5">
        <f>IFERROR(_xlfn.XLOOKUP(A69,'Projection Assumptions'!$A$13:$A$31,'Projection Assumptions'!$D$13:$D$31),0)</f>
        <v>0.05</v>
      </c>
      <c r="H69" s="5">
        <f>IF(C69=2025,"",IF(C69=2026,_xlfn.XLOOKUP(A69,'DATA Census'!$A$2:$A$20,'DATA Census'!$C$2:$C$20),MIN(1,H68+G69)))</f>
        <v>0.652</v>
      </c>
      <c r="I69" s="5">
        <f>MIN(1,MAX(0,_xlfn.XLOOKUP(A69,'01 Industry Model'!$A$5:$A$23,'01 Industry Model'!$H$5:$H$23)+(C69-2025)*_xlfn.XLOOKUP(A69,'Projection Assumptions'!$A$13:$A$31,'Projection Assumptions'!$E$13:$E$31)))</f>
        <v>0.564345903359604</v>
      </c>
      <c r="J69" s="20">
        <f t="shared" si="9"/>
        <v>353.020551664352</v>
      </c>
      <c r="K69" s="20">
        <f t="shared" si="10"/>
        <v>230.169399685158</v>
      </c>
      <c r="L69" s="29">
        <f>IF(C69=2025,IFERROR(_xlfn.XLOOKUP(A69,'DATA QCEW'!$A$2:$A$20,'DATA QCEW'!$F$2:$F$20),""),L68*(1+D69))</f>
        <v>2910145.46827791</v>
      </c>
      <c r="M69" s="29">
        <f t="shared" si="11"/>
        <v>1642328.67320315</v>
      </c>
      <c r="N69" s="30">
        <f>IF(C69=2025,'Projection Assumptions'!$C$9,N68*(1+'Projection Assumptions'!$C$10))</f>
        <v>30</v>
      </c>
      <c r="O69" s="31">
        <f t="shared" si="12"/>
        <v>0.591238322353135</v>
      </c>
      <c r="P69" s="29">
        <f t="shared" si="13"/>
        <v>1070798.29492846</v>
      </c>
      <c r="Q69" s="32">
        <f t="shared" si="14"/>
        <v>0.385487386174244</v>
      </c>
    </row>
    <row r="70" spans="1:17">
      <c r="A70" t="s">
        <v>114</v>
      </c>
      <c r="B70" t="s">
        <v>115</v>
      </c>
      <c r="C70">
        <v>2030</v>
      </c>
      <c r="D70" s="5">
        <f>IFERROR(_xlfn.XLOOKUP(A70,'DATA BLS Projections'!$A$2:$A$20,'DATA BLS Projections'!$E$2:$E$20),0)</f>
        <v>0.005154974410291</v>
      </c>
      <c r="E70" s="5">
        <f>IFERROR(_xlfn.XLOOKUP(A70,'Projection Assumptions'!$A$13:$A$31,'Projection Assumptions'!$C$13:$C$31),0)</f>
        <v>0.03</v>
      </c>
      <c r="F70" s="20">
        <f>IF(C70=2025,_xlfn.XLOOKUP(A70,'01 Industry Model'!$A$5:$A$23,'01 Industry Model'!$C$5:$C$23),F69*(1+D70)*(1+E70))</f>
        <v>647.626876187023</v>
      </c>
      <c r="G70" s="5">
        <f>IFERROR(_xlfn.XLOOKUP(A70,'Projection Assumptions'!$A$13:$A$31,'Projection Assumptions'!$D$13:$D$31),0)</f>
        <v>0.05</v>
      </c>
      <c r="H70" s="5">
        <f>IF(C70=2025,"",IF(C70=2026,_xlfn.XLOOKUP(A70,'DATA Census'!$A$2:$A$20,'DATA Census'!$C$2:$C$20),MIN(1,H69+G70)))</f>
        <v>0.702</v>
      </c>
      <c r="I70" s="5">
        <f>MIN(1,MAX(0,_xlfn.XLOOKUP(A70,'01 Industry Model'!$A$5:$A$23,'01 Industry Model'!$H$5:$H$23)+(C70-2025)*_xlfn.XLOOKUP(A70,'Projection Assumptions'!$A$13:$A$31,'Projection Assumptions'!$E$13:$E$31)))</f>
        <v>0.564345903359604</v>
      </c>
      <c r="J70" s="20">
        <f t="shared" si="9"/>
        <v>365.485574481723</v>
      </c>
      <c r="K70" s="20">
        <f t="shared" si="10"/>
        <v>256.57087328617</v>
      </c>
      <c r="L70" s="29">
        <f>IF(C70=2025,IFERROR(_xlfn.XLOOKUP(A70,'DATA QCEW'!$A$2:$A$20,'DATA QCEW'!$F$2:$F$20),""),L69*(1+D70))</f>
        <v>2925147.19369711</v>
      </c>
      <c r="M70" s="29">
        <f t="shared" si="11"/>
        <v>1650794.8354868</v>
      </c>
      <c r="N70" s="30">
        <f>IF(C70=2025,'Projection Assumptions'!$C$9,N69*(1+'Projection Assumptions'!$C$10))</f>
        <v>30</v>
      </c>
      <c r="O70" s="31">
        <f t="shared" si="12"/>
        <v>0.594286140775249</v>
      </c>
      <c r="P70" s="29">
        <f t="shared" si="13"/>
        <v>1158857.97451174</v>
      </c>
      <c r="Q70" s="32">
        <f t="shared" si="14"/>
        <v>0.417188870824225</v>
      </c>
    </row>
    <row r="71" spans="1:17">
      <c r="A71" t="s">
        <v>116</v>
      </c>
      <c r="B71" t="s">
        <v>117</v>
      </c>
      <c r="C71">
        <v>2025</v>
      </c>
      <c r="D71" s="5">
        <f>IFERROR(_xlfn.XLOOKUP(A71,'DATA BLS Projections'!$A$2:$A$20,'DATA BLS Projections'!$E$2:$E$20),0)</f>
        <v>0.00226630248801496</v>
      </c>
      <c r="E71" s="5">
        <f>IFERROR(_xlfn.XLOOKUP(A71,'Projection Assumptions'!$A$13:$A$31,'Projection Assumptions'!$C$13:$C$31),0)</f>
        <v>0.03</v>
      </c>
      <c r="F71" s="20">
        <f>IF(C71=2025,_xlfn.XLOOKUP(A71,'01 Industry Model'!$A$5:$A$23,'01 Industry Model'!$C$5:$C$23),F70*(1+D71)*(1+E71))</f>
        <v>966.666752201</v>
      </c>
      <c r="G71" s="5">
        <f>IFERROR(_xlfn.XLOOKUP(A71,'Projection Assumptions'!$A$13:$A$31,'Projection Assumptions'!$D$13:$D$31),0)</f>
        <v>0.05</v>
      </c>
      <c r="H71" s="5" t="str">
        <f>IF(C71=2025,"",IF(C71=2026,_xlfn.XLOOKUP(A71,'DATA Census'!$A$2:$A$20,'DATA Census'!$C$2:$C$20),MIN(1,H70+G71)))</f>
        <v/>
      </c>
      <c r="I71" s="5">
        <f>MIN(1,MAX(0,_xlfn.XLOOKUP(A71,'01 Industry Model'!$A$5:$A$23,'01 Industry Model'!$H$5:$H$23)+(C71-2025)*_xlfn.XLOOKUP(A71,'Projection Assumptions'!$A$13:$A$31,'Projection Assumptions'!$E$13:$E$31)))</f>
        <v>0.67885661164855</v>
      </c>
      <c r="J71" s="20">
        <f t="shared" si="9"/>
        <v>656.228115992479</v>
      </c>
      <c r="K71" s="20" t="str">
        <f t="shared" si="10"/>
        <v/>
      </c>
      <c r="L71" s="29">
        <f>IF(C71=2025,IFERROR(_xlfn.XLOOKUP(A71,'DATA QCEW'!$A$2:$A$20,'DATA QCEW'!$F$2:$F$20),""),L70*(1+D71))</f>
        <v>6316381</v>
      </c>
      <c r="M71" s="29">
        <f t="shared" si="11"/>
        <v>4287917.00354128</v>
      </c>
      <c r="N71" s="30">
        <f>IF(C71=2025,'Projection Assumptions'!$C$9,N70*(1+'Projection Assumptions'!$C$10))</f>
        <v>30</v>
      </c>
      <c r="O71" s="31">
        <f t="shared" si="12"/>
        <v>1.54365012127486</v>
      </c>
      <c r="P71" s="29" t="str">
        <f t="shared" si="13"/>
        <v/>
      </c>
      <c r="Q71" s="32" t="str">
        <f t="shared" si="14"/>
        <v/>
      </c>
    </row>
    <row r="72" spans="1:17">
      <c r="A72" t="s">
        <v>116</v>
      </c>
      <c r="B72" t="s">
        <v>117</v>
      </c>
      <c r="C72">
        <v>2026</v>
      </c>
      <c r="D72" s="5">
        <f>IFERROR(_xlfn.XLOOKUP(A72,'DATA BLS Projections'!$A$2:$A$20,'DATA BLS Projections'!$E$2:$E$20),0)</f>
        <v>0.00226630248801496</v>
      </c>
      <c r="E72" s="5">
        <f>IFERROR(_xlfn.XLOOKUP(A72,'Projection Assumptions'!$A$13:$A$31,'Projection Assumptions'!$C$13:$C$31),0)</f>
        <v>0.03</v>
      </c>
      <c r="F72" s="20">
        <f>IF(C72=2025,_xlfn.XLOOKUP(A72,'01 Industry Model'!$A$5:$A$23,'01 Industry Model'!$C$5:$C$23),F71*(1+D72)*(1+E72))</f>
        <v>997.923236810592</v>
      </c>
      <c r="G72" s="5">
        <f>IFERROR(_xlfn.XLOOKUP(A72,'Projection Assumptions'!$A$13:$A$31,'Projection Assumptions'!$D$13:$D$31),0)</f>
        <v>0.05</v>
      </c>
      <c r="H72" s="5">
        <f>IF(C72=2025,"",IF(C72=2026,_xlfn.XLOOKUP(A72,'DATA Census'!$A$2:$A$20,'DATA Census'!$C$2:$C$20),MIN(1,H71+G72)))</f>
        <v>0.401</v>
      </c>
      <c r="I72" s="5">
        <f>MIN(1,MAX(0,_xlfn.XLOOKUP(A72,'01 Industry Model'!$A$5:$A$23,'01 Industry Model'!$H$5:$H$23)+(C72-2025)*_xlfn.XLOOKUP(A72,'Projection Assumptions'!$A$13:$A$31,'Projection Assumptions'!$E$13:$E$31)))</f>
        <v>0.67885661164855</v>
      </c>
      <c r="J72" s="20">
        <f t="shared" si="9"/>
        <v>677.446787226592</v>
      </c>
      <c r="K72" s="20">
        <f t="shared" si="10"/>
        <v>271.656161677864</v>
      </c>
      <c r="L72" s="29">
        <f>IF(C72=2025,IFERROR(_xlfn.XLOOKUP(A72,'DATA QCEW'!$A$2:$A$20,'DATA QCEW'!$F$2:$F$20),""),L71*(1+D72))</f>
        <v>6330695.82997555</v>
      </c>
      <c r="M72" s="29">
        <f t="shared" si="11"/>
        <v>4297634.72051481</v>
      </c>
      <c r="N72" s="30">
        <f>IF(C72=2025,'Projection Assumptions'!$C$9,N71*(1+'Projection Assumptions'!$C$10))</f>
        <v>30</v>
      </c>
      <c r="O72" s="31">
        <f t="shared" si="12"/>
        <v>1.54714849938533</v>
      </c>
      <c r="P72" s="29">
        <f t="shared" si="13"/>
        <v>1723351.52292644</v>
      </c>
      <c r="Q72" s="32">
        <f t="shared" si="14"/>
        <v>0.620406548253517</v>
      </c>
    </row>
    <row r="73" spans="1:17">
      <c r="A73" t="s">
        <v>116</v>
      </c>
      <c r="B73" t="s">
        <v>117</v>
      </c>
      <c r="C73">
        <v>2027</v>
      </c>
      <c r="D73" s="5">
        <f>IFERROR(_xlfn.XLOOKUP(A73,'DATA BLS Projections'!$A$2:$A$20,'DATA BLS Projections'!$E$2:$E$20),0)</f>
        <v>0.00226630248801496</v>
      </c>
      <c r="E73" s="5">
        <f>IFERROR(_xlfn.XLOOKUP(A73,'Projection Assumptions'!$A$13:$A$31,'Projection Assumptions'!$C$13:$C$31),0)</f>
        <v>0.03</v>
      </c>
      <c r="F73" s="20">
        <f>IF(C73=2025,_xlfn.XLOOKUP(A73,'01 Industry Model'!$A$5:$A$23,'01 Industry Model'!$C$5:$C$23),F72*(1+D73)*(1+E73))</f>
        <v>1030.19037770678</v>
      </c>
      <c r="G73" s="5">
        <f>IFERROR(_xlfn.XLOOKUP(A73,'Projection Assumptions'!$A$13:$A$31,'Projection Assumptions'!$D$13:$D$31),0)</f>
        <v>0.05</v>
      </c>
      <c r="H73" s="5">
        <f>IF(C73=2025,"",IF(C73=2026,_xlfn.XLOOKUP(A73,'DATA Census'!$A$2:$A$20,'DATA Census'!$C$2:$C$20),MIN(1,H72+G73)))</f>
        <v>0.451</v>
      </c>
      <c r="I73" s="5">
        <f>MIN(1,MAX(0,_xlfn.XLOOKUP(A73,'01 Industry Model'!$A$5:$A$23,'01 Industry Model'!$H$5:$H$23)+(C73-2025)*_xlfn.XLOOKUP(A73,'Projection Assumptions'!$A$13:$A$31,'Projection Assumptions'!$E$13:$E$31)))</f>
        <v>0.67885661164855</v>
      </c>
      <c r="J73" s="20">
        <f t="shared" si="9"/>
        <v>699.351549162961</v>
      </c>
      <c r="K73" s="20">
        <f t="shared" si="10"/>
        <v>315.407548672496</v>
      </c>
      <c r="L73" s="29">
        <f>IF(C73=2025,IFERROR(_xlfn.XLOOKUP(A73,'DATA QCEW'!$A$2:$A$20,'DATA QCEW'!$F$2:$F$20),""),L72*(1+D73))</f>
        <v>6345043.10168589</v>
      </c>
      <c r="M73" s="29">
        <f t="shared" si="11"/>
        <v>4307374.46077449</v>
      </c>
      <c r="N73" s="30">
        <f>IF(C73=2025,'Projection Assumptions'!$C$9,N72*(1+'Projection Assumptions'!$C$10))</f>
        <v>30</v>
      </c>
      <c r="O73" s="31">
        <f t="shared" si="12"/>
        <v>1.55065480587882</v>
      </c>
      <c r="P73" s="29">
        <f t="shared" si="13"/>
        <v>1942625.88180929</v>
      </c>
      <c r="Q73" s="32">
        <f t="shared" si="14"/>
        <v>0.699345317451346</v>
      </c>
    </row>
    <row r="74" spans="1:17">
      <c r="A74" t="s">
        <v>116</v>
      </c>
      <c r="B74" t="s">
        <v>117</v>
      </c>
      <c r="C74">
        <v>2028</v>
      </c>
      <c r="D74" s="5">
        <f>IFERROR(_xlfn.XLOOKUP(A74,'DATA BLS Projections'!$A$2:$A$20,'DATA BLS Projections'!$E$2:$E$20),0)</f>
        <v>0.00226630248801496</v>
      </c>
      <c r="E74" s="5">
        <f>IFERROR(_xlfn.XLOOKUP(A74,'Projection Assumptions'!$A$13:$A$31,'Projection Assumptions'!$C$13:$C$31),0)</f>
        <v>0.03</v>
      </c>
      <c r="F74" s="20">
        <f>IF(C74=2025,_xlfn.XLOOKUP(A74,'01 Industry Model'!$A$5:$A$23,'01 Industry Model'!$C$5:$C$23),F73*(1+D74)*(1+E74))</f>
        <v>1063.50085374459</v>
      </c>
      <c r="G74" s="5">
        <f>IFERROR(_xlfn.XLOOKUP(A74,'Projection Assumptions'!$A$13:$A$31,'Projection Assumptions'!$D$13:$D$31),0)</f>
        <v>0.05</v>
      </c>
      <c r="H74" s="5">
        <f>IF(C74=2025,"",IF(C74=2026,_xlfn.XLOOKUP(A74,'DATA Census'!$A$2:$A$20,'DATA Census'!$C$2:$C$20),MIN(1,H73+G74)))</f>
        <v>0.501</v>
      </c>
      <c r="I74" s="5">
        <f>MIN(1,MAX(0,_xlfn.XLOOKUP(A74,'01 Industry Model'!$A$5:$A$23,'01 Industry Model'!$H$5:$H$23)+(C74-2025)*_xlfn.XLOOKUP(A74,'Projection Assumptions'!$A$13:$A$31,'Projection Assumptions'!$E$13:$E$31)))</f>
        <v>0.67885661164855</v>
      </c>
      <c r="J74" s="20">
        <f t="shared" si="9"/>
        <v>721.964586058391</v>
      </c>
      <c r="K74" s="20">
        <f t="shared" si="10"/>
        <v>361.704257615254</v>
      </c>
      <c r="L74" s="29">
        <f>IF(C74=2025,IFERROR(_xlfn.XLOOKUP(A74,'DATA QCEW'!$A$2:$A$20,'DATA QCEW'!$F$2:$F$20),""),L73*(1+D74))</f>
        <v>6359422.8886538</v>
      </c>
      <c r="M74" s="29">
        <f t="shared" si="11"/>
        <v>4317136.27423175</v>
      </c>
      <c r="N74" s="30">
        <f>IF(C74=2025,'Projection Assumptions'!$C$9,N73*(1+'Projection Assumptions'!$C$10))</f>
        <v>30</v>
      </c>
      <c r="O74" s="31">
        <f t="shared" si="12"/>
        <v>1.55416905872343</v>
      </c>
      <c r="P74" s="29">
        <f t="shared" si="13"/>
        <v>2162885.27339011</v>
      </c>
      <c r="Q74" s="32">
        <f t="shared" si="14"/>
        <v>0.778638698420439</v>
      </c>
    </row>
    <row r="75" spans="1:17">
      <c r="A75" t="s">
        <v>116</v>
      </c>
      <c r="B75" t="s">
        <v>117</v>
      </c>
      <c r="C75">
        <v>2029</v>
      </c>
      <c r="D75" s="5">
        <f>IFERROR(_xlfn.XLOOKUP(A75,'DATA BLS Projections'!$A$2:$A$20,'DATA BLS Projections'!$E$2:$E$20),0)</f>
        <v>0.00226630248801496</v>
      </c>
      <c r="E75" s="5">
        <f>IFERROR(_xlfn.XLOOKUP(A75,'Projection Assumptions'!$A$13:$A$31,'Projection Assumptions'!$C$13:$C$31),0)</f>
        <v>0.03</v>
      </c>
      <c r="F75" s="20">
        <f>IF(C75=2025,_xlfn.XLOOKUP(A75,'01 Industry Model'!$A$5:$A$23,'01 Industry Model'!$C$5:$C$23),F74*(1+D75)*(1+E75))</f>
        <v>1097.8884004267</v>
      </c>
      <c r="G75" s="5">
        <f>IFERROR(_xlfn.XLOOKUP(A75,'Projection Assumptions'!$A$13:$A$31,'Projection Assumptions'!$D$13:$D$31),0)</f>
        <v>0.05</v>
      </c>
      <c r="H75" s="5">
        <f>IF(C75=2025,"",IF(C75=2026,_xlfn.XLOOKUP(A75,'DATA Census'!$A$2:$A$20,'DATA Census'!$C$2:$C$20),MIN(1,H74+G75)))</f>
        <v>0.551</v>
      </c>
      <c r="I75" s="5">
        <f>MIN(1,MAX(0,_xlfn.XLOOKUP(A75,'01 Industry Model'!$A$5:$A$23,'01 Industry Model'!$H$5:$H$23)+(C75-2025)*_xlfn.XLOOKUP(A75,'Projection Assumptions'!$A$13:$A$31,'Projection Assumptions'!$E$13:$E$31)))</f>
        <v>0.67885661164855</v>
      </c>
      <c r="J75" s="20">
        <f t="shared" si="9"/>
        <v>745.308799481915</v>
      </c>
      <c r="K75" s="20">
        <f t="shared" si="10"/>
        <v>410.665148514535</v>
      </c>
      <c r="L75" s="29">
        <f>IF(C75=2025,IFERROR(_xlfn.XLOOKUP(A75,'DATA QCEW'!$A$2:$A$20,'DATA QCEW'!$F$2:$F$20),""),L74*(1+D75))</f>
        <v>6373835.2645687</v>
      </c>
      <c r="M75" s="29">
        <f t="shared" si="11"/>
        <v>4326920.21091114</v>
      </c>
      <c r="N75" s="30">
        <f>IF(C75=2025,'Projection Assumptions'!$C$9,N74*(1+'Projection Assumptions'!$C$10))</f>
        <v>30</v>
      </c>
      <c r="O75" s="31">
        <f t="shared" si="12"/>
        <v>1.55769127592801</v>
      </c>
      <c r="P75" s="29">
        <f t="shared" si="13"/>
        <v>2384133.03621204</v>
      </c>
      <c r="Q75" s="32">
        <f t="shared" si="14"/>
        <v>0.858287893036335</v>
      </c>
    </row>
    <row r="76" spans="1:17">
      <c r="A76" t="s">
        <v>116</v>
      </c>
      <c r="B76" t="s">
        <v>117</v>
      </c>
      <c r="C76">
        <v>2030</v>
      </c>
      <c r="D76" s="5">
        <f>IFERROR(_xlfn.XLOOKUP(A76,'DATA BLS Projections'!$A$2:$A$20,'DATA BLS Projections'!$E$2:$E$20),0)</f>
        <v>0.00226630248801496</v>
      </c>
      <c r="E76" s="5">
        <f>IFERROR(_xlfn.XLOOKUP(A76,'Projection Assumptions'!$A$13:$A$31,'Projection Assumptions'!$C$13:$C$31),0)</f>
        <v>0.03</v>
      </c>
      <c r="F76" s="20">
        <f>IF(C76=2025,_xlfn.XLOOKUP(A76,'01 Industry Model'!$A$5:$A$23,'01 Industry Model'!$C$5:$C$23),F75*(1+D76)*(1+E76))</f>
        <v>1133.38784406935</v>
      </c>
      <c r="G76" s="5">
        <f>IFERROR(_xlfn.XLOOKUP(A76,'Projection Assumptions'!$A$13:$A$31,'Projection Assumptions'!$D$13:$D$31),0)</f>
        <v>0.05</v>
      </c>
      <c r="H76" s="5">
        <f>IF(C76=2025,"",IF(C76=2026,_xlfn.XLOOKUP(A76,'DATA Census'!$A$2:$A$20,'DATA Census'!$C$2:$C$20),MIN(1,H75+G76)))</f>
        <v>0.601</v>
      </c>
      <c r="I76" s="5">
        <f>MIN(1,MAX(0,_xlfn.XLOOKUP(A76,'01 Industry Model'!$A$5:$A$23,'01 Industry Model'!$H$5:$H$23)+(C76-2025)*_xlfn.XLOOKUP(A76,'Projection Assumptions'!$A$13:$A$31,'Projection Assumptions'!$E$13:$E$31)))</f>
        <v>0.67885661164855</v>
      </c>
      <c r="J76" s="20">
        <f t="shared" si="9"/>
        <v>769.407831508576</v>
      </c>
      <c r="K76" s="20">
        <f t="shared" si="10"/>
        <v>462.414106736654</v>
      </c>
      <c r="L76" s="29">
        <f>IF(C76=2025,IFERROR(_xlfn.XLOOKUP(A76,'DATA QCEW'!$A$2:$A$20,'DATA QCEW'!$F$2:$F$20),""),L75*(1+D76))</f>
        <v>6388280.30328699</v>
      </c>
      <c r="M76" s="29">
        <f t="shared" si="11"/>
        <v>4336726.32095058</v>
      </c>
      <c r="N76" s="30">
        <f>IF(C76=2025,'Projection Assumptions'!$C$9,N75*(1+'Projection Assumptions'!$C$10))</f>
        <v>30</v>
      </c>
      <c r="O76" s="31">
        <f t="shared" si="12"/>
        <v>1.56122147554221</v>
      </c>
      <c r="P76" s="29">
        <f t="shared" si="13"/>
        <v>2606372.5188913</v>
      </c>
      <c r="Q76" s="32">
        <f t="shared" si="14"/>
        <v>0.938294106800866</v>
      </c>
    </row>
    <row r="77" spans="1:17">
      <c r="A77" t="s">
        <v>118</v>
      </c>
      <c r="B77" t="s">
        <v>119</v>
      </c>
      <c r="C77">
        <v>2025</v>
      </c>
      <c r="D77" s="5">
        <f>IFERROR(_xlfn.XLOOKUP(A77,'DATA BLS Projections'!$A$2:$A$20,'DATA BLS Projections'!$E$2:$E$20),0)</f>
        <v>0.00332822406496547</v>
      </c>
      <c r="E77" s="5">
        <f>IFERROR(_xlfn.XLOOKUP(A77,'Projection Assumptions'!$A$13:$A$31,'Projection Assumptions'!$C$13:$C$31),0)</f>
        <v>0.03</v>
      </c>
      <c r="F77" s="20">
        <f>IF(C77=2025,_xlfn.XLOOKUP(A77,'01 Industry Model'!$A$5:$A$23,'01 Industry Model'!$C$5:$C$23),F76*(1+D77)*(1+E77))</f>
        <v>193.529178704</v>
      </c>
      <c r="G77" s="5">
        <f>IFERROR(_xlfn.XLOOKUP(A77,'Projection Assumptions'!$A$13:$A$31,'Projection Assumptions'!$D$13:$D$31),0)</f>
        <v>0.05</v>
      </c>
      <c r="H77" s="5" t="str">
        <f>IF(C77=2025,"",IF(C77=2026,_xlfn.XLOOKUP(A77,'DATA Census'!$A$2:$A$20,'DATA Census'!$C$2:$C$20),MIN(1,H76+G77)))</f>
        <v/>
      </c>
      <c r="I77" s="5">
        <f>MIN(1,MAX(0,_xlfn.XLOOKUP(A77,'01 Industry Model'!$A$5:$A$23,'01 Industry Model'!$H$5:$H$23)+(C77-2025)*_xlfn.XLOOKUP(A77,'Projection Assumptions'!$A$13:$A$31,'Projection Assumptions'!$E$13:$E$31)))</f>
        <v>0.466596739271404</v>
      </c>
      <c r="J77" s="20">
        <f t="shared" si="9"/>
        <v>90.3000837371593</v>
      </c>
      <c r="K77" s="20" t="str">
        <f t="shared" si="10"/>
        <v/>
      </c>
      <c r="L77" s="29">
        <f>IF(C77=2025,IFERROR(_xlfn.XLOOKUP(A77,'DATA QCEW'!$A$2:$A$20,'DATA QCEW'!$F$2:$F$20),""),L76*(1+D77))</f>
        <v>2411118</v>
      </c>
      <c r="M77" s="29">
        <f t="shared" si="11"/>
        <v>1125019.79679859</v>
      </c>
      <c r="N77" s="30">
        <f>IF(C77=2025,'Projection Assumptions'!$C$9,N76*(1+'Projection Assumptions'!$C$10))</f>
        <v>30</v>
      </c>
      <c r="O77" s="31">
        <f t="shared" si="12"/>
        <v>0.405007126847492</v>
      </c>
      <c r="P77" s="29" t="str">
        <f t="shared" si="13"/>
        <v/>
      </c>
      <c r="Q77" s="32" t="str">
        <f t="shared" si="14"/>
        <v/>
      </c>
    </row>
    <row r="78" spans="1:17">
      <c r="A78" t="s">
        <v>118</v>
      </c>
      <c r="B78" t="s">
        <v>119</v>
      </c>
      <c r="C78">
        <v>2026</v>
      </c>
      <c r="D78" s="5">
        <f>IFERROR(_xlfn.XLOOKUP(A78,'DATA BLS Projections'!$A$2:$A$20,'DATA BLS Projections'!$E$2:$E$20),0)</f>
        <v>0.00332822406496547</v>
      </c>
      <c r="E78" s="5">
        <f>IFERROR(_xlfn.XLOOKUP(A78,'Projection Assumptions'!$A$13:$A$31,'Projection Assumptions'!$C$13:$C$31),0)</f>
        <v>0.03</v>
      </c>
      <c r="F78" s="20">
        <f>IF(C78=2025,_xlfn.XLOOKUP(A78,'01 Industry Model'!$A$5:$A$23,'01 Industry Model'!$C$5:$C$23),F77*(1+D78)*(1+E78))</f>
        <v>199.998485789051</v>
      </c>
      <c r="G78" s="5">
        <f>IFERROR(_xlfn.XLOOKUP(A78,'Projection Assumptions'!$A$13:$A$31,'Projection Assumptions'!$D$13:$D$31),0)</f>
        <v>0.05</v>
      </c>
      <c r="H78" s="5">
        <f>IF(C78=2025,"",IF(C78=2026,_xlfn.XLOOKUP(A78,'DATA Census'!$A$2:$A$20,'DATA Census'!$C$2:$C$20),MIN(1,H77+G78)))</f>
        <v>0.308</v>
      </c>
      <c r="I78" s="5">
        <f>MIN(1,MAX(0,_xlfn.XLOOKUP(A78,'01 Industry Model'!$A$5:$A$23,'01 Industry Model'!$H$5:$H$23)+(C78-2025)*_xlfn.XLOOKUP(A78,'Projection Assumptions'!$A$13:$A$31,'Projection Assumptions'!$E$13:$E$31)))</f>
        <v>0.466596739271404</v>
      </c>
      <c r="J78" s="20">
        <f t="shared" si="9"/>
        <v>93.3186413283893</v>
      </c>
      <c r="K78" s="20">
        <f t="shared" si="10"/>
        <v>28.7421415291439</v>
      </c>
      <c r="L78" s="29">
        <f>IF(C78=2025,IFERROR(_xlfn.XLOOKUP(A78,'DATA QCEW'!$A$2:$A$20,'DATA QCEW'!$F$2:$F$20),""),L77*(1+D78))</f>
        <v>2419142.74095107</v>
      </c>
      <c r="M78" s="29">
        <f t="shared" si="11"/>
        <v>1128764.11475986</v>
      </c>
      <c r="N78" s="30">
        <f>IF(C78=2025,'Projection Assumptions'!$C$9,N77*(1+'Projection Assumptions'!$C$10))</f>
        <v>30</v>
      </c>
      <c r="O78" s="31">
        <f t="shared" si="12"/>
        <v>0.406355081313549</v>
      </c>
      <c r="P78" s="29">
        <f t="shared" si="13"/>
        <v>347659.347346036</v>
      </c>
      <c r="Q78" s="32">
        <f t="shared" si="14"/>
        <v>0.125157365044573</v>
      </c>
    </row>
    <row r="79" spans="1:17">
      <c r="A79" t="s">
        <v>118</v>
      </c>
      <c r="B79" t="s">
        <v>119</v>
      </c>
      <c r="C79">
        <v>2027</v>
      </c>
      <c r="D79" s="5">
        <f>IFERROR(_xlfn.XLOOKUP(A79,'DATA BLS Projections'!$A$2:$A$20,'DATA BLS Projections'!$E$2:$E$20),0)</f>
        <v>0.00332822406496547</v>
      </c>
      <c r="E79" s="5">
        <f>IFERROR(_xlfn.XLOOKUP(A79,'Projection Assumptions'!$A$13:$A$31,'Projection Assumptions'!$C$13:$C$31),0)</f>
        <v>0.03</v>
      </c>
      <c r="F79" s="20">
        <f>IF(C79=2025,_xlfn.XLOOKUP(A79,'01 Industry Model'!$A$5:$A$23,'01 Industry Model'!$C$5:$C$23),F78*(1+D79)*(1+E79))</f>
        <v>206.684049329283</v>
      </c>
      <c r="G79" s="5">
        <f>IFERROR(_xlfn.XLOOKUP(A79,'Projection Assumptions'!$A$13:$A$31,'Projection Assumptions'!$D$13:$D$31),0)</f>
        <v>0.05</v>
      </c>
      <c r="H79" s="5">
        <f>IF(C79=2025,"",IF(C79=2026,_xlfn.XLOOKUP(A79,'DATA Census'!$A$2:$A$20,'DATA Census'!$C$2:$C$20),MIN(1,H78+G79)))</f>
        <v>0.358</v>
      </c>
      <c r="I79" s="5">
        <f>MIN(1,MAX(0,_xlfn.XLOOKUP(A79,'01 Industry Model'!$A$5:$A$23,'01 Industry Model'!$H$5:$H$23)+(C79-2025)*_xlfn.XLOOKUP(A79,'Projection Assumptions'!$A$13:$A$31,'Projection Assumptions'!$E$13:$E$31)))</f>
        <v>0.466596739271404</v>
      </c>
      <c r="J79" s="20">
        <f t="shared" si="9"/>
        <v>96.4381034764534</v>
      </c>
      <c r="K79" s="20">
        <f t="shared" si="10"/>
        <v>34.5248410445703</v>
      </c>
      <c r="L79" s="29">
        <f>IF(C79=2025,IFERROR(_xlfn.XLOOKUP(A79,'DATA QCEW'!$A$2:$A$20,'DATA QCEW'!$F$2:$F$20),""),L78*(1+D79))</f>
        <v>2427194.19003809</v>
      </c>
      <c r="M79" s="29">
        <f t="shared" si="11"/>
        <v>1132520.89465027</v>
      </c>
      <c r="N79" s="30">
        <f>IF(C79=2025,'Projection Assumptions'!$C$9,N78*(1+'Projection Assumptions'!$C$10))</f>
        <v>30</v>
      </c>
      <c r="O79" s="31">
        <f t="shared" si="12"/>
        <v>0.407707522074097</v>
      </c>
      <c r="P79" s="29">
        <f t="shared" si="13"/>
        <v>405442.480284797</v>
      </c>
      <c r="Q79" s="32">
        <f t="shared" si="14"/>
        <v>0.145959292902527</v>
      </c>
    </row>
    <row r="80" spans="1:17">
      <c r="A80" t="s">
        <v>118</v>
      </c>
      <c r="B80" t="s">
        <v>119</v>
      </c>
      <c r="C80">
        <v>2028</v>
      </c>
      <c r="D80" s="5">
        <f>IFERROR(_xlfn.XLOOKUP(A80,'DATA BLS Projections'!$A$2:$A$20,'DATA BLS Projections'!$E$2:$E$20),0)</f>
        <v>0.00332822406496547</v>
      </c>
      <c r="E80" s="5">
        <f>IFERROR(_xlfn.XLOOKUP(A80,'Projection Assumptions'!$A$13:$A$31,'Projection Assumptions'!$C$13:$C$31),0)</f>
        <v>0.03</v>
      </c>
      <c r="F80" s="20">
        <f>IF(C80=2025,_xlfn.XLOOKUP(A80,'01 Industry Model'!$A$5:$A$23,'01 Industry Model'!$C$5:$C$23),F79*(1+D80)*(1+E80))</f>
        <v>213.593098360788</v>
      </c>
      <c r="G80" s="5">
        <f>IFERROR(_xlfn.XLOOKUP(A80,'Projection Assumptions'!$A$13:$A$31,'Projection Assumptions'!$D$13:$D$31),0)</f>
        <v>0.05</v>
      </c>
      <c r="H80" s="5">
        <f>IF(C80=2025,"",IF(C80=2026,_xlfn.XLOOKUP(A80,'DATA Census'!$A$2:$A$20,'DATA Census'!$C$2:$C$20),MIN(1,H79+G80)))</f>
        <v>0.408</v>
      </c>
      <c r="I80" s="5">
        <f>MIN(1,MAX(0,_xlfn.XLOOKUP(A80,'01 Industry Model'!$A$5:$A$23,'01 Industry Model'!$H$5:$H$23)+(C80-2025)*_xlfn.XLOOKUP(A80,'Projection Assumptions'!$A$13:$A$31,'Projection Assumptions'!$E$13:$E$31)))</f>
        <v>0.466596739271404</v>
      </c>
      <c r="J80" s="20">
        <f t="shared" si="9"/>
        <v>99.6618432260201</v>
      </c>
      <c r="K80" s="20">
        <f t="shared" si="10"/>
        <v>40.6620320362162</v>
      </c>
      <c r="L80" s="29">
        <f>IF(C80=2025,IFERROR(_xlfn.XLOOKUP(A80,'DATA QCEW'!$A$2:$A$20,'DATA QCEW'!$F$2:$F$20),""),L79*(1+D80))</f>
        <v>2435272.43615172</v>
      </c>
      <c r="M80" s="29">
        <f t="shared" si="11"/>
        <v>1136290.17794592</v>
      </c>
      <c r="N80" s="30">
        <f>IF(C80=2025,'Projection Assumptions'!$C$9,N79*(1+'Projection Assumptions'!$C$10))</f>
        <v>30</v>
      </c>
      <c r="O80" s="31">
        <f t="shared" si="12"/>
        <v>0.409064464060532</v>
      </c>
      <c r="P80" s="29">
        <f t="shared" si="13"/>
        <v>463606.392601936</v>
      </c>
      <c r="Q80" s="32">
        <f t="shared" si="14"/>
        <v>0.166898301336697</v>
      </c>
    </row>
    <row r="81" spans="1:17">
      <c r="A81" t="s">
        <v>118</v>
      </c>
      <c r="B81" t="s">
        <v>119</v>
      </c>
      <c r="C81">
        <v>2029</v>
      </c>
      <c r="D81" s="5">
        <f>IFERROR(_xlfn.XLOOKUP(A81,'DATA BLS Projections'!$A$2:$A$20,'DATA BLS Projections'!$E$2:$E$20),0)</f>
        <v>0.00332822406496547</v>
      </c>
      <c r="E81" s="5">
        <f>IFERROR(_xlfn.XLOOKUP(A81,'Projection Assumptions'!$A$13:$A$31,'Projection Assumptions'!$C$13:$C$31),0)</f>
        <v>0.03</v>
      </c>
      <c r="F81" s="20">
        <f>IF(C81=2025,_xlfn.XLOOKUP(A81,'01 Industry Model'!$A$5:$A$23,'01 Industry Model'!$C$5:$C$23),F80*(1+D81)*(1+E81))</f>
        <v>220.733103572389</v>
      </c>
      <c r="G81" s="5">
        <f>IFERROR(_xlfn.XLOOKUP(A81,'Projection Assumptions'!$A$13:$A$31,'Projection Assumptions'!$D$13:$D$31),0)</f>
        <v>0.05</v>
      </c>
      <c r="H81" s="5">
        <f>IF(C81=2025,"",IF(C81=2026,_xlfn.XLOOKUP(A81,'DATA Census'!$A$2:$A$20,'DATA Census'!$C$2:$C$20),MIN(1,H80+G81)))</f>
        <v>0.458</v>
      </c>
      <c r="I81" s="5">
        <f>MIN(1,MAX(0,_xlfn.XLOOKUP(A81,'01 Industry Model'!$A$5:$A$23,'01 Industry Model'!$H$5:$H$23)+(C81-2025)*_xlfn.XLOOKUP(A81,'Projection Assumptions'!$A$13:$A$31,'Projection Assumptions'!$E$13:$E$31)))</f>
        <v>0.466596739271404</v>
      </c>
      <c r="J81" s="20">
        <f t="shared" ref="J81:J130" si="15">IF(F81="","",F81*I81)</f>
        <v>102.993346376134</v>
      </c>
      <c r="K81" s="20">
        <f t="shared" ref="K81:K130" si="16">IF(H81="","",J81*H81)</f>
        <v>47.1709526402693</v>
      </c>
      <c r="L81" s="29">
        <f>IF(C81=2025,IFERROR(_xlfn.XLOOKUP(A81,'DATA QCEW'!$A$2:$A$20,'DATA QCEW'!$F$2:$F$20),""),L80*(1+D81))</f>
        <v>2443377.56847847</v>
      </c>
      <c r="M81" s="29">
        <f t="shared" ref="M81:M130" si="17">IF(OR(L81="",I81=""),"",L81*I81)</f>
        <v>1140072.00626094</v>
      </c>
      <c r="N81" s="30">
        <f>IF(C81=2025,'Projection Assumptions'!$C$9,N80*(1+'Projection Assumptions'!$C$10))</f>
        <v>30</v>
      </c>
      <c r="O81" s="31">
        <f t="shared" ref="O81:O130" si="18">IF(OR(M81="",N81=""),"",M81*N81*12/1000000000)</f>
        <v>0.41042592225394</v>
      </c>
      <c r="P81" s="29">
        <f t="shared" ref="P81:P130" si="19">IF(OR(M81="",H81=""),"",M81*H81)</f>
        <v>522152.978867513</v>
      </c>
      <c r="Q81" s="32">
        <f t="shared" ref="Q81:Q130" si="20">IF(OR(P81="",N81=""),"",P81*N81*12/1000000000)</f>
        <v>0.187975072392305</v>
      </c>
    </row>
    <row r="82" spans="1:17">
      <c r="A82" t="s">
        <v>118</v>
      </c>
      <c r="B82" t="s">
        <v>119</v>
      </c>
      <c r="C82">
        <v>2030</v>
      </c>
      <c r="D82" s="5">
        <f>IFERROR(_xlfn.XLOOKUP(A82,'DATA BLS Projections'!$A$2:$A$20,'DATA BLS Projections'!$E$2:$E$20),0)</f>
        <v>0.00332822406496547</v>
      </c>
      <c r="E82" s="5">
        <f>IFERROR(_xlfn.XLOOKUP(A82,'Projection Assumptions'!$A$13:$A$31,'Projection Assumptions'!$C$13:$C$31),0)</f>
        <v>0.03</v>
      </c>
      <c r="F82" s="20">
        <f>IF(C82=2025,_xlfn.XLOOKUP(A82,'01 Industry Model'!$A$5:$A$23,'01 Industry Model'!$C$5:$C$23),F81*(1+D82)*(1+E82))</f>
        <v>228.111785383622</v>
      </c>
      <c r="G82" s="5">
        <f>IFERROR(_xlfn.XLOOKUP(A82,'Projection Assumptions'!$A$13:$A$31,'Projection Assumptions'!$D$13:$D$31),0)</f>
        <v>0.05</v>
      </c>
      <c r="H82" s="5">
        <f>IF(C82=2025,"",IF(C82=2026,_xlfn.XLOOKUP(A82,'DATA Census'!$A$2:$A$20,'DATA Census'!$C$2:$C$20),MIN(1,H81+G82)))</f>
        <v>0.508</v>
      </c>
      <c r="I82" s="5">
        <f>MIN(1,MAX(0,_xlfn.XLOOKUP(A82,'01 Industry Model'!$A$5:$A$23,'01 Industry Model'!$H$5:$H$23)+(C82-2025)*_xlfn.XLOOKUP(A82,'Projection Assumptions'!$A$13:$A$31,'Projection Assumptions'!$E$13:$E$31)))</f>
        <v>0.466596739271404</v>
      </c>
      <c r="J82" s="20">
        <f t="shared" si="15"/>
        <v>106.436215249376</v>
      </c>
      <c r="K82" s="20">
        <f t="shared" si="16"/>
        <v>54.0695973466832</v>
      </c>
      <c r="L82" s="29">
        <f>IF(C82=2025,IFERROR(_xlfn.XLOOKUP(A82,'DATA QCEW'!$A$2:$A$20,'DATA QCEW'!$F$2:$F$20),""),L81*(1+D82))</f>
        <v>2451509.67650167</v>
      </c>
      <c r="M82" s="29">
        <f t="shared" si="17"/>
        <v>1143866.42134798</v>
      </c>
      <c r="N82" s="30">
        <f>IF(C82=2025,'Projection Assumptions'!$C$9,N81*(1+'Projection Assumptions'!$C$10))</f>
        <v>30</v>
      </c>
      <c r="O82" s="31">
        <f t="shared" si="18"/>
        <v>0.411791911685271</v>
      </c>
      <c r="P82" s="29">
        <f t="shared" si="19"/>
        <v>581084.142044772</v>
      </c>
      <c r="Q82" s="32">
        <f t="shared" si="20"/>
        <v>0.209190291136118</v>
      </c>
    </row>
    <row r="83" spans="1:17">
      <c r="A83" t="s">
        <v>120</v>
      </c>
      <c r="B83" t="s">
        <v>121</v>
      </c>
      <c r="C83">
        <v>2025</v>
      </c>
      <c r="D83" s="5">
        <f>IFERROR(_xlfn.XLOOKUP(A83,'DATA BLS Projections'!$A$2:$A$20,'DATA BLS Projections'!$E$2:$E$20),0)</f>
        <v>0.00828156771953514</v>
      </c>
      <c r="E83" s="5">
        <f>IFERROR(_xlfn.XLOOKUP(A83,'Projection Assumptions'!$A$13:$A$31,'Projection Assumptions'!$C$13:$C$31),0)</f>
        <v>0.03</v>
      </c>
      <c r="F83" s="20">
        <f>IF(C83=2025,_xlfn.XLOOKUP(A83,'01 Industry Model'!$A$5:$A$23,'01 Industry Model'!$C$5:$C$23),F82*(1+D83)*(1+E83))</f>
        <v>1454.390668355</v>
      </c>
      <c r="G83" s="5">
        <f>IFERROR(_xlfn.XLOOKUP(A83,'Projection Assumptions'!$A$13:$A$31,'Projection Assumptions'!$D$13:$D$31),0)</f>
        <v>0.05</v>
      </c>
      <c r="H83" s="5" t="str">
        <f>IF(C83=2025,"",IF(C83=2026,_xlfn.XLOOKUP(A83,'DATA Census'!$A$2:$A$20,'DATA Census'!$C$2:$C$20),MIN(1,H82+G83)))</f>
        <v/>
      </c>
      <c r="I83" s="5">
        <f>MIN(1,MAX(0,_xlfn.XLOOKUP(A83,'01 Industry Model'!$A$5:$A$23,'01 Industry Model'!$H$5:$H$23)+(C83-2025)*_xlfn.XLOOKUP(A83,'Projection Assumptions'!$A$13:$A$31,'Projection Assumptions'!$E$13:$E$31)))</f>
        <v>0.554659578708003</v>
      </c>
      <c r="J83" s="20">
        <f t="shared" si="15"/>
        <v>806.691715386635</v>
      </c>
      <c r="K83" s="20" t="str">
        <f t="shared" si="16"/>
        <v/>
      </c>
      <c r="L83" s="29">
        <f>IF(C83=2025,IFERROR(_xlfn.XLOOKUP(A83,'DATA QCEW'!$A$2:$A$20,'DATA QCEW'!$F$2:$F$20),""),L82*(1+D83))</f>
        <v>10750955</v>
      </c>
      <c r="M83" s="29">
        <f t="shared" si="17"/>
        <v>5963120.17100869</v>
      </c>
      <c r="N83" s="30">
        <f>IF(C83=2025,'Projection Assumptions'!$C$9,N82*(1+'Projection Assumptions'!$C$10))</f>
        <v>30</v>
      </c>
      <c r="O83" s="31">
        <f t="shared" si="18"/>
        <v>2.14672326156313</v>
      </c>
      <c r="P83" s="29" t="str">
        <f t="shared" si="19"/>
        <v/>
      </c>
      <c r="Q83" s="32" t="str">
        <f t="shared" si="20"/>
        <v/>
      </c>
    </row>
    <row r="84" spans="1:17">
      <c r="A84" t="s">
        <v>120</v>
      </c>
      <c r="B84" t="s">
        <v>121</v>
      </c>
      <c r="C84">
        <v>2026</v>
      </c>
      <c r="D84" s="5">
        <f>IFERROR(_xlfn.XLOOKUP(A84,'DATA BLS Projections'!$A$2:$A$20,'DATA BLS Projections'!$E$2:$E$20),0)</f>
        <v>0.00828156771953514</v>
      </c>
      <c r="E84" s="5">
        <f>IFERROR(_xlfn.XLOOKUP(A84,'Projection Assumptions'!$A$13:$A$31,'Projection Assumptions'!$C$13:$C$31),0)</f>
        <v>0.03</v>
      </c>
      <c r="F84" s="20">
        <f>IF(C84=2025,_xlfn.XLOOKUP(A84,'01 Industry Model'!$A$5:$A$23,'01 Industry Model'!$C$5:$C$23),F83*(1+D84)*(1+E84))</f>
        <v>1510.42836226061</v>
      </c>
      <c r="G84" s="5">
        <f>IFERROR(_xlfn.XLOOKUP(A84,'Projection Assumptions'!$A$13:$A$31,'Projection Assumptions'!$D$13:$D$31),0)</f>
        <v>0.05</v>
      </c>
      <c r="H84" s="5">
        <f>IF(C84=2025,"",IF(C84=2026,_xlfn.XLOOKUP(A84,'DATA Census'!$A$2:$A$20,'DATA Census'!$C$2:$C$20),MIN(1,H83+G84)))</f>
        <v>0.427</v>
      </c>
      <c r="I84" s="5">
        <f>MIN(1,MAX(0,_xlfn.XLOOKUP(A84,'01 Industry Model'!$A$5:$A$23,'01 Industry Model'!$H$5:$H$23)+(C84-2025)*_xlfn.XLOOKUP(A84,'Projection Assumptions'!$A$13:$A$31,'Projection Assumptions'!$E$13:$E$31)))</f>
        <v>0.554659578708003</v>
      </c>
      <c r="J84" s="20">
        <f t="shared" si="15"/>
        <v>837.773559080089</v>
      </c>
      <c r="K84" s="20">
        <f t="shared" si="16"/>
        <v>357.729309727198</v>
      </c>
      <c r="L84" s="29">
        <f>IF(C84=2025,IFERROR(_xlfn.XLOOKUP(A84,'DATA QCEW'!$A$2:$A$20,'DATA QCEW'!$F$2:$F$20),""),L83*(1+D84))</f>
        <v>10839989.7618822</v>
      </c>
      <c r="M84" s="29">
        <f t="shared" si="17"/>
        <v>6012504.15452463</v>
      </c>
      <c r="N84" s="30">
        <f>IF(C84=2025,'Projection Assumptions'!$C$9,N83*(1+'Projection Assumptions'!$C$10))</f>
        <v>30</v>
      </c>
      <c r="O84" s="31">
        <f t="shared" si="18"/>
        <v>2.16450149562887</v>
      </c>
      <c r="P84" s="29">
        <f t="shared" si="19"/>
        <v>2567339.27398202</v>
      </c>
      <c r="Q84" s="32">
        <f t="shared" si="20"/>
        <v>0.924242138633526</v>
      </c>
    </row>
    <row r="85" spans="1:17">
      <c r="A85" t="s">
        <v>120</v>
      </c>
      <c r="B85" t="s">
        <v>121</v>
      </c>
      <c r="C85">
        <v>2027</v>
      </c>
      <c r="D85" s="5">
        <f>IFERROR(_xlfn.XLOOKUP(A85,'DATA BLS Projections'!$A$2:$A$20,'DATA BLS Projections'!$E$2:$E$20),0)</f>
        <v>0.00828156771953514</v>
      </c>
      <c r="E85" s="5">
        <f>IFERROR(_xlfn.XLOOKUP(A85,'Projection Assumptions'!$A$13:$A$31,'Projection Assumptions'!$C$13:$C$31),0)</f>
        <v>0.03</v>
      </c>
      <c r="F85" s="20">
        <f>IF(C85=2025,_xlfn.XLOOKUP(A85,'01 Industry Model'!$A$5:$A$23,'01 Industry Model'!$C$5:$C$23),F84*(1+D85)*(1+E85))</f>
        <v>1568.62518933902</v>
      </c>
      <c r="G85" s="5">
        <f>IFERROR(_xlfn.XLOOKUP(A85,'Projection Assumptions'!$A$13:$A$31,'Projection Assumptions'!$D$13:$D$31),0)</f>
        <v>0.05</v>
      </c>
      <c r="H85" s="5">
        <f>IF(C85=2025,"",IF(C85=2026,_xlfn.XLOOKUP(A85,'DATA Census'!$A$2:$A$20,'DATA Census'!$C$2:$C$20),MIN(1,H84+G85)))</f>
        <v>0.477</v>
      </c>
      <c r="I85" s="5">
        <f>MIN(1,MAX(0,_xlfn.XLOOKUP(A85,'01 Industry Model'!$A$5:$A$23,'01 Industry Model'!$H$5:$H$23)+(C85-2025)*_xlfn.XLOOKUP(A85,'Projection Assumptions'!$A$13:$A$31,'Projection Assumptions'!$E$13:$E$31)))</f>
        <v>0.554659578708003</v>
      </c>
      <c r="J85" s="20">
        <f t="shared" si="15"/>
        <v>870.052986669544</v>
      </c>
      <c r="K85" s="20">
        <f t="shared" si="16"/>
        <v>415.015274641373</v>
      </c>
      <c r="L85" s="29">
        <f>IF(C85=2025,IFERROR(_xlfn.XLOOKUP(A85,'DATA QCEW'!$A$2:$A$20,'DATA QCEW'!$F$2:$F$20),""),L84*(1+D85))</f>
        <v>10929761.8711743</v>
      </c>
      <c r="M85" s="29">
        <f t="shared" si="17"/>
        <v>6062297.11484431</v>
      </c>
      <c r="N85" s="30">
        <f>IF(C85=2025,'Projection Assumptions'!$C$9,N84*(1+'Projection Assumptions'!$C$10))</f>
        <v>30</v>
      </c>
      <c r="O85" s="31">
        <f t="shared" si="18"/>
        <v>2.18242696134395</v>
      </c>
      <c r="P85" s="29">
        <f t="shared" si="19"/>
        <v>2891715.72378074</v>
      </c>
      <c r="Q85" s="32">
        <f t="shared" si="20"/>
        <v>1.04101766056107</v>
      </c>
    </row>
    <row r="86" spans="1:17">
      <c r="A86" t="s">
        <v>120</v>
      </c>
      <c r="B86" t="s">
        <v>121</v>
      </c>
      <c r="C86">
        <v>2028</v>
      </c>
      <c r="D86" s="5">
        <f>IFERROR(_xlfn.XLOOKUP(A86,'DATA BLS Projections'!$A$2:$A$20,'DATA BLS Projections'!$E$2:$E$20),0)</f>
        <v>0.00828156771953514</v>
      </c>
      <c r="E86" s="5">
        <f>IFERROR(_xlfn.XLOOKUP(A86,'Projection Assumptions'!$A$13:$A$31,'Projection Assumptions'!$C$13:$C$31),0)</f>
        <v>0.03</v>
      </c>
      <c r="F86" s="20">
        <f>IF(C86=2025,_xlfn.XLOOKUP(A86,'01 Industry Model'!$A$5:$A$23,'01 Industry Model'!$C$5:$C$23),F85*(1+D86)*(1+E86))</f>
        <v>1629.06434102324</v>
      </c>
      <c r="G86" s="5">
        <f>IFERROR(_xlfn.XLOOKUP(A86,'Projection Assumptions'!$A$13:$A$31,'Projection Assumptions'!$D$13:$D$31),0)</f>
        <v>0.05</v>
      </c>
      <c r="H86" s="5">
        <f>IF(C86=2025,"",IF(C86=2026,_xlfn.XLOOKUP(A86,'DATA Census'!$A$2:$A$20,'DATA Census'!$C$2:$C$20),MIN(1,H85+G86)))</f>
        <v>0.527</v>
      </c>
      <c r="I86" s="5">
        <f>MIN(1,MAX(0,_xlfn.XLOOKUP(A86,'01 Industry Model'!$A$5:$A$23,'01 Industry Model'!$H$5:$H$23)+(C86-2025)*_xlfn.XLOOKUP(A86,'Projection Assumptions'!$A$13:$A$31,'Projection Assumptions'!$E$13:$E$31)))</f>
        <v>0.554659578708003</v>
      </c>
      <c r="J86" s="20">
        <f t="shared" si="15"/>
        <v>903.576141080179</v>
      </c>
      <c r="K86" s="20">
        <f t="shared" si="16"/>
        <v>476.184626349254</v>
      </c>
      <c r="L86" s="29">
        <f>IF(C86=2025,IFERROR(_xlfn.XLOOKUP(A86,'DATA QCEW'!$A$2:$A$20,'DATA QCEW'!$F$2:$F$20),""),L85*(1+D86))</f>
        <v>11020277.4342688</v>
      </c>
      <c r="M86" s="29">
        <f t="shared" si="17"/>
        <v>6112502.43893684</v>
      </c>
      <c r="N86" s="30">
        <f>IF(C86=2025,'Projection Assumptions'!$C$9,N85*(1+'Projection Assumptions'!$C$10))</f>
        <v>30</v>
      </c>
      <c r="O86" s="31">
        <f t="shared" si="18"/>
        <v>2.20050087801726</v>
      </c>
      <c r="P86" s="29">
        <f t="shared" si="19"/>
        <v>3221288.78531971</v>
      </c>
      <c r="Q86" s="32">
        <f t="shared" si="20"/>
        <v>1.1596639627151</v>
      </c>
    </row>
    <row r="87" spans="1:17">
      <c r="A87" t="s">
        <v>120</v>
      </c>
      <c r="B87" t="s">
        <v>121</v>
      </c>
      <c r="C87">
        <v>2029</v>
      </c>
      <c r="D87" s="5">
        <f>IFERROR(_xlfn.XLOOKUP(A87,'DATA BLS Projections'!$A$2:$A$20,'DATA BLS Projections'!$E$2:$E$20),0)</f>
        <v>0.00828156771953514</v>
      </c>
      <c r="E87" s="5">
        <f>IFERROR(_xlfn.XLOOKUP(A87,'Projection Assumptions'!$A$13:$A$31,'Projection Assumptions'!$C$13:$C$31),0)</f>
        <v>0.03</v>
      </c>
      <c r="F87" s="20">
        <f>IF(C87=2025,_xlfn.XLOOKUP(A87,'01 Industry Model'!$A$5:$A$23,'01 Industry Model'!$C$5:$C$23),F86*(1+D87)*(1+E87))</f>
        <v>1691.83221411339</v>
      </c>
      <c r="G87" s="5">
        <f>IFERROR(_xlfn.XLOOKUP(A87,'Projection Assumptions'!$A$13:$A$31,'Projection Assumptions'!$D$13:$D$31),0)</f>
        <v>0.05</v>
      </c>
      <c r="H87" s="5">
        <f>IF(C87=2025,"",IF(C87=2026,_xlfn.XLOOKUP(A87,'DATA Census'!$A$2:$A$20,'DATA Census'!$C$2:$C$20),MIN(1,H86+G87)))</f>
        <v>0.577</v>
      </c>
      <c r="I87" s="5">
        <f>MIN(1,MAX(0,_xlfn.XLOOKUP(A87,'01 Industry Model'!$A$5:$A$23,'01 Industry Model'!$H$5:$H$23)+(C87-2025)*_xlfn.XLOOKUP(A87,'Projection Assumptions'!$A$13:$A$31,'Projection Assumptions'!$E$13:$E$31)))</f>
        <v>0.554659578708003</v>
      </c>
      <c r="J87" s="20">
        <f t="shared" si="15"/>
        <v>938.390943124759</v>
      </c>
      <c r="K87" s="20">
        <f t="shared" si="16"/>
        <v>541.451574182986</v>
      </c>
      <c r="L87" s="29">
        <f>IF(C87=2025,IFERROR(_xlfn.XLOOKUP(A87,'DATA QCEW'!$A$2:$A$20,'DATA QCEW'!$F$2:$F$20),""),L86*(1+D87))</f>
        <v>11111542.6081288</v>
      </c>
      <c r="M87" s="29">
        <f t="shared" si="17"/>
        <v>6163123.54182072</v>
      </c>
      <c r="N87" s="30">
        <f>IF(C87=2025,'Projection Assumptions'!$C$9,N86*(1+'Projection Assumptions'!$C$10))</f>
        <v>30</v>
      </c>
      <c r="O87" s="31">
        <f t="shared" si="18"/>
        <v>2.21872447505546</v>
      </c>
      <c r="P87" s="29">
        <f t="shared" si="19"/>
        <v>3556122.28363055</v>
      </c>
      <c r="Q87" s="32">
        <f t="shared" si="20"/>
        <v>1.280204022107</v>
      </c>
    </row>
    <row r="88" spans="1:17">
      <c r="A88" t="s">
        <v>120</v>
      </c>
      <c r="B88" t="s">
        <v>121</v>
      </c>
      <c r="C88">
        <v>2030</v>
      </c>
      <c r="D88" s="5">
        <f>IFERROR(_xlfn.XLOOKUP(A88,'DATA BLS Projections'!$A$2:$A$20,'DATA BLS Projections'!$E$2:$E$20),0)</f>
        <v>0.00828156771953514</v>
      </c>
      <c r="E88" s="5">
        <f>IFERROR(_xlfn.XLOOKUP(A88,'Projection Assumptions'!$A$13:$A$31,'Projection Assumptions'!$C$13:$C$31),0)</f>
        <v>0.03</v>
      </c>
      <c r="F88" s="20">
        <f>IF(C88=2025,_xlfn.XLOOKUP(A88,'01 Industry Model'!$A$5:$A$23,'01 Industry Model'!$C$5:$C$23),F87*(1+D88)*(1+E88))</f>
        <v>1757.0185342796</v>
      </c>
      <c r="G88" s="5">
        <f>IFERROR(_xlfn.XLOOKUP(A88,'Projection Assumptions'!$A$13:$A$31,'Projection Assumptions'!$D$13:$D$31),0)</f>
        <v>0.05</v>
      </c>
      <c r="H88" s="5">
        <f>IF(C88=2025,"",IF(C88=2026,_xlfn.XLOOKUP(A88,'DATA Census'!$A$2:$A$20,'DATA Census'!$C$2:$C$20),MIN(1,H87+G88)))</f>
        <v>0.627</v>
      </c>
      <c r="I88" s="5">
        <f>MIN(1,MAX(0,_xlfn.XLOOKUP(A88,'01 Industry Model'!$A$5:$A$23,'01 Industry Model'!$H$5:$H$23)+(C88-2025)*_xlfn.XLOOKUP(A88,'Projection Assumptions'!$A$13:$A$31,'Projection Assumptions'!$E$13:$E$31)))</f>
        <v>0.554659578708003</v>
      </c>
      <c r="J88" s="20">
        <f t="shared" si="15"/>
        <v>974.547160005675</v>
      </c>
      <c r="K88" s="20">
        <f t="shared" si="16"/>
        <v>611.041069323558</v>
      </c>
      <c r="L88" s="29">
        <f>IF(C88=2025,IFERROR(_xlfn.XLOOKUP(A88,'DATA QCEW'!$A$2:$A$20,'DATA QCEW'!$F$2:$F$20),""),L87*(1+D88))</f>
        <v>11203563.6007065</v>
      </c>
      <c r="M88" s="29">
        <f t="shared" si="17"/>
        <v>6214163.86679617</v>
      </c>
      <c r="N88" s="30">
        <f>IF(C88=2025,'Projection Assumptions'!$C$9,N87*(1+'Projection Assumptions'!$C$10))</f>
        <v>30</v>
      </c>
      <c r="O88" s="31">
        <f t="shared" si="18"/>
        <v>2.23709899204662</v>
      </c>
      <c r="P88" s="29">
        <f t="shared" si="19"/>
        <v>3896280.7444812</v>
      </c>
      <c r="Q88" s="32">
        <f t="shared" si="20"/>
        <v>1.40266106801323</v>
      </c>
    </row>
    <row r="89" spans="1:17">
      <c r="A89" t="s">
        <v>122</v>
      </c>
      <c r="B89" t="s">
        <v>123</v>
      </c>
      <c r="C89">
        <v>2025</v>
      </c>
      <c r="D89" s="5">
        <f>IFERROR(_xlfn.XLOOKUP(A89,'DATA BLS Projections'!$A$2:$A$20,'DATA BLS Projections'!$E$2:$E$20),0)</f>
        <v>0.00399421402867972</v>
      </c>
      <c r="E89" s="5">
        <f>IFERROR(_xlfn.XLOOKUP(A89,'Projection Assumptions'!$A$13:$A$31,'Projection Assumptions'!$C$13:$C$31),0)</f>
        <v>0.03</v>
      </c>
      <c r="F89" s="20">
        <f>IF(C89=2025,_xlfn.XLOOKUP(A89,'01 Industry Model'!$A$5:$A$23,'01 Industry Model'!$C$5:$C$23),F88*(1+D89)*(1+E89))</f>
        <v>433.010743495</v>
      </c>
      <c r="G89" s="5">
        <f>IFERROR(_xlfn.XLOOKUP(A89,'Projection Assumptions'!$A$13:$A$31,'Projection Assumptions'!$D$13:$D$31),0)</f>
        <v>0.05</v>
      </c>
      <c r="H89" s="5" t="str">
        <f>IF(C89=2025,"",IF(C89=2026,_xlfn.XLOOKUP(A89,'DATA Census'!$A$2:$A$20,'DATA Census'!$C$2:$C$20),MIN(1,H88+G89)))</f>
        <v/>
      </c>
      <c r="I89" s="5">
        <f>MIN(1,MAX(0,_xlfn.XLOOKUP(A89,'01 Industry Model'!$A$5:$A$23,'01 Industry Model'!$H$5:$H$23)+(C89-2025)*_xlfn.XLOOKUP(A89,'Projection Assumptions'!$A$13:$A$31,'Projection Assumptions'!$E$13:$E$31)))</f>
        <v>0.580217125401937</v>
      </c>
      <c r="J89" s="20">
        <f t="shared" si="15"/>
        <v>251.240248858824</v>
      </c>
      <c r="K89" s="20" t="str">
        <f t="shared" si="16"/>
        <v/>
      </c>
      <c r="L89" s="29">
        <f>IF(C89=2025,IFERROR(_xlfn.XLOOKUP(A89,'DATA QCEW'!$A$2:$A$20,'DATA QCEW'!$F$2:$F$20),""),L88*(1+D89))</f>
        <v>2607739</v>
      </c>
      <c r="M89" s="29">
        <f t="shared" si="17"/>
        <v>1513054.82637852</v>
      </c>
      <c r="N89" s="30">
        <f>IF(C89=2025,'Projection Assumptions'!$C$9,N88*(1+'Projection Assumptions'!$C$10))</f>
        <v>30</v>
      </c>
      <c r="O89" s="31">
        <f t="shared" si="18"/>
        <v>0.544699737496268</v>
      </c>
      <c r="P89" s="29" t="str">
        <f t="shared" si="19"/>
        <v/>
      </c>
      <c r="Q89" s="32" t="str">
        <f t="shared" si="20"/>
        <v/>
      </c>
    </row>
    <row r="90" spans="1:17">
      <c r="A90" t="s">
        <v>122</v>
      </c>
      <c r="B90" t="s">
        <v>123</v>
      </c>
      <c r="C90">
        <v>2026</v>
      </c>
      <c r="D90" s="5">
        <f>IFERROR(_xlfn.XLOOKUP(A90,'DATA BLS Projections'!$A$2:$A$20,'DATA BLS Projections'!$E$2:$E$20),0)</f>
        <v>0.00399421402867972</v>
      </c>
      <c r="E90" s="5">
        <f>IFERROR(_xlfn.XLOOKUP(A90,'Projection Assumptions'!$A$13:$A$31,'Projection Assumptions'!$C$13:$C$31),0)</f>
        <v>0.03</v>
      </c>
      <c r="F90" s="20">
        <f>IF(C90=2025,_xlfn.XLOOKUP(A90,'01 Industry Model'!$A$5:$A$23,'01 Industry Model'!$C$5:$C$23),F89*(1+D90)*(1+E90))</f>
        <v>447.782489513674</v>
      </c>
      <c r="G90" s="5">
        <f>IFERROR(_xlfn.XLOOKUP(A90,'Projection Assumptions'!$A$13:$A$31,'Projection Assumptions'!$D$13:$D$31),0)</f>
        <v>0.05</v>
      </c>
      <c r="H90" s="5">
        <f>IF(C90=2025,"",IF(C90=2026,_xlfn.XLOOKUP(A90,'DATA Census'!$A$2:$A$20,'DATA Census'!$C$2:$C$20),MIN(1,H89+G90)))</f>
        <v>0.232</v>
      </c>
      <c r="I90" s="5">
        <f>MIN(1,MAX(0,_xlfn.XLOOKUP(A90,'01 Industry Model'!$A$5:$A$23,'01 Industry Model'!$H$5:$H$23)+(C90-2025)*_xlfn.XLOOKUP(A90,'Projection Assumptions'!$A$13:$A$31,'Projection Assumptions'!$E$13:$E$31)))</f>
        <v>0.580217125401937</v>
      </c>
      <c r="J90" s="20">
        <f t="shared" si="15"/>
        <v>259.811068870947</v>
      </c>
      <c r="K90" s="20">
        <f t="shared" si="16"/>
        <v>60.2761679780597</v>
      </c>
      <c r="L90" s="29">
        <f>IF(C90=2025,IFERROR(_xlfn.XLOOKUP(A90,'DATA QCEW'!$A$2:$A$20,'DATA QCEW'!$F$2:$F$20),""),L89*(1+D90))</f>
        <v>2618154.86769694</v>
      </c>
      <c r="M90" s="29">
        <f t="shared" si="17"/>
        <v>1519098.2911922</v>
      </c>
      <c r="N90" s="30">
        <f>IF(C90=2025,'Projection Assumptions'!$C$9,N89*(1+'Projection Assumptions'!$C$10))</f>
        <v>30</v>
      </c>
      <c r="O90" s="31">
        <f t="shared" si="18"/>
        <v>0.546875384829194</v>
      </c>
      <c r="P90" s="29">
        <f t="shared" si="19"/>
        <v>352430.803556591</v>
      </c>
      <c r="Q90" s="32">
        <f t="shared" si="20"/>
        <v>0.126875089280373</v>
      </c>
    </row>
    <row r="91" spans="1:17">
      <c r="A91" t="s">
        <v>122</v>
      </c>
      <c r="B91" t="s">
        <v>123</v>
      </c>
      <c r="C91">
        <v>2027</v>
      </c>
      <c r="D91" s="5">
        <f>IFERROR(_xlfn.XLOOKUP(A91,'DATA BLS Projections'!$A$2:$A$20,'DATA BLS Projections'!$E$2:$E$20),0)</f>
        <v>0.00399421402867972</v>
      </c>
      <c r="E91" s="5">
        <f>IFERROR(_xlfn.XLOOKUP(A91,'Projection Assumptions'!$A$13:$A$31,'Projection Assumptions'!$C$13:$C$31),0)</f>
        <v>0.03</v>
      </c>
      <c r="F91" s="20">
        <f>IF(C91=2025,_xlfn.XLOOKUP(A91,'01 Industry Model'!$A$5:$A$23,'01 Industry Model'!$C$5:$C$23),F90*(1+D91)*(1+E91))</f>
        <v>463.058159473539</v>
      </c>
      <c r="G91" s="5">
        <f>IFERROR(_xlfn.XLOOKUP(A91,'Projection Assumptions'!$A$13:$A$31,'Projection Assumptions'!$D$13:$D$31),0)</f>
        <v>0.05</v>
      </c>
      <c r="H91" s="5">
        <f>IF(C91=2025,"",IF(C91=2026,_xlfn.XLOOKUP(A91,'DATA Census'!$A$2:$A$20,'DATA Census'!$C$2:$C$20),MIN(1,H90+G91)))</f>
        <v>0.282</v>
      </c>
      <c r="I91" s="5">
        <f>MIN(1,MAX(0,_xlfn.XLOOKUP(A91,'01 Industry Model'!$A$5:$A$23,'01 Industry Model'!$H$5:$H$23)+(C91-2025)*_xlfn.XLOOKUP(A91,'Projection Assumptions'!$A$13:$A$31,'Projection Assumptions'!$E$13:$E$31)))</f>
        <v>0.580217125401937</v>
      </c>
      <c r="J91" s="20">
        <f t="shared" si="15"/>
        <v>268.674274183649</v>
      </c>
      <c r="K91" s="20">
        <f t="shared" si="16"/>
        <v>75.7661453197889</v>
      </c>
      <c r="L91" s="29">
        <f>IF(C91=2025,IFERROR(_xlfn.XLOOKUP(A91,'DATA QCEW'!$A$2:$A$20,'DATA QCEW'!$F$2:$F$20),""),L90*(1+D91))</f>
        <v>2628612.33859875</v>
      </c>
      <c r="M91" s="29">
        <f t="shared" si="17"/>
        <v>1525165.89489783</v>
      </c>
      <c r="N91" s="30">
        <f>IF(C91=2025,'Projection Assumptions'!$C$9,N90*(1+'Projection Assumptions'!$C$10))</f>
        <v>30</v>
      </c>
      <c r="O91" s="31">
        <f t="shared" si="18"/>
        <v>0.549059722163218</v>
      </c>
      <c r="P91" s="29">
        <f t="shared" si="19"/>
        <v>430096.782361187</v>
      </c>
      <c r="Q91" s="32">
        <f t="shared" si="20"/>
        <v>0.154834841650027</v>
      </c>
    </row>
    <row r="92" spans="1:17">
      <c r="A92" t="s">
        <v>122</v>
      </c>
      <c r="B92" t="s">
        <v>123</v>
      </c>
      <c r="C92">
        <v>2028</v>
      </c>
      <c r="D92" s="5">
        <f>IFERROR(_xlfn.XLOOKUP(A92,'DATA BLS Projections'!$A$2:$A$20,'DATA BLS Projections'!$E$2:$E$20),0)</f>
        <v>0.00399421402867972</v>
      </c>
      <c r="E92" s="5">
        <f>IFERROR(_xlfn.XLOOKUP(A92,'Projection Assumptions'!$A$13:$A$31,'Projection Assumptions'!$C$13:$C$31),0)</f>
        <v>0.03</v>
      </c>
      <c r="F92" s="20">
        <f>IF(C92=2025,_xlfn.XLOOKUP(A92,'01 Industry Model'!$A$5:$A$23,'01 Industry Model'!$C$5:$C$23),F91*(1+D92)*(1+E92))</f>
        <v>478.854944256309</v>
      </c>
      <c r="G92" s="5">
        <f>IFERROR(_xlfn.XLOOKUP(A92,'Projection Assumptions'!$A$13:$A$31,'Projection Assumptions'!$D$13:$D$31),0)</f>
        <v>0.05</v>
      </c>
      <c r="H92" s="5">
        <f>IF(C92=2025,"",IF(C92=2026,_xlfn.XLOOKUP(A92,'DATA Census'!$A$2:$A$20,'DATA Census'!$C$2:$C$20),MIN(1,H91+G92)))</f>
        <v>0.332</v>
      </c>
      <c r="I92" s="5">
        <f>MIN(1,MAX(0,_xlfn.XLOOKUP(A92,'01 Industry Model'!$A$5:$A$23,'01 Industry Model'!$H$5:$H$23)+(C92-2025)*_xlfn.XLOOKUP(A92,'Projection Assumptions'!$A$13:$A$31,'Projection Assumptions'!$E$13:$E$31)))</f>
        <v>0.580217125401937</v>
      </c>
      <c r="J92" s="20">
        <f t="shared" si="15"/>
        <v>277.8398392409</v>
      </c>
      <c r="K92" s="20">
        <f t="shared" si="16"/>
        <v>92.2428266279789</v>
      </c>
      <c r="L92" s="29">
        <f>IF(C92=2025,IFERROR(_xlfn.XLOOKUP(A92,'DATA QCEW'!$A$2:$A$20,'DATA QCEW'!$F$2:$F$20),""),L91*(1+D92))</f>
        <v>2639111.57887754</v>
      </c>
      <c r="M92" s="29">
        <f t="shared" si="17"/>
        <v>1531257.73391129</v>
      </c>
      <c r="N92" s="30">
        <f>IF(C92=2025,'Projection Assumptions'!$C$9,N91*(1+'Projection Assumptions'!$C$10))</f>
        <v>30</v>
      </c>
      <c r="O92" s="31">
        <f t="shared" si="18"/>
        <v>0.551252784208065</v>
      </c>
      <c r="P92" s="29">
        <f t="shared" si="19"/>
        <v>508377.567658549</v>
      </c>
      <c r="Q92" s="32">
        <f t="shared" si="20"/>
        <v>0.183015924357078</v>
      </c>
    </row>
    <row r="93" spans="1:17">
      <c r="A93" t="s">
        <v>122</v>
      </c>
      <c r="B93" t="s">
        <v>123</v>
      </c>
      <c r="C93">
        <v>2029</v>
      </c>
      <c r="D93" s="5">
        <f>IFERROR(_xlfn.XLOOKUP(A93,'DATA BLS Projections'!$A$2:$A$20,'DATA BLS Projections'!$E$2:$E$20),0)</f>
        <v>0.00399421402867972</v>
      </c>
      <c r="E93" s="5">
        <f>IFERROR(_xlfn.XLOOKUP(A93,'Projection Assumptions'!$A$13:$A$31,'Projection Assumptions'!$C$13:$C$31),0)</f>
        <v>0.03</v>
      </c>
      <c r="F93" s="20">
        <f>IF(C93=2025,_xlfn.XLOOKUP(A93,'01 Industry Model'!$A$5:$A$23,'01 Industry Model'!$C$5:$C$23),F92*(1+D93)*(1+E93))</f>
        <v>495.190621194131</v>
      </c>
      <c r="G93" s="5">
        <f>IFERROR(_xlfn.XLOOKUP(A93,'Projection Assumptions'!$A$13:$A$31,'Projection Assumptions'!$D$13:$D$31),0)</f>
        <v>0.05</v>
      </c>
      <c r="H93" s="5">
        <f>IF(C93=2025,"",IF(C93=2026,_xlfn.XLOOKUP(A93,'DATA Census'!$A$2:$A$20,'DATA Census'!$C$2:$C$20),MIN(1,H92+G93)))</f>
        <v>0.382</v>
      </c>
      <c r="I93" s="5">
        <f>MIN(1,MAX(0,_xlfn.XLOOKUP(A93,'01 Industry Model'!$A$5:$A$23,'01 Industry Model'!$H$5:$H$23)+(C93-2025)*_xlfn.XLOOKUP(A93,'Projection Assumptions'!$A$13:$A$31,'Projection Assumptions'!$E$13:$E$31)))</f>
        <v>0.580217125401937</v>
      </c>
      <c r="J93" s="20">
        <f t="shared" si="15"/>
        <v>287.318078755258</v>
      </c>
      <c r="K93" s="20">
        <f t="shared" si="16"/>
        <v>109.755506084509</v>
      </c>
      <c r="L93" s="29">
        <f>IF(C93=2025,IFERROR(_xlfn.XLOOKUP(A93,'DATA QCEW'!$A$2:$A$20,'DATA QCEW'!$F$2:$F$20),""),L92*(1+D93))</f>
        <v>2649652.75536914</v>
      </c>
      <c r="M93" s="29">
        <f t="shared" si="17"/>
        <v>1537373.9050336</v>
      </c>
      <c r="N93" s="30">
        <f>IF(C93=2025,'Projection Assumptions'!$C$9,N92*(1+'Projection Assumptions'!$C$10))</f>
        <v>30</v>
      </c>
      <c r="O93" s="31">
        <f t="shared" si="18"/>
        <v>0.553454605812098</v>
      </c>
      <c r="P93" s="29">
        <f t="shared" si="19"/>
        <v>587276.831722837</v>
      </c>
      <c r="Q93" s="32">
        <f t="shared" si="20"/>
        <v>0.211419659420221</v>
      </c>
    </row>
    <row r="94" spans="1:17">
      <c r="A94" t="s">
        <v>122</v>
      </c>
      <c r="B94" t="s">
        <v>123</v>
      </c>
      <c r="C94">
        <v>2030</v>
      </c>
      <c r="D94" s="5">
        <f>IFERROR(_xlfn.XLOOKUP(A94,'DATA BLS Projections'!$A$2:$A$20,'DATA BLS Projections'!$E$2:$E$20),0)</f>
        <v>0.00399421402867972</v>
      </c>
      <c r="E94" s="5">
        <f>IFERROR(_xlfn.XLOOKUP(A94,'Projection Assumptions'!$A$13:$A$31,'Projection Assumptions'!$C$13:$C$31),0)</f>
        <v>0.03</v>
      </c>
      <c r="F94" s="20">
        <f>IF(C94=2025,_xlfn.XLOOKUP(A94,'01 Industry Model'!$A$5:$A$23,'01 Industry Model'!$C$5:$C$23),F93*(1+D94)*(1+E94))</f>
        <v>512.083574075781</v>
      </c>
      <c r="G94" s="5">
        <f>IFERROR(_xlfn.XLOOKUP(A94,'Projection Assumptions'!$A$13:$A$31,'Projection Assumptions'!$D$13:$D$31),0)</f>
        <v>0.05</v>
      </c>
      <c r="H94" s="5">
        <f>IF(C94=2025,"",IF(C94=2026,_xlfn.XLOOKUP(A94,'DATA Census'!$A$2:$A$20,'DATA Census'!$C$2:$C$20),MIN(1,H93+G94)))</f>
        <v>0.432</v>
      </c>
      <c r="I94" s="5">
        <f>MIN(1,MAX(0,_xlfn.XLOOKUP(A94,'01 Industry Model'!$A$5:$A$23,'01 Industry Model'!$H$5:$H$23)+(C94-2025)*_xlfn.XLOOKUP(A94,'Projection Assumptions'!$A$13:$A$31,'Projection Assumptions'!$E$13:$E$31)))</f>
        <v>0.580217125401937</v>
      </c>
      <c r="J94" s="20">
        <f t="shared" si="15"/>
        <v>297.119659315799</v>
      </c>
      <c r="K94" s="20">
        <f t="shared" si="16"/>
        <v>128.355692824425</v>
      </c>
      <c r="L94" s="29">
        <f>IF(C94=2025,IFERROR(_xlfn.XLOOKUP(A94,'DATA QCEW'!$A$2:$A$20,'DATA QCEW'!$F$2:$F$20),""),L93*(1+D94))</f>
        <v>2660236.03557577</v>
      </c>
      <c r="M94" s="29">
        <f t="shared" si="17"/>
        <v>1543514.50545242</v>
      </c>
      <c r="N94" s="30">
        <f>IF(C94=2025,'Projection Assumptions'!$C$9,N93*(1+'Projection Assumptions'!$C$10))</f>
        <v>30</v>
      </c>
      <c r="O94" s="31">
        <f t="shared" si="18"/>
        <v>0.55566522196287</v>
      </c>
      <c r="P94" s="29">
        <f t="shared" si="19"/>
        <v>666798.266355444</v>
      </c>
      <c r="Q94" s="32">
        <f t="shared" si="20"/>
        <v>0.24004737588796</v>
      </c>
    </row>
    <row r="95" spans="1:17">
      <c r="A95" t="s">
        <v>124</v>
      </c>
      <c r="B95" t="s">
        <v>125</v>
      </c>
      <c r="C95">
        <v>2025</v>
      </c>
      <c r="D95" s="5">
        <f>IFERROR(_xlfn.XLOOKUP(A95,'DATA BLS Projections'!$A$2:$A$20,'DATA BLS Projections'!$E$2:$E$20),0)</f>
        <v>0.000888474258359917</v>
      </c>
      <c r="E95" s="5">
        <f>IFERROR(_xlfn.XLOOKUP(A95,'Projection Assumptions'!$A$13:$A$31,'Projection Assumptions'!$C$13:$C$31),0)</f>
        <v>0.03</v>
      </c>
      <c r="F95" s="20">
        <f>IF(C95=2025,_xlfn.XLOOKUP(A95,'01 Industry Model'!$A$5:$A$23,'01 Industry Model'!$C$5:$C$23),F94*(1+D95)*(1+E95))</f>
        <v>541.582412876</v>
      </c>
      <c r="G95" s="5">
        <f>IFERROR(_xlfn.XLOOKUP(A95,'Projection Assumptions'!$A$13:$A$31,'Projection Assumptions'!$D$13:$D$31),0)</f>
        <v>0.05</v>
      </c>
      <c r="H95" s="5" t="str">
        <f>IF(C95=2025,"",IF(C95=2026,_xlfn.XLOOKUP(A95,'DATA Census'!$A$2:$A$20,'DATA Census'!$C$2:$C$20),MIN(1,H94+G95)))</f>
        <v/>
      </c>
      <c r="I95" s="5">
        <f>MIN(1,MAX(0,_xlfn.XLOOKUP(A95,'01 Industry Model'!$A$5:$A$23,'01 Industry Model'!$H$5:$H$23)+(C95-2025)*_xlfn.XLOOKUP(A95,'Projection Assumptions'!$A$13:$A$31,'Projection Assumptions'!$E$13:$E$31)))</f>
        <v>0.371081728466132</v>
      </c>
      <c r="J95" s="20">
        <f t="shared" si="15"/>
        <v>200.971337876884</v>
      </c>
      <c r="K95" s="20" t="str">
        <f t="shared" si="16"/>
        <v/>
      </c>
      <c r="L95" s="29">
        <f>IF(C95=2025,IFERROR(_xlfn.XLOOKUP(A95,'DATA QCEW'!$A$2:$A$20,'DATA QCEW'!$F$2:$F$20),""),L94*(1+D95))</f>
        <v>9032175</v>
      </c>
      <c r="M95" s="29">
        <f t="shared" si="17"/>
        <v>3351675.11080858</v>
      </c>
      <c r="N95" s="30">
        <f>IF(C95=2025,'Projection Assumptions'!$C$9,N94*(1+'Projection Assumptions'!$C$10))</f>
        <v>30</v>
      </c>
      <c r="O95" s="31">
        <f t="shared" si="18"/>
        <v>1.20660303989109</v>
      </c>
      <c r="P95" s="29" t="str">
        <f t="shared" si="19"/>
        <v/>
      </c>
      <c r="Q95" s="32" t="str">
        <f t="shared" si="20"/>
        <v/>
      </c>
    </row>
    <row r="96" spans="1:17">
      <c r="A96" t="s">
        <v>124</v>
      </c>
      <c r="B96" t="s">
        <v>125</v>
      </c>
      <c r="C96">
        <v>2026</v>
      </c>
      <c r="D96" s="5">
        <f>IFERROR(_xlfn.XLOOKUP(A96,'DATA BLS Projections'!$A$2:$A$20,'DATA BLS Projections'!$E$2:$E$20),0)</f>
        <v>0.000888474258359917</v>
      </c>
      <c r="E96" s="5">
        <f>IFERROR(_xlfn.XLOOKUP(A96,'Projection Assumptions'!$A$13:$A$31,'Projection Assumptions'!$C$13:$C$31),0)</f>
        <v>0.03</v>
      </c>
      <c r="F96" s="20">
        <f>IF(C96=2025,_xlfn.XLOOKUP(A96,'01 Industry Model'!$A$5:$A$23,'01 Industry Model'!$C$5:$C$23),F95*(1+D96)*(1+E96))</f>
        <v>558.325502755879</v>
      </c>
      <c r="G96" s="5">
        <f>IFERROR(_xlfn.XLOOKUP(A96,'Projection Assumptions'!$A$13:$A$31,'Projection Assumptions'!$D$13:$D$31),0)</f>
        <v>0.05</v>
      </c>
      <c r="H96" s="5">
        <f>IF(C96=2025,"",IF(C96=2026,_xlfn.XLOOKUP(A96,'DATA Census'!$A$2:$A$20,'DATA Census'!$C$2:$C$20),MIN(1,H95+G96)))</f>
        <v>0.217</v>
      </c>
      <c r="I96" s="5">
        <f>MIN(1,MAX(0,_xlfn.XLOOKUP(A96,'01 Industry Model'!$A$5:$A$23,'01 Industry Model'!$H$5:$H$23)+(C96-2025)*_xlfn.XLOOKUP(A96,'Projection Assumptions'!$A$13:$A$31,'Projection Assumptions'!$E$13:$E$31)))</f>
        <v>0.371081728466132</v>
      </c>
      <c r="J96" s="20">
        <f t="shared" si="15"/>
        <v>207.184392609374</v>
      </c>
      <c r="K96" s="20">
        <f t="shared" si="16"/>
        <v>44.9590131962341</v>
      </c>
      <c r="L96" s="29">
        <f>IF(C96=2025,IFERROR(_xlfn.XLOOKUP(A96,'DATA QCEW'!$A$2:$A$20,'DATA QCEW'!$F$2:$F$20),""),L95*(1+D96))</f>
        <v>9040199.8549845</v>
      </c>
      <c r="M96" s="29">
        <f t="shared" si="17"/>
        <v>3354652.98786692</v>
      </c>
      <c r="N96" s="30">
        <f>IF(C96=2025,'Projection Assumptions'!$C$9,N95*(1+'Projection Assumptions'!$C$10))</f>
        <v>30</v>
      </c>
      <c r="O96" s="31">
        <f t="shared" si="18"/>
        <v>1.20767507563209</v>
      </c>
      <c r="P96" s="29">
        <f t="shared" si="19"/>
        <v>727959.698367122</v>
      </c>
      <c r="Q96" s="32">
        <f t="shared" si="20"/>
        <v>0.262065491412164</v>
      </c>
    </row>
    <row r="97" spans="1:17">
      <c r="A97" t="s">
        <v>124</v>
      </c>
      <c r="B97" t="s">
        <v>125</v>
      </c>
      <c r="C97">
        <v>2027</v>
      </c>
      <c r="D97" s="5">
        <f>IFERROR(_xlfn.XLOOKUP(A97,'DATA BLS Projections'!$A$2:$A$20,'DATA BLS Projections'!$E$2:$E$20),0)</f>
        <v>0.000888474258359917</v>
      </c>
      <c r="E97" s="5">
        <f>IFERROR(_xlfn.XLOOKUP(A97,'Projection Assumptions'!$A$13:$A$31,'Projection Assumptions'!$C$13:$C$31),0)</f>
        <v>0.03</v>
      </c>
      <c r="F97" s="20">
        <f>IF(C97=2025,_xlfn.XLOOKUP(A97,'01 Industry Model'!$A$5:$A$23,'01 Industry Model'!$C$5:$C$23),F96*(1+D97)*(1+E97))</f>
        <v>575.58620741065</v>
      </c>
      <c r="G97" s="5">
        <f>IFERROR(_xlfn.XLOOKUP(A97,'Projection Assumptions'!$A$13:$A$31,'Projection Assumptions'!$D$13:$D$31),0)</f>
        <v>0.05</v>
      </c>
      <c r="H97" s="5">
        <f>IF(C97=2025,"",IF(C97=2026,_xlfn.XLOOKUP(A97,'DATA Census'!$A$2:$A$20,'DATA Census'!$C$2:$C$20),MIN(1,H96+G97)))</f>
        <v>0.267</v>
      </c>
      <c r="I97" s="5">
        <f>MIN(1,MAX(0,_xlfn.XLOOKUP(A97,'01 Industry Model'!$A$5:$A$23,'01 Industry Model'!$H$5:$H$23)+(C97-2025)*_xlfn.XLOOKUP(A97,'Projection Assumptions'!$A$13:$A$31,'Projection Assumptions'!$E$13:$E$31)))</f>
        <v>0.371081728466132</v>
      </c>
      <c r="J97" s="20">
        <f t="shared" si="15"/>
        <v>213.589524727209</v>
      </c>
      <c r="K97" s="20">
        <f t="shared" si="16"/>
        <v>57.0284031021649</v>
      </c>
      <c r="L97" s="29">
        <f>IF(C97=2025,IFERROR(_xlfn.XLOOKUP(A97,'DATA QCEW'!$A$2:$A$20,'DATA QCEW'!$F$2:$F$20),""),L96*(1+D97))</f>
        <v>9048231.83984608</v>
      </c>
      <c r="M97" s="29">
        <f t="shared" si="17"/>
        <v>3357633.51069237</v>
      </c>
      <c r="N97" s="30">
        <f>IF(C97=2025,'Projection Assumptions'!$C$9,N96*(1+'Projection Assumptions'!$C$10))</f>
        <v>30</v>
      </c>
      <c r="O97" s="31">
        <f t="shared" si="18"/>
        <v>1.20874806384925</v>
      </c>
      <c r="P97" s="29">
        <f t="shared" si="19"/>
        <v>896488.147354863</v>
      </c>
      <c r="Q97" s="32">
        <f t="shared" si="20"/>
        <v>0.322735733047751</v>
      </c>
    </row>
    <row r="98" spans="1:17">
      <c r="A98" t="s">
        <v>124</v>
      </c>
      <c r="B98" t="s">
        <v>125</v>
      </c>
      <c r="C98">
        <v>2028</v>
      </c>
      <c r="D98" s="5">
        <f>IFERROR(_xlfn.XLOOKUP(A98,'DATA BLS Projections'!$A$2:$A$20,'DATA BLS Projections'!$E$2:$E$20),0)</f>
        <v>0.000888474258359917</v>
      </c>
      <c r="E98" s="5">
        <f>IFERROR(_xlfn.XLOOKUP(A98,'Projection Assumptions'!$A$13:$A$31,'Projection Assumptions'!$C$13:$C$31),0)</f>
        <v>0.03</v>
      </c>
      <c r="F98" s="20">
        <f>IF(C98=2025,_xlfn.XLOOKUP(A98,'01 Industry Model'!$A$5:$A$23,'01 Industry Model'!$C$5:$C$23),F97*(1+D98)*(1+E98))</f>
        <v>593.380528967583</v>
      </c>
      <c r="G98" s="5">
        <f>IFERROR(_xlfn.XLOOKUP(A98,'Projection Assumptions'!$A$13:$A$31,'Projection Assumptions'!$D$13:$D$31),0)</f>
        <v>0.05</v>
      </c>
      <c r="H98" s="5">
        <f>IF(C98=2025,"",IF(C98=2026,_xlfn.XLOOKUP(A98,'DATA Census'!$A$2:$A$20,'DATA Census'!$C$2:$C$20),MIN(1,H97+G98)))</f>
        <v>0.317</v>
      </c>
      <c r="I98" s="5">
        <f>MIN(1,MAX(0,_xlfn.XLOOKUP(A98,'01 Industry Model'!$A$5:$A$23,'01 Industry Model'!$H$5:$H$23)+(C98-2025)*_xlfn.XLOOKUP(A98,'Projection Assumptions'!$A$13:$A$31,'Projection Assumptions'!$E$13:$E$31)))</f>
        <v>0.371081728466132</v>
      </c>
      <c r="J98" s="20">
        <f t="shared" si="15"/>
        <v>220.192672327438</v>
      </c>
      <c r="K98" s="20">
        <f t="shared" si="16"/>
        <v>69.801077127798</v>
      </c>
      <c r="L98" s="29">
        <f>IF(C98=2025,IFERROR(_xlfn.XLOOKUP(A98,'DATA QCEW'!$A$2:$A$20,'DATA QCEW'!$F$2:$F$20),""),L97*(1+D98))</f>
        <v>9056270.96091946</v>
      </c>
      <c r="M98" s="29">
        <f t="shared" si="17"/>
        <v>3360616.68163563</v>
      </c>
      <c r="N98" s="30">
        <f>IF(C98=2025,'Projection Assumptions'!$C$9,N97*(1+'Projection Assumptions'!$C$10))</f>
        <v>30</v>
      </c>
      <c r="O98" s="31">
        <f t="shared" si="18"/>
        <v>1.20982200538883</v>
      </c>
      <c r="P98" s="29">
        <f t="shared" si="19"/>
        <v>1065315.48807849</v>
      </c>
      <c r="Q98" s="32">
        <f t="shared" si="20"/>
        <v>0.383513575708258</v>
      </c>
    </row>
    <row r="99" spans="1:17">
      <c r="A99" t="s">
        <v>124</v>
      </c>
      <c r="B99" t="s">
        <v>125</v>
      </c>
      <c r="C99">
        <v>2029</v>
      </c>
      <c r="D99" s="5">
        <f>IFERROR(_xlfn.XLOOKUP(A99,'DATA BLS Projections'!$A$2:$A$20,'DATA BLS Projections'!$E$2:$E$20),0)</f>
        <v>0.000888474258359917</v>
      </c>
      <c r="E99" s="5">
        <f>IFERROR(_xlfn.XLOOKUP(A99,'Projection Assumptions'!$A$13:$A$31,'Projection Assumptions'!$C$13:$C$31),0)</f>
        <v>0.03</v>
      </c>
      <c r="F99" s="20">
        <f>IF(C99=2025,_xlfn.XLOOKUP(A99,'01 Industry Model'!$A$5:$A$23,'01 Industry Model'!$C$5:$C$23),F98*(1+D99)*(1+E99))</f>
        <v>611.724964261772</v>
      </c>
      <c r="G99" s="5">
        <f>IFERROR(_xlfn.XLOOKUP(A99,'Projection Assumptions'!$A$13:$A$31,'Projection Assumptions'!$D$13:$D$31),0)</f>
        <v>0.05</v>
      </c>
      <c r="H99" s="5">
        <f>IF(C99=2025,"",IF(C99=2026,_xlfn.XLOOKUP(A99,'DATA Census'!$A$2:$A$20,'DATA Census'!$C$2:$C$20),MIN(1,H98+G99)))</f>
        <v>0.367</v>
      </c>
      <c r="I99" s="5">
        <f>MIN(1,MAX(0,_xlfn.XLOOKUP(A99,'01 Industry Model'!$A$5:$A$23,'01 Industry Model'!$H$5:$H$23)+(C99-2025)*_xlfn.XLOOKUP(A99,'Projection Assumptions'!$A$13:$A$31,'Projection Assumptions'!$E$13:$E$31)))</f>
        <v>0.371081728466132</v>
      </c>
      <c r="J99" s="20">
        <f t="shared" si="15"/>
        <v>226.999957084141</v>
      </c>
      <c r="K99" s="20">
        <f t="shared" si="16"/>
        <v>83.3089842498798</v>
      </c>
      <c r="L99" s="29">
        <f>IF(C99=2025,IFERROR(_xlfn.XLOOKUP(A99,'DATA QCEW'!$A$2:$A$20,'DATA QCEW'!$F$2:$F$20),""),L98*(1+D99))</f>
        <v>9064317.22454497</v>
      </c>
      <c r="M99" s="29">
        <f t="shared" si="17"/>
        <v>3363602.50304948</v>
      </c>
      <c r="N99" s="30">
        <f>IF(C99=2025,'Projection Assumptions'!$C$9,N98*(1+'Projection Assumptions'!$C$10))</f>
        <v>30</v>
      </c>
      <c r="O99" s="31">
        <f t="shared" si="18"/>
        <v>1.21089690109781</v>
      </c>
      <c r="P99" s="29">
        <f t="shared" si="19"/>
        <v>1234442.11861916</v>
      </c>
      <c r="Q99" s="32">
        <f t="shared" si="20"/>
        <v>0.444399162702897</v>
      </c>
    </row>
    <row r="100" spans="1:17">
      <c r="A100" t="s">
        <v>124</v>
      </c>
      <c r="B100" t="s">
        <v>125</v>
      </c>
      <c r="C100">
        <v>2030</v>
      </c>
      <c r="D100" s="5">
        <f>IFERROR(_xlfn.XLOOKUP(A100,'DATA BLS Projections'!$A$2:$A$20,'DATA BLS Projections'!$E$2:$E$20),0)</f>
        <v>0.000888474258359917</v>
      </c>
      <c r="E100" s="5">
        <f>IFERROR(_xlfn.XLOOKUP(A100,'Projection Assumptions'!$A$13:$A$31,'Projection Assumptions'!$C$13:$C$31),0)</f>
        <v>0.03</v>
      </c>
      <c r="F100" s="20">
        <f>IF(C100=2025,_xlfn.XLOOKUP(A100,'01 Industry Model'!$A$5:$A$23,'01 Industry Model'!$C$5:$C$23),F99*(1+D100)*(1+E100))</f>
        <v>630.636520130087</v>
      </c>
      <c r="G100" s="5">
        <f>IFERROR(_xlfn.XLOOKUP(A100,'Projection Assumptions'!$A$13:$A$31,'Projection Assumptions'!$D$13:$D$31),0)</f>
        <v>0.05</v>
      </c>
      <c r="H100" s="5">
        <f>IF(C100=2025,"",IF(C100=2026,_xlfn.XLOOKUP(A100,'DATA Census'!$A$2:$A$20,'DATA Census'!$C$2:$C$20),MIN(1,H99+G100)))</f>
        <v>0.417</v>
      </c>
      <c r="I100" s="5">
        <f>MIN(1,MAX(0,_xlfn.XLOOKUP(A100,'01 Industry Model'!$A$5:$A$23,'01 Industry Model'!$H$5:$H$23)+(C100-2025)*_xlfn.XLOOKUP(A100,'Projection Assumptions'!$A$13:$A$31,'Projection Assumptions'!$E$13:$E$31)))</f>
        <v>0.371081728466132</v>
      </c>
      <c r="J100" s="20">
        <f t="shared" si="15"/>
        <v>234.017689923739</v>
      </c>
      <c r="K100" s="20">
        <f t="shared" si="16"/>
        <v>97.5853766981992</v>
      </c>
      <c r="L100" s="29">
        <f>IF(C100=2025,IFERROR(_xlfn.XLOOKUP(A100,'DATA QCEW'!$A$2:$A$20,'DATA QCEW'!$F$2:$F$20),""),L99*(1+D100))</f>
        <v>9072370.63706859</v>
      </c>
      <c r="M100" s="29">
        <f t="shared" si="17"/>
        <v>3366590.97728879</v>
      </c>
      <c r="N100" s="30">
        <f>IF(C100=2025,'Projection Assumptions'!$C$9,N99*(1+'Projection Assumptions'!$C$10))</f>
        <v>30</v>
      </c>
      <c r="O100" s="31">
        <f t="shared" si="18"/>
        <v>1.21197275182397</v>
      </c>
      <c r="P100" s="29">
        <f t="shared" si="19"/>
        <v>1403868.43752943</v>
      </c>
      <c r="Q100" s="32">
        <f t="shared" si="20"/>
        <v>0.505392637510593</v>
      </c>
    </row>
    <row r="101" spans="1:17">
      <c r="A101" t="s">
        <v>126</v>
      </c>
      <c r="B101" t="s">
        <v>127</v>
      </c>
      <c r="C101">
        <v>2025</v>
      </c>
      <c r="D101" s="5">
        <f>IFERROR(_xlfn.XLOOKUP(A101,'DATA BLS Projections'!$A$2:$A$20,'DATA BLS Projections'!$E$2:$E$20),0)</f>
        <v>0.00249356750911445</v>
      </c>
      <c r="E101" s="5">
        <f>IFERROR(_xlfn.XLOOKUP(A101,'Projection Assumptions'!$A$13:$A$31,'Projection Assumptions'!$C$13:$C$31),0)</f>
        <v>0.03</v>
      </c>
      <c r="F101" s="20">
        <f>IF(C101=2025,_xlfn.XLOOKUP(A101,'01 Industry Model'!$A$5:$A$23,'01 Industry Model'!$C$5:$C$23),F100*(1+D101)*(1+E101))</f>
        <v>213.875731365</v>
      </c>
      <c r="G101" s="5">
        <f>IFERROR(_xlfn.XLOOKUP(A101,'Projection Assumptions'!$A$13:$A$31,'Projection Assumptions'!$D$13:$D$31),0)</f>
        <v>0.05</v>
      </c>
      <c r="H101" s="5" t="str">
        <f>IF(C101=2025,"",IF(C101=2026,_xlfn.XLOOKUP(A101,'DATA Census'!$A$2:$A$20,'DATA Census'!$C$2:$C$20),MIN(1,H100+G101)))</f>
        <v/>
      </c>
      <c r="I101" s="5">
        <f>MIN(1,MAX(0,_xlfn.XLOOKUP(A101,'01 Industry Model'!$A$5:$A$23,'01 Industry Model'!$H$5:$H$23)+(C101-2025)*_xlfn.XLOOKUP(A101,'Projection Assumptions'!$A$13:$A$31,'Projection Assumptions'!$E$13:$E$31)))</f>
        <v>0.412133504893998</v>
      </c>
      <c r="J101" s="20">
        <f t="shared" si="15"/>
        <v>88.1453547792247</v>
      </c>
      <c r="K101" s="20" t="str">
        <f t="shared" si="16"/>
        <v/>
      </c>
      <c r="L101" s="29">
        <f>IF(C101=2025,IFERROR(_xlfn.XLOOKUP(A101,'DATA QCEW'!$A$2:$A$20,'DATA QCEW'!$F$2:$F$20),""),L100*(1+D101))</f>
        <v>3246686</v>
      </c>
      <c r="M101" s="29">
        <f t="shared" si="17"/>
        <v>1338068.08047028</v>
      </c>
      <c r="N101" s="30">
        <f>IF(C101=2025,'Projection Assumptions'!$C$9,N100*(1+'Projection Assumptions'!$C$10))</f>
        <v>30</v>
      </c>
      <c r="O101" s="31">
        <f t="shared" si="18"/>
        <v>0.481704508969299</v>
      </c>
      <c r="P101" s="29" t="str">
        <f t="shared" si="19"/>
        <v/>
      </c>
      <c r="Q101" s="32" t="str">
        <f t="shared" si="20"/>
        <v/>
      </c>
    </row>
    <row r="102" spans="1:17">
      <c r="A102" t="s">
        <v>126</v>
      </c>
      <c r="B102" t="s">
        <v>127</v>
      </c>
      <c r="C102">
        <v>2026</v>
      </c>
      <c r="D102" s="5">
        <f>IFERROR(_xlfn.XLOOKUP(A102,'DATA BLS Projections'!$A$2:$A$20,'DATA BLS Projections'!$E$2:$E$20),0)</f>
        <v>0.00249356750911445</v>
      </c>
      <c r="E102" s="5">
        <f>IFERROR(_xlfn.XLOOKUP(A102,'Projection Assumptions'!$A$13:$A$31,'Projection Assumptions'!$C$13:$C$31),0)</f>
        <v>0.03</v>
      </c>
      <c r="F102" s="20">
        <f>IF(C102=2025,_xlfn.XLOOKUP(A102,'01 Industry Model'!$A$5:$A$23,'01 Industry Model'!$C$5:$C$23),F101*(1+D102)*(1+E102))</f>
        <v>220.841316287911</v>
      </c>
      <c r="G102" s="5">
        <f>IFERROR(_xlfn.XLOOKUP(A102,'Projection Assumptions'!$A$13:$A$31,'Projection Assumptions'!$D$13:$D$31),0)</f>
        <v>0.05</v>
      </c>
      <c r="H102" s="5">
        <f>IF(C102=2025,"",IF(C102=2026,_xlfn.XLOOKUP(A102,'DATA Census'!$A$2:$A$20,'DATA Census'!$C$2:$C$20),MIN(1,H101+G102)))</f>
        <v>0.399</v>
      </c>
      <c r="I102" s="5">
        <f>MIN(1,MAX(0,_xlfn.XLOOKUP(A102,'01 Industry Model'!$A$5:$A$23,'01 Industry Model'!$H$5:$H$23)+(C102-2025)*_xlfn.XLOOKUP(A102,'Projection Assumptions'!$A$13:$A$31,'Projection Assumptions'!$E$13:$E$31)))</f>
        <v>0.412133504893998</v>
      </c>
      <c r="J102" s="20">
        <f t="shared" si="15"/>
        <v>91.016105707141</v>
      </c>
      <c r="K102" s="20">
        <f t="shared" si="16"/>
        <v>36.3154261771493</v>
      </c>
      <c r="L102" s="29">
        <f>IF(C102=2025,IFERROR(_xlfn.XLOOKUP(A102,'DATA QCEW'!$A$2:$A$20,'DATA QCEW'!$F$2:$F$20),""),L101*(1+D102))</f>
        <v>3254781.8307219</v>
      </c>
      <c r="M102" s="29">
        <f t="shared" si="17"/>
        <v>1341404.64356072</v>
      </c>
      <c r="N102" s="30">
        <f>IF(C102=2025,'Projection Assumptions'!$C$9,N101*(1+'Projection Assumptions'!$C$10))</f>
        <v>30</v>
      </c>
      <c r="O102" s="31">
        <f t="shared" si="18"/>
        <v>0.482905671681859</v>
      </c>
      <c r="P102" s="29">
        <f t="shared" si="19"/>
        <v>535220.452780727</v>
      </c>
      <c r="Q102" s="32">
        <f t="shared" si="20"/>
        <v>0.192679363001062</v>
      </c>
    </row>
    <row r="103" spans="1:17">
      <c r="A103" t="s">
        <v>126</v>
      </c>
      <c r="B103" t="s">
        <v>127</v>
      </c>
      <c r="C103">
        <v>2027</v>
      </c>
      <c r="D103" s="5">
        <f>IFERROR(_xlfn.XLOOKUP(A103,'DATA BLS Projections'!$A$2:$A$20,'DATA BLS Projections'!$E$2:$E$20),0)</f>
        <v>0.00249356750911445</v>
      </c>
      <c r="E103" s="5">
        <f>IFERROR(_xlfn.XLOOKUP(A103,'Projection Assumptions'!$A$13:$A$31,'Projection Assumptions'!$C$13:$C$31),0)</f>
        <v>0.03</v>
      </c>
      <c r="F103" s="20">
        <f>IF(C103=2025,_xlfn.XLOOKUP(A103,'01 Industry Model'!$A$5:$A$23,'01 Industry Model'!$C$5:$C$23),F102*(1+D103)*(1+E103))</f>
        <v>228.033758989443</v>
      </c>
      <c r="G103" s="5">
        <f>IFERROR(_xlfn.XLOOKUP(A103,'Projection Assumptions'!$A$13:$A$31,'Projection Assumptions'!$D$13:$D$31),0)</f>
        <v>0.05</v>
      </c>
      <c r="H103" s="5">
        <f>IF(C103=2025,"",IF(C103=2026,_xlfn.XLOOKUP(A103,'DATA Census'!$A$2:$A$20,'DATA Census'!$C$2:$C$20),MIN(1,H102+G103)))</f>
        <v>0.449</v>
      </c>
      <c r="I103" s="5">
        <f>MIN(1,MAX(0,_xlfn.XLOOKUP(A103,'01 Industry Model'!$A$5:$A$23,'01 Industry Model'!$H$5:$H$23)+(C103-2025)*_xlfn.XLOOKUP(A103,'Projection Assumptions'!$A$13:$A$31,'Projection Assumptions'!$E$13:$E$31)))</f>
        <v>0.412133504893998</v>
      </c>
      <c r="J103" s="20">
        <f t="shared" si="15"/>
        <v>93.9803523264726</v>
      </c>
      <c r="K103" s="20">
        <f t="shared" si="16"/>
        <v>42.1971781945862</v>
      </c>
      <c r="L103" s="29">
        <f>IF(C103=2025,IFERROR(_xlfn.XLOOKUP(A103,'DATA QCEW'!$A$2:$A$20,'DATA QCEW'!$F$2:$F$20),""),L102*(1+D103))</f>
        <v>3262897.84894424</v>
      </c>
      <c r="M103" s="29">
        <f t="shared" si="17"/>
        <v>1344749.52659648</v>
      </c>
      <c r="N103" s="30">
        <f>IF(C103=2025,'Projection Assumptions'!$C$9,N102*(1+'Projection Assumptions'!$C$10))</f>
        <v>30</v>
      </c>
      <c r="O103" s="31">
        <f t="shared" si="18"/>
        <v>0.484109829574732</v>
      </c>
      <c r="P103" s="29">
        <f t="shared" si="19"/>
        <v>603792.537441819</v>
      </c>
      <c r="Q103" s="32">
        <f t="shared" si="20"/>
        <v>0.217365313479055</v>
      </c>
    </row>
    <row r="104" spans="1:17">
      <c r="A104" t="s">
        <v>126</v>
      </c>
      <c r="B104" t="s">
        <v>127</v>
      </c>
      <c r="C104">
        <v>2028</v>
      </c>
      <c r="D104" s="5">
        <f>IFERROR(_xlfn.XLOOKUP(A104,'DATA BLS Projections'!$A$2:$A$20,'DATA BLS Projections'!$E$2:$E$20),0)</f>
        <v>0.00249356750911445</v>
      </c>
      <c r="E104" s="5">
        <f>IFERROR(_xlfn.XLOOKUP(A104,'Projection Assumptions'!$A$13:$A$31,'Projection Assumptions'!$C$13:$C$31),0)</f>
        <v>0.03</v>
      </c>
      <c r="F104" s="20">
        <f>IF(C104=2025,_xlfn.XLOOKUP(A104,'01 Industry Model'!$A$5:$A$23,'01 Industry Model'!$C$5:$C$23),F103*(1+D104)*(1+E104))</f>
        <v>235.460447858696</v>
      </c>
      <c r="G104" s="5">
        <f>IFERROR(_xlfn.XLOOKUP(A104,'Projection Assumptions'!$A$13:$A$31,'Projection Assumptions'!$D$13:$D$31),0)</f>
        <v>0.05</v>
      </c>
      <c r="H104" s="5">
        <f>IF(C104=2025,"",IF(C104=2026,_xlfn.XLOOKUP(A104,'DATA Census'!$A$2:$A$20,'DATA Census'!$C$2:$C$20),MIN(1,H103+G104)))</f>
        <v>0.499</v>
      </c>
      <c r="I104" s="5">
        <f>MIN(1,MAX(0,_xlfn.XLOOKUP(A104,'01 Industry Model'!$A$5:$A$23,'01 Industry Model'!$H$5:$H$23)+(C104-2025)*_xlfn.XLOOKUP(A104,'Projection Assumptions'!$A$13:$A$31,'Projection Assumptions'!$E$13:$E$31)))</f>
        <v>0.412133504893998</v>
      </c>
      <c r="J104" s="20">
        <f t="shared" si="15"/>
        <v>97.0411396399149</v>
      </c>
      <c r="K104" s="20">
        <f t="shared" si="16"/>
        <v>48.4235286803175</v>
      </c>
      <c r="L104" s="29">
        <f>IF(C104=2025,IFERROR(_xlfn.XLOOKUP(A104,'DATA QCEW'!$A$2:$A$20,'DATA QCEW'!$F$2:$F$20),""),L103*(1+D104))</f>
        <v>3271034.10500593</v>
      </c>
      <c r="M104" s="29">
        <f t="shared" si="17"/>
        <v>1348102.7503239</v>
      </c>
      <c r="N104" s="30">
        <f>IF(C104=2025,'Projection Assumptions'!$C$9,N103*(1+'Projection Assumptions'!$C$10))</f>
        <v>30</v>
      </c>
      <c r="O104" s="31">
        <f t="shared" si="18"/>
        <v>0.485316990116603</v>
      </c>
      <c r="P104" s="29">
        <f t="shared" si="19"/>
        <v>672703.272411624</v>
      </c>
      <c r="Q104" s="32">
        <f t="shared" si="20"/>
        <v>0.242173178068185</v>
      </c>
    </row>
    <row r="105" spans="1:17">
      <c r="A105" t="s">
        <v>126</v>
      </c>
      <c r="B105" t="s">
        <v>127</v>
      </c>
      <c r="C105">
        <v>2029</v>
      </c>
      <c r="D105" s="5">
        <f>IFERROR(_xlfn.XLOOKUP(A105,'DATA BLS Projections'!$A$2:$A$20,'DATA BLS Projections'!$E$2:$E$20),0)</f>
        <v>0.00249356750911445</v>
      </c>
      <c r="E105" s="5">
        <f>IFERROR(_xlfn.XLOOKUP(A105,'Projection Assumptions'!$A$13:$A$31,'Projection Assumptions'!$C$13:$C$31),0)</f>
        <v>0.03</v>
      </c>
      <c r="F105" s="20">
        <f>IF(C105=2025,_xlfn.XLOOKUP(A105,'01 Industry Model'!$A$5:$A$23,'01 Industry Model'!$C$5:$C$23),F104*(1+D105)*(1+E105))</f>
        <v>243.129011912593</v>
      </c>
      <c r="G105" s="5">
        <f>IFERROR(_xlfn.XLOOKUP(A105,'Projection Assumptions'!$A$13:$A$31,'Projection Assumptions'!$D$13:$D$31),0)</f>
        <v>0.05</v>
      </c>
      <c r="H105" s="5">
        <f>IF(C105=2025,"",IF(C105=2026,_xlfn.XLOOKUP(A105,'DATA Census'!$A$2:$A$20,'DATA Census'!$C$2:$C$20),MIN(1,H104+G105)))</f>
        <v>0.549</v>
      </c>
      <c r="I105" s="5">
        <f>MIN(1,MAX(0,_xlfn.XLOOKUP(A105,'01 Industry Model'!$A$5:$A$23,'01 Industry Model'!$H$5:$H$23)+(C105-2025)*_xlfn.XLOOKUP(A105,'Projection Assumptions'!$A$13:$A$31,'Projection Assumptions'!$E$13:$E$31)))</f>
        <v>0.412133504893998</v>
      </c>
      <c r="J105" s="20">
        <f t="shared" si="15"/>
        <v>100.201611820951</v>
      </c>
      <c r="K105" s="20">
        <f t="shared" si="16"/>
        <v>55.0106848897024</v>
      </c>
      <c r="L105" s="29">
        <f>IF(C105=2025,IFERROR(_xlfn.XLOOKUP(A105,'DATA QCEW'!$A$2:$A$20,'DATA QCEW'!$F$2:$F$20),""),L104*(1+D105))</f>
        <v>3279190.64937138</v>
      </c>
      <c r="M105" s="29">
        <f t="shared" si="17"/>
        <v>1351464.33554105</v>
      </c>
      <c r="N105" s="30">
        <f>IF(C105=2025,'Projection Assumptions'!$C$9,N104*(1+'Projection Assumptions'!$C$10))</f>
        <v>30</v>
      </c>
      <c r="O105" s="31">
        <f t="shared" si="18"/>
        <v>0.486527160794778</v>
      </c>
      <c r="P105" s="29">
        <f t="shared" si="19"/>
        <v>741953.920212037</v>
      </c>
      <c r="Q105" s="32">
        <f t="shared" si="20"/>
        <v>0.267103411276333</v>
      </c>
    </row>
    <row r="106" spans="1:17">
      <c r="A106" t="s">
        <v>126</v>
      </c>
      <c r="B106" t="s">
        <v>127</v>
      </c>
      <c r="C106">
        <v>2030</v>
      </c>
      <c r="D106" s="5">
        <f>IFERROR(_xlfn.XLOOKUP(A106,'DATA BLS Projections'!$A$2:$A$20,'DATA BLS Projections'!$E$2:$E$20),0)</f>
        <v>0.00249356750911445</v>
      </c>
      <c r="E106" s="5">
        <f>IFERROR(_xlfn.XLOOKUP(A106,'Projection Assumptions'!$A$13:$A$31,'Projection Assumptions'!$C$13:$C$31),0)</f>
        <v>0.03</v>
      </c>
      <c r="F106" s="20">
        <f>IF(C106=2025,_xlfn.XLOOKUP(A106,'01 Industry Model'!$A$5:$A$23,'01 Industry Model'!$C$5:$C$23),F105*(1+D106)*(1+E106))</f>
        <v>251.047328632738</v>
      </c>
      <c r="G106" s="5">
        <f>IFERROR(_xlfn.XLOOKUP(A106,'Projection Assumptions'!$A$13:$A$31,'Projection Assumptions'!$D$13:$D$31),0)</f>
        <v>0.05</v>
      </c>
      <c r="H106" s="5">
        <f>IF(C106=2025,"",IF(C106=2026,_xlfn.XLOOKUP(A106,'DATA Census'!$A$2:$A$20,'DATA Census'!$C$2:$C$20),MIN(1,H105+G106)))</f>
        <v>0.599</v>
      </c>
      <c r="I106" s="5">
        <f>MIN(1,MAX(0,_xlfn.XLOOKUP(A106,'01 Industry Model'!$A$5:$A$23,'01 Industry Model'!$H$5:$H$23)+(C106-2025)*_xlfn.XLOOKUP(A106,'Projection Assumptions'!$A$13:$A$31,'Projection Assumptions'!$E$13:$E$31)))</f>
        <v>0.412133504893998</v>
      </c>
      <c r="J106" s="20">
        <f t="shared" si="15"/>
        <v>103.465015443686</v>
      </c>
      <c r="K106" s="20">
        <f t="shared" si="16"/>
        <v>61.9755442507677</v>
      </c>
      <c r="L106" s="29">
        <f>IF(C106=2025,IFERROR(_xlfn.XLOOKUP(A106,'DATA QCEW'!$A$2:$A$20,'DATA QCEW'!$F$2:$F$20),""),L105*(1+D106))</f>
        <v>3287367.53263084</v>
      </c>
      <c r="M106" s="29">
        <f t="shared" si="17"/>
        <v>1354834.30309788</v>
      </c>
      <c r="N106" s="30">
        <f>IF(C106=2025,'Projection Assumptions'!$C$9,N105*(1+'Projection Assumptions'!$C$10))</f>
        <v>30</v>
      </c>
      <c r="O106" s="31">
        <f t="shared" si="18"/>
        <v>0.487740349115238</v>
      </c>
      <c r="P106" s="29">
        <f t="shared" si="19"/>
        <v>811545.747555632</v>
      </c>
      <c r="Q106" s="32">
        <f t="shared" si="20"/>
        <v>0.292156469120028</v>
      </c>
    </row>
    <row r="107" spans="1:17">
      <c r="A107" t="s">
        <v>128</v>
      </c>
      <c r="B107" t="s">
        <v>129</v>
      </c>
      <c r="C107">
        <v>2025</v>
      </c>
      <c r="D107" s="5">
        <f>IFERROR(_xlfn.XLOOKUP(A107,'DATA BLS Projections'!$A$2:$A$20,'DATA BLS Projections'!$E$2:$E$20),0)</f>
        <v>0.00908607260096317</v>
      </c>
      <c r="E107" s="5">
        <f>IFERROR(_xlfn.XLOOKUP(A107,'Projection Assumptions'!$A$13:$A$31,'Projection Assumptions'!$C$13:$C$31),0)</f>
        <v>0.03</v>
      </c>
      <c r="F107" s="20">
        <f>IF(C107=2025,_xlfn.XLOOKUP(A107,'01 Industry Model'!$A$5:$A$23,'01 Industry Model'!$C$5:$C$23),F106*(1+D107)*(1+E107))</f>
        <v>1529.847054124</v>
      </c>
      <c r="G107" s="5">
        <f>IFERROR(_xlfn.XLOOKUP(A107,'Projection Assumptions'!$A$13:$A$31,'Projection Assumptions'!$D$13:$D$31),0)</f>
        <v>0.05</v>
      </c>
      <c r="H107" s="5" t="str">
        <f>IF(C107=2025,"",IF(C107=2026,_xlfn.XLOOKUP(A107,'DATA Census'!$A$2:$A$20,'DATA Census'!$C$2:$C$20),MIN(1,H106+G107)))</f>
        <v/>
      </c>
      <c r="I107" s="5">
        <f>MIN(1,MAX(0,_xlfn.XLOOKUP(A107,'01 Industry Model'!$A$5:$A$23,'01 Industry Model'!$H$5:$H$23)+(C107-2025)*_xlfn.XLOOKUP(A107,'Projection Assumptions'!$A$13:$A$31,'Projection Assumptions'!$E$13:$E$31)))</f>
        <v>0.283148573185439</v>
      </c>
      <c r="J107" s="20">
        <f t="shared" si="15"/>
        <v>433.174010567157</v>
      </c>
      <c r="K107" s="20" t="str">
        <f t="shared" si="16"/>
        <v/>
      </c>
      <c r="L107" s="29">
        <f>IF(C107=2025,IFERROR(_xlfn.XLOOKUP(A107,'DATA QCEW'!$A$2:$A$20,'DATA QCEW'!$F$2:$F$20),""),L106*(1+D107))</f>
        <v>22997661</v>
      </c>
      <c r="M107" s="29">
        <f t="shared" si="17"/>
        <v>6511754.89875241</v>
      </c>
      <c r="N107" s="30">
        <f>IF(C107=2025,'Projection Assumptions'!$C$9,N106*(1+'Projection Assumptions'!$C$10))</f>
        <v>30</v>
      </c>
      <c r="O107" s="31">
        <f t="shared" si="18"/>
        <v>2.34423176355087</v>
      </c>
      <c r="P107" s="29" t="str">
        <f t="shared" si="19"/>
        <v/>
      </c>
      <c r="Q107" s="32" t="str">
        <f t="shared" si="20"/>
        <v/>
      </c>
    </row>
    <row r="108" spans="1:17">
      <c r="A108" t="s">
        <v>128</v>
      </c>
      <c r="B108" t="s">
        <v>129</v>
      </c>
      <c r="C108">
        <v>2026</v>
      </c>
      <c r="D108" s="5">
        <f>IFERROR(_xlfn.XLOOKUP(A108,'DATA BLS Projections'!$A$2:$A$20,'DATA BLS Projections'!$E$2:$E$20),0)</f>
        <v>0.00908607260096317</v>
      </c>
      <c r="E108" s="5">
        <f>IFERROR(_xlfn.XLOOKUP(A108,'Projection Assumptions'!$A$13:$A$31,'Projection Assumptions'!$C$13:$C$31),0)</f>
        <v>0.03</v>
      </c>
      <c r="F108" s="20">
        <f>IF(C108=2025,_xlfn.XLOOKUP(A108,'01 Industry Model'!$A$5:$A$23,'01 Industry Model'!$C$5:$C$23),F107*(1+D108)*(1+E108))</f>
        <v>1590.05977619192</v>
      </c>
      <c r="G108" s="5">
        <f>IFERROR(_xlfn.XLOOKUP(A108,'Projection Assumptions'!$A$13:$A$31,'Projection Assumptions'!$D$13:$D$31),0)</f>
        <v>0.05</v>
      </c>
      <c r="H108" s="5">
        <f>IF(C108=2025,"",IF(C108=2026,_xlfn.XLOOKUP(A108,'DATA Census'!$A$2:$A$20,'DATA Census'!$C$2:$C$20),MIN(1,H107+G108)))</f>
        <v>0.248</v>
      </c>
      <c r="I108" s="5">
        <f>MIN(1,MAX(0,_xlfn.XLOOKUP(A108,'01 Industry Model'!$A$5:$A$23,'01 Industry Model'!$H$5:$H$23)+(C108-2025)*_xlfn.XLOOKUP(A108,'Projection Assumptions'!$A$13:$A$31,'Projection Assumptions'!$E$13:$E$31)))</f>
        <v>0.283148573185439</v>
      </c>
      <c r="J108" s="20">
        <f t="shared" si="15"/>
        <v>450.223156908302</v>
      </c>
      <c r="K108" s="20">
        <f t="shared" si="16"/>
        <v>111.655342913259</v>
      </c>
      <c r="L108" s="29">
        <f>IF(C108=2025,IFERROR(_xlfn.XLOOKUP(A108,'DATA QCEW'!$A$2:$A$20,'DATA QCEW'!$F$2:$F$20),""),L107*(1+D108))</f>
        <v>23206619.4174983</v>
      </c>
      <c r="M108" s="29">
        <f t="shared" si="17"/>
        <v>6570921.17652215</v>
      </c>
      <c r="N108" s="30">
        <f>IF(C108=2025,'Projection Assumptions'!$C$9,N107*(1+'Projection Assumptions'!$C$10))</f>
        <v>30</v>
      </c>
      <c r="O108" s="31">
        <f t="shared" si="18"/>
        <v>2.36553162354798</v>
      </c>
      <c r="P108" s="29">
        <f t="shared" si="19"/>
        <v>1629588.45177749</v>
      </c>
      <c r="Q108" s="32">
        <f t="shared" si="20"/>
        <v>0.586651842639898</v>
      </c>
    </row>
    <row r="109" spans="1:17">
      <c r="A109" t="s">
        <v>128</v>
      </c>
      <c r="B109" t="s">
        <v>129</v>
      </c>
      <c r="C109">
        <v>2027</v>
      </c>
      <c r="D109" s="5">
        <f>IFERROR(_xlfn.XLOOKUP(A109,'DATA BLS Projections'!$A$2:$A$20,'DATA BLS Projections'!$E$2:$E$20),0)</f>
        <v>0.00908607260096317</v>
      </c>
      <c r="E109" s="5">
        <f>IFERROR(_xlfn.XLOOKUP(A109,'Projection Assumptions'!$A$13:$A$31,'Projection Assumptions'!$C$13:$C$31),0)</f>
        <v>0.03</v>
      </c>
      <c r="F109" s="20">
        <f>IF(C109=2025,_xlfn.XLOOKUP(A109,'01 Industry Model'!$A$5:$A$23,'01 Industry Model'!$C$5:$C$23),F108*(1+D109)*(1+E109))</f>
        <v>1652.64239000102</v>
      </c>
      <c r="G109" s="5">
        <f>IFERROR(_xlfn.XLOOKUP(A109,'Projection Assumptions'!$A$13:$A$31,'Projection Assumptions'!$D$13:$D$31),0)</f>
        <v>0.05</v>
      </c>
      <c r="H109" s="5">
        <f>IF(C109=2025,"",IF(C109=2026,_xlfn.XLOOKUP(A109,'DATA Census'!$A$2:$A$20,'DATA Census'!$C$2:$C$20),MIN(1,H108+G109)))</f>
        <v>0.298</v>
      </c>
      <c r="I109" s="5">
        <f>MIN(1,MAX(0,_xlfn.XLOOKUP(A109,'01 Industry Model'!$A$5:$A$23,'01 Industry Model'!$H$5:$H$23)+(C109-2025)*_xlfn.XLOOKUP(A109,'Projection Assumptions'!$A$13:$A$31,'Projection Assumptions'!$E$13:$E$31)))</f>
        <v>0.283148573185439</v>
      </c>
      <c r="J109" s="20">
        <f t="shared" si="15"/>
        <v>467.943334714563</v>
      </c>
      <c r="K109" s="20">
        <f t="shared" si="16"/>
        <v>139.44711374494</v>
      </c>
      <c r="L109" s="29">
        <f>IF(C109=2025,IFERROR(_xlfn.XLOOKUP(A109,'DATA QCEW'!$A$2:$A$20,'DATA QCEW'!$F$2:$F$20),""),L108*(1+D109))</f>
        <v>23417476.4463487</v>
      </c>
      <c r="M109" s="29">
        <f t="shared" si="17"/>
        <v>6630625.04338724</v>
      </c>
      <c r="N109" s="30">
        <f>IF(C109=2025,'Projection Assumptions'!$C$9,N108*(1+'Projection Assumptions'!$C$10))</f>
        <v>30</v>
      </c>
      <c r="O109" s="31">
        <f t="shared" si="18"/>
        <v>2.38702501561941</v>
      </c>
      <c r="P109" s="29">
        <f t="shared" si="19"/>
        <v>1975926.2629294</v>
      </c>
      <c r="Q109" s="32">
        <f t="shared" si="20"/>
        <v>0.711333454654583</v>
      </c>
    </row>
    <row r="110" spans="1:17">
      <c r="A110" t="s">
        <v>128</v>
      </c>
      <c r="B110" t="s">
        <v>129</v>
      </c>
      <c r="C110">
        <v>2028</v>
      </c>
      <c r="D110" s="5">
        <f>IFERROR(_xlfn.XLOOKUP(A110,'DATA BLS Projections'!$A$2:$A$20,'DATA BLS Projections'!$E$2:$E$20),0)</f>
        <v>0.00908607260096317</v>
      </c>
      <c r="E110" s="5">
        <f>IFERROR(_xlfn.XLOOKUP(A110,'Projection Assumptions'!$A$13:$A$31,'Projection Assumptions'!$C$13:$C$31),0)</f>
        <v>0.03</v>
      </c>
      <c r="F110" s="20">
        <f>IF(C110=2025,_xlfn.XLOOKUP(A110,'01 Industry Model'!$A$5:$A$23,'01 Industry Model'!$C$5:$C$23),F109*(1+D110)*(1+E110))</f>
        <v>1717.6881713022</v>
      </c>
      <c r="G110" s="5">
        <f>IFERROR(_xlfn.XLOOKUP(A110,'Projection Assumptions'!$A$13:$A$31,'Projection Assumptions'!$D$13:$D$31),0)</f>
        <v>0.05</v>
      </c>
      <c r="H110" s="5">
        <f>IF(C110=2025,"",IF(C110=2026,_xlfn.XLOOKUP(A110,'DATA Census'!$A$2:$A$20,'DATA Census'!$C$2:$C$20),MIN(1,H109+G110)))</f>
        <v>0.348</v>
      </c>
      <c r="I110" s="5">
        <f>MIN(1,MAX(0,_xlfn.XLOOKUP(A110,'01 Industry Model'!$A$5:$A$23,'01 Industry Model'!$H$5:$H$23)+(C110-2025)*_xlfn.XLOOKUP(A110,'Projection Assumptions'!$A$13:$A$31,'Projection Assumptions'!$E$13:$E$31)))</f>
        <v>0.283148573185439</v>
      </c>
      <c r="J110" s="20">
        <f t="shared" si="15"/>
        <v>486.360954881724</v>
      </c>
      <c r="K110" s="20">
        <f t="shared" si="16"/>
        <v>169.25361229884</v>
      </c>
      <c r="L110" s="29">
        <f>IF(C110=2025,IFERROR(_xlfn.XLOOKUP(A110,'DATA QCEW'!$A$2:$A$20,'DATA QCEW'!$F$2:$F$20),""),L109*(1+D110))</f>
        <v>23630249.3374715</v>
      </c>
      <c r="M110" s="29">
        <f t="shared" si="17"/>
        <v>6690871.38392122</v>
      </c>
      <c r="N110" s="30">
        <f>IF(C110=2025,'Projection Assumptions'!$C$9,N109*(1+'Projection Assumptions'!$C$10))</f>
        <v>30</v>
      </c>
      <c r="O110" s="31">
        <f t="shared" si="18"/>
        <v>2.40871369821164</v>
      </c>
      <c r="P110" s="29">
        <f t="shared" si="19"/>
        <v>2328423.24160459</v>
      </c>
      <c r="Q110" s="32">
        <f t="shared" si="20"/>
        <v>0.838232366977651</v>
      </c>
    </row>
    <row r="111" spans="1:17">
      <c r="A111" t="s">
        <v>128</v>
      </c>
      <c r="B111" t="s">
        <v>129</v>
      </c>
      <c r="C111">
        <v>2029</v>
      </c>
      <c r="D111" s="5">
        <f>IFERROR(_xlfn.XLOOKUP(A111,'DATA BLS Projections'!$A$2:$A$20,'DATA BLS Projections'!$E$2:$E$20),0)</f>
        <v>0.00908607260096317</v>
      </c>
      <c r="E111" s="5">
        <f>IFERROR(_xlfn.XLOOKUP(A111,'Projection Assumptions'!$A$13:$A$31,'Projection Assumptions'!$C$13:$C$31),0)</f>
        <v>0.03</v>
      </c>
      <c r="F111" s="20">
        <f>IF(C111=2025,_xlfn.XLOOKUP(A111,'01 Industry Model'!$A$5:$A$23,'01 Industry Model'!$C$5:$C$23),F110*(1+D111)*(1+E111))</f>
        <v>1785.29406705444</v>
      </c>
      <c r="G111" s="5">
        <f>IFERROR(_xlfn.XLOOKUP(A111,'Projection Assumptions'!$A$13:$A$31,'Projection Assumptions'!$D$13:$D$31),0)</f>
        <v>0.05</v>
      </c>
      <c r="H111" s="5">
        <f>IF(C111=2025,"",IF(C111=2026,_xlfn.XLOOKUP(A111,'DATA Census'!$A$2:$A$20,'DATA Census'!$C$2:$C$20),MIN(1,H110+G111)))</f>
        <v>0.398</v>
      </c>
      <c r="I111" s="5">
        <f>MIN(1,MAX(0,_xlfn.XLOOKUP(A111,'01 Industry Model'!$A$5:$A$23,'01 Industry Model'!$H$5:$H$23)+(C111-2025)*_xlfn.XLOOKUP(A111,'Projection Assumptions'!$A$13:$A$31,'Projection Assumptions'!$E$13:$E$31)))</f>
        <v>0.283148573185439</v>
      </c>
      <c r="J111" s="20">
        <f t="shared" si="15"/>
        <v>505.503467802895</v>
      </c>
      <c r="K111" s="20">
        <f t="shared" si="16"/>
        <v>201.190380185552</v>
      </c>
      <c r="L111" s="29">
        <f>IF(C111=2025,IFERROR(_xlfn.XLOOKUP(A111,'DATA QCEW'!$A$2:$A$20,'DATA QCEW'!$F$2:$F$20),""),L110*(1+D111))</f>
        <v>23844955.4985306</v>
      </c>
      <c r="M111" s="29">
        <f t="shared" si="17"/>
        <v>6751665.12707924</v>
      </c>
      <c r="N111" s="30">
        <f>IF(C111=2025,'Projection Assumptions'!$C$9,N110*(1+'Projection Assumptions'!$C$10))</f>
        <v>30</v>
      </c>
      <c r="O111" s="31">
        <f t="shared" si="18"/>
        <v>2.43059944574853</v>
      </c>
      <c r="P111" s="29">
        <f t="shared" si="19"/>
        <v>2687162.72057754</v>
      </c>
      <c r="Q111" s="32">
        <f t="shared" si="20"/>
        <v>0.967378579407913</v>
      </c>
    </row>
    <row r="112" spans="1:17">
      <c r="A112" t="s">
        <v>128</v>
      </c>
      <c r="B112" t="s">
        <v>129</v>
      </c>
      <c r="C112">
        <v>2030</v>
      </c>
      <c r="D112" s="5">
        <f>IFERROR(_xlfn.XLOOKUP(A112,'DATA BLS Projections'!$A$2:$A$20,'DATA BLS Projections'!$E$2:$E$20),0)</f>
        <v>0.00908607260096317</v>
      </c>
      <c r="E112" s="5">
        <f>IFERROR(_xlfn.XLOOKUP(A112,'Projection Assumptions'!$A$13:$A$31,'Projection Assumptions'!$C$13:$C$31),0)</f>
        <v>0.03</v>
      </c>
      <c r="F112" s="20">
        <f>IF(C112=2025,_xlfn.XLOOKUP(A112,'01 Industry Model'!$A$5:$A$23,'01 Industry Model'!$C$5:$C$23),F111*(1+D112)*(1+E112))</f>
        <v>1855.56083991862</v>
      </c>
      <c r="G112" s="5">
        <f>IFERROR(_xlfn.XLOOKUP(A112,'Projection Assumptions'!$A$13:$A$31,'Projection Assumptions'!$D$13:$D$31),0)</f>
        <v>0.05</v>
      </c>
      <c r="H112" s="5">
        <f>IF(C112=2025,"",IF(C112=2026,_xlfn.XLOOKUP(A112,'DATA Census'!$A$2:$A$20,'DATA Census'!$C$2:$C$20),MIN(1,H111+G112)))</f>
        <v>0.448</v>
      </c>
      <c r="I112" s="5">
        <f>MIN(1,MAX(0,_xlfn.XLOOKUP(A112,'01 Industry Model'!$A$5:$A$23,'01 Industry Model'!$H$5:$H$23)+(C112-2025)*_xlfn.XLOOKUP(A112,'Projection Assumptions'!$A$13:$A$31,'Projection Assumptions'!$E$13:$E$31)))</f>
        <v>0.283148573185439</v>
      </c>
      <c r="J112" s="20">
        <f t="shared" si="15"/>
        <v>525.399404281732</v>
      </c>
      <c r="K112" s="20">
        <f t="shared" si="16"/>
        <v>235.378933118216</v>
      </c>
      <c r="L112" s="29">
        <f>IF(C112=2025,IFERROR(_xlfn.XLOOKUP(A112,'DATA QCEW'!$A$2:$A$20,'DATA QCEW'!$F$2:$F$20),""),L111*(1+D112))</f>
        <v>24061612.495357</v>
      </c>
      <c r="M112" s="29">
        <f t="shared" si="17"/>
        <v>6813011.24660127</v>
      </c>
      <c r="N112" s="30">
        <f>IF(C112=2025,'Projection Assumptions'!$C$9,N111*(1+'Projection Assumptions'!$C$10))</f>
        <v>30</v>
      </c>
      <c r="O112" s="31">
        <f t="shared" si="18"/>
        <v>2.45268404877646</v>
      </c>
      <c r="P112" s="29">
        <f t="shared" si="19"/>
        <v>3052229.03847737</v>
      </c>
      <c r="Q112" s="32">
        <f t="shared" si="20"/>
        <v>1.09880245385185</v>
      </c>
    </row>
    <row r="113" spans="1:17">
      <c r="A113" t="s">
        <v>130</v>
      </c>
      <c r="B113" t="s">
        <v>131</v>
      </c>
      <c r="C113">
        <v>2025</v>
      </c>
      <c r="D113" s="5">
        <f>IFERROR(_xlfn.XLOOKUP(A113,'DATA BLS Projections'!$A$2:$A$20,'DATA BLS Projections'!$E$2:$E$20),0)</f>
        <v>0.00556748779171956</v>
      </c>
      <c r="E113" s="5">
        <f>IFERROR(_xlfn.XLOOKUP(A113,'Projection Assumptions'!$A$13:$A$31,'Projection Assumptions'!$C$13:$C$31),0)</f>
        <v>0.03</v>
      </c>
      <c r="F113" s="20">
        <f>IF(C113=2025,_xlfn.XLOOKUP(A113,'01 Industry Model'!$A$5:$A$23,'01 Industry Model'!$C$5:$C$23),F112*(1+D113)*(1+E113))</f>
        <v>139.300037358</v>
      </c>
      <c r="G113" s="5">
        <f>IFERROR(_xlfn.XLOOKUP(A113,'Projection Assumptions'!$A$13:$A$31,'Projection Assumptions'!$D$13:$D$31),0)</f>
        <v>0.05</v>
      </c>
      <c r="H113" s="5" t="str">
        <f>IF(C113=2025,"",IF(C113=2026,_xlfn.XLOOKUP(A113,'DATA Census'!$A$2:$A$20,'DATA Census'!$C$2:$C$20),MIN(1,H112+G113)))</f>
        <v/>
      </c>
      <c r="I113" s="5">
        <f>MIN(1,MAX(0,_xlfn.XLOOKUP(A113,'01 Industry Model'!$A$5:$A$23,'01 Industry Model'!$H$5:$H$23)+(C113-2025)*_xlfn.XLOOKUP(A113,'Projection Assumptions'!$A$13:$A$31,'Projection Assumptions'!$E$13:$E$31)))</f>
        <v>0.328735409038946</v>
      </c>
      <c r="J113" s="20">
        <f t="shared" si="15"/>
        <v>45.7928547600227</v>
      </c>
      <c r="K113" s="20" t="str">
        <f t="shared" si="16"/>
        <v/>
      </c>
      <c r="L113" s="29">
        <f>IF(C113=2025,IFERROR(_xlfn.XLOOKUP(A113,'DATA QCEW'!$A$2:$A$20,'DATA QCEW'!$F$2:$F$20),""),L112*(1+D113))</f>
        <v>2667729</v>
      </c>
      <c r="M113" s="29">
        <f t="shared" si="17"/>
        <v>876976.98402006</v>
      </c>
      <c r="N113" s="30">
        <f>IF(C113=2025,'Projection Assumptions'!$C$9,N112*(1+'Projection Assumptions'!$C$10))</f>
        <v>30</v>
      </c>
      <c r="O113" s="31">
        <f t="shared" si="18"/>
        <v>0.315711714247221</v>
      </c>
      <c r="P113" s="29" t="str">
        <f t="shared" si="19"/>
        <v/>
      </c>
      <c r="Q113" s="32" t="str">
        <f t="shared" si="20"/>
        <v/>
      </c>
    </row>
    <row r="114" spans="1:17">
      <c r="A114" t="s">
        <v>130</v>
      </c>
      <c r="B114" t="s">
        <v>131</v>
      </c>
      <c r="C114">
        <v>2026</v>
      </c>
      <c r="D114" s="5">
        <f>IFERROR(_xlfn.XLOOKUP(A114,'DATA BLS Projections'!$A$2:$A$20,'DATA BLS Projections'!$E$2:$E$20),0)</f>
        <v>0.00556748779171956</v>
      </c>
      <c r="E114" s="5">
        <f>IFERROR(_xlfn.XLOOKUP(A114,'Projection Assumptions'!$A$13:$A$31,'Projection Assumptions'!$C$13:$C$31),0)</f>
        <v>0.03</v>
      </c>
      <c r="F114" s="20">
        <f>IF(C114=2025,_xlfn.XLOOKUP(A114,'01 Industry Model'!$A$5:$A$23,'01 Industry Model'!$C$5:$C$23),F113*(1+D114)*(1+E114))</f>
        <v>144.277856273838</v>
      </c>
      <c r="G114" s="5">
        <f>IFERROR(_xlfn.XLOOKUP(A114,'Projection Assumptions'!$A$13:$A$31,'Projection Assumptions'!$D$13:$D$31),0)</f>
        <v>0.05</v>
      </c>
      <c r="H114" s="5">
        <f>IF(C114=2025,"",IF(C114=2026,_xlfn.XLOOKUP(A114,'DATA Census'!$A$2:$A$20,'DATA Census'!$C$2:$C$20),MIN(1,H113+G114)))</f>
        <v>0.168</v>
      </c>
      <c r="I114" s="5">
        <f>MIN(1,MAX(0,_xlfn.XLOOKUP(A114,'01 Industry Model'!$A$5:$A$23,'01 Industry Model'!$H$5:$H$23)+(C114-2025)*_xlfn.XLOOKUP(A114,'Projection Assumptions'!$A$13:$A$31,'Projection Assumptions'!$E$13:$E$31)))</f>
        <v>0.328735409038946</v>
      </c>
      <c r="J114" s="20">
        <f t="shared" si="15"/>
        <v>47.4292400974425</v>
      </c>
      <c r="K114" s="20">
        <f t="shared" si="16"/>
        <v>7.96811233637034</v>
      </c>
      <c r="L114" s="29">
        <f>IF(C114=2025,IFERROR(_xlfn.XLOOKUP(A114,'DATA QCEW'!$A$2:$A$20,'DATA QCEW'!$F$2:$F$20),""),L113*(1+D114))</f>
        <v>2682581.54863912</v>
      </c>
      <c r="M114" s="29">
        <f t="shared" si="17"/>
        <v>881859.54267221</v>
      </c>
      <c r="N114" s="30">
        <f>IF(C114=2025,'Projection Assumptions'!$C$9,N113*(1+'Projection Assumptions'!$C$10))</f>
        <v>30</v>
      </c>
      <c r="O114" s="31">
        <f t="shared" si="18"/>
        <v>0.317469435361996</v>
      </c>
      <c r="P114" s="29">
        <f t="shared" si="19"/>
        <v>148152.403168931</v>
      </c>
      <c r="Q114" s="32">
        <f t="shared" si="20"/>
        <v>0.0533348651408153</v>
      </c>
    </row>
    <row r="115" spans="1:17">
      <c r="A115" t="s">
        <v>130</v>
      </c>
      <c r="B115" t="s">
        <v>131</v>
      </c>
      <c r="C115">
        <v>2027</v>
      </c>
      <c r="D115" s="5">
        <f>IFERROR(_xlfn.XLOOKUP(A115,'DATA BLS Projections'!$A$2:$A$20,'DATA BLS Projections'!$E$2:$E$20),0)</f>
        <v>0.00556748779171956</v>
      </c>
      <c r="E115" s="5">
        <f>IFERROR(_xlfn.XLOOKUP(A115,'Projection Assumptions'!$A$13:$A$31,'Projection Assumptions'!$C$13:$C$31),0)</f>
        <v>0.03</v>
      </c>
      <c r="F115" s="20">
        <f>IF(C115=2025,_xlfn.XLOOKUP(A115,'01 Industry Model'!$A$5:$A$23,'01 Industry Model'!$C$5:$C$23),F114*(1+D115)*(1+E115))</f>
        <v>149.433555121576</v>
      </c>
      <c r="G115" s="5">
        <f>IFERROR(_xlfn.XLOOKUP(A115,'Projection Assumptions'!$A$13:$A$31,'Projection Assumptions'!$D$13:$D$31),0)</f>
        <v>0.05</v>
      </c>
      <c r="H115" s="5">
        <f>IF(C115=2025,"",IF(C115=2026,_xlfn.XLOOKUP(A115,'DATA Census'!$A$2:$A$20,'DATA Census'!$C$2:$C$20),MIN(1,H114+G115)))</f>
        <v>0.218</v>
      </c>
      <c r="I115" s="5">
        <f>MIN(1,MAX(0,_xlfn.XLOOKUP(A115,'01 Industry Model'!$A$5:$A$23,'01 Industry Model'!$H$5:$H$23)+(C115-2025)*_xlfn.XLOOKUP(A115,'Projection Assumptions'!$A$13:$A$31,'Projection Assumptions'!$E$13:$E$31)))</f>
        <v>0.328735409038946</v>
      </c>
      <c r="J115" s="20">
        <f t="shared" si="15"/>
        <v>49.1241008670352</v>
      </c>
      <c r="K115" s="20">
        <f t="shared" si="16"/>
        <v>10.7090539890137</v>
      </c>
      <c r="L115" s="29">
        <f>IF(C115=2025,IFERROR(_xlfn.XLOOKUP(A115,'DATA QCEW'!$A$2:$A$20,'DATA QCEW'!$F$2:$F$20),""),L114*(1+D115))</f>
        <v>2697516.78866146</v>
      </c>
      <c r="M115" s="29">
        <f t="shared" si="17"/>
        <v>886769.284910049</v>
      </c>
      <c r="N115" s="30">
        <f>IF(C115=2025,'Projection Assumptions'!$C$9,N114*(1+'Projection Assumptions'!$C$10))</f>
        <v>30</v>
      </c>
      <c r="O115" s="31">
        <f t="shared" si="18"/>
        <v>0.319236942567618</v>
      </c>
      <c r="P115" s="29">
        <f t="shared" si="19"/>
        <v>193315.704110391</v>
      </c>
      <c r="Q115" s="32">
        <f t="shared" si="20"/>
        <v>0.0695936534797407</v>
      </c>
    </row>
    <row r="116" spans="1:17">
      <c r="A116" t="s">
        <v>130</v>
      </c>
      <c r="B116" t="s">
        <v>131</v>
      </c>
      <c r="C116">
        <v>2028</v>
      </c>
      <c r="D116" s="5">
        <f>IFERROR(_xlfn.XLOOKUP(A116,'DATA BLS Projections'!$A$2:$A$20,'DATA BLS Projections'!$E$2:$E$20),0)</f>
        <v>0.00556748779171956</v>
      </c>
      <c r="E116" s="5">
        <f>IFERROR(_xlfn.XLOOKUP(A116,'Projection Assumptions'!$A$13:$A$31,'Projection Assumptions'!$C$13:$C$31),0)</f>
        <v>0.03</v>
      </c>
      <c r="F116" s="20">
        <f>IF(C116=2025,_xlfn.XLOOKUP(A116,'01 Industry Model'!$A$5:$A$23,'01 Industry Model'!$C$5:$C$23),F115*(1+D116)*(1+E116))</f>
        <v>154.77349035385</v>
      </c>
      <c r="G116" s="5">
        <f>IFERROR(_xlfn.XLOOKUP(A116,'Projection Assumptions'!$A$13:$A$31,'Projection Assumptions'!$D$13:$D$31),0)</f>
        <v>0.05</v>
      </c>
      <c r="H116" s="5">
        <f>IF(C116=2025,"",IF(C116=2026,_xlfn.XLOOKUP(A116,'DATA Census'!$A$2:$A$20,'DATA Census'!$C$2:$C$20),MIN(1,H115+G116)))</f>
        <v>0.268</v>
      </c>
      <c r="I116" s="5">
        <f>MIN(1,MAX(0,_xlfn.XLOOKUP(A116,'01 Industry Model'!$A$5:$A$23,'01 Industry Model'!$H$5:$H$23)+(C116-2025)*_xlfn.XLOOKUP(A116,'Projection Assumptions'!$A$13:$A$31,'Projection Assumptions'!$E$13:$E$31)))</f>
        <v>0.328735409038946</v>
      </c>
      <c r="J116" s="20">
        <f t="shared" si="15"/>
        <v>50.8795266598584</v>
      </c>
      <c r="K116" s="20">
        <f t="shared" si="16"/>
        <v>13.635713144842</v>
      </c>
      <c r="L116" s="29">
        <f>IF(C116=2025,IFERROR(_xlfn.XLOOKUP(A116,'DATA QCEW'!$A$2:$A$20,'DATA QCEW'!$F$2:$F$20),""),L115*(1+D116))</f>
        <v>2712535.18045029</v>
      </c>
      <c r="M116" s="29">
        <f t="shared" si="17"/>
        <v>891706.362077858</v>
      </c>
      <c r="N116" s="30">
        <f>IF(C116=2025,'Projection Assumptions'!$C$9,N115*(1+'Projection Assumptions'!$C$10))</f>
        <v>30</v>
      </c>
      <c r="O116" s="31">
        <f t="shared" si="18"/>
        <v>0.321014290348029</v>
      </c>
      <c r="P116" s="29">
        <f t="shared" si="19"/>
        <v>238977.305036866</v>
      </c>
      <c r="Q116" s="32">
        <f t="shared" si="20"/>
        <v>0.0860318298132717</v>
      </c>
    </row>
    <row r="117" spans="1:17">
      <c r="A117" t="s">
        <v>130</v>
      </c>
      <c r="B117" t="s">
        <v>131</v>
      </c>
      <c r="C117">
        <v>2029</v>
      </c>
      <c r="D117" s="5">
        <f>IFERROR(_xlfn.XLOOKUP(A117,'DATA BLS Projections'!$A$2:$A$20,'DATA BLS Projections'!$E$2:$E$20),0)</f>
        <v>0.00556748779171956</v>
      </c>
      <c r="E117" s="5">
        <f>IFERROR(_xlfn.XLOOKUP(A117,'Projection Assumptions'!$A$13:$A$31,'Projection Assumptions'!$C$13:$C$31),0)</f>
        <v>0.03</v>
      </c>
      <c r="F117" s="20">
        <f>IF(C117=2025,_xlfn.XLOOKUP(A117,'01 Industry Model'!$A$5:$A$23,'01 Industry Model'!$C$5:$C$23),F116*(1+D117)*(1+E117))</f>
        <v>160.304245568033</v>
      </c>
      <c r="G117" s="5">
        <f>IFERROR(_xlfn.XLOOKUP(A117,'Projection Assumptions'!$A$13:$A$31,'Projection Assumptions'!$D$13:$D$31),0)</f>
        <v>0.05</v>
      </c>
      <c r="H117" s="5">
        <f>IF(C117=2025,"",IF(C117=2026,_xlfn.XLOOKUP(A117,'DATA Census'!$A$2:$A$20,'DATA Census'!$C$2:$C$20),MIN(1,H116+G117)))</f>
        <v>0.318</v>
      </c>
      <c r="I117" s="5">
        <f>MIN(1,MAX(0,_xlfn.XLOOKUP(A117,'01 Industry Model'!$A$5:$A$23,'01 Industry Model'!$H$5:$H$23)+(C117-2025)*_xlfn.XLOOKUP(A117,'Projection Assumptions'!$A$13:$A$31,'Projection Assumptions'!$E$13:$E$31)))</f>
        <v>0.328735409038946</v>
      </c>
      <c r="J117" s="20">
        <f t="shared" si="15"/>
        <v>52.6976817374872</v>
      </c>
      <c r="K117" s="20">
        <f t="shared" si="16"/>
        <v>16.7578627925209</v>
      </c>
      <c r="L117" s="29">
        <f>IF(C117=2025,IFERROR(_xlfn.XLOOKUP(A117,'DATA QCEW'!$A$2:$A$20,'DATA QCEW'!$F$2:$F$20),""),L116*(1+D117))</f>
        <v>2727637.18695205</v>
      </c>
      <c r="M117" s="29">
        <f t="shared" si="17"/>
        <v>896670.926362525</v>
      </c>
      <c r="N117" s="30">
        <f>IF(C117=2025,'Projection Assumptions'!$C$9,N116*(1+'Projection Assumptions'!$C$10))</f>
        <v>30</v>
      </c>
      <c r="O117" s="31">
        <f t="shared" si="18"/>
        <v>0.322801533490509</v>
      </c>
      <c r="P117" s="29">
        <f t="shared" si="19"/>
        <v>285141.354583283</v>
      </c>
      <c r="Q117" s="32">
        <f t="shared" si="20"/>
        <v>0.102650887649982</v>
      </c>
    </row>
    <row r="118" spans="1:17">
      <c r="A118" t="s">
        <v>130</v>
      </c>
      <c r="B118" t="s">
        <v>131</v>
      </c>
      <c r="C118">
        <v>2030</v>
      </c>
      <c r="D118" s="5">
        <f>IFERROR(_xlfn.XLOOKUP(A118,'DATA BLS Projections'!$A$2:$A$20,'DATA BLS Projections'!$E$2:$E$20),0)</f>
        <v>0.00556748779171956</v>
      </c>
      <c r="E118" s="5">
        <f>IFERROR(_xlfn.XLOOKUP(A118,'Projection Assumptions'!$A$13:$A$31,'Projection Assumptions'!$C$13:$C$31),0)</f>
        <v>0.03</v>
      </c>
      <c r="F118" s="20">
        <f>IF(C118=2025,_xlfn.XLOOKUP(A118,'01 Industry Model'!$A$5:$A$23,'01 Industry Model'!$C$5:$C$23),F117*(1+D118)*(1+E118))</f>
        <v>166.03263962314</v>
      </c>
      <c r="G118" s="5">
        <f>IFERROR(_xlfn.XLOOKUP(A118,'Projection Assumptions'!$A$13:$A$31,'Projection Assumptions'!$D$13:$D$31),0)</f>
        <v>0.05</v>
      </c>
      <c r="H118" s="5">
        <f>IF(C118=2025,"",IF(C118=2026,_xlfn.XLOOKUP(A118,'DATA Census'!$A$2:$A$20,'DATA Census'!$C$2:$C$20),MIN(1,H117+G118)))</f>
        <v>0.368</v>
      </c>
      <c r="I118" s="5">
        <f>MIN(1,MAX(0,_xlfn.XLOOKUP(A118,'01 Industry Model'!$A$5:$A$23,'01 Industry Model'!$H$5:$H$23)+(C118-2025)*_xlfn.XLOOKUP(A118,'Projection Assumptions'!$A$13:$A$31,'Projection Assumptions'!$E$13:$E$31)))</f>
        <v>0.328735409038946</v>
      </c>
      <c r="J118" s="20">
        <f t="shared" si="15"/>
        <v>54.5808077003289</v>
      </c>
      <c r="K118" s="20">
        <f t="shared" si="16"/>
        <v>20.085737233721</v>
      </c>
      <c r="L118" s="29">
        <f>IF(C118=2025,IFERROR(_xlfn.XLOOKUP(A118,'DATA QCEW'!$A$2:$A$20,'DATA QCEW'!$F$2:$F$20),""),L117*(1+D118))</f>
        <v>2742823.27369065</v>
      </c>
      <c r="M118" s="29">
        <f t="shared" si="17"/>
        <v>901663.130798238</v>
      </c>
      <c r="N118" s="30">
        <f>IF(C118=2025,'Projection Assumptions'!$C$9,N117*(1+'Projection Assumptions'!$C$10))</f>
        <v>30</v>
      </c>
      <c r="O118" s="31">
        <f t="shared" si="18"/>
        <v>0.324598727087366</v>
      </c>
      <c r="P118" s="29">
        <f t="shared" si="19"/>
        <v>331812.032133752</v>
      </c>
      <c r="Q118" s="32">
        <f t="shared" si="20"/>
        <v>0.119452331568151</v>
      </c>
    </row>
    <row r="119" spans="1:17">
      <c r="A119" t="s">
        <v>132</v>
      </c>
      <c r="B119" t="s">
        <v>133</v>
      </c>
      <c r="C119">
        <v>2025</v>
      </c>
      <c r="D119" s="5">
        <f>IFERROR(_xlfn.XLOOKUP(A119,'DATA BLS Projections'!$A$2:$A$20,'DATA BLS Projections'!$E$2:$E$20),0)</f>
        <v>0.00419668409247698</v>
      </c>
      <c r="E119" s="5">
        <f>IFERROR(_xlfn.XLOOKUP(A119,'Projection Assumptions'!$A$13:$A$31,'Projection Assumptions'!$C$13:$C$31),0)</f>
        <v>0.03</v>
      </c>
      <c r="F119" s="20">
        <f>IF(C119=2025,_xlfn.XLOOKUP(A119,'01 Industry Model'!$A$5:$A$23,'01 Industry Model'!$C$5:$C$23),F118*(1+D119)*(1+E119))</f>
        <v>434.509247245</v>
      </c>
      <c r="G119" s="5">
        <f>IFERROR(_xlfn.XLOOKUP(A119,'Projection Assumptions'!$A$13:$A$31,'Projection Assumptions'!$D$13:$D$31),0)</f>
        <v>0.05</v>
      </c>
      <c r="H119" s="5" t="str">
        <f>IF(C119=2025,"",IF(C119=2026,_xlfn.XLOOKUP(A119,'DATA Census'!$A$2:$A$20,'DATA Census'!$C$2:$C$20),MIN(1,H118+G119)))</f>
        <v/>
      </c>
      <c r="I119" s="5">
        <f>MIN(1,MAX(0,_xlfn.XLOOKUP(A119,'01 Industry Model'!$A$5:$A$23,'01 Industry Model'!$H$5:$H$23)+(C119-2025)*_xlfn.XLOOKUP(A119,'Projection Assumptions'!$A$13:$A$31,'Projection Assumptions'!$E$13:$E$31)))</f>
        <v>0.233989457027065</v>
      </c>
      <c r="J119" s="20">
        <f t="shared" si="15"/>
        <v>101.670582836096</v>
      </c>
      <c r="K119" s="20" t="str">
        <f t="shared" si="16"/>
        <v/>
      </c>
      <c r="L119" s="29">
        <f>IF(C119=2025,IFERROR(_xlfn.XLOOKUP(A119,'DATA QCEW'!$A$2:$A$20,'DATA QCEW'!$F$2:$F$20),""),L118*(1+D119))</f>
        <v>14119799</v>
      </c>
      <c r="M119" s="29">
        <f t="shared" si="17"/>
        <v>3303884.1013413</v>
      </c>
      <c r="N119" s="30">
        <f>IF(C119=2025,'Projection Assumptions'!$C$9,N118*(1+'Projection Assumptions'!$C$10))</f>
        <v>30</v>
      </c>
      <c r="O119" s="31">
        <f t="shared" si="18"/>
        <v>1.18939827648287</v>
      </c>
      <c r="P119" s="29" t="str">
        <f t="shared" si="19"/>
        <v/>
      </c>
      <c r="Q119" s="32" t="str">
        <f t="shared" si="20"/>
        <v/>
      </c>
    </row>
    <row r="120" spans="1:17">
      <c r="A120" t="s">
        <v>132</v>
      </c>
      <c r="B120" t="s">
        <v>133</v>
      </c>
      <c r="C120">
        <v>2026</v>
      </c>
      <c r="D120" s="5">
        <f>IFERROR(_xlfn.XLOOKUP(A120,'DATA BLS Projections'!$A$2:$A$20,'DATA BLS Projections'!$E$2:$E$20),0)</f>
        <v>0.00419668409247698</v>
      </c>
      <c r="E120" s="5">
        <f>IFERROR(_xlfn.XLOOKUP(A120,'Projection Assumptions'!$A$13:$A$31,'Projection Assumptions'!$C$13:$C$31),0)</f>
        <v>0.03</v>
      </c>
      <c r="F120" s="20">
        <f>IF(C120=2025,_xlfn.XLOOKUP(A120,'01 Industry Model'!$A$5:$A$23,'01 Industry Model'!$C$5:$C$23),F119*(1+D120)*(1+E120))</f>
        <v>449.422727649676</v>
      </c>
      <c r="G120" s="5">
        <f>IFERROR(_xlfn.XLOOKUP(A120,'Projection Assumptions'!$A$13:$A$31,'Projection Assumptions'!$D$13:$D$31),0)</f>
        <v>0.05</v>
      </c>
      <c r="H120" s="5">
        <f>IF(C120=2025,"",IF(C120=2026,_xlfn.XLOOKUP(A120,'DATA Census'!$A$2:$A$20,'DATA Census'!$C$2:$C$20),MIN(1,H119+G120)))</f>
        <v>0.101</v>
      </c>
      <c r="I120" s="5">
        <f>MIN(1,MAX(0,_xlfn.XLOOKUP(A120,'01 Industry Model'!$A$5:$A$23,'01 Industry Model'!$H$5:$H$23)+(C120-2025)*_xlfn.XLOOKUP(A120,'Projection Assumptions'!$A$13:$A$31,'Projection Assumptions'!$E$13:$E$31)))</f>
        <v>0.233989457027065</v>
      </c>
      <c r="J120" s="20">
        <f t="shared" si="15"/>
        <v>105.16018001837</v>
      </c>
      <c r="K120" s="20">
        <f t="shared" si="16"/>
        <v>10.6211781818554</v>
      </c>
      <c r="L120" s="29">
        <f>IF(C120=2025,IFERROR(_xlfn.XLOOKUP(A120,'DATA QCEW'!$A$2:$A$20,'DATA QCEW'!$F$2:$F$20),""),L119*(1+D120))</f>
        <v>14179055.3358523</v>
      </c>
      <c r="M120" s="29">
        <f t="shared" si="17"/>
        <v>3317749.45919278</v>
      </c>
      <c r="N120" s="30">
        <f>IF(C120=2025,'Projection Assumptions'!$C$9,N119*(1+'Projection Assumptions'!$C$10))</f>
        <v>30</v>
      </c>
      <c r="O120" s="31">
        <f t="shared" si="18"/>
        <v>1.1943898053094</v>
      </c>
      <c r="P120" s="29">
        <f t="shared" si="19"/>
        <v>335092.695378471</v>
      </c>
      <c r="Q120" s="32">
        <f t="shared" si="20"/>
        <v>0.12063337033625</v>
      </c>
    </row>
    <row r="121" spans="1:17">
      <c r="A121" t="s">
        <v>132</v>
      </c>
      <c r="B121" t="s">
        <v>133</v>
      </c>
      <c r="C121">
        <v>2027</v>
      </c>
      <c r="D121" s="5">
        <f>IFERROR(_xlfn.XLOOKUP(A121,'DATA BLS Projections'!$A$2:$A$20,'DATA BLS Projections'!$E$2:$E$20),0)</f>
        <v>0.00419668409247698</v>
      </c>
      <c r="E121" s="5">
        <f>IFERROR(_xlfn.XLOOKUP(A121,'Projection Assumptions'!$A$13:$A$31,'Projection Assumptions'!$C$13:$C$31),0)</f>
        <v>0.03</v>
      </c>
      <c r="F121" s="20">
        <f>IF(C121=2025,_xlfn.XLOOKUP(A121,'01 Industry Model'!$A$5:$A$23,'01 Industry Model'!$C$5:$C$23),F120*(1+D121)*(1+E121))</f>
        <v>464.848077247449</v>
      </c>
      <c r="G121" s="5">
        <f>IFERROR(_xlfn.XLOOKUP(A121,'Projection Assumptions'!$A$13:$A$31,'Projection Assumptions'!$D$13:$D$31),0)</f>
        <v>0.05</v>
      </c>
      <c r="H121" s="5">
        <f>IF(C121=2025,"",IF(C121=2026,_xlfn.XLOOKUP(A121,'DATA Census'!$A$2:$A$20,'DATA Census'!$C$2:$C$20),MIN(1,H120+G121)))</f>
        <v>0.151</v>
      </c>
      <c r="I121" s="5">
        <f>MIN(1,MAX(0,_xlfn.XLOOKUP(A121,'01 Industry Model'!$A$5:$A$23,'01 Industry Model'!$H$5:$H$23)+(C121-2025)*_xlfn.XLOOKUP(A121,'Projection Assumptions'!$A$13:$A$31,'Projection Assumptions'!$E$13:$E$31)))</f>
        <v>0.233989457027065</v>
      </c>
      <c r="J121" s="20">
        <f t="shared" si="15"/>
        <v>108.769549195206</v>
      </c>
      <c r="K121" s="20">
        <f t="shared" si="16"/>
        <v>16.4242019284761</v>
      </c>
      <c r="L121" s="29">
        <f>IF(C121=2025,IFERROR(_xlfn.XLOOKUP(A121,'DATA QCEW'!$A$2:$A$20,'DATA QCEW'!$F$2:$F$20),""),L120*(1+D121))</f>
        <v>14238560.3518266</v>
      </c>
      <c r="M121" s="29">
        <f t="shared" si="17"/>
        <v>3331673.005571</v>
      </c>
      <c r="N121" s="30">
        <f>IF(C121=2025,'Projection Assumptions'!$C$9,N120*(1+'Projection Assumptions'!$C$10))</f>
        <v>30</v>
      </c>
      <c r="O121" s="31">
        <f t="shared" si="18"/>
        <v>1.19940228200556</v>
      </c>
      <c r="P121" s="29">
        <f t="shared" si="19"/>
        <v>503082.623841221</v>
      </c>
      <c r="Q121" s="32">
        <f t="shared" si="20"/>
        <v>0.18110974458284</v>
      </c>
    </row>
    <row r="122" spans="1:17">
      <c r="A122" t="s">
        <v>132</v>
      </c>
      <c r="B122" t="s">
        <v>133</v>
      </c>
      <c r="C122">
        <v>2028</v>
      </c>
      <c r="D122" s="5">
        <f>IFERROR(_xlfn.XLOOKUP(A122,'DATA BLS Projections'!$A$2:$A$20,'DATA BLS Projections'!$E$2:$E$20),0)</f>
        <v>0.00419668409247698</v>
      </c>
      <c r="E122" s="5">
        <f>IFERROR(_xlfn.XLOOKUP(A122,'Projection Assumptions'!$A$13:$A$31,'Projection Assumptions'!$C$13:$C$31),0)</f>
        <v>0.03</v>
      </c>
      <c r="F122" s="20">
        <f>IF(C122=2025,_xlfn.XLOOKUP(A122,'01 Industry Model'!$A$5:$A$23,'01 Industry Model'!$C$5:$C$23),F121*(1+D122)*(1+E122))</f>
        <v>480.802864712011</v>
      </c>
      <c r="G122" s="5">
        <f>IFERROR(_xlfn.XLOOKUP(A122,'Projection Assumptions'!$A$13:$A$31,'Projection Assumptions'!$D$13:$D$31),0)</f>
        <v>0.05</v>
      </c>
      <c r="H122" s="5">
        <f>IF(C122=2025,"",IF(C122=2026,_xlfn.XLOOKUP(A122,'DATA Census'!$A$2:$A$20,'DATA Census'!$C$2:$C$20),MIN(1,H121+G122)))</f>
        <v>0.201</v>
      </c>
      <c r="I122" s="5">
        <f>MIN(1,MAX(0,_xlfn.XLOOKUP(A122,'01 Industry Model'!$A$5:$A$23,'01 Industry Model'!$H$5:$H$23)+(C122-2025)*_xlfn.XLOOKUP(A122,'Projection Assumptions'!$A$13:$A$31,'Projection Assumptions'!$E$13:$E$31)))</f>
        <v>0.233989457027065</v>
      </c>
      <c r="J122" s="20">
        <f t="shared" si="15"/>
        <v>112.502801251021</v>
      </c>
      <c r="K122" s="20">
        <f t="shared" si="16"/>
        <v>22.6130630514552</v>
      </c>
      <c r="L122" s="29">
        <f>IF(C122=2025,IFERROR(_xlfn.XLOOKUP(A122,'DATA QCEW'!$A$2:$A$20,'DATA QCEW'!$F$2:$F$20),""),L121*(1+D122))</f>
        <v>14298315.0915549</v>
      </c>
      <c r="M122" s="29">
        <f t="shared" si="17"/>
        <v>3345654.98467482</v>
      </c>
      <c r="N122" s="30">
        <f>IF(C122=2025,'Projection Assumptions'!$C$9,N121*(1+'Projection Assumptions'!$C$10))</f>
        <v>30</v>
      </c>
      <c r="O122" s="31">
        <f t="shared" si="18"/>
        <v>1.20443579448293</v>
      </c>
      <c r="P122" s="29">
        <f t="shared" si="19"/>
        <v>672476.651919638</v>
      </c>
      <c r="Q122" s="32">
        <f t="shared" si="20"/>
        <v>0.24209159469107</v>
      </c>
    </row>
    <row r="123" spans="1:17">
      <c r="A123" t="s">
        <v>132</v>
      </c>
      <c r="B123" t="s">
        <v>133</v>
      </c>
      <c r="C123">
        <v>2029</v>
      </c>
      <c r="D123" s="5">
        <f>IFERROR(_xlfn.XLOOKUP(A123,'DATA BLS Projections'!$A$2:$A$20,'DATA BLS Projections'!$E$2:$E$20),0)</f>
        <v>0.00419668409247698</v>
      </c>
      <c r="E123" s="5">
        <f>IFERROR(_xlfn.XLOOKUP(A123,'Projection Assumptions'!$A$13:$A$31,'Projection Assumptions'!$C$13:$C$31),0)</f>
        <v>0.03</v>
      </c>
      <c r="F123" s="20">
        <f>IF(C123=2025,_xlfn.XLOOKUP(A123,'01 Industry Model'!$A$5:$A$23,'01 Industry Model'!$C$5:$C$23),F122*(1+D123)*(1+E123))</f>
        <v>497.305261719344</v>
      </c>
      <c r="G123" s="5">
        <f>IFERROR(_xlfn.XLOOKUP(A123,'Projection Assumptions'!$A$13:$A$31,'Projection Assumptions'!$D$13:$D$31),0)</f>
        <v>0.05</v>
      </c>
      <c r="H123" s="5">
        <f>IF(C123=2025,"",IF(C123=2026,_xlfn.XLOOKUP(A123,'DATA Census'!$A$2:$A$20,'DATA Census'!$C$2:$C$20),MIN(1,H122+G123)))</f>
        <v>0.251</v>
      </c>
      <c r="I123" s="5">
        <f>MIN(1,MAX(0,_xlfn.XLOOKUP(A123,'01 Industry Model'!$A$5:$A$23,'01 Industry Model'!$H$5:$H$23)+(C123-2025)*_xlfn.XLOOKUP(A123,'Projection Assumptions'!$A$13:$A$31,'Projection Assumptions'!$E$13:$E$31)))</f>
        <v>0.233989457027065</v>
      </c>
      <c r="J123" s="20">
        <f t="shared" si="15"/>
        <v>116.364188166412</v>
      </c>
      <c r="K123" s="20">
        <f t="shared" si="16"/>
        <v>29.2074112297694</v>
      </c>
      <c r="L123" s="29">
        <f>IF(C123=2025,IFERROR(_xlfn.XLOOKUP(A123,'DATA QCEW'!$A$2:$A$20,'DATA QCEW'!$F$2:$F$20),""),L122*(1+D123))</f>
        <v>14358320.6030488</v>
      </c>
      <c r="M123" s="29">
        <f t="shared" si="17"/>
        <v>3359695.64172792</v>
      </c>
      <c r="N123" s="30">
        <f>IF(C123=2025,'Projection Assumptions'!$C$9,N122*(1+'Projection Assumptions'!$C$10))</f>
        <v>30</v>
      </c>
      <c r="O123" s="31">
        <f t="shared" si="18"/>
        <v>1.20949043102205</v>
      </c>
      <c r="P123" s="29">
        <f t="shared" si="19"/>
        <v>843283.606073707</v>
      </c>
      <c r="Q123" s="32">
        <f t="shared" si="20"/>
        <v>0.303582098186535</v>
      </c>
    </row>
    <row r="124" spans="1:17">
      <c r="A124" t="s">
        <v>132</v>
      </c>
      <c r="B124" t="s">
        <v>133</v>
      </c>
      <c r="C124">
        <v>2030</v>
      </c>
      <c r="D124" s="5">
        <f>IFERROR(_xlfn.XLOOKUP(A124,'DATA BLS Projections'!$A$2:$A$20,'DATA BLS Projections'!$E$2:$E$20),0)</f>
        <v>0.00419668409247698</v>
      </c>
      <c r="E124" s="5">
        <f>IFERROR(_xlfn.XLOOKUP(A124,'Projection Assumptions'!$A$13:$A$31,'Projection Assumptions'!$C$13:$C$31),0)</f>
        <v>0.03</v>
      </c>
      <c r="F124" s="20">
        <f>IF(C124=2025,_xlfn.XLOOKUP(A124,'01 Industry Model'!$A$5:$A$23,'01 Industry Model'!$C$5:$C$23),F123*(1+D124)*(1+E124))</f>
        <v>514.374063644316</v>
      </c>
      <c r="G124" s="5">
        <f>IFERROR(_xlfn.XLOOKUP(A124,'Projection Assumptions'!$A$13:$A$31,'Projection Assumptions'!$D$13:$D$31),0)</f>
        <v>0.05</v>
      </c>
      <c r="H124" s="5">
        <f>IF(C124=2025,"",IF(C124=2026,_xlfn.XLOOKUP(A124,'DATA Census'!$A$2:$A$20,'DATA Census'!$C$2:$C$20),MIN(1,H123+G124)))</f>
        <v>0.301</v>
      </c>
      <c r="I124" s="5">
        <f>MIN(1,MAX(0,_xlfn.XLOOKUP(A124,'01 Industry Model'!$A$5:$A$23,'01 Industry Model'!$H$5:$H$23)+(C124-2025)*_xlfn.XLOOKUP(A124,'Projection Assumptions'!$A$13:$A$31,'Projection Assumptions'!$E$13:$E$31)))</f>
        <v>0.233989457027065</v>
      </c>
      <c r="J124" s="20">
        <f t="shared" si="15"/>
        <v>120.358107860939</v>
      </c>
      <c r="K124" s="20">
        <f t="shared" si="16"/>
        <v>36.2277904661425</v>
      </c>
      <c r="L124" s="29">
        <f>IF(C124=2025,IFERROR(_xlfn.XLOOKUP(A124,'DATA QCEW'!$A$2:$A$20,'DATA QCEW'!$F$2:$F$20),""),L123*(1+D124))</f>
        <v>14418577.9387183</v>
      </c>
      <c r="M124" s="29">
        <f t="shared" si="17"/>
        <v>3373795.22298312</v>
      </c>
      <c r="N124" s="30">
        <f>IF(C124=2025,'Projection Assumptions'!$C$9,N123*(1+'Projection Assumptions'!$C$10))</f>
        <v>30</v>
      </c>
      <c r="O124" s="31">
        <f t="shared" si="18"/>
        <v>1.21456628027392</v>
      </c>
      <c r="P124" s="29">
        <f t="shared" si="19"/>
        <v>1015512.36211792</v>
      </c>
      <c r="Q124" s="32">
        <f t="shared" si="20"/>
        <v>0.365584450362451</v>
      </c>
    </row>
    <row r="125" spans="1:17">
      <c r="A125" t="s">
        <v>134</v>
      </c>
      <c r="B125" t="s">
        <v>135</v>
      </c>
      <c r="C125">
        <v>2025</v>
      </c>
      <c r="D125" s="5">
        <f>IFERROR(_xlfn.XLOOKUP(A125,'DATA BLS Projections'!$A$2:$A$20,'DATA BLS Projections'!$E$2:$E$20),0)</f>
        <v>0.00369276096282278</v>
      </c>
      <c r="E125" s="5">
        <f>IFERROR(_xlfn.XLOOKUP(A125,'Projection Assumptions'!$A$13:$A$31,'Projection Assumptions'!$C$13:$C$31),0)</f>
        <v>0.03</v>
      </c>
      <c r="F125" s="20">
        <f>IF(C125=2025,_xlfn.XLOOKUP(A125,'01 Industry Model'!$A$5:$A$23,'01 Industry Model'!$C$5:$C$23),F124*(1+D125)*(1+E125))</f>
        <v>254.468914292</v>
      </c>
      <c r="G125" s="5">
        <f>IFERROR(_xlfn.XLOOKUP(A125,'Projection Assumptions'!$A$13:$A$31,'Projection Assumptions'!$D$13:$D$31),0)</f>
        <v>0.05</v>
      </c>
      <c r="H125" s="5" t="str">
        <f>IF(C125=2025,"",IF(C125=2026,_xlfn.XLOOKUP(A125,'DATA Census'!$A$2:$A$20,'DATA Census'!$C$2:$C$20),MIN(1,H124+G125)))</f>
        <v/>
      </c>
      <c r="I125" s="5">
        <f>MIN(1,MAX(0,_xlfn.XLOOKUP(A125,'01 Industry Model'!$A$5:$A$23,'01 Industry Model'!$H$5:$H$23)+(C125-2025)*_xlfn.XLOOKUP(A125,'Projection Assumptions'!$A$13:$A$31,'Projection Assumptions'!$E$13:$E$31)))</f>
        <v>0.361615994817803</v>
      </c>
      <c r="J125" s="20">
        <f t="shared" si="15"/>
        <v>92.0200295919079</v>
      </c>
      <c r="K125" s="20" t="str">
        <f t="shared" si="16"/>
        <v/>
      </c>
      <c r="L125" s="29">
        <f>IF(C125=2025,IFERROR(_xlfn.XLOOKUP(A125,'DATA QCEW'!$A$2:$A$20,'DATA QCEW'!$F$2:$F$20),""),L124*(1+D125))</f>
        <v>4675880</v>
      </c>
      <c r="M125" s="29">
        <f t="shared" si="17"/>
        <v>1690872.99784867</v>
      </c>
      <c r="N125" s="30">
        <f>IF(C125=2025,'Projection Assumptions'!$C$9,N124*(1+'Projection Assumptions'!$C$10))</f>
        <v>30</v>
      </c>
      <c r="O125" s="31">
        <f t="shared" si="18"/>
        <v>0.608714279225521</v>
      </c>
      <c r="P125" s="29" t="str">
        <f t="shared" si="19"/>
        <v/>
      </c>
      <c r="Q125" s="32" t="str">
        <f t="shared" si="20"/>
        <v/>
      </c>
    </row>
    <row r="126" spans="1:17">
      <c r="A126" t="s">
        <v>134</v>
      </c>
      <c r="B126" t="s">
        <v>135</v>
      </c>
      <c r="C126">
        <v>2026</v>
      </c>
      <c r="D126" s="5">
        <f>IFERROR(_xlfn.XLOOKUP(A126,'DATA BLS Projections'!$A$2:$A$20,'DATA BLS Projections'!$E$2:$E$20),0)</f>
        <v>0.00369276096282278</v>
      </c>
      <c r="E126" s="5">
        <f>IFERROR(_xlfn.XLOOKUP(A126,'Projection Assumptions'!$A$13:$A$31,'Projection Assumptions'!$C$13:$C$31),0)</f>
        <v>0.03</v>
      </c>
      <c r="F126" s="20">
        <f>IF(C126=2025,_xlfn.XLOOKUP(A126,'01 Industry Model'!$A$5:$A$23,'01 Industry Model'!$C$5:$C$23),F125*(1+D126)*(1+E126))</f>
        <v>263.070865379898</v>
      </c>
      <c r="G126" s="5">
        <f>IFERROR(_xlfn.XLOOKUP(A126,'Projection Assumptions'!$A$13:$A$31,'Projection Assumptions'!$D$13:$D$31),0)</f>
        <v>0.05</v>
      </c>
      <c r="H126" s="5">
        <f>IF(C126=2025,"",IF(C126=2026,_xlfn.XLOOKUP(A126,'DATA Census'!$A$2:$A$20,'DATA Census'!$C$2:$C$20),MIN(1,H125+G126)))</f>
        <v>0.127</v>
      </c>
      <c r="I126" s="5">
        <f>MIN(1,MAX(0,_xlfn.XLOOKUP(A126,'01 Industry Model'!$A$5:$A$23,'01 Industry Model'!$H$5:$H$23)+(C126-2025)*_xlfn.XLOOKUP(A126,'Projection Assumptions'!$A$13:$A$31,'Projection Assumptions'!$E$13:$E$31)))</f>
        <v>0.361615994817803</v>
      </c>
      <c r="J126" s="20">
        <f t="shared" si="15"/>
        <v>95.1306326919322</v>
      </c>
      <c r="K126" s="20">
        <f t="shared" si="16"/>
        <v>12.0815903518754</v>
      </c>
      <c r="L126" s="29">
        <f>IF(C126=2025,IFERROR(_xlfn.XLOOKUP(A126,'DATA QCEW'!$A$2:$A$20,'DATA QCEW'!$F$2:$F$20),""),L125*(1+D126))</f>
        <v>4693146.90713084</v>
      </c>
      <c r="M126" s="29">
        <f t="shared" si="17"/>
        <v>1697116.98764822</v>
      </c>
      <c r="N126" s="30">
        <f>IF(C126=2025,'Projection Assumptions'!$C$9,N125*(1+'Projection Assumptions'!$C$10))</f>
        <v>30</v>
      </c>
      <c r="O126" s="31">
        <f t="shared" si="18"/>
        <v>0.610962115553358</v>
      </c>
      <c r="P126" s="29">
        <f t="shared" si="19"/>
        <v>215533.857431324</v>
      </c>
      <c r="Q126" s="32">
        <f t="shared" si="20"/>
        <v>0.0775921886752765</v>
      </c>
    </row>
    <row r="127" spans="1:17">
      <c r="A127" t="s">
        <v>134</v>
      </c>
      <c r="B127" t="s">
        <v>135</v>
      </c>
      <c r="C127">
        <v>2027</v>
      </c>
      <c r="D127" s="5">
        <f>IFERROR(_xlfn.XLOOKUP(A127,'DATA BLS Projections'!$A$2:$A$20,'DATA BLS Projections'!$E$2:$E$20),0)</f>
        <v>0.00369276096282278</v>
      </c>
      <c r="E127" s="5">
        <f>IFERROR(_xlfn.XLOOKUP(A127,'Projection Assumptions'!$A$13:$A$31,'Projection Assumptions'!$C$13:$C$31),0)</f>
        <v>0.03</v>
      </c>
      <c r="F127" s="20">
        <f>IF(C127=2025,_xlfn.XLOOKUP(A127,'01 Industry Model'!$A$5:$A$23,'01 Industry Model'!$C$5:$C$23),F126*(1+D127)*(1+E127))</f>
        <v>271.96359289809</v>
      </c>
      <c r="G127" s="5">
        <f>IFERROR(_xlfn.XLOOKUP(A127,'Projection Assumptions'!$A$13:$A$31,'Projection Assumptions'!$D$13:$D$31),0)</f>
        <v>0.05</v>
      </c>
      <c r="H127" s="5">
        <f>IF(C127=2025,"",IF(C127=2026,_xlfn.XLOOKUP(A127,'DATA Census'!$A$2:$A$20,'DATA Census'!$C$2:$C$20),MIN(1,H126+G127)))</f>
        <v>0.177</v>
      </c>
      <c r="I127" s="5">
        <f>MIN(1,MAX(0,_xlfn.XLOOKUP(A127,'01 Industry Model'!$A$5:$A$23,'01 Industry Model'!$H$5:$H$23)+(C127-2025)*_xlfn.XLOOKUP(A127,'Projection Assumptions'!$A$13:$A$31,'Projection Assumptions'!$E$13:$E$31)))</f>
        <v>0.361615994817803</v>
      </c>
      <c r="J127" s="20">
        <f t="shared" si="15"/>
        <v>98.3463852000667</v>
      </c>
      <c r="K127" s="20">
        <f t="shared" si="16"/>
        <v>17.4073101804118</v>
      </c>
      <c r="L127" s="29">
        <f>IF(C127=2025,IFERROR(_xlfn.XLOOKUP(A127,'DATA QCEW'!$A$2:$A$20,'DATA QCEW'!$F$2:$F$20),""),L126*(1+D127))</f>
        <v>4710477.57682229</v>
      </c>
      <c r="M127" s="29">
        <f t="shared" si="17"/>
        <v>1703384.03500955</v>
      </c>
      <c r="N127" s="30">
        <f>IF(C127=2025,'Projection Assumptions'!$C$9,N126*(1+'Projection Assumptions'!$C$10))</f>
        <v>30</v>
      </c>
      <c r="O127" s="31">
        <f t="shared" si="18"/>
        <v>0.613218252603437</v>
      </c>
      <c r="P127" s="29">
        <f t="shared" si="19"/>
        <v>301498.97419669</v>
      </c>
      <c r="Q127" s="32">
        <f t="shared" si="20"/>
        <v>0.108539630710808</v>
      </c>
    </row>
    <row r="128" spans="1:17">
      <c r="A128" t="s">
        <v>134</v>
      </c>
      <c r="B128" t="s">
        <v>135</v>
      </c>
      <c r="C128">
        <v>2028</v>
      </c>
      <c r="D128" s="5">
        <f>IFERROR(_xlfn.XLOOKUP(A128,'DATA BLS Projections'!$A$2:$A$20,'DATA BLS Projections'!$E$2:$E$20),0)</f>
        <v>0.00369276096282278</v>
      </c>
      <c r="E128" s="5">
        <f>IFERROR(_xlfn.XLOOKUP(A128,'Projection Assumptions'!$A$13:$A$31,'Projection Assumptions'!$C$13:$C$31),0)</f>
        <v>0.03</v>
      </c>
      <c r="F128" s="20">
        <f>IF(C128=2025,_xlfn.XLOOKUP(A128,'01 Industry Model'!$A$5:$A$23,'01 Industry Model'!$C$5:$C$23),F127*(1+D128)*(1+E128))</f>
        <v>281.15692612037</v>
      </c>
      <c r="G128" s="5">
        <f>IFERROR(_xlfn.XLOOKUP(A128,'Projection Assumptions'!$A$13:$A$31,'Projection Assumptions'!$D$13:$D$31),0)</f>
        <v>0.05</v>
      </c>
      <c r="H128" s="5">
        <f>IF(C128=2025,"",IF(C128=2026,_xlfn.XLOOKUP(A128,'DATA Census'!$A$2:$A$20,'DATA Census'!$C$2:$C$20),MIN(1,H127+G128)))</f>
        <v>0.227</v>
      </c>
      <c r="I128" s="5">
        <f>MIN(1,MAX(0,_xlfn.XLOOKUP(A128,'01 Industry Model'!$A$5:$A$23,'01 Industry Model'!$H$5:$H$23)+(C128-2025)*_xlfn.XLOOKUP(A128,'Projection Assumptions'!$A$13:$A$31,'Projection Assumptions'!$E$13:$E$31)))</f>
        <v>0.361615994817803</v>
      </c>
      <c r="J128" s="20">
        <f t="shared" si="15"/>
        <v>101.670841538933</v>
      </c>
      <c r="K128" s="20">
        <f t="shared" si="16"/>
        <v>23.0792810293379</v>
      </c>
      <c r="L128" s="29">
        <f>IF(C128=2025,IFERROR(_xlfn.XLOOKUP(A128,'DATA QCEW'!$A$2:$A$20,'DATA QCEW'!$F$2:$F$20),""),L127*(1+D128))</f>
        <v>4727872.24453423</v>
      </c>
      <c r="M128" s="29">
        <f t="shared" si="17"/>
        <v>1709674.22507873</v>
      </c>
      <c r="N128" s="30">
        <f>IF(C128=2025,'Projection Assumptions'!$C$9,N127*(1+'Projection Assumptions'!$C$10))</f>
        <v>30</v>
      </c>
      <c r="O128" s="31">
        <f t="shared" si="18"/>
        <v>0.615482721028342</v>
      </c>
      <c r="P128" s="29">
        <f t="shared" si="19"/>
        <v>388096.049092871</v>
      </c>
      <c r="Q128" s="32">
        <f t="shared" si="20"/>
        <v>0.139714577673433</v>
      </c>
    </row>
    <row r="129" spans="1:17">
      <c r="A129" t="s">
        <v>134</v>
      </c>
      <c r="B129" t="s">
        <v>135</v>
      </c>
      <c r="C129">
        <v>2029</v>
      </c>
      <c r="D129" s="5">
        <f>IFERROR(_xlfn.XLOOKUP(A129,'DATA BLS Projections'!$A$2:$A$20,'DATA BLS Projections'!$E$2:$E$20),0)</f>
        <v>0.00369276096282278</v>
      </c>
      <c r="E129" s="5">
        <f>IFERROR(_xlfn.XLOOKUP(A129,'Projection Assumptions'!$A$13:$A$31,'Projection Assumptions'!$C$13:$C$31),0)</f>
        <v>0.03</v>
      </c>
      <c r="F129" s="20">
        <f>IF(C129=2025,_xlfn.XLOOKUP(A129,'01 Industry Model'!$A$5:$A$23,'01 Industry Model'!$C$5:$C$23),F128*(1+D129)*(1+E129))</f>
        <v>290.661026584822</v>
      </c>
      <c r="G129" s="5">
        <f>IFERROR(_xlfn.XLOOKUP(A129,'Projection Assumptions'!$A$13:$A$31,'Projection Assumptions'!$D$13:$D$31),0)</f>
        <v>0.05</v>
      </c>
      <c r="H129" s="5">
        <f>IF(C129=2025,"",IF(C129=2026,_xlfn.XLOOKUP(A129,'DATA Census'!$A$2:$A$20,'DATA Census'!$C$2:$C$20),MIN(1,H128+G129)))</f>
        <v>0.277</v>
      </c>
      <c r="I129" s="5">
        <f>MIN(1,MAX(0,_xlfn.XLOOKUP(A129,'01 Industry Model'!$A$5:$A$23,'01 Industry Model'!$H$5:$H$23)+(C129-2025)*_xlfn.XLOOKUP(A129,'Projection Assumptions'!$A$13:$A$31,'Projection Assumptions'!$E$13:$E$31)))</f>
        <v>0.361615994817803</v>
      </c>
      <c r="J129" s="20">
        <f t="shared" si="15"/>
        <v>105.107676283234</v>
      </c>
      <c r="K129" s="20">
        <f t="shared" si="16"/>
        <v>29.1148263304559</v>
      </c>
      <c r="L129" s="29">
        <f>IF(C129=2025,IFERROR(_xlfn.XLOOKUP(A129,'DATA QCEW'!$A$2:$A$20,'DATA QCEW'!$F$2:$F$20),""),L128*(1+D129))</f>
        <v>4745331.14659606</v>
      </c>
      <c r="M129" s="29">
        <f t="shared" si="17"/>
        <v>1715987.64331624</v>
      </c>
      <c r="N129" s="30">
        <f>IF(C129=2025,'Projection Assumptions'!$C$9,N128*(1+'Projection Assumptions'!$C$10))</f>
        <v>30</v>
      </c>
      <c r="O129" s="31">
        <f t="shared" si="18"/>
        <v>0.617755551593847</v>
      </c>
      <c r="P129" s="29">
        <f t="shared" si="19"/>
        <v>475328.577198599</v>
      </c>
      <c r="Q129" s="32">
        <f t="shared" si="20"/>
        <v>0.171118287791496</v>
      </c>
    </row>
    <row r="130" spans="1:17">
      <c r="A130" t="s">
        <v>134</v>
      </c>
      <c r="B130" t="s">
        <v>135</v>
      </c>
      <c r="C130">
        <v>2030</v>
      </c>
      <c r="D130" s="5">
        <f>IFERROR(_xlfn.XLOOKUP(A130,'DATA BLS Projections'!$A$2:$A$20,'DATA BLS Projections'!$E$2:$E$20),0)</f>
        <v>0.00369276096282278</v>
      </c>
      <c r="E130" s="5">
        <f>IFERROR(_xlfn.XLOOKUP(A130,'Projection Assumptions'!$A$13:$A$31,'Projection Assumptions'!$C$13:$C$31),0)</f>
        <v>0.03</v>
      </c>
      <c r="F130" s="20">
        <f>IF(C130=2025,_xlfn.XLOOKUP(A130,'01 Industry Model'!$A$5:$A$23,'01 Industry Model'!$C$5:$C$23),F129*(1+D130)*(1+E130))</f>
        <v>300.486399325525</v>
      </c>
      <c r="G130" s="5">
        <f>IFERROR(_xlfn.XLOOKUP(A130,'Projection Assumptions'!$A$13:$A$31,'Projection Assumptions'!$D$13:$D$31),0)</f>
        <v>0.05</v>
      </c>
      <c r="H130" s="5">
        <f>IF(C130=2025,"",IF(C130=2026,_xlfn.XLOOKUP(A130,'DATA Census'!$A$2:$A$20,'DATA Census'!$C$2:$C$20),MIN(1,H129+G130)))</f>
        <v>0.327</v>
      </c>
      <c r="I130" s="5">
        <f>MIN(1,MAX(0,_xlfn.XLOOKUP(A130,'01 Industry Model'!$A$5:$A$23,'01 Industry Model'!$H$5:$H$23)+(C130-2025)*_xlfn.XLOOKUP(A130,'Projection Assumptions'!$A$13:$A$31,'Projection Assumptions'!$E$13:$E$31)))</f>
        <v>0.361615994817803</v>
      </c>
      <c r="J130" s="20">
        <f t="shared" si="15"/>
        <v>108.660688221319</v>
      </c>
      <c r="K130" s="20">
        <f t="shared" si="16"/>
        <v>35.5320450483714</v>
      </c>
      <c r="L130" s="29">
        <f>IF(C130=2025,IFERROR(_xlfn.XLOOKUP(A130,'DATA QCEW'!$A$2:$A$20,'DATA QCEW'!$F$2:$F$20),""),L129*(1+D130))</f>
        <v>4762854.52020988</v>
      </c>
      <c r="M130" s="29">
        <f t="shared" si="17"/>
        <v>1722324.37549817</v>
      </c>
      <c r="N130" s="30">
        <f>IF(C130=2025,'Projection Assumptions'!$C$9,N129*(1+'Projection Assumptions'!$C$10))</f>
        <v>30</v>
      </c>
      <c r="O130" s="31">
        <f t="shared" si="18"/>
        <v>0.62003677517934</v>
      </c>
      <c r="P130" s="29">
        <f t="shared" si="19"/>
        <v>563200.0707879</v>
      </c>
      <c r="Q130" s="32">
        <f t="shared" si="20"/>
        <v>0.202752025483644</v>
      </c>
    </row>
  </sheetData>
  <mergeCells count="3">
    <mergeCell ref="A1:K1"/>
    <mergeCell ref="A2:K2"/>
    <mergeCell ref="L15:Q1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pane ySplit="1" topLeftCell="A2" activePane="bottomLeft" state="frozen"/>
      <selection/>
      <selection pane="bottomLeft" activeCell="F2" sqref="F2"/>
    </sheetView>
  </sheetViews>
  <sheetFormatPr defaultColWidth="9" defaultRowHeight="16.8" outlineLevelCol="5"/>
  <cols>
    <col min="1" max="1" width="41" customWidth="1"/>
    <col min="2" max="2" width="53" customWidth="1"/>
    <col min="3" max="3" width="31" customWidth="1"/>
    <col min="4" max="4" width="23" customWidth="1"/>
    <col min="5" max="5" width="26" customWidth="1"/>
  </cols>
  <sheetData>
    <row r="1" ht="26" customHeight="1" spans="1:6">
      <c r="A1" s="3" t="s">
        <v>161</v>
      </c>
      <c r="B1" s="3" t="s">
        <v>82</v>
      </c>
      <c r="C1" s="3" t="s">
        <v>162</v>
      </c>
      <c r="D1" s="3" t="s">
        <v>163</v>
      </c>
      <c r="E1" s="3" t="s">
        <v>164</v>
      </c>
      <c r="F1" s="16" t="s">
        <v>165</v>
      </c>
    </row>
    <row r="2" spans="1:6">
      <c r="A2" t="s">
        <v>98</v>
      </c>
      <c r="B2" t="s">
        <v>99</v>
      </c>
      <c r="C2" s="8">
        <f>IF(D2=1,_xlfn.XLOOKUP(A2,'DATA QCEW Raw'!$E$2:$E$3000,'DATA QCEW Raw'!$D$2:$D$3000),"")</f>
        <v>60088224865</v>
      </c>
      <c r="D2">
        <f>COUNTIF('DATA QCEW Raw'!$E$2:$E$3000,A2)</f>
        <v>1</v>
      </c>
      <c r="E2" t="str">
        <f t="shared" ref="E2:E20" si="0">IF(D2=1,"OK",IF(D2=0,"MISSING","DUPLICATE"))</f>
        <v>OK</v>
      </c>
      <c r="F2" s="17">
        <f>IF(D2=1,_xlfn.XLOOKUP(A2,'DATA QCEW Raw'!$E$2:$E$3000,'DATA QCEW Raw'!$C$2:$C$3000),"")</f>
        <v>1231078</v>
      </c>
    </row>
    <row r="3" spans="1:6">
      <c r="A3" t="s">
        <v>100</v>
      </c>
      <c r="B3" t="s">
        <v>101</v>
      </c>
      <c r="C3" s="8">
        <f>IF(D3=1,_xlfn.XLOOKUP(A3,'DATA QCEW Raw'!$E$2:$E$3000,'DATA QCEW Raw'!$D$2:$D$3000),"")</f>
        <v>76216722054</v>
      </c>
      <c r="D3">
        <f>COUNTIF('DATA QCEW Raw'!$E$2:$E$3000,A3)</f>
        <v>1</v>
      </c>
      <c r="E3" t="str">
        <f t="shared" si="0"/>
        <v>OK</v>
      </c>
      <c r="F3" s="17">
        <f>IF(D3=1,_xlfn.XLOOKUP(A3,'DATA QCEW Raw'!$E$2:$E$3000,'DATA QCEW Raw'!$C$2:$C$3000),"")</f>
        <v>570806</v>
      </c>
    </row>
    <row r="4" spans="1:6">
      <c r="A4" t="s">
        <v>102</v>
      </c>
      <c r="B4" t="s">
        <v>103</v>
      </c>
      <c r="C4" s="8">
        <f>IF(D4=1,_xlfn.XLOOKUP(A4,'DATA QCEW Raw'!$E$2:$E$3000,'DATA QCEW Raw'!$D$2:$D$3000),"")</f>
        <v>85024861666</v>
      </c>
      <c r="D4">
        <f>COUNTIF('DATA QCEW Raw'!$E$2:$E$3000,A4)</f>
        <v>1</v>
      </c>
      <c r="E4" t="str">
        <f t="shared" si="0"/>
        <v>OK</v>
      </c>
      <c r="F4" s="17">
        <f>IF(D4=1,_xlfn.XLOOKUP(A4,'DATA QCEW Raw'!$E$2:$E$3000,'DATA QCEW Raw'!$C$2:$C$3000),"")</f>
        <v>602080</v>
      </c>
    </row>
    <row r="5" spans="1:6">
      <c r="A5" t="s">
        <v>104</v>
      </c>
      <c r="B5" t="s">
        <v>105</v>
      </c>
      <c r="C5" s="8">
        <f>IF(D5=1,_xlfn.XLOOKUP(A5,'DATA QCEW Raw'!$E$2:$E$3000,'DATA QCEW Raw'!$D$2:$D$3000),"")</f>
        <v>699896249139</v>
      </c>
      <c r="D5">
        <f>COUNTIF('DATA QCEW Raw'!$E$2:$E$3000,A5)</f>
        <v>1</v>
      </c>
      <c r="E5" t="str">
        <f t="shared" si="0"/>
        <v>OK</v>
      </c>
      <c r="F5" s="17">
        <f>IF(D5=1,_xlfn.XLOOKUP(A5,'DATA QCEW Raw'!$E$2:$E$3000,'DATA QCEW Raw'!$C$2:$C$3000),"")</f>
        <v>8251002</v>
      </c>
    </row>
    <row r="6" spans="1:6">
      <c r="A6" t="s">
        <v>106</v>
      </c>
      <c r="B6" t="s">
        <v>107</v>
      </c>
      <c r="C6" s="8">
        <f>IF(D6=1,_xlfn.XLOOKUP(A6,'DATA QCEW Raw'!$E$2:$E$3000,'DATA QCEW Raw'!$D$2:$D$3000),"")</f>
        <v>1125542676332</v>
      </c>
      <c r="D6">
        <f>COUNTIF('DATA QCEW Raw'!$E$2:$E$3000,A6)</f>
        <v>1</v>
      </c>
      <c r="E6" t="str">
        <f t="shared" si="0"/>
        <v>OK</v>
      </c>
      <c r="F6" s="17">
        <f>IF(D6=1,_xlfn.XLOOKUP(A6,'DATA QCEW Raw'!$E$2:$E$3000,'DATA QCEW Raw'!$C$2:$C$3000),"")</f>
        <v>12579906</v>
      </c>
    </row>
    <row r="7" spans="1:6">
      <c r="A7" t="s">
        <v>108</v>
      </c>
      <c r="B7" t="s">
        <v>109</v>
      </c>
      <c r="C7" s="8">
        <f>IF(D7=1,_xlfn.XLOOKUP(A7,'DATA QCEW Raw'!$E$2:$E$3000,'DATA QCEW Raw'!$D$2:$D$3000),"")</f>
        <v>638878973832</v>
      </c>
      <c r="D7">
        <f>COUNTIF('DATA QCEW Raw'!$E$2:$E$3000,A7)</f>
        <v>1</v>
      </c>
      <c r="E7" t="str">
        <f t="shared" si="0"/>
        <v>OK</v>
      </c>
      <c r="F7" s="17">
        <f>IF(D7=1,_xlfn.XLOOKUP(A7,'DATA QCEW Raw'!$E$2:$E$3000,'DATA QCEW Raw'!$C$2:$C$3000),"")</f>
        <v>6037213</v>
      </c>
    </row>
    <row r="8" spans="1:6">
      <c r="A8" t="s">
        <v>110</v>
      </c>
      <c r="B8" t="s">
        <v>111</v>
      </c>
      <c r="C8" s="8">
        <f>IF(D8=1,_xlfn.XLOOKUP(A8,'DATA QCEW Raw'!$E$2:$E$3000,'DATA QCEW Raw'!$D$2:$D$3000),"")</f>
        <v>668863568474</v>
      </c>
      <c r="D8">
        <f>COUNTIF('DATA QCEW Raw'!$E$2:$E$3000,A8)</f>
        <v>1</v>
      </c>
      <c r="E8" t="str">
        <f t="shared" si="0"/>
        <v>OK</v>
      </c>
      <c r="F8" s="17">
        <f>IF(D8=1,_xlfn.XLOOKUP(A8,'DATA QCEW Raw'!$E$2:$E$3000,'DATA QCEW Raw'!$C$2:$C$3000),"")</f>
        <v>15391082</v>
      </c>
    </row>
    <row r="9" spans="1:6">
      <c r="A9" t="s">
        <v>112</v>
      </c>
      <c r="B9" t="s">
        <v>113</v>
      </c>
      <c r="C9" s="8">
        <f>IF(D9=1,_xlfn.XLOOKUP(A9,'DATA QCEW Raw'!$E$2:$E$3000,'DATA QCEW Raw'!$D$2:$D$3000),"")</f>
        <v>455483942924</v>
      </c>
      <c r="D9">
        <f>COUNTIF('DATA QCEW Raw'!$E$2:$E$3000,A9)</f>
        <v>1</v>
      </c>
      <c r="E9" t="str">
        <f t="shared" si="0"/>
        <v>OK</v>
      </c>
      <c r="F9" s="17">
        <f>IF(D9=1,_xlfn.XLOOKUP(A9,'DATA QCEW Raw'!$E$2:$E$3000,'DATA QCEW Raw'!$C$2:$C$3000),"")</f>
        <v>6618917</v>
      </c>
    </row>
    <row r="10" spans="1:6">
      <c r="A10" t="s">
        <v>114</v>
      </c>
      <c r="B10" t="s">
        <v>115</v>
      </c>
      <c r="C10" s="8">
        <f>IF(D10=1,_xlfn.XLOOKUP(A10,'DATA QCEW Raw'!$E$2:$E$3000,'DATA QCEW Raw'!$D$2:$D$3000),"")</f>
        <v>544469565204</v>
      </c>
      <c r="D10">
        <f>COUNTIF('DATA QCEW Raw'!$E$2:$E$3000,A10)</f>
        <v>1</v>
      </c>
      <c r="E10" t="str">
        <f t="shared" si="0"/>
        <v>OK</v>
      </c>
      <c r="F10" s="17">
        <f>IF(D10=1,_xlfn.XLOOKUP(A10,'DATA QCEW Raw'!$E$2:$E$3000,'DATA QCEW Raw'!$C$2:$C$3000),"")</f>
        <v>2850904</v>
      </c>
    </row>
    <row r="11" spans="1:6">
      <c r="A11" t="s">
        <v>116</v>
      </c>
      <c r="B11" t="s">
        <v>117</v>
      </c>
      <c r="C11" s="8">
        <f>IF(D11=1,_xlfn.XLOOKUP(A11,'DATA QCEW Raw'!$E$2:$E$3000,'DATA QCEW Raw'!$D$2:$D$3000),"")</f>
        <v>966666752201</v>
      </c>
      <c r="D11">
        <f>COUNTIF('DATA QCEW Raw'!$E$2:$E$3000,A11)</f>
        <v>1</v>
      </c>
      <c r="E11" t="str">
        <f t="shared" si="0"/>
        <v>OK</v>
      </c>
      <c r="F11" s="17">
        <f>IF(D11=1,_xlfn.XLOOKUP(A11,'DATA QCEW Raw'!$E$2:$E$3000,'DATA QCEW Raw'!$C$2:$C$3000),"")</f>
        <v>6316381</v>
      </c>
    </row>
    <row r="12" spans="1:6">
      <c r="A12" t="s">
        <v>118</v>
      </c>
      <c r="B12" t="s">
        <v>119</v>
      </c>
      <c r="C12" s="8">
        <f>IF(D12=1,_xlfn.XLOOKUP(A12,'DATA QCEW Raw'!$E$2:$E$3000,'DATA QCEW Raw'!$D$2:$D$3000),"")</f>
        <v>193529178704</v>
      </c>
      <c r="D12">
        <f>COUNTIF('DATA QCEW Raw'!$E$2:$E$3000,A12)</f>
        <v>1</v>
      </c>
      <c r="E12" t="str">
        <f t="shared" si="0"/>
        <v>OK</v>
      </c>
      <c r="F12" s="17">
        <f>IF(D12=1,_xlfn.XLOOKUP(A12,'DATA QCEW Raw'!$E$2:$E$3000,'DATA QCEW Raw'!$C$2:$C$3000),"")</f>
        <v>2411118</v>
      </c>
    </row>
    <row r="13" spans="1:6">
      <c r="A13" t="s">
        <v>120</v>
      </c>
      <c r="B13" t="s">
        <v>121</v>
      </c>
      <c r="C13" s="8">
        <f>IF(D13=1,_xlfn.XLOOKUP(A13,'DATA QCEW Raw'!$E$2:$E$3000,'DATA QCEW Raw'!$D$2:$D$3000),"")</f>
        <v>1454390668355</v>
      </c>
      <c r="D13">
        <f>COUNTIF('DATA QCEW Raw'!$E$2:$E$3000,A13)</f>
        <v>1</v>
      </c>
      <c r="E13" t="str">
        <f t="shared" si="0"/>
        <v>OK</v>
      </c>
      <c r="F13" s="17">
        <f>IF(D13=1,_xlfn.XLOOKUP(A13,'DATA QCEW Raw'!$E$2:$E$3000,'DATA QCEW Raw'!$C$2:$C$3000),"")</f>
        <v>10750955</v>
      </c>
    </row>
    <row r="14" spans="1:6">
      <c r="A14" t="s">
        <v>122</v>
      </c>
      <c r="B14" t="s">
        <v>123</v>
      </c>
      <c r="C14" s="8">
        <f>IF(D14=1,_xlfn.XLOOKUP(A14,'DATA QCEW Raw'!$E$2:$E$3000,'DATA QCEW Raw'!$D$2:$D$3000),"")</f>
        <v>433010743495</v>
      </c>
      <c r="D14">
        <f>COUNTIF('DATA QCEW Raw'!$E$2:$E$3000,A14)</f>
        <v>1</v>
      </c>
      <c r="E14" t="str">
        <f t="shared" si="0"/>
        <v>OK</v>
      </c>
      <c r="F14" s="17">
        <f>IF(D14=1,_xlfn.XLOOKUP(A14,'DATA QCEW Raw'!$E$2:$E$3000,'DATA QCEW Raw'!$C$2:$C$3000),"")</f>
        <v>2607739</v>
      </c>
    </row>
    <row r="15" spans="1:6">
      <c r="A15" t="s">
        <v>124</v>
      </c>
      <c r="B15" t="s">
        <v>125</v>
      </c>
      <c r="C15" s="8">
        <f>IF(D15=1,_xlfn.XLOOKUP(A15,'DATA QCEW Raw'!$E$2:$E$3000,'DATA QCEW Raw'!$D$2:$D$3000),"")</f>
        <v>541582412876</v>
      </c>
      <c r="D15">
        <f>COUNTIF('DATA QCEW Raw'!$E$2:$E$3000,A15)</f>
        <v>1</v>
      </c>
      <c r="E15" t="str">
        <f t="shared" si="0"/>
        <v>OK</v>
      </c>
      <c r="F15" s="17">
        <f>IF(D15=1,_xlfn.XLOOKUP(A15,'DATA QCEW Raw'!$E$2:$E$3000,'DATA QCEW Raw'!$C$2:$C$3000),"")</f>
        <v>9032175</v>
      </c>
    </row>
    <row r="16" spans="1:6">
      <c r="A16" t="s">
        <v>126</v>
      </c>
      <c r="B16" t="s">
        <v>127</v>
      </c>
      <c r="C16" s="8">
        <f>IF(D16=1,_xlfn.XLOOKUP(A16,'DATA QCEW Raw'!$E$2:$E$3000,'DATA QCEW Raw'!$D$2:$D$3000),"")</f>
        <v>213875731365</v>
      </c>
      <c r="D16">
        <f>COUNTIF('DATA QCEW Raw'!$E$2:$E$3000,A16)</f>
        <v>1</v>
      </c>
      <c r="E16" t="str">
        <f t="shared" si="0"/>
        <v>OK</v>
      </c>
      <c r="F16" s="17">
        <f>IF(D16=1,_xlfn.XLOOKUP(A16,'DATA QCEW Raw'!$E$2:$E$3000,'DATA QCEW Raw'!$C$2:$C$3000),"")</f>
        <v>3246686</v>
      </c>
    </row>
    <row r="17" spans="1:6">
      <c r="A17" t="s">
        <v>128</v>
      </c>
      <c r="B17" t="s">
        <v>129</v>
      </c>
      <c r="C17" s="8">
        <f>IF(D17=1,_xlfn.XLOOKUP(A17,'DATA QCEW Raw'!$E$2:$E$3000,'DATA QCEW Raw'!$D$2:$D$3000),"")</f>
        <v>1529847054124</v>
      </c>
      <c r="D17">
        <f>COUNTIF('DATA QCEW Raw'!$E$2:$E$3000,A17)</f>
        <v>1</v>
      </c>
      <c r="E17" t="str">
        <f t="shared" si="0"/>
        <v>OK</v>
      </c>
      <c r="F17" s="17">
        <f>IF(D17=1,_xlfn.XLOOKUP(A17,'DATA QCEW Raw'!$E$2:$E$3000,'DATA QCEW Raw'!$C$2:$C$3000),"")</f>
        <v>22997661</v>
      </c>
    </row>
    <row r="18" spans="1:6">
      <c r="A18" t="s">
        <v>130</v>
      </c>
      <c r="B18" t="s">
        <v>131</v>
      </c>
      <c r="C18" s="8">
        <f>IF(D18=1,_xlfn.XLOOKUP(A18,'DATA QCEW Raw'!$E$2:$E$3000,'DATA QCEW Raw'!$D$2:$D$3000),"")</f>
        <v>139300037358</v>
      </c>
      <c r="D18">
        <f>COUNTIF('DATA QCEW Raw'!$E$2:$E$3000,A18)</f>
        <v>1</v>
      </c>
      <c r="E18" t="str">
        <f t="shared" si="0"/>
        <v>OK</v>
      </c>
      <c r="F18" s="17">
        <f>IF(D18=1,_xlfn.XLOOKUP(A18,'DATA QCEW Raw'!$E$2:$E$3000,'DATA QCEW Raw'!$C$2:$C$3000),"")</f>
        <v>2667729</v>
      </c>
    </row>
    <row r="19" spans="1:6">
      <c r="A19" t="s">
        <v>132</v>
      </c>
      <c r="B19" t="s">
        <v>133</v>
      </c>
      <c r="C19" s="8">
        <f>IF(D19=1,_xlfn.XLOOKUP(A19,'DATA QCEW Raw'!$E$2:$E$3000,'DATA QCEW Raw'!$D$2:$D$3000),"")</f>
        <v>434509247245</v>
      </c>
      <c r="D19">
        <f>COUNTIF('DATA QCEW Raw'!$E$2:$E$3000,A19)</f>
        <v>1</v>
      </c>
      <c r="E19" t="str">
        <f t="shared" si="0"/>
        <v>OK</v>
      </c>
      <c r="F19" s="17">
        <f>IF(D19=1,_xlfn.XLOOKUP(A19,'DATA QCEW Raw'!$E$2:$E$3000,'DATA QCEW Raw'!$C$2:$C$3000),"")</f>
        <v>14119799</v>
      </c>
    </row>
    <row r="20" spans="1:6">
      <c r="A20" t="s">
        <v>134</v>
      </c>
      <c r="B20" t="s">
        <v>135</v>
      </c>
      <c r="C20" s="8">
        <f>IF(D20=1,_xlfn.XLOOKUP(A20,'DATA QCEW Raw'!$E$2:$E$3000,'DATA QCEW Raw'!$D$2:$D$3000),"")</f>
        <v>254468914292</v>
      </c>
      <c r="D20">
        <f>COUNTIF('DATA QCEW Raw'!$E$2:$E$3000,A20)</f>
        <v>1</v>
      </c>
      <c r="E20" t="str">
        <f t="shared" si="0"/>
        <v>OK</v>
      </c>
      <c r="F20" s="17">
        <f>IF(D20=1,_xlfn.XLOOKUP(A20,'DATA QCEW Raw'!$E$2:$E$3000,'DATA QCEW Raw'!$C$2:$C$3000),"")</f>
        <v>4675880</v>
      </c>
    </row>
    <row r="21" spans="1:6">
      <c r="C21" s="8"/>
    </row>
    <row r="22" spans="1:6">
      <c r="C22" s="8"/>
    </row>
    <row r="23" spans="1:6">
      <c r="A23" s="18" t="s">
        <v>166</v>
      </c>
      <c r="B23" s="18" t="s">
        <v>7</v>
      </c>
      <c r="C23" s="19">
        <f>SUM(C2:C20)</f>
        <v>10515645524505</v>
      </c>
      <c r="D23" s="18"/>
      <c r="E23" s="18"/>
    </row>
    <row r="24" spans="1:6">
      <c r="A24" t="s">
        <v>167</v>
      </c>
      <c r="B24" t="s">
        <v>7</v>
      </c>
      <c r="C24" s="8">
        <f>IFERROR(_xlfn.XLOOKUP("99",'DATA QCEW Raw'!$E$2:$E$3000,'DATA QCEW Raw'!$D$2:$D$3000),"")</f>
        <v>16545877587</v>
      </c>
    </row>
    <row r="25" spans="1:6">
      <c r="A25" t="s">
        <v>168</v>
      </c>
      <c r="B25" t="s">
        <v>7</v>
      </c>
      <c r="C25" s="8">
        <v>10532191402092</v>
      </c>
    </row>
    <row r="26" spans="1:6">
      <c r="A26" s="18" t="s">
        <v>169</v>
      </c>
      <c r="B26" s="18" t="s">
        <v>7</v>
      </c>
      <c r="C26" s="19">
        <f>IF(C24="","",C23+C24-C25)</f>
        <v>0</v>
      </c>
      <c r="D26" s="18"/>
      <c r="E26" s="18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:F1"/>
    </sheetView>
  </sheetViews>
  <sheetFormatPr defaultColWidth="9" defaultRowHeight="16.8" outlineLevelCol="5"/>
  <cols>
    <col min="1" max="1" width="19" customWidth="1"/>
    <col min="2" max="2" width="39" customWidth="1"/>
    <col min="3" max="3" width="29" customWidth="1"/>
    <col min="4" max="4" width="64" customWidth="1"/>
    <col min="5" max="5" width="40" customWidth="1"/>
    <col min="6" max="6" width="64" customWidth="1"/>
  </cols>
  <sheetData>
    <row r="1" ht="34" customHeight="1" spans="1:6">
      <c r="A1" s="1" t="s">
        <v>170</v>
      </c>
      <c r="B1" s="1"/>
      <c r="C1" s="1"/>
      <c r="D1" s="1"/>
      <c r="E1" s="1"/>
      <c r="F1" s="1"/>
    </row>
    <row r="2" ht="28" customHeight="1" spans="1:6">
      <c r="A2" s="2" t="s">
        <v>171</v>
      </c>
      <c r="B2" s="2"/>
      <c r="C2" s="2"/>
      <c r="D2" s="2"/>
      <c r="E2" s="2"/>
      <c r="F2" s="2"/>
    </row>
    <row r="5" spans="1:6">
      <c r="B5" t="s">
        <v>172</v>
      </c>
      <c r="C5" s="12">
        <v>0.03</v>
      </c>
      <c r="D5" t="s">
        <v>173</v>
      </c>
    </row>
    <row r="6" spans="1:6">
      <c r="B6" t="s">
        <v>174</v>
      </c>
      <c r="C6" s="12">
        <v>0.05</v>
      </c>
      <c r="D6" t="s">
        <v>175</v>
      </c>
    </row>
    <row r="7" spans="1:6">
      <c r="B7" t="s">
        <v>176</v>
      </c>
      <c r="C7" s="12">
        <v>0</v>
      </c>
      <c r="D7" t="s">
        <v>177</v>
      </c>
    </row>
    <row r="9" spans="1:6">
      <c r="B9" s="13" t="s">
        <v>178</v>
      </c>
      <c r="C9" s="14">
        <v>30</v>
      </c>
      <c r="D9" s="13" t="s">
        <v>179</v>
      </c>
    </row>
    <row r="10" spans="1:6">
      <c r="B10" s="13" t="s">
        <v>180</v>
      </c>
      <c r="C10" s="15">
        <v>0</v>
      </c>
      <c r="D10" s="13" t="s">
        <v>181</v>
      </c>
    </row>
    <row r="11" spans="1:6">
      <c r="B11" t="s">
        <v>182</v>
      </c>
      <c r="D11" t="s">
        <v>183</v>
      </c>
    </row>
    <row r="12" ht="32" customHeight="1" spans="1:6">
      <c r="A12" s="3" t="s">
        <v>161</v>
      </c>
      <c r="B12" s="3" t="s">
        <v>82</v>
      </c>
      <c r="C12" s="3" t="s">
        <v>184</v>
      </c>
      <c r="D12" s="3" t="s">
        <v>153</v>
      </c>
      <c r="E12" s="3" t="s">
        <v>185</v>
      </c>
      <c r="F12" s="3" t="s">
        <v>186</v>
      </c>
    </row>
    <row r="13" spans="1:6">
      <c r="A13" t="s">
        <v>98</v>
      </c>
      <c r="B13" t="s">
        <v>99</v>
      </c>
      <c r="C13" s="5">
        <f t="shared" ref="C13:C31" si="0">$C$5</f>
        <v>0.03</v>
      </c>
      <c r="D13" s="5">
        <f t="shared" ref="D13:D31" si="1">$C$6</f>
        <v>0.05</v>
      </c>
      <c r="E13" s="5">
        <f t="shared" ref="E13:E31" si="2">$C$7</f>
        <v>0</v>
      </c>
      <c r="F13" t="s">
        <v>187</v>
      </c>
    </row>
    <row r="14" spans="1:6">
      <c r="A14" t="s">
        <v>100</v>
      </c>
      <c r="B14" t="s">
        <v>101</v>
      </c>
      <c r="C14" s="5">
        <f t="shared" si="0"/>
        <v>0.03</v>
      </c>
      <c r="D14" s="5">
        <f t="shared" si="1"/>
        <v>0.05</v>
      </c>
      <c r="E14" s="5">
        <f t="shared" si="2"/>
        <v>0</v>
      </c>
      <c r="F14" t="s">
        <v>187</v>
      </c>
    </row>
    <row r="15" spans="1:6">
      <c r="A15" t="s">
        <v>102</v>
      </c>
      <c r="B15" t="s">
        <v>103</v>
      </c>
      <c r="C15" s="5">
        <f t="shared" si="0"/>
        <v>0.03</v>
      </c>
      <c r="D15" s="5">
        <f t="shared" si="1"/>
        <v>0.05</v>
      </c>
      <c r="E15" s="5">
        <f t="shared" si="2"/>
        <v>0</v>
      </c>
      <c r="F15" t="s">
        <v>187</v>
      </c>
    </row>
    <row r="16" spans="1:6">
      <c r="A16" t="s">
        <v>104</v>
      </c>
      <c r="B16" t="s">
        <v>105</v>
      </c>
      <c r="C16" s="5">
        <f t="shared" si="0"/>
        <v>0.03</v>
      </c>
      <c r="D16" s="5">
        <f t="shared" si="1"/>
        <v>0.05</v>
      </c>
      <c r="E16" s="5">
        <f t="shared" si="2"/>
        <v>0</v>
      </c>
      <c r="F16" t="s">
        <v>187</v>
      </c>
    </row>
    <row r="17" spans="1:6">
      <c r="A17" t="s">
        <v>106</v>
      </c>
      <c r="B17" t="s">
        <v>107</v>
      </c>
      <c r="C17" s="5">
        <f t="shared" si="0"/>
        <v>0.03</v>
      </c>
      <c r="D17" s="5">
        <f t="shared" si="1"/>
        <v>0.05</v>
      </c>
      <c r="E17" s="5">
        <f t="shared" si="2"/>
        <v>0</v>
      </c>
      <c r="F17" t="s">
        <v>187</v>
      </c>
    </row>
    <row r="18" spans="1:6">
      <c r="A18" t="s">
        <v>108</v>
      </c>
      <c r="B18" t="s">
        <v>109</v>
      </c>
      <c r="C18" s="5">
        <f t="shared" si="0"/>
        <v>0.03</v>
      </c>
      <c r="D18" s="5">
        <f t="shared" si="1"/>
        <v>0.05</v>
      </c>
      <c r="E18" s="5">
        <f t="shared" si="2"/>
        <v>0</v>
      </c>
      <c r="F18" t="s">
        <v>187</v>
      </c>
    </row>
    <row r="19" spans="1:6">
      <c r="A19" t="s">
        <v>110</v>
      </c>
      <c r="B19" t="s">
        <v>111</v>
      </c>
      <c r="C19" s="5">
        <f t="shared" si="0"/>
        <v>0.03</v>
      </c>
      <c r="D19" s="5">
        <f t="shared" si="1"/>
        <v>0.05</v>
      </c>
      <c r="E19" s="5">
        <f t="shared" si="2"/>
        <v>0</v>
      </c>
      <c r="F19" t="s">
        <v>187</v>
      </c>
    </row>
    <row r="20" spans="1:6">
      <c r="A20" t="s">
        <v>112</v>
      </c>
      <c r="B20" t="s">
        <v>113</v>
      </c>
      <c r="C20" s="5">
        <f t="shared" si="0"/>
        <v>0.03</v>
      </c>
      <c r="D20" s="5">
        <f t="shared" si="1"/>
        <v>0.05</v>
      </c>
      <c r="E20" s="5">
        <f t="shared" si="2"/>
        <v>0</v>
      </c>
      <c r="F20" t="s">
        <v>187</v>
      </c>
    </row>
    <row r="21" spans="1:6">
      <c r="A21" t="s">
        <v>114</v>
      </c>
      <c r="B21" t="s">
        <v>115</v>
      </c>
      <c r="C21" s="5">
        <f t="shared" si="0"/>
        <v>0.03</v>
      </c>
      <c r="D21" s="5">
        <f t="shared" si="1"/>
        <v>0.05</v>
      </c>
      <c r="E21" s="5">
        <f t="shared" si="2"/>
        <v>0</v>
      </c>
      <c r="F21" t="s">
        <v>187</v>
      </c>
    </row>
    <row r="22" spans="1:6">
      <c r="A22" t="s">
        <v>116</v>
      </c>
      <c r="B22" t="s">
        <v>117</v>
      </c>
      <c r="C22" s="5">
        <f t="shared" si="0"/>
        <v>0.03</v>
      </c>
      <c r="D22" s="5">
        <f t="shared" si="1"/>
        <v>0.05</v>
      </c>
      <c r="E22" s="5">
        <f t="shared" si="2"/>
        <v>0</v>
      </c>
      <c r="F22" t="s">
        <v>187</v>
      </c>
    </row>
    <row r="23" spans="1:6">
      <c r="A23" t="s">
        <v>118</v>
      </c>
      <c r="B23" t="s">
        <v>119</v>
      </c>
      <c r="C23" s="5">
        <f t="shared" si="0"/>
        <v>0.03</v>
      </c>
      <c r="D23" s="5">
        <f t="shared" si="1"/>
        <v>0.05</v>
      </c>
      <c r="E23" s="5">
        <f t="shared" si="2"/>
        <v>0</v>
      </c>
      <c r="F23" t="s">
        <v>187</v>
      </c>
    </row>
    <row r="24" spans="1:6">
      <c r="A24" t="s">
        <v>120</v>
      </c>
      <c r="B24" t="s">
        <v>121</v>
      </c>
      <c r="C24" s="5">
        <f t="shared" si="0"/>
        <v>0.03</v>
      </c>
      <c r="D24" s="5">
        <f t="shared" si="1"/>
        <v>0.05</v>
      </c>
      <c r="E24" s="5">
        <f t="shared" si="2"/>
        <v>0</v>
      </c>
      <c r="F24" t="s">
        <v>187</v>
      </c>
    </row>
    <row r="25" spans="1:6">
      <c r="A25" t="s">
        <v>122</v>
      </c>
      <c r="B25" t="s">
        <v>123</v>
      </c>
      <c r="C25" s="5">
        <f t="shared" si="0"/>
        <v>0.03</v>
      </c>
      <c r="D25" s="5">
        <f t="shared" si="1"/>
        <v>0.05</v>
      </c>
      <c r="E25" s="5">
        <f t="shared" si="2"/>
        <v>0</v>
      </c>
      <c r="F25" t="s">
        <v>187</v>
      </c>
    </row>
    <row r="26" spans="1:6">
      <c r="A26" t="s">
        <v>124</v>
      </c>
      <c r="B26" t="s">
        <v>125</v>
      </c>
      <c r="C26" s="5">
        <f t="shared" si="0"/>
        <v>0.03</v>
      </c>
      <c r="D26" s="5">
        <f t="shared" si="1"/>
        <v>0.05</v>
      </c>
      <c r="E26" s="5">
        <f t="shared" si="2"/>
        <v>0</v>
      </c>
      <c r="F26" t="s">
        <v>187</v>
      </c>
    </row>
    <row r="27" spans="1:6">
      <c r="A27" t="s">
        <v>126</v>
      </c>
      <c r="B27" t="s">
        <v>127</v>
      </c>
      <c r="C27" s="5">
        <f t="shared" si="0"/>
        <v>0.03</v>
      </c>
      <c r="D27" s="5">
        <f t="shared" si="1"/>
        <v>0.05</v>
      </c>
      <c r="E27" s="5">
        <f t="shared" si="2"/>
        <v>0</v>
      </c>
      <c r="F27" t="s">
        <v>187</v>
      </c>
    </row>
    <row r="28" spans="1:6">
      <c r="A28" t="s">
        <v>128</v>
      </c>
      <c r="B28" t="s">
        <v>129</v>
      </c>
      <c r="C28" s="5">
        <f t="shared" si="0"/>
        <v>0.03</v>
      </c>
      <c r="D28" s="5">
        <f t="shared" si="1"/>
        <v>0.05</v>
      </c>
      <c r="E28" s="5">
        <f t="shared" si="2"/>
        <v>0</v>
      </c>
      <c r="F28" t="s">
        <v>187</v>
      </c>
    </row>
    <row r="29" spans="1:6">
      <c r="A29" t="s">
        <v>130</v>
      </c>
      <c r="B29" t="s">
        <v>131</v>
      </c>
      <c r="C29" s="5">
        <f t="shared" si="0"/>
        <v>0.03</v>
      </c>
      <c r="D29" s="5">
        <f t="shared" si="1"/>
        <v>0.05</v>
      </c>
      <c r="E29" s="5">
        <f t="shared" si="2"/>
        <v>0</v>
      </c>
      <c r="F29" t="s">
        <v>187</v>
      </c>
    </row>
    <row r="30" spans="1:6">
      <c r="A30" t="s">
        <v>132</v>
      </c>
      <c r="B30" t="s">
        <v>133</v>
      </c>
      <c r="C30" s="5">
        <f t="shared" si="0"/>
        <v>0.03</v>
      </c>
      <c r="D30" s="5">
        <f t="shared" si="1"/>
        <v>0.05</v>
      </c>
      <c r="E30" s="5">
        <f t="shared" si="2"/>
        <v>0</v>
      </c>
      <c r="F30" t="s">
        <v>187</v>
      </c>
    </row>
    <row r="31" spans="1:6">
      <c r="A31" t="s">
        <v>134</v>
      </c>
      <c r="B31" t="s">
        <v>135</v>
      </c>
      <c r="C31" s="5">
        <f t="shared" si="0"/>
        <v>0.03</v>
      </c>
      <c r="D31" s="5">
        <f t="shared" si="1"/>
        <v>0.05</v>
      </c>
      <c r="E31" s="5">
        <f t="shared" si="2"/>
        <v>0</v>
      </c>
      <c r="F31" t="s">
        <v>187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5"/>
  <cols>
    <col min="1" max="1" width="18" customWidth="1"/>
    <col min="2" max="2" width="55" customWidth="1"/>
    <col min="3" max="4" width="27" customWidth="1"/>
    <col min="5" max="5" width="38" customWidth="1"/>
    <col min="6" max="6" width="58" customWidth="1"/>
  </cols>
  <sheetData>
    <row r="1" ht="32" customHeight="1" spans="1:6">
      <c r="A1" s="3" t="s">
        <v>161</v>
      </c>
      <c r="B1" s="3" t="s">
        <v>82</v>
      </c>
      <c r="C1" s="3" t="s">
        <v>188</v>
      </c>
      <c r="D1" s="3" t="s">
        <v>189</v>
      </c>
      <c r="E1" s="3" t="s">
        <v>190</v>
      </c>
      <c r="F1" s="3" t="s">
        <v>191</v>
      </c>
    </row>
    <row r="2" spans="1:6">
      <c r="A2" t="s">
        <v>98</v>
      </c>
      <c r="B2" t="s">
        <v>99</v>
      </c>
      <c r="C2">
        <v>1462.4</v>
      </c>
      <c r="D2">
        <v>1484.1</v>
      </c>
      <c r="E2" s="11">
        <f t="shared" ref="E2:E20" si="0">IF(OR(C2="",D2=""),"",(D2/C2)^(1/10)-1)</f>
        <v>0.00147404595950484</v>
      </c>
      <c r="F2" t="s">
        <v>192</v>
      </c>
    </row>
    <row r="3" spans="1:6">
      <c r="A3" t="s">
        <v>100</v>
      </c>
      <c r="B3" t="s">
        <v>101</v>
      </c>
      <c r="C3">
        <v>573.5</v>
      </c>
      <c r="D3">
        <v>577.3</v>
      </c>
      <c r="E3" s="11">
        <f t="shared" si="0"/>
        <v>0.000660630670128004</v>
      </c>
      <c r="F3" t="s">
        <v>192</v>
      </c>
    </row>
    <row r="4" spans="1:6">
      <c r="A4" t="s">
        <v>102</v>
      </c>
      <c r="B4" t="s">
        <v>103</v>
      </c>
      <c r="C4">
        <v>601.3</v>
      </c>
      <c r="D4">
        <v>660.1</v>
      </c>
      <c r="E4" s="11">
        <f t="shared" si="0"/>
        <v>0.00937339371827695</v>
      </c>
      <c r="F4" t="s">
        <v>192</v>
      </c>
    </row>
    <row r="5" spans="1:6">
      <c r="A5" t="s">
        <v>104</v>
      </c>
      <c r="B5" t="s">
        <v>105</v>
      </c>
      <c r="C5">
        <v>8266.7</v>
      </c>
      <c r="D5">
        <v>8677.4</v>
      </c>
      <c r="E5" s="11">
        <f t="shared" si="0"/>
        <v>0.00486042853569812</v>
      </c>
      <c r="F5" t="s">
        <v>192</v>
      </c>
    </row>
    <row r="6" spans="1:6">
      <c r="A6" t="s">
        <v>106</v>
      </c>
      <c r="B6" t="s">
        <v>107</v>
      </c>
      <c r="C6">
        <v>12633.7</v>
      </c>
      <c r="D6">
        <v>12705.8</v>
      </c>
      <c r="E6" s="11">
        <f t="shared" si="0"/>
        <v>0.000569235491032494</v>
      </c>
      <c r="F6" t="s">
        <v>192</v>
      </c>
    </row>
    <row r="7" spans="1:6">
      <c r="A7" t="s">
        <v>108</v>
      </c>
      <c r="B7" t="s">
        <v>109</v>
      </c>
      <c r="C7">
        <v>6059.5</v>
      </c>
      <c r="D7">
        <v>6184.7</v>
      </c>
      <c r="E7" s="11">
        <f t="shared" si="0"/>
        <v>0.0020472138662182</v>
      </c>
      <c r="F7" t="s">
        <v>192</v>
      </c>
    </row>
    <row r="8" spans="1:6">
      <c r="A8" t="s">
        <v>110</v>
      </c>
      <c r="B8" t="s">
        <v>111</v>
      </c>
      <c r="C8">
        <v>15440.9</v>
      </c>
      <c r="D8">
        <v>15413.4</v>
      </c>
      <c r="E8" s="11">
        <f t="shared" si="0"/>
        <v>-0.000178241323836592</v>
      </c>
      <c r="F8" t="s">
        <v>192</v>
      </c>
    </row>
    <row r="9" spans="1:6">
      <c r="A9" t="s">
        <v>112</v>
      </c>
      <c r="B9" t="s">
        <v>113</v>
      </c>
      <c r="C9">
        <v>6639.5</v>
      </c>
      <c r="D9">
        <v>6846.8</v>
      </c>
      <c r="E9" s="11">
        <f t="shared" si="0"/>
        <v>0.00307920407858875</v>
      </c>
      <c r="F9" t="s">
        <v>193</v>
      </c>
    </row>
    <row r="10" spans="1:6">
      <c r="A10" t="s">
        <v>114</v>
      </c>
      <c r="B10" t="s">
        <v>115</v>
      </c>
      <c r="C10">
        <v>2861.9</v>
      </c>
      <c r="D10">
        <v>3012.9</v>
      </c>
      <c r="E10" s="11">
        <f t="shared" si="0"/>
        <v>0.005154974410291</v>
      </c>
      <c r="F10" t="s">
        <v>192</v>
      </c>
    </row>
    <row r="11" spans="1:6">
      <c r="A11" t="s">
        <v>116</v>
      </c>
      <c r="B11" t="s">
        <v>117</v>
      </c>
      <c r="C11">
        <v>6739.3</v>
      </c>
      <c r="D11">
        <v>6893.6</v>
      </c>
      <c r="E11" s="11">
        <f t="shared" si="0"/>
        <v>0.00226630248801496</v>
      </c>
      <c r="F11" t="s">
        <v>192</v>
      </c>
    </row>
    <row r="12" spans="1:6">
      <c r="A12" t="s">
        <v>118</v>
      </c>
      <c r="B12" t="s">
        <v>119</v>
      </c>
      <c r="C12">
        <v>2456.7</v>
      </c>
      <c r="D12">
        <v>2539.7</v>
      </c>
      <c r="E12" s="11">
        <f t="shared" si="0"/>
        <v>0.00332822406496547</v>
      </c>
      <c r="F12" t="s">
        <v>192</v>
      </c>
    </row>
    <row r="13" spans="1:6">
      <c r="A13" t="s">
        <v>120</v>
      </c>
      <c r="B13" t="s">
        <v>121</v>
      </c>
      <c r="C13">
        <v>10779.2</v>
      </c>
      <c r="D13">
        <v>11705.9</v>
      </c>
      <c r="E13" s="11">
        <f t="shared" si="0"/>
        <v>0.00828156771953514</v>
      </c>
      <c r="F13" t="s">
        <v>192</v>
      </c>
    </row>
    <row r="14" spans="1:6">
      <c r="A14" t="s">
        <v>122</v>
      </c>
      <c r="B14" t="s">
        <v>123</v>
      </c>
      <c r="C14">
        <v>2623.7</v>
      </c>
      <c r="D14">
        <v>2730.4</v>
      </c>
      <c r="E14" s="11">
        <f t="shared" si="0"/>
        <v>0.00399421402867972</v>
      </c>
      <c r="F14" t="s">
        <v>192</v>
      </c>
    </row>
    <row r="15" spans="1:6">
      <c r="A15" t="s">
        <v>124</v>
      </c>
      <c r="B15" t="s">
        <v>194</v>
      </c>
      <c r="C15">
        <v>9013.1</v>
      </c>
      <c r="D15">
        <v>9093.5</v>
      </c>
      <c r="E15" s="11">
        <f t="shared" si="0"/>
        <v>0.000888474258359917</v>
      </c>
      <c r="F15" t="s">
        <v>192</v>
      </c>
    </row>
    <row r="16" spans="1:6">
      <c r="A16" t="s">
        <v>126</v>
      </c>
      <c r="B16" t="s">
        <v>127</v>
      </c>
      <c r="C16">
        <v>4048.8</v>
      </c>
      <c r="D16">
        <v>4150.9</v>
      </c>
      <c r="E16" s="11">
        <f t="shared" si="0"/>
        <v>0.00249356750911445</v>
      </c>
      <c r="F16" t="s">
        <v>195</v>
      </c>
    </row>
    <row r="17" spans="1:6">
      <c r="A17" t="s">
        <v>128</v>
      </c>
      <c r="B17" t="s">
        <v>129</v>
      </c>
      <c r="C17">
        <v>23290</v>
      </c>
      <c r="D17">
        <v>25494.8</v>
      </c>
      <c r="E17" s="11">
        <f t="shared" si="0"/>
        <v>0.00908607260096317</v>
      </c>
      <c r="F17" t="s">
        <v>196</v>
      </c>
    </row>
    <row r="18" spans="1:6">
      <c r="A18" t="s">
        <v>130</v>
      </c>
      <c r="B18" t="s">
        <v>131</v>
      </c>
      <c r="C18">
        <v>2681.7</v>
      </c>
      <c r="D18">
        <v>2834.8</v>
      </c>
      <c r="E18" s="11">
        <f t="shared" si="0"/>
        <v>0.00556748779171956</v>
      </c>
      <c r="F18" t="s">
        <v>192</v>
      </c>
    </row>
    <row r="19" spans="1:6">
      <c r="A19" t="s">
        <v>132</v>
      </c>
      <c r="B19" t="s">
        <v>133</v>
      </c>
      <c r="C19">
        <v>14202.1</v>
      </c>
      <c r="D19">
        <v>14809.5</v>
      </c>
      <c r="E19" s="11">
        <f t="shared" si="0"/>
        <v>0.00419668409247698</v>
      </c>
      <c r="F19" t="s">
        <v>192</v>
      </c>
    </row>
    <row r="20" spans="1:6">
      <c r="A20" t="s">
        <v>134</v>
      </c>
      <c r="B20" t="s">
        <v>135</v>
      </c>
      <c r="C20">
        <v>6575.7</v>
      </c>
      <c r="D20">
        <v>6822.6</v>
      </c>
      <c r="E20" s="11">
        <f t="shared" si="0"/>
        <v>0.00369276096282278</v>
      </c>
      <c r="F20" t="s">
        <v>192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00"/>
  <sheetViews>
    <sheetView topLeftCell="C1" workbookViewId="0">
      <pane ySplit="1" topLeftCell="A2" activePane="bottomLeft" state="frozen"/>
      <selection/>
      <selection pane="bottomLeft" activeCell="D17" sqref="D17"/>
    </sheetView>
  </sheetViews>
  <sheetFormatPr defaultColWidth="9" defaultRowHeight="16.8" outlineLevelCol="6"/>
  <cols>
    <col min="1" max="1" width="60" customWidth="1"/>
    <col min="2" max="3" width="22" customWidth="1"/>
    <col min="4" max="4" width="27" customWidth="1"/>
    <col min="5" max="5" width="18" customWidth="1"/>
    <col min="6" max="6" width="54" customWidth="1"/>
    <col min="7" max="7" width="21" customWidth="1"/>
  </cols>
  <sheetData>
    <row r="1" ht="32" customHeight="1" spans="1:7">
      <c r="A1" s="3" t="s">
        <v>197</v>
      </c>
      <c r="B1" s="3" t="s">
        <v>198</v>
      </c>
      <c r="C1" s="3" t="s">
        <v>199</v>
      </c>
      <c r="D1" s="3" t="s">
        <v>200</v>
      </c>
      <c r="E1" s="3" t="s">
        <v>201</v>
      </c>
      <c r="F1" s="3" t="s">
        <v>202</v>
      </c>
      <c r="G1" s="3" t="s">
        <v>203</v>
      </c>
    </row>
    <row r="2" spans="1:7">
      <c r="A2" s="6" t="s">
        <v>204</v>
      </c>
      <c r="B2" s="6"/>
      <c r="C2" s="9">
        <v>1231078</v>
      </c>
      <c r="D2" s="10">
        <v>60088224865</v>
      </c>
      <c r="E2" t="str">
        <f t="shared" ref="E2:E65" si="0">IF(LEFT(TRIM(A2),6)="NAICS ",IFERROR(MID(TRIM(A2),7,FIND(" ",TRIM(A2)&amp;" ",7)-7),""),"")</f>
        <v>11</v>
      </c>
      <c r="F2" t="str">
        <f t="shared" ref="F2:F65" si="1">IF(E2="","",TRIM(MID(TRIM(A2),FIND(" ",TRIM(A2)&amp;" ",7)+1,255)))</f>
        <v>Agriculture, forestry, fishing and hunting</v>
      </c>
      <c r="G2" t="str">
        <f>IF(E2="","",IF(COUNTIF('DATA QCEW'!$A$2:$A$20,E2)&gt;0,"19-SECTOR","DETAIL / OTHER"))</f>
        <v>19-SECTOR</v>
      </c>
    </row>
    <row r="3" spans="1:7">
      <c r="A3" s="6" t="s">
        <v>205</v>
      </c>
      <c r="B3" s="6"/>
      <c r="C3" s="9">
        <v>570806</v>
      </c>
      <c r="D3" s="10">
        <v>76216722054</v>
      </c>
      <c r="E3" t="str">
        <f t="shared" si="0"/>
        <v>21</v>
      </c>
      <c r="F3" t="str">
        <f t="shared" si="1"/>
        <v>Mining, quarrying, and oil and gas extraction</v>
      </c>
      <c r="G3" t="str">
        <f>IF(E3="","",IF(COUNTIF('DATA QCEW'!$A$2:$A$20,E3)&gt;0,"19-SECTOR","DETAIL / OTHER"))</f>
        <v>19-SECTOR</v>
      </c>
    </row>
    <row r="4" spans="1:7">
      <c r="A4" s="6" t="s">
        <v>206</v>
      </c>
      <c r="B4" s="6"/>
      <c r="C4" s="9">
        <v>602080</v>
      </c>
      <c r="D4" s="10">
        <v>85024861666</v>
      </c>
      <c r="E4" t="str">
        <f t="shared" si="0"/>
        <v>22</v>
      </c>
      <c r="F4" t="str">
        <f t="shared" si="1"/>
        <v>Utilities</v>
      </c>
      <c r="G4" t="str">
        <f>IF(E4="","",IF(COUNTIF('DATA QCEW'!$A$2:$A$20,E4)&gt;0,"19-SECTOR","DETAIL / OTHER"))</f>
        <v>19-SECTOR</v>
      </c>
    </row>
    <row r="5" spans="1:7">
      <c r="A5" s="6" t="s">
        <v>207</v>
      </c>
      <c r="B5" s="6"/>
      <c r="C5" s="9">
        <v>8251002</v>
      </c>
      <c r="D5" s="10">
        <v>699896249139</v>
      </c>
      <c r="E5" t="str">
        <f t="shared" si="0"/>
        <v>23</v>
      </c>
      <c r="F5" t="str">
        <f t="shared" si="1"/>
        <v>Construction</v>
      </c>
      <c r="G5" t="str">
        <f>IF(E5="","",IF(COUNTIF('DATA QCEW'!$A$2:$A$20,E5)&gt;0,"19-SECTOR","DETAIL / OTHER"))</f>
        <v>19-SECTOR</v>
      </c>
    </row>
    <row r="6" spans="1:7">
      <c r="A6" s="6" t="s">
        <v>208</v>
      </c>
      <c r="B6" s="6"/>
      <c r="C6" s="9">
        <v>12579906</v>
      </c>
      <c r="D6" s="10">
        <v>1125542676332</v>
      </c>
      <c r="E6" t="str">
        <f t="shared" si="0"/>
        <v>31-33</v>
      </c>
      <c r="F6" t="str">
        <f t="shared" si="1"/>
        <v>Manufacturing</v>
      </c>
      <c r="G6" t="str">
        <f>IF(E6="","",IF(COUNTIF('DATA QCEW'!$A$2:$A$20,E6)&gt;0,"19-SECTOR","DETAIL / OTHER"))</f>
        <v>19-SECTOR</v>
      </c>
    </row>
    <row r="7" spans="1:7">
      <c r="A7" s="6" t="s">
        <v>209</v>
      </c>
      <c r="B7" s="6"/>
      <c r="C7" s="9">
        <v>6037213</v>
      </c>
      <c r="D7" s="10">
        <v>638878973832</v>
      </c>
      <c r="E7" t="str">
        <f t="shared" si="0"/>
        <v>42</v>
      </c>
      <c r="F7" t="str">
        <f t="shared" si="1"/>
        <v>Wholesale trade</v>
      </c>
      <c r="G7" t="str">
        <f>IF(E7="","",IF(COUNTIF('DATA QCEW'!$A$2:$A$20,E7)&gt;0,"19-SECTOR","DETAIL / OTHER"))</f>
        <v>19-SECTOR</v>
      </c>
    </row>
    <row r="8" spans="1:7">
      <c r="A8" s="6" t="s">
        <v>210</v>
      </c>
      <c r="B8" s="6"/>
      <c r="C8" s="9">
        <v>15391082</v>
      </c>
      <c r="D8" s="10">
        <v>668863568474</v>
      </c>
      <c r="E8" t="str">
        <f t="shared" si="0"/>
        <v>44-45</v>
      </c>
      <c r="F8" t="str">
        <f t="shared" si="1"/>
        <v>Retail trade</v>
      </c>
      <c r="G8" t="str">
        <f>IF(E8="","",IF(COUNTIF('DATA QCEW'!$A$2:$A$20,E8)&gt;0,"19-SECTOR","DETAIL / OTHER"))</f>
        <v>19-SECTOR</v>
      </c>
    </row>
    <row r="9" spans="1:7">
      <c r="A9" s="6" t="s">
        <v>211</v>
      </c>
      <c r="B9" s="6"/>
      <c r="C9" s="9">
        <v>6618917</v>
      </c>
      <c r="D9" s="10">
        <v>455483942924</v>
      </c>
      <c r="E9" t="str">
        <f t="shared" si="0"/>
        <v>48-49</v>
      </c>
      <c r="F9" t="str">
        <f t="shared" si="1"/>
        <v>Transportation and warehousing</v>
      </c>
      <c r="G9" t="str">
        <f>IF(E9="","",IF(COUNTIF('DATA QCEW'!$A$2:$A$20,E9)&gt;0,"19-SECTOR","DETAIL / OTHER"))</f>
        <v>19-SECTOR</v>
      </c>
    </row>
    <row r="10" spans="1:7">
      <c r="A10" s="6" t="s">
        <v>212</v>
      </c>
      <c r="B10" s="6"/>
      <c r="C10" s="9">
        <v>2850904</v>
      </c>
      <c r="D10" s="10">
        <v>544469565204</v>
      </c>
      <c r="E10" t="str">
        <f t="shared" si="0"/>
        <v>51</v>
      </c>
      <c r="F10" t="str">
        <f t="shared" si="1"/>
        <v>Information</v>
      </c>
      <c r="G10" t="str">
        <f>IF(E10="","",IF(COUNTIF('DATA QCEW'!$A$2:$A$20,E10)&gt;0,"19-SECTOR","DETAIL / OTHER"))</f>
        <v>19-SECTOR</v>
      </c>
    </row>
    <row r="11" spans="1:7">
      <c r="A11" s="6" t="s">
        <v>213</v>
      </c>
      <c r="B11" s="6"/>
      <c r="C11" s="9">
        <v>6316381</v>
      </c>
      <c r="D11" s="10">
        <v>966666752201</v>
      </c>
      <c r="E11" t="str">
        <f t="shared" si="0"/>
        <v>52</v>
      </c>
      <c r="F11" t="str">
        <f t="shared" si="1"/>
        <v>Finance and insurance</v>
      </c>
      <c r="G11" t="str">
        <f>IF(E11="","",IF(COUNTIF('DATA QCEW'!$A$2:$A$20,E11)&gt;0,"19-SECTOR","DETAIL / OTHER"))</f>
        <v>19-SECTOR</v>
      </c>
    </row>
    <row r="12" spans="1:7">
      <c r="A12" s="6" t="s">
        <v>214</v>
      </c>
      <c r="B12" s="6"/>
      <c r="C12" s="9">
        <v>2411118</v>
      </c>
      <c r="D12" s="10">
        <v>193529178704</v>
      </c>
      <c r="E12" t="str">
        <f t="shared" si="0"/>
        <v>53</v>
      </c>
      <c r="F12" t="str">
        <f t="shared" si="1"/>
        <v>Real estate and rental and leasing</v>
      </c>
      <c r="G12" t="str">
        <f>IF(E12="","",IF(COUNTIF('DATA QCEW'!$A$2:$A$20,E12)&gt;0,"19-SECTOR","DETAIL / OTHER"))</f>
        <v>19-SECTOR</v>
      </c>
    </row>
    <row r="13" spans="1:7">
      <c r="A13" s="6" t="s">
        <v>215</v>
      </c>
      <c r="B13" s="6"/>
      <c r="C13" s="9">
        <v>10750955</v>
      </c>
      <c r="D13" s="10">
        <v>1454390668355</v>
      </c>
      <c r="E13" t="str">
        <f t="shared" si="0"/>
        <v>54</v>
      </c>
      <c r="F13" t="str">
        <f t="shared" si="1"/>
        <v>Professional, scientific, and technical services</v>
      </c>
      <c r="G13" t="str">
        <f>IF(E13="","",IF(COUNTIF('DATA QCEW'!$A$2:$A$20,E13)&gt;0,"19-SECTOR","DETAIL / OTHER"))</f>
        <v>19-SECTOR</v>
      </c>
    </row>
    <row r="14" spans="1:7">
      <c r="A14" s="6" t="s">
        <v>216</v>
      </c>
      <c r="B14" s="6"/>
      <c r="C14" s="9">
        <v>2607739</v>
      </c>
      <c r="D14" s="10">
        <v>433010743495</v>
      </c>
      <c r="E14" t="str">
        <f t="shared" si="0"/>
        <v>55</v>
      </c>
      <c r="F14" t="str">
        <f t="shared" si="1"/>
        <v>Management of companies and enterprises</v>
      </c>
      <c r="G14" t="str">
        <f>IF(E14="","",IF(COUNTIF('DATA QCEW'!$A$2:$A$20,E14)&gt;0,"19-SECTOR","DETAIL / OTHER"))</f>
        <v>19-SECTOR</v>
      </c>
    </row>
    <row r="15" spans="1:7">
      <c r="A15" s="6" t="s">
        <v>217</v>
      </c>
      <c r="B15" s="6"/>
      <c r="C15" s="9">
        <v>9032175</v>
      </c>
      <c r="D15" s="10">
        <v>541582412876</v>
      </c>
      <c r="E15" t="str">
        <f t="shared" si="0"/>
        <v>56</v>
      </c>
      <c r="F15" t="str">
        <f t="shared" si="1"/>
        <v>Administrative and support and waste management</v>
      </c>
      <c r="G15" t="str">
        <f>IF(E15="","",IF(COUNTIF('DATA QCEW'!$A$2:$A$20,E15)&gt;0,"19-SECTOR","DETAIL / OTHER"))</f>
        <v>19-SECTOR</v>
      </c>
    </row>
    <row r="16" spans="1:7">
      <c r="A16" s="6" t="s">
        <v>218</v>
      </c>
      <c r="B16" s="6"/>
      <c r="C16" s="9">
        <v>3246686</v>
      </c>
      <c r="D16" s="10">
        <v>213875731365</v>
      </c>
      <c r="E16" t="str">
        <f t="shared" si="0"/>
        <v>61</v>
      </c>
      <c r="F16" t="str">
        <f t="shared" si="1"/>
        <v>Educational services</v>
      </c>
      <c r="G16" t="str">
        <f>IF(E16="","",IF(COUNTIF('DATA QCEW'!$A$2:$A$20,E16)&gt;0,"19-SECTOR","DETAIL / OTHER"))</f>
        <v>19-SECTOR</v>
      </c>
    </row>
    <row r="17" spans="1:7">
      <c r="A17" s="6" t="s">
        <v>219</v>
      </c>
      <c r="B17" s="6"/>
      <c r="C17" s="9">
        <v>22997661</v>
      </c>
      <c r="D17" s="10">
        <v>1529847054124</v>
      </c>
      <c r="E17" t="str">
        <f t="shared" si="0"/>
        <v>62</v>
      </c>
      <c r="F17" t="str">
        <f t="shared" si="1"/>
        <v>Health care and social assistance</v>
      </c>
      <c r="G17" t="str">
        <f>IF(E17="","",IF(COUNTIF('DATA QCEW'!$A$2:$A$20,E17)&gt;0,"19-SECTOR","DETAIL / OTHER"))</f>
        <v>19-SECTOR</v>
      </c>
    </row>
    <row r="18" spans="1:7">
      <c r="A18" s="6" t="s">
        <v>220</v>
      </c>
      <c r="B18" s="6"/>
      <c r="C18" s="9">
        <v>2667729</v>
      </c>
      <c r="D18" s="10">
        <v>139300037358</v>
      </c>
      <c r="E18" t="str">
        <f t="shared" si="0"/>
        <v>71</v>
      </c>
      <c r="F18" t="str">
        <f t="shared" si="1"/>
        <v>Arts, entertainment, and recreation</v>
      </c>
      <c r="G18" t="str">
        <f>IF(E18="","",IF(COUNTIF('DATA QCEW'!$A$2:$A$20,E18)&gt;0,"19-SECTOR","DETAIL / OTHER"))</f>
        <v>19-SECTOR</v>
      </c>
    </row>
    <row r="19" spans="1:7">
      <c r="A19" s="6" t="s">
        <v>221</v>
      </c>
      <c r="B19" s="6"/>
      <c r="C19" s="9">
        <v>14119799</v>
      </c>
      <c r="D19" s="10">
        <v>434509247245</v>
      </c>
      <c r="E19" t="str">
        <f t="shared" si="0"/>
        <v>72</v>
      </c>
      <c r="F19" t="str">
        <f t="shared" si="1"/>
        <v>Accommodation and food services</v>
      </c>
      <c r="G19" t="str">
        <f>IF(E19="","",IF(COUNTIF('DATA QCEW'!$A$2:$A$20,E19)&gt;0,"19-SECTOR","DETAIL / OTHER"))</f>
        <v>19-SECTOR</v>
      </c>
    </row>
    <row r="20" spans="1:7">
      <c r="A20" s="6" t="s">
        <v>222</v>
      </c>
      <c r="B20" s="6"/>
      <c r="C20" s="9">
        <v>4675880</v>
      </c>
      <c r="D20" s="10">
        <v>254468914292</v>
      </c>
      <c r="E20" t="str">
        <f t="shared" si="0"/>
        <v>81</v>
      </c>
      <c r="F20" t="str">
        <f t="shared" si="1"/>
        <v>Other services (except public administration)</v>
      </c>
      <c r="G20" t="str">
        <f>IF(E20="","",IF(COUNTIF('DATA QCEW'!$A$2:$A$20,E20)&gt;0,"19-SECTOR","DETAIL / OTHER"))</f>
        <v>19-SECTOR</v>
      </c>
    </row>
    <row r="21" spans="1:7">
      <c r="A21" s="6" t="s">
        <v>223</v>
      </c>
      <c r="B21" s="6"/>
      <c r="C21" s="6"/>
      <c r="D21" s="10">
        <v>16545877587</v>
      </c>
      <c r="E21" t="str">
        <f t="shared" si="0"/>
        <v>99</v>
      </c>
      <c r="F21" t="str">
        <f t="shared" si="1"/>
        <v>Unclassified</v>
      </c>
      <c r="G21" t="str">
        <f>IF(E21="","",IF(COUNTIF('DATA QCEW'!$A$2:$A$20,E21)&gt;0,"19-SECTOR","DETAIL / OTHER"))</f>
        <v>DETAIL / OTHER</v>
      </c>
    </row>
    <row r="22" spans="1:7">
      <c r="A22" t="s">
        <v>224</v>
      </c>
      <c r="C22">
        <f>SUM(C2:C20)</f>
        <v>132959111</v>
      </c>
      <c r="D22" s="8">
        <v>10532191402092</v>
      </c>
      <c r="E22" t="str">
        <f t="shared" si="0"/>
        <v/>
      </c>
      <c r="F22" t="str">
        <f t="shared" si="1"/>
        <v/>
      </c>
      <c r="G22" t="str">
        <f>IF(E22="","",IF(COUNTIF('DATA QCEW'!$A$2:$A$20,E22)&gt;0,"19-SECTOR","DETAIL / OTHER"))</f>
        <v/>
      </c>
    </row>
    <row r="23" spans="1:7">
      <c r="D23" s="8"/>
      <c r="E23" t="str">
        <f t="shared" si="0"/>
        <v/>
      </c>
      <c r="F23" t="str">
        <f t="shared" si="1"/>
        <v/>
      </c>
      <c r="G23" t="str">
        <f>IF(E23="","",IF(COUNTIF('DATA QCEW'!$A$2:$A$20,E23)&gt;0,"19-SECTOR","DETAIL / OTHER"))</f>
        <v/>
      </c>
    </row>
    <row r="24" spans="1:7">
      <c r="D24" s="8"/>
      <c r="E24" t="str">
        <f t="shared" si="0"/>
        <v/>
      </c>
      <c r="F24" t="str">
        <f t="shared" si="1"/>
        <v/>
      </c>
      <c r="G24" t="str">
        <f>IF(E24="","",IF(COUNTIF('DATA QCEW'!$A$2:$A$20,E24)&gt;0,"19-SECTOR","DETAIL / OTHER"))</f>
        <v/>
      </c>
    </row>
    <row r="25" spans="1:7">
      <c r="D25" s="8"/>
      <c r="E25" t="str">
        <f t="shared" si="0"/>
        <v/>
      </c>
      <c r="F25" t="str">
        <f t="shared" si="1"/>
        <v/>
      </c>
      <c r="G25" t="str">
        <f>IF(E25="","",IF(COUNTIF('DATA QCEW'!$A$2:$A$20,E25)&gt;0,"19-SECTOR","DETAIL / OTHER"))</f>
        <v/>
      </c>
    </row>
    <row r="26" spans="1:7">
      <c r="D26" s="8"/>
      <c r="E26" t="str">
        <f t="shared" si="0"/>
        <v/>
      </c>
      <c r="F26" t="str">
        <f t="shared" si="1"/>
        <v/>
      </c>
      <c r="G26" t="str">
        <f>IF(E26="","",IF(COUNTIF('DATA QCEW'!$A$2:$A$20,E26)&gt;0,"19-SECTOR","DETAIL / OTHER"))</f>
        <v/>
      </c>
    </row>
    <row r="27" spans="1:7">
      <c r="D27" s="8"/>
      <c r="E27" t="str">
        <f t="shared" si="0"/>
        <v/>
      </c>
      <c r="F27" t="str">
        <f t="shared" si="1"/>
        <v/>
      </c>
      <c r="G27" t="str">
        <f>IF(E27="","",IF(COUNTIF('DATA QCEW'!$A$2:$A$20,E27)&gt;0,"19-SECTOR","DETAIL / OTHER"))</f>
        <v/>
      </c>
    </row>
    <row r="28" spans="1:7">
      <c r="D28" s="8"/>
      <c r="E28" t="str">
        <f t="shared" si="0"/>
        <v/>
      </c>
      <c r="F28" t="str">
        <f t="shared" si="1"/>
        <v/>
      </c>
      <c r="G28" t="str">
        <f>IF(E28="","",IF(COUNTIF('DATA QCEW'!$A$2:$A$20,E28)&gt;0,"19-SECTOR","DETAIL / OTHER"))</f>
        <v/>
      </c>
    </row>
    <row r="29" spans="1:7">
      <c r="D29" s="8"/>
      <c r="E29" t="str">
        <f t="shared" si="0"/>
        <v/>
      </c>
      <c r="F29" t="str">
        <f t="shared" si="1"/>
        <v/>
      </c>
      <c r="G29" t="str">
        <f>IF(E29="","",IF(COUNTIF('DATA QCEW'!$A$2:$A$20,E29)&gt;0,"19-SECTOR","DETAIL / OTHER"))</f>
        <v/>
      </c>
    </row>
    <row r="30" spans="1:7">
      <c r="D30" s="8"/>
      <c r="E30" t="str">
        <f t="shared" si="0"/>
        <v/>
      </c>
      <c r="F30" t="str">
        <f t="shared" si="1"/>
        <v/>
      </c>
      <c r="G30" t="str">
        <f>IF(E30="","",IF(COUNTIF('DATA QCEW'!$A$2:$A$20,E30)&gt;0,"19-SECTOR","DETAIL / OTHER"))</f>
        <v/>
      </c>
    </row>
    <row r="31" spans="1:7">
      <c r="D31" s="8"/>
      <c r="E31" t="str">
        <f t="shared" si="0"/>
        <v/>
      </c>
      <c r="F31" t="str">
        <f t="shared" si="1"/>
        <v/>
      </c>
      <c r="G31" t="str">
        <f>IF(E31="","",IF(COUNTIF('DATA QCEW'!$A$2:$A$20,E31)&gt;0,"19-SECTOR","DETAIL / OTHER"))</f>
        <v/>
      </c>
    </row>
    <row r="32" spans="1:7">
      <c r="D32" s="8"/>
      <c r="E32" t="str">
        <f t="shared" si="0"/>
        <v/>
      </c>
      <c r="F32" t="str">
        <f t="shared" si="1"/>
        <v/>
      </c>
      <c r="G32" t="str">
        <f>IF(E32="","",IF(COUNTIF('DATA QCEW'!$A$2:$A$20,E32)&gt;0,"19-SECTOR","DETAIL / OTHER"))</f>
        <v/>
      </c>
    </row>
    <row r="33" spans="4:7">
      <c r="D33" s="8"/>
      <c r="E33" t="str">
        <f t="shared" si="0"/>
        <v/>
      </c>
      <c r="F33" t="str">
        <f t="shared" si="1"/>
        <v/>
      </c>
      <c r="G33" t="str">
        <f>IF(E33="","",IF(COUNTIF('DATA QCEW'!$A$2:$A$20,E33)&gt;0,"19-SECTOR","DETAIL / OTHER"))</f>
        <v/>
      </c>
    </row>
    <row r="34" spans="4:7">
      <c r="D34" s="8"/>
      <c r="E34" t="str">
        <f t="shared" si="0"/>
        <v/>
      </c>
      <c r="F34" t="str">
        <f t="shared" si="1"/>
        <v/>
      </c>
      <c r="G34" t="str">
        <f>IF(E34="","",IF(COUNTIF('DATA QCEW'!$A$2:$A$20,E34)&gt;0,"19-SECTOR","DETAIL / OTHER"))</f>
        <v/>
      </c>
    </row>
    <row r="35" spans="4:7">
      <c r="D35" s="8"/>
      <c r="E35" t="str">
        <f t="shared" si="0"/>
        <v/>
      </c>
      <c r="F35" t="str">
        <f t="shared" si="1"/>
        <v/>
      </c>
      <c r="G35" t="str">
        <f>IF(E35="","",IF(COUNTIF('DATA QCEW'!$A$2:$A$20,E35)&gt;0,"19-SECTOR","DETAIL / OTHER"))</f>
        <v/>
      </c>
    </row>
    <row r="36" spans="4:7">
      <c r="D36" s="8"/>
      <c r="E36" t="str">
        <f t="shared" si="0"/>
        <v/>
      </c>
      <c r="F36" t="str">
        <f t="shared" si="1"/>
        <v/>
      </c>
      <c r="G36" t="str">
        <f>IF(E36="","",IF(COUNTIF('DATA QCEW'!$A$2:$A$20,E36)&gt;0,"19-SECTOR","DETAIL / OTHER"))</f>
        <v/>
      </c>
    </row>
    <row r="37" spans="4:7">
      <c r="D37" s="8"/>
      <c r="E37" t="str">
        <f t="shared" si="0"/>
        <v/>
      </c>
      <c r="F37" t="str">
        <f t="shared" si="1"/>
        <v/>
      </c>
      <c r="G37" t="str">
        <f>IF(E37="","",IF(COUNTIF('DATA QCEW'!$A$2:$A$20,E37)&gt;0,"19-SECTOR","DETAIL / OTHER"))</f>
        <v/>
      </c>
    </row>
    <row r="38" spans="4:7">
      <c r="D38" s="8"/>
      <c r="E38" t="str">
        <f t="shared" si="0"/>
        <v/>
      </c>
      <c r="F38" t="str">
        <f t="shared" si="1"/>
        <v/>
      </c>
      <c r="G38" t="str">
        <f>IF(E38="","",IF(COUNTIF('DATA QCEW'!$A$2:$A$20,E38)&gt;0,"19-SECTOR","DETAIL / OTHER"))</f>
        <v/>
      </c>
    </row>
    <row r="39" spans="4:7">
      <c r="D39" s="8"/>
      <c r="E39" t="str">
        <f t="shared" si="0"/>
        <v/>
      </c>
      <c r="F39" t="str">
        <f t="shared" si="1"/>
        <v/>
      </c>
      <c r="G39" t="str">
        <f>IF(E39="","",IF(COUNTIF('DATA QCEW'!$A$2:$A$20,E39)&gt;0,"19-SECTOR","DETAIL / OTHER"))</f>
        <v/>
      </c>
    </row>
    <row r="40" spans="4:7">
      <c r="D40" s="8"/>
      <c r="E40" t="str">
        <f t="shared" si="0"/>
        <v/>
      </c>
      <c r="F40" t="str">
        <f t="shared" si="1"/>
        <v/>
      </c>
      <c r="G40" t="str">
        <f>IF(E40="","",IF(COUNTIF('DATA QCEW'!$A$2:$A$20,E40)&gt;0,"19-SECTOR","DETAIL / OTHER"))</f>
        <v/>
      </c>
    </row>
    <row r="41" spans="4:7">
      <c r="D41" s="8"/>
      <c r="E41" t="str">
        <f t="shared" si="0"/>
        <v/>
      </c>
      <c r="F41" t="str">
        <f t="shared" si="1"/>
        <v/>
      </c>
      <c r="G41" t="str">
        <f>IF(E41="","",IF(COUNTIF('DATA QCEW'!$A$2:$A$20,E41)&gt;0,"19-SECTOR","DETAIL / OTHER"))</f>
        <v/>
      </c>
    </row>
    <row r="42" spans="4:7">
      <c r="D42" s="8"/>
      <c r="E42" t="str">
        <f t="shared" si="0"/>
        <v/>
      </c>
      <c r="F42" t="str">
        <f t="shared" si="1"/>
        <v/>
      </c>
      <c r="G42" t="str">
        <f>IF(E42="","",IF(COUNTIF('DATA QCEW'!$A$2:$A$20,E42)&gt;0,"19-SECTOR","DETAIL / OTHER"))</f>
        <v/>
      </c>
    </row>
    <row r="43" spans="4:7">
      <c r="D43" s="8"/>
      <c r="E43" t="str">
        <f t="shared" si="0"/>
        <v/>
      </c>
      <c r="F43" t="str">
        <f t="shared" si="1"/>
        <v/>
      </c>
      <c r="G43" t="str">
        <f>IF(E43="","",IF(COUNTIF('DATA QCEW'!$A$2:$A$20,E43)&gt;0,"19-SECTOR","DETAIL / OTHER"))</f>
        <v/>
      </c>
    </row>
    <row r="44" spans="4:7">
      <c r="D44" s="8"/>
      <c r="E44" t="str">
        <f t="shared" si="0"/>
        <v/>
      </c>
      <c r="F44" t="str">
        <f t="shared" si="1"/>
        <v/>
      </c>
      <c r="G44" t="str">
        <f>IF(E44="","",IF(COUNTIF('DATA QCEW'!$A$2:$A$20,E44)&gt;0,"19-SECTOR","DETAIL / OTHER"))</f>
        <v/>
      </c>
    </row>
    <row r="45" spans="4:7">
      <c r="D45" s="8"/>
      <c r="E45" t="str">
        <f t="shared" si="0"/>
        <v/>
      </c>
      <c r="F45" t="str">
        <f t="shared" si="1"/>
        <v/>
      </c>
      <c r="G45" t="str">
        <f>IF(E45="","",IF(COUNTIF('DATA QCEW'!$A$2:$A$20,E45)&gt;0,"19-SECTOR","DETAIL / OTHER"))</f>
        <v/>
      </c>
    </row>
    <row r="46" spans="4:7">
      <c r="D46" s="8"/>
      <c r="E46" t="str">
        <f t="shared" si="0"/>
        <v/>
      </c>
      <c r="F46" t="str">
        <f t="shared" si="1"/>
        <v/>
      </c>
      <c r="G46" t="str">
        <f>IF(E46="","",IF(COUNTIF('DATA QCEW'!$A$2:$A$20,E46)&gt;0,"19-SECTOR","DETAIL / OTHER"))</f>
        <v/>
      </c>
    </row>
    <row r="47" spans="4:7">
      <c r="D47" s="8"/>
      <c r="E47" t="str">
        <f t="shared" si="0"/>
        <v/>
      </c>
      <c r="F47" t="str">
        <f t="shared" si="1"/>
        <v/>
      </c>
      <c r="G47" t="str">
        <f>IF(E47="","",IF(COUNTIF('DATA QCEW'!$A$2:$A$20,E47)&gt;0,"19-SECTOR","DETAIL / OTHER"))</f>
        <v/>
      </c>
    </row>
    <row r="48" spans="4:7">
      <c r="D48" s="8"/>
      <c r="E48" t="str">
        <f t="shared" si="0"/>
        <v/>
      </c>
      <c r="F48" t="str">
        <f t="shared" si="1"/>
        <v/>
      </c>
      <c r="G48" t="str">
        <f>IF(E48="","",IF(COUNTIF('DATA QCEW'!$A$2:$A$20,E48)&gt;0,"19-SECTOR","DETAIL / OTHER"))</f>
        <v/>
      </c>
    </row>
    <row r="49" spans="4:7">
      <c r="D49" s="8"/>
      <c r="E49" t="str">
        <f t="shared" si="0"/>
        <v/>
      </c>
      <c r="F49" t="str">
        <f t="shared" si="1"/>
        <v/>
      </c>
      <c r="G49" t="str">
        <f>IF(E49="","",IF(COUNTIF('DATA QCEW'!$A$2:$A$20,E49)&gt;0,"19-SECTOR","DETAIL / OTHER"))</f>
        <v/>
      </c>
    </row>
    <row r="50" spans="4:7">
      <c r="D50" s="8"/>
      <c r="E50" t="str">
        <f t="shared" si="0"/>
        <v/>
      </c>
      <c r="F50" t="str">
        <f t="shared" si="1"/>
        <v/>
      </c>
      <c r="G50" t="str">
        <f>IF(E50="","",IF(COUNTIF('DATA QCEW'!$A$2:$A$20,E50)&gt;0,"19-SECTOR","DETAIL / OTHER"))</f>
        <v/>
      </c>
    </row>
    <row r="51" spans="4:7">
      <c r="D51" s="8"/>
      <c r="E51" t="str">
        <f t="shared" si="0"/>
        <v/>
      </c>
      <c r="F51" t="str">
        <f t="shared" si="1"/>
        <v/>
      </c>
      <c r="G51" t="str">
        <f>IF(E51="","",IF(COUNTIF('DATA QCEW'!$A$2:$A$20,E51)&gt;0,"19-SECTOR","DETAIL / OTHER"))</f>
        <v/>
      </c>
    </row>
    <row r="52" spans="4:7">
      <c r="D52" s="8"/>
      <c r="E52" t="str">
        <f t="shared" si="0"/>
        <v/>
      </c>
      <c r="F52" t="str">
        <f t="shared" si="1"/>
        <v/>
      </c>
      <c r="G52" t="str">
        <f>IF(E52="","",IF(COUNTIF('DATA QCEW'!$A$2:$A$20,E52)&gt;0,"19-SECTOR","DETAIL / OTHER"))</f>
        <v/>
      </c>
    </row>
    <row r="53" spans="4:7">
      <c r="D53" s="8"/>
      <c r="E53" t="str">
        <f t="shared" si="0"/>
        <v/>
      </c>
      <c r="F53" t="str">
        <f t="shared" si="1"/>
        <v/>
      </c>
      <c r="G53" t="str">
        <f>IF(E53="","",IF(COUNTIF('DATA QCEW'!$A$2:$A$20,E53)&gt;0,"19-SECTOR","DETAIL / OTHER"))</f>
        <v/>
      </c>
    </row>
    <row r="54" spans="4:7">
      <c r="D54" s="8"/>
      <c r="E54" t="str">
        <f t="shared" si="0"/>
        <v/>
      </c>
      <c r="F54" t="str">
        <f t="shared" si="1"/>
        <v/>
      </c>
      <c r="G54" t="str">
        <f>IF(E54="","",IF(COUNTIF('DATA QCEW'!$A$2:$A$20,E54)&gt;0,"19-SECTOR","DETAIL / OTHER"))</f>
        <v/>
      </c>
    </row>
    <row r="55" spans="4:7">
      <c r="D55" s="8"/>
      <c r="E55" t="str">
        <f t="shared" si="0"/>
        <v/>
      </c>
      <c r="F55" t="str">
        <f t="shared" si="1"/>
        <v/>
      </c>
      <c r="G55" t="str">
        <f>IF(E55="","",IF(COUNTIF('DATA QCEW'!$A$2:$A$20,E55)&gt;0,"19-SECTOR","DETAIL / OTHER"))</f>
        <v/>
      </c>
    </row>
    <row r="56" spans="4:7">
      <c r="D56" s="8"/>
      <c r="E56" t="str">
        <f t="shared" si="0"/>
        <v/>
      </c>
      <c r="F56" t="str">
        <f t="shared" si="1"/>
        <v/>
      </c>
      <c r="G56" t="str">
        <f>IF(E56="","",IF(COUNTIF('DATA QCEW'!$A$2:$A$20,E56)&gt;0,"19-SECTOR","DETAIL / OTHER"))</f>
        <v/>
      </c>
    </row>
    <row r="57" spans="4:7">
      <c r="D57" s="8"/>
      <c r="E57" t="str">
        <f t="shared" si="0"/>
        <v/>
      </c>
      <c r="F57" t="str">
        <f t="shared" si="1"/>
        <v/>
      </c>
      <c r="G57" t="str">
        <f>IF(E57="","",IF(COUNTIF('DATA QCEW'!$A$2:$A$20,E57)&gt;0,"19-SECTOR","DETAIL / OTHER"))</f>
        <v/>
      </c>
    </row>
    <row r="58" spans="4:7">
      <c r="D58" s="8"/>
      <c r="E58" t="str">
        <f t="shared" si="0"/>
        <v/>
      </c>
      <c r="F58" t="str">
        <f t="shared" si="1"/>
        <v/>
      </c>
      <c r="G58" t="str">
        <f>IF(E58="","",IF(COUNTIF('DATA QCEW'!$A$2:$A$20,E58)&gt;0,"19-SECTOR","DETAIL / OTHER"))</f>
        <v/>
      </c>
    </row>
    <row r="59" spans="4:7">
      <c r="D59" s="8"/>
      <c r="E59" t="str">
        <f t="shared" si="0"/>
        <v/>
      </c>
      <c r="F59" t="str">
        <f t="shared" si="1"/>
        <v/>
      </c>
      <c r="G59" t="str">
        <f>IF(E59="","",IF(COUNTIF('DATA QCEW'!$A$2:$A$20,E59)&gt;0,"19-SECTOR","DETAIL / OTHER"))</f>
        <v/>
      </c>
    </row>
    <row r="60" spans="4:7">
      <c r="D60" s="8"/>
      <c r="E60" t="str">
        <f t="shared" si="0"/>
        <v/>
      </c>
      <c r="F60" t="str">
        <f t="shared" si="1"/>
        <v/>
      </c>
      <c r="G60" t="str">
        <f>IF(E60="","",IF(COUNTIF('DATA QCEW'!$A$2:$A$20,E60)&gt;0,"19-SECTOR","DETAIL / OTHER"))</f>
        <v/>
      </c>
    </row>
    <row r="61" spans="4:7">
      <c r="D61" s="8"/>
      <c r="E61" t="str">
        <f t="shared" si="0"/>
        <v/>
      </c>
      <c r="F61" t="str">
        <f t="shared" si="1"/>
        <v/>
      </c>
      <c r="G61" t="str">
        <f>IF(E61="","",IF(COUNTIF('DATA QCEW'!$A$2:$A$20,E61)&gt;0,"19-SECTOR","DETAIL / OTHER"))</f>
        <v/>
      </c>
    </row>
    <row r="62" spans="4:7">
      <c r="D62" s="8"/>
      <c r="E62" t="str">
        <f t="shared" si="0"/>
        <v/>
      </c>
      <c r="F62" t="str">
        <f t="shared" si="1"/>
        <v/>
      </c>
      <c r="G62" t="str">
        <f>IF(E62="","",IF(COUNTIF('DATA QCEW'!$A$2:$A$20,E62)&gt;0,"19-SECTOR","DETAIL / OTHER"))</f>
        <v/>
      </c>
    </row>
    <row r="63" spans="4:7">
      <c r="D63" s="8"/>
      <c r="E63" t="str">
        <f t="shared" si="0"/>
        <v/>
      </c>
      <c r="F63" t="str">
        <f t="shared" si="1"/>
        <v/>
      </c>
      <c r="G63" t="str">
        <f>IF(E63="","",IF(COUNTIF('DATA QCEW'!$A$2:$A$20,E63)&gt;0,"19-SECTOR","DETAIL / OTHER"))</f>
        <v/>
      </c>
    </row>
    <row r="64" spans="4:7">
      <c r="D64" s="8"/>
      <c r="E64" t="str">
        <f t="shared" si="0"/>
        <v/>
      </c>
      <c r="F64" t="str">
        <f t="shared" si="1"/>
        <v/>
      </c>
      <c r="G64" t="str">
        <f>IF(E64="","",IF(COUNTIF('DATA QCEW'!$A$2:$A$20,E64)&gt;0,"19-SECTOR","DETAIL / OTHER"))</f>
        <v/>
      </c>
    </row>
    <row r="65" spans="4:7">
      <c r="D65" s="8"/>
      <c r="E65" t="str">
        <f t="shared" si="0"/>
        <v/>
      </c>
      <c r="F65" t="str">
        <f t="shared" si="1"/>
        <v/>
      </c>
      <c r="G65" t="str">
        <f>IF(E65="","",IF(COUNTIF('DATA QCEW'!$A$2:$A$20,E65)&gt;0,"19-SECTOR","DETAIL / OTHER"))</f>
        <v/>
      </c>
    </row>
    <row r="66" spans="4:7">
      <c r="D66" s="8"/>
      <c r="E66" t="str">
        <f t="shared" ref="E66:E129" si="2">IF(LEFT(TRIM(A66),6)="NAICS ",IFERROR(MID(TRIM(A66),7,FIND(" ",TRIM(A66)&amp;" ",7)-7),""),"")</f>
        <v/>
      </c>
      <c r="F66" t="str">
        <f t="shared" ref="F66:F129" si="3">IF(E66="","",TRIM(MID(TRIM(A66),FIND(" ",TRIM(A66)&amp;" ",7)+1,255)))</f>
        <v/>
      </c>
      <c r="G66" t="str">
        <f>IF(E66="","",IF(COUNTIF('DATA QCEW'!$A$2:$A$20,E66)&gt;0,"19-SECTOR","DETAIL / OTHER"))</f>
        <v/>
      </c>
    </row>
    <row r="67" spans="4:7">
      <c r="D67" s="8"/>
      <c r="E67" t="str">
        <f t="shared" si="2"/>
        <v/>
      </c>
      <c r="F67" t="str">
        <f t="shared" si="3"/>
        <v/>
      </c>
      <c r="G67" t="str">
        <f>IF(E67="","",IF(COUNTIF('DATA QCEW'!$A$2:$A$20,E67)&gt;0,"19-SECTOR","DETAIL / OTHER"))</f>
        <v/>
      </c>
    </row>
    <row r="68" spans="4:7">
      <c r="D68" s="8"/>
      <c r="E68" t="str">
        <f t="shared" si="2"/>
        <v/>
      </c>
      <c r="F68" t="str">
        <f t="shared" si="3"/>
        <v/>
      </c>
      <c r="G68" t="str">
        <f>IF(E68="","",IF(COUNTIF('DATA QCEW'!$A$2:$A$20,E68)&gt;0,"19-SECTOR","DETAIL / OTHER"))</f>
        <v/>
      </c>
    </row>
    <row r="69" spans="4:7">
      <c r="D69" s="8"/>
      <c r="E69" t="str">
        <f t="shared" si="2"/>
        <v/>
      </c>
      <c r="F69" t="str">
        <f t="shared" si="3"/>
        <v/>
      </c>
      <c r="G69" t="str">
        <f>IF(E69="","",IF(COUNTIF('DATA QCEW'!$A$2:$A$20,E69)&gt;0,"19-SECTOR","DETAIL / OTHER"))</f>
        <v/>
      </c>
    </row>
    <row r="70" spans="4:7">
      <c r="D70" s="8"/>
      <c r="E70" t="str">
        <f t="shared" si="2"/>
        <v/>
      </c>
      <c r="F70" t="str">
        <f t="shared" si="3"/>
        <v/>
      </c>
      <c r="G70" t="str">
        <f>IF(E70="","",IF(COUNTIF('DATA QCEW'!$A$2:$A$20,E70)&gt;0,"19-SECTOR","DETAIL / OTHER"))</f>
        <v/>
      </c>
    </row>
    <row r="71" spans="4:7">
      <c r="D71" s="8"/>
      <c r="E71" t="str">
        <f t="shared" si="2"/>
        <v/>
      </c>
      <c r="F71" t="str">
        <f t="shared" si="3"/>
        <v/>
      </c>
      <c r="G71" t="str">
        <f>IF(E71="","",IF(COUNTIF('DATA QCEW'!$A$2:$A$20,E71)&gt;0,"19-SECTOR","DETAIL / OTHER"))</f>
        <v/>
      </c>
    </row>
    <row r="72" spans="4:7">
      <c r="D72" s="8"/>
      <c r="E72" t="str">
        <f t="shared" si="2"/>
        <v/>
      </c>
      <c r="F72" t="str">
        <f t="shared" si="3"/>
        <v/>
      </c>
      <c r="G72" t="str">
        <f>IF(E72="","",IF(COUNTIF('DATA QCEW'!$A$2:$A$20,E72)&gt;0,"19-SECTOR","DETAIL / OTHER"))</f>
        <v/>
      </c>
    </row>
    <row r="73" spans="4:7">
      <c r="D73" s="8"/>
      <c r="E73" t="str">
        <f t="shared" si="2"/>
        <v/>
      </c>
      <c r="F73" t="str">
        <f t="shared" si="3"/>
        <v/>
      </c>
      <c r="G73" t="str">
        <f>IF(E73="","",IF(COUNTIF('DATA QCEW'!$A$2:$A$20,E73)&gt;0,"19-SECTOR","DETAIL / OTHER"))</f>
        <v/>
      </c>
    </row>
    <row r="74" spans="4:7">
      <c r="D74" s="8"/>
      <c r="E74" t="str">
        <f t="shared" si="2"/>
        <v/>
      </c>
      <c r="F74" t="str">
        <f t="shared" si="3"/>
        <v/>
      </c>
      <c r="G74" t="str">
        <f>IF(E74="","",IF(COUNTIF('DATA QCEW'!$A$2:$A$20,E74)&gt;0,"19-SECTOR","DETAIL / OTHER"))</f>
        <v/>
      </c>
    </row>
    <row r="75" spans="4:7">
      <c r="D75" s="8"/>
      <c r="E75" t="str">
        <f t="shared" si="2"/>
        <v/>
      </c>
      <c r="F75" t="str">
        <f t="shared" si="3"/>
        <v/>
      </c>
      <c r="G75" t="str">
        <f>IF(E75="","",IF(COUNTIF('DATA QCEW'!$A$2:$A$20,E75)&gt;0,"19-SECTOR","DETAIL / OTHER"))</f>
        <v/>
      </c>
    </row>
    <row r="76" spans="4:7">
      <c r="D76" s="8"/>
      <c r="E76" t="str">
        <f t="shared" si="2"/>
        <v/>
      </c>
      <c r="F76" t="str">
        <f t="shared" si="3"/>
        <v/>
      </c>
      <c r="G76" t="str">
        <f>IF(E76="","",IF(COUNTIF('DATA QCEW'!$A$2:$A$20,E76)&gt;0,"19-SECTOR","DETAIL / OTHER"))</f>
        <v/>
      </c>
    </row>
    <row r="77" spans="4:7">
      <c r="D77" s="8"/>
      <c r="E77" t="str">
        <f t="shared" si="2"/>
        <v/>
      </c>
      <c r="F77" t="str">
        <f t="shared" si="3"/>
        <v/>
      </c>
      <c r="G77" t="str">
        <f>IF(E77="","",IF(COUNTIF('DATA QCEW'!$A$2:$A$20,E77)&gt;0,"19-SECTOR","DETAIL / OTHER"))</f>
        <v/>
      </c>
    </row>
    <row r="78" spans="4:7">
      <c r="D78" s="8"/>
      <c r="E78" t="str">
        <f t="shared" si="2"/>
        <v/>
      </c>
      <c r="F78" t="str">
        <f t="shared" si="3"/>
        <v/>
      </c>
      <c r="G78" t="str">
        <f>IF(E78="","",IF(COUNTIF('DATA QCEW'!$A$2:$A$20,E78)&gt;0,"19-SECTOR","DETAIL / OTHER"))</f>
        <v/>
      </c>
    </row>
    <row r="79" spans="4:7">
      <c r="D79" s="8"/>
      <c r="E79" t="str">
        <f t="shared" si="2"/>
        <v/>
      </c>
      <c r="F79" t="str">
        <f t="shared" si="3"/>
        <v/>
      </c>
      <c r="G79" t="str">
        <f>IF(E79="","",IF(COUNTIF('DATA QCEW'!$A$2:$A$20,E79)&gt;0,"19-SECTOR","DETAIL / OTHER"))</f>
        <v/>
      </c>
    </row>
    <row r="80" spans="4:7">
      <c r="D80" s="8"/>
      <c r="E80" t="str">
        <f t="shared" si="2"/>
        <v/>
      </c>
      <c r="F80" t="str">
        <f t="shared" si="3"/>
        <v/>
      </c>
      <c r="G80" t="str">
        <f>IF(E80="","",IF(COUNTIF('DATA QCEW'!$A$2:$A$20,E80)&gt;0,"19-SECTOR","DETAIL / OTHER"))</f>
        <v/>
      </c>
    </row>
    <row r="81" spans="4:7">
      <c r="D81" s="8"/>
      <c r="E81" t="str">
        <f t="shared" si="2"/>
        <v/>
      </c>
      <c r="F81" t="str">
        <f t="shared" si="3"/>
        <v/>
      </c>
      <c r="G81" t="str">
        <f>IF(E81="","",IF(COUNTIF('DATA QCEW'!$A$2:$A$20,E81)&gt;0,"19-SECTOR","DETAIL / OTHER"))</f>
        <v/>
      </c>
    </row>
    <row r="82" spans="4:7">
      <c r="D82" s="8"/>
      <c r="E82" t="str">
        <f t="shared" si="2"/>
        <v/>
      </c>
      <c r="F82" t="str">
        <f t="shared" si="3"/>
        <v/>
      </c>
      <c r="G82" t="str">
        <f>IF(E82="","",IF(COUNTIF('DATA QCEW'!$A$2:$A$20,E82)&gt;0,"19-SECTOR","DETAIL / OTHER"))</f>
        <v/>
      </c>
    </row>
    <row r="83" spans="4:7">
      <c r="D83" s="8"/>
      <c r="E83" t="str">
        <f t="shared" si="2"/>
        <v/>
      </c>
      <c r="F83" t="str">
        <f t="shared" si="3"/>
        <v/>
      </c>
      <c r="G83" t="str">
        <f>IF(E83="","",IF(COUNTIF('DATA QCEW'!$A$2:$A$20,E83)&gt;0,"19-SECTOR","DETAIL / OTHER"))</f>
        <v/>
      </c>
    </row>
    <row r="84" spans="4:7">
      <c r="D84" s="8"/>
      <c r="E84" t="str">
        <f t="shared" si="2"/>
        <v/>
      </c>
      <c r="F84" t="str">
        <f t="shared" si="3"/>
        <v/>
      </c>
      <c r="G84" t="str">
        <f>IF(E84="","",IF(COUNTIF('DATA QCEW'!$A$2:$A$20,E84)&gt;0,"19-SECTOR","DETAIL / OTHER"))</f>
        <v/>
      </c>
    </row>
    <row r="85" spans="4:7">
      <c r="D85" s="8"/>
      <c r="E85" t="str">
        <f t="shared" si="2"/>
        <v/>
      </c>
      <c r="F85" t="str">
        <f t="shared" si="3"/>
        <v/>
      </c>
      <c r="G85" t="str">
        <f>IF(E85="","",IF(COUNTIF('DATA QCEW'!$A$2:$A$20,E85)&gt;0,"19-SECTOR","DETAIL / OTHER"))</f>
        <v/>
      </c>
    </row>
    <row r="86" spans="4:7">
      <c r="D86" s="8"/>
      <c r="E86" t="str">
        <f t="shared" si="2"/>
        <v/>
      </c>
      <c r="F86" t="str">
        <f t="shared" si="3"/>
        <v/>
      </c>
      <c r="G86" t="str">
        <f>IF(E86="","",IF(COUNTIF('DATA QCEW'!$A$2:$A$20,E86)&gt;0,"19-SECTOR","DETAIL / OTHER"))</f>
        <v/>
      </c>
    </row>
    <row r="87" spans="4:7">
      <c r="D87" s="8"/>
      <c r="E87" t="str">
        <f t="shared" si="2"/>
        <v/>
      </c>
      <c r="F87" t="str">
        <f t="shared" si="3"/>
        <v/>
      </c>
      <c r="G87" t="str">
        <f>IF(E87="","",IF(COUNTIF('DATA QCEW'!$A$2:$A$20,E87)&gt;0,"19-SECTOR","DETAIL / OTHER"))</f>
        <v/>
      </c>
    </row>
    <row r="88" spans="4:7">
      <c r="D88" s="8"/>
      <c r="E88" t="str">
        <f t="shared" si="2"/>
        <v/>
      </c>
      <c r="F88" t="str">
        <f t="shared" si="3"/>
        <v/>
      </c>
      <c r="G88" t="str">
        <f>IF(E88="","",IF(COUNTIF('DATA QCEW'!$A$2:$A$20,E88)&gt;0,"19-SECTOR","DETAIL / OTHER"))</f>
        <v/>
      </c>
    </row>
    <row r="89" spans="4:7">
      <c r="D89" s="8"/>
      <c r="E89" t="str">
        <f t="shared" si="2"/>
        <v/>
      </c>
      <c r="F89" t="str">
        <f t="shared" si="3"/>
        <v/>
      </c>
      <c r="G89" t="str">
        <f>IF(E89="","",IF(COUNTIF('DATA QCEW'!$A$2:$A$20,E89)&gt;0,"19-SECTOR","DETAIL / OTHER"))</f>
        <v/>
      </c>
    </row>
    <row r="90" spans="4:7">
      <c r="D90" s="8"/>
      <c r="E90" t="str">
        <f t="shared" si="2"/>
        <v/>
      </c>
      <c r="F90" t="str">
        <f t="shared" si="3"/>
        <v/>
      </c>
      <c r="G90" t="str">
        <f>IF(E90="","",IF(COUNTIF('DATA QCEW'!$A$2:$A$20,E90)&gt;0,"19-SECTOR","DETAIL / OTHER"))</f>
        <v/>
      </c>
    </row>
    <row r="91" spans="4:7">
      <c r="D91" s="8"/>
      <c r="E91" t="str">
        <f t="shared" si="2"/>
        <v/>
      </c>
      <c r="F91" t="str">
        <f t="shared" si="3"/>
        <v/>
      </c>
      <c r="G91" t="str">
        <f>IF(E91="","",IF(COUNTIF('DATA QCEW'!$A$2:$A$20,E91)&gt;0,"19-SECTOR","DETAIL / OTHER"))</f>
        <v/>
      </c>
    </row>
    <row r="92" spans="4:7">
      <c r="D92" s="8"/>
      <c r="E92" t="str">
        <f t="shared" si="2"/>
        <v/>
      </c>
      <c r="F92" t="str">
        <f t="shared" si="3"/>
        <v/>
      </c>
      <c r="G92" t="str">
        <f>IF(E92="","",IF(COUNTIF('DATA QCEW'!$A$2:$A$20,E92)&gt;0,"19-SECTOR","DETAIL / OTHER"))</f>
        <v/>
      </c>
    </row>
    <row r="93" spans="4:7">
      <c r="D93" s="8"/>
      <c r="E93" t="str">
        <f t="shared" si="2"/>
        <v/>
      </c>
      <c r="F93" t="str">
        <f t="shared" si="3"/>
        <v/>
      </c>
      <c r="G93" t="str">
        <f>IF(E93="","",IF(COUNTIF('DATA QCEW'!$A$2:$A$20,E93)&gt;0,"19-SECTOR","DETAIL / OTHER"))</f>
        <v/>
      </c>
    </row>
    <row r="94" spans="4:7">
      <c r="D94" s="8"/>
      <c r="E94" t="str">
        <f t="shared" si="2"/>
        <v/>
      </c>
      <c r="F94" t="str">
        <f t="shared" si="3"/>
        <v/>
      </c>
      <c r="G94" t="str">
        <f>IF(E94="","",IF(COUNTIF('DATA QCEW'!$A$2:$A$20,E94)&gt;0,"19-SECTOR","DETAIL / OTHER"))</f>
        <v/>
      </c>
    </row>
    <row r="95" spans="4:7">
      <c r="D95" s="8"/>
      <c r="E95" t="str">
        <f t="shared" si="2"/>
        <v/>
      </c>
      <c r="F95" t="str">
        <f t="shared" si="3"/>
        <v/>
      </c>
      <c r="G95" t="str">
        <f>IF(E95="","",IF(COUNTIF('DATA QCEW'!$A$2:$A$20,E95)&gt;0,"19-SECTOR","DETAIL / OTHER"))</f>
        <v/>
      </c>
    </row>
    <row r="96" spans="4:7">
      <c r="D96" s="8"/>
      <c r="E96" t="str">
        <f t="shared" si="2"/>
        <v/>
      </c>
      <c r="F96" t="str">
        <f t="shared" si="3"/>
        <v/>
      </c>
      <c r="G96" t="str">
        <f>IF(E96="","",IF(COUNTIF('DATA QCEW'!$A$2:$A$20,E96)&gt;0,"19-SECTOR","DETAIL / OTHER"))</f>
        <v/>
      </c>
    </row>
    <row r="97" spans="4:7">
      <c r="D97" s="8"/>
      <c r="E97" t="str">
        <f t="shared" si="2"/>
        <v/>
      </c>
      <c r="F97" t="str">
        <f t="shared" si="3"/>
        <v/>
      </c>
      <c r="G97" t="str">
        <f>IF(E97="","",IF(COUNTIF('DATA QCEW'!$A$2:$A$20,E97)&gt;0,"19-SECTOR","DETAIL / OTHER"))</f>
        <v/>
      </c>
    </row>
    <row r="98" spans="4:7">
      <c r="D98" s="8"/>
      <c r="E98" t="str">
        <f t="shared" si="2"/>
        <v/>
      </c>
      <c r="F98" t="str">
        <f t="shared" si="3"/>
        <v/>
      </c>
      <c r="G98" t="str">
        <f>IF(E98="","",IF(COUNTIF('DATA QCEW'!$A$2:$A$20,E98)&gt;0,"19-SECTOR","DETAIL / OTHER"))</f>
        <v/>
      </c>
    </row>
    <row r="99" spans="4:7">
      <c r="D99" s="8"/>
      <c r="E99" t="str">
        <f t="shared" si="2"/>
        <v/>
      </c>
      <c r="F99" t="str">
        <f t="shared" si="3"/>
        <v/>
      </c>
      <c r="G99" t="str">
        <f>IF(E99="","",IF(COUNTIF('DATA QCEW'!$A$2:$A$20,E99)&gt;0,"19-SECTOR","DETAIL / OTHER"))</f>
        <v/>
      </c>
    </row>
    <row r="100" spans="4:7">
      <c r="D100" s="8"/>
      <c r="E100" t="str">
        <f t="shared" si="2"/>
        <v/>
      </c>
      <c r="F100" t="str">
        <f t="shared" si="3"/>
        <v/>
      </c>
      <c r="G100" t="str">
        <f>IF(E100="","",IF(COUNTIF('DATA QCEW'!$A$2:$A$20,E100)&gt;0,"19-SECTOR","DETAIL / OTHER"))</f>
        <v/>
      </c>
    </row>
    <row r="101" spans="4:7">
      <c r="D101" s="8"/>
      <c r="E101" t="str">
        <f t="shared" si="2"/>
        <v/>
      </c>
      <c r="F101" t="str">
        <f t="shared" si="3"/>
        <v/>
      </c>
      <c r="G101" t="str">
        <f>IF(E101="","",IF(COUNTIF('DATA QCEW'!$A$2:$A$20,E101)&gt;0,"19-SECTOR","DETAIL / OTHER"))</f>
        <v/>
      </c>
    </row>
    <row r="102" spans="4:7">
      <c r="D102" s="8"/>
      <c r="E102" t="str">
        <f t="shared" si="2"/>
        <v/>
      </c>
      <c r="F102" t="str">
        <f t="shared" si="3"/>
        <v/>
      </c>
      <c r="G102" t="str">
        <f>IF(E102="","",IF(COUNTIF('DATA QCEW'!$A$2:$A$20,E102)&gt;0,"19-SECTOR","DETAIL / OTHER"))</f>
        <v/>
      </c>
    </row>
    <row r="103" spans="4:7">
      <c r="D103" s="8"/>
      <c r="E103" t="str">
        <f t="shared" si="2"/>
        <v/>
      </c>
      <c r="F103" t="str">
        <f t="shared" si="3"/>
        <v/>
      </c>
      <c r="G103" t="str">
        <f>IF(E103="","",IF(COUNTIF('DATA QCEW'!$A$2:$A$20,E103)&gt;0,"19-SECTOR","DETAIL / OTHER"))</f>
        <v/>
      </c>
    </row>
    <row r="104" spans="4:7">
      <c r="D104" s="8"/>
      <c r="E104" t="str">
        <f t="shared" si="2"/>
        <v/>
      </c>
      <c r="F104" t="str">
        <f t="shared" si="3"/>
        <v/>
      </c>
      <c r="G104" t="str">
        <f>IF(E104="","",IF(COUNTIF('DATA QCEW'!$A$2:$A$20,E104)&gt;0,"19-SECTOR","DETAIL / OTHER"))</f>
        <v/>
      </c>
    </row>
    <row r="105" spans="4:7">
      <c r="D105" s="8"/>
      <c r="E105" t="str">
        <f t="shared" si="2"/>
        <v/>
      </c>
      <c r="F105" t="str">
        <f t="shared" si="3"/>
        <v/>
      </c>
      <c r="G105" t="str">
        <f>IF(E105="","",IF(COUNTIF('DATA QCEW'!$A$2:$A$20,E105)&gt;0,"19-SECTOR","DETAIL / OTHER"))</f>
        <v/>
      </c>
    </row>
    <row r="106" spans="4:7">
      <c r="D106" s="8"/>
      <c r="E106" t="str">
        <f t="shared" si="2"/>
        <v/>
      </c>
      <c r="F106" t="str">
        <f t="shared" si="3"/>
        <v/>
      </c>
      <c r="G106" t="str">
        <f>IF(E106="","",IF(COUNTIF('DATA QCEW'!$A$2:$A$20,E106)&gt;0,"19-SECTOR","DETAIL / OTHER"))</f>
        <v/>
      </c>
    </row>
    <row r="107" spans="4:7">
      <c r="D107" s="8"/>
      <c r="E107" t="str">
        <f t="shared" si="2"/>
        <v/>
      </c>
      <c r="F107" t="str">
        <f t="shared" si="3"/>
        <v/>
      </c>
      <c r="G107" t="str">
        <f>IF(E107="","",IF(COUNTIF('DATA QCEW'!$A$2:$A$20,E107)&gt;0,"19-SECTOR","DETAIL / OTHER"))</f>
        <v/>
      </c>
    </row>
    <row r="108" spans="4:7">
      <c r="D108" s="8"/>
      <c r="E108" t="str">
        <f t="shared" si="2"/>
        <v/>
      </c>
      <c r="F108" t="str">
        <f t="shared" si="3"/>
        <v/>
      </c>
      <c r="G108" t="str">
        <f>IF(E108="","",IF(COUNTIF('DATA QCEW'!$A$2:$A$20,E108)&gt;0,"19-SECTOR","DETAIL / OTHER"))</f>
        <v/>
      </c>
    </row>
    <row r="109" spans="4:7">
      <c r="D109" s="8"/>
      <c r="E109" t="str">
        <f t="shared" si="2"/>
        <v/>
      </c>
      <c r="F109" t="str">
        <f t="shared" si="3"/>
        <v/>
      </c>
      <c r="G109" t="str">
        <f>IF(E109="","",IF(COUNTIF('DATA QCEW'!$A$2:$A$20,E109)&gt;0,"19-SECTOR","DETAIL / OTHER"))</f>
        <v/>
      </c>
    </row>
    <row r="110" spans="4:7">
      <c r="D110" s="8"/>
      <c r="E110" t="str">
        <f t="shared" si="2"/>
        <v/>
      </c>
      <c r="F110" t="str">
        <f t="shared" si="3"/>
        <v/>
      </c>
      <c r="G110" t="str">
        <f>IF(E110="","",IF(COUNTIF('DATA QCEW'!$A$2:$A$20,E110)&gt;0,"19-SECTOR","DETAIL / OTHER"))</f>
        <v/>
      </c>
    </row>
    <row r="111" spans="4:7">
      <c r="D111" s="8"/>
      <c r="E111" t="str">
        <f t="shared" si="2"/>
        <v/>
      </c>
      <c r="F111" t="str">
        <f t="shared" si="3"/>
        <v/>
      </c>
      <c r="G111" t="str">
        <f>IF(E111="","",IF(COUNTIF('DATA QCEW'!$A$2:$A$20,E111)&gt;0,"19-SECTOR","DETAIL / OTHER"))</f>
        <v/>
      </c>
    </row>
    <row r="112" spans="4:7">
      <c r="D112" s="8"/>
      <c r="E112" t="str">
        <f t="shared" si="2"/>
        <v/>
      </c>
      <c r="F112" t="str">
        <f t="shared" si="3"/>
        <v/>
      </c>
      <c r="G112" t="str">
        <f>IF(E112="","",IF(COUNTIF('DATA QCEW'!$A$2:$A$20,E112)&gt;0,"19-SECTOR","DETAIL / OTHER"))</f>
        <v/>
      </c>
    </row>
    <row r="113" spans="4:7">
      <c r="D113" s="8"/>
      <c r="E113" t="str">
        <f t="shared" si="2"/>
        <v/>
      </c>
      <c r="F113" t="str">
        <f t="shared" si="3"/>
        <v/>
      </c>
      <c r="G113" t="str">
        <f>IF(E113="","",IF(COUNTIF('DATA QCEW'!$A$2:$A$20,E113)&gt;0,"19-SECTOR","DETAIL / OTHER"))</f>
        <v/>
      </c>
    </row>
    <row r="114" spans="4:7">
      <c r="D114" s="8"/>
      <c r="E114" t="str">
        <f t="shared" si="2"/>
        <v/>
      </c>
      <c r="F114" t="str">
        <f t="shared" si="3"/>
        <v/>
      </c>
      <c r="G114" t="str">
        <f>IF(E114="","",IF(COUNTIF('DATA QCEW'!$A$2:$A$20,E114)&gt;0,"19-SECTOR","DETAIL / OTHER"))</f>
        <v/>
      </c>
    </row>
    <row r="115" spans="4:7">
      <c r="D115" s="8"/>
      <c r="E115" t="str">
        <f t="shared" si="2"/>
        <v/>
      </c>
      <c r="F115" t="str">
        <f t="shared" si="3"/>
        <v/>
      </c>
      <c r="G115" t="str">
        <f>IF(E115="","",IF(COUNTIF('DATA QCEW'!$A$2:$A$20,E115)&gt;0,"19-SECTOR","DETAIL / OTHER"))</f>
        <v/>
      </c>
    </row>
    <row r="116" spans="4:7">
      <c r="D116" s="8"/>
      <c r="E116" t="str">
        <f t="shared" si="2"/>
        <v/>
      </c>
      <c r="F116" t="str">
        <f t="shared" si="3"/>
        <v/>
      </c>
      <c r="G116" t="str">
        <f>IF(E116="","",IF(COUNTIF('DATA QCEW'!$A$2:$A$20,E116)&gt;0,"19-SECTOR","DETAIL / OTHER"))</f>
        <v/>
      </c>
    </row>
    <row r="117" spans="4:7">
      <c r="D117" s="8"/>
      <c r="E117" t="str">
        <f t="shared" si="2"/>
        <v/>
      </c>
      <c r="F117" t="str">
        <f t="shared" si="3"/>
        <v/>
      </c>
      <c r="G117" t="str">
        <f>IF(E117="","",IF(COUNTIF('DATA QCEW'!$A$2:$A$20,E117)&gt;0,"19-SECTOR","DETAIL / OTHER"))</f>
        <v/>
      </c>
    </row>
    <row r="118" spans="4:7">
      <c r="D118" s="8"/>
      <c r="E118" t="str">
        <f t="shared" si="2"/>
        <v/>
      </c>
      <c r="F118" t="str">
        <f t="shared" si="3"/>
        <v/>
      </c>
      <c r="G118" t="str">
        <f>IF(E118="","",IF(COUNTIF('DATA QCEW'!$A$2:$A$20,E118)&gt;0,"19-SECTOR","DETAIL / OTHER"))</f>
        <v/>
      </c>
    </row>
    <row r="119" spans="4:7">
      <c r="D119" s="8"/>
      <c r="E119" t="str">
        <f t="shared" si="2"/>
        <v/>
      </c>
      <c r="F119" t="str">
        <f t="shared" si="3"/>
        <v/>
      </c>
      <c r="G119" t="str">
        <f>IF(E119="","",IF(COUNTIF('DATA QCEW'!$A$2:$A$20,E119)&gt;0,"19-SECTOR","DETAIL / OTHER"))</f>
        <v/>
      </c>
    </row>
    <row r="120" spans="4:7">
      <c r="D120" s="8"/>
      <c r="E120" t="str">
        <f t="shared" si="2"/>
        <v/>
      </c>
      <c r="F120" t="str">
        <f t="shared" si="3"/>
        <v/>
      </c>
      <c r="G120" t="str">
        <f>IF(E120="","",IF(COUNTIF('DATA QCEW'!$A$2:$A$20,E120)&gt;0,"19-SECTOR","DETAIL / OTHER"))</f>
        <v/>
      </c>
    </row>
    <row r="121" spans="4:7">
      <c r="D121" s="8"/>
      <c r="E121" t="str">
        <f t="shared" si="2"/>
        <v/>
      </c>
      <c r="F121" t="str">
        <f t="shared" si="3"/>
        <v/>
      </c>
      <c r="G121" t="str">
        <f>IF(E121="","",IF(COUNTIF('DATA QCEW'!$A$2:$A$20,E121)&gt;0,"19-SECTOR","DETAIL / OTHER"))</f>
        <v/>
      </c>
    </row>
    <row r="122" spans="4:7">
      <c r="D122" s="8"/>
      <c r="E122" t="str">
        <f t="shared" si="2"/>
        <v/>
      </c>
      <c r="F122" t="str">
        <f t="shared" si="3"/>
        <v/>
      </c>
      <c r="G122" t="str">
        <f>IF(E122="","",IF(COUNTIF('DATA QCEW'!$A$2:$A$20,E122)&gt;0,"19-SECTOR","DETAIL / OTHER"))</f>
        <v/>
      </c>
    </row>
    <row r="123" spans="4:7">
      <c r="D123" s="8"/>
      <c r="E123" t="str">
        <f t="shared" si="2"/>
        <v/>
      </c>
      <c r="F123" t="str">
        <f t="shared" si="3"/>
        <v/>
      </c>
      <c r="G123" t="str">
        <f>IF(E123="","",IF(COUNTIF('DATA QCEW'!$A$2:$A$20,E123)&gt;0,"19-SECTOR","DETAIL / OTHER"))</f>
        <v/>
      </c>
    </row>
    <row r="124" spans="4:7">
      <c r="D124" s="8"/>
      <c r="E124" t="str">
        <f t="shared" si="2"/>
        <v/>
      </c>
      <c r="F124" t="str">
        <f t="shared" si="3"/>
        <v/>
      </c>
      <c r="G124" t="str">
        <f>IF(E124="","",IF(COUNTIF('DATA QCEW'!$A$2:$A$20,E124)&gt;0,"19-SECTOR","DETAIL / OTHER"))</f>
        <v/>
      </c>
    </row>
    <row r="125" spans="4:7">
      <c r="D125" s="8"/>
      <c r="E125" t="str">
        <f t="shared" si="2"/>
        <v/>
      </c>
      <c r="F125" t="str">
        <f t="shared" si="3"/>
        <v/>
      </c>
      <c r="G125" t="str">
        <f>IF(E125="","",IF(COUNTIF('DATA QCEW'!$A$2:$A$20,E125)&gt;0,"19-SECTOR","DETAIL / OTHER"))</f>
        <v/>
      </c>
    </row>
    <row r="126" spans="4:7">
      <c r="D126" s="8"/>
      <c r="E126" t="str">
        <f t="shared" si="2"/>
        <v/>
      </c>
      <c r="F126" t="str">
        <f t="shared" si="3"/>
        <v/>
      </c>
      <c r="G126" t="str">
        <f>IF(E126="","",IF(COUNTIF('DATA QCEW'!$A$2:$A$20,E126)&gt;0,"19-SECTOR","DETAIL / OTHER"))</f>
        <v/>
      </c>
    </row>
    <row r="127" spans="4:7">
      <c r="D127" s="8"/>
      <c r="E127" t="str">
        <f t="shared" si="2"/>
        <v/>
      </c>
      <c r="F127" t="str">
        <f t="shared" si="3"/>
        <v/>
      </c>
      <c r="G127" t="str">
        <f>IF(E127="","",IF(COUNTIF('DATA QCEW'!$A$2:$A$20,E127)&gt;0,"19-SECTOR","DETAIL / OTHER"))</f>
        <v/>
      </c>
    </row>
    <row r="128" spans="4:7">
      <c r="D128" s="8"/>
      <c r="E128" t="str">
        <f t="shared" si="2"/>
        <v/>
      </c>
      <c r="F128" t="str">
        <f t="shared" si="3"/>
        <v/>
      </c>
      <c r="G128" t="str">
        <f>IF(E128="","",IF(COUNTIF('DATA QCEW'!$A$2:$A$20,E128)&gt;0,"19-SECTOR","DETAIL / OTHER"))</f>
        <v/>
      </c>
    </row>
    <row r="129" spans="4:7">
      <c r="D129" s="8"/>
      <c r="E129" t="str">
        <f t="shared" si="2"/>
        <v/>
      </c>
      <c r="F129" t="str">
        <f t="shared" si="3"/>
        <v/>
      </c>
      <c r="G129" t="str">
        <f>IF(E129="","",IF(COUNTIF('DATA QCEW'!$A$2:$A$20,E129)&gt;0,"19-SECTOR","DETAIL / OTHER"))</f>
        <v/>
      </c>
    </row>
    <row r="130" spans="4:7">
      <c r="D130" s="8"/>
      <c r="E130" t="str">
        <f t="shared" ref="E130:E193" si="4">IF(LEFT(TRIM(A130),6)="NAICS ",IFERROR(MID(TRIM(A130),7,FIND(" ",TRIM(A130)&amp;" ",7)-7),""),"")</f>
        <v/>
      </c>
      <c r="F130" t="str">
        <f t="shared" ref="F130:F193" si="5">IF(E130="","",TRIM(MID(TRIM(A130),FIND(" ",TRIM(A130)&amp;" ",7)+1,255)))</f>
        <v/>
      </c>
      <c r="G130" t="str">
        <f>IF(E130="","",IF(COUNTIF('DATA QCEW'!$A$2:$A$20,E130)&gt;0,"19-SECTOR","DETAIL / OTHER"))</f>
        <v/>
      </c>
    </row>
    <row r="131" spans="4:7">
      <c r="D131" s="8"/>
      <c r="E131" t="str">
        <f t="shared" si="4"/>
        <v/>
      </c>
      <c r="F131" t="str">
        <f t="shared" si="5"/>
        <v/>
      </c>
      <c r="G131" t="str">
        <f>IF(E131="","",IF(COUNTIF('DATA QCEW'!$A$2:$A$20,E131)&gt;0,"19-SECTOR","DETAIL / OTHER"))</f>
        <v/>
      </c>
    </row>
    <row r="132" spans="4:7">
      <c r="D132" s="8"/>
      <c r="E132" t="str">
        <f t="shared" si="4"/>
        <v/>
      </c>
      <c r="F132" t="str">
        <f t="shared" si="5"/>
        <v/>
      </c>
      <c r="G132" t="str">
        <f>IF(E132="","",IF(COUNTIF('DATA QCEW'!$A$2:$A$20,E132)&gt;0,"19-SECTOR","DETAIL / OTHER"))</f>
        <v/>
      </c>
    </row>
    <row r="133" spans="4:7">
      <c r="D133" s="8"/>
      <c r="E133" t="str">
        <f t="shared" si="4"/>
        <v/>
      </c>
      <c r="F133" t="str">
        <f t="shared" si="5"/>
        <v/>
      </c>
      <c r="G133" t="str">
        <f>IF(E133="","",IF(COUNTIF('DATA QCEW'!$A$2:$A$20,E133)&gt;0,"19-SECTOR","DETAIL / OTHER"))</f>
        <v/>
      </c>
    </row>
    <row r="134" spans="4:7">
      <c r="D134" s="8"/>
      <c r="E134" t="str">
        <f t="shared" si="4"/>
        <v/>
      </c>
      <c r="F134" t="str">
        <f t="shared" si="5"/>
        <v/>
      </c>
      <c r="G134" t="str">
        <f>IF(E134="","",IF(COUNTIF('DATA QCEW'!$A$2:$A$20,E134)&gt;0,"19-SECTOR","DETAIL / OTHER"))</f>
        <v/>
      </c>
    </row>
    <row r="135" spans="4:7">
      <c r="D135" s="8"/>
      <c r="E135" t="str">
        <f t="shared" si="4"/>
        <v/>
      </c>
      <c r="F135" t="str">
        <f t="shared" si="5"/>
        <v/>
      </c>
      <c r="G135" t="str">
        <f>IF(E135="","",IF(COUNTIF('DATA QCEW'!$A$2:$A$20,E135)&gt;0,"19-SECTOR","DETAIL / OTHER"))</f>
        <v/>
      </c>
    </row>
    <row r="136" spans="4:7">
      <c r="D136" s="8"/>
      <c r="E136" t="str">
        <f t="shared" si="4"/>
        <v/>
      </c>
      <c r="F136" t="str">
        <f t="shared" si="5"/>
        <v/>
      </c>
      <c r="G136" t="str">
        <f>IF(E136="","",IF(COUNTIF('DATA QCEW'!$A$2:$A$20,E136)&gt;0,"19-SECTOR","DETAIL / OTHER"))</f>
        <v/>
      </c>
    </row>
    <row r="137" spans="4:7">
      <c r="D137" s="8"/>
      <c r="E137" t="str">
        <f t="shared" si="4"/>
        <v/>
      </c>
      <c r="F137" t="str">
        <f t="shared" si="5"/>
        <v/>
      </c>
      <c r="G137" t="str">
        <f>IF(E137="","",IF(COUNTIF('DATA QCEW'!$A$2:$A$20,E137)&gt;0,"19-SECTOR","DETAIL / OTHER"))</f>
        <v/>
      </c>
    </row>
    <row r="138" spans="4:7">
      <c r="D138" s="8"/>
      <c r="E138" t="str">
        <f t="shared" si="4"/>
        <v/>
      </c>
      <c r="F138" t="str">
        <f t="shared" si="5"/>
        <v/>
      </c>
      <c r="G138" t="str">
        <f>IF(E138="","",IF(COUNTIF('DATA QCEW'!$A$2:$A$20,E138)&gt;0,"19-SECTOR","DETAIL / OTHER"))</f>
        <v/>
      </c>
    </row>
    <row r="139" spans="4:7">
      <c r="D139" s="8"/>
      <c r="E139" t="str">
        <f t="shared" si="4"/>
        <v/>
      </c>
      <c r="F139" t="str">
        <f t="shared" si="5"/>
        <v/>
      </c>
      <c r="G139" t="str">
        <f>IF(E139="","",IF(COUNTIF('DATA QCEW'!$A$2:$A$20,E139)&gt;0,"19-SECTOR","DETAIL / OTHER"))</f>
        <v/>
      </c>
    </row>
    <row r="140" spans="4:7">
      <c r="D140" s="8"/>
      <c r="E140" t="str">
        <f t="shared" si="4"/>
        <v/>
      </c>
      <c r="F140" t="str">
        <f t="shared" si="5"/>
        <v/>
      </c>
      <c r="G140" t="str">
        <f>IF(E140="","",IF(COUNTIF('DATA QCEW'!$A$2:$A$20,E140)&gt;0,"19-SECTOR","DETAIL / OTHER"))</f>
        <v/>
      </c>
    </row>
    <row r="141" spans="4:7">
      <c r="D141" s="8"/>
      <c r="E141" t="str">
        <f t="shared" si="4"/>
        <v/>
      </c>
      <c r="F141" t="str">
        <f t="shared" si="5"/>
        <v/>
      </c>
      <c r="G141" t="str">
        <f>IF(E141="","",IF(COUNTIF('DATA QCEW'!$A$2:$A$20,E141)&gt;0,"19-SECTOR","DETAIL / OTHER"))</f>
        <v/>
      </c>
    </row>
    <row r="142" spans="4:7">
      <c r="D142" s="8"/>
      <c r="E142" t="str">
        <f t="shared" si="4"/>
        <v/>
      </c>
      <c r="F142" t="str">
        <f t="shared" si="5"/>
        <v/>
      </c>
      <c r="G142" t="str">
        <f>IF(E142="","",IF(COUNTIF('DATA QCEW'!$A$2:$A$20,E142)&gt;0,"19-SECTOR","DETAIL / OTHER"))</f>
        <v/>
      </c>
    </row>
    <row r="143" spans="4:7">
      <c r="D143" s="8"/>
      <c r="E143" t="str">
        <f t="shared" si="4"/>
        <v/>
      </c>
      <c r="F143" t="str">
        <f t="shared" si="5"/>
        <v/>
      </c>
      <c r="G143" t="str">
        <f>IF(E143="","",IF(COUNTIF('DATA QCEW'!$A$2:$A$20,E143)&gt;0,"19-SECTOR","DETAIL / OTHER"))</f>
        <v/>
      </c>
    </row>
    <row r="144" spans="4:7">
      <c r="D144" s="8"/>
      <c r="E144" t="str">
        <f t="shared" si="4"/>
        <v/>
      </c>
      <c r="F144" t="str">
        <f t="shared" si="5"/>
        <v/>
      </c>
      <c r="G144" t="str">
        <f>IF(E144="","",IF(COUNTIF('DATA QCEW'!$A$2:$A$20,E144)&gt;0,"19-SECTOR","DETAIL / OTHER"))</f>
        <v/>
      </c>
    </row>
    <row r="145" spans="4:7">
      <c r="D145" s="8"/>
      <c r="E145" t="str">
        <f t="shared" si="4"/>
        <v/>
      </c>
      <c r="F145" t="str">
        <f t="shared" si="5"/>
        <v/>
      </c>
      <c r="G145" t="str">
        <f>IF(E145="","",IF(COUNTIF('DATA QCEW'!$A$2:$A$20,E145)&gt;0,"19-SECTOR","DETAIL / OTHER"))</f>
        <v/>
      </c>
    </row>
    <row r="146" spans="4:7">
      <c r="D146" s="8"/>
      <c r="E146" t="str">
        <f t="shared" si="4"/>
        <v/>
      </c>
      <c r="F146" t="str">
        <f t="shared" si="5"/>
        <v/>
      </c>
      <c r="G146" t="str">
        <f>IF(E146="","",IF(COUNTIF('DATA QCEW'!$A$2:$A$20,E146)&gt;0,"19-SECTOR","DETAIL / OTHER"))</f>
        <v/>
      </c>
    </row>
    <row r="147" spans="4:7">
      <c r="D147" s="8"/>
      <c r="E147" t="str">
        <f t="shared" si="4"/>
        <v/>
      </c>
      <c r="F147" t="str">
        <f t="shared" si="5"/>
        <v/>
      </c>
      <c r="G147" t="str">
        <f>IF(E147="","",IF(COUNTIF('DATA QCEW'!$A$2:$A$20,E147)&gt;0,"19-SECTOR","DETAIL / OTHER"))</f>
        <v/>
      </c>
    </row>
    <row r="148" spans="4:7">
      <c r="D148" s="8"/>
      <c r="E148" t="str">
        <f t="shared" si="4"/>
        <v/>
      </c>
      <c r="F148" t="str">
        <f t="shared" si="5"/>
        <v/>
      </c>
      <c r="G148" t="str">
        <f>IF(E148="","",IF(COUNTIF('DATA QCEW'!$A$2:$A$20,E148)&gt;0,"19-SECTOR","DETAIL / OTHER"))</f>
        <v/>
      </c>
    </row>
    <row r="149" spans="4:7">
      <c r="D149" s="8"/>
      <c r="E149" t="str">
        <f t="shared" si="4"/>
        <v/>
      </c>
      <c r="F149" t="str">
        <f t="shared" si="5"/>
        <v/>
      </c>
      <c r="G149" t="str">
        <f>IF(E149="","",IF(COUNTIF('DATA QCEW'!$A$2:$A$20,E149)&gt;0,"19-SECTOR","DETAIL / OTHER"))</f>
        <v/>
      </c>
    </row>
    <row r="150" spans="4:7">
      <c r="D150" s="8"/>
      <c r="E150" t="str">
        <f t="shared" si="4"/>
        <v/>
      </c>
      <c r="F150" t="str">
        <f t="shared" si="5"/>
        <v/>
      </c>
      <c r="G150" t="str">
        <f>IF(E150="","",IF(COUNTIF('DATA QCEW'!$A$2:$A$20,E150)&gt;0,"19-SECTOR","DETAIL / OTHER"))</f>
        <v/>
      </c>
    </row>
    <row r="151" spans="4:7">
      <c r="D151" s="8"/>
      <c r="E151" t="str">
        <f t="shared" si="4"/>
        <v/>
      </c>
      <c r="F151" t="str">
        <f t="shared" si="5"/>
        <v/>
      </c>
      <c r="G151" t="str">
        <f>IF(E151="","",IF(COUNTIF('DATA QCEW'!$A$2:$A$20,E151)&gt;0,"19-SECTOR","DETAIL / OTHER"))</f>
        <v/>
      </c>
    </row>
    <row r="152" spans="4:7">
      <c r="D152" s="8"/>
      <c r="E152" t="str">
        <f t="shared" si="4"/>
        <v/>
      </c>
      <c r="F152" t="str">
        <f t="shared" si="5"/>
        <v/>
      </c>
      <c r="G152" t="str">
        <f>IF(E152="","",IF(COUNTIF('DATA QCEW'!$A$2:$A$20,E152)&gt;0,"19-SECTOR","DETAIL / OTHER"))</f>
        <v/>
      </c>
    </row>
    <row r="153" spans="4:7">
      <c r="D153" s="8"/>
      <c r="E153" t="str">
        <f t="shared" si="4"/>
        <v/>
      </c>
      <c r="F153" t="str">
        <f t="shared" si="5"/>
        <v/>
      </c>
      <c r="G153" t="str">
        <f>IF(E153="","",IF(COUNTIF('DATA QCEW'!$A$2:$A$20,E153)&gt;0,"19-SECTOR","DETAIL / OTHER"))</f>
        <v/>
      </c>
    </row>
    <row r="154" spans="4:7">
      <c r="D154" s="8"/>
      <c r="E154" t="str">
        <f t="shared" si="4"/>
        <v/>
      </c>
      <c r="F154" t="str">
        <f t="shared" si="5"/>
        <v/>
      </c>
      <c r="G154" t="str">
        <f>IF(E154="","",IF(COUNTIF('DATA QCEW'!$A$2:$A$20,E154)&gt;0,"19-SECTOR","DETAIL / OTHER"))</f>
        <v/>
      </c>
    </row>
    <row r="155" spans="4:7">
      <c r="D155" s="8"/>
      <c r="E155" t="str">
        <f t="shared" si="4"/>
        <v/>
      </c>
      <c r="F155" t="str">
        <f t="shared" si="5"/>
        <v/>
      </c>
      <c r="G155" t="str">
        <f>IF(E155="","",IF(COUNTIF('DATA QCEW'!$A$2:$A$20,E155)&gt;0,"19-SECTOR","DETAIL / OTHER"))</f>
        <v/>
      </c>
    </row>
    <row r="156" spans="4:7">
      <c r="D156" s="8"/>
      <c r="E156" t="str">
        <f t="shared" si="4"/>
        <v/>
      </c>
      <c r="F156" t="str">
        <f t="shared" si="5"/>
        <v/>
      </c>
      <c r="G156" t="str">
        <f>IF(E156="","",IF(COUNTIF('DATA QCEW'!$A$2:$A$20,E156)&gt;0,"19-SECTOR","DETAIL / OTHER"))</f>
        <v/>
      </c>
    </row>
    <row r="157" spans="4:7">
      <c r="D157" s="8"/>
      <c r="E157" t="str">
        <f t="shared" si="4"/>
        <v/>
      </c>
      <c r="F157" t="str">
        <f t="shared" si="5"/>
        <v/>
      </c>
      <c r="G157" t="str">
        <f>IF(E157="","",IF(COUNTIF('DATA QCEW'!$A$2:$A$20,E157)&gt;0,"19-SECTOR","DETAIL / OTHER"))</f>
        <v/>
      </c>
    </row>
    <row r="158" spans="4:7">
      <c r="D158" s="8"/>
      <c r="E158" t="str">
        <f t="shared" si="4"/>
        <v/>
      </c>
      <c r="F158" t="str">
        <f t="shared" si="5"/>
        <v/>
      </c>
      <c r="G158" t="str">
        <f>IF(E158="","",IF(COUNTIF('DATA QCEW'!$A$2:$A$20,E158)&gt;0,"19-SECTOR","DETAIL / OTHER"))</f>
        <v/>
      </c>
    </row>
    <row r="159" spans="4:7">
      <c r="D159" s="8"/>
      <c r="E159" t="str">
        <f t="shared" si="4"/>
        <v/>
      </c>
      <c r="F159" t="str">
        <f t="shared" si="5"/>
        <v/>
      </c>
      <c r="G159" t="str">
        <f>IF(E159="","",IF(COUNTIF('DATA QCEW'!$A$2:$A$20,E159)&gt;0,"19-SECTOR","DETAIL / OTHER"))</f>
        <v/>
      </c>
    </row>
    <row r="160" spans="4:7">
      <c r="D160" s="8"/>
      <c r="E160" t="str">
        <f t="shared" si="4"/>
        <v/>
      </c>
      <c r="F160" t="str">
        <f t="shared" si="5"/>
        <v/>
      </c>
      <c r="G160" t="str">
        <f>IF(E160="","",IF(COUNTIF('DATA QCEW'!$A$2:$A$20,E160)&gt;0,"19-SECTOR","DETAIL / OTHER"))</f>
        <v/>
      </c>
    </row>
    <row r="161" spans="4:7">
      <c r="D161" s="8"/>
      <c r="E161" t="str">
        <f t="shared" si="4"/>
        <v/>
      </c>
      <c r="F161" t="str">
        <f t="shared" si="5"/>
        <v/>
      </c>
      <c r="G161" t="str">
        <f>IF(E161="","",IF(COUNTIF('DATA QCEW'!$A$2:$A$20,E161)&gt;0,"19-SECTOR","DETAIL / OTHER"))</f>
        <v/>
      </c>
    </row>
    <row r="162" spans="4:7">
      <c r="D162" s="8"/>
      <c r="E162" t="str">
        <f t="shared" si="4"/>
        <v/>
      </c>
      <c r="F162" t="str">
        <f t="shared" si="5"/>
        <v/>
      </c>
      <c r="G162" t="str">
        <f>IF(E162="","",IF(COUNTIF('DATA QCEW'!$A$2:$A$20,E162)&gt;0,"19-SECTOR","DETAIL / OTHER"))</f>
        <v/>
      </c>
    </row>
    <row r="163" spans="4:7">
      <c r="D163" s="8"/>
      <c r="E163" t="str">
        <f t="shared" si="4"/>
        <v/>
      </c>
      <c r="F163" t="str">
        <f t="shared" si="5"/>
        <v/>
      </c>
      <c r="G163" t="str">
        <f>IF(E163="","",IF(COUNTIF('DATA QCEW'!$A$2:$A$20,E163)&gt;0,"19-SECTOR","DETAIL / OTHER"))</f>
        <v/>
      </c>
    </row>
    <row r="164" spans="4:7">
      <c r="D164" s="8"/>
      <c r="E164" t="str">
        <f t="shared" si="4"/>
        <v/>
      </c>
      <c r="F164" t="str">
        <f t="shared" si="5"/>
        <v/>
      </c>
      <c r="G164" t="str">
        <f>IF(E164="","",IF(COUNTIF('DATA QCEW'!$A$2:$A$20,E164)&gt;0,"19-SECTOR","DETAIL / OTHER"))</f>
        <v/>
      </c>
    </row>
    <row r="165" spans="4:7">
      <c r="D165" s="8"/>
      <c r="E165" t="str">
        <f t="shared" si="4"/>
        <v/>
      </c>
      <c r="F165" t="str">
        <f t="shared" si="5"/>
        <v/>
      </c>
      <c r="G165" t="str">
        <f>IF(E165="","",IF(COUNTIF('DATA QCEW'!$A$2:$A$20,E165)&gt;0,"19-SECTOR","DETAIL / OTHER"))</f>
        <v/>
      </c>
    </row>
    <row r="166" spans="4:7">
      <c r="D166" s="8"/>
      <c r="E166" t="str">
        <f t="shared" si="4"/>
        <v/>
      </c>
      <c r="F166" t="str">
        <f t="shared" si="5"/>
        <v/>
      </c>
      <c r="G166" t="str">
        <f>IF(E166="","",IF(COUNTIF('DATA QCEW'!$A$2:$A$20,E166)&gt;0,"19-SECTOR","DETAIL / OTHER"))</f>
        <v/>
      </c>
    </row>
    <row r="167" spans="4:7">
      <c r="D167" s="8"/>
      <c r="E167" t="str">
        <f t="shared" si="4"/>
        <v/>
      </c>
      <c r="F167" t="str">
        <f t="shared" si="5"/>
        <v/>
      </c>
      <c r="G167" t="str">
        <f>IF(E167="","",IF(COUNTIF('DATA QCEW'!$A$2:$A$20,E167)&gt;0,"19-SECTOR","DETAIL / OTHER"))</f>
        <v/>
      </c>
    </row>
    <row r="168" spans="4:7">
      <c r="D168" s="8"/>
      <c r="E168" t="str">
        <f t="shared" si="4"/>
        <v/>
      </c>
      <c r="F168" t="str">
        <f t="shared" si="5"/>
        <v/>
      </c>
      <c r="G168" t="str">
        <f>IF(E168="","",IF(COUNTIF('DATA QCEW'!$A$2:$A$20,E168)&gt;0,"19-SECTOR","DETAIL / OTHER"))</f>
        <v/>
      </c>
    </row>
    <row r="169" spans="4:7">
      <c r="D169" s="8"/>
      <c r="E169" t="str">
        <f t="shared" si="4"/>
        <v/>
      </c>
      <c r="F169" t="str">
        <f t="shared" si="5"/>
        <v/>
      </c>
      <c r="G169" t="str">
        <f>IF(E169="","",IF(COUNTIF('DATA QCEW'!$A$2:$A$20,E169)&gt;0,"19-SECTOR","DETAIL / OTHER"))</f>
        <v/>
      </c>
    </row>
    <row r="170" spans="4:7">
      <c r="D170" s="8"/>
      <c r="E170" t="str">
        <f t="shared" si="4"/>
        <v/>
      </c>
      <c r="F170" t="str">
        <f t="shared" si="5"/>
        <v/>
      </c>
      <c r="G170" t="str">
        <f>IF(E170="","",IF(COUNTIF('DATA QCEW'!$A$2:$A$20,E170)&gt;0,"19-SECTOR","DETAIL / OTHER"))</f>
        <v/>
      </c>
    </row>
    <row r="171" spans="4:7">
      <c r="D171" s="8"/>
      <c r="E171" t="str">
        <f t="shared" si="4"/>
        <v/>
      </c>
      <c r="F171" t="str">
        <f t="shared" si="5"/>
        <v/>
      </c>
      <c r="G171" t="str">
        <f>IF(E171="","",IF(COUNTIF('DATA QCEW'!$A$2:$A$20,E171)&gt;0,"19-SECTOR","DETAIL / OTHER"))</f>
        <v/>
      </c>
    </row>
    <row r="172" spans="4:7">
      <c r="D172" s="8"/>
      <c r="E172" t="str">
        <f t="shared" si="4"/>
        <v/>
      </c>
      <c r="F172" t="str">
        <f t="shared" si="5"/>
        <v/>
      </c>
      <c r="G172" t="str">
        <f>IF(E172="","",IF(COUNTIF('DATA QCEW'!$A$2:$A$20,E172)&gt;0,"19-SECTOR","DETAIL / OTHER"))</f>
        <v/>
      </c>
    </row>
    <row r="173" spans="4:7">
      <c r="D173" s="8"/>
      <c r="E173" t="str">
        <f t="shared" si="4"/>
        <v/>
      </c>
      <c r="F173" t="str">
        <f t="shared" si="5"/>
        <v/>
      </c>
      <c r="G173" t="str">
        <f>IF(E173="","",IF(COUNTIF('DATA QCEW'!$A$2:$A$20,E173)&gt;0,"19-SECTOR","DETAIL / OTHER"))</f>
        <v/>
      </c>
    </row>
    <row r="174" spans="4:7">
      <c r="D174" s="8"/>
      <c r="E174" t="str">
        <f t="shared" si="4"/>
        <v/>
      </c>
      <c r="F174" t="str">
        <f t="shared" si="5"/>
        <v/>
      </c>
      <c r="G174" t="str">
        <f>IF(E174="","",IF(COUNTIF('DATA QCEW'!$A$2:$A$20,E174)&gt;0,"19-SECTOR","DETAIL / OTHER"))</f>
        <v/>
      </c>
    </row>
    <row r="175" spans="4:7">
      <c r="D175" s="8"/>
      <c r="E175" t="str">
        <f t="shared" si="4"/>
        <v/>
      </c>
      <c r="F175" t="str">
        <f t="shared" si="5"/>
        <v/>
      </c>
      <c r="G175" t="str">
        <f>IF(E175="","",IF(COUNTIF('DATA QCEW'!$A$2:$A$20,E175)&gt;0,"19-SECTOR","DETAIL / OTHER"))</f>
        <v/>
      </c>
    </row>
    <row r="176" spans="4:7">
      <c r="D176" s="8"/>
      <c r="E176" t="str">
        <f t="shared" si="4"/>
        <v/>
      </c>
      <c r="F176" t="str">
        <f t="shared" si="5"/>
        <v/>
      </c>
      <c r="G176" t="str">
        <f>IF(E176="","",IF(COUNTIF('DATA QCEW'!$A$2:$A$20,E176)&gt;0,"19-SECTOR","DETAIL / OTHER"))</f>
        <v/>
      </c>
    </row>
    <row r="177" spans="4:7">
      <c r="D177" s="8"/>
      <c r="E177" t="str">
        <f t="shared" si="4"/>
        <v/>
      </c>
      <c r="F177" t="str">
        <f t="shared" si="5"/>
        <v/>
      </c>
      <c r="G177" t="str">
        <f>IF(E177="","",IF(COUNTIF('DATA QCEW'!$A$2:$A$20,E177)&gt;0,"19-SECTOR","DETAIL / OTHER"))</f>
        <v/>
      </c>
    </row>
    <row r="178" spans="4:7">
      <c r="D178" s="8"/>
      <c r="E178" t="str">
        <f t="shared" si="4"/>
        <v/>
      </c>
      <c r="F178" t="str">
        <f t="shared" si="5"/>
        <v/>
      </c>
      <c r="G178" t="str">
        <f>IF(E178="","",IF(COUNTIF('DATA QCEW'!$A$2:$A$20,E178)&gt;0,"19-SECTOR","DETAIL / OTHER"))</f>
        <v/>
      </c>
    </row>
    <row r="179" spans="4:7">
      <c r="D179" s="8"/>
      <c r="E179" t="str">
        <f t="shared" si="4"/>
        <v/>
      </c>
      <c r="F179" t="str">
        <f t="shared" si="5"/>
        <v/>
      </c>
      <c r="G179" t="str">
        <f>IF(E179="","",IF(COUNTIF('DATA QCEW'!$A$2:$A$20,E179)&gt;0,"19-SECTOR","DETAIL / OTHER"))</f>
        <v/>
      </c>
    </row>
    <row r="180" spans="4:7">
      <c r="D180" s="8"/>
      <c r="E180" t="str">
        <f t="shared" si="4"/>
        <v/>
      </c>
      <c r="F180" t="str">
        <f t="shared" si="5"/>
        <v/>
      </c>
      <c r="G180" t="str">
        <f>IF(E180="","",IF(COUNTIF('DATA QCEW'!$A$2:$A$20,E180)&gt;0,"19-SECTOR","DETAIL / OTHER"))</f>
        <v/>
      </c>
    </row>
    <row r="181" spans="4:7">
      <c r="D181" s="8"/>
      <c r="E181" t="str">
        <f t="shared" si="4"/>
        <v/>
      </c>
      <c r="F181" t="str">
        <f t="shared" si="5"/>
        <v/>
      </c>
      <c r="G181" t="str">
        <f>IF(E181="","",IF(COUNTIF('DATA QCEW'!$A$2:$A$20,E181)&gt;0,"19-SECTOR","DETAIL / OTHER"))</f>
        <v/>
      </c>
    </row>
    <row r="182" spans="4:7">
      <c r="D182" s="8"/>
      <c r="E182" t="str">
        <f t="shared" si="4"/>
        <v/>
      </c>
      <c r="F182" t="str">
        <f t="shared" si="5"/>
        <v/>
      </c>
      <c r="G182" t="str">
        <f>IF(E182="","",IF(COUNTIF('DATA QCEW'!$A$2:$A$20,E182)&gt;0,"19-SECTOR","DETAIL / OTHER"))</f>
        <v/>
      </c>
    </row>
    <row r="183" spans="4:7">
      <c r="D183" s="8"/>
      <c r="E183" t="str">
        <f t="shared" si="4"/>
        <v/>
      </c>
      <c r="F183" t="str">
        <f t="shared" si="5"/>
        <v/>
      </c>
      <c r="G183" t="str">
        <f>IF(E183="","",IF(COUNTIF('DATA QCEW'!$A$2:$A$20,E183)&gt;0,"19-SECTOR","DETAIL / OTHER"))</f>
        <v/>
      </c>
    </row>
    <row r="184" spans="4:7">
      <c r="D184" s="8"/>
      <c r="E184" t="str">
        <f t="shared" si="4"/>
        <v/>
      </c>
      <c r="F184" t="str">
        <f t="shared" si="5"/>
        <v/>
      </c>
      <c r="G184" t="str">
        <f>IF(E184="","",IF(COUNTIF('DATA QCEW'!$A$2:$A$20,E184)&gt;0,"19-SECTOR","DETAIL / OTHER"))</f>
        <v/>
      </c>
    </row>
    <row r="185" spans="4:7">
      <c r="D185" s="8"/>
      <c r="E185" t="str">
        <f t="shared" si="4"/>
        <v/>
      </c>
      <c r="F185" t="str">
        <f t="shared" si="5"/>
        <v/>
      </c>
      <c r="G185" t="str">
        <f>IF(E185="","",IF(COUNTIF('DATA QCEW'!$A$2:$A$20,E185)&gt;0,"19-SECTOR","DETAIL / OTHER"))</f>
        <v/>
      </c>
    </row>
    <row r="186" spans="4:7">
      <c r="D186" s="8"/>
      <c r="E186" t="str">
        <f t="shared" si="4"/>
        <v/>
      </c>
      <c r="F186" t="str">
        <f t="shared" si="5"/>
        <v/>
      </c>
      <c r="G186" t="str">
        <f>IF(E186="","",IF(COUNTIF('DATA QCEW'!$A$2:$A$20,E186)&gt;0,"19-SECTOR","DETAIL / OTHER"))</f>
        <v/>
      </c>
    </row>
    <row r="187" spans="4:7">
      <c r="D187" s="8"/>
      <c r="E187" t="str">
        <f t="shared" si="4"/>
        <v/>
      </c>
      <c r="F187" t="str">
        <f t="shared" si="5"/>
        <v/>
      </c>
      <c r="G187" t="str">
        <f>IF(E187="","",IF(COUNTIF('DATA QCEW'!$A$2:$A$20,E187)&gt;0,"19-SECTOR","DETAIL / OTHER"))</f>
        <v/>
      </c>
    </row>
    <row r="188" spans="4:7">
      <c r="D188" s="8"/>
      <c r="E188" t="str">
        <f t="shared" si="4"/>
        <v/>
      </c>
      <c r="F188" t="str">
        <f t="shared" si="5"/>
        <v/>
      </c>
      <c r="G188" t="str">
        <f>IF(E188="","",IF(COUNTIF('DATA QCEW'!$A$2:$A$20,E188)&gt;0,"19-SECTOR","DETAIL / OTHER"))</f>
        <v/>
      </c>
    </row>
    <row r="189" spans="4:7">
      <c r="D189" s="8"/>
      <c r="E189" t="str">
        <f t="shared" si="4"/>
        <v/>
      </c>
      <c r="F189" t="str">
        <f t="shared" si="5"/>
        <v/>
      </c>
      <c r="G189" t="str">
        <f>IF(E189="","",IF(COUNTIF('DATA QCEW'!$A$2:$A$20,E189)&gt;0,"19-SECTOR","DETAIL / OTHER"))</f>
        <v/>
      </c>
    </row>
    <row r="190" spans="4:7">
      <c r="D190" s="8"/>
      <c r="E190" t="str">
        <f t="shared" si="4"/>
        <v/>
      </c>
      <c r="F190" t="str">
        <f t="shared" si="5"/>
        <v/>
      </c>
      <c r="G190" t="str">
        <f>IF(E190="","",IF(COUNTIF('DATA QCEW'!$A$2:$A$20,E190)&gt;0,"19-SECTOR","DETAIL / OTHER"))</f>
        <v/>
      </c>
    </row>
    <row r="191" spans="4:7">
      <c r="D191" s="8"/>
      <c r="E191" t="str">
        <f t="shared" si="4"/>
        <v/>
      </c>
      <c r="F191" t="str">
        <f t="shared" si="5"/>
        <v/>
      </c>
      <c r="G191" t="str">
        <f>IF(E191="","",IF(COUNTIF('DATA QCEW'!$A$2:$A$20,E191)&gt;0,"19-SECTOR","DETAIL / OTHER"))</f>
        <v/>
      </c>
    </row>
    <row r="192" spans="4:7">
      <c r="D192" s="8"/>
      <c r="E192" t="str">
        <f t="shared" si="4"/>
        <v/>
      </c>
      <c r="F192" t="str">
        <f t="shared" si="5"/>
        <v/>
      </c>
      <c r="G192" t="str">
        <f>IF(E192="","",IF(COUNTIF('DATA QCEW'!$A$2:$A$20,E192)&gt;0,"19-SECTOR","DETAIL / OTHER"))</f>
        <v/>
      </c>
    </row>
    <row r="193" spans="4:7">
      <c r="D193" s="8"/>
      <c r="E193" t="str">
        <f t="shared" si="4"/>
        <v/>
      </c>
      <c r="F193" t="str">
        <f t="shared" si="5"/>
        <v/>
      </c>
      <c r="G193" t="str">
        <f>IF(E193="","",IF(COUNTIF('DATA QCEW'!$A$2:$A$20,E193)&gt;0,"19-SECTOR","DETAIL / OTHER"))</f>
        <v/>
      </c>
    </row>
    <row r="194" spans="4:7">
      <c r="D194" s="8"/>
      <c r="E194" t="str">
        <f t="shared" ref="E194:E257" si="6">IF(LEFT(TRIM(A194),6)="NAICS ",IFERROR(MID(TRIM(A194),7,FIND(" ",TRIM(A194)&amp;" ",7)-7),""),"")</f>
        <v/>
      </c>
      <c r="F194" t="str">
        <f t="shared" ref="F194:F257" si="7">IF(E194="","",TRIM(MID(TRIM(A194),FIND(" ",TRIM(A194)&amp;" ",7)+1,255)))</f>
        <v/>
      </c>
      <c r="G194" t="str">
        <f>IF(E194="","",IF(COUNTIF('DATA QCEW'!$A$2:$A$20,E194)&gt;0,"19-SECTOR","DETAIL / OTHER"))</f>
        <v/>
      </c>
    </row>
    <row r="195" spans="4:7">
      <c r="D195" s="8"/>
      <c r="E195" t="str">
        <f t="shared" si="6"/>
        <v/>
      </c>
      <c r="F195" t="str">
        <f t="shared" si="7"/>
        <v/>
      </c>
      <c r="G195" t="str">
        <f>IF(E195="","",IF(COUNTIF('DATA QCEW'!$A$2:$A$20,E195)&gt;0,"19-SECTOR","DETAIL / OTHER"))</f>
        <v/>
      </c>
    </row>
    <row r="196" spans="4:7">
      <c r="D196" s="8"/>
      <c r="E196" t="str">
        <f t="shared" si="6"/>
        <v/>
      </c>
      <c r="F196" t="str">
        <f t="shared" si="7"/>
        <v/>
      </c>
      <c r="G196" t="str">
        <f>IF(E196="","",IF(COUNTIF('DATA QCEW'!$A$2:$A$20,E196)&gt;0,"19-SECTOR","DETAIL / OTHER"))</f>
        <v/>
      </c>
    </row>
    <row r="197" spans="4:7">
      <c r="D197" s="8"/>
      <c r="E197" t="str">
        <f t="shared" si="6"/>
        <v/>
      </c>
      <c r="F197" t="str">
        <f t="shared" si="7"/>
        <v/>
      </c>
      <c r="G197" t="str">
        <f>IF(E197="","",IF(COUNTIF('DATA QCEW'!$A$2:$A$20,E197)&gt;0,"19-SECTOR","DETAIL / OTHER"))</f>
        <v/>
      </c>
    </row>
    <row r="198" spans="4:7">
      <c r="D198" s="8"/>
      <c r="E198" t="str">
        <f t="shared" si="6"/>
        <v/>
      </c>
      <c r="F198" t="str">
        <f t="shared" si="7"/>
        <v/>
      </c>
      <c r="G198" t="str">
        <f>IF(E198="","",IF(COUNTIF('DATA QCEW'!$A$2:$A$20,E198)&gt;0,"19-SECTOR","DETAIL / OTHER"))</f>
        <v/>
      </c>
    </row>
    <row r="199" spans="4:7">
      <c r="D199" s="8"/>
      <c r="E199" t="str">
        <f t="shared" si="6"/>
        <v/>
      </c>
      <c r="F199" t="str">
        <f t="shared" si="7"/>
        <v/>
      </c>
      <c r="G199" t="str">
        <f>IF(E199="","",IF(COUNTIF('DATA QCEW'!$A$2:$A$20,E199)&gt;0,"19-SECTOR","DETAIL / OTHER"))</f>
        <v/>
      </c>
    </row>
    <row r="200" spans="4:7">
      <c r="D200" s="8"/>
      <c r="E200" t="str">
        <f t="shared" si="6"/>
        <v/>
      </c>
      <c r="F200" t="str">
        <f t="shared" si="7"/>
        <v/>
      </c>
      <c r="G200" t="str">
        <f>IF(E200="","",IF(COUNTIF('DATA QCEW'!$A$2:$A$20,E200)&gt;0,"19-SECTOR","DETAIL / OTHER"))</f>
        <v/>
      </c>
    </row>
    <row r="201" spans="4:7">
      <c r="D201" s="8"/>
      <c r="E201" t="str">
        <f t="shared" si="6"/>
        <v/>
      </c>
      <c r="F201" t="str">
        <f t="shared" si="7"/>
        <v/>
      </c>
      <c r="G201" t="str">
        <f>IF(E201="","",IF(COUNTIF('DATA QCEW'!$A$2:$A$20,E201)&gt;0,"19-SECTOR","DETAIL / OTHER"))</f>
        <v/>
      </c>
    </row>
    <row r="202" spans="4:7">
      <c r="D202" s="8"/>
      <c r="E202" t="str">
        <f t="shared" si="6"/>
        <v/>
      </c>
      <c r="F202" t="str">
        <f t="shared" si="7"/>
        <v/>
      </c>
      <c r="G202" t="str">
        <f>IF(E202="","",IF(COUNTIF('DATA QCEW'!$A$2:$A$20,E202)&gt;0,"19-SECTOR","DETAIL / OTHER"))</f>
        <v/>
      </c>
    </row>
    <row r="203" spans="4:7">
      <c r="D203" s="8"/>
      <c r="E203" t="str">
        <f t="shared" si="6"/>
        <v/>
      </c>
      <c r="F203" t="str">
        <f t="shared" si="7"/>
        <v/>
      </c>
      <c r="G203" t="str">
        <f>IF(E203="","",IF(COUNTIF('DATA QCEW'!$A$2:$A$20,E203)&gt;0,"19-SECTOR","DETAIL / OTHER"))</f>
        <v/>
      </c>
    </row>
    <row r="204" spans="4:7">
      <c r="D204" s="8"/>
      <c r="E204" t="str">
        <f t="shared" si="6"/>
        <v/>
      </c>
      <c r="F204" t="str">
        <f t="shared" si="7"/>
        <v/>
      </c>
      <c r="G204" t="str">
        <f>IF(E204="","",IF(COUNTIF('DATA QCEW'!$A$2:$A$20,E204)&gt;0,"19-SECTOR","DETAIL / OTHER"))</f>
        <v/>
      </c>
    </row>
    <row r="205" spans="4:7">
      <c r="D205" s="8"/>
      <c r="E205" t="str">
        <f t="shared" si="6"/>
        <v/>
      </c>
      <c r="F205" t="str">
        <f t="shared" si="7"/>
        <v/>
      </c>
      <c r="G205" t="str">
        <f>IF(E205="","",IF(COUNTIF('DATA QCEW'!$A$2:$A$20,E205)&gt;0,"19-SECTOR","DETAIL / OTHER"))</f>
        <v/>
      </c>
    </row>
    <row r="206" spans="4:7">
      <c r="D206" s="8"/>
      <c r="E206" t="str">
        <f t="shared" si="6"/>
        <v/>
      </c>
      <c r="F206" t="str">
        <f t="shared" si="7"/>
        <v/>
      </c>
      <c r="G206" t="str">
        <f>IF(E206="","",IF(COUNTIF('DATA QCEW'!$A$2:$A$20,E206)&gt;0,"19-SECTOR","DETAIL / OTHER"))</f>
        <v/>
      </c>
    </row>
    <row r="207" spans="4:7">
      <c r="D207" s="8"/>
      <c r="E207" t="str">
        <f t="shared" si="6"/>
        <v/>
      </c>
      <c r="F207" t="str">
        <f t="shared" si="7"/>
        <v/>
      </c>
      <c r="G207" t="str">
        <f>IF(E207="","",IF(COUNTIF('DATA QCEW'!$A$2:$A$20,E207)&gt;0,"19-SECTOR","DETAIL / OTHER"))</f>
        <v/>
      </c>
    </row>
    <row r="208" spans="4:7">
      <c r="D208" s="8"/>
      <c r="E208" t="str">
        <f t="shared" si="6"/>
        <v/>
      </c>
      <c r="F208" t="str">
        <f t="shared" si="7"/>
        <v/>
      </c>
      <c r="G208" t="str">
        <f>IF(E208="","",IF(COUNTIF('DATA QCEW'!$A$2:$A$20,E208)&gt;0,"19-SECTOR","DETAIL / OTHER"))</f>
        <v/>
      </c>
    </row>
    <row r="209" spans="4:7">
      <c r="D209" s="8"/>
      <c r="E209" t="str">
        <f t="shared" si="6"/>
        <v/>
      </c>
      <c r="F209" t="str">
        <f t="shared" si="7"/>
        <v/>
      </c>
      <c r="G209" t="str">
        <f>IF(E209="","",IF(COUNTIF('DATA QCEW'!$A$2:$A$20,E209)&gt;0,"19-SECTOR","DETAIL / OTHER"))</f>
        <v/>
      </c>
    </row>
    <row r="210" spans="4:7">
      <c r="D210" s="8"/>
      <c r="E210" t="str">
        <f t="shared" si="6"/>
        <v/>
      </c>
      <c r="F210" t="str">
        <f t="shared" si="7"/>
        <v/>
      </c>
      <c r="G210" t="str">
        <f>IF(E210="","",IF(COUNTIF('DATA QCEW'!$A$2:$A$20,E210)&gt;0,"19-SECTOR","DETAIL / OTHER"))</f>
        <v/>
      </c>
    </row>
    <row r="211" spans="4:7">
      <c r="D211" s="8"/>
      <c r="E211" t="str">
        <f t="shared" si="6"/>
        <v/>
      </c>
      <c r="F211" t="str">
        <f t="shared" si="7"/>
        <v/>
      </c>
      <c r="G211" t="str">
        <f>IF(E211="","",IF(COUNTIF('DATA QCEW'!$A$2:$A$20,E211)&gt;0,"19-SECTOR","DETAIL / OTHER"))</f>
        <v/>
      </c>
    </row>
    <row r="212" spans="4:7">
      <c r="D212" s="8"/>
      <c r="E212" t="str">
        <f t="shared" si="6"/>
        <v/>
      </c>
      <c r="F212" t="str">
        <f t="shared" si="7"/>
        <v/>
      </c>
      <c r="G212" t="str">
        <f>IF(E212="","",IF(COUNTIF('DATA QCEW'!$A$2:$A$20,E212)&gt;0,"19-SECTOR","DETAIL / OTHER"))</f>
        <v/>
      </c>
    </row>
    <row r="213" spans="4:7">
      <c r="D213" s="8"/>
      <c r="E213" t="str">
        <f t="shared" si="6"/>
        <v/>
      </c>
      <c r="F213" t="str">
        <f t="shared" si="7"/>
        <v/>
      </c>
      <c r="G213" t="str">
        <f>IF(E213="","",IF(COUNTIF('DATA QCEW'!$A$2:$A$20,E213)&gt;0,"19-SECTOR","DETAIL / OTHER"))</f>
        <v/>
      </c>
    </row>
    <row r="214" spans="4:7">
      <c r="D214" s="8"/>
      <c r="E214" t="str">
        <f t="shared" si="6"/>
        <v/>
      </c>
      <c r="F214" t="str">
        <f t="shared" si="7"/>
        <v/>
      </c>
      <c r="G214" t="str">
        <f>IF(E214="","",IF(COUNTIF('DATA QCEW'!$A$2:$A$20,E214)&gt;0,"19-SECTOR","DETAIL / OTHER"))</f>
        <v/>
      </c>
    </row>
    <row r="215" spans="4:7">
      <c r="D215" s="8"/>
      <c r="E215" t="str">
        <f t="shared" si="6"/>
        <v/>
      </c>
      <c r="F215" t="str">
        <f t="shared" si="7"/>
        <v/>
      </c>
      <c r="G215" t="str">
        <f>IF(E215="","",IF(COUNTIF('DATA QCEW'!$A$2:$A$20,E215)&gt;0,"19-SECTOR","DETAIL / OTHER"))</f>
        <v/>
      </c>
    </row>
    <row r="216" spans="4:7">
      <c r="D216" s="8"/>
      <c r="E216" t="str">
        <f t="shared" si="6"/>
        <v/>
      </c>
      <c r="F216" t="str">
        <f t="shared" si="7"/>
        <v/>
      </c>
      <c r="G216" t="str">
        <f>IF(E216="","",IF(COUNTIF('DATA QCEW'!$A$2:$A$20,E216)&gt;0,"19-SECTOR","DETAIL / OTHER"))</f>
        <v/>
      </c>
    </row>
    <row r="217" spans="4:7">
      <c r="D217" s="8"/>
      <c r="E217" t="str">
        <f t="shared" si="6"/>
        <v/>
      </c>
      <c r="F217" t="str">
        <f t="shared" si="7"/>
        <v/>
      </c>
      <c r="G217" t="str">
        <f>IF(E217="","",IF(COUNTIF('DATA QCEW'!$A$2:$A$20,E217)&gt;0,"19-SECTOR","DETAIL / OTHER"))</f>
        <v/>
      </c>
    </row>
    <row r="218" spans="4:7">
      <c r="D218" s="8"/>
      <c r="E218" t="str">
        <f t="shared" si="6"/>
        <v/>
      </c>
      <c r="F218" t="str">
        <f t="shared" si="7"/>
        <v/>
      </c>
      <c r="G218" t="str">
        <f>IF(E218="","",IF(COUNTIF('DATA QCEW'!$A$2:$A$20,E218)&gt;0,"19-SECTOR","DETAIL / OTHER"))</f>
        <v/>
      </c>
    </row>
    <row r="219" spans="4:7">
      <c r="D219" s="8"/>
      <c r="E219" t="str">
        <f t="shared" si="6"/>
        <v/>
      </c>
      <c r="F219" t="str">
        <f t="shared" si="7"/>
        <v/>
      </c>
      <c r="G219" t="str">
        <f>IF(E219="","",IF(COUNTIF('DATA QCEW'!$A$2:$A$20,E219)&gt;0,"19-SECTOR","DETAIL / OTHER"))</f>
        <v/>
      </c>
    </row>
    <row r="220" spans="4:7">
      <c r="D220" s="8"/>
      <c r="E220" t="str">
        <f t="shared" si="6"/>
        <v/>
      </c>
      <c r="F220" t="str">
        <f t="shared" si="7"/>
        <v/>
      </c>
      <c r="G220" t="str">
        <f>IF(E220="","",IF(COUNTIF('DATA QCEW'!$A$2:$A$20,E220)&gt;0,"19-SECTOR","DETAIL / OTHER"))</f>
        <v/>
      </c>
    </row>
    <row r="221" spans="4:7">
      <c r="D221" s="8"/>
      <c r="E221" t="str">
        <f t="shared" si="6"/>
        <v/>
      </c>
      <c r="F221" t="str">
        <f t="shared" si="7"/>
        <v/>
      </c>
      <c r="G221" t="str">
        <f>IF(E221="","",IF(COUNTIF('DATA QCEW'!$A$2:$A$20,E221)&gt;0,"19-SECTOR","DETAIL / OTHER"))</f>
        <v/>
      </c>
    </row>
    <row r="222" spans="4:7">
      <c r="D222" s="8"/>
      <c r="E222" t="str">
        <f t="shared" si="6"/>
        <v/>
      </c>
      <c r="F222" t="str">
        <f t="shared" si="7"/>
        <v/>
      </c>
      <c r="G222" t="str">
        <f>IF(E222="","",IF(COUNTIF('DATA QCEW'!$A$2:$A$20,E222)&gt;0,"19-SECTOR","DETAIL / OTHER"))</f>
        <v/>
      </c>
    </row>
    <row r="223" spans="4:7">
      <c r="D223" s="8"/>
      <c r="E223" t="str">
        <f t="shared" si="6"/>
        <v/>
      </c>
      <c r="F223" t="str">
        <f t="shared" si="7"/>
        <v/>
      </c>
      <c r="G223" t="str">
        <f>IF(E223="","",IF(COUNTIF('DATA QCEW'!$A$2:$A$20,E223)&gt;0,"19-SECTOR","DETAIL / OTHER"))</f>
        <v/>
      </c>
    </row>
    <row r="224" spans="4:7">
      <c r="D224" s="8"/>
      <c r="E224" t="str">
        <f t="shared" si="6"/>
        <v/>
      </c>
      <c r="F224" t="str">
        <f t="shared" si="7"/>
        <v/>
      </c>
      <c r="G224" t="str">
        <f>IF(E224="","",IF(COUNTIF('DATA QCEW'!$A$2:$A$20,E224)&gt;0,"19-SECTOR","DETAIL / OTHER"))</f>
        <v/>
      </c>
    </row>
    <row r="225" spans="4:7">
      <c r="D225" s="8"/>
      <c r="E225" t="str">
        <f t="shared" si="6"/>
        <v/>
      </c>
      <c r="F225" t="str">
        <f t="shared" si="7"/>
        <v/>
      </c>
      <c r="G225" t="str">
        <f>IF(E225="","",IF(COUNTIF('DATA QCEW'!$A$2:$A$20,E225)&gt;0,"19-SECTOR","DETAIL / OTHER"))</f>
        <v/>
      </c>
    </row>
    <row r="226" spans="4:7">
      <c r="D226" s="8"/>
      <c r="E226" t="str">
        <f t="shared" si="6"/>
        <v/>
      </c>
      <c r="F226" t="str">
        <f t="shared" si="7"/>
        <v/>
      </c>
      <c r="G226" t="str">
        <f>IF(E226="","",IF(COUNTIF('DATA QCEW'!$A$2:$A$20,E226)&gt;0,"19-SECTOR","DETAIL / OTHER"))</f>
        <v/>
      </c>
    </row>
    <row r="227" spans="4:7">
      <c r="D227" s="8"/>
      <c r="E227" t="str">
        <f t="shared" si="6"/>
        <v/>
      </c>
      <c r="F227" t="str">
        <f t="shared" si="7"/>
        <v/>
      </c>
      <c r="G227" t="str">
        <f>IF(E227="","",IF(COUNTIF('DATA QCEW'!$A$2:$A$20,E227)&gt;0,"19-SECTOR","DETAIL / OTHER"))</f>
        <v/>
      </c>
    </row>
    <row r="228" spans="4:7">
      <c r="D228" s="8"/>
      <c r="E228" t="str">
        <f t="shared" si="6"/>
        <v/>
      </c>
      <c r="F228" t="str">
        <f t="shared" si="7"/>
        <v/>
      </c>
      <c r="G228" t="str">
        <f>IF(E228="","",IF(COUNTIF('DATA QCEW'!$A$2:$A$20,E228)&gt;0,"19-SECTOR","DETAIL / OTHER"))</f>
        <v/>
      </c>
    </row>
    <row r="229" spans="4:7">
      <c r="D229" s="8"/>
      <c r="E229" t="str">
        <f t="shared" si="6"/>
        <v/>
      </c>
      <c r="F229" t="str">
        <f t="shared" si="7"/>
        <v/>
      </c>
      <c r="G229" t="str">
        <f>IF(E229="","",IF(COUNTIF('DATA QCEW'!$A$2:$A$20,E229)&gt;0,"19-SECTOR","DETAIL / OTHER"))</f>
        <v/>
      </c>
    </row>
    <row r="230" spans="4:7">
      <c r="D230" s="8"/>
      <c r="E230" t="str">
        <f t="shared" si="6"/>
        <v/>
      </c>
      <c r="F230" t="str">
        <f t="shared" si="7"/>
        <v/>
      </c>
      <c r="G230" t="str">
        <f>IF(E230="","",IF(COUNTIF('DATA QCEW'!$A$2:$A$20,E230)&gt;0,"19-SECTOR","DETAIL / OTHER"))</f>
        <v/>
      </c>
    </row>
    <row r="231" spans="4:7">
      <c r="D231" s="8"/>
      <c r="E231" t="str">
        <f t="shared" si="6"/>
        <v/>
      </c>
      <c r="F231" t="str">
        <f t="shared" si="7"/>
        <v/>
      </c>
      <c r="G231" t="str">
        <f>IF(E231="","",IF(COUNTIF('DATA QCEW'!$A$2:$A$20,E231)&gt;0,"19-SECTOR","DETAIL / OTHER"))</f>
        <v/>
      </c>
    </row>
    <row r="232" spans="4:7">
      <c r="D232" s="8"/>
      <c r="E232" t="str">
        <f t="shared" si="6"/>
        <v/>
      </c>
      <c r="F232" t="str">
        <f t="shared" si="7"/>
        <v/>
      </c>
      <c r="G232" t="str">
        <f>IF(E232="","",IF(COUNTIF('DATA QCEW'!$A$2:$A$20,E232)&gt;0,"19-SECTOR","DETAIL / OTHER"))</f>
        <v/>
      </c>
    </row>
    <row r="233" spans="4:7">
      <c r="D233" s="8"/>
      <c r="E233" t="str">
        <f t="shared" si="6"/>
        <v/>
      </c>
      <c r="F233" t="str">
        <f t="shared" si="7"/>
        <v/>
      </c>
      <c r="G233" t="str">
        <f>IF(E233="","",IF(COUNTIF('DATA QCEW'!$A$2:$A$20,E233)&gt;0,"19-SECTOR","DETAIL / OTHER"))</f>
        <v/>
      </c>
    </row>
    <row r="234" spans="4:7">
      <c r="D234" s="8"/>
      <c r="E234" t="str">
        <f t="shared" si="6"/>
        <v/>
      </c>
      <c r="F234" t="str">
        <f t="shared" si="7"/>
        <v/>
      </c>
      <c r="G234" t="str">
        <f>IF(E234="","",IF(COUNTIF('DATA QCEW'!$A$2:$A$20,E234)&gt;0,"19-SECTOR","DETAIL / OTHER"))</f>
        <v/>
      </c>
    </row>
    <row r="235" spans="4:7">
      <c r="D235" s="8"/>
      <c r="E235" t="str">
        <f t="shared" si="6"/>
        <v/>
      </c>
      <c r="F235" t="str">
        <f t="shared" si="7"/>
        <v/>
      </c>
      <c r="G235" t="str">
        <f>IF(E235="","",IF(COUNTIF('DATA QCEW'!$A$2:$A$20,E235)&gt;0,"19-SECTOR","DETAIL / OTHER"))</f>
        <v/>
      </c>
    </row>
    <row r="236" spans="4:7">
      <c r="D236" s="8"/>
      <c r="E236" t="str">
        <f t="shared" si="6"/>
        <v/>
      </c>
      <c r="F236" t="str">
        <f t="shared" si="7"/>
        <v/>
      </c>
      <c r="G236" t="str">
        <f>IF(E236="","",IF(COUNTIF('DATA QCEW'!$A$2:$A$20,E236)&gt;0,"19-SECTOR","DETAIL / OTHER"))</f>
        <v/>
      </c>
    </row>
    <row r="237" spans="4:7">
      <c r="D237" s="8"/>
      <c r="E237" t="str">
        <f t="shared" si="6"/>
        <v/>
      </c>
      <c r="F237" t="str">
        <f t="shared" si="7"/>
        <v/>
      </c>
      <c r="G237" t="str">
        <f>IF(E237="","",IF(COUNTIF('DATA QCEW'!$A$2:$A$20,E237)&gt;0,"19-SECTOR","DETAIL / OTHER"))</f>
        <v/>
      </c>
    </row>
    <row r="238" spans="4:7">
      <c r="D238" s="8"/>
      <c r="E238" t="str">
        <f t="shared" si="6"/>
        <v/>
      </c>
      <c r="F238" t="str">
        <f t="shared" si="7"/>
        <v/>
      </c>
      <c r="G238" t="str">
        <f>IF(E238="","",IF(COUNTIF('DATA QCEW'!$A$2:$A$20,E238)&gt;0,"19-SECTOR","DETAIL / OTHER"))</f>
        <v/>
      </c>
    </row>
    <row r="239" spans="4:7">
      <c r="D239" s="8"/>
      <c r="E239" t="str">
        <f t="shared" si="6"/>
        <v/>
      </c>
      <c r="F239" t="str">
        <f t="shared" si="7"/>
        <v/>
      </c>
      <c r="G239" t="str">
        <f>IF(E239="","",IF(COUNTIF('DATA QCEW'!$A$2:$A$20,E239)&gt;0,"19-SECTOR","DETAIL / OTHER"))</f>
        <v/>
      </c>
    </row>
    <row r="240" spans="4:7">
      <c r="D240" s="8"/>
      <c r="E240" t="str">
        <f t="shared" si="6"/>
        <v/>
      </c>
      <c r="F240" t="str">
        <f t="shared" si="7"/>
        <v/>
      </c>
      <c r="G240" t="str">
        <f>IF(E240="","",IF(COUNTIF('DATA QCEW'!$A$2:$A$20,E240)&gt;0,"19-SECTOR","DETAIL / OTHER"))</f>
        <v/>
      </c>
    </row>
    <row r="241" spans="4:7">
      <c r="D241" s="8"/>
      <c r="E241" t="str">
        <f t="shared" si="6"/>
        <v/>
      </c>
      <c r="F241" t="str">
        <f t="shared" si="7"/>
        <v/>
      </c>
      <c r="G241" t="str">
        <f>IF(E241="","",IF(COUNTIF('DATA QCEW'!$A$2:$A$20,E241)&gt;0,"19-SECTOR","DETAIL / OTHER"))</f>
        <v/>
      </c>
    </row>
    <row r="242" spans="4:7">
      <c r="D242" s="8"/>
      <c r="E242" t="str">
        <f t="shared" si="6"/>
        <v/>
      </c>
      <c r="F242" t="str">
        <f t="shared" si="7"/>
        <v/>
      </c>
      <c r="G242" t="str">
        <f>IF(E242="","",IF(COUNTIF('DATA QCEW'!$A$2:$A$20,E242)&gt;0,"19-SECTOR","DETAIL / OTHER"))</f>
        <v/>
      </c>
    </row>
    <row r="243" spans="4:7">
      <c r="D243" s="8"/>
      <c r="E243" t="str">
        <f t="shared" si="6"/>
        <v/>
      </c>
      <c r="F243" t="str">
        <f t="shared" si="7"/>
        <v/>
      </c>
      <c r="G243" t="str">
        <f>IF(E243="","",IF(COUNTIF('DATA QCEW'!$A$2:$A$20,E243)&gt;0,"19-SECTOR","DETAIL / OTHER"))</f>
        <v/>
      </c>
    </row>
    <row r="244" spans="4:7">
      <c r="D244" s="8"/>
      <c r="E244" t="str">
        <f t="shared" si="6"/>
        <v/>
      </c>
      <c r="F244" t="str">
        <f t="shared" si="7"/>
        <v/>
      </c>
      <c r="G244" t="str">
        <f>IF(E244="","",IF(COUNTIF('DATA QCEW'!$A$2:$A$20,E244)&gt;0,"19-SECTOR","DETAIL / OTHER"))</f>
        <v/>
      </c>
    </row>
    <row r="245" spans="4:7">
      <c r="D245" s="8"/>
      <c r="E245" t="str">
        <f t="shared" si="6"/>
        <v/>
      </c>
      <c r="F245" t="str">
        <f t="shared" si="7"/>
        <v/>
      </c>
      <c r="G245" t="str">
        <f>IF(E245="","",IF(COUNTIF('DATA QCEW'!$A$2:$A$20,E245)&gt;0,"19-SECTOR","DETAIL / OTHER"))</f>
        <v/>
      </c>
    </row>
    <row r="246" spans="4:7">
      <c r="D246" s="8"/>
      <c r="E246" t="str">
        <f t="shared" si="6"/>
        <v/>
      </c>
      <c r="F246" t="str">
        <f t="shared" si="7"/>
        <v/>
      </c>
      <c r="G246" t="str">
        <f>IF(E246="","",IF(COUNTIF('DATA QCEW'!$A$2:$A$20,E246)&gt;0,"19-SECTOR","DETAIL / OTHER"))</f>
        <v/>
      </c>
    </row>
    <row r="247" spans="4:7">
      <c r="D247" s="8"/>
      <c r="E247" t="str">
        <f t="shared" si="6"/>
        <v/>
      </c>
      <c r="F247" t="str">
        <f t="shared" si="7"/>
        <v/>
      </c>
      <c r="G247" t="str">
        <f>IF(E247="","",IF(COUNTIF('DATA QCEW'!$A$2:$A$20,E247)&gt;0,"19-SECTOR","DETAIL / OTHER"))</f>
        <v/>
      </c>
    </row>
    <row r="248" spans="4:7">
      <c r="D248" s="8"/>
      <c r="E248" t="str">
        <f t="shared" si="6"/>
        <v/>
      </c>
      <c r="F248" t="str">
        <f t="shared" si="7"/>
        <v/>
      </c>
      <c r="G248" t="str">
        <f>IF(E248="","",IF(COUNTIF('DATA QCEW'!$A$2:$A$20,E248)&gt;0,"19-SECTOR","DETAIL / OTHER"))</f>
        <v/>
      </c>
    </row>
    <row r="249" spans="4:7">
      <c r="D249" s="8"/>
      <c r="E249" t="str">
        <f t="shared" si="6"/>
        <v/>
      </c>
      <c r="F249" t="str">
        <f t="shared" si="7"/>
        <v/>
      </c>
      <c r="G249" t="str">
        <f>IF(E249="","",IF(COUNTIF('DATA QCEW'!$A$2:$A$20,E249)&gt;0,"19-SECTOR","DETAIL / OTHER"))</f>
        <v/>
      </c>
    </row>
    <row r="250" spans="4:7">
      <c r="D250" s="8"/>
      <c r="E250" t="str">
        <f t="shared" si="6"/>
        <v/>
      </c>
      <c r="F250" t="str">
        <f t="shared" si="7"/>
        <v/>
      </c>
      <c r="G250" t="str">
        <f>IF(E250="","",IF(COUNTIF('DATA QCEW'!$A$2:$A$20,E250)&gt;0,"19-SECTOR","DETAIL / OTHER"))</f>
        <v/>
      </c>
    </row>
    <row r="251" spans="4:7">
      <c r="D251" s="8"/>
      <c r="E251" t="str">
        <f t="shared" si="6"/>
        <v/>
      </c>
      <c r="F251" t="str">
        <f t="shared" si="7"/>
        <v/>
      </c>
      <c r="G251" t="str">
        <f>IF(E251="","",IF(COUNTIF('DATA QCEW'!$A$2:$A$20,E251)&gt;0,"19-SECTOR","DETAIL / OTHER"))</f>
        <v/>
      </c>
    </row>
    <row r="252" spans="4:7">
      <c r="D252" s="8"/>
      <c r="E252" t="str">
        <f t="shared" si="6"/>
        <v/>
      </c>
      <c r="F252" t="str">
        <f t="shared" si="7"/>
        <v/>
      </c>
      <c r="G252" t="str">
        <f>IF(E252="","",IF(COUNTIF('DATA QCEW'!$A$2:$A$20,E252)&gt;0,"19-SECTOR","DETAIL / OTHER"))</f>
        <v/>
      </c>
    </row>
    <row r="253" spans="4:7">
      <c r="D253" s="8"/>
      <c r="E253" t="str">
        <f t="shared" si="6"/>
        <v/>
      </c>
      <c r="F253" t="str">
        <f t="shared" si="7"/>
        <v/>
      </c>
      <c r="G253" t="str">
        <f>IF(E253="","",IF(COUNTIF('DATA QCEW'!$A$2:$A$20,E253)&gt;0,"19-SECTOR","DETAIL / OTHER"))</f>
        <v/>
      </c>
    </row>
    <row r="254" spans="4:7">
      <c r="D254" s="8"/>
      <c r="E254" t="str">
        <f t="shared" si="6"/>
        <v/>
      </c>
      <c r="F254" t="str">
        <f t="shared" si="7"/>
        <v/>
      </c>
      <c r="G254" t="str">
        <f>IF(E254="","",IF(COUNTIF('DATA QCEW'!$A$2:$A$20,E254)&gt;0,"19-SECTOR","DETAIL / OTHER"))</f>
        <v/>
      </c>
    </row>
    <row r="255" spans="4:7">
      <c r="D255" s="8"/>
      <c r="E255" t="str">
        <f t="shared" si="6"/>
        <v/>
      </c>
      <c r="F255" t="str">
        <f t="shared" si="7"/>
        <v/>
      </c>
      <c r="G255" t="str">
        <f>IF(E255="","",IF(COUNTIF('DATA QCEW'!$A$2:$A$20,E255)&gt;0,"19-SECTOR","DETAIL / OTHER"))</f>
        <v/>
      </c>
    </row>
    <row r="256" spans="4:7">
      <c r="D256" s="8"/>
      <c r="E256" t="str">
        <f t="shared" si="6"/>
        <v/>
      </c>
      <c r="F256" t="str">
        <f t="shared" si="7"/>
        <v/>
      </c>
      <c r="G256" t="str">
        <f>IF(E256="","",IF(COUNTIF('DATA QCEW'!$A$2:$A$20,E256)&gt;0,"19-SECTOR","DETAIL / OTHER"))</f>
        <v/>
      </c>
    </row>
    <row r="257" spans="4:7">
      <c r="D257" s="8"/>
      <c r="E257" t="str">
        <f t="shared" si="6"/>
        <v/>
      </c>
      <c r="F257" t="str">
        <f t="shared" si="7"/>
        <v/>
      </c>
      <c r="G257" t="str">
        <f>IF(E257="","",IF(COUNTIF('DATA QCEW'!$A$2:$A$20,E257)&gt;0,"19-SECTOR","DETAIL / OTHER"))</f>
        <v/>
      </c>
    </row>
    <row r="258" spans="4:7">
      <c r="D258" s="8"/>
      <c r="E258" t="str">
        <f t="shared" ref="E258:E321" si="8">IF(LEFT(TRIM(A258),6)="NAICS ",IFERROR(MID(TRIM(A258),7,FIND(" ",TRIM(A258)&amp;" ",7)-7),""),"")</f>
        <v/>
      </c>
      <c r="F258" t="str">
        <f t="shared" ref="F258:F321" si="9">IF(E258="","",TRIM(MID(TRIM(A258),FIND(" ",TRIM(A258)&amp;" ",7)+1,255)))</f>
        <v/>
      </c>
      <c r="G258" t="str">
        <f>IF(E258="","",IF(COUNTIF('DATA QCEW'!$A$2:$A$20,E258)&gt;0,"19-SECTOR","DETAIL / OTHER"))</f>
        <v/>
      </c>
    </row>
    <row r="259" spans="4:7">
      <c r="D259" s="8"/>
      <c r="E259" t="str">
        <f t="shared" si="8"/>
        <v/>
      </c>
      <c r="F259" t="str">
        <f t="shared" si="9"/>
        <v/>
      </c>
      <c r="G259" t="str">
        <f>IF(E259="","",IF(COUNTIF('DATA QCEW'!$A$2:$A$20,E259)&gt;0,"19-SECTOR","DETAIL / OTHER"))</f>
        <v/>
      </c>
    </row>
    <row r="260" spans="4:7">
      <c r="D260" s="8"/>
      <c r="E260" t="str">
        <f t="shared" si="8"/>
        <v/>
      </c>
      <c r="F260" t="str">
        <f t="shared" si="9"/>
        <v/>
      </c>
      <c r="G260" t="str">
        <f>IF(E260="","",IF(COUNTIF('DATA QCEW'!$A$2:$A$20,E260)&gt;0,"19-SECTOR","DETAIL / OTHER"))</f>
        <v/>
      </c>
    </row>
    <row r="261" spans="4:7">
      <c r="D261" s="8"/>
      <c r="E261" t="str">
        <f t="shared" si="8"/>
        <v/>
      </c>
      <c r="F261" t="str">
        <f t="shared" si="9"/>
        <v/>
      </c>
      <c r="G261" t="str">
        <f>IF(E261="","",IF(COUNTIF('DATA QCEW'!$A$2:$A$20,E261)&gt;0,"19-SECTOR","DETAIL / OTHER"))</f>
        <v/>
      </c>
    </row>
    <row r="262" spans="4:7">
      <c r="D262" s="8"/>
      <c r="E262" t="str">
        <f t="shared" si="8"/>
        <v/>
      </c>
      <c r="F262" t="str">
        <f t="shared" si="9"/>
        <v/>
      </c>
      <c r="G262" t="str">
        <f>IF(E262="","",IF(COUNTIF('DATA QCEW'!$A$2:$A$20,E262)&gt;0,"19-SECTOR","DETAIL / OTHER"))</f>
        <v/>
      </c>
    </row>
    <row r="263" spans="4:7">
      <c r="D263" s="8"/>
      <c r="E263" t="str">
        <f t="shared" si="8"/>
        <v/>
      </c>
      <c r="F263" t="str">
        <f t="shared" si="9"/>
        <v/>
      </c>
      <c r="G263" t="str">
        <f>IF(E263="","",IF(COUNTIF('DATA QCEW'!$A$2:$A$20,E263)&gt;0,"19-SECTOR","DETAIL / OTHER"))</f>
        <v/>
      </c>
    </row>
    <row r="264" spans="4:7">
      <c r="D264" s="8"/>
      <c r="E264" t="str">
        <f t="shared" si="8"/>
        <v/>
      </c>
      <c r="F264" t="str">
        <f t="shared" si="9"/>
        <v/>
      </c>
      <c r="G264" t="str">
        <f>IF(E264="","",IF(COUNTIF('DATA QCEW'!$A$2:$A$20,E264)&gt;0,"19-SECTOR","DETAIL / OTHER"))</f>
        <v/>
      </c>
    </row>
    <row r="265" spans="4:7">
      <c r="D265" s="8"/>
      <c r="E265" t="str">
        <f t="shared" si="8"/>
        <v/>
      </c>
      <c r="F265" t="str">
        <f t="shared" si="9"/>
        <v/>
      </c>
      <c r="G265" t="str">
        <f>IF(E265="","",IF(COUNTIF('DATA QCEW'!$A$2:$A$20,E265)&gt;0,"19-SECTOR","DETAIL / OTHER"))</f>
        <v/>
      </c>
    </row>
    <row r="266" spans="4:7">
      <c r="D266" s="8"/>
      <c r="E266" t="str">
        <f t="shared" si="8"/>
        <v/>
      </c>
      <c r="F266" t="str">
        <f t="shared" si="9"/>
        <v/>
      </c>
      <c r="G266" t="str">
        <f>IF(E266="","",IF(COUNTIF('DATA QCEW'!$A$2:$A$20,E266)&gt;0,"19-SECTOR","DETAIL / OTHER"))</f>
        <v/>
      </c>
    </row>
    <row r="267" spans="4:7">
      <c r="D267" s="8"/>
      <c r="E267" t="str">
        <f t="shared" si="8"/>
        <v/>
      </c>
      <c r="F267" t="str">
        <f t="shared" si="9"/>
        <v/>
      </c>
      <c r="G267" t="str">
        <f>IF(E267="","",IF(COUNTIF('DATA QCEW'!$A$2:$A$20,E267)&gt;0,"19-SECTOR","DETAIL / OTHER"))</f>
        <v/>
      </c>
    </row>
    <row r="268" spans="4:7">
      <c r="D268" s="8"/>
      <c r="E268" t="str">
        <f t="shared" si="8"/>
        <v/>
      </c>
      <c r="F268" t="str">
        <f t="shared" si="9"/>
        <v/>
      </c>
      <c r="G268" t="str">
        <f>IF(E268="","",IF(COUNTIF('DATA QCEW'!$A$2:$A$20,E268)&gt;0,"19-SECTOR","DETAIL / OTHER"))</f>
        <v/>
      </c>
    </row>
    <row r="269" spans="4:7">
      <c r="D269" s="8"/>
      <c r="E269" t="str">
        <f t="shared" si="8"/>
        <v/>
      </c>
      <c r="F269" t="str">
        <f t="shared" si="9"/>
        <v/>
      </c>
      <c r="G269" t="str">
        <f>IF(E269="","",IF(COUNTIF('DATA QCEW'!$A$2:$A$20,E269)&gt;0,"19-SECTOR","DETAIL / OTHER"))</f>
        <v/>
      </c>
    </row>
    <row r="270" spans="4:7">
      <c r="D270" s="8"/>
      <c r="E270" t="str">
        <f t="shared" si="8"/>
        <v/>
      </c>
      <c r="F270" t="str">
        <f t="shared" si="9"/>
        <v/>
      </c>
      <c r="G270" t="str">
        <f>IF(E270="","",IF(COUNTIF('DATA QCEW'!$A$2:$A$20,E270)&gt;0,"19-SECTOR","DETAIL / OTHER"))</f>
        <v/>
      </c>
    </row>
    <row r="271" spans="4:7">
      <c r="D271" s="8"/>
      <c r="E271" t="str">
        <f t="shared" si="8"/>
        <v/>
      </c>
      <c r="F271" t="str">
        <f t="shared" si="9"/>
        <v/>
      </c>
      <c r="G271" t="str">
        <f>IF(E271="","",IF(COUNTIF('DATA QCEW'!$A$2:$A$20,E271)&gt;0,"19-SECTOR","DETAIL / OTHER"))</f>
        <v/>
      </c>
    </row>
    <row r="272" spans="4:7">
      <c r="D272" s="8"/>
      <c r="E272" t="str">
        <f t="shared" si="8"/>
        <v/>
      </c>
      <c r="F272" t="str">
        <f t="shared" si="9"/>
        <v/>
      </c>
      <c r="G272" t="str">
        <f>IF(E272="","",IF(COUNTIF('DATA QCEW'!$A$2:$A$20,E272)&gt;0,"19-SECTOR","DETAIL / OTHER"))</f>
        <v/>
      </c>
    </row>
    <row r="273" spans="4:7">
      <c r="D273" s="8"/>
      <c r="E273" t="str">
        <f t="shared" si="8"/>
        <v/>
      </c>
      <c r="F273" t="str">
        <f t="shared" si="9"/>
        <v/>
      </c>
      <c r="G273" t="str">
        <f>IF(E273="","",IF(COUNTIF('DATA QCEW'!$A$2:$A$20,E273)&gt;0,"19-SECTOR","DETAIL / OTHER"))</f>
        <v/>
      </c>
    </row>
    <row r="274" spans="4:7">
      <c r="D274" s="8"/>
      <c r="E274" t="str">
        <f t="shared" si="8"/>
        <v/>
      </c>
      <c r="F274" t="str">
        <f t="shared" si="9"/>
        <v/>
      </c>
      <c r="G274" t="str">
        <f>IF(E274="","",IF(COUNTIF('DATA QCEW'!$A$2:$A$20,E274)&gt;0,"19-SECTOR","DETAIL / OTHER"))</f>
        <v/>
      </c>
    </row>
    <row r="275" spans="4:7">
      <c r="D275" s="8"/>
      <c r="E275" t="str">
        <f t="shared" si="8"/>
        <v/>
      </c>
      <c r="F275" t="str">
        <f t="shared" si="9"/>
        <v/>
      </c>
      <c r="G275" t="str">
        <f>IF(E275="","",IF(COUNTIF('DATA QCEW'!$A$2:$A$20,E275)&gt;0,"19-SECTOR","DETAIL / OTHER"))</f>
        <v/>
      </c>
    </row>
    <row r="276" spans="4:7">
      <c r="D276" s="8"/>
      <c r="E276" t="str">
        <f t="shared" si="8"/>
        <v/>
      </c>
      <c r="F276" t="str">
        <f t="shared" si="9"/>
        <v/>
      </c>
      <c r="G276" t="str">
        <f>IF(E276="","",IF(COUNTIF('DATA QCEW'!$A$2:$A$20,E276)&gt;0,"19-SECTOR","DETAIL / OTHER"))</f>
        <v/>
      </c>
    </row>
    <row r="277" spans="4:7">
      <c r="D277" s="8"/>
      <c r="E277" t="str">
        <f t="shared" si="8"/>
        <v/>
      </c>
      <c r="F277" t="str">
        <f t="shared" si="9"/>
        <v/>
      </c>
      <c r="G277" t="str">
        <f>IF(E277="","",IF(COUNTIF('DATA QCEW'!$A$2:$A$20,E277)&gt;0,"19-SECTOR","DETAIL / OTHER"))</f>
        <v/>
      </c>
    </row>
    <row r="278" spans="4:7">
      <c r="D278" s="8"/>
      <c r="E278" t="str">
        <f t="shared" si="8"/>
        <v/>
      </c>
      <c r="F278" t="str">
        <f t="shared" si="9"/>
        <v/>
      </c>
      <c r="G278" t="str">
        <f>IF(E278="","",IF(COUNTIF('DATA QCEW'!$A$2:$A$20,E278)&gt;0,"19-SECTOR","DETAIL / OTHER"))</f>
        <v/>
      </c>
    </row>
    <row r="279" spans="4:7">
      <c r="D279" s="8"/>
      <c r="E279" t="str">
        <f t="shared" si="8"/>
        <v/>
      </c>
      <c r="F279" t="str">
        <f t="shared" si="9"/>
        <v/>
      </c>
      <c r="G279" t="str">
        <f>IF(E279="","",IF(COUNTIF('DATA QCEW'!$A$2:$A$20,E279)&gt;0,"19-SECTOR","DETAIL / OTHER"))</f>
        <v/>
      </c>
    </row>
    <row r="280" spans="4:7">
      <c r="D280" s="8"/>
      <c r="E280" t="str">
        <f t="shared" si="8"/>
        <v/>
      </c>
      <c r="F280" t="str">
        <f t="shared" si="9"/>
        <v/>
      </c>
      <c r="G280" t="str">
        <f>IF(E280="","",IF(COUNTIF('DATA QCEW'!$A$2:$A$20,E280)&gt;0,"19-SECTOR","DETAIL / OTHER"))</f>
        <v/>
      </c>
    </row>
    <row r="281" spans="4:7">
      <c r="D281" s="8"/>
      <c r="E281" t="str">
        <f t="shared" si="8"/>
        <v/>
      </c>
      <c r="F281" t="str">
        <f t="shared" si="9"/>
        <v/>
      </c>
      <c r="G281" t="str">
        <f>IF(E281="","",IF(COUNTIF('DATA QCEW'!$A$2:$A$20,E281)&gt;0,"19-SECTOR","DETAIL / OTHER"))</f>
        <v/>
      </c>
    </row>
    <row r="282" spans="4:7">
      <c r="D282" s="8"/>
      <c r="E282" t="str">
        <f t="shared" si="8"/>
        <v/>
      </c>
      <c r="F282" t="str">
        <f t="shared" si="9"/>
        <v/>
      </c>
      <c r="G282" t="str">
        <f>IF(E282="","",IF(COUNTIF('DATA QCEW'!$A$2:$A$20,E282)&gt;0,"19-SECTOR","DETAIL / OTHER"))</f>
        <v/>
      </c>
    </row>
    <row r="283" spans="4:7">
      <c r="D283" s="8"/>
      <c r="E283" t="str">
        <f t="shared" si="8"/>
        <v/>
      </c>
      <c r="F283" t="str">
        <f t="shared" si="9"/>
        <v/>
      </c>
      <c r="G283" t="str">
        <f>IF(E283="","",IF(COUNTIF('DATA QCEW'!$A$2:$A$20,E283)&gt;0,"19-SECTOR","DETAIL / OTHER"))</f>
        <v/>
      </c>
    </row>
    <row r="284" spans="4:7">
      <c r="D284" s="8"/>
      <c r="E284" t="str">
        <f t="shared" si="8"/>
        <v/>
      </c>
      <c r="F284" t="str">
        <f t="shared" si="9"/>
        <v/>
      </c>
      <c r="G284" t="str">
        <f>IF(E284="","",IF(COUNTIF('DATA QCEW'!$A$2:$A$20,E284)&gt;0,"19-SECTOR","DETAIL / OTHER"))</f>
        <v/>
      </c>
    </row>
    <row r="285" spans="4:7">
      <c r="D285" s="8"/>
      <c r="E285" t="str">
        <f t="shared" si="8"/>
        <v/>
      </c>
      <c r="F285" t="str">
        <f t="shared" si="9"/>
        <v/>
      </c>
      <c r="G285" t="str">
        <f>IF(E285="","",IF(COUNTIF('DATA QCEW'!$A$2:$A$20,E285)&gt;0,"19-SECTOR","DETAIL / OTHER"))</f>
        <v/>
      </c>
    </row>
    <row r="286" spans="4:7">
      <c r="D286" s="8"/>
      <c r="E286" t="str">
        <f t="shared" si="8"/>
        <v/>
      </c>
      <c r="F286" t="str">
        <f t="shared" si="9"/>
        <v/>
      </c>
      <c r="G286" t="str">
        <f>IF(E286="","",IF(COUNTIF('DATA QCEW'!$A$2:$A$20,E286)&gt;0,"19-SECTOR","DETAIL / OTHER"))</f>
        <v/>
      </c>
    </row>
    <row r="287" spans="4:7">
      <c r="D287" s="8"/>
      <c r="E287" t="str">
        <f t="shared" si="8"/>
        <v/>
      </c>
      <c r="F287" t="str">
        <f t="shared" si="9"/>
        <v/>
      </c>
      <c r="G287" t="str">
        <f>IF(E287="","",IF(COUNTIF('DATA QCEW'!$A$2:$A$20,E287)&gt;0,"19-SECTOR","DETAIL / OTHER"))</f>
        <v/>
      </c>
    </row>
    <row r="288" spans="4:7">
      <c r="D288" s="8"/>
      <c r="E288" t="str">
        <f t="shared" si="8"/>
        <v/>
      </c>
      <c r="F288" t="str">
        <f t="shared" si="9"/>
        <v/>
      </c>
      <c r="G288" t="str">
        <f>IF(E288="","",IF(COUNTIF('DATA QCEW'!$A$2:$A$20,E288)&gt;0,"19-SECTOR","DETAIL / OTHER"))</f>
        <v/>
      </c>
    </row>
    <row r="289" spans="4:7">
      <c r="D289" s="8"/>
      <c r="E289" t="str">
        <f t="shared" si="8"/>
        <v/>
      </c>
      <c r="F289" t="str">
        <f t="shared" si="9"/>
        <v/>
      </c>
      <c r="G289" t="str">
        <f>IF(E289="","",IF(COUNTIF('DATA QCEW'!$A$2:$A$20,E289)&gt;0,"19-SECTOR","DETAIL / OTHER"))</f>
        <v/>
      </c>
    </row>
    <row r="290" spans="4:7">
      <c r="D290" s="8"/>
      <c r="E290" t="str">
        <f t="shared" si="8"/>
        <v/>
      </c>
      <c r="F290" t="str">
        <f t="shared" si="9"/>
        <v/>
      </c>
      <c r="G290" t="str">
        <f>IF(E290="","",IF(COUNTIF('DATA QCEW'!$A$2:$A$20,E290)&gt;0,"19-SECTOR","DETAIL / OTHER"))</f>
        <v/>
      </c>
    </row>
    <row r="291" spans="4:7">
      <c r="D291" s="8"/>
      <c r="E291" t="str">
        <f t="shared" si="8"/>
        <v/>
      </c>
      <c r="F291" t="str">
        <f t="shared" si="9"/>
        <v/>
      </c>
      <c r="G291" t="str">
        <f>IF(E291="","",IF(COUNTIF('DATA QCEW'!$A$2:$A$20,E291)&gt;0,"19-SECTOR","DETAIL / OTHER"))</f>
        <v/>
      </c>
    </row>
    <row r="292" spans="4:7">
      <c r="D292" s="8"/>
      <c r="E292" t="str">
        <f t="shared" si="8"/>
        <v/>
      </c>
      <c r="F292" t="str">
        <f t="shared" si="9"/>
        <v/>
      </c>
      <c r="G292" t="str">
        <f>IF(E292="","",IF(COUNTIF('DATA QCEW'!$A$2:$A$20,E292)&gt;0,"19-SECTOR","DETAIL / OTHER"))</f>
        <v/>
      </c>
    </row>
    <row r="293" spans="4:7">
      <c r="D293" s="8"/>
      <c r="E293" t="str">
        <f t="shared" si="8"/>
        <v/>
      </c>
      <c r="F293" t="str">
        <f t="shared" si="9"/>
        <v/>
      </c>
      <c r="G293" t="str">
        <f>IF(E293="","",IF(COUNTIF('DATA QCEW'!$A$2:$A$20,E293)&gt;0,"19-SECTOR","DETAIL / OTHER"))</f>
        <v/>
      </c>
    </row>
    <row r="294" spans="4:7">
      <c r="D294" s="8"/>
      <c r="E294" t="str">
        <f t="shared" si="8"/>
        <v/>
      </c>
      <c r="F294" t="str">
        <f t="shared" si="9"/>
        <v/>
      </c>
      <c r="G294" t="str">
        <f>IF(E294="","",IF(COUNTIF('DATA QCEW'!$A$2:$A$20,E294)&gt;0,"19-SECTOR","DETAIL / OTHER"))</f>
        <v/>
      </c>
    </row>
    <row r="295" spans="4:7">
      <c r="D295" s="8"/>
      <c r="E295" t="str">
        <f t="shared" si="8"/>
        <v/>
      </c>
      <c r="F295" t="str">
        <f t="shared" si="9"/>
        <v/>
      </c>
      <c r="G295" t="str">
        <f>IF(E295="","",IF(COUNTIF('DATA QCEW'!$A$2:$A$20,E295)&gt;0,"19-SECTOR","DETAIL / OTHER"))</f>
        <v/>
      </c>
    </row>
    <row r="296" spans="4:7">
      <c r="D296" s="8"/>
      <c r="E296" t="str">
        <f t="shared" si="8"/>
        <v/>
      </c>
      <c r="F296" t="str">
        <f t="shared" si="9"/>
        <v/>
      </c>
      <c r="G296" t="str">
        <f>IF(E296="","",IF(COUNTIF('DATA QCEW'!$A$2:$A$20,E296)&gt;0,"19-SECTOR","DETAIL / OTHER"))</f>
        <v/>
      </c>
    </row>
    <row r="297" spans="4:7">
      <c r="D297" s="8"/>
      <c r="E297" t="str">
        <f t="shared" si="8"/>
        <v/>
      </c>
      <c r="F297" t="str">
        <f t="shared" si="9"/>
        <v/>
      </c>
      <c r="G297" t="str">
        <f>IF(E297="","",IF(COUNTIF('DATA QCEW'!$A$2:$A$20,E297)&gt;0,"19-SECTOR","DETAIL / OTHER"))</f>
        <v/>
      </c>
    </row>
    <row r="298" spans="4:7">
      <c r="D298" s="8"/>
      <c r="E298" t="str">
        <f t="shared" si="8"/>
        <v/>
      </c>
      <c r="F298" t="str">
        <f t="shared" si="9"/>
        <v/>
      </c>
      <c r="G298" t="str">
        <f>IF(E298="","",IF(COUNTIF('DATA QCEW'!$A$2:$A$20,E298)&gt;0,"19-SECTOR","DETAIL / OTHER"))</f>
        <v/>
      </c>
    </row>
    <row r="299" spans="4:7">
      <c r="D299" s="8"/>
      <c r="E299" t="str">
        <f t="shared" si="8"/>
        <v/>
      </c>
      <c r="F299" t="str">
        <f t="shared" si="9"/>
        <v/>
      </c>
      <c r="G299" t="str">
        <f>IF(E299="","",IF(COUNTIF('DATA QCEW'!$A$2:$A$20,E299)&gt;0,"19-SECTOR","DETAIL / OTHER"))</f>
        <v/>
      </c>
    </row>
    <row r="300" spans="4:7">
      <c r="D300" s="8"/>
      <c r="E300" t="str">
        <f t="shared" si="8"/>
        <v/>
      </c>
      <c r="F300" t="str">
        <f t="shared" si="9"/>
        <v/>
      </c>
      <c r="G300" t="str">
        <f>IF(E300="","",IF(COUNTIF('DATA QCEW'!$A$2:$A$20,E300)&gt;0,"19-SECTOR","DETAIL / OTHER"))</f>
        <v/>
      </c>
    </row>
    <row r="301" spans="4:7">
      <c r="D301" s="8"/>
      <c r="E301" t="str">
        <f t="shared" si="8"/>
        <v/>
      </c>
      <c r="F301" t="str">
        <f t="shared" si="9"/>
        <v/>
      </c>
      <c r="G301" t="str">
        <f>IF(E301="","",IF(COUNTIF('DATA QCEW'!$A$2:$A$20,E301)&gt;0,"19-SECTOR","DETAIL / OTHER"))</f>
        <v/>
      </c>
    </row>
    <row r="302" spans="4:7">
      <c r="D302" s="8"/>
      <c r="E302" t="str">
        <f t="shared" si="8"/>
        <v/>
      </c>
      <c r="F302" t="str">
        <f t="shared" si="9"/>
        <v/>
      </c>
      <c r="G302" t="str">
        <f>IF(E302="","",IF(COUNTIF('DATA QCEW'!$A$2:$A$20,E302)&gt;0,"19-SECTOR","DETAIL / OTHER"))</f>
        <v/>
      </c>
    </row>
    <row r="303" spans="4:7">
      <c r="D303" s="8"/>
      <c r="E303" t="str">
        <f t="shared" si="8"/>
        <v/>
      </c>
      <c r="F303" t="str">
        <f t="shared" si="9"/>
        <v/>
      </c>
      <c r="G303" t="str">
        <f>IF(E303="","",IF(COUNTIF('DATA QCEW'!$A$2:$A$20,E303)&gt;0,"19-SECTOR","DETAIL / OTHER"))</f>
        <v/>
      </c>
    </row>
    <row r="304" spans="4:7">
      <c r="D304" s="8"/>
      <c r="E304" t="str">
        <f t="shared" si="8"/>
        <v/>
      </c>
      <c r="F304" t="str">
        <f t="shared" si="9"/>
        <v/>
      </c>
      <c r="G304" t="str">
        <f>IF(E304="","",IF(COUNTIF('DATA QCEW'!$A$2:$A$20,E304)&gt;0,"19-SECTOR","DETAIL / OTHER"))</f>
        <v/>
      </c>
    </row>
    <row r="305" spans="4:7">
      <c r="D305" s="8"/>
      <c r="E305" t="str">
        <f t="shared" si="8"/>
        <v/>
      </c>
      <c r="F305" t="str">
        <f t="shared" si="9"/>
        <v/>
      </c>
      <c r="G305" t="str">
        <f>IF(E305="","",IF(COUNTIF('DATA QCEW'!$A$2:$A$20,E305)&gt;0,"19-SECTOR","DETAIL / OTHER"))</f>
        <v/>
      </c>
    </row>
    <row r="306" spans="4:7">
      <c r="D306" s="8"/>
      <c r="E306" t="str">
        <f t="shared" si="8"/>
        <v/>
      </c>
      <c r="F306" t="str">
        <f t="shared" si="9"/>
        <v/>
      </c>
      <c r="G306" t="str">
        <f>IF(E306="","",IF(COUNTIF('DATA QCEW'!$A$2:$A$20,E306)&gt;0,"19-SECTOR","DETAIL / OTHER"))</f>
        <v/>
      </c>
    </row>
    <row r="307" spans="4:7">
      <c r="D307" s="8"/>
      <c r="E307" t="str">
        <f t="shared" si="8"/>
        <v/>
      </c>
      <c r="F307" t="str">
        <f t="shared" si="9"/>
        <v/>
      </c>
      <c r="G307" t="str">
        <f>IF(E307="","",IF(COUNTIF('DATA QCEW'!$A$2:$A$20,E307)&gt;0,"19-SECTOR","DETAIL / OTHER"))</f>
        <v/>
      </c>
    </row>
    <row r="308" spans="4:7">
      <c r="D308" s="8"/>
      <c r="E308" t="str">
        <f t="shared" si="8"/>
        <v/>
      </c>
      <c r="F308" t="str">
        <f t="shared" si="9"/>
        <v/>
      </c>
      <c r="G308" t="str">
        <f>IF(E308="","",IF(COUNTIF('DATA QCEW'!$A$2:$A$20,E308)&gt;0,"19-SECTOR","DETAIL / OTHER"))</f>
        <v/>
      </c>
    </row>
    <row r="309" spans="4:7">
      <c r="D309" s="8"/>
      <c r="E309" t="str">
        <f t="shared" si="8"/>
        <v/>
      </c>
      <c r="F309" t="str">
        <f t="shared" si="9"/>
        <v/>
      </c>
      <c r="G309" t="str">
        <f>IF(E309="","",IF(COUNTIF('DATA QCEW'!$A$2:$A$20,E309)&gt;0,"19-SECTOR","DETAIL / OTHER"))</f>
        <v/>
      </c>
    </row>
    <row r="310" spans="4:7">
      <c r="D310" s="8"/>
      <c r="E310" t="str">
        <f t="shared" si="8"/>
        <v/>
      </c>
      <c r="F310" t="str">
        <f t="shared" si="9"/>
        <v/>
      </c>
      <c r="G310" t="str">
        <f>IF(E310="","",IF(COUNTIF('DATA QCEW'!$A$2:$A$20,E310)&gt;0,"19-SECTOR","DETAIL / OTHER"))</f>
        <v/>
      </c>
    </row>
    <row r="311" spans="4:7">
      <c r="D311" s="8"/>
      <c r="E311" t="str">
        <f t="shared" si="8"/>
        <v/>
      </c>
      <c r="F311" t="str">
        <f t="shared" si="9"/>
        <v/>
      </c>
      <c r="G311" t="str">
        <f>IF(E311="","",IF(COUNTIF('DATA QCEW'!$A$2:$A$20,E311)&gt;0,"19-SECTOR","DETAIL / OTHER"))</f>
        <v/>
      </c>
    </row>
    <row r="312" spans="4:7">
      <c r="D312" s="8"/>
      <c r="E312" t="str">
        <f t="shared" si="8"/>
        <v/>
      </c>
      <c r="F312" t="str">
        <f t="shared" si="9"/>
        <v/>
      </c>
      <c r="G312" t="str">
        <f>IF(E312="","",IF(COUNTIF('DATA QCEW'!$A$2:$A$20,E312)&gt;0,"19-SECTOR","DETAIL / OTHER"))</f>
        <v/>
      </c>
    </row>
    <row r="313" spans="4:7">
      <c r="D313" s="8"/>
      <c r="E313" t="str">
        <f t="shared" si="8"/>
        <v/>
      </c>
      <c r="F313" t="str">
        <f t="shared" si="9"/>
        <v/>
      </c>
      <c r="G313" t="str">
        <f>IF(E313="","",IF(COUNTIF('DATA QCEW'!$A$2:$A$20,E313)&gt;0,"19-SECTOR","DETAIL / OTHER"))</f>
        <v/>
      </c>
    </row>
    <row r="314" spans="4:7">
      <c r="D314" s="8"/>
      <c r="E314" t="str">
        <f t="shared" si="8"/>
        <v/>
      </c>
      <c r="F314" t="str">
        <f t="shared" si="9"/>
        <v/>
      </c>
      <c r="G314" t="str">
        <f>IF(E314="","",IF(COUNTIF('DATA QCEW'!$A$2:$A$20,E314)&gt;0,"19-SECTOR","DETAIL / OTHER"))</f>
        <v/>
      </c>
    </row>
    <row r="315" spans="4:7">
      <c r="D315" s="8"/>
      <c r="E315" t="str">
        <f t="shared" si="8"/>
        <v/>
      </c>
      <c r="F315" t="str">
        <f t="shared" si="9"/>
        <v/>
      </c>
      <c r="G315" t="str">
        <f>IF(E315="","",IF(COUNTIF('DATA QCEW'!$A$2:$A$20,E315)&gt;0,"19-SECTOR","DETAIL / OTHER"))</f>
        <v/>
      </c>
    </row>
    <row r="316" spans="4:7">
      <c r="D316" s="8"/>
      <c r="E316" t="str">
        <f t="shared" si="8"/>
        <v/>
      </c>
      <c r="F316" t="str">
        <f t="shared" si="9"/>
        <v/>
      </c>
      <c r="G316" t="str">
        <f>IF(E316="","",IF(COUNTIF('DATA QCEW'!$A$2:$A$20,E316)&gt;0,"19-SECTOR","DETAIL / OTHER"))</f>
        <v/>
      </c>
    </row>
    <row r="317" spans="4:7">
      <c r="D317" s="8"/>
      <c r="E317" t="str">
        <f t="shared" si="8"/>
        <v/>
      </c>
      <c r="F317" t="str">
        <f t="shared" si="9"/>
        <v/>
      </c>
      <c r="G317" t="str">
        <f>IF(E317="","",IF(COUNTIF('DATA QCEW'!$A$2:$A$20,E317)&gt;0,"19-SECTOR","DETAIL / OTHER"))</f>
        <v/>
      </c>
    </row>
    <row r="318" spans="4:7">
      <c r="D318" s="8"/>
      <c r="E318" t="str">
        <f t="shared" si="8"/>
        <v/>
      </c>
      <c r="F318" t="str">
        <f t="shared" si="9"/>
        <v/>
      </c>
      <c r="G318" t="str">
        <f>IF(E318="","",IF(COUNTIF('DATA QCEW'!$A$2:$A$20,E318)&gt;0,"19-SECTOR","DETAIL / OTHER"))</f>
        <v/>
      </c>
    </row>
    <row r="319" spans="4:7">
      <c r="D319" s="8"/>
      <c r="E319" t="str">
        <f t="shared" si="8"/>
        <v/>
      </c>
      <c r="F319" t="str">
        <f t="shared" si="9"/>
        <v/>
      </c>
      <c r="G319" t="str">
        <f>IF(E319="","",IF(COUNTIF('DATA QCEW'!$A$2:$A$20,E319)&gt;0,"19-SECTOR","DETAIL / OTHER"))</f>
        <v/>
      </c>
    </row>
    <row r="320" spans="4:7">
      <c r="D320" s="8"/>
      <c r="E320" t="str">
        <f t="shared" si="8"/>
        <v/>
      </c>
      <c r="F320" t="str">
        <f t="shared" si="9"/>
        <v/>
      </c>
      <c r="G320" t="str">
        <f>IF(E320="","",IF(COUNTIF('DATA QCEW'!$A$2:$A$20,E320)&gt;0,"19-SECTOR","DETAIL / OTHER"))</f>
        <v/>
      </c>
    </row>
    <row r="321" spans="4:7">
      <c r="D321" s="8"/>
      <c r="E321" t="str">
        <f t="shared" si="8"/>
        <v/>
      </c>
      <c r="F321" t="str">
        <f t="shared" si="9"/>
        <v/>
      </c>
      <c r="G321" t="str">
        <f>IF(E321="","",IF(COUNTIF('DATA QCEW'!$A$2:$A$20,E321)&gt;0,"19-SECTOR","DETAIL / OTHER"))</f>
        <v/>
      </c>
    </row>
    <row r="322" spans="4:7">
      <c r="D322" s="8"/>
      <c r="E322" t="str">
        <f t="shared" ref="E322:E385" si="10">IF(LEFT(TRIM(A322),6)="NAICS ",IFERROR(MID(TRIM(A322),7,FIND(" ",TRIM(A322)&amp;" ",7)-7),""),"")</f>
        <v/>
      </c>
      <c r="F322" t="str">
        <f t="shared" ref="F322:F385" si="11">IF(E322="","",TRIM(MID(TRIM(A322),FIND(" ",TRIM(A322)&amp;" ",7)+1,255)))</f>
        <v/>
      </c>
      <c r="G322" t="str">
        <f>IF(E322="","",IF(COUNTIF('DATA QCEW'!$A$2:$A$20,E322)&gt;0,"19-SECTOR","DETAIL / OTHER"))</f>
        <v/>
      </c>
    </row>
    <row r="323" spans="4:7">
      <c r="D323" s="8"/>
      <c r="E323" t="str">
        <f t="shared" si="10"/>
        <v/>
      </c>
      <c r="F323" t="str">
        <f t="shared" si="11"/>
        <v/>
      </c>
      <c r="G323" t="str">
        <f>IF(E323="","",IF(COUNTIF('DATA QCEW'!$A$2:$A$20,E323)&gt;0,"19-SECTOR","DETAIL / OTHER"))</f>
        <v/>
      </c>
    </row>
    <row r="324" spans="4:7">
      <c r="D324" s="8"/>
      <c r="E324" t="str">
        <f t="shared" si="10"/>
        <v/>
      </c>
      <c r="F324" t="str">
        <f t="shared" si="11"/>
        <v/>
      </c>
      <c r="G324" t="str">
        <f>IF(E324="","",IF(COUNTIF('DATA QCEW'!$A$2:$A$20,E324)&gt;0,"19-SECTOR","DETAIL / OTHER"))</f>
        <v/>
      </c>
    </row>
    <row r="325" spans="4:7">
      <c r="D325" s="8"/>
      <c r="E325" t="str">
        <f t="shared" si="10"/>
        <v/>
      </c>
      <c r="F325" t="str">
        <f t="shared" si="11"/>
        <v/>
      </c>
      <c r="G325" t="str">
        <f>IF(E325="","",IF(COUNTIF('DATA QCEW'!$A$2:$A$20,E325)&gt;0,"19-SECTOR","DETAIL / OTHER"))</f>
        <v/>
      </c>
    </row>
    <row r="326" spans="4:7">
      <c r="D326" s="8"/>
      <c r="E326" t="str">
        <f t="shared" si="10"/>
        <v/>
      </c>
      <c r="F326" t="str">
        <f t="shared" si="11"/>
        <v/>
      </c>
      <c r="G326" t="str">
        <f>IF(E326="","",IF(COUNTIF('DATA QCEW'!$A$2:$A$20,E326)&gt;0,"19-SECTOR","DETAIL / OTHER"))</f>
        <v/>
      </c>
    </row>
    <row r="327" spans="4:7">
      <c r="D327" s="8"/>
      <c r="E327" t="str">
        <f t="shared" si="10"/>
        <v/>
      </c>
      <c r="F327" t="str">
        <f t="shared" si="11"/>
        <v/>
      </c>
      <c r="G327" t="str">
        <f>IF(E327="","",IF(COUNTIF('DATA QCEW'!$A$2:$A$20,E327)&gt;0,"19-SECTOR","DETAIL / OTHER"))</f>
        <v/>
      </c>
    </row>
    <row r="328" spans="4:7">
      <c r="D328" s="8"/>
      <c r="E328" t="str">
        <f t="shared" si="10"/>
        <v/>
      </c>
      <c r="F328" t="str">
        <f t="shared" si="11"/>
        <v/>
      </c>
      <c r="G328" t="str">
        <f>IF(E328="","",IF(COUNTIF('DATA QCEW'!$A$2:$A$20,E328)&gt;0,"19-SECTOR","DETAIL / OTHER"))</f>
        <v/>
      </c>
    </row>
    <row r="329" spans="4:7">
      <c r="D329" s="8"/>
      <c r="E329" t="str">
        <f t="shared" si="10"/>
        <v/>
      </c>
      <c r="F329" t="str">
        <f t="shared" si="11"/>
        <v/>
      </c>
      <c r="G329" t="str">
        <f>IF(E329="","",IF(COUNTIF('DATA QCEW'!$A$2:$A$20,E329)&gt;0,"19-SECTOR","DETAIL / OTHER"))</f>
        <v/>
      </c>
    </row>
    <row r="330" spans="4:7">
      <c r="D330" s="8"/>
      <c r="E330" t="str">
        <f t="shared" si="10"/>
        <v/>
      </c>
      <c r="F330" t="str">
        <f t="shared" si="11"/>
        <v/>
      </c>
      <c r="G330" t="str">
        <f>IF(E330="","",IF(COUNTIF('DATA QCEW'!$A$2:$A$20,E330)&gt;0,"19-SECTOR","DETAIL / OTHER"))</f>
        <v/>
      </c>
    </row>
    <row r="331" spans="4:7">
      <c r="D331" s="8"/>
      <c r="E331" t="str">
        <f t="shared" si="10"/>
        <v/>
      </c>
      <c r="F331" t="str">
        <f t="shared" si="11"/>
        <v/>
      </c>
      <c r="G331" t="str">
        <f>IF(E331="","",IF(COUNTIF('DATA QCEW'!$A$2:$A$20,E331)&gt;0,"19-SECTOR","DETAIL / OTHER"))</f>
        <v/>
      </c>
    </row>
    <row r="332" spans="4:7">
      <c r="D332" s="8"/>
      <c r="E332" t="str">
        <f t="shared" si="10"/>
        <v/>
      </c>
      <c r="F332" t="str">
        <f t="shared" si="11"/>
        <v/>
      </c>
      <c r="G332" t="str">
        <f>IF(E332="","",IF(COUNTIF('DATA QCEW'!$A$2:$A$20,E332)&gt;0,"19-SECTOR","DETAIL / OTHER"))</f>
        <v/>
      </c>
    </row>
    <row r="333" spans="4:7">
      <c r="D333" s="8"/>
      <c r="E333" t="str">
        <f t="shared" si="10"/>
        <v/>
      </c>
      <c r="F333" t="str">
        <f t="shared" si="11"/>
        <v/>
      </c>
      <c r="G333" t="str">
        <f>IF(E333="","",IF(COUNTIF('DATA QCEW'!$A$2:$A$20,E333)&gt;0,"19-SECTOR","DETAIL / OTHER"))</f>
        <v/>
      </c>
    </row>
    <row r="334" spans="4:7">
      <c r="D334" s="8"/>
      <c r="E334" t="str">
        <f t="shared" si="10"/>
        <v/>
      </c>
      <c r="F334" t="str">
        <f t="shared" si="11"/>
        <v/>
      </c>
      <c r="G334" t="str">
        <f>IF(E334="","",IF(COUNTIF('DATA QCEW'!$A$2:$A$20,E334)&gt;0,"19-SECTOR","DETAIL / OTHER"))</f>
        <v/>
      </c>
    </row>
    <row r="335" spans="4:7">
      <c r="D335" s="8"/>
      <c r="E335" t="str">
        <f t="shared" si="10"/>
        <v/>
      </c>
      <c r="F335" t="str">
        <f t="shared" si="11"/>
        <v/>
      </c>
      <c r="G335" t="str">
        <f>IF(E335="","",IF(COUNTIF('DATA QCEW'!$A$2:$A$20,E335)&gt;0,"19-SECTOR","DETAIL / OTHER"))</f>
        <v/>
      </c>
    </row>
    <row r="336" spans="4:7">
      <c r="D336" s="8"/>
      <c r="E336" t="str">
        <f t="shared" si="10"/>
        <v/>
      </c>
      <c r="F336" t="str">
        <f t="shared" si="11"/>
        <v/>
      </c>
      <c r="G336" t="str">
        <f>IF(E336="","",IF(COUNTIF('DATA QCEW'!$A$2:$A$20,E336)&gt;0,"19-SECTOR","DETAIL / OTHER"))</f>
        <v/>
      </c>
    </row>
    <row r="337" spans="4:7">
      <c r="D337" s="8"/>
      <c r="E337" t="str">
        <f t="shared" si="10"/>
        <v/>
      </c>
      <c r="F337" t="str">
        <f t="shared" si="11"/>
        <v/>
      </c>
      <c r="G337" t="str">
        <f>IF(E337="","",IF(COUNTIF('DATA QCEW'!$A$2:$A$20,E337)&gt;0,"19-SECTOR","DETAIL / OTHER"))</f>
        <v/>
      </c>
    </row>
    <row r="338" spans="4:7">
      <c r="D338" s="8"/>
      <c r="E338" t="str">
        <f t="shared" si="10"/>
        <v/>
      </c>
      <c r="F338" t="str">
        <f t="shared" si="11"/>
        <v/>
      </c>
      <c r="G338" t="str">
        <f>IF(E338="","",IF(COUNTIF('DATA QCEW'!$A$2:$A$20,E338)&gt;0,"19-SECTOR","DETAIL / OTHER"))</f>
        <v/>
      </c>
    </row>
    <row r="339" spans="4:7">
      <c r="D339" s="8"/>
      <c r="E339" t="str">
        <f t="shared" si="10"/>
        <v/>
      </c>
      <c r="F339" t="str">
        <f t="shared" si="11"/>
        <v/>
      </c>
      <c r="G339" t="str">
        <f>IF(E339="","",IF(COUNTIF('DATA QCEW'!$A$2:$A$20,E339)&gt;0,"19-SECTOR","DETAIL / OTHER"))</f>
        <v/>
      </c>
    </row>
    <row r="340" spans="4:7">
      <c r="D340" s="8"/>
      <c r="E340" t="str">
        <f t="shared" si="10"/>
        <v/>
      </c>
      <c r="F340" t="str">
        <f t="shared" si="11"/>
        <v/>
      </c>
      <c r="G340" t="str">
        <f>IF(E340="","",IF(COUNTIF('DATA QCEW'!$A$2:$A$20,E340)&gt;0,"19-SECTOR","DETAIL / OTHER"))</f>
        <v/>
      </c>
    </row>
    <row r="341" spans="4:7">
      <c r="D341" s="8"/>
      <c r="E341" t="str">
        <f t="shared" si="10"/>
        <v/>
      </c>
      <c r="F341" t="str">
        <f t="shared" si="11"/>
        <v/>
      </c>
      <c r="G341" t="str">
        <f>IF(E341="","",IF(COUNTIF('DATA QCEW'!$A$2:$A$20,E341)&gt;0,"19-SECTOR","DETAIL / OTHER"))</f>
        <v/>
      </c>
    </row>
    <row r="342" spans="4:7">
      <c r="D342" s="8"/>
      <c r="E342" t="str">
        <f t="shared" si="10"/>
        <v/>
      </c>
      <c r="F342" t="str">
        <f t="shared" si="11"/>
        <v/>
      </c>
      <c r="G342" t="str">
        <f>IF(E342="","",IF(COUNTIF('DATA QCEW'!$A$2:$A$20,E342)&gt;0,"19-SECTOR","DETAIL / OTHER"))</f>
        <v/>
      </c>
    </row>
    <row r="343" spans="4:7">
      <c r="D343" s="8"/>
      <c r="E343" t="str">
        <f t="shared" si="10"/>
        <v/>
      </c>
      <c r="F343" t="str">
        <f t="shared" si="11"/>
        <v/>
      </c>
      <c r="G343" t="str">
        <f>IF(E343="","",IF(COUNTIF('DATA QCEW'!$A$2:$A$20,E343)&gt;0,"19-SECTOR","DETAIL / OTHER"))</f>
        <v/>
      </c>
    </row>
    <row r="344" spans="4:7">
      <c r="D344" s="8"/>
      <c r="E344" t="str">
        <f t="shared" si="10"/>
        <v/>
      </c>
      <c r="F344" t="str">
        <f t="shared" si="11"/>
        <v/>
      </c>
      <c r="G344" t="str">
        <f>IF(E344="","",IF(COUNTIF('DATA QCEW'!$A$2:$A$20,E344)&gt;0,"19-SECTOR","DETAIL / OTHER"))</f>
        <v/>
      </c>
    </row>
    <row r="345" spans="4:7">
      <c r="D345" s="8"/>
      <c r="E345" t="str">
        <f t="shared" si="10"/>
        <v/>
      </c>
      <c r="F345" t="str">
        <f t="shared" si="11"/>
        <v/>
      </c>
      <c r="G345" t="str">
        <f>IF(E345="","",IF(COUNTIF('DATA QCEW'!$A$2:$A$20,E345)&gt;0,"19-SECTOR","DETAIL / OTHER"))</f>
        <v/>
      </c>
    </row>
    <row r="346" spans="4:7">
      <c r="D346" s="8"/>
      <c r="E346" t="str">
        <f t="shared" si="10"/>
        <v/>
      </c>
      <c r="F346" t="str">
        <f t="shared" si="11"/>
        <v/>
      </c>
      <c r="G346" t="str">
        <f>IF(E346="","",IF(COUNTIF('DATA QCEW'!$A$2:$A$20,E346)&gt;0,"19-SECTOR","DETAIL / OTHER"))</f>
        <v/>
      </c>
    </row>
    <row r="347" spans="4:7">
      <c r="D347" s="8"/>
      <c r="E347" t="str">
        <f t="shared" si="10"/>
        <v/>
      </c>
      <c r="F347" t="str">
        <f t="shared" si="11"/>
        <v/>
      </c>
      <c r="G347" t="str">
        <f>IF(E347="","",IF(COUNTIF('DATA QCEW'!$A$2:$A$20,E347)&gt;0,"19-SECTOR","DETAIL / OTHER"))</f>
        <v/>
      </c>
    </row>
    <row r="348" spans="4:7">
      <c r="D348" s="8"/>
      <c r="E348" t="str">
        <f t="shared" si="10"/>
        <v/>
      </c>
      <c r="F348" t="str">
        <f t="shared" si="11"/>
        <v/>
      </c>
      <c r="G348" t="str">
        <f>IF(E348="","",IF(COUNTIF('DATA QCEW'!$A$2:$A$20,E348)&gt;0,"19-SECTOR","DETAIL / OTHER"))</f>
        <v/>
      </c>
    </row>
    <row r="349" spans="4:7">
      <c r="D349" s="8"/>
      <c r="E349" t="str">
        <f t="shared" si="10"/>
        <v/>
      </c>
      <c r="F349" t="str">
        <f t="shared" si="11"/>
        <v/>
      </c>
      <c r="G349" t="str">
        <f>IF(E349="","",IF(COUNTIF('DATA QCEW'!$A$2:$A$20,E349)&gt;0,"19-SECTOR","DETAIL / OTHER"))</f>
        <v/>
      </c>
    </row>
    <row r="350" spans="4:7">
      <c r="D350" s="8"/>
      <c r="E350" t="str">
        <f t="shared" si="10"/>
        <v/>
      </c>
      <c r="F350" t="str">
        <f t="shared" si="11"/>
        <v/>
      </c>
      <c r="G350" t="str">
        <f>IF(E350="","",IF(COUNTIF('DATA QCEW'!$A$2:$A$20,E350)&gt;0,"19-SECTOR","DETAIL / OTHER"))</f>
        <v/>
      </c>
    </row>
    <row r="351" spans="4:7">
      <c r="D351" s="8"/>
      <c r="E351" t="str">
        <f t="shared" si="10"/>
        <v/>
      </c>
      <c r="F351" t="str">
        <f t="shared" si="11"/>
        <v/>
      </c>
      <c r="G351" t="str">
        <f>IF(E351="","",IF(COUNTIF('DATA QCEW'!$A$2:$A$20,E351)&gt;0,"19-SECTOR","DETAIL / OTHER"))</f>
        <v/>
      </c>
    </row>
    <row r="352" spans="4:7">
      <c r="D352" s="8"/>
      <c r="E352" t="str">
        <f t="shared" si="10"/>
        <v/>
      </c>
      <c r="F352" t="str">
        <f t="shared" si="11"/>
        <v/>
      </c>
      <c r="G352" t="str">
        <f>IF(E352="","",IF(COUNTIF('DATA QCEW'!$A$2:$A$20,E352)&gt;0,"19-SECTOR","DETAIL / OTHER"))</f>
        <v/>
      </c>
    </row>
    <row r="353" spans="4:7">
      <c r="D353" s="8"/>
      <c r="E353" t="str">
        <f t="shared" si="10"/>
        <v/>
      </c>
      <c r="F353" t="str">
        <f t="shared" si="11"/>
        <v/>
      </c>
      <c r="G353" t="str">
        <f>IF(E353="","",IF(COUNTIF('DATA QCEW'!$A$2:$A$20,E353)&gt;0,"19-SECTOR","DETAIL / OTHER"))</f>
        <v/>
      </c>
    </row>
    <row r="354" spans="4:7">
      <c r="D354" s="8"/>
      <c r="E354" t="str">
        <f t="shared" si="10"/>
        <v/>
      </c>
      <c r="F354" t="str">
        <f t="shared" si="11"/>
        <v/>
      </c>
      <c r="G354" t="str">
        <f>IF(E354="","",IF(COUNTIF('DATA QCEW'!$A$2:$A$20,E354)&gt;0,"19-SECTOR","DETAIL / OTHER"))</f>
        <v/>
      </c>
    </row>
    <row r="355" spans="4:7">
      <c r="D355" s="8"/>
      <c r="E355" t="str">
        <f t="shared" si="10"/>
        <v/>
      </c>
      <c r="F355" t="str">
        <f t="shared" si="11"/>
        <v/>
      </c>
      <c r="G355" t="str">
        <f>IF(E355="","",IF(COUNTIF('DATA QCEW'!$A$2:$A$20,E355)&gt;0,"19-SECTOR","DETAIL / OTHER"))</f>
        <v/>
      </c>
    </row>
    <row r="356" spans="4:7">
      <c r="D356" s="8"/>
      <c r="E356" t="str">
        <f t="shared" si="10"/>
        <v/>
      </c>
      <c r="F356" t="str">
        <f t="shared" si="11"/>
        <v/>
      </c>
      <c r="G356" t="str">
        <f>IF(E356="","",IF(COUNTIF('DATA QCEW'!$A$2:$A$20,E356)&gt;0,"19-SECTOR","DETAIL / OTHER"))</f>
        <v/>
      </c>
    </row>
    <row r="357" spans="4:7">
      <c r="D357" s="8"/>
      <c r="E357" t="str">
        <f t="shared" si="10"/>
        <v/>
      </c>
      <c r="F357" t="str">
        <f t="shared" si="11"/>
        <v/>
      </c>
      <c r="G357" t="str">
        <f>IF(E357="","",IF(COUNTIF('DATA QCEW'!$A$2:$A$20,E357)&gt;0,"19-SECTOR","DETAIL / OTHER"))</f>
        <v/>
      </c>
    </row>
    <row r="358" spans="4:7">
      <c r="D358" s="8"/>
      <c r="E358" t="str">
        <f t="shared" si="10"/>
        <v/>
      </c>
      <c r="F358" t="str">
        <f t="shared" si="11"/>
        <v/>
      </c>
      <c r="G358" t="str">
        <f>IF(E358="","",IF(COUNTIF('DATA QCEW'!$A$2:$A$20,E358)&gt;0,"19-SECTOR","DETAIL / OTHER"))</f>
        <v/>
      </c>
    </row>
    <row r="359" spans="4:7">
      <c r="D359" s="8"/>
      <c r="E359" t="str">
        <f t="shared" si="10"/>
        <v/>
      </c>
      <c r="F359" t="str">
        <f t="shared" si="11"/>
        <v/>
      </c>
      <c r="G359" t="str">
        <f>IF(E359="","",IF(COUNTIF('DATA QCEW'!$A$2:$A$20,E359)&gt;0,"19-SECTOR","DETAIL / OTHER"))</f>
        <v/>
      </c>
    </row>
    <row r="360" spans="4:7">
      <c r="D360" s="8"/>
      <c r="E360" t="str">
        <f t="shared" si="10"/>
        <v/>
      </c>
      <c r="F360" t="str">
        <f t="shared" si="11"/>
        <v/>
      </c>
      <c r="G360" t="str">
        <f>IF(E360="","",IF(COUNTIF('DATA QCEW'!$A$2:$A$20,E360)&gt;0,"19-SECTOR","DETAIL / OTHER"))</f>
        <v/>
      </c>
    </row>
    <row r="361" spans="4:7">
      <c r="D361" s="8"/>
      <c r="E361" t="str">
        <f t="shared" si="10"/>
        <v/>
      </c>
      <c r="F361" t="str">
        <f t="shared" si="11"/>
        <v/>
      </c>
      <c r="G361" t="str">
        <f>IF(E361="","",IF(COUNTIF('DATA QCEW'!$A$2:$A$20,E361)&gt;0,"19-SECTOR","DETAIL / OTHER"))</f>
        <v/>
      </c>
    </row>
    <row r="362" spans="4:7">
      <c r="D362" s="8"/>
      <c r="E362" t="str">
        <f t="shared" si="10"/>
        <v/>
      </c>
      <c r="F362" t="str">
        <f t="shared" si="11"/>
        <v/>
      </c>
      <c r="G362" t="str">
        <f>IF(E362="","",IF(COUNTIF('DATA QCEW'!$A$2:$A$20,E362)&gt;0,"19-SECTOR","DETAIL / OTHER"))</f>
        <v/>
      </c>
    </row>
    <row r="363" spans="4:7">
      <c r="D363" s="8"/>
      <c r="E363" t="str">
        <f t="shared" si="10"/>
        <v/>
      </c>
      <c r="F363" t="str">
        <f t="shared" si="11"/>
        <v/>
      </c>
      <c r="G363" t="str">
        <f>IF(E363="","",IF(COUNTIF('DATA QCEW'!$A$2:$A$20,E363)&gt;0,"19-SECTOR","DETAIL / OTHER"))</f>
        <v/>
      </c>
    </row>
    <row r="364" spans="4:7">
      <c r="D364" s="8"/>
      <c r="E364" t="str">
        <f t="shared" si="10"/>
        <v/>
      </c>
      <c r="F364" t="str">
        <f t="shared" si="11"/>
        <v/>
      </c>
      <c r="G364" t="str">
        <f>IF(E364="","",IF(COUNTIF('DATA QCEW'!$A$2:$A$20,E364)&gt;0,"19-SECTOR","DETAIL / OTHER"))</f>
        <v/>
      </c>
    </row>
    <row r="365" spans="4:7">
      <c r="D365" s="8"/>
      <c r="E365" t="str">
        <f t="shared" si="10"/>
        <v/>
      </c>
      <c r="F365" t="str">
        <f t="shared" si="11"/>
        <v/>
      </c>
      <c r="G365" t="str">
        <f>IF(E365="","",IF(COUNTIF('DATA QCEW'!$A$2:$A$20,E365)&gt;0,"19-SECTOR","DETAIL / OTHER"))</f>
        <v/>
      </c>
    </row>
    <row r="366" spans="4:7">
      <c r="D366" s="8"/>
      <c r="E366" t="str">
        <f t="shared" si="10"/>
        <v/>
      </c>
      <c r="F366" t="str">
        <f t="shared" si="11"/>
        <v/>
      </c>
      <c r="G366" t="str">
        <f>IF(E366="","",IF(COUNTIF('DATA QCEW'!$A$2:$A$20,E366)&gt;0,"19-SECTOR","DETAIL / OTHER"))</f>
        <v/>
      </c>
    </row>
    <row r="367" spans="4:7">
      <c r="D367" s="8"/>
      <c r="E367" t="str">
        <f t="shared" si="10"/>
        <v/>
      </c>
      <c r="F367" t="str">
        <f t="shared" si="11"/>
        <v/>
      </c>
      <c r="G367" t="str">
        <f>IF(E367="","",IF(COUNTIF('DATA QCEW'!$A$2:$A$20,E367)&gt;0,"19-SECTOR","DETAIL / OTHER"))</f>
        <v/>
      </c>
    </row>
    <row r="368" spans="4:7">
      <c r="D368" s="8"/>
      <c r="E368" t="str">
        <f t="shared" si="10"/>
        <v/>
      </c>
      <c r="F368" t="str">
        <f t="shared" si="11"/>
        <v/>
      </c>
      <c r="G368" t="str">
        <f>IF(E368="","",IF(COUNTIF('DATA QCEW'!$A$2:$A$20,E368)&gt;0,"19-SECTOR","DETAIL / OTHER"))</f>
        <v/>
      </c>
    </row>
    <row r="369" spans="4:7">
      <c r="D369" s="8"/>
      <c r="E369" t="str">
        <f t="shared" si="10"/>
        <v/>
      </c>
      <c r="F369" t="str">
        <f t="shared" si="11"/>
        <v/>
      </c>
      <c r="G369" t="str">
        <f>IF(E369="","",IF(COUNTIF('DATA QCEW'!$A$2:$A$20,E369)&gt;0,"19-SECTOR","DETAIL / OTHER"))</f>
        <v/>
      </c>
    </row>
    <row r="370" spans="4:7">
      <c r="D370" s="8"/>
      <c r="E370" t="str">
        <f t="shared" si="10"/>
        <v/>
      </c>
      <c r="F370" t="str">
        <f t="shared" si="11"/>
        <v/>
      </c>
      <c r="G370" t="str">
        <f>IF(E370="","",IF(COUNTIF('DATA QCEW'!$A$2:$A$20,E370)&gt;0,"19-SECTOR","DETAIL / OTHER"))</f>
        <v/>
      </c>
    </row>
    <row r="371" spans="4:7">
      <c r="D371" s="8"/>
      <c r="E371" t="str">
        <f t="shared" si="10"/>
        <v/>
      </c>
      <c r="F371" t="str">
        <f t="shared" si="11"/>
        <v/>
      </c>
      <c r="G371" t="str">
        <f>IF(E371="","",IF(COUNTIF('DATA QCEW'!$A$2:$A$20,E371)&gt;0,"19-SECTOR","DETAIL / OTHER"))</f>
        <v/>
      </c>
    </row>
    <row r="372" spans="4:7">
      <c r="D372" s="8"/>
      <c r="E372" t="str">
        <f t="shared" si="10"/>
        <v/>
      </c>
      <c r="F372" t="str">
        <f t="shared" si="11"/>
        <v/>
      </c>
      <c r="G372" t="str">
        <f>IF(E372="","",IF(COUNTIF('DATA QCEW'!$A$2:$A$20,E372)&gt;0,"19-SECTOR","DETAIL / OTHER"))</f>
        <v/>
      </c>
    </row>
    <row r="373" spans="4:7">
      <c r="D373" s="8"/>
      <c r="E373" t="str">
        <f t="shared" si="10"/>
        <v/>
      </c>
      <c r="F373" t="str">
        <f t="shared" si="11"/>
        <v/>
      </c>
      <c r="G373" t="str">
        <f>IF(E373="","",IF(COUNTIF('DATA QCEW'!$A$2:$A$20,E373)&gt;0,"19-SECTOR","DETAIL / OTHER"))</f>
        <v/>
      </c>
    </row>
    <row r="374" spans="4:7">
      <c r="D374" s="8"/>
      <c r="E374" t="str">
        <f t="shared" si="10"/>
        <v/>
      </c>
      <c r="F374" t="str">
        <f t="shared" si="11"/>
        <v/>
      </c>
      <c r="G374" t="str">
        <f>IF(E374="","",IF(COUNTIF('DATA QCEW'!$A$2:$A$20,E374)&gt;0,"19-SECTOR","DETAIL / OTHER"))</f>
        <v/>
      </c>
    </row>
    <row r="375" spans="4:7">
      <c r="D375" s="8"/>
      <c r="E375" t="str">
        <f t="shared" si="10"/>
        <v/>
      </c>
      <c r="F375" t="str">
        <f t="shared" si="11"/>
        <v/>
      </c>
      <c r="G375" t="str">
        <f>IF(E375="","",IF(COUNTIF('DATA QCEW'!$A$2:$A$20,E375)&gt;0,"19-SECTOR","DETAIL / OTHER"))</f>
        <v/>
      </c>
    </row>
    <row r="376" spans="4:7">
      <c r="D376" s="8"/>
      <c r="E376" t="str">
        <f t="shared" si="10"/>
        <v/>
      </c>
      <c r="F376" t="str">
        <f t="shared" si="11"/>
        <v/>
      </c>
      <c r="G376" t="str">
        <f>IF(E376="","",IF(COUNTIF('DATA QCEW'!$A$2:$A$20,E376)&gt;0,"19-SECTOR","DETAIL / OTHER"))</f>
        <v/>
      </c>
    </row>
    <row r="377" spans="4:7">
      <c r="D377" s="8"/>
      <c r="E377" t="str">
        <f t="shared" si="10"/>
        <v/>
      </c>
      <c r="F377" t="str">
        <f t="shared" si="11"/>
        <v/>
      </c>
      <c r="G377" t="str">
        <f>IF(E377="","",IF(COUNTIF('DATA QCEW'!$A$2:$A$20,E377)&gt;0,"19-SECTOR","DETAIL / OTHER"))</f>
        <v/>
      </c>
    </row>
    <row r="378" spans="4:7">
      <c r="D378" s="8"/>
      <c r="E378" t="str">
        <f t="shared" si="10"/>
        <v/>
      </c>
      <c r="F378" t="str">
        <f t="shared" si="11"/>
        <v/>
      </c>
      <c r="G378" t="str">
        <f>IF(E378="","",IF(COUNTIF('DATA QCEW'!$A$2:$A$20,E378)&gt;0,"19-SECTOR","DETAIL / OTHER"))</f>
        <v/>
      </c>
    </row>
    <row r="379" spans="4:7">
      <c r="D379" s="8"/>
      <c r="E379" t="str">
        <f t="shared" si="10"/>
        <v/>
      </c>
      <c r="F379" t="str">
        <f t="shared" si="11"/>
        <v/>
      </c>
      <c r="G379" t="str">
        <f>IF(E379="","",IF(COUNTIF('DATA QCEW'!$A$2:$A$20,E379)&gt;0,"19-SECTOR","DETAIL / OTHER"))</f>
        <v/>
      </c>
    </row>
    <row r="380" spans="4:7">
      <c r="D380" s="8"/>
      <c r="E380" t="str">
        <f t="shared" si="10"/>
        <v/>
      </c>
      <c r="F380" t="str">
        <f t="shared" si="11"/>
        <v/>
      </c>
      <c r="G380" t="str">
        <f>IF(E380="","",IF(COUNTIF('DATA QCEW'!$A$2:$A$20,E380)&gt;0,"19-SECTOR","DETAIL / OTHER"))</f>
        <v/>
      </c>
    </row>
    <row r="381" spans="4:7">
      <c r="D381" s="8"/>
      <c r="E381" t="str">
        <f t="shared" si="10"/>
        <v/>
      </c>
      <c r="F381" t="str">
        <f t="shared" si="11"/>
        <v/>
      </c>
      <c r="G381" t="str">
        <f>IF(E381="","",IF(COUNTIF('DATA QCEW'!$A$2:$A$20,E381)&gt;0,"19-SECTOR","DETAIL / OTHER"))</f>
        <v/>
      </c>
    </row>
    <row r="382" spans="4:7">
      <c r="D382" s="8"/>
      <c r="E382" t="str">
        <f t="shared" si="10"/>
        <v/>
      </c>
      <c r="F382" t="str">
        <f t="shared" si="11"/>
        <v/>
      </c>
      <c r="G382" t="str">
        <f>IF(E382="","",IF(COUNTIF('DATA QCEW'!$A$2:$A$20,E382)&gt;0,"19-SECTOR","DETAIL / OTHER"))</f>
        <v/>
      </c>
    </row>
    <row r="383" spans="4:7">
      <c r="D383" s="8"/>
      <c r="E383" t="str">
        <f t="shared" si="10"/>
        <v/>
      </c>
      <c r="F383" t="str">
        <f t="shared" si="11"/>
        <v/>
      </c>
      <c r="G383" t="str">
        <f>IF(E383="","",IF(COUNTIF('DATA QCEW'!$A$2:$A$20,E383)&gt;0,"19-SECTOR","DETAIL / OTHER"))</f>
        <v/>
      </c>
    </row>
    <row r="384" spans="4:7">
      <c r="D384" s="8"/>
      <c r="E384" t="str">
        <f t="shared" si="10"/>
        <v/>
      </c>
      <c r="F384" t="str">
        <f t="shared" si="11"/>
        <v/>
      </c>
      <c r="G384" t="str">
        <f>IF(E384="","",IF(COUNTIF('DATA QCEW'!$A$2:$A$20,E384)&gt;0,"19-SECTOR","DETAIL / OTHER"))</f>
        <v/>
      </c>
    </row>
    <row r="385" spans="4:7">
      <c r="D385" s="8"/>
      <c r="E385" t="str">
        <f t="shared" si="10"/>
        <v/>
      </c>
      <c r="F385" t="str">
        <f t="shared" si="11"/>
        <v/>
      </c>
      <c r="G385" t="str">
        <f>IF(E385="","",IF(COUNTIF('DATA QCEW'!$A$2:$A$20,E385)&gt;0,"19-SECTOR","DETAIL / OTHER"))</f>
        <v/>
      </c>
    </row>
    <row r="386" spans="4:7">
      <c r="D386" s="8"/>
      <c r="E386" t="str">
        <f t="shared" ref="E386:E449" si="12">IF(LEFT(TRIM(A386),6)="NAICS ",IFERROR(MID(TRIM(A386),7,FIND(" ",TRIM(A386)&amp;" ",7)-7),""),"")</f>
        <v/>
      </c>
      <c r="F386" t="str">
        <f t="shared" ref="F386:F449" si="13">IF(E386="","",TRIM(MID(TRIM(A386),FIND(" ",TRIM(A386)&amp;" ",7)+1,255)))</f>
        <v/>
      </c>
      <c r="G386" t="str">
        <f>IF(E386="","",IF(COUNTIF('DATA QCEW'!$A$2:$A$20,E386)&gt;0,"19-SECTOR","DETAIL / OTHER"))</f>
        <v/>
      </c>
    </row>
    <row r="387" spans="4:7">
      <c r="D387" s="8"/>
      <c r="E387" t="str">
        <f t="shared" si="12"/>
        <v/>
      </c>
      <c r="F387" t="str">
        <f t="shared" si="13"/>
        <v/>
      </c>
      <c r="G387" t="str">
        <f>IF(E387="","",IF(COUNTIF('DATA QCEW'!$A$2:$A$20,E387)&gt;0,"19-SECTOR","DETAIL / OTHER"))</f>
        <v/>
      </c>
    </row>
    <row r="388" spans="4:7">
      <c r="D388" s="8"/>
      <c r="E388" t="str">
        <f t="shared" si="12"/>
        <v/>
      </c>
      <c r="F388" t="str">
        <f t="shared" si="13"/>
        <v/>
      </c>
      <c r="G388" t="str">
        <f>IF(E388="","",IF(COUNTIF('DATA QCEW'!$A$2:$A$20,E388)&gt;0,"19-SECTOR","DETAIL / OTHER"))</f>
        <v/>
      </c>
    </row>
    <row r="389" spans="4:7">
      <c r="D389" s="8"/>
      <c r="E389" t="str">
        <f t="shared" si="12"/>
        <v/>
      </c>
      <c r="F389" t="str">
        <f t="shared" si="13"/>
        <v/>
      </c>
      <c r="G389" t="str">
        <f>IF(E389="","",IF(COUNTIF('DATA QCEW'!$A$2:$A$20,E389)&gt;0,"19-SECTOR","DETAIL / OTHER"))</f>
        <v/>
      </c>
    </row>
    <row r="390" spans="4:7">
      <c r="D390" s="8"/>
      <c r="E390" t="str">
        <f t="shared" si="12"/>
        <v/>
      </c>
      <c r="F390" t="str">
        <f t="shared" si="13"/>
        <v/>
      </c>
      <c r="G390" t="str">
        <f>IF(E390="","",IF(COUNTIF('DATA QCEW'!$A$2:$A$20,E390)&gt;0,"19-SECTOR","DETAIL / OTHER"))</f>
        <v/>
      </c>
    </row>
    <row r="391" spans="4:7">
      <c r="D391" s="8"/>
      <c r="E391" t="str">
        <f t="shared" si="12"/>
        <v/>
      </c>
      <c r="F391" t="str">
        <f t="shared" si="13"/>
        <v/>
      </c>
      <c r="G391" t="str">
        <f>IF(E391="","",IF(COUNTIF('DATA QCEW'!$A$2:$A$20,E391)&gt;0,"19-SECTOR","DETAIL / OTHER"))</f>
        <v/>
      </c>
    </row>
    <row r="392" spans="4:7">
      <c r="D392" s="8"/>
      <c r="E392" t="str">
        <f t="shared" si="12"/>
        <v/>
      </c>
      <c r="F392" t="str">
        <f t="shared" si="13"/>
        <v/>
      </c>
      <c r="G392" t="str">
        <f>IF(E392="","",IF(COUNTIF('DATA QCEW'!$A$2:$A$20,E392)&gt;0,"19-SECTOR","DETAIL / OTHER"))</f>
        <v/>
      </c>
    </row>
    <row r="393" spans="4:7">
      <c r="D393" s="8"/>
      <c r="E393" t="str">
        <f t="shared" si="12"/>
        <v/>
      </c>
      <c r="F393" t="str">
        <f t="shared" si="13"/>
        <v/>
      </c>
      <c r="G393" t="str">
        <f>IF(E393="","",IF(COUNTIF('DATA QCEW'!$A$2:$A$20,E393)&gt;0,"19-SECTOR","DETAIL / OTHER"))</f>
        <v/>
      </c>
    </row>
    <row r="394" spans="4:7">
      <c r="D394" s="8"/>
      <c r="E394" t="str">
        <f t="shared" si="12"/>
        <v/>
      </c>
      <c r="F394" t="str">
        <f t="shared" si="13"/>
        <v/>
      </c>
      <c r="G394" t="str">
        <f>IF(E394="","",IF(COUNTIF('DATA QCEW'!$A$2:$A$20,E394)&gt;0,"19-SECTOR","DETAIL / OTHER"))</f>
        <v/>
      </c>
    </row>
    <row r="395" spans="4:7">
      <c r="D395" s="8"/>
      <c r="E395" t="str">
        <f t="shared" si="12"/>
        <v/>
      </c>
      <c r="F395" t="str">
        <f t="shared" si="13"/>
        <v/>
      </c>
      <c r="G395" t="str">
        <f>IF(E395="","",IF(COUNTIF('DATA QCEW'!$A$2:$A$20,E395)&gt;0,"19-SECTOR","DETAIL / OTHER"))</f>
        <v/>
      </c>
    </row>
    <row r="396" spans="4:7">
      <c r="D396" s="8"/>
      <c r="E396" t="str">
        <f t="shared" si="12"/>
        <v/>
      </c>
      <c r="F396" t="str">
        <f t="shared" si="13"/>
        <v/>
      </c>
      <c r="G396" t="str">
        <f>IF(E396="","",IF(COUNTIF('DATA QCEW'!$A$2:$A$20,E396)&gt;0,"19-SECTOR","DETAIL / OTHER"))</f>
        <v/>
      </c>
    </row>
    <row r="397" spans="4:7">
      <c r="D397" s="8"/>
      <c r="E397" t="str">
        <f t="shared" si="12"/>
        <v/>
      </c>
      <c r="F397" t="str">
        <f t="shared" si="13"/>
        <v/>
      </c>
      <c r="G397" t="str">
        <f>IF(E397="","",IF(COUNTIF('DATA QCEW'!$A$2:$A$20,E397)&gt;0,"19-SECTOR","DETAIL / OTHER"))</f>
        <v/>
      </c>
    </row>
    <row r="398" spans="4:7">
      <c r="D398" s="8"/>
      <c r="E398" t="str">
        <f t="shared" si="12"/>
        <v/>
      </c>
      <c r="F398" t="str">
        <f t="shared" si="13"/>
        <v/>
      </c>
      <c r="G398" t="str">
        <f>IF(E398="","",IF(COUNTIF('DATA QCEW'!$A$2:$A$20,E398)&gt;0,"19-SECTOR","DETAIL / OTHER"))</f>
        <v/>
      </c>
    </row>
    <row r="399" spans="4:7">
      <c r="D399" s="8"/>
      <c r="E399" t="str">
        <f t="shared" si="12"/>
        <v/>
      </c>
      <c r="F399" t="str">
        <f t="shared" si="13"/>
        <v/>
      </c>
      <c r="G399" t="str">
        <f>IF(E399="","",IF(COUNTIF('DATA QCEW'!$A$2:$A$20,E399)&gt;0,"19-SECTOR","DETAIL / OTHER"))</f>
        <v/>
      </c>
    </row>
    <row r="400" spans="4:7">
      <c r="D400" s="8"/>
      <c r="E400" t="str">
        <f t="shared" si="12"/>
        <v/>
      </c>
      <c r="F400" t="str">
        <f t="shared" si="13"/>
        <v/>
      </c>
      <c r="G400" t="str">
        <f>IF(E400="","",IF(COUNTIF('DATA QCEW'!$A$2:$A$20,E400)&gt;0,"19-SECTOR","DETAIL / OTHER"))</f>
        <v/>
      </c>
    </row>
    <row r="401" spans="4:7">
      <c r="D401" s="8"/>
      <c r="E401" t="str">
        <f t="shared" si="12"/>
        <v/>
      </c>
      <c r="F401" t="str">
        <f t="shared" si="13"/>
        <v/>
      </c>
      <c r="G401" t="str">
        <f>IF(E401="","",IF(COUNTIF('DATA QCEW'!$A$2:$A$20,E401)&gt;0,"19-SECTOR","DETAIL / OTHER"))</f>
        <v/>
      </c>
    </row>
    <row r="402" spans="4:7">
      <c r="D402" s="8"/>
      <c r="E402" t="str">
        <f t="shared" si="12"/>
        <v/>
      </c>
      <c r="F402" t="str">
        <f t="shared" si="13"/>
        <v/>
      </c>
      <c r="G402" t="str">
        <f>IF(E402="","",IF(COUNTIF('DATA QCEW'!$A$2:$A$20,E402)&gt;0,"19-SECTOR","DETAIL / OTHER"))</f>
        <v/>
      </c>
    </row>
    <row r="403" spans="4:7">
      <c r="D403" s="8"/>
      <c r="E403" t="str">
        <f t="shared" si="12"/>
        <v/>
      </c>
      <c r="F403" t="str">
        <f t="shared" si="13"/>
        <v/>
      </c>
      <c r="G403" t="str">
        <f>IF(E403="","",IF(COUNTIF('DATA QCEW'!$A$2:$A$20,E403)&gt;0,"19-SECTOR","DETAIL / OTHER"))</f>
        <v/>
      </c>
    </row>
    <row r="404" spans="4:7">
      <c r="D404" s="8"/>
      <c r="E404" t="str">
        <f t="shared" si="12"/>
        <v/>
      </c>
      <c r="F404" t="str">
        <f t="shared" si="13"/>
        <v/>
      </c>
      <c r="G404" t="str">
        <f>IF(E404="","",IF(COUNTIF('DATA QCEW'!$A$2:$A$20,E404)&gt;0,"19-SECTOR","DETAIL / OTHER"))</f>
        <v/>
      </c>
    </row>
    <row r="405" spans="4:7">
      <c r="D405" s="8"/>
      <c r="E405" t="str">
        <f t="shared" si="12"/>
        <v/>
      </c>
      <c r="F405" t="str">
        <f t="shared" si="13"/>
        <v/>
      </c>
      <c r="G405" t="str">
        <f>IF(E405="","",IF(COUNTIF('DATA QCEW'!$A$2:$A$20,E405)&gt;0,"19-SECTOR","DETAIL / OTHER"))</f>
        <v/>
      </c>
    </row>
    <row r="406" spans="4:7">
      <c r="D406" s="8"/>
      <c r="E406" t="str">
        <f t="shared" si="12"/>
        <v/>
      </c>
      <c r="F406" t="str">
        <f t="shared" si="13"/>
        <v/>
      </c>
      <c r="G406" t="str">
        <f>IF(E406="","",IF(COUNTIF('DATA QCEW'!$A$2:$A$20,E406)&gt;0,"19-SECTOR","DETAIL / OTHER"))</f>
        <v/>
      </c>
    </row>
    <row r="407" spans="4:7">
      <c r="D407" s="8"/>
      <c r="E407" t="str">
        <f t="shared" si="12"/>
        <v/>
      </c>
      <c r="F407" t="str">
        <f t="shared" si="13"/>
        <v/>
      </c>
      <c r="G407" t="str">
        <f>IF(E407="","",IF(COUNTIF('DATA QCEW'!$A$2:$A$20,E407)&gt;0,"19-SECTOR","DETAIL / OTHER"))</f>
        <v/>
      </c>
    </row>
    <row r="408" spans="4:7">
      <c r="D408" s="8"/>
      <c r="E408" t="str">
        <f t="shared" si="12"/>
        <v/>
      </c>
      <c r="F408" t="str">
        <f t="shared" si="13"/>
        <v/>
      </c>
      <c r="G408" t="str">
        <f>IF(E408="","",IF(COUNTIF('DATA QCEW'!$A$2:$A$20,E408)&gt;0,"19-SECTOR","DETAIL / OTHER"))</f>
        <v/>
      </c>
    </row>
    <row r="409" spans="4:7">
      <c r="D409" s="8"/>
      <c r="E409" t="str">
        <f t="shared" si="12"/>
        <v/>
      </c>
      <c r="F409" t="str">
        <f t="shared" si="13"/>
        <v/>
      </c>
      <c r="G409" t="str">
        <f>IF(E409="","",IF(COUNTIF('DATA QCEW'!$A$2:$A$20,E409)&gt;0,"19-SECTOR","DETAIL / OTHER"))</f>
        <v/>
      </c>
    </row>
    <row r="410" spans="4:7">
      <c r="D410" s="8"/>
      <c r="E410" t="str">
        <f t="shared" si="12"/>
        <v/>
      </c>
      <c r="F410" t="str">
        <f t="shared" si="13"/>
        <v/>
      </c>
      <c r="G410" t="str">
        <f>IF(E410="","",IF(COUNTIF('DATA QCEW'!$A$2:$A$20,E410)&gt;0,"19-SECTOR","DETAIL / OTHER"))</f>
        <v/>
      </c>
    </row>
    <row r="411" spans="4:7">
      <c r="D411" s="8"/>
      <c r="E411" t="str">
        <f t="shared" si="12"/>
        <v/>
      </c>
      <c r="F411" t="str">
        <f t="shared" si="13"/>
        <v/>
      </c>
      <c r="G411" t="str">
        <f>IF(E411="","",IF(COUNTIF('DATA QCEW'!$A$2:$A$20,E411)&gt;0,"19-SECTOR","DETAIL / OTHER"))</f>
        <v/>
      </c>
    </row>
    <row r="412" spans="4:7">
      <c r="D412" s="8"/>
      <c r="E412" t="str">
        <f t="shared" si="12"/>
        <v/>
      </c>
      <c r="F412" t="str">
        <f t="shared" si="13"/>
        <v/>
      </c>
      <c r="G412" t="str">
        <f>IF(E412="","",IF(COUNTIF('DATA QCEW'!$A$2:$A$20,E412)&gt;0,"19-SECTOR","DETAIL / OTHER"))</f>
        <v/>
      </c>
    </row>
    <row r="413" spans="4:7">
      <c r="D413" s="8"/>
      <c r="E413" t="str">
        <f t="shared" si="12"/>
        <v/>
      </c>
      <c r="F413" t="str">
        <f t="shared" si="13"/>
        <v/>
      </c>
      <c r="G413" t="str">
        <f>IF(E413="","",IF(COUNTIF('DATA QCEW'!$A$2:$A$20,E413)&gt;0,"19-SECTOR","DETAIL / OTHER"))</f>
        <v/>
      </c>
    </row>
    <row r="414" spans="4:7">
      <c r="D414" s="8"/>
      <c r="E414" t="str">
        <f t="shared" si="12"/>
        <v/>
      </c>
      <c r="F414" t="str">
        <f t="shared" si="13"/>
        <v/>
      </c>
      <c r="G414" t="str">
        <f>IF(E414="","",IF(COUNTIF('DATA QCEW'!$A$2:$A$20,E414)&gt;0,"19-SECTOR","DETAIL / OTHER"))</f>
        <v/>
      </c>
    </row>
    <row r="415" spans="4:7">
      <c r="D415" s="8"/>
      <c r="E415" t="str">
        <f t="shared" si="12"/>
        <v/>
      </c>
      <c r="F415" t="str">
        <f t="shared" si="13"/>
        <v/>
      </c>
      <c r="G415" t="str">
        <f>IF(E415="","",IF(COUNTIF('DATA QCEW'!$A$2:$A$20,E415)&gt;0,"19-SECTOR","DETAIL / OTHER"))</f>
        <v/>
      </c>
    </row>
    <row r="416" spans="4:7">
      <c r="D416" s="8"/>
      <c r="E416" t="str">
        <f t="shared" si="12"/>
        <v/>
      </c>
      <c r="F416" t="str">
        <f t="shared" si="13"/>
        <v/>
      </c>
      <c r="G416" t="str">
        <f>IF(E416="","",IF(COUNTIF('DATA QCEW'!$A$2:$A$20,E416)&gt;0,"19-SECTOR","DETAIL / OTHER"))</f>
        <v/>
      </c>
    </row>
    <row r="417" spans="4:7">
      <c r="D417" s="8"/>
      <c r="E417" t="str">
        <f t="shared" si="12"/>
        <v/>
      </c>
      <c r="F417" t="str">
        <f t="shared" si="13"/>
        <v/>
      </c>
      <c r="G417" t="str">
        <f>IF(E417="","",IF(COUNTIF('DATA QCEW'!$A$2:$A$20,E417)&gt;0,"19-SECTOR","DETAIL / OTHER"))</f>
        <v/>
      </c>
    </row>
    <row r="418" spans="4:7">
      <c r="D418" s="8"/>
      <c r="E418" t="str">
        <f t="shared" si="12"/>
        <v/>
      </c>
      <c r="F418" t="str">
        <f t="shared" si="13"/>
        <v/>
      </c>
      <c r="G418" t="str">
        <f>IF(E418="","",IF(COUNTIF('DATA QCEW'!$A$2:$A$20,E418)&gt;0,"19-SECTOR","DETAIL / OTHER"))</f>
        <v/>
      </c>
    </row>
    <row r="419" spans="4:7">
      <c r="D419" s="8"/>
      <c r="E419" t="str">
        <f t="shared" si="12"/>
        <v/>
      </c>
      <c r="F419" t="str">
        <f t="shared" si="13"/>
        <v/>
      </c>
      <c r="G419" t="str">
        <f>IF(E419="","",IF(COUNTIF('DATA QCEW'!$A$2:$A$20,E419)&gt;0,"19-SECTOR","DETAIL / OTHER"))</f>
        <v/>
      </c>
    </row>
    <row r="420" spans="4:7">
      <c r="D420" s="8"/>
      <c r="E420" t="str">
        <f t="shared" si="12"/>
        <v/>
      </c>
      <c r="F420" t="str">
        <f t="shared" si="13"/>
        <v/>
      </c>
      <c r="G420" t="str">
        <f>IF(E420="","",IF(COUNTIF('DATA QCEW'!$A$2:$A$20,E420)&gt;0,"19-SECTOR","DETAIL / OTHER"))</f>
        <v/>
      </c>
    </row>
    <row r="421" spans="4:7">
      <c r="D421" s="8"/>
      <c r="E421" t="str">
        <f t="shared" si="12"/>
        <v/>
      </c>
      <c r="F421" t="str">
        <f t="shared" si="13"/>
        <v/>
      </c>
      <c r="G421" t="str">
        <f>IF(E421="","",IF(COUNTIF('DATA QCEW'!$A$2:$A$20,E421)&gt;0,"19-SECTOR","DETAIL / OTHER"))</f>
        <v/>
      </c>
    </row>
    <row r="422" spans="4:7">
      <c r="D422" s="8"/>
      <c r="E422" t="str">
        <f t="shared" si="12"/>
        <v/>
      </c>
      <c r="F422" t="str">
        <f t="shared" si="13"/>
        <v/>
      </c>
      <c r="G422" t="str">
        <f>IF(E422="","",IF(COUNTIF('DATA QCEW'!$A$2:$A$20,E422)&gt;0,"19-SECTOR","DETAIL / OTHER"))</f>
        <v/>
      </c>
    </row>
    <row r="423" spans="4:7">
      <c r="D423" s="8"/>
      <c r="E423" t="str">
        <f t="shared" si="12"/>
        <v/>
      </c>
      <c r="F423" t="str">
        <f t="shared" si="13"/>
        <v/>
      </c>
      <c r="G423" t="str">
        <f>IF(E423="","",IF(COUNTIF('DATA QCEW'!$A$2:$A$20,E423)&gt;0,"19-SECTOR","DETAIL / OTHER"))</f>
        <v/>
      </c>
    </row>
    <row r="424" spans="4:7">
      <c r="D424" s="8"/>
      <c r="E424" t="str">
        <f t="shared" si="12"/>
        <v/>
      </c>
      <c r="F424" t="str">
        <f t="shared" si="13"/>
        <v/>
      </c>
      <c r="G424" t="str">
        <f>IF(E424="","",IF(COUNTIF('DATA QCEW'!$A$2:$A$20,E424)&gt;0,"19-SECTOR","DETAIL / OTHER"))</f>
        <v/>
      </c>
    </row>
    <row r="425" spans="4:7">
      <c r="D425" s="8"/>
      <c r="E425" t="str">
        <f t="shared" si="12"/>
        <v/>
      </c>
      <c r="F425" t="str">
        <f t="shared" si="13"/>
        <v/>
      </c>
      <c r="G425" t="str">
        <f>IF(E425="","",IF(COUNTIF('DATA QCEW'!$A$2:$A$20,E425)&gt;0,"19-SECTOR","DETAIL / OTHER"))</f>
        <v/>
      </c>
    </row>
    <row r="426" spans="4:7">
      <c r="D426" s="8"/>
      <c r="E426" t="str">
        <f t="shared" si="12"/>
        <v/>
      </c>
      <c r="F426" t="str">
        <f t="shared" si="13"/>
        <v/>
      </c>
      <c r="G426" t="str">
        <f>IF(E426="","",IF(COUNTIF('DATA QCEW'!$A$2:$A$20,E426)&gt;0,"19-SECTOR","DETAIL / OTHER"))</f>
        <v/>
      </c>
    </row>
    <row r="427" spans="4:7">
      <c r="D427" s="8"/>
      <c r="E427" t="str">
        <f t="shared" si="12"/>
        <v/>
      </c>
      <c r="F427" t="str">
        <f t="shared" si="13"/>
        <v/>
      </c>
      <c r="G427" t="str">
        <f>IF(E427="","",IF(COUNTIF('DATA QCEW'!$A$2:$A$20,E427)&gt;0,"19-SECTOR","DETAIL / OTHER"))</f>
        <v/>
      </c>
    </row>
    <row r="428" spans="4:7">
      <c r="D428" s="8"/>
      <c r="E428" t="str">
        <f t="shared" si="12"/>
        <v/>
      </c>
      <c r="F428" t="str">
        <f t="shared" si="13"/>
        <v/>
      </c>
      <c r="G428" t="str">
        <f>IF(E428="","",IF(COUNTIF('DATA QCEW'!$A$2:$A$20,E428)&gt;0,"19-SECTOR","DETAIL / OTHER"))</f>
        <v/>
      </c>
    </row>
    <row r="429" spans="4:7">
      <c r="D429" s="8"/>
      <c r="E429" t="str">
        <f t="shared" si="12"/>
        <v/>
      </c>
      <c r="F429" t="str">
        <f t="shared" si="13"/>
        <v/>
      </c>
      <c r="G429" t="str">
        <f>IF(E429="","",IF(COUNTIF('DATA QCEW'!$A$2:$A$20,E429)&gt;0,"19-SECTOR","DETAIL / OTHER"))</f>
        <v/>
      </c>
    </row>
    <row r="430" spans="4:7">
      <c r="D430" s="8"/>
      <c r="E430" t="str">
        <f t="shared" si="12"/>
        <v/>
      </c>
      <c r="F430" t="str">
        <f t="shared" si="13"/>
        <v/>
      </c>
      <c r="G430" t="str">
        <f>IF(E430="","",IF(COUNTIF('DATA QCEW'!$A$2:$A$20,E430)&gt;0,"19-SECTOR","DETAIL / OTHER"))</f>
        <v/>
      </c>
    </row>
    <row r="431" spans="4:7">
      <c r="D431" s="8"/>
      <c r="E431" t="str">
        <f t="shared" si="12"/>
        <v/>
      </c>
      <c r="F431" t="str">
        <f t="shared" si="13"/>
        <v/>
      </c>
      <c r="G431" t="str">
        <f>IF(E431="","",IF(COUNTIF('DATA QCEW'!$A$2:$A$20,E431)&gt;0,"19-SECTOR","DETAIL / OTHER"))</f>
        <v/>
      </c>
    </row>
    <row r="432" spans="4:7">
      <c r="D432" s="8"/>
      <c r="E432" t="str">
        <f t="shared" si="12"/>
        <v/>
      </c>
      <c r="F432" t="str">
        <f t="shared" si="13"/>
        <v/>
      </c>
      <c r="G432" t="str">
        <f>IF(E432="","",IF(COUNTIF('DATA QCEW'!$A$2:$A$20,E432)&gt;0,"19-SECTOR","DETAIL / OTHER"))</f>
        <v/>
      </c>
    </row>
    <row r="433" spans="4:7">
      <c r="D433" s="8"/>
      <c r="E433" t="str">
        <f t="shared" si="12"/>
        <v/>
      </c>
      <c r="F433" t="str">
        <f t="shared" si="13"/>
        <v/>
      </c>
      <c r="G433" t="str">
        <f>IF(E433="","",IF(COUNTIF('DATA QCEW'!$A$2:$A$20,E433)&gt;0,"19-SECTOR","DETAIL / OTHER"))</f>
        <v/>
      </c>
    </row>
    <row r="434" spans="4:7">
      <c r="D434" s="8"/>
      <c r="E434" t="str">
        <f t="shared" si="12"/>
        <v/>
      </c>
      <c r="F434" t="str">
        <f t="shared" si="13"/>
        <v/>
      </c>
      <c r="G434" t="str">
        <f>IF(E434="","",IF(COUNTIF('DATA QCEW'!$A$2:$A$20,E434)&gt;0,"19-SECTOR","DETAIL / OTHER"))</f>
        <v/>
      </c>
    </row>
    <row r="435" spans="4:7">
      <c r="D435" s="8"/>
      <c r="E435" t="str">
        <f t="shared" si="12"/>
        <v/>
      </c>
      <c r="F435" t="str">
        <f t="shared" si="13"/>
        <v/>
      </c>
      <c r="G435" t="str">
        <f>IF(E435="","",IF(COUNTIF('DATA QCEW'!$A$2:$A$20,E435)&gt;0,"19-SECTOR","DETAIL / OTHER"))</f>
        <v/>
      </c>
    </row>
    <row r="436" spans="4:7">
      <c r="D436" s="8"/>
      <c r="E436" t="str">
        <f t="shared" si="12"/>
        <v/>
      </c>
      <c r="F436" t="str">
        <f t="shared" si="13"/>
        <v/>
      </c>
      <c r="G436" t="str">
        <f>IF(E436="","",IF(COUNTIF('DATA QCEW'!$A$2:$A$20,E436)&gt;0,"19-SECTOR","DETAIL / OTHER"))</f>
        <v/>
      </c>
    </row>
    <row r="437" spans="4:7">
      <c r="D437" s="8"/>
      <c r="E437" t="str">
        <f t="shared" si="12"/>
        <v/>
      </c>
      <c r="F437" t="str">
        <f t="shared" si="13"/>
        <v/>
      </c>
      <c r="G437" t="str">
        <f>IF(E437="","",IF(COUNTIF('DATA QCEW'!$A$2:$A$20,E437)&gt;0,"19-SECTOR","DETAIL / OTHER"))</f>
        <v/>
      </c>
    </row>
    <row r="438" spans="4:7">
      <c r="D438" s="8"/>
      <c r="E438" t="str">
        <f t="shared" si="12"/>
        <v/>
      </c>
      <c r="F438" t="str">
        <f t="shared" si="13"/>
        <v/>
      </c>
      <c r="G438" t="str">
        <f>IF(E438="","",IF(COUNTIF('DATA QCEW'!$A$2:$A$20,E438)&gt;0,"19-SECTOR","DETAIL / OTHER"))</f>
        <v/>
      </c>
    </row>
    <row r="439" spans="4:7">
      <c r="D439" s="8"/>
      <c r="E439" t="str">
        <f t="shared" si="12"/>
        <v/>
      </c>
      <c r="F439" t="str">
        <f t="shared" si="13"/>
        <v/>
      </c>
      <c r="G439" t="str">
        <f>IF(E439="","",IF(COUNTIF('DATA QCEW'!$A$2:$A$20,E439)&gt;0,"19-SECTOR","DETAIL / OTHER"))</f>
        <v/>
      </c>
    </row>
    <row r="440" spans="4:7">
      <c r="D440" s="8"/>
      <c r="E440" t="str">
        <f t="shared" si="12"/>
        <v/>
      </c>
      <c r="F440" t="str">
        <f t="shared" si="13"/>
        <v/>
      </c>
      <c r="G440" t="str">
        <f>IF(E440="","",IF(COUNTIF('DATA QCEW'!$A$2:$A$20,E440)&gt;0,"19-SECTOR","DETAIL / OTHER"))</f>
        <v/>
      </c>
    </row>
    <row r="441" spans="4:7">
      <c r="D441" s="8"/>
      <c r="E441" t="str">
        <f t="shared" si="12"/>
        <v/>
      </c>
      <c r="F441" t="str">
        <f t="shared" si="13"/>
        <v/>
      </c>
      <c r="G441" t="str">
        <f>IF(E441="","",IF(COUNTIF('DATA QCEW'!$A$2:$A$20,E441)&gt;0,"19-SECTOR","DETAIL / OTHER"))</f>
        <v/>
      </c>
    </row>
    <row r="442" spans="4:7">
      <c r="D442" s="8"/>
      <c r="E442" t="str">
        <f t="shared" si="12"/>
        <v/>
      </c>
      <c r="F442" t="str">
        <f t="shared" si="13"/>
        <v/>
      </c>
      <c r="G442" t="str">
        <f>IF(E442="","",IF(COUNTIF('DATA QCEW'!$A$2:$A$20,E442)&gt;0,"19-SECTOR","DETAIL / OTHER"))</f>
        <v/>
      </c>
    </row>
    <row r="443" spans="4:7">
      <c r="D443" s="8"/>
      <c r="E443" t="str">
        <f t="shared" si="12"/>
        <v/>
      </c>
      <c r="F443" t="str">
        <f t="shared" si="13"/>
        <v/>
      </c>
      <c r="G443" t="str">
        <f>IF(E443="","",IF(COUNTIF('DATA QCEW'!$A$2:$A$20,E443)&gt;0,"19-SECTOR","DETAIL / OTHER"))</f>
        <v/>
      </c>
    </row>
    <row r="444" spans="4:7">
      <c r="D444" s="8"/>
      <c r="E444" t="str">
        <f t="shared" si="12"/>
        <v/>
      </c>
      <c r="F444" t="str">
        <f t="shared" si="13"/>
        <v/>
      </c>
      <c r="G444" t="str">
        <f>IF(E444="","",IF(COUNTIF('DATA QCEW'!$A$2:$A$20,E444)&gt;0,"19-SECTOR","DETAIL / OTHER"))</f>
        <v/>
      </c>
    </row>
    <row r="445" spans="4:7">
      <c r="D445" s="8"/>
      <c r="E445" t="str">
        <f t="shared" si="12"/>
        <v/>
      </c>
      <c r="F445" t="str">
        <f t="shared" si="13"/>
        <v/>
      </c>
      <c r="G445" t="str">
        <f>IF(E445="","",IF(COUNTIF('DATA QCEW'!$A$2:$A$20,E445)&gt;0,"19-SECTOR","DETAIL / OTHER"))</f>
        <v/>
      </c>
    </row>
    <row r="446" spans="4:7">
      <c r="D446" s="8"/>
      <c r="E446" t="str">
        <f t="shared" si="12"/>
        <v/>
      </c>
      <c r="F446" t="str">
        <f t="shared" si="13"/>
        <v/>
      </c>
      <c r="G446" t="str">
        <f>IF(E446="","",IF(COUNTIF('DATA QCEW'!$A$2:$A$20,E446)&gt;0,"19-SECTOR","DETAIL / OTHER"))</f>
        <v/>
      </c>
    </row>
    <row r="447" spans="4:7">
      <c r="D447" s="8"/>
      <c r="E447" t="str">
        <f t="shared" si="12"/>
        <v/>
      </c>
      <c r="F447" t="str">
        <f t="shared" si="13"/>
        <v/>
      </c>
      <c r="G447" t="str">
        <f>IF(E447="","",IF(COUNTIF('DATA QCEW'!$A$2:$A$20,E447)&gt;0,"19-SECTOR","DETAIL / OTHER"))</f>
        <v/>
      </c>
    </row>
    <row r="448" spans="4:7">
      <c r="D448" s="8"/>
      <c r="E448" t="str">
        <f t="shared" si="12"/>
        <v/>
      </c>
      <c r="F448" t="str">
        <f t="shared" si="13"/>
        <v/>
      </c>
      <c r="G448" t="str">
        <f>IF(E448="","",IF(COUNTIF('DATA QCEW'!$A$2:$A$20,E448)&gt;0,"19-SECTOR","DETAIL / OTHER"))</f>
        <v/>
      </c>
    </row>
    <row r="449" spans="4:7">
      <c r="D449" s="8"/>
      <c r="E449" t="str">
        <f t="shared" si="12"/>
        <v/>
      </c>
      <c r="F449" t="str">
        <f t="shared" si="13"/>
        <v/>
      </c>
      <c r="G449" t="str">
        <f>IF(E449="","",IF(COUNTIF('DATA QCEW'!$A$2:$A$20,E449)&gt;0,"19-SECTOR","DETAIL / OTHER"))</f>
        <v/>
      </c>
    </row>
    <row r="450" spans="4:7">
      <c r="D450" s="8"/>
      <c r="E450" t="str">
        <f t="shared" ref="E450:E513" si="14">IF(LEFT(TRIM(A450),6)="NAICS ",IFERROR(MID(TRIM(A450),7,FIND(" ",TRIM(A450)&amp;" ",7)-7),""),"")</f>
        <v/>
      </c>
      <c r="F450" t="str">
        <f t="shared" ref="F450:F513" si="15">IF(E450="","",TRIM(MID(TRIM(A450),FIND(" ",TRIM(A450)&amp;" ",7)+1,255)))</f>
        <v/>
      </c>
      <c r="G450" t="str">
        <f>IF(E450="","",IF(COUNTIF('DATA QCEW'!$A$2:$A$20,E450)&gt;0,"19-SECTOR","DETAIL / OTHER"))</f>
        <v/>
      </c>
    </row>
    <row r="451" spans="4:7">
      <c r="D451" s="8"/>
      <c r="E451" t="str">
        <f t="shared" si="14"/>
        <v/>
      </c>
      <c r="F451" t="str">
        <f t="shared" si="15"/>
        <v/>
      </c>
      <c r="G451" t="str">
        <f>IF(E451="","",IF(COUNTIF('DATA QCEW'!$A$2:$A$20,E451)&gt;0,"19-SECTOR","DETAIL / OTHER"))</f>
        <v/>
      </c>
    </row>
    <row r="452" spans="4:7">
      <c r="D452" s="8"/>
      <c r="E452" t="str">
        <f t="shared" si="14"/>
        <v/>
      </c>
      <c r="F452" t="str">
        <f t="shared" si="15"/>
        <v/>
      </c>
      <c r="G452" t="str">
        <f>IF(E452="","",IF(COUNTIF('DATA QCEW'!$A$2:$A$20,E452)&gt;0,"19-SECTOR","DETAIL / OTHER"))</f>
        <v/>
      </c>
    </row>
    <row r="453" spans="4:7">
      <c r="D453" s="8"/>
      <c r="E453" t="str">
        <f t="shared" si="14"/>
        <v/>
      </c>
      <c r="F453" t="str">
        <f t="shared" si="15"/>
        <v/>
      </c>
      <c r="G453" t="str">
        <f>IF(E453="","",IF(COUNTIF('DATA QCEW'!$A$2:$A$20,E453)&gt;0,"19-SECTOR","DETAIL / OTHER"))</f>
        <v/>
      </c>
    </row>
    <row r="454" spans="4:7">
      <c r="D454" s="8"/>
      <c r="E454" t="str">
        <f t="shared" si="14"/>
        <v/>
      </c>
      <c r="F454" t="str">
        <f t="shared" si="15"/>
        <v/>
      </c>
      <c r="G454" t="str">
        <f>IF(E454="","",IF(COUNTIF('DATA QCEW'!$A$2:$A$20,E454)&gt;0,"19-SECTOR","DETAIL / OTHER"))</f>
        <v/>
      </c>
    </row>
    <row r="455" spans="4:7">
      <c r="D455" s="8"/>
      <c r="E455" t="str">
        <f t="shared" si="14"/>
        <v/>
      </c>
      <c r="F455" t="str">
        <f t="shared" si="15"/>
        <v/>
      </c>
      <c r="G455" t="str">
        <f>IF(E455="","",IF(COUNTIF('DATA QCEW'!$A$2:$A$20,E455)&gt;0,"19-SECTOR","DETAIL / OTHER"))</f>
        <v/>
      </c>
    </row>
    <row r="456" spans="4:7">
      <c r="D456" s="8"/>
      <c r="E456" t="str">
        <f t="shared" si="14"/>
        <v/>
      </c>
      <c r="F456" t="str">
        <f t="shared" si="15"/>
        <v/>
      </c>
      <c r="G456" t="str">
        <f>IF(E456="","",IF(COUNTIF('DATA QCEW'!$A$2:$A$20,E456)&gt;0,"19-SECTOR","DETAIL / OTHER"))</f>
        <v/>
      </c>
    </row>
    <row r="457" spans="4:7">
      <c r="D457" s="8"/>
      <c r="E457" t="str">
        <f t="shared" si="14"/>
        <v/>
      </c>
      <c r="F457" t="str">
        <f t="shared" si="15"/>
        <v/>
      </c>
      <c r="G457" t="str">
        <f>IF(E457="","",IF(COUNTIF('DATA QCEW'!$A$2:$A$20,E457)&gt;0,"19-SECTOR","DETAIL / OTHER"))</f>
        <v/>
      </c>
    </row>
    <row r="458" spans="4:7">
      <c r="D458" s="8"/>
      <c r="E458" t="str">
        <f t="shared" si="14"/>
        <v/>
      </c>
      <c r="F458" t="str">
        <f t="shared" si="15"/>
        <v/>
      </c>
      <c r="G458" t="str">
        <f>IF(E458="","",IF(COUNTIF('DATA QCEW'!$A$2:$A$20,E458)&gt;0,"19-SECTOR","DETAIL / OTHER"))</f>
        <v/>
      </c>
    </row>
    <row r="459" spans="4:7">
      <c r="D459" s="8"/>
      <c r="E459" t="str">
        <f t="shared" si="14"/>
        <v/>
      </c>
      <c r="F459" t="str">
        <f t="shared" si="15"/>
        <v/>
      </c>
      <c r="G459" t="str">
        <f>IF(E459="","",IF(COUNTIF('DATA QCEW'!$A$2:$A$20,E459)&gt;0,"19-SECTOR","DETAIL / OTHER"))</f>
        <v/>
      </c>
    </row>
    <row r="460" spans="4:7">
      <c r="D460" s="8"/>
      <c r="E460" t="str">
        <f t="shared" si="14"/>
        <v/>
      </c>
      <c r="F460" t="str">
        <f t="shared" si="15"/>
        <v/>
      </c>
      <c r="G460" t="str">
        <f>IF(E460="","",IF(COUNTIF('DATA QCEW'!$A$2:$A$20,E460)&gt;0,"19-SECTOR","DETAIL / OTHER"))</f>
        <v/>
      </c>
    </row>
    <row r="461" spans="4:7">
      <c r="D461" s="8"/>
      <c r="E461" t="str">
        <f t="shared" si="14"/>
        <v/>
      </c>
      <c r="F461" t="str">
        <f t="shared" si="15"/>
        <v/>
      </c>
      <c r="G461" t="str">
        <f>IF(E461="","",IF(COUNTIF('DATA QCEW'!$A$2:$A$20,E461)&gt;0,"19-SECTOR","DETAIL / OTHER"))</f>
        <v/>
      </c>
    </row>
    <row r="462" spans="4:7">
      <c r="D462" s="8"/>
      <c r="E462" t="str">
        <f t="shared" si="14"/>
        <v/>
      </c>
      <c r="F462" t="str">
        <f t="shared" si="15"/>
        <v/>
      </c>
      <c r="G462" t="str">
        <f>IF(E462="","",IF(COUNTIF('DATA QCEW'!$A$2:$A$20,E462)&gt;0,"19-SECTOR","DETAIL / OTHER"))</f>
        <v/>
      </c>
    </row>
    <row r="463" spans="4:7">
      <c r="D463" s="8"/>
      <c r="E463" t="str">
        <f t="shared" si="14"/>
        <v/>
      </c>
      <c r="F463" t="str">
        <f t="shared" si="15"/>
        <v/>
      </c>
      <c r="G463" t="str">
        <f>IF(E463="","",IF(COUNTIF('DATA QCEW'!$A$2:$A$20,E463)&gt;0,"19-SECTOR","DETAIL / OTHER"))</f>
        <v/>
      </c>
    </row>
    <row r="464" spans="4:7">
      <c r="D464" s="8"/>
      <c r="E464" t="str">
        <f t="shared" si="14"/>
        <v/>
      </c>
      <c r="F464" t="str">
        <f t="shared" si="15"/>
        <v/>
      </c>
      <c r="G464" t="str">
        <f>IF(E464="","",IF(COUNTIF('DATA QCEW'!$A$2:$A$20,E464)&gt;0,"19-SECTOR","DETAIL / OTHER"))</f>
        <v/>
      </c>
    </row>
    <row r="465" spans="4:7">
      <c r="D465" s="8"/>
      <c r="E465" t="str">
        <f t="shared" si="14"/>
        <v/>
      </c>
      <c r="F465" t="str">
        <f t="shared" si="15"/>
        <v/>
      </c>
      <c r="G465" t="str">
        <f>IF(E465="","",IF(COUNTIF('DATA QCEW'!$A$2:$A$20,E465)&gt;0,"19-SECTOR","DETAIL / OTHER"))</f>
        <v/>
      </c>
    </row>
    <row r="466" spans="4:7">
      <c r="D466" s="8"/>
      <c r="E466" t="str">
        <f t="shared" si="14"/>
        <v/>
      </c>
      <c r="F466" t="str">
        <f t="shared" si="15"/>
        <v/>
      </c>
      <c r="G466" t="str">
        <f>IF(E466="","",IF(COUNTIF('DATA QCEW'!$A$2:$A$20,E466)&gt;0,"19-SECTOR","DETAIL / OTHER"))</f>
        <v/>
      </c>
    </row>
    <row r="467" spans="4:7">
      <c r="D467" s="8"/>
      <c r="E467" t="str">
        <f t="shared" si="14"/>
        <v/>
      </c>
      <c r="F467" t="str">
        <f t="shared" si="15"/>
        <v/>
      </c>
      <c r="G467" t="str">
        <f>IF(E467="","",IF(COUNTIF('DATA QCEW'!$A$2:$A$20,E467)&gt;0,"19-SECTOR","DETAIL / OTHER"))</f>
        <v/>
      </c>
    </row>
    <row r="468" spans="4:7">
      <c r="D468" s="8"/>
      <c r="E468" t="str">
        <f t="shared" si="14"/>
        <v/>
      </c>
      <c r="F468" t="str">
        <f t="shared" si="15"/>
        <v/>
      </c>
      <c r="G468" t="str">
        <f>IF(E468="","",IF(COUNTIF('DATA QCEW'!$A$2:$A$20,E468)&gt;0,"19-SECTOR","DETAIL / OTHER"))</f>
        <v/>
      </c>
    </row>
    <row r="469" spans="4:7">
      <c r="D469" s="8"/>
      <c r="E469" t="str">
        <f t="shared" si="14"/>
        <v/>
      </c>
      <c r="F469" t="str">
        <f t="shared" si="15"/>
        <v/>
      </c>
      <c r="G469" t="str">
        <f>IF(E469="","",IF(COUNTIF('DATA QCEW'!$A$2:$A$20,E469)&gt;0,"19-SECTOR","DETAIL / OTHER"))</f>
        <v/>
      </c>
    </row>
    <row r="470" spans="4:7">
      <c r="D470" s="8"/>
      <c r="E470" t="str">
        <f t="shared" si="14"/>
        <v/>
      </c>
      <c r="F470" t="str">
        <f t="shared" si="15"/>
        <v/>
      </c>
      <c r="G470" t="str">
        <f>IF(E470="","",IF(COUNTIF('DATA QCEW'!$A$2:$A$20,E470)&gt;0,"19-SECTOR","DETAIL / OTHER"))</f>
        <v/>
      </c>
    </row>
    <row r="471" spans="4:7">
      <c r="D471" s="8"/>
      <c r="E471" t="str">
        <f t="shared" si="14"/>
        <v/>
      </c>
      <c r="F471" t="str">
        <f t="shared" si="15"/>
        <v/>
      </c>
      <c r="G471" t="str">
        <f>IF(E471="","",IF(COUNTIF('DATA QCEW'!$A$2:$A$20,E471)&gt;0,"19-SECTOR","DETAIL / OTHER"))</f>
        <v/>
      </c>
    </row>
    <row r="472" spans="4:7">
      <c r="D472" s="8"/>
      <c r="E472" t="str">
        <f t="shared" si="14"/>
        <v/>
      </c>
      <c r="F472" t="str">
        <f t="shared" si="15"/>
        <v/>
      </c>
      <c r="G472" t="str">
        <f>IF(E472="","",IF(COUNTIF('DATA QCEW'!$A$2:$A$20,E472)&gt;0,"19-SECTOR","DETAIL / OTHER"))</f>
        <v/>
      </c>
    </row>
    <row r="473" spans="4:7">
      <c r="D473" s="8"/>
      <c r="E473" t="str">
        <f t="shared" si="14"/>
        <v/>
      </c>
      <c r="F473" t="str">
        <f t="shared" si="15"/>
        <v/>
      </c>
      <c r="G473" t="str">
        <f>IF(E473="","",IF(COUNTIF('DATA QCEW'!$A$2:$A$20,E473)&gt;0,"19-SECTOR","DETAIL / OTHER"))</f>
        <v/>
      </c>
    </row>
    <row r="474" spans="4:7">
      <c r="D474" s="8"/>
      <c r="E474" t="str">
        <f t="shared" si="14"/>
        <v/>
      </c>
      <c r="F474" t="str">
        <f t="shared" si="15"/>
        <v/>
      </c>
      <c r="G474" t="str">
        <f>IF(E474="","",IF(COUNTIF('DATA QCEW'!$A$2:$A$20,E474)&gt;0,"19-SECTOR","DETAIL / OTHER"))</f>
        <v/>
      </c>
    </row>
    <row r="475" spans="4:7">
      <c r="D475" s="8"/>
      <c r="E475" t="str">
        <f t="shared" si="14"/>
        <v/>
      </c>
      <c r="F475" t="str">
        <f t="shared" si="15"/>
        <v/>
      </c>
      <c r="G475" t="str">
        <f>IF(E475="","",IF(COUNTIF('DATA QCEW'!$A$2:$A$20,E475)&gt;0,"19-SECTOR","DETAIL / OTHER"))</f>
        <v/>
      </c>
    </row>
    <row r="476" spans="4:7">
      <c r="D476" s="8"/>
      <c r="E476" t="str">
        <f t="shared" si="14"/>
        <v/>
      </c>
      <c r="F476" t="str">
        <f t="shared" si="15"/>
        <v/>
      </c>
      <c r="G476" t="str">
        <f>IF(E476="","",IF(COUNTIF('DATA QCEW'!$A$2:$A$20,E476)&gt;0,"19-SECTOR","DETAIL / OTHER"))</f>
        <v/>
      </c>
    </row>
    <row r="477" spans="4:7">
      <c r="D477" s="8"/>
      <c r="E477" t="str">
        <f t="shared" si="14"/>
        <v/>
      </c>
      <c r="F477" t="str">
        <f t="shared" si="15"/>
        <v/>
      </c>
      <c r="G477" t="str">
        <f>IF(E477="","",IF(COUNTIF('DATA QCEW'!$A$2:$A$20,E477)&gt;0,"19-SECTOR","DETAIL / OTHER"))</f>
        <v/>
      </c>
    </row>
    <row r="478" spans="4:7">
      <c r="D478" s="8"/>
      <c r="E478" t="str">
        <f t="shared" si="14"/>
        <v/>
      </c>
      <c r="F478" t="str">
        <f t="shared" si="15"/>
        <v/>
      </c>
      <c r="G478" t="str">
        <f>IF(E478="","",IF(COUNTIF('DATA QCEW'!$A$2:$A$20,E478)&gt;0,"19-SECTOR","DETAIL / OTHER"))</f>
        <v/>
      </c>
    </row>
    <row r="479" spans="4:7">
      <c r="D479" s="8"/>
      <c r="E479" t="str">
        <f t="shared" si="14"/>
        <v/>
      </c>
      <c r="F479" t="str">
        <f t="shared" si="15"/>
        <v/>
      </c>
      <c r="G479" t="str">
        <f>IF(E479="","",IF(COUNTIF('DATA QCEW'!$A$2:$A$20,E479)&gt;0,"19-SECTOR","DETAIL / OTHER"))</f>
        <v/>
      </c>
    </row>
    <row r="480" spans="4:7">
      <c r="D480" s="8"/>
      <c r="E480" t="str">
        <f t="shared" si="14"/>
        <v/>
      </c>
      <c r="F480" t="str">
        <f t="shared" si="15"/>
        <v/>
      </c>
      <c r="G480" t="str">
        <f>IF(E480="","",IF(COUNTIF('DATA QCEW'!$A$2:$A$20,E480)&gt;0,"19-SECTOR","DETAIL / OTHER"))</f>
        <v/>
      </c>
    </row>
    <row r="481" spans="4:7">
      <c r="D481" s="8"/>
      <c r="E481" t="str">
        <f t="shared" si="14"/>
        <v/>
      </c>
      <c r="F481" t="str">
        <f t="shared" si="15"/>
        <v/>
      </c>
      <c r="G481" t="str">
        <f>IF(E481="","",IF(COUNTIF('DATA QCEW'!$A$2:$A$20,E481)&gt;0,"19-SECTOR","DETAIL / OTHER"))</f>
        <v/>
      </c>
    </row>
    <row r="482" spans="4:7">
      <c r="D482" s="8"/>
      <c r="E482" t="str">
        <f t="shared" si="14"/>
        <v/>
      </c>
      <c r="F482" t="str">
        <f t="shared" si="15"/>
        <v/>
      </c>
      <c r="G482" t="str">
        <f>IF(E482="","",IF(COUNTIF('DATA QCEW'!$A$2:$A$20,E482)&gt;0,"19-SECTOR","DETAIL / OTHER"))</f>
        <v/>
      </c>
    </row>
    <row r="483" spans="4:7">
      <c r="D483" s="8"/>
      <c r="E483" t="str">
        <f t="shared" si="14"/>
        <v/>
      </c>
      <c r="F483" t="str">
        <f t="shared" si="15"/>
        <v/>
      </c>
      <c r="G483" t="str">
        <f>IF(E483="","",IF(COUNTIF('DATA QCEW'!$A$2:$A$20,E483)&gt;0,"19-SECTOR","DETAIL / OTHER"))</f>
        <v/>
      </c>
    </row>
    <row r="484" spans="4:7">
      <c r="D484" s="8"/>
      <c r="E484" t="str">
        <f t="shared" si="14"/>
        <v/>
      </c>
      <c r="F484" t="str">
        <f t="shared" si="15"/>
        <v/>
      </c>
      <c r="G484" t="str">
        <f>IF(E484="","",IF(COUNTIF('DATA QCEW'!$A$2:$A$20,E484)&gt;0,"19-SECTOR","DETAIL / OTHER"))</f>
        <v/>
      </c>
    </row>
    <row r="485" spans="4:7">
      <c r="D485" s="8"/>
      <c r="E485" t="str">
        <f t="shared" si="14"/>
        <v/>
      </c>
      <c r="F485" t="str">
        <f t="shared" si="15"/>
        <v/>
      </c>
      <c r="G485" t="str">
        <f>IF(E485="","",IF(COUNTIF('DATA QCEW'!$A$2:$A$20,E485)&gt;0,"19-SECTOR","DETAIL / OTHER"))</f>
        <v/>
      </c>
    </row>
    <row r="486" spans="4:7">
      <c r="D486" s="8"/>
      <c r="E486" t="str">
        <f t="shared" si="14"/>
        <v/>
      </c>
      <c r="F486" t="str">
        <f t="shared" si="15"/>
        <v/>
      </c>
      <c r="G486" t="str">
        <f>IF(E486="","",IF(COUNTIF('DATA QCEW'!$A$2:$A$20,E486)&gt;0,"19-SECTOR","DETAIL / OTHER"))</f>
        <v/>
      </c>
    </row>
    <row r="487" spans="4:7">
      <c r="D487" s="8"/>
      <c r="E487" t="str">
        <f t="shared" si="14"/>
        <v/>
      </c>
      <c r="F487" t="str">
        <f t="shared" si="15"/>
        <v/>
      </c>
      <c r="G487" t="str">
        <f>IF(E487="","",IF(COUNTIF('DATA QCEW'!$A$2:$A$20,E487)&gt;0,"19-SECTOR","DETAIL / OTHER"))</f>
        <v/>
      </c>
    </row>
    <row r="488" spans="4:7">
      <c r="D488" s="8"/>
      <c r="E488" t="str">
        <f t="shared" si="14"/>
        <v/>
      </c>
      <c r="F488" t="str">
        <f t="shared" si="15"/>
        <v/>
      </c>
      <c r="G488" t="str">
        <f>IF(E488="","",IF(COUNTIF('DATA QCEW'!$A$2:$A$20,E488)&gt;0,"19-SECTOR","DETAIL / OTHER"))</f>
        <v/>
      </c>
    </row>
    <row r="489" spans="4:7">
      <c r="D489" s="8"/>
      <c r="E489" t="str">
        <f t="shared" si="14"/>
        <v/>
      </c>
      <c r="F489" t="str">
        <f t="shared" si="15"/>
        <v/>
      </c>
      <c r="G489" t="str">
        <f>IF(E489="","",IF(COUNTIF('DATA QCEW'!$A$2:$A$20,E489)&gt;0,"19-SECTOR","DETAIL / OTHER"))</f>
        <v/>
      </c>
    </row>
    <row r="490" spans="4:7">
      <c r="D490" s="8"/>
      <c r="E490" t="str">
        <f t="shared" si="14"/>
        <v/>
      </c>
      <c r="F490" t="str">
        <f t="shared" si="15"/>
        <v/>
      </c>
      <c r="G490" t="str">
        <f>IF(E490="","",IF(COUNTIF('DATA QCEW'!$A$2:$A$20,E490)&gt;0,"19-SECTOR","DETAIL / OTHER"))</f>
        <v/>
      </c>
    </row>
    <row r="491" spans="4:7">
      <c r="D491" s="8"/>
      <c r="E491" t="str">
        <f t="shared" si="14"/>
        <v/>
      </c>
      <c r="F491" t="str">
        <f t="shared" si="15"/>
        <v/>
      </c>
      <c r="G491" t="str">
        <f>IF(E491="","",IF(COUNTIF('DATA QCEW'!$A$2:$A$20,E491)&gt;0,"19-SECTOR","DETAIL / OTHER"))</f>
        <v/>
      </c>
    </row>
    <row r="492" spans="4:7">
      <c r="D492" s="8"/>
      <c r="E492" t="str">
        <f t="shared" si="14"/>
        <v/>
      </c>
      <c r="F492" t="str">
        <f t="shared" si="15"/>
        <v/>
      </c>
      <c r="G492" t="str">
        <f>IF(E492="","",IF(COUNTIF('DATA QCEW'!$A$2:$A$20,E492)&gt;0,"19-SECTOR","DETAIL / OTHER"))</f>
        <v/>
      </c>
    </row>
    <row r="493" spans="4:7">
      <c r="D493" s="8"/>
      <c r="E493" t="str">
        <f t="shared" si="14"/>
        <v/>
      </c>
      <c r="F493" t="str">
        <f t="shared" si="15"/>
        <v/>
      </c>
      <c r="G493" t="str">
        <f>IF(E493="","",IF(COUNTIF('DATA QCEW'!$A$2:$A$20,E493)&gt;0,"19-SECTOR","DETAIL / OTHER"))</f>
        <v/>
      </c>
    </row>
    <row r="494" spans="4:7">
      <c r="D494" s="8"/>
      <c r="E494" t="str">
        <f t="shared" si="14"/>
        <v/>
      </c>
      <c r="F494" t="str">
        <f t="shared" si="15"/>
        <v/>
      </c>
      <c r="G494" t="str">
        <f>IF(E494="","",IF(COUNTIF('DATA QCEW'!$A$2:$A$20,E494)&gt;0,"19-SECTOR","DETAIL / OTHER"))</f>
        <v/>
      </c>
    </row>
    <row r="495" spans="4:7">
      <c r="D495" s="8"/>
      <c r="E495" t="str">
        <f t="shared" si="14"/>
        <v/>
      </c>
      <c r="F495" t="str">
        <f t="shared" si="15"/>
        <v/>
      </c>
      <c r="G495" t="str">
        <f>IF(E495="","",IF(COUNTIF('DATA QCEW'!$A$2:$A$20,E495)&gt;0,"19-SECTOR","DETAIL / OTHER"))</f>
        <v/>
      </c>
    </row>
    <row r="496" spans="4:7">
      <c r="D496" s="8"/>
      <c r="E496" t="str">
        <f t="shared" si="14"/>
        <v/>
      </c>
      <c r="F496" t="str">
        <f t="shared" si="15"/>
        <v/>
      </c>
      <c r="G496" t="str">
        <f>IF(E496="","",IF(COUNTIF('DATA QCEW'!$A$2:$A$20,E496)&gt;0,"19-SECTOR","DETAIL / OTHER"))</f>
        <v/>
      </c>
    </row>
    <row r="497" spans="4:7">
      <c r="D497" s="8"/>
      <c r="E497" t="str">
        <f t="shared" si="14"/>
        <v/>
      </c>
      <c r="F497" t="str">
        <f t="shared" si="15"/>
        <v/>
      </c>
      <c r="G497" t="str">
        <f>IF(E497="","",IF(COUNTIF('DATA QCEW'!$A$2:$A$20,E497)&gt;0,"19-SECTOR","DETAIL / OTHER"))</f>
        <v/>
      </c>
    </row>
    <row r="498" spans="4:7">
      <c r="D498" s="8"/>
      <c r="E498" t="str">
        <f t="shared" si="14"/>
        <v/>
      </c>
      <c r="F498" t="str">
        <f t="shared" si="15"/>
        <v/>
      </c>
      <c r="G498" t="str">
        <f>IF(E498="","",IF(COUNTIF('DATA QCEW'!$A$2:$A$20,E498)&gt;0,"19-SECTOR","DETAIL / OTHER"))</f>
        <v/>
      </c>
    </row>
    <row r="499" spans="4:7">
      <c r="D499" s="8"/>
      <c r="E499" t="str">
        <f t="shared" si="14"/>
        <v/>
      </c>
      <c r="F499" t="str">
        <f t="shared" si="15"/>
        <v/>
      </c>
      <c r="G499" t="str">
        <f>IF(E499="","",IF(COUNTIF('DATA QCEW'!$A$2:$A$20,E499)&gt;0,"19-SECTOR","DETAIL / OTHER"))</f>
        <v/>
      </c>
    </row>
    <row r="500" spans="4:7">
      <c r="D500" s="8"/>
      <c r="E500" t="str">
        <f t="shared" si="14"/>
        <v/>
      </c>
      <c r="F500" t="str">
        <f t="shared" si="15"/>
        <v/>
      </c>
      <c r="G500" t="str">
        <f>IF(E500="","",IF(COUNTIF('DATA QCEW'!$A$2:$A$20,E500)&gt;0,"19-SECTOR","DETAIL / OTHER"))</f>
        <v/>
      </c>
    </row>
    <row r="501" spans="4:7">
      <c r="D501" s="8"/>
      <c r="E501" t="str">
        <f t="shared" si="14"/>
        <v/>
      </c>
      <c r="F501" t="str">
        <f t="shared" si="15"/>
        <v/>
      </c>
      <c r="G501" t="str">
        <f>IF(E501="","",IF(COUNTIF('DATA QCEW'!$A$2:$A$20,E501)&gt;0,"19-SECTOR","DETAIL / OTHER"))</f>
        <v/>
      </c>
    </row>
    <row r="502" spans="4:7">
      <c r="D502" s="8"/>
      <c r="E502" t="str">
        <f t="shared" si="14"/>
        <v/>
      </c>
      <c r="F502" t="str">
        <f t="shared" si="15"/>
        <v/>
      </c>
      <c r="G502" t="str">
        <f>IF(E502="","",IF(COUNTIF('DATA QCEW'!$A$2:$A$20,E502)&gt;0,"19-SECTOR","DETAIL / OTHER"))</f>
        <v/>
      </c>
    </row>
    <row r="503" spans="4:7">
      <c r="D503" s="8"/>
      <c r="E503" t="str">
        <f t="shared" si="14"/>
        <v/>
      </c>
      <c r="F503" t="str">
        <f t="shared" si="15"/>
        <v/>
      </c>
      <c r="G503" t="str">
        <f>IF(E503="","",IF(COUNTIF('DATA QCEW'!$A$2:$A$20,E503)&gt;0,"19-SECTOR","DETAIL / OTHER"))</f>
        <v/>
      </c>
    </row>
    <row r="504" spans="4:7">
      <c r="D504" s="8"/>
      <c r="E504" t="str">
        <f t="shared" si="14"/>
        <v/>
      </c>
      <c r="F504" t="str">
        <f t="shared" si="15"/>
        <v/>
      </c>
      <c r="G504" t="str">
        <f>IF(E504="","",IF(COUNTIF('DATA QCEW'!$A$2:$A$20,E504)&gt;0,"19-SECTOR","DETAIL / OTHER"))</f>
        <v/>
      </c>
    </row>
    <row r="505" spans="4:7">
      <c r="D505" s="8"/>
      <c r="E505" t="str">
        <f t="shared" si="14"/>
        <v/>
      </c>
      <c r="F505" t="str">
        <f t="shared" si="15"/>
        <v/>
      </c>
      <c r="G505" t="str">
        <f>IF(E505="","",IF(COUNTIF('DATA QCEW'!$A$2:$A$20,E505)&gt;0,"19-SECTOR","DETAIL / OTHER"))</f>
        <v/>
      </c>
    </row>
    <row r="506" spans="4:7">
      <c r="D506" s="8"/>
      <c r="E506" t="str">
        <f t="shared" si="14"/>
        <v/>
      </c>
      <c r="F506" t="str">
        <f t="shared" si="15"/>
        <v/>
      </c>
      <c r="G506" t="str">
        <f>IF(E506="","",IF(COUNTIF('DATA QCEW'!$A$2:$A$20,E506)&gt;0,"19-SECTOR","DETAIL / OTHER"))</f>
        <v/>
      </c>
    </row>
    <row r="507" spans="4:7">
      <c r="D507" s="8"/>
      <c r="E507" t="str">
        <f t="shared" si="14"/>
        <v/>
      </c>
      <c r="F507" t="str">
        <f t="shared" si="15"/>
        <v/>
      </c>
      <c r="G507" t="str">
        <f>IF(E507="","",IF(COUNTIF('DATA QCEW'!$A$2:$A$20,E507)&gt;0,"19-SECTOR","DETAIL / OTHER"))</f>
        <v/>
      </c>
    </row>
    <row r="508" spans="4:7">
      <c r="D508" s="8"/>
      <c r="E508" t="str">
        <f t="shared" si="14"/>
        <v/>
      </c>
      <c r="F508" t="str">
        <f t="shared" si="15"/>
        <v/>
      </c>
      <c r="G508" t="str">
        <f>IF(E508="","",IF(COUNTIF('DATA QCEW'!$A$2:$A$20,E508)&gt;0,"19-SECTOR","DETAIL / OTHER"))</f>
        <v/>
      </c>
    </row>
    <row r="509" spans="4:7">
      <c r="D509" s="8"/>
      <c r="E509" t="str">
        <f t="shared" si="14"/>
        <v/>
      </c>
      <c r="F509" t="str">
        <f t="shared" si="15"/>
        <v/>
      </c>
      <c r="G509" t="str">
        <f>IF(E509="","",IF(COUNTIF('DATA QCEW'!$A$2:$A$20,E509)&gt;0,"19-SECTOR","DETAIL / OTHER"))</f>
        <v/>
      </c>
    </row>
    <row r="510" spans="4:7">
      <c r="D510" s="8"/>
      <c r="E510" t="str">
        <f t="shared" si="14"/>
        <v/>
      </c>
      <c r="F510" t="str">
        <f t="shared" si="15"/>
        <v/>
      </c>
      <c r="G510" t="str">
        <f>IF(E510="","",IF(COUNTIF('DATA QCEW'!$A$2:$A$20,E510)&gt;0,"19-SECTOR","DETAIL / OTHER"))</f>
        <v/>
      </c>
    </row>
    <row r="511" spans="4:7">
      <c r="D511" s="8"/>
      <c r="E511" t="str">
        <f t="shared" si="14"/>
        <v/>
      </c>
      <c r="F511" t="str">
        <f t="shared" si="15"/>
        <v/>
      </c>
      <c r="G511" t="str">
        <f>IF(E511="","",IF(COUNTIF('DATA QCEW'!$A$2:$A$20,E511)&gt;0,"19-SECTOR","DETAIL / OTHER"))</f>
        <v/>
      </c>
    </row>
    <row r="512" spans="4:7">
      <c r="D512" s="8"/>
      <c r="E512" t="str">
        <f t="shared" si="14"/>
        <v/>
      </c>
      <c r="F512" t="str">
        <f t="shared" si="15"/>
        <v/>
      </c>
      <c r="G512" t="str">
        <f>IF(E512="","",IF(COUNTIF('DATA QCEW'!$A$2:$A$20,E512)&gt;0,"19-SECTOR","DETAIL / OTHER"))</f>
        <v/>
      </c>
    </row>
    <row r="513" spans="4:7">
      <c r="D513" s="8"/>
      <c r="E513" t="str">
        <f t="shared" si="14"/>
        <v/>
      </c>
      <c r="F513" t="str">
        <f t="shared" si="15"/>
        <v/>
      </c>
      <c r="G513" t="str">
        <f>IF(E513="","",IF(COUNTIF('DATA QCEW'!$A$2:$A$20,E513)&gt;0,"19-SECTOR","DETAIL / OTHER"))</f>
        <v/>
      </c>
    </row>
    <row r="514" spans="4:7">
      <c r="D514" s="8"/>
      <c r="E514" t="str">
        <f t="shared" ref="E514:E577" si="16">IF(LEFT(TRIM(A514),6)="NAICS ",IFERROR(MID(TRIM(A514),7,FIND(" ",TRIM(A514)&amp;" ",7)-7),""),"")</f>
        <v/>
      </c>
      <c r="F514" t="str">
        <f t="shared" ref="F514:F577" si="17">IF(E514="","",TRIM(MID(TRIM(A514),FIND(" ",TRIM(A514)&amp;" ",7)+1,255)))</f>
        <v/>
      </c>
      <c r="G514" t="str">
        <f>IF(E514="","",IF(COUNTIF('DATA QCEW'!$A$2:$A$20,E514)&gt;0,"19-SECTOR","DETAIL / OTHER"))</f>
        <v/>
      </c>
    </row>
    <row r="515" spans="4:7">
      <c r="D515" s="8"/>
      <c r="E515" t="str">
        <f t="shared" si="16"/>
        <v/>
      </c>
      <c r="F515" t="str">
        <f t="shared" si="17"/>
        <v/>
      </c>
      <c r="G515" t="str">
        <f>IF(E515="","",IF(COUNTIF('DATA QCEW'!$A$2:$A$20,E515)&gt;0,"19-SECTOR","DETAIL / OTHER"))</f>
        <v/>
      </c>
    </row>
    <row r="516" spans="4:7">
      <c r="D516" s="8"/>
      <c r="E516" t="str">
        <f t="shared" si="16"/>
        <v/>
      </c>
      <c r="F516" t="str">
        <f t="shared" si="17"/>
        <v/>
      </c>
      <c r="G516" t="str">
        <f>IF(E516="","",IF(COUNTIF('DATA QCEW'!$A$2:$A$20,E516)&gt;0,"19-SECTOR","DETAIL / OTHER"))</f>
        <v/>
      </c>
    </row>
    <row r="517" spans="4:7">
      <c r="D517" s="8"/>
      <c r="E517" t="str">
        <f t="shared" si="16"/>
        <v/>
      </c>
      <c r="F517" t="str">
        <f t="shared" si="17"/>
        <v/>
      </c>
      <c r="G517" t="str">
        <f>IF(E517="","",IF(COUNTIF('DATA QCEW'!$A$2:$A$20,E517)&gt;0,"19-SECTOR","DETAIL / OTHER"))</f>
        <v/>
      </c>
    </row>
    <row r="518" spans="4:7">
      <c r="D518" s="8"/>
      <c r="E518" t="str">
        <f t="shared" si="16"/>
        <v/>
      </c>
      <c r="F518" t="str">
        <f t="shared" si="17"/>
        <v/>
      </c>
      <c r="G518" t="str">
        <f>IF(E518="","",IF(COUNTIF('DATA QCEW'!$A$2:$A$20,E518)&gt;0,"19-SECTOR","DETAIL / OTHER"))</f>
        <v/>
      </c>
    </row>
    <row r="519" spans="4:7">
      <c r="D519" s="8"/>
      <c r="E519" t="str">
        <f t="shared" si="16"/>
        <v/>
      </c>
      <c r="F519" t="str">
        <f t="shared" si="17"/>
        <v/>
      </c>
      <c r="G519" t="str">
        <f>IF(E519="","",IF(COUNTIF('DATA QCEW'!$A$2:$A$20,E519)&gt;0,"19-SECTOR","DETAIL / OTHER"))</f>
        <v/>
      </c>
    </row>
    <row r="520" spans="4:7">
      <c r="D520" s="8"/>
      <c r="E520" t="str">
        <f t="shared" si="16"/>
        <v/>
      </c>
      <c r="F520" t="str">
        <f t="shared" si="17"/>
        <v/>
      </c>
      <c r="G520" t="str">
        <f>IF(E520="","",IF(COUNTIF('DATA QCEW'!$A$2:$A$20,E520)&gt;0,"19-SECTOR","DETAIL / OTHER"))</f>
        <v/>
      </c>
    </row>
    <row r="521" spans="4:7">
      <c r="D521" s="8"/>
      <c r="E521" t="str">
        <f t="shared" si="16"/>
        <v/>
      </c>
      <c r="F521" t="str">
        <f t="shared" si="17"/>
        <v/>
      </c>
      <c r="G521" t="str">
        <f>IF(E521="","",IF(COUNTIF('DATA QCEW'!$A$2:$A$20,E521)&gt;0,"19-SECTOR","DETAIL / OTHER"))</f>
        <v/>
      </c>
    </row>
    <row r="522" spans="4:7">
      <c r="D522" s="8"/>
      <c r="E522" t="str">
        <f t="shared" si="16"/>
        <v/>
      </c>
      <c r="F522" t="str">
        <f t="shared" si="17"/>
        <v/>
      </c>
      <c r="G522" t="str">
        <f>IF(E522="","",IF(COUNTIF('DATA QCEW'!$A$2:$A$20,E522)&gt;0,"19-SECTOR","DETAIL / OTHER"))</f>
        <v/>
      </c>
    </row>
    <row r="523" spans="4:7">
      <c r="D523" s="8"/>
      <c r="E523" t="str">
        <f t="shared" si="16"/>
        <v/>
      </c>
      <c r="F523" t="str">
        <f t="shared" si="17"/>
        <v/>
      </c>
      <c r="G523" t="str">
        <f>IF(E523="","",IF(COUNTIF('DATA QCEW'!$A$2:$A$20,E523)&gt;0,"19-SECTOR","DETAIL / OTHER"))</f>
        <v/>
      </c>
    </row>
    <row r="524" spans="4:7">
      <c r="D524" s="8"/>
      <c r="E524" t="str">
        <f t="shared" si="16"/>
        <v/>
      </c>
      <c r="F524" t="str">
        <f t="shared" si="17"/>
        <v/>
      </c>
      <c r="G524" t="str">
        <f>IF(E524="","",IF(COUNTIF('DATA QCEW'!$A$2:$A$20,E524)&gt;0,"19-SECTOR","DETAIL / OTHER"))</f>
        <v/>
      </c>
    </row>
    <row r="525" spans="4:7">
      <c r="D525" s="8"/>
      <c r="E525" t="str">
        <f t="shared" si="16"/>
        <v/>
      </c>
      <c r="F525" t="str">
        <f t="shared" si="17"/>
        <v/>
      </c>
      <c r="G525" t="str">
        <f>IF(E525="","",IF(COUNTIF('DATA QCEW'!$A$2:$A$20,E525)&gt;0,"19-SECTOR","DETAIL / OTHER"))</f>
        <v/>
      </c>
    </row>
    <row r="526" spans="4:7">
      <c r="D526" s="8"/>
      <c r="E526" t="str">
        <f t="shared" si="16"/>
        <v/>
      </c>
      <c r="F526" t="str">
        <f t="shared" si="17"/>
        <v/>
      </c>
      <c r="G526" t="str">
        <f>IF(E526="","",IF(COUNTIF('DATA QCEW'!$A$2:$A$20,E526)&gt;0,"19-SECTOR","DETAIL / OTHER"))</f>
        <v/>
      </c>
    </row>
    <row r="527" spans="4:7">
      <c r="D527" s="8"/>
      <c r="E527" t="str">
        <f t="shared" si="16"/>
        <v/>
      </c>
      <c r="F527" t="str">
        <f t="shared" si="17"/>
        <v/>
      </c>
      <c r="G527" t="str">
        <f>IF(E527="","",IF(COUNTIF('DATA QCEW'!$A$2:$A$20,E527)&gt;0,"19-SECTOR","DETAIL / OTHER"))</f>
        <v/>
      </c>
    </row>
    <row r="528" spans="4:7">
      <c r="D528" s="8"/>
      <c r="E528" t="str">
        <f t="shared" si="16"/>
        <v/>
      </c>
      <c r="F528" t="str">
        <f t="shared" si="17"/>
        <v/>
      </c>
      <c r="G528" t="str">
        <f>IF(E528="","",IF(COUNTIF('DATA QCEW'!$A$2:$A$20,E528)&gt;0,"19-SECTOR","DETAIL / OTHER"))</f>
        <v/>
      </c>
    </row>
    <row r="529" spans="4:7">
      <c r="D529" s="8"/>
      <c r="E529" t="str">
        <f t="shared" si="16"/>
        <v/>
      </c>
      <c r="F529" t="str">
        <f t="shared" si="17"/>
        <v/>
      </c>
      <c r="G529" t="str">
        <f>IF(E529="","",IF(COUNTIF('DATA QCEW'!$A$2:$A$20,E529)&gt;0,"19-SECTOR","DETAIL / OTHER"))</f>
        <v/>
      </c>
    </row>
    <row r="530" spans="4:7">
      <c r="D530" s="8"/>
      <c r="E530" t="str">
        <f t="shared" si="16"/>
        <v/>
      </c>
      <c r="F530" t="str">
        <f t="shared" si="17"/>
        <v/>
      </c>
      <c r="G530" t="str">
        <f>IF(E530="","",IF(COUNTIF('DATA QCEW'!$A$2:$A$20,E530)&gt;0,"19-SECTOR","DETAIL / OTHER"))</f>
        <v/>
      </c>
    </row>
    <row r="531" spans="4:7">
      <c r="D531" s="8"/>
      <c r="E531" t="str">
        <f t="shared" si="16"/>
        <v/>
      </c>
      <c r="F531" t="str">
        <f t="shared" si="17"/>
        <v/>
      </c>
      <c r="G531" t="str">
        <f>IF(E531="","",IF(COUNTIF('DATA QCEW'!$A$2:$A$20,E531)&gt;0,"19-SECTOR","DETAIL / OTHER"))</f>
        <v/>
      </c>
    </row>
    <row r="532" spans="4:7">
      <c r="D532" s="8"/>
      <c r="E532" t="str">
        <f t="shared" si="16"/>
        <v/>
      </c>
      <c r="F532" t="str">
        <f t="shared" si="17"/>
        <v/>
      </c>
      <c r="G532" t="str">
        <f>IF(E532="","",IF(COUNTIF('DATA QCEW'!$A$2:$A$20,E532)&gt;0,"19-SECTOR","DETAIL / OTHER"))</f>
        <v/>
      </c>
    </row>
    <row r="533" spans="4:7">
      <c r="D533" s="8"/>
      <c r="E533" t="str">
        <f t="shared" si="16"/>
        <v/>
      </c>
      <c r="F533" t="str">
        <f t="shared" si="17"/>
        <v/>
      </c>
      <c r="G533" t="str">
        <f>IF(E533="","",IF(COUNTIF('DATA QCEW'!$A$2:$A$20,E533)&gt;0,"19-SECTOR","DETAIL / OTHER"))</f>
        <v/>
      </c>
    </row>
    <row r="534" spans="4:7">
      <c r="D534" s="8"/>
      <c r="E534" t="str">
        <f t="shared" si="16"/>
        <v/>
      </c>
      <c r="F534" t="str">
        <f t="shared" si="17"/>
        <v/>
      </c>
      <c r="G534" t="str">
        <f>IF(E534="","",IF(COUNTIF('DATA QCEW'!$A$2:$A$20,E534)&gt;0,"19-SECTOR","DETAIL / OTHER"))</f>
        <v/>
      </c>
    </row>
    <row r="535" spans="4:7">
      <c r="D535" s="8"/>
      <c r="E535" t="str">
        <f t="shared" si="16"/>
        <v/>
      </c>
      <c r="F535" t="str">
        <f t="shared" si="17"/>
        <v/>
      </c>
      <c r="G535" t="str">
        <f>IF(E535="","",IF(COUNTIF('DATA QCEW'!$A$2:$A$20,E535)&gt;0,"19-SECTOR","DETAIL / OTHER"))</f>
        <v/>
      </c>
    </row>
    <row r="536" spans="4:7">
      <c r="D536" s="8"/>
      <c r="E536" t="str">
        <f t="shared" si="16"/>
        <v/>
      </c>
      <c r="F536" t="str">
        <f t="shared" si="17"/>
        <v/>
      </c>
      <c r="G536" t="str">
        <f>IF(E536="","",IF(COUNTIF('DATA QCEW'!$A$2:$A$20,E536)&gt;0,"19-SECTOR","DETAIL / OTHER"))</f>
        <v/>
      </c>
    </row>
    <row r="537" spans="4:7">
      <c r="D537" s="8"/>
      <c r="E537" t="str">
        <f t="shared" si="16"/>
        <v/>
      </c>
      <c r="F537" t="str">
        <f t="shared" si="17"/>
        <v/>
      </c>
      <c r="G537" t="str">
        <f>IF(E537="","",IF(COUNTIF('DATA QCEW'!$A$2:$A$20,E537)&gt;0,"19-SECTOR","DETAIL / OTHER"))</f>
        <v/>
      </c>
    </row>
    <row r="538" spans="4:7">
      <c r="D538" s="8"/>
      <c r="E538" t="str">
        <f t="shared" si="16"/>
        <v/>
      </c>
      <c r="F538" t="str">
        <f t="shared" si="17"/>
        <v/>
      </c>
      <c r="G538" t="str">
        <f>IF(E538="","",IF(COUNTIF('DATA QCEW'!$A$2:$A$20,E538)&gt;0,"19-SECTOR","DETAIL / OTHER"))</f>
        <v/>
      </c>
    </row>
    <row r="539" spans="4:7">
      <c r="D539" s="8"/>
      <c r="E539" t="str">
        <f t="shared" si="16"/>
        <v/>
      </c>
      <c r="F539" t="str">
        <f t="shared" si="17"/>
        <v/>
      </c>
      <c r="G539" t="str">
        <f>IF(E539="","",IF(COUNTIF('DATA QCEW'!$A$2:$A$20,E539)&gt;0,"19-SECTOR","DETAIL / OTHER"))</f>
        <v/>
      </c>
    </row>
    <row r="540" spans="4:7">
      <c r="D540" s="8"/>
      <c r="E540" t="str">
        <f t="shared" si="16"/>
        <v/>
      </c>
      <c r="F540" t="str">
        <f t="shared" si="17"/>
        <v/>
      </c>
      <c r="G540" t="str">
        <f>IF(E540="","",IF(COUNTIF('DATA QCEW'!$A$2:$A$20,E540)&gt;0,"19-SECTOR","DETAIL / OTHER"))</f>
        <v/>
      </c>
    </row>
    <row r="541" spans="4:7">
      <c r="D541" s="8"/>
      <c r="E541" t="str">
        <f t="shared" si="16"/>
        <v/>
      </c>
      <c r="F541" t="str">
        <f t="shared" si="17"/>
        <v/>
      </c>
      <c r="G541" t="str">
        <f>IF(E541="","",IF(COUNTIF('DATA QCEW'!$A$2:$A$20,E541)&gt;0,"19-SECTOR","DETAIL / OTHER"))</f>
        <v/>
      </c>
    </row>
    <row r="542" spans="4:7">
      <c r="D542" s="8"/>
      <c r="E542" t="str">
        <f t="shared" si="16"/>
        <v/>
      </c>
      <c r="F542" t="str">
        <f t="shared" si="17"/>
        <v/>
      </c>
      <c r="G542" t="str">
        <f>IF(E542="","",IF(COUNTIF('DATA QCEW'!$A$2:$A$20,E542)&gt;0,"19-SECTOR","DETAIL / OTHER"))</f>
        <v/>
      </c>
    </row>
    <row r="543" spans="4:7">
      <c r="D543" s="8"/>
      <c r="E543" t="str">
        <f t="shared" si="16"/>
        <v/>
      </c>
      <c r="F543" t="str">
        <f t="shared" si="17"/>
        <v/>
      </c>
      <c r="G543" t="str">
        <f>IF(E543="","",IF(COUNTIF('DATA QCEW'!$A$2:$A$20,E543)&gt;0,"19-SECTOR","DETAIL / OTHER"))</f>
        <v/>
      </c>
    </row>
    <row r="544" spans="4:7">
      <c r="D544" s="8"/>
      <c r="E544" t="str">
        <f t="shared" si="16"/>
        <v/>
      </c>
      <c r="F544" t="str">
        <f t="shared" si="17"/>
        <v/>
      </c>
      <c r="G544" t="str">
        <f>IF(E544="","",IF(COUNTIF('DATA QCEW'!$A$2:$A$20,E544)&gt;0,"19-SECTOR","DETAIL / OTHER"))</f>
        <v/>
      </c>
    </row>
    <row r="545" spans="4:7">
      <c r="D545" s="8"/>
      <c r="E545" t="str">
        <f t="shared" si="16"/>
        <v/>
      </c>
      <c r="F545" t="str">
        <f t="shared" si="17"/>
        <v/>
      </c>
      <c r="G545" t="str">
        <f>IF(E545="","",IF(COUNTIF('DATA QCEW'!$A$2:$A$20,E545)&gt;0,"19-SECTOR","DETAIL / OTHER"))</f>
        <v/>
      </c>
    </row>
    <row r="546" spans="4:7">
      <c r="D546" s="8"/>
      <c r="E546" t="str">
        <f t="shared" si="16"/>
        <v/>
      </c>
      <c r="F546" t="str">
        <f t="shared" si="17"/>
        <v/>
      </c>
      <c r="G546" t="str">
        <f>IF(E546="","",IF(COUNTIF('DATA QCEW'!$A$2:$A$20,E546)&gt;0,"19-SECTOR","DETAIL / OTHER"))</f>
        <v/>
      </c>
    </row>
    <row r="547" spans="4:7">
      <c r="D547" s="8"/>
      <c r="E547" t="str">
        <f t="shared" si="16"/>
        <v/>
      </c>
      <c r="F547" t="str">
        <f t="shared" si="17"/>
        <v/>
      </c>
      <c r="G547" t="str">
        <f>IF(E547="","",IF(COUNTIF('DATA QCEW'!$A$2:$A$20,E547)&gt;0,"19-SECTOR","DETAIL / OTHER"))</f>
        <v/>
      </c>
    </row>
    <row r="548" spans="4:7">
      <c r="D548" s="8"/>
      <c r="E548" t="str">
        <f t="shared" si="16"/>
        <v/>
      </c>
      <c r="F548" t="str">
        <f t="shared" si="17"/>
        <v/>
      </c>
      <c r="G548" t="str">
        <f>IF(E548="","",IF(COUNTIF('DATA QCEW'!$A$2:$A$20,E548)&gt;0,"19-SECTOR","DETAIL / OTHER"))</f>
        <v/>
      </c>
    </row>
    <row r="549" spans="4:7">
      <c r="D549" s="8"/>
      <c r="E549" t="str">
        <f t="shared" si="16"/>
        <v/>
      </c>
      <c r="F549" t="str">
        <f t="shared" si="17"/>
        <v/>
      </c>
      <c r="G549" t="str">
        <f>IF(E549="","",IF(COUNTIF('DATA QCEW'!$A$2:$A$20,E549)&gt;0,"19-SECTOR","DETAIL / OTHER"))</f>
        <v/>
      </c>
    </row>
    <row r="550" spans="4:7">
      <c r="D550" s="8"/>
      <c r="E550" t="str">
        <f t="shared" si="16"/>
        <v/>
      </c>
      <c r="F550" t="str">
        <f t="shared" si="17"/>
        <v/>
      </c>
      <c r="G550" t="str">
        <f>IF(E550="","",IF(COUNTIF('DATA QCEW'!$A$2:$A$20,E550)&gt;0,"19-SECTOR","DETAIL / OTHER"))</f>
        <v/>
      </c>
    </row>
    <row r="551" spans="4:7">
      <c r="D551" s="8"/>
      <c r="E551" t="str">
        <f t="shared" si="16"/>
        <v/>
      </c>
      <c r="F551" t="str">
        <f t="shared" si="17"/>
        <v/>
      </c>
      <c r="G551" t="str">
        <f>IF(E551="","",IF(COUNTIF('DATA QCEW'!$A$2:$A$20,E551)&gt;0,"19-SECTOR","DETAIL / OTHER"))</f>
        <v/>
      </c>
    </row>
    <row r="552" spans="4:7">
      <c r="D552" s="8"/>
      <c r="E552" t="str">
        <f t="shared" si="16"/>
        <v/>
      </c>
      <c r="F552" t="str">
        <f t="shared" si="17"/>
        <v/>
      </c>
      <c r="G552" t="str">
        <f>IF(E552="","",IF(COUNTIF('DATA QCEW'!$A$2:$A$20,E552)&gt;0,"19-SECTOR","DETAIL / OTHER"))</f>
        <v/>
      </c>
    </row>
    <row r="553" spans="4:7">
      <c r="D553" s="8"/>
      <c r="E553" t="str">
        <f t="shared" si="16"/>
        <v/>
      </c>
      <c r="F553" t="str">
        <f t="shared" si="17"/>
        <v/>
      </c>
      <c r="G553" t="str">
        <f>IF(E553="","",IF(COUNTIF('DATA QCEW'!$A$2:$A$20,E553)&gt;0,"19-SECTOR","DETAIL / OTHER"))</f>
        <v/>
      </c>
    </row>
    <row r="554" spans="4:7">
      <c r="D554" s="8"/>
      <c r="E554" t="str">
        <f t="shared" si="16"/>
        <v/>
      </c>
      <c r="F554" t="str">
        <f t="shared" si="17"/>
        <v/>
      </c>
      <c r="G554" t="str">
        <f>IF(E554="","",IF(COUNTIF('DATA QCEW'!$A$2:$A$20,E554)&gt;0,"19-SECTOR","DETAIL / OTHER"))</f>
        <v/>
      </c>
    </row>
    <row r="555" spans="4:7">
      <c r="D555" s="8"/>
      <c r="E555" t="str">
        <f t="shared" si="16"/>
        <v/>
      </c>
      <c r="F555" t="str">
        <f t="shared" si="17"/>
        <v/>
      </c>
      <c r="G555" t="str">
        <f>IF(E555="","",IF(COUNTIF('DATA QCEW'!$A$2:$A$20,E555)&gt;0,"19-SECTOR","DETAIL / OTHER"))</f>
        <v/>
      </c>
    </row>
    <row r="556" spans="4:7">
      <c r="D556" s="8"/>
      <c r="E556" t="str">
        <f t="shared" si="16"/>
        <v/>
      </c>
      <c r="F556" t="str">
        <f t="shared" si="17"/>
        <v/>
      </c>
      <c r="G556" t="str">
        <f>IF(E556="","",IF(COUNTIF('DATA QCEW'!$A$2:$A$20,E556)&gt;0,"19-SECTOR","DETAIL / OTHER"))</f>
        <v/>
      </c>
    </row>
    <row r="557" spans="4:7">
      <c r="D557" s="8"/>
      <c r="E557" t="str">
        <f t="shared" si="16"/>
        <v/>
      </c>
      <c r="F557" t="str">
        <f t="shared" si="17"/>
        <v/>
      </c>
      <c r="G557" t="str">
        <f>IF(E557="","",IF(COUNTIF('DATA QCEW'!$A$2:$A$20,E557)&gt;0,"19-SECTOR","DETAIL / OTHER"))</f>
        <v/>
      </c>
    </row>
    <row r="558" spans="4:7">
      <c r="D558" s="8"/>
      <c r="E558" t="str">
        <f t="shared" si="16"/>
        <v/>
      </c>
      <c r="F558" t="str">
        <f t="shared" si="17"/>
        <v/>
      </c>
      <c r="G558" t="str">
        <f>IF(E558="","",IF(COUNTIF('DATA QCEW'!$A$2:$A$20,E558)&gt;0,"19-SECTOR","DETAIL / OTHER"))</f>
        <v/>
      </c>
    </row>
    <row r="559" spans="4:7">
      <c r="D559" s="8"/>
      <c r="E559" t="str">
        <f t="shared" si="16"/>
        <v/>
      </c>
      <c r="F559" t="str">
        <f t="shared" si="17"/>
        <v/>
      </c>
      <c r="G559" t="str">
        <f>IF(E559="","",IF(COUNTIF('DATA QCEW'!$A$2:$A$20,E559)&gt;0,"19-SECTOR","DETAIL / OTHER"))</f>
        <v/>
      </c>
    </row>
    <row r="560" spans="4:7">
      <c r="D560" s="8"/>
      <c r="E560" t="str">
        <f t="shared" si="16"/>
        <v/>
      </c>
      <c r="F560" t="str">
        <f t="shared" si="17"/>
        <v/>
      </c>
      <c r="G560" t="str">
        <f>IF(E560="","",IF(COUNTIF('DATA QCEW'!$A$2:$A$20,E560)&gt;0,"19-SECTOR","DETAIL / OTHER"))</f>
        <v/>
      </c>
    </row>
    <row r="561" spans="4:7">
      <c r="D561" s="8"/>
      <c r="E561" t="str">
        <f t="shared" si="16"/>
        <v/>
      </c>
      <c r="F561" t="str">
        <f t="shared" si="17"/>
        <v/>
      </c>
      <c r="G561" t="str">
        <f>IF(E561="","",IF(COUNTIF('DATA QCEW'!$A$2:$A$20,E561)&gt;0,"19-SECTOR","DETAIL / OTHER"))</f>
        <v/>
      </c>
    </row>
    <row r="562" spans="4:7">
      <c r="D562" s="8"/>
      <c r="E562" t="str">
        <f t="shared" si="16"/>
        <v/>
      </c>
      <c r="F562" t="str">
        <f t="shared" si="17"/>
        <v/>
      </c>
      <c r="G562" t="str">
        <f>IF(E562="","",IF(COUNTIF('DATA QCEW'!$A$2:$A$20,E562)&gt;0,"19-SECTOR","DETAIL / OTHER"))</f>
        <v/>
      </c>
    </row>
    <row r="563" spans="4:7">
      <c r="D563" s="8"/>
      <c r="E563" t="str">
        <f t="shared" si="16"/>
        <v/>
      </c>
      <c r="F563" t="str">
        <f t="shared" si="17"/>
        <v/>
      </c>
      <c r="G563" t="str">
        <f>IF(E563="","",IF(COUNTIF('DATA QCEW'!$A$2:$A$20,E563)&gt;0,"19-SECTOR","DETAIL / OTHER"))</f>
        <v/>
      </c>
    </row>
    <row r="564" spans="4:7">
      <c r="D564" s="8"/>
      <c r="E564" t="str">
        <f t="shared" si="16"/>
        <v/>
      </c>
      <c r="F564" t="str">
        <f t="shared" si="17"/>
        <v/>
      </c>
      <c r="G564" t="str">
        <f>IF(E564="","",IF(COUNTIF('DATA QCEW'!$A$2:$A$20,E564)&gt;0,"19-SECTOR","DETAIL / OTHER"))</f>
        <v/>
      </c>
    </row>
    <row r="565" spans="4:7">
      <c r="D565" s="8"/>
      <c r="E565" t="str">
        <f t="shared" si="16"/>
        <v/>
      </c>
      <c r="F565" t="str">
        <f t="shared" si="17"/>
        <v/>
      </c>
      <c r="G565" t="str">
        <f>IF(E565="","",IF(COUNTIF('DATA QCEW'!$A$2:$A$20,E565)&gt;0,"19-SECTOR","DETAIL / OTHER"))</f>
        <v/>
      </c>
    </row>
    <row r="566" spans="4:7">
      <c r="D566" s="8"/>
      <c r="E566" t="str">
        <f t="shared" si="16"/>
        <v/>
      </c>
      <c r="F566" t="str">
        <f t="shared" si="17"/>
        <v/>
      </c>
      <c r="G566" t="str">
        <f>IF(E566="","",IF(COUNTIF('DATA QCEW'!$A$2:$A$20,E566)&gt;0,"19-SECTOR","DETAIL / OTHER"))</f>
        <v/>
      </c>
    </row>
    <row r="567" spans="4:7">
      <c r="D567" s="8"/>
      <c r="E567" t="str">
        <f t="shared" si="16"/>
        <v/>
      </c>
      <c r="F567" t="str">
        <f t="shared" si="17"/>
        <v/>
      </c>
      <c r="G567" t="str">
        <f>IF(E567="","",IF(COUNTIF('DATA QCEW'!$A$2:$A$20,E567)&gt;0,"19-SECTOR","DETAIL / OTHER"))</f>
        <v/>
      </c>
    </row>
    <row r="568" spans="4:7">
      <c r="D568" s="8"/>
      <c r="E568" t="str">
        <f t="shared" si="16"/>
        <v/>
      </c>
      <c r="F568" t="str">
        <f t="shared" si="17"/>
        <v/>
      </c>
      <c r="G568" t="str">
        <f>IF(E568="","",IF(COUNTIF('DATA QCEW'!$A$2:$A$20,E568)&gt;0,"19-SECTOR","DETAIL / OTHER"))</f>
        <v/>
      </c>
    </row>
    <row r="569" spans="4:7">
      <c r="D569" s="8"/>
      <c r="E569" t="str">
        <f t="shared" si="16"/>
        <v/>
      </c>
      <c r="F569" t="str">
        <f t="shared" si="17"/>
        <v/>
      </c>
      <c r="G569" t="str">
        <f>IF(E569="","",IF(COUNTIF('DATA QCEW'!$A$2:$A$20,E569)&gt;0,"19-SECTOR","DETAIL / OTHER"))</f>
        <v/>
      </c>
    </row>
    <row r="570" spans="4:7">
      <c r="D570" s="8"/>
      <c r="E570" t="str">
        <f t="shared" si="16"/>
        <v/>
      </c>
      <c r="F570" t="str">
        <f t="shared" si="17"/>
        <v/>
      </c>
      <c r="G570" t="str">
        <f>IF(E570="","",IF(COUNTIF('DATA QCEW'!$A$2:$A$20,E570)&gt;0,"19-SECTOR","DETAIL / OTHER"))</f>
        <v/>
      </c>
    </row>
    <row r="571" spans="4:7">
      <c r="D571" s="8"/>
      <c r="E571" t="str">
        <f t="shared" si="16"/>
        <v/>
      </c>
      <c r="F571" t="str">
        <f t="shared" si="17"/>
        <v/>
      </c>
      <c r="G571" t="str">
        <f>IF(E571="","",IF(COUNTIF('DATA QCEW'!$A$2:$A$20,E571)&gt;0,"19-SECTOR","DETAIL / OTHER"))</f>
        <v/>
      </c>
    </row>
    <row r="572" spans="4:7">
      <c r="D572" s="8"/>
      <c r="E572" t="str">
        <f t="shared" si="16"/>
        <v/>
      </c>
      <c r="F572" t="str">
        <f t="shared" si="17"/>
        <v/>
      </c>
      <c r="G572" t="str">
        <f>IF(E572="","",IF(COUNTIF('DATA QCEW'!$A$2:$A$20,E572)&gt;0,"19-SECTOR","DETAIL / OTHER"))</f>
        <v/>
      </c>
    </row>
    <row r="573" spans="4:7">
      <c r="D573" s="8"/>
      <c r="E573" t="str">
        <f t="shared" si="16"/>
        <v/>
      </c>
      <c r="F573" t="str">
        <f t="shared" si="17"/>
        <v/>
      </c>
      <c r="G573" t="str">
        <f>IF(E573="","",IF(COUNTIF('DATA QCEW'!$A$2:$A$20,E573)&gt;0,"19-SECTOR","DETAIL / OTHER"))</f>
        <v/>
      </c>
    </row>
    <row r="574" spans="4:7">
      <c r="D574" s="8"/>
      <c r="E574" t="str">
        <f t="shared" si="16"/>
        <v/>
      </c>
      <c r="F574" t="str">
        <f t="shared" si="17"/>
        <v/>
      </c>
      <c r="G574" t="str">
        <f>IF(E574="","",IF(COUNTIF('DATA QCEW'!$A$2:$A$20,E574)&gt;0,"19-SECTOR","DETAIL / OTHER"))</f>
        <v/>
      </c>
    </row>
    <row r="575" spans="4:7">
      <c r="D575" s="8"/>
      <c r="E575" t="str">
        <f t="shared" si="16"/>
        <v/>
      </c>
      <c r="F575" t="str">
        <f t="shared" si="17"/>
        <v/>
      </c>
      <c r="G575" t="str">
        <f>IF(E575="","",IF(COUNTIF('DATA QCEW'!$A$2:$A$20,E575)&gt;0,"19-SECTOR","DETAIL / OTHER"))</f>
        <v/>
      </c>
    </row>
    <row r="576" spans="4:7">
      <c r="D576" s="8"/>
      <c r="E576" t="str">
        <f t="shared" si="16"/>
        <v/>
      </c>
      <c r="F576" t="str">
        <f t="shared" si="17"/>
        <v/>
      </c>
      <c r="G576" t="str">
        <f>IF(E576="","",IF(COUNTIF('DATA QCEW'!$A$2:$A$20,E576)&gt;0,"19-SECTOR","DETAIL / OTHER"))</f>
        <v/>
      </c>
    </row>
    <row r="577" spans="4:7">
      <c r="D577" s="8"/>
      <c r="E577" t="str">
        <f t="shared" si="16"/>
        <v/>
      </c>
      <c r="F577" t="str">
        <f t="shared" si="17"/>
        <v/>
      </c>
      <c r="G577" t="str">
        <f>IF(E577="","",IF(COUNTIF('DATA QCEW'!$A$2:$A$20,E577)&gt;0,"19-SECTOR","DETAIL / OTHER"))</f>
        <v/>
      </c>
    </row>
    <row r="578" spans="4:7">
      <c r="D578" s="8"/>
      <c r="E578" t="str">
        <f t="shared" ref="E578:E641" si="18">IF(LEFT(TRIM(A578),6)="NAICS ",IFERROR(MID(TRIM(A578),7,FIND(" ",TRIM(A578)&amp;" ",7)-7),""),"")</f>
        <v/>
      </c>
      <c r="F578" t="str">
        <f t="shared" ref="F578:F641" si="19">IF(E578="","",TRIM(MID(TRIM(A578),FIND(" ",TRIM(A578)&amp;" ",7)+1,255)))</f>
        <v/>
      </c>
      <c r="G578" t="str">
        <f>IF(E578="","",IF(COUNTIF('DATA QCEW'!$A$2:$A$20,E578)&gt;0,"19-SECTOR","DETAIL / OTHER"))</f>
        <v/>
      </c>
    </row>
    <row r="579" spans="4:7">
      <c r="D579" s="8"/>
      <c r="E579" t="str">
        <f t="shared" si="18"/>
        <v/>
      </c>
      <c r="F579" t="str">
        <f t="shared" si="19"/>
        <v/>
      </c>
      <c r="G579" t="str">
        <f>IF(E579="","",IF(COUNTIF('DATA QCEW'!$A$2:$A$20,E579)&gt;0,"19-SECTOR","DETAIL / OTHER"))</f>
        <v/>
      </c>
    </row>
    <row r="580" spans="4:7">
      <c r="D580" s="8"/>
      <c r="E580" t="str">
        <f t="shared" si="18"/>
        <v/>
      </c>
      <c r="F580" t="str">
        <f t="shared" si="19"/>
        <v/>
      </c>
      <c r="G580" t="str">
        <f>IF(E580="","",IF(COUNTIF('DATA QCEW'!$A$2:$A$20,E580)&gt;0,"19-SECTOR","DETAIL / OTHER"))</f>
        <v/>
      </c>
    </row>
    <row r="581" spans="4:7">
      <c r="D581" s="8"/>
      <c r="E581" t="str">
        <f t="shared" si="18"/>
        <v/>
      </c>
      <c r="F581" t="str">
        <f t="shared" si="19"/>
        <v/>
      </c>
      <c r="G581" t="str">
        <f>IF(E581="","",IF(COUNTIF('DATA QCEW'!$A$2:$A$20,E581)&gt;0,"19-SECTOR","DETAIL / OTHER"))</f>
        <v/>
      </c>
    </row>
    <row r="582" spans="4:7">
      <c r="D582" s="8"/>
      <c r="E582" t="str">
        <f t="shared" si="18"/>
        <v/>
      </c>
      <c r="F582" t="str">
        <f t="shared" si="19"/>
        <v/>
      </c>
      <c r="G582" t="str">
        <f>IF(E582="","",IF(COUNTIF('DATA QCEW'!$A$2:$A$20,E582)&gt;0,"19-SECTOR","DETAIL / OTHER"))</f>
        <v/>
      </c>
    </row>
    <row r="583" spans="4:7">
      <c r="D583" s="8"/>
      <c r="E583" t="str">
        <f t="shared" si="18"/>
        <v/>
      </c>
      <c r="F583" t="str">
        <f t="shared" si="19"/>
        <v/>
      </c>
      <c r="G583" t="str">
        <f>IF(E583="","",IF(COUNTIF('DATA QCEW'!$A$2:$A$20,E583)&gt;0,"19-SECTOR","DETAIL / OTHER"))</f>
        <v/>
      </c>
    </row>
    <row r="584" spans="4:7">
      <c r="D584" s="8"/>
      <c r="E584" t="str">
        <f t="shared" si="18"/>
        <v/>
      </c>
      <c r="F584" t="str">
        <f t="shared" si="19"/>
        <v/>
      </c>
      <c r="G584" t="str">
        <f>IF(E584="","",IF(COUNTIF('DATA QCEW'!$A$2:$A$20,E584)&gt;0,"19-SECTOR","DETAIL / OTHER"))</f>
        <v/>
      </c>
    </row>
    <row r="585" spans="4:7">
      <c r="D585" s="8"/>
      <c r="E585" t="str">
        <f t="shared" si="18"/>
        <v/>
      </c>
      <c r="F585" t="str">
        <f t="shared" si="19"/>
        <v/>
      </c>
      <c r="G585" t="str">
        <f>IF(E585="","",IF(COUNTIF('DATA QCEW'!$A$2:$A$20,E585)&gt;0,"19-SECTOR","DETAIL / OTHER"))</f>
        <v/>
      </c>
    </row>
    <row r="586" spans="4:7">
      <c r="D586" s="8"/>
      <c r="E586" t="str">
        <f t="shared" si="18"/>
        <v/>
      </c>
      <c r="F586" t="str">
        <f t="shared" si="19"/>
        <v/>
      </c>
      <c r="G586" t="str">
        <f>IF(E586="","",IF(COUNTIF('DATA QCEW'!$A$2:$A$20,E586)&gt;0,"19-SECTOR","DETAIL / OTHER"))</f>
        <v/>
      </c>
    </row>
    <row r="587" spans="4:7">
      <c r="D587" s="8"/>
      <c r="E587" t="str">
        <f t="shared" si="18"/>
        <v/>
      </c>
      <c r="F587" t="str">
        <f t="shared" si="19"/>
        <v/>
      </c>
      <c r="G587" t="str">
        <f>IF(E587="","",IF(COUNTIF('DATA QCEW'!$A$2:$A$20,E587)&gt;0,"19-SECTOR","DETAIL / OTHER"))</f>
        <v/>
      </c>
    </row>
    <row r="588" spans="4:7">
      <c r="D588" s="8"/>
      <c r="E588" t="str">
        <f t="shared" si="18"/>
        <v/>
      </c>
      <c r="F588" t="str">
        <f t="shared" si="19"/>
        <v/>
      </c>
      <c r="G588" t="str">
        <f>IF(E588="","",IF(COUNTIF('DATA QCEW'!$A$2:$A$20,E588)&gt;0,"19-SECTOR","DETAIL / OTHER"))</f>
        <v/>
      </c>
    </row>
    <row r="589" spans="4:7">
      <c r="D589" s="8"/>
      <c r="E589" t="str">
        <f t="shared" si="18"/>
        <v/>
      </c>
      <c r="F589" t="str">
        <f t="shared" si="19"/>
        <v/>
      </c>
      <c r="G589" t="str">
        <f>IF(E589="","",IF(COUNTIF('DATA QCEW'!$A$2:$A$20,E589)&gt;0,"19-SECTOR","DETAIL / OTHER"))</f>
        <v/>
      </c>
    </row>
    <row r="590" spans="4:7">
      <c r="D590" s="8"/>
      <c r="E590" t="str">
        <f t="shared" si="18"/>
        <v/>
      </c>
      <c r="F590" t="str">
        <f t="shared" si="19"/>
        <v/>
      </c>
      <c r="G590" t="str">
        <f>IF(E590="","",IF(COUNTIF('DATA QCEW'!$A$2:$A$20,E590)&gt;0,"19-SECTOR","DETAIL / OTHER"))</f>
        <v/>
      </c>
    </row>
    <row r="591" spans="4:7">
      <c r="D591" s="8"/>
      <c r="E591" t="str">
        <f t="shared" si="18"/>
        <v/>
      </c>
      <c r="F591" t="str">
        <f t="shared" si="19"/>
        <v/>
      </c>
      <c r="G591" t="str">
        <f>IF(E591="","",IF(COUNTIF('DATA QCEW'!$A$2:$A$20,E591)&gt;0,"19-SECTOR","DETAIL / OTHER"))</f>
        <v/>
      </c>
    </row>
    <row r="592" spans="4:7">
      <c r="D592" s="8"/>
      <c r="E592" t="str">
        <f t="shared" si="18"/>
        <v/>
      </c>
      <c r="F592" t="str">
        <f t="shared" si="19"/>
        <v/>
      </c>
      <c r="G592" t="str">
        <f>IF(E592="","",IF(COUNTIF('DATA QCEW'!$A$2:$A$20,E592)&gt;0,"19-SECTOR","DETAIL / OTHER"))</f>
        <v/>
      </c>
    </row>
    <row r="593" spans="4:7">
      <c r="D593" s="8"/>
      <c r="E593" t="str">
        <f t="shared" si="18"/>
        <v/>
      </c>
      <c r="F593" t="str">
        <f t="shared" si="19"/>
        <v/>
      </c>
      <c r="G593" t="str">
        <f>IF(E593="","",IF(COUNTIF('DATA QCEW'!$A$2:$A$20,E593)&gt;0,"19-SECTOR","DETAIL / OTHER"))</f>
        <v/>
      </c>
    </row>
    <row r="594" spans="4:7">
      <c r="D594" s="8"/>
      <c r="E594" t="str">
        <f t="shared" si="18"/>
        <v/>
      </c>
      <c r="F594" t="str">
        <f t="shared" si="19"/>
        <v/>
      </c>
      <c r="G594" t="str">
        <f>IF(E594="","",IF(COUNTIF('DATA QCEW'!$A$2:$A$20,E594)&gt;0,"19-SECTOR","DETAIL / OTHER"))</f>
        <v/>
      </c>
    </row>
    <row r="595" spans="4:7">
      <c r="D595" s="8"/>
      <c r="E595" t="str">
        <f t="shared" si="18"/>
        <v/>
      </c>
      <c r="F595" t="str">
        <f t="shared" si="19"/>
        <v/>
      </c>
      <c r="G595" t="str">
        <f>IF(E595="","",IF(COUNTIF('DATA QCEW'!$A$2:$A$20,E595)&gt;0,"19-SECTOR","DETAIL / OTHER"))</f>
        <v/>
      </c>
    </row>
    <row r="596" spans="4:7">
      <c r="D596" s="8"/>
      <c r="E596" t="str">
        <f t="shared" si="18"/>
        <v/>
      </c>
      <c r="F596" t="str">
        <f t="shared" si="19"/>
        <v/>
      </c>
      <c r="G596" t="str">
        <f>IF(E596="","",IF(COUNTIF('DATA QCEW'!$A$2:$A$20,E596)&gt;0,"19-SECTOR","DETAIL / OTHER"))</f>
        <v/>
      </c>
    </row>
    <row r="597" spans="4:7">
      <c r="D597" s="8"/>
      <c r="E597" t="str">
        <f t="shared" si="18"/>
        <v/>
      </c>
      <c r="F597" t="str">
        <f t="shared" si="19"/>
        <v/>
      </c>
      <c r="G597" t="str">
        <f>IF(E597="","",IF(COUNTIF('DATA QCEW'!$A$2:$A$20,E597)&gt;0,"19-SECTOR","DETAIL / OTHER"))</f>
        <v/>
      </c>
    </row>
    <row r="598" spans="4:7">
      <c r="D598" s="8"/>
      <c r="E598" t="str">
        <f t="shared" si="18"/>
        <v/>
      </c>
      <c r="F598" t="str">
        <f t="shared" si="19"/>
        <v/>
      </c>
      <c r="G598" t="str">
        <f>IF(E598="","",IF(COUNTIF('DATA QCEW'!$A$2:$A$20,E598)&gt;0,"19-SECTOR","DETAIL / OTHER"))</f>
        <v/>
      </c>
    </row>
    <row r="599" spans="4:7">
      <c r="D599" s="8"/>
      <c r="E599" t="str">
        <f t="shared" si="18"/>
        <v/>
      </c>
      <c r="F599" t="str">
        <f t="shared" si="19"/>
        <v/>
      </c>
      <c r="G599" t="str">
        <f>IF(E599="","",IF(COUNTIF('DATA QCEW'!$A$2:$A$20,E599)&gt;0,"19-SECTOR","DETAIL / OTHER"))</f>
        <v/>
      </c>
    </row>
    <row r="600" spans="4:7">
      <c r="D600" s="8"/>
      <c r="E600" t="str">
        <f t="shared" si="18"/>
        <v/>
      </c>
      <c r="F600" t="str">
        <f t="shared" si="19"/>
        <v/>
      </c>
      <c r="G600" t="str">
        <f>IF(E600="","",IF(COUNTIF('DATA QCEW'!$A$2:$A$20,E600)&gt;0,"19-SECTOR","DETAIL / OTHER"))</f>
        <v/>
      </c>
    </row>
    <row r="601" spans="4:7">
      <c r="D601" s="8"/>
      <c r="E601" t="str">
        <f t="shared" si="18"/>
        <v/>
      </c>
      <c r="F601" t="str">
        <f t="shared" si="19"/>
        <v/>
      </c>
      <c r="G601" t="str">
        <f>IF(E601="","",IF(COUNTIF('DATA QCEW'!$A$2:$A$20,E601)&gt;0,"19-SECTOR","DETAIL / OTHER"))</f>
        <v/>
      </c>
    </row>
    <row r="602" spans="4:7">
      <c r="D602" s="8"/>
      <c r="E602" t="str">
        <f t="shared" si="18"/>
        <v/>
      </c>
      <c r="F602" t="str">
        <f t="shared" si="19"/>
        <v/>
      </c>
      <c r="G602" t="str">
        <f>IF(E602="","",IF(COUNTIF('DATA QCEW'!$A$2:$A$20,E602)&gt;0,"19-SECTOR","DETAIL / OTHER"))</f>
        <v/>
      </c>
    </row>
    <row r="603" spans="4:7">
      <c r="D603" s="8"/>
      <c r="E603" t="str">
        <f t="shared" si="18"/>
        <v/>
      </c>
      <c r="F603" t="str">
        <f t="shared" si="19"/>
        <v/>
      </c>
      <c r="G603" t="str">
        <f>IF(E603="","",IF(COUNTIF('DATA QCEW'!$A$2:$A$20,E603)&gt;0,"19-SECTOR","DETAIL / OTHER"))</f>
        <v/>
      </c>
    </row>
    <row r="604" spans="4:7">
      <c r="D604" s="8"/>
      <c r="E604" t="str">
        <f t="shared" si="18"/>
        <v/>
      </c>
      <c r="F604" t="str">
        <f t="shared" si="19"/>
        <v/>
      </c>
      <c r="G604" t="str">
        <f>IF(E604="","",IF(COUNTIF('DATA QCEW'!$A$2:$A$20,E604)&gt;0,"19-SECTOR","DETAIL / OTHER"))</f>
        <v/>
      </c>
    </row>
    <row r="605" spans="4:7">
      <c r="D605" s="8"/>
      <c r="E605" t="str">
        <f t="shared" si="18"/>
        <v/>
      </c>
      <c r="F605" t="str">
        <f t="shared" si="19"/>
        <v/>
      </c>
      <c r="G605" t="str">
        <f>IF(E605="","",IF(COUNTIF('DATA QCEW'!$A$2:$A$20,E605)&gt;0,"19-SECTOR","DETAIL / OTHER"))</f>
        <v/>
      </c>
    </row>
    <row r="606" spans="4:7">
      <c r="D606" s="8"/>
      <c r="E606" t="str">
        <f t="shared" si="18"/>
        <v/>
      </c>
      <c r="F606" t="str">
        <f t="shared" si="19"/>
        <v/>
      </c>
      <c r="G606" t="str">
        <f>IF(E606="","",IF(COUNTIF('DATA QCEW'!$A$2:$A$20,E606)&gt;0,"19-SECTOR","DETAIL / OTHER"))</f>
        <v/>
      </c>
    </row>
    <row r="607" spans="4:7">
      <c r="D607" s="8"/>
      <c r="E607" t="str">
        <f t="shared" si="18"/>
        <v/>
      </c>
      <c r="F607" t="str">
        <f t="shared" si="19"/>
        <v/>
      </c>
      <c r="G607" t="str">
        <f>IF(E607="","",IF(COUNTIF('DATA QCEW'!$A$2:$A$20,E607)&gt;0,"19-SECTOR","DETAIL / OTHER"))</f>
        <v/>
      </c>
    </row>
    <row r="608" spans="4:7">
      <c r="D608" s="8"/>
      <c r="E608" t="str">
        <f t="shared" si="18"/>
        <v/>
      </c>
      <c r="F608" t="str">
        <f t="shared" si="19"/>
        <v/>
      </c>
      <c r="G608" t="str">
        <f>IF(E608="","",IF(COUNTIF('DATA QCEW'!$A$2:$A$20,E608)&gt;0,"19-SECTOR","DETAIL / OTHER"))</f>
        <v/>
      </c>
    </row>
    <row r="609" spans="4:7">
      <c r="D609" s="8"/>
      <c r="E609" t="str">
        <f t="shared" si="18"/>
        <v/>
      </c>
      <c r="F609" t="str">
        <f t="shared" si="19"/>
        <v/>
      </c>
      <c r="G609" t="str">
        <f>IF(E609="","",IF(COUNTIF('DATA QCEW'!$A$2:$A$20,E609)&gt;0,"19-SECTOR","DETAIL / OTHER"))</f>
        <v/>
      </c>
    </row>
    <row r="610" spans="4:7">
      <c r="D610" s="8"/>
      <c r="E610" t="str">
        <f t="shared" si="18"/>
        <v/>
      </c>
      <c r="F610" t="str">
        <f t="shared" si="19"/>
        <v/>
      </c>
      <c r="G610" t="str">
        <f>IF(E610="","",IF(COUNTIF('DATA QCEW'!$A$2:$A$20,E610)&gt;0,"19-SECTOR","DETAIL / OTHER"))</f>
        <v/>
      </c>
    </row>
    <row r="611" spans="4:7">
      <c r="D611" s="8"/>
      <c r="E611" t="str">
        <f t="shared" si="18"/>
        <v/>
      </c>
      <c r="F611" t="str">
        <f t="shared" si="19"/>
        <v/>
      </c>
      <c r="G611" t="str">
        <f>IF(E611="","",IF(COUNTIF('DATA QCEW'!$A$2:$A$20,E611)&gt;0,"19-SECTOR","DETAIL / OTHER"))</f>
        <v/>
      </c>
    </row>
    <row r="612" spans="4:7">
      <c r="D612" s="8"/>
      <c r="E612" t="str">
        <f t="shared" si="18"/>
        <v/>
      </c>
      <c r="F612" t="str">
        <f t="shared" si="19"/>
        <v/>
      </c>
      <c r="G612" t="str">
        <f>IF(E612="","",IF(COUNTIF('DATA QCEW'!$A$2:$A$20,E612)&gt;0,"19-SECTOR","DETAIL / OTHER"))</f>
        <v/>
      </c>
    </row>
    <row r="613" spans="4:7">
      <c r="D613" s="8"/>
      <c r="E613" t="str">
        <f t="shared" si="18"/>
        <v/>
      </c>
      <c r="F613" t="str">
        <f t="shared" si="19"/>
        <v/>
      </c>
      <c r="G613" t="str">
        <f>IF(E613="","",IF(COUNTIF('DATA QCEW'!$A$2:$A$20,E613)&gt;0,"19-SECTOR","DETAIL / OTHER"))</f>
        <v/>
      </c>
    </row>
    <row r="614" spans="4:7">
      <c r="D614" s="8"/>
      <c r="E614" t="str">
        <f t="shared" si="18"/>
        <v/>
      </c>
      <c r="F614" t="str">
        <f t="shared" si="19"/>
        <v/>
      </c>
      <c r="G614" t="str">
        <f>IF(E614="","",IF(COUNTIF('DATA QCEW'!$A$2:$A$20,E614)&gt;0,"19-SECTOR","DETAIL / OTHER"))</f>
        <v/>
      </c>
    </row>
    <row r="615" spans="4:7">
      <c r="D615" s="8"/>
      <c r="E615" t="str">
        <f t="shared" si="18"/>
        <v/>
      </c>
      <c r="F615" t="str">
        <f t="shared" si="19"/>
        <v/>
      </c>
      <c r="G615" t="str">
        <f>IF(E615="","",IF(COUNTIF('DATA QCEW'!$A$2:$A$20,E615)&gt;0,"19-SECTOR","DETAIL / OTHER"))</f>
        <v/>
      </c>
    </row>
    <row r="616" spans="4:7">
      <c r="D616" s="8"/>
      <c r="E616" t="str">
        <f t="shared" si="18"/>
        <v/>
      </c>
      <c r="F616" t="str">
        <f t="shared" si="19"/>
        <v/>
      </c>
      <c r="G616" t="str">
        <f>IF(E616="","",IF(COUNTIF('DATA QCEW'!$A$2:$A$20,E616)&gt;0,"19-SECTOR","DETAIL / OTHER"))</f>
        <v/>
      </c>
    </row>
    <row r="617" spans="4:7">
      <c r="D617" s="8"/>
      <c r="E617" t="str">
        <f t="shared" si="18"/>
        <v/>
      </c>
      <c r="F617" t="str">
        <f t="shared" si="19"/>
        <v/>
      </c>
      <c r="G617" t="str">
        <f>IF(E617="","",IF(COUNTIF('DATA QCEW'!$A$2:$A$20,E617)&gt;0,"19-SECTOR","DETAIL / OTHER"))</f>
        <v/>
      </c>
    </row>
    <row r="618" spans="4:7">
      <c r="D618" s="8"/>
      <c r="E618" t="str">
        <f t="shared" si="18"/>
        <v/>
      </c>
      <c r="F618" t="str">
        <f t="shared" si="19"/>
        <v/>
      </c>
      <c r="G618" t="str">
        <f>IF(E618="","",IF(COUNTIF('DATA QCEW'!$A$2:$A$20,E618)&gt;0,"19-SECTOR","DETAIL / OTHER"))</f>
        <v/>
      </c>
    </row>
    <row r="619" spans="4:7">
      <c r="D619" s="8"/>
      <c r="E619" t="str">
        <f t="shared" si="18"/>
        <v/>
      </c>
      <c r="F619" t="str">
        <f t="shared" si="19"/>
        <v/>
      </c>
      <c r="G619" t="str">
        <f>IF(E619="","",IF(COUNTIF('DATA QCEW'!$A$2:$A$20,E619)&gt;0,"19-SECTOR","DETAIL / OTHER"))</f>
        <v/>
      </c>
    </row>
    <row r="620" spans="4:7">
      <c r="D620" s="8"/>
      <c r="E620" t="str">
        <f t="shared" si="18"/>
        <v/>
      </c>
      <c r="F620" t="str">
        <f t="shared" si="19"/>
        <v/>
      </c>
      <c r="G620" t="str">
        <f>IF(E620="","",IF(COUNTIF('DATA QCEW'!$A$2:$A$20,E620)&gt;0,"19-SECTOR","DETAIL / OTHER"))</f>
        <v/>
      </c>
    </row>
    <row r="621" spans="4:7">
      <c r="D621" s="8"/>
      <c r="E621" t="str">
        <f t="shared" si="18"/>
        <v/>
      </c>
      <c r="F621" t="str">
        <f t="shared" si="19"/>
        <v/>
      </c>
      <c r="G621" t="str">
        <f>IF(E621="","",IF(COUNTIF('DATA QCEW'!$A$2:$A$20,E621)&gt;0,"19-SECTOR","DETAIL / OTHER"))</f>
        <v/>
      </c>
    </row>
    <row r="622" spans="4:7">
      <c r="D622" s="8"/>
      <c r="E622" t="str">
        <f t="shared" si="18"/>
        <v/>
      </c>
      <c r="F622" t="str">
        <f t="shared" si="19"/>
        <v/>
      </c>
      <c r="G622" t="str">
        <f>IF(E622="","",IF(COUNTIF('DATA QCEW'!$A$2:$A$20,E622)&gt;0,"19-SECTOR","DETAIL / OTHER"))</f>
        <v/>
      </c>
    </row>
    <row r="623" spans="4:7">
      <c r="D623" s="8"/>
      <c r="E623" t="str">
        <f t="shared" si="18"/>
        <v/>
      </c>
      <c r="F623" t="str">
        <f t="shared" si="19"/>
        <v/>
      </c>
      <c r="G623" t="str">
        <f>IF(E623="","",IF(COUNTIF('DATA QCEW'!$A$2:$A$20,E623)&gt;0,"19-SECTOR","DETAIL / OTHER"))</f>
        <v/>
      </c>
    </row>
    <row r="624" spans="4:7">
      <c r="D624" s="8"/>
      <c r="E624" t="str">
        <f t="shared" si="18"/>
        <v/>
      </c>
      <c r="F624" t="str">
        <f t="shared" si="19"/>
        <v/>
      </c>
      <c r="G624" t="str">
        <f>IF(E624="","",IF(COUNTIF('DATA QCEW'!$A$2:$A$20,E624)&gt;0,"19-SECTOR","DETAIL / OTHER"))</f>
        <v/>
      </c>
    </row>
    <row r="625" spans="4:7">
      <c r="D625" s="8"/>
      <c r="E625" t="str">
        <f t="shared" si="18"/>
        <v/>
      </c>
      <c r="F625" t="str">
        <f t="shared" si="19"/>
        <v/>
      </c>
      <c r="G625" t="str">
        <f>IF(E625="","",IF(COUNTIF('DATA QCEW'!$A$2:$A$20,E625)&gt;0,"19-SECTOR","DETAIL / OTHER"))</f>
        <v/>
      </c>
    </row>
    <row r="626" spans="4:7">
      <c r="D626" s="8"/>
      <c r="E626" t="str">
        <f t="shared" si="18"/>
        <v/>
      </c>
      <c r="F626" t="str">
        <f t="shared" si="19"/>
        <v/>
      </c>
      <c r="G626" t="str">
        <f>IF(E626="","",IF(COUNTIF('DATA QCEW'!$A$2:$A$20,E626)&gt;0,"19-SECTOR","DETAIL / OTHER"))</f>
        <v/>
      </c>
    </row>
    <row r="627" spans="4:7">
      <c r="D627" s="8"/>
      <c r="E627" t="str">
        <f t="shared" si="18"/>
        <v/>
      </c>
      <c r="F627" t="str">
        <f t="shared" si="19"/>
        <v/>
      </c>
      <c r="G627" t="str">
        <f>IF(E627="","",IF(COUNTIF('DATA QCEW'!$A$2:$A$20,E627)&gt;0,"19-SECTOR","DETAIL / OTHER"))</f>
        <v/>
      </c>
    </row>
    <row r="628" spans="4:7">
      <c r="D628" s="8"/>
      <c r="E628" t="str">
        <f t="shared" si="18"/>
        <v/>
      </c>
      <c r="F628" t="str">
        <f t="shared" si="19"/>
        <v/>
      </c>
      <c r="G628" t="str">
        <f>IF(E628="","",IF(COUNTIF('DATA QCEW'!$A$2:$A$20,E628)&gt;0,"19-SECTOR","DETAIL / OTHER"))</f>
        <v/>
      </c>
    </row>
    <row r="629" spans="4:7">
      <c r="D629" s="8"/>
      <c r="E629" t="str">
        <f t="shared" si="18"/>
        <v/>
      </c>
      <c r="F629" t="str">
        <f t="shared" si="19"/>
        <v/>
      </c>
      <c r="G629" t="str">
        <f>IF(E629="","",IF(COUNTIF('DATA QCEW'!$A$2:$A$20,E629)&gt;0,"19-SECTOR","DETAIL / OTHER"))</f>
        <v/>
      </c>
    </row>
    <row r="630" spans="4:7">
      <c r="D630" s="8"/>
      <c r="E630" t="str">
        <f t="shared" si="18"/>
        <v/>
      </c>
      <c r="F630" t="str">
        <f t="shared" si="19"/>
        <v/>
      </c>
      <c r="G630" t="str">
        <f>IF(E630="","",IF(COUNTIF('DATA QCEW'!$A$2:$A$20,E630)&gt;0,"19-SECTOR","DETAIL / OTHER"))</f>
        <v/>
      </c>
    </row>
    <row r="631" spans="4:7">
      <c r="D631" s="8"/>
      <c r="E631" t="str">
        <f t="shared" si="18"/>
        <v/>
      </c>
      <c r="F631" t="str">
        <f t="shared" si="19"/>
        <v/>
      </c>
      <c r="G631" t="str">
        <f>IF(E631="","",IF(COUNTIF('DATA QCEW'!$A$2:$A$20,E631)&gt;0,"19-SECTOR","DETAIL / OTHER"))</f>
        <v/>
      </c>
    </row>
    <row r="632" spans="4:7">
      <c r="D632" s="8"/>
      <c r="E632" t="str">
        <f t="shared" si="18"/>
        <v/>
      </c>
      <c r="F632" t="str">
        <f t="shared" si="19"/>
        <v/>
      </c>
      <c r="G632" t="str">
        <f>IF(E632="","",IF(COUNTIF('DATA QCEW'!$A$2:$A$20,E632)&gt;0,"19-SECTOR","DETAIL / OTHER"))</f>
        <v/>
      </c>
    </row>
    <row r="633" spans="4:7">
      <c r="D633" s="8"/>
      <c r="E633" t="str">
        <f t="shared" si="18"/>
        <v/>
      </c>
      <c r="F633" t="str">
        <f t="shared" si="19"/>
        <v/>
      </c>
      <c r="G633" t="str">
        <f>IF(E633="","",IF(COUNTIF('DATA QCEW'!$A$2:$A$20,E633)&gt;0,"19-SECTOR","DETAIL / OTHER"))</f>
        <v/>
      </c>
    </row>
    <row r="634" spans="4:7">
      <c r="D634" s="8"/>
      <c r="E634" t="str">
        <f t="shared" si="18"/>
        <v/>
      </c>
      <c r="F634" t="str">
        <f t="shared" si="19"/>
        <v/>
      </c>
      <c r="G634" t="str">
        <f>IF(E634="","",IF(COUNTIF('DATA QCEW'!$A$2:$A$20,E634)&gt;0,"19-SECTOR","DETAIL / OTHER"))</f>
        <v/>
      </c>
    </row>
    <row r="635" spans="4:7">
      <c r="D635" s="8"/>
      <c r="E635" t="str">
        <f t="shared" si="18"/>
        <v/>
      </c>
      <c r="F635" t="str">
        <f t="shared" si="19"/>
        <v/>
      </c>
      <c r="G635" t="str">
        <f>IF(E635="","",IF(COUNTIF('DATA QCEW'!$A$2:$A$20,E635)&gt;0,"19-SECTOR","DETAIL / OTHER"))</f>
        <v/>
      </c>
    </row>
    <row r="636" spans="4:7">
      <c r="D636" s="8"/>
      <c r="E636" t="str">
        <f t="shared" si="18"/>
        <v/>
      </c>
      <c r="F636" t="str">
        <f t="shared" si="19"/>
        <v/>
      </c>
      <c r="G636" t="str">
        <f>IF(E636="","",IF(COUNTIF('DATA QCEW'!$A$2:$A$20,E636)&gt;0,"19-SECTOR","DETAIL / OTHER"))</f>
        <v/>
      </c>
    </row>
    <row r="637" spans="4:7">
      <c r="D637" s="8"/>
      <c r="E637" t="str">
        <f t="shared" si="18"/>
        <v/>
      </c>
      <c r="F637" t="str">
        <f t="shared" si="19"/>
        <v/>
      </c>
      <c r="G637" t="str">
        <f>IF(E637="","",IF(COUNTIF('DATA QCEW'!$A$2:$A$20,E637)&gt;0,"19-SECTOR","DETAIL / OTHER"))</f>
        <v/>
      </c>
    </row>
    <row r="638" spans="4:7">
      <c r="D638" s="8"/>
      <c r="E638" t="str">
        <f t="shared" si="18"/>
        <v/>
      </c>
      <c r="F638" t="str">
        <f t="shared" si="19"/>
        <v/>
      </c>
      <c r="G638" t="str">
        <f>IF(E638="","",IF(COUNTIF('DATA QCEW'!$A$2:$A$20,E638)&gt;0,"19-SECTOR","DETAIL / OTHER"))</f>
        <v/>
      </c>
    </row>
    <row r="639" spans="4:7">
      <c r="D639" s="8"/>
      <c r="E639" t="str">
        <f t="shared" si="18"/>
        <v/>
      </c>
      <c r="F639" t="str">
        <f t="shared" si="19"/>
        <v/>
      </c>
      <c r="G639" t="str">
        <f>IF(E639="","",IF(COUNTIF('DATA QCEW'!$A$2:$A$20,E639)&gt;0,"19-SECTOR","DETAIL / OTHER"))</f>
        <v/>
      </c>
    </row>
    <row r="640" spans="4:7">
      <c r="D640" s="8"/>
      <c r="E640" t="str">
        <f t="shared" si="18"/>
        <v/>
      </c>
      <c r="F640" t="str">
        <f t="shared" si="19"/>
        <v/>
      </c>
      <c r="G640" t="str">
        <f>IF(E640="","",IF(COUNTIF('DATA QCEW'!$A$2:$A$20,E640)&gt;0,"19-SECTOR","DETAIL / OTHER"))</f>
        <v/>
      </c>
    </row>
    <row r="641" spans="4:7">
      <c r="D641" s="8"/>
      <c r="E641" t="str">
        <f t="shared" si="18"/>
        <v/>
      </c>
      <c r="F641" t="str">
        <f t="shared" si="19"/>
        <v/>
      </c>
      <c r="G641" t="str">
        <f>IF(E641="","",IF(COUNTIF('DATA QCEW'!$A$2:$A$20,E641)&gt;0,"19-SECTOR","DETAIL / OTHER"))</f>
        <v/>
      </c>
    </row>
    <row r="642" spans="4:7">
      <c r="D642" s="8"/>
      <c r="E642" t="str">
        <f t="shared" ref="E642:E705" si="20">IF(LEFT(TRIM(A642),6)="NAICS ",IFERROR(MID(TRIM(A642),7,FIND(" ",TRIM(A642)&amp;" ",7)-7),""),"")</f>
        <v/>
      </c>
      <c r="F642" t="str">
        <f t="shared" ref="F642:F705" si="21">IF(E642="","",TRIM(MID(TRIM(A642),FIND(" ",TRIM(A642)&amp;" ",7)+1,255)))</f>
        <v/>
      </c>
      <c r="G642" t="str">
        <f>IF(E642="","",IF(COUNTIF('DATA QCEW'!$A$2:$A$20,E642)&gt;0,"19-SECTOR","DETAIL / OTHER"))</f>
        <v/>
      </c>
    </row>
    <row r="643" spans="4:7">
      <c r="D643" s="8"/>
      <c r="E643" t="str">
        <f t="shared" si="20"/>
        <v/>
      </c>
      <c r="F643" t="str">
        <f t="shared" si="21"/>
        <v/>
      </c>
      <c r="G643" t="str">
        <f>IF(E643="","",IF(COUNTIF('DATA QCEW'!$A$2:$A$20,E643)&gt;0,"19-SECTOR","DETAIL / OTHER"))</f>
        <v/>
      </c>
    </row>
    <row r="644" spans="4:7">
      <c r="D644" s="8"/>
      <c r="E644" t="str">
        <f t="shared" si="20"/>
        <v/>
      </c>
      <c r="F644" t="str">
        <f t="shared" si="21"/>
        <v/>
      </c>
      <c r="G644" t="str">
        <f>IF(E644="","",IF(COUNTIF('DATA QCEW'!$A$2:$A$20,E644)&gt;0,"19-SECTOR","DETAIL / OTHER"))</f>
        <v/>
      </c>
    </row>
    <row r="645" spans="4:7">
      <c r="D645" s="8"/>
      <c r="E645" t="str">
        <f t="shared" si="20"/>
        <v/>
      </c>
      <c r="F645" t="str">
        <f t="shared" si="21"/>
        <v/>
      </c>
      <c r="G645" t="str">
        <f>IF(E645="","",IF(COUNTIF('DATA QCEW'!$A$2:$A$20,E645)&gt;0,"19-SECTOR","DETAIL / OTHER"))</f>
        <v/>
      </c>
    </row>
    <row r="646" spans="4:7">
      <c r="D646" s="8"/>
      <c r="E646" t="str">
        <f t="shared" si="20"/>
        <v/>
      </c>
      <c r="F646" t="str">
        <f t="shared" si="21"/>
        <v/>
      </c>
      <c r="G646" t="str">
        <f>IF(E646="","",IF(COUNTIF('DATA QCEW'!$A$2:$A$20,E646)&gt;0,"19-SECTOR","DETAIL / OTHER"))</f>
        <v/>
      </c>
    </row>
    <row r="647" spans="4:7">
      <c r="D647" s="8"/>
      <c r="E647" t="str">
        <f t="shared" si="20"/>
        <v/>
      </c>
      <c r="F647" t="str">
        <f t="shared" si="21"/>
        <v/>
      </c>
      <c r="G647" t="str">
        <f>IF(E647="","",IF(COUNTIF('DATA QCEW'!$A$2:$A$20,E647)&gt;0,"19-SECTOR","DETAIL / OTHER"))</f>
        <v/>
      </c>
    </row>
    <row r="648" spans="4:7">
      <c r="D648" s="8"/>
      <c r="E648" t="str">
        <f t="shared" si="20"/>
        <v/>
      </c>
      <c r="F648" t="str">
        <f t="shared" si="21"/>
        <v/>
      </c>
      <c r="G648" t="str">
        <f>IF(E648="","",IF(COUNTIF('DATA QCEW'!$A$2:$A$20,E648)&gt;0,"19-SECTOR","DETAIL / OTHER"))</f>
        <v/>
      </c>
    </row>
    <row r="649" spans="4:7">
      <c r="D649" s="8"/>
      <c r="E649" t="str">
        <f t="shared" si="20"/>
        <v/>
      </c>
      <c r="F649" t="str">
        <f t="shared" si="21"/>
        <v/>
      </c>
      <c r="G649" t="str">
        <f>IF(E649="","",IF(COUNTIF('DATA QCEW'!$A$2:$A$20,E649)&gt;0,"19-SECTOR","DETAIL / OTHER"))</f>
        <v/>
      </c>
    </row>
    <row r="650" spans="4:7">
      <c r="D650" s="8"/>
      <c r="E650" t="str">
        <f t="shared" si="20"/>
        <v/>
      </c>
      <c r="F650" t="str">
        <f t="shared" si="21"/>
        <v/>
      </c>
      <c r="G650" t="str">
        <f>IF(E650="","",IF(COUNTIF('DATA QCEW'!$A$2:$A$20,E650)&gt;0,"19-SECTOR","DETAIL / OTHER"))</f>
        <v/>
      </c>
    </row>
    <row r="651" spans="4:7">
      <c r="D651" s="8"/>
      <c r="E651" t="str">
        <f t="shared" si="20"/>
        <v/>
      </c>
      <c r="F651" t="str">
        <f t="shared" si="21"/>
        <v/>
      </c>
      <c r="G651" t="str">
        <f>IF(E651="","",IF(COUNTIF('DATA QCEW'!$A$2:$A$20,E651)&gt;0,"19-SECTOR","DETAIL / OTHER"))</f>
        <v/>
      </c>
    </row>
    <row r="652" spans="4:7">
      <c r="D652" s="8"/>
      <c r="E652" t="str">
        <f t="shared" si="20"/>
        <v/>
      </c>
      <c r="F652" t="str">
        <f t="shared" si="21"/>
        <v/>
      </c>
      <c r="G652" t="str">
        <f>IF(E652="","",IF(COUNTIF('DATA QCEW'!$A$2:$A$20,E652)&gt;0,"19-SECTOR","DETAIL / OTHER"))</f>
        <v/>
      </c>
    </row>
    <row r="653" spans="4:7">
      <c r="D653" s="8"/>
      <c r="E653" t="str">
        <f t="shared" si="20"/>
        <v/>
      </c>
      <c r="F653" t="str">
        <f t="shared" si="21"/>
        <v/>
      </c>
      <c r="G653" t="str">
        <f>IF(E653="","",IF(COUNTIF('DATA QCEW'!$A$2:$A$20,E653)&gt;0,"19-SECTOR","DETAIL / OTHER"))</f>
        <v/>
      </c>
    </row>
    <row r="654" spans="4:7">
      <c r="D654" s="8"/>
      <c r="E654" t="str">
        <f t="shared" si="20"/>
        <v/>
      </c>
      <c r="F654" t="str">
        <f t="shared" si="21"/>
        <v/>
      </c>
      <c r="G654" t="str">
        <f>IF(E654="","",IF(COUNTIF('DATA QCEW'!$A$2:$A$20,E654)&gt;0,"19-SECTOR","DETAIL / OTHER"))</f>
        <v/>
      </c>
    </row>
    <row r="655" spans="4:7">
      <c r="D655" s="8"/>
      <c r="E655" t="str">
        <f t="shared" si="20"/>
        <v/>
      </c>
      <c r="F655" t="str">
        <f t="shared" si="21"/>
        <v/>
      </c>
      <c r="G655" t="str">
        <f>IF(E655="","",IF(COUNTIF('DATA QCEW'!$A$2:$A$20,E655)&gt;0,"19-SECTOR","DETAIL / OTHER"))</f>
        <v/>
      </c>
    </row>
    <row r="656" spans="4:7">
      <c r="D656" s="8"/>
      <c r="E656" t="str">
        <f t="shared" si="20"/>
        <v/>
      </c>
      <c r="F656" t="str">
        <f t="shared" si="21"/>
        <v/>
      </c>
      <c r="G656" t="str">
        <f>IF(E656="","",IF(COUNTIF('DATA QCEW'!$A$2:$A$20,E656)&gt;0,"19-SECTOR","DETAIL / OTHER"))</f>
        <v/>
      </c>
    </row>
    <row r="657" spans="4:7">
      <c r="D657" s="8"/>
      <c r="E657" t="str">
        <f t="shared" si="20"/>
        <v/>
      </c>
      <c r="F657" t="str">
        <f t="shared" si="21"/>
        <v/>
      </c>
      <c r="G657" t="str">
        <f>IF(E657="","",IF(COUNTIF('DATA QCEW'!$A$2:$A$20,E657)&gt;0,"19-SECTOR","DETAIL / OTHER"))</f>
        <v/>
      </c>
    </row>
    <row r="658" spans="4:7">
      <c r="D658" s="8"/>
      <c r="E658" t="str">
        <f t="shared" si="20"/>
        <v/>
      </c>
      <c r="F658" t="str">
        <f t="shared" si="21"/>
        <v/>
      </c>
      <c r="G658" t="str">
        <f>IF(E658="","",IF(COUNTIF('DATA QCEW'!$A$2:$A$20,E658)&gt;0,"19-SECTOR","DETAIL / OTHER"))</f>
        <v/>
      </c>
    </row>
    <row r="659" spans="4:7">
      <c r="D659" s="8"/>
      <c r="E659" t="str">
        <f t="shared" si="20"/>
        <v/>
      </c>
      <c r="F659" t="str">
        <f t="shared" si="21"/>
        <v/>
      </c>
      <c r="G659" t="str">
        <f>IF(E659="","",IF(COUNTIF('DATA QCEW'!$A$2:$A$20,E659)&gt;0,"19-SECTOR","DETAIL / OTHER"))</f>
        <v/>
      </c>
    </row>
    <row r="660" spans="4:7">
      <c r="D660" s="8"/>
      <c r="E660" t="str">
        <f t="shared" si="20"/>
        <v/>
      </c>
      <c r="F660" t="str">
        <f t="shared" si="21"/>
        <v/>
      </c>
      <c r="G660" t="str">
        <f>IF(E660="","",IF(COUNTIF('DATA QCEW'!$A$2:$A$20,E660)&gt;0,"19-SECTOR","DETAIL / OTHER"))</f>
        <v/>
      </c>
    </row>
    <row r="661" spans="4:7">
      <c r="D661" s="8"/>
      <c r="E661" t="str">
        <f t="shared" si="20"/>
        <v/>
      </c>
      <c r="F661" t="str">
        <f t="shared" si="21"/>
        <v/>
      </c>
      <c r="G661" t="str">
        <f>IF(E661="","",IF(COUNTIF('DATA QCEW'!$A$2:$A$20,E661)&gt;0,"19-SECTOR","DETAIL / OTHER"))</f>
        <v/>
      </c>
    </row>
    <row r="662" spans="4:7">
      <c r="D662" s="8"/>
      <c r="E662" t="str">
        <f t="shared" si="20"/>
        <v/>
      </c>
      <c r="F662" t="str">
        <f t="shared" si="21"/>
        <v/>
      </c>
      <c r="G662" t="str">
        <f>IF(E662="","",IF(COUNTIF('DATA QCEW'!$A$2:$A$20,E662)&gt;0,"19-SECTOR","DETAIL / OTHER"))</f>
        <v/>
      </c>
    </row>
    <row r="663" spans="4:7">
      <c r="D663" s="8"/>
      <c r="E663" t="str">
        <f t="shared" si="20"/>
        <v/>
      </c>
      <c r="F663" t="str">
        <f t="shared" si="21"/>
        <v/>
      </c>
      <c r="G663" t="str">
        <f>IF(E663="","",IF(COUNTIF('DATA QCEW'!$A$2:$A$20,E663)&gt;0,"19-SECTOR","DETAIL / OTHER"))</f>
        <v/>
      </c>
    </row>
    <row r="664" spans="4:7">
      <c r="D664" s="8"/>
      <c r="E664" t="str">
        <f t="shared" si="20"/>
        <v/>
      </c>
      <c r="F664" t="str">
        <f t="shared" si="21"/>
        <v/>
      </c>
      <c r="G664" t="str">
        <f>IF(E664="","",IF(COUNTIF('DATA QCEW'!$A$2:$A$20,E664)&gt;0,"19-SECTOR","DETAIL / OTHER"))</f>
        <v/>
      </c>
    </row>
    <row r="665" spans="4:7">
      <c r="D665" s="8"/>
      <c r="E665" t="str">
        <f t="shared" si="20"/>
        <v/>
      </c>
      <c r="F665" t="str">
        <f t="shared" si="21"/>
        <v/>
      </c>
      <c r="G665" t="str">
        <f>IF(E665="","",IF(COUNTIF('DATA QCEW'!$A$2:$A$20,E665)&gt;0,"19-SECTOR","DETAIL / OTHER"))</f>
        <v/>
      </c>
    </row>
    <row r="666" spans="4:7">
      <c r="D666" s="8"/>
      <c r="E666" t="str">
        <f t="shared" si="20"/>
        <v/>
      </c>
      <c r="F666" t="str">
        <f t="shared" si="21"/>
        <v/>
      </c>
      <c r="G666" t="str">
        <f>IF(E666="","",IF(COUNTIF('DATA QCEW'!$A$2:$A$20,E666)&gt;0,"19-SECTOR","DETAIL / OTHER"))</f>
        <v/>
      </c>
    </row>
    <row r="667" spans="4:7">
      <c r="D667" s="8"/>
      <c r="E667" t="str">
        <f t="shared" si="20"/>
        <v/>
      </c>
      <c r="F667" t="str">
        <f t="shared" si="21"/>
        <v/>
      </c>
      <c r="G667" t="str">
        <f>IF(E667="","",IF(COUNTIF('DATA QCEW'!$A$2:$A$20,E667)&gt;0,"19-SECTOR","DETAIL / OTHER"))</f>
        <v/>
      </c>
    </row>
    <row r="668" spans="4:7">
      <c r="D668" s="8"/>
      <c r="E668" t="str">
        <f t="shared" si="20"/>
        <v/>
      </c>
      <c r="F668" t="str">
        <f t="shared" si="21"/>
        <v/>
      </c>
      <c r="G668" t="str">
        <f>IF(E668="","",IF(COUNTIF('DATA QCEW'!$A$2:$A$20,E668)&gt;0,"19-SECTOR","DETAIL / OTHER"))</f>
        <v/>
      </c>
    </row>
    <row r="669" spans="4:7">
      <c r="D669" s="8"/>
      <c r="E669" t="str">
        <f t="shared" si="20"/>
        <v/>
      </c>
      <c r="F669" t="str">
        <f t="shared" si="21"/>
        <v/>
      </c>
      <c r="G669" t="str">
        <f>IF(E669="","",IF(COUNTIF('DATA QCEW'!$A$2:$A$20,E669)&gt;0,"19-SECTOR","DETAIL / OTHER"))</f>
        <v/>
      </c>
    </row>
    <row r="670" spans="4:7">
      <c r="D670" s="8"/>
      <c r="E670" t="str">
        <f t="shared" si="20"/>
        <v/>
      </c>
      <c r="F670" t="str">
        <f t="shared" si="21"/>
        <v/>
      </c>
      <c r="G670" t="str">
        <f>IF(E670="","",IF(COUNTIF('DATA QCEW'!$A$2:$A$20,E670)&gt;0,"19-SECTOR","DETAIL / OTHER"))</f>
        <v/>
      </c>
    </row>
    <row r="671" spans="4:7">
      <c r="D671" s="8"/>
      <c r="E671" t="str">
        <f t="shared" si="20"/>
        <v/>
      </c>
      <c r="F671" t="str">
        <f t="shared" si="21"/>
        <v/>
      </c>
      <c r="G671" t="str">
        <f>IF(E671="","",IF(COUNTIF('DATA QCEW'!$A$2:$A$20,E671)&gt;0,"19-SECTOR","DETAIL / OTHER"))</f>
        <v/>
      </c>
    </row>
    <row r="672" spans="4:7">
      <c r="D672" s="8"/>
      <c r="E672" t="str">
        <f t="shared" si="20"/>
        <v/>
      </c>
      <c r="F672" t="str">
        <f t="shared" si="21"/>
        <v/>
      </c>
      <c r="G672" t="str">
        <f>IF(E672="","",IF(COUNTIF('DATA QCEW'!$A$2:$A$20,E672)&gt;0,"19-SECTOR","DETAIL / OTHER"))</f>
        <v/>
      </c>
    </row>
    <row r="673" spans="4:7">
      <c r="D673" s="8"/>
      <c r="E673" t="str">
        <f t="shared" si="20"/>
        <v/>
      </c>
      <c r="F673" t="str">
        <f t="shared" si="21"/>
        <v/>
      </c>
      <c r="G673" t="str">
        <f>IF(E673="","",IF(COUNTIF('DATA QCEW'!$A$2:$A$20,E673)&gt;0,"19-SECTOR","DETAIL / OTHER"))</f>
        <v/>
      </c>
    </row>
    <row r="674" spans="4:7">
      <c r="D674" s="8"/>
      <c r="E674" t="str">
        <f t="shared" si="20"/>
        <v/>
      </c>
      <c r="F674" t="str">
        <f t="shared" si="21"/>
        <v/>
      </c>
      <c r="G674" t="str">
        <f>IF(E674="","",IF(COUNTIF('DATA QCEW'!$A$2:$A$20,E674)&gt;0,"19-SECTOR","DETAIL / OTHER"))</f>
        <v/>
      </c>
    </row>
    <row r="675" spans="4:7">
      <c r="D675" s="8"/>
      <c r="E675" t="str">
        <f t="shared" si="20"/>
        <v/>
      </c>
      <c r="F675" t="str">
        <f t="shared" si="21"/>
        <v/>
      </c>
      <c r="G675" t="str">
        <f>IF(E675="","",IF(COUNTIF('DATA QCEW'!$A$2:$A$20,E675)&gt;0,"19-SECTOR","DETAIL / OTHER"))</f>
        <v/>
      </c>
    </row>
    <row r="676" spans="4:7">
      <c r="D676" s="8"/>
      <c r="E676" t="str">
        <f t="shared" si="20"/>
        <v/>
      </c>
      <c r="F676" t="str">
        <f t="shared" si="21"/>
        <v/>
      </c>
      <c r="G676" t="str">
        <f>IF(E676="","",IF(COUNTIF('DATA QCEW'!$A$2:$A$20,E676)&gt;0,"19-SECTOR","DETAIL / OTHER"))</f>
        <v/>
      </c>
    </row>
    <row r="677" spans="4:7">
      <c r="D677" s="8"/>
      <c r="E677" t="str">
        <f t="shared" si="20"/>
        <v/>
      </c>
      <c r="F677" t="str">
        <f t="shared" si="21"/>
        <v/>
      </c>
      <c r="G677" t="str">
        <f>IF(E677="","",IF(COUNTIF('DATA QCEW'!$A$2:$A$20,E677)&gt;0,"19-SECTOR","DETAIL / OTHER"))</f>
        <v/>
      </c>
    </row>
    <row r="678" spans="4:7">
      <c r="D678" s="8"/>
      <c r="E678" t="str">
        <f t="shared" si="20"/>
        <v/>
      </c>
      <c r="F678" t="str">
        <f t="shared" si="21"/>
        <v/>
      </c>
      <c r="G678" t="str">
        <f>IF(E678="","",IF(COUNTIF('DATA QCEW'!$A$2:$A$20,E678)&gt;0,"19-SECTOR","DETAIL / OTHER"))</f>
        <v/>
      </c>
    </row>
    <row r="679" spans="4:7">
      <c r="D679" s="8"/>
      <c r="E679" t="str">
        <f t="shared" si="20"/>
        <v/>
      </c>
      <c r="F679" t="str">
        <f t="shared" si="21"/>
        <v/>
      </c>
      <c r="G679" t="str">
        <f>IF(E679="","",IF(COUNTIF('DATA QCEW'!$A$2:$A$20,E679)&gt;0,"19-SECTOR","DETAIL / OTHER"))</f>
        <v/>
      </c>
    </row>
    <row r="680" spans="4:7">
      <c r="D680" s="8"/>
      <c r="E680" t="str">
        <f t="shared" si="20"/>
        <v/>
      </c>
      <c r="F680" t="str">
        <f t="shared" si="21"/>
        <v/>
      </c>
      <c r="G680" t="str">
        <f>IF(E680="","",IF(COUNTIF('DATA QCEW'!$A$2:$A$20,E680)&gt;0,"19-SECTOR","DETAIL / OTHER"))</f>
        <v/>
      </c>
    </row>
    <row r="681" spans="4:7">
      <c r="D681" s="8"/>
      <c r="E681" t="str">
        <f t="shared" si="20"/>
        <v/>
      </c>
      <c r="F681" t="str">
        <f t="shared" si="21"/>
        <v/>
      </c>
      <c r="G681" t="str">
        <f>IF(E681="","",IF(COUNTIF('DATA QCEW'!$A$2:$A$20,E681)&gt;0,"19-SECTOR","DETAIL / OTHER"))</f>
        <v/>
      </c>
    </row>
    <row r="682" spans="4:7">
      <c r="D682" s="8"/>
      <c r="E682" t="str">
        <f t="shared" si="20"/>
        <v/>
      </c>
      <c r="F682" t="str">
        <f t="shared" si="21"/>
        <v/>
      </c>
      <c r="G682" t="str">
        <f>IF(E682="","",IF(COUNTIF('DATA QCEW'!$A$2:$A$20,E682)&gt;0,"19-SECTOR","DETAIL / OTHER"))</f>
        <v/>
      </c>
    </row>
    <row r="683" spans="4:7">
      <c r="D683" s="8"/>
      <c r="E683" t="str">
        <f t="shared" si="20"/>
        <v/>
      </c>
      <c r="F683" t="str">
        <f t="shared" si="21"/>
        <v/>
      </c>
      <c r="G683" t="str">
        <f>IF(E683="","",IF(COUNTIF('DATA QCEW'!$A$2:$A$20,E683)&gt;0,"19-SECTOR","DETAIL / OTHER"))</f>
        <v/>
      </c>
    </row>
    <row r="684" spans="4:7">
      <c r="D684" s="8"/>
      <c r="E684" t="str">
        <f t="shared" si="20"/>
        <v/>
      </c>
      <c r="F684" t="str">
        <f t="shared" si="21"/>
        <v/>
      </c>
      <c r="G684" t="str">
        <f>IF(E684="","",IF(COUNTIF('DATA QCEW'!$A$2:$A$20,E684)&gt;0,"19-SECTOR","DETAIL / OTHER"))</f>
        <v/>
      </c>
    </row>
    <row r="685" spans="4:7">
      <c r="D685" s="8"/>
      <c r="E685" t="str">
        <f t="shared" si="20"/>
        <v/>
      </c>
      <c r="F685" t="str">
        <f t="shared" si="21"/>
        <v/>
      </c>
      <c r="G685" t="str">
        <f>IF(E685="","",IF(COUNTIF('DATA QCEW'!$A$2:$A$20,E685)&gt;0,"19-SECTOR","DETAIL / OTHER"))</f>
        <v/>
      </c>
    </row>
    <row r="686" spans="4:7">
      <c r="D686" s="8"/>
      <c r="E686" t="str">
        <f t="shared" si="20"/>
        <v/>
      </c>
      <c r="F686" t="str">
        <f t="shared" si="21"/>
        <v/>
      </c>
      <c r="G686" t="str">
        <f>IF(E686="","",IF(COUNTIF('DATA QCEW'!$A$2:$A$20,E686)&gt;0,"19-SECTOR","DETAIL / OTHER"))</f>
        <v/>
      </c>
    </row>
    <row r="687" spans="4:7">
      <c r="D687" s="8"/>
      <c r="E687" t="str">
        <f t="shared" si="20"/>
        <v/>
      </c>
      <c r="F687" t="str">
        <f t="shared" si="21"/>
        <v/>
      </c>
      <c r="G687" t="str">
        <f>IF(E687="","",IF(COUNTIF('DATA QCEW'!$A$2:$A$20,E687)&gt;0,"19-SECTOR","DETAIL / OTHER"))</f>
        <v/>
      </c>
    </row>
    <row r="688" spans="4:7">
      <c r="D688" s="8"/>
      <c r="E688" t="str">
        <f t="shared" si="20"/>
        <v/>
      </c>
      <c r="F688" t="str">
        <f t="shared" si="21"/>
        <v/>
      </c>
      <c r="G688" t="str">
        <f>IF(E688="","",IF(COUNTIF('DATA QCEW'!$A$2:$A$20,E688)&gt;0,"19-SECTOR","DETAIL / OTHER"))</f>
        <v/>
      </c>
    </row>
    <row r="689" spans="4:7">
      <c r="D689" s="8"/>
      <c r="E689" t="str">
        <f t="shared" si="20"/>
        <v/>
      </c>
      <c r="F689" t="str">
        <f t="shared" si="21"/>
        <v/>
      </c>
      <c r="G689" t="str">
        <f>IF(E689="","",IF(COUNTIF('DATA QCEW'!$A$2:$A$20,E689)&gt;0,"19-SECTOR","DETAIL / OTHER"))</f>
        <v/>
      </c>
    </row>
    <row r="690" spans="4:7">
      <c r="D690" s="8"/>
      <c r="E690" t="str">
        <f t="shared" si="20"/>
        <v/>
      </c>
      <c r="F690" t="str">
        <f t="shared" si="21"/>
        <v/>
      </c>
      <c r="G690" t="str">
        <f>IF(E690="","",IF(COUNTIF('DATA QCEW'!$A$2:$A$20,E690)&gt;0,"19-SECTOR","DETAIL / OTHER"))</f>
        <v/>
      </c>
    </row>
    <row r="691" spans="4:7">
      <c r="D691" s="8"/>
      <c r="E691" t="str">
        <f t="shared" si="20"/>
        <v/>
      </c>
      <c r="F691" t="str">
        <f t="shared" si="21"/>
        <v/>
      </c>
      <c r="G691" t="str">
        <f>IF(E691="","",IF(COUNTIF('DATA QCEW'!$A$2:$A$20,E691)&gt;0,"19-SECTOR","DETAIL / OTHER"))</f>
        <v/>
      </c>
    </row>
    <row r="692" spans="4:7">
      <c r="D692" s="8"/>
      <c r="E692" t="str">
        <f t="shared" si="20"/>
        <v/>
      </c>
      <c r="F692" t="str">
        <f t="shared" si="21"/>
        <v/>
      </c>
      <c r="G692" t="str">
        <f>IF(E692="","",IF(COUNTIF('DATA QCEW'!$A$2:$A$20,E692)&gt;0,"19-SECTOR","DETAIL / OTHER"))</f>
        <v/>
      </c>
    </row>
    <row r="693" spans="4:7">
      <c r="D693" s="8"/>
      <c r="E693" t="str">
        <f t="shared" si="20"/>
        <v/>
      </c>
      <c r="F693" t="str">
        <f t="shared" si="21"/>
        <v/>
      </c>
      <c r="G693" t="str">
        <f>IF(E693="","",IF(COUNTIF('DATA QCEW'!$A$2:$A$20,E693)&gt;0,"19-SECTOR","DETAIL / OTHER"))</f>
        <v/>
      </c>
    </row>
    <row r="694" spans="4:7">
      <c r="D694" s="8"/>
      <c r="E694" t="str">
        <f t="shared" si="20"/>
        <v/>
      </c>
      <c r="F694" t="str">
        <f t="shared" si="21"/>
        <v/>
      </c>
      <c r="G694" t="str">
        <f>IF(E694="","",IF(COUNTIF('DATA QCEW'!$A$2:$A$20,E694)&gt;0,"19-SECTOR","DETAIL / OTHER"))</f>
        <v/>
      </c>
    </row>
    <row r="695" spans="4:7">
      <c r="D695" s="8"/>
      <c r="E695" t="str">
        <f t="shared" si="20"/>
        <v/>
      </c>
      <c r="F695" t="str">
        <f t="shared" si="21"/>
        <v/>
      </c>
      <c r="G695" t="str">
        <f>IF(E695="","",IF(COUNTIF('DATA QCEW'!$A$2:$A$20,E695)&gt;0,"19-SECTOR","DETAIL / OTHER"))</f>
        <v/>
      </c>
    </row>
    <row r="696" spans="4:7">
      <c r="D696" s="8"/>
      <c r="E696" t="str">
        <f t="shared" si="20"/>
        <v/>
      </c>
      <c r="F696" t="str">
        <f t="shared" si="21"/>
        <v/>
      </c>
      <c r="G696" t="str">
        <f>IF(E696="","",IF(COUNTIF('DATA QCEW'!$A$2:$A$20,E696)&gt;0,"19-SECTOR","DETAIL / OTHER"))</f>
        <v/>
      </c>
    </row>
    <row r="697" spans="4:7">
      <c r="D697" s="8"/>
      <c r="E697" t="str">
        <f t="shared" si="20"/>
        <v/>
      </c>
      <c r="F697" t="str">
        <f t="shared" si="21"/>
        <v/>
      </c>
      <c r="G697" t="str">
        <f>IF(E697="","",IF(COUNTIF('DATA QCEW'!$A$2:$A$20,E697)&gt;0,"19-SECTOR","DETAIL / OTHER"))</f>
        <v/>
      </c>
    </row>
    <row r="698" spans="4:7">
      <c r="D698" s="8"/>
      <c r="E698" t="str">
        <f t="shared" si="20"/>
        <v/>
      </c>
      <c r="F698" t="str">
        <f t="shared" si="21"/>
        <v/>
      </c>
      <c r="G698" t="str">
        <f>IF(E698="","",IF(COUNTIF('DATA QCEW'!$A$2:$A$20,E698)&gt;0,"19-SECTOR","DETAIL / OTHER"))</f>
        <v/>
      </c>
    </row>
    <row r="699" spans="4:7">
      <c r="D699" s="8"/>
      <c r="E699" t="str">
        <f t="shared" si="20"/>
        <v/>
      </c>
      <c r="F699" t="str">
        <f t="shared" si="21"/>
        <v/>
      </c>
      <c r="G699" t="str">
        <f>IF(E699="","",IF(COUNTIF('DATA QCEW'!$A$2:$A$20,E699)&gt;0,"19-SECTOR","DETAIL / OTHER"))</f>
        <v/>
      </c>
    </row>
    <row r="700" spans="4:7">
      <c r="D700" s="8"/>
      <c r="E700" t="str">
        <f t="shared" si="20"/>
        <v/>
      </c>
      <c r="F700" t="str">
        <f t="shared" si="21"/>
        <v/>
      </c>
      <c r="G700" t="str">
        <f>IF(E700="","",IF(COUNTIF('DATA QCEW'!$A$2:$A$20,E700)&gt;0,"19-SECTOR","DETAIL / OTHER"))</f>
        <v/>
      </c>
    </row>
    <row r="701" spans="4:7">
      <c r="D701" s="8"/>
      <c r="E701" t="str">
        <f t="shared" si="20"/>
        <v/>
      </c>
      <c r="F701" t="str">
        <f t="shared" si="21"/>
        <v/>
      </c>
      <c r="G701" t="str">
        <f>IF(E701="","",IF(COUNTIF('DATA QCEW'!$A$2:$A$20,E701)&gt;0,"19-SECTOR","DETAIL / OTHER"))</f>
        <v/>
      </c>
    </row>
    <row r="702" spans="4:7">
      <c r="D702" s="8"/>
      <c r="E702" t="str">
        <f t="shared" si="20"/>
        <v/>
      </c>
      <c r="F702" t="str">
        <f t="shared" si="21"/>
        <v/>
      </c>
      <c r="G702" t="str">
        <f>IF(E702="","",IF(COUNTIF('DATA QCEW'!$A$2:$A$20,E702)&gt;0,"19-SECTOR","DETAIL / OTHER"))</f>
        <v/>
      </c>
    </row>
    <row r="703" spans="4:7">
      <c r="D703" s="8"/>
      <c r="E703" t="str">
        <f t="shared" si="20"/>
        <v/>
      </c>
      <c r="F703" t="str">
        <f t="shared" si="21"/>
        <v/>
      </c>
      <c r="G703" t="str">
        <f>IF(E703="","",IF(COUNTIF('DATA QCEW'!$A$2:$A$20,E703)&gt;0,"19-SECTOR","DETAIL / OTHER"))</f>
        <v/>
      </c>
    </row>
    <row r="704" spans="4:7">
      <c r="D704" s="8"/>
      <c r="E704" t="str">
        <f t="shared" si="20"/>
        <v/>
      </c>
      <c r="F704" t="str">
        <f t="shared" si="21"/>
        <v/>
      </c>
      <c r="G704" t="str">
        <f>IF(E704="","",IF(COUNTIF('DATA QCEW'!$A$2:$A$20,E704)&gt;0,"19-SECTOR","DETAIL / OTHER"))</f>
        <v/>
      </c>
    </row>
    <row r="705" spans="4:7">
      <c r="D705" s="8"/>
      <c r="E705" t="str">
        <f t="shared" si="20"/>
        <v/>
      </c>
      <c r="F705" t="str">
        <f t="shared" si="21"/>
        <v/>
      </c>
      <c r="G705" t="str">
        <f>IF(E705="","",IF(COUNTIF('DATA QCEW'!$A$2:$A$20,E705)&gt;0,"19-SECTOR","DETAIL / OTHER"))</f>
        <v/>
      </c>
    </row>
    <row r="706" spans="4:7">
      <c r="D706" s="8"/>
      <c r="E706" t="str">
        <f t="shared" ref="E706:E769" si="22">IF(LEFT(TRIM(A706),6)="NAICS ",IFERROR(MID(TRIM(A706),7,FIND(" ",TRIM(A706)&amp;" ",7)-7),""),"")</f>
        <v/>
      </c>
      <c r="F706" t="str">
        <f t="shared" ref="F706:F769" si="23">IF(E706="","",TRIM(MID(TRIM(A706),FIND(" ",TRIM(A706)&amp;" ",7)+1,255)))</f>
        <v/>
      </c>
      <c r="G706" t="str">
        <f>IF(E706="","",IF(COUNTIF('DATA QCEW'!$A$2:$A$20,E706)&gt;0,"19-SECTOR","DETAIL / OTHER"))</f>
        <v/>
      </c>
    </row>
    <row r="707" spans="4:7">
      <c r="D707" s="8"/>
      <c r="E707" t="str">
        <f t="shared" si="22"/>
        <v/>
      </c>
      <c r="F707" t="str">
        <f t="shared" si="23"/>
        <v/>
      </c>
      <c r="G707" t="str">
        <f>IF(E707="","",IF(COUNTIF('DATA QCEW'!$A$2:$A$20,E707)&gt;0,"19-SECTOR","DETAIL / OTHER"))</f>
        <v/>
      </c>
    </row>
    <row r="708" spans="4:7">
      <c r="D708" s="8"/>
      <c r="E708" t="str">
        <f t="shared" si="22"/>
        <v/>
      </c>
      <c r="F708" t="str">
        <f t="shared" si="23"/>
        <v/>
      </c>
      <c r="G708" t="str">
        <f>IF(E708="","",IF(COUNTIF('DATA QCEW'!$A$2:$A$20,E708)&gt;0,"19-SECTOR","DETAIL / OTHER"))</f>
        <v/>
      </c>
    </row>
    <row r="709" spans="4:7">
      <c r="D709" s="8"/>
      <c r="E709" t="str">
        <f t="shared" si="22"/>
        <v/>
      </c>
      <c r="F709" t="str">
        <f t="shared" si="23"/>
        <v/>
      </c>
      <c r="G709" t="str">
        <f>IF(E709="","",IF(COUNTIF('DATA QCEW'!$A$2:$A$20,E709)&gt;0,"19-SECTOR","DETAIL / OTHER"))</f>
        <v/>
      </c>
    </row>
    <row r="710" spans="4:7">
      <c r="D710" s="8"/>
      <c r="E710" t="str">
        <f t="shared" si="22"/>
        <v/>
      </c>
      <c r="F710" t="str">
        <f t="shared" si="23"/>
        <v/>
      </c>
      <c r="G710" t="str">
        <f>IF(E710="","",IF(COUNTIF('DATA QCEW'!$A$2:$A$20,E710)&gt;0,"19-SECTOR","DETAIL / OTHER"))</f>
        <v/>
      </c>
    </row>
    <row r="711" spans="4:7">
      <c r="D711" s="8"/>
      <c r="E711" t="str">
        <f t="shared" si="22"/>
        <v/>
      </c>
      <c r="F711" t="str">
        <f t="shared" si="23"/>
        <v/>
      </c>
      <c r="G711" t="str">
        <f>IF(E711="","",IF(COUNTIF('DATA QCEW'!$A$2:$A$20,E711)&gt;0,"19-SECTOR","DETAIL / OTHER"))</f>
        <v/>
      </c>
    </row>
    <row r="712" spans="4:7">
      <c r="D712" s="8"/>
      <c r="E712" t="str">
        <f t="shared" si="22"/>
        <v/>
      </c>
      <c r="F712" t="str">
        <f t="shared" si="23"/>
        <v/>
      </c>
      <c r="G712" t="str">
        <f>IF(E712="","",IF(COUNTIF('DATA QCEW'!$A$2:$A$20,E712)&gt;0,"19-SECTOR","DETAIL / OTHER"))</f>
        <v/>
      </c>
    </row>
    <row r="713" spans="4:7">
      <c r="D713" s="8"/>
      <c r="E713" t="str">
        <f t="shared" si="22"/>
        <v/>
      </c>
      <c r="F713" t="str">
        <f t="shared" si="23"/>
        <v/>
      </c>
      <c r="G713" t="str">
        <f>IF(E713="","",IF(COUNTIF('DATA QCEW'!$A$2:$A$20,E713)&gt;0,"19-SECTOR","DETAIL / OTHER"))</f>
        <v/>
      </c>
    </row>
    <row r="714" spans="4:7">
      <c r="D714" s="8"/>
      <c r="E714" t="str">
        <f t="shared" si="22"/>
        <v/>
      </c>
      <c r="F714" t="str">
        <f t="shared" si="23"/>
        <v/>
      </c>
      <c r="G714" t="str">
        <f>IF(E714="","",IF(COUNTIF('DATA QCEW'!$A$2:$A$20,E714)&gt;0,"19-SECTOR","DETAIL / OTHER"))</f>
        <v/>
      </c>
    </row>
    <row r="715" spans="4:7">
      <c r="D715" s="8"/>
      <c r="E715" t="str">
        <f t="shared" si="22"/>
        <v/>
      </c>
      <c r="F715" t="str">
        <f t="shared" si="23"/>
        <v/>
      </c>
      <c r="G715" t="str">
        <f>IF(E715="","",IF(COUNTIF('DATA QCEW'!$A$2:$A$20,E715)&gt;0,"19-SECTOR","DETAIL / OTHER"))</f>
        <v/>
      </c>
    </row>
    <row r="716" spans="4:7">
      <c r="D716" s="8"/>
      <c r="E716" t="str">
        <f t="shared" si="22"/>
        <v/>
      </c>
      <c r="F716" t="str">
        <f t="shared" si="23"/>
        <v/>
      </c>
      <c r="G716" t="str">
        <f>IF(E716="","",IF(COUNTIF('DATA QCEW'!$A$2:$A$20,E716)&gt;0,"19-SECTOR","DETAIL / OTHER"))</f>
        <v/>
      </c>
    </row>
    <row r="717" spans="4:7">
      <c r="D717" s="8"/>
      <c r="E717" t="str">
        <f t="shared" si="22"/>
        <v/>
      </c>
      <c r="F717" t="str">
        <f t="shared" si="23"/>
        <v/>
      </c>
      <c r="G717" t="str">
        <f>IF(E717="","",IF(COUNTIF('DATA QCEW'!$A$2:$A$20,E717)&gt;0,"19-SECTOR","DETAIL / OTHER"))</f>
        <v/>
      </c>
    </row>
    <row r="718" spans="4:7">
      <c r="D718" s="8"/>
      <c r="E718" t="str">
        <f t="shared" si="22"/>
        <v/>
      </c>
      <c r="F718" t="str">
        <f t="shared" si="23"/>
        <v/>
      </c>
      <c r="G718" t="str">
        <f>IF(E718="","",IF(COUNTIF('DATA QCEW'!$A$2:$A$20,E718)&gt;0,"19-SECTOR","DETAIL / OTHER"))</f>
        <v/>
      </c>
    </row>
    <row r="719" spans="4:7">
      <c r="D719" s="8"/>
      <c r="E719" t="str">
        <f t="shared" si="22"/>
        <v/>
      </c>
      <c r="F719" t="str">
        <f t="shared" si="23"/>
        <v/>
      </c>
      <c r="G719" t="str">
        <f>IF(E719="","",IF(COUNTIF('DATA QCEW'!$A$2:$A$20,E719)&gt;0,"19-SECTOR","DETAIL / OTHER"))</f>
        <v/>
      </c>
    </row>
    <row r="720" spans="4:7">
      <c r="D720" s="8"/>
      <c r="E720" t="str">
        <f t="shared" si="22"/>
        <v/>
      </c>
      <c r="F720" t="str">
        <f t="shared" si="23"/>
        <v/>
      </c>
      <c r="G720" t="str">
        <f>IF(E720="","",IF(COUNTIF('DATA QCEW'!$A$2:$A$20,E720)&gt;0,"19-SECTOR","DETAIL / OTHER"))</f>
        <v/>
      </c>
    </row>
    <row r="721" spans="4:7">
      <c r="D721" s="8"/>
      <c r="E721" t="str">
        <f t="shared" si="22"/>
        <v/>
      </c>
      <c r="F721" t="str">
        <f t="shared" si="23"/>
        <v/>
      </c>
      <c r="G721" t="str">
        <f>IF(E721="","",IF(COUNTIF('DATA QCEW'!$A$2:$A$20,E721)&gt;0,"19-SECTOR","DETAIL / OTHER"))</f>
        <v/>
      </c>
    </row>
    <row r="722" spans="4:7">
      <c r="D722" s="8"/>
      <c r="E722" t="str">
        <f t="shared" si="22"/>
        <v/>
      </c>
      <c r="F722" t="str">
        <f t="shared" si="23"/>
        <v/>
      </c>
      <c r="G722" t="str">
        <f>IF(E722="","",IF(COUNTIF('DATA QCEW'!$A$2:$A$20,E722)&gt;0,"19-SECTOR","DETAIL / OTHER"))</f>
        <v/>
      </c>
    </row>
    <row r="723" spans="4:7">
      <c r="D723" s="8"/>
      <c r="E723" t="str">
        <f t="shared" si="22"/>
        <v/>
      </c>
      <c r="F723" t="str">
        <f t="shared" si="23"/>
        <v/>
      </c>
      <c r="G723" t="str">
        <f>IF(E723="","",IF(COUNTIF('DATA QCEW'!$A$2:$A$20,E723)&gt;0,"19-SECTOR","DETAIL / OTHER"))</f>
        <v/>
      </c>
    </row>
    <row r="724" spans="4:7">
      <c r="D724" s="8"/>
      <c r="E724" t="str">
        <f t="shared" si="22"/>
        <v/>
      </c>
      <c r="F724" t="str">
        <f t="shared" si="23"/>
        <v/>
      </c>
      <c r="G724" t="str">
        <f>IF(E724="","",IF(COUNTIF('DATA QCEW'!$A$2:$A$20,E724)&gt;0,"19-SECTOR","DETAIL / OTHER"))</f>
        <v/>
      </c>
    </row>
    <row r="725" spans="4:7">
      <c r="D725" s="8"/>
      <c r="E725" t="str">
        <f t="shared" si="22"/>
        <v/>
      </c>
      <c r="F725" t="str">
        <f t="shared" si="23"/>
        <v/>
      </c>
      <c r="G725" t="str">
        <f>IF(E725="","",IF(COUNTIF('DATA QCEW'!$A$2:$A$20,E725)&gt;0,"19-SECTOR","DETAIL / OTHER"))</f>
        <v/>
      </c>
    </row>
    <row r="726" spans="4:7">
      <c r="D726" s="8"/>
      <c r="E726" t="str">
        <f t="shared" si="22"/>
        <v/>
      </c>
      <c r="F726" t="str">
        <f t="shared" si="23"/>
        <v/>
      </c>
      <c r="G726" t="str">
        <f>IF(E726="","",IF(COUNTIF('DATA QCEW'!$A$2:$A$20,E726)&gt;0,"19-SECTOR","DETAIL / OTHER"))</f>
        <v/>
      </c>
    </row>
    <row r="727" spans="4:7">
      <c r="D727" s="8"/>
      <c r="E727" t="str">
        <f t="shared" si="22"/>
        <v/>
      </c>
      <c r="F727" t="str">
        <f t="shared" si="23"/>
        <v/>
      </c>
      <c r="G727" t="str">
        <f>IF(E727="","",IF(COUNTIF('DATA QCEW'!$A$2:$A$20,E727)&gt;0,"19-SECTOR","DETAIL / OTHER"))</f>
        <v/>
      </c>
    </row>
    <row r="728" spans="4:7">
      <c r="D728" s="8"/>
      <c r="E728" t="str">
        <f t="shared" si="22"/>
        <v/>
      </c>
      <c r="F728" t="str">
        <f t="shared" si="23"/>
        <v/>
      </c>
      <c r="G728" t="str">
        <f>IF(E728="","",IF(COUNTIF('DATA QCEW'!$A$2:$A$20,E728)&gt;0,"19-SECTOR","DETAIL / OTHER"))</f>
        <v/>
      </c>
    </row>
    <row r="729" spans="4:7">
      <c r="D729" s="8"/>
      <c r="E729" t="str">
        <f t="shared" si="22"/>
        <v/>
      </c>
      <c r="F729" t="str">
        <f t="shared" si="23"/>
        <v/>
      </c>
      <c r="G729" t="str">
        <f>IF(E729="","",IF(COUNTIF('DATA QCEW'!$A$2:$A$20,E729)&gt;0,"19-SECTOR","DETAIL / OTHER"))</f>
        <v/>
      </c>
    </row>
    <row r="730" spans="4:7">
      <c r="D730" s="8"/>
      <c r="E730" t="str">
        <f t="shared" si="22"/>
        <v/>
      </c>
      <c r="F730" t="str">
        <f t="shared" si="23"/>
        <v/>
      </c>
      <c r="G730" t="str">
        <f>IF(E730="","",IF(COUNTIF('DATA QCEW'!$A$2:$A$20,E730)&gt;0,"19-SECTOR","DETAIL / OTHER"))</f>
        <v/>
      </c>
    </row>
    <row r="731" spans="4:7">
      <c r="D731" s="8"/>
      <c r="E731" t="str">
        <f t="shared" si="22"/>
        <v/>
      </c>
      <c r="F731" t="str">
        <f t="shared" si="23"/>
        <v/>
      </c>
      <c r="G731" t="str">
        <f>IF(E731="","",IF(COUNTIF('DATA QCEW'!$A$2:$A$20,E731)&gt;0,"19-SECTOR","DETAIL / OTHER"))</f>
        <v/>
      </c>
    </row>
    <row r="732" spans="4:7">
      <c r="D732" s="8"/>
      <c r="E732" t="str">
        <f t="shared" si="22"/>
        <v/>
      </c>
      <c r="F732" t="str">
        <f t="shared" si="23"/>
        <v/>
      </c>
      <c r="G732" t="str">
        <f>IF(E732="","",IF(COUNTIF('DATA QCEW'!$A$2:$A$20,E732)&gt;0,"19-SECTOR","DETAIL / OTHER"))</f>
        <v/>
      </c>
    </row>
    <row r="733" spans="4:7">
      <c r="D733" s="8"/>
      <c r="E733" t="str">
        <f t="shared" si="22"/>
        <v/>
      </c>
      <c r="F733" t="str">
        <f t="shared" si="23"/>
        <v/>
      </c>
      <c r="G733" t="str">
        <f>IF(E733="","",IF(COUNTIF('DATA QCEW'!$A$2:$A$20,E733)&gt;0,"19-SECTOR","DETAIL / OTHER"))</f>
        <v/>
      </c>
    </row>
    <row r="734" spans="4:7">
      <c r="D734" s="8"/>
      <c r="E734" t="str">
        <f t="shared" si="22"/>
        <v/>
      </c>
      <c r="F734" t="str">
        <f t="shared" si="23"/>
        <v/>
      </c>
      <c r="G734" t="str">
        <f>IF(E734="","",IF(COUNTIF('DATA QCEW'!$A$2:$A$20,E734)&gt;0,"19-SECTOR","DETAIL / OTHER"))</f>
        <v/>
      </c>
    </row>
    <row r="735" spans="4:7">
      <c r="D735" s="8"/>
      <c r="E735" t="str">
        <f t="shared" si="22"/>
        <v/>
      </c>
      <c r="F735" t="str">
        <f t="shared" si="23"/>
        <v/>
      </c>
      <c r="G735" t="str">
        <f>IF(E735="","",IF(COUNTIF('DATA QCEW'!$A$2:$A$20,E735)&gt;0,"19-SECTOR","DETAIL / OTHER"))</f>
        <v/>
      </c>
    </row>
    <row r="736" spans="4:7">
      <c r="D736" s="8"/>
      <c r="E736" t="str">
        <f t="shared" si="22"/>
        <v/>
      </c>
      <c r="F736" t="str">
        <f t="shared" si="23"/>
        <v/>
      </c>
      <c r="G736" t="str">
        <f>IF(E736="","",IF(COUNTIF('DATA QCEW'!$A$2:$A$20,E736)&gt;0,"19-SECTOR","DETAIL / OTHER"))</f>
        <v/>
      </c>
    </row>
    <row r="737" spans="4:7">
      <c r="D737" s="8"/>
      <c r="E737" t="str">
        <f t="shared" si="22"/>
        <v/>
      </c>
      <c r="F737" t="str">
        <f t="shared" si="23"/>
        <v/>
      </c>
      <c r="G737" t="str">
        <f>IF(E737="","",IF(COUNTIF('DATA QCEW'!$A$2:$A$20,E737)&gt;0,"19-SECTOR","DETAIL / OTHER"))</f>
        <v/>
      </c>
    </row>
    <row r="738" spans="4:7">
      <c r="D738" s="8"/>
      <c r="E738" t="str">
        <f t="shared" si="22"/>
        <v/>
      </c>
      <c r="F738" t="str">
        <f t="shared" si="23"/>
        <v/>
      </c>
      <c r="G738" t="str">
        <f>IF(E738="","",IF(COUNTIF('DATA QCEW'!$A$2:$A$20,E738)&gt;0,"19-SECTOR","DETAIL / OTHER"))</f>
        <v/>
      </c>
    </row>
    <row r="739" spans="4:7">
      <c r="D739" s="8"/>
      <c r="E739" t="str">
        <f t="shared" si="22"/>
        <v/>
      </c>
      <c r="F739" t="str">
        <f t="shared" si="23"/>
        <v/>
      </c>
      <c r="G739" t="str">
        <f>IF(E739="","",IF(COUNTIF('DATA QCEW'!$A$2:$A$20,E739)&gt;0,"19-SECTOR","DETAIL / OTHER"))</f>
        <v/>
      </c>
    </row>
    <row r="740" spans="4:7">
      <c r="D740" s="8"/>
      <c r="E740" t="str">
        <f t="shared" si="22"/>
        <v/>
      </c>
      <c r="F740" t="str">
        <f t="shared" si="23"/>
        <v/>
      </c>
      <c r="G740" t="str">
        <f>IF(E740="","",IF(COUNTIF('DATA QCEW'!$A$2:$A$20,E740)&gt;0,"19-SECTOR","DETAIL / OTHER"))</f>
        <v/>
      </c>
    </row>
    <row r="741" spans="4:7">
      <c r="D741" s="8"/>
      <c r="E741" t="str">
        <f t="shared" si="22"/>
        <v/>
      </c>
      <c r="F741" t="str">
        <f t="shared" si="23"/>
        <v/>
      </c>
      <c r="G741" t="str">
        <f>IF(E741="","",IF(COUNTIF('DATA QCEW'!$A$2:$A$20,E741)&gt;0,"19-SECTOR","DETAIL / OTHER"))</f>
        <v/>
      </c>
    </row>
    <row r="742" spans="4:7">
      <c r="D742" s="8"/>
      <c r="E742" t="str">
        <f t="shared" si="22"/>
        <v/>
      </c>
      <c r="F742" t="str">
        <f t="shared" si="23"/>
        <v/>
      </c>
      <c r="G742" t="str">
        <f>IF(E742="","",IF(COUNTIF('DATA QCEW'!$A$2:$A$20,E742)&gt;0,"19-SECTOR","DETAIL / OTHER"))</f>
        <v/>
      </c>
    </row>
    <row r="743" spans="4:7">
      <c r="D743" s="8"/>
      <c r="E743" t="str">
        <f t="shared" si="22"/>
        <v/>
      </c>
      <c r="F743" t="str">
        <f t="shared" si="23"/>
        <v/>
      </c>
      <c r="G743" t="str">
        <f>IF(E743="","",IF(COUNTIF('DATA QCEW'!$A$2:$A$20,E743)&gt;0,"19-SECTOR","DETAIL / OTHER"))</f>
        <v/>
      </c>
    </row>
    <row r="744" spans="4:7">
      <c r="D744" s="8"/>
      <c r="E744" t="str">
        <f t="shared" si="22"/>
        <v/>
      </c>
      <c r="F744" t="str">
        <f t="shared" si="23"/>
        <v/>
      </c>
      <c r="G744" t="str">
        <f>IF(E744="","",IF(COUNTIF('DATA QCEW'!$A$2:$A$20,E744)&gt;0,"19-SECTOR","DETAIL / OTHER"))</f>
        <v/>
      </c>
    </row>
    <row r="745" spans="4:7">
      <c r="D745" s="8"/>
      <c r="E745" t="str">
        <f t="shared" si="22"/>
        <v/>
      </c>
      <c r="F745" t="str">
        <f t="shared" si="23"/>
        <v/>
      </c>
      <c r="G745" t="str">
        <f>IF(E745="","",IF(COUNTIF('DATA QCEW'!$A$2:$A$20,E745)&gt;0,"19-SECTOR","DETAIL / OTHER"))</f>
        <v/>
      </c>
    </row>
    <row r="746" spans="4:7">
      <c r="D746" s="8"/>
      <c r="E746" t="str">
        <f t="shared" si="22"/>
        <v/>
      </c>
      <c r="F746" t="str">
        <f t="shared" si="23"/>
        <v/>
      </c>
      <c r="G746" t="str">
        <f>IF(E746="","",IF(COUNTIF('DATA QCEW'!$A$2:$A$20,E746)&gt;0,"19-SECTOR","DETAIL / OTHER"))</f>
        <v/>
      </c>
    </row>
    <row r="747" spans="4:7">
      <c r="D747" s="8"/>
      <c r="E747" t="str">
        <f t="shared" si="22"/>
        <v/>
      </c>
      <c r="F747" t="str">
        <f t="shared" si="23"/>
        <v/>
      </c>
      <c r="G747" t="str">
        <f>IF(E747="","",IF(COUNTIF('DATA QCEW'!$A$2:$A$20,E747)&gt;0,"19-SECTOR","DETAIL / OTHER"))</f>
        <v/>
      </c>
    </row>
    <row r="748" spans="4:7">
      <c r="D748" s="8"/>
      <c r="E748" t="str">
        <f t="shared" si="22"/>
        <v/>
      </c>
      <c r="F748" t="str">
        <f t="shared" si="23"/>
        <v/>
      </c>
      <c r="G748" t="str">
        <f>IF(E748="","",IF(COUNTIF('DATA QCEW'!$A$2:$A$20,E748)&gt;0,"19-SECTOR","DETAIL / OTHER"))</f>
        <v/>
      </c>
    </row>
    <row r="749" spans="4:7">
      <c r="D749" s="8"/>
      <c r="E749" t="str">
        <f t="shared" si="22"/>
        <v/>
      </c>
      <c r="F749" t="str">
        <f t="shared" si="23"/>
        <v/>
      </c>
      <c r="G749" t="str">
        <f>IF(E749="","",IF(COUNTIF('DATA QCEW'!$A$2:$A$20,E749)&gt;0,"19-SECTOR","DETAIL / OTHER"))</f>
        <v/>
      </c>
    </row>
    <row r="750" spans="4:7">
      <c r="D750" s="8"/>
      <c r="E750" t="str">
        <f t="shared" si="22"/>
        <v/>
      </c>
      <c r="F750" t="str">
        <f t="shared" si="23"/>
        <v/>
      </c>
      <c r="G750" t="str">
        <f>IF(E750="","",IF(COUNTIF('DATA QCEW'!$A$2:$A$20,E750)&gt;0,"19-SECTOR","DETAIL / OTHER"))</f>
        <v/>
      </c>
    </row>
    <row r="751" spans="4:7">
      <c r="D751" s="8"/>
      <c r="E751" t="str">
        <f t="shared" si="22"/>
        <v/>
      </c>
      <c r="F751" t="str">
        <f t="shared" si="23"/>
        <v/>
      </c>
      <c r="G751" t="str">
        <f>IF(E751="","",IF(COUNTIF('DATA QCEW'!$A$2:$A$20,E751)&gt;0,"19-SECTOR","DETAIL / OTHER"))</f>
        <v/>
      </c>
    </row>
    <row r="752" spans="4:7">
      <c r="D752" s="8"/>
      <c r="E752" t="str">
        <f t="shared" si="22"/>
        <v/>
      </c>
      <c r="F752" t="str">
        <f t="shared" si="23"/>
        <v/>
      </c>
      <c r="G752" t="str">
        <f>IF(E752="","",IF(COUNTIF('DATA QCEW'!$A$2:$A$20,E752)&gt;0,"19-SECTOR","DETAIL / OTHER"))</f>
        <v/>
      </c>
    </row>
    <row r="753" spans="4:7">
      <c r="D753" s="8"/>
      <c r="E753" t="str">
        <f t="shared" si="22"/>
        <v/>
      </c>
      <c r="F753" t="str">
        <f t="shared" si="23"/>
        <v/>
      </c>
      <c r="G753" t="str">
        <f>IF(E753="","",IF(COUNTIF('DATA QCEW'!$A$2:$A$20,E753)&gt;0,"19-SECTOR","DETAIL / OTHER"))</f>
        <v/>
      </c>
    </row>
    <row r="754" spans="4:7">
      <c r="D754" s="8"/>
      <c r="E754" t="str">
        <f t="shared" si="22"/>
        <v/>
      </c>
      <c r="F754" t="str">
        <f t="shared" si="23"/>
        <v/>
      </c>
      <c r="G754" t="str">
        <f>IF(E754="","",IF(COUNTIF('DATA QCEW'!$A$2:$A$20,E754)&gt;0,"19-SECTOR","DETAIL / OTHER"))</f>
        <v/>
      </c>
    </row>
    <row r="755" spans="4:7">
      <c r="D755" s="8"/>
      <c r="E755" t="str">
        <f t="shared" si="22"/>
        <v/>
      </c>
      <c r="F755" t="str">
        <f t="shared" si="23"/>
        <v/>
      </c>
      <c r="G755" t="str">
        <f>IF(E755="","",IF(COUNTIF('DATA QCEW'!$A$2:$A$20,E755)&gt;0,"19-SECTOR","DETAIL / OTHER"))</f>
        <v/>
      </c>
    </row>
    <row r="756" spans="4:7">
      <c r="D756" s="8"/>
      <c r="E756" t="str">
        <f t="shared" si="22"/>
        <v/>
      </c>
      <c r="F756" t="str">
        <f t="shared" si="23"/>
        <v/>
      </c>
      <c r="G756" t="str">
        <f>IF(E756="","",IF(COUNTIF('DATA QCEW'!$A$2:$A$20,E756)&gt;0,"19-SECTOR","DETAIL / OTHER"))</f>
        <v/>
      </c>
    </row>
    <row r="757" spans="4:7">
      <c r="D757" s="8"/>
      <c r="E757" t="str">
        <f t="shared" si="22"/>
        <v/>
      </c>
      <c r="F757" t="str">
        <f t="shared" si="23"/>
        <v/>
      </c>
      <c r="G757" t="str">
        <f>IF(E757="","",IF(COUNTIF('DATA QCEW'!$A$2:$A$20,E757)&gt;0,"19-SECTOR","DETAIL / OTHER"))</f>
        <v/>
      </c>
    </row>
    <row r="758" spans="4:7">
      <c r="D758" s="8"/>
      <c r="E758" t="str">
        <f t="shared" si="22"/>
        <v/>
      </c>
      <c r="F758" t="str">
        <f t="shared" si="23"/>
        <v/>
      </c>
      <c r="G758" t="str">
        <f>IF(E758="","",IF(COUNTIF('DATA QCEW'!$A$2:$A$20,E758)&gt;0,"19-SECTOR","DETAIL / OTHER"))</f>
        <v/>
      </c>
    </row>
    <row r="759" spans="4:7">
      <c r="D759" s="8"/>
      <c r="E759" t="str">
        <f t="shared" si="22"/>
        <v/>
      </c>
      <c r="F759" t="str">
        <f t="shared" si="23"/>
        <v/>
      </c>
      <c r="G759" t="str">
        <f>IF(E759="","",IF(COUNTIF('DATA QCEW'!$A$2:$A$20,E759)&gt;0,"19-SECTOR","DETAIL / OTHER"))</f>
        <v/>
      </c>
    </row>
    <row r="760" spans="4:7">
      <c r="D760" s="8"/>
      <c r="E760" t="str">
        <f t="shared" si="22"/>
        <v/>
      </c>
      <c r="F760" t="str">
        <f t="shared" si="23"/>
        <v/>
      </c>
      <c r="G760" t="str">
        <f>IF(E760="","",IF(COUNTIF('DATA QCEW'!$A$2:$A$20,E760)&gt;0,"19-SECTOR","DETAIL / OTHER"))</f>
        <v/>
      </c>
    </row>
    <row r="761" spans="4:7">
      <c r="D761" s="8"/>
      <c r="E761" t="str">
        <f t="shared" si="22"/>
        <v/>
      </c>
      <c r="F761" t="str">
        <f t="shared" si="23"/>
        <v/>
      </c>
      <c r="G761" t="str">
        <f>IF(E761="","",IF(COUNTIF('DATA QCEW'!$A$2:$A$20,E761)&gt;0,"19-SECTOR","DETAIL / OTHER"))</f>
        <v/>
      </c>
    </row>
    <row r="762" spans="4:7">
      <c r="D762" s="8"/>
      <c r="E762" t="str">
        <f t="shared" si="22"/>
        <v/>
      </c>
      <c r="F762" t="str">
        <f t="shared" si="23"/>
        <v/>
      </c>
      <c r="G762" t="str">
        <f>IF(E762="","",IF(COUNTIF('DATA QCEW'!$A$2:$A$20,E762)&gt;0,"19-SECTOR","DETAIL / OTHER"))</f>
        <v/>
      </c>
    </row>
    <row r="763" spans="4:7">
      <c r="D763" s="8"/>
      <c r="E763" t="str">
        <f t="shared" si="22"/>
        <v/>
      </c>
      <c r="F763" t="str">
        <f t="shared" si="23"/>
        <v/>
      </c>
      <c r="G763" t="str">
        <f>IF(E763="","",IF(COUNTIF('DATA QCEW'!$A$2:$A$20,E763)&gt;0,"19-SECTOR","DETAIL / OTHER"))</f>
        <v/>
      </c>
    </row>
    <row r="764" spans="4:7">
      <c r="D764" s="8"/>
      <c r="E764" t="str">
        <f t="shared" si="22"/>
        <v/>
      </c>
      <c r="F764" t="str">
        <f t="shared" si="23"/>
        <v/>
      </c>
      <c r="G764" t="str">
        <f>IF(E764="","",IF(COUNTIF('DATA QCEW'!$A$2:$A$20,E764)&gt;0,"19-SECTOR","DETAIL / OTHER"))</f>
        <v/>
      </c>
    </row>
    <row r="765" spans="4:7">
      <c r="D765" s="8"/>
      <c r="E765" t="str">
        <f t="shared" si="22"/>
        <v/>
      </c>
      <c r="F765" t="str">
        <f t="shared" si="23"/>
        <v/>
      </c>
      <c r="G765" t="str">
        <f>IF(E765="","",IF(COUNTIF('DATA QCEW'!$A$2:$A$20,E765)&gt;0,"19-SECTOR","DETAIL / OTHER"))</f>
        <v/>
      </c>
    </row>
    <row r="766" spans="4:7">
      <c r="D766" s="8"/>
      <c r="E766" t="str">
        <f t="shared" si="22"/>
        <v/>
      </c>
      <c r="F766" t="str">
        <f t="shared" si="23"/>
        <v/>
      </c>
      <c r="G766" t="str">
        <f>IF(E766="","",IF(COUNTIF('DATA QCEW'!$A$2:$A$20,E766)&gt;0,"19-SECTOR","DETAIL / OTHER"))</f>
        <v/>
      </c>
    </row>
    <row r="767" spans="4:7">
      <c r="D767" s="8"/>
      <c r="E767" t="str">
        <f t="shared" si="22"/>
        <v/>
      </c>
      <c r="F767" t="str">
        <f t="shared" si="23"/>
        <v/>
      </c>
      <c r="G767" t="str">
        <f>IF(E767="","",IF(COUNTIF('DATA QCEW'!$A$2:$A$20,E767)&gt;0,"19-SECTOR","DETAIL / OTHER"))</f>
        <v/>
      </c>
    </row>
    <row r="768" spans="4:7">
      <c r="D768" s="8"/>
      <c r="E768" t="str">
        <f t="shared" si="22"/>
        <v/>
      </c>
      <c r="F768" t="str">
        <f t="shared" si="23"/>
        <v/>
      </c>
      <c r="G768" t="str">
        <f>IF(E768="","",IF(COUNTIF('DATA QCEW'!$A$2:$A$20,E768)&gt;0,"19-SECTOR","DETAIL / OTHER"))</f>
        <v/>
      </c>
    </row>
    <row r="769" spans="4:7">
      <c r="D769" s="8"/>
      <c r="E769" t="str">
        <f t="shared" si="22"/>
        <v/>
      </c>
      <c r="F769" t="str">
        <f t="shared" si="23"/>
        <v/>
      </c>
      <c r="G769" t="str">
        <f>IF(E769="","",IF(COUNTIF('DATA QCEW'!$A$2:$A$20,E769)&gt;0,"19-SECTOR","DETAIL / OTHER"))</f>
        <v/>
      </c>
    </row>
    <row r="770" spans="4:7">
      <c r="D770" s="8"/>
      <c r="E770" t="str">
        <f t="shared" ref="E770:E833" si="24">IF(LEFT(TRIM(A770),6)="NAICS ",IFERROR(MID(TRIM(A770),7,FIND(" ",TRIM(A770)&amp;" ",7)-7),""),"")</f>
        <v/>
      </c>
      <c r="F770" t="str">
        <f t="shared" ref="F770:F833" si="25">IF(E770="","",TRIM(MID(TRIM(A770),FIND(" ",TRIM(A770)&amp;" ",7)+1,255)))</f>
        <v/>
      </c>
      <c r="G770" t="str">
        <f>IF(E770="","",IF(COUNTIF('DATA QCEW'!$A$2:$A$20,E770)&gt;0,"19-SECTOR","DETAIL / OTHER"))</f>
        <v/>
      </c>
    </row>
    <row r="771" spans="4:7">
      <c r="D771" s="8"/>
      <c r="E771" t="str">
        <f t="shared" si="24"/>
        <v/>
      </c>
      <c r="F771" t="str">
        <f t="shared" si="25"/>
        <v/>
      </c>
      <c r="G771" t="str">
        <f>IF(E771="","",IF(COUNTIF('DATA QCEW'!$A$2:$A$20,E771)&gt;0,"19-SECTOR","DETAIL / OTHER"))</f>
        <v/>
      </c>
    </row>
    <row r="772" spans="4:7">
      <c r="D772" s="8"/>
      <c r="E772" t="str">
        <f t="shared" si="24"/>
        <v/>
      </c>
      <c r="F772" t="str">
        <f t="shared" si="25"/>
        <v/>
      </c>
      <c r="G772" t="str">
        <f>IF(E772="","",IF(COUNTIF('DATA QCEW'!$A$2:$A$20,E772)&gt;0,"19-SECTOR","DETAIL / OTHER"))</f>
        <v/>
      </c>
    </row>
    <row r="773" spans="4:7">
      <c r="D773" s="8"/>
      <c r="E773" t="str">
        <f t="shared" si="24"/>
        <v/>
      </c>
      <c r="F773" t="str">
        <f t="shared" si="25"/>
        <v/>
      </c>
      <c r="G773" t="str">
        <f>IF(E773="","",IF(COUNTIF('DATA QCEW'!$A$2:$A$20,E773)&gt;0,"19-SECTOR","DETAIL / OTHER"))</f>
        <v/>
      </c>
    </row>
    <row r="774" spans="4:7">
      <c r="D774" s="8"/>
      <c r="E774" t="str">
        <f t="shared" si="24"/>
        <v/>
      </c>
      <c r="F774" t="str">
        <f t="shared" si="25"/>
        <v/>
      </c>
      <c r="G774" t="str">
        <f>IF(E774="","",IF(COUNTIF('DATA QCEW'!$A$2:$A$20,E774)&gt;0,"19-SECTOR","DETAIL / OTHER"))</f>
        <v/>
      </c>
    </row>
    <row r="775" spans="4:7">
      <c r="D775" s="8"/>
      <c r="E775" t="str">
        <f t="shared" si="24"/>
        <v/>
      </c>
      <c r="F775" t="str">
        <f t="shared" si="25"/>
        <v/>
      </c>
      <c r="G775" t="str">
        <f>IF(E775="","",IF(COUNTIF('DATA QCEW'!$A$2:$A$20,E775)&gt;0,"19-SECTOR","DETAIL / OTHER"))</f>
        <v/>
      </c>
    </row>
    <row r="776" spans="4:7">
      <c r="D776" s="8"/>
      <c r="E776" t="str">
        <f t="shared" si="24"/>
        <v/>
      </c>
      <c r="F776" t="str">
        <f t="shared" si="25"/>
        <v/>
      </c>
      <c r="G776" t="str">
        <f>IF(E776="","",IF(COUNTIF('DATA QCEW'!$A$2:$A$20,E776)&gt;0,"19-SECTOR","DETAIL / OTHER"))</f>
        <v/>
      </c>
    </row>
    <row r="777" spans="4:7">
      <c r="D777" s="8"/>
      <c r="E777" t="str">
        <f t="shared" si="24"/>
        <v/>
      </c>
      <c r="F777" t="str">
        <f t="shared" si="25"/>
        <v/>
      </c>
      <c r="G777" t="str">
        <f>IF(E777="","",IF(COUNTIF('DATA QCEW'!$A$2:$A$20,E777)&gt;0,"19-SECTOR","DETAIL / OTHER"))</f>
        <v/>
      </c>
    </row>
    <row r="778" spans="4:7">
      <c r="D778" s="8"/>
      <c r="E778" t="str">
        <f t="shared" si="24"/>
        <v/>
      </c>
      <c r="F778" t="str">
        <f t="shared" si="25"/>
        <v/>
      </c>
      <c r="G778" t="str">
        <f>IF(E778="","",IF(COUNTIF('DATA QCEW'!$A$2:$A$20,E778)&gt;0,"19-SECTOR","DETAIL / OTHER"))</f>
        <v/>
      </c>
    </row>
    <row r="779" spans="4:7">
      <c r="D779" s="8"/>
      <c r="E779" t="str">
        <f t="shared" si="24"/>
        <v/>
      </c>
      <c r="F779" t="str">
        <f t="shared" si="25"/>
        <v/>
      </c>
      <c r="G779" t="str">
        <f>IF(E779="","",IF(COUNTIF('DATA QCEW'!$A$2:$A$20,E779)&gt;0,"19-SECTOR","DETAIL / OTHER"))</f>
        <v/>
      </c>
    </row>
    <row r="780" spans="4:7">
      <c r="D780" s="8"/>
      <c r="E780" t="str">
        <f t="shared" si="24"/>
        <v/>
      </c>
      <c r="F780" t="str">
        <f t="shared" si="25"/>
        <v/>
      </c>
      <c r="G780" t="str">
        <f>IF(E780="","",IF(COUNTIF('DATA QCEW'!$A$2:$A$20,E780)&gt;0,"19-SECTOR","DETAIL / OTHER"))</f>
        <v/>
      </c>
    </row>
    <row r="781" spans="4:7">
      <c r="D781" s="8"/>
      <c r="E781" t="str">
        <f t="shared" si="24"/>
        <v/>
      </c>
      <c r="F781" t="str">
        <f t="shared" si="25"/>
        <v/>
      </c>
      <c r="G781" t="str">
        <f>IF(E781="","",IF(COUNTIF('DATA QCEW'!$A$2:$A$20,E781)&gt;0,"19-SECTOR","DETAIL / OTHER"))</f>
        <v/>
      </c>
    </row>
    <row r="782" spans="4:7">
      <c r="D782" s="8"/>
      <c r="E782" t="str">
        <f t="shared" si="24"/>
        <v/>
      </c>
      <c r="F782" t="str">
        <f t="shared" si="25"/>
        <v/>
      </c>
      <c r="G782" t="str">
        <f>IF(E782="","",IF(COUNTIF('DATA QCEW'!$A$2:$A$20,E782)&gt;0,"19-SECTOR","DETAIL / OTHER"))</f>
        <v/>
      </c>
    </row>
    <row r="783" spans="4:7">
      <c r="D783" s="8"/>
      <c r="E783" t="str">
        <f t="shared" si="24"/>
        <v/>
      </c>
      <c r="F783" t="str">
        <f t="shared" si="25"/>
        <v/>
      </c>
      <c r="G783" t="str">
        <f>IF(E783="","",IF(COUNTIF('DATA QCEW'!$A$2:$A$20,E783)&gt;0,"19-SECTOR","DETAIL / OTHER"))</f>
        <v/>
      </c>
    </row>
    <row r="784" spans="4:7">
      <c r="D784" s="8"/>
      <c r="E784" t="str">
        <f t="shared" si="24"/>
        <v/>
      </c>
      <c r="F784" t="str">
        <f t="shared" si="25"/>
        <v/>
      </c>
      <c r="G784" t="str">
        <f>IF(E784="","",IF(COUNTIF('DATA QCEW'!$A$2:$A$20,E784)&gt;0,"19-SECTOR","DETAIL / OTHER"))</f>
        <v/>
      </c>
    </row>
    <row r="785" spans="4:7">
      <c r="D785" s="8"/>
      <c r="E785" t="str">
        <f t="shared" si="24"/>
        <v/>
      </c>
      <c r="F785" t="str">
        <f t="shared" si="25"/>
        <v/>
      </c>
      <c r="G785" t="str">
        <f>IF(E785="","",IF(COUNTIF('DATA QCEW'!$A$2:$A$20,E785)&gt;0,"19-SECTOR","DETAIL / OTHER"))</f>
        <v/>
      </c>
    </row>
    <row r="786" spans="4:7">
      <c r="D786" s="8"/>
      <c r="E786" t="str">
        <f t="shared" si="24"/>
        <v/>
      </c>
      <c r="F786" t="str">
        <f t="shared" si="25"/>
        <v/>
      </c>
      <c r="G786" t="str">
        <f>IF(E786="","",IF(COUNTIF('DATA QCEW'!$A$2:$A$20,E786)&gt;0,"19-SECTOR","DETAIL / OTHER"))</f>
        <v/>
      </c>
    </row>
    <row r="787" spans="4:7">
      <c r="D787" s="8"/>
      <c r="E787" t="str">
        <f t="shared" si="24"/>
        <v/>
      </c>
      <c r="F787" t="str">
        <f t="shared" si="25"/>
        <v/>
      </c>
      <c r="G787" t="str">
        <f>IF(E787="","",IF(COUNTIF('DATA QCEW'!$A$2:$A$20,E787)&gt;0,"19-SECTOR","DETAIL / OTHER"))</f>
        <v/>
      </c>
    </row>
    <row r="788" spans="4:7">
      <c r="D788" s="8"/>
      <c r="E788" t="str">
        <f t="shared" si="24"/>
        <v/>
      </c>
      <c r="F788" t="str">
        <f t="shared" si="25"/>
        <v/>
      </c>
      <c r="G788" t="str">
        <f>IF(E788="","",IF(COUNTIF('DATA QCEW'!$A$2:$A$20,E788)&gt;0,"19-SECTOR","DETAIL / OTHER"))</f>
        <v/>
      </c>
    </row>
    <row r="789" spans="4:7">
      <c r="D789" s="8"/>
      <c r="E789" t="str">
        <f t="shared" si="24"/>
        <v/>
      </c>
      <c r="F789" t="str">
        <f t="shared" si="25"/>
        <v/>
      </c>
      <c r="G789" t="str">
        <f>IF(E789="","",IF(COUNTIF('DATA QCEW'!$A$2:$A$20,E789)&gt;0,"19-SECTOR","DETAIL / OTHER"))</f>
        <v/>
      </c>
    </row>
    <row r="790" spans="4:7">
      <c r="D790" s="8"/>
      <c r="E790" t="str">
        <f t="shared" si="24"/>
        <v/>
      </c>
      <c r="F790" t="str">
        <f t="shared" si="25"/>
        <v/>
      </c>
      <c r="G790" t="str">
        <f>IF(E790="","",IF(COUNTIF('DATA QCEW'!$A$2:$A$20,E790)&gt;0,"19-SECTOR","DETAIL / OTHER"))</f>
        <v/>
      </c>
    </row>
    <row r="791" spans="4:7">
      <c r="D791" s="8"/>
      <c r="E791" t="str">
        <f t="shared" si="24"/>
        <v/>
      </c>
      <c r="F791" t="str">
        <f t="shared" si="25"/>
        <v/>
      </c>
      <c r="G791" t="str">
        <f>IF(E791="","",IF(COUNTIF('DATA QCEW'!$A$2:$A$20,E791)&gt;0,"19-SECTOR","DETAIL / OTHER"))</f>
        <v/>
      </c>
    </row>
    <row r="792" spans="4:7">
      <c r="D792" s="8"/>
      <c r="E792" t="str">
        <f t="shared" si="24"/>
        <v/>
      </c>
      <c r="F792" t="str">
        <f t="shared" si="25"/>
        <v/>
      </c>
      <c r="G792" t="str">
        <f>IF(E792="","",IF(COUNTIF('DATA QCEW'!$A$2:$A$20,E792)&gt;0,"19-SECTOR","DETAIL / OTHER"))</f>
        <v/>
      </c>
    </row>
    <row r="793" spans="4:7">
      <c r="D793" s="8"/>
      <c r="E793" t="str">
        <f t="shared" si="24"/>
        <v/>
      </c>
      <c r="F793" t="str">
        <f t="shared" si="25"/>
        <v/>
      </c>
      <c r="G793" t="str">
        <f>IF(E793="","",IF(COUNTIF('DATA QCEW'!$A$2:$A$20,E793)&gt;0,"19-SECTOR","DETAIL / OTHER"))</f>
        <v/>
      </c>
    </row>
    <row r="794" spans="4:7">
      <c r="D794" s="8"/>
      <c r="E794" t="str">
        <f t="shared" si="24"/>
        <v/>
      </c>
      <c r="F794" t="str">
        <f t="shared" si="25"/>
        <v/>
      </c>
      <c r="G794" t="str">
        <f>IF(E794="","",IF(COUNTIF('DATA QCEW'!$A$2:$A$20,E794)&gt;0,"19-SECTOR","DETAIL / OTHER"))</f>
        <v/>
      </c>
    </row>
    <row r="795" spans="4:7">
      <c r="D795" s="8"/>
      <c r="E795" t="str">
        <f t="shared" si="24"/>
        <v/>
      </c>
      <c r="F795" t="str">
        <f t="shared" si="25"/>
        <v/>
      </c>
      <c r="G795" t="str">
        <f>IF(E795="","",IF(COUNTIF('DATA QCEW'!$A$2:$A$20,E795)&gt;0,"19-SECTOR","DETAIL / OTHER"))</f>
        <v/>
      </c>
    </row>
    <row r="796" spans="4:7">
      <c r="D796" s="8"/>
      <c r="E796" t="str">
        <f t="shared" si="24"/>
        <v/>
      </c>
      <c r="F796" t="str">
        <f t="shared" si="25"/>
        <v/>
      </c>
      <c r="G796" t="str">
        <f>IF(E796="","",IF(COUNTIF('DATA QCEW'!$A$2:$A$20,E796)&gt;0,"19-SECTOR","DETAIL / OTHER"))</f>
        <v/>
      </c>
    </row>
    <row r="797" spans="4:7">
      <c r="D797" s="8"/>
      <c r="E797" t="str">
        <f t="shared" si="24"/>
        <v/>
      </c>
      <c r="F797" t="str">
        <f t="shared" si="25"/>
        <v/>
      </c>
      <c r="G797" t="str">
        <f>IF(E797="","",IF(COUNTIF('DATA QCEW'!$A$2:$A$20,E797)&gt;0,"19-SECTOR","DETAIL / OTHER"))</f>
        <v/>
      </c>
    </row>
    <row r="798" spans="4:7">
      <c r="D798" s="8"/>
      <c r="E798" t="str">
        <f t="shared" si="24"/>
        <v/>
      </c>
      <c r="F798" t="str">
        <f t="shared" si="25"/>
        <v/>
      </c>
      <c r="G798" t="str">
        <f>IF(E798="","",IF(COUNTIF('DATA QCEW'!$A$2:$A$20,E798)&gt;0,"19-SECTOR","DETAIL / OTHER"))</f>
        <v/>
      </c>
    </row>
    <row r="799" spans="4:7">
      <c r="D799" s="8"/>
      <c r="E799" t="str">
        <f t="shared" si="24"/>
        <v/>
      </c>
      <c r="F799" t="str">
        <f t="shared" si="25"/>
        <v/>
      </c>
      <c r="G799" t="str">
        <f>IF(E799="","",IF(COUNTIF('DATA QCEW'!$A$2:$A$20,E799)&gt;0,"19-SECTOR","DETAIL / OTHER"))</f>
        <v/>
      </c>
    </row>
    <row r="800" spans="4:7">
      <c r="D800" s="8"/>
      <c r="E800" t="str">
        <f t="shared" si="24"/>
        <v/>
      </c>
      <c r="F800" t="str">
        <f t="shared" si="25"/>
        <v/>
      </c>
      <c r="G800" t="str">
        <f>IF(E800="","",IF(COUNTIF('DATA QCEW'!$A$2:$A$20,E800)&gt;0,"19-SECTOR","DETAIL / OTHER"))</f>
        <v/>
      </c>
    </row>
    <row r="801" spans="4:7">
      <c r="D801" s="8"/>
      <c r="E801" t="str">
        <f t="shared" si="24"/>
        <v/>
      </c>
      <c r="F801" t="str">
        <f t="shared" si="25"/>
        <v/>
      </c>
      <c r="G801" t="str">
        <f>IF(E801="","",IF(COUNTIF('DATA QCEW'!$A$2:$A$20,E801)&gt;0,"19-SECTOR","DETAIL / OTHER"))</f>
        <v/>
      </c>
    </row>
    <row r="802" spans="4:7">
      <c r="D802" s="8"/>
      <c r="E802" t="str">
        <f t="shared" si="24"/>
        <v/>
      </c>
      <c r="F802" t="str">
        <f t="shared" si="25"/>
        <v/>
      </c>
      <c r="G802" t="str">
        <f>IF(E802="","",IF(COUNTIF('DATA QCEW'!$A$2:$A$20,E802)&gt;0,"19-SECTOR","DETAIL / OTHER"))</f>
        <v/>
      </c>
    </row>
    <row r="803" spans="4:7">
      <c r="D803" s="8"/>
      <c r="E803" t="str">
        <f t="shared" si="24"/>
        <v/>
      </c>
      <c r="F803" t="str">
        <f t="shared" si="25"/>
        <v/>
      </c>
      <c r="G803" t="str">
        <f>IF(E803="","",IF(COUNTIF('DATA QCEW'!$A$2:$A$20,E803)&gt;0,"19-SECTOR","DETAIL / OTHER"))</f>
        <v/>
      </c>
    </row>
    <row r="804" spans="4:7">
      <c r="D804" s="8"/>
      <c r="E804" t="str">
        <f t="shared" si="24"/>
        <v/>
      </c>
      <c r="F804" t="str">
        <f t="shared" si="25"/>
        <v/>
      </c>
      <c r="G804" t="str">
        <f>IF(E804="","",IF(COUNTIF('DATA QCEW'!$A$2:$A$20,E804)&gt;0,"19-SECTOR","DETAIL / OTHER"))</f>
        <v/>
      </c>
    </row>
    <row r="805" spans="4:7">
      <c r="D805" s="8"/>
      <c r="E805" t="str">
        <f t="shared" si="24"/>
        <v/>
      </c>
      <c r="F805" t="str">
        <f t="shared" si="25"/>
        <v/>
      </c>
      <c r="G805" t="str">
        <f>IF(E805="","",IF(COUNTIF('DATA QCEW'!$A$2:$A$20,E805)&gt;0,"19-SECTOR","DETAIL / OTHER"))</f>
        <v/>
      </c>
    </row>
    <row r="806" spans="4:7">
      <c r="D806" s="8"/>
      <c r="E806" t="str">
        <f t="shared" si="24"/>
        <v/>
      </c>
      <c r="F806" t="str">
        <f t="shared" si="25"/>
        <v/>
      </c>
      <c r="G806" t="str">
        <f>IF(E806="","",IF(COUNTIF('DATA QCEW'!$A$2:$A$20,E806)&gt;0,"19-SECTOR","DETAIL / OTHER"))</f>
        <v/>
      </c>
    </row>
    <row r="807" spans="4:7">
      <c r="D807" s="8"/>
      <c r="E807" t="str">
        <f t="shared" si="24"/>
        <v/>
      </c>
      <c r="F807" t="str">
        <f t="shared" si="25"/>
        <v/>
      </c>
      <c r="G807" t="str">
        <f>IF(E807="","",IF(COUNTIF('DATA QCEW'!$A$2:$A$20,E807)&gt;0,"19-SECTOR","DETAIL / OTHER"))</f>
        <v/>
      </c>
    </row>
    <row r="808" spans="4:7">
      <c r="D808" s="8"/>
      <c r="E808" t="str">
        <f t="shared" si="24"/>
        <v/>
      </c>
      <c r="F808" t="str">
        <f t="shared" si="25"/>
        <v/>
      </c>
      <c r="G808" t="str">
        <f>IF(E808="","",IF(COUNTIF('DATA QCEW'!$A$2:$A$20,E808)&gt;0,"19-SECTOR","DETAIL / OTHER"))</f>
        <v/>
      </c>
    </row>
    <row r="809" spans="4:7">
      <c r="D809" s="8"/>
      <c r="E809" t="str">
        <f t="shared" si="24"/>
        <v/>
      </c>
      <c r="F809" t="str">
        <f t="shared" si="25"/>
        <v/>
      </c>
      <c r="G809" t="str">
        <f>IF(E809="","",IF(COUNTIF('DATA QCEW'!$A$2:$A$20,E809)&gt;0,"19-SECTOR","DETAIL / OTHER"))</f>
        <v/>
      </c>
    </row>
    <row r="810" spans="4:7">
      <c r="D810" s="8"/>
      <c r="E810" t="str">
        <f t="shared" si="24"/>
        <v/>
      </c>
      <c r="F810" t="str">
        <f t="shared" si="25"/>
        <v/>
      </c>
      <c r="G810" t="str">
        <f>IF(E810="","",IF(COUNTIF('DATA QCEW'!$A$2:$A$20,E810)&gt;0,"19-SECTOR","DETAIL / OTHER"))</f>
        <v/>
      </c>
    </row>
    <row r="811" spans="4:7">
      <c r="D811" s="8"/>
      <c r="E811" t="str">
        <f t="shared" si="24"/>
        <v/>
      </c>
      <c r="F811" t="str">
        <f t="shared" si="25"/>
        <v/>
      </c>
      <c r="G811" t="str">
        <f>IF(E811="","",IF(COUNTIF('DATA QCEW'!$A$2:$A$20,E811)&gt;0,"19-SECTOR","DETAIL / OTHER"))</f>
        <v/>
      </c>
    </row>
    <row r="812" spans="4:7">
      <c r="D812" s="8"/>
      <c r="E812" t="str">
        <f t="shared" si="24"/>
        <v/>
      </c>
      <c r="F812" t="str">
        <f t="shared" si="25"/>
        <v/>
      </c>
      <c r="G812" t="str">
        <f>IF(E812="","",IF(COUNTIF('DATA QCEW'!$A$2:$A$20,E812)&gt;0,"19-SECTOR","DETAIL / OTHER"))</f>
        <v/>
      </c>
    </row>
    <row r="813" spans="4:7">
      <c r="D813" s="8"/>
      <c r="E813" t="str">
        <f t="shared" si="24"/>
        <v/>
      </c>
      <c r="F813" t="str">
        <f t="shared" si="25"/>
        <v/>
      </c>
      <c r="G813" t="str">
        <f>IF(E813="","",IF(COUNTIF('DATA QCEW'!$A$2:$A$20,E813)&gt;0,"19-SECTOR","DETAIL / OTHER"))</f>
        <v/>
      </c>
    </row>
    <row r="814" spans="4:7">
      <c r="D814" s="8"/>
      <c r="E814" t="str">
        <f t="shared" si="24"/>
        <v/>
      </c>
      <c r="F814" t="str">
        <f t="shared" si="25"/>
        <v/>
      </c>
      <c r="G814" t="str">
        <f>IF(E814="","",IF(COUNTIF('DATA QCEW'!$A$2:$A$20,E814)&gt;0,"19-SECTOR","DETAIL / OTHER"))</f>
        <v/>
      </c>
    </row>
    <row r="815" spans="4:7">
      <c r="D815" s="8"/>
      <c r="E815" t="str">
        <f t="shared" si="24"/>
        <v/>
      </c>
      <c r="F815" t="str">
        <f t="shared" si="25"/>
        <v/>
      </c>
      <c r="G815" t="str">
        <f>IF(E815="","",IF(COUNTIF('DATA QCEW'!$A$2:$A$20,E815)&gt;0,"19-SECTOR","DETAIL / OTHER"))</f>
        <v/>
      </c>
    </row>
    <row r="816" spans="4:7">
      <c r="D816" s="8"/>
      <c r="E816" t="str">
        <f t="shared" si="24"/>
        <v/>
      </c>
      <c r="F816" t="str">
        <f t="shared" si="25"/>
        <v/>
      </c>
      <c r="G816" t="str">
        <f>IF(E816="","",IF(COUNTIF('DATA QCEW'!$A$2:$A$20,E816)&gt;0,"19-SECTOR","DETAIL / OTHER"))</f>
        <v/>
      </c>
    </row>
    <row r="817" spans="4:7">
      <c r="D817" s="8"/>
      <c r="E817" t="str">
        <f t="shared" si="24"/>
        <v/>
      </c>
      <c r="F817" t="str">
        <f t="shared" si="25"/>
        <v/>
      </c>
      <c r="G817" t="str">
        <f>IF(E817="","",IF(COUNTIF('DATA QCEW'!$A$2:$A$20,E817)&gt;0,"19-SECTOR","DETAIL / OTHER"))</f>
        <v/>
      </c>
    </row>
    <row r="818" spans="4:7">
      <c r="D818" s="8"/>
      <c r="E818" t="str">
        <f t="shared" si="24"/>
        <v/>
      </c>
      <c r="F818" t="str">
        <f t="shared" si="25"/>
        <v/>
      </c>
      <c r="G818" t="str">
        <f>IF(E818="","",IF(COUNTIF('DATA QCEW'!$A$2:$A$20,E818)&gt;0,"19-SECTOR","DETAIL / OTHER"))</f>
        <v/>
      </c>
    </row>
    <row r="819" spans="4:7">
      <c r="D819" s="8"/>
      <c r="E819" t="str">
        <f t="shared" si="24"/>
        <v/>
      </c>
      <c r="F819" t="str">
        <f t="shared" si="25"/>
        <v/>
      </c>
      <c r="G819" t="str">
        <f>IF(E819="","",IF(COUNTIF('DATA QCEW'!$A$2:$A$20,E819)&gt;0,"19-SECTOR","DETAIL / OTHER"))</f>
        <v/>
      </c>
    </row>
    <row r="820" spans="4:7">
      <c r="D820" s="8"/>
      <c r="E820" t="str">
        <f t="shared" si="24"/>
        <v/>
      </c>
      <c r="F820" t="str">
        <f t="shared" si="25"/>
        <v/>
      </c>
      <c r="G820" t="str">
        <f>IF(E820="","",IF(COUNTIF('DATA QCEW'!$A$2:$A$20,E820)&gt;0,"19-SECTOR","DETAIL / OTHER"))</f>
        <v/>
      </c>
    </row>
    <row r="821" spans="4:7">
      <c r="D821" s="8"/>
      <c r="E821" t="str">
        <f t="shared" si="24"/>
        <v/>
      </c>
      <c r="F821" t="str">
        <f t="shared" si="25"/>
        <v/>
      </c>
      <c r="G821" t="str">
        <f>IF(E821="","",IF(COUNTIF('DATA QCEW'!$A$2:$A$20,E821)&gt;0,"19-SECTOR","DETAIL / OTHER"))</f>
        <v/>
      </c>
    </row>
    <row r="822" spans="4:7">
      <c r="D822" s="8"/>
      <c r="E822" t="str">
        <f t="shared" si="24"/>
        <v/>
      </c>
      <c r="F822" t="str">
        <f t="shared" si="25"/>
        <v/>
      </c>
      <c r="G822" t="str">
        <f>IF(E822="","",IF(COUNTIF('DATA QCEW'!$A$2:$A$20,E822)&gt;0,"19-SECTOR","DETAIL / OTHER"))</f>
        <v/>
      </c>
    </row>
    <row r="823" spans="4:7">
      <c r="D823" s="8"/>
      <c r="E823" t="str">
        <f t="shared" si="24"/>
        <v/>
      </c>
      <c r="F823" t="str">
        <f t="shared" si="25"/>
        <v/>
      </c>
      <c r="G823" t="str">
        <f>IF(E823="","",IF(COUNTIF('DATA QCEW'!$A$2:$A$20,E823)&gt;0,"19-SECTOR","DETAIL / OTHER"))</f>
        <v/>
      </c>
    </row>
    <row r="824" spans="4:7">
      <c r="D824" s="8"/>
      <c r="E824" t="str">
        <f t="shared" si="24"/>
        <v/>
      </c>
      <c r="F824" t="str">
        <f t="shared" si="25"/>
        <v/>
      </c>
      <c r="G824" t="str">
        <f>IF(E824="","",IF(COUNTIF('DATA QCEW'!$A$2:$A$20,E824)&gt;0,"19-SECTOR","DETAIL / OTHER"))</f>
        <v/>
      </c>
    </row>
    <row r="825" spans="4:7">
      <c r="D825" s="8"/>
      <c r="E825" t="str">
        <f t="shared" si="24"/>
        <v/>
      </c>
      <c r="F825" t="str">
        <f t="shared" si="25"/>
        <v/>
      </c>
      <c r="G825" t="str">
        <f>IF(E825="","",IF(COUNTIF('DATA QCEW'!$A$2:$A$20,E825)&gt;0,"19-SECTOR","DETAIL / OTHER"))</f>
        <v/>
      </c>
    </row>
    <row r="826" spans="4:7">
      <c r="D826" s="8"/>
      <c r="E826" t="str">
        <f t="shared" si="24"/>
        <v/>
      </c>
      <c r="F826" t="str">
        <f t="shared" si="25"/>
        <v/>
      </c>
      <c r="G826" t="str">
        <f>IF(E826="","",IF(COUNTIF('DATA QCEW'!$A$2:$A$20,E826)&gt;0,"19-SECTOR","DETAIL / OTHER"))</f>
        <v/>
      </c>
    </row>
    <row r="827" spans="4:7">
      <c r="D827" s="8"/>
      <c r="E827" t="str">
        <f t="shared" si="24"/>
        <v/>
      </c>
      <c r="F827" t="str">
        <f t="shared" si="25"/>
        <v/>
      </c>
      <c r="G827" t="str">
        <f>IF(E827="","",IF(COUNTIF('DATA QCEW'!$A$2:$A$20,E827)&gt;0,"19-SECTOR","DETAIL / OTHER"))</f>
        <v/>
      </c>
    </row>
    <row r="828" spans="4:7">
      <c r="D828" s="8"/>
      <c r="E828" t="str">
        <f t="shared" si="24"/>
        <v/>
      </c>
      <c r="F828" t="str">
        <f t="shared" si="25"/>
        <v/>
      </c>
      <c r="G828" t="str">
        <f>IF(E828="","",IF(COUNTIF('DATA QCEW'!$A$2:$A$20,E828)&gt;0,"19-SECTOR","DETAIL / OTHER"))</f>
        <v/>
      </c>
    </row>
    <row r="829" spans="4:7">
      <c r="D829" s="8"/>
      <c r="E829" t="str">
        <f t="shared" si="24"/>
        <v/>
      </c>
      <c r="F829" t="str">
        <f t="shared" si="25"/>
        <v/>
      </c>
      <c r="G829" t="str">
        <f>IF(E829="","",IF(COUNTIF('DATA QCEW'!$A$2:$A$20,E829)&gt;0,"19-SECTOR","DETAIL / OTHER"))</f>
        <v/>
      </c>
    </row>
    <row r="830" spans="4:7">
      <c r="D830" s="8"/>
      <c r="E830" t="str">
        <f t="shared" si="24"/>
        <v/>
      </c>
      <c r="F830" t="str">
        <f t="shared" si="25"/>
        <v/>
      </c>
      <c r="G830" t="str">
        <f>IF(E830="","",IF(COUNTIF('DATA QCEW'!$A$2:$A$20,E830)&gt;0,"19-SECTOR","DETAIL / OTHER"))</f>
        <v/>
      </c>
    </row>
    <row r="831" spans="4:7">
      <c r="D831" s="8"/>
      <c r="E831" t="str">
        <f t="shared" si="24"/>
        <v/>
      </c>
      <c r="F831" t="str">
        <f t="shared" si="25"/>
        <v/>
      </c>
      <c r="G831" t="str">
        <f>IF(E831="","",IF(COUNTIF('DATA QCEW'!$A$2:$A$20,E831)&gt;0,"19-SECTOR","DETAIL / OTHER"))</f>
        <v/>
      </c>
    </row>
    <row r="832" spans="4:7">
      <c r="D832" s="8"/>
      <c r="E832" t="str">
        <f t="shared" si="24"/>
        <v/>
      </c>
      <c r="F832" t="str">
        <f t="shared" si="25"/>
        <v/>
      </c>
      <c r="G832" t="str">
        <f>IF(E832="","",IF(COUNTIF('DATA QCEW'!$A$2:$A$20,E832)&gt;0,"19-SECTOR","DETAIL / OTHER"))</f>
        <v/>
      </c>
    </row>
    <row r="833" spans="4:7">
      <c r="D833" s="8"/>
      <c r="E833" t="str">
        <f t="shared" si="24"/>
        <v/>
      </c>
      <c r="F833" t="str">
        <f t="shared" si="25"/>
        <v/>
      </c>
      <c r="G833" t="str">
        <f>IF(E833="","",IF(COUNTIF('DATA QCEW'!$A$2:$A$20,E833)&gt;0,"19-SECTOR","DETAIL / OTHER"))</f>
        <v/>
      </c>
    </row>
    <row r="834" spans="4:7">
      <c r="D834" s="8"/>
      <c r="E834" t="str">
        <f t="shared" ref="E834:E897" si="26">IF(LEFT(TRIM(A834),6)="NAICS ",IFERROR(MID(TRIM(A834),7,FIND(" ",TRIM(A834)&amp;" ",7)-7),""),"")</f>
        <v/>
      </c>
      <c r="F834" t="str">
        <f t="shared" ref="F834:F897" si="27">IF(E834="","",TRIM(MID(TRIM(A834),FIND(" ",TRIM(A834)&amp;" ",7)+1,255)))</f>
        <v/>
      </c>
      <c r="G834" t="str">
        <f>IF(E834="","",IF(COUNTIF('DATA QCEW'!$A$2:$A$20,E834)&gt;0,"19-SECTOR","DETAIL / OTHER"))</f>
        <v/>
      </c>
    </row>
    <row r="835" spans="4:7">
      <c r="D835" s="8"/>
      <c r="E835" t="str">
        <f t="shared" si="26"/>
        <v/>
      </c>
      <c r="F835" t="str">
        <f t="shared" si="27"/>
        <v/>
      </c>
      <c r="G835" t="str">
        <f>IF(E835="","",IF(COUNTIF('DATA QCEW'!$A$2:$A$20,E835)&gt;0,"19-SECTOR","DETAIL / OTHER"))</f>
        <v/>
      </c>
    </row>
    <row r="836" spans="4:7">
      <c r="D836" s="8"/>
      <c r="E836" t="str">
        <f t="shared" si="26"/>
        <v/>
      </c>
      <c r="F836" t="str">
        <f t="shared" si="27"/>
        <v/>
      </c>
      <c r="G836" t="str">
        <f>IF(E836="","",IF(COUNTIF('DATA QCEW'!$A$2:$A$20,E836)&gt;0,"19-SECTOR","DETAIL / OTHER"))</f>
        <v/>
      </c>
    </row>
    <row r="837" spans="4:7">
      <c r="D837" s="8"/>
      <c r="E837" t="str">
        <f t="shared" si="26"/>
        <v/>
      </c>
      <c r="F837" t="str">
        <f t="shared" si="27"/>
        <v/>
      </c>
      <c r="G837" t="str">
        <f>IF(E837="","",IF(COUNTIF('DATA QCEW'!$A$2:$A$20,E837)&gt;0,"19-SECTOR","DETAIL / OTHER"))</f>
        <v/>
      </c>
    </row>
    <row r="838" spans="4:7">
      <c r="D838" s="8"/>
      <c r="E838" t="str">
        <f t="shared" si="26"/>
        <v/>
      </c>
      <c r="F838" t="str">
        <f t="shared" si="27"/>
        <v/>
      </c>
      <c r="G838" t="str">
        <f>IF(E838="","",IF(COUNTIF('DATA QCEW'!$A$2:$A$20,E838)&gt;0,"19-SECTOR","DETAIL / OTHER"))</f>
        <v/>
      </c>
    </row>
    <row r="839" spans="4:7">
      <c r="D839" s="8"/>
      <c r="E839" t="str">
        <f t="shared" si="26"/>
        <v/>
      </c>
      <c r="F839" t="str">
        <f t="shared" si="27"/>
        <v/>
      </c>
      <c r="G839" t="str">
        <f>IF(E839="","",IF(COUNTIF('DATA QCEW'!$A$2:$A$20,E839)&gt;0,"19-SECTOR","DETAIL / OTHER"))</f>
        <v/>
      </c>
    </row>
    <row r="840" spans="4:7">
      <c r="D840" s="8"/>
      <c r="E840" t="str">
        <f t="shared" si="26"/>
        <v/>
      </c>
      <c r="F840" t="str">
        <f t="shared" si="27"/>
        <v/>
      </c>
      <c r="G840" t="str">
        <f>IF(E840="","",IF(COUNTIF('DATA QCEW'!$A$2:$A$20,E840)&gt;0,"19-SECTOR","DETAIL / OTHER"))</f>
        <v/>
      </c>
    </row>
    <row r="841" spans="4:7">
      <c r="D841" s="8"/>
      <c r="E841" t="str">
        <f t="shared" si="26"/>
        <v/>
      </c>
      <c r="F841" t="str">
        <f t="shared" si="27"/>
        <v/>
      </c>
      <c r="G841" t="str">
        <f>IF(E841="","",IF(COUNTIF('DATA QCEW'!$A$2:$A$20,E841)&gt;0,"19-SECTOR","DETAIL / OTHER"))</f>
        <v/>
      </c>
    </row>
    <row r="842" spans="4:7">
      <c r="D842" s="8"/>
      <c r="E842" t="str">
        <f t="shared" si="26"/>
        <v/>
      </c>
      <c r="F842" t="str">
        <f t="shared" si="27"/>
        <v/>
      </c>
      <c r="G842" t="str">
        <f>IF(E842="","",IF(COUNTIF('DATA QCEW'!$A$2:$A$20,E842)&gt;0,"19-SECTOR","DETAIL / OTHER"))</f>
        <v/>
      </c>
    </row>
    <row r="843" spans="4:7">
      <c r="D843" s="8"/>
      <c r="E843" t="str">
        <f t="shared" si="26"/>
        <v/>
      </c>
      <c r="F843" t="str">
        <f t="shared" si="27"/>
        <v/>
      </c>
      <c r="G843" t="str">
        <f>IF(E843="","",IF(COUNTIF('DATA QCEW'!$A$2:$A$20,E843)&gt;0,"19-SECTOR","DETAIL / OTHER"))</f>
        <v/>
      </c>
    </row>
    <row r="844" spans="4:7">
      <c r="D844" s="8"/>
      <c r="E844" t="str">
        <f t="shared" si="26"/>
        <v/>
      </c>
      <c r="F844" t="str">
        <f t="shared" si="27"/>
        <v/>
      </c>
      <c r="G844" t="str">
        <f>IF(E844="","",IF(COUNTIF('DATA QCEW'!$A$2:$A$20,E844)&gt;0,"19-SECTOR","DETAIL / OTHER"))</f>
        <v/>
      </c>
    </row>
    <row r="845" spans="4:7">
      <c r="D845" s="8"/>
      <c r="E845" t="str">
        <f t="shared" si="26"/>
        <v/>
      </c>
      <c r="F845" t="str">
        <f t="shared" si="27"/>
        <v/>
      </c>
      <c r="G845" t="str">
        <f>IF(E845="","",IF(COUNTIF('DATA QCEW'!$A$2:$A$20,E845)&gt;0,"19-SECTOR","DETAIL / OTHER"))</f>
        <v/>
      </c>
    </row>
    <row r="846" spans="4:7">
      <c r="D846" s="8"/>
      <c r="E846" t="str">
        <f t="shared" si="26"/>
        <v/>
      </c>
      <c r="F846" t="str">
        <f t="shared" si="27"/>
        <v/>
      </c>
      <c r="G846" t="str">
        <f>IF(E846="","",IF(COUNTIF('DATA QCEW'!$A$2:$A$20,E846)&gt;0,"19-SECTOR","DETAIL / OTHER"))</f>
        <v/>
      </c>
    </row>
    <row r="847" spans="4:7">
      <c r="D847" s="8"/>
      <c r="E847" t="str">
        <f t="shared" si="26"/>
        <v/>
      </c>
      <c r="F847" t="str">
        <f t="shared" si="27"/>
        <v/>
      </c>
      <c r="G847" t="str">
        <f>IF(E847="","",IF(COUNTIF('DATA QCEW'!$A$2:$A$20,E847)&gt;0,"19-SECTOR","DETAIL / OTHER"))</f>
        <v/>
      </c>
    </row>
    <row r="848" spans="4:7">
      <c r="D848" s="8"/>
      <c r="E848" t="str">
        <f t="shared" si="26"/>
        <v/>
      </c>
      <c r="F848" t="str">
        <f t="shared" si="27"/>
        <v/>
      </c>
      <c r="G848" t="str">
        <f>IF(E848="","",IF(COUNTIF('DATA QCEW'!$A$2:$A$20,E848)&gt;0,"19-SECTOR","DETAIL / OTHER"))</f>
        <v/>
      </c>
    </row>
    <row r="849" spans="4:7">
      <c r="D849" s="8"/>
      <c r="E849" t="str">
        <f t="shared" si="26"/>
        <v/>
      </c>
      <c r="F849" t="str">
        <f t="shared" si="27"/>
        <v/>
      </c>
      <c r="G849" t="str">
        <f>IF(E849="","",IF(COUNTIF('DATA QCEW'!$A$2:$A$20,E849)&gt;0,"19-SECTOR","DETAIL / OTHER"))</f>
        <v/>
      </c>
    </row>
    <row r="850" spans="4:7">
      <c r="D850" s="8"/>
      <c r="E850" t="str">
        <f t="shared" si="26"/>
        <v/>
      </c>
      <c r="F850" t="str">
        <f t="shared" si="27"/>
        <v/>
      </c>
      <c r="G850" t="str">
        <f>IF(E850="","",IF(COUNTIF('DATA QCEW'!$A$2:$A$20,E850)&gt;0,"19-SECTOR","DETAIL / OTHER"))</f>
        <v/>
      </c>
    </row>
    <row r="851" spans="4:7">
      <c r="D851" s="8"/>
      <c r="E851" t="str">
        <f t="shared" si="26"/>
        <v/>
      </c>
      <c r="F851" t="str">
        <f t="shared" si="27"/>
        <v/>
      </c>
      <c r="G851" t="str">
        <f>IF(E851="","",IF(COUNTIF('DATA QCEW'!$A$2:$A$20,E851)&gt;0,"19-SECTOR","DETAIL / OTHER"))</f>
        <v/>
      </c>
    </row>
    <row r="852" spans="4:7">
      <c r="D852" s="8"/>
      <c r="E852" t="str">
        <f t="shared" si="26"/>
        <v/>
      </c>
      <c r="F852" t="str">
        <f t="shared" si="27"/>
        <v/>
      </c>
      <c r="G852" t="str">
        <f>IF(E852="","",IF(COUNTIF('DATA QCEW'!$A$2:$A$20,E852)&gt;0,"19-SECTOR","DETAIL / OTHER"))</f>
        <v/>
      </c>
    </row>
    <row r="853" spans="4:7">
      <c r="D853" s="8"/>
      <c r="E853" t="str">
        <f t="shared" si="26"/>
        <v/>
      </c>
      <c r="F853" t="str">
        <f t="shared" si="27"/>
        <v/>
      </c>
      <c r="G853" t="str">
        <f>IF(E853="","",IF(COUNTIF('DATA QCEW'!$A$2:$A$20,E853)&gt;0,"19-SECTOR","DETAIL / OTHER"))</f>
        <v/>
      </c>
    </row>
    <row r="854" spans="4:7">
      <c r="D854" s="8"/>
      <c r="E854" t="str">
        <f t="shared" si="26"/>
        <v/>
      </c>
      <c r="F854" t="str">
        <f t="shared" si="27"/>
        <v/>
      </c>
      <c r="G854" t="str">
        <f>IF(E854="","",IF(COUNTIF('DATA QCEW'!$A$2:$A$20,E854)&gt;0,"19-SECTOR","DETAIL / OTHER"))</f>
        <v/>
      </c>
    </row>
    <row r="855" spans="4:7">
      <c r="D855" s="8"/>
      <c r="E855" t="str">
        <f t="shared" si="26"/>
        <v/>
      </c>
      <c r="F855" t="str">
        <f t="shared" si="27"/>
        <v/>
      </c>
      <c r="G855" t="str">
        <f>IF(E855="","",IF(COUNTIF('DATA QCEW'!$A$2:$A$20,E855)&gt;0,"19-SECTOR","DETAIL / OTHER"))</f>
        <v/>
      </c>
    </row>
    <row r="856" spans="4:7">
      <c r="D856" s="8"/>
      <c r="E856" t="str">
        <f t="shared" si="26"/>
        <v/>
      </c>
      <c r="F856" t="str">
        <f t="shared" si="27"/>
        <v/>
      </c>
      <c r="G856" t="str">
        <f>IF(E856="","",IF(COUNTIF('DATA QCEW'!$A$2:$A$20,E856)&gt;0,"19-SECTOR","DETAIL / OTHER"))</f>
        <v/>
      </c>
    </row>
    <row r="857" spans="4:7">
      <c r="D857" s="8"/>
      <c r="E857" t="str">
        <f t="shared" si="26"/>
        <v/>
      </c>
      <c r="F857" t="str">
        <f t="shared" si="27"/>
        <v/>
      </c>
      <c r="G857" t="str">
        <f>IF(E857="","",IF(COUNTIF('DATA QCEW'!$A$2:$A$20,E857)&gt;0,"19-SECTOR","DETAIL / OTHER"))</f>
        <v/>
      </c>
    </row>
    <row r="858" spans="4:7">
      <c r="D858" s="8"/>
      <c r="E858" t="str">
        <f t="shared" si="26"/>
        <v/>
      </c>
      <c r="F858" t="str">
        <f t="shared" si="27"/>
        <v/>
      </c>
      <c r="G858" t="str">
        <f>IF(E858="","",IF(COUNTIF('DATA QCEW'!$A$2:$A$20,E858)&gt;0,"19-SECTOR","DETAIL / OTHER"))</f>
        <v/>
      </c>
    </row>
    <row r="859" spans="4:7">
      <c r="D859" s="8"/>
      <c r="E859" t="str">
        <f t="shared" si="26"/>
        <v/>
      </c>
      <c r="F859" t="str">
        <f t="shared" si="27"/>
        <v/>
      </c>
      <c r="G859" t="str">
        <f>IF(E859="","",IF(COUNTIF('DATA QCEW'!$A$2:$A$20,E859)&gt;0,"19-SECTOR","DETAIL / OTHER"))</f>
        <v/>
      </c>
    </row>
    <row r="860" spans="4:7">
      <c r="D860" s="8"/>
      <c r="E860" t="str">
        <f t="shared" si="26"/>
        <v/>
      </c>
      <c r="F860" t="str">
        <f t="shared" si="27"/>
        <v/>
      </c>
      <c r="G860" t="str">
        <f>IF(E860="","",IF(COUNTIF('DATA QCEW'!$A$2:$A$20,E860)&gt;0,"19-SECTOR","DETAIL / OTHER"))</f>
        <v/>
      </c>
    </row>
    <row r="861" spans="4:7">
      <c r="D861" s="8"/>
      <c r="E861" t="str">
        <f t="shared" si="26"/>
        <v/>
      </c>
      <c r="F861" t="str">
        <f t="shared" si="27"/>
        <v/>
      </c>
      <c r="G861" t="str">
        <f>IF(E861="","",IF(COUNTIF('DATA QCEW'!$A$2:$A$20,E861)&gt;0,"19-SECTOR","DETAIL / OTHER"))</f>
        <v/>
      </c>
    </row>
    <row r="862" spans="4:7">
      <c r="D862" s="8"/>
      <c r="E862" t="str">
        <f t="shared" si="26"/>
        <v/>
      </c>
      <c r="F862" t="str">
        <f t="shared" si="27"/>
        <v/>
      </c>
      <c r="G862" t="str">
        <f>IF(E862="","",IF(COUNTIF('DATA QCEW'!$A$2:$A$20,E862)&gt;0,"19-SECTOR","DETAIL / OTHER"))</f>
        <v/>
      </c>
    </row>
    <row r="863" spans="4:7">
      <c r="D863" s="8"/>
      <c r="E863" t="str">
        <f t="shared" si="26"/>
        <v/>
      </c>
      <c r="F863" t="str">
        <f t="shared" si="27"/>
        <v/>
      </c>
      <c r="G863" t="str">
        <f>IF(E863="","",IF(COUNTIF('DATA QCEW'!$A$2:$A$20,E863)&gt;0,"19-SECTOR","DETAIL / OTHER"))</f>
        <v/>
      </c>
    </row>
    <row r="864" spans="4:7">
      <c r="D864" s="8"/>
      <c r="E864" t="str">
        <f t="shared" si="26"/>
        <v/>
      </c>
      <c r="F864" t="str">
        <f t="shared" si="27"/>
        <v/>
      </c>
      <c r="G864" t="str">
        <f>IF(E864="","",IF(COUNTIF('DATA QCEW'!$A$2:$A$20,E864)&gt;0,"19-SECTOR","DETAIL / OTHER"))</f>
        <v/>
      </c>
    </row>
    <row r="865" spans="4:7">
      <c r="D865" s="8"/>
      <c r="E865" t="str">
        <f t="shared" si="26"/>
        <v/>
      </c>
      <c r="F865" t="str">
        <f t="shared" si="27"/>
        <v/>
      </c>
      <c r="G865" t="str">
        <f>IF(E865="","",IF(COUNTIF('DATA QCEW'!$A$2:$A$20,E865)&gt;0,"19-SECTOR","DETAIL / OTHER"))</f>
        <v/>
      </c>
    </row>
    <row r="866" spans="4:7">
      <c r="D866" s="8"/>
      <c r="E866" t="str">
        <f t="shared" si="26"/>
        <v/>
      </c>
      <c r="F866" t="str">
        <f t="shared" si="27"/>
        <v/>
      </c>
      <c r="G866" t="str">
        <f>IF(E866="","",IF(COUNTIF('DATA QCEW'!$A$2:$A$20,E866)&gt;0,"19-SECTOR","DETAIL / OTHER"))</f>
        <v/>
      </c>
    </row>
    <row r="867" spans="4:7">
      <c r="D867" s="8"/>
      <c r="E867" t="str">
        <f t="shared" si="26"/>
        <v/>
      </c>
      <c r="F867" t="str">
        <f t="shared" si="27"/>
        <v/>
      </c>
      <c r="G867" t="str">
        <f>IF(E867="","",IF(COUNTIF('DATA QCEW'!$A$2:$A$20,E867)&gt;0,"19-SECTOR","DETAIL / OTHER"))</f>
        <v/>
      </c>
    </row>
    <row r="868" spans="4:7">
      <c r="D868" s="8"/>
      <c r="E868" t="str">
        <f t="shared" si="26"/>
        <v/>
      </c>
      <c r="F868" t="str">
        <f t="shared" si="27"/>
        <v/>
      </c>
      <c r="G868" t="str">
        <f>IF(E868="","",IF(COUNTIF('DATA QCEW'!$A$2:$A$20,E868)&gt;0,"19-SECTOR","DETAIL / OTHER"))</f>
        <v/>
      </c>
    </row>
    <row r="869" spans="4:7">
      <c r="D869" s="8"/>
      <c r="E869" t="str">
        <f t="shared" si="26"/>
        <v/>
      </c>
      <c r="F869" t="str">
        <f t="shared" si="27"/>
        <v/>
      </c>
      <c r="G869" t="str">
        <f>IF(E869="","",IF(COUNTIF('DATA QCEW'!$A$2:$A$20,E869)&gt;0,"19-SECTOR","DETAIL / OTHER"))</f>
        <v/>
      </c>
    </row>
    <row r="870" spans="4:7">
      <c r="D870" s="8"/>
      <c r="E870" t="str">
        <f t="shared" si="26"/>
        <v/>
      </c>
      <c r="F870" t="str">
        <f t="shared" si="27"/>
        <v/>
      </c>
      <c r="G870" t="str">
        <f>IF(E870="","",IF(COUNTIF('DATA QCEW'!$A$2:$A$20,E870)&gt;0,"19-SECTOR","DETAIL / OTHER"))</f>
        <v/>
      </c>
    </row>
    <row r="871" spans="4:7">
      <c r="D871" s="8"/>
      <c r="E871" t="str">
        <f t="shared" si="26"/>
        <v/>
      </c>
      <c r="F871" t="str">
        <f t="shared" si="27"/>
        <v/>
      </c>
      <c r="G871" t="str">
        <f>IF(E871="","",IF(COUNTIF('DATA QCEW'!$A$2:$A$20,E871)&gt;0,"19-SECTOR","DETAIL / OTHER"))</f>
        <v/>
      </c>
    </row>
    <row r="872" spans="4:7">
      <c r="D872" s="8"/>
      <c r="E872" t="str">
        <f t="shared" si="26"/>
        <v/>
      </c>
      <c r="F872" t="str">
        <f t="shared" si="27"/>
        <v/>
      </c>
      <c r="G872" t="str">
        <f>IF(E872="","",IF(COUNTIF('DATA QCEW'!$A$2:$A$20,E872)&gt;0,"19-SECTOR","DETAIL / OTHER"))</f>
        <v/>
      </c>
    </row>
    <row r="873" spans="4:7">
      <c r="D873" s="8"/>
      <c r="E873" t="str">
        <f t="shared" si="26"/>
        <v/>
      </c>
      <c r="F873" t="str">
        <f t="shared" si="27"/>
        <v/>
      </c>
      <c r="G873" t="str">
        <f>IF(E873="","",IF(COUNTIF('DATA QCEW'!$A$2:$A$20,E873)&gt;0,"19-SECTOR","DETAIL / OTHER"))</f>
        <v/>
      </c>
    </row>
    <row r="874" spans="4:7">
      <c r="D874" s="8"/>
      <c r="E874" t="str">
        <f t="shared" si="26"/>
        <v/>
      </c>
      <c r="F874" t="str">
        <f t="shared" si="27"/>
        <v/>
      </c>
      <c r="G874" t="str">
        <f>IF(E874="","",IF(COUNTIF('DATA QCEW'!$A$2:$A$20,E874)&gt;0,"19-SECTOR","DETAIL / OTHER"))</f>
        <v/>
      </c>
    </row>
    <row r="875" spans="4:7">
      <c r="D875" s="8"/>
      <c r="E875" t="str">
        <f t="shared" si="26"/>
        <v/>
      </c>
      <c r="F875" t="str">
        <f t="shared" si="27"/>
        <v/>
      </c>
      <c r="G875" t="str">
        <f>IF(E875="","",IF(COUNTIF('DATA QCEW'!$A$2:$A$20,E875)&gt;0,"19-SECTOR","DETAIL / OTHER"))</f>
        <v/>
      </c>
    </row>
    <row r="876" spans="4:7">
      <c r="D876" s="8"/>
      <c r="E876" t="str">
        <f t="shared" si="26"/>
        <v/>
      </c>
      <c r="F876" t="str">
        <f t="shared" si="27"/>
        <v/>
      </c>
      <c r="G876" t="str">
        <f>IF(E876="","",IF(COUNTIF('DATA QCEW'!$A$2:$A$20,E876)&gt;0,"19-SECTOR","DETAIL / OTHER"))</f>
        <v/>
      </c>
    </row>
    <row r="877" spans="4:7">
      <c r="D877" s="8"/>
      <c r="E877" t="str">
        <f t="shared" si="26"/>
        <v/>
      </c>
      <c r="F877" t="str">
        <f t="shared" si="27"/>
        <v/>
      </c>
      <c r="G877" t="str">
        <f>IF(E877="","",IF(COUNTIF('DATA QCEW'!$A$2:$A$20,E877)&gt;0,"19-SECTOR","DETAIL / OTHER"))</f>
        <v/>
      </c>
    </row>
    <row r="878" spans="4:7">
      <c r="D878" s="8"/>
      <c r="E878" t="str">
        <f t="shared" si="26"/>
        <v/>
      </c>
      <c r="F878" t="str">
        <f t="shared" si="27"/>
        <v/>
      </c>
      <c r="G878" t="str">
        <f>IF(E878="","",IF(COUNTIF('DATA QCEW'!$A$2:$A$20,E878)&gt;0,"19-SECTOR","DETAIL / OTHER"))</f>
        <v/>
      </c>
    </row>
    <row r="879" spans="4:7">
      <c r="D879" s="8"/>
      <c r="E879" t="str">
        <f t="shared" si="26"/>
        <v/>
      </c>
      <c r="F879" t="str">
        <f t="shared" si="27"/>
        <v/>
      </c>
      <c r="G879" t="str">
        <f>IF(E879="","",IF(COUNTIF('DATA QCEW'!$A$2:$A$20,E879)&gt;0,"19-SECTOR","DETAIL / OTHER"))</f>
        <v/>
      </c>
    </row>
    <row r="880" spans="4:7">
      <c r="D880" s="8"/>
      <c r="E880" t="str">
        <f t="shared" si="26"/>
        <v/>
      </c>
      <c r="F880" t="str">
        <f t="shared" si="27"/>
        <v/>
      </c>
      <c r="G880" t="str">
        <f>IF(E880="","",IF(COUNTIF('DATA QCEW'!$A$2:$A$20,E880)&gt;0,"19-SECTOR","DETAIL / OTHER"))</f>
        <v/>
      </c>
    </row>
    <row r="881" spans="4:7">
      <c r="D881" s="8"/>
      <c r="E881" t="str">
        <f t="shared" si="26"/>
        <v/>
      </c>
      <c r="F881" t="str">
        <f t="shared" si="27"/>
        <v/>
      </c>
      <c r="G881" t="str">
        <f>IF(E881="","",IF(COUNTIF('DATA QCEW'!$A$2:$A$20,E881)&gt;0,"19-SECTOR","DETAIL / OTHER"))</f>
        <v/>
      </c>
    </row>
    <row r="882" spans="4:7">
      <c r="D882" s="8"/>
      <c r="E882" t="str">
        <f t="shared" si="26"/>
        <v/>
      </c>
      <c r="F882" t="str">
        <f t="shared" si="27"/>
        <v/>
      </c>
      <c r="G882" t="str">
        <f>IF(E882="","",IF(COUNTIF('DATA QCEW'!$A$2:$A$20,E882)&gt;0,"19-SECTOR","DETAIL / OTHER"))</f>
        <v/>
      </c>
    </row>
    <row r="883" spans="4:7">
      <c r="D883" s="8"/>
      <c r="E883" t="str">
        <f t="shared" si="26"/>
        <v/>
      </c>
      <c r="F883" t="str">
        <f t="shared" si="27"/>
        <v/>
      </c>
      <c r="G883" t="str">
        <f>IF(E883="","",IF(COUNTIF('DATA QCEW'!$A$2:$A$20,E883)&gt;0,"19-SECTOR","DETAIL / OTHER"))</f>
        <v/>
      </c>
    </row>
    <row r="884" spans="4:7">
      <c r="D884" s="8"/>
      <c r="E884" t="str">
        <f t="shared" si="26"/>
        <v/>
      </c>
      <c r="F884" t="str">
        <f t="shared" si="27"/>
        <v/>
      </c>
      <c r="G884" t="str">
        <f>IF(E884="","",IF(COUNTIF('DATA QCEW'!$A$2:$A$20,E884)&gt;0,"19-SECTOR","DETAIL / OTHER"))</f>
        <v/>
      </c>
    </row>
    <row r="885" spans="4:7">
      <c r="D885" s="8"/>
      <c r="E885" t="str">
        <f t="shared" si="26"/>
        <v/>
      </c>
      <c r="F885" t="str">
        <f t="shared" si="27"/>
        <v/>
      </c>
      <c r="G885" t="str">
        <f>IF(E885="","",IF(COUNTIF('DATA QCEW'!$A$2:$A$20,E885)&gt;0,"19-SECTOR","DETAIL / OTHER"))</f>
        <v/>
      </c>
    </row>
    <row r="886" spans="4:7">
      <c r="D886" s="8"/>
      <c r="E886" t="str">
        <f t="shared" si="26"/>
        <v/>
      </c>
      <c r="F886" t="str">
        <f t="shared" si="27"/>
        <v/>
      </c>
      <c r="G886" t="str">
        <f>IF(E886="","",IF(COUNTIF('DATA QCEW'!$A$2:$A$20,E886)&gt;0,"19-SECTOR","DETAIL / OTHER"))</f>
        <v/>
      </c>
    </row>
    <row r="887" spans="4:7">
      <c r="D887" s="8"/>
      <c r="E887" t="str">
        <f t="shared" si="26"/>
        <v/>
      </c>
      <c r="F887" t="str">
        <f t="shared" si="27"/>
        <v/>
      </c>
      <c r="G887" t="str">
        <f>IF(E887="","",IF(COUNTIF('DATA QCEW'!$A$2:$A$20,E887)&gt;0,"19-SECTOR","DETAIL / OTHER"))</f>
        <v/>
      </c>
    </row>
    <row r="888" spans="4:7">
      <c r="D888" s="8"/>
      <c r="E888" t="str">
        <f t="shared" si="26"/>
        <v/>
      </c>
      <c r="F888" t="str">
        <f t="shared" si="27"/>
        <v/>
      </c>
      <c r="G888" t="str">
        <f>IF(E888="","",IF(COUNTIF('DATA QCEW'!$A$2:$A$20,E888)&gt;0,"19-SECTOR","DETAIL / OTHER"))</f>
        <v/>
      </c>
    </row>
    <row r="889" spans="4:7">
      <c r="D889" s="8"/>
      <c r="E889" t="str">
        <f t="shared" si="26"/>
        <v/>
      </c>
      <c r="F889" t="str">
        <f t="shared" si="27"/>
        <v/>
      </c>
      <c r="G889" t="str">
        <f>IF(E889="","",IF(COUNTIF('DATA QCEW'!$A$2:$A$20,E889)&gt;0,"19-SECTOR","DETAIL / OTHER"))</f>
        <v/>
      </c>
    </row>
    <row r="890" spans="4:7">
      <c r="D890" s="8"/>
      <c r="E890" t="str">
        <f t="shared" si="26"/>
        <v/>
      </c>
      <c r="F890" t="str">
        <f t="shared" si="27"/>
        <v/>
      </c>
      <c r="G890" t="str">
        <f>IF(E890="","",IF(COUNTIF('DATA QCEW'!$A$2:$A$20,E890)&gt;0,"19-SECTOR","DETAIL / OTHER"))</f>
        <v/>
      </c>
    </row>
    <row r="891" spans="4:7">
      <c r="D891" s="8"/>
      <c r="E891" t="str">
        <f t="shared" si="26"/>
        <v/>
      </c>
      <c r="F891" t="str">
        <f t="shared" si="27"/>
        <v/>
      </c>
      <c r="G891" t="str">
        <f>IF(E891="","",IF(COUNTIF('DATA QCEW'!$A$2:$A$20,E891)&gt;0,"19-SECTOR","DETAIL / OTHER"))</f>
        <v/>
      </c>
    </row>
    <row r="892" spans="4:7">
      <c r="D892" s="8"/>
      <c r="E892" t="str">
        <f t="shared" si="26"/>
        <v/>
      </c>
      <c r="F892" t="str">
        <f t="shared" si="27"/>
        <v/>
      </c>
      <c r="G892" t="str">
        <f>IF(E892="","",IF(COUNTIF('DATA QCEW'!$A$2:$A$20,E892)&gt;0,"19-SECTOR","DETAIL / OTHER"))</f>
        <v/>
      </c>
    </row>
    <row r="893" spans="4:7">
      <c r="D893" s="8"/>
      <c r="E893" t="str">
        <f t="shared" si="26"/>
        <v/>
      </c>
      <c r="F893" t="str">
        <f t="shared" si="27"/>
        <v/>
      </c>
      <c r="G893" t="str">
        <f>IF(E893="","",IF(COUNTIF('DATA QCEW'!$A$2:$A$20,E893)&gt;0,"19-SECTOR","DETAIL / OTHER"))</f>
        <v/>
      </c>
    </row>
    <row r="894" spans="4:7">
      <c r="D894" s="8"/>
      <c r="E894" t="str">
        <f t="shared" si="26"/>
        <v/>
      </c>
      <c r="F894" t="str">
        <f t="shared" si="27"/>
        <v/>
      </c>
      <c r="G894" t="str">
        <f>IF(E894="","",IF(COUNTIF('DATA QCEW'!$A$2:$A$20,E894)&gt;0,"19-SECTOR","DETAIL / OTHER"))</f>
        <v/>
      </c>
    </row>
    <row r="895" spans="4:7">
      <c r="D895" s="8"/>
      <c r="E895" t="str">
        <f t="shared" si="26"/>
        <v/>
      </c>
      <c r="F895" t="str">
        <f t="shared" si="27"/>
        <v/>
      </c>
      <c r="G895" t="str">
        <f>IF(E895="","",IF(COUNTIF('DATA QCEW'!$A$2:$A$20,E895)&gt;0,"19-SECTOR","DETAIL / OTHER"))</f>
        <v/>
      </c>
    </row>
    <row r="896" spans="4:7">
      <c r="D896" s="8"/>
      <c r="E896" t="str">
        <f t="shared" si="26"/>
        <v/>
      </c>
      <c r="F896" t="str">
        <f t="shared" si="27"/>
        <v/>
      </c>
      <c r="G896" t="str">
        <f>IF(E896="","",IF(COUNTIF('DATA QCEW'!$A$2:$A$20,E896)&gt;0,"19-SECTOR","DETAIL / OTHER"))</f>
        <v/>
      </c>
    </row>
    <row r="897" spans="4:7">
      <c r="D897" s="8"/>
      <c r="E897" t="str">
        <f t="shared" si="26"/>
        <v/>
      </c>
      <c r="F897" t="str">
        <f t="shared" si="27"/>
        <v/>
      </c>
      <c r="G897" t="str">
        <f>IF(E897="","",IF(COUNTIF('DATA QCEW'!$A$2:$A$20,E897)&gt;0,"19-SECTOR","DETAIL / OTHER"))</f>
        <v/>
      </c>
    </row>
    <row r="898" spans="4:7">
      <c r="D898" s="8"/>
      <c r="E898" t="str">
        <f t="shared" ref="E898:E961" si="28">IF(LEFT(TRIM(A898),6)="NAICS ",IFERROR(MID(TRIM(A898),7,FIND(" ",TRIM(A898)&amp;" ",7)-7),""),"")</f>
        <v/>
      </c>
      <c r="F898" t="str">
        <f t="shared" ref="F898:F961" si="29">IF(E898="","",TRIM(MID(TRIM(A898),FIND(" ",TRIM(A898)&amp;" ",7)+1,255)))</f>
        <v/>
      </c>
      <c r="G898" t="str">
        <f>IF(E898="","",IF(COUNTIF('DATA QCEW'!$A$2:$A$20,E898)&gt;0,"19-SECTOR","DETAIL / OTHER"))</f>
        <v/>
      </c>
    </row>
    <row r="899" spans="4:7">
      <c r="D899" s="8"/>
      <c r="E899" t="str">
        <f t="shared" si="28"/>
        <v/>
      </c>
      <c r="F899" t="str">
        <f t="shared" si="29"/>
        <v/>
      </c>
      <c r="G899" t="str">
        <f>IF(E899="","",IF(COUNTIF('DATA QCEW'!$A$2:$A$20,E899)&gt;0,"19-SECTOR","DETAIL / OTHER"))</f>
        <v/>
      </c>
    </row>
    <row r="900" spans="4:7">
      <c r="D900" s="8"/>
      <c r="E900" t="str">
        <f t="shared" si="28"/>
        <v/>
      </c>
      <c r="F900" t="str">
        <f t="shared" si="29"/>
        <v/>
      </c>
      <c r="G900" t="str">
        <f>IF(E900="","",IF(COUNTIF('DATA QCEW'!$A$2:$A$20,E900)&gt;0,"19-SECTOR","DETAIL / OTHER"))</f>
        <v/>
      </c>
    </row>
    <row r="901" spans="4:7">
      <c r="D901" s="8"/>
      <c r="E901" t="str">
        <f t="shared" si="28"/>
        <v/>
      </c>
      <c r="F901" t="str">
        <f t="shared" si="29"/>
        <v/>
      </c>
      <c r="G901" t="str">
        <f>IF(E901="","",IF(COUNTIF('DATA QCEW'!$A$2:$A$20,E901)&gt;0,"19-SECTOR","DETAIL / OTHER"))</f>
        <v/>
      </c>
    </row>
    <row r="902" spans="4:7">
      <c r="D902" s="8"/>
      <c r="E902" t="str">
        <f t="shared" si="28"/>
        <v/>
      </c>
      <c r="F902" t="str">
        <f t="shared" si="29"/>
        <v/>
      </c>
      <c r="G902" t="str">
        <f>IF(E902="","",IF(COUNTIF('DATA QCEW'!$A$2:$A$20,E902)&gt;0,"19-SECTOR","DETAIL / OTHER"))</f>
        <v/>
      </c>
    </row>
    <row r="903" spans="4:7">
      <c r="D903" s="8"/>
      <c r="E903" t="str">
        <f t="shared" si="28"/>
        <v/>
      </c>
      <c r="F903" t="str">
        <f t="shared" si="29"/>
        <v/>
      </c>
      <c r="G903" t="str">
        <f>IF(E903="","",IF(COUNTIF('DATA QCEW'!$A$2:$A$20,E903)&gt;0,"19-SECTOR","DETAIL / OTHER"))</f>
        <v/>
      </c>
    </row>
    <row r="904" spans="4:7">
      <c r="D904" s="8"/>
      <c r="E904" t="str">
        <f t="shared" si="28"/>
        <v/>
      </c>
      <c r="F904" t="str">
        <f t="shared" si="29"/>
        <v/>
      </c>
      <c r="G904" t="str">
        <f>IF(E904="","",IF(COUNTIF('DATA QCEW'!$A$2:$A$20,E904)&gt;0,"19-SECTOR","DETAIL / OTHER"))</f>
        <v/>
      </c>
    </row>
    <row r="905" spans="4:7">
      <c r="D905" s="8"/>
      <c r="E905" t="str">
        <f t="shared" si="28"/>
        <v/>
      </c>
      <c r="F905" t="str">
        <f t="shared" si="29"/>
        <v/>
      </c>
      <c r="G905" t="str">
        <f>IF(E905="","",IF(COUNTIF('DATA QCEW'!$A$2:$A$20,E905)&gt;0,"19-SECTOR","DETAIL / OTHER"))</f>
        <v/>
      </c>
    </row>
    <row r="906" spans="4:7">
      <c r="D906" s="8"/>
      <c r="E906" t="str">
        <f t="shared" si="28"/>
        <v/>
      </c>
      <c r="F906" t="str">
        <f t="shared" si="29"/>
        <v/>
      </c>
      <c r="G906" t="str">
        <f>IF(E906="","",IF(COUNTIF('DATA QCEW'!$A$2:$A$20,E906)&gt;0,"19-SECTOR","DETAIL / OTHER"))</f>
        <v/>
      </c>
    </row>
    <row r="907" spans="4:7">
      <c r="D907" s="8"/>
      <c r="E907" t="str">
        <f t="shared" si="28"/>
        <v/>
      </c>
      <c r="F907" t="str">
        <f t="shared" si="29"/>
        <v/>
      </c>
      <c r="G907" t="str">
        <f>IF(E907="","",IF(COUNTIF('DATA QCEW'!$A$2:$A$20,E907)&gt;0,"19-SECTOR","DETAIL / OTHER"))</f>
        <v/>
      </c>
    </row>
    <row r="908" spans="4:7">
      <c r="D908" s="8"/>
      <c r="E908" t="str">
        <f t="shared" si="28"/>
        <v/>
      </c>
      <c r="F908" t="str">
        <f t="shared" si="29"/>
        <v/>
      </c>
      <c r="G908" t="str">
        <f>IF(E908="","",IF(COUNTIF('DATA QCEW'!$A$2:$A$20,E908)&gt;0,"19-SECTOR","DETAIL / OTHER"))</f>
        <v/>
      </c>
    </row>
    <row r="909" spans="4:7">
      <c r="D909" s="8"/>
      <c r="E909" t="str">
        <f t="shared" si="28"/>
        <v/>
      </c>
      <c r="F909" t="str">
        <f t="shared" si="29"/>
        <v/>
      </c>
      <c r="G909" t="str">
        <f>IF(E909="","",IF(COUNTIF('DATA QCEW'!$A$2:$A$20,E909)&gt;0,"19-SECTOR","DETAIL / OTHER"))</f>
        <v/>
      </c>
    </row>
    <row r="910" spans="4:7">
      <c r="D910" s="8"/>
      <c r="E910" t="str">
        <f t="shared" si="28"/>
        <v/>
      </c>
      <c r="F910" t="str">
        <f t="shared" si="29"/>
        <v/>
      </c>
      <c r="G910" t="str">
        <f>IF(E910="","",IF(COUNTIF('DATA QCEW'!$A$2:$A$20,E910)&gt;0,"19-SECTOR","DETAIL / OTHER"))</f>
        <v/>
      </c>
    </row>
    <row r="911" spans="4:7">
      <c r="D911" s="8"/>
      <c r="E911" t="str">
        <f t="shared" si="28"/>
        <v/>
      </c>
      <c r="F911" t="str">
        <f t="shared" si="29"/>
        <v/>
      </c>
      <c r="G911" t="str">
        <f>IF(E911="","",IF(COUNTIF('DATA QCEW'!$A$2:$A$20,E911)&gt;0,"19-SECTOR","DETAIL / OTHER"))</f>
        <v/>
      </c>
    </row>
    <row r="912" spans="4:7">
      <c r="D912" s="8"/>
      <c r="E912" t="str">
        <f t="shared" si="28"/>
        <v/>
      </c>
      <c r="F912" t="str">
        <f t="shared" si="29"/>
        <v/>
      </c>
      <c r="G912" t="str">
        <f>IF(E912="","",IF(COUNTIF('DATA QCEW'!$A$2:$A$20,E912)&gt;0,"19-SECTOR","DETAIL / OTHER"))</f>
        <v/>
      </c>
    </row>
    <row r="913" spans="4:7">
      <c r="D913" s="8"/>
      <c r="E913" t="str">
        <f t="shared" si="28"/>
        <v/>
      </c>
      <c r="F913" t="str">
        <f t="shared" si="29"/>
        <v/>
      </c>
      <c r="G913" t="str">
        <f>IF(E913="","",IF(COUNTIF('DATA QCEW'!$A$2:$A$20,E913)&gt;0,"19-SECTOR","DETAIL / OTHER"))</f>
        <v/>
      </c>
    </row>
    <row r="914" spans="4:7">
      <c r="D914" s="8"/>
      <c r="E914" t="str">
        <f t="shared" si="28"/>
        <v/>
      </c>
      <c r="F914" t="str">
        <f t="shared" si="29"/>
        <v/>
      </c>
      <c r="G914" t="str">
        <f>IF(E914="","",IF(COUNTIF('DATA QCEW'!$A$2:$A$20,E914)&gt;0,"19-SECTOR","DETAIL / OTHER"))</f>
        <v/>
      </c>
    </row>
    <row r="915" spans="4:7">
      <c r="D915" s="8"/>
      <c r="E915" t="str">
        <f t="shared" si="28"/>
        <v/>
      </c>
      <c r="F915" t="str">
        <f t="shared" si="29"/>
        <v/>
      </c>
      <c r="G915" t="str">
        <f>IF(E915="","",IF(COUNTIF('DATA QCEW'!$A$2:$A$20,E915)&gt;0,"19-SECTOR","DETAIL / OTHER"))</f>
        <v/>
      </c>
    </row>
    <row r="916" spans="4:7">
      <c r="D916" s="8"/>
      <c r="E916" t="str">
        <f t="shared" si="28"/>
        <v/>
      </c>
      <c r="F916" t="str">
        <f t="shared" si="29"/>
        <v/>
      </c>
      <c r="G916" t="str">
        <f>IF(E916="","",IF(COUNTIF('DATA QCEW'!$A$2:$A$20,E916)&gt;0,"19-SECTOR","DETAIL / OTHER"))</f>
        <v/>
      </c>
    </row>
    <row r="917" spans="4:7">
      <c r="D917" s="8"/>
      <c r="E917" t="str">
        <f t="shared" si="28"/>
        <v/>
      </c>
      <c r="F917" t="str">
        <f t="shared" si="29"/>
        <v/>
      </c>
      <c r="G917" t="str">
        <f>IF(E917="","",IF(COUNTIF('DATA QCEW'!$A$2:$A$20,E917)&gt;0,"19-SECTOR","DETAIL / OTHER"))</f>
        <v/>
      </c>
    </row>
    <row r="918" spans="4:7">
      <c r="D918" s="8"/>
      <c r="E918" t="str">
        <f t="shared" si="28"/>
        <v/>
      </c>
      <c r="F918" t="str">
        <f t="shared" si="29"/>
        <v/>
      </c>
      <c r="G918" t="str">
        <f>IF(E918="","",IF(COUNTIF('DATA QCEW'!$A$2:$A$20,E918)&gt;0,"19-SECTOR","DETAIL / OTHER"))</f>
        <v/>
      </c>
    </row>
    <row r="919" spans="4:7">
      <c r="D919" s="8"/>
      <c r="E919" t="str">
        <f t="shared" si="28"/>
        <v/>
      </c>
      <c r="F919" t="str">
        <f t="shared" si="29"/>
        <v/>
      </c>
      <c r="G919" t="str">
        <f>IF(E919="","",IF(COUNTIF('DATA QCEW'!$A$2:$A$20,E919)&gt;0,"19-SECTOR","DETAIL / OTHER"))</f>
        <v/>
      </c>
    </row>
    <row r="920" spans="4:7">
      <c r="D920" s="8"/>
      <c r="E920" t="str">
        <f t="shared" si="28"/>
        <v/>
      </c>
      <c r="F920" t="str">
        <f t="shared" si="29"/>
        <v/>
      </c>
      <c r="G920" t="str">
        <f>IF(E920="","",IF(COUNTIF('DATA QCEW'!$A$2:$A$20,E920)&gt;0,"19-SECTOR","DETAIL / OTHER"))</f>
        <v/>
      </c>
    </row>
    <row r="921" spans="4:7">
      <c r="D921" s="8"/>
      <c r="E921" t="str">
        <f t="shared" si="28"/>
        <v/>
      </c>
      <c r="F921" t="str">
        <f t="shared" si="29"/>
        <v/>
      </c>
      <c r="G921" t="str">
        <f>IF(E921="","",IF(COUNTIF('DATA QCEW'!$A$2:$A$20,E921)&gt;0,"19-SECTOR","DETAIL / OTHER"))</f>
        <v/>
      </c>
    </row>
    <row r="922" spans="4:7">
      <c r="D922" s="8"/>
      <c r="E922" t="str">
        <f t="shared" si="28"/>
        <v/>
      </c>
      <c r="F922" t="str">
        <f t="shared" si="29"/>
        <v/>
      </c>
      <c r="G922" t="str">
        <f>IF(E922="","",IF(COUNTIF('DATA QCEW'!$A$2:$A$20,E922)&gt;0,"19-SECTOR","DETAIL / OTHER"))</f>
        <v/>
      </c>
    </row>
    <row r="923" spans="4:7">
      <c r="D923" s="8"/>
      <c r="E923" t="str">
        <f t="shared" si="28"/>
        <v/>
      </c>
      <c r="F923" t="str">
        <f t="shared" si="29"/>
        <v/>
      </c>
      <c r="G923" t="str">
        <f>IF(E923="","",IF(COUNTIF('DATA QCEW'!$A$2:$A$20,E923)&gt;0,"19-SECTOR","DETAIL / OTHER"))</f>
        <v/>
      </c>
    </row>
    <row r="924" spans="4:7">
      <c r="D924" s="8"/>
      <c r="E924" t="str">
        <f t="shared" si="28"/>
        <v/>
      </c>
      <c r="F924" t="str">
        <f t="shared" si="29"/>
        <v/>
      </c>
      <c r="G924" t="str">
        <f>IF(E924="","",IF(COUNTIF('DATA QCEW'!$A$2:$A$20,E924)&gt;0,"19-SECTOR","DETAIL / OTHER"))</f>
        <v/>
      </c>
    </row>
    <row r="925" spans="4:7">
      <c r="D925" s="8"/>
      <c r="E925" t="str">
        <f t="shared" si="28"/>
        <v/>
      </c>
      <c r="F925" t="str">
        <f t="shared" si="29"/>
        <v/>
      </c>
      <c r="G925" t="str">
        <f>IF(E925="","",IF(COUNTIF('DATA QCEW'!$A$2:$A$20,E925)&gt;0,"19-SECTOR","DETAIL / OTHER"))</f>
        <v/>
      </c>
    </row>
    <row r="926" spans="4:7">
      <c r="D926" s="8"/>
      <c r="E926" t="str">
        <f t="shared" si="28"/>
        <v/>
      </c>
      <c r="F926" t="str">
        <f t="shared" si="29"/>
        <v/>
      </c>
      <c r="G926" t="str">
        <f>IF(E926="","",IF(COUNTIF('DATA QCEW'!$A$2:$A$20,E926)&gt;0,"19-SECTOR","DETAIL / OTHER"))</f>
        <v/>
      </c>
    </row>
    <row r="927" spans="4:7">
      <c r="D927" s="8"/>
      <c r="E927" t="str">
        <f t="shared" si="28"/>
        <v/>
      </c>
      <c r="F927" t="str">
        <f t="shared" si="29"/>
        <v/>
      </c>
      <c r="G927" t="str">
        <f>IF(E927="","",IF(COUNTIF('DATA QCEW'!$A$2:$A$20,E927)&gt;0,"19-SECTOR","DETAIL / OTHER"))</f>
        <v/>
      </c>
    </row>
    <row r="928" spans="4:7">
      <c r="D928" s="8"/>
      <c r="E928" t="str">
        <f t="shared" si="28"/>
        <v/>
      </c>
      <c r="F928" t="str">
        <f t="shared" si="29"/>
        <v/>
      </c>
      <c r="G928" t="str">
        <f>IF(E928="","",IF(COUNTIF('DATA QCEW'!$A$2:$A$20,E928)&gt;0,"19-SECTOR","DETAIL / OTHER"))</f>
        <v/>
      </c>
    </row>
    <row r="929" spans="4:7">
      <c r="D929" s="8"/>
      <c r="E929" t="str">
        <f t="shared" si="28"/>
        <v/>
      </c>
      <c r="F929" t="str">
        <f t="shared" si="29"/>
        <v/>
      </c>
      <c r="G929" t="str">
        <f>IF(E929="","",IF(COUNTIF('DATA QCEW'!$A$2:$A$20,E929)&gt;0,"19-SECTOR","DETAIL / OTHER"))</f>
        <v/>
      </c>
    </row>
    <row r="930" spans="4:7">
      <c r="D930" s="8"/>
      <c r="E930" t="str">
        <f t="shared" si="28"/>
        <v/>
      </c>
      <c r="F930" t="str">
        <f t="shared" si="29"/>
        <v/>
      </c>
      <c r="G930" t="str">
        <f>IF(E930="","",IF(COUNTIF('DATA QCEW'!$A$2:$A$20,E930)&gt;0,"19-SECTOR","DETAIL / OTHER"))</f>
        <v/>
      </c>
    </row>
    <row r="931" spans="4:7">
      <c r="D931" s="8"/>
      <c r="E931" t="str">
        <f t="shared" si="28"/>
        <v/>
      </c>
      <c r="F931" t="str">
        <f t="shared" si="29"/>
        <v/>
      </c>
      <c r="G931" t="str">
        <f>IF(E931="","",IF(COUNTIF('DATA QCEW'!$A$2:$A$20,E931)&gt;0,"19-SECTOR","DETAIL / OTHER"))</f>
        <v/>
      </c>
    </row>
    <row r="932" spans="4:7">
      <c r="D932" s="8"/>
      <c r="E932" t="str">
        <f t="shared" si="28"/>
        <v/>
      </c>
      <c r="F932" t="str">
        <f t="shared" si="29"/>
        <v/>
      </c>
      <c r="G932" t="str">
        <f>IF(E932="","",IF(COUNTIF('DATA QCEW'!$A$2:$A$20,E932)&gt;0,"19-SECTOR","DETAIL / OTHER"))</f>
        <v/>
      </c>
    </row>
    <row r="933" spans="4:7">
      <c r="D933" s="8"/>
      <c r="E933" t="str">
        <f t="shared" si="28"/>
        <v/>
      </c>
      <c r="F933" t="str">
        <f t="shared" si="29"/>
        <v/>
      </c>
      <c r="G933" t="str">
        <f>IF(E933="","",IF(COUNTIF('DATA QCEW'!$A$2:$A$20,E933)&gt;0,"19-SECTOR","DETAIL / OTHER"))</f>
        <v/>
      </c>
    </row>
    <row r="934" spans="4:7">
      <c r="D934" s="8"/>
      <c r="E934" t="str">
        <f t="shared" si="28"/>
        <v/>
      </c>
      <c r="F934" t="str">
        <f t="shared" si="29"/>
        <v/>
      </c>
      <c r="G934" t="str">
        <f>IF(E934="","",IF(COUNTIF('DATA QCEW'!$A$2:$A$20,E934)&gt;0,"19-SECTOR","DETAIL / OTHER"))</f>
        <v/>
      </c>
    </row>
    <row r="935" spans="4:7">
      <c r="D935" s="8"/>
      <c r="E935" t="str">
        <f t="shared" si="28"/>
        <v/>
      </c>
      <c r="F935" t="str">
        <f t="shared" si="29"/>
        <v/>
      </c>
      <c r="G935" t="str">
        <f>IF(E935="","",IF(COUNTIF('DATA QCEW'!$A$2:$A$20,E935)&gt;0,"19-SECTOR","DETAIL / OTHER"))</f>
        <v/>
      </c>
    </row>
    <row r="936" spans="4:7">
      <c r="D936" s="8"/>
      <c r="E936" t="str">
        <f t="shared" si="28"/>
        <v/>
      </c>
      <c r="F936" t="str">
        <f t="shared" si="29"/>
        <v/>
      </c>
      <c r="G936" t="str">
        <f>IF(E936="","",IF(COUNTIF('DATA QCEW'!$A$2:$A$20,E936)&gt;0,"19-SECTOR","DETAIL / OTHER"))</f>
        <v/>
      </c>
    </row>
    <row r="937" spans="4:7">
      <c r="D937" s="8"/>
      <c r="E937" t="str">
        <f t="shared" si="28"/>
        <v/>
      </c>
      <c r="F937" t="str">
        <f t="shared" si="29"/>
        <v/>
      </c>
      <c r="G937" t="str">
        <f>IF(E937="","",IF(COUNTIF('DATA QCEW'!$A$2:$A$20,E937)&gt;0,"19-SECTOR","DETAIL / OTHER"))</f>
        <v/>
      </c>
    </row>
    <row r="938" spans="4:7">
      <c r="D938" s="8"/>
      <c r="E938" t="str">
        <f t="shared" si="28"/>
        <v/>
      </c>
      <c r="F938" t="str">
        <f t="shared" si="29"/>
        <v/>
      </c>
      <c r="G938" t="str">
        <f>IF(E938="","",IF(COUNTIF('DATA QCEW'!$A$2:$A$20,E938)&gt;0,"19-SECTOR","DETAIL / OTHER"))</f>
        <v/>
      </c>
    </row>
    <row r="939" spans="4:7">
      <c r="D939" s="8"/>
      <c r="E939" t="str">
        <f t="shared" si="28"/>
        <v/>
      </c>
      <c r="F939" t="str">
        <f t="shared" si="29"/>
        <v/>
      </c>
      <c r="G939" t="str">
        <f>IF(E939="","",IF(COUNTIF('DATA QCEW'!$A$2:$A$20,E939)&gt;0,"19-SECTOR","DETAIL / OTHER"))</f>
        <v/>
      </c>
    </row>
    <row r="940" spans="4:7">
      <c r="D940" s="8"/>
      <c r="E940" t="str">
        <f t="shared" si="28"/>
        <v/>
      </c>
      <c r="F940" t="str">
        <f t="shared" si="29"/>
        <v/>
      </c>
      <c r="G940" t="str">
        <f>IF(E940="","",IF(COUNTIF('DATA QCEW'!$A$2:$A$20,E940)&gt;0,"19-SECTOR","DETAIL / OTHER"))</f>
        <v/>
      </c>
    </row>
    <row r="941" spans="4:7">
      <c r="D941" s="8"/>
      <c r="E941" t="str">
        <f t="shared" si="28"/>
        <v/>
      </c>
      <c r="F941" t="str">
        <f t="shared" si="29"/>
        <v/>
      </c>
      <c r="G941" t="str">
        <f>IF(E941="","",IF(COUNTIF('DATA QCEW'!$A$2:$A$20,E941)&gt;0,"19-SECTOR","DETAIL / OTHER"))</f>
        <v/>
      </c>
    </row>
    <row r="942" spans="4:7">
      <c r="D942" s="8"/>
      <c r="E942" t="str">
        <f t="shared" si="28"/>
        <v/>
      </c>
      <c r="F942" t="str">
        <f t="shared" si="29"/>
        <v/>
      </c>
      <c r="G942" t="str">
        <f>IF(E942="","",IF(COUNTIF('DATA QCEW'!$A$2:$A$20,E942)&gt;0,"19-SECTOR","DETAIL / OTHER"))</f>
        <v/>
      </c>
    </row>
    <row r="943" spans="4:7">
      <c r="D943" s="8"/>
      <c r="E943" t="str">
        <f t="shared" si="28"/>
        <v/>
      </c>
      <c r="F943" t="str">
        <f t="shared" si="29"/>
        <v/>
      </c>
      <c r="G943" t="str">
        <f>IF(E943="","",IF(COUNTIF('DATA QCEW'!$A$2:$A$20,E943)&gt;0,"19-SECTOR","DETAIL / OTHER"))</f>
        <v/>
      </c>
    </row>
    <row r="944" spans="4:7">
      <c r="D944" s="8"/>
      <c r="E944" t="str">
        <f t="shared" si="28"/>
        <v/>
      </c>
      <c r="F944" t="str">
        <f t="shared" si="29"/>
        <v/>
      </c>
      <c r="G944" t="str">
        <f>IF(E944="","",IF(COUNTIF('DATA QCEW'!$A$2:$A$20,E944)&gt;0,"19-SECTOR","DETAIL / OTHER"))</f>
        <v/>
      </c>
    </row>
    <row r="945" spans="4:7">
      <c r="D945" s="8"/>
      <c r="E945" t="str">
        <f t="shared" si="28"/>
        <v/>
      </c>
      <c r="F945" t="str">
        <f t="shared" si="29"/>
        <v/>
      </c>
      <c r="G945" t="str">
        <f>IF(E945="","",IF(COUNTIF('DATA QCEW'!$A$2:$A$20,E945)&gt;0,"19-SECTOR","DETAIL / OTHER"))</f>
        <v/>
      </c>
    </row>
    <row r="946" spans="4:7">
      <c r="D946" s="8"/>
      <c r="E946" t="str">
        <f t="shared" si="28"/>
        <v/>
      </c>
      <c r="F946" t="str">
        <f t="shared" si="29"/>
        <v/>
      </c>
      <c r="G946" t="str">
        <f>IF(E946="","",IF(COUNTIF('DATA QCEW'!$A$2:$A$20,E946)&gt;0,"19-SECTOR","DETAIL / OTHER"))</f>
        <v/>
      </c>
    </row>
    <row r="947" spans="4:7">
      <c r="D947" s="8"/>
      <c r="E947" t="str">
        <f t="shared" si="28"/>
        <v/>
      </c>
      <c r="F947" t="str">
        <f t="shared" si="29"/>
        <v/>
      </c>
      <c r="G947" t="str">
        <f>IF(E947="","",IF(COUNTIF('DATA QCEW'!$A$2:$A$20,E947)&gt;0,"19-SECTOR","DETAIL / OTHER"))</f>
        <v/>
      </c>
    </row>
    <row r="948" spans="4:7">
      <c r="D948" s="8"/>
      <c r="E948" t="str">
        <f t="shared" si="28"/>
        <v/>
      </c>
      <c r="F948" t="str">
        <f t="shared" si="29"/>
        <v/>
      </c>
      <c r="G948" t="str">
        <f>IF(E948="","",IF(COUNTIF('DATA QCEW'!$A$2:$A$20,E948)&gt;0,"19-SECTOR","DETAIL / OTHER"))</f>
        <v/>
      </c>
    </row>
    <row r="949" spans="4:7">
      <c r="D949" s="8"/>
      <c r="E949" t="str">
        <f t="shared" si="28"/>
        <v/>
      </c>
      <c r="F949" t="str">
        <f t="shared" si="29"/>
        <v/>
      </c>
      <c r="G949" t="str">
        <f>IF(E949="","",IF(COUNTIF('DATA QCEW'!$A$2:$A$20,E949)&gt;0,"19-SECTOR","DETAIL / OTHER"))</f>
        <v/>
      </c>
    </row>
    <row r="950" spans="4:7">
      <c r="D950" s="8"/>
      <c r="E950" t="str">
        <f t="shared" si="28"/>
        <v/>
      </c>
      <c r="F950" t="str">
        <f t="shared" si="29"/>
        <v/>
      </c>
      <c r="G950" t="str">
        <f>IF(E950="","",IF(COUNTIF('DATA QCEW'!$A$2:$A$20,E950)&gt;0,"19-SECTOR","DETAIL / OTHER"))</f>
        <v/>
      </c>
    </row>
    <row r="951" spans="4:7">
      <c r="D951" s="8"/>
      <c r="E951" t="str">
        <f t="shared" si="28"/>
        <v/>
      </c>
      <c r="F951" t="str">
        <f t="shared" si="29"/>
        <v/>
      </c>
      <c r="G951" t="str">
        <f>IF(E951="","",IF(COUNTIF('DATA QCEW'!$A$2:$A$20,E951)&gt;0,"19-SECTOR","DETAIL / OTHER"))</f>
        <v/>
      </c>
    </row>
    <row r="952" spans="4:7">
      <c r="D952" s="8"/>
      <c r="E952" t="str">
        <f t="shared" si="28"/>
        <v/>
      </c>
      <c r="F952" t="str">
        <f t="shared" si="29"/>
        <v/>
      </c>
      <c r="G952" t="str">
        <f>IF(E952="","",IF(COUNTIF('DATA QCEW'!$A$2:$A$20,E952)&gt;0,"19-SECTOR","DETAIL / OTHER"))</f>
        <v/>
      </c>
    </row>
    <row r="953" spans="4:7">
      <c r="D953" s="8"/>
      <c r="E953" t="str">
        <f t="shared" si="28"/>
        <v/>
      </c>
      <c r="F953" t="str">
        <f t="shared" si="29"/>
        <v/>
      </c>
      <c r="G953" t="str">
        <f>IF(E953="","",IF(COUNTIF('DATA QCEW'!$A$2:$A$20,E953)&gt;0,"19-SECTOR","DETAIL / OTHER"))</f>
        <v/>
      </c>
    </row>
    <row r="954" spans="4:7">
      <c r="D954" s="8"/>
      <c r="E954" t="str">
        <f t="shared" si="28"/>
        <v/>
      </c>
      <c r="F954" t="str">
        <f t="shared" si="29"/>
        <v/>
      </c>
      <c r="G954" t="str">
        <f>IF(E954="","",IF(COUNTIF('DATA QCEW'!$A$2:$A$20,E954)&gt;0,"19-SECTOR","DETAIL / OTHER"))</f>
        <v/>
      </c>
    </row>
    <row r="955" spans="4:7">
      <c r="D955" s="8"/>
      <c r="E955" t="str">
        <f t="shared" si="28"/>
        <v/>
      </c>
      <c r="F955" t="str">
        <f t="shared" si="29"/>
        <v/>
      </c>
      <c r="G955" t="str">
        <f>IF(E955="","",IF(COUNTIF('DATA QCEW'!$A$2:$A$20,E955)&gt;0,"19-SECTOR","DETAIL / OTHER"))</f>
        <v/>
      </c>
    </row>
    <row r="956" spans="4:7">
      <c r="D956" s="8"/>
      <c r="E956" t="str">
        <f t="shared" si="28"/>
        <v/>
      </c>
      <c r="F956" t="str">
        <f t="shared" si="29"/>
        <v/>
      </c>
      <c r="G956" t="str">
        <f>IF(E956="","",IF(COUNTIF('DATA QCEW'!$A$2:$A$20,E956)&gt;0,"19-SECTOR","DETAIL / OTHER"))</f>
        <v/>
      </c>
    </row>
    <row r="957" spans="4:7">
      <c r="D957" s="8"/>
      <c r="E957" t="str">
        <f t="shared" si="28"/>
        <v/>
      </c>
      <c r="F957" t="str">
        <f t="shared" si="29"/>
        <v/>
      </c>
      <c r="G957" t="str">
        <f>IF(E957="","",IF(COUNTIF('DATA QCEW'!$A$2:$A$20,E957)&gt;0,"19-SECTOR","DETAIL / OTHER"))</f>
        <v/>
      </c>
    </row>
    <row r="958" spans="4:7">
      <c r="D958" s="8"/>
      <c r="E958" t="str">
        <f t="shared" si="28"/>
        <v/>
      </c>
      <c r="F958" t="str">
        <f t="shared" si="29"/>
        <v/>
      </c>
      <c r="G958" t="str">
        <f>IF(E958="","",IF(COUNTIF('DATA QCEW'!$A$2:$A$20,E958)&gt;0,"19-SECTOR","DETAIL / OTHER"))</f>
        <v/>
      </c>
    </row>
    <row r="959" spans="4:7">
      <c r="D959" s="8"/>
      <c r="E959" t="str">
        <f t="shared" si="28"/>
        <v/>
      </c>
      <c r="F959" t="str">
        <f t="shared" si="29"/>
        <v/>
      </c>
      <c r="G959" t="str">
        <f>IF(E959="","",IF(COUNTIF('DATA QCEW'!$A$2:$A$20,E959)&gt;0,"19-SECTOR","DETAIL / OTHER"))</f>
        <v/>
      </c>
    </row>
    <row r="960" spans="4:7">
      <c r="D960" s="8"/>
      <c r="E960" t="str">
        <f t="shared" si="28"/>
        <v/>
      </c>
      <c r="F960" t="str">
        <f t="shared" si="29"/>
        <v/>
      </c>
      <c r="G960" t="str">
        <f>IF(E960="","",IF(COUNTIF('DATA QCEW'!$A$2:$A$20,E960)&gt;0,"19-SECTOR","DETAIL / OTHER"))</f>
        <v/>
      </c>
    </row>
    <row r="961" spans="4:7">
      <c r="D961" s="8"/>
      <c r="E961" t="str">
        <f t="shared" si="28"/>
        <v/>
      </c>
      <c r="F961" t="str">
        <f t="shared" si="29"/>
        <v/>
      </c>
      <c r="G961" t="str">
        <f>IF(E961="","",IF(COUNTIF('DATA QCEW'!$A$2:$A$20,E961)&gt;0,"19-SECTOR","DETAIL / OTHER"))</f>
        <v/>
      </c>
    </row>
    <row r="962" spans="4:7">
      <c r="D962" s="8"/>
      <c r="E962" t="str">
        <f t="shared" ref="E962:E1025" si="30">IF(LEFT(TRIM(A962),6)="NAICS ",IFERROR(MID(TRIM(A962),7,FIND(" ",TRIM(A962)&amp;" ",7)-7),""),"")</f>
        <v/>
      </c>
      <c r="F962" t="str">
        <f t="shared" ref="F962:F1025" si="31">IF(E962="","",TRIM(MID(TRIM(A962),FIND(" ",TRIM(A962)&amp;" ",7)+1,255)))</f>
        <v/>
      </c>
      <c r="G962" t="str">
        <f>IF(E962="","",IF(COUNTIF('DATA QCEW'!$A$2:$A$20,E962)&gt;0,"19-SECTOR","DETAIL / OTHER"))</f>
        <v/>
      </c>
    </row>
    <row r="963" spans="4:7">
      <c r="D963" s="8"/>
      <c r="E963" t="str">
        <f t="shared" si="30"/>
        <v/>
      </c>
      <c r="F963" t="str">
        <f t="shared" si="31"/>
        <v/>
      </c>
      <c r="G963" t="str">
        <f>IF(E963="","",IF(COUNTIF('DATA QCEW'!$A$2:$A$20,E963)&gt;0,"19-SECTOR","DETAIL / OTHER"))</f>
        <v/>
      </c>
    </row>
    <row r="964" spans="4:7">
      <c r="D964" s="8"/>
      <c r="E964" t="str">
        <f t="shared" si="30"/>
        <v/>
      </c>
      <c r="F964" t="str">
        <f t="shared" si="31"/>
        <v/>
      </c>
      <c r="G964" t="str">
        <f>IF(E964="","",IF(COUNTIF('DATA QCEW'!$A$2:$A$20,E964)&gt;0,"19-SECTOR","DETAIL / OTHER"))</f>
        <v/>
      </c>
    </row>
    <row r="965" spans="4:7">
      <c r="D965" s="8"/>
      <c r="E965" t="str">
        <f t="shared" si="30"/>
        <v/>
      </c>
      <c r="F965" t="str">
        <f t="shared" si="31"/>
        <v/>
      </c>
      <c r="G965" t="str">
        <f>IF(E965="","",IF(COUNTIF('DATA QCEW'!$A$2:$A$20,E965)&gt;0,"19-SECTOR","DETAIL / OTHER"))</f>
        <v/>
      </c>
    </row>
    <row r="966" spans="4:7">
      <c r="D966" s="8"/>
      <c r="E966" t="str">
        <f t="shared" si="30"/>
        <v/>
      </c>
      <c r="F966" t="str">
        <f t="shared" si="31"/>
        <v/>
      </c>
      <c r="G966" t="str">
        <f>IF(E966="","",IF(COUNTIF('DATA QCEW'!$A$2:$A$20,E966)&gt;0,"19-SECTOR","DETAIL / OTHER"))</f>
        <v/>
      </c>
    </row>
    <row r="967" spans="4:7">
      <c r="D967" s="8"/>
      <c r="E967" t="str">
        <f t="shared" si="30"/>
        <v/>
      </c>
      <c r="F967" t="str">
        <f t="shared" si="31"/>
        <v/>
      </c>
      <c r="G967" t="str">
        <f>IF(E967="","",IF(COUNTIF('DATA QCEW'!$A$2:$A$20,E967)&gt;0,"19-SECTOR","DETAIL / OTHER"))</f>
        <v/>
      </c>
    </row>
    <row r="968" spans="4:7">
      <c r="D968" s="8"/>
      <c r="E968" t="str">
        <f t="shared" si="30"/>
        <v/>
      </c>
      <c r="F968" t="str">
        <f t="shared" si="31"/>
        <v/>
      </c>
      <c r="G968" t="str">
        <f>IF(E968="","",IF(COUNTIF('DATA QCEW'!$A$2:$A$20,E968)&gt;0,"19-SECTOR","DETAIL / OTHER"))</f>
        <v/>
      </c>
    </row>
    <row r="969" spans="4:7">
      <c r="D969" s="8"/>
      <c r="E969" t="str">
        <f t="shared" si="30"/>
        <v/>
      </c>
      <c r="F969" t="str">
        <f t="shared" si="31"/>
        <v/>
      </c>
      <c r="G969" t="str">
        <f>IF(E969="","",IF(COUNTIF('DATA QCEW'!$A$2:$A$20,E969)&gt;0,"19-SECTOR","DETAIL / OTHER"))</f>
        <v/>
      </c>
    </row>
    <row r="970" spans="4:7">
      <c r="D970" s="8"/>
      <c r="E970" t="str">
        <f t="shared" si="30"/>
        <v/>
      </c>
      <c r="F970" t="str">
        <f t="shared" si="31"/>
        <v/>
      </c>
      <c r="G970" t="str">
        <f>IF(E970="","",IF(COUNTIF('DATA QCEW'!$A$2:$A$20,E970)&gt;0,"19-SECTOR","DETAIL / OTHER"))</f>
        <v/>
      </c>
    </row>
    <row r="971" spans="4:7">
      <c r="D971" s="8"/>
      <c r="E971" t="str">
        <f t="shared" si="30"/>
        <v/>
      </c>
      <c r="F971" t="str">
        <f t="shared" si="31"/>
        <v/>
      </c>
      <c r="G971" t="str">
        <f>IF(E971="","",IF(COUNTIF('DATA QCEW'!$A$2:$A$20,E971)&gt;0,"19-SECTOR","DETAIL / OTHER"))</f>
        <v/>
      </c>
    </row>
    <row r="972" spans="4:7">
      <c r="D972" s="8"/>
      <c r="E972" t="str">
        <f t="shared" si="30"/>
        <v/>
      </c>
      <c r="F972" t="str">
        <f t="shared" si="31"/>
        <v/>
      </c>
      <c r="G972" t="str">
        <f>IF(E972="","",IF(COUNTIF('DATA QCEW'!$A$2:$A$20,E972)&gt;0,"19-SECTOR","DETAIL / OTHER"))</f>
        <v/>
      </c>
    </row>
    <row r="973" spans="4:7">
      <c r="D973" s="8"/>
      <c r="E973" t="str">
        <f t="shared" si="30"/>
        <v/>
      </c>
      <c r="F973" t="str">
        <f t="shared" si="31"/>
        <v/>
      </c>
      <c r="G973" t="str">
        <f>IF(E973="","",IF(COUNTIF('DATA QCEW'!$A$2:$A$20,E973)&gt;0,"19-SECTOR","DETAIL / OTHER"))</f>
        <v/>
      </c>
    </row>
    <row r="974" spans="4:7">
      <c r="D974" s="8"/>
      <c r="E974" t="str">
        <f t="shared" si="30"/>
        <v/>
      </c>
      <c r="F974" t="str">
        <f t="shared" si="31"/>
        <v/>
      </c>
      <c r="G974" t="str">
        <f>IF(E974="","",IF(COUNTIF('DATA QCEW'!$A$2:$A$20,E974)&gt;0,"19-SECTOR","DETAIL / OTHER"))</f>
        <v/>
      </c>
    </row>
    <row r="975" spans="4:7">
      <c r="D975" s="8"/>
      <c r="E975" t="str">
        <f t="shared" si="30"/>
        <v/>
      </c>
      <c r="F975" t="str">
        <f t="shared" si="31"/>
        <v/>
      </c>
      <c r="G975" t="str">
        <f>IF(E975="","",IF(COUNTIF('DATA QCEW'!$A$2:$A$20,E975)&gt;0,"19-SECTOR","DETAIL / OTHER"))</f>
        <v/>
      </c>
    </row>
    <row r="976" spans="4:7">
      <c r="D976" s="8"/>
      <c r="E976" t="str">
        <f t="shared" si="30"/>
        <v/>
      </c>
      <c r="F976" t="str">
        <f t="shared" si="31"/>
        <v/>
      </c>
      <c r="G976" t="str">
        <f>IF(E976="","",IF(COUNTIF('DATA QCEW'!$A$2:$A$20,E976)&gt;0,"19-SECTOR","DETAIL / OTHER"))</f>
        <v/>
      </c>
    </row>
    <row r="977" spans="4:7">
      <c r="D977" s="8"/>
      <c r="E977" t="str">
        <f t="shared" si="30"/>
        <v/>
      </c>
      <c r="F977" t="str">
        <f t="shared" si="31"/>
        <v/>
      </c>
      <c r="G977" t="str">
        <f>IF(E977="","",IF(COUNTIF('DATA QCEW'!$A$2:$A$20,E977)&gt;0,"19-SECTOR","DETAIL / OTHER"))</f>
        <v/>
      </c>
    </row>
    <row r="978" spans="4:7">
      <c r="D978" s="8"/>
      <c r="E978" t="str">
        <f t="shared" si="30"/>
        <v/>
      </c>
      <c r="F978" t="str">
        <f t="shared" si="31"/>
        <v/>
      </c>
      <c r="G978" t="str">
        <f>IF(E978="","",IF(COUNTIF('DATA QCEW'!$A$2:$A$20,E978)&gt;0,"19-SECTOR","DETAIL / OTHER"))</f>
        <v/>
      </c>
    </row>
    <row r="979" spans="4:7">
      <c r="D979" s="8"/>
      <c r="E979" t="str">
        <f t="shared" si="30"/>
        <v/>
      </c>
      <c r="F979" t="str">
        <f t="shared" si="31"/>
        <v/>
      </c>
      <c r="G979" t="str">
        <f>IF(E979="","",IF(COUNTIF('DATA QCEW'!$A$2:$A$20,E979)&gt;0,"19-SECTOR","DETAIL / OTHER"))</f>
        <v/>
      </c>
    </row>
    <row r="980" spans="4:7">
      <c r="D980" s="8"/>
      <c r="E980" t="str">
        <f t="shared" si="30"/>
        <v/>
      </c>
      <c r="F980" t="str">
        <f t="shared" si="31"/>
        <v/>
      </c>
      <c r="G980" t="str">
        <f>IF(E980="","",IF(COUNTIF('DATA QCEW'!$A$2:$A$20,E980)&gt;0,"19-SECTOR","DETAIL / OTHER"))</f>
        <v/>
      </c>
    </row>
    <row r="981" spans="4:7">
      <c r="D981" s="8"/>
      <c r="E981" t="str">
        <f t="shared" si="30"/>
        <v/>
      </c>
      <c r="F981" t="str">
        <f t="shared" si="31"/>
        <v/>
      </c>
      <c r="G981" t="str">
        <f>IF(E981="","",IF(COUNTIF('DATA QCEW'!$A$2:$A$20,E981)&gt;0,"19-SECTOR","DETAIL / OTHER"))</f>
        <v/>
      </c>
    </row>
    <row r="982" spans="4:7">
      <c r="D982" s="8"/>
      <c r="E982" t="str">
        <f t="shared" si="30"/>
        <v/>
      </c>
      <c r="F982" t="str">
        <f t="shared" si="31"/>
        <v/>
      </c>
      <c r="G982" t="str">
        <f>IF(E982="","",IF(COUNTIF('DATA QCEW'!$A$2:$A$20,E982)&gt;0,"19-SECTOR","DETAIL / OTHER"))</f>
        <v/>
      </c>
    </row>
    <row r="983" spans="4:7">
      <c r="D983" s="8"/>
      <c r="E983" t="str">
        <f t="shared" si="30"/>
        <v/>
      </c>
      <c r="F983" t="str">
        <f t="shared" si="31"/>
        <v/>
      </c>
      <c r="G983" t="str">
        <f>IF(E983="","",IF(COUNTIF('DATA QCEW'!$A$2:$A$20,E983)&gt;0,"19-SECTOR","DETAIL / OTHER"))</f>
        <v/>
      </c>
    </row>
    <row r="984" spans="4:7">
      <c r="D984" s="8"/>
      <c r="E984" t="str">
        <f t="shared" si="30"/>
        <v/>
      </c>
      <c r="F984" t="str">
        <f t="shared" si="31"/>
        <v/>
      </c>
      <c r="G984" t="str">
        <f>IF(E984="","",IF(COUNTIF('DATA QCEW'!$A$2:$A$20,E984)&gt;0,"19-SECTOR","DETAIL / OTHER"))</f>
        <v/>
      </c>
    </row>
    <row r="985" spans="4:7">
      <c r="D985" s="8"/>
      <c r="E985" t="str">
        <f t="shared" si="30"/>
        <v/>
      </c>
      <c r="F985" t="str">
        <f t="shared" si="31"/>
        <v/>
      </c>
      <c r="G985" t="str">
        <f>IF(E985="","",IF(COUNTIF('DATA QCEW'!$A$2:$A$20,E985)&gt;0,"19-SECTOR","DETAIL / OTHER"))</f>
        <v/>
      </c>
    </row>
    <row r="986" spans="4:7">
      <c r="D986" s="8"/>
      <c r="E986" t="str">
        <f t="shared" si="30"/>
        <v/>
      </c>
      <c r="F986" t="str">
        <f t="shared" si="31"/>
        <v/>
      </c>
      <c r="G986" t="str">
        <f>IF(E986="","",IF(COUNTIF('DATA QCEW'!$A$2:$A$20,E986)&gt;0,"19-SECTOR","DETAIL / OTHER"))</f>
        <v/>
      </c>
    </row>
    <row r="987" spans="4:7">
      <c r="D987" s="8"/>
      <c r="E987" t="str">
        <f t="shared" si="30"/>
        <v/>
      </c>
      <c r="F987" t="str">
        <f t="shared" si="31"/>
        <v/>
      </c>
      <c r="G987" t="str">
        <f>IF(E987="","",IF(COUNTIF('DATA QCEW'!$A$2:$A$20,E987)&gt;0,"19-SECTOR","DETAIL / OTHER"))</f>
        <v/>
      </c>
    </row>
    <row r="988" spans="4:7">
      <c r="D988" s="8"/>
      <c r="E988" t="str">
        <f t="shared" si="30"/>
        <v/>
      </c>
      <c r="F988" t="str">
        <f t="shared" si="31"/>
        <v/>
      </c>
      <c r="G988" t="str">
        <f>IF(E988="","",IF(COUNTIF('DATA QCEW'!$A$2:$A$20,E988)&gt;0,"19-SECTOR","DETAIL / OTHER"))</f>
        <v/>
      </c>
    </row>
    <row r="989" spans="4:7">
      <c r="D989" s="8"/>
      <c r="E989" t="str">
        <f t="shared" si="30"/>
        <v/>
      </c>
      <c r="F989" t="str">
        <f t="shared" si="31"/>
        <v/>
      </c>
      <c r="G989" t="str">
        <f>IF(E989="","",IF(COUNTIF('DATA QCEW'!$A$2:$A$20,E989)&gt;0,"19-SECTOR","DETAIL / OTHER"))</f>
        <v/>
      </c>
    </row>
    <row r="990" spans="4:7">
      <c r="D990" s="8"/>
      <c r="E990" t="str">
        <f t="shared" si="30"/>
        <v/>
      </c>
      <c r="F990" t="str">
        <f t="shared" si="31"/>
        <v/>
      </c>
      <c r="G990" t="str">
        <f>IF(E990="","",IF(COUNTIF('DATA QCEW'!$A$2:$A$20,E990)&gt;0,"19-SECTOR","DETAIL / OTHER"))</f>
        <v/>
      </c>
    </row>
    <row r="991" spans="4:7">
      <c r="D991" s="8"/>
      <c r="E991" t="str">
        <f t="shared" si="30"/>
        <v/>
      </c>
      <c r="F991" t="str">
        <f t="shared" si="31"/>
        <v/>
      </c>
      <c r="G991" t="str">
        <f>IF(E991="","",IF(COUNTIF('DATA QCEW'!$A$2:$A$20,E991)&gt;0,"19-SECTOR","DETAIL / OTHER"))</f>
        <v/>
      </c>
    </row>
    <row r="992" spans="4:7">
      <c r="D992" s="8"/>
      <c r="E992" t="str">
        <f t="shared" si="30"/>
        <v/>
      </c>
      <c r="F992" t="str">
        <f t="shared" si="31"/>
        <v/>
      </c>
      <c r="G992" t="str">
        <f>IF(E992="","",IF(COUNTIF('DATA QCEW'!$A$2:$A$20,E992)&gt;0,"19-SECTOR","DETAIL / OTHER"))</f>
        <v/>
      </c>
    </row>
    <row r="993" spans="4:7">
      <c r="D993" s="8"/>
      <c r="E993" t="str">
        <f t="shared" si="30"/>
        <v/>
      </c>
      <c r="F993" t="str">
        <f t="shared" si="31"/>
        <v/>
      </c>
      <c r="G993" t="str">
        <f>IF(E993="","",IF(COUNTIF('DATA QCEW'!$A$2:$A$20,E993)&gt;0,"19-SECTOR","DETAIL / OTHER"))</f>
        <v/>
      </c>
    </row>
    <row r="994" spans="4:7">
      <c r="D994" s="8"/>
      <c r="E994" t="str">
        <f t="shared" si="30"/>
        <v/>
      </c>
      <c r="F994" t="str">
        <f t="shared" si="31"/>
        <v/>
      </c>
      <c r="G994" t="str">
        <f>IF(E994="","",IF(COUNTIF('DATA QCEW'!$A$2:$A$20,E994)&gt;0,"19-SECTOR","DETAIL / OTHER"))</f>
        <v/>
      </c>
    </row>
    <row r="995" spans="4:7">
      <c r="D995" s="8"/>
      <c r="E995" t="str">
        <f t="shared" si="30"/>
        <v/>
      </c>
      <c r="F995" t="str">
        <f t="shared" si="31"/>
        <v/>
      </c>
      <c r="G995" t="str">
        <f>IF(E995="","",IF(COUNTIF('DATA QCEW'!$A$2:$A$20,E995)&gt;0,"19-SECTOR","DETAIL / OTHER"))</f>
        <v/>
      </c>
    </row>
    <row r="996" spans="4:7">
      <c r="D996" s="8"/>
      <c r="E996" t="str">
        <f t="shared" si="30"/>
        <v/>
      </c>
      <c r="F996" t="str">
        <f t="shared" si="31"/>
        <v/>
      </c>
      <c r="G996" t="str">
        <f>IF(E996="","",IF(COUNTIF('DATA QCEW'!$A$2:$A$20,E996)&gt;0,"19-SECTOR","DETAIL / OTHER"))</f>
        <v/>
      </c>
    </row>
    <row r="997" spans="4:7">
      <c r="D997" s="8"/>
      <c r="E997" t="str">
        <f t="shared" si="30"/>
        <v/>
      </c>
      <c r="F997" t="str">
        <f t="shared" si="31"/>
        <v/>
      </c>
      <c r="G997" t="str">
        <f>IF(E997="","",IF(COUNTIF('DATA QCEW'!$A$2:$A$20,E997)&gt;0,"19-SECTOR","DETAIL / OTHER"))</f>
        <v/>
      </c>
    </row>
    <row r="998" spans="4:7">
      <c r="D998" s="8"/>
      <c r="E998" t="str">
        <f t="shared" si="30"/>
        <v/>
      </c>
      <c r="F998" t="str">
        <f t="shared" si="31"/>
        <v/>
      </c>
      <c r="G998" t="str">
        <f>IF(E998="","",IF(COUNTIF('DATA QCEW'!$A$2:$A$20,E998)&gt;0,"19-SECTOR","DETAIL / OTHER"))</f>
        <v/>
      </c>
    </row>
    <row r="999" spans="4:7">
      <c r="D999" s="8"/>
      <c r="E999" t="str">
        <f t="shared" si="30"/>
        <v/>
      </c>
      <c r="F999" t="str">
        <f t="shared" si="31"/>
        <v/>
      </c>
      <c r="G999" t="str">
        <f>IF(E999="","",IF(COUNTIF('DATA QCEW'!$A$2:$A$20,E999)&gt;0,"19-SECTOR","DETAIL / OTHER"))</f>
        <v/>
      </c>
    </row>
    <row r="1000" spans="4:7">
      <c r="D1000" s="8"/>
      <c r="E1000" t="str">
        <f t="shared" si="30"/>
        <v/>
      </c>
      <c r="F1000" t="str">
        <f t="shared" si="31"/>
        <v/>
      </c>
      <c r="G1000" t="str">
        <f>IF(E1000="","",IF(COUNTIF('DATA QCEW'!$A$2:$A$20,E1000)&gt;0,"19-SECTOR","DETAIL / OTHER"))</f>
        <v/>
      </c>
    </row>
    <row r="1001" spans="4:7">
      <c r="D1001" s="8"/>
      <c r="E1001" t="str">
        <f t="shared" si="30"/>
        <v/>
      </c>
      <c r="F1001" t="str">
        <f t="shared" si="31"/>
        <v/>
      </c>
      <c r="G1001" t="str">
        <f>IF(E1001="","",IF(COUNTIF('DATA QCEW'!$A$2:$A$20,E1001)&gt;0,"19-SECTOR","DETAIL / OTHER"))</f>
        <v/>
      </c>
    </row>
    <row r="1002" spans="4:7">
      <c r="D1002" s="8"/>
      <c r="E1002" t="str">
        <f t="shared" si="30"/>
        <v/>
      </c>
      <c r="F1002" t="str">
        <f t="shared" si="31"/>
        <v/>
      </c>
      <c r="G1002" t="str">
        <f>IF(E1002="","",IF(COUNTIF('DATA QCEW'!$A$2:$A$20,E1002)&gt;0,"19-SECTOR","DETAIL / OTHER"))</f>
        <v/>
      </c>
    </row>
    <row r="1003" spans="4:7">
      <c r="D1003" s="8"/>
      <c r="E1003" t="str">
        <f t="shared" si="30"/>
        <v/>
      </c>
      <c r="F1003" t="str">
        <f t="shared" si="31"/>
        <v/>
      </c>
      <c r="G1003" t="str">
        <f>IF(E1003="","",IF(COUNTIF('DATA QCEW'!$A$2:$A$20,E1003)&gt;0,"19-SECTOR","DETAIL / OTHER"))</f>
        <v/>
      </c>
    </row>
    <row r="1004" spans="4:7">
      <c r="D1004" s="8"/>
      <c r="E1004" t="str">
        <f t="shared" si="30"/>
        <v/>
      </c>
      <c r="F1004" t="str">
        <f t="shared" si="31"/>
        <v/>
      </c>
      <c r="G1004" t="str">
        <f>IF(E1004="","",IF(COUNTIF('DATA QCEW'!$A$2:$A$20,E1004)&gt;0,"19-SECTOR","DETAIL / OTHER"))</f>
        <v/>
      </c>
    </row>
    <row r="1005" spans="4:7">
      <c r="D1005" s="8"/>
      <c r="E1005" t="str">
        <f t="shared" si="30"/>
        <v/>
      </c>
      <c r="F1005" t="str">
        <f t="shared" si="31"/>
        <v/>
      </c>
      <c r="G1005" t="str">
        <f>IF(E1005="","",IF(COUNTIF('DATA QCEW'!$A$2:$A$20,E1005)&gt;0,"19-SECTOR","DETAIL / OTHER"))</f>
        <v/>
      </c>
    </row>
    <row r="1006" spans="4:7">
      <c r="D1006" s="8"/>
      <c r="E1006" t="str">
        <f t="shared" si="30"/>
        <v/>
      </c>
      <c r="F1006" t="str">
        <f t="shared" si="31"/>
        <v/>
      </c>
      <c r="G1006" t="str">
        <f>IF(E1006="","",IF(COUNTIF('DATA QCEW'!$A$2:$A$20,E1006)&gt;0,"19-SECTOR","DETAIL / OTHER"))</f>
        <v/>
      </c>
    </row>
    <row r="1007" spans="4:7">
      <c r="D1007" s="8"/>
      <c r="E1007" t="str">
        <f t="shared" si="30"/>
        <v/>
      </c>
      <c r="F1007" t="str">
        <f t="shared" si="31"/>
        <v/>
      </c>
      <c r="G1007" t="str">
        <f>IF(E1007="","",IF(COUNTIF('DATA QCEW'!$A$2:$A$20,E1007)&gt;0,"19-SECTOR","DETAIL / OTHER"))</f>
        <v/>
      </c>
    </row>
    <row r="1008" spans="4:7">
      <c r="D1008" s="8"/>
      <c r="E1008" t="str">
        <f t="shared" si="30"/>
        <v/>
      </c>
      <c r="F1008" t="str">
        <f t="shared" si="31"/>
        <v/>
      </c>
      <c r="G1008" t="str">
        <f>IF(E1008="","",IF(COUNTIF('DATA QCEW'!$A$2:$A$20,E1008)&gt;0,"19-SECTOR","DETAIL / OTHER"))</f>
        <v/>
      </c>
    </row>
    <row r="1009" spans="4:7">
      <c r="D1009" s="8"/>
      <c r="E1009" t="str">
        <f t="shared" si="30"/>
        <v/>
      </c>
      <c r="F1009" t="str">
        <f t="shared" si="31"/>
        <v/>
      </c>
      <c r="G1009" t="str">
        <f>IF(E1009="","",IF(COUNTIF('DATA QCEW'!$A$2:$A$20,E1009)&gt;0,"19-SECTOR","DETAIL / OTHER"))</f>
        <v/>
      </c>
    </row>
    <row r="1010" spans="4:7">
      <c r="D1010" s="8"/>
      <c r="E1010" t="str">
        <f t="shared" si="30"/>
        <v/>
      </c>
      <c r="F1010" t="str">
        <f t="shared" si="31"/>
        <v/>
      </c>
      <c r="G1010" t="str">
        <f>IF(E1010="","",IF(COUNTIF('DATA QCEW'!$A$2:$A$20,E1010)&gt;0,"19-SECTOR","DETAIL / OTHER"))</f>
        <v/>
      </c>
    </row>
    <row r="1011" spans="4:7">
      <c r="D1011" s="8"/>
      <c r="E1011" t="str">
        <f t="shared" si="30"/>
        <v/>
      </c>
      <c r="F1011" t="str">
        <f t="shared" si="31"/>
        <v/>
      </c>
      <c r="G1011" t="str">
        <f>IF(E1011="","",IF(COUNTIF('DATA QCEW'!$A$2:$A$20,E1011)&gt;0,"19-SECTOR","DETAIL / OTHER"))</f>
        <v/>
      </c>
    </row>
    <row r="1012" spans="4:7">
      <c r="D1012" s="8"/>
      <c r="E1012" t="str">
        <f t="shared" si="30"/>
        <v/>
      </c>
      <c r="F1012" t="str">
        <f t="shared" si="31"/>
        <v/>
      </c>
      <c r="G1012" t="str">
        <f>IF(E1012="","",IF(COUNTIF('DATA QCEW'!$A$2:$A$20,E1012)&gt;0,"19-SECTOR","DETAIL / OTHER"))</f>
        <v/>
      </c>
    </row>
    <row r="1013" spans="4:7">
      <c r="D1013" s="8"/>
      <c r="E1013" t="str">
        <f t="shared" si="30"/>
        <v/>
      </c>
      <c r="F1013" t="str">
        <f t="shared" si="31"/>
        <v/>
      </c>
      <c r="G1013" t="str">
        <f>IF(E1013="","",IF(COUNTIF('DATA QCEW'!$A$2:$A$20,E1013)&gt;0,"19-SECTOR","DETAIL / OTHER"))</f>
        <v/>
      </c>
    </row>
    <row r="1014" spans="4:7">
      <c r="D1014" s="8"/>
      <c r="E1014" t="str">
        <f t="shared" si="30"/>
        <v/>
      </c>
      <c r="F1014" t="str">
        <f t="shared" si="31"/>
        <v/>
      </c>
      <c r="G1014" t="str">
        <f>IF(E1014="","",IF(COUNTIF('DATA QCEW'!$A$2:$A$20,E1014)&gt;0,"19-SECTOR","DETAIL / OTHER"))</f>
        <v/>
      </c>
    </row>
    <row r="1015" spans="4:7">
      <c r="D1015" s="8"/>
      <c r="E1015" t="str">
        <f t="shared" si="30"/>
        <v/>
      </c>
      <c r="F1015" t="str">
        <f t="shared" si="31"/>
        <v/>
      </c>
      <c r="G1015" t="str">
        <f>IF(E1015="","",IF(COUNTIF('DATA QCEW'!$A$2:$A$20,E1015)&gt;0,"19-SECTOR","DETAIL / OTHER"))</f>
        <v/>
      </c>
    </row>
    <row r="1016" spans="4:7">
      <c r="D1016" s="8"/>
      <c r="E1016" t="str">
        <f t="shared" si="30"/>
        <v/>
      </c>
      <c r="F1016" t="str">
        <f t="shared" si="31"/>
        <v/>
      </c>
      <c r="G1016" t="str">
        <f>IF(E1016="","",IF(COUNTIF('DATA QCEW'!$A$2:$A$20,E1016)&gt;0,"19-SECTOR","DETAIL / OTHER"))</f>
        <v/>
      </c>
    </row>
    <row r="1017" spans="4:7">
      <c r="D1017" s="8"/>
      <c r="E1017" t="str">
        <f t="shared" si="30"/>
        <v/>
      </c>
      <c r="F1017" t="str">
        <f t="shared" si="31"/>
        <v/>
      </c>
      <c r="G1017" t="str">
        <f>IF(E1017="","",IF(COUNTIF('DATA QCEW'!$A$2:$A$20,E1017)&gt;0,"19-SECTOR","DETAIL / OTHER"))</f>
        <v/>
      </c>
    </row>
    <row r="1018" spans="4:7">
      <c r="D1018" s="8"/>
      <c r="E1018" t="str">
        <f t="shared" si="30"/>
        <v/>
      </c>
      <c r="F1018" t="str">
        <f t="shared" si="31"/>
        <v/>
      </c>
      <c r="G1018" t="str">
        <f>IF(E1018="","",IF(COUNTIF('DATA QCEW'!$A$2:$A$20,E1018)&gt;0,"19-SECTOR","DETAIL / OTHER"))</f>
        <v/>
      </c>
    </row>
    <row r="1019" spans="4:7">
      <c r="D1019" s="8"/>
      <c r="E1019" t="str">
        <f t="shared" si="30"/>
        <v/>
      </c>
      <c r="F1019" t="str">
        <f t="shared" si="31"/>
        <v/>
      </c>
      <c r="G1019" t="str">
        <f>IF(E1019="","",IF(COUNTIF('DATA QCEW'!$A$2:$A$20,E1019)&gt;0,"19-SECTOR","DETAIL / OTHER"))</f>
        <v/>
      </c>
    </row>
    <row r="1020" spans="4:7">
      <c r="D1020" s="8"/>
      <c r="E1020" t="str">
        <f t="shared" si="30"/>
        <v/>
      </c>
      <c r="F1020" t="str">
        <f t="shared" si="31"/>
        <v/>
      </c>
      <c r="G1020" t="str">
        <f>IF(E1020="","",IF(COUNTIF('DATA QCEW'!$A$2:$A$20,E1020)&gt;0,"19-SECTOR","DETAIL / OTHER"))</f>
        <v/>
      </c>
    </row>
    <row r="1021" spans="4:7">
      <c r="D1021" s="8"/>
      <c r="E1021" t="str">
        <f t="shared" si="30"/>
        <v/>
      </c>
      <c r="F1021" t="str">
        <f t="shared" si="31"/>
        <v/>
      </c>
      <c r="G1021" t="str">
        <f>IF(E1021="","",IF(COUNTIF('DATA QCEW'!$A$2:$A$20,E1021)&gt;0,"19-SECTOR","DETAIL / OTHER"))</f>
        <v/>
      </c>
    </row>
    <row r="1022" spans="4:7">
      <c r="D1022" s="8"/>
      <c r="E1022" t="str">
        <f t="shared" si="30"/>
        <v/>
      </c>
      <c r="F1022" t="str">
        <f t="shared" si="31"/>
        <v/>
      </c>
      <c r="G1022" t="str">
        <f>IF(E1022="","",IF(COUNTIF('DATA QCEW'!$A$2:$A$20,E1022)&gt;0,"19-SECTOR","DETAIL / OTHER"))</f>
        <v/>
      </c>
    </row>
    <row r="1023" spans="4:7">
      <c r="D1023" s="8"/>
      <c r="E1023" t="str">
        <f t="shared" si="30"/>
        <v/>
      </c>
      <c r="F1023" t="str">
        <f t="shared" si="31"/>
        <v/>
      </c>
      <c r="G1023" t="str">
        <f>IF(E1023="","",IF(COUNTIF('DATA QCEW'!$A$2:$A$20,E1023)&gt;0,"19-SECTOR","DETAIL / OTHER"))</f>
        <v/>
      </c>
    </row>
    <row r="1024" spans="4:7">
      <c r="D1024" s="8"/>
      <c r="E1024" t="str">
        <f t="shared" si="30"/>
        <v/>
      </c>
      <c r="F1024" t="str">
        <f t="shared" si="31"/>
        <v/>
      </c>
      <c r="G1024" t="str">
        <f>IF(E1024="","",IF(COUNTIF('DATA QCEW'!$A$2:$A$20,E1024)&gt;0,"19-SECTOR","DETAIL / OTHER"))</f>
        <v/>
      </c>
    </row>
    <row r="1025" spans="4:7">
      <c r="D1025" s="8"/>
      <c r="E1025" t="str">
        <f t="shared" si="30"/>
        <v/>
      </c>
      <c r="F1025" t="str">
        <f t="shared" si="31"/>
        <v/>
      </c>
      <c r="G1025" t="str">
        <f>IF(E1025="","",IF(COUNTIF('DATA QCEW'!$A$2:$A$20,E1025)&gt;0,"19-SECTOR","DETAIL / OTHER"))</f>
        <v/>
      </c>
    </row>
    <row r="1026" spans="4:7">
      <c r="D1026" s="8"/>
      <c r="E1026" t="str">
        <f t="shared" ref="E1026:E1089" si="32">IF(LEFT(TRIM(A1026),6)="NAICS ",IFERROR(MID(TRIM(A1026),7,FIND(" ",TRIM(A1026)&amp;" ",7)-7),""),"")</f>
        <v/>
      </c>
      <c r="F1026" t="str">
        <f t="shared" ref="F1026:F1089" si="33">IF(E1026="","",TRIM(MID(TRIM(A1026),FIND(" ",TRIM(A1026)&amp;" ",7)+1,255)))</f>
        <v/>
      </c>
      <c r="G1026" t="str">
        <f>IF(E1026="","",IF(COUNTIF('DATA QCEW'!$A$2:$A$20,E1026)&gt;0,"19-SECTOR","DETAIL / OTHER"))</f>
        <v/>
      </c>
    </row>
    <row r="1027" spans="4:7">
      <c r="D1027" s="8"/>
      <c r="E1027" t="str">
        <f t="shared" si="32"/>
        <v/>
      </c>
      <c r="F1027" t="str">
        <f t="shared" si="33"/>
        <v/>
      </c>
      <c r="G1027" t="str">
        <f>IF(E1027="","",IF(COUNTIF('DATA QCEW'!$A$2:$A$20,E1027)&gt;0,"19-SECTOR","DETAIL / OTHER"))</f>
        <v/>
      </c>
    </row>
    <row r="1028" spans="4:7">
      <c r="D1028" s="8"/>
      <c r="E1028" t="str">
        <f t="shared" si="32"/>
        <v/>
      </c>
      <c r="F1028" t="str">
        <f t="shared" si="33"/>
        <v/>
      </c>
      <c r="G1028" t="str">
        <f>IF(E1028="","",IF(COUNTIF('DATA QCEW'!$A$2:$A$20,E1028)&gt;0,"19-SECTOR","DETAIL / OTHER"))</f>
        <v/>
      </c>
    </row>
    <row r="1029" spans="4:7">
      <c r="D1029" s="8"/>
      <c r="E1029" t="str">
        <f t="shared" si="32"/>
        <v/>
      </c>
      <c r="F1029" t="str">
        <f t="shared" si="33"/>
        <v/>
      </c>
      <c r="G1029" t="str">
        <f>IF(E1029="","",IF(COUNTIF('DATA QCEW'!$A$2:$A$20,E1029)&gt;0,"19-SECTOR","DETAIL / OTHER"))</f>
        <v/>
      </c>
    </row>
    <row r="1030" spans="4:7">
      <c r="D1030" s="8"/>
      <c r="E1030" t="str">
        <f t="shared" si="32"/>
        <v/>
      </c>
      <c r="F1030" t="str">
        <f t="shared" si="33"/>
        <v/>
      </c>
      <c r="G1030" t="str">
        <f>IF(E1030="","",IF(COUNTIF('DATA QCEW'!$A$2:$A$20,E1030)&gt;0,"19-SECTOR","DETAIL / OTHER"))</f>
        <v/>
      </c>
    </row>
    <row r="1031" spans="4:7">
      <c r="D1031" s="8"/>
      <c r="E1031" t="str">
        <f t="shared" si="32"/>
        <v/>
      </c>
      <c r="F1031" t="str">
        <f t="shared" si="33"/>
        <v/>
      </c>
      <c r="G1031" t="str">
        <f>IF(E1031="","",IF(COUNTIF('DATA QCEW'!$A$2:$A$20,E1031)&gt;0,"19-SECTOR","DETAIL / OTHER"))</f>
        <v/>
      </c>
    </row>
    <row r="1032" spans="4:7">
      <c r="D1032" s="8"/>
      <c r="E1032" t="str">
        <f t="shared" si="32"/>
        <v/>
      </c>
      <c r="F1032" t="str">
        <f t="shared" si="33"/>
        <v/>
      </c>
      <c r="G1032" t="str">
        <f>IF(E1032="","",IF(COUNTIF('DATA QCEW'!$A$2:$A$20,E1032)&gt;0,"19-SECTOR","DETAIL / OTHER"))</f>
        <v/>
      </c>
    </row>
    <row r="1033" spans="4:7">
      <c r="D1033" s="8"/>
      <c r="E1033" t="str">
        <f t="shared" si="32"/>
        <v/>
      </c>
      <c r="F1033" t="str">
        <f t="shared" si="33"/>
        <v/>
      </c>
      <c r="G1033" t="str">
        <f>IF(E1033="","",IF(COUNTIF('DATA QCEW'!$A$2:$A$20,E1033)&gt;0,"19-SECTOR","DETAIL / OTHER"))</f>
        <v/>
      </c>
    </row>
    <row r="1034" spans="4:7">
      <c r="D1034" s="8"/>
      <c r="E1034" t="str">
        <f t="shared" si="32"/>
        <v/>
      </c>
      <c r="F1034" t="str">
        <f t="shared" si="33"/>
        <v/>
      </c>
      <c r="G1034" t="str">
        <f>IF(E1034="","",IF(COUNTIF('DATA QCEW'!$A$2:$A$20,E1034)&gt;0,"19-SECTOR","DETAIL / OTHER"))</f>
        <v/>
      </c>
    </row>
    <row r="1035" spans="4:7">
      <c r="D1035" s="8"/>
      <c r="E1035" t="str">
        <f t="shared" si="32"/>
        <v/>
      </c>
      <c r="F1035" t="str">
        <f t="shared" si="33"/>
        <v/>
      </c>
      <c r="G1035" t="str">
        <f>IF(E1035="","",IF(COUNTIF('DATA QCEW'!$A$2:$A$20,E1035)&gt;0,"19-SECTOR","DETAIL / OTHER"))</f>
        <v/>
      </c>
    </row>
    <row r="1036" spans="4:7">
      <c r="D1036" s="8"/>
      <c r="E1036" t="str">
        <f t="shared" si="32"/>
        <v/>
      </c>
      <c r="F1036" t="str">
        <f t="shared" si="33"/>
        <v/>
      </c>
      <c r="G1036" t="str">
        <f>IF(E1036="","",IF(COUNTIF('DATA QCEW'!$A$2:$A$20,E1036)&gt;0,"19-SECTOR","DETAIL / OTHER"))</f>
        <v/>
      </c>
    </row>
    <row r="1037" spans="4:7">
      <c r="D1037" s="8"/>
      <c r="E1037" t="str">
        <f t="shared" si="32"/>
        <v/>
      </c>
      <c r="F1037" t="str">
        <f t="shared" si="33"/>
        <v/>
      </c>
      <c r="G1037" t="str">
        <f>IF(E1037="","",IF(COUNTIF('DATA QCEW'!$A$2:$A$20,E1037)&gt;0,"19-SECTOR","DETAIL / OTHER"))</f>
        <v/>
      </c>
    </row>
    <row r="1038" spans="4:7">
      <c r="D1038" s="8"/>
      <c r="E1038" t="str">
        <f t="shared" si="32"/>
        <v/>
      </c>
      <c r="F1038" t="str">
        <f t="shared" si="33"/>
        <v/>
      </c>
      <c r="G1038" t="str">
        <f>IF(E1038="","",IF(COUNTIF('DATA QCEW'!$A$2:$A$20,E1038)&gt;0,"19-SECTOR","DETAIL / OTHER"))</f>
        <v/>
      </c>
    </row>
    <row r="1039" spans="4:7">
      <c r="D1039" s="8"/>
      <c r="E1039" t="str">
        <f t="shared" si="32"/>
        <v/>
      </c>
      <c r="F1039" t="str">
        <f t="shared" si="33"/>
        <v/>
      </c>
      <c r="G1039" t="str">
        <f>IF(E1039="","",IF(COUNTIF('DATA QCEW'!$A$2:$A$20,E1039)&gt;0,"19-SECTOR","DETAIL / OTHER"))</f>
        <v/>
      </c>
    </row>
    <row r="1040" spans="4:7">
      <c r="D1040" s="8"/>
      <c r="E1040" t="str">
        <f t="shared" si="32"/>
        <v/>
      </c>
      <c r="F1040" t="str">
        <f t="shared" si="33"/>
        <v/>
      </c>
      <c r="G1040" t="str">
        <f>IF(E1040="","",IF(COUNTIF('DATA QCEW'!$A$2:$A$20,E1040)&gt;0,"19-SECTOR","DETAIL / OTHER"))</f>
        <v/>
      </c>
    </row>
    <row r="1041" spans="4:7">
      <c r="D1041" s="8"/>
      <c r="E1041" t="str">
        <f t="shared" si="32"/>
        <v/>
      </c>
      <c r="F1041" t="str">
        <f t="shared" si="33"/>
        <v/>
      </c>
      <c r="G1041" t="str">
        <f>IF(E1041="","",IF(COUNTIF('DATA QCEW'!$A$2:$A$20,E1041)&gt;0,"19-SECTOR","DETAIL / OTHER"))</f>
        <v/>
      </c>
    </row>
    <row r="1042" spans="4:7">
      <c r="D1042" s="8"/>
      <c r="E1042" t="str">
        <f t="shared" si="32"/>
        <v/>
      </c>
      <c r="F1042" t="str">
        <f t="shared" si="33"/>
        <v/>
      </c>
      <c r="G1042" t="str">
        <f>IF(E1042="","",IF(COUNTIF('DATA QCEW'!$A$2:$A$20,E1042)&gt;0,"19-SECTOR","DETAIL / OTHER"))</f>
        <v/>
      </c>
    </row>
    <row r="1043" spans="4:7">
      <c r="D1043" s="8"/>
      <c r="E1043" t="str">
        <f t="shared" si="32"/>
        <v/>
      </c>
      <c r="F1043" t="str">
        <f t="shared" si="33"/>
        <v/>
      </c>
      <c r="G1043" t="str">
        <f>IF(E1043="","",IF(COUNTIF('DATA QCEW'!$A$2:$A$20,E1043)&gt;0,"19-SECTOR","DETAIL / OTHER"))</f>
        <v/>
      </c>
    </row>
    <row r="1044" spans="4:7">
      <c r="D1044" s="8"/>
      <c r="E1044" t="str">
        <f t="shared" si="32"/>
        <v/>
      </c>
      <c r="F1044" t="str">
        <f t="shared" si="33"/>
        <v/>
      </c>
      <c r="G1044" t="str">
        <f>IF(E1044="","",IF(COUNTIF('DATA QCEW'!$A$2:$A$20,E1044)&gt;0,"19-SECTOR","DETAIL / OTHER"))</f>
        <v/>
      </c>
    </row>
    <row r="1045" spans="4:7">
      <c r="D1045" s="8"/>
      <c r="E1045" t="str">
        <f t="shared" si="32"/>
        <v/>
      </c>
      <c r="F1045" t="str">
        <f t="shared" si="33"/>
        <v/>
      </c>
      <c r="G1045" t="str">
        <f>IF(E1045="","",IF(COUNTIF('DATA QCEW'!$A$2:$A$20,E1045)&gt;0,"19-SECTOR","DETAIL / OTHER"))</f>
        <v/>
      </c>
    </row>
    <row r="1046" spans="4:7">
      <c r="D1046" s="8"/>
      <c r="E1046" t="str">
        <f t="shared" si="32"/>
        <v/>
      </c>
      <c r="F1046" t="str">
        <f t="shared" si="33"/>
        <v/>
      </c>
      <c r="G1046" t="str">
        <f>IF(E1046="","",IF(COUNTIF('DATA QCEW'!$A$2:$A$20,E1046)&gt;0,"19-SECTOR","DETAIL / OTHER"))</f>
        <v/>
      </c>
    </row>
    <row r="1047" spans="4:7">
      <c r="D1047" s="8"/>
      <c r="E1047" t="str">
        <f t="shared" si="32"/>
        <v/>
      </c>
      <c r="F1047" t="str">
        <f t="shared" si="33"/>
        <v/>
      </c>
      <c r="G1047" t="str">
        <f>IF(E1047="","",IF(COUNTIF('DATA QCEW'!$A$2:$A$20,E1047)&gt;0,"19-SECTOR","DETAIL / OTHER"))</f>
        <v/>
      </c>
    </row>
    <row r="1048" spans="4:7">
      <c r="D1048" s="8"/>
      <c r="E1048" t="str">
        <f t="shared" si="32"/>
        <v/>
      </c>
      <c r="F1048" t="str">
        <f t="shared" si="33"/>
        <v/>
      </c>
      <c r="G1048" t="str">
        <f>IF(E1048="","",IF(COUNTIF('DATA QCEW'!$A$2:$A$20,E1048)&gt;0,"19-SECTOR","DETAIL / OTHER"))</f>
        <v/>
      </c>
    </row>
    <row r="1049" spans="4:7">
      <c r="D1049" s="8"/>
      <c r="E1049" t="str">
        <f t="shared" si="32"/>
        <v/>
      </c>
      <c r="F1049" t="str">
        <f t="shared" si="33"/>
        <v/>
      </c>
      <c r="G1049" t="str">
        <f>IF(E1049="","",IF(COUNTIF('DATA QCEW'!$A$2:$A$20,E1049)&gt;0,"19-SECTOR","DETAIL / OTHER"))</f>
        <v/>
      </c>
    </row>
    <row r="1050" spans="4:7">
      <c r="D1050" s="8"/>
      <c r="E1050" t="str">
        <f t="shared" si="32"/>
        <v/>
      </c>
      <c r="F1050" t="str">
        <f t="shared" si="33"/>
        <v/>
      </c>
      <c r="G1050" t="str">
        <f>IF(E1050="","",IF(COUNTIF('DATA QCEW'!$A$2:$A$20,E1050)&gt;0,"19-SECTOR","DETAIL / OTHER"))</f>
        <v/>
      </c>
    </row>
    <row r="1051" spans="4:7">
      <c r="D1051" s="8"/>
      <c r="E1051" t="str">
        <f t="shared" si="32"/>
        <v/>
      </c>
      <c r="F1051" t="str">
        <f t="shared" si="33"/>
        <v/>
      </c>
      <c r="G1051" t="str">
        <f>IF(E1051="","",IF(COUNTIF('DATA QCEW'!$A$2:$A$20,E1051)&gt;0,"19-SECTOR","DETAIL / OTHER"))</f>
        <v/>
      </c>
    </row>
    <row r="1052" spans="4:7">
      <c r="D1052" s="8"/>
      <c r="E1052" t="str">
        <f t="shared" si="32"/>
        <v/>
      </c>
      <c r="F1052" t="str">
        <f t="shared" si="33"/>
        <v/>
      </c>
      <c r="G1052" t="str">
        <f>IF(E1052="","",IF(COUNTIF('DATA QCEW'!$A$2:$A$20,E1052)&gt;0,"19-SECTOR","DETAIL / OTHER"))</f>
        <v/>
      </c>
    </row>
    <row r="1053" spans="4:7">
      <c r="D1053" s="8"/>
      <c r="E1053" t="str">
        <f t="shared" si="32"/>
        <v/>
      </c>
      <c r="F1053" t="str">
        <f t="shared" si="33"/>
        <v/>
      </c>
      <c r="G1053" t="str">
        <f>IF(E1053="","",IF(COUNTIF('DATA QCEW'!$A$2:$A$20,E1053)&gt;0,"19-SECTOR","DETAIL / OTHER"))</f>
        <v/>
      </c>
    </row>
    <row r="1054" spans="4:7">
      <c r="D1054" s="8"/>
      <c r="E1054" t="str">
        <f t="shared" si="32"/>
        <v/>
      </c>
      <c r="F1054" t="str">
        <f t="shared" si="33"/>
        <v/>
      </c>
      <c r="G1054" t="str">
        <f>IF(E1054="","",IF(COUNTIF('DATA QCEW'!$A$2:$A$20,E1054)&gt;0,"19-SECTOR","DETAIL / OTHER"))</f>
        <v/>
      </c>
    </row>
    <row r="1055" spans="4:7">
      <c r="D1055" s="8"/>
      <c r="E1055" t="str">
        <f t="shared" si="32"/>
        <v/>
      </c>
      <c r="F1055" t="str">
        <f t="shared" si="33"/>
        <v/>
      </c>
      <c r="G1055" t="str">
        <f>IF(E1055="","",IF(COUNTIF('DATA QCEW'!$A$2:$A$20,E1055)&gt;0,"19-SECTOR","DETAIL / OTHER"))</f>
        <v/>
      </c>
    </row>
    <row r="1056" spans="4:7">
      <c r="D1056" s="8"/>
      <c r="E1056" t="str">
        <f t="shared" si="32"/>
        <v/>
      </c>
      <c r="F1056" t="str">
        <f t="shared" si="33"/>
        <v/>
      </c>
      <c r="G1056" t="str">
        <f>IF(E1056="","",IF(COUNTIF('DATA QCEW'!$A$2:$A$20,E1056)&gt;0,"19-SECTOR","DETAIL / OTHER"))</f>
        <v/>
      </c>
    </row>
    <row r="1057" spans="4:7">
      <c r="D1057" s="8"/>
      <c r="E1057" t="str">
        <f t="shared" si="32"/>
        <v/>
      </c>
      <c r="F1057" t="str">
        <f t="shared" si="33"/>
        <v/>
      </c>
      <c r="G1057" t="str">
        <f>IF(E1057="","",IF(COUNTIF('DATA QCEW'!$A$2:$A$20,E1057)&gt;0,"19-SECTOR","DETAIL / OTHER"))</f>
        <v/>
      </c>
    </row>
    <row r="1058" spans="4:7">
      <c r="D1058" s="8"/>
      <c r="E1058" t="str">
        <f t="shared" si="32"/>
        <v/>
      </c>
      <c r="F1058" t="str">
        <f t="shared" si="33"/>
        <v/>
      </c>
      <c r="G1058" t="str">
        <f>IF(E1058="","",IF(COUNTIF('DATA QCEW'!$A$2:$A$20,E1058)&gt;0,"19-SECTOR","DETAIL / OTHER"))</f>
        <v/>
      </c>
    </row>
    <row r="1059" spans="4:7">
      <c r="D1059" s="8"/>
      <c r="E1059" t="str">
        <f t="shared" si="32"/>
        <v/>
      </c>
      <c r="F1059" t="str">
        <f t="shared" si="33"/>
        <v/>
      </c>
      <c r="G1059" t="str">
        <f>IF(E1059="","",IF(COUNTIF('DATA QCEW'!$A$2:$A$20,E1059)&gt;0,"19-SECTOR","DETAIL / OTHER"))</f>
        <v/>
      </c>
    </row>
    <row r="1060" spans="4:7">
      <c r="D1060" s="8"/>
      <c r="E1060" t="str">
        <f t="shared" si="32"/>
        <v/>
      </c>
      <c r="F1060" t="str">
        <f t="shared" si="33"/>
        <v/>
      </c>
      <c r="G1060" t="str">
        <f>IF(E1060="","",IF(COUNTIF('DATA QCEW'!$A$2:$A$20,E1060)&gt;0,"19-SECTOR","DETAIL / OTHER"))</f>
        <v/>
      </c>
    </row>
    <row r="1061" spans="4:7">
      <c r="D1061" s="8"/>
      <c r="E1061" t="str">
        <f t="shared" si="32"/>
        <v/>
      </c>
      <c r="F1061" t="str">
        <f t="shared" si="33"/>
        <v/>
      </c>
      <c r="G1061" t="str">
        <f>IF(E1061="","",IF(COUNTIF('DATA QCEW'!$A$2:$A$20,E1061)&gt;0,"19-SECTOR","DETAIL / OTHER"))</f>
        <v/>
      </c>
    </row>
    <row r="1062" spans="4:7">
      <c r="D1062" s="8"/>
      <c r="E1062" t="str">
        <f t="shared" si="32"/>
        <v/>
      </c>
      <c r="F1062" t="str">
        <f t="shared" si="33"/>
        <v/>
      </c>
      <c r="G1062" t="str">
        <f>IF(E1062="","",IF(COUNTIF('DATA QCEW'!$A$2:$A$20,E1062)&gt;0,"19-SECTOR","DETAIL / OTHER"))</f>
        <v/>
      </c>
    </row>
    <row r="1063" spans="4:7">
      <c r="D1063" s="8"/>
      <c r="E1063" t="str">
        <f t="shared" si="32"/>
        <v/>
      </c>
      <c r="F1063" t="str">
        <f t="shared" si="33"/>
        <v/>
      </c>
      <c r="G1063" t="str">
        <f>IF(E1063="","",IF(COUNTIF('DATA QCEW'!$A$2:$A$20,E1063)&gt;0,"19-SECTOR","DETAIL / OTHER"))</f>
        <v/>
      </c>
    </row>
    <row r="1064" spans="4:7">
      <c r="D1064" s="8"/>
      <c r="E1064" t="str">
        <f t="shared" si="32"/>
        <v/>
      </c>
      <c r="F1064" t="str">
        <f t="shared" si="33"/>
        <v/>
      </c>
      <c r="G1064" t="str">
        <f>IF(E1064="","",IF(COUNTIF('DATA QCEW'!$A$2:$A$20,E1064)&gt;0,"19-SECTOR","DETAIL / OTHER"))</f>
        <v/>
      </c>
    </row>
    <row r="1065" spans="4:7">
      <c r="D1065" s="8"/>
      <c r="E1065" t="str">
        <f t="shared" si="32"/>
        <v/>
      </c>
      <c r="F1065" t="str">
        <f t="shared" si="33"/>
        <v/>
      </c>
      <c r="G1065" t="str">
        <f>IF(E1065="","",IF(COUNTIF('DATA QCEW'!$A$2:$A$20,E1065)&gt;0,"19-SECTOR","DETAIL / OTHER"))</f>
        <v/>
      </c>
    </row>
    <row r="1066" spans="4:7">
      <c r="D1066" s="8"/>
      <c r="E1066" t="str">
        <f t="shared" si="32"/>
        <v/>
      </c>
      <c r="F1066" t="str">
        <f t="shared" si="33"/>
        <v/>
      </c>
      <c r="G1066" t="str">
        <f>IF(E1066="","",IF(COUNTIF('DATA QCEW'!$A$2:$A$20,E1066)&gt;0,"19-SECTOR","DETAIL / OTHER"))</f>
        <v/>
      </c>
    </row>
    <row r="1067" spans="4:7">
      <c r="D1067" s="8"/>
      <c r="E1067" t="str">
        <f t="shared" si="32"/>
        <v/>
      </c>
      <c r="F1067" t="str">
        <f t="shared" si="33"/>
        <v/>
      </c>
      <c r="G1067" t="str">
        <f>IF(E1067="","",IF(COUNTIF('DATA QCEW'!$A$2:$A$20,E1067)&gt;0,"19-SECTOR","DETAIL / OTHER"))</f>
        <v/>
      </c>
    </row>
    <row r="1068" spans="4:7">
      <c r="D1068" s="8"/>
      <c r="E1068" t="str">
        <f t="shared" si="32"/>
        <v/>
      </c>
      <c r="F1068" t="str">
        <f t="shared" si="33"/>
        <v/>
      </c>
      <c r="G1068" t="str">
        <f>IF(E1068="","",IF(COUNTIF('DATA QCEW'!$A$2:$A$20,E1068)&gt;0,"19-SECTOR","DETAIL / OTHER"))</f>
        <v/>
      </c>
    </row>
    <row r="1069" spans="4:7">
      <c r="D1069" s="8"/>
      <c r="E1069" t="str">
        <f t="shared" si="32"/>
        <v/>
      </c>
      <c r="F1069" t="str">
        <f t="shared" si="33"/>
        <v/>
      </c>
      <c r="G1069" t="str">
        <f>IF(E1069="","",IF(COUNTIF('DATA QCEW'!$A$2:$A$20,E1069)&gt;0,"19-SECTOR","DETAIL / OTHER"))</f>
        <v/>
      </c>
    </row>
    <row r="1070" spans="4:7">
      <c r="D1070" s="8"/>
      <c r="E1070" t="str">
        <f t="shared" si="32"/>
        <v/>
      </c>
      <c r="F1070" t="str">
        <f t="shared" si="33"/>
        <v/>
      </c>
      <c r="G1070" t="str">
        <f>IF(E1070="","",IF(COUNTIF('DATA QCEW'!$A$2:$A$20,E1070)&gt;0,"19-SECTOR","DETAIL / OTHER"))</f>
        <v/>
      </c>
    </row>
    <row r="1071" spans="4:7">
      <c r="D1071" s="8"/>
      <c r="E1071" t="str">
        <f t="shared" si="32"/>
        <v/>
      </c>
      <c r="F1071" t="str">
        <f t="shared" si="33"/>
        <v/>
      </c>
      <c r="G1071" t="str">
        <f>IF(E1071="","",IF(COUNTIF('DATA QCEW'!$A$2:$A$20,E1071)&gt;0,"19-SECTOR","DETAIL / OTHER"))</f>
        <v/>
      </c>
    </row>
    <row r="1072" spans="4:7">
      <c r="D1072" s="8"/>
      <c r="E1072" t="str">
        <f t="shared" si="32"/>
        <v/>
      </c>
      <c r="F1072" t="str">
        <f t="shared" si="33"/>
        <v/>
      </c>
      <c r="G1072" t="str">
        <f>IF(E1072="","",IF(COUNTIF('DATA QCEW'!$A$2:$A$20,E1072)&gt;0,"19-SECTOR","DETAIL / OTHER"))</f>
        <v/>
      </c>
    </row>
    <row r="1073" spans="4:7">
      <c r="D1073" s="8"/>
      <c r="E1073" t="str">
        <f t="shared" si="32"/>
        <v/>
      </c>
      <c r="F1073" t="str">
        <f t="shared" si="33"/>
        <v/>
      </c>
      <c r="G1073" t="str">
        <f>IF(E1073="","",IF(COUNTIF('DATA QCEW'!$A$2:$A$20,E1073)&gt;0,"19-SECTOR","DETAIL / OTHER"))</f>
        <v/>
      </c>
    </row>
    <row r="1074" spans="4:7">
      <c r="D1074" s="8"/>
      <c r="E1074" t="str">
        <f t="shared" si="32"/>
        <v/>
      </c>
      <c r="F1074" t="str">
        <f t="shared" si="33"/>
        <v/>
      </c>
      <c r="G1074" t="str">
        <f>IF(E1074="","",IF(COUNTIF('DATA QCEW'!$A$2:$A$20,E1074)&gt;0,"19-SECTOR","DETAIL / OTHER"))</f>
        <v/>
      </c>
    </row>
    <row r="1075" spans="4:7">
      <c r="D1075" s="8"/>
      <c r="E1075" t="str">
        <f t="shared" si="32"/>
        <v/>
      </c>
      <c r="F1075" t="str">
        <f t="shared" si="33"/>
        <v/>
      </c>
      <c r="G1075" t="str">
        <f>IF(E1075="","",IF(COUNTIF('DATA QCEW'!$A$2:$A$20,E1075)&gt;0,"19-SECTOR","DETAIL / OTHER"))</f>
        <v/>
      </c>
    </row>
    <row r="1076" spans="4:7">
      <c r="D1076" s="8"/>
      <c r="E1076" t="str">
        <f t="shared" si="32"/>
        <v/>
      </c>
      <c r="F1076" t="str">
        <f t="shared" si="33"/>
        <v/>
      </c>
      <c r="G1076" t="str">
        <f>IF(E1076="","",IF(COUNTIF('DATA QCEW'!$A$2:$A$20,E1076)&gt;0,"19-SECTOR","DETAIL / OTHER"))</f>
        <v/>
      </c>
    </row>
    <row r="1077" spans="4:7">
      <c r="D1077" s="8"/>
      <c r="E1077" t="str">
        <f t="shared" si="32"/>
        <v/>
      </c>
      <c r="F1077" t="str">
        <f t="shared" si="33"/>
        <v/>
      </c>
      <c r="G1077" t="str">
        <f>IF(E1077="","",IF(COUNTIF('DATA QCEW'!$A$2:$A$20,E1077)&gt;0,"19-SECTOR","DETAIL / OTHER"))</f>
        <v/>
      </c>
    </row>
    <row r="1078" spans="4:7">
      <c r="D1078" s="8"/>
      <c r="E1078" t="str">
        <f t="shared" si="32"/>
        <v/>
      </c>
      <c r="F1078" t="str">
        <f t="shared" si="33"/>
        <v/>
      </c>
      <c r="G1078" t="str">
        <f>IF(E1078="","",IF(COUNTIF('DATA QCEW'!$A$2:$A$20,E1078)&gt;0,"19-SECTOR","DETAIL / OTHER"))</f>
        <v/>
      </c>
    </row>
    <row r="1079" spans="4:7">
      <c r="D1079" s="8"/>
      <c r="E1079" t="str">
        <f t="shared" si="32"/>
        <v/>
      </c>
      <c r="F1079" t="str">
        <f t="shared" si="33"/>
        <v/>
      </c>
      <c r="G1079" t="str">
        <f>IF(E1079="","",IF(COUNTIF('DATA QCEW'!$A$2:$A$20,E1079)&gt;0,"19-SECTOR","DETAIL / OTHER"))</f>
        <v/>
      </c>
    </row>
    <row r="1080" spans="4:7">
      <c r="D1080" s="8"/>
      <c r="E1080" t="str">
        <f t="shared" si="32"/>
        <v/>
      </c>
      <c r="F1080" t="str">
        <f t="shared" si="33"/>
        <v/>
      </c>
      <c r="G1080" t="str">
        <f>IF(E1080="","",IF(COUNTIF('DATA QCEW'!$A$2:$A$20,E1080)&gt;0,"19-SECTOR","DETAIL / OTHER"))</f>
        <v/>
      </c>
    </row>
    <row r="1081" spans="4:7">
      <c r="D1081" s="8"/>
      <c r="E1081" t="str">
        <f t="shared" si="32"/>
        <v/>
      </c>
      <c r="F1081" t="str">
        <f t="shared" si="33"/>
        <v/>
      </c>
      <c r="G1081" t="str">
        <f>IF(E1081="","",IF(COUNTIF('DATA QCEW'!$A$2:$A$20,E1081)&gt;0,"19-SECTOR","DETAIL / OTHER"))</f>
        <v/>
      </c>
    </row>
    <row r="1082" spans="4:7">
      <c r="D1082" s="8"/>
      <c r="E1082" t="str">
        <f t="shared" si="32"/>
        <v/>
      </c>
      <c r="F1082" t="str">
        <f t="shared" si="33"/>
        <v/>
      </c>
      <c r="G1082" t="str">
        <f>IF(E1082="","",IF(COUNTIF('DATA QCEW'!$A$2:$A$20,E1082)&gt;0,"19-SECTOR","DETAIL / OTHER"))</f>
        <v/>
      </c>
    </row>
    <row r="1083" spans="4:7">
      <c r="D1083" s="8"/>
      <c r="E1083" t="str">
        <f t="shared" si="32"/>
        <v/>
      </c>
      <c r="F1083" t="str">
        <f t="shared" si="33"/>
        <v/>
      </c>
      <c r="G1083" t="str">
        <f>IF(E1083="","",IF(COUNTIF('DATA QCEW'!$A$2:$A$20,E1083)&gt;0,"19-SECTOR","DETAIL / OTHER"))</f>
        <v/>
      </c>
    </row>
    <row r="1084" spans="4:7">
      <c r="D1084" s="8"/>
      <c r="E1084" t="str">
        <f t="shared" si="32"/>
        <v/>
      </c>
      <c r="F1084" t="str">
        <f t="shared" si="33"/>
        <v/>
      </c>
      <c r="G1084" t="str">
        <f>IF(E1084="","",IF(COUNTIF('DATA QCEW'!$A$2:$A$20,E1084)&gt;0,"19-SECTOR","DETAIL / OTHER"))</f>
        <v/>
      </c>
    </row>
    <row r="1085" spans="4:7">
      <c r="D1085" s="8"/>
      <c r="E1085" t="str">
        <f t="shared" si="32"/>
        <v/>
      </c>
      <c r="F1085" t="str">
        <f t="shared" si="33"/>
        <v/>
      </c>
      <c r="G1085" t="str">
        <f>IF(E1085="","",IF(COUNTIF('DATA QCEW'!$A$2:$A$20,E1085)&gt;0,"19-SECTOR","DETAIL / OTHER"))</f>
        <v/>
      </c>
    </row>
    <row r="1086" spans="4:7">
      <c r="D1086" s="8"/>
      <c r="E1086" t="str">
        <f t="shared" si="32"/>
        <v/>
      </c>
      <c r="F1086" t="str">
        <f t="shared" si="33"/>
        <v/>
      </c>
      <c r="G1086" t="str">
        <f>IF(E1086="","",IF(COUNTIF('DATA QCEW'!$A$2:$A$20,E1086)&gt;0,"19-SECTOR","DETAIL / OTHER"))</f>
        <v/>
      </c>
    </row>
    <row r="1087" spans="4:7">
      <c r="D1087" s="8"/>
      <c r="E1087" t="str">
        <f t="shared" si="32"/>
        <v/>
      </c>
      <c r="F1087" t="str">
        <f t="shared" si="33"/>
        <v/>
      </c>
      <c r="G1087" t="str">
        <f>IF(E1087="","",IF(COUNTIF('DATA QCEW'!$A$2:$A$20,E1087)&gt;0,"19-SECTOR","DETAIL / OTHER"))</f>
        <v/>
      </c>
    </row>
    <row r="1088" spans="4:7">
      <c r="D1088" s="8"/>
      <c r="E1088" t="str">
        <f t="shared" si="32"/>
        <v/>
      </c>
      <c r="F1088" t="str">
        <f t="shared" si="33"/>
        <v/>
      </c>
      <c r="G1088" t="str">
        <f>IF(E1088="","",IF(COUNTIF('DATA QCEW'!$A$2:$A$20,E1088)&gt;0,"19-SECTOR","DETAIL / OTHER"))</f>
        <v/>
      </c>
    </row>
    <row r="1089" spans="4:7">
      <c r="D1089" s="8"/>
      <c r="E1089" t="str">
        <f t="shared" si="32"/>
        <v/>
      </c>
      <c r="F1089" t="str">
        <f t="shared" si="33"/>
        <v/>
      </c>
      <c r="G1089" t="str">
        <f>IF(E1089="","",IF(COUNTIF('DATA QCEW'!$A$2:$A$20,E1089)&gt;0,"19-SECTOR","DETAIL / OTHER"))</f>
        <v/>
      </c>
    </row>
    <row r="1090" spans="4:7">
      <c r="D1090" s="8"/>
      <c r="E1090" t="str">
        <f t="shared" ref="E1090:E1153" si="34">IF(LEFT(TRIM(A1090),6)="NAICS ",IFERROR(MID(TRIM(A1090),7,FIND(" ",TRIM(A1090)&amp;" ",7)-7),""),"")</f>
        <v/>
      </c>
      <c r="F1090" t="str">
        <f t="shared" ref="F1090:F1153" si="35">IF(E1090="","",TRIM(MID(TRIM(A1090),FIND(" ",TRIM(A1090)&amp;" ",7)+1,255)))</f>
        <v/>
      </c>
      <c r="G1090" t="str">
        <f>IF(E1090="","",IF(COUNTIF('DATA QCEW'!$A$2:$A$20,E1090)&gt;0,"19-SECTOR","DETAIL / OTHER"))</f>
        <v/>
      </c>
    </row>
    <row r="1091" spans="4:7">
      <c r="D1091" s="8"/>
      <c r="E1091" t="str">
        <f t="shared" si="34"/>
        <v/>
      </c>
      <c r="F1091" t="str">
        <f t="shared" si="35"/>
        <v/>
      </c>
      <c r="G1091" t="str">
        <f>IF(E1091="","",IF(COUNTIF('DATA QCEW'!$A$2:$A$20,E1091)&gt;0,"19-SECTOR","DETAIL / OTHER"))</f>
        <v/>
      </c>
    </row>
    <row r="1092" spans="4:7">
      <c r="D1092" s="8"/>
      <c r="E1092" t="str">
        <f t="shared" si="34"/>
        <v/>
      </c>
      <c r="F1092" t="str">
        <f t="shared" si="35"/>
        <v/>
      </c>
      <c r="G1092" t="str">
        <f>IF(E1092="","",IF(COUNTIF('DATA QCEW'!$A$2:$A$20,E1092)&gt;0,"19-SECTOR","DETAIL / OTHER"))</f>
        <v/>
      </c>
    </row>
    <row r="1093" spans="4:7">
      <c r="D1093" s="8"/>
      <c r="E1093" t="str">
        <f t="shared" si="34"/>
        <v/>
      </c>
      <c r="F1093" t="str">
        <f t="shared" si="35"/>
        <v/>
      </c>
      <c r="G1093" t="str">
        <f>IF(E1093="","",IF(COUNTIF('DATA QCEW'!$A$2:$A$20,E1093)&gt;0,"19-SECTOR","DETAIL / OTHER"))</f>
        <v/>
      </c>
    </row>
    <row r="1094" spans="4:7">
      <c r="D1094" s="8"/>
      <c r="E1094" t="str">
        <f t="shared" si="34"/>
        <v/>
      </c>
      <c r="F1094" t="str">
        <f t="shared" si="35"/>
        <v/>
      </c>
      <c r="G1094" t="str">
        <f>IF(E1094="","",IF(COUNTIF('DATA QCEW'!$A$2:$A$20,E1094)&gt;0,"19-SECTOR","DETAIL / OTHER"))</f>
        <v/>
      </c>
    </row>
    <row r="1095" spans="4:7">
      <c r="D1095" s="8"/>
      <c r="E1095" t="str">
        <f t="shared" si="34"/>
        <v/>
      </c>
      <c r="F1095" t="str">
        <f t="shared" si="35"/>
        <v/>
      </c>
      <c r="G1095" t="str">
        <f>IF(E1095="","",IF(COUNTIF('DATA QCEW'!$A$2:$A$20,E1095)&gt;0,"19-SECTOR","DETAIL / OTHER"))</f>
        <v/>
      </c>
    </row>
    <row r="1096" spans="4:7">
      <c r="D1096" s="8"/>
      <c r="E1096" t="str">
        <f t="shared" si="34"/>
        <v/>
      </c>
      <c r="F1096" t="str">
        <f t="shared" si="35"/>
        <v/>
      </c>
      <c r="G1096" t="str">
        <f>IF(E1096="","",IF(COUNTIF('DATA QCEW'!$A$2:$A$20,E1096)&gt;0,"19-SECTOR","DETAIL / OTHER"))</f>
        <v/>
      </c>
    </row>
    <row r="1097" spans="4:7">
      <c r="D1097" s="8"/>
      <c r="E1097" t="str">
        <f t="shared" si="34"/>
        <v/>
      </c>
      <c r="F1097" t="str">
        <f t="shared" si="35"/>
        <v/>
      </c>
      <c r="G1097" t="str">
        <f>IF(E1097="","",IF(COUNTIF('DATA QCEW'!$A$2:$A$20,E1097)&gt;0,"19-SECTOR","DETAIL / OTHER"))</f>
        <v/>
      </c>
    </row>
    <row r="1098" spans="4:7">
      <c r="D1098" s="8"/>
      <c r="E1098" t="str">
        <f t="shared" si="34"/>
        <v/>
      </c>
      <c r="F1098" t="str">
        <f t="shared" si="35"/>
        <v/>
      </c>
      <c r="G1098" t="str">
        <f>IF(E1098="","",IF(COUNTIF('DATA QCEW'!$A$2:$A$20,E1098)&gt;0,"19-SECTOR","DETAIL / OTHER"))</f>
        <v/>
      </c>
    </row>
    <row r="1099" spans="4:7">
      <c r="D1099" s="8"/>
      <c r="E1099" t="str">
        <f t="shared" si="34"/>
        <v/>
      </c>
      <c r="F1099" t="str">
        <f t="shared" si="35"/>
        <v/>
      </c>
      <c r="G1099" t="str">
        <f>IF(E1099="","",IF(COUNTIF('DATA QCEW'!$A$2:$A$20,E1099)&gt;0,"19-SECTOR","DETAIL / OTHER"))</f>
        <v/>
      </c>
    </row>
    <row r="1100" spans="4:7">
      <c r="D1100" s="8"/>
      <c r="E1100" t="str">
        <f t="shared" si="34"/>
        <v/>
      </c>
      <c r="F1100" t="str">
        <f t="shared" si="35"/>
        <v/>
      </c>
      <c r="G1100" t="str">
        <f>IF(E1100="","",IF(COUNTIF('DATA QCEW'!$A$2:$A$20,E1100)&gt;0,"19-SECTOR","DETAIL / OTHER"))</f>
        <v/>
      </c>
    </row>
    <row r="1101" spans="4:7">
      <c r="D1101" s="8"/>
      <c r="E1101" t="str">
        <f t="shared" si="34"/>
        <v/>
      </c>
      <c r="F1101" t="str">
        <f t="shared" si="35"/>
        <v/>
      </c>
      <c r="G1101" t="str">
        <f>IF(E1101="","",IF(COUNTIF('DATA QCEW'!$A$2:$A$20,E1101)&gt;0,"19-SECTOR","DETAIL / OTHER"))</f>
        <v/>
      </c>
    </row>
    <row r="1102" spans="4:7">
      <c r="D1102" s="8"/>
      <c r="E1102" t="str">
        <f t="shared" si="34"/>
        <v/>
      </c>
      <c r="F1102" t="str">
        <f t="shared" si="35"/>
        <v/>
      </c>
      <c r="G1102" t="str">
        <f>IF(E1102="","",IF(COUNTIF('DATA QCEW'!$A$2:$A$20,E1102)&gt;0,"19-SECTOR","DETAIL / OTHER"))</f>
        <v/>
      </c>
    </row>
    <row r="1103" spans="4:7">
      <c r="D1103" s="8"/>
      <c r="E1103" t="str">
        <f t="shared" si="34"/>
        <v/>
      </c>
      <c r="F1103" t="str">
        <f t="shared" si="35"/>
        <v/>
      </c>
      <c r="G1103" t="str">
        <f>IF(E1103="","",IF(COUNTIF('DATA QCEW'!$A$2:$A$20,E1103)&gt;0,"19-SECTOR","DETAIL / OTHER"))</f>
        <v/>
      </c>
    </row>
    <row r="1104" spans="4:7">
      <c r="D1104" s="8"/>
      <c r="E1104" t="str">
        <f t="shared" si="34"/>
        <v/>
      </c>
      <c r="F1104" t="str">
        <f t="shared" si="35"/>
        <v/>
      </c>
      <c r="G1104" t="str">
        <f>IF(E1104="","",IF(COUNTIF('DATA QCEW'!$A$2:$A$20,E1104)&gt;0,"19-SECTOR","DETAIL / OTHER"))</f>
        <v/>
      </c>
    </row>
    <row r="1105" spans="4:7">
      <c r="D1105" s="8"/>
      <c r="E1105" t="str">
        <f t="shared" si="34"/>
        <v/>
      </c>
      <c r="F1105" t="str">
        <f t="shared" si="35"/>
        <v/>
      </c>
      <c r="G1105" t="str">
        <f>IF(E1105="","",IF(COUNTIF('DATA QCEW'!$A$2:$A$20,E1105)&gt;0,"19-SECTOR","DETAIL / OTHER"))</f>
        <v/>
      </c>
    </row>
    <row r="1106" spans="4:7">
      <c r="D1106" s="8"/>
      <c r="E1106" t="str">
        <f t="shared" si="34"/>
        <v/>
      </c>
      <c r="F1106" t="str">
        <f t="shared" si="35"/>
        <v/>
      </c>
      <c r="G1106" t="str">
        <f>IF(E1106="","",IF(COUNTIF('DATA QCEW'!$A$2:$A$20,E1106)&gt;0,"19-SECTOR","DETAIL / OTHER"))</f>
        <v/>
      </c>
    </row>
    <row r="1107" spans="4:7">
      <c r="D1107" s="8"/>
      <c r="E1107" t="str">
        <f t="shared" si="34"/>
        <v/>
      </c>
      <c r="F1107" t="str">
        <f t="shared" si="35"/>
        <v/>
      </c>
      <c r="G1107" t="str">
        <f>IF(E1107="","",IF(COUNTIF('DATA QCEW'!$A$2:$A$20,E1107)&gt;0,"19-SECTOR","DETAIL / OTHER"))</f>
        <v/>
      </c>
    </row>
    <row r="1108" spans="4:7">
      <c r="D1108" s="8"/>
      <c r="E1108" t="str">
        <f t="shared" si="34"/>
        <v/>
      </c>
      <c r="F1108" t="str">
        <f t="shared" si="35"/>
        <v/>
      </c>
      <c r="G1108" t="str">
        <f>IF(E1108="","",IF(COUNTIF('DATA QCEW'!$A$2:$A$20,E1108)&gt;0,"19-SECTOR","DETAIL / OTHER"))</f>
        <v/>
      </c>
    </row>
    <row r="1109" spans="4:7">
      <c r="D1109" s="8"/>
      <c r="E1109" t="str">
        <f t="shared" si="34"/>
        <v/>
      </c>
      <c r="F1109" t="str">
        <f t="shared" si="35"/>
        <v/>
      </c>
      <c r="G1109" t="str">
        <f>IF(E1109="","",IF(COUNTIF('DATA QCEW'!$A$2:$A$20,E1109)&gt;0,"19-SECTOR","DETAIL / OTHER"))</f>
        <v/>
      </c>
    </row>
    <row r="1110" spans="4:7">
      <c r="D1110" s="8"/>
      <c r="E1110" t="str">
        <f t="shared" si="34"/>
        <v/>
      </c>
      <c r="F1110" t="str">
        <f t="shared" si="35"/>
        <v/>
      </c>
      <c r="G1110" t="str">
        <f>IF(E1110="","",IF(COUNTIF('DATA QCEW'!$A$2:$A$20,E1110)&gt;0,"19-SECTOR","DETAIL / OTHER"))</f>
        <v/>
      </c>
    </row>
    <row r="1111" spans="4:7">
      <c r="D1111" s="8"/>
      <c r="E1111" t="str">
        <f t="shared" si="34"/>
        <v/>
      </c>
      <c r="F1111" t="str">
        <f t="shared" si="35"/>
        <v/>
      </c>
      <c r="G1111" t="str">
        <f>IF(E1111="","",IF(COUNTIF('DATA QCEW'!$A$2:$A$20,E1111)&gt;0,"19-SECTOR","DETAIL / OTHER"))</f>
        <v/>
      </c>
    </row>
    <row r="1112" spans="4:7">
      <c r="D1112" s="8"/>
      <c r="E1112" t="str">
        <f t="shared" si="34"/>
        <v/>
      </c>
      <c r="F1112" t="str">
        <f t="shared" si="35"/>
        <v/>
      </c>
      <c r="G1112" t="str">
        <f>IF(E1112="","",IF(COUNTIF('DATA QCEW'!$A$2:$A$20,E1112)&gt;0,"19-SECTOR","DETAIL / OTHER"))</f>
        <v/>
      </c>
    </row>
    <row r="1113" spans="4:7">
      <c r="D1113" s="8"/>
      <c r="E1113" t="str">
        <f t="shared" si="34"/>
        <v/>
      </c>
      <c r="F1113" t="str">
        <f t="shared" si="35"/>
        <v/>
      </c>
      <c r="G1113" t="str">
        <f>IF(E1113="","",IF(COUNTIF('DATA QCEW'!$A$2:$A$20,E1113)&gt;0,"19-SECTOR","DETAIL / OTHER"))</f>
        <v/>
      </c>
    </row>
    <row r="1114" spans="4:7">
      <c r="D1114" s="8"/>
      <c r="E1114" t="str">
        <f t="shared" si="34"/>
        <v/>
      </c>
      <c r="F1114" t="str">
        <f t="shared" si="35"/>
        <v/>
      </c>
      <c r="G1114" t="str">
        <f>IF(E1114="","",IF(COUNTIF('DATA QCEW'!$A$2:$A$20,E1114)&gt;0,"19-SECTOR","DETAIL / OTHER"))</f>
        <v/>
      </c>
    </row>
    <row r="1115" spans="4:7">
      <c r="D1115" s="8"/>
      <c r="E1115" t="str">
        <f t="shared" si="34"/>
        <v/>
      </c>
      <c r="F1115" t="str">
        <f t="shared" si="35"/>
        <v/>
      </c>
      <c r="G1115" t="str">
        <f>IF(E1115="","",IF(COUNTIF('DATA QCEW'!$A$2:$A$20,E1115)&gt;0,"19-SECTOR","DETAIL / OTHER"))</f>
        <v/>
      </c>
    </row>
    <row r="1116" spans="4:7">
      <c r="D1116" s="8"/>
      <c r="E1116" t="str">
        <f t="shared" si="34"/>
        <v/>
      </c>
      <c r="F1116" t="str">
        <f t="shared" si="35"/>
        <v/>
      </c>
      <c r="G1116" t="str">
        <f>IF(E1116="","",IF(COUNTIF('DATA QCEW'!$A$2:$A$20,E1116)&gt;0,"19-SECTOR","DETAIL / OTHER"))</f>
        <v/>
      </c>
    </row>
    <row r="1117" spans="4:7">
      <c r="D1117" s="8"/>
      <c r="E1117" t="str">
        <f t="shared" si="34"/>
        <v/>
      </c>
      <c r="F1117" t="str">
        <f t="shared" si="35"/>
        <v/>
      </c>
      <c r="G1117" t="str">
        <f>IF(E1117="","",IF(COUNTIF('DATA QCEW'!$A$2:$A$20,E1117)&gt;0,"19-SECTOR","DETAIL / OTHER"))</f>
        <v/>
      </c>
    </row>
    <row r="1118" spans="4:7">
      <c r="D1118" s="8"/>
      <c r="E1118" t="str">
        <f t="shared" si="34"/>
        <v/>
      </c>
      <c r="F1118" t="str">
        <f t="shared" si="35"/>
        <v/>
      </c>
      <c r="G1118" t="str">
        <f>IF(E1118="","",IF(COUNTIF('DATA QCEW'!$A$2:$A$20,E1118)&gt;0,"19-SECTOR","DETAIL / OTHER"))</f>
        <v/>
      </c>
    </row>
    <row r="1119" spans="4:7">
      <c r="D1119" s="8"/>
      <c r="E1119" t="str">
        <f t="shared" si="34"/>
        <v/>
      </c>
      <c r="F1119" t="str">
        <f t="shared" si="35"/>
        <v/>
      </c>
      <c r="G1119" t="str">
        <f>IF(E1119="","",IF(COUNTIF('DATA QCEW'!$A$2:$A$20,E1119)&gt;0,"19-SECTOR","DETAIL / OTHER"))</f>
        <v/>
      </c>
    </row>
    <row r="1120" spans="4:7">
      <c r="D1120" s="8"/>
      <c r="E1120" t="str">
        <f t="shared" si="34"/>
        <v/>
      </c>
      <c r="F1120" t="str">
        <f t="shared" si="35"/>
        <v/>
      </c>
      <c r="G1120" t="str">
        <f>IF(E1120="","",IF(COUNTIF('DATA QCEW'!$A$2:$A$20,E1120)&gt;0,"19-SECTOR","DETAIL / OTHER"))</f>
        <v/>
      </c>
    </row>
    <row r="1121" spans="4:7">
      <c r="D1121" s="8"/>
      <c r="E1121" t="str">
        <f t="shared" si="34"/>
        <v/>
      </c>
      <c r="F1121" t="str">
        <f t="shared" si="35"/>
        <v/>
      </c>
      <c r="G1121" t="str">
        <f>IF(E1121="","",IF(COUNTIF('DATA QCEW'!$A$2:$A$20,E1121)&gt;0,"19-SECTOR","DETAIL / OTHER"))</f>
        <v/>
      </c>
    </row>
    <row r="1122" spans="4:7">
      <c r="D1122" s="8"/>
      <c r="E1122" t="str">
        <f t="shared" si="34"/>
        <v/>
      </c>
      <c r="F1122" t="str">
        <f t="shared" si="35"/>
        <v/>
      </c>
      <c r="G1122" t="str">
        <f>IF(E1122="","",IF(COUNTIF('DATA QCEW'!$A$2:$A$20,E1122)&gt;0,"19-SECTOR","DETAIL / OTHER"))</f>
        <v/>
      </c>
    </row>
    <row r="1123" spans="4:7">
      <c r="D1123" s="8"/>
      <c r="E1123" t="str">
        <f t="shared" si="34"/>
        <v/>
      </c>
      <c r="F1123" t="str">
        <f t="shared" si="35"/>
        <v/>
      </c>
      <c r="G1123" t="str">
        <f>IF(E1123="","",IF(COUNTIF('DATA QCEW'!$A$2:$A$20,E1123)&gt;0,"19-SECTOR","DETAIL / OTHER"))</f>
        <v/>
      </c>
    </row>
    <row r="1124" spans="4:7">
      <c r="D1124" s="8"/>
      <c r="E1124" t="str">
        <f t="shared" si="34"/>
        <v/>
      </c>
      <c r="F1124" t="str">
        <f t="shared" si="35"/>
        <v/>
      </c>
      <c r="G1124" t="str">
        <f>IF(E1124="","",IF(COUNTIF('DATA QCEW'!$A$2:$A$20,E1124)&gt;0,"19-SECTOR","DETAIL / OTHER"))</f>
        <v/>
      </c>
    </row>
    <row r="1125" spans="4:7">
      <c r="D1125" s="8"/>
      <c r="E1125" t="str">
        <f t="shared" si="34"/>
        <v/>
      </c>
      <c r="F1125" t="str">
        <f t="shared" si="35"/>
        <v/>
      </c>
      <c r="G1125" t="str">
        <f>IF(E1125="","",IF(COUNTIF('DATA QCEW'!$A$2:$A$20,E1125)&gt;0,"19-SECTOR","DETAIL / OTHER"))</f>
        <v/>
      </c>
    </row>
    <row r="1126" spans="4:7">
      <c r="D1126" s="8"/>
      <c r="E1126" t="str">
        <f t="shared" si="34"/>
        <v/>
      </c>
      <c r="F1126" t="str">
        <f t="shared" si="35"/>
        <v/>
      </c>
      <c r="G1126" t="str">
        <f>IF(E1126="","",IF(COUNTIF('DATA QCEW'!$A$2:$A$20,E1126)&gt;0,"19-SECTOR","DETAIL / OTHER"))</f>
        <v/>
      </c>
    </row>
    <row r="1127" spans="4:7">
      <c r="D1127" s="8"/>
      <c r="E1127" t="str">
        <f t="shared" si="34"/>
        <v/>
      </c>
      <c r="F1127" t="str">
        <f t="shared" si="35"/>
        <v/>
      </c>
      <c r="G1127" t="str">
        <f>IF(E1127="","",IF(COUNTIF('DATA QCEW'!$A$2:$A$20,E1127)&gt;0,"19-SECTOR","DETAIL / OTHER"))</f>
        <v/>
      </c>
    </row>
    <row r="1128" spans="4:7">
      <c r="D1128" s="8"/>
      <c r="E1128" t="str">
        <f t="shared" si="34"/>
        <v/>
      </c>
      <c r="F1128" t="str">
        <f t="shared" si="35"/>
        <v/>
      </c>
      <c r="G1128" t="str">
        <f>IF(E1128="","",IF(COUNTIF('DATA QCEW'!$A$2:$A$20,E1128)&gt;0,"19-SECTOR","DETAIL / OTHER"))</f>
        <v/>
      </c>
    </row>
    <row r="1129" spans="4:7">
      <c r="D1129" s="8"/>
      <c r="E1129" t="str">
        <f t="shared" si="34"/>
        <v/>
      </c>
      <c r="F1129" t="str">
        <f t="shared" si="35"/>
        <v/>
      </c>
      <c r="G1129" t="str">
        <f>IF(E1129="","",IF(COUNTIF('DATA QCEW'!$A$2:$A$20,E1129)&gt;0,"19-SECTOR","DETAIL / OTHER"))</f>
        <v/>
      </c>
    </row>
    <row r="1130" spans="4:7">
      <c r="D1130" s="8"/>
      <c r="E1130" t="str">
        <f t="shared" si="34"/>
        <v/>
      </c>
      <c r="F1130" t="str">
        <f t="shared" si="35"/>
        <v/>
      </c>
      <c r="G1130" t="str">
        <f>IF(E1130="","",IF(COUNTIF('DATA QCEW'!$A$2:$A$20,E1130)&gt;0,"19-SECTOR","DETAIL / OTHER"))</f>
        <v/>
      </c>
    </row>
    <row r="1131" spans="4:7">
      <c r="D1131" s="8"/>
      <c r="E1131" t="str">
        <f t="shared" si="34"/>
        <v/>
      </c>
      <c r="F1131" t="str">
        <f t="shared" si="35"/>
        <v/>
      </c>
      <c r="G1131" t="str">
        <f>IF(E1131="","",IF(COUNTIF('DATA QCEW'!$A$2:$A$20,E1131)&gt;0,"19-SECTOR","DETAIL / OTHER"))</f>
        <v/>
      </c>
    </row>
    <row r="1132" spans="4:7">
      <c r="D1132" s="8"/>
      <c r="E1132" t="str">
        <f t="shared" si="34"/>
        <v/>
      </c>
      <c r="F1132" t="str">
        <f t="shared" si="35"/>
        <v/>
      </c>
      <c r="G1132" t="str">
        <f>IF(E1132="","",IF(COUNTIF('DATA QCEW'!$A$2:$A$20,E1132)&gt;0,"19-SECTOR","DETAIL / OTHER"))</f>
        <v/>
      </c>
    </row>
    <row r="1133" spans="4:7">
      <c r="D1133" s="8"/>
      <c r="E1133" t="str">
        <f t="shared" si="34"/>
        <v/>
      </c>
      <c r="F1133" t="str">
        <f t="shared" si="35"/>
        <v/>
      </c>
      <c r="G1133" t="str">
        <f>IF(E1133="","",IF(COUNTIF('DATA QCEW'!$A$2:$A$20,E1133)&gt;0,"19-SECTOR","DETAIL / OTHER"))</f>
        <v/>
      </c>
    </row>
    <row r="1134" spans="4:7">
      <c r="D1134" s="8"/>
      <c r="E1134" t="str">
        <f t="shared" si="34"/>
        <v/>
      </c>
      <c r="F1134" t="str">
        <f t="shared" si="35"/>
        <v/>
      </c>
      <c r="G1134" t="str">
        <f>IF(E1134="","",IF(COUNTIF('DATA QCEW'!$A$2:$A$20,E1134)&gt;0,"19-SECTOR","DETAIL / OTHER"))</f>
        <v/>
      </c>
    </row>
    <row r="1135" spans="4:7">
      <c r="D1135" s="8"/>
      <c r="E1135" t="str">
        <f t="shared" si="34"/>
        <v/>
      </c>
      <c r="F1135" t="str">
        <f t="shared" si="35"/>
        <v/>
      </c>
      <c r="G1135" t="str">
        <f>IF(E1135="","",IF(COUNTIF('DATA QCEW'!$A$2:$A$20,E1135)&gt;0,"19-SECTOR","DETAIL / OTHER"))</f>
        <v/>
      </c>
    </row>
    <row r="1136" spans="4:7">
      <c r="D1136" s="8"/>
      <c r="E1136" t="str">
        <f t="shared" si="34"/>
        <v/>
      </c>
      <c r="F1136" t="str">
        <f t="shared" si="35"/>
        <v/>
      </c>
      <c r="G1136" t="str">
        <f>IF(E1136="","",IF(COUNTIF('DATA QCEW'!$A$2:$A$20,E1136)&gt;0,"19-SECTOR","DETAIL / OTHER"))</f>
        <v/>
      </c>
    </row>
    <row r="1137" spans="4:7">
      <c r="D1137" s="8"/>
      <c r="E1137" t="str">
        <f t="shared" si="34"/>
        <v/>
      </c>
      <c r="F1137" t="str">
        <f t="shared" si="35"/>
        <v/>
      </c>
      <c r="G1137" t="str">
        <f>IF(E1137="","",IF(COUNTIF('DATA QCEW'!$A$2:$A$20,E1137)&gt;0,"19-SECTOR","DETAIL / OTHER"))</f>
        <v/>
      </c>
    </row>
    <row r="1138" spans="4:7">
      <c r="D1138" s="8"/>
      <c r="E1138" t="str">
        <f t="shared" si="34"/>
        <v/>
      </c>
      <c r="F1138" t="str">
        <f t="shared" si="35"/>
        <v/>
      </c>
      <c r="G1138" t="str">
        <f>IF(E1138="","",IF(COUNTIF('DATA QCEW'!$A$2:$A$20,E1138)&gt;0,"19-SECTOR","DETAIL / OTHER"))</f>
        <v/>
      </c>
    </row>
    <row r="1139" spans="4:7">
      <c r="D1139" s="8"/>
      <c r="E1139" t="str">
        <f t="shared" si="34"/>
        <v/>
      </c>
      <c r="F1139" t="str">
        <f t="shared" si="35"/>
        <v/>
      </c>
      <c r="G1139" t="str">
        <f>IF(E1139="","",IF(COUNTIF('DATA QCEW'!$A$2:$A$20,E1139)&gt;0,"19-SECTOR","DETAIL / OTHER"))</f>
        <v/>
      </c>
    </row>
    <row r="1140" spans="4:7">
      <c r="D1140" s="8"/>
      <c r="E1140" t="str">
        <f t="shared" si="34"/>
        <v/>
      </c>
      <c r="F1140" t="str">
        <f t="shared" si="35"/>
        <v/>
      </c>
      <c r="G1140" t="str">
        <f>IF(E1140="","",IF(COUNTIF('DATA QCEW'!$A$2:$A$20,E1140)&gt;0,"19-SECTOR","DETAIL / OTHER"))</f>
        <v/>
      </c>
    </row>
    <row r="1141" spans="4:7">
      <c r="D1141" s="8"/>
      <c r="E1141" t="str">
        <f t="shared" si="34"/>
        <v/>
      </c>
      <c r="F1141" t="str">
        <f t="shared" si="35"/>
        <v/>
      </c>
      <c r="G1141" t="str">
        <f>IF(E1141="","",IF(COUNTIF('DATA QCEW'!$A$2:$A$20,E1141)&gt;0,"19-SECTOR","DETAIL / OTHER"))</f>
        <v/>
      </c>
    </row>
    <row r="1142" spans="4:7">
      <c r="D1142" s="8"/>
      <c r="E1142" t="str">
        <f t="shared" si="34"/>
        <v/>
      </c>
      <c r="F1142" t="str">
        <f t="shared" si="35"/>
        <v/>
      </c>
      <c r="G1142" t="str">
        <f>IF(E1142="","",IF(COUNTIF('DATA QCEW'!$A$2:$A$20,E1142)&gt;0,"19-SECTOR","DETAIL / OTHER"))</f>
        <v/>
      </c>
    </row>
    <row r="1143" spans="4:7">
      <c r="D1143" s="8"/>
      <c r="E1143" t="str">
        <f t="shared" si="34"/>
        <v/>
      </c>
      <c r="F1143" t="str">
        <f t="shared" si="35"/>
        <v/>
      </c>
      <c r="G1143" t="str">
        <f>IF(E1143="","",IF(COUNTIF('DATA QCEW'!$A$2:$A$20,E1143)&gt;0,"19-SECTOR","DETAIL / OTHER"))</f>
        <v/>
      </c>
    </row>
    <row r="1144" spans="4:7">
      <c r="D1144" s="8"/>
      <c r="E1144" t="str">
        <f t="shared" si="34"/>
        <v/>
      </c>
      <c r="F1144" t="str">
        <f t="shared" si="35"/>
        <v/>
      </c>
      <c r="G1144" t="str">
        <f>IF(E1144="","",IF(COUNTIF('DATA QCEW'!$A$2:$A$20,E1144)&gt;0,"19-SECTOR","DETAIL / OTHER"))</f>
        <v/>
      </c>
    </row>
    <row r="1145" spans="4:7">
      <c r="D1145" s="8"/>
      <c r="E1145" t="str">
        <f t="shared" si="34"/>
        <v/>
      </c>
      <c r="F1145" t="str">
        <f t="shared" si="35"/>
        <v/>
      </c>
      <c r="G1145" t="str">
        <f>IF(E1145="","",IF(COUNTIF('DATA QCEW'!$A$2:$A$20,E1145)&gt;0,"19-SECTOR","DETAIL / OTHER"))</f>
        <v/>
      </c>
    </row>
    <row r="1146" spans="4:7">
      <c r="D1146" s="8"/>
      <c r="E1146" t="str">
        <f t="shared" si="34"/>
        <v/>
      </c>
      <c r="F1146" t="str">
        <f t="shared" si="35"/>
        <v/>
      </c>
      <c r="G1146" t="str">
        <f>IF(E1146="","",IF(COUNTIF('DATA QCEW'!$A$2:$A$20,E1146)&gt;0,"19-SECTOR","DETAIL / OTHER"))</f>
        <v/>
      </c>
    </row>
    <row r="1147" spans="4:7">
      <c r="D1147" s="8"/>
      <c r="E1147" t="str">
        <f t="shared" si="34"/>
        <v/>
      </c>
      <c r="F1147" t="str">
        <f t="shared" si="35"/>
        <v/>
      </c>
      <c r="G1147" t="str">
        <f>IF(E1147="","",IF(COUNTIF('DATA QCEW'!$A$2:$A$20,E1147)&gt;0,"19-SECTOR","DETAIL / OTHER"))</f>
        <v/>
      </c>
    </row>
    <row r="1148" spans="4:7">
      <c r="D1148" s="8"/>
      <c r="E1148" t="str">
        <f t="shared" si="34"/>
        <v/>
      </c>
      <c r="F1148" t="str">
        <f t="shared" si="35"/>
        <v/>
      </c>
      <c r="G1148" t="str">
        <f>IF(E1148="","",IF(COUNTIF('DATA QCEW'!$A$2:$A$20,E1148)&gt;0,"19-SECTOR","DETAIL / OTHER"))</f>
        <v/>
      </c>
    </row>
    <row r="1149" spans="4:7">
      <c r="D1149" s="8"/>
      <c r="E1149" t="str">
        <f t="shared" si="34"/>
        <v/>
      </c>
      <c r="F1149" t="str">
        <f t="shared" si="35"/>
        <v/>
      </c>
      <c r="G1149" t="str">
        <f>IF(E1149="","",IF(COUNTIF('DATA QCEW'!$A$2:$A$20,E1149)&gt;0,"19-SECTOR","DETAIL / OTHER"))</f>
        <v/>
      </c>
    </row>
    <row r="1150" spans="4:7">
      <c r="D1150" s="8"/>
      <c r="E1150" t="str">
        <f t="shared" si="34"/>
        <v/>
      </c>
      <c r="F1150" t="str">
        <f t="shared" si="35"/>
        <v/>
      </c>
      <c r="G1150" t="str">
        <f>IF(E1150="","",IF(COUNTIF('DATA QCEW'!$A$2:$A$20,E1150)&gt;0,"19-SECTOR","DETAIL / OTHER"))</f>
        <v/>
      </c>
    </row>
    <row r="1151" spans="4:7">
      <c r="D1151" s="8"/>
      <c r="E1151" t="str">
        <f t="shared" si="34"/>
        <v/>
      </c>
      <c r="F1151" t="str">
        <f t="shared" si="35"/>
        <v/>
      </c>
      <c r="G1151" t="str">
        <f>IF(E1151="","",IF(COUNTIF('DATA QCEW'!$A$2:$A$20,E1151)&gt;0,"19-SECTOR","DETAIL / OTHER"))</f>
        <v/>
      </c>
    </row>
    <row r="1152" spans="4:7">
      <c r="D1152" s="8"/>
      <c r="E1152" t="str">
        <f t="shared" si="34"/>
        <v/>
      </c>
      <c r="F1152" t="str">
        <f t="shared" si="35"/>
        <v/>
      </c>
      <c r="G1152" t="str">
        <f>IF(E1152="","",IF(COUNTIF('DATA QCEW'!$A$2:$A$20,E1152)&gt;0,"19-SECTOR","DETAIL / OTHER"))</f>
        <v/>
      </c>
    </row>
    <row r="1153" spans="4:7">
      <c r="D1153" s="8"/>
      <c r="E1153" t="str">
        <f t="shared" si="34"/>
        <v/>
      </c>
      <c r="F1153" t="str">
        <f t="shared" si="35"/>
        <v/>
      </c>
      <c r="G1153" t="str">
        <f>IF(E1153="","",IF(COUNTIF('DATA QCEW'!$A$2:$A$20,E1153)&gt;0,"19-SECTOR","DETAIL / OTHER"))</f>
        <v/>
      </c>
    </row>
    <row r="1154" spans="4:7">
      <c r="D1154" s="8"/>
      <c r="E1154" t="str">
        <f t="shared" ref="E1154:E1217" si="36">IF(LEFT(TRIM(A1154),6)="NAICS ",IFERROR(MID(TRIM(A1154),7,FIND(" ",TRIM(A1154)&amp;" ",7)-7),""),"")</f>
        <v/>
      </c>
      <c r="F1154" t="str">
        <f t="shared" ref="F1154:F1217" si="37">IF(E1154="","",TRIM(MID(TRIM(A1154),FIND(" ",TRIM(A1154)&amp;" ",7)+1,255)))</f>
        <v/>
      </c>
      <c r="G1154" t="str">
        <f>IF(E1154="","",IF(COUNTIF('DATA QCEW'!$A$2:$A$20,E1154)&gt;0,"19-SECTOR","DETAIL / OTHER"))</f>
        <v/>
      </c>
    </row>
    <row r="1155" spans="4:7">
      <c r="D1155" s="8"/>
      <c r="E1155" t="str">
        <f t="shared" si="36"/>
        <v/>
      </c>
      <c r="F1155" t="str">
        <f t="shared" si="37"/>
        <v/>
      </c>
      <c r="G1155" t="str">
        <f>IF(E1155="","",IF(COUNTIF('DATA QCEW'!$A$2:$A$20,E1155)&gt;0,"19-SECTOR","DETAIL / OTHER"))</f>
        <v/>
      </c>
    </row>
    <row r="1156" spans="4:7">
      <c r="D1156" s="8"/>
      <c r="E1156" t="str">
        <f t="shared" si="36"/>
        <v/>
      </c>
      <c r="F1156" t="str">
        <f t="shared" si="37"/>
        <v/>
      </c>
      <c r="G1156" t="str">
        <f>IF(E1156="","",IF(COUNTIF('DATA QCEW'!$A$2:$A$20,E1156)&gt;0,"19-SECTOR","DETAIL / OTHER"))</f>
        <v/>
      </c>
    </row>
    <row r="1157" spans="4:7">
      <c r="D1157" s="8"/>
      <c r="E1157" t="str">
        <f t="shared" si="36"/>
        <v/>
      </c>
      <c r="F1157" t="str">
        <f t="shared" si="37"/>
        <v/>
      </c>
      <c r="G1157" t="str">
        <f>IF(E1157="","",IF(COUNTIF('DATA QCEW'!$A$2:$A$20,E1157)&gt;0,"19-SECTOR","DETAIL / OTHER"))</f>
        <v/>
      </c>
    </row>
    <row r="1158" spans="4:7">
      <c r="D1158" s="8"/>
      <c r="E1158" t="str">
        <f t="shared" si="36"/>
        <v/>
      </c>
      <c r="F1158" t="str">
        <f t="shared" si="37"/>
        <v/>
      </c>
      <c r="G1158" t="str">
        <f>IF(E1158="","",IF(COUNTIF('DATA QCEW'!$A$2:$A$20,E1158)&gt;0,"19-SECTOR","DETAIL / OTHER"))</f>
        <v/>
      </c>
    </row>
    <row r="1159" spans="4:7">
      <c r="D1159" s="8"/>
      <c r="E1159" t="str">
        <f t="shared" si="36"/>
        <v/>
      </c>
      <c r="F1159" t="str">
        <f t="shared" si="37"/>
        <v/>
      </c>
      <c r="G1159" t="str">
        <f>IF(E1159="","",IF(COUNTIF('DATA QCEW'!$A$2:$A$20,E1159)&gt;0,"19-SECTOR","DETAIL / OTHER"))</f>
        <v/>
      </c>
    </row>
    <row r="1160" spans="4:7">
      <c r="D1160" s="8"/>
      <c r="E1160" t="str">
        <f t="shared" si="36"/>
        <v/>
      </c>
      <c r="F1160" t="str">
        <f t="shared" si="37"/>
        <v/>
      </c>
      <c r="G1160" t="str">
        <f>IF(E1160="","",IF(COUNTIF('DATA QCEW'!$A$2:$A$20,E1160)&gt;0,"19-SECTOR","DETAIL / OTHER"))</f>
        <v/>
      </c>
    </row>
    <row r="1161" spans="4:7">
      <c r="D1161" s="8"/>
      <c r="E1161" t="str">
        <f t="shared" si="36"/>
        <v/>
      </c>
      <c r="F1161" t="str">
        <f t="shared" si="37"/>
        <v/>
      </c>
      <c r="G1161" t="str">
        <f>IF(E1161="","",IF(COUNTIF('DATA QCEW'!$A$2:$A$20,E1161)&gt;0,"19-SECTOR","DETAIL / OTHER"))</f>
        <v/>
      </c>
    </row>
    <row r="1162" spans="4:7">
      <c r="D1162" s="8"/>
      <c r="E1162" t="str">
        <f t="shared" si="36"/>
        <v/>
      </c>
      <c r="F1162" t="str">
        <f t="shared" si="37"/>
        <v/>
      </c>
      <c r="G1162" t="str">
        <f>IF(E1162="","",IF(COUNTIF('DATA QCEW'!$A$2:$A$20,E1162)&gt;0,"19-SECTOR","DETAIL / OTHER"))</f>
        <v/>
      </c>
    </row>
    <row r="1163" spans="4:7">
      <c r="D1163" s="8"/>
      <c r="E1163" t="str">
        <f t="shared" si="36"/>
        <v/>
      </c>
      <c r="F1163" t="str">
        <f t="shared" si="37"/>
        <v/>
      </c>
      <c r="G1163" t="str">
        <f>IF(E1163="","",IF(COUNTIF('DATA QCEW'!$A$2:$A$20,E1163)&gt;0,"19-SECTOR","DETAIL / OTHER"))</f>
        <v/>
      </c>
    </row>
    <row r="1164" spans="4:7">
      <c r="D1164" s="8"/>
      <c r="E1164" t="str">
        <f t="shared" si="36"/>
        <v/>
      </c>
      <c r="F1164" t="str">
        <f t="shared" si="37"/>
        <v/>
      </c>
      <c r="G1164" t="str">
        <f>IF(E1164="","",IF(COUNTIF('DATA QCEW'!$A$2:$A$20,E1164)&gt;0,"19-SECTOR","DETAIL / OTHER"))</f>
        <v/>
      </c>
    </row>
    <row r="1165" spans="4:7">
      <c r="D1165" s="8"/>
      <c r="E1165" t="str">
        <f t="shared" si="36"/>
        <v/>
      </c>
      <c r="F1165" t="str">
        <f t="shared" si="37"/>
        <v/>
      </c>
      <c r="G1165" t="str">
        <f>IF(E1165="","",IF(COUNTIF('DATA QCEW'!$A$2:$A$20,E1165)&gt;0,"19-SECTOR","DETAIL / OTHER"))</f>
        <v/>
      </c>
    </row>
    <row r="1166" spans="4:7">
      <c r="D1166" s="8"/>
      <c r="E1166" t="str">
        <f t="shared" si="36"/>
        <v/>
      </c>
      <c r="F1166" t="str">
        <f t="shared" si="37"/>
        <v/>
      </c>
      <c r="G1166" t="str">
        <f>IF(E1166="","",IF(COUNTIF('DATA QCEW'!$A$2:$A$20,E1166)&gt;0,"19-SECTOR","DETAIL / OTHER"))</f>
        <v/>
      </c>
    </row>
    <row r="1167" spans="4:7">
      <c r="D1167" s="8"/>
      <c r="E1167" t="str">
        <f t="shared" si="36"/>
        <v/>
      </c>
      <c r="F1167" t="str">
        <f t="shared" si="37"/>
        <v/>
      </c>
      <c r="G1167" t="str">
        <f>IF(E1167="","",IF(COUNTIF('DATA QCEW'!$A$2:$A$20,E1167)&gt;0,"19-SECTOR","DETAIL / OTHER"))</f>
        <v/>
      </c>
    </row>
    <row r="1168" spans="4:7">
      <c r="D1168" s="8"/>
      <c r="E1168" t="str">
        <f t="shared" si="36"/>
        <v/>
      </c>
      <c r="F1168" t="str">
        <f t="shared" si="37"/>
        <v/>
      </c>
      <c r="G1168" t="str">
        <f>IF(E1168="","",IF(COUNTIF('DATA QCEW'!$A$2:$A$20,E1168)&gt;0,"19-SECTOR","DETAIL / OTHER"))</f>
        <v/>
      </c>
    </row>
    <row r="1169" spans="4:7">
      <c r="D1169" s="8"/>
      <c r="E1169" t="str">
        <f t="shared" si="36"/>
        <v/>
      </c>
      <c r="F1169" t="str">
        <f t="shared" si="37"/>
        <v/>
      </c>
      <c r="G1169" t="str">
        <f>IF(E1169="","",IF(COUNTIF('DATA QCEW'!$A$2:$A$20,E1169)&gt;0,"19-SECTOR","DETAIL / OTHER"))</f>
        <v/>
      </c>
    </row>
    <row r="1170" spans="4:7">
      <c r="D1170" s="8"/>
      <c r="E1170" t="str">
        <f t="shared" si="36"/>
        <v/>
      </c>
      <c r="F1170" t="str">
        <f t="shared" si="37"/>
        <v/>
      </c>
      <c r="G1170" t="str">
        <f>IF(E1170="","",IF(COUNTIF('DATA QCEW'!$A$2:$A$20,E1170)&gt;0,"19-SECTOR","DETAIL / OTHER"))</f>
        <v/>
      </c>
    </row>
    <row r="1171" spans="4:7">
      <c r="D1171" s="8"/>
      <c r="E1171" t="str">
        <f t="shared" si="36"/>
        <v/>
      </c>
      <c r="F1171" t="str">
        <f t="shared" si="37"/>
        <v/>
      </c>
      <c r="G1171" t="str">
        <f>IF(E1171="","",IF(COUNTIF('DATA QCEW'!$A$2:$A$20,E1171)&gt;0,"19-SECTOR","DETAIL / OTHER"))</f>
        <v/>
      </c>
    </row>
    <row r="1172" spans="4:7">
      <c r="D1172" s="8"/>
      <c r="E1172" t="str">
        <f t="shared" si="36"/>
        <v/>
      </c>
      <c r="F1172" t="str">
        <f t="shared" si="37"/>
        <v/>
      </c>
      <c r="G1172" t="str">
        <f>IF(E1172="","",IF(COUNTIF('DATA QCEW'!$A$2:$A$20,E1172)&gt;0,"19-SECTOR","DETAIL / OTHER"))</f>
        <v/>
      </c>
    </row>
    <row r="1173" spans="4:7">
      <c r="D1173" s="8"/>
      <c r="E1173" t="str">
        <f t="shared" si="36"/>
        <v/>
      </c>
      <c r="F1173" t="str">
        <f t="shared" si="37"/>
        <v/>
      </c>
      <c r="G1173" t="str">
        <f>IF(E1173="","",IF(COUNTIF('DATA QCEW'!$A$2:$A$20,E1173)&gt;0,"19-SECTOR","DETAIL / OTHER"))</f>
        <v/>
      </c>
    </row>
    <row r="1174" spans="4:7">
      <c r="D1174" s="8"/>
      <c r="E1174" t="str">
        <f t="shared" si="36"/>
        <v/>
      </c>
      <c r="F1174" t="str">
        <f t="shared" si="37"/>
        <v/>
      </c>
      <c r="G1174" t="str">
        <f>IF(E1174="","",IF(COUNTIF('DATA QCEW'!$A$2:$A$20,E1174)&gt;0,"19-SECTOR","DETAIL / OTHER"))</f>
        <v/>
      </c>
    </row>
    <row r="1175" spans="4:7">
      <c r="D1175" s="8"/>
      <c r="E1175" t="str">
        <f t="shared" si="36"/>
        <v/>
      </c>
      <c r="F1175" t="str">
        <f t="shared" si="37"/>
        <v/>
      </c>
      <c r="G1175" t="str">
        <f>IF(E1175="","",IF(COUNTIF('DATA QCEW'!$A$2:$A$20,E1175)&gt;0,"19-SECTOR","DETAIL / OTHER"))</f>
        <v/>
      </c>
    </row>
    <row r="1176" spans="4:7">
      <c r="D1176" s="8"/>
      <c r="E1176" t="str">
        <f t="shared" si="36"/>
        <v/>
      </c>
      <c r="F1176" t="str">
        <f t="shared" si="37"/>
        <v/>
      </c>
      <c r="G1176" t="str">
        <f>IF(E1176="","",IF(COUNTIF('DATA QCEW'!$A$2:$A$20,E1176)&gt;0,"19-SECTOR","DETAIL / OTHER"))</f>
        <v/>
      </c>
    </row>
    <row r="1177" spans="4:7">
      <c r="D1177" s="8"/>
      <c r="E1177" t="str">
        <f t="shared" si="36"/>
        <v/>
      </c>
      <c r="F1177" t="str">
        <f t="shared" si="37"/>
        <v/>
      </c>
      <c r="G1177" t="str">
        <f>IF(E1177="","",IF(COUNTIF('DATA QCEW'!$A$2:$A$20,E1177)&gt;0,"19-SECTOR","DETAIL / OTHER"))</f>
        <v/>
      </c>
    </row>
    <row r="1178" spans="4:7">
      <c r="D1178" s="8"/>
      <c r="E1178" t="str">
        <f t="shared" si="36"/>
        <v/>
      </c>
      <c r="F1178" t="str">
        <f t="shared" si="37"/>
        <v/>
      </c>
      <c r="G1178" t="str">
        <f>IF(E1178="","",IF(COUNTIF('DATA QCEW'!$A$2:$A$20,E1178)&gt;0,"19-SECTOR","DETAIL / OTHER"))</f>
        <v/>
      </c>
    </row>
    <row r="1179" spans="4:7">
      <c r="D1179" s="8"/>
      <c r="E1179" t="str">
        <f t="shared" si="36"/>
        <v/>
      </c>
      <c r="F1179" t="str">
        <f t="shared" si="37"/>
        <v/>
      </c>
      <c r="G1179" t="str">
        <f>IF(E1179="","",IF(COUNTIF('DATA QCEW'!$A$2:$A$20,E1179)&gt;0,"19-SECTOR","DETAIL / OTHER"))</f>
        <v/>
      </c>
    </row>
    <row r="1180" spans="4:7">
      <c r="D1180" s="8"/>
      <c r="E1180" t="str">
        <f t="shared" si="36"/>
        <v/>
      </c>
      <c r="F1180" t="str">
        <f t="shared" si="37"/>
        <v/>
      </c>
      <c r="G1180" t="str">
        <f>IF(E1180="","",IF(COUNTIF('DATA QCEW'!$A$2:$A$20,E1180)&gt;0,"19-SECTOR","DETAIL / OTHER"))</f>
        <v/>
      </c>
    </row>
    <row r="1181" spans="4:7">
      <c r="D1181" s="8"/>
      <c r="E1181" t="str">
        <f t="shared" si="36"/>
        <v/>
      </c>
      <c r="F1181" t="str">
        <f t="shared" si="37"/>
        <v/>
      </c>
      <c r="G1181" t="str">
        <f>IF(E1181="","",IF(COUNTIF('DATA QCEW'!$A$2:$A$20,E1181)&gt;0,"19-SECTOR","DETAIL / OTHER"))</f>
        <v/>
      </c>
    </row>
    <row r="1182" spans="4:7">
      <c r="D1182" s="8"/>
      <c r="E1182" t="str">
        <f t="shared" si="36"/>
        <v/>
      </c>
      <c r="F1182" t="str">
        <f t="shared" si="37"/>
        <v/>
      </c>
      <c r="G1182" t="str">
        <f>IF(E1182="","",IF(COUNTIF('DATA QCEW'!$A$2:$A$20,E1182)&gt;0,"19-SECTOR","DETAIL / OTHER"))</f>
        <v/>
      </c>
    </row>
    <row r="1183" spans="4:7">
      <c r="D1183" s="8"/>
      <c r="E1183" t="str">
        <f t="shared" si="36"/>
        <v/>
      </c>
      <c r="F1183" t="str">
        <f t="shared" si="37"/>
        <v/>
      </c>
      <c r="G1183" t="str">
        <f>IF(E1183="","",IF(COUNTIF('DATA QCEW'!$A$2:$A$20,E1183)&gt;0,"19-SECTOR","DETAIL / OTHER"))</f>
        <v/>
      </c>
    </row>
    <row r="1184" spans="4:7">
      <c r="D1184" s="8"/>
      <c r="E1184" t="str">
        <f t="shared" si="36"/>
        <v/>
      </c>
      <c r="F1184" t="str">
        <f t="shared" si="37"/>
        <v/>
      </c>
      <c r="G1184" t="str">
        <f>IF(E1184="","",IF(COUNTIF('DATA QCEW'!$A$2:$A$20,E1184)&gt;0,"19-SECTOR","DETAIL / OTHER"))</f>
        <v/>
      </c>
    </row>
    <row r="1185" spans="4:7">
      <c r="D1185" s="8"/>
      <c r="E1185" t="str">
        <f t="shared" si="36"/>
        <v/>
      </c>
      <c r="F1185" t="str">
        <f t="shared" si="37"/>
        <v/>
      </c>
      <c r="G1185" t="str">
        <f>IF(E1185="","",IF(COUNTIF('DATA QCEW'!$A$2:$A$20,E1185)&gt;0,"19-SECTOR","DETAIL / OTHER"))</f>
        <v/>
      </c>
    </row>
    <row r="1186" spans="4:7">
      <c r="D1186" s="8"/>
      <c r="E1186" t="str">
        <f t="shared" si="36"/>
        <v/>
      </c>
      <c r="F1186" t="str">
        <f t="shared" si="37"/>
        <v/>
      </c>
      <c r="G1186" t="str">
        <f>IF(E1186="","",IF(COUNTIF('DATA QCEW'!$A$2:$A$20,E1186)&gt;0,"19-SECTOR","DETAIL / OTHER"))</f>
        <v/>
      </c>
    </row>
    <row r="1187" spans="4:7">
      <c r="D1187" s="8"/>
      <c r="E1187" t="str">
        <f t="shared" si="36"/>
        <v/>
      </c>
      <c r="F1187" t="str">
        <f t="shared" si="37"/>
        <v/>
      </c>
      <c r="G1187" t="str">
        <f>IF(E1187="","",IF(COUNTIF('DATA QCEW'!$A$2:$A$20,E1187)&gt;0,"19-SECTOR","DETAIL / OTHER"))</f>
        <v/>
      </c>
    </row>
    <row r="1188" spans="4:7">
      <c r="D1188" s="8"/>
      <c r="E1188" t="str">
        <f t="shared" si="36"/>
        <v/>
      </c>
      <c r="F1188" t="str">
        <f t="shared" si="37"/>
        <v/>
      </c>
      <c r="G1188" t="str">
        <f>IF(E1188="","",IF(COUNTIF('DATA QCEW'!$A$2:$A$20,E1188)&gt;0,"19-SECTOR","DETAIL / OTHER"))</f>
        <v/>
      </c>
    </row>
    <row r="1189" spans="4:7">
      <c r="D1189" s="8"/>
      <c r="E1189" t="str">
        <f t="shared" si="36"/>
        <v/>
      </c>
      <c r="F1189" t="str">
        <f t="shared" si="37"/>
        <v/>
      </c>
      <c r="G1189" t="str">
        <f>IF(E1189="","",IF(COUNTIF('DATA QCEW'!$A$2:$A$20,E1189)&gt;0,"19-SECTOR","DETAIL / OTHER"))</f>
        <v/>
      </c>
    </row>
    <row r="1190" spans="4:7">
      <c r="D1190" s="8"/>
      <c r="E1190" t="str">
        <f t="shared" si="36"/>
        <v/>
      </c>
      <c r="F1190" t="str">
        <f t="shared" si="37"/>
        <v/>
      </c>
      <c r="G1190" t="str">
        <f>IF(E1190="","",IF(COUNTIF('DATA QCEW'!$A$2:$A$20,E1190)&gt;0,"19-SECTOR","DETAIL / OTHER"))</f>
        <v/>
      </c>
    </row>
    <row r="1191" spans="4:7">
      <c r="D1191" s="8"/>
      <c r="E1191" t="str">
        <f t="shared" si="36"/>
        <v/>
      </c>
      <c r="F1191" t="str">
        <f t="shared" si="37"/>
        <v/>
      </c>
      <c r="G1191" t="str">
        <f>IF(E1191="","",IF(COUNTIF('DATA QCEW'!$A$2:$A$20,E1191)&gt;0,"19-SECTOR","DETAIL / OTHER"))</f>
        <v/>
      </c>
    </row>
    <row r="1192" spans="4:7">
      <c r="D1192" s="8"/>
      <c r="E1192" t="str">
        <f t="shared" si="36"/>
        <v/>
      </c>
      <c r="F1192" t="str">
        <f t="shared" si="37"/>
        <v/>
      </c>
      <c r="G1192" t="str">
        <f>IF(E1192="","",IF(COUNTIF('DATA QCEW'!$A$2:$A$20,E1192)&gt;0,"19-SECTOR","DETAIL / OTHER"))</f>
        <v/>
      </c>
    </row>
    <row r="1193" spans="4:7">
      <c r="D1193" s="8"/>
      <c r="E1193" t="str">
        <f t="shared" si="36"/>
        <v/>
      </c>
      <c r="F1193" t="str">
        <f t="shared" si="37"/>
        <v/>
      </c>
      <c r="G1193" t="str">
        <f>IF(E1193="","",IF(COUNTIF('DATA QCEW'!$A$2:$A$20,E1193)&gt;0,"19-SECTOR","DETAIL / OTHER"))</f>
        <v/>
      </c>
    </row>
    <row r="1194" spans="4:7">
      <c r="D1194" s="8"/>
      <c r="E1194" t="str">
        <f t="shared" si="36"/>
        <v/>
      </c>
      <c r="F1194" t="str">
        <f t="shared" si="37"/>
        <v/>
      </c>
      <c r="G1194" t="str">
        <f>IF(E1194="","",IF(COUNTIF('DATA QCEW'!$A$2:$A$20,E1194)&gt;0,"19-SECTOR","DETAIL / OTHER"))</f>
        <v/>
      </c>
    </row>
    <row r="1195" spans="4:7">
      <c r="D1195" s="8"/>
      <c r="E1195" t="str">
        <f t="shared" si="36"/>
        <v/>
      </c>
      <c r="F1195" t="str">
        <f t="shared" si="37"/>
        <v/>
      </c>
      <c r="G1195" t="str">
        <f>IF(E1195="","",IF(COUNTIF('DATA QCEW'!$A$2:$A$20,E1195)&gt;0,"19-SECTOR","DETAIL / OTHER"))</f>
        <v/>
      </c>
    </row>
    <row r="1196" spans="4:7">
      <c r="D1196" s="8"/>
      <c r="E1196" t="str">
        <f t="shared" si="36"/>
        <v/>
      </c>
      <c r="F1196" t="str">
        <f t="shared" si="37"/>
        <v/>
      </c>
      <c r="G1196" t="str">
        <f>IF(E1196="","",IF(COUNTIF('DATA QCEW'!$A$2:$A$20,E1196)&gt;0,"19-SECTOR","DETAIL / OTHER"))</f>
        <v/>
      </c>
    </row>
    <row r="1197" spans="4:7">
      <c r="D1197" s="8"/>
      <c r="E1197" t="str">
        <f t="shared" si="36"/>
        <v/>
      </c>
      <c r="F1197" t="str">
        <f t="shared" si="37"/>
        <v/>
      </c>
      <c r="G1197" t="str">
        <f>IF(E1197="","",IF(COUNTIF('DATA QCEW'!$A$2:$A$20,E1197)&gt;0,"19-SECTOR","DETAIL / OTHER"))</f>
        <v/>
      </c>
    </row>
    <row r="1198" spans="4:7">
      <c r="D1198" s="8"/>
      <c r="E1198" t="str">
        <f t="shared" si="36"/>
        <v/>
      </c>
      <c r="F1198" t="str">
        <f t="shared" si="37"/>
        <v/>
      </c>
      <c r="G1198" t="str">
        <f>IF(E1198="","",IF(COUNTIF('DATA QCEW'!$A$2:$A$20,E1198)&gt;0,"19-SECTOR","DETAIL / OTHER"))</f>
        <v/>
      </c>
    </row>
    <row r="1199" spans="4:7">
      <c r="D1199" s="8"/>
      <c r="E1199" t="str">
        <f t="shared" si="36"/>
        <v/>
      </c>
      <c r="F1199" t="str">
        <f t="shared" si="37"/>
        <v/>
      </c>
      <c r="G1199" t="str">
        <f>IF(E1199="","",IF(COUNTIF('DATA QCEW'!$A$2:$A$20,E1199)&gt;0,"19-SECTOR","DETAIL / OTHER"))</f>
        <v/>
      </c>
    </row>
    <row r="1200" spans="4:7">
      <c r="D1200" s="8"/>
      <c r="E1200" t="str">
        <f t="shared" si="36"/>
        <v/>
      </c>
      <c r="F1200" t="str">
        <f t="shared" si="37"/>
        <v/>
      </c>
      <c r="G1200" t="str">
        <f>IF(E1200="","",IF(COUNTIF('DATA QCEW'!$A$2:$A$20,E1200)&gt;0,"19-SECTOR","DETAIL / OTHER"))</f>
        <v/>
      </c>
    </row>
    <row r="1201" spans="4:7">
      <c r="D1201" s="8"/>
      <c r="E1201" t="str">
        <f t="shared" si="36"/>
        <v/>
      </c>
      <c r="F1201" t="str">
        <f t="shared" si="37"/>
        <v/>
      </c>
      <c r="G1201" t="str">
        <f>IF(E1201="","",IF(COUNTIF('DATA QCEW'!$A$2:$A$20,E1201)&gt;0,"19-SECTOR","DETAIL / OTHER"))</f>
        <v/>
      </c>
    </row>
    <row r="1202" spans="4:7">
      <c r="D1202" s="8"/>
      <c r="E1202" t="str">
        <f t="shared" si="36"/>
        <v/>
      </c>
      <c r="F1202" t="str">
        <f t="shared" si="37"/>
        <v/>
      </c>
      <c r="G1202" t="str">
        <f>IF(E1202="","",IF(COUNTIF('DATA QCEW'!$A$2:$A$20,E1202)&gt;0,"19-SECTOR","DETAIL / OTHER"))</f>
        <v/>
      </c>
    </row>
    <row r="1203" spans="4:7">
      <c r="D1203" s="8"/>
      <c r="E1203" t="str">
        <f t="shared" si="36"/>
        <v/>
      </c>
      <c r="F1203" t="str">
        <f t="shared" si="37"/>
        <v/>
      </c>
      <c r="G1203" t="str">
        <f>IF(E1203="","",IF(COUNTIF('DATA QCEW'!$A$2:$A$20,E1203)&gt;0,"19-SECTOR","DETAIL / OTHER"))</f>
        <v/>
      </c>
    </row>
    <row r="1204" spans="4:7">
      <c r="D1204" s="8"/>
      <c r="E1204" t="str">
        <f t="shared" si="36"/>
        <v/>
      </c>
      <c r="F1204" t="str">
        <f t="shared" si="37"/>
        <v/>
      </c>
      <c r="G1204" t="str">
        <f>IF(E1204="","",IF(COUNTIF('DATA QCEW'!$A$2:$A$20,E1204)&gt;0,"19-SECTOR","DETAIL / OTHER"))</f>
        <v/>
      </c>
    </row>
    <row r="1205" spans="4:7">
      <c r="D1205" s="8"/>
      <c r="E1205" t="str">
        <f t="shared" si="36"/>
        <v/>
      </c>
      <c r="F1205" t="str">
        <f t="shared" si="37"/>
        <v/>
      </c>
      <c r="G1205" t="str">
        <f>IF(E1205="","",IF(COUNTIF('DATA QCEW'!$A$2:$A$20,E1205)&gt;0,"19-SECTOR","DETAIL / OTHER"))</f>
        <v/>
      </c>
    </row>
    <row r="1206" spans="4:7">
      <c r="D1206" s="8"/>
      <c r="E1206" t="str">
        <f t="shared" si="36"/>
        <v/>
      </c>
      <c r="F1206" t="str">
        <f t="shared" si="37"/>
        <v/>
      </c>
      <c r="G1206" t="str">
        <f>IF(E1206="","",IF(COUNTIF('DATA QCEW'!$A$2:$A$20,E1206)&gt;0,"19-SECTOR","DETAIL / OTHER"))</f>
        <v/>
      </c>
    </row>
    <row r="1207" spans="4:7">
      <c r="D1207" s="8"/>
      <c r="E1207" t="str">
        <f t="shared" si="36"/>
        <v/>
      </c>
      <c r="F1207" t="str">
        <f t="shared" si="37"/>
        <v/>
      </c>
      <c r="G1207" t="str">
        <f>IF(E1207="","",IF(COUNTIF('DATA QCEW'!$A$2:$A$20,E1207)&gt;0,"19-SECTOR","DETAIL / OTHER"))</f>
        <v/>
      </c>
    </row>
    <row r="1208" spans="4:7">
      <c r="D1208" s="8"/>
      <c r="E1208" t="str">
        <f t="shared" si="36"/>
        <v/>
      </c>
      <c r="F1208" t="str">
        <f t="shared" si="37"/>
        <v/>
      </c>
      <c r="G1208" t="str">
        <f>IF(E1208="","",IF(COUNTIF('DATA QCEW'!$A$2:$A$20,E1208)&gt;0,"19-SECTOR","DETAIL / OTHER"))</f>
        <v/>
      </c>
    </row>
    <row r="1209" spans="4:7">
      <c r="D1209" s="8"/>
      <c r="E1209" t="str">
        <f t="shared" si="36"/>
        <v/>
      </c>
      <c r="F1209" t="str">
        <f t="shared" si="37"/>
        <v/>
      </c>
      <c r="G1209" t="str">
        <f>IF(E1209="","",IF(COUNTIF('DATA QCEW'!$A$2:$A$20,E1209)&gt;0,"19-SECTOR","DETAIL / OTHER"))</f>
        <v/>
      </c>
    </row>
    <row r="1210" spans="4:7">
      <c r="D1210" s="8"/>
      <c r="E1210" t="str">
        <f t="shared" si="36"/>
        <v/>
      </c>
      <c r="F1210" t="str">
        <f t="shared" si="37"/>
        <v/>
      </c>
      <c r="G1210" t="str">
        <f>IF(E1210="","",IF(COUNTIF('DATA QCEW'!$A$2:$A$20,E1210)&gt;0,"19-SECTOR","DETAIL / OTHER"))</f>
        <v/>
      </c>
    </row>
    <row r="1211" spans="4:7">
      <c r="D1211" s="8"/>
      <c r="E1211" t="str">
        <f t="shared" si="36"/>
        <v/>
      </c>
      <c r="F1211" t="str">
        <f t="shared" si="37"/>
        <v/>
      </c>
      <c r="G1211" t="str">
        <f>IF(E1211="","",IF(COUNTIF('DATA QCEW'!$A$2:$A$20,E1211)&gt;0,"19-SECTOR","DETAIL / OTHER"))</f>
        <v/>
      </c>
    </row>
    <row r="1212" spans="4:7">
      <c r="D1212" s="8"/>
      <c r="E1212" t="str">
        <f t="shared" si="36"/>
        <v/>
      </c>
      <c r="F1212" t="str">
        <f t="shared" si="37"/>
        <v/>
      </c>
      <c r="G1212" t="str">
        <f>IF(E1212="","",IF(COUNTIF('DATA QCEW'!$A$2:$A$20,E1212)&gt;0,"19-SECTOR","DETAIL / OTHER"))</f>
        <v/>
      </c>
    </row>
    <row r="1213" spans="4:7">
      <c r="D1213" s="8"/>
      <c r="E1213" t="str">
        <f t="shared" si="36"/>
        <v/>
      </c>
      <c r="F1213" t="str">
        <f t="shared" si="37"/>
        <v/>
      </c>
      <c r="G1213" t="str">
        <f>IF(E1213="","",IF(COUNTIF('DATA QCEW'!$A$2:$A$20,E1213)&gt;0,"19-SECTOR","DETAIL / OTHER"))</f>
        <v/>
      </c>
    </row>
    <row r="1214" spans="4:7">
      <c r="D1214" s="8"/>
      <c r="E1214" t="str">
        <f t="shared" si="36"/>
        <v/>
      </c>
      <c r="F1214" t="str">
        <f t="shared" si="37"/>
        <v/>
      </c>
      <c r="G1214" t="str">
        <f>IF(E1214="","",IF(COUNTIF('DATA QCEW'!$A$2:$A$20,E1214)&gt;0,"19-SECTOR","DETAIL / OTHER"))</f>
        <v/>
      </c>
    </row>
    <row r="1215" spans="4:7">
      <c r="D1215" s="8"/>
      <c r="E1215" t="str">
        <f t="shared" si="36"/>
        <v/>
      </c>
      <c r="F1215" t="str">
        <f t="shared" si="37"/>
        <v/>
      </c>
      <c r="G1215" t="str">
        <f>IF(E1215="","",IF(COUNTIF('DATA QCEW'!$A$2:$A$20,E1215)&gt;0,"19-SECTOR","DETAIL / OTHER"))</f>
        <v/>
      </c>
    </row>
    <row r="1216" spans="4:7">
      <c r="D1216" s="8"/>
      <c r="E1216" t="str">
        <f t="shared" si="36"/>
        <v/>
      </c>
      <c r="F1216" t="str">
        <f t="shared" si="37"/>
        <v/>
      </c>
      <c r="G1216" t="str">
        <f>IF(E1216="","",IF(COUNTIF('DATA QCEW'!$A$2:$A$20,E1216)&gt;0,"19-SECTOR","DETAIL / OTHER"))</f>
        <v/>
      </c>
    </row>
    <row r="1217" spans="4:7">
      <c r="D1217" s="8"/>
      <c r="E1217" t="str">
        <f t="shared" si="36"/>
        <v/>
      </c>
      <c r="F1217" t="str">
        <f t="shared" si="37"/>
        <v/>
      </c>
      <c r="G1217" t="str">
        <f>IF(E1217="","",IF(COUNTIF('DATA QCEW'!$A$2:$A$20,E1217)&gt;0,"19-SECTOR","DETAIL / OTHER"))</f>
        <v/>
      </c>
    </row>
    <row r="1218" spans="4:7">
      <c r="D1218" s="8"/>
      <c r="E1218" t="str">
        <f t="shared" ref="E1218:E1281" si="38">IF(LEFT(TRIM(A1218),6)="NAICS ",IFERROR(MID(TRIM(A1218),7,FIND(" ",TRIM(A1218)&amp;" ",7)-7),""),"")</f>
        <v/>
      </c>
      <c r="F1218" t="str">
        <f t="shared" ref="F1218:F1281" si="39">IF(E1218="","",TRIM(MID(TRIM(A1218),FIND(" ",TRIM(A1218)&amp;" ",7)+1,255)))</f>
        <v/>
      </c>
      <c r="G1218" t="str">
        <f>IF(E1218="","",IF(COUNTIF('DATA QCEW'!$A$2:$A$20,E1218)&gt;0,"19-SECTOR","DETAIL / OTHER"))</f>
        <v/>
      </c>
    </row>
    <row r="1219" spans="4:7">
      <c r="D1219" s="8"/>
      <c r="E1219" t="str">
        <f t="shared" si="38"/>
        <v/>
      </c>
      <c r="F1219" t="str">
        <f t="shared" si="39"/>
        <v/>
      </c>
      <c r="G1219" t="str">
        <f>IF(E1219="","",IF(COUNTIF('DATA QCEW'!$A$2:$A$20,E1219)&gt;0,"19-SECTOR","DETAIL / OTHER"))</f>
        <v/>
      </c>
    </row>
    <row r="1220" spans="4:7">
      <c r="D1220" s="8"/>
      <c r="E1220" t="str">
        <f t="shared" si="38"/>
        <v/>
      </c>
      <c r="F1220" t="str">
        <f t="shared" si="39"/>
        <v/>
      </c>
      <c r="G1220" t="str">
        <f>IF(E1220="","",IF(COUNTIF('DATA QCEW'!$A$2:$A$20,E1220)&gt;0,"19-SECTOR","DETAIL / OTHER"))</f>
        <v/>
      </c>
    </row>
    <row r="1221" spans="4:7">
      <c r="D1221" s="8"/>
      <c r="E1221" t="str">
        <f t="shared" si="38"/>
        <v/>
      </c>
      <c r="F1221" t="str">
        <f t="shared" si="39"/>
        <v/>
      </c>
      <c r="G1221" t="str">
        <f>IF(E1221="","",IF(COUNTIF('DATA QCEW'!$A$2:$A$20,E1221)&gt;0,"19-SECTOR","DETAIL / OTHER"))</f>
        <v/>
      </c>
    </row>
    <row r="1222" spans="4:7">
      <c r="D1222" s="8"/>
      <c r="E1222" t="str">
        <f t="shared" si="38"/>
        <v/>
      </c>
      <c r="F1222" t="str">
        <f t="shared" si="39"/>
        <v/>
      </c>
      <c r="G1222" t="str">
        <f>IF(E1222="","",IF(COUNTIF('DATA QCEW'!$A$2:$A$20,E1222)&gt;0,"19-SECTOR","DETAIL / OTHER"))</f>
        <v/>
      </c>
    </row>
    <row r="1223" spans="4:7">
      <c r="D1223" s="8"/>
      <c r="E1223" t="str">
        <f t="shared" si="38"/>
        <v/>
      </c>
      <c r="F1223" t="str">
        <f t="shared" si="39"/>
        <v/>
      </c>
      <c r="G1223" t="str">
        <f>IF(E1223="","",IF(COUNTIF('DATA QCEW'!$A$2:$A$20,E1223)&gt;0,"19-SECTOR","DETAIL / OTHER"))</f>
        <v/>
      </c>
    </row>
    <row r="1224" spans="4:7">
      <c r="D1224" s="8"/>
      <c r="E1224" t="str">
        <f t="shared" si="38"/>
        <v/>
      </c>
      <c r="F1224" t="str">
        <f t="shared" si="39"/>
        <v/>
      </c>
      <c r="G1224" t="str">
        <f>IF(E1224="","",IF(COUNTIF('DATA QCEW'!$A$2:$A$20,E1224)&gt;0,"19-SECTOR","DETAIL / OTHER"))</f>
        <v/>
      </c>
    </row>
    <row r="1225" spans="4:7">
      <c r="D1225" s="8"/>
      <c r="E1225" t="str">
        <f t="shared" si="38"/>
        <v/>
      </c>
      <c r="F1225" t="str">
        <f t="shared" si="39"/>
        <v/>
      </c>
      <c r="G1225" t="str">
        <f>IF(E1225="","",IF(COUNTIF('DATA QCEW'!$A$2:$A$20,E1225)&gt;0,"19-SECTOR","DETAIL / OTHER"))</f>
        <v/>
      </c>
    </row>
    <row r="1226" spans="4:7">
      <c r="D1226" s="8"/>
      <c r="E1226" t="str">
        <f t="shared" si="38"/>
        <v/>
      </c>
      <c r="F1226" t="str">
        <f t="shared" si="39"/>
        <v/>
      </c>
      <c r="G1226" t="str">
        <f>IF(E1226="","",IF(COUNTIF('DATA QCEW'!$A$2:$A$20,E1226)&gt;0,"19-SECTOR","DETAIL / OTHER"))</f>
        <v/>
      </c>
    </row>
    <row r="1227" spans="4:7">
      <c r="D1227" s="8"/>
      <c r="E1227" t="str">
        <f t="shared" si="38"/>
        <v/>
      </c>
      <c r="F1227" t="str">
        <f t="shared" si="39"/>
        <v/>
      </c>
      <c r="G1227" t="str">
        <f>IF(E1227="","",IF(COUNTIF('DATA QCEW'!$A$2:$A$20,E1227)&gt;0,"19-SECTOR","DETAIL / OTHER"))</f>
        <v/>
      </c>
    </row>
    <row r="1228" spans="4:7">
      <c r="D1228" s="8"/>
      <c r="E1228" t="str">
        <f t="shared" si="38"/>
        <v/>
      </c>
      <c r="F1228" t="str">
        <f t="shared" si="39"/>
        <v/>
      </c>
      <c r="G1228" t="str">
        <f>IF(E1228="","",IF(COUNTIF('DATA QCEW'!$A$2:$A$20,E1228)&gt;0,"19-SECTOR","DETAIL / OTHER"))</f>
        <v/>
      </c>
    </row>
    <row r="1229" spans="4:7">
      <c r="D1229" s="8"/>
      <c r="E1229" t="str">
        <f t="shared" si="38"/>
        <v/>
      </c>
      <c r="F1229" t="str">
        <f t="shared" si="39"/>
        <v/>
      </c>
      <c r="G1229" t="str">
        <f>IF(E1229="","",IF(COUNTIF('DATA QCEW'!$A$2:$A$20,E1229)&gt;0,"19-SECTOR","DETAIL / OTHER"))</f>
        <v/>
      </c>
    </row>
    <row r="1230" spans="4:7">
      <c r="D1230" s="8"/>
      <c r="E1230" t="str">
        <f t="shared" si="38"/>
        <v/>
      </c>
      <c r="F1230" t="str">
        <f t="shared" si="39"/>
        <v/>
      </c>
      <c r="G1230" t="str">
        <f>IF(E1230="","",IF(COUNTIF('DATA QCEW'!$A$2:$A$20,E1230)&gt;0,"19-SECTOR","DETAIL / OTHER"))</f>
        <v/>
      </c>
    </row>
    <row r="1231" spans="4:7">
      <c r="D1231" s="8"/>
      <c r="E1231" t="str">
        <f t="shared" si="38"/>
        <v/>
      </c>
      <c r="F1231" t="str">
        <f t="shared" si="39"/>
        <v/>
      </c>
      <c r="G1231" t="str">
        <f>IF(E1231="","",IF(COUNTIF('DATA QCEW'!$A$2:$A$20,E1231)&gt;0,"19-SECTOR","DETAIL / OTHER"))</f>
        <v/>
      </c>
    </row>
    <row r="1232" spans="4:7">
      <c r="D1232" s="8"/>
      <c r="E1232" t="str">
        <f t="shared" si="38"/>
        <v/>
      </c>
      <c r="F1232" t="str">
        <f t="shared" si="39"/>
        <v/>
      </c>
      <c r="G1232" t="str">
        <f>IF(E1232="","",IF(COUNTIF('DATA QCEW'!$A$2:$A$20,E1232)&gt;0,"19-SECTOR","DETAIL / OTHER"))</f>
        <v/>
      </c>
    </row>
    <row r="1233" spans="4:7">
      <c r="D1233" s="8"/>
      <c r="E1233" t="str">
        <f t="shared" si="38"/>
        <v/>
      </c>
      <c r="F1233" t="str">
        <f t="shared" si="39"/>
        <v/>
      </c>
      <c r="G1233" t="str">
        <f>IF(E1233="","",IF(COUNTIF('DATA QCEW'!$A$2:$A$20,E1233)&gt;0,"19-SECTOR","DETAIL / OTHER"))</f>
        <v/>
      </c>
    </row>
    <row r="1234" spans="4:7">
      <c r="D1234" s="8"/>
      <c r="E1234" t="str">
        <f t="shared" si="38"/>
        <v/>
      </c>
      <c r="F1234" t="str">
        <f t="shared" si="39"/>
        <v/>
      </c>
      <c r="G1234" t="str">
        <f>IF(E1234="","",IF(COUNTIF('DATA QCEW'!$A$2:$A$20,E1234)&gt;0,"19-SECTOR","DETAIL / OTHER"))</f>
        <v/>
      </c>
    </row>
    <row r="1235" spans="4:7">
      <c r="D1235" s="8"/>
      <c r="E1235" t="str">
        <f t="shared" si="38"/>
        <v/>
      </c>
      <c r="F1235" t="str">
        <f t="shared" si="39"/>
        <v/>
      </c>
      <c r="G1235" t="str">
        <f>IF(E1235="","",IF(COUNTIF('DATA QCEW'!$A$2:$A$20,E1235)&gt;0,"19-SECTOR","DETAIL / OTHER"))</f>
        <v/>
      </c>
    </row>
    <row r="1236" spans="4:7">
      <c r="D1236" s="8"/>
      <c r="E1236" t="str">
        <f t="shared" si="38"/>
        <v/>
      </c>
      <c r="F1236" t="str">
        <f t="shared" si="39"/>
        <v/>
      </c>
      <c r="G1236" t="str">
        <f>IF(E1236="","",IF(COUNTIF('DATA QCEW'!$A$2:$A$20,E1236)&gt;0,"19-SECTOR","DETAIL / OTHER"))</f>
        <v/>
      </c>
    </row>
    <row r="1237" spans="4:7">
      <c r="D1237" s="8"/>
      <c r="E1237" t="str">
        <f t="shared" si="38"/>
        <v/>
      </c>
      <c r="F1237" t="str">
        <f t="shared" si="39"/>
        <v/>
      </c>
      <c r="G1237" t="str">
        <f>IF(E1237="","",IF(COUNTIF('DATA QCEW'!$A$2:$A$20,E1237)&gt;0,"19-SECTOR","DETAIL / OTHER"))</f>
        <v/>
      </c>
    </row>
    <row r="1238" spans="4:7">
      <c r="D1238" s="8"/>
      <c r="E1238" t="str">
        <f t="shared" si="38"/>
        <v/>
      </c>
      <c r="F1238" t="str">
        <f t="shared" si="39"/>
        <v/>
      </c>
      <c r="G1238" t="str">
        <f>IF(E1238="","",IF(COUNTIF('DATA QCEW'!$A$2:$A$20,E1238)&gt;0,"19-SECTOR","DETAIL / OTHER"))</f>
        <v/>
      </c>
    </row>
    <row r="1239" spans="4:7">
      <c r="D1239" s="8"/>
      <c r="E1239" t="str">
        <f t="shared" si="38"/>
        <v/>
      </c>
      <c r="F1239" t="str">
        <f t="shared" si="39"/>
        <v/>
      </c>
      <c r="G1239" t="str">
        <f>IF(E1239="","",IF(COUNTIF('DATA QCEW'!$A$2:$A$20,E1239)&gt;0,"19-SECTOR","DETAIL / OTHER"))</f>
        <v/>
      </c>
    </row>
    <row r="1240" spans="4:7">
      <c r="D1240" s="8"/>
      <c r="E1240" t="str">
        <f t="shared" si="38"/>
        <v/>
      </c>
      <c r="F1240" t="str">
        <f t="shared" si="39"/>
        <v/>
      </c>
      <c r="G1240" t="str">
        <f>IF(E1240="","",IF(COUNTIF('DATA QCEW'!$A$2:$A$20,E1240)&gt;0,"19-SECTOR","DETAIL / OTHER"))</f>
        <v/>
      </c>
    </row>
    <row r="1241" spans="4:7">
      <c r="D1241" s="8"/>
      <c r="E1241" t="str">
        <f t="shared" si="38"/>
        <v/>
      </c>
      <c r="F1241" t="str">
        <f t="shared" si="39"/>
        <v/>
      </c>
      <c r="G1241" t="str">
        <f>IF(E1241="","",IF(COUNTIF('DATA QCEW'!$A$2:$A$20,E1241)&gt;0,"19-SECTOR","DETAIL / OTHER"))</f>
        <v/>
      </c>
    </row>
    <row r="1242" spans="4:7">
      <c r="D1242" s="8"/>
      <c r="E1242" t="str">
        <f t="shared" si="38"/>
        <v/>
      </c>
      <c r="F1242" t="str">
        <f t="shared" si="39"/>
        <v/>
      </c>
      <c r="G1242" t="str">
        <f>IF(E1242="","",IF(COUNTIF('DATA QCEW'!$A$2:$A$20,E1242)&gt;0,"19-SECTOR","DETAIL / OTHER"))</f>
        <v/>
      </c>
    </row>
    <row r="1243" spans="4:7">
      <c r="D1243" s="8"/>
      <c r="E1243" t="str">
        <f t="shared" si="38"/>
        <v/>
      </c>
      <c r="F1243" t="str">
        <f t="shared" si="39"/>
        <v/>
      </c>
      <c r="G1243" t="str">
        <f>IF(E1243="","",IF(COUNTIF('DATA QCEW'!$A$2:$A$20,E1243)&gt;0,"19-SECTOR","DETAIL / OTHER"))</f>
        <v/>
      </c>
    </row>
    <row r="1244" spans="4:7">
      <c r="D1244" s="8"/>
      <c r="E1244" t="str">
        <f t="shared" si="38"/>
        <v/>
      </c>
      <c r="F1244" t="str">
        <f t="shared" si="39"/>
        <v/>
      </c>
      <c r="G1244" t="str">
        <f>IF(E1244="","",IF(COUNTIF('DATA QCEW'!$A$2:$A$20,E1244)&gt;0,"19-SECTOR","DETAIL / OTHER"))</f>
        <v/>
      </c>
    </row>
    <row r="1245" spans="4:7">
      <c r="D1245" s="8"/>
      <c r="E1245" t="str">
        <f t="shared" si="38"/>
        <v/>
      </c>
      <c r="F1245" t="str">
        <f t="shared" si="39"/>
        <v/>
      </c>
      <c r="G1245" t="str">
        <f>IF(E1245="","",IF(COUNTIF('DATA QCEW'!$A$2:$A$20,E1245)&gt;0,"19-SECTOR","DETAIL / OTHER"))</f>
        <v/>
      </c>
    </row>
    <row r="1246" spans="4:7">
      <c r="D1246" s="8"/>
      <c r="E1246" t="str">
        <f t="shared" si="38"/>
        <v/>
      </c>
      <c r="F1246" t="str">
        <f t="shared" si="39"/>
        <v/>
      </c>
      <c r="G1246" t="str">
        <f>IF(E1246="","",IF(COUNTIF('DATA QCEW'!$A$2:$A$20,E1246)&gt;0,"19-SECTOR","DETAIL / OTHER"))</f>
        <v/>
      </c>
    </row>
    <row r="1247" spans="4:7">
      <c r="D1247" s="8"/>
      <c r="E1247" t="str">
        <f t="shared" si="38"/>
        <v/>
      </c>
      <c r="F1247" t="str">
        <f t="shared" si="39"/>
        <v/>
      </c>
      <c r="G1247" t="str">
        <f>IF(E1247="","",IF(COUNTIF('DATA QCEW'!$A$2:$A$20,E1247)&gt;0,"19-SECTOR","DETAIL / OTHER"))</f>
        <v/>
      </c>
    </row>
    <row r="1248" spans="4:7">
      <c r="D1248" s="8"/>
      <c r="E1248" t="str">
        <f t="shared" si="38"/>
        <v/>
      </c>
      <c r="F1248" t="str">
        <f t="shared" si="39"/>
        <v/>
      </c>
      <c r="G1248" t="str">
        <f>IF(E1248="","",IF(COUNTIF('DATA QCEW'!$A$2:$A$20,E1248)&gt;0,"19-SECTOR","DETAIL / OTHER"))</f>
        <v/>
      </c>
    </row>
    <row r="1249" spans="4:7">
      <c r="D1249" s="8"/>
      <c r="E1249" t="str">
        <f t="shared" si="38"/>
        <v/>
      </c>
      <c r="F1249" t="str">
        <f t="shared" si="39"/>
        <v/>
      </c>
      <c r="G1249" t="str">
        <f>IF(E1249="","",IF(COUNTIF('DATA QCEW'!$A$2:$A$20,E1249)&gt;0,"19-SECTOR","DETAIL / OTHER"))</f>
        <v/>
      </c>
    </row>
    <row r="1250" spans="4:7">
      <c r="D1250" s="8"/>
      <c r="E1250" t="str">
        <f t="shared" si="38"/>
        <v/>
      </c>
      <c r="F1250" t="str">
        <f t="shared" si="39"/>
        <v/>
      </c>
      <c r="G1250" t="str">
        <f>IF(E1250="","",IF(COUNTIF('DATA QCEW'!$A$2:$A$20,E1250)&gt;0,"19-SECTOR","DETAIL / OTHER"))</f>
        <v/>
      </c>
    </row>
    <row r="1251" spans="4:7">
      <c r="D1251" s="8"/>
      <c r="E1251" t="str">
        <f t="shared" si="38"/>
        <v/>
      </c>
      <c r="F1251" t="str">
        <f t="shared" si="39"/>
        <v/>
      </c>
      <c r="G1251" t="str">
        <f>IF(E1251="","",IF(COUNTIF('DATA QCEW'!$A$2:$A$20,E1251)&gt;0,"19-SECTOR","DETAIL / OTHER"))</f>
        <v/>
      </c>
    </row>
    <row r="1252" spans="4:7">
      <c r="D1252" s="8"/>
      <c r="E1252" t="str">
        <f t="shared" si="38"/>
        <v/>
      </c>
      <c r="F1252" t="str">
        <f t="shared" si="39"/>
        <v/>
      </c>
      <c r="G1252" t="str">
        <f>IF(E1252="","",IF(COUNTIF('DATA QCEW'!$A$2:$A$20,E1252)&gt;0,"19-SECTOR","DETAIL / OTHER"))</f>
        <v/>
      </c>
    </row>
    <row r="1253" spans="4:7">
      <c r="D1253" s="8"/>
      <c r="E1253" t="str">
        <f t="shared" si="38"/>
        <v/>
      </c>
      <c r="F1253" t="str">
        <f t="shared" si="39"/>
        <v/>
      </c>
      <c r="G1253" t="str">
        <f>IF(E1253="","",IF(COUNTIF('DATA QCEW'!$A$2:$A$20,E1253)&gt;0,"19-SECTOR","DETAIL / OTHER"))</f>
        <v/>
      </c>
    </row>
    <row r="1254" spans="4:7">
      <c r="D1254" s="8"/>
      <c r="E1254" t="str">
        <f t="shared" si="38"/>
        <v/>
      </c>
      <c r="F1254" t="str">
        <f t="shared" si="39"/>
        <v/>
      </c>
      <c r="G1254" t="str">
        <f>IF(E1254="","",IF(COUNTIF('DATA QCEW'!$A$2:$A$20,E1254)&gt;0,"19-SECTOR","DETAIL / OTHER"))</f>
        <v/>
      </c>
    </row>
    <row r="1255" spans="4:7">
      <c r="D1255" s="8"/>
      <c r="E1255" t="str">
        <f t="shared" si="38"/>
        <v/>
      </c>
      <c r="F1255" t="str">
        <f t="shared" si="39"/>
        <v/>
      </c>
      <c r="G1255" t="str">
        <f>IF(E1255="","",IF(COUNTIF('DATA QCEW'!$A$2:$A$20,E1255)&gt;0,"19-SECTOR","DETAIL / OTHER"))</f>
        <v/>
      </c>
    </row>
    <row r="1256" spans="4:7">
      <c r="D1256" s="8"/>
      <c r="E1256" t="str">
        <f t="shared" si="38"/>
        <v/>
      </c>
      <c r="F1256" t="str">
        <f t="shared" si="39"/>
        <v/>
      </c>
      <c r="G1256" t="str">
        <f>IF(E1256="","",IF(COUNTIF('DATA QCEW'!$A$2:$A$20,E1256)&gt;0,"19-SECTOR","DETAIL / OTHER"))</f>
        <v/>
      </c>
    </row>
    <row r="1257" spans="4:7">
      <c r="D1257" s="8"/>
      <c r="E1257" t="str">
        <f t="shared" si="38"/>
        <v/>
      </c>
      <c r="F1257" t="str">
        <f t="shared" si="39"/>
        <v/>
      </c>
      <c r="G1257" t="str">
        <f>IF(E1257="","",IF(COUNTIF('DATA QCEW'!$A$2:$A$20,E1257)&gt;0,"19-SECTOR","DETAIL / OTHER"))</f>
        <v/>
      </c>
    </row>
    <row r="1258" spans="4:7">
      <c r="D1258" s="8"/>
      <c r="E1258" t="str">
        <f t="shared" si="38"/>
        <v/>
      </c>
      <c r="F1258" t="str">
        <f t="shared" si="39"/>
        <v/>
      </c>
      <c r="G1258" t="str">
        <f>IF(E1258="","",IF(COUNTIF('DATA QCEW'!$A$2:$A$20,E1258)&gt;0,"19-SECTOR","DETAIL / OTHER"))</f>
        <v/>
      </c>
    </row>
    <row r="1259" spans="4:7">
      <c r="D1259" s="8"/>
      <c r="E1259" t="str">
        <f t="shared" si="38"/>
        <v/>
      </c>
      <c r="F1259" t="str">
        <f t="shared" si="39"/>
        <v/>
      </c>
      <c r="G1259" t="str">
        <f>IF(E1259="","",IF(COUNTIF('DATA QCEW'!$A$2:$A$20,E1259)&gt;0,"19-SECTOR","DETAIL / OTHER"))</f>
        <v/>
      </c>
    </row>
    <row r="1260" spans="4:7">
      <c r="D1260" s="8"/>
      <c r="E1260" t="str">
        <f t="shared" si="38"/>
        <v/>
      </c>
      <c r="F1260" t="str">
        <f t="shared" si="39"/>
        <v/>
      </c>
      <c r="G1260" t="str">
        <f>IF(E1260="","",IF(COUNTIF('DATA QCEW'!$A$2:$A$20,E1260)&gt;0,"19-SECTOR","DETAIL / OTHER"))</f>
        <v/>
      </c>
    </row>
    <row r="1261" spans="4:7">
      <c r="D1261" s="8"/>
      <c r="E1261" t="str">
        <f t="shared" si="38"/>
        <v/>
      </c>
      <c r="F1261" t="str">
        <f t="shared" si="39"/>
        <v/>
      </c>
      <c r="G1261" t="str">
        <f>IF(E1261="","",IF(COUNTIF('DATA QCEW'!$A$2:$A$20,E1261)&gt;0,"19-SECTOR","DETAIL / OTHER"))</f>
        <v/>
      </c>
    </row>
    <row r="1262" spans="4:7">
      <c r="D1262" s="8"/>
      <c r="E1262" t="str">
        <f t="shared" si="38"/>
        <v/>
      </c>
      <c r="F1262" t="str">
        <f t="shared" si="39"/>
        <v/>
      </c>
      <c r="G1262" t="str">
        <f>IF(E1262="","",IF(COUNTIF('DATA QCEW'!$A$2:$A$20,E1262)&gt;0,"19-SECTOR","DETAIL / OTHER"))</f>
        <v/>
      </c>
    </row>
    <row r="1263" spans="4:7">
      <c r="D1263" s="8"/>
      <c r="E1263" t="str">
        <f t="shared" si="38"/>
        <v/>
      </c>
      <c r="F1263" t="str">
        <f t="shared" si="39"/>
        <v/>
      </c>
      <c r="G1263" t="str">
        <f>IF(E1263="","",IF(COUNTIF('DATA QCEW'!$A$2:$A$20,E1263)&gt;0,"19-SECTOR","DETAIL / OTHER"))</f>
        <v/>
      </c>
    </row>
    <row r="1264" spans="4:7">
      <c r="D1264" s="8"/>
      <c r="E1264" t="str">
        <f t="shared" si="38"/>
        <v/>
      </c>
      <c r="F1264" t="str">
        <f t="shared" si="39"/>
        <v/>
      </c>
      <c r="G1264" t="str">
        <f>IF(E1264="","",IF(COUNTIF('DATA QCEW'!$A$2:$A$20,E1264)&gt;0,"19-SECTOR","DETAIL / OTHER"))</f>
        <v/>
      </c>
    </row>
    <row r="1265" spans="4:7">
      <c r="D1265" s="8"/>
      <c r="E1265" t="str">
        <f t="shared" si="38"/>
        <v/>
      </c>
      <c r="F1265" t="str">
        <f t="shared" si="39"/>
        <v/>
      </c>
      <c r="G1265" t="str">
        <f>IF(E1265="","",IF(COUNTIF('DATA QCEW'!$A$2:$A$20,E1265)&gt;0,"19-SECTOR","DETAIL / OTHER"))</f>
        <v/>
      </c>
    </row>
    <row r="1266" spans="4:7">
      <c r="D1266" s="8"/>
      <c r="E1266" t="str">
        <f t="shared" si="38"/>
        <v/>
      </c>
      <c r="F1266" t="str">
        <f t="shared" si="39"/>
        <v/>
      </c>
      <c r="G1266" t="str">
        <f>IF(E1266="","",IF(COUNTIF('DATA QCEW'!$A$2:$A$20,E1266)&gt;0,"19-SECTOR","DETAIL / OTHER"))</f>
        <v/>
      </c>
    </row>
    <row r="1267" spans="4:7">
      <c r="D1267" s="8"/>
      <c r="E1267" t="str">
        <f t="shared" si="38"/>
        <v/>
      </c>
      <c r="F1267" t="str">
        <f t="shared" si="39"/>
        <v/>
      </c>
      <c r="G1267" t="str">
        <f>IF(E1267="","",IF(COUNTIF('DATA QCEW'!$A$2:$A$20,E1267)&gt;0,"19-SECTOR","DETAIL / OTHER"))</f>
        <v/>
      </c>
    </row>
    <row r="1268" spans="4:7">
      <c r="D1268" s="8"/>
      <c r="E1268" t="str">
        <f t="shared" si="38"/>
        <v/>
      </c>
      <c r="F1268" t="str">
        <f t="shared" si="39"/>
        <v/>
      </c>
      <c r="G1268" t="str">
        <f>IF(E1268="","",IF(COUNTIF('DATA QCEW'!$A$2:$A$20,E1268)&gt;0,"19-SECTOR","DETAIL / OTHER"))</f>
        <v/>
      </c>
    </row>
    <row r="1269" spans="4:7">
      <c r="D1269" s="8"/>
      <c r="E1269" t="str">
        <f t="shared" si="38"/>
        <v/>
      </c>
      <c r="F1269" t="str">
        <f t="shared" si="39"/>
        <v/>
      </c>
      <c r="G1269" t="str">
        <f>IF(E1269="","",IF(COUNTIF('DATA QCEW'!$A$2:$A$20,E1269)&gt;0,"19-SECTOR","DETAIL / OTHER"))</f>
        <v/>
      </c>
    </row>
    <row r="1270" spans="4:7">
      <c r="D1270" s="8"/>
      <c r="E1270" t="str">
        <f t="shared" si="38"/>
        <v/>
      </c>
      <c r="F1270" t="str">
        <f t="shared" si="39"/>
        <v/>
      </c>
      <c r="G1270" t="str">
        <f>IF(E1270="","",IF(COUNTIF('DATA QCEW'!$A$2:$A$20,E1270)&gt;0,"19-SECTOR","DETAIL / OTHER"))</f>
        <v/>
      </c>
    </row>
    <row r="1271" spans="4:7">
      <c r="D1271" s="8"/>
      <c r="E1271" t="str">
        <f t="shared" si="38"/>
        <v/>
      </c>
      <c r="F1271" t="str">
        <f t="shared" si="39"/>
        <v/>
      </c>
      <c r="G1271" t="str">
        <f>IF(E1271="","",IF(COUNTIF('DATA QCEW'!$A$2:$A$20,E1271)&gt;0,"19-SECTOR","DETAIL / OTHER"))</f>
        <v/>
      </c>
    </row>
    <row r="1272" spans="4:7">
      <c r="D1272" s="8"/>
      <c r="E1272" t="str">
        <f t="shared" si="38"/>
        <v/>
      </c>
      <c r="F1272" t="str">
        <f t="shared" si="39"/>
        <v/>
      </c>
      <c r="G1272" t="str">
        <f>IF(E1272="","",IF(COUNTIF('DATA QCEW'!$A$2:$A$20,E1272)&gt;0,"19-SECTOR","DETAIL / OTHER"))</f>
        <v/>
      </c>
    </row>
    <row r="1273" spans="4:7">
      <c r="D1273" s="8"/>
      <c r="E1273" t="str">
        <f t="shared" si="38"/>
        <v/>
      </c>
      <c r="F1273" t="str">
        <f t="shared" si="39"/>
        <v/>
      </c>
      <c r="G1273" t="str">
        <f>IF(E1273="","",IF(COUNTIF('DATA QCEW'!$A$2:$A$20,E1273)&gt;0,"19-SECTOR","DETAIL / OTHER"))</f>
        <v/>
      </c>
    </row>
    <row r="1274" spans="4:7">
      <c r="D1274" s="8"/>
      <c r="E1274" t="str">
        <f t="shared" si="38"/>
        <v/>
      </c>
      <c r="F1274" t="str">
        <f t="shared" si="39"/>
        <v/>
      </c>
      <c r="G1274" t="str">
        <f>IF(E1274="","",IF(COUNTIF('DATA QCEW'!$A$2:$A$20,E1274)&gt;0,"19-SECTOR","DETAIL / OTHER"))</f>
        <v/>
      </c>
    </row>
    <row r="1275" spans="4:7">
      <c r="D1275" s="8"/>
      <c r="E1275" t="str">
        <f t="shared" si="38"/>
        <v/>
      </c>
      <c r="F1275" t="str">
        <f t="shared" si="39"/>
        <v/>
      </c>
      <c r="G1275" t="str">
        <f>IF(E1275="","",IF(COUNTIF('DATA QCEW'!$A$2:$A$20,E1275)&gt;0,"19-SECTOR","DETAIL / OTHER"))</f>
        <v/>
      </c>
    </row>
    <row r="1276" spans="4:7">
      <c r="D1276" s="8"/>
      <c r="E1276" t="str">
        <f t="shared" si="38"/>
        <v/>
      </c>
      <c r="F1276" t="str">
        <f t="shared" si="39"/>
        <v/>
      </c>
      <c r="G1276" t="str">
        <f>IF(E1276="","",IF(COUNTIF('DATA QCEW'!$A$2:$A$20,E1276)&gt;0,"19-SECTOR","DETAIL / OTHER"))</f>
        <v/>
      </c>
    </row>
    <row r="1277" spans="4:7">
      <c r="D1277" s="8"/>
      <c r="E1277" t="str">
        <f t="shared" si="38"/>
        <v/>
      </c>
      <c r="F1277" t="str">
        <f t="shared" si="39"/>
        <v/>
      </c>
      <c r="G1277" t="str">
        <f>IF(E1277="","",IF(COUNTIF('DATA QCEW'!$A$2:$A$20,E1277)&gt;0,"19-SECTOR","DETAIL / OTHER"))</f>
        <v/>
      </c>
    </row>
    <row r="1278" spans="4:7">
      <c r="D1278" s="8"/>
      <c r="E1278" t="str">
        <f t="shared" si="38"/>
        <v/>
      </c>
      <c r="F1278" t="str">
        <f t="shared" si="39"/>
        <v/>
      </c>
      <c r="G1278" t="str">
        <f>IF(E1278="","",IF(COUNTIF('DATA QCEW'!$A$2:$A$20,E1278)&gt;0,"19-SECTOR","DETAIL / OTHER"))</f>
        <v/>
      </c>
    </row>
    <row r="1279" spans="4:7">
      <c r="D1279" s="8"/>
      <c r="E1279" t="str">
        <f t="shared" si="38"/>
        <v/>
      </c>
      <c r="F1279" t="str">
        <f t="shared" si="39"/>
        <v/>
      </c>
      <c r="G1279" t="str">
        <f>IF(E1279="","",IF(COUNTIF('DATA QCEW'!$A$2:$A$20,E1279)&gt;0,"19-SECTOR","DETAIL / OTHER"))</f>
        <v/>
      </c>
    </row>
    <row r="1280" spans="4:7">
      <c r="D1280" s="8"/>
      <c r="E1280" t="str">
        <f t="shared" si="38"/>
        <v/>
      </c>
      <c r="F1280" t="str">
        <f t="shared" si="39"/>
        <v/>
      </c>
      <c r="G1280" t="str">
        <f>IF(E1280="","",IF(COUNTIF('DATA QCEW'!$A$2:$A$20,E1280)&gt;0,"19-SECTOR","DETAIL / OTHER"))</f>
        <v/>
      </c>
    </row>
    <row r="1281" spans="4:7">
      <c r="D1281" s="8"/>
      <c r="E1281" t="str">
        <f t="shared" si="38"/>
        <v/>
      </c>
      <c r="F1281" t="str">
        <f t="shared" si="39"/>
        <v/>
      </c>
      <c r="G1281" t="str">
        <f>IF(E1281="","",IF(COUNTIF('DATA QCEW'!$A$2:$A$20,E1281)&gt;0,"19-SECTOR","DETAIL / OTHER"))</f>
        <v/>
      </c>
    </row>
    <row r="1282" spans="4:7">
      <c r="D1282" s="8"/>
      <c r="E1282" t="str">
        <f t="shared" ref="E1282:E1345" si="40">IF(LEFT(TRIM(A1282),6)="NAICS ",IFERROR(MID(TRIM(A1282),7,FIND(" ",TRIM(A1282)&amp;" ",7)-7),""),"")</f>
        <v/>
      </c>
      <c r="F1282" t="str">
        <f t="shared" ref="F1282:F1345" si="41">IF(E1282="","",TRIM(MID(TRIM(A1282),FIND(" ",TRIM(A1282)&amp;" ",7)+1,255)))</f>
        <v/>
      </c>
      <c r="G1282" t="str">
        <f>IF(E1282="","",IF(COUNTIF('DATA QCEW'!$A$2:$A$20,E1282)&gt;0,"19-SECTOR","DETAIL / OTHER"))</f>
        <v/>
      </c>
    </row>
    <row r="1283" spans="4:7">
      <c r="D1283" s="8"/>
      <c r="E1283" t="str">
        <f t="shared" si="40"/>
        <v/>
      </c>
      <c r="F1283" t="str">
        <f t="shared" si="41"/>
        <v/>
      </c>
      <c r="G1283" t="str">
        <f>IF(E1283="","",IF(COUNTIF('DATA QCEW'!$A$2:$A$20,E1283)&gt;0,"19-SECTOR","DETAIL / OTHER"))</f>
        <v/>
      </c>
    </row>
    <row r="1284" spans="4:7">
      <c r="D1284" s="8"/>
      <c r="E1284" t="str">
        <f t="shared" si="40"/>
        <v/>
      </c>
      <c r="F1284" t="str">
        <f t="shared" si="41"/>
        <v/>
      </c>
      <c r="G1284" t="str">
        <f>IF(E1284="","",IF(COUNTIF('DATA QCEW'!$A$2:$A$20,E1284)&gt;0,"19-SECTOR","DETAIL / OTHER"))</f>
        <v/>
      </c>
    </row>
    <row r="1285" spans="4:7">
      <c r="D1285" s="8"/>
      <c r="E1285" t="str">
        <f t="shared" si="40"/>
        <v/>
      </c>
      <c r="F1285" t="str">
        <f t="shared" si="41"/>
        <v/>
      </c>
      <c r="G1285" t="str">
        <f>IF(E1285="","",IF(COUNTIF('DATA QCEW'!$A$2:$A$20,E1285)&gt;0,"19-SECTOR","DETAIL / OTHER"))</f>
        <v/>
      </c>
    </row>
    <row r="1286" spans="4:7">
      <c r="D1286" s="8"/>
      <c r="E1286" t="str">
        <f t="shared" si="40"/>
        <v/>
      </c>
      <c r="F1286" t="str">
        <f t="shared" si="41"/>
        <v/>
      </c>
      <c r="G1286" t="str">
        <f>IF(E1286="","",IF(COUNTIF('DATA QCEW'!$A$2:$A$20,E1286)&gt;0,"19-SECTOR","DETAIL / OTHER"))</f>
        <v/>
      </c>
    </row>
    <row r="1287" spans="4:7">
      <c r="D1287" s="8"/>
      <c r="E1287" t="str">
        <f t="shared" si="40"/>
        <v/>
      </c>
      <c r="F1287" t="str">
        <f t="shared" si="41"/>
        <v/>
      </c>
      <c r="G1287" t="str">
        <f>IF(E1287="","",IF(COUNTIF('DATA QCEW'!$A$2:$A$20,E1287)&gt;0,"19-SECTOR","DETAIL / OTHER"))</f>
        <v/>
      </c>
    </row>
    <row r="1288" spans="4:7">
      <c r="D1288" s="8"/>
      <c r="E1288" t="str">
        <f t="shared" si="40"/>
        <v/>
      </c>
      <c r="F1288" t="str">
        <f t="shared" si="41"/>
        <v/>
      </c>
      <c r="G1288" t="str">
        <f>IF(E1288="","",IF(COUNTIF('DATA QCEW'!$A$2:$A$20,E1288)&gt;0,"19-SECTOR","DETAIL / OTHER"))</f>
        <v/>
      </c>
    </row>
    <row r="1289" spans="4:7">
      <c r="D1289" s="8"/>
      <c r="E1289" t="str">
        <f t="shared" si="40"/>
        <v/>
      </c>
      <c r="F1289" t="str">
        <f t="shared" si="41"/>
        <v/>
      </c>
      <c r="G1289" t="str">
        <f>IF(E1289="","",IF(COUNTIF('DATA QCEW'!$A$2:$A$20,E1289)&gt;0,"19-SECTOR","DETAIL / OTHER"))</f>
        <v/>
      </c>
    </row>
    <row r="1290" spans="4:7">
      <c r="D1290" s="8"/>
      <c r="E1290" t="str">
        <f t="shared" si="40"/>
        <v/>
      </c>
      <c r="F1290" t="str">
        <f t="shared" si="41"/>
        <v/>
      </c>
      <c r="G1290" t="str">
        <f>IF(E1290="","",IF(COUNTIF('DATA QCEW'!$A$2:$A$20,E1290)&gt;0,"19-SECTOR","DETAIL / OTHER"))</f>
        <v/>
      </c>
    </row>
    <row r="1291" spans="4:7">
      <c r="D1291" s="8"/>
      <c r="E1291" t="str">
        <f t="shared" si="40"/>
        <v/>
      </c>
      <c r="F1291" t="str">
        <f t="shared" si="41"/>
        <v/>
      </c>
      <c r="G1291" t="str">
        <f>IF(E1291="","",IF(COUNTIF('DATA QCEW'!$A$2:$A$20,E1291)&gt;0,"19-SECTOR","DETAIL / OTHER"))</f>
        <v/>
      </c>
    </row>
    <row r="1292" spans="4:7">
      <c r="D1292" s="8"/>
      <c r="E1292" t="str">
        <f t="shared" si="40"/>
        <v/>
      </c>
      <c r="F1292" t="str">
        <f t="shared" si="41"/>
        <v/>
      </c>
      <c r="G1292" t="str">
        <f>IF(E1292="","",IF(COUNTIF('DATA QCEW'!$A$2:$A$20,E1292)&gt;0,"19-SECTOR","DETAIL / OTHER"))</f>
        <v/>
      </c>
    </row>
    <row r="1293" spans="4:7">
      <c r="D1293" s="8"/>
      <c r="E1293" t="str">
        <f t="shared" si="40"/>
        <v/>
      </c>
      <c r="F1293" t="str">
        <f t="shared" si="41"/>
        <v/>
      </c>
      <c r="G1293" t="str">
        <f>IF(E1293="","",IF(COUNTIF('DATA QCEW'!$A$2:$A$20,E1293)&gt;0,"19-SECTOR","DETAIL / OTHER"))</f>
        <v/>
      </c>
    </row>
    <row r="1294" spans="4:7">
      <c r="D1294" s="8"/>
      <c r="E1294" t="str">
        <f t="shared" si="40"/>
        <v/>
      </c>
      <c r="F1294" t="str">
        <f t="shared" si="41"/>
        <v/>
      </c>
      <c r="G1294" t="str">
        <f>IF(E1294="","",IF(COUNTIF('DATA QCEW'!$A$2:$A$20,E1294)&gt;0,"19-SECTOR","DETAIL / OTHER"))</f>
        <v/>
      </c>
    </row>
    <row r="1295" spans="4:7">
      <c r="D1295" s="8"/>
      <c r="E1295" t="str">
        <f t="shared" si="40"/>
        <v/>
      </c>
      <c r="F1295" t="str">
        <f t="shared" si="41"/>
        <v/>
      </c>
      <c r="G1295" t="str">
        <f>IF(E1295="","",IF(COUNTIF('DATA QCEW'!$A$2:$A$20,E1295)&gt;0,"19-SECTOR","DETAIL / OTHER"))</f>
        <v/>
      </c>
    </row>
    <row r="1296" spans="4:7">
      <c r="D1296" s="8"/>
      <c r="E1296" t="str">
        <f t="shared" si="40"/>
        <v/>
      </c>
      <c r="F1296" t="str">
        <f t="shared" si="41"/>
        <v/>
      </c>
      <c r="G1296" t="str">
        <f>IF(E1296="","",IF(COUNTIF('DATA QCEW'!$A$2:$A$20,E1296)&gt;0,"19-SECTOR","DETAIL / OTHER"))</f>
        <v/>
      </c>
    </row>
    <row r="1297" spans="4:7">
      <c r="D1297" s="8"/>
      <c r="E1297" t="str">
        <f t="shared" si="40"/>
        <v/>
      </c>
      <c r="F1297" t="str">
        <f t="shared" si="41"/>
        <v/>
      </c>
      <c r="G1297" t="str">
        <f>IF(E1297="","",IF(COUNTIF('DATA QCEW'!$A$2:$A$20,E1297)&gt;0,"19-SECTOR","DETAIL / OTHER"))</f>
        <v/>
      </c>
    </row>
    <row r="1298" spans="4:7">
      <c r="D1298" s="8"/>
      <c r="E1298" t="str">
        <f t="shared" si="40"/>
        <v/>
      </c>
      <c r="F1298" t="str">
        <f t="shared" si="41"/>
        <v/>
      </c>
      <c r="G1298" t="str">
        <f>IF(E1298="","",IF(COUNTIF('DATA QCEW'!$A$2:$A$20,E1298)&gt;0,"19-SECTOR","DETAIL / OTHER"))</f>
        <v/>
      </c>
    </row>
    <row r="1299" spans="4:7">
      <c r="D1299" s="8"/>
      <c r="E1299" t="str">
        <f t="shared" si="40"/>
        <v/>
      </c>
      <c r="F1299" t="str">
        <f t="shared" si="41"/>
        <v/>
      </c>
      <c r="G1299" t="str">
        <f>IF(E1299="","",IF(COUNTIF('DATA QCEW'!$A$2:$A$20,E1299)&gt;0,"19-SECTOR","DETAIL / OTHER"))</f>
        <v/>
      </c>
    </row>
    <row r="1300" spans="4:7">
      <c r="D1300" s="8"/>
      <c r="E1300" t="str">
        <f t="shared" si="40"/>
        <v/>
      </c>
      <c r="F1300" t="str">
        <f t="shared" si="41"/>
        <v/>
      </c>
      <c r="G1300" t="str">
        <f>IF(E1300="","",IF(COUNTIF('DATA QCEW'!$A$2:$A$20,E1300)&gt;0,"19-SECTOR","DETAIL / OTHER"))</f>
        <v/>
      </c>
    </row>
    <row r="1301" spans="4:7">
      <c r="D1301" s="8"/>
      <c r="E1301" t="str">
        <f t="shared" si="40"/>
        <v/>
      </c>
      <c r="F1301" t="str">
        <f t="shared" si="41"/>
        <v/>
      </c>
      <c r="G1301" t="str">
        <f>IF(E1301="","",IF(COUNTIF('DATA QCEW'!$A$2:$A$20,E1301)&gt;0,"19-SECTOR","DETAIL / OTHER"))</f>
        <v/>
      </c>
    </row>
    <row r="1302" spans="4:7">
      <c r="D1302" s="8"/>
      <c r="E1302" t="str">
        <f t="shared" si="40"/>
        <v/>
      </c>
      <c r="F1302" t="str">
        <f t="shared" si="41"/>
        <v/>
      </c>
      <c r="G1302" t="str">
        <f>IF(E1302="","",IF(COUNTIF('DATA QCEW'!$A$2:$A$20,E1302)&gt;0,"19-SECTOR","DETAIL / OTHER"))</f>
        <v/>
      </c>
    </row>
    <row r="1303" spans="4:7">
      <c r="D1303" s="8"/>
      <c r="E1303" t="str">
        <f t="shared" si="40"/>
        <v/>
      </c>
      <c r="F1303" t="str">
        <f t="shared" si="41"/>
        <v/>
      </c>
      <c r="G1303" t="str">
        <f>IF(E1303="","",IF(COUNTIF('DATA QCEW'!$A$2:$A$20,E1303)&gt;0,"19-SECTOR","DETAIL / OTHER"))</f>
        <v/>
      </c>
    </row>
    <row r="1304" spans="4:7">
      <c r="D1304" s="8"/>
      <c r="E1304" t="str">
        <f t="shared" si="40"/>
        <v/>
      </c>
      <c r="F1304" t="str">
        <f t="shared" si="41"/>
        <v/>
      </c>
      <c r="G1304" t="str">
        <f>IF(E1304="","",IF(COUNTIF('DATA QCEW'!$A$2:$A$20,E1304)&gt;0,"19-SECTOR","DETAIL / OTHER"))</f>
        <v/>
      </c>
    </row>
    <row r="1305" spans="4:7">
      <c r="D1305" s="8"/>
      <c r="E1305" t="str">
        <f t="shared" si="40"/>
        <v/>
      </c>
      <c r="F1305" t="str">
        <f t="shared" si="41"/>
        <v/>
      </c>
      <c r="G1305" t="str">
        <f>IF(E1305="","",IF(COUNTIF('DATA QCEW'!$A$2:$A$20,E1305)&gt;0,"19-SECTOR","DETAIL / OTHER"))</f>
        <v/>
      </c>
    </row>
    <row r="1306" spans="4:7">
      <c r="D1306" s="8"/>
      <c r="E1306" t="str">
        <f t="shared" si="40"/>
        <v/>
      </c>
      <c r="F1306" t="str">
        <f t="shared" si="41"/>
        <v/>
      </c>
      <c r="G1306" t="str">
        <f>IF(E1306="","",IF(COUNTIF('DATA QCEW'!$A$2:$A$20,E1306)&gt;0,"19-SECTOR","DETAIL / OTHER"))</f>
        <v/>
      </c>
    </row>
    <row r="1307" spans="4:7">
      <c r="D1307" s="8"/>
      <c r="E1307" t="str">
        <f t="shared" si="40"/>
        <v/>
      </c>
      <c r="F1307" t="str">
        <f t="shared" si="41"/>
        <v/>
      </c>
      <c r="G1307" t="str">
        <f>IF(E1307="","",IF(COUNTIF('DATA QCEW'!$A$2:$A$20,E1307)&gt;0,"19-SECTOR","DETAIL / OTHER"))</f>
        <v/>
      </c>
    </row>
    <row r="1308" spans="4:7">
      <c r="D1308" s="8"/>
      <c r="E1308" t="str">
        <f t="shared" si="40"/>
        <v/>
      </c>
      <c r="F1308" t="str">
        <f t="shared" si="41"/>
        <v/>
      </c>
      <c r="G1308" t="str">
        <f>IF(E1308="","",IF(COUNTIF('DATA QCEW'!$A$2:$A$20,E1308)&gt;0,"19-SECTOR","DETAIL / OTHER"))</f>
        <v/>
      </c>
    </row>
    <row r="1309" spans="4:7">
      <c r="D1309" s="8"/>
      <c r="E1309" t="str">
        <f t="shared" si="40"/>
        <v/>
      </c>
      <c r="F1309" t="str">
        <f t="shared" si="41"/>
        <v/>
      </c>
      <c r="G1309" t="str">
        <f>IF(E1309="","",IF(COUNTIF('DATA QCEW'!$A$2:$A$20,E1309)&gt;0,"19-SECTOR","DETAIL / OTHER"))</f>
        <v/>
      </c>
    </row>
    <row r="1310" spans="4:7">
      <c r="D1310" s="8"/>
      <c r="E1310" t="str">
        <f t="shared" si="40"/>
        <v/>
      </c>
      <c r="F1310" t="str">
        <f t="shared" si="41"/>
        <v/>
      </c>
      <c r="G1310" t="str">
        <f>IF(E1310="","",IF(COUNTIF('DATA QCEW'!$A$2:$A$20,E1310)&gt;0,"19-SECTOR","DETAIL / OTHER"))</f>
        <v/>
      </c>
    </row>
    <row r="1311" spans="4:7">
      <c r="D1311" s="8"/>
      <c r="E1311" t="str">
        <f t="shared" si="40"/>
        <v/>
      </c>
      <c r="F1311" t="str">
        <f t="shared" si="41"/>
        <v/>
      </c>
      <c r="G1311" t="str">
        <f>IF(E1311="","",IF(COUNTIF('DATA QCEW'!$A$2:$A$20,E1311)&gt;0,"19-SECTOR","DETAIL / OTHER"))</f>
        <v/>
      </c>
    </row>
    <row r="1312" spans="4:7">
      <c r="D1312" s="8"/>
      <c r="E1312" t="str">
        <f t="shared" si="40"/>
        <v/>
      </c>
      <c r="F1312" t="str">
        <f t="shared" si="41"/>
        <v/>
      </c>
      <c r="G1312" t="str">
        <f>IF(E1312="","",IF(COUNTIF('DATA QCEW'!$A$2:$A$20,E1312)&gt;0,"19-SECTOR","DETAIL / OTHER"))</f>
        <v/>
      </c>
    </row>
    <row r="1313" spans="4:7">
      <c r="D1313" s="8"/>
      <c r="E1313" t="str">
        <f t="shared" si="40"/>
        <v/>
      </c>
      <c r="F1313" t="str">
        <f t="shared" si="41"/>
        <v/>
      </c>
      <c r="G1313" t="str">
        <f>IF(E1313="","",IF(COUNTIF('DATA QCEW'!$A$2:$A$20,E1313)&gt;0,"19-SECTOR","DETAIL / OTHER"))</f>
        <v/>
      </c>
    </row>
    <row r="1314" spans="4:7">
      <c r="D1314" s="8"/>
      <c r="E1314" t="str">
        <f t="shared" si="40"/>
        <v/>
      </c>
      <c r="F1314" t="str">
        <f t="shared" si="41"/>
        <v/>
      </c>
      <c r="G1314" t="str">
        <f>IF(E1314="","",IF(COUNTIF('DATA QCEW'!$A$2:$A$20,E1314)&gt;0,"19-SECTOR","DETAIL / OTHER"))</f>
        <v/>
      </c>
    </row>
    <row r="1315" spans="4:7">
      <c r="D1315" s="8"/>
      <c r="E1315" t="str">
        <f t="shared" si="40"/>
        <v/>
      </c>
      <c r="F1315" t="str">
        <f t="shared" si="41"/>
        <v/>
      </c>
      <c r="G1315" t="str">
        <f>IF(E1315="","",IF(COUNTIF('DATA QCEW'!$A$2:$A$20,E1315)&gt;0,"19-SECTOR","DETAIL / OTHER"))</f>
        <v/>
      </c>
    </row>
    <row r="1316" spans="4:7">
      <c r="D1316" s="8"/>
      <c r="E1316" t="str">
        <f t="shared" si="40"/>
        <v/>
      </c>
      <c r="F1316" t="str">
        <f t="shared" si="41"/>
        <v/>
      </c>
      <c r="G1316" t="str">
        <f>IF(E1316="","",IF(COUNTIF('DATA QCEW'!$A$2:$A$20,E1316)&gt;0,"19-SECTOR","DETAIL / OTHER"))</f>
        <v/>
      </c>
    </row>
    <row r="1317" spans="4:7">
      <c r="D1317" s="8"/>
      <c r="E1317" t="str">
        <f t="shared" si="40"/>
        <v/>
      </c>
      <c r="F1317" t="str">
        <f t="shared" si="41"/>
        <v/>
      </c>
      <c r="G1317" t="str">
        <f>IF(E1317="","",IF(COUNTIF('DATA QCEW'!$A$2:$A$20,E1317)&gt;0,"19-SECTOR","DETAIL / OTHER"))</f>
        <v/>
      </c>
    </row>
    <row r="1318" spans="4:7">
      <c r="D1318" s="8"/>
      <c r="E1318" t="str">
        <f t="shared" si="40"/>
        <v/>
      </c>
      <c r="F1318" t="str">
        <f t="shared" si="41"/>
        <v/>
      </c>
      <c r="G1318" t="str">
        <f>IF(E1318="","",IF(COUNTIF('DATA QCEW'!$A$2:$A$20,E1318)&gt;0,"19-SECTOR","DETAIL / OTHER"))</f>
        <v/>
      </c>
    </row>
    <row r="1319" spans="4:7">
      <c r="D1319" s="8"/>
      <c r="E1319" t="str">
        <f t="shared" si="40"/>
        <v/>
      </c>
      <c r="F1319" t="str">
        <f t="shared" si="41"/>
        <v/>
      </c>
      <c r="G1319" t="str">
        <f>IF(E1319="","",IF(COUNTIF('DATA QCEW'!$A$2:$A$20,E1319)&gt;0,"19-SECTOR","DETAIL / OTHER"))</f>
        <v/>
      </c>
    </row>
    <row r="1320" spans="4:7">
      <c r="D1320" s="8"/>
      <c r="E1320" t="str">
        <f t="shared" si="40"/>
        <v/>
      </c>
      <c r="F1320" t="str">
        <f t="shared" si="41"/>
        <v/>
      </c>
      <c r="G1320" t="str">
        <f>IF(E1320="","",IF(COUNTIF('DATA QCEW'!$A$2:$A$20,E1320)&gt;0,"19-SECTOR","DETAIL / OTHER"))</f>
        <v/>
      </c>
    </row>
    <row r="1321" spans="4:7">
      <c r="D1321" s="8"/>
      <c r="E1321" t="str">
        <f t="shared" si="40"/>
        <v/>
      </c>
      <c r="F1321" t="str">
        <f t="shared" si="41"/>
        <v/>
      </c>
      <c r="G1321" t="str">
        <f>IF(E1321="","",IF(COUNTIF('DATA QCEW'!$A$2:$A$20,E1321)&gt;0,"19-SECTOR","DETAIL / OTHER"))</f>
        <v/>
      </c>
    </row>
    <row r="1322" spans="4:7">
      <c r="D1322" s="8"/>
      <c r="E1322" t="str">
        <f t="shared" si="40"/>
        <v/>
      </c>
      <c r="F1322" t="str">
        <f t="shared" si="41"/>
        <v/>
      </c>
      <c r="G1322" t="str">
        <f>IF(E1322="","",IF(COUNTIF('DATA QCEW'!$A$2:$A$20,E1322)&gt;0,"19-SECTOR","DETAIL / OTHER"))</f>
        <v/>
      </c>
    </row>
    <row r="1323" spans="4:7">
      <c r="D1323" s="8"/>
      <c r="E1323" t="str">
        <f t="shared" si="40"/>
        <v/>
      </c>
      <c r="F1323" t="str">
        <f t="shared" si="41"/>
        <v/>
      </c>
      <c r="G1323" t="str">
        <f>IF(E1323="","",IF(COUNTIF('DATA QCEW'!$A$2:$A$20,E1323)&gt;0,"19-SECTOR","DETAIL / OTHER"))</f>
        <v/>
      </c>
    </row>
    <row r="1324" spans="4:7">
      <c r="D1324" s="8"/>
      <c r="E1324" t="str">
        <f t="shared" si="40"/>
        <v/>
      </c>
      <c r="F1324" t="str">
        <f t="shared" si="41"/>
        <v/>
      </c>
      <c r="G1324" t="str">
        <f>IF(E1324="","",IF(COUNTIF('DATA QCEW'!$A$2:$A$20,E1324)&gt;0,"19-SECTOR","DETAIL / OTHER"))</f>
        <v/>
      </c>
    </row>
    <row r="1325" spans="4:7">
      <c r="D1325" s="8"/>
      <c r="E1325" t="str">
        <f t="shared" si="40"/>
        <v/>
      </c>
      <c r="F1325" t="str">
        <f t="shared" si="41"/>
        <v/>
      </c>
      <c r="G1325" t="str">
        <f>IF(E1325="","",IF(COUNTIF('DATA QCEW'!$A$2:$A$20,E1325)&gt;0,"19-SECTOR","DETAIL / OTHER"))</f>
        <v/>
      </c>
    </row>
    <row r="1326" spans="4:7">
      <c r="D1326" s="8"/>
      <c r="E1326" t="str">
        <f t="shared" si="40"/>
        <v/>
      </c>
      <c r="F1326" t="str">
        <f t="shared" si="41"/>
        <v/>
      </c>
      <c r="G1326" t="str">
        <f>IF(E1326="","",IF(COUNTIF('DATA QCEW'!$A$2:$A$20,E1326)&gt;0,"19-SECTOR","DETAIL / OTHER"))</f>
        <v/>
      </c>
    </row>
    <row r="1327" spans="4:7">
      <c r="D1327" s="8"/>
      <c r="E1327" t="str">
        <f t="shared" si="40"/>
        <v/>
      </c>
      <c r="F1327" t="str">
        <f t="shared" si="41"/>
        <v/>
      </c>
      <c r="G1327" t="str">
        <f>IF(E1327="","",IF(COUNTIF('DATA QCEW'!$A$2:$A$20,E1327)&gt;0,"19-SECTOR","DETAIL / OTHER"))</f>
        <v/>
      </c>
    </row>
    <row r="1328" spans="4:7">
      <c r="D1328" s="8"/>
      <c r="E1328" t="str">
        <f t="shared" si="40"/>
        <v/>
      </c>
      <c r="F1328" t="str">
        <f t="shared" si="41"/>
        <v/>
      </c>
      <c r="G1328" t="str">
        <f>IF(E1328="","",IF(COUNTIF('DATA QCEW'!$A$2:$A$20,E1328)&gt;0,"19-SECTOR","DETAIL / OTHER"))</f>
        <v/>
      </c>
    </row>
    <row r="1329" spans="4:7">
      <c r="D1329" s="8"/>
      <c r="E1329" t="str">
        <f t="shared" si="40"/>
        <v/>
      </c>
      <c r="F1329" t="str">
        <f t="shared" si="41"/>
        <v/>
      </c>
      <c r="G1329" t="str">
        <f>IF(E1329="","",IF(COUNTIF('DATA QCEW'!$A$2:$A$20,E1329)&gt;0,"19-SECTOR","DETAIL / OTHER"))</f>
        <v/>
      </c>
    </row>
    <row r="1330" spans="4:7">
      <c r="D1330" s="8"/>
      <c r="E1330" t="str">
        <f t="shared" si="40"/>
        <v/>
      </c>
      <c r="F1330" t="str">
        <f t="shared" si="41"/>
        <v/>
      </c>
      <c r="G1330" t="str">
        <f>IF(E1330="","",IF(COUNTIF('DATA QCEW'!$A$2:$A$20,E1330)&gt;0,"19-SECTOR","DETAIL / OTHER"))</f>
        <v/>
      </c>
    </row>
    <row r="1331" spans="4:7">
      <c r="D1331" s="8"/>
      <c r="E1331" t="str">
        <f t="shared" si="40"/>
        <v/>
      </c>
      <c r="F1331" t="str">
        <f t="shared" si="41"/>
        <v/>
      </c>
      <c r="G1331" t="str">
        <f>IF(E1331="","",IF(COUNTIF('DATA QCEW'!$A$2:$A$20,E1331)&gt;0,"19-SECTOR","DETAIL / OTHER"))</f>
        <v/>
      </c>
    </row>
    <row r="1332" spans="4:7">
      <c r="D1332" s="8"/>
      <c r="E1332" t="str">
        <f t="shared" si="40"/>
        <v/>
      </c>
      <c r="F1332" t="str">
        <f t="shared" si="41"/>
        <v/>
      </c>
      <c r="G1332" t="str">
        <f>IF(E1332="","",IF(COUNTIF('DATA QCEW'!$A$2:$A$20,E1332)&gt;0,"19-SECTOR","DETAIL / OTHER"))</f>
        <v/>
      </c>
    </row>
    <row r="1333" spans="4:7">
      <c r="D1333" s="8"/>
      <c r="E1333" t="str">
        <f t="shared" si="40"/>
        <v/>
      </c>
      <c r="F1333" t="str">
        <f t="shared" si="41"/>
        <v/>
      </c>
      <c r="G1333" t="str">
        <f>IF(E1333="","",IF(COUNTIF('DATA QCEW'!$A$2:$A$20,E1333)&gt;0,"19-SECTOR","DETAIL / OTHER"))</f>
        <v/>
      </c>
    </row>
    <row r="1334" spans="4:7">
      <c r="D1334" s="8"/>
      <c r="E1334" t="str">
        <f t="shared" si="40"/>
        <v/>
      </c>
      <c r="F1334" t="str">
        <f t="shared" si="41"/>
        <v/>
      </c>
      <c r="G1334" t="str">
        <f>IF(E1334="","",IF(COUNTIF('DATA QCEW'!$A$2:$A$20,E1334)&gt;0,"19-SECTOR","DETAIL / OTHER"))</f>
        <v/>
      </c>
    </row>
    <row r="1335" spans="4:7">
      <c r="D1335" s="8"/>
      <c r="E1335" t="str">
        <f t="shared" si="40"/>
        <v/>
      </c>
      <c r="F1335" t="str">
        <f t="shared" si="41"/>
        <v/>
      </c>
      <c r="G1335" t="str">
        <f>IF(E1335="","",IF(COUNTIF('DATA QCEW'!$A$2:$A$20,E1335)&gt;0,"19-SECTOR","DETAIL / OTHER"))</f>
        <v/>
      </c>
    </row>
    <row r="1336" spans="4:7">
      <c r="D1336" s="8"/>
      <c r="E1336" t="str">
        <f t="shared" si="40"/>
        <v/>
      </c>
      <c r="F1336" t="str">
        <f t="shared" si="41"/>
        <v/>
      </c>
      <c r="G1336" t="str">
        <f>IF(E1336="","",IF(COUNTIF('DATA QCEW'!$A$2:$A$20,E1336)&gt;0,"19-SECTOR","DETAIL / OTHER"))</f>
        <v/>
      </c>
    </row>
    <row r="1337" spans="4:7">
      <c r="D1337" s="8"/>
      <c r="E1337" t="str">
        <f t="shared" si="40"/>
        <v/>
      </c>
      <c r="F1337" t="str">
        <f t="shared" si="41"/>
        <v/>
      </c>
      <c r="G1337" t="str">
        <f>IF(E1337="","",IF(COUNTIF('DATA QCEW'!$A$2:$A$20,E1337)&gt;0,"19-SECTOR","DETAIL / OTHER"))</f>
        <v/>
      </c>
    </row>
    <row r="1338" spans="4:7">
      <c r="D1338" s="8"/>
      <c r="E1338" t="str">
        <f t="shared" si="40"/>
        <v/>
      </c>
      <c r="F1338" t="str">
        <f t="shared" si="41"/>
        <v/>
      </c>
      <c r="G1338" t="str">
        <f>IF(E1338="","",IF(COUNTIF('DATA QCEW'!$A$2:$A$20,E1338)&gt;0,"19-SECTOR","DETAIL / OTHER"))</f>
        <v/>
      </c>
    </row>
    <row r="1339" spans="4:7">
      <c r="D1339" s="8"/>
      <c r="E1339" t="str">
        <f t="shared" si="40"/>
        <v/>
      </c>
      <c r="F1339" t="str">
        <f t="shared" si="41"/>
        <v/>
      </c>
      <c r="G1339" t="str">
        <f>IF(E1339="","",IF(COUNTIF('DATA QCEW'!$A$2:$A$20,E1339)&gt;0,"19-SECTOR","DETAIL / OTHER"))</f>
        <v/>
      </c>
    </row>
    <row r="1340" spans="4:7">
      <c r="D1340" s="8"/>
      <c r="E1340" t="str">
        <f t="shared" si="40"/>
        <v/>
      </c>
      <c r="F1340" t="str">
        <f t="shared" si="41"/>
        <v/>
      </c>
      <c r="G1340" t="str">
        <f>IF(E1340="","",IF(COUNTIF('DATA QCEW'!$A$2:$A$20,E1340)&gt;0,"19-SECTOR","DETAIL / OTHER"))</f>
        <v/>
      </c>
    </row>
    <row r="1341" spans="4:7">
      <c r="D1341" s="8"/>
      <c r="E1341" t="str">
        <f t="shared" si="40"/>
        <v/>
      </c>
      <c r="F1341" t="str">
        <f t="shared" si="41"/>
        <v/>
      </c>
      <c r="G1341" t="str">
        <f>IF(E1341="","",IF(COUNTIF('DATA QCEW'!$A$2:$A$20,E1341)&gt;0,"19-SECTOR","DETAIL / OTHER"))</f>
        <v/>
      </c>
    </row>
    <row r="1342" spans="4:7">
      <c r="D1342" s="8"/>
      <c r="E1342" t="str">
        <f t="shared" si="40"/>
        <v/>
      </c>
      <c r="F1342" t="str">
        <f t="shared" si="41"/>
        <v/>
      </c>
      <c r="G1342" t="str">
        <f>IF(E1342="","",IF(COUNTIF('DATA QCEW'!$A$2:$A$20,E1342)&gt;0,"19-SECTOR","DETAIL / OTHER"))</f>
        <v/>
      </c>
    </row>
    <row r="1343" spans="4:7">
      <c r="D1343" s="8"/>
      <c r="E1343" t="str">
        <f t="shared" si="40"/>
        <v/>
      </c>
      <c r="F1343" t="str">
        <f t="shared" si="41"/>
        <v/>
      </c>
      <c r="G1343" t="str">
        <f>IF(E1343="","",IF(COUNTIF('DATA QCEW'!$A$2:$A$20,E1343)&gt;0,"19-SECTOR","DETAIL / OTHER"))</f>
        <v/>
      </c>
    </row>
    <row r="1344" spans="4:7">
      <c r="D1344" s="8"/>
      <c r="E1344" t="str">
        <f t="shared" si="40"/>
        <v/>
      </c>
      <c r="F1344" t="str">
        <f t="shared" si="41"/>
        <v/>
      </c>
      <c r="G1344" t="str">
        <f>IF(E1344="","",IF(COUNTIF('DATA QCEW'!$A$2:$A$20,E1344)&gt;0,"19-SECTOR","DETAIL / OTHER"))</f>
        <v/>
      </c>
    </row>
    <row r="1345" spans="4:7">
      <c r="D1345" s="8"/>
      <c r="E1345" t="str">
        <f t="shared" si="40"/>
        <v/>
      </c>
      <c r="F1345" t="str">
        <f t="shared" si="41"/>
        <v/>
      </c>
      <c r="G1345" t="str">
        <f>IF(E1345="","",IF(COUNTIF('DATA QCEW'!$A$2:$A$20,E1345)&gt;0,"19-SECTOR","DETAIL / OTHER"))</f>
        <v/>
      </c>
    </row>
    <row r="1346" spans="4:7">
      <c r="D1346" s="8"/>
      <c r="E1346" t="str">
        <f t="shared" ref="E1346:E1409" si="42">IF(LEFT(TRIM(A1346),6)="NAICS ",IFERROR(MID(TRIM(A1346),7,FIND(" ",TRIM(A1346)&amp;" ",7)-7),""),"")</f>
        <v/>
      </c>
      <c r="F1346" t="str">
        <f t="shared" ref="F1346:F1409" si="43">IF(E1346="","",TRIM(MID(TRIM(A1346),FIND(" ",TRIM(A1346)&amp;" ",7)+1,255)))</f>
        <v/>
      </c>
      <c r="G1346" t="str">
        <f>IF(E1346="","",IF(COUNTIF('DATA QCEW'!$A$2:$A$20,E1346)&gt;0,"19-SECTOR","DETAIL / OTHER"))</f>
        <v/>
      </c>
    </row>
    <row r="1347" spans="4:7">
      <c r="D1347" s="8"/>
      <c r="E1347" t="str">
        <f t="shared" si="42"/>
        <v/>
      </c>
      <c r="F1347" t="str">
        <f t="shared" si="43"/>
        <v/>
      </c>
      <c r="G1347" t="str">
        <f>IF(E1347="","",IF(COUNTIF('DATA QCEW'!$A$2:$A$20,E1347)&gt;0,"19-SECTOR","DETAIL / OTHER"))</f>
        <v/>
      </c>
    </row>
    <row r="1348" spans="4:7">
      <c r="D1348" s="8"/>
      <c r="E1348" t="str">
        <f t="shared" si="42"/>
        <v/>
      </c>
      <c r="F1348" t="str">
        <f t="shared" si="43"/>
        <v/>
      </c>
      <c r="G1348" t="str">
        <f>IF(E1348="","",IF(COUNTIF('DATA QCEW'!$A$2:$A$20,E1348)&gt;0,"19-SECTOR","DETAIL / OTHER"))</f>
        <v/>
      </c>
    </row>
    <row r="1349" spans="4:7">
      <c r="D1349" s="8"/>
      <c r="E1349" t="str">
        <f t="shared" si="42"/>
        <v/>
      </c>
      <c r="F1349" t="str">
        <f t="shared" si="43"/>
        <v/>
      </c>
      <c r="G1349" t="str">
        <f>IF(E1349="","",IF(COUNTIF('DATA QCEW'!$A$2:$A$20,E1349)&gt;0,"19-SECTOR","DETAIL / OTHER"))</f>
        <v/>
      </c>
    </row>
    <row r="1350" spans="4:7">
      <c r="D1350" s="8"/>
      <c r="E1350" t="str">
        <f t="shared" si="42"/>
        <v/>
      </c>
      <c r="F1350" t="str">
        <f t="shared" si="43"/>
        <v/>
      </c>
      <c r="G1350" t="str">
        <f>IF(E1350="","",IF(COUNTIF('DATA QCEW'!$A$2:$A$20,E1350)&gt;0,"19-SECTOR","DETAIL / OTHER"))</f>
        <v/>
      </c>
    </row>
    <row r="1351" spans="4:7">
      <c r="D1351" s="8"/>
      <c r="E1351" t="str">
        <f t="shared" si="42"/>
        <v/>
      </c>
      <c r="F1351" t="str">
        <f t="shared" si="43"/>
        <v/>
      </c>
      <c r="G1351" t="str">
        <f>IF(E1351="","",IF(COUNTIF('DATA QCEW'!$A$2:$A$20,E1351)&gt;0,"19-SECTOR","DETAIL / OTHER"))</f>
        <v/>
      </c>
    </row>
    <row r="1352" spans="4:7">
      <c r="D1352" s="8"/>
      <c r="E1352" t="str">
        <f t="shared" si="42"/>
        <v/>
      </c>
      <c r="F1352" t="str">
        <f t="shared" si="43"/>
        <v/>
      </c>
      <c r="G1352" t="str">
        <f>IF(E1352="","",IF(COUNTIF('DATA QCEW'!$A$2:$A$20,E1352)&gt;0,"19-SECTOR","DETAIL / OTHER"))</f>
        <v/>
      </c>
    </row>
    <row r="1353" spans="4:7">
      <c r="D1353" s="8"/>
      <c r="E1353" t="str">
        <f t="shared" si="42"/>
        <v/>
      </c>
      <c r="F1353" t="str">
        <f t="shared" si="43"/>
        <v/>
      </c>
      <c r="G1353" t="str">
        <f>IF(E1353="","",IF(COUNTIF('DATA QCEW'!$A$2:$A$20,E1353)&gt;0,"19-SECTOR","DETAIL / OTHER"))</f>
        <v/>
      </c>
    </row>
    <row r="1354" spans="4:7">
      <c r="D1354" s="8"/>
      <c r="E1354" t="str">
        <f t="shared" si="42"/>
        <v/>
      </c>
      <c r="F1354" t="str">
        <f t="shared" si="43"/>
        <v/>
      </c>
      <c r="G1354" t="str">
        <f>IF(E1354="","",IF(COUNTIF('DATA QCEW'!$A$2:$A$20,E1354)&gt;0,"19-SECTOR","DETAIL / OTHER"))</f>
        <v/>
      </c>
    </row>
    <row r="1355" spans="4:7">
      <c r="D1355" s="8"/>
      <c r="E1355" t="str">
        <f t="shared" si="42"/>
        <v/>
      </c>
      <c r="F1355" t="str">
        <f t="shared" si="43"/>
        <v/>
      </c>
      <c r="G1355" t="str">
        <f>IF(E1355="","",IF(COUNTIF('DATA QCEW'!$A$2:$A$20,E1355)&gt;0,"19-SECTOR","DETAIL / OTHER"))</f>
        <v/>
      </c>
    </row>
    <row r="1356" spans="4:7">
      <c r="D1356" s="8"/>
      <c r="E1356" t="str">
        <f t="shared" si="42"/>
        <v/>
      </c>
      <c r="F1356" t="str">
        <f t="shared" si="43"/>
        <v/>
      </c>
      <c r="G1356" t="str">
        <f>IF(E1356="","",IF(COUNTIF('DATA QCEW'!$A$2:$A$20,E1356)&gt;0,"19-SECTOR","DETAIL / OTHER"))</f>
        <v/>
      </c>
    </row>
    <row r="1357" spans="4:7">
      <c r="D1357" s="8"/>
      <c r="E1357" t="str">
        <f t="shared" si="42"/>
        <v/>
      </c>
      <c r="F1357" t="str">
        <f t="shared" si="43"/>
        <v/>
      </c>
      <c r="G1357" t="str">
        <f>IF(E1357="","",IF(COUNTIF('DATA QCEW'!$A$2:$A$20,E1357)&gt;0,"19-SECTOR","DETAIL / OTHER"))</f>
        <v/>
      </c>
    </row>
    <row r="1358" spans="4:7">
      <c r="D1358" s="8"/>
      <c r="E1358" t="str">
        <f t="shared" si="42"/>
        <v/>
      </c>
      <c r="F1358" t="str">
        <f t="shared" si="43"/>
        <v/>
      </c>
      <c r="G1358" t="str">
        <f>IF(E1358="","",IF(COUNTIF('DATA QCEW'!$A$2:$A$20,E1358)&gt;0,"19-SECTOR","DETAIL / OTHER"))</f>
        <v/>
      </c>
    </row>
    <row r="1359" spans="4:7">
      <c r="D1359" s="8"/>
      <c r="E1359" t="str">
        <f t="shared" si="42"/>
        <v/>
      </c>
      <c r="F1359" t="str">
        <f t="shared" si="43"/>
        <v/>
      </c>
      <c r="G1359" t="str">
        <f>IF(E1359="","",IF(COUNTIF('DATA QCEW'!$A$2:$A$20,E1359)&gt;0,"19-SECTOR","DETAIL / OTHER"))</f>
        <v/>
      </c>
    </row>
    <row r="1360" spans="4:7">
      <c r="D1360" s="8"/>
      <c r="E1360" t="str">
        <f t="shared" si="42"/>
        <v/>
      </c>
      <c r="F1360" t="str">
        <f t="shared" si="43"/>
        <v/>
      </c>
      <c r="G1360" t="str">
        <f>IF(E1360="","",IF(COUNTIF('DATA QCEW'!$A$2:$A$20,E1360)&gt;0,"19-SECTOR","DETAIL / OTHER"))</f>
        <v/>
      </c>
    </row>
    <row r="1361" spans="4:7">
      <c r="D1361" s="8"/>
      <c r="E1361" t="str">
        <f t="shared" si="42"/>
        <v/>
      </c>
      <c r="F1361" t="str">
        <f t="shared" si="43"/>
        <v/>
      </c>
      <c r="G1361" t="str">
        <f>IF(E1361="","",IF(COUNTIF('DATA QCEW'!$A$2:$A$20,E1361)&gt;0,"19-SECTOR","DETAIL / OTHER"))</f>
        <v/>
      </c>
    </row>
    <row r="1362" spans="4:7">
      <c r="D1362" s="8"/>
      <c r="E1362" t="str">
        <f t="shared" si="42"/>
        <v/>
      </c>
      <c r="F1362" t="str">
        <f t="shared" si="43"/>
        <v/>
      </c>
      <c r="G1362" t="str">
        <f>IF(E1362="","",IF(COUNTIF('DATA QCEW'!$A$2:$A$20,E1362)&gt;0,"19-SECTOR","DETAIL / OTHER"))</f>
        <v/>
      </c>
    </row>
    <row r="1363" spans="4:7">
      <c r="D1363" s="8"/>
      <c r="E1363" t="str">
        <f t="shared" si="42"/>
        <v/>
      </c>
      <c r="F1363" t="str">
        <f t="shared" si="43"/>
        <v/>
      </c>
      <c r="G1363" t="str">
        <f>IF(E1363="","",IF(COUNTIF('DATA QCEW'!$A$2:$A$20,E1363)&gt;0,"19-SECTOR","DETAIL / OTHER"))</f>
        <v/>
      </c>
    </row>
    <row r="1364" spans="4:7">
      <c r="D1364" s="8"/>
      <c r="E1364" t="str">
        <f t="shared" si="42"/>
        <v/>
      </c>
      <c r="F1364" t="str">
        <f t="shared" si="43"/>
        <v/>
      </c>
      <c r="G1364" t="str">
        <f>IF(E1364="","",IF(COUNTIF('DATA QCEW'!$A$2:$A$20,E1364)&gt;0,"19-SECTOR","DETAIL / OTHER"))</f>
        <v/>
      </c>
    </row>
    <row r="1365" spans="4:7">
      <c r="D1365" s="8"/>
      <c r="E1365" t="str">
        <f t="shared" si="42"/>
        <v/>
      </c>
      <c r="F1365" t="str">
        <f t="shared" si="43"/>
        <v/>
      </c>
      <c r="G1365" t="str">
        <f>IF(E1365="","",IF(COUNTIF('DATA QCEW'!$A$2:$A$20,E1365)&gt;0,"19-SECTOR","DETAIL / OTHER"))</f>
        <v/>
      </c>
    </row>
    <row r="1366" spans="4:7">
      <c r="D1366" s="8"/>
      <c r="E1366" t="str">
        <f t="shared" si="42"/>
        <v/>
      </c>
      <c r="F1366" t="str">
        <f t="shared" si="43"/>
        <v/>
      </c>
      <c r="G1366" t="str">
        <f>IF(E1366="","",IF(COUNTIF('DATA QCEW'!$A$2:$A$20,E1366)&gt;0,"19-SECTOR","DETAIL / OTHER"))</f>
        <v/>
      </c>
    </row>
    <row r="1367" spans="4:7">
      <c r="D1367" s="8"/>
      <c r="E1367" t="str">
        <f t="shared" si="42"/>
        <v/>
      </c>
      <c r="F1367" t="str">
        <f t="shared" si="43"/>
        <v/>
      </c>
      <c r="G1367" t="str">
        <f>IF(E1367="","",IF(COUNTIF('DATA QCEW'!$A$2:$A$20,E1367)&gt;0,"19-SECTOR","DETAIL / OTHER"))</f>
        <v/>
      </c>
    </row>
    <row r="1368" spans="4:7">
      <c r="D1368" s="8"/>
      <c r="E1368" t="str">
        <f t="shared" si="42"/>
        <v/>
      </c>
      <c r="F1368" t="str">
        <f t="shared" si="43"/>
        <v/>
      </c>
      <c r="G1368" t="str">
        <f>IF(E1368="","",IF(COUNTIF('DATA QCEW'!$A$2:$A$20,E1368)&gt;0,"19-SECTOR","DETAIL / OTHER"))</f>
        <v/>
      </c>
    </row>
    <row r="1369" spans="4:7">
      <c r="D1369" s="8"/>
      <c r="E1369" t="str">
        <f t="shared" si="42"/>
        <v/>
      </c>
      <c r="F1369" t="str">
        <f t="shared" si="43"/>
        <v/>
      </c>
      <c r="G1369" t="str">
        <f>IF(E1369="","",IF(COUNTIF('DATA QCEW'!$A$2:$A$20,E1369)&gt;0,"19-SECTOR","DETAIL / OTHER"))</f>
        <v/>
      </c>
    </row>
    <row r="1370" spans="4:7">
      <c r="D1370" s="8"/>
      <c r="E1370" t="str">
        <f t="shared" si="42"/>
        <v/>
      </c>
      <c r="F1370" t="str">
        <f t="shared" si="43"/>
        <v/>
      </c>
      <c r="G1370" t="str">
        <f>IF(E1370="","",IF(COUNTIF('DATA QCEW'!$A$2:$A$20,E1370)&gt;0,"19-SECTOR","DETAIL / OTHER"))</f>
        <v/>
      </c>
    </row>
    <row r="1371" spans="4:7">
      <c r="D1371" s="8"/>
      <c r="E1371" t="str">
        <f t="shared" si="42"/>
        <v/>
      </c>
      <c r="F1371" t="str">
        <f t="shared" si="43"/>
        <v/>
      </c>
      <c r="G1371" t="str">
        <f>IF(E1371="","",IF(COUNTIF('DATA QCEW'!$A$2:$A$20,E1371)&gt;0,"19-SECTOR","DETAIL / OTHER"))</f>
        <v/>
      </c>
    </row>
    <row r="1372" spans="4:7">
      <c r="D1372" s="8"/>
      <c r="E1372" t="str">
        <f t="shared" si="42"/>
        <v/>
      </c>
      <c r="F1372" t="str">
        <f t="shared" si="43"/>
        <v/>
      </c>
      <c r="G1372" t="str">
        <f>IF(E1372="","",IF(COUNTIF('DATA QCEW'!$A$2:$A$20,E1372)&gt;0,"19-SECTOR","DETAIL / OTHER"))</f>
        <v/>
      </c>
    </row>
    <row r="1373" spans="4:7">
      <c r="D1373" s="8"/>
      <c r="E1373" t="str">
        <f t="shared" si="42"/>
        <v/>
      </c>
      <c r="F1373" t="str">
        <f t="shared" si="43"/>
        <v/>
      </c>
      <c r="G1373" t="str">
        <f>IF(E1373="","",IF(COUNTIF('DATA QCEW'!$A$2:$A$20,E1373)&gt;0,"19-SECTOR","DETAIL / OTHER"))</f>
        <v/>
      </c>
    </row>
    <row r="1374" spans="4:7">
      <c r="D1374" s="8"/>
      <c r="E1374" t="str">
        <f t="shared" si="42"/>
        <v/>
      </c>
      <c r="F1374" t="str">
        <f t="shared" si="43"/>
        <v/>
      </c>
      <c r="G1374" t="str">
        <f>IF(E1374="","",IF(COUNTIF('DATA QCEW'!$A$2:$A$20,E1374)&gt;0,"19-SECTOR","DETAIL / OTHER"))</f>
        <v/>
      </c>
    </row>
    <row r="1375" spans="4:7">
      <c r="D1375" s="8"/>
      <c r="E1375" t="str">
        <f t="shared" si="42"/>
        <v/>
      </c>
      <c r="F1375" t="str">
        <f t="shared" si="43"/>
        <v/>
      </c>
      <c r="G1375" t="str">
        <f>IF(E1375="","",IF(COUNTIF('DATA QCEW'!$A$2:$A$20,E1375)&gt;0,"19-SECTOR","DETAIL / OTHER"))</f>
        <v/>
      </c>
    </row>
    <row r="1376" spans="4:7">
      <c r="D1376" s="8"/>
      <c r="E1376" t="str">
        <f t="shared" si="42"/>
        <v/>
      </c>
      <c r="F1376" t="str">
        <f t="shared" si="43"/>
        <v/>
      </c>
      <c r="G1376" t="str">
        <f>IF(E1376="","",IF(COUNTIF('DATA QCEW'!$A$2:$A$20,E1376)&gt;0,"19-SECTOR","DETAIL / OTHER"))</f>
        <v/>
      </c>
    </row>
    <row r="1377" spans="4:7">
      <c r="D1377" s="8"/>
      <c r="E1377" t="str">
        <f t="shared" si="42"/>
        <v/>
      </c>
      <c r="F1377" t="str">
        <f t="shared" si="43"/>
        <v/>
      </c>
      <c r="G1377" t="str">
        <f>IF(E1377="","",IF(COUNTIF('DATA QCEW'!$A$2:$A$20,E1377)&gt;0,"19-SECTOR","DETAIL / OTHER"))</f>
        <v/>
      </c>
    </row>
    <row r="1378" spans="4:7">
      <c r="D1378" s="8"/>
      <c r="E1378" t="str">
        <f t="shared" si="42"/>
        <v/>
      </c>
      <c r="F1378" t="str">
        <f t="shared" si="43"/>
        <v/>
      </c>
      <c r="G1378" t="str">
        <f>IF(E1378="","",IF(COUNTIF('DATA QCEW'!$A$2:$A$20,E1378)&gt;0,"19-SECTOR","DETAIL / OTHER"))</f>
        <v/>
      </c>
    </row>
    <row r="1379" spans="4:7">
      <c r="D1379" s="8"/>
      <c r="E1379" t="str">
        <f t="shared" si="42"/>
        <v/>
      </c>
      <c r="F1379" t="str">
        <f t="shared" si="43"/>
        <v/>
      </c>
      <c r="G1379" t="str">
        <f>IF(E1379="","",IF(COUNTIF('DATA QCEW'!$A$2:$A$20,E1379)&gt;0,"19-SECTOR","DETAIL / OTHER"))</f>
        <v/>
      </c>
    </row>
    <row r="1380" spans="4:7">
      <c r="D1380" s="8"/>
      <c r="E1380" t="str">
        <f t="shared" si="42"/>
        <v/>
      </c>
      <c r="F1380" t="str">
        <f t="shared" si="43"/>
        <v/>
      </c>
      <c r="G1380" t="str">
        <f>IF(E1380="","",IF(COUNTIF('DATA QCEW'!$A$2:$A$20,E1380)&gt;0,"19-SECTOR","DETAIL / OTHER"))</f>
        <v/>
      </c>
    </row>
    <row r="1381" spans="4:7">
      <c r="D1381" s="8"/>
      <c r="E1381" t="str">
        <f t="shared" si="42"/>
        <v/>
      </c>
      <c r="F1381" t="str">
        <f t="shared" si="43"/>
        <v/>
      </c>
      <c r="G1381" t="str">
        <f>IF(E1381="","",IF(COUNTIF('DATA QCEW'!$A$2:$A$20,E1381)&gt;0,"19-SECTOR","DETAIL / OTHER"))</f>
        <v/>
      </c>
    </row>
    <row r="1382" spans="4:7">
      <c r="D1382" s="8"/>
      <c r="E1382" t="str">
        <f t="shared" si="42"/>
        <v/>
      </c>
      <c r="F1382" t="str">
        <f t="shared" si="43"/>
        <v/>
      </c>
      <c r="G1382" t="str">
        <f>IF(E1382="","",IF(COUNTIF('DATA QCEW'!$A$2:$A$20,E1382)&gt;0,"19-SECTOR","DETAIL / OTHER"))</f>
        <v/>
      </c>
    </row>
    <row r="1383" spans="4:7">
      <c r="D1383" s="8"/>
      <c r="E1383" t="str">
        <f t="shared" si="42"/>
        <v/>
      </c>
      <c r="F1383" t="str">
        <f t="shared" si="43"/>
        <v/>
      </c>
      <c r="G1383" t="str">
        <f>IF(E1383="","",IF(COUNTIF('DATA QCEW'!$A$2:$A$20,E1383)&gt;0,"19-SECTOR","DETAIL / OTHER"))</f>
        <v/>
      </c>
    </row>
    <row r="1384" spans="4:7">
      <c r="D1384" s="8"/>
      <c r="E1384" t="str">
        <f t="shared" si="42"/>
        <v/>
      </c>
      <c r="F1384" t="str">
        <f t="shared" si="43"/>
        <v/>
      </c>
      <c r="G1384" t="str">
        <f>IF(E1384="","",IF(COUNTIF('DATA QCEW'!$A$2:$A$20,E1384)&gt;0,"19-SECTOR","DETAIL / OTHER"))</f>
        <v/>
      </c>
    </row>
    <row r="1385" spans="4:7">
      <c r="D1385" s="8"/>
      <c r="E1385" t="str">
        <f t="shared" si="42"/>
        <v/>
      </c>
      <c r="F1385" t="str">
        <f t="shared" si="43"/>
        <v/>
      </c>
      <c r="G1385" t="str">
        <f>IF(E1385="","",IF(COUNTIF('DATA QCEW'!$A$2:$A$20,E1385)&gt;0,"19-SECTOR","DETAIL / OTHER"))</f>
        <v/>
      </c>
    </row>
    <row r="1386" spans="4:7">
      <c r="D1386" s="8"/>
      <c r="E1386" t="str">
        <f t="shared" si="42"/>
        <v/>
      </c>
      <c r="F1386" t="str">
        <f t="shared" si="43"/>
        <v/>
      </c>
      <c r="G1386" t="str">
        <f>IF(E1386="","",IF(COUNTIF('DATA QCEW'!$A$2:$A$20,E1386)&gt;0,"19-SECTOR","DETAIL / OTHER"))</f>
        <v/>
      </c>
    </row>
    <row r="1387" spans="4:7">
      <c r="D1387" s="8"/>
      <c r="E1387" t="str">
        <f t="shared" si="42"/>
        <v/>
      </c>
      <c r="F1387" t="str">
        <f t="shared" si="43"/>
        <v/>
      </c>
      <c r="G1387" t="str">
        <f>IF(E1387="","",IF(COUNTIF('DATA QCEW'!$A$2:$A$20,E1387)&gt;0,"19-SECTOR","DETAIL / OTHER"))</f>
        <v/>
      </c>
    </row>
    <row r="1388" spans="4:7">
      <c r="D1388" s="8"/>
      <c r="E1388" t="str">
        <f t="shared" si="42"/>
        <v/>
      </c>
      <c r="F1388" t="str">
        <f t="shared" si="43"/>
        <v/>
      </c>
      <c r="G1388" t="str">
        <f>IF(E1388="","",IF(COUNTIF('DATA QCEW'!$A$2:$A$20,E1388)&gt;0,"19-SECTOR","DETAIL / OTHER"))</f>
        <v/>
      </c>
    </row>
    <row r="1389" spans="4:7">
      <c r="D1389" s="8"/>
      <c r="E1389" t="str">
        <f t="shared" si="42"/>
        <v/>
      </c>
      <c r="F1389" t="str">
        <f t="shared" si="43"/>
        <v/>
      </c>
      <c r="G1389" t="str">
        <f>IF(E1389="","",IF(COUNTIF('DATA QCEW'!$A$2:$A$20,E1389)&gt;0,"19-SECTOR","DETAIL / OTHER"))</f>
        <v/>
      </c>
    </row>
    <row r="1390" spans="4:7">
      <c r="D1390" s="8"/>
      <c r="E1390" t="str">
        <f t="shared" si="42"/>
        <v/>
      </c>
      <c r="F1390" t="str">
        <f t="shared" si="43"/>
        <v/>
      </c>
      <c r="G1390" t="str">
        <f>IF(E1390="","",IF(COUNTIF('DATA QCEW'!$A$2:$A$20,E1390)&gt;0,"19-SECTOR","DETAIL / OTHER"))</f>
        <v/>
      </c>
    </row>
    <row r="1391" spans="4:7">
      <c r="D1391" s="8"/>
      <c r="E1391" t="str">
        <f t="shared" si="42"/>
        <v/>
      </c>
      <c r="F1391" t="str">
        <f t="shared" si="43"/>
        <v/>
      </c>
      <c r="G1391" t="str">
        <f>IF(E1391="","",IF(COUNTIF('DATA QCEW'!$A$2:$A$20,E1391)&gt;0,"19-SECTOR","DETAIL / OTHER"))</f>
        <v/>
      </c>
    </row>
    <row r="1392" spans="4:7">
      <c r="D1392" s="8"/>
      <c r="E1392" t="str">
        <f t="shared" si="42"/>
        <v/>
      </c>
      <c r="F1392" t="str">
        <f t="shared" si="43"/>
        <v/>
      </c>
      <c r="G1392" t="str">
        <f>IF(E1392="","",IF(COUNTIF('DATA QCEW'!$A$2:$A$20,E1392)&gt;0,"19-SECTOR","DETAIL / OTHER"))</f>
        <v/>
      </c>
    </row>
    <row r="1393" spans="4:7">
      <c r="D1393" s="8"/>
      <c r="E1393" t="str">
        <f t="shared" si="42"/>
        <v/>
      </c>
      <c r="F1393" t="str">
        <f t="shared" si="43"/>
        <v/>
      </c>
      <c r="G1393" t="str">
        <f>IF(E1393="","",IF(COUNTIF('DATA QCEW'!$A$2:$A$20,E1393)&gt;0,"19-SECTOR","DETAIL / OTHER"))</f>
        <v/>
      </c>
    </row>
    <row r="1394" spans="4:7">
      <c r="D1394" s="8"/>
      <c r="E1394" t="str">
        <f t="shared" si="42"/>
        <v/>
      </c>
      <c r="F1394" t="str">
        <f t="shared" si="43"/>
        <v/>
      </c>
      <c r="G1394" t="str">
        <f>IF(E1394="","",IF(COUNTIF('DATA QCEW'!$A$2:$A$20,E1394)&gt;0,"19-SECTOR","DETAIL / OTHER"))</f>
        <v/>
      </c>
    </row>
    <row r="1395" spans="4:7">
      <c r="D1395" s="8"/>
      <c r="E1395" t="str">
        <f t="shared" si="42"/>
        <v/>
      </c>
      <c r="F1395" t="str">
        <f t="shared" si="43"/>
        <v/>
      </c>
      <c r="G1395" t="str">
        <f>IF(E1395="","",IF(COUNTIF('DATA QCEW'!$A$2:$A$20,E1395)&gt;0,"19-SECTOR","DETAIL / OTHER"))</f>
        <v/>
      </c>
    </row>
    <row r="1396" spans="4:7">
      <c r="D1396" s="8"/>
      <c r="E1396" t="str">
        <f t="shared" si="42"/>
        <v/>
      </c>
      <c r="F1396" t="str">
        <f t="shared" si="43"/>
        <v/>
      </c>
      <c r="G1396" t="str">
        <f>IF(E1396="","",IF(COUNTIF('DATA QCEW'!$A$2:$A$20,E1396)&gt;0,"19-SECTOR","DETAIL / OTHER"))</f>
        <v/>
      </c>
    </row>
    <row r="1397" spans="4:7">
      <c r="D1397" s="8"/>
      <c r="E1397" t="str">
        <f t="shared" si="42"/>
        <v/>
      </c>
      <c r="F1397" t="str">
        <f t="shared" si="43"/>
        <v/>
      </c>
      <c r="G1397" t="str">
        <f>IF(E1397="","",IF(COUNTIF('DATA QCEW'!$A$2:$A$20,E1397)&gt;0,"19-SECTOR","DETAIL / OTHER"))</f>
        <v/>
      </c>
    </row>
    <row r="1398" spans="4:7">
      <c r="D1398" s="8"/>
      <c r="E1398" t="str">
        <f t="shared" si="42"/>
        <v/>
      </c>
      <c r="F1398" t="str">
        <f t="shared" si="43"/>
        <v/>
      </c>
      <c r="G1398" t="str">
        <f>IF(E1398="","",IF(COUNTIF('DATA QCEW'!$A$2:$A$20,E1398)&gt;0,"19-SECTOR","DETAIL / OTHER"))</f>
        <v/>
      </c>
    </row>
    <row r="1399" spans="4:7">
      <c r="D1399" s="8"/>
      <c r="E1399" t="str">
        <f t="shared" si="42"/>
        <v/>
      </c>
      <c r="F1399" t="str">
        <f t="shared" si="43"/>
        <v/>
      </c>
      <c r="G1399" t="str">
        <f>IF(E1399="","",IF(COUNTIF('DATA QCEW'!$A$2:$A$20,E1399)&gt;0,"19-SECTOR","DETAIL / OTHER"))</f>
        <v/>
      </c>
    </row>
    <row r="1400" spans="4:7">
      <c r="D1400" s="8"/>
      <c r="E1400" t="str">
        <f t="shared" si="42"/>
        <v/>
      </c>
      <c r="F1400" t="str">
        <f t="shared" si="43"/>
        <v/>
      </c>
      <c r="G1400" t="str">
        <f>IF(E1400="","",IF(COUNTIF('DATA QCEW'!$A$2:$A$20,E1400)&gt;0,"19-SECTOR","DETAIL / OTHER"))</f>
        <v/>
      </c>
    </row>
    <row r="1401" spans="4:7">
      <c r="D1401" s="8"/>
      <c r="E1401" t="str">
        <f t="shared" si="42"/>
        <v/>
      </c>
      <c r="F1401" t="str">
        <f t="shared" si="43"/>
        <v/>
      </c>
      <c r="G1401" t="str">
        <f>IF(E1401="","",IF(COUNTIF('DATA QCEW'!$A$2:$A$20,E1401)&gt;0,"19-SECTOR","DETAIL / OTHER"))</f>
        <v/>
      </c>
    </row>
    <row r="1402" spans="4:7">
      <c r="D1402" s="8"/>
      <c r="E1402" t="str">
        <f t="shared" si="42"/>
        <v/>
      </c>
      <c r="F1402" t="str">
        <f t="shared" si="43"/>
        <v/>
      </c>
      <c r="G1402" t="str">
        <f>IF(E1402="","",IF(COUNTIF('DATA QCEW'!$A$2:$A$20,E1402)&gt;0,"19-SECTOR","DETAIL / OTHER"))</f>
        <v/>
      </c>
    </row>
    <row r="1403" spans="4:7">
      <c r="D1403" s="8"/>
      <c r="E1403" t="str">
        <f t="shared" si="42"/>
        <v/>
      </c>
      <c r="F1403" t="str">
        <f t="shared" si="43"/>
        <v/>
      </c>
      <c r="G1403" t="str">
        <f>IF(E1403="","",IF(COUNTIF('DATA QCEW'!$A$2:$A$20,E1403)&gt;0,"19-SECTOR","DETAIL / OTHER"))</f>
        <v/>
      </c>
    </row>
    <row r="1404" spans="4:7">
      <c r="D1404" s="8"/>
      <c r="E1404" t="str">
        <f t="shared" si="42"/>
        <v/>
      </c>
      <c r="F1404" t="str">
        <f t="shared" si="43"/>
        <v/>
      </c>
      <c r="G1404" t="str">
        <f>IF(E1404="","",IF(COUNTIF('DATA QCEW'!$A$2:$A$20,E1404)&gt;0,"19-SECTOR","DETAIL / OTHER"))</f>
        <v/>
      </c>
    </row>
    <row r="1405" spans="4:7">
      <c r="D1405" s="8"/>
      <c r="E1405" t="str">
        <f t="shared" si="42"/>
        <v/>
      </c>
      <c r="F1405" t="str">
        <f t="shared" si="43"/>
        <v/>
      </c>
      <c r="G1405" t="str">
        <f>IF(E1405="","",IF(COUNTIF('DATA QCEW'!$A$2:$A$20,E1405)&gt;0,"19-SECTOR","DETAIL / OTHER"))</f>
        <v/>
      </c>
    </row>
    <row r="1406" spans="4:7">
      <c r="D1406" s="8"/>
      <c r="E1406" t="str">
        <f t="shared" si="42"/>
        <v/>
      </c>
      <c r="F1406" t="str">
        <f t="shared" si="43"/>
        <v/>
      </c>
      <c r="G1406" t="str">
        <f>IF(E1406="","",IF(COUNTIF('DATA QCEW'!$A$2:$A$20,E1406)&gt;0,"19-SECTOR","DETAIL / OTHER"))</f>
        <v/>
      </c>
    </row>
    <row r="1407" spans="4:7">
      <c r="D1407" s="8"/>
      <c r="E1407" t="str">
        <f t="shared" si="42"/>
        <v/>
      </c>
      <c r="F1407" t="str">
        <f t="shared" si="43"/>
        <v/>
      </c>
      <c r="G1407" t="str">
        <f>IF(E1407="","",IF(COUNTIF('DATA QCEW'!$A$2:$A$20,E1407)&gt;0,"19-SECTOR","DETAIL / OTHER"))</f>
        <v/>
      </c>
    </row>
    <row r="1408" spans="4:7">
      <c r="D1408" s="8"/>
      <c r="E1408" t="str">
        <f t="shared" si="42"/>
        <v/>
      </c>
      <c r="F1408" t="str">
        <f t="shared" si="43"/>
        <v/>
      </c>
      <c r="G1408" t="str">
        <f>IF(E1408="","",IF(COUNTIF('DATA QCEW'!$A$2:$A$20,E1408)&gt;0,"19-SECTOR","DETAIL / OTHER"))</f>
        <v/>
      </c>
    </row>
    <row r="1409" spans="4:7">
      <c r="D1409" s="8"/>
      <c r="E1409" t="str">
        <f t="shared" si="42"/>
        <v/>
      </c>
      <c r="F1409" t="str">
        <f t="shared" si="43"/>
        <v/>
      </c>
      <c r="G1409" t="str">
        <f>IF(E1409="","",IF(COUNTIF('DATA QCEW'!$A$2:$A$20,E1409)&gt;0,"19-SECTOR","DETAIL / OTHER"))</f>
        <v/>
      </c>
    </row>
    <row r="1410" spans="4:7">
      <c r="D1410" s="8"/>
      <c r="E1410" t="str">
        <f t="shared" ref="E1410:E1473" si="44">IF(LEFT(TRIM(A1410),6)="NAICS ",IFERROR(MID(TRIM(A1410),7,FIND(" ",TRIM(A1410)&amp;" ",7)-7),""),"")</f>
        <v/>
      </c>
      <c r="F1410" t="str">
        <f t="shared" ref="F1410:F1473" si="45">IF(E1410="","",TRIM(MID(TRIM(A1410),FIND(" ",TRIM(A1410)&amp;" ",7)+1,255)))</f>
        <v/>
      </c>
      <c r="G1410" t="str">
        <f>IF(E1410="","",IF(COUNTIF('DATA QCEW'!$A$2:$A$20,E1410)&gt;0,"19-SECTOR","DETAIL / OTHER"))</f>
        <v/>
      </c>
    </row>
    <row r="1411" spans="4:7">
      <c r="D1411" s="8"/>
      <c r="E1411" t="str">
        <f t="shared" si="44"/>
        <v/>
      </c>
      <c r="F1411" t="str">
        <f t="shared" si="45"/>
        <v/>
      </c>
      <c r="G1411" t="str">
        <f>IF(E1411="","",IF(COUNTIF('DATA QCEW'!$A$2:$A$20,E1411)&gt;0,"19-SECTOR","DETAIL / OTHER"))</f>
        <v/>
      </c>
    </row>
    <row r="1412" spans="4:7">
      <c r="D1412" s="8"/>
      <c r="E1412" t="str">
        <f t="shared" si="44"/>
        <v/>
      </c>
      <c r="F1412" t="str">
        <f t="shared" si="45"/>
        <v/>
      </c>
      <c r="G1412" t="str">
        <f>IF(E1412="","",IF(COUNTIF('DATA QCEW'!$A$2:$A$20,E1412)&gt;0,"19-SECTOR","DETAIL / OTHER"))</f>
        <v/>
      </c>
    </row>
    <row r="1413" spans="4:7">
      <c r="D1413" s="8"/>
      <c r="E1413" t="str">
        <f t="shared" si="44"/>
        <v/>
      </c>
      <c r="F1413" t="str">
        <f t="shared" si="45"/>
        <v/>
      </c>
      <c r="G1413" t="str">
        <f>IF(E1413="","",IF(COUNTIF('DATA QCEW'!$A$2:$A$20,E1413)&gt;0,"19-SECTOR","DETAIL / OTHER"))</f>
        <v/>
      </c>
    </row>
    <row r="1414" spans="4:7">
      <c r="D1414" s="8"/>
      <c r="E1414" t="str">
        <f t="shared" si="44"/>
        <v/>
      </c>
      <c r="F1414" t="str">
        <f t="shared" si="45"/>
        <v/>
      </c>
      <c r="G1414" t="str">
        <f>IF(E1414="","",IF(COUNTIF('DATA QCEW'!$A$2:$A$20,E1414)&gt;0,"19-SECTOR","DETAIL / OTHER"))</f>
        <v/>
      </c>
    </row>
    <row r="1415" spans="4:7">
      <c r="D1415" s="8"/>
      <c r="E1415" t="str">
        <f t="shared" si="44"/>
        <v/>
      </c>
      <c r="F1415" t="str">
        <f t="shared" si="45"/>
        <v/>
      </c>
      <c r="G1415" t="str">
        <f>IF(E1415="","",IF(COUNTIF('DATA QCEW'!$A$2:$A$20,E1415)&gt;0,"19-SECTOR","DETAIL / OTHER"))</f>
        <v/>
      </c>
    </row>
    <row r="1416" spans="4:7">
      <c r="D1416" s="8"/>
      <c r="E1416" t="str">
        <f t="shared" si="44"/>
        <v/>
      </c>
      <c r="F1416" t="str">
        <f t="shared" si="45"/>
        <v/>
      </c>
      <c r="G1416" t="str">
        <f>IF(E1416="","",IF(COUNTIF('DATA QCEW'!$A$2:$A$20,E1416)&gt;0,"19-SECTOR","DETAIL / OTHER"))</f>
        <v/>
      </c>
    </row>
    <row r="1417" spans="4:7">
      <c r="D1417" s="8"/>
      <c r="E1417" t="str">
        <f t="shared" si="44"/>
        <v/>
      </c>
      <c r="F1417" t="str">
        <f t="shared" si="45"/>
        <v/>
      </c>
      <c r="G1417" t="str">
        <f>IF(E1417="","",IF(COUNTIF('DATA QCEW'!$A$2:$A$20,E1417)&gt;0,"19-SECTOR","DETAIL / OTHER"))</f>
        <v/>
      </c>
    </row>
    <row r="1418" spans="4:7">
      <c r="D1418" s="8"/>
      <c r="E1418" t="str">
        <f t="shared" si="44"/>
        <v/>
      </c>
      <c r="F1418" t="str">
        <f t="shared" si="45"/>
        <v/>
      </c>
      <c r="G1418" t="str">
        <f>IF(E1418="","",IF(COUNTIF('DATA QCEW'!$A$2:$A$20,E1418)&gt;0,"19-SECTOR","DETAIL / OTHER"))</f>
        <v/>
      </c>
    </row>
    <row r="1419" spans="4:7">
      <c r="D1419" s="8"/>
      <c r="E1419" t="str">
        <f t="shared" si="44"/>
        <v/>
      </c>
      <c r="F1419" t="str">
        <f t="shared" si="45"/>
        <v/>
      </c>
      <c r="G1419" t="str">
        <f>IF(E1419="","",IF(COUNTIF('DATA QCEW'!$A$2:$A$20,E1419)&gt;0,"19-SECTOR","DETAIL / OTHER"))</f>
        <v/>
      </c>
    </row>
    <row r="1420" spans="4:7">
      <c r="D1420" s="8"/>
      <c r="E1420" t="str">
        <f t="shared" si="44"/>
        <v/>
      </c>
      <c r="F1420" t="str">
        <f t="shared" si="45"/>
        <v/>
      </c>
      <c r="G1420" t="str">
        <f>IF(E1420="","",IF(COUNTIF('DATA QCEW'!$A$2:$A$20,E1420)&gt;0,"19-SECTOR","DETAIL / OTHER"))</f>
        <v/>
      </c>
    </row>
    <row r="1421" spans="4:7">
      <c r="D1421" s="8"/>
      <c r="E1421" t="str">
        <f t="shared" si="44"/>
        <v/>
      </c>
      <c r="F1421" t="str">
        <f t="shared" si="45"/>
        <v/>
      </c>
      <c r="G1421" t="str">
        <f>IF(E1421="","",IF(COUNTIF('DATA QCEW'!$A$2:$A$20,E1421)&gt;0,"19-SECTOR","DETAIL / OTHER"))</f>
        <v/>
      </c>
    </row>
    <row r="1422" spans="4:7">
      <c r="D1422" s="8"/>
      <c r="E1422" t="str">
        <f t="shared" si="44"/>
        <v/>
      </c>
      <c r="F1422" t="str">
        <f t="shared" si="45"/>
        <v/>
      </c>
      <c r="G1422" t="str">
        <f>IF(E1422="","",IF(COUNTIF('DATA QCEW'!$A$2:$A$20,E1422)&gt;0,"19-SECTOR","DETAIL / OTHER"))</f>
        <v/>
      </c>
    </row>
    <row r="1423" spans="4:7">
      <c r="D1423" s="8"/>
      <c r="E1423" t="str">
        <f t="shared" si="44"/>
        <v/>
      </c>
      <c r="F1423" t="str">
        <f t="shared" si="45"/>
        <v/>
      </c>
      <c r="G1423" t="str">
        <f>IF(E1423="","",IF(COUNTIF('DATA QCEW'!$A$2:$A$20,E1423)&gt;0,"19-SECTOR","DETAIL / OTHER"))</f>
        <v/>
      </c>
    </row>
    <row r="1424" spans="4:7">
      <c r="D1424" s="8"/>
      <c r="E1424" t="str">
        <f t="shared" si="44"/>
        <v/>
      </c>
      <c r="F1424" t="str">
        <f t="shared" si="45"/>
        <v/>
      </c>
      <c r="G1424" t="str">
        <f>IF(E1424="","",IF(COUNTIF('DATA QCEW'!$A$2:$A$20,E1424)&gt;0,"19-SECTOR","DETAIL / OTHER"))</f>
        <v/>
      </c>
    </row>
    <row r="1425" spans="4:7">
      <c r="D1425" s="8"/>
      <c r="E1425" t="str">
        <f t="shared" si="44"/>
        <v/>
      </c>
      <c r="F1425" t="str">
        <f t="shared" si="45"/>
        <v/>
      </c>
      <c r="G1425" t="str">
        <f>IF(E1425="","",IF(COUNTIF('DATA QCEW'!$A$2:$A$20,E1425)&gt;0,"19-SECTOR","DETAIL / OTHER"))</f>
        <v/>
      </c>
    </row>
    <row r="1426" spans="4:7">
      <c r="D1426" s="8"/>
      <c r="E1426" t="str">
        <f t="shared" si="44"/>
        <v/>
      </c>
      <c r="F1426" t="str">
        <f t="shared" si="45"/>
        <v/>
      </c>
      <c r="G1426" t="str">
        <f>IF(E1426="","",IF(COUNTIF('DATA QCEW'!$A$2:$A$20,E1426)&gt;0,"19-SECTOR","DETAIL / OTHER"))</f>
        <v/>
      </c>
    </row>
    <row r="1427" spans="4:7">
      <c r="D1427" s="8"/>
      <c r="E1427" t="str">
        <f t="shared" si="44"/>
        <v/>
      </c>
      <c r="F1427" t="str">
        <f t="shared" si="45"/>
        <v/>
      </c>
      <c r="G1427" t="str">
        <f>IF(E1427="","",IF(COUNTIF('DATA QCEW'!$A$2:$A$20,E1427)&gt;0,"19-SECTOR","DETAIL / OTHER"))</f>
        <v/>
      </c>
    </row>
    <row r="1428" spans="4:7">
      <c r="D1428" s="8"/>
      <c r="E1428" t="str">
        <f t="shared" si="44"/>
        <v/>
      </c>
      <c r="F1428" t="str">
        <f t="shared" si="45"/>
        <v/>
      </c>
      <c r="G1428" t="str">
        <f>IF(E1428="","",IF(COUNTIF('DATA QCEW'!$A$2:$A$20,E1428)&gt;0,"19-SECTOR","DETAIL / OTHER"))</f>
        <v/>
      </c>
    </row>
    <row r="1429" spans="4:7">
      <c r="D1429" s="8"/>
      <c r="E1429" t="str">
        <f t="shared" si="44"/>
        <v/>
      </c>
      <c r="F1429" t="str">
        <f t="shared" si="45"/>
        <v/>
      </c>
      <c r="G1429" t="str">
        <f>IF(E1429="","",IF(COUNTIF('DATA QCEW'!$A$2:$A$20,E1429)&gt;0,"19-SECTOR","DETAIL / OTHER"))</f>
        <v/>
      </c>
    </row>
    <row r="1430" spans="4:7">
      <c r="D1430" s="8"/>
      <c r="E1430" t="str">
        <f t="shared" si="44"/>
        <v/>
      </c>
      <c r="F1430" t="str">
        <f t="shared" si="45"/>
        <v/>
      </c>
      <c r="G1430" t="str">
        <f>IF(E1430="","",IF(COUNTIF('DATA QCEW'!$A$2:$A$20,E1430)&gt;0,"19-SECTOR","DETAIL / OTHER"))</f>
        <v/>
      </c>
    </row>
    <row r="1431" spans="4:7">
      <c r="D1431" s="8"/>
      <c r="E1431" t="str">
        <f t="shared" si="44"/>
        <v/>
      </c>
      <c r="F1431" t="str">
        <f t="shared" si="45"/>
        <v/>
      </c>
      <c r="G1431" t="str">
        <f>IF(E1431="","",IF(COUNTIF('DATA QCEW'!$A$2:$A$20,E1431)&gt;0,"19-SECTOR","DETAIL / OTHER"))</f>
        <v/>
      </c>
    </row>
    <row r="1432" spans="4:7">
      <c r="D1432" s="8"/>
      <c r="E1432" t="str">
        <f t="shared" si="44"/>
        <v/>
      </c>
      <c r="F1432" t="str">
        <f t="shared" si="45"/>
        <v/>
      </c>
      <c r="G1432" t="str">
        <f>IF(E1432="","",IF(COUNTIF('DATA QCEW'!$A$2:$A$20,E1432)&gt;0,"19-SECTOR","DETAIL / OTHER"))</f>
        <v/>
      </c>
    </row>
    <row r="1433" spans="4:7">
      <c r="D1433" s="8"/>
      <c r="E1433" t="str">
        <f t="shared" si="44"/>
        <v/>
      </c>
      <c r="F1433" t="str">
        <f t="shared" si="45"/>
        <v/>
      </c>
      <c r="G1433" t="str">
        <f>IF(E1433="","",IF(COUNTIF('DATA QCEW'!$A$2:$A$20,E1433)&gt;0,"19-SECTOR","DETAIL / OTHER"))</f>
        <v/>
      </c>
    </row>
    <row r="1434" spans="4:7">
      <c r="D1434" s="8"/>
      <c r="E1434" t="str">
        <f t="shared" si="44"/>
        <v/>
      </c>
      <c r="F1434" t="str">
        <f t="shared" si="45"/>
        <v/>
      </c>
      <c r="G1434" t="str">
        <f>IF(E1434="","",IF(COUNTIF('DATA QCEW'!$A$2:$A$20,E1434)&gt;0,"19-SECTOR","DETAIL / OTHER"))</f>
        <v/>
      </c>
    </row>
    <row r="1435" spans="4:7">
      <c r="D1435" s="8"/>
      <c r="E1435" t="str">
        <f t="shared" si="44"/>
        <v/>
      </c>
      <c r="F1435" t="str">
        <f t="shared" si="45"/>
        <v/>
      </c>
      <c r="G1435" t="str">
        <f>IF(E1435="","",IF(COUNTIF('DATA QCEW'!$A$2:$A$20,E1435)&gt;0,"19-SECTOR","DETAIL / OTHER"))</f>
        <v/>
      </c>
    </row>
    <row r="1436" spans="4:7">
      <c r="D1436" s="8"/>
      <c r="E1436" t="str">
        <f t="shared" si="44"/>
        <v/>
      </c>
      <c r="F1436" t="str">
        <f t="shared" si="45"/>
        <v/>
      </c>
      <c r="G1436" t="str">
        <f>IF(E1436="","",IF(COUNTIF('DATA QCEW'!$A$2:$A$20,E1436)&gt;0,"19-SECTOR","DETAIL / OTHER"))</f>
        <v/>
      </c>
    </row>
    <row r="1437" spans="4:7">
      <c r="D1437" s="8"/>
      <c r="E1437" t="str">
        <f t="shared" si="44"/>
        <v/>
      </c>
      <c r="F1437" t="str">
        <f t="shared" si="45"/>
        <v/>
      </c>
      <c r="G1437" t="str">
        <f>IF(E1437="","",IF(COUNTIF('DATA QCEW'!$A$2:$A$20,E1437)&gt;0,"19-SECTOR","DETAIL / OTHER"))</f>
        <v/>
      </c>
    </row>
    <row r="1438" spans="4:7">
      <c r="D1438" s="8"/>
      <c r="E1438" t="str">
        <f t="shared" si="44"/>
        <v/>
      </c>
      <c r="F1438" t="str">
        <f t="shared" si="45"/>
        <v/>
      </c>
      <c r="G1438" t="str">
        <f>IF(E1438="","",IF(COUNTIF('DATA QCEW'!$A$2:$A$20,E1438)&gt;0,"19-SECTOR","DETAIL / OTHER"))</f>
        <v/>
      </c>
    </row>
    <row r="1439" spans="4:7">
      <c r="D1439" s="8"/>
      <c r="E1439" t="str">
        <f t="shared" si="44"/>
        <v/>
      </c>
      <c r="F1439" t="str">
        <f t="shared" si="45"/>
        <v/>
      </c>
      <c r="G1439" t="str">
        <f>IF(E1439="","",IF(COUNTIF('DATA QCEW'!$A$2:$A$20,E1439)&gt;0,"19-SECTOR","DETAIL / OTHER"))</f>
        <v/>
      </c>
    </row>
    <row r="1440" spans="4:7">
      <c r="D1440" s="8"/>
      <c r="E1440" t="str">
        <f t="shared" si="44"/>
        <v/>
      </c>
      <c r="F1440" t="str">
        <f t="shared" si="45"/>
        <v/>
      </c>
      <c r="G1440" t="str">
        <f>IF(E1440="","",IF(COUNTIF('DATA QCEW'!$A$2:$A$20,E1440)&gt;0,"19-SECTOR","DETAIL / OTHER"))</f>
        <v/>
      </c>
    </row>
    <row r="1441" spans="4:7">
      <c r="D1441" s="8"/>
      <c r="E1441" t="str">
        <f t="shared" si="44"/>
        <v/>
      </c>
      <c r="F1441" t="str">
        <f t="shared" si="45"/>
        <v/>
      </c>
      <c r="G1441" t="str">
        <f>IF(E1441="","",IF(COUNTIF('DATA QCEW'!$A$2:$A$20,E1441)&gt;0,"19-SECTOR","DETAIL / OTHER"))</f>
        <v/>
      </c>
    </row>
    <row r="1442" spans="4:7">
      <c r="D1442" s="8"/>
      <c r="E1442" t="str">
        <f t="shared" si="44"/>
        <v/>
      </c>
      <c r="F1442" t="str">
        <f t="shared" si="45"/>
        <v/>
      </c>
      <c r="G1442" t="str">
        <f>IF(E1442="","",IF(COUNTIF('DATA QCEW'!$A$2:$A$20,E1442)&gt;0,"19-SECTOR","DETAIL / OTHER"))</f>
        <v/>
      </c>
    </row>
    <row r="1443" spans="4:7">
      <c r="D1443" s="8"/>
      <c r="E1443" t="str">
        <f t="shared" si="44"/>
        <v/>
      </c>
      <c r="F1443" t="str">
        <f t="shared" si="45"/>
        <v/>
      </c>
      <c r="G1443" t="str">
        <f>IF(E1443="","",IF(COUNTIF('DATA QCEW'!$A$2:$A$20,E1443)&gt;0,"19-SECTOR","DETAIL / OTHER"))</f>
        <v/>
      </c>
    </row>
    <row r="1444" spans="4:7">
      <c r="D1444" s="8"/>
      <c r="E1444" t="str">
        <f t="shared" si="44"/>
        <v/>
      </c>
      <c r="F1444" t="str">
        <f t="shared" si="45"/>
        <v/>
      </c>
      <c r="G1444" t="str">
        <f>IF(E1444="","",IF(COUNTIF('DATA QCEW'!$A$2:$A$20,E1444)&gt;0,"19-SECTOR","DETAIL / OTHER"))</f>
        <v/>
      </c>
    </row>
    <row r="1445" spans="4:7">
      <c r="D1445" s="8"/>
      <c r="E1445" t="str">
        <f t="shared" si="44"/>
        <v/>
      </c>
      <c r="F1445" t="str">
        <f t="shared" si="45"/>
        <v/>
      </c>
      <c r="G1445" t="str">
        <f>IF(E1445="","",IF(COUNTIF('DATA QCEW'!$A$2:$A$20,E1445)&gt;0,"19-SECTOR","DETAIL / OTHER"))</f>
        <v/>
      </c>
    </row>
    <row r="1446" spans="4:7">
      <c r="D1446" s="8"/>
      <c r="E1446" t="str">
        <f t="shared" si="44"/>
        <v/>
      </c>
      <c r="F1446" t="str">
        <f t="shared" si="45"/>
        <v/>
      </c>
      <c r="G1446" t="str">
        <f>IF(E1446="","",IF(COUNTIF('DATA QCEW'!$A$2:$A$20,E1446)&gt;0,"19-SECTOR","DETAIL / OTHER"))</f>
        <v/>
      </c>
    </row>
    <row r="1447" spans="4:7">
      <c r="D1447" s="8"/>
      <c r="E1447" t="str">
        <f t="shared" si="44"/>
        <v/>
      </c>
      <c r="F1447" t="str">
        <f t="shared" si="45"/>
        <v/>
      </c>
      <c r="G1447" t="str">
        <f>IF(E1447="","",IF(COUNTIF('DATA QCEW'!$A$2:$A$20,E1447)&gt;0,"19-SECTOR","DETAIL / OTHER"))</f>
        <v/>
      </c>
    </row>
    <row r="1448" spans="4:7">
      <c r="D1448" s="8"/>
      <c r="E1448" t="str">
        <f t="shared" si="44"/>
        <v/>
      </c>
      <c r="F1448" t="str">
        <f t="shared" si="45"/>
        <v/>
      </c>
      <c r="G1448" t="str">
        <f>IF(E1448="","",IF(COUNTIF('DATA QCEW'!$A$2:$A$20,E1448)&gt;0,"19-SECTOR","DETAIL / OTHER"))</f>
        <v/>
      </c>
    </row>
    <row r="1449" spans="4:7">
      <c r="D1449" s="8"/>
      <c r="E1449" t="str">
        <f t="shared" si="44"/>
        <v/>
      </c>
      <c r="F1449" t="str">
        <f t="shared" si="45"/>
        <v/>
      </c>
      <c r="G1449" t="str">
        <f>IF(E1449="","",IF(COUNTIF('DATA QCEW'!$A$2:$A$20,E1449)&gt;0,"19-SECTOR","DETAIL / OTHER"))</f>
        <v/>
      </c>
    </row>
    <row r="1450" spans="4:7">
      <c r="D1450" s="8"/>
      <c r="E1450" t="str">
        <f t="shared" si="44"/>
        <v/>
      </c>
      <c r="F1450" t="str">
        <f t="shared" si="45"/>
        <v/>
      </c>
      <c r="G1450" t="str">
        <f>IF(E1450="","",IF(COUNTIF('DATA QCEW'!$A$2:$A$20,E1450)&gt;0,"19-SECTOR","DETAIL / OTHER"))</f>
        <v/>
      </c>
    </row>
    <row r="1451" spans="4:7">
      <c r="D1451" s="8"/>
      <c r="E1451" t="str">
        <f t="shared" si="44"/>
        <v/>
      </c>
      <c r="F1451" t="str">
        <f t="shared" si="45"/>
        <v/>
      </c>
      <c r="G1451" t="str">
        <f>IF(E1451="","",IF(COUNTIF('DATA QCEW'!$A$2:$A$20,E1451)&gt;0,"19-SECTOR","DETAIL / OTHER"))</f>
        <v/>
      </c>
    </row>
    <row r="1452" spans="4:7">
      <c r="D1452" s="8"/>
      <c r="E1452" t="str">
        <f t="shared" si="44"/>
        <v/>
      </c>
      <c r="F1452" t="str">
        <f t="shared" si="45"/>
        <v/>
      </c>
      <c r="G1452" t="str">
        <f>IF(E1452="","",IF(COUNTIF('DATA QCEW'!$A$2:$A$20,E1452)&gt;0,"19-SECTOR","DETAIL / OTHER"))</f>
        <v/>
      </c>
    </row>
    <row r="1453" spans="4:7">
      <c r="D1453" s="8"/>
      <c r="E1453" t="str">
        <f t="shared" si="44"/>
        <v/>
      </c>
      <c r="F1453" t="str">
        <f t="shared" si="45"/>
        <v/>
      </c>
      <c r="G1453" t="str">
        <f>IF(E1453="","",IF(COUNTIF('DATA QCEW'!$A$2:$A$20,E1453)&gt;0,"19-SECTOR","DETAIL / OTHER"))</f>
        <v/>
      </c>
    </row>
    <row r="1454" spans="4:7">
      <c r="D1454" s="8"/>
      <c r="E1454" t="str">
        <f t="shared" si="44"/>
        <v/>
      </c>
      <c r="F1454" t="str">
        <f t="shared" si="45"/>
        <v/>
      </c>
      <c r="G1454" t="str">
        <f>IF(E1454="","",IF(COUNTIF('DATA QCEW'!$A$2:$A$20,E1454)&gt;0,"19-SECTOR","DETAIL / OTHER"))</f>
        <v/>
      </c>
    </row>
    <row r="1455" spans="4:7">
      <c r="D1455" s="8"/>
      <c r="E1455" t="str">
        <f t="shared" si="44"/>
        <v/>
      </c>
      <c r="F1455" t="str">
        <f t="shared" si="45"/>
        <v/>
      </c>
      <c r="G1455" t="str">
        <f>IF(E1455="","",IF(COUNTIF('DATA QCEW'!$A$2:$A$20,E1455)&gt;0,"19-SECTOR","DETAIL / OTHER"))</f>
        <v/>
      </c>
    </row>
    <row r="1456" spans="4:7">
      <c r="D1456" s="8"/>
      <c r="E1456" t="str">
        <f t="shared" si="44"/>
        <v/>
      </c>
      <c r="F1456" t="str">
        <f t="shared" si="45"/>
        <v/>
      </c>
      <c r="G1456" t="str">
        <f>IF(E1456="","",IF(COUNTIF('DATA QCEW'!$A$2:$A$20,E1456)&gt;0,"19-SECTOR","DETAIL / OTHER"))</f>
        <v/>
      </c>
    </row>
    <row r="1457" spans="4:7">
      <c r="D1457" s="8"/>
      <c r="E1457" t="str">
        <f t="shared" si="44"/>
        <v/>
      </c>
      <c r="F1457" t="str">
        <f t="shared" si="45"/>
        <v/>
      </c>
      <c r="G1457" t="str">
        <f>IF(E1457="","",IF(COUNTIF('DATA QCEW'!$A$2:$A$20,E1457)&gt;0,"19-SECTOR","DETAIL / OTHER"))</f>
        <v/>
      </c>
    </row>
    <row r="1458" spans="4:7">
      <c r="D1458" s="8"/>
      <c r="E1458" t="str">
        <f t="shared" si="44"/>
        <v/>
      </c>
      <c r="F1458" t="str">
        <f t="shared" si="45"/>
        <v/>
      </c>
      <c r="G1458" t="str">
        <f>IF(E1458="","",IF(COUNTIF('DATA QCEW'!$A$2:$A$20,E1458)&gt;0,"19-SECTOR","DETAIL / OTHER"))</f>
        <v/>
      </c>
    </row>
    <row r="1459" spans="4:7">
      <c r="D1459" s="8"/>
      <c r="E1459" t="str">
        <f t="shared" si="44"/>
        <v/>
      </c>
      <c r="F1459" t="str">
        <f t="shared" si="45"/>
        <v/>
      </c>
      <c r="G1459" t="str">
        <f>IF(E1459="","",IF(COUNTIF('DATA QCEW'!$A$2:$A$20,E1459)&gt;0,"19-SECTOR","DETAIL / OTHER"))</f>
        <v/>
      </c>
    </row>
    <row r="1460" spans="4:7">
      <c r="D1460" s="8"/>
      <c r="E1460" t="str">
        <f t="shared" si="44"/>
        <v/>
      </c>
      <c r="F1460" t="str">
        <f t="shared" si="45"/>
        <v/>
      </c>
      <c r="G1460" t="str">
        <f>IF(E1460="","",IF(COUNTIF('DATA QCEW'!$A$2:$A$20,E1460)&gt;0,"19-SECTOR","DETAIL / OTHER"))</f>
        <v/>
      </c>
    </row>
    <row r="1461" spans="4:7">
      <c r="D1461" s="8"/>
      <c r="E1461" t="str">
        <f t="shared" si="44"/>
        <v/>
      </c>
      <c r="F1461" t="str">
        <f t="shared" si="45"/>
        <v/>
      </c>
      <c r="G1461" t="str">
        <f>IF(E1461="","",IF(COUNTIF('DATA QCEW'!$A$2:$A$20,E1461)&gt;0,"19-SECTOR","DETAIL / OTHER"))</f>
        <v/>
      </c>
    </row>
    <row r="1462" spans="4:7">
      <c r="D1462" s="8"/>
      <c r="E1462" t="str">
        <f t="shared" si="44"/>
        <v/>
      </c>
      <c r="F1462" t="str">
        <f t="shared" si="45"/>
        <v/>
      </c>
      <c r="G1462" t="str">
        <f>IF(E1462="","",IF(COUNTIF('DATA QCEW'!$A$2:$A$20,E1462)&gt;0,"19-SECTOR","DETAIL / OTHER"))</f>
        <v/>
      </c>
    </row>
    <row r="1463" spans="4:7">
      <c r="D1463" s="8"/>
      <c r="E1463" t="str">
        <f t="shared" si="44"/>
        <v/>
      </c>
      <c r="F1463" t="str">
        <f t="shared" si="45"/>
        <v/>
      </c>
      <c r="G1463" t="str">
        <f>IF(E1463="","",IF(COUNTIF('DATA QCEW'!$A$2:$A$20,E1463)&gt;0,"19-SECTOR","DETAIL / OTHER"))</f>
        <v/>
      </c>
    </row>
    <row r="1464" spans="4:7">
      <c r="D1464" s="8"/>
      <c r="E1464" t="str">
        <f t="shared" si="44"/>
        <v/>
      </c>
      <c r="F1464" t="str">
        <f t="shared" si="45"/>
        <v/>
      </c>
      <c r="G1464" t="str">
        <f>IF(E1464="","",IF(COUNTIF('DATA QCEW'!$A$2:$A$20,E1464)&gt;0,"19-SECTOR","DETAIL / OTHER"))</f>
        <v/>
      </c>
    </row>
    <row r="1465" spans="4:7">
      <c r="D1465" s="8"/>
      <c r="E1465" t="str">
        <f t="shared" si="44"/>
        <v/>
      </c>
      <c r="F1465" t="str">
        <f t="shared" si="45"/>
        <v/>
      </c>
      <c r="G1465" t="str">
        <f>IF(E1465="","",IF(COUNTIF('DATA QCEW'!$A$2:$A$20,E1465)&gt;0,"19-SECTOR","DETAIL / OTHER"))</f>
        <v/>
      </c>
    </row>
    <row r="1466" spans="4:7">
      <c r="D1466" s="8"/>
      <c r="E1466" t="str">
        <f t="shared" si="44"/>
        <v/>
      </c>
      <c r="F1466" t="str">
        <f t="shared" si="45"/>
        <v/>
      </c>
      <c r="G1466" t="str">
        <f>IF(E1466="","",IF(COUNTIF('DATA QCEW'!$A$2:$A$20,E1466)&gt;0,"19-SECTOR","DETAIL / OTHER"))</f>
        <v/>
      </c>
    </row>
    <row r="1467" spans="4:7">
      <c r="D1467" s="8"/>
      <c r="E1467" t="str">
        <f t="shared" si="44"/>
        <v/>
      </c>
      <c r="F1467" t="str">
        <f t="shared" si="45"/>
        <v/>
      </c>
      <c r="G1467" t="str">
        <f>IF(E1467="","",IF(COUNTIF('DATA QCEW'!$A$2:$A$20,E1467)&gt;0,"19-SECTOR","DETAIL / OTHER"))</f>
        <v/>
      </c>
    </row>
    <row r="1468" spans="4:7">
      <c r="D1468" s="8"/>
      <c r="E1468" t="str">
        <f t="shared" si="44"/>
        <v/>
      </c>
      <c r="F1468" t="str">
        <f t="shared" si="45"/>
        <v/>
      </c>
      <c r="G1468" t="str">
        <f>IF(E1468="","",IF(COUNTIF('DATA QCEW'!$A$2:$A$20,E1468)&gt;0,"19-SECTOR","DETAIL / OTHER"))</f>
        <v/>
      </c>
    </row>
    <row r="1469" spans="4:7">
      <c r="D1469" s="8"/>
      <c r="E1469" t="str">
        <f t="shared" si="44"/>
        <v/>
      </c>
      <c r="F1469" t="str">
        <f t="shared" si="45"/>
        <v/>
      </c>
      <c r="G1469" t="str">
        <f>IF(E1469="","",IF(COUNTIF('DATA QCEW'!$A$2:$A$20,E1469)&gt;0,"19-SECTOR","DETAIL / OTHER"))</f>
        <v/>
      </c>
    </row>
    <row r="1470" spans="4:7">
      <c r="D1470" s="8"/>
      <c r="E1470" t="str">
        <f t="shared" si="44"/>
        <v/>
      </c>
      <c r="F1470" t="str">
        <f t="shared" si="45"/>
        <v/>
      </c>
      <c r="G1470" t="str">
        <f>IF(E1470="","",IF(COUNTIF('DATA QCEW'!$A$2:$A$20,E1470)&gt;0,"19-SECTOR","DETAIL / OTHER"))</f>
        <v/>
      </c>
    </row>
    <row r="1471" spans="4:7">
      <c r="D1471" s="8"/>
      <c r="E1471" t="str">
        <f t="shared" si="44"/>
        <v/>
      </c>
      <c r="F1471" t="str">
        <f t="shared" si="45"/>
        <v/>
      </c>
      <c r="G1471" t="str">
        <f>IF(E1471="","",IF(COUNTIF('DATA QCEW'!$A$2:$A$20,E1471)&gt;0,"19-SECTOR","DETAIL / OTHER"))</f>
        <v/>
      </c>
    </row>
    <row r="1472" spans="4:7">
      <c r="D1472" s="8"/>
      <c r="E1472" t="str">
        <f t="shared" si="44"/>
        <v/>
      </c>
      <c r="F1472" t="str">
        <f t="shared" si="45"/>
        <v/>
      </c>
      <c r="G1472" t="str">
        <f>IF(E1472="","",IF(COUNTIF('DATA QCEW'!$A$2:$A$20,E1472)&gt;0,"19-SECTOR","DETAIL / OTHER"))</f>
        <v/>
      </c>
    </row>
    <row r="1473" spans="4:7">
      <c r="D1473" s="8"/>
      <c r="E1473" t="str">
        <f t="shared" si="44"/>
        <v/>
      </c>
      <c r="F1473" t="str">
        <f t="shared" si="45"/>
        <v/>
      </c>
      <c r="G1473" t="str">
        <f>IF(E1473="","",IF(COUNTIF('DATA QCEW'!$A$2:$A$20,E1473)&gt;0,"19-SECTOR","DETAIL / OTHER"))</f>
        <v/>
      </c>
    </row>
    <row r="1474" spans="4:7">
      <c r="D1474" s="8"/>
      <c r="E1474" t="str">
        <f t="shared" ref="E1474:E1537" si="46">IF(LEFT(TRIM(A1474),6)="NAICS ",IFERROR(MID(TRIM(A1474),7,FIND(" ",TRIM(A1474)&amp;" ",7)-7),""),"")</f>
        <v/>
      </c>
      <c r="F1474" t="str">
        <f t="shared" ref="F1474:F1537" si="47">IF(E1474="","",TRIM(MID(TRIM(A1474),FIND(" ",TRIM(A1474)&amp;" ",7)+1,255)))</f>
        <v/>
      </c>
      <c r="G1474" t="str">
        <f>IF(E1474="","",IF(COUNTIF('DATA QCEW'!$A$2:$A$20,E1474)&gt;0,"19-SECTOR","DETAIL / OTHER"))</f>
        <v/>
      </c>
    </row>
    <row r="1475" spans="4:7">
      <c r="D1475" s="8"/>
      <c r="E1475" t="str">
        <f t="shared" si="46"/>
        <v/>
      </c>
      <c r="F1475" t="str">
        <f t="shared" si="47"/>
        <v/>
      </c>
      <c r="G1475" t="str">
        <f>IF(E1475="","",IF(COUNTIF('DATA QCEW'!$A$2:$A$20,E1475)&gt;0,"19-SECTOR","DETAIL / OTHER"))</f>
        <v/>
      </c>
    </row>
    <row r="1476" spans="4:7">
      <c r="D1476" s="8"/>
      <c r="E1476" t="str">
        <f t="shared" si="46"/>
        <v/>
      </c>
      <c r="F1476" t="str">
        <f t="shared" si="47"/>
        <v/>
      </c>
      <c r="G1476" t="str">
        <f>IF(E1476="","",IF(COUNTIF('DATA QCEW'!$A$2:$A$20,E1476)&gt;0,"19-SECTOR","DETAIL / OTHER"))</f>
        <v/>
      </c>
    </row>
    <row r="1477" spans="4:7">
      <c r="D1477" s="8"/>
      <c r="E1477" t="str">
        <f t="shared" si="46"/>
        <v/>
      </c>
      <c r="F1477" t="str">
        <f t="shared" si="47"/>
        <v/>
      </c>
      <c r="G1477" t="str">
        <f>IF(E1477="","",IF(COUNTIF('DATA QCEW'!$A$2:$A$20,E1477)&gt;0,"19-SECTOR","DETAIL / OTHER"))</f>
        <v/>
      </c>
    </row>
    <row r="1478" spans="4:7">
      <c r="D1478" s="8"/>
      <c r="E1478" t="str">
        <f t="shared" si="46"/>
        <v/>
      </c>
      <c r="F1478" t="str">
        <f t="shared" si="47"/>
        <v/>
      </c>
      <c r="G1478" t="str">
        <f>IF(E1478="","",IF(COUNTIF('DATA QCEW'!$A$2:$A$20,E1478)&gt;0,"19-SECTOR","DETAIL / OTHER"))</f>
        <v/>
      </c>
    </row>
    <row r="1479" spans="4:7">
      <c r="D1479" s="8"/>
      <c r="E1479" t="str">
        <f t="shared" si="46"/>
        <v/>
      </c>
      <c r="F1479" t="str">
        <f t="shared" si="47"/>
        <v/>
      </c>
      <c r="G1479" t="str">
        <f>IF(E1479="","",IF(COUNTIF('DATA QCEW'!$A$2:$A$20,E1479)&gt;0,"19-SECTOR","DETAIL / OTHER"))</f>
        <v/>
      </c>
    </row>
    <row r="1480" spans="4:7">
      <c r="D1480" s="8"/>
      <c r="E1480" t="str">
        <f t="shared" si="46"/>
        <v/>
      </c>
      <c r="F1480" t="str">
        <f t="shared" si="47"/>
        <v/>
      </c>
      <c r="G1480" t="str">
        <f>IF(E1480="","",IF(COUNTIF('DATA QCEW'!$A$2:$A$20,E1480)&gt;0,"19-SECTOR","DETAIL / OTHER"))</f>
        <v/>
      </c>
    </row>
    <row r="1481" spans="4:7">
      <c r="D1481" s="8"/>
      <c r="E1481" t="str">
        <f t="shared" si="46"/>
        <v/>
      </c>
      <c r="F1481" t="str">
        <f t="shared" si="47"/>
        <v/>
      </c>
      <c r="G1481" t="str">
        <f>IF(E1481="","",IF(COUNTIF('DATA QCEW'!$A$2:$A$20,E1481)&gt;0,"19-SECTOR","DETAIL / OTHER"))</f>
        <v/>
      </c>
    </row>
    <row r="1482" spans="4:7">
      <c r="D1482" s="8"/>
      <c r="E1482" t="str">
        <f t="shared" si="46"/>
        <v/>
      </c>
      <c r="F1482" t="str">
        <f t="shared" si="47"/>
        <v/>
      </c>
      <c r="G1482" t="str">
        <f>IF(E1482="","",IF(COUNTIF('DATA QCEW'!$A$2:$A$20,E1482)&gt;0,"19-SECTOR","DETAIL / OTHER"))</f>
        <v/>
      </c>
    </row>
    <row r="1483" spans="4:7">
      <c r="D1483" s="8"/>
      <c r="E1483" t="str">
        <f t="shared" si="46"/>
        <v/>
      </c>
      <c r="F1483" t="str">
        <f t="shared" si="47"/>
        <v/>
      </c>
      <c r="G1483" t="str">
        <f>IF(E1483="","",IF(COUNTIF('DATA QCEW'!$A$2:$A$20,E1483)&gt;0,"19-SECTOR","DETAIL / OTHER"))</f>
        <v/>
      </c>
    </row>
    <row r="1484" spans="4:7">
      <c r="D1484" s="8"/>
      <c r="E1484" t="str">
        <f t="shared" si="46"/>
        <v/>
      </c>
      <c r="F1484" t="str">
        <f t="shared" si="47"/>
        <v/>
      </c>
      <c r="G1484" t="str">
        <f>IF(E1484="","",IF(COUNTIF('DATA QCEW'!$A$2:$A$20,E1484)&gt;0,"19-SECTOR","DETAIL / OTHER"))</f>
        <v/>
      </c>
    </row>
    <row r="1485" spans="4:7">
      <c r="D1485" s="8"/>
      <c r="E1485" t="str">
        <f t="shared" si="46"/>
        <v/>
      </c>
      <c r="F1485" t="str">
        <f t="shared" si="47"/>
        <v/>
      </c>
      <c r="G1485" t="str">
        <f>IF(E1485="","",IF(COUNTIF('DATA QCEW'!$A$2:$A$20,E1485)&gt;0,"19-SECTOR","DETAIL / OTHER"))</f>
        <v/>
      </c>
    </row>
    <row r="1486" spans="4:7">
      <c r="D1486" s="8"/>
      <c r="E1486" t="str">
        <f t="shared" si="46"/>
        <v/>
      </c>
      <c r="F1486" t="str">
        <f t="shared" si="47"/>
        <v/>
      </c>
      <c r="G1486" t="str">
        <f>IF(E1486="","",IF(COUNTIF('DATA QCEW'!$A$2:$A$20,E1486)&gt;0,"19-SECTOR","DETAIL / OTHER"))</f>
        <v/>
      </c>
    </row>
    <row r="1487" spans="4:7">
      <c r="D1487" s="8"/>
      <c r="E1487" t="str">
        <f t="shared" si="46"/>
        <v/>
      </c>
      <c r="F1487" t="str">
        <f t="shared" si="47"/>
        <v/>
      </c>
      <c r="G1487" t="str">
        <f>IF(E1487="","",IF(COUNTIF('DATA QCEW'!$A$2:$A$20,E1487)&gt;0,"19-SECTOR","DETAIL / OTHER"))</f>
        <v/>
      </c>
    </row>
    <row r="1488" spans="4:7">
      <c r="D1488" s="8"/>
      <c r="E1488" t="str">
        <f t="shared" si="46"/>
        <v/>
      </c>
      <c r="F1488" t="str">
        <f t="shared" si="47"/>
        <v/>
      </c>
      <c r="G1488" t="str">
        <f>IF(E1488="","",IF(COUNTIF('DATA QCEW'!$A$2:$A$20,E1488)&gt;0,"19-SECTOR","DETAIL / OTHER"))</f>
        <v/>
      </c>
    </row>
    <row r="1489" spans="4:7">
      <c r="D1489" s="8"/>
      <c r="E1489" t="str">
        <f t="shared" si="46"/>
        <v/>
      </c>
      <c r="F1489" t="str">
        <f t="shared" si="47"/>
        <v/>
      </c>
      <c r="G1489" t="str">
        <f>IF(E1489="","",IF(COUNTIF('DATA QCEW'!$A$2:$A$20,E1489)&gt;0,"19-SECTOR","DETAIL / OTHER"))</f>
        <v/>
      </c>
    </row>
    <row r="1490" spans="4:7">
      <c r="D1490" s="8"/>
      <c r="E1490" t="str">
        <f t="shared" si="46"/>
        <v/>
      </c>
      <c r="F1490" t="str">
        <f t="shared" si="47"/>
        <v/>
      </c>
      <c r="G1490" t="str">
        <f>IF(E1490="","",IF(COUNTIF('DATA QCEW'!$A$2:$A$20,E1490)&gt;0,"19-SECTOR","DETAIL / OTHER"))</f>
        <v/>
      </c>
    </row>
    <row r="1491" spans="4:7">
      <c r="D1491" s="8"/>
      <c r="E1491" t="str">
        <f t="shared" si="46"/>
        <v/>
      </c>
      <c r="F1491" t="str">
        <f t="shared" si="47"/>
        <v/>
      </c>
      <c r="G1491" t="str">
        <f>IF(E1491="","",IF(COUNTIF('DATA QCEW'!$A$2:$A$20,E1491)&gt;0,"19-SECTOR","DETAIL / OTHER"))</f>
        <v/>
      </c>
    </row>
    <row r="1492" spans="4:7">
      <c r="D1492" s="8"/>
      <c r="E1492" t="str">
        <f t="shared" si="46"/>
        <v/>
      </c>
      <c r="F1492" t="str">
        <f t="shared" si="47"/>
        <v/>
      </c>
      <c r="G1492" t="str">
        <f>IF(E1492="","",IF(COUNTIF('DATA QCEW'!$A$2:$A$20,E1492)&gt;0,"19-SECTOR","DETAIL / OTHER"))</f>
        <v/>
      </c>
    </row>
    <row r="1493" spans="4:7">
      <c r="D1493" s="8"/>
      <c r="E1493" t="str">
        <f t="shared" si="46"/>
        <v/>
      </c>
      <c r="F1493" t="str">
        <f t="shared" si="47"/>
        <v/>
      </c>
      <c r="G1493" t="str">
        <f>IF(E1493="","",IF(COUNTIF('DATA QCEW'!$A$2:$A$20,E1493)&gt;0,"19-SECTOR","DETAIL / OTHER"))</f>
        <v/>
      </c>
    </row>
    <row r="1494" spans="4:7">
      <c r="D1494" s="8"/>
      <c r="E1494" t="str">
        <f t="shared" si="46"/>
        <v/>
      </c>
      <c r="F1494" t="str">
        <f t="shared" si="47"/>
        <v/>
      </c>
      <c r="G1494" t="str">
        <f>IF(E1494="","",IF(COUNTIF('DATA QCEW'!$A$2:$A$20,E1494)&gt;0,"19-SECTOR","DETAIL / OTHER"))</f>
        <v/>
      </c>
    </row>
    <row r="1495" spans="4:7">
      <c r="D1495" s="8"/>
      <c r="E1495" t="str">
        <f t="shared" si="46"/>
        <v/>
      </c>
      <c r="F1495" t="str">
        <f t="shared" si="47"/>
        <v/>
      </c>
      <c r="G1495" t="str">
        <f>IF(E1495="","",IF(COUNTIF('DATA QCEW'!$A$2:$A$20,E1495)&gt;0,"19-SECTOR","DETAIL / OTHER"))</f>
        <v/>
      </c>
    </row>
    <row r="1496" spans="4:7">
      <c r="D1496" s="8"/>
      <c r="E1496" t="str">
        <f t="shared" si="46"/>
        <v/>
      </c>
      <c r="F1496" t="str">
        <f t="shared" si="47"/>
        <v/>
      </c>
      <c r="G1496" t="str">
        <f>IF(E1496="","",IF(COUNTIF('DATA QCEW'!$A$2:$A$20,E1496)&gt;0,"19-SECTOR","DETAIL / OTHER"))</f>
        <v/>
      </c>
    </row>
    <row r="1497" spans="4:7">
      <c r="D1497" s="8"/>
      <c r="E1497" t="str">
        <f t="shared" si="46"/>
        <v/>
      </c>
      <c r="F1497" t="str">
        <f t="shared" si="47"/>
        <v/>
      </c>
      <c r="G1497" t="str">
        <f>IF(E1497="","",IF(COUNTIF('DATA QCEW'!$A$2:$A$20,E1497)&gt;0,"19-SECTOR","DETAIL / OTHER"))</f>
        <v/>
      </c>
    </row>
    <row r="1498" spans="4:7">
      <c r="D1498" s="8"/>
      <c r="E1498" t="str">
        <f t="shared" si="46"/>
        <v/>
      </c>
      <c r="F1498" t="str">
        <f t="shared" si="47"/>
        <v/>
      </c>
      <c r="G1498" t="str">
        <f>IF(E1498="","",IF(COUNTIF('DATA QCEW'!$A$2:$A$20,E1498)&gt;0,"19-SECTOR","DETAIL / OTHER"))</f>
        <v/>
      </c>
    </row>
    <row r="1499" spans="4:7">
      <c r="D1499" s="8"/>
      <c r="E1499" t="str">
        <f t="shared" si="46"/>
        <v/>
      </c>
      <c r="F1499" t="str">
        <f t="shared" si="47"/>
        <v/>
      </c>
      <c r="G1499" t="str">
        <f>IF(E1499="","",IF(COUNTIF('DATA QCEW'!$A$2:$A$20,E1499)&gt;0,"19-SECTOR","DETAIL / OTHER"))</f>
        <v/>
      </c>
    </row>
    <row r="1500" spans="4:7">
      <c r="D1500" s="8"/>
      <c r="E1500" t="str">
        <f t="shared" si="46"/>
        <v/>
      </c>
      <c r="F1500" t="str">
        <f t="shared" si="47"/>
        <v/>
      </c>
      <c r="G1500" t="str">
        <f>IF(E1500="","",IF(COUNTIF('DATA QCEW'!$A$2:$A$20,E1500)&gt;0,"19-SECTOR","DETAIL / OTHER"))</f>
        <v/>
      </c>
    </row>
    <row r="1501" spans="4:7">
      <c r="D1501" s="8"/>
      <c r="E1501" t="str">
        <f t="shared" si="46"/>
        <v/>
      </c>
      <c r="F1501" t="str">
        <f t="shared" si="47"/>
        <v/>
      </c>
      <c r="G1501" t="str">
        <f>IF(E1501="","",IF(COUNTIF('DATA QCEW'!$A$2:$A$20,E1501)&gt;0,"19-SECTOR","DETAIL / OTHER"))</f>
        <v/>
      </c>
    </row>
    <row r="1502" spans="4:7">
      <c r="D1502" s="8"/>
      <c r="E1502" t="str">
        <f t="shared" si="46"/>
        <v/>
      </c>
      <c r="F1502" t="str">
        <f t="shared" si="47"/>
        <v/>
      </c>
      <c r="G1502" t="str">
        <f>IF(E1502="","",IF(COUNTIF('DATA QCEW'!$A$2:$A$20,E1502)&gt;0,"19-SECTOR","DETAIL / OTHER"))</f>
        <v/>
      </c>
    </row>
    <row r="1503" spans="4:7">
      <c r="D1503" s="8"/>
      <c r="E1503" t="str">
        <f t="shared" si="46"/>
        <v/>
      </c>
      <c r="F1503" t="str">
        <f t="shared" si="47"/>
        <v/>
      </c>
      <c r="G1503" t="str">
        <f>IF(E1503="","",IF(COUNTIF('DATA QCEW'!$A$2:$A$20,E1503)&gt;0,"19-SECTOR","DETAIL / OTHER"))</f>
        <v/>
      </c>
    </row>
    <row r="1504" spans="4:7">
      <c r="D1504" s="8"/>
      <c r="E1504" t="str">
        <f t="shared" si="46"/>
        <v/>
      </c>
      <c r="F1504" t="str">
        <f t="shared" si="47"/>
        <v/>
      </c>
      <c r="G1504" t="str">
        <f>IF(E1504="","",IF(COUNTIF('DATA QCEW'!$A$2:$A$20,E1504)&gt;0,"19-SECTOR","DETAIL / OTHER"))</f>
        <v/>
      </c>
    </row>
    <row r="1505" spans="4:7">
      <c r="D1505" s="8"/>
      <c r="E1505" t="str">
        <f t="shared" si="46"/>
        <v/>
      </c>
      <c r="F1505" t="str">
        <f t="shared" si="47"/>
        <v/>
      </c>
      <c r="G1505" t="str">
        <f>IF(E1505="","",IF(COUNTIF('DATA QCEW'!$A$2:$A$20,E1505)&gt;0,"19-SECTOR","DETAIL / OTHER"))</f>
        <v/>
      </c>
    </row>
    <row r="1506" spans="4:7">
      <c r="D1506" s="8"/>
      <c r="E1506" t="str">
        <f t="shared" si="46"/>
        <v/>
      </c>
      <c r="F1506" t="str">
        <f t="shared" si="47"/>
        <v/>
      </c>
      <c r="G1506" t="str">
        <f>IF(E1506="","",IF(COUNTIF('DATA QCEW'!$A$2:$A$20,E1506)&gt;0,"19-SECTOR","DETAIL / OTHER"))</f>
        <v/>
      </c>
    </row>
    <row r="1507" spans="4:7">
      <c r="D1507" s="8"/>
      <c r="E1507" t="str">
        <f t="shared" si="46"/>
        <v/>
      </c>
      <c r="F1507" t="str">
        <f t="shared" si="47"/>
        <v/>
      </c>
      <c r="G1507" t="str">
        <f>IF(E1507="","",IF(COUNTIF('DATA QCEW'!$A$2:$A$20,E1507)&gt;0,"19-SECTOR","DETAIL / OTHER"))</f>
        <v/>
      </c>
    </row>
    <row r="1508" spans="4:7">
      <c r="D1508" s="8"/>
      <c r="E1508" t="str">
        <f t="shared" si="46"/>
        <v/>
      </c>
      <c r="F1508" t="str">
        <f t="shared" si="47"/>
        <v/>
      </c>
      <c r="G1508" t="str">
        <f>IF(E1508="","",IF(COUNTIF('DATA QCEW'!$A$2:$A$20,E1508)&gt;0,"19-SECTOR","DETAIL / OTHER"))</f>
        <v/>
      </c>
    </row>
    <row r="1509" spans="4:7">
      <c r="D1509" s="8"/>
      <c r="E1509" t="str">
        <f t="shared" si="46"/>
        <v/>
      </c>
      <c r="F1509" t="str">
        <f t="shared" si="47"/>
        <v/>
      </c>
      <c r="G1509" t="str">
        <f>IF(E1509="","",IF(COUNTIF('DATA QCEW'!$A$2:$A$20,E1509)&gt;0,"19-SECTOR","DETAIL / OTHER"))</f>
        <v/>
      </c>
    </row>
    <row r="1510" spans="4:7">
      <c r="D1510" s="8"/>
      <c r="E1510" t="str">
        <f t="shared" si="46"/>
        <v/>
      </c>
      <c r="F1510" t="str">
        <f t="shared" si="47"/>
        <v/>
      </c>
      <c r="G1510" t="str">
        <f>IF(E1510="","",IF(COUNTIF('DATA QCEW'!$A$2:$A$20,E1510)&gt;0,"19-SECTOR","DETAIL / OTHER"))</f>
        <v/>
      </c>
    </row>
    <row r="1511" spans="4:7">
      <c r="D1511" s="8"/>
      <c r="E1511" t="str">
        <f t="shared" si="46"/>
        <v/>
      </c>
      <c r="F1511" t="str">
        <f t="shared" si="47"/>
        <v/>
      </c>
      <c r="G1511" t="str">
        <f>IF(E1511="","",IF(COUNTIF('DATA QCEW'!$A$2:$A$20,E1511)&gt;0,"19-SECTOR","DETAIL / OTHER"))</f>
        <v/>
      </c>
    </row>
    <row r="1512" spans="4:7">
      <c r="D1512" s="8"/>
      <c r="E1512" t="str">
        <f t="shared" si="46"/>
        <v/>
      </c>
      <c r="F1512" t="str">
        <f t="shared" si="47"/>
        <v/>
      </c>
      <c r="G1512" t="str">
        <f>IF(E1512="","",IF(COUNTIF('DATA QCEW'!$A$2:$A$20,E1512)&gt;0,"19-SECTOR","DETAIL / OTHER"))</f>
        <v/>
      </c>
    </row>
    <row r="1513" spans="4:7">
      <c r="D1513" s="8"/>
      <c r="E1513" t="str">
        <f t="shared" si="46"/>
        <v/>
      </c>
      <c r="F1513" t="str">
        <f t="shared" si="47"/>
        <v/>
      </c>
      <c r="G1513" t="str">
        <f>IF(E1513="","",IF(COUNTIF('DATA QCEW'!$A$2:$A$20,E1513)&gt;0,"19-SECTOR","DETAIL / OTHER"))</f>
        <v/>
      </c>
    </row>
    <row r="1514" spans="4:7">
      <c r="D1514" s="8"/>
      <c r="E1514" t="str">
        <f t="shared" si="46"/>
        <v/>
      </c>
      <c r="F1514" t="str">
        <f t="shared" si="47"/>
        <v/>
      </c>
      <c r="G1514" t="str">
        <f>IF(E1514="","",IF(COUNTIF('DATA QCEW'!$A$2:$A$20,E1514)&gt;0,"19-SECTOR","DETAIL / OTHER"))</f>
        <v/>
      </c>
    </row>
    <row r="1515" spans="4:7">
      <c r="D1515" s="8"/>
      <c r="E1515" t="str">
        <f t="shared" si="46"/>
        <v/>
      </c>
      <c r="F1515" t="str">
        <f t="shared" si="47"/>
        <v/>
      </c>
      <c r="G1515" t="str">
        <f>IF(E1515="","",IF(COUNTIF('DATA QCEW'!$A$2:$A$20,E1515)&gt;0,"19-SECTOR","DETAIL / OTHER"))</f>
        <v/>
      </c>
    </row>
    <row r="1516" spans="4:7">
      <c r="D1516" s="8"/>
      <c r="E1516" t="str">
        <f t="shared" si="46"/>
        <v/>
      </c>
      <c r="F1516" t="str">
        <f t="shared" si="47"/>
        <v/>
      </c>
      <c r="G1516" t="str">
        <f>IF(E1516="","",IF(COUNTIF('DATA QCEW'!$A$2:$A$20,E1516)&gt;0,"19-SECTOR","DETAIL / OTHER"))</f>
        <v/>
      </c>
    </row>
    <row r="1517" spans="4:7">
      <c r="D1517" s="8"/>
      <c r="E1517" t="str">
        <f t="shared" si="46"/>
        <v/>
      </c>
      <c r="F1517" t="str">
        <f t="shared" si="47"/>
        <v/>
      </c>
      <c r="G1517" t="str">
        <f>IF(E1517="","",IF(COUNTIF('DATA QCEW'!$A$2:$A$20,E1517)&gt;0,"19-SECTOR","DETAIL / OTHER"))</f>
        <v/>
      </c>
    </row>
    <row r="1518" spans="4:7">
      <c r="D1518" s="8"/>
      <c r="E1518" t="str">
        <f t="shared" si="46"/>
        <v/>
      </c>
      <c r="F1518" t="str">
        <f t="shared" si="47"/>
        <v/>
      </c>
      <c r="G1518" t="str">
        <f>IF(E1518="","",IF(COUNTIF('DATA QCEW'!$A$2:$A$20,E1518)&gt;0,"19-SECTOR","DETAIL / OTHER"))</f>
        <v/>
      </c>
    </row>
    <row r="1519" spans="4:7">
      <c r="D1519" s="8"/>
      <c r="E1519" t="str">
        <f t="shared" si="46"/>
        <v/>
      </c>
      <c r="F1519" t="str">
        <f t="shared" si="47"/>
        <v/>
      </c>
      <c r="G1519" t="str">
        <f>IF(E1519="","",IF(COUNTIF('DATA QCEW'!$A$2:$A$20,E1519)&gt;0,"19-SECTOR","DETAIL / OTHER"))</f>
        <v/>
      </c>
    </row>
    <row r="1520" spans="4:7">
      <c r="D1520" s="8"/>
      <c r="E1520" t="str">
        <f t="shared" si="46"/>
        <v/>
      </c>
      <c r="F1520" t="str">
        <f t="shared" si="47"/>
        <v/>
      </c>
      <c r="G1520" t="str">
        <f>IF(E1520="","",IF(COUNTIF('DATA QCEW'!$A$2:$A$20,E1520)&gt;0,"19-SECTOR","DETAIL / OTHER"))</f>
        <v/>
      </c>
    </row>
    <row r="1521" spans="4:7">
      <c r="D1521" s="8"/>
      <c r="E1521" t="str">
        <f t="shared" si="46"/>
        <v/>
      </c>
      <c r="F1521" t="str">
        <f t="shared" si="47"/>
        <v/>
      </c>
      <c r="G1521" t="str">
        <f>IF(E1521="","",IF(COUNTIF('DATA QCEW'!$A$2:$A$20,E1521)&gt;0,"19-SECTOR","DETAIL / OTHER"))</f>
        <v/>
      </c>
    </row>
    <row r="1522" spans="4:7">
      <c r="D1522" s="8"/>
      <c r="E1522" t="str">
        <f t="shared" si="46"/>
        <v/>
      </c>
      <c r="F1522" t="str">
        <f t="shared" si="47"/>
        <v/>
      </c>
      <c r="G1522" t="str">
        <f>IF(E1522="","",IF(COUNTIF('DATA QCEW'!$A$2:$A$20,E1522)&gt;0,"19-SECTOR","DETAIL / OTHER"))</f>
        <v/>
      </c>
    </row>
    <row r="1523" spans="4:7">
      <c r="D1523" s="8"/>
      <c r="E1523" t="str">
        <f t="shared" si="46"/>
        <v/>
      </c>
      <c r="F1523" t="str">
        <f t="shared" si="47"/>
        <v/>
      </c>
      <c r="G1523" t="str">
        <f>IF(E1523="","",IF(COUNTIF('DATA QCEW'!$A$2:$A$20,E1523)&gt;0,"19-SECTOR","DETAIL / OTHER"))</f>
        <v/>
      </c>
    </row>
    <row r="1524" spans="4:7">
      <c r="D1524" s="8"/>
      <c r="E1524" t="str">
        <f t="shared" si="46"/>
        <v/>
      </c>
      <c r="F1524" t="str">
        <f t="shared" si="47"/>
        <v/>
      </c>
      <c r="G1524" t="str">
        <f>IF(E1524="","",IF(COUNTIF('DATA QCEW'!$A$2:$A$20,E1524)&gt;0,"19-SECTOR","DETAIL / OTHER"))</f>
        <v/>
      </c>
    </row>
    <row r="1525" spans="4:7">
      <c r="D1525" s="8"/>
      <c r="E1525" t="str">
        <f t="shared" si="46"/>
        <v/>
      </c>
      <c r="F1525" t="str">
        <f t="shared" si="47"/>
        <v/>
      </c>
      <c r="G1525" t="str">
        <f>IF(E1525="","",IF(COUNTIF('DATA QCEW'!$A$2:$A$20,E1525)&gt;0,"19-SECTOR","DETAIL / OTHER"))</f>
        <v/>
      </c>
    </row>
    <row r="1526" spans="4:7">
      <c r="D1526" s="8"/>
      <c r="E1526" t="str">
        <f t="shared" si="46"/>
        <v/>
      </c>
      <c r="F1526" t="str">
        <f t="shared" si="47"/>
        <v/>
      </c>
      <c r="G1526" t="str">
        <f>IF(E1526="","",IF(COUNTIF('DATA QCEW'!$A$2:$A$20,E1526)&gt;0,"19-SECTOR","DETAIL / OTHER"))</f>
        <v/>
      </c>
    </row>
    <row r="1527" spans="4:7">
      <c r="D1527" s="8"/>
      <c r="E1527" t="str">
        <f t="shared" si="46"/>
        <v/>
      </c>
      <c r="F1527" t="str">
        <f t="shared" si="47"/>
        <v/>
      </c>
      <c r="G1527" t="str">
        <f>IF(E1527="","",IF(COUNTIF('DATA QCEW'!$A$2:$A$20,E1527)&gt;0,"19-SECTOR","DETAIL / OTHER"))</f>
        <v/>
      </c>
    </row>
    <row r="1528" spans="4:7">
      <c r="D1528" s="8"/>
      <c r="E1528" t="str">
        <f t="shared" si="46"/>
        <v/>
      </c>
      <c r="F1528" t="str">
        <f t="shared" si="47"/>
        <v/>
      </c>
      <c r="G1528" t="str">
        <f>IF(E1528="","",IF(COUNTIF('DATA QCEW'!$A$2:$A$20,E1528)&gt;0,"19-SECTOR","DETAIL / OTHER"))</f>
        <v/>
      </c>
    </row>
    <row r="1529" spans="4:7">
      <c r="D1529" s="8"/>
      <c r="E1529" t="str">
        <f t="shared" si="46"/>
        <v/>
      </c>
      <c r="F1529" t="str">
        <f t="shared" si="47"/>
        <v/>
      </c>
      <c r="G1529" t="str">
        <f>IF(E1529="","",IF(COUNTIF('DATA QCEW'!$A$2:$A$20,E1529)&gt;0,"19-SECTOR","DETAIL / OTHER"))</f>
        <v/>
      </c>
    </row>
    <row r="1530" spans="4:7">
      <c r="D1530" s="8"/>
      <c r="E1530" t="str">
        <f t="shared" si="46"/>
        <v/>
      </c>
      <c r="F1530" t="str">
        <f t="shared" si="47"/>
        <v/>
      </c>
      <c r="G1530" t="str">
        <f>IF(E1530="","",IF(COUNTIF('DATA QCEW'!$A$2:$A$20,E1530)&gt;0,"19-SECTOR","DETAIL / OTHER"))</f>
        <v/>
      </c>
    </row>
    <row r="1531" spans="4:7">
      <c r="D1531" s="8"/>
      <c r="E1531" t="str">
        <f t="shared" si="46"/>
        <v/>
      </c>
      <c r="F1531" t="str">
        <f t="shared" si="47"/>
        <v/>
      </c>
      <c r="G1531" t="str">
        <f>IF(E1531="","",IF(COUNTIF('DATA QCEW'!$A$2:$A$20,E1531)&gt;0,"19-SECTOR","DETAIL / OTHER"))</f>
        <v/>
      </c>
    </row>
    <row r="1532" spans="4:7">
      <c r="D1532" s="8"/>
      <c r="E1532" t="str">
        <f t="shared" si="46"/>
        <v/>
      </c>
      <c r="F1532" t="str">
        <f t="shared" si="47"/>
        <v/>
      </c>
      <c r="G1532" t="str">
        <f>IF(E1532="","",IF(COUNTIF('DATA QCEW'!$A$2:$A$20,E1532)&gt;0,"19-SECTOR","DETAIL / OTHER"))</f>
        <v/>
      </c>
    </row>
    <row r="1533" spans="4:7">
      <c r="D1533" s="8"/>
      <c r="E1533" t="str">
        <f t="shared" si="46"/>
        <v/>
      </c>
      <c r="F1533" t="str">
        <f t="shared" si="47"/>
        <v/>
      </c>
      <c r="G1533" t="str">
        <f>IF(E1533="","",IF(COUNTIF('DATA QCEW'!$A$2:$A$20,E1533)&gt;0,"19-SECTOR","DETAIL / OTHER"))</f>
        <v/>
      </c>
    </row>
    <row r="1534" spans="4:7">
      <c r="D1534" s="8"/>
      <c r="E1534" t="str">
        <f t="shared" si="46"/>
        <v/>
      </c>
      <c r="F1534" t="str">
        <f t="shared" si="47"/>
        <v/>
      </c>
      <c r="G1534" t="str">
        <f>IF(E1534="","",IF(COUNTIF('DATA QCEW'!$A$2:$A$20,E1534)&gt;0,"19-SECTOR","DETAIL / OTHER"))</f>
        <v/>
      </c>
    </row>
    <row r="1535" spans="4:7">
      <c r="D1535" s="8"/>
      <c r="E1535" t="str">
        <f t="shared" si="46"/>
        <v/>
      </c>
      <c r="F1535" t="str">
        <f t="shared" si="47"/>
        <v/>
      </c>
      <c r="G1535" t="str">
        <f>IF(E1535="","",IF(COUNTIF('DATA QCEW'!$A$2:$A$20,E1535)&gt;0,"19-SECTOR","DETAIL / OTHER"))</f>
        <v/>
      </c>
    </row>
    <row r="1536" spans="4:7">
      <c r="D1536" s="8"/>
      <c r="E1536" t="str">
        <f t="shared" si="46"/>
        <v/>
      </c>
      <c r="F1536" t="str">
        <f t="shared" si="47"/>
        <v/>
      </c>
      <c r="G1536" t="str">
        <f>IF(E1536="","",IF(COUNTIF('DATA QCEW'!$A$2:$A$20,E1536)&gt;0,"19-SECTOR","DETAIL / OTHER"))</f>
        <v/>
      </c>
    </row>
    <row r="1537" spans="4:7">
      <c r="D1537" s="8"/>
      <c r="E1537" t="str">
        <f t="shared" si="46"/>
        <v/>
      </c>
      <c r="F1537" t="str">
        <f t="shared" si="47"/>
        <v/>
      </c>
      <c r="G1537" t="str">
        <f>IF(E1537="","",IF(COUNTIF('DATA QCEW'!$A$2:$A$20,E1537)&gt;0,"19-SECTOR","DETAIL / OTHER"))</f>
        <v/>
      </c>
    </row>
    <row r="1538" spans="4:7">
      <c r="D1538" s="8"/>
      <c r="E1538" t="str">
        <f t="shared" ref="E1538:E1601" si="48">IF(LEFT(TRIM(A1538),6)="NAICS ",IFERROR(MID(TRIM(A1538),7,FIND(" ",TRIM(A1538)&amp;" ",7)-7),""),"")</f>
        <v/>
      </c>
      <c r="F1538" t="str">
        <f t="shared" ref="F1538:F1601" si="49">IF(E1538="","",TRIM(MID(TRIM(A1538),FIND(" ",TRIM(A1538)&amp;" ",7)+1,255)))</f>
        <v/>
      </c>
      <c r="G1538" t="str">
        <f>IF(E1538="","",IF(COUNTIF('DATA QCEW'!$A$2:$A$20,E1538)&gt;0,"19-SECTOR","DETAIL / OTHER"))</f>
        <v/>
      </c>
    </row>
    <row r="1539" spans="4:7">
      <c r="D1539" s="8"/>
      <c r="E1539" t="str">
        <f t="shared" si="48"/>
        <v/>
      </c>
      <c r="F1539" t="str">
        <f t="shared" si="49"/>
        <v/>
      </c>
      <c r="G1539" t="str">
        <f>IF(E1539="","",IF(COUNTIF('DATA QCEW'!$A$2:$A$20,E1539)&gt;0,"19-SECTOR","DETAIL / OTHER"))</f>
        <v/>
      </c>
    </row>
    <row r="1540" spans="4:7">
      <c r="D1540" s="8"/>
      <c r="E1540" t="str">
        <f t="shared" si="48"/>
        <v/>
      </c>
      <c r="F1540" t="str">
        <f t="shared" si="49"/>
        <v/>
      </c>
      <c r="G1540" t="str">
        <f>IF(E1540="","",IF(COUNTIF('DATA QCEW'!$A$2:$A$20,E1540)&gt;0,"19-SECTOR","DETAIL / OTHER"))</f>
        <v/>
      </c>
    </row>
    <row r="1541" spans="4:7">
      <c r="D1541" s="8"/>
      <c r="E1541" t="str">
        <f t="shared" si="48"/>
        <v/>
      </c>
      <c r="F1541" t="str">
        <f t="shared" si="49"/>
        <v/>
      </c>
      <c r="G1541" t="str">
        <f>IF(E1541="","",IF(COUNTIF('DATA QCEW'!$A$2:$A$20,E1541)&gt;0,"19-SECTOR","DETAIL / OTHER"))</f>
        <v/>
      </c>
    </row>
    <row r="1542" spans="4:7">
      <c r="D1542" s="8"/>
      <c r="E1542" t="str">
        <f t="shared" si="48"/>
        <v/>
      </c>
      <c r="F1542" t="str">
        <f t="shared" si="49"/>
        <v/>
      </c>
      <c r="G1542" t="str">
        <f>IF(E1542="","",IF(COUNTIF('DATA QCEW'!$A$2:$A$20,E1542)&gt;0,"19-SECTOR","DETAIL / OTHER"))</f>
        <v/>
      </c>
    </row>
    <row r="1543" spans="4:7">
      <c r="D1543" s="8"/>
      <c r="E1543" t="str">
        <f t="shared" si="48"/>
        <v/>
      </c>
      <c r="F1543" t="str">
        <f t="shared" si="49"/>
        <v/>
      </c>
      <c r="G1543" t="str">
        <f>IF(E1543="","",IF(COUNTIF('DATA QCEW'!$A$2:$A$20,E1543)&gt;0,"19-SECTOR","DETAIL / OTHER"))</f>
        <v/>
      </c>
    </row>
    <row r="1544" spans="4:7">
      <c r="D1544" s="8"/>
      <c r="E1544" t="str">
        <f t="shared" si="48"/>
        <v/>
      </c>
      <c r="F1544" t="str">
        <f t="shared" si="49"/>
        <v/>
      </c>
      <c r="G1544" t="str">
        <f>IF(E1544="","",IF(COUNTIF('DATA QCEW'!$A$2:$A$20,E1544)&gt;0,"19-SECTOR","DETAIL / OTHER"))</f>
        <v/>
      </c>
    </row>
    <row r="1545" spans="4:7">
      <c r="D1545" s="8"/>
      <c r="E1545" t="str">
        <f t="shared" si="48"/>
        <v/>
      </c>
      <c r="F1545" t="str">
        <f t="shared" si="49"/>
        <v/>
      </c>
      <c r="G1545" t="str">
        <f>IF(E1545="","",IF(COUNTIF('DATA QCEW'!$A$2:$A$20,E1545)&gt;0,"19-SECTOR","DETAIL / OTHER"))</f>
        <v/>
      </c>
    </row>
    <row r="1546" spans="4:7">
      <c r="D1546" s="8"/>
      <c r="E1546" t="str">
        <f t="shared" si="48"/>
        <v/>
      </c>
      <c r="F1546" t="str">
        <f t="shared" si="49"/>
        <v/>
      </c>
      <c r="G1546" t="str">
        <f>IF(E1546="","",IF(COUNTIF('DATA QCEW'!$A$2:$A$20,E1546)&gt;0,"19-SECTOR","DETAIL / OTHER"))</f>
        <v/>
      </c>
    </row>
    <row r="1547" spans="4:7">
      <c r="D1547" s="8"/>
      <c r="E1547" t="str">
        <f t="shared" si="48"/>
        <v/>
      </c>
      <c r="F1547" t="str">
        <f t="shared" si="49"/>
        <v/>
      </c>
      <c r="G1547" t="str">
        <f>IF(E1547="","",IF(COUNTIF('DATA QCEW'!$A$2:$A$20,E1547)&gt;0,"19-SECTOR","DETAIL / OTHER"))</f>
        <v/>
      </c>
    </row>
    <row r="1548" spans="4:7">
      <c r="D1548" s="8"/>
      <c r="E1548" t="str">
        <f t="shared" si="48"/>
        <v/>
      </c>
      <c r="F1548" t="str">
        <f t="shared" si="49"/>
        <v/>
      </c>
      <c r="G1548" t="str">
        <f>IF(E1548="","",IF(COUNTIF('DATA QCEW'!$A$2:$A$20,E1548)&gt;0,"19-SECTOR","DETAIL / OTHER"))</f>
        <v/>
      </c>
    </row>
    <row r="1549" spans="4:7">
      <c r="D1549" s="8"/>
      <c r="E1549" t="str">
        <f t="shared" si="48"/>
        <v/>
      </c>
      <c r="F1549" t="str">
        <f t="shared" si="49"/>
        <v/>
      </c>
      <c r="G1549" t="str">
        <f>IF(E1549="","",IF(COUNTIF('DATA QCEW'!$A$2:$A$20,E1549)&gt;0,"19-SECTOR","DETAIL / OTHER"))</f>
        <v/>
      </c>
    </row>
    <row r="1550" spans="4:7">
      <c r="D1550" s="8"/>
      <c r="E1550" t="str">
        <f t="shared" si="48"/>
        <v/>
      </c>
      <c r="F1550" t="str">
        <f t="shared" si="49"/>
        <v/>
      </c>
      <c r="G1550" t="str">
        <f>IF(E1550="","",IF(COUNTIF('DATA QCEW'!$A$2:$A$20,E1550)&gt;0,"19-SECTOR","DETAIL / OTHER"))</f>
        <v/>
      </c>
    </row>
    <row r="1551" spans="4:7">
      <c r="D1551" s="8"/>
      <c r="E1551" t="str">
        <f t="shared" si="48"/>
        <v/>
      </c>
      <c r="F1551" t="str">
        <f t="shared" si="49"/>
        <v/>
      </c>
      <c r="G1551" t="str">
        <f>IF(E1551="","",IF(COUNTIF('DATA QCEW'!$A$2:$A$20,E1551)&gt;0,"19-SECTOR","DETAIL / OTHER"))</f>
        <v/>
      </c>
    </row>
    <row r="1552" spans="4:7">
      <c r="D1552" s="8"/>
      <c r="E1552" t="str">
        <f t="shared" si="48"/>
        <v/>
      </c>
      <c r="F1552" t="str">
        <f t="shared" si="49"/>
        <v/>
      </c>
      <c r="G1552" t="str">
        <f>IF(E1552="","",IF(COUNTIF('DATA QCEW'!$A$2:$A$20,E1552)&gt;0,"19-SECTOR","DETAIL / OTHER"))</f>
        <v/>
      </c>
    </row>
    <row r="1553" spans="4:7">
      <c r="D1553" s="8"/>
      <c r="E1553" t="str">
        <f t="shared" si="48"/>
        <v/>
      </c>
      <c r="F1553" t="str">
        <f t="shared" si="49"/>
        <v/>
      </c>
      <c r="G1553" t="str">
        <f>IF(E1553="","",IF(COUNTIF('DATA QCEW'!$A$2:$A$20,E1553)&gt;0,"19-SECTOR","DETAIL / OTHER"))</f>
        <v/>
      </c>
    </row>
    <row r="1554" spans="4:7">
      <c r="D1554" s="8"/>
      <c r="E1554" t="str">
        <f t="shared" si="48"/>
        <v/>
      </c>
      <c r="F1554" t="str">
        <f t="shared" si="49"/>
        <v/>
      </c>
      <c r="G1554" t="str">
        <f>IF(E1554="","",IF(COUNTIF('DATA QCEW'!$A$2:$A$20,E1554)&gt;0,"19-SECTOR","DETAIL / OTHER"))</f>
        <v/>
      </c>
    </row>
    <row r="1555" spans="4:7">
      <c r="D1555" s="8"/>
      <c r="E1555" t="str">
        <f t="shared" si="48"/>
        <v/>
      </c>
      <c r="F1555" t="str">
        <f t="shared" si="49"/>
        <v/>
      </c>
      <c r="G1555" t="str">
        <f>IF(E1555="","",IF(COUNTIF('DATA QCEW'!$A$2:$A$20,E1555)&gt;0,"19-SECTOR","DETAIL / OTHER"))</f>
        <v/>
      </c>
    </row>
    <row r="1556" spans="4:7">
      <c r="D1556" s="8"/>
      <c r="E1556" t="str">
        <f t="shared" si="48"/>
        <v/>
      </c>
      <c r="F1556" t="str">
        <f t="shared" si="49"/>
        <v/>
      </c>
      <c r="G1556" t="str">
        <f>IF(E1556="","",IF(COUNTIF('DATA QCEW'!$A$2:$A$20,E1556)&gt;0,"19-SECTOR","DETAIL / OTHER"))</f>
        <v/>
      </c>
    </row>
    <row r="1557" spans="4:7">
      <c r="D1557" s="8"/>
      <c r="E1557" t="str">
        <f t="shared" si="48"/>
        <v/>
      </c>
      <c r="F1557" t="str">
        <f t="shared" si="49"/>
        <v/>
      </c>
      <c r="G1557" t="str">
        <f>IF(E1557="","",IF(COUNTIF('DATA QCEW'!$A$2:$A$20,E1557)&gt;0,"19-SECTOR","DETAIL / OTHER"))</f>
        <v/>
      </c>
    </row>
    <row r="1558" spans="4:7">
      <c r="D1558" s="8"/>
      <c r="E1558" t="str">
        <f t="shared" si="48"/>
        <v/>
      </c>
      <c r="F1558" t="str">
        <f t="shared" si="49"/>
        <v/>
      </c>
      <c r="G1558" t="str">
        <f>IF(E1558="","",IF(COUNTIF('DATA QCEW'!$A$2:$A$20,E1558)&gt;0,"19-SECTOR","DETAIL / OTHER"))</f>
        <v/>
      </c>
    </row>
    <row r="1559" spans="4:7">
      <c r="D1559" s="8"/>
      <c r="E1559" t="str">
        <f t="shared" si="48"/>
        <v/>
      </c>
      <c r="F1559" t="str">
        <f t="shared" si="49"/>
        <v/>
      </c>
      <c r="G1559" t="str">
        <f>IF(E1559="","",IF(COUNTIF('DATA QCEW'!$A$2:$A$20,E1559)&gt;0,"19-SECTOR","DETAIL / OTHER"))</f>
        <v/>
      </c>
    </row>
    <row r="1560" spans="4:7">
      <c r="D1560" s="8"/>
      <c r="E1560" t="str">
        <f t="shared" si="48"/>
        <v/>
      </c>
      <c r="F1560" t="str">
        <f t="shared" si="49"/>
        <v/>
      </c>
      <c r="G1560" t="str">
        <f>IF(E1560="","",IF(COUNTIF('DATA QCEW'!$A$2:$A$20,E1560)&gt;0,"19-SECTOR","DETAIL / OTHER"))</f>
        <v/>
      </c>
    </row>
    <row r="1561" spans="4:7">
      <c r="D1561" s="8"/>
      <c r="E1561" t="str">
        <f t="shared" si="48"/>
        <v/>
      </c>
      <c r="F1561" t="str">
        <f t="shared" si="49"/>
        <v/>
      </c>
      <c r="G1561" t="str">
        <f>IF(E1561="","",IF(COUNTIF('DATA QCEW'!$A$2:$A$20,E1561)&gt;0,"19-SECTOR","DETAIL / OTHER"))</f>
        <v/>
      </c>
    </row>
    <row r="1562" spans="4:7">
      <c r="D1562" s="8"/>
      <c r="E1562" t="str">
        <f t="shared" si="48"/>
        <v/>
      </c>
      <c r="F1562" t="str">
        <f t="shared" si="49"/>
        <v/>
      </c>
      <c r="G1562" t="str">
        <f>IF(E1562="","",IF(COUNTIF('DATA QCEW'!$A$2:$A$20,E1562)&gt;0,"19-SECTOR","DETAIL / OTHER"))</f>
        <v/>
      </c>
    </row>
    <row r="1563" spans="4:7">
      <c r="D1563" s="8"/>
      <c r="E1563" t="str">
        <f t="shared" si="48"/>
        <v/>
      </c>
      <c r="F1563" t="str">
        <f t="shared" si="49"/>
        <v/>
      </c>
      <c r="G1563" t="str">
        <f>IF(E1563="","",IF(COUNTIF('DATA QCEW'!$A$2:$A$20,E1563)&gt;0,"19-SECTOR","DETAIL / OTHER"))</f>
        <v/>
      </c>
    </row>
    <row r="1564" spans="4:7">
      <c r="D1564" s="8"/>
      <c r="E1564" t="str">
        <f t="shared" si="48"/>
        <v/>
      </c>
      <c r="F1564" t="str">
        <f t="shared" si="49"/>
        <v/>
      </c>
      <c r="G1564" t="str">
        <f>IF(E1564="","",IF(COUNTIF('DATA QCEW'!$A$2:$A$20,E1564)&gt;0,"19-SECTOR","DETAIL / OTHER"))</f>
        <v/>
      </c>
    </row>
    <row r="1565" spans="4:7">
      <c r="D1565" s="8"/>
      <c r="E1565" t="str">
        <f t="shared" si="48"/>
        <v/>
      </c>
      <c r="F1565" t="str">
        <f t="shared" si="49"/>
        <v/>
      </c>
      <c r="G1565" t="str">
        <f>IF(E1565="","",IF(COUNTIF('DATA QCEW'!$A$2:$A$20,E1565)&gt;0,"19-SECTOR","DETAIL / OTHER"))</f>
        <v/>
      </c>
    </row>
    <row r="1566" spans="4:7">
      <c r="D1566" s="8"/>
      <c r="E1566" t="str">
        <f t="shared" si="48"/>
        <v/>
      </c>
      <c r="F1566" t="str">
        <f t="shared" si="49"/>
        <v/>
      </c>
      <c r="G1566" t="str">
        <f>IF(E1566="","",IF(COUNTIF('DATA QCEW'!$A$2:$A$20,E1566)&gt;0,"19-SECTOR","DETAIL / OTHER"))</f>
        <v/>
      </c>
    </row>
    <row r="1567" spans="4:7">
      <c r="D1567" s="8"/>
      <c r="E1567" t="str">
        <f t="shared" si="48"/>
        <v/>
      </c>
      <c r="F1567" t="str">
        <f t="shared" si="49"/>
        <v/>
      </c>
      <c r="G1567" t="str">
        <f>IF(E1567="","",IF(COUNTIF('DATA QCEW'!$A$2:$A$20,E1567)&gt;0,"19-SECTOR","DETAIL / OTHER"))</f>
        <v/>
      </c>
    </row>
    <row r="1568" spans="4:7">
      <c r="D1568" s="8"/>
      <c r="E1568" t="str">
        <f t="shared" si="48"/>
        <v/>
      </c>
      <c r="F1568" t="str">
        <f t="shared" si="49"/>
        <v/>
      </c>
      <c r="G1568" t="str">
        <f>IF(E1568="","",IF(COUNTIF('DATA QCEW'!$A$2:$A$20,E1568)&gt;0,"19-SECTOR","DETAIL / OTHER"))</f>
        <v/>
      </c>
    </row>
    <row r="1569" spans="4:7">
      <c r="D1569" s="8"/>
      <c r="E1569" t="str">
        <f t="shared" si="48"/>
        <v/>
      </c>
      <c r="F1569" t="str">
        <f t="shared" si="49"/>
        <v/>
      </c>
      <c r="G1569" t="str">
        <f>IF(E1569="","",IF(COUNTIF('DATA QCEW'!$A$2:$A$20,E1569)&gt;0,"19-SECTOR","DETAIL / OTHER"))</f>
        <v/>
      </c>
    </row>
    <row r="1570" spans="4:7">
      <c r="D1570" s="8"/>
      <c r="E1570" t="str">
        <f t="shared" si="48"/>
        <v/>
      </c>
      <c r="F1570" t="str">
        <f t="shared" si="49"/>
        <v/>
      </c>
      <c r="G1570" t="str">
        <f>IF(E1570="","",IF(COUNTIF('DATA QCEW'!$A$2:$A$20,E1570)&gt;0,"19-SECTOR","DETAIL / OTHER"))</f>
        <v/>
      </c>
    </row>
    <row r="1571" spans="4:7">
      <c r="D1571" s="8"/>
      <c r="E1571" t="str">
        <f t="shared" si="48"/>
        <v/>
      </c>
      <c r="F1571" t="str">
        <f t="shared" si="49"/>
        <v/>
      </c>
      <c r="G1571" t="str">
        <f>IF(E1571="","",IF(COUNTIF('DATA QCEW'!$A$2:$A$20,E1571)&gt;0,"19-SECTOR","DETAIL / OTHER"))</f>
        <v/>
      </c>
    </row>
    <row r="1572" spans="4:7">
      <c r="D1572" s="8"/>
      <c r="E1572" t="str">
        <f t="shared" si="48"/>
        <v/>
      </c>
      <c r="F1572" t="str">
        <f t="shared" si="49"/>
        <v/>
      </c>
      <c r="G1572" t="str">
        <f>IF(E1572="","",IF(COUNTIF('DATA QCEW'!$A$2:$A$20,E1572)&gt;0,"19-SECTOR","DETAIL / OTHER"))</f>
        <v/>
      </c>
    </row>
    <row r="1573" spans="4:7">
      <c r="D1573" s="8"/>
      <c r="E1573" t="str">
        <f t="shared" si="48"/>
        <v/>
      </c>
      <c r="F1573" t="str">
        <f t="shared" si="49"/>
        <v/>
      </c>
      <c r="G1573" t="str">
        <f>IF(E1573="","",IF(COUNTIF('DATA QCEW'!$A$2:$A$20,E1573)&gt;0,"19-SECTOR","DETAIL / OTHER"))</f>
        <v/>
      </c>
    </row>
    <row r="1574" spans="4:7">
      <c r="D1574" s="8"/>
      <c r="E1574" t="str">
        <f t="shared" si="48"/>
        <v/>
      </c>
      <c r="F1574" t="str">
        <f t="shared" si="49"/>
        <v/>
      </c>
      <c r="G1574" t="str">
        <f>IF(E1574="","",IF(COUNTIF('DATA QCEW'!$A$2:$A$20,E1574)&gt;0,"19-SECTOR","DETAIL / OTHER"))</f>
        <v/>
      </c>
    </row>
    <row r="1575" spans="4:7">
      <c r="D1575" s="8"/>
      <c r="E1575" t="str">
        <f t="shared" si="48"/>
        <v/>
      </c>
      <c r="F1575" t="str">
        <f t="shared" si="49"/>
        <v/>
      </c>
      <c r="G1575" t="str">
        <f>IF(E1575="","",IF(COUNTIF('DATA QCEW'!$A$2:$A$20,E1575)&gt;0,"19-SECTOR","DETAIL / OTHER"))</f>
        <v/>
      </c>
    </row>
    <row r="1576" spans="4:7">
      <c r="D1576" s="8"/>
      <c r="E1576" t="str">
        <f t="shared" si="48"/>
        <v/>
      </c>
      <c r="F1576" t="str">
        <f t="shared" si="49"/>
        <v/>
      </c>
      <c r="G1576" t="str">
        <f>IF(E1576="","",IF(COUNTIF('DATA QCEW'!$A$2:$A$20,E1576)&gt;0,"19-SECTOR","DETAIL / OTHER"))</f>
        <v/>
      </c>
    </row>
    <row r="1577" spans="4:7">
      <c r="D1577" s="8"/>
      <c r="E1577" t="str">
        <f t="shared" si="48"/>
        <v/>
      </c>
      <c r="F1577" t="str">
        <f t="shared" si="49"/>
        <v/>
      </c>
      <c r="G1577" t="str">
        <f>IF(E1577="","",IF(COUNTIF('DATA QCEW'!$A$2:$A$20,E1577)&gt;0,"19-SECTOR","DETAIL / OTHER"))</f>
        <v/>
      </c>
    </row>
    <row r="1578" spans="4:7">
      <c r="D1578" s="8"/>
      <c r="E1578" t="str">
        <f t="shared" si="48"/>
        <v/>
      </c>
      <c r="F1578" t="str">
        <f t="shared" si="49"/>
        <v/>
      </c>
      <c r="G1578" t="str">
        <f>IF(E1578="","",IF(COUNTIF('DATA QCEW'!$A$2:$A$20,E1578)&gt;0,"19-SECTOR","DETAIL / OTHER"))</f>
        <v/>
      </c>
    </row>
    <row r="1579" spans="4:7">
      <c r="D1579" s="8"/>
      <c r="E1579" t="str">
        <f t="shared" si="48"/>
        <v/>
      </c>
      <c r="F1579" t="str">
        <f t="shared" si="49"/>
        <v/>
      </c>
      <c r="G1579" t="str">
        <f>IF(E1579="","",IF(COUNTIF('DATA QCEW'!$A$2:$A$20,E1579)&gt;0,"19-SECTOR","DETAIL / OTHER"))</f>
        <v/>
      </c>
    </row>
    <row r="1580" spans="4:7">
      <c r="D1580" s="8"/>
      <c r="E1580" t="str">
        <f t="shared" si="48"/>
        <v/>
      </c>
      <c r="F1580" t="str">
        <f t="shared" si="49"/>
        <v/>
      </c>
      <c r="G1580" t="str">
        <f>IF(E1580="","",IF(COUNTIF('DATA QCEW'!$A$2:$A$20,E1580)&gt;0,"19-SECTOR","DETAIL / OTHER"))</f>
        <v/>
      </c>
    </row>
    <row r="1581" spans="4:7">
      <c r="D1581" s="8"/>
      <c r="E1581" t="str">
        <f t="shared" si="48"/>
        <v/>
      </c>
      <c r="F1581" t="str">
        <f t="shared" si="49"/>
        <v/>
      </c>
      <c r="G1581" t="str">
        <f>IF(E1581="","",IF(COUNTIF('DATA QCEW'!$A$2:$A$20,E1581)&gt;0,"19-SECTOR","DETAIL / OTHER"))</f>
        <v/>
      </c>
    </row>
    <row r="1582" spans="4:7">
      <c r="D1582" s="8"/>
      <c r="E1582" t="str">
        <f t="shared" si="48"/>
        <v/>
      </c>
      <c r="F1582" t="str">
        <f t="shared" si="49"/>
        <v/>
      </c>
      <c r="G1582" t="str">
        <f>IF(E1582="","",IF(COUNTIF('DATA QCEW'!$A$2:$A$20,E1582)&gt;0,"19-SECTOR","DETAIL / OTHER"))</f>
        <v/>
      </c>
    </row>
    <row r="1583" spans="4:7">
      <c r="D1583" s="8"/>
      <c r="E1583" t="str">
        <f t="shared" si="48"/>
        <v/>
      </c>
      <c r="F1583" t="str">
        <f t="shared" si="49"/>
        <v/>
      </c>
      <c r="G1583" t="str">
        <f>IF(E1583="","",IF(COUNTIF('DATA QCEW'!$A$2:$A$20,E1583)&gt;0,"19-SECTOR","DETAIL / OTHER"))</f>
        <v/>
      </c>
    </row>
    <row r="1584" spans="4:7">
      <c r="D1584" s="8"/>
      <c r="E1584" t="str">
        <f t="shared" si="48"/>
        <v/>
      </c>
      <c r="F1584" t="str">
        <f t="shared" si="49"/>
        <v/>
      </c>
      <c r="G1584" t="str">
        <f>IF(E1584="","",IF(COUNTIF('DATA QCEW'!$A$2:$A$20,E1584)&gt;0,"19-SECTOR","DETAIL / OTHER"))</f>
        <v/>
      </c>
    </row>
    <row r="1585" spans="4:7">
      <c r="D1585" s="8"/>
      <c r="E1585" t="str">
        <f t="shared" si="48"/>
        <v/>
      </c>
      <c r="F1585" t="str">
        <f t="shared" si="49"/>
        <v/>
      </c>
      <c r="G1585" t="str">
        <f>IF(E1585="","",IF(COUNTIF('DATA QCEW'!$A$2:$A$20,E1585)&gt;0,"19-SECTOR","DETAIL / OTHER"))</f>
        <v/>
      </c>
    </row>
    <row r="1586" spans="4:7">
      <c r="D1586" s="8"/>
      <c r="E1586" t="str">
        <f t="shared" si="48"/>
        <v/>
      </c>
      <c r="F1586" t="str">
        <f t="shared" si="49"/>
        <v/>
      </c>
      <c r="G1586" t="str">
        <f>IF(E1586="","",IF(COUNTIF('DATA QCEW'!$A$2:$A$20,E1586)&gt;0,"19-SECTOR","DETAIL / OTHER"))</f>
        <v/>
      </c>
    </row>
    <row r="1587" spans="4:7">
      <c r="D1587" s="8"/>
      <c r="E1587" t="str">
        <f t="shared" si="48"/>
        <v/>
      </c>
      <c r="F1587" t="str">
        <f t="shared" si="49"/>
        <v/>
      </c>
      <c r="G1587" t="str">
        <f>IF(E1587="","",IF(COUNTIF('DATA QCEW'!$A$2:$A$20,E1587)&gt;0,"19-SECTOR","DETAIL / OTHER"))</f>
        <v/>
      </c>
    </row>
    <row r="1588" spans="4:7">
      <c r="D1588" s="8"/>
      <c r="E1588" t="str">
        <f t="shared" si="48"/>
        <v/>
      </c>
      <c r="F1588" t="str">
        <f t="shared" si="49"/>
        <v/>
      </c>
      <c r="G1588" t="str">
        <f>IF(E1588="","",IF(COUNTIF('DATA QCEW'!$A$2:$A$20,E1588)&gt;0,"19-SECTOR","DETAIL / OTHER"))</f>
        <v/>
      </c>
    </row>
    <row r="1589" spans="4:7">
      <c r="D1589" s="8"/>
      <c r="E1589" t="str">
        <f t="shared" si="48"/>
        <v/>
      </c>
      <c r="F1589" t="str">
        <f t="shared" si="49"/>
        <v/>
      </c>
      <c r="G1589" t="str">
        <f>IF(E1589="","",IF(COUNTIF('DATA QCEW'!$A$2:$A$20,E1589)&gt;0,"19-SECTOR","DETAIL / OTHER"))</f>
        <v/>
      </c>
    </row>
    <row r="1590" spans="4:7">
      <c r="D1590" s="8"/>
      <c r="E1590" t="str">
        <f t="shared" si="48"/>
        <v/>
      </c>
      <c r="F1590" t="str">
        <f t="shared" si="49"/>
        <v/>
      </c>
      <c r="G1590" t="str">
        <f>IF(E1590="","",IF(COUNTIF('DATA QCEW'!$A$2:$A$20,E1590)&gt;0,"19-SECTOR","DETAIL / OTHER"))</f>
        <v/>
      </c>
    </row>
    <row r="1591" spans="4:7">
      <c r="D1591" s="8"/>
      <c r="E1591" t="str">
        <f t="shared" si="48"/>
        <v/>
      </c>
      <c r="F1591" t="str">
        <f t="shared" si="49"/>
        <v/>
      </c>
      <c r="G1591" t="str">
        <f>IF(E1591="","",IF(COUNTIF('DATA QCEW'!$A$2:$A$20,E1591)&gt;0,"19-SECTOR","DETAIL / OTHER"))</f>
        <v/>
      </c>
    </row>
    <row r="1592" spans="4:7">
      <c r="D1592" s="8"/>
      <c r="E1592" t="str">
        <f t="shared" si="48"/>
        <v/>
      </c>
      <c r="F1592" t="str">
        <f t="shared" si="49"/>
        <v/>
      </c>
      <c r="G1592" t="str">
        <f>IF(E1592="","",IF(COUNTIF('DATA QCEW'!$A$2:$A$20,E1592)&gt;0,"19-SECTOR","DETAIL / OTHER"))</f>
        <v/>
      </c>
    </row>
    <row r="1593" spans="4:7">
      <c r="D1593" s="8"/>
      <c r="E1593" t="str">
        <f t="shared" si="48"/>
        <v/>
      </c>
      <c r="F1593" t="str">
        <f t="shared" si="49"/>
        <v/>
      </c>
      <c r="G1593" t="str">
        <f>IF(E1593="","",IF(COUNTIF('DATA QCEW'!$A$2:$A$20,E1593)&gt;0,"19-SECTOR","DETAIL / OTHER"))</f>
        <v/>
      </c>
    </row>
    <row r="1594" spans="4:7">
      <c r="D1594" s="8"/>
      <c r="E1594" t="str">
        <f t="shared" si="48"/>
        <v/>
      </c>
      <c r="F1594" t="str">
        <f t="shared" si="49"/>
        <v/>
      </c>
      <c r="G1594" t="str">
        <f>IF(E1594="","",IF(COUNTIF('DATA QCEW'!$A$2:$A$20,E1594)&gt;0,"19-SECTOR","DETAIL / OTHER"))</f>
        <v/>
      </c>
    </row>
    <row r="1595" spans="4:7">
      <c r="D1595" s="8"/>
      <c r="E1595" t="str">
        <f t="shared" si="48"/>
        <v/>
      </c>
      <c r="F1595" t="str">
        <f t="shared" si="49"/>
        <v/>
      </c>
      <c r="G1595" t="str">
        <f>IF(E1595="","",IF(COUNTIF('DATA QCEW'!$A$2:$A$20,E1595)&gt;0,"19-SECTOR","DETAIL / OTHER"))</f>
        <v/>
      </c>
    </row>
    <row r="1596" spans="4:7">
      <c r="D1596" s="8"/>
      <c r="E1596" t="str">
        <f t="shared" si="48"/>
        <v/>
      </c>
      <c r="F1596" t="str">
        <f t="shared" si="49"/>
        <v/>
      </c>
      <c r="G1596" t="str">
        <f>IF(E1596="","",IF(COUNTIF('DATA QCEW'!$A$2:$A$20,E1596)&gt;0,"19-SECTOR","DETAIL / OTHER"))</f>
        <v/>
      </c>
    </row>
    <row r="1597" spans="4:7">
      <c r="D1597" s="8"/>
      <c r="E1597" t="str">
        <f t="shared" si="48"/>
        <v/>
      </c>
      <c r="F1597" t="str">
        <f t="shared" si="49"/>
        <v/>
      </c>
      <c r="G1597" t="str">
        <f>IF(E1597="","",IF(COUNTIF('DATA QCEW'!$A$2:$A$20,E1597)&gt;0,"19-SECTOR","DETAIL / OTHER"))</f>
        <v/>
      </c>
    </row>
    <row r="1598" spans="4:7">
      <c r="D1598" s="8"/>
      <c r="E1598" t="str">
        <f t="shared" si="48"/>
        <v/>
      </c>
      <c r="F1598" t="str">
        <f t="shared" si="49"/>
        <v/>
      </c>
      <c r="G1598" t="str">
        <f>IF(E1598="","",IF(COUNTIF('DATA QCEW'!$A$2:$A$20,E1598)&gt;0,"19-SECTOR","DETAIL / OTHER"))</f>
        <v/>
      </c>
    </row>
    <row r="1599" spans="4:7">
      <c r="D1599" s="8"/>
      <c r="E1599" t="str">
        <f t="shared" si="48"/>
        <v/>
      </c>
      <c r="F1599" t="str">
        <f t="shared" si="49"/>
        <v/>
      </c>
      <c r="G1599" t="str">
        <f>IF(E1599="","",IF(COUNTIF('DATA QCEW'!$A$2:$A$20,E1599)&gt;0,"19-SECTOR","DETAIL / OTHER"))</f>
        <v/>
      </c>
    </row>
    <row r="1600" spans="4:7">
      <c r="D1600" s="8"/>
      <c r="E1600" t="str">
        <f t="shared" si="48"/>
        <v/>
      </c>
      <c r="F1600" t="str">
        <f t="shared" si="49"/>
        <v/>
      </c>
      <c r="G1600" t="str">
        <f>IF(E1600="","",IF(COUNTIF('DATA QCEW'!$A$2:$A$20,E1600)&gt;0,"19-SECTOR","DETAIL / OTHER"))</f>
        <v/>
      </c>
    </row>
    <row r="1601" spans="4:7">
      <c r="D1601" s="8"/>
      <c r="E1601" t="str">
        <f t="shared" si="48"/>
        <v/>
      </c>
      <c r="F1601" t="str">
        <f t="shared" si="49"/>
        <v/>
      </c>
      <c r="G1601" t="str">
        <f>IF(E1601="","",IF(COUNTIF('DATA QCEW'!$A$2:$A$20,E1601)&gt;0,"19-SECTOR","DETAIL / OTHER"))</f>
        <v/>
      </c>
    </row>
    <row r="1602" spans="4:7">
      <c r="D1602" s="8"/>
      <c r="E1602" t="str">
        <f t="shared" ref="E1602:E1665" si="50">IF(LEFT(TRIM(A1602),6)="NAICS ",IFERROR(MID(TRIM(A1602),7,FIND(" ",TRIM(A1602)&amp;" ",7)-7),""),"")</f>
        <v/>
      </c>
      <c r="F1602" t="str">
        <f t="shared" ref="F1602:F1665" si="51">IF(E1602="","",TRIM(MID(TRIM(A1602),FIND(" ",TRIM(A1602)&amp;" ",7)+1,255)))</f>
        <v/>
      </c>
      <c r="G1602" t="str">
        <f>IF(E1602="","",IF(COUNTIF('DATA QCEW'!$A$2:$A$20,E1602)&gt;0,"19-SECTOR","DETAIL / OTHER"))</f>
        <v/>
      </c>
    </row>
    <row r="1603" spans="4:7">
      <c r="D1603" s="8"/>
      <c r="E1603" t="str">
        <f t="shared" si="50"/>
        <v/>
      </c>
      <c r="F1603" t="str">
        <f t="shared" si="51"/>
        <v/>
      </c>
      <c r="G1603" t="str">
        <f>IF(E1603="","",IF(COUNTIF('DATA QCEW'!$A$2:$A$20,E1603)&gt;0,"19-SECTOR","DETAIL / OTHER"))</f>
        <v/>
      </c>
    </row>
    <row r="1604" spans="4:7">
      <c r="D1604" s="8"/>
      <c r="E1604" t="str">
        <f t="shared" si="50"/>
        <v/>
      </c>
      <c r="F1604" t="str">
        <f t="shared" si="51"/>
        <v/>
      </c>
      <c r="G1604" t="str">
        <f>IF(E1604="","",IF(COUNTIF('DATA QCEW'!$A$2:$A$20,E1604)&gt;0,"19-SECTOR","DETAIL / OTHER"))</f>
        <v/>
      </c>
    </row>
    <row r="1605" spans="4:7">
      <c r="D1605" s="8"/>
      <c r="E1605" t="str">
        <f t="shared" si="50"/>
        <v/>
      </c>
      <c r="F1605" t="str">
        <f t="shared" si="51"/>
        <v/>
      </c>
      <c r="G1605" t="str">
        <f>IF(E1605="","",IF(COUNTIF('DATA QCEW'!$A$2:$A$20,E1605)&gt;0,"19-SECTOR","DETAIL / OTHER"))</f>
        <v/>
      </c>
    </row>
    <row r="1606" spans="4:7">
      <c r="D1606" s="8"/>
      <c r="E1606" t="str">
        <f t="shared" si="50"/>
        <v/>
      </c>
      <c r="F1606" t="str">
        <f t="shared" si="51"/>
        <v/>
      </c>
      <c r="G1606" t="str">
        <f>IF(E1606="","",IF(COUNTIF('DATA QCEW'!$A$2:$A$20,E1606)&gt;0,"19-SECTOR","DETAIL / OTHER"))</f>
        <v/>
      </c>
    </row>
    <row r="1607" spans="4:7">
      <c r="D1607" s="8"/>
      <c r="E1607" t="str">
        <f t="shared" si="50"/>
        <v/>
      </c>
      <c r="F1607" t="str">
        <f t="shared" si="51"/>
        <v/>
      </c>
      <c r="G1607" t="str">
        <f>IF(E1607="","",IF(COUNTIF('DATA QCEW'!$A$2:$A$20,E1607)&gt;0,"19-SECTOR","DETAIL / OTHER"))</f>
        <v/>
      </c>
    </row>
    <row r="1608" spans="4:7">
      <c r="D1608" s="8"/>
      <c r="E1608" t="str">
        <f t="shared" si="50"/>
        <v/>
      </c>
      <c r="F1608" t="str">
        <f t="shared" si="51"/>
        <v/>
      </c>
      <c r="G1608" t="str">
        <f>IF(E1608="","",IF(COUNTIF('DATA QCEW'!$A$2:$A$20,E1608)&gt;0,"19-SECTOR","DETAIL / OTHER"))</f>
        <v/>
      </c>
    </row>
    <row r="1609" spans="4:7">
      <c r="D1609" s="8"/>
      <c r="E1609" t="str">
        <f t="shared" si="50"/>
        <v/>
      </c>
      <c r="F1609" t="str">
        <f t="shared" si="51"/>
        <v/>
      </c>
      <c r="G1609" t="str">
        <f>IF(E1609="","",IF(COUNTIF('DATA QCEW'!$A$2:$A$20,E1609)&gt;0,"19-SECTOR","DETAIL / OTHER"))</f>
        <v/>
      </c>
    </row>
    <row r="1610" spans="4:7">
      <c r="D1610" s="8"/>
      <c r="E1610" t="str">
        <f t="shared" si="50"/>
        <v/>
      </c>
      <c r="F1610" t="str">
        <f t="shared" si="51"/>
        <v/>
      </c>
      <c r="G1610" t="str">
        <f>IF(E1610="","",IF(COUNTIF('DATA QCEW'!$A$2:$A$20,E1610)&gt;0,"19-SECTOR","DETAIL / OTHER"))</f>
        <v/>
      </c>
    </row>
    <row r="1611" spans="4:7">
      <c r="D1611" s="8"/>
      <c r="E1611" t="str">
        <f t="shared" si="50"/>
        <v/>
      </c>
      <c r="F1611" t="str">
        <f t="shared" si="51"/>
        <v/>
      </c>
      <c r="G1611" t="str">
        <f>IF(E1611="","",IF(COUNTIF('DATA QCEW'!$A$2:$A$20,E1611)&gt;0,"19-SECTOR","DETAIL / OTHER"))</f>
        <v/>
      </c>
    </row>
    <row r="1612" spans="4:7">
      <c r="D1612" s="8"/>
      <c r="E1612" t="str">
        <f t="shared" si="50"/>
        <v/>
      </c>
      <c r="F1612" t="str">
        <f t="shared" si="51"/>
        <v/>
      </c>
      <c r="G1612" t="str">
        <f>IF(E1612="","",IF(COUNTIF('DATA QCEW'!$A$2:$A$20,E1612)&gt;0,"19-SECTOR","DETAIL / OTHER"))</f>
        <v/>
      </c>
    </row>
    <row r="1613" spans="4:7">
      <c r="D1613" s="8"/>
      <c r="E1613" t="str">
        <f t="shared" si="50"/>
        <v/>
      </c>
      <c r="F1613" t="str">
        <f t="shared" si="51"/>
        <v/>
      </c>
      <c r="G1613" t="str">
        <f>IF(E1613="","",IF(COUNTIF('DATA QCEW'!$A$2:$A$20,E1613)&gt;0,"19-SECTOR","DETAIL / OTHER"))</f>
        <v/>
      </c>
    </row>
    <row r="1614" spans="4:7">
      <c r="D1614" s="8"/>
      <c r="E1614" t="str">
        <f t="shared" si="50"/>
        <v/>
      </c>
      <c r="F1614" t="str">
        <f t="shared" si="51"/>
        <v/>
      </c>
      <c r="G1614" t="str">
        <f>IF(E1614="","",IF(COUNTIF('DATA QCEW'!$A$2:$A$20,E1614)&gt;0,"19-SECTOR","DETAIL / OTHER"))</f>
        <v/>
      </c>
    </row>
    <row r="1615" spans="4:7">
      <c r="D1615" s="8"/>
      <c r="E1615" t="str">
        <f t="shared" si="50"/>
        <v/>
      </c>
      <c r="F1615" t="str">
        <f t="shared" si="51"/>
        <v/>
      </c>
      <c r="G1615" t="str">
        <f>IF(E1615="","",IF(COUNTIF('DATA QCEW'!$A$2:$A$20,E1615)&gt;0,"19-SECTOR","DETAIL / OTHER"))</f>
        <v/>
      </c>
    </row>
    <row r="1616" spans="4:7">
      <c r="D1616" s="8"/>
      <c r="E1616" t="str">
        <f t="shared" si="50"/>
        <v/>
      </c>
      <c r="F1616" t="str">
        <f t="shared" si="51"/>
        <v/>
      </c>
      <c r="G1616" t="str">
        <f>IF(E1616="","",IF(COUNTIF('DATA QCEW'!$A$2:$A$20,E1616)&gt;0,"19-SECTOR","DETAIL / OTHER"))</f>
        <v/>
      </c>
    </row>
    <row r="1617" spans="4:7">
      <c r="D1617" s="8"/>
      <c r="E1617" t="str">
        <f t="shared" si="50"/>
        <v/>
      </c>
      <c r="F1617" t="str">
        <f t="shared" si="51"/>
        <v/>
      </c>
      <c r="G1617" t="str">
        <f>IF(E1617="","",IF(COUNTIF('DATA QCEW'!$A$2:$A$20,E1617)&gt;0,"19-SECTOR","DETAIL / OTHER"))</f>
        <v/>
      </c>
    </row>
    <row r="1618" spans="4:7">
      <c r="D1618" s="8"/>
      <c r="E1618" t="str">
        <f t="shared" si="50"/>
        <v/>
      </c>
      <c r="F1618" t="str">
        <f t="shared" si="51"/>
        <v/>
      </c>
      <c r="G1618" t="str">
        <f>IF(E1618="","",IF(COUNTIF('DATA QCEW'!$A$2:$A$20,E1618)&gt;0,"19-SECTOR","DETAIL / OTHER"))</f>
        <v/>
      </c>
    </row>
    <row r="1619" spans="4:7">
      <c r="D1619" s="8"/>
      <c r="E1619" t="str">
        <f t="shared" si="50"/>
        <v/>
      </c>
      <c r="F1619" t="str">
        <f t="shared" si="51"/>
        <v/>
      </c>
      <c r="G1619" t="str">
        <f>IF(E1619="","",IF(COUNTIF('DATA QCEW'!$A$2:$A$20,E1619)&gt;0,"19-SECTOR","DETAIL / OTHER"))</f>
        <v/>
      </c>
    </row>
    <row r="1620" spans="4:7">
      <c r="D1620" s="8"/>
      <c r="E1620" t="str">
        <f t="shared" si="50"/>
        <v/>
      </c>
      <c r="F1620" t="str">
        <f t="shared" si="51"/>
        <v/>
      </c>
      <c r="G1620" t="str">
        <f>IF(E1620="","",IF(COUNTIF('DATA QCEW'!$A$2:$A$20,E1620)&gt;0,"19-SECTOR","DETAIL / OTHER"))</f>
        <v/>
      </c>
    </row>
    <row r="1621" spans="4:7">
      <c r="D1621" s="8"/>
      <c r="E1621" t="str">
        <f t="shared" si="50"/>
        <v/>
      </c>
      <c r="F1621" t="str">
        <f t="shared" si="51"/>
        <v/>
      </c>
      <c r="G1621" t="str">
        <f>IF(E1621="","",IF(COUNTIF('DATA QCEW'!$A$2:$A$20,E1621)&gt;0,"19-SECTOR","DETAIL / OTHER"))</f>
        <v/>
      </c>
    </row>
    <row r="1622" spans="4:7">
      <c r="D1622" s="8"/>
      <c r="E1622" t="str">
        <f t="shared" si="50"/>
        <v/>
      </c>
      <c r="F1622" t="str">
        <f t="shared" si="51"/>
        <v/>
      </c>
      <c r="G1622" t="str">
        <f>IF(E1622="","",IF(COUNTIF('DATA QCEW'!$A$2:$A$20,E1622)&gt;0,"19-SECTOR","DETAIL / OTHER"))</f>
        <v/>
      </c>
    </row>
    <row r="1623" spans="4:7">
      <c r="D1623" s="8"/>
      <c r="E1623" t="str">
        <f t="shared" si="50"/>
        <v/>
      </c>
      <c r="F1623" t="str">
        <f t="shared" si="51"/>
        <v/>
      </c>
      <c r="G1623" t="str">
        <f>IF(E1623="","",IF(COUNTIF('DATA QCEW'!$A$2:$A$20,E1623)&gt;0,"19-SECTOR","DETAIL / OTHER"))</f>
        <v/>
      </c>
    </row>
    <row r="1624" spans="4:7">
      <c r="D1624" s="8"/>
      <c r="E1624" t="str">
        <f t="shared" si="50"/>
        <v/>
      </c>
      <c r="F1624" t="str">
        <f t="shared" si="51"/>
        <v/>
      </c>
      <c r="G1624" t="str">
        <f>IF(E1624="","",IF(COUNTIF('DATA QCEW'!$A$2:$A$20,E1624)&gt;0,"19-SECTOR","DETAIL / OTHER"))</f>
        <v/>
      </c>
    </row>
    <row r="1625" spans="4:7">
      <c r="D1625" s="8"/>
      <c r="E1625" t="str">
        <f t="shared" si="50"/>
        <v/>
      </c>
      <c r="F1625" t="str">
        <f t="shared" si="51"/>
        <v/>
      </c>
      <c r="G1625" t="str">
        <f>IF(E1625="","",IF(COUNTIF('DATA QCEW'!$A$2:$A$20,E1625)&gt;0,"19-SECTOR","DETAIL / OTHER"))</f>
        <v/>
      </c>
    </row>
    <row r="1626" spans="4:7">
      <c r="D1626" s="8"/>
      <c r="E1626" t="str">
        <f t="shared" si="50"/>
        <v/>
      </c>
      <c r="F1626" t="str">
        <f t="shared" si="51"/>
        <v/>
      </c>
      <c r="G1626" t="str">
        <f>IF(E1626="","",IF(COUNTIF('DATA QCEW'!$A$2:$A$20,E1626)&gt;0,"19-SECTOR","DETAIL / OTHER"))</f>
        <v/>
      </c>
    </row>
    <row r="1627" spans="4:7">
      <c r="D1627" s="8"/>
      <c r="E1627" t="str">
        <f t="shared" si="50"/>
        <v/>
      </c>
      <c r="F1627" t="str">
        <f t="shared" si="51"/>
        <v/>
      </c>
      <c r="G1627" t="str">
        <f>IF(E1627="","",IF(COUNTIF('DATA QCEW'!$A$2:$A$20,E1627)&gt;0,"19-SECTOR","DETAIL / OTHER"))</f>
        <v/>
      </c>
    </row>
    <row r="1628" spans="4:7">
      <c r="D1628" s="8"/>
      <c r="E1628" t="str">
        <f t="shared" si="50"/>
        <v/>
      </c>
      <c r="F1628" t="str">
        <f t="shared" si="51"/>
        <v/>
      </c>
      <c r="G1628" t="str">
        <f>IF(E1628="","",IF(COUNTIF('DATA QCEW'!$A$2:$A$20,E1628)&gt;0,"19-SECTOR","DETAIL / OTHER"))</f>
        <v/>
      </c>
    </row>
    <row r="1629" spans="4:7">
      <c r="D1629" s="8"/>
      <c r="E1629" t="str">
        <f t="shared" si="50"/>
        <v/>
      </c>
      <c r="F1629" t="str">
        <f t="shared" si="51"/>
        <v/>
      </c>
      <c r="G1629" t="str">
        <f>IF(E1629="","",IF(COUNTIF('DATA QCEW'!$A$2:$A$20,E1629)&gt;0,"19-SECTOR","DETAIL / OTHER"))</f>
        <v/>
      </c>
    </row>
    <row r="1630" spans="4:7">
      <c r="D1630" s="8"/>
      <c r="E1630" t="str">
        <f t="shared" si="50"/>
        <v/>
      </c>
      <c r="F1630" t="str">
        <f t="shared" si="51"/>
        <v/>
      </c>
      <c r="G1630" t="str">
        <f>IF(E1630="","",IF(COUNTIF('DATA QCEW'!$A$2:$A$20,E1630)&gt;0,"19-SECTOR","DETAIL / OTHER"))</f>
        <v/>
      </c>
    </row>
    <row r="1631" spans="4:7">
      <c r="D1631" s="8"/>
      <c r="E1631" t="str">
        <f t="shared" si="50"/>
        <v/>
      </c>
      <c r="F1631" t="str">
        <f t="shared" si="51"/>
        <v/>
      </c>
      <c r="G1631" t="str">
        <f>IF(E1631="","",IF(COUNTIF('DATA QCEW'!$A$2:$A$20,E1631)&gt;0,"19-SECTOR","DETAIL / OTHER"))</f>
        <v/>
      </c>
    </row>
    <row r="1632" spans="4:7">
      <c r="D1632" s="8"/>
      <c r="E1632" t="str">
        <f t="shared" si="50"/>
        <v/>
      </c>
      <c r="F1632" t="str">
        <f t="shared" si="51"/>
        <v/>
      </c>
      <c r="G1632" t="str">
        <f>IF(E1632="","",IF(COUNTIF('DATA QCEW'!$A$2:$A$20,E1632)&gt;0,"19-SECTOR","DETAIL / OTHER"))</f>
        <v/>
      </c>
    </row>
    <row r="1633" spans="4:7">
      <c r="D1633" s="8"/>
      <c r="E1633" t="str">
        <f t="shared" si="50"/>
        <v/>
      </c>
      <c r="F1633" t="str">
        <f t="shared" si="51"/>
        <v/>
      </c>
      <c r="G1633" t="str">
        <f>IF(E1633="","",IF(COUNTIF('DATA QCEW'!$A$2:$A$20,E1633)&gt;0,"19-SECTOR","DETAIL / OTHER"))</f>
        <v/>
      </c>
    </row>
    <row r="1634" spans="4:7">
      <c r="D1634" s="8"/>
      <c r="E1634" t="str">
        <f t="shared" si="50"/>
        <v/>
      </c>
      <c r="F1634" t="str">
        <f t="shared" si="51"/>
        <v/>
      </c>
      <c r="G1634" t="str">
        <f>IF(E1634="","",IF(COUNTIF('DATA QCEW'!$A$2:$A$20,E1634)&gt;0,"19-SECTOR","DETAIL / OTHER"))</f>
        <v/>
      </c>
    </row>
    <row r="1635" spans="4:7">
      <c r="D1635" s="8"/>
      <c r="E1635" t="str">
        <f t="shared" si="50"/>
        <v/>
      </c>
      <c r="F1635" t="str">
        <f t="shared" si="51"/>
        <v/>
      </c>
      <c r="G1635" t="str">
        <f>IF(E1635="","",IF(COUNTIF('DATA QCEW'!$A$2:$A$20,E1635)&gt;0,"19-SECTOR","DETAIL / OTHER"))</f>
        <v/>
      </c>
    </row>
    <row r="1636" spans="4:7">
      <c r="D1636" s="8"/>
      <c r="E1636" t="str">
        <f t="shared" si="50"/>
        <v/>
      </c>
      <c r="F1636" t="str">
        <f t="shared" si="51"/>
        <v/>
      </c>
      <c r="G1636" t="str">
        <f>IF(E1636="","",IF(COUNTIF('DATA QCEW'!$A$2:$A$20,E1636)&gt;0,"19-SECTOR","DETAIL / OTHER"))</f>
        <v/>
      </c>
    </row>
    <row r="1637" spans="4:7">
      <c r="D1637" s="8"/>
      <c r="E1637" t="str">
        <f t="shared" si="50"/>
        <v/>
      </c>
      <c r="F1637" t="str">
        <f t="shared" si="51"/>
        <v/>
      </c>
      <c r="G1637" t="str">
        <f>IF(E1637="","",IF(COUNTIF('DATA QCEW'!$A$2:$A$20,E1637)&gt;0,"19-SECTOR","DETAIL / OTHER"))</f>
        <v/>
      </c>
    </row>
    <row r="1638" spans="4:7">
      <c r="D1638" s="8"/>
      <c r="E1638" t="str">
        <f t="shared" si="50"/>
        <v/>
      </c>
      <c r="F1638" t="str">
        <f t="shared" si="51"/>
        <v/>
      </c>
      <c r="G1638" t="str">
        <f>IF(E1638="","",IF(COUNTIF('DATA QCEW'!$A$2:$A$20,E1638)&gt;0,"19-SECTOR","DETAIL / OTHER"))</f>
        <v/>
      </c>
    </row>
    <row r="1639" spans="4:7">
      <c r="D1639" s="8"/>
      <c r="E1639" t="str">
        <f t="shared" si="50"/>
        <v/>
      </c>
      <c r="F1639" t="str">
        <f t="shared" si="51"/>
        <v/>
      </c>
      <c r="G1639" t="str">
        <f>IF(E1639="","",IF(COUNTIF('DATA QCEW'!$A$2:$A$20,E1639)&gt;0,"19-SECTOR","DETAIL / OTHER"))</f>
        <v/>
      </c>
    </row>
    <row r="1640" spans="4:7">
      <c r="D1640" s="8"/>
      <c r="E1640" t="str">
        <f t="shared" si="50"/>
        <v/>
      </c>
      <c r="F1640" t="str">
        <f t="shared" si="51"/>
        <v/>
      </c>
      <c r="G1640" t="str">
        <f>IF(E1640="","",IF(COUNTIF('DATA QCEW'!$A$2:$A$20,E1640)&gt;0,"19-SECTOR","DETAIL / OTHER"))</f>
        <v/>
      </c>
    </row>
    <row r="1641" spans="4:7">
      <c r="D1641" s="8"/>
      <c r="E1641" t="str">
        <f t="shared" si="50"/>
        <v/>
      </c>
      <c r="F1641" t="str">
        <f t="shared" si="51"/>
        <v/>
      </c>
      <c r="G1641" t="str">
        <f>IF(E1641="","",IF(COUNTIF('DATA QCEW'!$A$2:$A$20,E1641)&gt;0,"19-SECTOR","DETAIL / OTHER"))</f>
        <v/>
      </c>
    </row>
    <row r="1642" spans="4:7">
      <c r="D1642" s="8"/>
      <c r="E1642" t="str">
        <f t="shared" si="50"/>
        <v/>
      </c>
      <c r="F1642" t="str">
        <f t="shared" si="51"/>
        <v/>
      </c>
      <c r="G1642" t="str">
        <f>IF(E1642="","",IF(COUNTIF('DATA QCEW'!$A$2:$A$20,E1642)&gt;0,"19-SECTOR","DETAIL / OTHER"))</f>
        <v/>
      </c>
    </row>
    <row r="1643" spans="4:7">
      <c r="D1643" s="8"/>
      <c r="E1643" t="str">
        <f t="shared" si="50"/>
        <v/>
      </c>
      <c r="F1643" t="str">
        <f t="shared" si="51"/>
        <v/>
      </c>
      <c r="G1643" t="str">
        <f>IF(E1643="","",IF(COUNTIF('DATA QCEW'!$A$2:$A$20,E1643)&gt;0,"19-SECTOR","DETAIL / OTHER"))</f>
        <v/>
      </c>
    </row>
    <row r="1644" spans="4:7">
      <c r="D1644" s="8"/>
      <c r="E1644" t="str">
        <f t="shared" si="50"/>
        <v/>
      </c>
      <c r="F1644" t="str">
        <f t="shared" si="51"/>
        <v/>
      </c>
      <c r="G1644" t="str">
        <f>IF(E1644="","",IF(COUNTIF('DATA QCEW'!$A$2:$A$20,E1644)&gt;0,"19-SECTOR","DETAIL / OTHER"))</f>
        <v/>
      </c>
    </row>
    <row r="1645" spans="4:7">
      <c r="D1645" s="8"/>
      <c r="E1645" t="str">
        <f t="shared" si="50"/>
        <v/>
      </c>
      <c r="F1645" t="str">
        <f t="shared" si="51"/>
        <v/>
      </c>
      <c r="G1645" t="str">
        <f>IF(E1645="","",IF(COUNTIF('DATA QCEW'!$A$2:$A$20,E1645)&gt;0,"19-SECTOR","DETAIL / OTHER"))</f>
        <v/>
      </c>
    </row>
    <row r="1646" spans="4:7">
      <c r="D1646" s="8"/>
      <c r="E1646" t="str">
        <f t="shared" si="50"/>
        <v/>
      </c>
      <c r="F1646" t="str">
        <f t="shared" si="51"/>
        <v/>
      </c>
      <c r="G1646" t="str">
        <f>IF(E1646="","",IF(COUNTIF('DATA QCEW'!$A$2:$A$20,E1646)&gt;0,"19-SECTOR","DETAIL / OTHER"))</f>
        <v/>
      </c>
    </row>
    <row r="1647" spans="4:7">
      <c r="D1647" s="8"/>
      <c r="E1647" t="str">
        <f t="shared" si="50"/>
        <v/>
      </c>
      <c r="F1647" t="str">
        <f t="shared" si="51"/>
        <v/>
      </c>
      <c r="G1647" t="str">
        <f>IF(E1647="","",IF(COUNTIF('DATA QCEW'!$A$2:$A$20,E1647)&gt;0,"19-SECTOR","DETAIL / OTHER"))</f>
        <v/>
      </c>
    </row>
    <row r="1648" spans="4:7">
      <c r="D1648" s="8"/>
      <c r="E1648" t="str">
        <f t="shared" si="50"/>
        <v/>
      </c>
      <c r="F1648" t="str">
        <f t="shared" si="51"/>
        <v/>
      </c>
      <c r="G1648" t="str">
        <f>IF(E1648="","",IF(COUNTIF('DATA QCEW'!$A$2:$A$20,E1648)&gt;0,"19-SECTOR","DETAIL / OTHER"))</f>
        <v/>
      </c>
    </row>
    <row r="1649" spans="4:7">
      <c r="D1649" s="8"/>
      <c r="E1649" t="str">
        <f t="shared" si="50"/>
        <v/>
      </c>
      <c r="F1649" t="str">
        <f t="shared" si="51"/>
        <v/>
      </c>
      <c r="G1649" t="str">
        <f>IF(E1649="","",IF(COUNTIF('DATA QCEW'!$A$2:$A$20,E1649)&gt;0,"19-SECTOR","DETAIL / OTHER"))</f>
        <v/>
      </c>
    </row>
    <row r="1650" spans="4:7">
      <c r="D1650" s="8"/>
      <c r="E1650" t="str">
        <f t="shared" si="50"/>
        <v/>
      </c>
      <c r="F1650" t="str">
        <f t="shared" si="51"/>
        <v/>
      </c>
      <c r="G1650" t="str">
        <f>IF(E1650="","",IF(COUNTIF('DATA QCEW'!$A$2:$A$20,E1650)&gt;0,"19-SECTOR","DETAIL / OTHER"))</f>
        <v/>
      </c>
    </row>
    <row r="1651" spans="4:7">
      <c r="D1651" s="8"/>
      <c r="E1651" t="str">
        <f t="shared" si="50"/>
        <v/>
      </c>
      <c r="F1651" t="str">
        <f t="shared" si="51"/>
        <v/>
      </c>
      <c r="G1651" t="str">
        <f>IF(E1651="","",IF(COUNTIF('DATA QCEW'!$A$2:$A$20,E1651)&gt;0,"19-SECTOR","DETAIL / OTHER"))</f>
        <v/>
      </c>
    </row>
    <row r="1652" spans="4:7">
      <c r="D1652" s="8"/>
      <c r="E1652" t="str">
        <f t="shared" si="50"/>
        <v/>
      </c>
      <c r="F1652" t="str">
        <f t="shared" si="51"/>
        <v/>
      </c>
      <c r="G1652" t="str">
        <f>IF(E1652="","",IF(COUNTIF('DATA QCEW'!$A$2:$A$20,E1652)&gt;0,"19-SECTOR","DETAIL / OTHER"))</f>
        <v/>
      </c>
    </row>
    <row r="1653" spans="4:7">
      <c r="D1653" s="8"/>
      <c r="E1653" t="str">
        <f t="shared" si="50"/>
        <v/>
      </c>
      <c r="F1653" t="str">
        <f t="shared" si="51"/>
        <v/>
      </c>
      <c r="G1653" t="str">
        <f>IF(E1653="","",IF(COUNTIF('DATA QCEW'!$A$2:$A$20,E1653)&gt;0,"19-SECTOR","DETAIL / OTHER"))</f>
        <v/>
      </c>
    </row>
    <row r="1654" spans="4:7">
      <c r="D1654" s="8"/>
      <c r="E1654" t="str">
        <f t="shared" si="50"/>
        <v/>
      </c>
      <c r="F1654" t="str">
        <f t="shared" si="51"/>
        <v/>
      </c>
      <c r="G1654" t="str">
        <f>IF(E1654="","",IF(COUNTIF('DATA QCEW'!$A$2:$A$20,E1654)&gt;0,"19-SECTOR","DETAIL / OTHER"))</f>
        <v/>
      </c>
    </row>
    <row r="1655" spans="4:7">
      <c r="D1655" s="8"/>
      <c r="E1655" t="str">
        <f t="shared" si="50"/>
        <v/>
      </c>
      <c r="F1655" t="str">
        <f t="shared" si="51"/>
        <v/>
      </c>
      <c r="G1655" t="str">
        <f>IF(E1655="","",IF(COUNTIF('DATA QCEW'!$A$2:$A$20,E1655)&gt;0,"19-SECTOR","DETAIL / OTHER"))</f>
        <v/>
      </c>
    </row>
    <row r="1656" spans="4:7">
      <c r="D1656" s="8"/>
      <c r="E1656" t="str">
        <f t="shared" si="50"/>
        <v/>
      </c>
      <c r="F1656" t="str">
        <f t="shared" si="51"/>
        <v/>
      </c>
      <c r="G1656" t="str">
        <f>IF(E1656="","",IF(COUNTIF('DATA QCEW'!$A$2:$A$20,E1656)&gt;0,"19-SECTOR","DETAIL / OTHER"))</f>
        <v/>
      </c>
    </row>
    <row r="1657" spans="4:7">
      <c r="D1657" s="8"/>
      <c r="E1657" t="str">
        <f t="shared" si="50"/>
        <v/>
      </c>
      <c r="F1657" t="str">
        <f t="shared" si="51"/>
        <v/>
      </c>
      <c r="G1657" t="str">
        <f>IF(E1657="","",IF(COUNTIF('DATA QCEW'!$A$2:$A$20,E1657)&gt;0,"19-SECTOR","DETAIL / OTHER"))</f>
        <v/>
      </c>
    </row>
    <row r="1658" spans="4:7">
      <c r="D1658" s="8"/>
      <c r="E1658" t="str">
        <f t="shared" si="50"/>
        <v/>
      </c>
      <c r="F1658" t="str">
        <f t="shared" si="51"/>
        <v/>
      </c>
      <c r="G1658" t="str">
        <f>IF(E1658="","",IF(COUNTIF('DATA QCEW'!$A$2:$A$20,E1658)&gt;0,"19-SECTOR","DETAIL / OTHER"))</f>
        <v/>
      </c>
    </row>
    <row r="1659" spans="4:7">
      <c r="D1659" s="8"/>
      <c r="E1659" t="str">
        <f t="shared" si="50"/>
        <v/>
      </c>
      <c r="F1659" t="str">
        <f t="shared" si="51"/>
        <v/>
      </c>
      <c r="G1659" t="str">
        <f>IF(E1659="","",IF(COUNTIF('DATA QCEW'!$A$2:$A$20,E1659)&gt;0,"19-SECTOR","DETAIL / OTHER"))</f>
        <v/>
      </c>
    </row>
    <row r="1660" spans="4:7">
      <c r="D1660" s="8"/>
      <c r="E1660" t="str">
        <f t="shared" si="50"/>
        <v/>
      </c>
      <c r="F1660" t="str">
        <f t="shared" si="51"/>
        <v/>
      </c>
      <c r="G1660" t="str">
        <f>IF(E1660="","",IF(COUNTIF('DATA QCEW'!$A$2:$A$20,E1660)&gt;0,"19-SECTOR","DETAIL / OTHER"))</f>
        <v/>
      </c>
    </row>
    <row r="1661" spans="4:7">
      <c r="D1661" s="8"/>
      <c r="E1661" t="str">
        <f t="shared" si="50"/>
        <v/>
      </c>
      <c r="F1661" t="str">
        <f t="shared" si="51"/>
        <v/>
      </c>
      <c r="G1661" t="str">
        <f>IF(E1661="","",IF(COUNTIF('DATA QCEW'!$A$2:$A$20,E1661)&gt;0,"19-SECTOR","DETAIL / OTHER"))</f>
        <v/>
      </c>
    </row>
    <row r="1662" spans="4:7">
      <c r="D1662" s="8"/>
      <c r="E1662" t="str">
        <f t="shared" si="50"/>
        <v/>
      </c>
      <c r="F1662" t="str">
        <f t="shared" si="51"/>
        <v/>
      </c>
      <c r="G1662" t="str">
        <f>IF(E1662="","",IF(COUNTIF('DATA QCEW'!$A$2:$A$20,E1662)&gt;0,"19-SECTOR","DETAIL / OTHER"))</f>
        <v/>
      </c>
    </row>
    <row r="1663" spans="4:7">
      <c r="D1663" s="8"/>
      <c r="E1663" t="str">
        <f t="shared" si="50"/>
        <v/>
      </c>
      <c r="F1663" t="str">
        <f t="shared" si="51"/>
        <v/>
      </c>
      <c r="G1663" t="str">
        <f>IF(E1663="","",IF(COUNTIF('DATA QCEW'!$A$2:$A$20,E1663)&gt;0,"19-SECTOR","DETAIL / OTHER"))</f>
        <v/>
      </c>
    </row>
    <row r="1664" spans="4:7">
      <c r="D1664" s="8"/>
      <c r="E1664" t="str">
        <f t="shared" si="50"/>
        <v/>
      </c>
      <c r="F1664" t="str">
        <f t="shared" si="51"/>
        <v/>
      </c>
      <c r="G1664" t="str">
        <f>IF(E1664="","",IF(COUNTIF('DATA QCEW'!$A$2:$A$20,E1664)&gt;0,"19-SECTOR","DETAIL / OTHER"))</f>
        <v/>
      </c>
    </row>
    <row r="1665" spans="4:7">
      <c r="D1665" s="8"/>
      <c r="E1665" t="str">
        <f t="shared" si="50"/>
        <v/>
      </c>
      <c r="F1665" t="str">
        <f t="shared" si="51"/>
        <v/>
      </c>
      <c r="G1665" t="str">
        <f>IF(E1665="","",IF(COUNTIF('DATA QCEW'!$A$2:$A$20,E1665)&gt;0,"19-SECTOR","DETAIL / OTHER"))</f>
        <v/>
      </c>
    </row>
    <row r="1666" spans="4:7">
      <c r="D1666" s="8"/>
      <c r="E1666" t="str">
        <f t="shared" ref="E1666:E1729" si="52">IF(LEFT(TRIM(A1666),6)="NAICS ",IFERROR(MID(TRIM(A1666),7,FIND(" ",TRIM(A1666)&amp;" ",7)-7),""),"")</f>
        <v/>
      </c>
      <c r="F1666" t="str">
        <f t="shared" ref="F1666:F1729" si="53">IF(E1666="","",TRIM(MID(TRIM(A1666),FIND(" ",TRIM(A1666)&amp;" ",7)+1,255)))</f>
        <v/>
      </c>
      <c r="G1666" t="str">
        <f>IF(E1666="","",IF(COUNTIF('DATA QCEW'!$A$2:$A$20,E1666)&gt;0,"19-SECTOR","DETAIL / OTHER"))</f>
        <v/>
      </c>
    </row>
    <row r="1667" spans="4:7">
      <c r="D1667" s="8"/>
      <c r="E1667" t="str">
        <f t="shared" si="52"/>
        <v/>
      </c>
      <c r="F1667" t="str">
        <f t="shared" si="53"/>
        <v/>
      </c>
      <c r="G1667" t="str">
        <f>IF(E1667="","",IF(COUNTIF('DATA QCEW'!$A$2:$A$20,E1667)&gt;0,"19-SECTOR","DETAIL / OTHER"))</f>
        <v/>
      </c>
    </row>
    <row r="1668" spans="4:7">
      <c r="D1668" s="8"/>
      <c r="E1668" t="str">
        <f t="shared" si="52"/>
        <v/>
      </c>
      <c r="F1668" t="str">
        <f t="shared" si="53"/>
        <v/>
      </c>
      <c r="G1668" t="str">
        <f>IF(E1668="","",IF(COUNTIF('DATA QCEW'!$A$2:$A$20,E1668)&gt;0,"19-SECTOR","DETAIL / OTHER"))</f>
        <v/>
      </c>
    </row>
    <row r="1669" spans="4:7">
      <c r="D1669" s="8"/>
      <c r="E1669" t="str">
        <f t="shared" si="52"/>
        <v/>
      </c>
      <c r="F1669" t="str">
        <f t="shared" si="53"/>
        <v/>
      </c>
      <c r="G1669" t="str">
        <f>IF(E1669="","",IF(COUNTIF('DATA QCEW'!$A$2:$A$20,E1669)&gt;0,"19-SECTOR","DETAIL / OTHER"))</f>
        <v/>
      </c>
    </row>
    <row r="1670" spans="4:7">
      <c r="D1670" s="8"/>
      <c r="E1670" t="str">
        <f t="shared" si="52"/>
        <v/>
      </c>
      <c r="F1670" t="str">
        <f t="shared" si="53"/>
        <v/>
      </c>
      <c r="G1670" t="str">
        <f>IF(E1670="","",IF(COUNTIF('DATA QCEW'!$A$2:$A$20,E1670)&gt;0,"19-SECTOR","DETAIL / OTHER"))</f>
        <v/>
      </c>
    </row>
    <row r="1671" spans="4:7">
      <c r="D1671" s="8"/>
      <c r="E1671" t="str">
        <f t="shared" si="52"/>
        <v/>
      </c>
      <c r="F1671" t="str">
        <f t="shared" si="53"/>
        <v/>
      </c>
      <c r="G1671" t="str">
        <f>IF(E1671="","",IF(COUNTIF('DATA QCEW'!$A$2:$A$20,E1671)&gt;0,"19-SECTOR","DETAIL / OTHER"))</f>
        <v/>
      </c>
    </row>
    <row r="1672" spans="4:7">
      <c r="D1672" s="8"/>
      <c r="E1672" t="str">
        <f t="shared" si="52"/>
        <v/>
      </c>
      <c r="F1672" t="str">
        <f t="shared" si="53"/>
        <v/>
      </c>
      <c r="G1672" t="str">
        <f>IF(E1672="","",IF(COUNTIF('DATA QCEW'!$A$2:$A$20,E1672)&gt;0,"19-SECTOR","DETAIL / OTHER"))</f>
        <v/>
      </c>
    </row>
    <row r="1673" spans="4:7">
      <c r="D1673" s="8"/>
      <c r="E1673" t="str">
        <f t="shared" si="52"/>
        <v/>
      </c>
      <c r="F1673" t="str">
        <f t="shared" si="53"/>
        <v/>
      </c>
      <c r="G1673" t="str">
        <f>IF(E1673="","",IF(COUNTIF('DATA QCEW'!$A$2:$A$20,E1673)&gt;0,"19-SECTOR","DETAIL / OTHER"))</f>
        <v/>
      </c>
    </row>
    <row r="1674" spans="4:7">
      <c r="D1674" s="8"/>
      <c r="E1674" t="str">
        <f t="shared" si="52"/>
        <v/>
      </c>
      <c r="F1674" t="str">
        <f t="shared" si="53"/>
        <v/>
      </c>
      <c r="G1674" t="str">
        <f>IF(E1674="","",IF(COUNTIF('DATA QCEW'!$A$2:$A$20,E1674)&gt;0,"19-SECTOR","DETAIL / OTHER"))</f>
        <v/>
      </c>
    </row>
    <row r="1675" spans="4:7">
      <c r="D1675" s="8"/>
      <c r="E1675" t="str">
        <f t="shared" si="52"/>
        <v/>
      </c>
      <c r="F1675" t="str">
        <f t="shared" si="53"/>
        <v/>
      </c>
      <c r="G1675" t="str">
        <f>IF(E1675="","",IF(COUNTIF('DATA QCEW'!$A$2:$A$20,E1675)&gt;0,"19-SECTOR","DETAIL / OTHER"))</f>
        <v/>
      </c>
    </row>
    <row r="1676" spans="4:7">
      <c r="D1676" s="8"/>
      <c r="E1676" t="str">
        <f t="shared" si="52"/>
        <v/>
      </c>
      <c r="F1676" t="str">
        <f t="shared" si="53"/>
        <v/>
      </c>
      <c r="G1676" t="str">
        <f>IF(E1676="","",IF(COUNTIF('DATA QCEW'!$A$2:$A$20,E1676)&gt;0,"19-SECTOR","DETAIL / OTHER"))</f>
        <v/>
      </c>
    </row>
    <row r="1677" spans="4:7">
      <c r="D1677" s="8"/>
      <c r="E1677" t="str">
        <f t="shared" si="52"/>
        <v/>
      </c>
      <c r="F1677" t="str">
        <f t="shared" si="53"/>
        <v/>
      </c>
      <c r="G1677" t="str">
        <f>IF(E1677="","",IF(COUNTIF('DATA QCEW'!$A$2:$A$20,E1677)&gt;0,"19-SECTOR","DETAIL / OTHER"))</f>
        <v/>
      </c>
    </row>
    <row r="1678" spans="4:7">
      <c r="D1678" s="8"/>
      <c r="E1678" t="str">
        <f t="shared" si="52"/>
        <v/>
      </c>
      <c r="F1678" t="str">
        <f t="shared" si="53"/>
        <v/>
      </c>
      <c r="G1678" t="str">
        <f>IF(E1678="","",IF(COUNTIF('DATA QCEW'!$A$2:$A$20,E1678)&gt;0,"19-SECTOR","DETAIL / OTHER"))</f>
        <v/>
      </c>
    </row>
    <row r="1679" spans="4:7">
      <c r="D1679" s="8"/>
      <c r="E1679" t="str">
        <f t="shared" si="52"/>
        <v/>
      </c>
      <c r="F1679" t="str">
        <f t="shared" si="53"/>
        <v/>
      </c>
      <c r="G1679" t="str">
        <f>IF(E1679="","",IF(COUNTIF('DATA QCEW'!$A$2:$A$20,E1679)&gt;0,"19-SECTOR","DETAIL / OTHER"))</f>
        <v/>
      </c>
    </row>
    <row r="1680" spans="4:7">
      <c r="D1680" s="8"/>
      <c r="E1680" t="str">
        <f t="shared" si="52"/>
        <v/>
      </c>
      <c r="F1680" t="str">
        <f t="shared" si="53"/>
        <v/>
      </c>
      <c r="G1680" t="str">
        <f>IF(E1680="","",IF(COUNTIF('DATA QCEW'!$A$2:$A$20,E1680)&gt;0,"19-SECTOR","DETAIL / OTHER"))</f>
        <v/>
      </c>
    </row>
    <row r="1681" spans="4:7">
      <c r="D1681" s="8"/>
      <c r="E1681" t="str">
        <f t="shared" si="52"/>
        <v/>
      </c>
      <c r="F1681" t="str">
        <f t="shared" si="53"/>
        <v/>
      </c>
      <c r="G1681" t="str">
        <f>IF(E1681="","",IF(COUNTIF('DATA QCEW'!$A$2:$A$20,E1681)&gt;0,"19-SECTOR","DETAIL / OTHER"))</f>
        <v/>
      </c>
    </row>
    <row r="1682" spans="4:7">
      <c r="D1682" s="8"/>
      <c r="E1682" t="str">
        <f t="shared" si="52"/>
        <v/>
      </c>
      <c r="F1682" t="str">
        <f t="shared" si="53"/>
        <v/>
      </c>
      <c r="G1682" t="str">
        <f>IF(E1682="","",IF(COUNTIF('DATA QCEW'!$A$2:$A$20,E1682)&gt;0,"19-SECTOR","DETAIL / OTHER"))</f>
        <v/>
      </c>
    </row>
    <row r="1683" spans="4:7">
      <c r="D1683" s="8"/>
      <c r="E1683" t="str">
        <f t="shared" si="52"/>
        <v/>
      </c>
      <c r="F1683" t="str">
        <f t="shared" si="53"/>
        <v/>
      </c>
      <c r="G1683" t="str">
        <f>IF(E1683="","",IF(COUNTIF('DATA QCEW'!$A$2:$A$20,E1683)&gt;0,"19-SECTOR","DETAIL / OTHER"))</f>
        <v/>
      </c>
    </row>
    <row r="1684" spans="4:7">
      <c r="D1684" s="8"/>
      <c r="E1684" t="str">
        <f t="shared" si="52"/>
        <v/>
      </c>
      <c r="F1684" t="str">
        <f t="shared" si="53"/>
        <v/>
      </c>
      <c r="G1684" t="str">
        <f>IF(E1684="","",IF(COUNTIF('DATA QCEW'!$A$2:$A$20,E1684)&gt;0,"19-SECTOR","DETAIL / OTHER"))</f>
        <v/>
      </c>
    </row>
    <row r="1685" spans="4:7">
      <c r="D1685" s="8"/>
      <c r="E1685" t="str">
        <f t="shared" si="52"/>
        <v/>
      </c>
      <c r="F1685" t="str">
        <f t="shared" si="53"/>
        <v/>
      </c>
      <c r="G1685" t="str">
        <f>IF(E1685="","",IF(COUNTIF('DATA QCEW'!$A$2:$A$20,E1685)&gt;0,"19-SECTOR","DETAIL / OTHER"))</f>
        <v/>
      </c>
    </row>
    <row r="1686" spans="4:7">
      <c r="D1686" s="8"/>
      <c r="E1686" t="str">
        <f t="shared" si="52"/>
        <v/>
      </c>
      <c r="F1686" t="str">
        <f t="shared" si="53"/>
        <v/>
      </c>
      <c r="G1686" t="str">
        <f>IF(E1686="","",IF(COUNTIF('DATA QCEW'!$A$2:$A$20,E1686)&gt;0,"19-SECTOR","DETAIL / OTHER"))</f>
        <v/>
      </c>
    </row>
    <row r="1687" spans="4:7">
      <c r="D1687" s="8"/>
      <c r="E1687" t="str">
        <f t="shared" si="52"/>
        <v/>
      </c>
      <c r="F1687" t="str">
        <f t="shared" si="53"/>
        <v/>
      </c>
      <c r="G1687" t="str">
        <f>IF(E1687="","",IF(COUNTIF('DATA QCEW'!$A$2:$A$20,E1687)&gt;0,"19-SECTOR","DETAIL / OTHER"))</f>
        <v/>
      </c>
    </row>
    <row r="1688" spans="4:7">
      <c r="D1688" s="8"/>
      <c r="E1688" t="str">
        <f t="shared" si="52"/>
        <v/>
      </c>
      <c r="F1688" t="str">
        <f t="shared" si="53"/>
        <v/>
      </c>
      <c r="G1688" t="str">
        <f>IF(E1688="","",IF(COUNTIF('DATA QCEW'!$A$2:$A$20,E1688)&gt;0,"19-SECTOR","DETAIL / OTHER"))</f>
        <v/>
      </c>
    </row>
    <row r="1689" spans="4:7">
      <c r="D1689" s="8"/>
      <c r="E1689" t="str">
        <f t="shared" si="52"/>
        <v/>
      </c>
      <c r="F1689" t="str">
        <f t="shared" si="53"/>
        <v/>
      </c>
      <c r="G1689" t="str">
        <f>IF(E1689="","",IF(COUNTIF('DATA QCEW'!$A$2:$A$20,E1689)&gt;0,"19-SECTOR","DETAIL / OTHER"))</f>
        <v/>
      </c>
    </row>
    <row r="1690" spans="4:7">
      <c r="D1690" s="8"/>
      <c r="E1690" t="str">
        <f t="shared" si="52"/>
        <v/>
      </c>
      <c r="F1690" t="str">
        <f t="shared" si="53"/>
        <v/>
      </c>
      <c r="G1690" t="str">
        <f>IF(E1690="","",IF(COUNTIF('DATA QCEW'!$A$2:$A$20,E1690)&gt;0,"19-SECTOR","DETAIL / OTHER"))</f>
        <v/>
      </c>
    </row>
    <row r="1691" spans="4:7">
      <c r="D1691" s="8"/>
      <c r="E1691" t="str">
        <f t="shared" si="52"/>
        <v/>
      </c>
      <c r="F1691" t="str">
        <f t="shared" si="53"/>
        <v/>
      </c>
      <c r="G1691" t="str">
        <f>IF(E1691="","",IF(COUNTIF('DATA QCEW'!$A$2:$A$20,E1691)&gt;0,"19-SECTOR","DETAIL / OTHER"))</f>
        <v/>
      </c>
    </row>
    <row r="1692" spans="4:7">
      <c r="D1692" s="8"/>
      <c r="E1692" t="str">
        <f t="shared" si="52"/>
        <v/>
      </c>
      <c r="F1692" t="str">
        <f t="shared" si="53"/>
        <v/>
      </c>
      <c r="G1692" t="str">
        <f>IF(E1692="","",IF(COUNTIF('DATA QCEW'!$A$2:$A$20,E1692)&gt;0,"19-SECTOR","DETAIL / OTHER"))</f>
        <v/>
      </c>
    </row>
    <row r="1693" spans="4:7">
      <c r="D1693" s="8"/>
      <c r="E1693" t="str">
        <f t="shared" si="52"/>
        <v/>
      </c>
      <c r="F1693" t="str">
        <f t="shared" si="53"/>
        <v/>
      </c>
      <c r="G1693" t="str">
        <f>IF(E1693="","",IF(COUNTIF('DATA QCEW'!$A$2:$A$20,E1693)&gt;0,"19-SECTOR","DETAIL / OTHER"))</f>
        <v/>
      </c>
    </row>
    <row r="1694" spans="4:7">
      <c r="D1694" s="8"/>
      <c r="E1694" t="str">
        <f t="shared" si="52"/>
        <v/>
      </c>
      <c r="F1694" t="str">
        <f t="shared" si="53"/>
        <v/>
      </c>
      <c r="G1694" t="str">
        <f>IF(E1694="","",IF(COUNTIF('DATA QCEW'!$A$2:$A$20,E1694)&gt;0,"19-SECTOR","DETAIL / OTHER"))</f>
        <v/>
      </c>
    </row>
    <row r="1695" spans="4:7">
      <c r="D1695" s="8"/>
      <c r="E1695" t="str">
        <f t="shared" si="52"/>
        <v/>
      </c>
      <c r="F1695" t="str">
        <f t="shared" si="53"/>
        <v/>
      </c>
      <c r="G1695" t="str">
        <f>IF(E1695="","",IF(COUNTIF('DATA QCEW'!$A$2:$A$20,E1695)&gt;0,"19-SECTOR","DETAIL / OTHER"))</f>
        <v/>
      </c>
    </row>
    <row r="1696" spans="4:7">
      <c r="D1696" s="8"/>
      <c r="E1696" t="str">
        <f t="shared" si="52"/>
        <v/>
      </c>
      <c r="F1696" t="str">
        <f t="shared" si="53"/>
        <v/>
      </c>
      <c r="G1696" t="str">
        <f>IF(E1696="","",IF(COUNTIF('DATA QCEW'!$A$2:$A$20,E1696)&gt;0,"19-SECTOR","DETAIL / OTHER"))</f>
        <v/>
      </c>
    </row>
    <row r="1697" spans="4:7">
      <c r="D1697" s="8"/>
      <c r="E1697" t="str">
        <f t="shared" si="52"/>
        <v/>
      </c>
      <c r="F1697" t="str">
        <f t="shared" si="53"/>
        <v/>
      </c>
      <c r="G1697" t="str">
        <f>IF(E1697="","",IF(COUNTIF('DATA QCEW'!$A$2:$A$20,E1697)&gt;0,"19-SECTOR","DETAIL / OTHER"))</f>
        <v/>
      </c>
    </row>
    <row r="1698" spans="4:7">
      <c r="D1698" s="8"/>
      <c r="E1698" t="str">
        <f t="shared" si="52"/>
        <v/>
      </c>
      <c r="F1698" t="str">
        <f t="shared" si="53"/>
        <v/>
      </c>
      <c r="G1698" t="str">
        <f>IF(E1698="","",IF(COUNTIF('DATA QCEW'!$A$2:$A$20,E1698)&gt;0,"19-SECTOR","DETAIL / OTHER"))</f>
        <v/>
      </c>
    </row>
    <row r="1699" spans="4:7">
      <c r="D1699" s="8"/>
      <c r="E1699" t="str">
        <f t="shared" si="52"/>
        <v/>
      </c>
      <c r="F1699" t="str">
        <f t="shared" si="53"/>
        <v/>
      </c>
      <c r="G1699" t="str">
        <f>IF(E1699="","",IF(COUNTIF('DATA QCEW'!$A$2:$A$20,E1699)&gt;0,"19-SECTOR","DETAIL / OTHER"))</f>
        <v/>
      </c>
    </row>
    <row r="1700" spans="4:7">
      <c r="D1700" s="8"/>
      <c r="E1700" t="str">
        <f t="shared" si="52"/>
        <v/>
      </c>
      <c r="F1700" t="str">
        <f t="shared" si="53"/>
        <v/>
      </c>
      <c r="G1700" t="str">
        <f>IF(E1700="","",IF(COUNTIF('DATA QCEW'!$A$2:$A$20,E1700)&gt;0,"19-SECTOR","DETAIL / OTHER"))</f>
        <v/>
      </c>
    </row>
    <row r="1701" spans="4:7">
      <c r="D1701" s="8"/>
      <c r="E1701" t="str">
        <f t="shared" si="52"/>
        <v/>
      </c>
      <c r="F1701" t="str">
        <f t="shared" si="53"/>
        <v/>
      </c>
      <c r="G1701" t="str">
        <f>IF(E1701="","",IF(COUNTIF('DATA QCEW'!$A$2:$A$20,E1701)&gt;0,"19-SECTOR","DETAIL / OTHER"))</f>
        <v/>
      </c>
    </row>
    <row r="1702" spans="4:7">
      <c r="D1702" s="8"/>
      <c r="E1702" t="str">
        <f t="shared" si="52"/>
        <v/>
      </c>
      <c r="F1702" t="str">
        <f t="shared" si="53"/>
        <v/>
      </c>
      <c r="G1702" t="str">
        <f>IF(E1702="","",IF(COUNTIF('DATA QCEW'!$A$2:$A$20,E1702)&gt;0,"19-SECTOR","DETAIL / OTHER"))</f>
        <v/>
      </c>
    </row>
    <row r="1703" spans="4:7">
      <c r="D1703" s="8"/>
      <c r="E1703" t="str">
        <f t="shared" si="52"/>
        <v/>
      </c>
      <c r="F1703" t="str">
        <f t="shared" si="53"/>
        <v/>
      </c>
      <c r="G1703" t="str">
        <f>IF(E1703="","",IF(COUNTIF('DATA QCEW'!$A$2:$A$20,E1703)&gt;0,"19-SECTOR","DETAIL / OTHER"))</f>
        <v/>
      </c>
    </row>
    <row r="1704" spans="4:7">
      <c r="D1704" s="8"/>
      <c r="E1704" t="str">
        <f t="shared" si="52"/>
        <v/>
      </c>
      <c r="F1704" t="str">
        <f t="shared" si="53"/>
        <v/>
      </c>
      <c r="G1704" t="str">
        <f>IF(E1704="","",IF(COUNTIF('DATA QCEW'!$A$2:$A$20,E1704)&gt;0,"19-SECTOR","DETAIL / OTHER"))</f>
        <v/>
      </c>
    </row>
    <row r="1705" spans="4:7">
      <c r="D1705" s="8"/>
      <c r="E1705" t="str">
        <f t="shared" si="52"/>
        <v/>
      </c>
      <c r="F1705" t="str">
        <f t="shared" si="53"/>
        <v/>
      </c>
      <c r="G1705" t="str">
        <f>IF(E1705="","",IF(COUNTIF('DATA QCEW'!$A$2:$A$20,E1705)&gt;0,"19-SECTOR","DETAIL / OTHER"))</f>
        <v/>
      </c>
    </row>
    <row r="1706" spans="4:7">
      <c r="D1706" s="8"/>
      <c r="E1706" t="str">
        <f t="shared" si="52"/>
        <v/>
      </c>
      <c r="F1706" t="str">
        <f t="shared" si="53"/>
        <v/>
      </c>
      <c r="G1706" t="str">
        <f>IF(E1706="","",IF(COUNTIF('DATA QCEW'!$A$2:$A$20,E1706)&gt;0,"19-SECTOR","DETAIL / OTHER"))</f>
        <v/>
      </c>
    </row>
    <row r="1707" spans="4:7">
      <c r="D1707" s="8"/>
      <c r="E1707" t="str">
        <f t="shared" si="52"/>
        <v/>
      </c>
      <c r="F1707" t="str">
        <f t="shared" si="53"/>
        <v/>
      </c>
      <c r="G1707" t="str">
        <f>IF(E1707="","",IF(COUNTIF('DATA QCEW'!$A$2:$A$20,E1707)&gt;0,"19-SECTOR","DETAIL / OTHER"))</f>
        <v/>
      </c>
    </row>
    <row r="1708" spans="4:7">
      <c r="D1708" s="8"/>
      <c r="E1708" t="str">
        <f t="shared" si="52"/>
        <v/>
      </c>
      <c r="F1708" t="str">
        <f t="shared" si="53"/>
        <v/>
      </c>
      <c r="G1708" t="str">
        <f>IF(E1708="","",IF(COUNTIF('DATA QCEW'!$A$2:$A$20,E1708)&gt;0,"19-SECTOR","DETAIL / OTHER"))</f>
        <v/>
      </c>
    </row>
    <row r="1709" spans="4:7">
      <c r="D1709" s="8"/>
      <c r="E1709" t="str">
        <f t="shared" si="52"/>
        <v/>
      </c>
      <c r="F1709" t="str">
        <f t="shared" si="53"/>
        <v/>
      </c>
      <c r="G1709" t="str">
        <f>IF(E1709="","",IF(COUNTIF('DATA QCEW'!$A$2:$A$20,E1709)&gt;0,"19-SECTOR","DETAIL / OTHER"))</f>
        <v/>
      </c>
    </row>
    <row r="1710" spans="4:7">
      <c r="D1710" s="8"/>
      <c r="E1710" t="str">
        <f t="shared" si="52"/>
        <v/>
      </c>
      <c r="F1710" t="str">
        <f t="shared" si="53"/>
        <v/>
      </c>
      <c r="G1710" t="str">
        <f>IF(E1710="","",IF(COUNTIF('DATA QCEW'!$A$2:$A$20,E1710)&gt;0,"19-SECTOR","DETAIL / OTHER"))</f>
        <v/>
      </c>
    </row>
    <row r="1711" spans="4:7">
      <c r="D1711" s="8"/>
      <c r="E1711" t="str">
        <f t="shared" si="52"/>
        <v/>
      </c>
      <c r="F1711" t="str">
        <f t="shared" si="53"/>
        <v/>
      </c>
      <c r="G1711" t="str">
        <f>IF(E1711="","",IF(COUNTIF('DATA QCEW'!$A$2:$A$20,E1711)&gt;0,"19-SECTOR","DETAIL / OTHER"))</f>
        <v/>
      </c>
    </row>
    <row r="1712" spans="4:7">
      <c r="D1712" s="8"/>
      <c r="E1712" t="str">
        <f t="shared" si="52"/>
        <v/>
      </c>
      <c r="F1712" t="str">
        <f t="shared" si="53"/>
        <v/>
      </c>
      <c r="G1712" t="str">
        <f>IF(E1712="","",IF(COUNTIF('DATA QCEW'!$A$2:$A$20,E1712)&gt;0,"19-SECTOR","DETAIL / OTHER"))</f>
        <v/>
      </c>
    </row>
    <row r="1713" spans="4:7">
      <c r="D1713" s="8"/>
      <c r="E1713" t="str">
        <f t="shared" si="52"/>
        <v/>
      </c>
      <c r="F1713" t="str">
        <f t="shared" si="53"/>
        <v/>
      </c>
      <c r="G1713" t="str">
        <f>IF(E1713="","",IF(COUNTIF('DATA QCEW'!$A$2:$A$20,E1713)&gt;0,"19-SECTOR","DETAIL / OTHER"))</f>
        <v/>
      </c>
    </row>
    <row r="1714" spans="4:7">
      <c r="D1714" s="8"/>
      <c r="E1714" t="str">
        <f t="shared" si="52"/>
        <v/>
      </c>
      <c r="F1714" t="str">
        <f t="shared" si="53"/>
        <v/>
      </c>
      <c r="G1714" t="str">
        <f>IF(E1714="","",IF(COUNTIF('DATA QCEW'!$A$2:$A$20,E1714)&gt;0,"19-SECTOR","DETAIL / OTHER"))</f>
        <v/>
      </c>
    </row>
    <row r="1715" spans="4:7">
      <c r="D1715" s="8"/>
      <c r="E1715" t="str">
        <f t="shared" si="52"/>
        <v/>
      </c>
      <c r="F1715" t="str">
        <f t="shared" si="53"/>
        <v/>
      </c>
      <c r="G1715" t="str">
        <f>IF(E1715="","",IF(COUNTIF('DATA QCEW'!$A$2:$A$20,E1715)&gt;0,"19-SECTOR","DETAIL / OTHER"))</f>
        <v/>
      </c>
    </row>
    <row r="1716" spans="4:7">
      <c r="D1716" s="8"/>
      <c r="E1716" t="str">
        <f t="shared" si="52"/>
        <v/>
      </c>
      <c r="F1716" t="str">
        <f t="shared" si="53"/>
        <v/>
      </c>
      <c r="G1716" t="str">
        <f>IF(E1716="","",IF(COUNTIF('DATA QCEW'!$A$2:$A$20,E1716)&gt;0,"19-SECTOR","DETAIL / OTHER"))</f>
        <v/>
      </c>
    </row>
    <row r="1717" spans="4:7">
      <c r="D1717" s="8"/>
      <c r="E1717" t="str">
        <f t="shared" si="52"/>
        <v/>
      </c>
      <c r="F1717" t="str">
        <f t="shared" si="53"/>
        <v/>
      </c>
      <c r="G1717" t="str">
        <f>IF(E1717="","",IF(COUNTIF('DATA QCEW'!$A$2:$A$20,E1717)&gt;0,"19-SECTOR","DETAIL / OTHER"))</f>
        <v/>
      </c>
    </row>
    <row r="1718" spans="4:7">
      <c r="D1718" s="8"/>
      <c r="E1718" t="str">
        <f t="shared" si="52"/>
        <v/>
      </c>
      <c r="F1718" t="str">
        <f t="shared" si="53"/>
        <v/>
      </c>
      <c r="G1718" t="str">
        <f>IF(E1718="","",IF(COUNTIF('DATA QCEW'!$A$2:$A$20,E1718)&gt;0,"19-SECTOR","DETAIL / OTHER"))</f>
        <v/>
      </c>
    </row>
    <row r="1719" spans="4:7">
      <c r="D1719" s="8"/>
      <c r="E1719" t="str">
        <f t="shared" si="52"/>
        <v/>
      </c>
      <c r="F1719" t="str">
        <f t="shared" si="53"/>
        <v/>
      </c>
      <c r="G1719" t="str">
        <f>IF(E1719="","",IF(COUNTIF('DATA QCEW'!$A$2:$A$20,E1719)&gt;0,"19-SECTOR","DETAIL / OTHER"))</f>
        <v/>
      </c>
    </row>
    <row r="1720" spans="4:7">
      <c r="D1720" s="8"/>
      <c r="E1720" t="str">
        <f t="shared" si="52"/>
        <v/>
      </c>
      <c r="F1720" t="str">
        <f t="shared" si="53"/>
        <v/>
      </c>
      <c r="G1720" t="str">
        <f>IF(E1720="","",IF(COUNTIF('DATA QCEW'!$A$2:$A$20,E1720)&gt;0,"19-SECTOR","DETAIL / OTHER"))</f>
        <v/>
      </c>
    </row>
    <row r="1721" spans="4:7">
      <c r="D1721" s="8"/>
      <c r="E1721" t="str">
        <f t="shared" si="52"/>
        <v/>
      </c>
      <c r="F1721" t="str">
        <f t="shared" si="53"/>
        <v/>
      </c>
      <c r="G1721" t="str">
        <f>IF(E1721="","",IF(COUNTIF('DATA QCEW'!$A$2:$A$20,E1721)&gt;0,"19-SECTOR","DETAIL / OTHER"))</f>
        <v/>
      </c>
    </row>
    <row r="1722" spans="4:7">
      <c r="D1722" s="8"/>
      <c r="E1722" t="str">
        <f t="shared" si="52"/>
        <v/>
      </c>
      <c r="F1722" t="str">
        <f t="shared" si="53"/>
        <v/>
      </c>
      <c r="G1722" t="str">
        <f>IF(E1722="","",IF(COUNTIF('DATA QCEW'!$A$2:$A$20,E1722)&gt;0,"19-SECTOR","DETAIL / OTHER"))</f>
        <v/>
      </c>
    </row>
    <row r="1723" spans="4:7">
      <c r="D1723" s="8"/>
      <c r="E1723" t="str">
        <f t="shared" si="52"/>
        <v/>
      </c>
      <c r="F1723" t="str">
        <f t="shared" si="53"/>
        <v/>
      </c>
      <c r="G1723" t="str">
        <f>IF(E1723="","",IF(COUNTIF('DATA QCEW'!$A$2:$A$20,E1723)&gt;0,"19-SECTOR","DETAIL / OTHER"))</f>
        <v/>
      </c>
    </row>
    <row r="1724" spans="4:7">
      <c r="D1724" s="8"/>
      <c r="E1724" t="str">
        <f t="shared" si="52"/>
        <v/>
      </c>
      <c r="F1724" t="str">
        <f t="shared" si="53"/>
        <v/>
      </c>
      <c r="G1724" t="str">
        <f>IF(E1724="","",IF(COUNTIF('DATA QCEW'!$A$2:$A$20,E1724)&gt;0,"19-SECTOR","DETAIL / OTHER"))</f>
        <v/>
      </c>
    </row>
    <row r="1725" spans="4:7">
      <c r="D1725" s="8"/>
      <c r="E1725" t="str">
        <f t="shared" si="52"/>
        <v/>
      </c>
      <c r="F1725" t="str">
        <f t="shared" si="53"/>
        <v/>
      </c>
      <c r="G1725" t="str">
        <f>IF(E1725="","",IF(COUNTIF('DATA QCEW'!$A$2:$A$20,E1725)&gt;0,"19-SECTOR","DETAIL / OTHER"))</f>
        <v/>
      </c>
    </row>
    <row r="1726" spans="4:7">
      <c r="D1726" s="8"/>
      <c r="E1726" t="str">
        <f t="shared" si="52"/>
        <v/>
      </c>
      <c r="F1726" t="str">
        <f t="shared" si="53"/>
        <v/>
      </c>
      <c r="G1726" t="str">
        <f>IF(E1726="","",IF(COUNTIF('DATA QCEW'!$A$2:$A$20,E1726)&gt;0,"19-SECTOR","DETAIL / OTHER"))</f>
        <v/>
      </c>
    </row>
    <row r="1727" spans="4:7">
      <c r="D1727" s="8"/>
      <c r="E1727" t="str">
        <f t="shared" si="52"/>
        <v/>
      </c>
      <c r="F1727" t="str">
        <f t="shared" si="53"/>
        <v/>
      </c>
      <c r="G1727" t="str">
        <f>IF(E1727="","",IF(COUNTIF('DATA QCEW'!$A$2:$A$20,E1727)&gt;0,"19-SECTOR","DETAIL / OTHER"))</f>
        <v/>
      </c>
    </row>
    <row r="1728" spans="4:7">
      <c r="D1728" s="8"/>
      <c r="E1728" t="str">
        <f t="shared" si="52"/>
        <v/>
      </c>
      <c r="F1728" t="str">
        <f t="shared" si="53"/>
        <v/>
      </c>
      <c r="G1728" t="str">
        <f>IF(E1728="","",IF(COUNTIF('DATA QCEW'!$A$2:$A$20,E1728)&gt;0,"19-SECTOR","DETAIL / OTHER"))</f>
        <v/>
      </c>
    </row>
    <row r="1729" spans="4:7">
      <c r="D1729" s="8"/>
      <c r="E1729" t="str">
        <f t="shared" si="52"/>
        <v/>
      </c>
      <c r="F1729" t="str">
        <f t="shared" si="53"/>
        <v/>
      </c>
      <c r="G1729" t="str">
        <f>IF(E1729="","",IF(COUNTIF('DATA QCEW'!$A$2:$A$20,E1729)&gt;0,"19-SECTOR","DETAIL / OTHER"))</f>
        <v/>
      </c>
    </row>
    <row r="1730" spans="4:7">
      <c r="D1730" s="8"/>
      <c r="E1730" t="str">
        <f t="shared" ref="E1730:E1793" si="54">IF(LEFT(TRIM(A1730),6)="NAICS ",IFERROR(MID(TRIM(A1730),7,FIND(" ",TRIM(A1730)&amp;" ",7)-7),""),"")</f>
        <v/>
      </c>
      <c r="F1730" t="str">
        <f t="shared" ref="F1730:F1793" si="55">IF(E1730="","",TRIM(MID(TRIM(A1730),FIND(" ",TRIM(A1730)&amp;" ",7)+1,255)))</f>
        <v/>
      </c>
      <c r="G1730" t="str">
        <f>IF(E1730="","",IF(COUNTIF('DATA QCEW'!$A$2:$A$20,E1730)&gt;0,"19-SECTOR","DETAIL / OTHER"))</f>
        <v/>
      </c>
    </row>
    <row r="1731" spans="4:7">
      <c r="D1731" s="8"/>
      <c r="E1731" t="str">
        <f t="shared" si="54"/>
        <v/>
      </c>
      <c r="F1731" t="str">
        <f t="shared" si="55"/>
        <v/>
      </c>
      <c r="G1731" t="str">
        <f>IF(E1731="","",IF(COUNTIF('DATA QCEW'!$A$2:$A$20,E1731)&gt;0,"19-SECTOR","DETAIL / OTHER"))</f>
        <v/>
      </c>
    </row>
    <row r="1732" spans="4:7">
      <c r="D1732" s="8"/>
      <c r="E1732" t="str">
        <f t="shared" si="54"/>
        <v/>
      </c>
      <c r="F1732" t="str">
        <f t="shared" si="55"/>
        <v/>
      </c>
      <c r="G1732" t="str">
        <f>IF(E1732="","",IF(COUNTIF('DATA QCEW'!$A$2:$A$20,E1732)&gt;0,"19-SECTOR","DETAIL / OTHER"))</f>
        <v/>
      </c>
    </row>
    <row r="1733" spans="4:7">
      <c r="D1733" s="8"/>
      <c r="E1733" t="str">
        <f t="shared" si="54"/>
        <v/>
      </c>
      <c r="F1733" t="str">
        <f t="shared" si="55"/>
        <v/>
      </c>
      <c r="G1733" t="str">
        <f>IF(E1733="","",IF(COUNTIF('DATA QCEW'!$A$2:$A$20,E1733)&gt;0,"19-SECTOR","DETAIL / OTHER"))</f>
        <v/>
      </c>
    </row>
    <row r="1734" spans="4:7">
      <c r="D1734" s="8"/>
      <c r="E1734" t="str">
        <f t="shared" si="54"/>
        <v/>
      </c>
      <c r="F1734" t="str">
        <f t="shared" si="55"/>
        <v/>
      </c>
      <c r="G1734" t="str">
        <f>IF(E1734="","",IF(COUNTIF('DATA QCEW'!$A$2:$A$20,E1734)&gt;0,"19-SECTOR","DETAIL / OTHER"))</f>
        <v/>
      </c>
    </row>
    <row r="1735" spans="4:7">
      <c r="D1735" s="8"/>
      <c r="E1735" t="str">
        <f t="shared" si="54"/>
        <v/>
      </c>
      <c r="F1735" t="str">
        <f t="shared" si="55"/>
        <v/>
      </c>
      <c r="G1735" t="str">
        <f>IF(E1735="","",IF(COUNTIF('DATA QCEW'!$A$2:$A$20,E1735)&gt;0,"19-SECTOR","DETAIL / OTHER"))</f>
        <v/>
      </c>
    </row>
    <row r="1736" spans="4:7">
      <c r="D1736" s="8"/>
      <c r="E1736" t="str">
        <f t="shared" si="54"/>
        <v/>
      </c>
      <c r="F1736" t="str">
        <f t="shared" si="55"/>
        <v/>
      </c>
      <c r="G1736" t="str">
        <f>IF(E1736="","",IF(COUNTIF('DATA QCEW'!$A$2:$A$20,E1736)&gt;0,"19-SECTOR","DETAIL / OTHER"))</f>
        <v/>
      </c>
    </row>
    <row r="1737" spans="4:7">
      <c r="D1737" s="8"/>
      <c r="E1737" t="str">
        <f t="shared" si="54"/>
        <v/>
      </c>
      <c r="F1737" t="str">
        <f t="shared" si="55"/>
        <v/>
      </c>
      <c r="G1737" t="str">
        <f>IF(E1737="","",IF(COUNTIF('DATA QCEW'!$A$2:$A$20,E1737)&gt;0,"19-SECTOR","DETAIL / OTHER"))</f>
        <v/>
      </c>
    </row>
    <row r="1738" spans="4:7">
      <c r="D1738" s="8"/>
      <c r="E1738" t="str">
        <f t="shared" si="54"/>
        <v/>
      </c>
      <c r="F1738" t="str">
        <f t="shared" si="55"/>
        <v/>
      </c>
      <c r="G1738" t="str">
        <f>IF(E1738="","",IF(COUNTIF('DATA QCEW'!$A$2:$A$20,E1738)&gt;0,"19-SECTOR","DETAIL / OTHER"))</f>
        <v/>
      </c>
    </row>
    <row r="1739" spans="4:7">
      <c r="D1739" s="8"/>
      <c r="E1739" t="str">
        <f t="shared" si="54"/>
        <v/>
      </c>
      <c r="F1739" t="str">
        <f t="shared" si="55"/>
        <v/>
      </c>
      <c r="G1739" t="str">
        <f>IF(E1739="","",IF(COUNTIF('DATA QCEW'!$A$2:$A$20,E1739)&gt;0,"19-SECTOR","DETAIL / OTHER"))</f>
        <v/>
      </c>
    </row>
    <row r="1740" spans="4:7">
      <c r="D1740" s="8"/>
      <c r="E1740" t="str">
        <f t="shared" si="54"/>
        <v/>
      </c>
      <c r="F1740" t="str">
        <f t="shared" si="55"/>
        <v/>
      </c>
      <c r="G1740" t="str">
        <f>IF(E1740="","",IF(COUNTIF('DATA QCEW'!$A$2:$A$20,E1740)&gt;0,"19-SECTOR","DETAIL / OTHER"))</f>
        <v/>
      </c>
    </row>
    <row r="1741" spans="4:7">
      <c r="D1741" s="8"/>
      <c r="E1741" t="str">
        <f t="shared" si="54"/>
        <v/>
      </c>
      <c r="F1741" t="str">
        <f t="shared" si="55"/>
        <v/>
      </c>
      <c r="G1741" t="str">
        <f>IF(E1741="","",IF(COUNTIF('DATA QCEW'!$A$2:$A$20,E1741)&gt;0,"19-SECTOR","DETAIL / OTHER"))</f>
        <v/>
      </c>
    </row>
    <row r="1742" spans="4:7">
      <c r="D1742" s="8"/>
      <c r="E1742" t="str">
        <f t="shared" si="54"/>
        <v/>
      </c>
      <c r="F1742" t="str">
        <f t="shared" si="55"/>
        <v/>
      </c>
      <c r="G1742" t="str">
        <f>IF(E1742="","",IF(COUNTIF('DATA QCEW'!$A$2:$A$20,E1742)&gt;0,"19-SECTOR","DETAIL / OTHER"))</f>
        <v/>
      </c>
    </row>
    <row r="1743" spans="4:7">
      <c r="D1743" s="8"/>
      <c r="E1743" t="str">
        <f t="shared" si="54"/>
        <v/>
      </c>
      <c r="F1743" t="str">
        <f t="shared" si="55"/>
        <v/>
      </c>
      <c r="G1743" t="str">
        <f>IF(E1743="","",IF(COUNTIF('DATA QCEW'!$A$2:$A$20,E1743)&gt;0,"19-SECTOR","DETAIL / OTHER"))</f>
        <v/>
      </c>
    </row>
    <row r="1744" spans="4:7">
      <c r="D1744" s="8"/>
      <c r="E1744" t="str">
        <f t="shared" si="54"/>
        <v/>
      </c>
      <c r="F1744" t="str">
        <f t="shared" si="55"/>
        <v/>
      </c>
      <c r="G1744" t="str">
        <f>IF(E1744="","",IF(COUNTIF('DATA QCEW'!$A$2:$A$20,E1744)&gt;0,"19-SECTOR","DETAIL / OTHER"))</f>
        <v/>
      </c>
    </row>
    <row r="1745" spans="4:7">
      <c r="D1745" s="8"/>
      <c r="E1745" t="str">
        <f t="shared" si="54"/>
        <v/>
      </c>
      <c r="F1745" t="str">
        <f t="shared" si="55"/>
        <v/>
      </c>
      <c r="G1745" t="str">
        <f>IF(E1745="","",IF(COUNTIF('DATA QCEW'!$A$2:$A$20,E1745)&gt;0,"19-SECTOR","DETAIL / OTHER"))</f>
        <v/>
      </c>
    </row>
    <row r="1746" spans="4:7">
      <c r="D1746" s="8"/>
      <c r="E1746" t="str">
        <f t="shared" si="54"/>
        <v/>
      </c>
      <c r="F1746" t="str">
        <f t="shared" si="55"/>
        <v/>
      </c>
      <c r="G1746" t="str">
        <f>IF(E1746="","",IF(COUNTIF('DATA QCEW'!$A$2:$A$20,E1746)&gt;0,"19-SECTOR","DETAIL / OTHER"))</f>
        <v/>
      </c>
    </row>
    <row r="1747" spans="4:7">
      <c r="D1747" s="8"/>
      <c r="E1747" t="str">
        <f t="shared" si="54"/>
        <v/>
      </c>
      <c r="F1747" t="str">
        <f t="shared" si="55"/>
        <v/>
      </c>
      <c r="G1747" t="str">
        <f>IF(E1747="","",IF(COUNTIF('DATA QCEW'!$A$2:$A$20,E1747)&gt;0,"19-SECTOR","DETAIL / OTHER"))</f>
        <v/>
      </c>
    </row>
    <row r="1748" spans="4:7">
      <c r="D1748" s="8"/>
      <c r="E1748" t="str">
        <f t="shared" si="54"/>
        <v/>
      </c>
      <c r="F1748" t="str">
        <f t="shared" si="55"/>
        <v/>
      </c>
      <c r="G1748" t="str">
        <f>IF(E1748="","",IF(COUNTIF('DATA QCEW'!$A$2:$A$20,E1748)&gt;0,"19-SECTOR","DETAIL / OTHER"))</f>
        <v/>
      </c>
    </row>
    <row r="1749" spans="4:7">
      <c r="D1749" s="8"/>
      <c r="E1749" t="str">
        <f t="shared" si="54"/>
        <v/>
      </c>
      <c r="F1749" t="str">
        <f t="shared" si="55"/>
        <v/>
      </c>
      <c r="G1749" t="str">
        <f>IF(E1749="","",IF(COUNTIF('DATA QCEW'!$A$2:$A$20,E1749)&gt;0,"19-SECTOR","DETAIL / OTHER"))</f>
        <v/>
      </c>
    </row>
    <row r="1750" spans="4:7">
      <c r="D1750" s="8"/>
      <c r="E1750" t="str">
        <f t="shared" si="54"/>
        <v/>
      </c>
      <c r="F1750" t="str">
        <f t="shared" si="55"/>
        <v/>
      </c>
      <c r="G1750" t="str">
        <f>IF(E1750="","",IF(COUNTIF('DATA QCEW'!$A$2:$A$20,E1750)&gt;0,"19-SECTOR","DETAIL / OTHER"))</f>
        <v/>
      </c>
    </row>
    <row r="1751" spans="4:7">
      <c r="D1751" s="8"/>
      <c r="E1751" t="str">
        <f t="shared" si="54"/>
        <v/>
      </c>
      <c r="F1751" t="str">
        <f t="shared" si="55"/>
        <v/>
      </c>
      <c r="G1751" t="str">
        <f>IF(E1751="","",IF(COUNTIF('DATA QCEW'!$A$2:$A$20,E1751)&gt;0,"19-SECTOR","DETAIL / OTHER"))</f>
        <v/>
      </c>
    </row>
    <row r="1752" spans="4:7">
      <c r="D1752" s="8"/>
      <c r="E1752" t="str">
        <f t="shared" si="54"/>
        <v/>
      </c>
      <c r="F1752" t="str">
        <f t="shared" si="55"/>
        <v/>
      </c>
      <c r="G1752" t="str">
        <f>IF(E1752="","",IF(COUNTIF('DATA QCEW'!$A$2:$A$20,E1752)&gt;0,"19-SECTOR","DETAIL / OTHER"))</f>
        <v/>
      </c>
    </row>
    <row r="1753" spans="4:7">
      <c r="D1753" s="8"/>
      <c r="E1753" t="str">
        <f t="shared" si="54"/>
        <v/>
      </c>
      <c r="F1753" t="str">
        <f t="shared" si="55"/>
        <v/>
      </c>
      <c r="G1753" t="str">
        <f>IF(E1753="","",IF(COUNTIF('DATA QCEW'!$A$2:$A$20,E1753)&gt;0,"19-SECTOR","DETAIL / OTHER"))</f>
        <v/>
      </c>
    </row>
    <row r="1754" spans="4:7">
      <c r="D1754" s="8"/>
      <c r="E1754" t="str">
        <f t="shared" si="54"/>
        <v/>
      </c>
      <c r="F1754" t="str">
        <f t="shared" si="55"/>
        <v/>
      </c>
      <c r="G1754" t="str">
        <f>IF(E1754="","",IF(COUNTIF('DATA QCEW'!$A$2:$A$20,E1754)&gt;0,"19-SECTOR","DETAIL / OTHER"))</f>
        <v/>
      </c>
    </row>
    <row r="1755" spans="4:7">
      <c r="D1755" s="8"/>
      <c r="E1755" t="str">
        <f t="shared" si="54"/>
        <v/>
      </c>
      <c r="F1755" t="str">
        <f t="shared" si="55"/>
        <v/>
      </c>
      <c r="G1755" t="str">
        <f>IF(E1755="","",IF(COUNTIF('DATA QCEW'!$A$2:$A$20,E1755)&gt;0,"19-SECTOR","DETAIL / OTHER"))</f>
        <v/>
      </c>
    </row>
    <row r="1756" spans="4:7">
      <c r="D1756" s="8"/>
      <c r="E1756" t="str">
        <f t="shared" si="54"/>
        <v/>
      </c>
      <c r="F1756" t="str">
        <f t="shared" si="55"/>
        <v/>
      </c>
      <c r="G1756" t="str">
        <f>IF(E1756="","",IF(COUNTIF('DATA QCEW'!$A$2:$A$20,E1756)&gt;0,"19-SECTOR","DETAIL / OTHER"))</f>
        <v/>
      </c>
    </row>
    <row r="1757" spans="4:7">
      <c r="D1757" s="8"/>
      <c r="E1757" t="str">
        <f t="shared" si="54"/>
        <v/>
      </c>
      <c r="F1757" t="str">
        <f t="shared" si="55"/>
        <v/>
      </c>
      <c r="G1757" t="str">
        <f>IF(E1757="","",IF(COUNTIF('DATA QCEW'!$A$2:$A$20,E1757)&gt;0,"19-SECTOR","DETAIL / OTHER"))</f>
        <v/>
      </c>
    </row>
    <row r="1758" spans="4:7">
      <c r="D1758" s="8"/>
      <c r="E1758" t="str">
        <f t="shared" si="54"/>
        <v/>
      </c>
      <c r="F1758" t="str">
        <f t="shared" si="55"/>
        <v/>
      </c>
      <c r="G1758" t="str">
        <f>IF(E1758="","",IF(COUNTIF('DATA QCEW'!$A$2:$A$20,E1758)&gt;0,"19-SECTOR","DETAIL / OTHER"))</f>
        <v/>
      </c>
    </row>
    <row r="1759" spans="4:7">
      <c r="D1759" s="8"/>
      <c r="E1759" t="str">
        <f t="shared" si="54"/>
        <v/>
      </c>
      <c r="F1759" t="str">
        <f t="shared" si="55"/>
        <v/>
      </c>
      <c r="G1759" t="str">
        <f>IF(E1759="","",IF(COUNTIF('DATA QCEW'!$A$2:$A$20,E1759)&gt;0,"19-SECTOR","DETAIL / OTHER"))</f>
        <v/>
      </c>
    </row>
    <row r="1760" spans="4:7">
      <c r="D1760" s="8"/>
      <c r="E1760" t="str">
        <f t="shared" si="54"/>
        <v/>
      </c>
      <c r="F1760" t="str">
        <f t="shared" si="55"/>
        <v/>
      </c>
      <c r="G1760" t="str">
        <f>IF(E1760="","",IF(COUNTIF('DATA QCEW'!$A$2:$A$20,E1760)&gt;0,"19-SECTOR","DETAIL / OTHER"))</f>
        <v/>
      </c>
    </row>
    <row r="1761" spans="4:7">
      <c r="D1761" s="8"/>
      <c r="E1761" t="str">
        <f t="shared" si="54"/>
        <v/>
      </c>
      <c r="F1761" t="str">
        <f t="shared" si="55"/>
        <v/>
      </c>
      <c r="G1761" t="str">
        <f>IF(E1761="","",IF(COUNTIF('DATA QCEW'!$A$2:$A$20,E1761)&gt;0,"19-SECTOR","DETAIL / OTHER"))</f>
        <v/>
      </c>
    </row>
    <row r="1762" spans="4:7">
      <c r="D1762" s="8"/>
      <c r="E1762" t="str">
        <f t="shared" si="54"/>
        <v/>
      </c>
      <c r="F1762" t="str">
        <f t="shared" si="55"/>
        <v/>
      </c>
      <c r="G1762" t="str">
        <f>IF(E1762="","",IF(COUNTIF('DATA QCEW'!$A$2:$A$20,E1762)&gt;0,"19-SECTOR","DETAIL / OTHER"))</f>
        <v/>
      </c>
    </row>
    <row r="1763" spans="4:7">
      <c r="D1763" s="8"/>
      <c r="E1763" t="str">
        <f t="shared" si="54"/>
        <v/>
      </c>
      <c r="F1763" t="str">
        <f t="shared" si="55"/>
        <v/>
      </c>
      <c r="G1763" t="str">
        <f>IF(E1763="","",IF(COUNTIF('DATA QCEW'!$A$2:$A$20,E1763)&gt;0,"19-SECTOR","DETAIL / OTHER"))</f>
        <v/>
      </c>
    </row>
    <row r="1764" spans="4:7">
      <c r="D1764" s="8"/>
      <c r="E1764" t="str">
        <f t="shared" si="54"/>
        <v/>
      </c>
      <c r="F1764" t="str">
        <f t="shared" si="55"/>
        <v/>
      </c>
      <c r="G1764" t="str">
        <f>IF(E1764="","",IF(COUNTIF('DATA QCEW'!$A$2:$A$20,E1764)&gt;0,"19-SECTOR","DETAIL / OTHER"))</f>
        <v/>
      </c>
    </row>
    <row r="1765" spans="4:7">
      <c r="D1765" s="8"/>
      <c r="E1765" t="str">
        <f t="shared" si="54"/>
        <v/>
      </c>
      <c r="F1765" t="str">
        <f t="shared" si="55"/>
        <v/>
      </c>
      <c r="G1765" t="str">
        <f>IF(E1765="","",IF(COUNTIF('DATA QCEW'!$A$2:$A$20,E1765)&gt;0,"19-SECTOR","DETAIL / OTHER"))</f>
        <v/>
      </c>
    </row>
    <row r="1766" spans="4:7">
      <c r="D1766" s="8"/>
      <c r="E1766" t="str">
        <f t="shared" si="54"/>
        <v/>
      </c>
      <c r="F1766" t="str">
        <f t="shared" si="55"/>
        <v/>
      </c>
      <c r="G1766" t="str">
        <f>IF(E1766="","",IF(COUNTIF('DATA QCEW'!$A$2:$A$20,E1766)&gt;0,"19-SECTOR","DETAIL / OTHER"))</f>
        <v/>
      </c>
    </row>
    <row r="1767" spans="4:7">
      <c r="D1767" s="8"/>
      <c r="E1767" t="str">
        <f t="shared" si="54"/>
        <v/>
      </c>
      <c r="F1767" t="str">
        <f t="shared" si="55"/>
        <v/>
      </c>
      <c r="G1767" t="str">
        <f>IF(E1767="","",IF(COUNTIF('DATA QCEW'!$A$2:$A$20,E1767)&gt;0,"19-SECTOR","DETAIL / OTHER"))</f>
        <v/>
      </c>
    </row>
    <row r="1768" spans="4:7">
      <c r="D1768" s="8"/>
      <c r="E1768" t="str">
        <f t="shared" si="54"/>
        <v/>
      </c>
      <c r="F1768" t="str">
        <f t="shared" si="55"/>
        <v/>
      </c>
      <c r="G1768" t="str">
        <f>IF(E1768="","",IF(COUNTIF('DATA QCEW'!$A$2:$A$20,E1768)&gt;0,"19-SECTOR","DETAIL / OTHER"))</f>
        <v/>
      </c>
    </row>
    <row r="1769" spans="4:7">
      <c r="D1769" s="8"/>
      <c r="E1769" t="str">
        <f t="shared" si="54"/>
        <v/>
      </c>
      <c r="F1769" t="str">
        <f t="shared" si="55"/>
        <v/>
      </c>
      <c r="G1769" t="str">
        <f>IF(E1769="","",IF(COUNTIF('DATA QCEW'!$A$2:$A$20,E1769)&gt;0,"19-SECTOR","DETAIL / OTHER"))</f>
        <v/>
      </c>
    </row>
    <row r="1770" spans="4:7">
      <c r="D1770" s="8"/>
      <c r="E1770" t="str">
        <f t="shared" si="54"/>
        <v/>
      </c>
      <c r="F1770" t="str">
        <f t="shared" si="55"/>
        <v/>
      </c>
      <c r="G1770" t="str">
        <f>IF(E1770="","",IF(COUNTIF('DATA QCEW'!$A$2:$A$20,E1770)&gt;0,"19-SECTOR","DETAIL / OTHER"))</f>
        <v/>
      </c>
    </row>
    <row r="1771" spans="4:7">
      <c r="D1771" s="8"/>
      <c r="E1771" t="str">
        <f t="shared" si="54"/>
        <v/>
      </c>
      <c r="F1771" t="str">
        <f t="shared" si="55"/>
        <v/>
      </c>
      <c r="G1771" t="str">
        <f>IF(E1771="","",IF(COUNTIF('DATA QCEW'!$A$2:$A$20,E1771)&gt;0,"19-SECTOR","DETAIL / OTHER"))</f>
        <v/>
      </c>
    </row>
    <row r="1772" spans="4:7">
      <c r="D1772" s="8"/>
      <c r="E1772" t="str">
        <f t="shared" si="54"/>
        <v/>
      </c>
      <c r="F1772" t="str">
        <f t="shared" si="55"/>
        <v/>
      </c>
      <c r="G1772" t="str">
        <f>IF(E1772="","",IF(COUNTIF('DATA QCEW'!$A$2:$A$20,E1772)&gt;0,"19-SECTOR","DETAIL / OTHER"))</f>
        <v/>
      </c>
    </row>
    <row r="1773" spans="4:7">
      <c r="D1773" s="8"/>
      <c r="E1773" t="str">
        <f t="shared" si="54"/>
        <v/>
      </c>
      <c r="F1773" t="str">
        <f t="shared" si="55"/>
        <v/>
      </c>
      <c r="G1773" t="str">
        <f>IF(E1773="","",IF(COUNTIF('DATA QCEW'!$A$2:$A$20,E1773)&gt;0,"19-SECTOR","DETAIL / OTHER"))</f>
        <v/>
      </c>
    </row>
    <row r="1774" spans="4:7">
      <c r="D1774" s="8"/>
      <c r="E1774" t="str">
        <f t="shared" si="54"/>
        <v/>
      </c>
      <c r="F1774" t="str">
        <f t="shared" si="55"/>
        <v/>
      </c>
      <c r="G1774" t="str">
        <f>IF(E1774="","",IF(COUNTIF('DATA QCEW'!$A$2:$A$20,E1774)&gt;0,"19-SECTOR","DETAIL / OTHER"))</f>
        <v/>
      </c>
    </row>
    <row r="1775" spans="4:7">
      <c r="D1775" s="8"/>
      <c r="E1775" t="str">
        <f t="shared" si="54"/>
        <v/>
      </c>
      <c r="F1775" t="str">
        <f t="shared" si="55"/>
        <v/>
      </c>
      <c r="G1775" t="str">
        <f>IF(E1775="","",IF(COUNTIF('DATA QCEW'!$A$2:$A$20,E1775)&gt;0,"19-SECTOR","DETAIL / OTHER"))</f>
        <v/>
      </c>
    </row>
    <row r="1776" spans="4:7">
      <c r="D1776" s="8"/>
      <c r="E1776" t="str">
        <f t="shared" si="54"/>
        <v/>
      </c>
      <c r="F1776" t="str">
        <f t="shared" si="55"/>
        <v/>
      </c>
      <c r="G1776" t="str">
        <f>IF(E1776="","",IF(COUNTIF('DATA QCEW'!$A$2:$A$20,E1776)&gt;0,"19-SECTOR","DETAIL / OTHER"))</f>
        <v/>
      </c>
    </row>
    <row r="1777" spans="4:7">
      <c r="D1777" s="8"/>
      <c r="E1777" t="str">
        <f t="shared" si="54"/>
        <v/>
      </c>
      <c r="F1777" t="str">
        <f t="shared" si="55"/>
        <v/>
      </c>
      <c r="G1777" t="str">
        <f>IF(E1777="","",IF(COUNTIF('DATA QCEW'!$A$2:$A$20,E1777)&gt;0,"19-SECTOR","DETAIL / OTHER"))</f>
        <v/>
      </c>
    </row>
    <row r="1778" spans="4:7">
      <c r="D1778" s="8"/>
      <c r="E1778" t="str">
        <f t="shared" si="54"/>
        <v/>
      </c>
      <c r="F1778" t="str">
        <f t="shared" si="55"/>
        <v/>
      </c>
      <c r="G1778" t="str">
        <f>IF(E1778="","",IF(COUNTIF('DATA QCEW'!$A$2:$A$20,E1778)&gt;0,"19-SECTOR","DETAIL / OTHER"))</f>
        <v/>
      </c>
    </row>
    <row r="1779" spans="4:7">
      <c r="D1779" s="8"/>
      <c r="E1779" t="str">
        <f t="shared" si="54"/>
        <v/>
      </c>
      <c r="F1779" t="str">
        <f t="shared" si="55"/>
        <v/>
      </c>
      <c r="G1779" t="str">
        <f>IF(E1779="","",IF(COUNTIF('DATA QCEW'!$A$2:$A$20,E1779)&gt;0,"19-SECTOR","DETAIL / OTHER"))</f>
        <v/>
      </c>
    </row>
    <row r="1780" spans="4:7">
      <c r="D1780" s="8"/>
      <c r="E1780" t="str">
        <f t="shared" si="54"/>
        <v/>
      </c>
      <c r="F1780" t="str">
        <f t="shared" si="55"/>
        <v/>
      </c>
      <c r="G1780" t="str">
        <f>IF(E1780="","",IF(COUNTIF('DATA QCEW'!$A$2:$A$20,E1780)&gt;0,"19-SECTOR","DETAIL / OTHER"))</f>
        <v/>
      </c>
    </row>
    <row r="1781" spans="4:7">
      <c r="D1781" s="8"/>
      <c r="E1781" t="str">
        <f t="shared" si="54"/>
        <v/>
      </c>
      <c r="F1781" t="str">
        <f t="shared" si="55"/>
        <v/>
      </c>
      <c r="G1781" t="str">
        <f>IF(E1781="","",IF(COUNTIF('DATA QCEW'!$A$2:$A$20,E1781)&gt;0,"19-SECTOR","DETAIL / OTHER"))</f>
        <v/>
      </c>
    </row>
    <row r="1782" spans="4:7">
      <c r="D1782" s="8"/>
      <c r="E1782" t="str">
        <f t="shared" si="54"/>
        <v/>
      </c>
      <c r="F1782" t="str">
        <f t="shared" si="55"/>
        <v/>
      </c>
      <c r="G1782" t="str">
        <f>IF(E1782="","",IF(COUNTIF('DATA QCEW'!$A$2:$A$20,E1782)&gt;0,"19-SECTOR","DETAIL / OTHER"))</f>
        <v/>
      </c>
    </row>
    <row r="1783" spans="4:7">
      <c r="D1783" s="8"/>
      <c r="E1783" t="str">
        <f t="shared" si="54"/>
        <v/>
      </c>
      <c r="F1783" t="str">
        <f t="shared" si="55"/>
        <v/>
      </c>
      <c r="G1783" t="str">
        <f>IF(E1783="","",IF(COUNTIF('DATA QCEW'!$A$2:$A$20,E1783)&gt;0,"19-SECTOR","DETAIL / OTHER"))</f>
        <v/>
      </c>
    </row>
    <row r="1784" spans="4:7">
      <c r="D1784" s="8"/>
      <c r="E1784" t="str">
        <f t="shared" si="54"/>
        <v/>
      </c>
      <c r="F1784" t="str">
        <f t="shared" si="55"/>
        <v/>
      </c>
      <c r="G1784" t="str">
        <f>IF(E1784="","",IF(COUNTIF('DATA QCEW'!$A$2:$A$20,E1784)&gt;0,"19-SECTOR","DETAIL / OTHER"))</f>
        <v/>
      </c>
    </row>
    <row r="1785" spans="4:7">
      <c r="D1785" s="8"/>
      <c r="E1785" t="str">
        <f t="shared" si="54"/>
        <v/>
      </c>
      <c r="F1785" t="str">
        <f t="shared" si="55"/>
        <v/>
      </c>
      <c r="G1785" t="str">
        <f>IF(E1785="","",IF(COUNTIF('DATA QCEW'!$A$2:$A$20,E1785)&gt;0,"19-SECTOR","DETAIL / OTHER"))</f>
        <v/>
      </c>
    </row>
    <row r="1786" spans="4:7">
      <c r="D1786" s="8"/>
      <c r="E1786" t="str">
        <f t="shared" si="54"/>
        <v/>
      </c>
      <c r="F1786" t="str">
        <f t="shared" si="55"/>
        <v/>
      </c>
      <c r="G1786" t="str">
        <f>IF(E1786="","",IF(COUNTIF('DATA QCEW'!$A$2:$A$20,E1786)&gt;0,"19-SECTOR","DETAIL / OTHER"))</f>
        <v/>
      </c>
    </row>
    <row r="1787" spans="4:7">
      <c r="D1787" s="8"/>
      <c r="E1787" t="str">
        <f t="shared" si="54"/>
        <v/>
      </c>
      <c r="F1787" t="str">
        <f t="shared" si="55"/>
        <v/>
      </c>
      <c r="G1787" t="str">
        <f>IF(E1787="","",IF(COUNTIF('DATA QCEW'!$A$2:$A$20,E1787)&gt;0,"19-SECTOR","DETAIL / OTHER"))</f>
        <v/>
      </c>
    </row>
    <row r="1788" spans="4:7">
      <c r="D1788" s="8"/>
      <c r="E1788" t="str">
        <f t="shared" si="54"/>
        <v/>
      </c>
      <c r="F1788" t="str">
        <f t="shared" si="55"/>
        <v/>
      </c>
      <c r="G1788" t="str">
        <f>IF(E1788="","",IF(COUNTIF('DATA QCEW'!$A$2:$A$20,E1788)&gt;0,"19-SECTOR","DETAIL / OTHER"))</f>
        <v/>
      </c>
    </row>
    <row r="1789" spans="4:7">
      <c r="D1789" s="8"/>
      <c r="E1789" t="str">
        <f t="shared" si="54"/>
        <v/>
      </c>
      <c r="F1789" t="str">
        <f t="shared" si="55"/>
        <v/>
      </c>
      <c r="G1789" t="str">
        <f>IF(E1789="","",IF(COUNTIF('DATA QCEW'!$A$2:$A$20,E1789)&gt;0,"19-SECTOR","DETAIL / OTHER"))</f>
        <v/>
      </c>
    </row>
    <row r="1790" spans="4:7">
      <c r="D1790" s="8"/>
      <c r="E1790" t="str">
        <f t="shared" si="54"/>
        <v/>
      </c>
      <c r="F1790" t="str">
        <f t="shared" si="55"/>
        <v/>
      </c>
      <c r="G1790" t="str">
        <f>IF(E1790="","",IF(COUNTIF('DATA QCEW'!$A$2:$A$20,E1790)&gt;0,"19-SECTOR","DETAIL / OTHER"))</f>
        <v/>
      </c>
    </row>
    <row r="1791" spans="4:7">
      <c r="D1791" s="8"/>
      <c r="E1791" t="str">
        <f t="shared" si="54"/>
        <v/>
      </c>
      <c r="F1791" t="str">
        <f t="shared" si="55"/>
        <v/>
      </c>
      <c r="G1791" t="str">
        <f>IF(E1791="","",IF(COUNTIF('DATA QCEW'!$A$2:$A$20,E1791)&gt;0,"19-SECTOR","DETAIL / OTHER"))</f>
        <v/>
      </c>
    </row>
    <row r="1792" spans="4:7">
      <c r="D1792" s="8"/>
      <c r="E1792" t="str">
        <f t="shared" si="54"/>
        <v/>
      </c>
      <c r="F1792" t="str">
        <f t="shared" si="55"/>
        <v/>
      </c>
      <c r="G1792" t="str">
        <f>IF(E1792="","",IF(COUNTIF('DATA QCEW'!$A$2:$A$20,E1792)&gt;0,"19-SECTOR","DETAIL / OTHER"))</f>
        <v/>
      </c>
    </row>
    <row r="1793" spans="4:7">
      <c r="D1793" s="8"/>
      <c r="E1793" t="str">
        <f t="shared" si="54"/>
        <v/>
      </c>
      <c r="F1793" t="str">
        <f t="shared" si="55"/>
        <v/>
      </c>
      <c r="G1793" t="str">
        <f>IF(E1793="","",IF(COUNTIF('DATA QCEW'!$A$2:$A$20,E1793)&gt;0,"19-SECTOR","DETAIL / OTHER"))</f>
        <v/>
      </c>
    </row>
    <row r="1794" spans="4:7">
      <c r="D1794" s="8"/>
      <c r="E1794" t="str">
        <f t="shared" ref="E1794:E1857" si="56">IF(LEFT(TRIM(A1794),6)="NAICS ",IFERROR(MID(TRIM(A1794),7,FIND(" ",TRIM(A1794)&amp;" ",7)-7),""),"")</f>
        <v/>
      </c>
      <c r="F1794" t="str">
        <f t="shared" ref="F1794:F1857" si="57">IF(E1794="","",TRIM(MID(TRIM(A1794),FIND(" ",TRIM(A1794)&amp;" ",7)+1,255)))</f>
        <v/>
      </c>
      <c r="G1794" t="str">
        <f>IF(E1794="","",IF(COUNTIF('DATA QCEW'!$A$2:$A$20,E1794)&gt;0,"19-SECTOR","DETAIL / OTHER"))</f>
        <v/>
      </c>
    </row>
    <row r="1795" spans="4:7">
      <c r="D1795" s="8"/>
      <c r="E1795" t="str">
        <f t="shared" si="56"/>
        <v/>
      </c>
      <c r="F1795" t="str">
        <f t="shared" si="57"/>
        <v/>
      </c>
      <c r="G1795" t="str">
        <f>IF(E1795="","",IF(COUNTIF('DATA QCEW'!$A$2:$A$20,E1795)&gt;0,"19-SECTOR","DETAIL / OTHER"))</f>
        <v/>
      </c>
    </row>
    <row r="1796" spans="4:7">
      <c r="D1796" s="8"/>
      <c r="E1796" t="str">
        <f t="shared" si="56"/>
        <v/>
      </c>
      <c r="F1796" t="str">
        <f t="shared" si="57"/>
        <v/>
      </c>
      <c r="G1796" t="str">
        <f>IF(E1796="","",IF(COUNTIF('DATA QCEW'!$A$2:$A$20,E1796)&gt;0,"19-SECTOR","DETAIL / OTHER"))</f>
        <v/>
      </c>
    </row>
    <row r="1797" spans="4:7">
      <c r="D1797" s="8"/>
      <c r="E1797" t="str">
        <f t="shared" si="56"/>
        <v/>
      </c>
      <c r="F1797" t="str">
        <f t="shared" si="57"/>
        <v/>
      </c>
      <c r="G1797" t="str">
        <f>IF(E1797="","",IF(COUNTIF('DATA QCEW'!$A$2:$A$20,E1797)&gt;0,"19-SECTOR","DETAIL / OTHER"))</f>
        <v/>
      </c>
    </row>
    <row r="1798" spans="4:7">
      <c r="D1798" s="8"/>
      <c r="E1798" t="str">
        <f t="shared" si="56"/>
        <v/>
      </c>
      <c r="F1798" t="str">
        <f t="shared" si="57"/>
        <v/>
      </c>
      <c r="G1798" t="str">
        <f>IF(E1798="","",IF(COUNTIF('DATA QCEW'!$A$2:$A$20,E1798)&gt;0,"19-SECTOR","DETAIL / OTHER"))</f>
        <v/>
      </c>
    </row>
    <row r="1799" spans="4:7">
      <c r="D1799" s="8"/>
      <c r="E1799" t="str">
        <f t="shared" si="56"/>
        <v/>
      </c>
      <c r="F1799" t="str">
        <f t="shared" si="57"/>
        <v/>
      </c>
      <c r="G1799" t="str">
        <f>IF(E1799="","",IF(COUNTIF('DATA QCEW'!$A$2:$A$20,E1799)&gt;0,"19-SECTOR","DETAIL / OTHER"))</f>
        <v/>
      </c>
    </row>
    <row r="1800" spans="4:7">
      <c r="D1800" s="8"/>
      <c r="E1800" t="str">
        <f t="shared" si="56"/>
        <v/>
      </c>
      <c r="F1800" t="str">
        <f t="shared" si="57"/>
        <v/>
      </c>
      <c r="G1800" t="str">
        <f>IF(E1800="","",IF(COUNTIF('DATA QCEW'!$A$2:$A$20,E1800)&gt;0,"19-SECTOR","DETAIL / OTHER"))</f>
        <v/>
      </c>
    </row>
    <row r="1801" spans="4:7">
      <c r="D1801" s="8"/>
      <c r="E1801" t="str">
        <f t="shared" si="56"/>
        <v/>
      </c>
      <c r="F1801" t="str">
        <f t="shared" si="57"/>
        <v/>
      </c>
      <c r="G1801" t="str">
        <f>IF(E1801="","",IF(COUNTIF('DATA QCEW'!$A$2:$A$20,E1801)&gt;0,"19-SECTOR","DETAIL / OTHER"))</f>
        <v/>
      </c>
    </row>
    <row r="1802" spans="4:7">
      <c r="D1802" s="8"/>
      <c r="E1802" t="str">
        <f t="shared" si="56"/>
        <v/>
      </c>
      <c r="F1802" t="str">
        <f t="shared" si="57"/>
        <v/>
      </c>
      <c r="G1802" t="str">
        <f>IF(E1802="","",IF(COUNTIF('DATA QCEW'!$A$2:$A$20,E1802)&gt;0,"19-SECTOR","DETAIL / OTHER"))</f>
        <v/>
      </c>
    </row>
    <row r="1803" spans="4:7">
      <c r="D1803" s="8"/>
      <c r="E1803" t="str">
        <f t="shared" si="56"/>
        <v/>
      </c>
      <c r="F1803" t="str">
        <f t="shared" si="57"/>
        <v/>
      </c>
      <c r="G1803" t="str">
        <f>IF(E1803="","",IF(COUNTIF('DATA QCEW'!$A$2:$A$20,E1803)&gt;0,"19-SECTOR","DETAIL / OTHER"))</f>
        <v/>
      </c>
    </row>
    <row r="1804" spans="4:7">
      <c r="D1804" s="8"/>
      <c r="E1804" t="str">
        <f t="shared" si="56"/>
        <v/>
      </c>
      <c r="F1804" t="str">
        <f t="shared" si="57"/>
        <v/>
      </c>
      <c r="G1804" t="str">
        <f>IF(E1804="","",IF(COUNTIF('DATA QCEW'!$A$2:$A$20,E1804)&gt;0,"19-SECTOR","DETAIL / OTHER"))</f>
        <v/>
      </c>
    </row>
    <row r="1805" spans="4:7">
      <c r="D1805" s="8"/>
      <c r="E1805" t="str">
        <f t="shared" si="56"/>
        <v/>
      </c>
      <c r="F1805" t="str">
        <f t="shared" si="57"/>
        <v/>
      </c>
      <c r="G1805" t="str">
        <f>IF(E1805="","",IF(COUNTIF('DATA QCEW'!$A$2:$A$20,E1805)&gt;0,"19-SECTOR","DETAIL / OTHER"))</f>
        <v/>
      </c>
    </row>
    <row r="1806" spans="4:7">
      <c r="D1806" s="8"/>
      <c r="E1806" t="str">
        <f t="shared" si="56"/>
        <v/>
      </c>
      <c r="F1806" t="str">
        <f t="shared" si="57"/>
        <v/>
      </c>
      <c r="G1806" t="str">
        <f>IF(E1806="","",IF(COUNTIF('DATA QCEW'!$A$2:$A$20,E1806)&gt;0,"19-SECTOR","DETAIL / OTHER"))</f>
        <v/>
      </c>
    </row>
    <row r="1807" spans="4:7">
      <c r="D1807" s="8"/>
      <c r="E1807" t="str">
        <f t="shared" si="56"/>
        <v/>
      </c>
      <c r="F1807" t="str">
        <f t="shared" si="57"/>
        <v/>
      </c>
      <c r="G1807" t="str">
        <f>IF(E1807="","",IF(COUNTIF('DATA QCEW'!$A$2:$A$20,E1807)&gt;0,"19-SECTOR","DETAIL / OTHER"))</f>
        <v/>
      </c>
    </row>
    <row r="1808" spans="4:7">
      <c r="D1808" s="8"/>
      <c r="E1808" t="str">
        <f t="shared" si="56"/>
        <v/>
      </c>
      <c r="F1808" t="str">
        <f t="shared" si="57"/>
        <v/>
      </c>
      <c r="G1808" t="str">
        <f>IF(E1808="","",IF(COUNTIF('DATA QCEW'!$A$2:$A$20,E1808)&gt;0,"19-SECTOR","DETAIL / OTHER"))</f>
        <v/>
      </c>
    </row>
    <row r="1809" spans="4:7">
      <c r="D1809" s="8"/>
      <c r="E1809" t="str">
        <f t="shared" si="56"/>
        <v/>
      </c>
      <c r="F1809" t="str">
        <f t="shared" si="57"/>
        <v/>
      </c>
      <c r="G1809" t="str">
        <f>IF(E1809="","",IF(COUNTIF('DATA QCEW'!$A$2:$A$20,E1809)&gt;0,"19-SECTOR","DETAIL / OTHER"))</f>
        <v/>
      </c>
    </row>
    <row r="1810" spans="4:7">
      <c r="D1810" s="8"/>
      <c r="E1810" t="str">
        <f t="shared" si="56"/>
        <v/>
      </c>
      <c r="F1810" t="str">
        <f t="shared" si="57"/>
        <v/>
      </c>
      <c r="G1810" t="str">
        <f>IF(E1810="","",IF(COUNTIF('DATA QCEW'!$A$2:$A$20,E1810)&gt;0,"19-SECTOR","DETAIL / OTHER"))</f>
        <v/>
      </c>
    </row>
    <row r="1811" spans="4:7">
      <c r="D1811" s="8"/>
      <c r="E1811" t="str">
        <f t="shared" si="56"/>
        <v/>
      </c>
      <c r="F1811" t="str">
        <f t="shared" si="57"/>
        <v/>
      </c>
      <c r="G1811" t="str">
        <f>IF(E1811="","",IF(COUNTIF('DATA QCEW'!$A$2:$A$20,E1811)&gt;0,"19-SECTOR","DETAIL / OTHER"))</f>
        <v/>
      </c>
    </row>
    <row r="1812" spans="4:7">
      <c r="D1812" s="8"/>
      <c r="E1812" t="str">
        <f t="shared" si="56"/>
        <v/>
      </c>
      <c r="F1812" t="str">
        <f t="shared" si="57"/>
        <v/>
      </c>
      <c r="G1812" t="str">
        <f>IF(E1812="","",IF(COUNTIF('DATA QCEW'!$A$2:$A$20,E1812)&gt;0,"19-SECTOR","DETAIL / OTHER"))</f>
        <v/>
      </c>
    </row>
    <row r="1813" spans="4:7">
      <c r="D1813" s="8"/>
      <c r="E1813" t="str">
        <f t="shared" si="56"/>
        <v/>
      </c>
      <c r="F1813" t="str">
        <f t="shared" si="57"/>
        <v/>
      </c>
      <c r="G1813" t="str">
        <f>IF(E1813="","",IF(COUNTIF('DATA QCEW'!$A$2:$A$20,E1813)&gt;0,"19-SECTOR","DETAIL / OTHER"))</f>
        <v/>
      </c>
    </row>
    <row r="1814" spans="4:7">
      <c r="D1814" s="8"/>
      <c r="E1814" t="str">
        <f t="shared" si="56"/>
        <v/>
      </c>
      <c r="F1814" t="str">
        <f t="shared" si="57"/>
        <v/>
      </c>
      <c r="G1814" t="str">
        <f>IF(E1814="","",IF(COUNTIF('DATA QCEW'!$A$2:$A$20,E1814)&gt;0,"19-SECTOR","DETAIL / OTHER"))</f>
        <v/>
      </c>
    </row>
    <row r="1815" spans="4:7">
      <c r="D1815" s="8"/>
      <c r="E1815" t="str">
        <f t="shared" si="56"/>
        <v/>
      </c>
      <c r="F1815" t="str">
        <f t="shared" si="57"/>
        <v/>
      </c>
      <c r="G1815" t="str">
        <f>IF(E1815="","",IF(COUNTIF('DATA QCEW'!$A$2:$A$20,E1815)&gt;0,"19-SECTOR","DETAIL / OTHER"))</f>
        <v/>
      </c>
    </row>
    <row r="1816" spans="4:7">
      <c r="D1816" s="8"/>
      <c r="E1816" t="str">
        <f t="shared" si="56"/>
        <v/>
      </c>
      <c r="F1816" t="str">
        <f t="shared" si="57"/>
        <v/>
      </c>
      <c r="G1816" t="str">
        <f>IF(E1816="","",IF(COUNTIF('DATA QCEW'!$A$2:$A$20,E1816)&gt;0,"19-SECTOR","DETAIL / OTHER"))</f>
        <v/>
      </c>
    </row>
    <row r="1817" spans="4:7">
      <c r="D1817" s="8"/>
      <c r="E1817" t="str">
        <f t="shared" si="56"/>
        <v/>
      </c>
      <c r="F1817" t="str">
        <f t="shared" si="57"/>
        <v/>
      </c>
      <c r="G1817" t="str">
        <f>IF(E1817="","",IF(COUNTIF('DATA QCEW'!$A$2:$A$20,E1817)&gt;0,"19-SECTOR","DETAIL / OTHER"))</f>
        <v/>
      </c>
    </row>
    <row r="1818" spans="4:7">
      <c r="D1818" s="8"/>
      <c r="E1818" t="str">
        <f t="shared" si="56"/>
        <v/>
      </c>
      <c r="F1818" t="str">
        <f t="shared" si="57"/>
        <v/>
      </c>
      <c r="G1818" t="str">
        <f>IF(E1818="","",IF(COUNTIF('DATA QCEW'!$A$2:$A$20,E1818)&gt;0,"19-SECTOR","DETAIL / OTHER"))</f>
        <v/>
      </c>
    </row>
    <row r="1819" spans="4:7">
      <c r="D1819" s="8"/>
      <c r="E1819" t="str">
        <f t="shared" si="56"/>
        <v/>
      </c>
      <c r="F1819" t="str">
        <f t="shared" si="57"/>
        <v/>
      </c>
      <c r="G1819" t="str">
        <f>IF(E1819="","",IF(COUNTIF('DATA QCEW'!$A$2:$A$20,E1819)&gt;0,"19-SECTOR","DETAIL / OTHER"))</f>
        <v/>
      </c>
    </row>
    <row r="1820" spans="4:7">
      <c r="D1820" s="8"/>
      <c r="E1820" t="str">
        <f t="shared" si="56"/>
        <v/>
      </c>
      <c r="F1820" t="str">
        <f t="shared" si="57"/>
        <v/>
      </c>
      <c r="G1820" t="str">
        <f>IF(E1820="","",IF(COUNTIF('DATA QCEW'!$A$2:$A$20,E1820)&gt;0,"19-SECTOR","DETAIL / OTHER"))</f>
        <v/>
      </c>
    </row>
    <row r="1821" spans="4:7">
      <c r="D1821" s="8"/>
      <c r="E1821" t="str">
        <f t="shared" si="56"/>
        <v/>
      </c>
      <c r="F1821" t="str">
        <f t="shared" si="57"/>
        <v/>
      </c>
      <c r="G1821" t="str">
        <f>IF(E1821="","",IF(COUNTIF('DATA QCEW'!$A$2:$A$20,E1821)&gt;0,"19-SECTOR","DETAIL / OTHER"))</f>
        <v/>
      </c>
    </row>
    <row r="1822" spans="4:7">
      <c r="D1822" s="8"/>
      <c r="E1822" t="str">
        <f t="shared" si="56"/>
        <v/>
      </c>
      <c r="F1822" t="str">
        <f t="shared" si="57"/>
        <v/>
      </c>
      <c r="G1822" t="str">
        <f>IF(E1822="","",IF(COUNTIF('DATA QCEW'!$A$2:$A$20,E1822)&gt;0,"19-SECTOR","DETAIL / OTHER"))</f>
        <v/>
      </c>
    </row>
    <row r="1823" spans="4:7">
      <c r="D1823" s="8"/>
      <c r="E1823" t="str">
        <f t="shared" si="56"/>
        <v/>
      </c>
      <c r="F1823" t="str">
        <f t="shared" si="57"/>
        <v/>
      </c>
      <c r="G1823" t="str">
        <f>IF(E1823="","",IF(COUNTIF('DATA QCEW'!$A$2:$A$20,E1823)&gt;0,"19-SECTOR","DETAIL / OTHER"))</f>
        <v/>
      </c>
    </row>
    <row r="1824" spans="4:7">
      <c r="D1824" s="8"/>
      <c r="E1824" t="str">
        <f t="shared" si="56"/>
        <v/>
      </c>
      <c r="F1824" t="str">
        <f t="shared" si="57"/>
        <v/>
      </c>
      <c r="G1824" t="str">
        <f>IF(E1824="","",IF(COUNTIF('DATA QCEW'!$A$2:$A$20,E1824)&gt;0,"19-SECTOR","DETAIL / OTHER"))</f>
        <v/>
      </c>
    </row>
    <row r="1825" spans="4:7">
      <c r="D1825" s="8"/>
      <c r="E1825" t="str">
        <f t="shared" si="56"/>
        <v/>
      </c>
      <c r="F1825" t="str">
        <f t="shared" si="57"/>
        <v/>
      </c>
      <c r="G1825" t="str">
        <f>IF(E1825="","",IF(COUNTIF('DATA QCEW'!$A$2:$A$20,E1825)&gt;0,"19-SECTOR","DETAIL / OTHER"))</f>
        <v/>
      </c>
    </row>
    <row r="1826" spans="4:7">
      <c r="D1826" s="8"/>
      <c r="E1826" t="str">
        <f t="shared" si="56"/>
        <v/>
      </c>
      <c r="F1826" t="str">
        <f t="shared" si="57"/>
        <v/>
      </c>
      <c r="G1826" t="str">
        <f>IF(E1826="","",IF(COUNTIF('DATA QCEW'!$A$2:$A$20,E1826)&gt;0,"19-SECTOR","DETAIL / OTHER"))</f>
        <v/>
      </c>
    </row>
    <row r="1827" spans="4:7">
      <c r="D1827" s="8"/>
      <c r="E1827" t="str">
        <f t="shared" si="56"/>
        <v/>
      </c>
      <c r="F1827" t="str">
        <f t="shared" si="57"/>
        <v/>
      </c>
      <c r="G1827" t="str">
        <f>IF(E1827="","",IF(COUNTIF('DATA QCEW'!$A$2:$A$20,E1827)&gt;0,"19-SECTOR","DETAIL / OTHER"))</f>
        <v/>
      </c>
    </row>
    <row r="1828" spans="4:7">
      <c r="D1828" s="8"/>
      <c r="E1828" t="str">
        <f t="shared" si="56"/>
        <v/>
      </c>
      <c r="F1828" t="str">
        <f t="shared" si="57"/>
        <v/>
      </c>
      <c r="G1828" t="str">
        <f>IF(E1828="","",IF(COUNTIF('DATA QCEW'!$A$2:$A$20,E1828)&gt;0,"19-SECTOR","DETAIL / OTHER"))</f>
        <v/>
      </c>
    </row>
    <row r="1829" spans="4:7">
      <c r="D1829" s="8"/>
      <c r="E1829" t="str">
        <f t="shared" si="56"/>
        <v/>
      </c>
      <c r="F1829" t="str">
        <f t="shared" si="57"/>
        <v/>
      </c>
      <c r="G1829" t="str">
        <f>IF(E1829="","",IF(COUNTIF('DATA QCEW'!$A$2:$A$20,E1829)&gt;0,"19-SECTOR","DETAIL / OTHER"))</f>
        <v/>
      </c>
    </row>
    <row r="1830" spans="4:7">
      <c r="D1830" s="8"/>
      <c r="E1830" t="str">
        <f t="shared" si="56"/>
        <v/>
      </c>
      <c r="F1830" t="str">
        <f t="shared" si="57"/>
        <v/>
      </c>
      <c r="G1830" t="str">
        <f>IF(E1830="","",IF(COUNTIF('DATA QCEW'!$A$2:$A$20,E1830)&gt;0,"19-SECTOR","DETAIL / OTHER"))</f>
        <v/>
      </c>
    </row>
    <row r="1831" spans="4:7">
      <c r="D1831" s="8"/>
      <c r="E1831" t="str">
        <f t="shared" si="56"/>
        <v/>
      </c>
      <c r="F1831" t="str">
        <f t="shared" si="57"/>
        <v/>
      </c>
      <c r="G1831" t="str">
        <f>IF(E1831="","",IF(COUNTIF('DATA QCEW'!$A$2:$A$20,E1831)&gt;0,"19-SECTOR","DETAIL / OTHER"))</f>
        <v/>
      </c>
    </row>
    <row r="1832" spans="4:7">
      <c r="D1832" s="8"/>
      <c r="E1832" t="str">
        <f t="shared" si="56"/>
        <v/>
      </c>
      <c r="F1832" t="str">
        <f t="shared" si="57"/>
        <v/>
      </c>
      <c r="G1832" t="str">
        <f>IF(E1832="","",IF(COUNTIF('DATA QCEW'!$A$2:$A$20,E1832)&gt;0,"19-SECTOR","DETAIL / OTHER"))</f>
        <v/>
      </c>
    </row>
    <row r="1833" spans="4:7">
      <c r="D1833" s="8"/>
      <c r="E1833" t="str">
        <f t="shared" si="56"/>
        <v/>
      </c>
      <c r="F1833" t="str">
        <f t="shared" si="57"/>
        <v/>
      </c>
      <c r="G1833" t="str">
        <f>IF(E1833="","",IF(COUNTIF('DATA QCEW'!$A$2:$A$20,E1833)&gt;0,"19-SECTOR","DETAIL / OTHER"))</f>
        <v/>
      </c>
    </row>
    <row r="1834" spans="4:7">
      <c r="D1834" s="8"/>
      <c r="E1834" t="str">
        <f t="shared" si="56"/>
        <v/>
      </c>
      <c r="F1834" t="str">
        <f t="shared" si="57"/>
        <v/>
      </c>
      <c r="G1834" t="str">
        <f>IF(E1834="","",IF(COUNTIF('DATA QCEW'!$A$2:$A$20,E1834)&gt;0,"19-SECTOR","DETAIL / OTHER"))</f>
        <v/>
      </c>
    </row>
    <row r="1835" spans="4:7">
      <c r="D1835" s="8"/>
      <c r="E1835" t="str">
        <f t="shared" si="56"/>
        <v/>
      </c>
      <c r="F1835" t="str">
        <f t="shared" si="57"/>
        <v/>
      </c>
      <c r="G1835" t="str">
        <f>IF(E1835="","",IF(COUNTIF('DATA QCEW'!$A$2:$A$20,E1835)&gt;0,"19-SECTOR","DETAIL / OTHER"))</f>
        <v/>
      </c>
    </row>
    <row r="1836" spans="4:7">
      <c r="D1836" s="8"/>
      <c r="E1836" t="str">
        <f t="shared" si="56"/>
        <v/>
      </c>
      <c r="F1836" t="str">
        <f t="shared" si="57"/>
        <v/>
      </c>
      <c r="G1836" t="str">
        <f>IF(E1836="","",IF(COUNTIF('DATA QCEW'!$A$2:$A$20,E1836)&gt;0,"19-SECTOR","DETAIL / OTHER"))</f>
        <v/>
      </c>
    </row>
    <row r="1837" spans="4:7">
      <c r="D1837" s="8"/>
      <c r="E1837" t="str">
        <f t="shared" si="56"/>
        <v/>
      </c>
      <c r="F1837" t="str">
        <f t="shared" si="57"/>
        <v/>
      </c>
      <c r="G1837" t="str">
        <f>IF(E1837="","",IF(COUNTIF('DATA QCEW'!$A$2:$A$20,E1837)&gt;0,"19-SECTOR","DETAIL / OTHER"))</f>
        <v/>
      </c>
    </row>
    <row r="1838" spans="4:7">
      <c r="D1838" s="8"/>
      <c r="E1838" t="str">
        <f t="shared" si="56"/>
        <v/>
      </c>
      <c r="F1838" t="str">
        <f t="shared" si="57"/>
        <v/>
      </c>
      <c r="G1838" t="str">
        <f>IF(E1838="","",IF(COUNTIF('DATA QCEW'!$A$2:$A$20,E1838)&gt;0,"19-SECTOR","DETAIL / OTHER"))</f>
        <v/>
      </c>
    </row>
    <row r="1839" spans="4:7">
      <c r="D1839" s="8"/>
      <c r="E1839" t="str">
        <f t="shared" si="56"/>
        <v/>
      </c>
      <c r="F1839" t="str">
        <f t="shared" si="57"/>
        <v/>
      </c>
      <c r="G1839" t="str">
        <f>IF(E1839="","",IF(COUNTIF('DATA QCEW'!$A$2:$A$20,E1839)&gt;0,"19-SECTOR","DETAIL / OTHER"))</f>
        <v/>
      </c>
    </row>
    <row r="1840" spans="4:7">
      <c r="D1840" s="8"/>
      <c r="E1840" t="str">
        <f t="shared" si="56"/>
        <v/>
      </c>
      <c r="F1840" t="str">
        <f t="shared" si="57"/>
        <v/>
      </c>
      <c r="G1840" t="str">
        <f>IF(E1840="","",IF(COUNTIF('DATA QCEW'!$A$2:$A$20,E1840)&gt;0,"19-SECTOR","DETAIL / OTHER"))</f>
        <v/>
      </c>
    </row>
    <row r="1841" spans="4:7">
      <c r="D1841" s="8"/>
      <c r="E1841" t="str">
        <f t="shared" si="56"/>
        <v/>
      </c>
      <c r="F1841" t="str">
        <f t="shared" si="57"/>
        <v/>
      </c>
      <c r="G1841" t="str">
        <f>IF(E1841="","",IF(COUNTIF('DATA QCEW'!$A$2:$A$20,E1841)&gt;0,"19-SECTOR","DETAIL / OTHER"))</f>
        <v/>
      </c>
    </row>
    <row r="1842" spans="4:7">
      <c r="D1842" s="8"/>
      <c r="E1842" t="str">
        <f t="shared" si="56"/>
        <v/>
      </c>
      <c r="F1842" t="str">
        <f t="shared" si="57"/>
        <v/>
      </c>
      <c r="G1842" t="str">
        <f>IF(E1842="","",IF(COUNTIF('DATA QCEW'!$A$2:$A$20,E1842)&gt;0,"19-SECTOR","DETAIL / OTHER"))</f>
        <v/>
      </c>
    </row>
    <row r="1843" spans="4:7">
      <c r="D1843" s="8"/>
      <c r="E1843" t="str">
        <f t="shared" si="56"/>
        <v/>
      </c>
      <c r="F1843" t="str">
        <f t="shared" si="57"/>
        <v/>
      </c>
      <c r="G1843" t="str">
        <f>IF(E1843="","",IF(COUNTIF('DATA QCEW'!$A$2:$A$20,E1843)&gt;0,"19-SECTOR","DETAIL / OTHER"))</f>
        <v/>
      </c>
    </row>
    <row r="1844" spans="4:7">
      <c r="D1844" s="8"/>
      <c r="E1844" t="str">
        <f t="shared" si="56"/>
        <v/>
      </c>
      <c r="F1844" t="str">
        <f t="shared" si="57"/>
        <v/>
      </c>
      <c r="G1844" t="str">
        <f>IF(E1844="","",IF(COUNTIF('DATA QCEW'!$A$2:$A$20,E1844)&gt;0,"19-SECTOR","DETAIL / OTHER"))</f>
        <v/>
      </c>
    </row>
    <row r="1845" spans="4:7">
      <c r="D1845" s="8"/>
      <c r="E1845" t="str">
        <f t="shared" si="56"/>
        <v/>
      </c>
      <c r="F1845" t="str">
        <f t="shared" si="57"/>
        <v/>
      </c>
      <c r="G1845" t="str">
        <f>IF(E1845="","",IF(COUNTIF('DATA QCEW'!$A$2:$A$20,E1845)&gt;0,"19-SECTOR","DETAIL / OTHER"))</f>
        <v/>
      </c>
    </row>
    <row r="1846" spans="4:7">
      <c r="D1846" s="8"/>
      <c r="E1846" t="str">
        <f t="shared" si="56"/>
        <v/>
      </c>
      <c r="F1846" t="str">
        <f t="shared" si="57"/>
        <v/>
      </c>
      <c r="G1846" t="str">
        <f>IF(E1846="","",IF(COUNTIF('DATA QCEW'!$A$2:$A$20,E1846)&gt;0,"19-SECTOR","DETAIL / OTHER"))</f>
        <v/>
      </c>
    </row>
    <row r="1847" spans="4:7">
      <c r="D1847" s="8"/>
      <c r="E1847" t="str">
        <f t="shared" si="56"/>
        <v/>
      </c>
      <c r="F1847" t="str">
        <f t="shared" si="57"/>
        <v/>
      </c>
      <c r="G1847" t="str">
        <f>IF(E1847="","",IF(COUNTIF('DATA QCEW'!$A$2:$A$20,E1847)&gt;0,"19-SECTOR","DETAIL / OTHER"))</f>
        <v/>
      </c>
    </row>
    <row r="1848" spans="4:7">
      <c r="D1848" s="8"/>
      <c r="E1848" t="str">
        <f t="shared" si="56"/>
        <v/>
      </c>
      <c r="F1848" t="str">
        <f t="shared" si="57"/>
        <v/>
      </c>
      <c r="G1848" t="str">
        <f>IF(E1848="","",IF(COUNTIF('DATA QCEW'!$A$2:$A$20,E1848)&gt;0,"19-SECTOR","DETAIL / OTHER"))</f>
        <v/>
      </c>
    </row>
    <row r="1849" spans="4:7">
      <c r="D1849" s="8"/>
      <c r="E1849" t="str">
        <f t="shared" si="56"/>
        <v/>
      </c>
      <c r="F1849" t="str">
        <f t="shared" si="57"/>
        <v/>
      </c>
      <c r="G1849" t="str">
        <f>IF(E1849="","",IF(COUNTIF('DATA QCEW'!$A$2:$A$20,E1849)&gt;0,"19-SECTOR","DETAIL / OTHER"))</f>
        <v/>
      </c>
    </row>
    <row r="1850" spans="4:7">
      <c r="D1850" s="8"/>
      <c r="E1850" t="str">
        <f t="shared" si="56"/>
        <v/>
      </c>
      <c r="F1850" t="str">
        <f t="shared" si="57"/>
        <v/>
      </c>
      <c r="G1850" t="str">
        <f>IF(E1850="","",IF(COUNTIF('DATA QCEW'!$A$2:$A$20,E1850)&gt;0,"19-SECTOR","DETAIL / OTHER"))</f>
        <v/>
      </c>
    </row>
    <row r="1851" spans="4:7">
      <c r="D1851" s="8"/>
      <c r="E1851" t="str">
        <f t="shared" si="56"/>
        <v/>
      </c>
      <c r="F1851" t="str">
        <f t="shared" si="57"/>
        <v/>
      </c>
      <c r="G1851" t="str">
        <f>IF(E1851="","",IF(COUNTIF('DATA QCEW'!$A$2:$A$20,E1851)&gt;0,"19-SECTOR","DETAIL / OTHER"))</f>
        <v/>
      </c>
    </row>
    <row r="1852" spans="4:7">
      <c r="D1852" s="8"/>
      <c r="E1852" t="str">
        <f t="shared" si="56"/>
        <v/>
      </c>
      <c r="F1852" t="str">
        <f t="shared" si="57"/>
        <v/>
      </c>
      <c r="G1852" t="str">
        <f>IF(E1852="","",IF(COUNTIF('DATA QCEW'!$A$2:$A$20,E1852)&gt;0,"19-SECTOR","DETAIL / OTHER"))</f>
        <v/>
      </c>
    </row>
    <row r="1853" spans="4:7">
      <c r="D1853" s="8"/>
      <c r="E1853" t="str">
        <f t="shared" si="56"/>
        <v/>
      </c>
      <c r="F1853" t="str">
        <f t="shared" si="57"/>
        <v/>
      </c>
      <c r="G1853" t="str">
        <f>IF(E1853="","",IF(COUNTIF('DATA QCEW'!$A$2:$A$20,E1853)&gt;0,"19-SECTOR","DETAIL / OTHER"))</f>
        <v/>
      </c>
    </row>
    <row r="1854" spans="4:7">
      <c r="D1854" s="8"/>
      <c r="E1854" t="str">
        <f t="shared" si="56"/>
        <v/>
      </c>
      <c r="F1854" t="str">
        <f t="shared" si="57"/>
        <v/>
      </c>
      <c r="G1854" t="str">
        <f>IF(E1854="","",IF(COUNTIF('DATA QCEW'!$A$2:$A$20,E1854)&gt;0,"19-SECTOR","DETAIL / OTHER"))</f>
        <v/>
      </c>
    </row>
    <row r="1855" spans="4:7">
      <c r="D1855" s="8"/>
      <c r="E1855" t="str">
        <f t="shared" si="56"/>
        <v/>
      </c>
      <c r="F1855" t="str">
        <f t="shared" si="57"/>
        <v/>
      </c>
      <c r="G1855" t="str">
        <f>IF(E1855="","",IF(COUNTIF('DATA QCEW'!$A$2:$A$20,E1855)&gt;0,"19-SECTOR","DETAIL / OTHER"))</f>
        <v/>
      </c>
    </row>
    <row r="1856" spans="4:7">
      <c r="D1856" s="8"/>
      <c r="E1856" t="str">
        <f t="shared" si="56"/>
        <v/>
      </c>
      <c r="F1856" t="str">
        <f t="shared" si="57"/>
        <v/>
      </c>
      <c r="G1856" t="str">
        <f>IF(E1856="","",IF(COUNTIF('DATA QCEW'!$A$2:$A$20,E1856)&gt;0,"19-SECTOR","DETAIL / OTHER"))</f>
        <v/>
      </c>
    </row>
    <row r="1857" spans="4:7">
      <c r="D1857" s="8"/>
      <c r="E1857" t="str">
        <f t="shared" si="56"/>
        <v/>
      </c>
      <c r="F1857" t="str">
        <f t="shared" si="57"/>
        <v/>
      </c>
      <c r="G1857" t="str">
        <f>IF(E1857="","",IF(COUNTIF('DATA QCEW'!$A$2:$A$20,E1857)&gt;0,"19-SECTOR","DETAIL / OTHER"))</f>
        <v/>
      </c>
    </row>
    <row r="1858" spans="4:7">
      <c r="D1858" s="8"/>
      <c r="E1858" t="str">
        <f t="shared" ref="E1858:E1921" si="58">IF(LEFT(TRIM(A1858),6)="NAICS ",IFERROR(MID(TRIM(A1858),7,FIND(" ",TRIM(A1858)&amp;" ",7)-7),""),"")</f>
        <v/>
      </c>
      <c r="F1858" t="str">
        <f t="shared" ref="F1858:F1921" si="59">IF(E1858="","",TRIM(MID(TRIM(A1858),FIND(" ",TRIM(A1858)&amp;" ",7)+1,255)))</f>
        <v/>
      </c>
      <c r="G1858" t="str">
        <f>IF(E1858="","",IF(COUNTIF('DATA QCEW'!$A$2:$A$20,E1858)&gt;0,"19-SECTOR","DETAIL / OTHER"))</f>
        <v/>
      </c>
    </row>
    <row r="1859" spans="4:7">
      <c r="D1859" s="8"/>
      <c r="E1859" t="str">
        <f t="shared" si="58"/>
        <v/>
      </c>
      <c r="F1859" t="str">
        <f t="shared" si="59"/>
        <v/>
      </c>
      <c r="G1859" t="str">
        <f>IF(E1859="","",IF(COUNTIF('DATA QCEW'!$A$2:$A$20,E1859)&gt;0,"19-SECTOR","DETAIL / OTHER"))</f>
        <v/>
      </c>
    </row>
    <row r="1860" spans="4:7">
      <c r="D1860" s="8"/>
      <c r="E1860" t="str">
        <f t="shared" si="58"/>
        <v/>
      </c>
      <c r="F1860" t="str">
        <f t="shared" si="59"/>
        <v/>
      </c>
      <c r="G1860" t="str">
        <f>IF(E1860="","",IF(COUNTIF('DATA QCEW'!$A$2:$A$20,E1860)&gt;0,"19-SECTOR","DETAIL / OTHER"))</f>
        <v/>
      </c>
    </row>
    <row r="1861" spans="4:7">
      <c r="D1861" s="8"/>
      <c r="E1861" t="str">
        <f t="shared" si="58"/>
        <v/>
      </c>
      <c r="F1861" t="str">
        <f t="shared" si="59"/>
        <v/>
      </c>
      <c r="G1861" t="str">
        <f>IF(E1861="","",IF(COUNTIF('DATA QCEW'!$A$2:$A$20,E1861)&gt;0,"19-SECTOR","DETAIL / OTHER"))</f>
        <v/>
      </c>
    </row>
    <row r="1862" spans="4:7">
      <c r="D1862" s="8"/>
      <c r="E1862" t="str">
        <f t="shared" si="58"/>
        <v/>
      </c>
      <c r="F1862" t="str">
        <f t="shared" si="59"/>
        <v/>
      </c>
      <c r="G1862" t="str">
        <f>IF(E1862="","",IF(COUNTIF('DATA QCEW'!$A$2:$A$20,E1862)&gt;0,"19-SECTOR","DETAIL / OTHER"))</f>
        <v/>
      </c>
    </row>
    <row r="1863" spans="4:7">
      <c r="D1863" s="8"/>
      <c r="E1863" t="str">
        <f t="shared" si="58"/>
        <v/>
      </c>
      <c r="F1863" t="str">
        <f t="shared" si="59"/>
        <v/>
      </c>
      <c r="G1863" t="str">
        <f>IF(E1863="","",IF(COUNTIF('DATA QCEW'!$A$2:$A$20,E1863)&gt;0,"19-SECTOR","DETAIL / OTHER"))</f>
        <v/>
      </c>
    </row>
    <row r="1864" spans="4:7">
      <c r="D1864" s="8"/>
      <c r="E1864" t="str">
        <f t="shared" si="58"/>
        <v/>
      </c>
      <c r="F1864" t="str">
        <f t="shared" si="59"/>
        <v/>
      </c>
      <c r="G1864" t="str">
        <f>IF(E1864="","",IF(COUNTIF('DATA QCEW'!$A$2:$A$20,E1864)&gt;0,"19-SECTOR","DETAIL / OTHER"))</f>
        <v/>
      </c>
    </row>
    <row r="1865" spans="4:7">
      <c r="D1865" s="8"/>
      <c r="E1865" t="str">
        <f t="shared" si="58"/>
        <v/>
      </c>
      <c r="F1865" t="str">
        <f t="shared" si="59"/>
        <v/>
      </c>
      <c r="G1865" t="str">
        <f>IF(E1865="","",IF(COUNTIF('DATA QCEW'!$A$2:$A$20,E1865)&gt;0,"19-SECTOR","DETAIL / OTHER"))</f>
        <v/>
      </c>
    </row>
    <row r="1866" spans="4:7">
      <c r="D1866" s="8"/>
      <c r="E1866" t="str">
        <f t="shared" si="58"/>
        <v/>
      </c>
      <c r="F1866" t="str">
        <f t="shared" si="59"/>
        <v/>
      </c>
      <c r="G1866" t="str">
        <f>IF(E1866="","",IF(COUNTIF('DATA QCEW'!$A$2:$A$20,E1866)&gt;0,"19-SECTOR","DETAIL / OTHER"))</f>
        <v/>
      </c>
    </row>
    <row r="1867" spans="4:7">
      <c r="D1867" s="8"/>
      <c r="E1867" t="str">
        <f t="shared" si="58"/>
        <v/>
      </c>
      <c r="F1867" t="str">
        <f t="shared" si="59"/>
        <v/>
      </c>
      <c r="G1867" t="str">
        <f>IF(E1867="","",IF(COUNTIF('DATA QCEW'!$A$2:$A$20,E1867)&gt;0,"19-SECTOR","DETAIL / OTHER"))</f>
        <v/>
      </c>
    </row>
    <row r="1868" spans="4:7">
      <c r="D1868" s="8"/>
      <c r="E1868" t="str">
        <f t="shared" si="58"/>
        <v/>
      </c>
      <c r="F1868" t="str">
        <f t="shared" si="59"/>
        <v/>
      </c>
      <c r="G1868" t="str">
        <f>IF(E1868="","",IF(COUNTIF('DATA QCEW'!$A$2:$A$20,E1868)&gt;0,"19-SECTOR","DETAIL / OTHER"))</f>
        <v/>
      </c>
    </row>
    <row r="1869" spans="4:7">
      <c r="D1869" s="8"/>
      <c r="E1869" t="str">
        <f t="shared" si="58"/>
        <v/>
      </c>
      <c r="F1869" t="str">
        <f t="shared" si="59"/>
        <v/>
      </c>
      <c r="G1869" t="str">
        <f>IF(E1869="","",IF(COUNTIF('DATA QCEW'!$A$2:$A$20,E1869)&gt;0,"19-SECTOR","DETAIL / OTHER"))</f>
        <v/>
      </c>
    </row>
    <row r="1870" spans="4:7">
      <c r="D1870" s="8"/>
      <c r="E1870" t="str">
        <f t="shared" si="58"/>
        <v/>
      </c>
      <c r="F1870" t="str">
        <f t="shared" si="59"/>
        <v/>
      </c>
      <c r="G1870" t="str">
        <f>IF(E1870="","",IF(COUNTIF('DATA QCEW'!$A$2:$A$20,E1870)&gt;0,"19-SECTOR","DETAIL / OTHER"))</f>
        <v/>
      </c>
    </row>
    <row r="1871" spans="4:7">
      <c r="D1871" s="8"/>
      <c r="E1871" t="str">
        <f t="shared" si="58"/>
        <v/>
      </c>
      <c r="F1871" t="str">
        <f t="shared" si="59"/>
        <v/>
      </c>
      <c r="G1871" t="str">
        <f>IF(E1871="","",IF(COUNTIF('DATA QCEW'!$A$2:$A$20,E1871)&gt;0,"19-SECTOR","DETAIL / OTHER"))</f>
        <v/>
      </c>
    </row>
    <row r="1872" spans="4:7">
      <c r="D1872" s="8"/>
      <c r="E1872" t="str">
        <f t="shared" si="58"/>
        <v/>
      </c>
      <c r="F1872" t="str">
        <f t="shared" si="59"/>
        <v/>
      </c>
      <c r="G1872" t="str">
        <f>IF(E1872="","",IF(COUNTIF('DATA QCEW'!$A$2:$A$20,E1872)&gt;0,"19-SECTOR","DETAIL / OTHER"))</f>
        <v/>
      </c>
    </row>
    <row r="1873" spans="4:7">
      <c r="D1873" s="8"/>
      <c r="E1873" t="str">
        <f t="shared" si="58"/>
        <v/>
      </c>
      <c r="F1873" t="str">
        <f t="shared" si="59"/>
        <v/>
      </c>
      <c r="G1873" t="str">
        <f>IF(E1873="","",IF(COUNTIF('DATA QCEW'!$A$2:$A$20,E1873)&gt;0,"19-SECTOR","DETAIL / OTHER"))</f>
        <v/>
      </c>
    </row>
    <row r="1874" spans="4:7">
      <c r="D1874" s="8"/>
      <c r="E1874" t="str">
        <f t="shared" si="58"/>
        <v/>
      </c>
      <c r="F1874" t="str">
        <f t="shared" si="59"/>
        <v/>
      </c>
      <c r="G1874" t="str">
        <f>IF(E1874="","",IF(COUNTIF('DATA QCEW'!$A$2:$A$20,E1874)&gt;0,"19-SECTOR","DETAIL / OTHER"))</f>
        <v/>
      </c>
    </row>
    <row r="1875" spans="4:7">
      <c r="D1875" s="8"/>
      <c r="E1875" t="str">
        <f t="shared" si="58"/>
        <v/>
      </c>
      <c r="F1875" t="str">
        <f t="shared" si="59"/>
        <v/>
      </c>
      <c r="G1875" t="str">
        <f>IF(E1875="","",IF(COUNTIF('DATA QCEW'!$A$2:$A$20,E1875)&gt;0,"19-SECTOR","DETAIL / OTHER"))</f>
        <v/>
      </c>
    </row>
    <row r="1876" spans="4:7">
      <c r="D1876" s="8"/>
      <c r="E1876" t="str">
        <f t="shared" si="58"/>
        <v/>
      </c>
      <c r="F1876" t="str">
        <f t="shared" si="59"/>
        <v/>
      </c>
      <c r="G1876" t="str">
        <f>IF(E1876="","",IF(COUNTIF('DATA QCEW'!$A$2:$A$20,E1876)&gt;0,"19-SECTOR","DETAIL / OTHER"))</f>
        <v/>
      </c>
    </row>
    <row r="1877" spans="4:7">
      <c r="D1877" s="8"/>
      <c r="E1877" t="str">
        <f t="shared" si="58"/>
        <v/>
      </c>
      <c r="F1877" t="str">
        <f t="shared" si="59"/>
        <v/>
      </c>
      <c r="G1877" t="str">
        <f>IF(E1877="","",IF(COUNTIF('DATA QCEW'!$A$2:$A$20,E1877)&gt;0,"19-SECTOR","DETAIL / OTHER"))</f>
        <v/>
      </c>
    </row>
    <row r="1878" spans="4:7">
      <c r="D1878" s="8"/>
      <c r="E1878" t="str">
        <f t="shared" si="58"/>
        <v/>
      </c>
      <c r="F1878" t="str">
        <f t="shared" si="59"/>
        <v/>
      </c>
      <c r="G1878" t="str">
        <f>IF(E1878="","",IF(COUNTIF('DATA QCEW'!$A$2:$A$20,E1878)&gt;0,"19-SECTOR","DETAIL / OTHER"))</f>
        <v/>
      </c>
    </row>
    <row r="1879" spans="4:7">
      <c r="D1879" s="8"/>
      <c r="E1879" t="str">
        <f t="shared" si="58"/>
        <v/>
      </c>
      <c r="F1879" t="str">
        <f t="shared" si="59"/>
        <v/>
      </c>
      <c r="G1879" t="str">
        <f>IF(E1879="","",IF(COUNTIF('DATA QCEW'!$A$2:$A$20,E1879)&gt;0,"19-SECTOR","DETAIL / OTHER"))</f>
        <v/>
      </c>
    </row>
    <row r="1880" spans="4:7">
      <c r="D1880" s="8"/>
      <c r="E1880" t="str">
        <f t="shared" si="58"/>
        <v/>
      </c>
      <c r="F1880" t="str">
        <f t="shared" si="59"/>
        <v/>
      </c>
      <c r="G1880" t="str">
        <f>IF(E1880="","",IF(COUNTIF('DATA QCEW'!$A$2:$A$20,E1880)&gt;0,"19-SECTOR","DETAIL / OTHER"))</f>
        <v/>
      </c>
    </row>
    <row r="1881" spans="4:7">
      <c r="D1881" s="8"/>
      <c r="E1881" t="str">
        <f t="shared" si="58"/>
        <v/>
      </c>
      <c r="F1881" t="str">
        <f t="shared" si="59"/>
        <v/>
      </c>
      <c r="G1881" t="str">
        <f>IF(E1881="","",IF(COUNTIF('DATA QCEW'!$A$2:$A$20,E1881)&gt;0,"19-SECTOR","DETAIL / OTHER"))</f>
        <v/>
      </c>
    </row>
    <row r="1882" spans="4:7">
      <c r="D1882" s="8"/>
      <c r="E1882" t="str">
        <f t="shared" si="58"/>
        <v/>
      </c>
      <c r="F1882" t="str">
        <f t="shared" si="59"/>
        <v/>
      </c>
      <c r="G1882" t="str">
        <f>IF(E1882="","",IF(COUNTIF('DATA QCEW'!$A$2:$A$20,E1882)&gt;0,"19-SECTOR","DETAIL / OTHER"))</f>
        <v/>
      </c>
    </row>
    <row r="1883" spans="4:7">
      <c r="D1883" s="8"/>
      <c r="E1883" t="str">
        <f t="shared" si="58"/>
        <v/>
      </c>
      <c r="F1883" t="str">
        <f t="shared" si="59"/>
        <v/>
      </c>
      <c r="G1883" t="str">
        <f>IF(E1883="","",IF(COUNTIF('DATA QCEW'!$A$2:$A$20,E1883)&gt;0,"19-SECTOR","DETAIL / OTHER"))</f>
        <v/>
      </c>
    </row>
    <row r="1884" spans="4:7">
      <c r="D1884" s="8"/>
      <c r="E1884" t="str">
        <f t="shared" si="58"/>
        <v/>
      </c>
      <c r="F1884" t="str">
        <f t="shared" si="59"/>
        <v/>
      </c>
      <c r="G1884" t="str">
        <f>IF(E1884="","",IF(COUNTIF('DATA QCEW'!$A$2:$A$20,E1884)&gt;0,"19-SECTOR","DETAIL / OTHER"))</f>
        <v/>
      </c>
    </row>
    <row r="1885" spans="4:7">
      <c r="D1885" s="8"/>
      <c r="E1885" t="str">
        <f t="shared" si="58"/>
        <v/>
      </c>
      <c r="F1885" t="str">
        <f t="shared" si="59"/>
        <v/>
      </c>
      <c r="G1885" t="str">
        <f>IF(E1885="","",IF(COUNTIF('DATA QCEW'!$A$2:$A$20,E1885)&gt;0,"19-SECTOR","DETAIL / OTHER"))</f>
        <v/>
      </c>
    </row>
    <row r="1886" spans="4:7">
      <c r="D1886" s="8"/>
      <c r="E1886" t="str">
        <f t="shared" si="58"/>
        <v/>
      </c>
      <c r="F1886" t="str">
        <f t="shared" si="59"/>
        <v/>
      </c>
      <c r="G1886" t="str">
        <f>IF(E1886="","",IF(COUNTIF('DATA QCEW'!$A$2:$A$20,E1886)&gt;0,"19-SECTOR","DETAIL / OTHER"))</f>
        <v/>
      </c>
    </row>
    <row r="1887" spans="4:7">
      <c r="D1887" s="8"/>
      <c r="E1887" t="str">
        <f t="shared" si="58"/>
        <v/>
      </c>
      <c r="F1887" t="str">
        <f t="shared" si="59"/>
        <v/>
      </c>
      <c r="G1887" t="str">
        <f>IF(E1887="","",IF(COUNTIF('DATA QCEW'!$A$2:$A$20,E1887)&gt;0,"19-SECTOR","DETAIL / OTHER"))</f>
        <v/>
      </c>
    </row>
    <row r="1888" spans="4:7">
      <c r="D1888" s="8"/>
      <c r="E1888" t="str">
        <f t="shared" si="58"/>
        <v/>
      </c>
      <c r="F1888" t="str">
        <f t="shared" si="59"/>
        <v/>
      </c>
      <c r="G1888" t="str">
        <f>IF(E1888="","",IF(COUNTIF('DATA QCEW'!$A$2:$A$20,E1888)&gt;0,"19-SECTOR","DETAIL / OTHER"))</f>
        <v/>
      </c>
    </row>
    <row r="1889" spans="4:7">
      <c r="D1889" s="8"/>
      <c r="E1889" t="str">
        <f t="shared" si="58"/>
        <v/>
      </c>
      <c r="F1889" t="str">
        <f t="shared" si="59"/>
        <v/>
      </c>
      <c r="G1889" t="str">
        <f>IF(E1889="","",IF(COUNTIF('DATA QCEW'!$A$2:$A$20,E1889)&gt;0,"19-SECTOR","DETAIL / OTHER"))</f>
        <v/>
      </c>
    </row>
    <row r="1890" spans="4:7">
      <c r="D1890" s="8"/>
      <c r="E1890" t="str">
        <f t="shared" si="58"/>
        <v/>
      </c>
      <c r="F1890" t="str">
        <f t="shared" si="59"/>
        <v/>
      </c>
      <c r="G1890" t="str">
        <f>IF(E1890="","",IF(COUNTIF('DATA QCEW'!$A$2:$A$20,E1890)&gt;0,"19-SECTOR","DETAIL / OTHER"))</f>
        <v/>
      </c>
    </row>
    <row r="1891" spans="4:7">
      <c r="D1891" s="8"/>
      <c r="E1891" t="str">
        <f t="shared" si="58"/>
        <v/>
      </c>
      <c r="F1891" t="str">
        <f t="shared" si="59"/>
        <v/>
      </c>
      <c r="G1891" t="str">
        <f>IF(E1891="","",IF(COUNTIF('DATA QCEW'!$A$2:$A$20,E1891)&gt;0,"19-SECTOR","DETAIL / OTHER"))</f>
        <v/>
      </c>
    </row>
    <row r="1892" spans="4:7">
      <c r="D1892" s="8"/>
      <c r="E1892" t="str">
        <f t="shared" si="58"/>
        <v/>
      </c>
      <c r="F1892" t="str">
        <f t="shared" si="59"/>
        <v/>
      </c>
      <c r="G1892" t="str">
        <f>IF(E1892="","",IF(COUNTIF('DATA QCEW'!$A$2:$A$20,E1892)&gt;0,"19-SECTOR","DETAIL / OTHER"))</f>
        <v/>
      </c>
    </row>
    <row r="1893" spans="4:7">
      <c r="D1893" s="8"/>
      <c r="E1893" t="str">
        <f t="shared" si="58"/>
        <v/>
      </c>
      <c r="F1893" t="str">
        <f t="shared" si="59"/>
        <v/>
      </c>
      <c r="G1893" t="str">
        <f>IF(E1893="","",IF(COUNTIF('DATA QCEW'!$A$2:$A$20,E1893)&gt;0,"19-SECTOR","DETAIL / OTHER"))</f>
        <v/>
      </c>
    </row>
    <row r="1894" spans="4:7">
      <c r="D1894" s="8"/>
      <c r="E1894" t="str">
        <f t="shared" si="58"/>
        <v/>
      </c>
      <c r="F1894" t="str">
        <f t="shared" si="59"/>
        <v/>
      </c>
      <c r="G1894" t="str">
        <f>IF(E1894="","",IF(COUNTIF('DATA QCEW'!$A$2:$A$20,E1894)&gt;0,"19-SECTOR","DETAIL / OTHER"))</f>
        <v/>
      </c>
    </row>
    <row r="1895" spans="4:7">
      <c r="D1895" s="8"/>
      <c r="E1895" t="str">
        <f t="shared" si="58"/>
        <v/>
      </c>
      <c r="F1895" t="str">
        <f t="shared" si="59"/>
        <v/>
      </c>
      <c r="G1895" t="str">
        <f>IF(E1895="","",IF(COUNTIF('DATA QCEW'!$A$2:$A$20,E1895)&gt;0,"19-SECTOR","DETAIL / OTHER"))</f>
        <v/>
      </c>
    </row>
    <row r="1896" spans="4:7">
      <c r="D1896" s="8"/>
      <c r="E1896" t="str">
        <f t="shared" si="58"/>
        <v/>
      </c>
      <c r="F1896" t="str">
        <f t="shared" si="59"/>
        <v/>
      </c>
      <c r="G1896" t="str">
        <f>IF(E1896="","",IF(COUNTIF('DATA QCEW'!$A$2:$A$20,E1896)&gt;0,"19-SECTOR","DETAIL / OTHER"))</f>
        <v/>
      </c>
    </row>
    <row r="1897" spans="4:7">
      <c r="D1897" s="8"/>
      <c r="E1897" t="str">
        <f t="shared" si="58"/>
        <v/>
      </c>
      <c r="F1897" t="str">
        <f t="shared" si="59"/>
        <v/>
      </c>
      <c r="G1897" t="str">
        <f>IF(E1897="","",IF(COUNTIF('DATA QCEW'!$A$2:$A$20,E1897)&gt;0,"19-SECTOR","DETAIL / OTHER"))</f>
        <v/>
      </c>
    </row>
    <row r="1898" spans="4:7">
      <c r="D1898" s="8"/>
      <c r="E1898" t="str">
        <f t="shared" si="58"/>
        <v/>
      </c>
      <c r="F1898" t="str">
        <f t="shared" si="59"/>
        <v/>
      </c>
      <c r="G1898" t="str">
        <f>IF(E1898="","",IF(COUNTIF('DATA QCEW'!$A$2:$A$20,E1898)&gt;0,"19-SECTOR","DETAIL / OTHER"))</f>
        <v/>
      </c>
    </row>
    <row r="1899" spans="4:7">
      <c r="D1899" s="8"/>
      <c r="E1899" t="str">
        <f t="shared" si="58"/>
        <v/>
      </c>
      <c r="F1899" t="str">
        <f t="shared" si="59"/>
        <v/>
      </c>
      <c r="G1899" t="str">
        <f>IF(E1899="","",IF(COUNTIF('DATA QCEW'!$A$2:$A$20,E1899)&gt;0,"19-SECTOR","DETAIL / OTHER"))</f>
        <v/>
      </c>
    </row>
    <row r="1900" spans="4:7">
      <c r="D1900" s="8"/>
      <c r="E1900" t="str">
        <f t="shared" si="58"/>
        <v/>
      </c>
      <c r="F1900" t="str">
        <f t="shared" si="59"/>
        <v/>
      </c>
      <c r="G1900" t="str">
        <f>IF(E1900="","",IF(COUNTIF('DATA QCEW'!$A$2:$A$20,E1900)&gt;0,"19-SECTOR","DETAIL / OTHER"))</f>
        <v/>
      </c>
    </row>
    <row r="1901" spans="4:7">
      <c r="D1901" s="8"/>
      <c r="E1901" t="str">
        <f t="shared" si="58"/>
        <v/>
      </c>
      <c r="F1901" t="str">
        <f t="shared" si="59"/>
        <v/>
      </c>
      <c r="G1901" t="str">
        <f>IF(E1901="","",IF(COUNTIF('DATA QCEW'!$A$2:$A$20,E1901)&gt;0,"19-SECTOR","DETAIL / OTHER"))</f>
        <v/>
      </c>
    </row>
    <row r="1902" spans="4:7">
      <c r="D1902" s="8"/>
      <c r="E1902" t="str">
        <f t="shared" si="58"/>
        <v/>
      </c>
      <c r="F1902" t="str">
        <f t="shared" si="59"/>
        <v/>
      </c>
      <c r="G1902" t="str">
        <f>IF(E1902="","",IF(COUNTIF('DATA QCEW'!$A$2:$A$20,E1902)&gt;0,"19-SECTOR","DETAIL / OTHER"))</f>
        <v/>
      </c>
    </row>
    <row r="1903" spans="4:7">
      <c r="D1903" s="8"/>
      <c r="E1903" t="str">
        <f t="shared" si="58"/>
        <v/>
      </c>
      <c r="F1903" t="str">
        <f t="shared" si="59"/>
        <v/>
      </c>
      <c r="G1903" t="str">
        <f>IF(E1903="","",IF(COUNTIF('DATA QCEW'!$A$2:$A$20,E1903)&gt;0,"19-SECTOR","DETAIL / OTHER"))</f>
        <v/>
      </c>
    </row>
    <row r="1904" spans="4:7">
      <c r="D1904" s="8"/>
      <c r="E1904" t="str">
        <f t="shared" si="58"/>
        <v/>
      </c>
      <c r="F1904" t="str">
        <f t="shared" si="59"/>
        <v/>
      </c>
      <c r="G1904" t="str">
        <f>IF(E1904="","",IF(COUNTIF('DATA QCEW'!$A$2:$A$20,E1904)&gt;0,"19-SECTOR","DETAIL / OTHER"))</f>
        <v/>
      </c>
    </row>
    <row r="1905" spans="4:7">
      <c r="D1905" s="8"/>
      <c r="E1905" t="str">
        <f t="shared" si="58"/>
        <v/>
      </c>
      <c r="F1905" t="str">
        <f t="shared" si="59"/>
        <v/>
      </c>
      <c r="G1905" t="str">
        <f>IF(E1905="","",IF(COUNTIF('DATA QCEW'!$A$2:$A$20,E1905)&gt;0,"19-SECTOR","DETAIL / OTHER"))</f>
        <v/>
      </c>
    </row>
    <row r="1906" spans="4:7">
      <c r="D1906" s="8"/>
      <c r="E1906" t="str">
        <f t="shared" si="58"/>
        <v/>
      </c>
      <c r="F1906" t="str">
        <f t="shared" si="59"/>
        <v/>
      </c>
      <c r="G1906" t="str">
        <f>IF(E1906="","",IF(COUNTIF('DATA QCEW'!$A$2:$A$20,E1906)&gt;0,"19-SECTOR","DETAIL / OTHER"))</f>
        <v/>
      </c>
    </row>
    <row r="1907" spans="4:7">
      <c r="D1907" s="8"/>
      <c r="E1907" t="str">
        <f t="shared" si="58"/>
        <v/>
      </c>
      <c r="F1907" t="str">
        <f t="shared" si="59"/>
        <v/>
      </c>
      <c r="G1907" t="str">
        <f>IF(E1907="","",IF(COUNTIF('DATA QCEW'!$A$2:$A$20,E1907)&gt;0,"19-SECTOR","DETAIL / OTHER"))</f>
        <v/>
      </c>
    </row>
    <row r="1908" spans="4:7">
      <c r="D1908" s="8"/>
      <c r="E1908" t="str">
        <f t="shared" si="58"/>
        <v/>
      </c>
      <c r="F1908" t="str">
        <f t="shared" si="59"/>
        <v/>
      </c>
      <c r="G1908" t="str">
        <f>IF(E1908="","",IF(COUNTIF('DATA QCEW'!$A$2:$A$20,E1908)&gt;0,"19-SECTOR","DETAIL / OTHER"))</f>
        <v/>
      </c>
    </row>
    <row r="1909" spans="4:7">
      <c r="D1909" s="8"/>
      <c r="E1909" t="str">
        <f t="shared" si="58"/>
        <v/>
      </c>
      <c r="F1909" t="str">
        <f t="shared" si="59"/>
        <v/>
      </c>
      <c r="G1909" t="str">
        <f>IF(E1909="","",IF(COUNTIF('DATA QCEW'!$A$2:$A$20,E1909)&gt;0,"19-SECTOR","DETAIL / OTHER"))</f>
        <v/>
      </c>
    </row>
    <row r="1910" spans="4:7">
      <c r="D1910" s="8"/>
      <c r="E1910" t="str">
        <f t="shared" si="58"/>
        <v/>
      </c>
      <c r="F1910" t="str">
        <f t="shared" si="59"/>
        <v/>
      </c>
      <c r="G1910" t="str">
        <f>IF(E1910="","",IF(COUNTIF('DATA QCEW'!$A$2:$A$20,E1910)&gt;0,"19-SECTOR","DETAIL / OTHER"))</f>
        <v/>
      </c>
    </row>
    <row r="1911" spans="4:7">
      <c r="D1911" s="8"/>
      <c r="E1911" t="str">
        <f t="shared" si="58"/>
        <v/>
      </c>
      <c r="F1911" t="str">
        <f t="shared" si="59"/>
        <v/>
      </c>
      <c r="G1911" t="str">
        <f>IF(E1911="","",IF(COUNTIF('DATA QCEW'!$A$2:$A$20,E1911)&gt;0,"19-SECTOR","DETAIL / OTHER"))</f>
        <v/>
      </c>
    </row>
    <row r="1912" spans="4:7">
      <c r="D1912" s="8"/>
      <c r="E1912" t="str">
        <f t="shared" si="58"/>
        <v/>
      </c>
      <c r="F1912" t="str">
        <f t="shared" si="59"/>
        <v/>
      </c>
      <c r="G1912" t="str">
        <f>IF(E1912="","",IF(COUNTIF('DATA QCEW'!$A$2:$A$20,E1912)&gt;0,"19-SECTOR","DETAIL / OTHER"))</f>
        <v/>
      </c>
    </row>
    <row r="1913" spans="4:7">
      <c r="D1913" s="8"/>
      <c r="E1913" t="str">
        <f t="shared" si="58"/>
        <v/>
      </c>
      <c r="F1913" t="str">
        <f t="shared" si="59"/>
        <v/>
      </c>
      <c r="G1913" t="str">
        <f>IF(E1913="","",IF(COUNTIF('DATA QCEW'!$A$2:$A$20,E1913)&gt;0,"19-SECTOR","DETAIL / OTHER"))</f>
        <v/>
      </c>
    </row>
    <row r="1914" spans="4:7">
      <c r="D1914" s="8"/>
      <c r="E1914" t="str">
        <f t="shared" si="58"/>
        <v/>
      </c>
      <c r="F1914" t="str">
        <f t="shared" si="59"/>
        <v/>
      </c>
      <c r="G1914" t="str">
        <f>IF(E1914="","",IF(COUNTIF('DATA QCEW'!$A$2:$A$20,E1914)&gt;0,"19-SECTOR","DETAIL / OTHER"))</f>
        <v/>
      </c>
    </row>
    <row r="1915" spans="4:7">
      <c r="D1915" s="8"/>
      <c r="E1915" t="str">
        <f t="shared" si="58"/>
        <v/>
      </c>
      <c r="F1915" t="str">
        <f t="shared" si="59"/>
        <v/>
      </c>
      <c r="G1915" t="str">
        <f>IF(E1915="","",IF(COUNTIF('DATA QCEW'!$A$2:$A$20,E1915)&gt;0,"19-SECTOR","DETAIL / OTHER"))</f>
        <v/>
      </c>
    </row>
    <row r="1916" spans="4:7">
      <c r="D1916" s="8"/>
      <c r="E1916" t="str">
        <f t="shared" si="58"/>
        <v/>
      </c>
      <c r="F1916" t="str">
        <f t="shared" si="59"/>
        <v/>
      </c>
      <c r="G1916" t="str">
        <f>IF(E1916="","",IF(COUNTIF('DATA QCEW'!$A$2:$A$20,E1916)&gt;0,"19-SECTOR","DETAIL / OTHER"))</f>
        <v/>
      </c>
    </row>
    <row r="1917" spans="4:7">
      <c r="D1917" s="8"/>
      <c r="E1917" t="str">
        <f t="shared" si="58"/>
        <v/>
      </c>
      <c r="F1917" t="str">
        <f t="shared" si="59"/>
        <v/>
      </c>
      <c r="G1917" t="str">
        <f>IF(E1917="","",IF(COUNTIF('DATA QCEW'!$A$2:$A$20,E1917)&gt;0,"19-SECTOR","DETAIL / OTHER"))</f>
        <v/>
      </c>
    </row>
    <row r="1918" spans="4:7">
      <c r="D1918" s="8"/>
      <c r="E1918" t="str">
        <f t="shared" si="58"/>
        <v/>
      </c>
      <c r="F1918" t="str">
        <f t="shared" si="59"/>
        <v/>
      </c>
      <c r="G1918" t="str">
        <f>IF(E1918="","",IF(COUNTIF('DATA QCEW'!$A$2:$A$20,E1918)&gt;0,"19-SECTOR","DETAIL / OTHER"))</f>
        <v/>
      </c>
    </row>
    <row r="1919" spans="4:7">
      <c r="D1919" s="8"/>
      <c r="E1919" t="str">
        <f t="shared" si="58"/>
        <v/>
      </c>
      <c r="F1919" t="str">
        <f t="shared" si="59"/>
        <v/>
      </c>
      <c r="G1919" t="str">
        <f>IF(E1919="","",IF(COUNTIF('DATA QCEW'!$A$2:$A$20,E1919)&gt;0,"19-SECTOR","DETAIL / OTHER"))</f>
        <v/>
      </c>
    </row>
    <row r="1920" spans="4:7">
      <c r="D1920" s="8"/>
      <c r="E1920" t="str">
        <f t="shared" si="58"/>
        <v/>
      </c>
      <c r="F1920" t="str">
        <f t="shared" si="59"/>
        <v/>
      </c>
      <c r="G1920" t="str">
        <f>IF(E1920="","",IF(COUNTIF('DATA QCEW'!$A$2:$A$20,E1920)&gt;0,"19-SECTOR","DETAIL / OTHER"))</f>
        <v/>
      </c>
    </row>
    <row r="1921" spans="4:7">
      <c r="D1921" s="8"/>
      <c r="E1921" t="str">
        <f t="shared" si="58"/>
        <v/>
      </c>
      <c r="F1921" t="str">
        <f t="shared" si="59"/>
        <v/>
      </c>
      <c r="G1921" t="str">
        <f>IF(E1921="","",IF(COUNTIF('DATA QCEW'!$A$2:$A$20,E1921)&gt;0,"19-SECTOR","DETAIL / OTHER"))</f>
        <v/>
      </c>
    </row>
    <row r="1922" spans="4:7">
      <c r="D1922" s="8"/>
      <c r="E1922" t="str">
        <f t="shared" ref="E1922:E1985" si="60">IF(LEFT(TRIM(A1922),6)="NAICS ",IFERROR(MID(TRIM(A1922),7,FIND(" ",TRIM(A1922)&amp;" ",7)-7),""),"")</f>
        <v/>
      </c>
      <c r="F1922" t="str">
        <f t="shared" ref="F1922:F1985" si="61">IF(E1922="","",TRIM(MID(TRIM(A1922),FIND(" ",TRIM(A1922)&amp;" ",7)+1,255)))</f>
        <v/>
      </c>
      <c r="G1922" t="str">
        <f>IF(E1922="","",IF(COUNTIF('DATA QCEW'!$A$2:$A$20,E1922)&gt;0,"19-SECTOR","DETAIL / OTHER"))</f>
        <v/>
      </c>
    </row>
    <row r="1923" spans="4:7">
      <c r="D1923" s="8"/>
      <c r="E1923" t="str">
        <f t="shared" si="60"/>
        <v/>
      </c>
      <c r="F1923" t="str">
        <f t="shared" si="61"/>
        <v/>
      </c>
      <c r="G1923" t="str">
        <f>IF(E1923="","",IF(COUNTIF('DATA QCEW'!$A$2:$A$20,E1923)&gt;0,"19-SECTOR","DETAIL / OTHER"))</f>
        <v/>
      </c>
    </row>
    <row r="1924" spans="4:7">
      <c r="D1924" s="8"/>
      <c r="E1924" t="str">
        <f t="shared" si="60"/>
        <v/>
      </c>
      <c r="F1924" t="str">
        <f t="shared" si="61"/>
        <v/>
      </c>
      <c r="G1924" t="str">
        <f>IF(E1924="","",IF(COUNTIF('DATA QCEW'!$A$2:$A$20,E1924)&gt;0,"19-SECTOR","DETAIL / OTHER"))</f>
        <v/>
      </c>
    </row>
    <row r="1925" spans="4:7">
      <c r="D1925" s="8"/>
      <c r="E1925" t="str">
        <f t="shared" si="60"/>
        <v/>
      </c>
      <c r="F1925" t="str">
        <f t="shared" si="61"/>
        <v/>
      </c>
      <c r="G1925" t="str">
        <f>IF(E1925="","",IF(COUNTIF('DATA QCEW'!$A$2:$A$20,E1925)&gt;0,"19-SECTOR","DETAIL / OTHER"))</f>
        <v/>
      </c>
    </row>
    <row r="1926" spans="4:7">
      <c r="D1926" s="8"/>
      <c r="E1926" t="str">
        <f t="shared" si="60"/>
        <v/>
      </c>
      <c r="F1926" t="str">
        <f t="shared" si="61"/>
        <v/>
      </c>
      <c r="G1926" t="str">
        <f>IF(E1926="","",IF(COUNTIF('DATA QCEW'!$A$2:$A$20,E1926)&gt;0,"19-SECTOR","DETAIL / OTHER"))</f>
        <v/>
      </c>
    </row>
    <row r="1927" spans="4:7">
      <c r="D1927" s="8"/>
      <c r="E1927" t="str">
        <f t="shared" si="60"/>
        <v/>
      </c>
      <c r="F1927" t="str">
        <f t="shared" si="61"/>
        <v/>
      </c>
      <c r="G1927" t="str">
        <f>IF(E1927="","",IF(COUNTIF('DATA QCEW'!$A$2:$A$20,E1927)&gt;0,"19-SECTOR","DETAIL / OTHER"))</f>
        <v/>
      </c>
    </row>
    <row r="1928" spans="4:7">
      <c r="D1928" s="8"/>
      <c r="E1928" t="str">
        <f t="shared" si="60"/>
        <v/>
      </c>
      <c r="F1928" t="str">
        <f t="shared" si="61"/>
        <v/>
      </c>
      <c r="G1928" t="str">
        <f>IF(E1928="","",IF(COUNTIF('DATA QCEW'!$A$2:$A$20,E1928)&gt;0,"19-SECTOR","DETAIL / OTHER"))</f>
        <v/>
      </c>
    </row>
    <row r="1929" spans="4:7">
      <c r="D1929" s="8"/>
      <c r="E1929" t="str">
        <f t="shared" si="60"/>
        <v/>
      </c>
      <c r="F1929" t="str">
        <f t="shared" si="61"/>
        <v/>
      </c>
      <c r="G1929" t="str">
        <f>IF(E1929="","",IF(COUNTIF('DATA QCEW'!$A$2:$A$20,E1929)&gt;0,"19-SECTOR","DETAIL / OTHER"))</f>
        <v/>
      </c>
    </row>
    <row r="1930" spans="4:7">
      <c r="D1930" s="8"/>
      <c r="E1930" t="str">
        <f t="shared" si="60"/>
        <v/>
      </c>
      <c r="F1930" t="str">
        <f t="shared" si="61"/>
        <v/>
      </c>
      <c r="G1930" t="str">
        <f>IF(E1930="","",IF(COUNTIF('DATA QCEW'!$A$2:$A$20,E1930)&gt;0,"19-SECTOR","DETAIL / OTHER"))</f>
        <v/>
      </c>
    </row>
    <row r="1931" spans="4:7">
      <c r="D1931" s="8"/>
      <c r="E1931" t="str">
        <f t="shared" si="60"/>
        <v/>
      </c>
      <c r="F1931" t="str">
        <f t="shared" si="61"/>
        <v/>
      </c>
      <c r="G1931" t="str">
        <f>IF(E1931="","",IF(COUNTIF('DATA QCEW'!$A$2:$A$20,E1931)&gt;0,"19-SECTOR","DETAIL / OTHER"))</f>
        <v/>
      </c>
    </row>
    <row r="1932" spans="4:7">
      <c r="D1932" s="8"/>
      <c r="E1932" t="str">
        <f t="shared" si="60"/>
        <v/>
      </c>
      <c r="F1932" t="str">
        <f t="shared" si="61"/>
        <v/>
      </c>
      <c r="G1932" t="str">
        <f>IF(E1932="","",IF(COUNTIF('DATA QCEW'!$A$2:$A$20,E1932)&gt;0,"19-SECTOR","DETAIL / OTHER"))</f>
        <v/>
      </c>
    </row>
    <row r="1933" spans="4:7">
      <c r="D1933" s="8"/>
      <c r="E1933" t="str">
        <f t="shared" si="60"/>
        <v/>
      </c>
      <c r="F1933" t="str">
        <f t="shared" si="61"/>
        <v/>
      </c>
      <c r="G1933" t="str">
        <f>IF(E1933="","",IF(COUNTIF('DATA QCEW'!$A$2:$A$20,E1933)&gt;0,"19-SECTOR","DETAIL / OTHER"))</f>
        <v/>
      </c>
    </row>
    <row r="1934" spans="4:7">
      <c r="D1934" s="8"/>
      <c r="E1934" t="str">
        <f t="shared" si="60"/>
        <v/>
      </c>
      <c r="F1934" t="str">
        <f t="shared" si="61"/>
        <v/>
      </c>
      <c r="G1934" t="str">
        <f>IF(E1934="","",IF(COUNTIF('DATA QCEW'!$A$2:$A$20,E1934)&gt;0,"19-SECTOR","DETAIL / OTHER"))</f>
        <v/>
      </c>
    </row>
    <row r="1935" spans="4:7">
      <c r="D1935" s="8"/>
      <c r="E1935" t="str">
        <f t="shared" si="60"/>
        <v/>
      </c>
      <c r="F1935" t="str">
        <f t="shared" si="61"/>
        <v/>
      </c>
      <c r="G1935" t="str">
        <f>IF(E1935="","",IF(COUNTIF('DATA QCEW'!$A$2:$A$20,E1935)&gt;0,"19-SECTOR","DETAIL / OTHER"))</f>
        <v/>
      </c>
    </row>
    <row r="1936" spans="4:7">
      <c r="D1936" s="8"/>
      <c r="E1936" t="str">
        <f t="shared" si="60"/>
        <v/>
      </c>
      <c r="F1936" t="str">
        <f t="shared" si="61"/>
        <v/>
      </c>
      <c r="G1936" t="str">
        <f>IF(E1936="","",IF(COUNTIF('DATA QCEW'!$A$2:$A$20,E1936)&gt;0,"19-SECTOR","DETAIL / OTHER"))</f>
        <v/>
      </c>
    </row>
    <row r="1937" spans="4:7">
      <c r="D1937" s="8"/>
      <c r="E1937" t="str">
        <f t="shared" si="60"/>
        <v/>
      </c>
      <c r="F1937" t="str">
        <f t="shared" si="61"/>
        <v/>
      </c>
      <c r="G1937" t="str">
        <f>IF(E1937="","",IF(COUNTIF('DATA QCEW'!$A$2:$A$20,E1937)&gt;0,"19-SECTOR","DETAIL / OTHER"))</f>
        <v/>
      </c>
    </row>
    <row r="1938" spans="4:7">
      <c r="D1938" s="8"/>
      <c r="E1938" t="str">
        <f t="shared" si="60"/>
        <v/>
      </c>
      <c r="F1938" t="str">
        <f t="shared" si="61"/>
        <v/>
      </c>
      <c r="G1938" t="str">
        <f>IF(E1938="","",IF(COUNTIF('DATA QCEW'!$A$2:$A$20,E1938)&gt;0,"19-SECTOR","DETAIL / OTHER"))</f>
        <v/>
      </c>
    </row>
    <row r="1939" spans="4:7">
      <c r="D1939" s="8"/>
      <c r="E1939" t="str">
        <f t="shared" si="60"/>
        <v/>
      </c>
      <c r="F1939" t="str">
        <f t="shared" si="61"/>
        <v/>
      </c>
      <c r="G1939" t="str">
        <f>IF(E1939="","",IF(COUNTIF('DATA QCEW'!$A$2:$A$20,E1939)&gt;0,"19-SECTOR","DETAIL / OTHER"))</f>
        <v/>
      </c>
    </row>
    <row r="1940" spans="4:7">
      <c r="D1940" s="8"/>
      <c r="E1940" t="str">
        <f t="shared" si="60"/>
        <v/>
      </c>
      <c r="F1940" t="str">
        <f t="shared" si="61"/>
        <v/>
      </c>
      <c r="G1940" t="str">
        <f>IF(E1940="","",IF(COUNTIF('DATA QCEW'!$A$2:$A$20,E1940)&gt;0,"19-SECTOR","DETAIL / OTHER"))</f>
        <v/>
      </c>
    </row>
    <row r="1941" spans="4:7">
      <c r="D1941" s="8"/>
      <c r="E1941" t="str">
        <f t="shared" si="60"/>
        <v/>
      </c>
      <c r="F1941" t="str">
        <f t="shared" si="61"/>
        <v/>
      </c>
      <c r="G1941" t="str">
        <f>IF(E1941="","",IF(COUNTIF('DATA QCEW'!$A$2:$A$20,E1941)&gt;0,"19-SECTOR","DETAIL / OTHER"))</f>
        <v/>
      </c>
    </row>
    <row r="1942" spans="4:7">
      <c r="D1942" s="8"/>
      <c r="E1942" t="str">
        <f t="shared" si="60"/>
        <v/>
      </c>
      <c r="F1942" t="str">
        <f t="shared" si="61"/>
        <v/>
      </c>
      <c r="G1942" t="str">
        <f>IF(E1942="","",IF(COUNTIF('DATA QCEW'!$A$2:$A$20,E1942)&gt;0,"19-SECTOR","DETAIL / OTHER"))</f>
        <v/>
      </c>
    </row>
    <row r="1943" spans="4:7">
      <c r="D1943" s="8"/>
      <c r="E1943" t="str">
        <f t="shared" si="60"/>
        <v/>
      </c>
      <c r="F1943" t="str">
        <f t="shared" si="61"/>
        <v/>
      </c>
      <c r="G1943" t="str">
        <f>IF(E1943="","",IF(COUNTIF('DATA QCEW'!$A$2:$A$20,E1943)&gt;0,"19-SECTOR","DETAIL / OTHER"))</f>
        <v/>
      </c>
    </row>
    <row r="1944" spans="4:7">
      <c r="D1944" s="8"/>
      <c r="E1944" t="str">
        <f t="shared" si="60"/>
        <v/>
      </c>
      <c r="F1944" t="str">
        <f t="shared" si="61"/>
        <v/>
      </c>
      <c r="G1944" t="str">
        <f>IF(E1944="","",IF(COUNTIF('DATA QCEW'!$A$2:$A$20,E1944)&gt;0,"19-SECTOR","DETAIL / OTHER"))</f>
        <v/>
      </c>
    </row>
    <row r="1945" spans="4:7">
      <c r="D1945" s="8"/>
      <c r="E1945" t="str">
        <f t="shared" si="60"/>
        <v/>
      </c>
      <c r="F1945" t="str">
        <f t="shared" si="61"/>
        <v/>
      </c>
      <c r="G1945" t="str">
        <f>IF(E1945="","",IF(COUNTIF('DATA QCEW'!$A$2:$A$20,E1945)&gt;0,"19-SECTOR","DETAIL / OTHER"))</f>
        <v/>
      </c>
    </row>
    <row r="1946" spans="4:7">
      <c r="D1946" s="8"/>
      <c r="E1946" t="str">
        <f t="shared" si="60"/>
        <v/>
      </c>
      <c r="F1946" t="str">
        <f t="shared" si="61"/>
        <v/>
      </c>
      <c r="G1946" t="str">
        <f>IF(E1946="","",IF(COUNTIF('DATA QCEW'!$A$2:$A$20,E1946)&gt;0,"19-SECTOR","DETAIL / OTHER"))</f>
        <v/>
      </c>
    </row>
    <row r="1947" spans="4:7">
      <c r="D1947" s="8"/>
      <c r="E1947" t="str">
        <f t="shared" si="60"/>
        <v/>
      </c>
      <c r="F1947" t="str">
        <f t="shared" si="61"/>
        <v/>
      </c>
      <c r="G1947" t="str">
        <f>IF(E1947="","",IF(COUNTIF('DATA QCEW'!$A$2:$A$20,E1947)&gt;0,"19-SECTOR","DETAIL / OTHER"))</f>
        <v/>
      </c>
    </row>
    <row r="1948" spans="4:7">
      <c r="D1948" s="8"/>
      <c r="E1948" t="str">
        <f t="shared" si="60"/>
        <v/>
      </c>
      <c r="F1948" t="str">
        <f t="shared" si="61"/>
        <v/>
      </c>
      <c r="G1948" t="str">
        <f>IF(E1948="","",IF(COUNTIF('DATA QCEW'!$A$2:$A$20,E1948)&gt;0,"19-SECTOR","DETAIL / OTHER"))</f>
        <v/>
      </c>
    </row>
    <row r="1949" spans="4:7">
      <c r="D1949" s="8"/>
      <c r="E1949" t="str">
        <f t="shared" si="60"/>
        <v/>
      </c>
      <c r="F1949" t="str">
        <f t="shared" si="61"/>
        <v/>
      </c>
      <c r="G1949" t="str">
        <f>IF(E1949="","",IF(COUNTIF('DATA QCEW'!$A$2:$A$20,E1949)&gt;0,"19-SECTOR","DETAIL / OTHER"))</f>
        <v/>
      </c>
    </row>
    <row r="1950" spans="4:7">
      <c r="D1950" s="8"/>
      <c r="E1950" t="str">
        <f t="shared" si="60"/>
        <v/>
      </c>
      <c r="F1950" t="str">
        <f t="shared" si="61"/>
        <v/>
      </c>
      <c r="G1950" t="str">
        <f>IF(E1950="","",IF(COUNTIF('DATA QCEW'!$A$2:$A$20,E1950)&gt;0,"19-SECTOR","DETAIL / OTHER"))</f>
        <v/>
      </c>
    </row>
    <row r="1951" spans="4:7">
      <c r="D1951" s="8"/>
      <c r="E1951" t="str">
        <f t="shared" si="60"/>
        <v/>
      </c>
      <c r="F1951" t="str">
        <f t="shared" si="61"/>
        <v/>
      </c>
      <c r="G1951" t="str">
        <f>IF(E1951="","",IF(COUNTIF('DATA QCEW'!$A$2:$A$20,E1951)&gt;0,"19-SECTOR","DETAIL / OTHER"))</f>
        <v/>
      </c>
    </row>
    <row r="1952" spans="4:7">
      <c r="D1952" s="8"/>
      <c r="E1952" t="str">
        <f t="shared" si="60"/>
        <v/>
      </c>
      <c r="F1952" t="str">
        <f t="shared" si="61"/>
        <v/>
      </c>
      <c r="G1952" t="str">
        <f>IF(E1952="","",IF(COUNTIF('DATA QCEW'!$A$2:$A$20,E1952)&gt;0,"19-SECTOR","DETAIL / OTHER"))</f>
        <v/>
      </c>
    </row>
    <row r="1953" spans="4:7">
      <c r="D1953" s="8"/>
      <c r="E1953" t="str">
        <f t="shared" si="60"/>
        <v/>
      </c>
      <c r="F1953" t="str">
        <f t="shared" si="61"/>
        <v/>
      </c>
      <c r="G1953" t="str">
        <f>IF(E1953="","",IF(COUNTIF('DATA QCEW'!$A$2:$A$20,E1953)&gt;0,"19-SECTOR","DETAIL / OTHER"))</f>
        <v/>
      </c>
    </row>
    <row r="1954" spans="4:7">
      <c r="D1954" s="8"/>
      <c r="E1954" t="str">
        <f t="shared" si="60"/>
        <v/>
      </c>
      <c r="F1954" t="str">
        <f t="shared" si="61"/>
        <v/>
      </c>
      <c r="G1954" t="str">
        <f>IF(E1954="","",IF(COUNTIF('DATA QCEW'!$A$2:$A$20,E1954)&gt;0,"19-SECTOR","DETAIL / OTHER"))</f>
        <v/>
      </c>
    </row>
    <row r="1955" spans="4:7">
      <c r="D1955" s="8"/>
      <c r="E1955" t="str">
        <f t="shared" si="60"/>
        <v/>
      </c>
      <c r="F1955" t="str">
        <f t="shared" si="61"/>
        <v/>
      </c>
      <c r="G1955" t="str">
        <f>IF(E1955="","",IF(COUNTIF('DATA QCEW'!$A$2:$A$20,E1955)&gt;0,"19-SECTOR","DETAIL / OTHER"))</f>
        <v/>
      </c>
    </row>
    <row r="1956" spans="4:7">
      <c r="D1956" s="8"/>
      <c r="E1956" t="str">
        <f t="shared" si="60"/>
        <v/>
      </c>
      <c r="F1956" t="str">
        <f t="shared" si="61"/>
        <v/>
      </c>
      <c r="G1956" t="str">
        <f>IF(E1956="","",IF(COUNTIF('DATA QCEW'!$A$2:$A$20,E1956)&gt;0,"19-SECTOR","DETAIL / OTHER"))</f>
        <v/>
      </c>
    </row>
    <row r="1957" spans="4:7">
      <c r="D1957" s="8"/>
      <c r="E1957" t="str">
        <f t="shared" si="60"/>
        <v/>
      </c>
      <c r="F1957" t="str">
        <f t="shared" si="61"/>
        <v/>
      </c>
      <c r="G1957" t="str">
        <f>IF(E1957="","",IF(COUNTIF('DATA QCEW'!$A$2:$A$20,E1957)&gt;0,"19-SECTOR","DETAIL / OTHER"))</f>
        <v/>
      </c>
    </row>
    <row r="1958" spans="4:7">
      <c r="D1958" s="8"/>
      <c r="E1958" t="str">
        <f t="shared" si="60"/>
        <v/>
      </c>
      <c r="F1958" t="str">
        <f t="shared" si="61"/>
        <v/>
      </c>
      <c r="G1958" t="str">
        <f>IF(E1958="","",IF(COUNTIF('DATA QCEW'!$A$2:$A$20,E1958)&gt;0,"19-SECTOR","DETAIL / OTHER"))</f>
        <v/>
      </c>
    </row>
    <row r="1959" spans="4:7">
      <c r="D1959" s="8"/>
      <c r="E1959" t="str">
        <f t="shared" si="60"/>
        <v/>
      </c>
      <c r="F1959" t="str">
        <f t="shared" si="61"/>
        <v/>
      </c>
      <c r="G1959" t="str">
        <f>IF(E1959="","",IF(COUNTIF('DATA QCEW'!$A$2:$A$20,E1959)&gt;0,"19-SECTOR","DETAIL / OTHER"))</f>
        <v/>
      </c>
    </row>
    <row r="1960" spans="4:7">
      <c r="D1960" s="8"/>
      <c r="E1960" t="str">
        <f t="shared" si="60"/>
        <v/>
      </c>
      <c r="F1960" t="str">
        <f t="shared" si="61"/>
        <v/>
      </c>
      <c r="G1960" t="str">
        <f>IF(E1960="","",IF(COUNTIF('DATA QCEW'!$A$2:$A$20,E1960)&gt;0,"19-SECTOR","DETAIL / OTHER"))</f>
        <v/>
      </c>
    </row>
    <row r="1961" spans="4:7">
      <c r="D1961" s="8"/>
      <c r="E1961" t="str">
        <f t="shared" si="60"/>
        <v/>
      </c>
      <c r="F1961" t="str">
        <f t="shared" si="61"/>
        <v/>
      </c>
      <c r="G1961" t="str">
        <f>IF(E1961="","",IF(COUNTIF('DATA QCEW'!$A$2:$A$20,E1961)&gt;0,"19-SECTOR","DETAIL / OTHER"))</f>
        <v/>
      </c>
    </row>
    <row r="1962" spans="4:7">
      <c r="D1962" s="8"/>
      <c r="E1962" t="str">
        <f t="shared" si="60"/>
        <v/>
      </c>
      <c r="F1962" t="str">
        <f t="shared" si="61"/>
        <v/>
      </c>
      <c r="G1962" t="str">
        <f>IF(E1962="","",IF(COUNTIF('DATA QCEW'!$A$2:$A$20,E1962)&gt;0,"19-SECTOR","DETAIL / OTHER"))</f>
        <v/>
      </c>
    </row>
    <row r="1963" spans="4:7">
      <c r="D1963" s="8"/>
      <c r="E1963" t="str">
        <f t="shared" si="60"/>
        <v/>
      </c>
      <c r="F1963" t="str">
        <f t="shared" si="61"/>
        <v/>
      </c>
      <c r="G1963" t="str">
        <f>IF(E1963="","",IF(COUNTIF('DATA QCEW'!$A$2:$A$20,E1963)&gt;0,"19-SECTOR","DETAIL / OTHER"))</f>
        <v/>
      </c>
    </row>
    <row r="1964" spans="4:7">
      <c r="D1964" s="8"/>
      <c r="E1964" t="str">
        <f t="shared" si="60"/>
        <v/>
      </c>
      <c r="F1964" t="str">
        <f t="shared" si="61"/>
        <v/>
      </c>
      <c r="G1964" t="str">
        <f>IF(E1964="","",IF(COUNTIF('DATA QCEW'!$A$2:$A$20,E1964)&gt;0,"19-SECTOR","DETAIL / OTHER"))</f>
        <v/>
      </c>
    </row>
    <row r="1965" spans="4:7">
      <c r="D1965" s="8"/>
      <c r="E1965" t="str">
        <f t="shared" si="60"/>
        <v/>
      </c>
      <c r="F1965" t="str">
        <f t="shared" si="61"/>
        <v/>
      </c>
      <c r="G1965" t="str">
        <f>IF(E1965="","",IF(COUNTIF('DATA QCEW'!$A$2:$A$20,E1965)&gt;0,"19-SECTOR","DETAIL / OTHER"))</f>
        <v/>
      </c>
    </row>
    <row r="1966" spans="4:7">
      <c r="D1966" s="8"/>
      <c r="E1966" t="str">
        <f t="shared" si="60"/>
        <v/>
      </c>
      <c r="F1966" t="str">
        <f t="shared" si="61"/>
        <v/>
      </c>
      <c r="G1966" t="str">
        <f>IF(E1966="","",IF(COUNTIF('DATA QCEW'!$A$2:$A$20,E1966)&gt;0,"19-SECTOR","DETAIL / OTHER"))</f>
        <v/>
      </c>
    </row>
    <row r="1967" spans="4:7">
      <c r="D1967" s="8"/>
      <c r="E1967" t="str">
        <f t="shared" si="60"/>
        <v/>
      </c>
      <c r="F1967" t="str">
        <f t="shared" si="61"/>
        <v/>
      </c>
      <c r="G1967" t="str">
        <f>IF(E1967="","",IF(COUNTIF('DATA QCEW'!$A$2:$A$20,E1967)&gt;0,"19-SECTOR","DETAIL / OTHER"))</f>
        <v/>
      </c>
    </row>
    <row r="1968" spans="4:7">
      <c r="D1968" s="8"/>
      <c r="E1968" t="str">
        <f t="shared" si="60"/>
        <v/>
      </c>
      <c r="F1968" t="str">
        <f t="shared" si="61"/>
        <v/>
      </c>
      <c r="G1968" t="str">
        <f>IF(E1968="","",IF(COUNTIF('DATA QCEW'!$A$2:$A$20,E1968)&gt;0,"19-SECTOR","DETAIL / OTHER"))</f>
        <v/>
      </c>
    </row>
    <row r="1969" spans="4:7">
      <c r="D1969" s="8"/>
      <c r="E1969" t="str">
        <f t="shared" si="60"/>
        <v/>
      </c>
      <c r="F1969" t="str">
        <f t="shared" si="61"/>
        <v/>
      </c>
      <c r="G1969" t="str">
        <f>IF(E1969="","",IF(COUNTIF('DATA QCEW'!$A$2:$A$20,E1969)&gt;0,"19-SECTOR","DETAIL / OTHER"))</f>
        <v/>
      </c>
    </row>
    <row r="1970" spans="4:7">
      <c r="D1970" s="8"/>
      <c r="E1970" t="str">
        <f t="shared" si="60"/>
        <v/>
      </c>
      <c r="F1970" t="str">
        <f t="shared" si="61"/>
        <v/>
      </c>
      <c r="G1970" t="str">
        <f>IF(E1970="","",IF(COUNTIF('DATA QCEW'!$A$2:$A$20,E1970)&gt;0,"19-SECTOR","DETAIL / OTHER"))</f>
        <v/>
      </c>
    </row>
    <row r="1971" spans="4:7">
      <c r="D1971" s="8"/>
      <c r="E1971" t="str">
        <f t="shared" si="60"/>
        <v/>
      </c>
      <c r="F1971" t="str">
        <f t="shared" si="61"/>
        <v/>
      </c>
      <c r="G1971" t="str">
        <f>IF(E1971="","",IF(COUNTIF('DATA QCEW'!$A$2:$A$20,E1971)&gt;0,"19-SECTOR","DETAIL / OTHER"))</f>
        <v/>
      </c>
    </row>
    <row r="1972" spans="4:7">
      <c r="D1972" s="8"/>
      <c r="E1972" t="str">
        <f t="shared" si="60"/>
        <v/>
      </c>
      <c r="F1972" t="str">
        <f t="shared" si="61"/>
        <v/>
      </c>
      <c r="G1972" t="str">
        <f>IF(E1972="","",IF(COUNTIF('DATA QCEW'!$A$2:$A$20,E1972)&gt;0,"19-SECTOR","DETAIL / OTHER"))</f>
        <v/>
      </c>
    </row>
    <row r="1973" spans="4:7">
      <c r="D1973" s="8"/>
      <c r="E1973" t="str">
        <f t="shared" si="60"/>
        <v/>
      </c>
      <c r="F1973" t="str">
        <f t="shared" si="61"/>
        <v/>
      </c>
      <c r="G1973" t="str">
        <f>IF(E1973="","",IF(COUNTIF('DATA QCEW'!$A$2:$A$20,E1973)&gt;0,"19-SECTOR","DETAIL / OTHER"))</f>
        <v/>
      </c>
    </row>
    <row r="1974" spans="4:7">
      <c r="D1974" s="8"/>
      <c r="E1974" t="str">
        <f t="shared" si="60"/>
        <v/>
      </c>
      <c r="F1974" t="str">
        <f t="shared" si="61"/>
        <v/>
      </c>
      <c r="G1974" t="str">
        <f>IF(E1974="","",IF(COUNTIF('DATA QCEW'!$A$2:$A$20,E1974)&gt;0,"19-SECTOR","DETAIL / OTHER"))</f>
        <v/>
      </c>
    </row>
    <row r="1975" spans="4:7">
      <c r="D1975" s="8"/>
      <c r="E1975" t="str">
        <f t="shared" si="60"/>
        <v/>
      </c>
      <c r="F1975" t="str">
        <f t="shared" si="61"/>
        <v/>
      </c>
      <c r="G1975" t="str">
        <f>IF(E1975="","",IF(COUNTIF('DATA QCEW'!$A$2:$A$20,E1975)&gt;0,"19-SECTOR","DETAIL / OTHER"))</f>
        <v/>
      </c>
    </row>
    <row r="1976" spans="4:7">
      <c r="D1976" s="8"/>
      <c r="E1976" t="str">
        <f t="shared" si="60"/>
        <v/>
      </c>
      <c r="F1976" t="str">
        <f t="shared" si="61"/>
        <v/>
      </c>
      <c r="G1976" t="str">
        <f>IF(E1976="","",IF(COUNTIF('DATA QCEW'!$A$2:$A$20,E1976)&gt;0,"19-SECTOR","DETAIL / OTHER"))</f>
        <v/>
      </c>
    </row>
    <row r="1977" spans="4:7">
      <c r="D1977" s="8"/>
      <c r="E1977" t="str">
        <f t="shared" si="60"/>
        <v/>
      </c>
      <c r="F1977" t="str">
        <f t="shared" si="61"/>
        <v/>
      </c>
      <c r="G1977" t="str">
        <f>IF(E1977="","",IF(COUNTIF('DATA QCEW'!$A$2:$A$20,E1977)&gt;0,"19-SECTOR","DETAIL / OTHER"))</f>
        <v/>
      </c>
    </row>
    <row r="1978" spans="4:7">
      <c r="D1978" s="8"/>
      <c r="E1978" t="str">
        <f t="shared" si="60"/>
        <v/>
      </c>
      <c r="F1978" t="str">
        <f t="shared" si="61"/>
        <v/>
      </c>
      <c r="G1978" t="str">
        <f>IF(E1978="","",IF(COUNTIF('DATA QCEW'!$A$2:$A$20,E1978)&gt;0,"19-SECTOR","DETAIL / OTHER"))</f>
        <v/>
      </c>
    </row>
    <row r="1979" spans="4:7">
      <c r="D1979" s="8"/>
      <c r="E1979" t="str">
        <f t="shared" si="60"/>
        <v/>
      </c>
      <c r="F1979" t="str">
        <f t="shared" si="61"/>
        <v/>
      </c>
      <c r="G1979" t="str">
        <f>IF(E1979="","",IF(COUNTIF('DATA QCEW'!$A$2:$A$20,E1979)&gt;0,"19-SECTOR","DETAIL / OTHER"))</f>
        <v/>
      </c>
    </row>
    <row r="1980" spans="4:7">
      <c r="D1980" s="8"/>
      <c r="E1980" t="str">
        <f t="shared" si="60"/>
        <v/>
      </c>
      <c r="F1980" t="str">
        <f t="shared" si="61"/>
        <v/>
      </c>
      <c r="G1980" t="str">
        <f>IF(E1980="","",IF(COUNTIF('DATA QCEW'!$A$2:$A$20,E1980)&gt;0,"19-SECTOR","DETAIL / OTHER"))</f>
        <v/>
      </c>
    </row>
    <row r="1981" spans="4:7">
      <c r="D1981" s="8"/>
      <c r="E1981" t="str">
        <f t="shared" si="60"/>
        <v/>
      </c>
      <c r="F1981" t="str">
        <f t="shared" si="61"/>
        <v/>
      </c>
      <c r="G1981" t="str">
        <f>IF(E1981="","",IF(COUNTIF('DATA QCEW'!$A$2:$A$20,E1981)&gt;0,"19-SECTOR","DETAIL / OTHER"))</f>
        <v/>
      </c>
    </row>
    <row r="1982" spans="4:7">
      <c r="D1982" s="8"/>
      <c r="E1982" t="str">
        <f t="shared" si="60"/>
        <v/>
      </c>
      <c r="F1982" t="str">
        <f t="shared" si="61"/>
        <v/>
      </c>
      <c r="G1982" t="str">
        <f>IF(E1982="","",IF(COUNTIF('DATA QCEW'!$A$2:$A$20,E1982)&gt;0,"19-SECTOR","DETAIL / OTHER"))</f>
        <v/>
      </c>
    </row>
    <row r="1983" spans="4:7">
      <c r="D1983" s="8"/>
      <c r="E1983" t="str">
        <f t="shared" si="60"/>
        <v/>
      </c>
      <c r="F1983" t="str">
        <f t="shared" si="61"/>
        <v/>
      </c>
      <c r="G1983" t="str">
        <f>IF(E1983="","",IF(COUNTIF('DATA QCEW'!$A$2:$A$20,E1983)&gt;0,"19-SECTOR","DETAIL / OTHER"))</f>
        <v/>
      </c>
    </row>
    <row r="1984" spans="4:7">
      <c r="D1984" s="8"/>
      <c r="E1984" t="str">
        <f t="shared" si="60"/>
        <v/>
      </c>
      <c r="F1984" t="str">
        <f t="shared" si="61"/>
        <v/>
      </c>
      <c r="G1984" t="str">
        <f>IF(E1984="","",IF(COUNTIF('DATA QCEW'!$A$2:$A$20,E1984)&gt;0,"19-SECTOR","DETAIL / OTHER"))</f>
        <v/>
      </c>
    </row>
    <row r="1985" spans="4:7">
      <c r="D1985" s="8"/>
      <c r="E1985" t="str">
        <f t="shared" si="60"/>
        <v/>
      </c>
      <c r="F1985" t="str">
        <f t="shared" si="61"/>
        <v/>
      </c>
      <c r="G1985" t="str">
        <f>IF(E1985="","",IF(COUNTIF('DATA QCEW'!$A$2:$A$20,E1985)&gt;0,"19-SECTOR","DETAIL / OTHER"))</f>
        <v/>
      </c>
    </row>
    <row r="1986" spans="4:7">
      <c r="D1986" s="8"/>
      <c r="E1986" t="str">
        <f t="shared" ref="E1986:E2049" si="62">IF(LEFT(TRIM(A1986),6)="NAICS ",IFERROR(MID(TRIM(A1986),7,FIND(" ",TRIM(A1986)&amp;" ",7)-7),""),"")</f>
        <v/>
      </c>
      <c r="F1986" t="str">
        <f t="shared" ref="F1986:F2049" si="63">IF(E1986="","",TRIM(MID(TRIM(A1986),FIND(" ",TRIM(A1986)&amp;" ",7)+1,255)))</f>
        <v/>
      </c>
      <c r="G1986" t="str">
        <f>IF(E1986="","",IF(COUNTIF('DATA QCEW'!$A$2:$A$20,E1986)&gt;0,"19-SECTOR","DETAIL / OTHER"))</f>
        <v/>
      </c>
    </row>
    <row r="1987" spans="4:7">
      <c r="D1987" s="8"/>
      <c r="E1987" t="str">
        <f t="shared" si="62"/>
        <v/>
      </c>
      <c r="F1987" t="str">
        <f t="shared" si="63"/>
        <v/>
      </c>
      <c r="G1987" t="str">
        <f>IF(E1987="","",IF(COUNTIF('DATA QCEW'!$A$2:$A$20,E1987)&gt;0,"19-SECTOR","DETAIL / OTHER"))</f>
        <v/>
      </c>
    </row>
    <row r="1988" spans="4:7">
      <c r="D1988" s="8"/>
      <c r="E1988" t="str">
        <f t="shared" si="62"/>
        <v/>
      </c>
      <c r="F1988" t="str">
        <f t="shared" si="63"/>
        <v/>
      </c>
      <c r="G1988" t="str">
        <f>IF(E1988="","",IF(COUNTIF('DATA QCEW'!$A$2:$A$20,E1988)&gt;0,"19-SECTOR","DETAIL / OTHER"))</f>
        <v/>
      </c>
    </row>
    <row r="1989" spans="4:7">
      <c r="D1989" s="8"/>
      <c r="E1989" t="str">
        <f t="shared" si="62"/>
        <v/>
      </c>
      <c r="F1989" t="str">
        <f t="shared" si="63"/>
        <v/>
      </c>
      <c r="G1989" t="str">
        <f>IF(E1989="","",IF(COUNTIF('DATA QCEW'!$A$2:$A$20,E1989)&gt;0,"19-SECTOR","DETAIL / OTHER"))</f>
        <v/>
      </c>
    </row>
    <row r="1990" spans="4:7">
      <c r="D1990" s="8"/>
      <c r="E1990" t="str">
        <f t="shared" si="62"/>
        <v/>
      </c>
      <c r="F1990" t="str">
        <f t="shared" si="63"/>
        <v/>
      </c>
      <c r="G1990" t="str">
        <f>IF(E1990="","",IF(COUNTIF('DATA QCEW'!$A$2:$A$20,E1990)&gt;0,"19-SECTOR","DETAIL / OTHER"))</f>
        <v/>
      </c>
    </row>
    <row r="1991" spans="4:7">
      <c r="D1991" s="8"/>
      <c r="E1991" t="str">
        <f t="shared" si="62"/>
        <v/>
      </c>
      <c r="F1991" t="str">
        <f t="shared" si="63"/>
        <v/>
      </c>
      <c r="G1991" t="str">
        <f>IF(E1991="","",IF(COUNTIF('DATA QCEW'!$A$2:$A$20,E1991)&gt;0,"19-SECTOR","DETAIL / OTHER"))</f>
        <v/>
      </c>
    </row>
    <row r="1992" spans="4:7">
      <c r="D1992" s="8"/>
      <c r="E1992" t="str">
        <f t="shared" si="62"/>
        <v/>
      </c>
      <c r="F1992" t="str">
        <f t="shared" si="63"/>
        <v/>
      </c>
      <c r="G1992" t="str">
        <f>IF(E1992="","",IF(COUNTIF('DATA QCEW'!$A$2:$A$20,E1992)&gt;0,"19-SECTOR","DETAIL / OTHER"))</f>
        <v/>
      </c>
    </row>
    <row r="1993" spans="4:7">
      <c r="D1993" s="8"/>
      <c r="E1993" t="str">
        <f t="shared" si="62"/>
        <v/>
      </c>
      <c r="F1993" t="str">
        <f t="shared" si="63"/>
        <v/>
      </c>
      <c r="G1993" t="str">
        <f>IF(E1993="","",IF(COUNTIF('DATA QCEW'!$A$2:$A$20,E1993)&gt;0,"19-SECTOR","DETAIL / OTHER"))</f>
        <v/>
      </c>
    </row>
    <row r="1994" spans="4:7">
      <c r="D1994" s="8"/>
      <c r="E1994" t="str">
        <f t="shared" si="62"/>
        <v/>
      </c>
      <c r="F1994" t="str">
        <f t="shared" si="63"/>
        <v/>
      </c>
      <c r="G1994" t="str">
        <f>IF(E1994="","",IF(COUNTIF('DATA QCEW'!$A$2:$A$20,E1994)&gt;0,"19-SECTOR","DETAIL / OTHER"))</f>
        <v/>
      </c>
    </row>
    <row r="1995" spans="4:7">
      <c r="D1995" s="8"/>
      <c r="E1995" t="str">
        <f t="shared" si="62"/>
        <v/>
      </c>
      <c r="F1995" t="str">
        <f t="shared" si="63"/>
        <v/>
      </c>
      <c r="G1995" t="str">
        <f>IF(E1995="","",IF(COUNTIF('DATA QCEW'!$A$2:$A$20,E1995)&gt;0,"19-SECTOR","DETAIL / OTHER"))</f>
        <v/>
      </c>
    </row>
    <row r="1996" spans="4:7">
      <c r="D1996" s="8"/>
      <c r="E1996" t="str">
        <f t="shared" si="62"/>
        <v/>
      </c>
      <c r="F1996" t="str">
        <f t="shared" si="63"/>
        <v/>
      </c>
      <c r="G1996" t="str">
        <f>IF(E1996="","",IF(COUNTIF('DATA QCEW'!$A$2:$A$20,E1996)&gt;0,"19-SECTOR","DETAIL / OTHER"))</f>
        <v/>
      </c>
    </row>
    <row r="1997" spans="4:7">
      <c r="D1997" s="8"/>
      <c r="E1997" t="str">
        <f t="shared" si="62"/>
        <v/>
      </c>
      <c r="F1997" t="str">
        <f t="shared" si="63"/>
        <v/>
      </c>
      <c r="G1997" t="str">
        <f>IF(E1997="","",IF(COUNTIF('DATA QCEW'!$A$2:$A$20,E1997)&gt;0,"19-SECTOR","DETAIL / OTHER"))</f>
        <v/>
      </c>
    </row>
    <row r="1998" spans="4:7">
      <c r="D1998" s="8"/>
      <c r="E1998" t="str">
        <f t="shared" si="62"/>
        <v/>
      </c>
      <c r="F1998" t="str">
        <f t="shared" si="63"/>
        <v/>
      </c>
      <c r="G1998" t="str">
        <f>IF(E1998="","",IF(COUNTIF('DATA QCEW'!$A$2:$A$20,E1998)&gt;0,"19-SECTOR","DETAIL / OTHER"))</f>
        <v/>
      </c>
    </row>
    <row r="1999" spans="4:7">
      <c r="D1999" s="8"/>
      <c r="E1999" t="str">
        <f t="shared" si="62"/>
        <v/>
      </c>
      <c r="F1999" t="str">
        <f t="shared" si="63"/>
        <v/>
      </c>
      <c r="G1999" t="str">
        <f>IF(E1999="","",IF(COUNTIF('DATA QCEW'!$A$2:$A$20,E1999)&gt;0,"19-SECTOR","DETAIL / OTHER"))</f>
        <v/>
      </c>
    </row>
    <row r="2000" spans="4:7">
      <c r="D2000" s="8"/>
      <c r="E2000" t="str">
        <f t="shared" si="62"/>
        <v/>
      </c>
      <c r="F2000" t="str">
        <f t="shared" si="63"/>
        <v/>
      </c>
      <c r="G2000" t="str">
        <f>IF(E2000="","",IF(COUNTIF('DATA QCEW'!$A$2:$A$20,E2000)&gt;0,"19-SECTOR","DETAIL / OTHER"))</f>
        <v/>
      </c>
    </row>
    <row r="2001" spans="4:7">
      <c r="D2001" s="8"/>
      <c r="E2001" t="str">
        <f t="shared" si="62"/>
        <v/>
      </c>
      <c r="F2001" t="str">
        <f t="shared" si="63"/>
        <v/>
      </c>
      <c r="G2001" t="str">
        <f>IF(E2001="","",IF(COUNTIF('DATA QCEW'!$A$2:$A$20,E2001)&gt;0,"19-SECTOR","DETAIL / OTHER"))</f>
        <v/>
      </c>
    </row>
    <row r="2002" spans="4:7">
      <c r="D2002" s="8"/>
      <c r="E2002" t="str">
        <f t="shared" si="62"/>
        <v/>
      </c>
      <c r="F2002" t="str">
        <f t="shared" si="63"/>
        <v/>
      </c>
      <c r="G2002" t="str">
        <f>IF(E2002="","",IF(COUNTIF('DATA QCEW'!$A$2:$A$20,E2002)&gt;0,"19-SECTOR","DETAIL / OTHER"))</f>
        <v/>
      </c>
    </row>
    <row r="2003" spans="4:7">
      <c r="D2003" s="8"/>
      <c r="E2003" t="str">
        <f t="shared" si="62"/>
        <v/>
      </c>
      <c r="F2003" t="str">
        <f t="shared" si="63"/>
        <v/>
      </c>
      <c r="G2003" t="str">
        <f>IF(E2003="","",IF(COUNTIF('DATA QCEW'!$A$2:$A$20,E2003)&gt;0,"19-SECTOR","DETAIL / OTHER"))</f>
        <v/>
      </c>
    </row>
    <row r="2004" spans="4:7">
      <c r="D2004" s="8"/>
      <c r="E2004" t="str">
        <f t="shared" si="62"/>
        <v/>
      </c>
      <c r="F2004" t="str">
        <f t="shared" si="63"/>
        <v/>
      </c>
      <c r="G2004" t="str">
        <f>IF(E2004="","",IF(COUNTIF('DATA QCEW'!$A$2:$A$20,E2004)&gt;0,"19-SECTOR","DETAIL / OTHER"))</f>
        <v/>
      </c>
    </row>
    <row r="2005" spans="4:7">
      <c r="D2005" s="8"/>
      <c r="E2005" t="str">
        <f t="shared" si="62"/>
        <v/>
      </c>
      <c r="F2005" t="str">
        <f t="shared" si="63"/>
        <v/>
      </c>
      <c r="G2005" t="str">
        <f>IF(E2005="","",IF(COUNTIF('DATA QCEW'!$A$2:$A$20,E2005)&gt;0,"19-SECTOR","DETAIL / OTHER"))</f>
        <v/>
      </c>
    </row>
    <row r="2006" spans="4:7">
      <c r="D2006" s="8"/>
      <c r="E2006" t="str">
        <f t="shared" si="62"/>
        <v/>
      </c>
      <c r="F2006" t="str">
        <f t="shared" si="63"/>
        <v/>
      </c>
      <c r="G2006" t="str">
        <f>IF(E2006="","",IF(COUNTIF('DATA QCEW'!$A$2:$A$20,E2006)&gt;0,"19-SECTOR","DETAIL / OTHER"))</f>
        <v/>
      </c>
    </row>
    <row r="2007" spans="4:7">
      <c r="D2007" s="8"/>
      <c r="E2007" t="str">
        <f t="shared" si="62"/>
        <v/>
      </c>
      <c r="F2007" t="str">
        <f t="shared" si="63"/>
        <v/>
      </c>
      <c r="G2007" t="str">
        <f>IF(E2007="","",IF(COUNTIF('DATA QCEW'!$A$2:$A$20,E2007)&gt;0,"19-SECTOR","DETAIL / OTHER"))</f>
        <v/>
      </c>
    </row>
    <row r="2008" spans="4:7">
      <c r="D2008" s="8"/>
      <c r="E2008" t="str">
        <f t="shared" si="62"/>
        <v/>
      </c>
      <c r="F2008" t="str">
        <f t="shared" si="63"/>
        <v/>
      </c>
      <c r="G2008" t="str">
        <f>IF(E2008="","",IF(COUNTIF('DATA QCEW'!$A$2:$A$20,E2008)&gt;0,"19-SECTOR","DETAIL / OTHER"))</f>
        <v/>
      </c>
    </row>
    <row r="2009" spans="4:7">
      <c r="D2009" s="8"/>
      <c r="E2009" t="str">
        <f t="shared" si="62"/>
        <v/>
      </c>
      <c r="F2009" t="str">
        <f t="shared" si="63"/>
        <v/>
      </c>
      <c r="G2009" t="str">
        <f>IF(E2009="","",IF(COUNTIF('DATA QCEW'!$A$2:$A$20,E2009)&gt;0,"19-SECTOR","DETAIL / OTHER"))</f>
        <v/>
      </c>
    </row>
    <row r="2010" spans="4:7">
      <c r="D2010" s="8"/>
      <c r="E2010" t="str">
        <f t="shared" si="62"/>
        <v/>
      </c>
      <c r="F2010" t="str">
        <f t="shared" si="63"/>
        <v/>
      </c>
      <c r="G2010" t="str">
        <f>IF(E2010="","",IF(COUNTIF('DATA QCEW'!$A$2:$A$20,E2010)&gt;0,"19-SECTOR","DETAIL / OTHER"))</f>
        <v/>
      </c>
    </row>
    <row r="2011" spans="4:7">
      <c r="D2011" s="8"/>
      <c r="E2011" t="str">
        <f t="shared" si="62"/>
        <v/>
      </c>
      <c r="F2011" t="str">
        <f t="shared" si="63"/>
        <v/>
      </c>
      <c r="G2011" t="str">
        <f>IF(E2011="","",IF(COUNTIF('DATA QCEW'!$A$2:$A$20,E2011)&gt;0,"19-SECTOR","DETAIL / OTHER"))</f>
        <v/>
      </c>
    </row>
    <row r="2012" spans="4:7">
      <c r="D2012" s="8"/>
      <c r="E2012" t="str">
        <f t="shared" si="62"/>
        <v/>
      </c>
      <c r="F2012" t="str">
        <f t="shared" si="63"/>
        <v/>
      </c>
      <c r="G2012" t="str">
        <f>IF(E2012="","",IF(COUNTIF('DATA QCEW'!$A$2:$A$20,E2012)&gt;0,"19-SECTOR","DETAIL / OTHER"))</f>
        <v/>
      </c>
    </row>
    <row r="2013" spans="4:7">
      <c r="D2013" s="8"/>
      <c r="E2013" t="str">
        <f t="shared" si="62"/>
        <v/>
      </c>
      <c r="F2013" t="str">
        <f t="shared" si="63"/>
        <v/>
      </c>
      <c r="G2013" t="str">
        <f>IF(E2013="","",IF(COUNTIF('DATA QCEW'!$A$2:$A$20,E2013)&gt;0,"19-SECTOR","DETAIL / OTHER"))</f>
        <v/>
      </c>
    </row>
    <row r="2014" spans="4:7">
      <c r="D2014" s="8"/>
      <c r="E2014" t="str">
        <f t="shared" si="62"/>
        <v/>
      </c>
      <c r="F2014" t="str">
        <f t="shared" si="63"/>
        <v/>
      </c>
      <c r="G2014" t="str">
        <f>IF(E2014="","",IF(COUNTIF('DATA QCEW'!$A$2:$A$20,E2014)&gt;0,"19-SECTOR","DETAIL / OTHER"))</f>
        <v/>
      </c>
    </row>
    <row r="2015" spans="4:7">
      <c r="D2015" s="8"/>
      <c r="E2015" t="str">
        <f t="shared" si="62"/>
        <v/>
      </c>
      <c r="F2015" t="str">
        <f t="shared" si="63"/>
        <v/>
      </c>
      <c r="G2015" t="str">
        <f>IF(E2015="","",IF(COUNTIF('DATA QCEW'!$A$2:$A$20,E2015)&gt;0,"19-SECTOR","DETAIL / OTHER"))</f>
        <v/>
      </c>
    </row>
    <row r="2016" spans="4:7">
      <c r="D2016" s="8"/>
      <c r="E2016" t="str">
        <f t="shared" si="62"/>
        <v/>
      </c>
      <c r="F2016" t="str">
        <f t="shared" si="63"/>
        <v/>
      </c>
      <c r="G2016" t="str">
        <f>IF(E2016="","",IF(COUNTIF('DATA QCEW'!$A$2:$A$20,E2016)&gt;0,"19-SECTOR","DETAIL / OTHER"))</f>
        <v/>
      </c>
    </row>
    <row r="2017" spans="4:7">
      <c r="D2017" s="8"/>
      <c r="E2017" t="str">
        <f t="shared" si="62"/>
        <v/>
      </c>
      <c r="F2017" t="str">
        <f t="shared" si="63"/>
        <v/>
      </c>
      <c r="G2017" t="str">
        <f>IF(E2017="","",IF(COUNTIF('DATA QCEW'!$A$2:$A$20,E2017)&gt;0,"19-SECTOR","DETAIL / OTHER"))</f>
        <v/>
      </c>
    </row>
    <row r="2018" spans="4:7">
      <c r="D2018" s="8"/>
      <c r="E2018" t="str">
        <f t="shared" si="62"/>
        <v/>
      </c>
      <c r="F2018" t="str">
        <f t="shared" si="63"/>
        <v/>
      </c>
      <c r="G2018" t="str">
        <f>IF(E2018="","",IF(COUNTIF('DATA QCEW'!$A$2:$A$20,E2018)&gt;0,"19-SECTOR","DETAIL / OTHER"))</f>
        <v/>
      </c>
    </row>
    <row r="2019" spans="4:7">
      <c r="D2019" s="8"/>
      <c r="E2019" t="str">
        <f t="shared" si="62"/>
        <v/>
      </c>
      <c r="F2019" t="str">
        <f t="shared" si="63"/>
        <v/>
      </c>
      <c r="G2019" t="str">
        <f>IF(E2019="","",IF(COUNTIF('DATA QCEW'!$A$2:$A$20,E2019)&gt;0,"19-SECTOR","DETAIL / OTHER"))</f>
        <v/>
      </c>
    </row>
    <row r="2020" spans="4:7">
      <c r="D2020" s="8"/>
      <c r="E2020" t="str">
        <f t="shared" si="62"/>
        <v/>
      </c>
      <c r="F2020" t="str">
        <f t="shared" si="63"/>
        <v/>
      </c>
      <c r="G2020" t="str">
        <f>IF(E2020="","",IF(COUNTIF('DATA QCEW'!$A$2:$A$20,E2020)&gt;0,"19-SECTOR","DETAIL / OTHER"))</f>
        <v/>
      </c>
    </row>
    <row r="2021" spans="4:7">
      <c r="D2021" s="8"/>
      <c r="E2021" t="str">
        <f t="shared" si="62"/>
        <v/>
      </c>
      <c r="F2021" t="str">
        <f t="shared" si="63"/>
        <v/>
      </c>
      <c r="G2021" t="str">
        <f>IF(E2021="","",IF(COUNTIF('DATA QCEW'!$A$2:$A$20,E2021)&gt;0,"19-SECTOR","DETAIL / OTHER"))</f>
        <v/>
      </c>
    </row>
    <row r="2022" spans="4:7">
      <c r="D2022" s="8"/>
      <c r="E2022" t="str">
        <f t="shared" si="62"/>
        <v/>
      </c>
      <c r="F2022" t="str">
        <f t="shared" si="63"/>
        <v/>
      </c>
      <c r="G2022" t="str">
        <f>IF(E2022="","",IF(COUNTIF('DATA QCEW'!$A$2:$A$20,E2022)&gt;0,"19-SECTOR","DETAIL / OTHER"))</f>
        <v/>
      </c>
    </row>
    <row r="2023" spans="4:7">
      <c r="D2023" s="8"/>
      <c r="E2023" t="str">
        <f t="shared" si="62"/>
        <v/>
      </c>
      <c r="F2023" t="str">
        <f t="shared" si="63"/>
        <v/>
      </c>
      <c r="G2023" t="str">
        <f>IF(E2023="","",IF(COUNTIF('DATA QCEW'!$A$2:$A$20,E2023)&gt;0,"19-SECTOR","DETAIL / OTHER"))</f>
        <v/>
      </c>
    </row>
    <row r="2024" spans="4:7">
      <c r="D2024" s="8"/>
      <c r="E2024" t="str">
        <f t="shared" si="62"/>
        <v/>
      </c>
      <c r="F2024" t="str">
        <f t="shared" si="63"/>
        <v/>
      </c>
      <c r="G2024" t="str">
        <f>IF(E2024="","",IF(COUNTIF('DATA QCEW'!$A$2:$A$20,E2024)&gt;0,"19-SECTOR","DETAIL / OTHER"))</f>
        <v/>
      </c>
    </row>
    <row r="2025" spans="4:7">
      <c r="D2025" s="8"/>
      <c r="E2025" t="str">
        <f t="shared" si="62"/>
        <v/>
      </c>
      <c r="F2025" t="str">
        <f t="shared" si="63"/>
        <v/>
      </c>
      <c r="G2025" t="str">
        <f>IF(E2025="","",IF(COUNTIF('DATA QCEW'!$A$2:$A$20,E2025)&gt;0,"19-SECTOR","DETAIL / OTHER"))</f>
        <v/>
      </c>
    </row>
    <row r="2026" spans="4:7">
      <c r="D2026" s="8"/>
      <c r="E2026" t="str">
        <f t="shared" si="62"/>
        <v/>
      </c>
      <c r="F2026" t="str">
        <f t="shared" si="63"/>
        <v/>
      </c>
      <c r="G2026" t="str">
        <f>IF(E2026="","",IF(COUNTIF('DATA QCEW'!$A$2:$A$20,E2026)&gt;0,"19-SECTOR","DETAIL / OTHER"))</f>
        <v/>
      </c>
    </row>
    <row r="2027" spans="4:7">
      <c r="D2027" s="8"/>
      <c r="E2027" t="str">
        <f t="shared" si="62"/>
        <v/>
      </c>
      <c r="F2027" t="str">
        <f t="shared" si="63"/>
        <v/>
      </c>
      <c r="G2027" t="str">
        <f>IF(E2027="","",IF(COUNTIF('DATA QCEW'!$A$2:$A$20,E2027)&gt;0,"19-SECTOR","DETAIL / OTHER"))</f>
        <v/>
      </c>
    </row>
    <row r="2028" spans="4:7">
      <c r="D2028" s="8"/>
      <c r="E2028" t="str">
        <f t="shared" si="62"/>
        <v/>
      </c>
      <c r="F2028" t="str">
        <f t="shared" si="63"/>
        <v/>
      </c>
      <c r="G2028" t="str">
        <f>IF(E2028="","",IF(COUNTIF('DATA QCEW'!$A$2:$A$20,E2028)&gt;0,"19-SECTOR","DETAIL / OTHER"))</f>
        <v/>
      </c>
    </row>
    <row r="2029" spans="4:7">
      <c r="D2029" s="8"/>
      <c r="E2029" t="str">
        <f t="shared" si="62"/>
        <v/>
      </c>
      <c r="F2029" t="str">
        <f t="shared" si="63"/>
        <v/>
      </c>
      <c r="G2029" t="str">
        <f>IF(E2029="","",IF(COUNTIF('DATA QCEW'!$A$2:$A$20,E2029)&gt;0,"19-SECTOR","DETAIL / OTHER"))</f>
        <v/>
      </c>
    </row>
    <row r="2030" spans="4:7">
      <c r="D2030" s="8"/>
      <c r="E2030" t="str">
        <f t="shared" si="62"/>
        <v/>
      </c>
      <c r="F2030" t="str">
        <f t="shared" si="63"/>
        <v/>
      </c>
      <c r="G2030" t="str">
        <f>IF(E2030="","",IF(COUNTIF('DATA QCEW'!$A$2:$A$20,E2030)&gt;0,"19-SECTOR","DETAIL / OTHER"))</f>
        <v/>
      </c>
    </row>
    <row r="2031" spans="4:7">
      <c r="D2031" s="8"/>
      <c r="E2031" t="str">
        <f t="shared" si="62"/>
        <v/>
      </c>
      <c r="F2031" t="str">
        <f t="shared" si="63"/>
        <v/>
      </c>
      <c r="G2031" t="str">
        <f>IF(E2031="","",IF(COUNTIF('DATA QCEW'!$A$2:$A$20,E2031)&gt;0,"19-SECTOR","DETAIL / OTHER"))</f>
        <v/>
      </c>
    </row>
    <row r="2032" spans="4:7">
      <c r="D2032" s="8"/>
      <c r="E2032" t="str">
        <f t="shared" si="62"/>
        <v/>
      </c>
      <c r="F2032" t="str">
        <f t="shared" si="63"/>
        <v/>
      </c>
      <c r="G2032" t="str">
        <f>IF(E2032="","",IF(COUNTIF('DATA QCEW'!$A$2:$A$20,E2032)&gt;0,"19-SECTOR","DETAIL / OTHER"))</f>
        <v/>
      </c>
    </row>
    <row r="2033" spans="4:7">
      <c r="D2033" s="8"/>
      <c r="E2033" t="str">
        <f t="shared" si="62"/>
        <v/>
      </c>
      <c r="F2033" t="str">
        <f t="shared" si="63"/>
        <v/>
      </c>
      <c r="G2033" t="str">
        <f>IF(E2033="","",IF(COUNTIF('DATA QCEW'!$A$2:$A$20,E2033)&gt;0,"19-SECTOR","DETAIL / OTHER"))</f>
        <v/>
      </c>
    </row>
    <row r="2034" spans="4:7">
      <c r="D2034" s="8"/>
      <c r="E2034" t="str">
        <f t="shared" si="62"/>
        <v/>
      </c>
      <c r="F2034" t="str">
        <f t="shared" si="63"/>
        <v/>
      </c>
      <c r="G2034" t="str">
        <f>IF(E2034="","",IF(COUNTIF('DATA QCEW'!$A$2:$A$20,E2034)&gt;0,"19-SECTOR","DETAIL / OTHER"))</f>
        <v/>
      </c>
    </row>
    <row r="2035" spans="4:7">
      <c r="D2035" s="8"/>
      <c r="E2035" t="str">
        <f t="shared" si="62"/>
        <v/>
      </c>
      <c r="F2035" t="str">
        <f t="shared" si="63"/>
        <v/>
      </c>
      <c r="G2035" t="str">
        <f>IF(E2035="","",IF(COUNTIF('DATA QCEW'!$A$2:$A$20,E2035)&gt;0,"19-SECTOR","DETAIL / OTHER"))</f>
        <v/>
      </c>
    </row>
    <row r="2036" spans="4:7">
      <c r="D2036" s="8"/>
      <c r="E2036" t="str">
        <f t="shared" si="62"/>
        <v/>
      </c>
      <c r="F2036" t="str">
        <f t="shared" si="63"/>
        <v/>
      </c>
      <c r="G2036" t="str">
        <f>IF(E2036="","",IF(COUNTIF('DATA QCEW'!$A$2:$A$20,E2036)&gt;0,"19-SECTOR","DETAIL / OTHER"))</f>
        <v/>
      </c>
    </row>
    <row r="2037" spans="4:7">
      <c r="D2037" s="8"/>
      <c r="E2037" t="str">
        <f t="shared" si="62"/>
        <v/>
      </c>
      <c r="F2037" t="str">
        <f t="shared" si="63"/>
        <v/>
      </c>
      <c r="G2037" t="str">
        <f>IF(E2037="","",IF(COUNTIF('DATA QCEW'!$A$2:$A$20,E2037)&gt;0,"19-SECTOR","DETAIL / OTHER"))</f>
        <v/>
      </c>
    </row>
    <row r="2038" spans="4:7">
      <c r="D2038" s="8"/>
      <c r="E2038" t="str">
        <f t="shared" si="62"/>
        <v/>
      </c>
      <c r="F2038" t="str">
        <f t="shared" si="63"/>
        <v/>
      </c>
      <c r="G2038" t="str">
        <f>IF(E2038="","",IF(COUNTIF('DATA QCEW'!$A$2:$A$20,E2038)&gt;0,"19-SECTOR","DETAIL / OTHER"))</f>
        <v/>
      </c>
    </row>
    <row r="2039" spans="4:7">
      <c r="D2039" s="8"/>
      <c r="E2039" t="str">
        <f t="shared" si="62"/>
        <v/>
      </c>
      <c r="F2039" t="str">
        <f t="shared" si="63"/>
        <v/>
      </c>
      <c r="G2039" t="str">
        <f>IF(E2039="","",IF(COUNTIF('DATA QCEW'!$A$2:$A$20,E2039)&gt;0,"19-SECTOR","DETAIL / OTHER"))</f>
        <v/>
      </c>
    </row>
    <row r="2040" spans="4:7">
      <c r="D2040" s="8"/>
      <c r="E2040" t="str">
        <f t="shared" si="62"/>
        <v/>
      </c>
      <c r="F2040" t="str">
        <f t="shared" si="63"/>
        <v/>
      </c>
      <c r="G2040" t="str">
        <f>IF(E2040="","",IF(COUNTIF('DATA QCEW'!$A$2:$A$20,E2040)&gt;0,"19-SECTOR","DETAIL / OTHER"))</f>
        <v/>
      </c>
    </row>
    <row r="2041" spans="4:7">
      <c r="D2041" s="8"/>
      <c r="E2041" t="str">
        <f t="shared" si="62"/>
        <v/>
      </c>
      <c r="F2041" t="str">
        <f t="shared" si="63"/>
        <v/>
      </c>
      <c r="G2041" t="str">
        <f>IF(E2041="","",IF(COUNTIF('DATA QCEW'!$A$2:$A$20,E2041)&gt;0,"19-SECTOR","DETAIL / OTHER"))</f>
        <v/>
      </c>
    </row>
    <row r="2042" spans="4:7">
      <c r="D2042" s="8"/>
      <c r="E2042" t="str">
        <f t="shared" si="62"/>
        <v/>
      </c>
      <c r="F2042" t="str">
        <f t="shared" si="63"/>
        <v/>
      </c>
      <c r="G2042" t="str">
        <f>IF(E2042="","",IF(COUNTIF('DATA QCEW'!$A$2:$A$20,E2042)&gt;0,"19-SECTOR","DETAIL / OTHER"))</f>
        <v/>
      </c>
    </row>
    <row r="2043" spans="4:7">
      <c r="D2043" s="8"/>
      <c r="E2043" t="str">
        <f t="shared" si="62"/>
        <v/>
      </c>
      <c r="F2043" t="str">
        <f t="shared" si="63"/>
        <v/>
      </c>
      <c r="G2043" t="str">
        <f>IF(E2043="","",IF(COUNTIF('DATA QCEW'!$A$2:$A$20,E2043)&gt;0,"19-SECTOR","DETAIL / OTHER"))</f>
        <v/>
      </c>
    </row>
    <row r="2044" spans="4:7">
      <c r="D2044" s="8"/>
      <c r="E2044" t="str">
        <f t="shared" si="62"/>
        <v/>
      </c>
      <c r="F2044" t="str">
        <f t="shared" si="63"/>
        <v/>
      </c>
      <c r="G2044" t="str">
        <f>IF(E2044="","",IF(COUNTIF('DATA QCEW'!$A$2:$A$20,E2044)&gt;0,"19-SECTOR","DETAIL / OTHER"))</f>
        <v/>
      </c>
    </row>
    <row r="2045" spans="4:7">
      <c r="D2045" s="8"/>
      <c r="E2045" t="str">
        <f t="shared" si="62"/>
        <v/>
      </c>
      <c r="F2045" t="str">
        <f t="shared" si="63"/>
        <v/>
      </c>
      <c r="G2045" t="str">
        <f>IF(E2045="","",IF(COUNTIF('DATA QCEW'!$A$2:$A$20,E2045)&gt;0,"19-SECTOR","DETAIL / OTHER"))</f>
        <v/>
      </c>
    </row>
    <row r="2046" spans="4:7">
      <c r="D2046" s="8"/>
      <c r="E2046" t="str">
        <f t="shared" si="62"/>
        <v/>
      </c>
      <c r="F2046" t="str">
        <f t="shared" si="63"/>
        <v/>
      </c>
      <c r="G2046" t="str">
        <f>IF(E2046="","",IF(COUNTIF('DATA QCEW'!$A$2:$A$20,E2046)&gt;0,"19-SECTOR","DETAIL / OTHER"))</f>
        <v/>
      </c>
    </row>
    <row r="2047" spans="4:7">
      <c r="D2047" s="8"/>
      <c r="E2047" t="str">
        <f t="shared" si="62"/>
        <v/>
      </c>
      <c r="F2047" t="str">
        <f t="shared" si="63"/>
        <v/>
      </c>
      <c r="G2047" t="str">
        <f>IF(E2047="","",IF(COUNTIF('DATA QCEW'!$A$2:$A$20,E2047)&gt;0,"19-SECTOR","DETAIL / OTHER"))</f>
        <v/>
      </c>
    </row>
    <row r="2048" spans="4:7">
      <c r="D2048" s="8"/>
      <c r="E2048" t="str">
        <f t="shared" si="62"/>
        <v/>
      </c>
      <c r="F2048" t="str">
        <f t="shared" si="63"/>
        <v/>
      </c>
      <c r="G2048" t="str">
        <f>IF(E2048="","",IF(COUNTIF('DATA QCEW'!$A$2:$A$20,E2048)&gt;0,"19-SECTOR","DETAIL / OTHER"))</f>
        <v/>
      </c>
    </row>
    <row r="2049" spans="4:7">
      <c r="D2049" s="8"/>
      <c r="E2049" t="str">
        <f t="shared" si="62"/>
        <v/>
      </c>
      <c r="F2049" t="str">
        <f t="shared" si="63"/>
        <v/>
      </c>
      <c r="G2049" t="str">
        <f>IF(E2049="","",IF(COUNTIF('DATA QCEW'!$A$2:$A$20,E2049)&gt;0,"19-SECTOR","DETAIL / OTHER"))</f>
        <v/>
      </c>
    </row>
    <row r="2050" spans="4:7">
      <c r="D2050" s="8"/>
      <c r="E2050" t="str">
        <f t="shared" ref="E2050:E2113" si="64">IF(LEFT(TRIM(A2050),6)="NAICS ",IFERROR(MID(TRIM(A2050),7,FIND(" ",TRIM(A2050)&amp;" ",7)-7),""),"")</f>
        <v/>
      </c>
      <c r="F2050" t="str">
        <f t="shared" ref="F2050:F2113" si="65">IF(E2050="","",TRIM(MID(TRIM(A2050),FIND(" ",TRIM(A2050)&amp;" ",7)+1,255)))</f>
        <v/>
      </c>
      <c r="G2050" t="str">
        <f>IF(E2050="","",IF(COUNTIF('DATA QCEW'!$A$2:$A$20,E2050)&gt;0,"19-SECTOR","DETAIL / OTHER"))</f>
        <v/>
      </c>
    </row>
    <row r="2051" spans="4:7">
      <c r="D2051" s="8"/>
      <c r="E2051" t="str">
        <f t="shared" si="64"/>
        <v/>
      </c>
      <c r="F2051" t="str">
        <f t="shared" si="65"/>
        <v/>
      </c>
      <c r="G2051" t="str">
        <f>IF(E2051="","",IF(COUNTIF('DATA QCEW'!$A$2:$A$20,E2051)&gt;0,"19-SECTOR","DETAIL / OTHER"))</f>
        <v/>
      </c>
    </row>
    <row r="2052" spans="4:7">
      <c r="D2052" s="8"/>
      <c r="E2052" t="str">
        <f t="shared" si="64"/>
        <v/>
      </c>
      <c r="F2052" t="str">
        <f t="shared" si="65"/>
        <v/>
      </c>
      <c r="G2052" t="str">
        <f>IF(E2052="","",IF(COUNTIF('DATA QCEW'!$A$2:$A$20,E2052)&gt;0,"19-SECTOR","DETAIL / OTHER"))</f>
        <v/>
      </c>
    </row>
    <row r="2053" spans="4:7">
      <c r="D2053" s="8"/>
      <c r="E2053" t="str">
        <f t="shared" si="64"/>
        <v/>
      </c>
      <c r="F2053" t="str">
        <f t="shared" si="65"/>
        <v/>
      </c>
      <c r="G2053" t="str">
        <f>IF(E2053="","",IF(COUNTIF('DATA QCEW'!$A$2:$A$20,E2053)&gt;0,"19-SECTOR","DETAIL / OTHER"))</f>
        <v/>
      </c>
    </row>
    <row r="2054" spans="4:7">
      <c r="D2054" s="8"/>
      <c r="E2054" t="str">
        <f t="shared" si="64"/>
        <v/>
      </c>
      <c r="F2054" t="str">
        <f t="shared" si="65"/>
        <v/>
      </c>
      <c r="G2054" t="str">
        <f>IF(E2054="","",IF(COUNTIF('DATA QCEW'!$A$2:$A$20,E2054)&gt;0,"19-SECTOR","DETAIL / OTHER"))</f>
        <v/>
      </c>
    </row>
    <row r="2055" spans="4:7">
      <c r="D2055" s="8"/>
      <c r="E2055" t="str">
        <f t="shared" si="64"/>
        <v/>
      </c>
      <c r="F2055" t="str">
        <f t="shared" si="65"/>
        <v/>
      </c>
      <c r="G2055" t="str">
        <f>IF(E2055="","",IF(COUNTIF('DATA QCEW'!$A$2:$A$20,E2055)&gt;0,"19-SECTOR","DETAIL / OTHER"))</f>
        <v/>
      </c>
    </row>
    <row r="2056" spans="4:7">
      <c r="D2056" s="8"/>
      <c r="E2056" t="str">
        <f t="shared" si="64"/>
        <v/>
      </c>
      <c r="F2056" t="str">
        <f t="shared" si="65"/>
        <v/>
      </c>
      <c r="G2056" t="str">
        <f>IF(E2056="","",IF(COUNTIF('DATA QCEW'!$A$2:$A$20,E2056)&gt;0,"19-SECTOR","DETAIL / OTHER"))</f>
        <v/>
      </c>
    </row>
    <row r="2057" spans="4:7">
      <c r="D2057" s="8"/>
      <c r="E2057" t="str">
        <f t="shared" si="64"/>
        <v/>
      </c>
      <c r="F2057" t="str">
        <f t="shared" si="65"/>
        <v/>
      </c>
      <c r="G2057" t="str">
        <f>IF(E2057="","",IF(COUNTIF('DATA QCEW'!$A$2:$A$20,E2057)&gt;0,"19-SECTOR","DETAIL / OTHER"))</f>
        <v/>
      </c>
    </row>
    <row r="2058" spans="4:7">
      <c r="D2058" s="8"/>
      <c r="E2058" t="str">
        <f t="shared" si="64"/>
        <v/>
      </c>
      <c r="F2058" t="str">
        <f t="shared" si="65"/>
        <v/>
      </c>
      <c r="G2058" t="str">
        <f>IF(E2058="","",IF(COUNTIF('DATA QCEW'!$A$2:$A$20,E2058)&gt;0,"19-SECTOR","DETAIL / OTHER"))</f>
        <v/>
      </c>
    </row>
    <row r="2059" spans="4:7">
      <c r="D2059" s="8"/>
      <c r="E2059" t="str">
        <f t="shared" si="64"/>
        <v/>
      </c>
      <c r="F2059" t="str">
        <f t="shared" si="65"/>
        <v/>
      </c>
      <c r="G2059" t="str">
        <f>IF(E2059="","",IF(COUNTIF('DATA QCEW'!$A$2:$A$20,E2059)&gt;0,"19-SECTOR","DETAIL / OTHER"))</f>
        <v/>
      </c>
    </row>
    <row r="2060" spans="4:7">
      <c r="D2060" s="8"/>
      <c r="E2060" t="str">
        <f t="shared" si="64"/>
        <v/>
      </c>
      <c r="F2060" t="str">
        <f t="shared" si="65"/>
        <v/>
      </c>
      <c r="G2060" t="str">
        <f>IF(E2060="","",IF(COUNTIF('DATA QCEW'!$A$2:$A$20,E2060)&gt;0,"19-SECTOR","DETAIL / OTHER"))</f>
        <v/>
      </c>
    </row>
    <row r="2061" spans="4:7">
      <c r="D2061" s="8"/>
      <c r="E2061" t="str">
        <f t="shared" si="64"/>
        <v/>
      </c>
      <c r="F2061" t="str">
        <f t="shared" si="65"/>
        <v/>
      </c>
      <c r="G2061" t="str">
        <f>IF(E2061="","",IF(COUNTIF('DATA QCEW'!$A$2:$A$20,E2061)&gt;0,"19-SECTOR","DETAIL / OTHER"))</f>
        <v/>
      </c>
    </row>
    <row r="2062" spans="4:7">
      <c r="D2062" s="8"/>
      <c r="E2062" t="str">
        <f t="shared" si="64"/>
        <v/>
      </c>
      <c r="F2062" t="str">
        <f t="shared" si="65"/>
        <v/>
      </c>
      <c r="G2062" t="str">
        <f>IF(E2062="","",IF(COUNTIF('DATA QCEW'!$A$2:$A$20,E2062)&gt;0,"19-SECTOR","DETAIL / OTHER"))</f>
        <v/>
      </c>
    </row>
    <row r="2063" spans="4:7">
      <c r="D2063" s="8"/>
      <c r="E2063" t="str">
        <f t="shared" si="64"/>
        <v/>
      </c>
      <c r="F2063" t="str">
        <f t="shared" si="65"/>
        <v/>
      </c>
      <c r="G2063" t="str">
        <f>IF(E2063="","",IF(COUNTIF('DATA QCEW'!$A$2:$A$20,E2063)&gt;0,"19-SECTOR","DETAIL / OTHER"))</f>
        <v/>
      </c>
    </row>
    <row r="2064" spans="4:7">
      <c r="D2064" s="8"/>
      <c r="E2064" t="str">
        <f t="shared" si="64"/>
        <v/>
      </c>
      <c r="F2064" t="str">
        <f t="shared" si="65"/>
        <v/>
      </c>
      <c r="G2064" t="str">
        <f>IF(E2064="","",IF(COUNTIF('DATA QCEW'!$A$2:$A$20,E2064)&gt;0,"19-SECTOR","DETAIL / OTHER"))</f>
        <v/>
      </c>
    </row>
    <row r="2065" spans="4:7">
      <c r="D2065" s="8"/>
      <c r="E2065" t="str">
        <f t="shared" si="64"/>
        <v/>
      </c>
      <c r="F2065" t="str">
        <f t="shared" si="65"/>
        <v/>
      </c>
      <c r="G2065" t="str">
        <f>IF(E2065="","",IF(COUNTIF('DATA QCEW'!$A$2:$A$20,E2065)&gt;0,"19-SECTOR","DETAIL / OTHER"))</f>
        <v/>
      </c>
    </row>
    <row r="2066" spans="4:7">
      <c r="D2066" s="8"/>
      <c r="E2066" t="str">
        <f t="shared" si="64"/>
        <v/>
      </c>
      <c r="F2066" t="str">
        <f t="shared" si="65"/>
        <v/>
      </c>
      <c r="G2066" t="str">
        <f>IF(E2066="","",IF(COUNTIF('DATA QCEW'!$A$2:$A$20,E2066)&gt;0,"19-SECTOR","DETAIL / OTHER"))</f>
        <v/>
      </c>
    </row>
    <row r="2067" spans="4:7">
      <c r="D2067" s="8"/>
      <c r="E2067" t="str">
        <f t="shared" si="64"/>
        <v/>
      </c>
      <c r="F2067" t="str">
        <f t="shared" si="65"/>
        <v/>
      </c>
      <c r="G2067" t="str">
        <f>IF(E2067="","",IF(COUNTIF('DATA QCEW'!$A$2:$A$20,E2067)&gt;0,"19-SECTOR","DETAIL / OTHER"))</f>
        <v/>
      </c>
    </row>
    <row r="2068" spans="4:7">
      <c r="D2068" s="8"/>
      <c r="E2068" t="str">
        <f t="shared" si="64"/>
        <v/>
      </c>
      <c r="F2068" t="str">
        <f t="shared" si="65"/>
        <v/>
      </c>
      <c r="G2068" t="str">
        <f>IF(E2068="","",IF(COUNTIF('DATA QCEW'!$A$2:$A$20,E2068)&gt;0,"19-SECTOR","DETAIL / OTHER"))</f>
        <v/>
      </c>
    </row>
    <row r="2069" spans="4:7">
      <c r="D2069" s="8"/>
      <c r="E2069" t="str">
        <f t="shared" si="64"/>
        <v/>
      </c>
      <c r="F2069" t="str">
        <f t="shared" si="65"/>
        <v/>
      </c>
      <c r="G2069" t="str">
        <f>IF(E2069="","",IF(COUNTIF('DATA QCEW'!$A$2:$A$20,E2069)&gt;0,"19-SECTOR","DETAIL / OTHER"))</f>
        <v/>
      </c>
    </row>
    <row r="2070" spans="4:7">
      <c r="D2070" s="8"/>
      <c r="E2070" t="str">
        <f t="shared" si="64"/>
        <v/>
      </c>
      <c r="F2070" t="str">
        <f t="shared" si="65"/>
        <v/>
      </c>
      <c r="G2070" t="str">
        <f>IF(E2070="","",IF(COUNTIF('DATA QCEW'!$A$2:$A$20,E2070)&gt;0,"19-SECTOR","DETAIL / OTHER"))</f>
        <v/>
      </c>
    </row>
    <row r="2071" spans="4:7">
      <c r="D2071" s="8"/>
      <c r="E2071" t="str">
        <f t="shared" si="64"/>
        <v/>
      </c>
      <c r="F2071" t="str">
        <f t="shared" si="65"/>
        <v/>
      </c>
      <c r="G2071" t="str">
        <f>IF(E2071="","",IF(COUNTIF('DATA QCEW'!$A$2:$A$20,E2071)&gt;0,"19-SECTOR","DETAIL / OTHER"))</f>
        <v/>
      </c>
    </row>
    <row r="2072" spans="4:7">
      <c r="D2072" s="8"/>
      <c r="E2072" t="str">
        <f t="shared" si="64"/>
        <v/>
      </c>
      <c r="F2072" t="str">
        <f t="shared" si="65"/>
        <v/>
      </c>
      <c r="G2072" t="str">
        <f>IF(E2072="","",IF(COUNTIF('DATA QCEW'!$A$2:$A$20,E2072)&gt;0,"19-SECTOR","DETAIL / OTHER"))</f>
        <v/>
      </c>
    </row>
    <row r="2073" spans="4:7">
      <c r="D2073" s="8"/>
      <c r="E2073" t="str">
        <f t="shared" si="64"/>
        <v/>
      </c>
      <c r="F2073" t="str">
        <f t="shared" si="65"/>
        <v/>
      </c>
      <c r="G2073" t="str">
        <f>IF(E2073="","",IF(COUNTIF('DATA QCEW'!$A$2:$A$20,E2073)&gt;0,"19-SECTOR","DETAIL / OTHER"))</f>
        <v/>
      </c>
    </row>
    <row r="2074" spans="4:7">
      <c r="D2074" s="8"/>
      <c r="E2074" t="str">
        <f t="shared" si="64"/>
        <v/>
      </c>
      <c r="F2074" t="str">
        <f t="shared" si="65"/>
        <v/>
      </c>
      <c r="G2074" t="str">
        <f>IF(E2074="","",IF(COUNTIF('DATA QCEW'!$A$2:$A$20,E2074)&gt;0,"19-SECTOR","DETAIL / OTHER"))</f>
        <v/>
      </c>
    </row>
    <row r="2075" spans="4:7">
      <c r="D2075" s="8"/>
      <c r="E2075" t="str">
        <f t="shared" si="64"/>
        <v/>
      </c>
      <c r="F2075" t="str">
        <f t="shared" si="65"/>
        <v/>
      </c>
      <c r="G2075" t="str">
        <f>IF(E2075="","",IF(COUNTIF('DATA QCEW'!$A$2:$A$20,E2075)&gt;0,"19-SECTOR","DETAIL / OTHER"))</f>
        <v/>
      </c>
    </row>
    <row r="2076" spans="4:7">
      <c r="D2076" s="8"/>
      <c r="E2076" t="str">
        <f t="shared" si="64"/>
        <v/>
      </c>
      <c r="F2076" t="str">
        <f t="shared" si="65"/>
        <v/>
      </c>
      <c r="G2076" t="str">
        <f>IF(E2076="","",IF(COUNTIF('DATA QCEW'!$A$2:$A$20,E2076)&gt;0,"19-SECTOR","DETAIL / OTHER"))</f>
        <v/>
      </c>
    </row>
    <row r="2077" spans="4:7">
      <c r="D2077" s="8"/>
      <c r="E2077" t="str">
        <f t="shared" si="64"/>
        <v/>
      </c>
      <c r="F2077" t="str">
        <f t="shared" si="65"/>
        <v/>
      </c>
      <c r="G2077" t="str">
        <f>IF(E2077="","",IF(COUNTIF('DATA QCEW'!$A$2:$A$20,E2077)&gt;0,"19-SECTOR","DETAIL / OTHER"))</f>
        <v/>
      </c>
    </row>
    <row r="2078" spans="4:7">
      <c r="D2078" s="8"/>
      <c r="E2078" t="str">
        <f t="shared" si="64"/>
        <v/>
      </c>
      <c r="F2078" t="str">
        <f t="shared" si="65"/>
        <v/>
      </c>
      <c r="G2078" t="str">
        <f>IF(E2078="","",IF(COUNTIF('DATA QCEW'!$A$2:$A$20,E2078)&gt;0,"19-SECTOR","DETAIL / OTHER"))</f>
        <v/>
      </c>
    </row>
    <row r="2079" spans="4:7">
      <c r="D2079" s="8"/>
      <c r="E2079" t="str">
        <f t="shared" si="64"/>
        <v/>
      </c>
      <c r="F2079" t="str">
        <f t="shared" si="65"/>
        <v/>
      </c>
      <c r="G2079" t="str">
        <f>IF(E2079="","",IF(COUNTIF('DATA QCEW'!$A$2:$A$20,E2079)&gt;0,"19-SECTOR","DETAIL / OTHER"))</f>
        <v/>
      </c>
    </row>
    <row r="2080" spans="4:7">
      <c r="D2080" s="8"/>
      <c r="E2080" t="str">
        <f t="shared" si="64"/>
        <v/>
      </c>
      <c r="F2080" t="str">
        <f t="shared" si="65"/>
        <v/>
      </c>
      <c r="G2080" t="str">
        <f>IF(E2080="","",IF(COUNTIF('DATA QCEW'!$A$2:$A$20,E2080)&gt;0,"19-SECTOR","DETAIL / OTHER"))</f>
        <v/>
      </c>
    </row>
    <row r="2081" spans="4:7">
      <c r="D2081" s="8"/>
      <c r="E2081" t="str">
        <f t="shared" si="64"/>
        <v/>
      </c>
      <c r="F2081" t="str">
        <f t="shared" si="65"/>
        <v/>
      </c>
      <c r="G2081" t="str">
        <f>IF(E2081="","",IF(COUNTIF('DATA QCEW'!$A$2:$A$20,E2081)&gt;0,"19-SECTOR","DETAIL / OTHER"))</f>
        <v/>
      </c>
    </row>
    <row r="2082" spans="4:7">
      <c r="D2082" s="8"/>
      <c r="E2082" t="str">
        <f t="shared" si="64"/>
        <v/>
      </c>
      <c r="F2082" t="str">
        <f t="shared" si="65"/>
        <v/>
      </c>
      <c r="G2082" t="str">
        <f>IF(E2082="","",IF(COUNTIF('DATA QCEW'!$A$2:$A$20,E2082)&gt;0,"19-SECTOR","DETAIL / OTHER"))</f>
        <v/>
      </c>
    </row>
    <row r="2083" spans="4:7">
      <c r="D2083" s="8"/>
      <c r="E2083" t="str">
        <f t="shared" si="64"/>
        <v/>
      </c>
      <c r="F2083" t="str">
        <f t="shared" si="65"/>
        <v/>
      </c>
      <c r="G2083" t="str">
        <f>IF(E2083="","",IF(COUNTIF('DATA QCEW'!$A$2:$A$20,E2083)&gt;0,"19-SECTOR","DETAIL / OTHER"))</f>
        <v/>
      </c>
    </row>
    <row r="2084" spans="4:7">
      <c r="D2084" s="8"/>
      <c r="E2084" t="str">
        <f t="shared" si="64"/>
        <v/>
      </c>
      <c r="F2084" t="str">
        <f t="shared" si="65"/>
        <v/>
      </c>
      <c r="G2084" t="str">
        <f>IF(E2084="","",IF(COUNTIF('DATA QCEW'!$A$2:$A$20,E2084)&gt;0,"19-SECTOR","DETAIL / OTHER"))</f>
        <v/>
      </c>
    </row>
    <row r="2085" spans="4:7">
      <c r="D2085" s="8"/>
      <c r="E2085" t="str">
        <f t="shared" si="64"/>
        <v/>
      </c>
      <c r="F2085" t="str">
        <f t="shared" si="65"/>
        <v/>
      </c>
      <c r="G2085" t="str">
        <f>IF(E2085="","",IF(COUNTIF('DATA QCEW'!$A$2:$A$20,E2085)&gt;0,"19-SECTOR","DETAIL / OTHER"))</f>
        <v/>
      </c>
    </row>
    <row r="2086" spans="4:7">
      <c r="D2086" s="8"/>
      <c r="E2086" t="str">
        <f t="shared" si="64"/>
        <v/>
      </c>
      <c r="F2086" t="str">
        <f t="shared" si="65"/>
        <v/>
      </c>
      <c r="G2086" t="str">
        <f>IF(E2086="","",IF(COUNTIF('DATA QCEW'!$A$2:$A$20,E2086)&gt;0,"19-SECTOR","DETAIL / OTHER"))</f>
        <v/>
      </c>
    </row>
    <row r="2087" spans="4:7">
      <c r="D2087" s="8"/>
      <c r="E2087" t="str">
        <f t="shared" si="64"/>
        <v/>
      </c>
      <c r="F2087" t="str">
        <f t="shared" si="65"/>
        <v/>
      </c>
      <c r="G2087" t="str">
        <f>IF(E2087="","",IF(COUNTIF('DATA QCEW'!$A$2:$A$20,E2087)&gt;0,"19-SECTOR","DETAIL / OTHER"))</f>
        <v/>
      </c>
    </row>
    <row r="2088" spans="4:7">
      <c r="D2088" s="8"/>
      <c r="E2088" t="str">
        <f t="shared" si="64"/>
        <v/>
      </c>
      <c r="F2088" t="str">
        <f t="shared" si="65"/>
        <v/>
      </c>
      <c r="G2088" t="str">
        <f>IF(E2088="","",IF(COUNTIF('DATA QCEW'!$A$2:$A$20,E2088)&gt;0,"19-SECTOR","DETAIL / OTHER"))</f>
        <v/>
      </c>
    </row>
    <row r="2089" spans="4:7">
      <c r="D2089" s="8"/>
      <c r="E2089" t="str">
        <f t="shared" si="64"/>
        <v/>
      </c>
      <c r="F2089" t="str">
        <f t="shared" si="65"/>
        <v/>
      </c>
      <c r="G2089" t="str">
        <f>IF(E2089="","",IF(COUNTIF('DATA QCEW'!$A$2:$A$20,E2089)&gt;0,"19-SECTOR","DETAIL / OTHER"))</f>
        <v/>
      </c>
    </row>
    <row r="2090" spans="4:7">
      <c r="D2090" s="8"/>
      <c r="E2090" t="str">
        <f t="shared" si="64"/>
        <v/>
      </c>
      <c r="F2090" t="str">
        <f t="shared" si="65"/>
        <v/>
      </c>
      <c r="G2090" t="str">
        <f>IF(E2090="","",IF(COUNTIF('DATA QCEW'!$A$2:$A$20,E2090)&gt;0,"19-SECTOR","DETAIL / OTHER"))</f>
        <v/>
      </c>
    </row>
    <row r="2091" spans="4:7">
      <c r="D2091" s="8"/>
      <c r="E2091" t="str">
        <f t="shared" si="64"/>
        <v/>
      </c>
      <c r="F2091" t="str">
        <f t="shared" si="65"/>
        <v/>
      </c>
      <c r="G2091" t="str">
        <f>IF(E2091="","",IF(COUNTIF('DATA QCEW'!$A$2:$A$20,E2091)&gt;0,"19-SECTOR","DETAIL / OTHER"))</f>
        <v/>
      </c>
    </row>
    <row r="2092" spans="4:7">
      <c r="D2092" s="8"/>
      <c r="E2092" t="str">
        <f t="shared" si="64"/>
        <v/>
      </c>
      <c r="F2092" t="str">
        <f t="shared" si="65"/>
        <v/>
      </c>
      <c r="G2092" t="str">
        <f>IF(E2092="","",IF(COUNTIF('DATA QCEW'!$A$2:$A$20,E2092)&gt;0,"19-SECTOR","DETAIL / OTHER"))</f>
        <v/>
      </c>
    </row>
    <row r="2093" spans="4:7">
      <c r="D2093" s="8"/>
      <c r="E2093" t="str">
        <f t="shared" si="64"/>
        <v/>
      </c>
      <c r="F2093" t="str">
        <f t="shared" si="65"/>
        <v/>
      </c>
      <c r="G2093" t="str">
        <f>IF(E2093="","",IF(COUNTIF('DATA QCEW'!$A$2:$A$20,E2093)&gt;0,"19-SECTOR","DETAIL / OTHER"))</f>
        <v/>
      </c>
    </row>
    <row r="2094" spans="4:7">
      <c r="D2094" s="8"/>
      <c r="E2094" t="str">
        <f t="shared" si="64"/>
        <v/>
      </c>
      <c r="F2094" t="str">
        <f t="shared" si="65"/>
        <v/>
      </c>
      <c r="G2094" t="str">
        <f>IF(E2094="","",IF(COUNTIF('DATA QCEW'!$A$2:$A$20,E2094)&gt;0,"19-SECTOR","DETAIL / OTHER"))</f>
        <v/>
      </c>
    </row>
    <row r="2095" spans="4:7">
      <c r="D2095" s="8"/>
      <c r="E2095" t="str">
        <f t="shared" si="64"/>
        <v/>
      </c>
      <c r="F2095" t="str">
        <f t="shared" si="65"/>
        <v/>
      </c>
      <c r="G2095" t="str">
        <f>IF(E2095="","",IF(COUNTIF('DATA QCEW'!$A$2:$A$20,E2095)&gt;0,"19-SECTOR","DETAIL / OTHER"))</f>
        <v/>
      </c>
    </row>
    <row r="2096" spans="4:7">
      <c r="D2096" s="8"/>
      <c r="E2096" t="str">
        <f t="shared" si="64"/>
        <v/>
      </c>
      <c r="F2096" t="str">
        <f t="shared" si="65"/>
        <v/>
      </c>
      <c r="G2096" t="str">
        <f>IF(E2096="","",IF(COUNTIF('DATA QCEW'!$A$2:$A$20,E2096)&gt;0,"19-SECTOR","DETAIL / OTHER"))</f>
        <v/>
      </c>
    </row>
    <row r="2097" spans="4:7">
      <c r="D2097" s="8"/>
      <c r="E2097" t="str">
        <f t="shared" si="64"/>
        <v/>
      </c>
      <c r="F2097" t="str">
        <f t="shared" si="65"/>
        <v/>
      </c>
      <c r="G2097" t="str">
        <f>IF(E2097="","",IF(COUNTIF('DATA QCEW'!$A$2:$A$20,E2097)&gt;0,"19-SECTOR","DETAIL / OTHER"))</f>
        <v/>
      </c>
    </row>
    <row r="2098" spans="4:7">
      <c r="D2098" s="8"/>
      <c r="E2098" t="str">
        <f t="shared" si="64"/>
        <v/>
      </c>
      <c r="F2098" t="str">
        <f t="shared" si="65"/>
        <v/>
      </c>
      <c r="G2098" t="str">
        <f>IF(E2098="","",IF(COUNTIF('DATA QCEW'!$A$2:$A$20,E2098)&gt;0,"19-SECTOR","DETAIL / OTHER"))</f>
        <v/>
      </c>
    </row>
    <row r="2099" spans="4:7">
      <c r="D2099" s="8"/>
      <c r="E2099" t="str">
        <f t="shared" si="64"/>
        <v/>
      </c>
      <c r="F2099" t="str">
        <f t="shared" si="65"/>
        <v/>
      </c>
      <c r="G2099" t="str">
        <f>IF(E2099="","",IF(COUNTIF('DATA QCEW'!$A$2:$A$20,E2099)&gt;0,"19-SECTOR","DETAIL / OTHER"))</f>
        <v/>
      </c>
    </row>
    <row r="2100" spans="4:7">
      <c r="D2100" s="8"/>
      <c r="E2100" t="str">
        <f t="shared" si="64"/>
        <v/>
      </c>
      <c r="F2100" t="str">
        <f t="shared" si="65"/>
        <v/>
      </c>
      <c r="G2100" t="str">
        <f>IF(E2100="","",IF(COUNTIF('DATA QCEW'!$A$2:$A$20,E2100)&gt;0,"19-SECTOR","DETAIL / OTHER"))</f>
        <v/>
      </c>
    </row>
    <row r="2101" spans="4:7">
      <c r="D2101" s="8"/>
      <c r="E2101" t="str">
        <f t="shared" si="64"/>
        <v/>
      </c>
      <c r="F2101" t="str">
        <f t="shared" si="65"/>
        <v/>
      </c>
      <c r="G2101" t="str">
        <f>IF(E2101="","",IF(COUNTIF('DATA QCEW'!$A$2:$A$20,E2101)&gt;0,"19-SECTOR","DETAIL / OTHER"))</f>
        <v/>
      </c>
    </row>
    <row r="2102" spans="4:7">
      <c r="D2102" s="8"/>
      <c r="E2102" t="str">
        <f t="shared" si="64"/>
        <v/>
      </c>
      <c r="F2102" t="str">
        <f t="shared" si="65"/>
        <v/>
      </c>
      <c r="G2102" t="str">
        <f>IF(E2102="","",IF(COUNTIF('DATA QCEW'!$A$2:$A$20,E2102)&gt;0,"19-SECTOR","DETAIL / OTHER"))</f>
        <v/>
      </c>
    </row>
    <row r="2103" spans="4:7">
      <c r="D2103" s="8"/>
      <c r="E2103" t="str">
        <f t="shared" si="64"/>
        <v/>
      </c>
      <c r="F2103" t="str">
        <f t="shared" si="65"/>
        <v/>
      </c>
      <c r="G2103" t="str">
        <f>IF(E2103="","",IF(COUNTIF('DATA QCEW'!$A$2:$A$20,E2103)&gt;0,"19-SECTOR","DETAIL / OTHER"))</f>
        <v/>
      </c>
    </row>
    <row r="2104" spans="4:7">
      <c r="D2104" s="8"/>
      <c r="E2104" t="str">
        <f t="shared" si="64"/>
        <v/>
      </c>
      <c r="F2104" t="str">
        <f t="shared" si="65"/>
        <v/>
      </c>
      <c r="G2104" t="str">
        <f>IF(E2104="","",IF(COUNTIF('DATA QCEW'!$A$2:$A$20,E2104)&gt;0,"19-SECTOR","DETAIL / OTHER"))</f>
        <v/>
      </c>
    </row>
    <row r="2105" spans="4:7">
      <c r="D2105" s="8"/>
      <c r="E2105" t="str">
        <f t="shared" si="64"/>
        <v/>
      </c>
      <c r="F2105" t="str">
        <f t="shared" si="65"/>
        <v/>
      </c>
      <c r="G2105" t="str">
        <f>IF(E2105="","",IF(COUNTIF('DATA QCEW'!$A$2:$A$20,E2105)&gt;0,"19-SECTOR","DETAIL / OTHER"))</f>
        <v/>
      </c>
    </row>
    <row r="2106" spans="4:7">
      <c r="D2106" s="8"/>
      <c r="E2106" t="str">
        <f t="shared" si="64"/>
        <v/>
      </c>
      <c r="F2106" t="str">
        <f t="shared" si="65"/>
        <v/>
      </c>
      <c r="G2106" t="str">
        <f>IF(E2106="","",IF(COUNTIF('DATA QCEW'!$A$2:$A$20,E2106)&gt;0,"19-SECTOR","DETAIL / OTHER"))</f>
        <v/>
      </c>
    </row>
    <row r="2107" spans="4:7">
      <c r="D2107" s="8"/>
      <c r="E2107" t="str">
        <f t="shared" si="64"/>
        <v/>
      </c>
      <c r="F2107" t="str">
        <f t="shared" si="65"/>
        <v/>
      </c>
      <c r="G2107" t="str">
        <f>IF(E2107="","",IF(COUNTIF('DATA QCEW'!$A$2:$A$20,E2107)&gt;0,"19-SECTOR","DETAIL / OTHER"))</f>
        <v/>
      </c>
    </row>
    <row r="2108" spans="4:7">
      <c r="D2108" s="8"/>
      <c r="E2108" t="str">
        <f t="shared" si="64"/>
        <v/>
      </c>
      <c r="F2108" t="str">
        <f t="shared" si="65"/>
        <v/>
      </c>
      <c r="G2108" t="str">
        <f>IF(E2108="","",IF(COUNTIF('DATA QCEW'!$A$2:$A$20,E2108)&gt;0,"19-SECTOR","DETAIL / OTHER"))</f>
        <v/>
      </c>
    </row>
    <row r="2109" spans="4:7">
      <c r="D2109" s="8"/>
      <c r="E2109" t="str">
        <f t="shared" si="64"/>
        <v/>
      </c>
      <c r="F2109" t="str">
        <f t="shared" si="65"/>
        <v/>
      </c>
      <c r="G2109" t="str">
        <f>IF(E2109="","",IF(COUNTIF('DATA QCEW'!$A$2:$A$20,E2109)&gt;0,"19-SECTOR","DETAIL / OTHER"))</f>
        <v/>
      </c>
    </row>
    <row r="2110" spans="4:7">
      <c r="D2110" s="8"/>
      <c r="E2110" t="str">
        <f t="shared" si="64"/>
        <v/>
      </c>
      <c r="F2110" t="str">
        <f t="shared" si="65"/>
        <v/>
      </c>
      <c r="G2110" t="str">
        <f>IF(E2110="","",IF(COUNTIF('DATA QCEW'!$A$2:$A$20,E2110)&gt;0,"19-SECTOR","DETAIL / OTHER"))</f>
        <v/>
      </c>
    </row>
    <row r="2111" spans="4:7">
      <c r="D2111" s="8"/>
      <c r="E2111" t="str">
        <f t="shared" si="64"/>
        <v/>
      </c>
      <c r="F2111" t="str">
        <f t="shared" si="65"/>
        <v/>
      </c>
      <c r="G2111" t="str">
        <f>IF(E2111="","",IF(COUNTIF('DATA QCEW'!$A$2:$A$20,E2111)&gt;0,"19-SECTOR","DETAIL / OTHER"))</f>
        <v/>
      </c>
    </row>
    <row r="2112" spans="4:7">
      <c r="D2112" s="8"/>
      <c r="E2112" t="str">
        <f t="shared" si="64"/>
        <v/>
      </c>
      <c r="F2112" t="str">
        <f t="shared" si="65"/>
        <v/>
      </c>
      <c r="G2112" t="str">
        <f>IF(E2112="","",IF(COUNTIF('DATA QCEW'!$A$2:$A$20,E2112)&gt;0,"19-SECTOR","DETAIL / OTHER"))</f>
        <v/>
      </c>
    </row>
    <row r="2113" spans="4:7">
      <c r="D2113" s="8"/>
      <c r="E2113" t="str">
        <f t="shared" si="64"/>
        <v/>
      </c>
      <c r="F2113" t="str">
        <f t="shared" si="65"/>
        <v/>
      </c>
      <c r="G2113" t="str">
        <f>IF(E2113="","",IF(COUNTIF('DATA QCEW'!$A$2:$A$20,E2113)&gt;0,"19-SECTOR","DETAIL / OTHER"))</f>
        <v/>
      </c>
    </row>
    <row r="2114" spans="4:7">
      <c r="D2114" s="8"/>
      <c r="E2114" t="str">
        <f t="shared" ref="E2114:E2177" si="66">IF(LEFT(TRIM(A2114),6)="NAICS ",IFERROR(MID(TRIM(A2114),7,FIND(" ",TRIM(A2114)&amp;" ",7)-7),""),"")</f>
        <v/>
      </c>
      <c r="F2114" t="str">
        <f t="shared" ref="F2114:F2177" si="67">IF(E2114="","",TRIM(MID(TRIM(A2114),FIND(" ",TRIM(A2114)&amp;" ",7)+1,255)))</f>
        <v/>
      </c>
      <c r="G2114" t="str">
        <f>IF(E2114="","",IF(COUNTIF('DATA QCEW'!$A$2:$A$20,E2114)&gt;0,"19-SECTOR","DETAIL / OTHER"))</f>
        <v/>
      </c>
    </row>
    <row r="2115" spans="4:7">
      <c r="D2115" s="8"/>
      <c r="E2115" t="str">
        <f t="shared" si="66"/>
        <v/>
      </c>
      <c r="F2115" t="str">
        <f t="shared" si="67"/>
        <v/>
      </c>
      <c r="G2115" t="str">
        <f>IF(E2115="","",IF(COUNTIF('DATA QCEW'!$A$2:$A$20,E2115)&gt;0,"19-SECTOR","DETAIL / OTHER"))</f>
        <v/>
      </c>
    </row>
    <row r="2116" spans="4:7">
      <c r="D2116" s="8"/>
      <c r="E2116" t="str">
        <f t="shared" si="66"/>
        <v/>
      </c>
      <c r="F2116" t="str">
        <f t="shared" si="67"/>
        <v/>
      </c>
      <c r="G2116" t="str">
        <f>IF(E2116="","",IF(COUNTIF('DATA QCEW'!$A$2:$A$20,E2116)&gt;0,"19-SECTOR","DETAIL / OTHER"))</f>
        <v/>
      </c>
    </row>
    <row r="2117" spans="4:7">
      <c r="D2117" s="8"/>
      <c r="E2117" t="str">
        <f t="shared" si="66"/>
        <v/>
      </c>
      <c r="F2117" t="str">
        <f t="shared" si="67"/>
        <v/>
      </c>
      <c r="G2117" t="str">
        <f>IF(E2117="","",IF(COUNTIF('DATA QCEW'!$A$2:$A$20,E2117)&gt;0,"19-SECTOR","DETAIL / OTHER"))</f>
        <v/>
      </c>
    </row>
    <row r="2118" spans="4:7">
      <c r="D2118" s="8"/>
      <c r="E2118" t="str">
        <f t="shared" si="66"/>
        <v/>
      </c>
      <c r="F2118" t="str">
        <f t="shared" si="67"/>
        <v/>
      </c>
      <c r="G2118" t="str">
        <f>IF(E2118="","",IF(COUNTIF('DATA QCEW'!$A$2:$A$20,E2118)&gt;0,"19-SECTOR","DETAIL / OTHER"))</f>
        <v/>
      </c>
    </row>
    <row r="2119" spans="4:7">
      <c r="D2119" s="8"/>
      <c r="E2119" t="str">
        <f t="shared" si="66"/>
        <v/>
      </c>
      <c r="F2119" t="str">
        <f t="shared" si="67"/>
        <v/>
      </c>
      <c r="G2119" t="str">
        <f>IF(E2119="","",IF(COUNTIF('DATA QCEW'!$A$2:$A$20,E2119)&gt;0,"19-SECTOR","DETAIL / OTHER"))</f>
        <v/>
      </c>
    </row>
    <row r="2120" spans="4:7">
      <c r="D2120" s="8"/>
      <c r="E2120" t="str">
        <f t="shared" si="66"/>
        <v/>
      </c>
      <c r="F2120" t="str">
        <f t="shared" si="67"/>
        <v/>
      </c>
      <c r="G2120" t="str">
        <f>IF(E2120="","",IF(COUNTIF('DATA QCEW'!$A$2:$A$20,E2120)&gt;0,"19-SECTOR","DETAIL / OTHER"))</f>
        <v/>
      </c>
    </row>
    <row r="2121" spans="4:7">
      <c r="D2121" s="8"/>
      <c r="E2121" t="str">
        <f t="shared" si="66"/>
        <v/>
      </c>
      <c r="F2121" t="str">
        <f t="shared" si="67"/>
        <v/>
      </c>
      <c r="G2121" t="str">
        <f>IF(E2121="","",IF(COUNTIF('DATA QCEW'!$A$2:$A$20,E2121)&gt;0,"19-SECTOR","DETAIL / OTHER"))</f>
        <v/>
      </c>
    </row>
    <row r="2122" spans="4:7">
      <c r="D2122" s="8"/>
      <c r="E2122" t="str">
        <f t="shared" si="66"/>
        <v/>
      </c>
      <c r="F2122" t="str">
        <f t="shared" si="67"/>
        <v/>
      </c>
      <c r="G2122" t="str">
        <f>IF(E2122="","",IF(COUNTIF('DATA QCEW'!$A$2:$A$20,E2122)&gt;0,"19-SECTOR","DETAIL / OTHER"))</f>
        <v/>
      </c>
    </row>
    <row r="2123" spans="4:7">
      <c r="D2123" s="8"/>
      <c r="E2123" t="str">
        <f t="shared" si="66"/>
        <v/>
      </c>
      <c r="F2123" t="str">
        <f t="shared" si="67"/>
        <v/>
      </c>
      <c r="G2123" t="str">
        <f>IF(E2123="","",IF(COUNTIF('DATA QCEW'!$A$2:$A$20,E2123)&gt;0,"19-SECTOR","DETAIL / OTHER"))</f>
        <v/>
      </c>
    </row>
    <row r="2124" spans="4:7">
      <c r="D2124" s="8"/>
      <c r="E2124" t="str">
        <f t="shared" si="66"/>
        <v/>
      </c>
      <c r="F2124" t="str">
        <f t="shared" si="67"/>
        <v/>
      </c>
      <c r="G2124" t="str">
        <f>IF(E2124="","",IF(COUNTIF('DATA QCEW'!$A$2:$A$20,E2124)&gt;0,"19-SECTOR","DETAIL / OTHER"))</f>
        <v/>
      </c>
    </row>
    <row r="2125" spans="4:7">
      <c r="D2125" s="8"/>
      <c r="E2125" t="str">
        <f t="shared" si="66"/>
        <v/>
      </c>
      <c r="F2125" t="str">
        <f t="shared" si="67"/>
        <v/>
      </c>
      <c r="G2125" t="str">
        <f>IF(E2125="","",IF(COUNTIF('DATA QCEW'!$A$2:$A$20,E2125)&gt;0,"19-SECTOR","DETAIL / OTHER"))</f>
        <v/>
      </c>
    </row>
    <row r="2126" spans="4:7">
      <c r="D2126" s="8"/>
      <c r="E2126" t="str">
        <f t="shared" si="66"/>
        <v/>
      </c>
      <c r="F2126" t="str">
        <f t="shared" si="67"/>
        <v/>
      </c>
      <c r="G2126" t="str">
        <f>IF(E2126="","",IF(COUNTIF('DATA QCEW'!$A$2:$A$20,E2126)&gt;0,"19-SECTOR","DETAIL / OTHER"))</f>
        <v/>
      </c>
    </row>
    <row r="2127" spans="4:7">
      <c r="D2127" s="8"/>
      <c r="E2127" t="str">
        <f t="shared" si="66"/>
        <v/>
      </c>
      <c r="F2127" t="str">
        <f t="shared" si="67"/>
        <v/>
      </c>
      <c r="G2127" t="str">
        <f>IF(E2127="","",IF(COUNTIF('DATA QCEW'!$A$2:$A$20,E2127)&gt;0,"19-SECTOR","DETAIL / OTHER"))</f>
        <v/>
      </c>
    </row>
    <row r="2128" spans="4:7">
      <c r="D2128" s="8"/>
      <c r="E2128" t="str">
        <f t="shared" si="66"/>
        <v/>
      </c>
      <c r="F2128" t="str">
        <f t="shared" si="67"/>
        <v/>
      </c>
      <c r="G2128" t="str">
        <f>IF(E2128="","",IF(COUNTIF('DATA QCEW'!$A$2:$A$20,E2128)&gt;0,"19-SECTOR","DETAIL / OTHER"))</f>
        <v/>
      </c>
    </row>
    <row r="2129" spans="4:7">
      <c r="D2129" s="8"/>
      <c r="E2129" t="str">
        <f t="shared" si="66"/>
        <v/>
      </c>
      <c r="F2129" t="str">
        <f t="shared" si="67"/>
        <v/>
      </c>
      <c r="G2129" t="str">
        <f>IF(E2129="","",IF(COUNTIF('DATA QCEW'!$A$2:$A$20,E2129)&gt;0,"19-SECTOR","DETAIL / OTHER"))</f>
        <v/>
      </c>
    </row>
    <row r="2130" spans="4:7">
      <c r="D2130" s="8"/>
      <c r="E2130" t="str">
        <f t="shared" si="66"/>
        <v/>
      </c>
      <c r="F2130" t="str">
        <f t="shared" si="67"/>
        <v/>
      </c>
      <c r="G2130" t="str">
        <f>IF(E2130="","",IF(COUNTIF('DATA QCEW'!$A$2:$A$20,E2130)&gt;0,"19-SECTOR","DETAIL / OTHER"))</f>
        <v/>
      </c>
    </row>
    <row r="2131" spans="4:7">
      <c r="D2131" s="8"/>
      <c r="E2131" t="str">
        <f t="shared" si="66"/>
        <v/>
      </c>
      <c r="F2131" t="str">
        <f t="shared" si="67"/>
        <v/>
      </c>
      <c r="G2131" t="str">
        <f>IF(E2131="","",IF(COUNTIF('DATA QCEW'!$A$2:$A$20,E2131)&gt;0,"19-SECTOR","DETAIL / OTHER"))</f>
        <v/>
      </c>
    </row>
    <row r="2132" spans="4:7">
      <c r="D2132" s="8"/>
      <c r="E2132" t="str">
        <f t="shared" si="66"/>
        <v/>
      </c>
      <c r="F2132" t="str">
        <f t="shared" si="67"/>
        <v/>
      </c>
      <c r="G2132" t="str">
        <f>IF(E2132="","",IF(COUNTIF('DATA QCEW'!$A$2:$A$20,E2132)&gt;0,"19-SECTOR","DETAIL / OTHER"))</f>
        <v/>
      </c>
    </row>
    <row r="2133" spans="4:7">
      <c r="D2133" s="8"/>
      <c r="E2133" t="str">
        <f t="shared" si="66"/>
        <v/>
      </c>
      <c r="F2133" t="str">
        <f t="shared" si="67"/>
        <v/>
      </c>
      <c r="G2133" t="str">
        <f>IF(E2133="","",IF(COUNTIF('DATA QCEW'!$A$2:$A$20,E2133)&gt;0,"19-SECTOR","DETAIL / OTHER"))</f>
        <v/>
      </c>
    </row>
    <row r="2134" spans="4:7">
      <c r="D2134" s="8"/>
      <c r="E2134" t="str">
        <f t="shared" si="66"/>
        <v/>
      </c>
      <c r="F2134" t="str">
        <f t="shared" si="67"/>
        <v/>
      </c>
      <c r="G2134" t="str">
        <f>IF(E2134="","",IF(COUNTIF('DATA QCEW'!$A$2:$A$20,E2134)&gt;0,"19-SECTOR","DETAIL / OTHER"))</f>
        <v/>
      </c>
    </row>
    <row r="2135" spans="4:7">
      <c r="D2135" s="8"/>
      <c r="E2135" t="str">
        <f t="shared" si="66"/>
        <v/>
      </c>
      <c r="F2135" t="str">
        <f t="shared" si="67"/>
        <v/>
      </c>
      <c r="G2135" t="str">
        <f>IF(E2135="","",IF(COUNTIF('DATA QCEW'!$A$2:$A$20,E2135)&gt;0,"19-SECTOR","DETAIL / OTHER"))</f>
        <v/>
      </c>
    </row>
    <row r="2136" spans="4:7">
      <c r="D2136" s="8"/>
      <c r="E2136" t="str">
        <f t="shared" si="66"/>
        <v/>
      </c>
      <c r="F2136" t="str">
        <f t="shared" si="67"/>
        <v/>
      </c>
      <c r="G2136" t="str">
        <f>IF(E2136="","",IF(COUNTIF('DATA QCEW'!$A$2:$A$20,E2136)&gt;0,"19-SECTOR","DETAIL / OTHER"))</f>
        <v/>
      </c>
    </row>
    <row r="2137" spans="4:7">
      <c r="D2137" s="8"/>
      <c r="E2137" t="str">
        <f t="shared" si="66"/>
        <v/>
      </c>
      <c r="F2137" t="str">
        <f t="shared" si="67"/>
        <v/>
      </c>
      <c r="G2137" t="str">
        <f>IF(E2137="","",IF(COUNTIF('DATA QCEW'!$A$2:$A$20,E2137)&gt;0,"19-SECTOR","DETAIL / OTHER"))</f>
        <v/>
      </c>
    </row>
    <row r="2138" spans="4:7">
      <c r="D2138" s="8"/>
      <c r="E2138" t="str">
        <f t="shared" si="66"/>
        <v/>
      </c>
      <c r="F2138" t="str">
        <f t="shared" si="67"/>
        <v/>
      </c>
      <c r="G2138" t="str">
        <f>IF(E2138="","",IF(COUNTIF('DATA QCEW'!$A$2:$A$20,E2138)&gt;0,"19-SECTOR","DETAIL / OTHER"))</f>
        <v/>
      </c>
    </row>
    <row r="2139" spans="4:7">
      <c r="D2139" s="8"/>
      <c r="E2139" t="str">
        <f t="shared" si="66"/>
        <v/>
      </c>
      <c r="F2139" t="str">
        <f t="shared" si="67"/>
        <v/>
      </c>
      <c r="G2139" t="str">
        <f>IF(E2139="","",IF(COUNTIF('DATA QCEW'!$A$2:$A$20,E2139)&gt;0,"19-SECTOR","DETAIL / OTHER"))</f>
        <v/>
      </c>
    </row>
    <row r="2140" spans="4:7">
      <c r="D2140" s="8"/>
      <c r="E2140" t="str">
        <f t="shared" si="66"/>
        <v/>
      </c>
      <c r="F2140" t="str">
        <f t="shared" si="67"/>
        <v/>
      </c>
      <c r="G2140" t="str">
        <f>IF(E2140="","",IF(COUNTIF('DATA QCEW'!$A$2:$A$20,E2140)&gt;0,"19-SECTOR","DETAIL / OTHER"))</f>
        <v/>
      </c>
    </row>
    <row r="2141" spans="4:7">
      <c r="D2141" s="8"/>
      <c r="E2141" t="str">
        <f t="shared" si="66"/>
        <v/>
      </c>
      <c r="F2141" t="str">
        <f t="shared" si="67"/>
        <v/>
      </c>
      <c r="G2141" t="str">
        <f>IF(E2141="","",IF(COUNTIF('DATA QCEW'!$A$2:$A$20,E2141)&gt;0,"19-SECTOR","DETAIL / OTHER"))</f>
        <v/>
      </c>
    </row>
    <row r="2142" spans="4:7">
      <c r="D2142" s="8"/>
      <c r="E2142" t="str">
        <f t="shared" si="66"/>
        <v/>
      </c>
      <c r="F2142" t="str">
        <f t="shared" si="67"/>
        <v/>
      </c>
      <c r="G2142" t="str">
        <f>IF(E2142="","",IF(COUNTIF('DATA QCEW'!$A$2:$A$20,E2142)&gt;0,"19-SECTOR","DETAIL / OTHER"))</f>
        <v/>
      </c>
    </row>
    <row r="2143" spans="4:7">
      <c r="D2143" s="8"/>
      <c r="E2143" t="str">
        <f t="shared" si="66"/>
        <v/>
      </c>
      <c r="F2143" t="str">
        <f t="shared" si="67"/>
        <v/>
      </c>
      <c r="G2143" t="str">
        <f>IF(E2143="","",IF(COUNTIF('DATA QCEW'!$A$2:$A$20,E2143)&gt;0,"19-SECTOR","DETAIL / OTHER"))</f>
        <v/>
      </c>
    </row>
    <row r="2144" spans="4:7">
      <c r="D2144" s="8"/>
      <c r="E2144" t="str">
        <f t="shared" si="66"/>
        <v/>
      </c>
      <c r="F2144" t="str">
        <f t="shared" si="67"/>
        <v/>
      </c>
      <c r="G2144" t="str">
        <f>IF(E2144="","",IF(COUNTIF('DATA QCEW'!$A$2:$A$20,E2144)&gt;0,"19-SECTOR","DETAIL / OTHER"))</f>
        <v/>
      </c>
    </row>
    <row r="2145" spans="4:7">
      <c r="D2145" s="8"/>
      <c r="E2145" t="str">
        <f t="shared" si="66"/>
        <v/>
      </c>
      <c r="F2145" t="str">
        <f t="shared" si="67"/>
        <v/>
      </c>
      <c r="G2145" t="str">
        <f>IF(E2145="","",IF(COUNTIF('DATA QCEW'!$A$2:$A$20,E2145)&gt;0,"19-SECTOR","DETAIL / OTHER"))</f>
        <v/>
      </c>
    </row>
    <row r="2146" spans="4:7">
      <c r="D2146" s="8"/>
      <c r="E2146" t="str">
        <f t="shared" si="66"/>
        <v/>
      </c>
      <c r="F2146" t="str">
        <f t="shared" si="67"/>
        <v/>
      </c>
      <c r="G2146" t="str">
        <f>IF(E2146="","",IF(COUNTIF('DATA QCEW'!$A$2:$A$20,E2146)&gt;0,"19-SECTOR","DETAIL / OTHER"))</f>
        <v/>
      </c>
    </row>
    <row r="2147" spans="4:7">
      <c r="D2147" s="8"/>
      <c r="E2147" t="str">
        <f t="shared" si="66"/>
        <v/>
      </c>
      <c r="F2147" t="str">
        <f t="shared" si="67"/>
        <v/>
      </c>
      <c r="G2147" t="str">
        <f>IF(E2147="","",IF(COUNTIF('DATA QCEW'!$A$2:$A$20,E2147)&gt;0,"19-SECTOR","DETAIL / OTHER"))</f>
        <v/>
      </c>
    </row>
    <row r="2148" spans="4:7">
      <c r="D2148" s="8"/>
      <c r="E2148" t="str">
        <f t="shared" si="66"/>
        <v/>
      </c>
      <c r="F2148" t="str">
        <f t="shared" si="67"/>
        <v/>
      </c>
      <c r="G2148" t="str">
        <f>IF(E2148="","",IF(COUNTIF('DATA QCEW'!$A$2:$A$20,E2148)&gt;0,"19-SECTOR","DETAIL / OTHER"))</f>
        <v/>
      </c>
    </row>
    <row r="2149" spans="4:7">
      <c r="D2149" s="8"/>
      <c r="E2149" t="str">
        <f t="shared" si="66"/>
        <v/>
      </c>
      <c r="F2149" t="str">
        <f t="shared" si="67"/>
        <v/>
      </c>
      <c r="G2149" t="str">
        <f>IF(E2149="","",IF(COUNTIF('DATA QCEW'!$A$2:$A$20,E2149)&gt;0,"19-SECTOR","DETAIL / OTHER"))</f>
        <v/>
      </c>
    </row>
    <row r="2150" spans="4:7">
      <c r="D2150" s="8"/>
      <c r="E2150" t="str">
        <f t="shared" si="66"/>
        <v/>
      </c>
      <c r="F2150" t="str">
        <f t="shared" si="67"/>
        <v/>
      </c>
      <c r="G2150" t="str">
        <f>IF(E2150="","",IF(COUNTIF('DATA QCEW'!$A$2:$A$20,E2150)&gt;0,"19-SECTOR","DETAIL / OTHER"))</f>
        <v/>
      </c>
    </row>
    <row r="2151" spans="4:7">
      <c r="D2151" s="8"/>
      <c r="E2151" t="str">
        <f t="shared" si="66"/>
        <v/>
      </c>
      <c r="F2151" t="str">
        <f t="shared" si="67"/>
        <v/>
      </c>
      <c r="G2151" t="str">
        <f>IF(E2151="","",IF(COUNTIF('DATA QCEW'!$A$2:$A$20,E2151)&gt;0,"19-SECTOR","DETAIL / OTHER"))</f>
        <v/>
      </c>
    </row>
    <row r="2152" spans="4:7">
      <c r="D2152" s="8"/>
      <c r="E2152" t="str">
        <f t="shared" si="66"/>
        <v/>
      </c>
      <c r="F2152" t="str">
        <f t="shared" si="67"/>
        <v/>
      </c>
      <c r="G2152" t="str">
        <f>IF(E2152="","",IF(COUNTIF('DATA QCEW'!$A$2:$A$20,E2152)&gt;0,"19-SECTOR","DETAIL / OTHER"))</f>
        <v/>
      </c>
    </row>
    <row r="2153" spans="4:7">
      <c r="D2153" s="8"/>
      <c r="E2153" t="str">
        <f t="shared" si="66"/>
        <v/>
      </c>
      <c r="F2153" t="str">
        <f t="shared" si="67"/>
        <v/>
      </c>
      <c r="G2153" t="str">
        <f>IF(E2153="","",IF(COUNTIF('DATA QCEW'!$A$2:$A$20,E2153)&gt;0,"19-SECTOR","DETAIL / OTHER"))</f>
        <v/>
      </c>
    </row>
    <row r="2154" spans="4:7">
      <c r="D2154" s="8"/>
      <c r="E2154" t="str">
        <f t="shared" si="66"/>
        <v/>
      </c>
      <c r="F2154" t="str">
        <f t="shared" si="67"/>
        <v/>
      </c>
      <c r="G2154" t="str">
        <f>IF(E2154="","",IF(COUNTIF('DATA QCEW'!$A$2:$A$20,E2154)&gt;0,"19-SECTOR","DETAIL / OTHER"))</f>
        <v/>
      </c>
    </row>
    <row r="2155" spans="4:7">
      <c r="D2155" s="8"/>
      <c r="E2155" t="str">
        <f t="shared" si="66"/>
        <v/>
      </c>
      <c r="F2155" t="str">
        <f t="shared" si="67"/>
        <v/>
      </c>
      <c r="G2155" t="str">
        <f>IF(E2155="","",IF(COUNTIF('DATA QCEW'!$A$2:$A$20,E2155)&gt;0,"19-SECTOR","DETAIL / OTHER"))</f>
        <v/>
      </c>
    </row>
    <row r="2156" spans="4:7">
      <c r="D2156" s="8"/>
      <c r="E2156" t="str">
        <f t="shared" si="66"/>
        <v/>
      </c>
      <c r="F2156" t="str">
        <f t="shared" si="67"/>
        <v/>
      </c>
      <c r="G2156" t="str">
        <f>IF(E2156="","",IF(COUNTIF('DATA QCEW'!$A$2:$A$20,E2156)&gt;0,"19-SECTOR","DETAIL / OTHER"))</f>
        <v/>
      </c>
    </row>
    <row r="2157" spans="4:7">
      <c r="D2157" s="8"/>
      <c r="E2157" t="str">
        <f t="shared" si="66"/>
        <v/>
      </c>
      <c r="F2157" t="str">
        <f t="shared" si="67"/>
        <v/>
      </c>
      <c r="G2157" t="str">
        <f>IF(E2157="","",IF(COUNTIF('DATA QCEW'!$A$2:$A$20,E2157)&gt;0,"19-SECTOR","DETAIL / OTHER"))</f>
        <v/>
      </c>
    </row>
    <row r="2158" spans="4:7">
      <c r="D2158" s="8"/>
      <c r="E2158" t="str">
        <f t="shared" si="66"/>
        <v/>
      </c>
      <c r="F2158" t="str">
        <f t="shared" si="67"/>
        <v/>
      </c>
      <c r="G2158" t="str">
        <f>IF(E2158="","",IF(COUNTIF('DATA QCEW'!$A$2:$A$20,E2158)&gt;0,"19-SECTOR","DETAIL / OTHER"))</f>
        <v/>
      </c>
    </row>
    <row r="2159" spans="4:7">
      <c r="D2159" s="8"/>
      <c r="E2159" t="str">
        <f t="shared" si="66"/>
        <v/>
      </c>
      <c r="F2159" t="str">
        <f t="shared" si="67"/>
        <v/>
      </c>
      <c r="G2159" t="str">
        <f>IF(E2159="","",IF(COUNTIF('DATA QCEW'!$A$2:$A$20,E2159)&gt;0,"19-SECTOR","DETAIL / OTHER"))</f>
        <v/>
      </c>
    </row>
    <row r="2160" spans="4:7">
      <c r="D2160" s="8"/>
      <c r="E2160" t="str">
        <f t="shared" si="66"/>
        <v/>
      </c>
      <c r="F2160" t="str">
        <f t="shared" si="67"/>
        <v/>
      </c>
      <c r="G2160" t="str">
        <f>IF(E2160="","",IF(COUNTIF('DATA QCEW'!$A$2:$A$20,E2160)&gt;0,"19-SECTOR","DETAIL / OTHER"))</f>
        <v/>
      </c>
    </row>
    <row r="2161" spans="4:7">
      <c r="D2161" s="8"/>
      <c r="E2161" t="str">
        <f t="shared" si="66"/>
        <v/>
      </c>
      <c r="F2161" t="str">
        <f t="shared" si="67"/>
        <v/>
      </c>
      <c r="G2161" t="str">
        <f>IF(E2161="","",IF(COUNTIF('DATA QCEW'!$A$2:$A$20,E2161)&gt;0,"19-SECTOR","DETAIL / OTHER"))</f>
        <v/>
      </c>
    </row>
    <row r="2162" spans="4:7">
      <c r="D2162" s="8"/>
      <c r="E2162" t="str">
        <f t="shared" si="66"/>
        <v/>
      </c>
      <c r="F2162" t="str">
        <f t="shared" si="67"/>
        <v/>
      </c>
      <c r="G2162" t="str">
        <f>IF(E2162="","",IF(COUNTIF('DATA QCEW'!$A$2:$A$20,E2162)&gt;0,"19-SECTOR","DETAIL / OTHER"))</f>
        <v/>
      </c>
    </row>
    <row r="2163" spans="4:7">
      <c r="D2163" s="8"/>
      <c r="E2163" t="str">
        <f t="shared" si="66"/>
        <v/>
      </c>
      <c r="F2163" t="str">
        <f t="shared" si="67"/>
        <v/>
      </c>
      <c r="G2163" t="str">
        <f>IF(E2163="","",IF(COUNTIF('DATA QCEW'!$A$2:$A$20,E2163)&gt;0,"19-SECTOR","DETAIL / OTHER"))</f>
        <v/>
      </c>
    </row>
    <row r="2164" spans="4:7">
      <c r="D2164" s="8"/>
      <c r="E2164" t="str">
        <f t="shared" si="66"/>
        <v/>
      </c>
      <c r="F2164" t="str">
        <f t="shared" si="67"/>
        <v/>
      </c>
      <c r="G2164" t="str">
        <f>IF(E2164="","",IF(COUNTIF('DATA QCEW'!$A$2:$A$20,E2164)&gt;0,"19-SECTOR","DETAIL / OTHER"))</f>
        <v/>
      </c>
    </row>
    <row r="2165" spans="4:7">
      <c r="D2165" s="8"/>
      <c r="E2165" t="str">
        <f t="shared" si="66"/>
        <v/>
      </c>
      <c r="F2165" t="str">
        <f t="shared" si="67"/>
        <v/>
      </c>
      <c r="G2165" t="str">
        <f>IF(E2165="","",IF(COUNTIF('DATA QCEW'!$A$2:$A$20,E2165)&gt;0,"19-SECTOR","DETAIL / OTHER"))</f>
        <v/>
      </c>
    </row>
    <row r="2166" spans="4:7">
      <c r="D2166" s="8"/>
      <c r="E2166" t="str">
        <f t="shared" si="66"/>
        <v/>
      </c>
      <c r="F2166" t="str">
        <f t="shared" si="67"/>
        <v/>
      </c>
      <c r="G2166" t="str">
        <f>IF(E2166="","",IF(COUNTIF('DATA QCEW'!$A$2:$A$20,E2166)&gt;0,"19-SECTOR","DETAIL / OTHER"))</f>
        <v/>
      </c>
    </row>
    <row r="2167" spans="4:7">
      <c r="D2167" s="8"/>
      <c r="E2167" t="str">
        <f t="shared" si="66"/>
        <v/>
      </c>
      <c r="F2167" t="str">
        <f t="shared" si="67"/>
        <v/>
      </c>
      <c r="G2167" t="str">
        <f>IF(E2167="","",IF(COUNTIF('DATA QCEW'!$A$2:$A$20,E2167)&gt;0,"19-SECTOR","DETAIL / OTHER"))</f>
        <v/>
      </c>
    </row>
    <row r="2168" spans="4:7">
      <c r="D2168" s="8"/>
      <c r="E2168" t="str">
        <f t="shared" si="66"/>
        <v/>
      </c>
      <c r="F2168" t="str">
        <f t="shared" si="67"/>
        <v/>
      </c>
      <c r="G2168" t="str">
        <f>IF(E2168="","",IF(COUNTIF('DATA QCEW'!$A$2:$A$20,E2168)&gt;0,"19-SECTOR","DETAIL / OTHER"))</f>
        <v/>
      </c>
    </row>
    <row r="2169" spans="4:7">
      <c r="D2169" s="8"/>
      <c r="E2169" t="str">
        <f t="shared" si="66"/>
        <v/>
      </c>
      <c r="F2169" t="str">
        <f t="shared" si="67"/>
        <v/>
      </c>
      <c r="G2169" t="str">
        <f>IF(E2169="","",IF(COUNTIF('DATA QCEW'!$A$2:$A$20,E2169)&gt;0,"19-SECTOR","DETAIL / OTHER"))</f>
        <v/>
      </c>
    </row>
    <row r="2170" spans="4:7">
      <c r="D2170" s="8"/>
      <c r="E2170" t="str">
        <f t="shared" si="66"/>
        <v/>
      </c>
      <c r="F2170" t="str">
        <f t="shared" si="67"/>
        <v/>
      </c>
      <c r="G2170" t="str">
        <f>IF(E2170="","",IF(COUNTIF('DATA QCEW'!$A$2:$A$20,E2170)&gt;0,"19-SECTOR","DETAIL / OTHER"))</f>
        <v/>
      </c>
    </row>
    <row r="2171" spans="4:7">
      <c r="D2171" s="8"/>
      <c r="E2171" t="str">
        <f t="shared" si="66"/>
        <v/>
      </c>
      <c r="F2171" t="str">
        <f t="shared" si="67"/>
        <v/>
      </c>
      <c r="G2171" t="str">
        <f>IF(E2171="","",IF(COUNTIF('DATA QCEW'!$A$2:$A$20,E2171)&gt;0,"19-SECTOR","DETAIL / OTHER"))</f>
        <v/>
      </c>
    </row>
    <row r="2172" spans="4:7">
      <c r="D2172" s="8"/>
      <c r="E2172" t="str">
        <f t="shared" si="66"/>
        <v/>
      </c>
      <c r="F2172" t="str">
        <f t="shared" si="67"/>
        <v/>
      </c>
      <c r="G2172" t="str">
        <f>IF(E2172="","",IF(COUNTIF('DATA QCEW'!$A$2:$A$20,E2172)&gt;0,"19-SECTOR","DETAIL / OTHER"))</f>
        <v/>
      </c>
    </row>
    <row r="2173" spans="4:7">
      <c r="D2173" s="8"/>
      <c r="E2173" t="str">
        <f t="shared" si="66"/>
        <v/>
      </c>
      <c r="F2173" t="str">
        <f t="shared" si="67"/>
        <v/>
      </c>
      <c r="G2173" t="str">
        <f>IF(E2173="","",IF(COUNTIF('DATA QCEW'!$A$2:$A$20,E2173)&gt;0,"19-SECTOR","DETAIL / OTHER"))</f>
        <v/>
      </c>
    </row>
    <row r="2174" spans="4:7">
      <c r="D2174" s="8"/>
      <c r="E2174" t="str">
        <f t="shared" si="66"/>
        <v/>
      </c>
      <c r="F2174" t="str">
        <f t="shared" si="67"/>
        <v/>
      </c>
      <c r="G2174" t="str">
        <f>IF(E2174="","",IF(COUNTIF('DATA QCEW'!$A$2:$A$20,E2174)&gt;0,"19-SECTOR","DETAIL / OTHER"))</f>
        <v/>
      </c>
    </row>
    <row r="2175" spans="4:7">
      <c r="D2175" s="8"/>
      <c r="E2175" t="str">
        <f t="shared" si="66"/>
        <v/>
      </c>
      <c r="F2175" t="str">
        <f t="shared" si="67"/>
        <v/>
      </c>
      <c r="G2175" t="str">
        <f>IF(E2175="","",IF(COUNTIF('DATA QCEW'!$A$2:$A$20,E2175)&gt;0,"19-SECTOR","DETAIL / OTHER"))</f>
        <v/>
      </c>
    </row>
    <row r="2176" spans="4:7">
      <c r="D2176" s="8"/>
      <c r="E2176" t="str">
        <f t="shared" si="66"/>
        <v/>
      </c>
      <c r="F2176" t="str">
        <f t="shared" si="67"/>
        <v/>
      </c>
      <c r="G2176" t="str">
        <f>IF(E2176="","",IF(COUNTIF('DATA QCEW'!$A$2:$A$20,E2176)&gt;0,"19-SECTOR","DETAIL / OTHER"))</f>
        <v/>
      </c>
    </row>
    <row r="2177" spans="4:7">
      <c r="D2177" s="8"/>
      <c r="E2177" t="str">
        <f t="shared" si="66"/>
        <v/>
      </c>
      <c r="F2177" t="str">
        <f t="shared" si="67"/>
        <v/>
      </c>
      <c r="G2177" t="str">
        <f>IF(E2177="","",IF(COUNTIF('DATA QCEW'!$A$2:$A$20,E2177)&gt;0,"19-SECTOR","DETAIL / OTHER"))</f>
        <v/>
      </c>
    </row>
    <row r="2178" spans="4:7">
      <c r="D2178" s="8"/>
      <c r="E2178" t="str">
        <f t="shared" ref="E2178:E2241" si="68">IF(LEFT(TRIM(A2178),6)="NAICS ",IFERROR(MID(TRIM(A2178),7,FIND(" ",TRIM(A2178)&amp;" ",7)-7),""),"")</f>
        <v/>
      </c>
      <c r="F2178" t="str">
        <f t="shared" ref="F2178:F2241" si="69">IF(E2178="","",TRIM(MID(TRIM(A2178),FIND(" ",TRIM(A2178)&amp;" ",7)+1,255)))</f>
        <v/>
      </c>
      <c r="G2178" t="str">
        <f>IF(E2178="","",IF(COUNTIF('DATA QCEW'!$A$2:$A$20,E2178)&gt;0,"19-SECTOR","DETAIL / OTHER"))</f>
        <v/>
      </c>
    </row>
    <row r="2179" spans="4:7">
      <c r="D2179" s="8"/>
      <c r="E2179" t="str">
        <f t="shared" si="68"/>
        <v/>
      </c>
      <c r="F2179" t="str">
        <f t="shared" si="69"/>
        <v/>
      </c>
      <c r="G2179" t="str">
        <f>IF(E2179="","",IF(COUNTIF('DATA QCEW'!$A$2:$A$20,E2179)&gt;0,"19-SECTOR","DETAIL / OTHER"))</f>
        <v/>
      </c>
    </row>
    <row r="2180" spans="4:7">
      <c r="D2180" s="8"/>
      <c r="E2180" t="str">
        <f t="shared" si="68"/>
        <v/>
      </c>
      <c r="F2180" t="str">
        <f t="shared" si="69"/>
        <v/>
      </c>
      <c r="G2180" t="str">
        <f>IF(E2180="","",IF(COUNTIF('DATA QCEW'!$A$2:$A$20,E2180)&gt;0,"19-SECTOR","DETAIL / OTHER"))</f>
        <v/>
      </c>
    </row>
    <row r="2181" spans="4:7">
      <c r="D2181" s="8"/>
      <c r="E2181" t="str">
        <f t="shared" si="68"/>
        <v/>
      </c>
      <c r="F2181" t="str">
        <f t="shared" si="69"/>
        <v/>
      </c>
      <c r="G2181" t="str">
        <f>IF(E2181="","",IF(COUNTIF('DATA QCEW'!$A$2:$A$20,E2181)&gt;0,"19-SECTOR","DETAIL / OTHER"))</f>
        <v/>
      </c>
    </row>
    <row r="2182" spans="4:7">
      <c r="D2182" s="8"/>
      <c r="E2182" t="str">
        <f t="shared" si="68"/>
        <v/>
      </c>
      <c r="F2182" t="str">
        <f t="shared" si="69"/>
        <v/>
      </c>
      <c r="G2182" t="str">
        <f>IF(E2182="","",IF(COUNTIF('DATA QCEW'!$A$2:$A$20,E2182)&gt;0,"19-SECTOR","DETAIL / OTHER"))</f>
        <v/>
      </c>
    </row>
    <row r="2183" spans="4:7">
      <c r="D2183" s="8"/>
      <c r="E2183" t="str">
        <f t="shared" si="68"/>
        <v/>
      </c>
      <c r="F2183" t="str">
        <f t="shared" si="69"/>
        <v/>
      </c>
      <c r="G2183" t="str">
        <f>IF(E2183="","",IF(COUNTIF('DATA QCEW'!$A$2:$A$20,E2183)&gt;0,"19-SECTOR","DETAIL / OTHER"))</f>
        <v/>
      </c>
    </row>
    <row r="2184" spans="4:7">
      <c r="D2184" s="8"/>
      <c r="E2184" t="str">
        <f t="shared" si="68"/>
        <v/>
      </c>
      <c r="F2184" t="str">
        <f t="shared" si="69"/>
        <v/>
      </c>
      <c r="G2184" t="str">
        <f>IF(E2184="","",IF(COUNTIF('DATA QCEW'!$A$2:$A$20,E2184)&gt;0,"19-SECTOR","DETAIL / OTHER"))</f>
        <v/>
      </c>
    </row>
    <row r="2185" spans="4:7">
      <c r="D2185" s="8"/>
      <c r="E2185" t="str">
        <f t="shared" si="68"/>
        <v/>
      </c>
      <c r="F2185" t="str">
        <f t="shared" si="69"/>
        <v/>
      </c>
      <c r="G2185" t="str">
        <f>IF(E2185="","",IF(COUNTIF('DATA QCEW'!$A$2:$A$20,E2185)&gt;0,"19-SECTOR","DETAIL / OTHER"))</f>
        <v/>
      </c>
    </row>
    <row r="2186" spans="4:7">
      <c r="D2186" s="8"/>
      <c r="E2186" t="str">
        <f t="shared" si="68"/>
        <v/>
      </c>
      <c r="F2186" t="str">
        <f t="shared" si="69"/>
        <v/>
      </c>
      <c r="G2186" t="str">
        <f>IF(E2186="","",IF(COUNTIF('DATA QCEW'!$A$2:$A$20,E2186)&gt;0,"19-SECTOR","DETAIL / OTHER"))</f>
        <v/>
      </c>
    </row>
    <row r="2187" spans="4:7">
      <c r="D2187" s="8"/>
      <c r="E2187" t="str">
        <f t="shared" si="68"/>
        <v/>
      </c>
      <c r="F2187" t="str">
        <f t="shared" si="69"/>
        <v/>
      </c>
      <c r="G2187" t="str">
        <f>IF(E2187="","",IF(COUNTIF('DATA QCEW'!$A$2:$A$20,E2187)&gt;0,"19-SECTOR","DETAIL / OTHER"))</f>
        <v/>
      </c>
    </row>
    <row r="2188" spans="4:7">
      <c r="D2188" s="8"/>
      <c r="E2188" t="str">
        <f t="shared" si="68"/>
        <v/>
      </c>
      <c r="F2188" t="str">
        <f t="shared" si="69"/>
        <v/>
      </c>
      <c r="G2188" t="str">
        <f>IF(E2188="","",IF(COUNTIF('DATA QCEW'!$A$2:$A$20,E2188)&gt;0,"19-SECTOR","DETAIL / OTHER"))</f>
        <v/>
      </c>
    </row>
    <row r="2189" spans="4:7">
      <c r="D2189" s="8"/>
      <c r="E2189" t="str">
        <f t="shared" si="68"/>
        <v/>
      </c>
      <c r="F2189" t="str">
        <f t="shared" si="69"/>
        <v/>
      </c>
      <c r="G2189" t="str">
        <f>IF(E2189="","",IF(COUNTIF('DATA QCEW'!$A$2:$A$20,E2189)&gt;0,"19-SECTOR","DETAIL / OTHER"))</f>
        <v/>
      </c>
    </row>
    <row r="2190" spans="4:7">
      <c r="D2190" s="8"/>
      <c r="E2190" t="str">
        <f t="shared" si="68"/>
        <v/>
      </c>
      <c r="F2190" t="str">
        <f t="shared" si="69"/>
        <v/>
      </c>
      <c r="G2190" t="str">
        <f>IF(E2190="","",IF(COUNTIF('DATA QCEW'!$A$2:$A$20,E2190)&gt;0,"19-SECTOR","DETAIL / OTHER"))</f>
        <v/>
      </c>
    </row>
    <row r="2191" spans="4:7">
      <c r="D2191" s="8"/>
      <c r="E2191" t="str">
        <f t="shared" si="68"/>
        <v/>
      </c>
      <c r="F2191" t="str">
        <f t="shared" si="69"/>
        <v/>
      </c>
      <c r="G2191" t="str">
        <f>IF(E2191="","",IF(COUNTIF('DATA QCEW'!$A$2:$A$20,E2191)&gt;0,"19-SECTOR","DETAIL / OTHER"))</f>
        <v/>
      </c>
    </row>
    <row r="2192" spans="4:7">
      <c r="D2192" s="8"/>
      <c r="E2192" t="str">
        <f t="shared" si="68"/>
        <v/>
      </c>
      <c r="F2192" t="str">
        <f t="shared" si="69"/>
        <v/>
      </c>
      <c r="G2192" t="str">
        <f>IF(E2192="","",IF(COUNTIF('DATA QCEW'!$A$2:$A$20,E2192)&gt;0,"19-SECTOR","DETAIL / OTHER"))</f>
        <v/>
      </c>
    </row>
    <row r="2193" spans="4:7">
      <c r="D2193" s="8"/>
      <c r="E2193" t="str">
        <f t="shared" si="68"/>
        <v/>
      </c>
      <c r="F2193" t="str">
        <f t="shared" si="69"/>
        <v/>
      </c>
      <c r="G2193" t="str">
        <f>IF(E2193="","",IF(COUNTIF('DATA QCEW'!$A$2:$A$20,E2193)&gt;0,"19-SECTOR","DETAIL / OTHER"))</f>
        <v/>
      </c>
    </row>
    <row r="2194" spans="4:7">
      <c r="D2194" s="8"/>
      <c r="E2194" t="str">
        <f t="shared" si="68"/>
        <v/>
      </c>
      <c r="F2194" t="str">
        <f t="shared" si="69"/>
        <v/>
      </c>
      <c r="G2194" t="str">
        <f>IF(E2194="","",IF(COUNTIF('DATA QCEW'!$A$2:$A$20,E2194)&gt;0,"19-SECTOR","DETAIL / OTHER"))</f>
        <v/>
      </c>
    </row>
    <row r="2195" spans="4:7">
      <c r="D2195" s="8"/>
      <c r="E2195" t="str">
        <f t="shared" si="68"/>
        <v/>
      </c>
      <c r="F2195" t="str">
        <f t="shared" si="69"/>
        <v/>
      </c>
      <c r="G2195" t="str">
        <f>IF(E2195="","",IF(COUNTIF('DATA QCEW'!$A$2:$A$20,E2195)&gt;0,"19-SECTOR","DETAIL / OTHER"))</f>
        <v/>
      </c>
    </row>
    <row r="2196" spans="4:7">
      <c r="D2196" s="8"/>
      <c r="E2196" t="str">
        <f t="shared" si="68"/>
        <v/>
      </c>
      <c r="F2196" t="str">
        <f t="shared" si="69"/>
        <v/>
      </c>
      <c r="G2196" t="str">
        <f>IF(E2196="","",IF(COUNTIF('DATA QCEW'!$A$2:$A$20,E2196)&gt;0,"19-SECTOR","DETAIL / OTHER"))</f>
        <v/>
      </c>
    </row>
    <row r="2197" spans="4:7">
      <c r="D2197" s="8"/>
      <c r="E2197" t="str">
        <f t="shared" si="68"/>
        <v/>
      </c>
      <c r="F2197" t="str">
        <f t="shared" si="69"/>
        <v/>
      </c>
      <c r="G2197" t="str">
        <f>IF(E2197="","",IF(COUNTIF('DATA QCEW'!$A$2:$A$20,E2197)&gt;0,"19-SECTOR","DETAIL / OTHER"))</f>
        <v/>
      </c>
    </row>
    <row r="2198" spans="4:7">
      <c r="D2198" s="8"/>
      <c r="E2198" t="str">
        <f t="shared" si="68"/>
        <v/>
      </c>
      <c r="F2198" t="str">
        <f t="shared" si="69"/>
        <v/>
      </c>
      <c r="G2198" t="str">
        <f>IF(E2198="","",IF(COUNTIF('DATA QCEW'!$A$2:$A$20,E2198)&gt;0,"19-SECTOR","DETAIL / OTHER"))</f>
        <v/>
      </c>
    </row>
    <row r="2199" spans="4:7">
      <c r="D2199" s="8"/>
      <c r="E2199" t="str">
        <f t="shared" si="68"/>
        <v/>
      </c>
      <c r="F2199" t="str">
        <f t="shared" si="69"/>
        <v/>
      </c>
      <c r="G2199" t="str">
        <f>IF(E2199="","",IF(COUNTIF('DATA QCEW'!$A$2:$A$20,E2199)&gt;0,"19-SECTOR","DETAIL / OTHER"))</f>
        <v/>
      </c>
    </row>
    <row r="2200" spans="4:7">
      <c r="D2200" s="8"/>
      <c r="E2200" t="str">
        <f t="shared" si="68"/>
        <v/>
      </c>
      <c r="F2200" t="str">
        <f t="shared" si="69"/>
        <v/>
      </c>
      <c r="G2200" t="str">
        <f>IF(E2200="","",IF(COUNTIF('DATA QCEW'!$A$2:$A$20,E2200)&gt;0,"19-SECTOR","DETAIL / OTHER"))</f>
        <v/>
      </c>
    </row>
    <row r="2201" spans="4:7">
      <c r="D2201" s="8"/>
      <c r="E2201" t="str">
        <f t="shared" si="68"/>
        <v/>
      </c>
      <c r="F2201" t="str">
        <f t="shared" si="69"/>
        <v/>
      </c>
      <c r="G2201" t="str">
        <f>IF(E2201="","",IF(COUNTIF('DATA QCEW'!$A$2:$A$20,E2201)&gt;0,"19-SECTOR","DETAIL / OTHER"))</f>
        <v/>
      </c>
    </row>
    <row r="2202" spans="4:7">
      <c r="D2202" s="8"/>
      <c r="E2202" t="str">
        <f t="shared" si="68"/>
        <v/>
      </c>
      <c r="F2202" t="str">
        <f t="shared" si="69"/>
        <v/>
      </c>
      <c r="G2202" t="str">
        <f>IF(E2202="","",IF(COUNTIF('DATA QCEW'!$A$2:$A$20,E2202)&gt;0,"19-SECTOR","DETAIL / OTHER"))</f>
        <v/>
      </c>
    </row>
    <row r="2203" spans="4:7">
      <c r="D2203" s="8"/>
      <c r="E2203" t="str">
        <f t="shared" si="68"/>
        <v/>
      </c>
      <c r="F2203" t="str">
        <f t="shared" si="69"/>
        <v/>
      </c>
      <c r="G2203" t="str">
        <f>IF(E2203="","",IF(COUNTIF('DATA QCEW'!$A$2:$A$20,E2203)&gt;0,"19-SECTOR","DETAIL / OTHER"))</f>
        <v/>
      </c>
    </row>
    <row r="2204" spans="4:7">
      <c r="D2204" s="8"/>
      <c r="E2204" t="str">
        <f t="shared" si="68"/>
        <v/>
      </c>
      <c r="F2204" t="str">
        <f t="shared" si="69"/>
        <v/>
      </c>
      <c r="G2204" t="str">
        <f>IF(E2204="","",IF(COUNTIF('DATA QCEW'!$A$2:$A$20,E2204)&gt;0,"19-SECTOR","DETAIL / OTHER"))</f>
        <v/>
      </c>
    </row>
    <row r="2205" spans="4:7">
      <c r="D2205" s="8"/>
      <c r="E2205" t="str">
        <f t="shared" si="68"/>
        <v/>
      </c>
      <c r="F2205" t="str">
        <f t="shared" si="69"/>
        <v/>
      </c>
      <c r="G2205" t="str">
        <f>IF(E2205="","",IF(COUNTIF('DATA QCEW'!$A$2:$A$20,E2205)&gt;0,"19-SECTOR","DETAIL / OTHER"))</f>
        <v/>
      </c>
    </row>
    <row r="2206" spans="4:7">
      <c r="D2206" s="8"/>
      <c r="E2206" t="str">
        <f t="shared" si="68"/>
        <v/>
      </c>
      <c r="F2206" t="str">
        <f t="shared" si="69"/>
        <v/>
      </c>
      <c r="G2206" t="str">
        <f>IF(E2206="","",IF(COUNTIF('DATA QCEW'!$A$2:$A$20,E2206)&gt;0,"19-SECTOR","DETAIL / OTHER"))</f>
        <v/>
      </c>
    </row>
    <row r="2207" spans="4:7">
      <c r="D2207" s="8"/>
      <c r="E2207" t="str">
        <f t="shared" si="68"/>
        <v/>
      </c>
      <c r="F2207" t="str">
        <f t="shared" si="69"/>
        <v/>
      </c>
      <c r="G2207" t="str">
        <f>IF(E2207="","",IF(COUNTIF('DATA QCEW'!$A$2:$A$20,E2207)&gt;0,"19-SECTOR","DETAIL / OTHER"))</f>
        <v/>
      </c>
    </row>
    <row r="2208" spans="4:7">
      <c r="D2208" s="8"/>
      <c r="E2208" t="str">
        <f t="shared" si="68"/>
        <v/>
      </c>
      <c r="F2208" t="str">
        <f t="shared" si="69"/>
        <v/>
      </c>
      <c r="G2208" t="str">
        <f>IF(E2208="","",IF(COUNTIF('DATA QCEW'!$A$2:$A$20,E2208)&gt;0,"19-SECTOR","DETAIL / OTHER"))</f>
        <v/>
      </c>
    </row>
    <row r="2209" spans="4:7">
      <c r="D2209" s="8"/>
      <c r="E2209" t="str">
        <f t="shared" si="68"/>
        <v/>
      </c>
      <c r="F2209" t="str">
        <f t="shared" si="69"/>
        <v/>
      </c>
      <c r="G2209" t="str">
        <f>IF(E2209="","",IF(COUNTIF('DATA QCEW'!$A$2:$A$20,E2209)&gt;0,"19-SECTOR","DETAIL / OTHER"))</f>
        <v/>
      </c>
    </row>
    <row r="2210" spans="4:7">
      <c r="D2210" s="8"/>
      <c r="E2210" t="str">
        <f t="shared" si="68"/>
        <v/>
      </c>
      <c r="F2210" t="str">
        <f t="shared" si="69"/>
        <v/>
      </c>
      <c r="G2210" t="str">
        <f>IF(E2210="","",IF(COUNTIF('DATA QCEW'!$A$2:$A$20,E2210)&gt;0,"19-SECTOR","DETAIL / OTHER"))</f>
        <v/>
      </c>
    </row>
    <row r="2211" spans="4:7">
      <c r="D2211" s="8"/>
      <c r="E2211" t="str">
        <f t="shared" si="68"/>
        <v/>
      </c>
      <c r="F2211" t="str">
        <f t="shared" si="69"/>
        <v/>
      </c>
      <c r="G2211" t="str">
        <f>IF(E2211="","",IF(COUNTIF('DATA QCEW'!$A$2:$A$20,E2211)&gt;0,"19-SECTOR","DETAIL / OTHER"))</f>
        <v/>
      </c>
    </row>
    <row r="2212" spans="4:7">
      <c r="D2212" s="8"/>
      <c r="E2212" t="str">
        <f t="shared" si="68"/>
        <v/>
      </c>
      <c r="F2212" t="str">
        <f t="shared" si="69"/>
        <v/>
      </c>
      <c r="G2212" t="str">
        <f>IF(E2212="","",IF(COUNTIF('DATA QCEW'!$A$2:$A$20,E2212)&gt;0,"19-SECTOR","DETAIL / OTHER"))</f>
        <v/>
      </c>
    </row>
    <row r="2213" spans="4:7">
      <c r="D2213" s="8"/>
      <c r="E2213" t="str">
        <f t="shared" si="68"/>
        <v/>
      </c>
      <c r="F2213" t="str">
        <f t="shared" si="69"/>
        <v/>
      </c>
      <c r="G2213" t="str">
        <f>IF(E2213="","",IF(COUNTIF('DATA QCEW'!$A$2:$A$20,E2213)&gt;0,"19-SECTOR","DETAIL / OTHER"))</f>
        <v/>
      </c>
    </row>
    <row r="2214" spans="4:7">
      <c r="D2214" s="8"/>
      <c r="E2214" t="str">
        <f t="shared" si="68"/>
        <v/>
      </c>
      <c r="F2214" t="str">
        <f t="shared" si="69"/>
        <v/>
      </c>
      <c r="G2214" t="str">
        <f>IF(E2214="","",IF(COUNTIF('DATA QCEW'!$A$2:$A$20,E2214)&gt;0,"19-SECTOR","DETAIL / OTHER"))</f>
        <v/>
      </c>
    </row>
    <row r="2215" spans="4:7">
      <c r="D2215" s="8"/>
      <c r="E2215" t="str">
        <f t="shared" si="68"/>
        <v/>
      </c>
      <c r="F2215" t="str">
        <f t="shared" si="69"/>
        <v/>
      </c>
      <c r="G2215" t="str">
        <f>IF(E2215="","",IF(COUNTIF('DATA QCEW'!$A$2:$A$20,E2215)&gt;0,"19-SECTOR","DETAIL / OTHER"))</f>
        <v/>
      </c>
    </row>
    <row r="2216" spans="4:7">
      <c r="D2216" s="8"/>
      <c r="E2216" t="str">
        <f t="shared" si="68"/>
        <v/>
      </c>
      <c r="F2216" t="str">
        <f t="shared" si="69"/>
        <v/>
      </c>
      <c r="G2216" t="str">
        <f>IF(E2216="","",IF(COUNTIF('DATA QCEW'!$A$2:$A$20,E2216)&gt;0,"19-SECTOR","DETAIL / OTHER"))</f>
        <v/>
      </c>
    </row>
    <row r="2217" spans="4:7">
      <c r="D2217" s="8"/>
      <c r="E2217" t="str">
        <f t="shared" si="68"/>
        <v/>
      </c>
      <c r="F2217" t="str">
        <f t="shared" si="69"/>
        <v/>
      </c>
      <c r="G2217" t="str">
        <f>IF(E2217="","",IF(COUNTIF('DATA QCEW'!$A$2:$A$20,E2217)&gt;0,"19-SECTOR","DETAIL / OTHER"))</f>
        <v/>
      </c>
    </row>
    <row r="2218" spans="4:7">
      <c r="D2218" s="8"/>
      <c r="E2218" t="str">
        <f t="shared" si="68"/>
        <v/>
      </c>
      <c r="F2218" t="str">
        <f t="shared" si="69"/>
        <v/>
      </c>
      <c r="G2218" t="str">
        <f>IF(E2218="","",IF(COUNTIF('DATA QCEW'!$A$2:$A$20,E2218)&gt;0,"19-SECTOR","DETAIL / OTHER"))</f>
        <v/>
      </c>
    </row>
    <row r="2219" spans="4:7">
      <c r="D2219" s="8"/>
      <c r="E2219" t="str">
        <f t="shared" si="68"/>
        <v/>
      </c>
      <c r="F2219" t="str">
        <f t="shared" si="69"/>
        <v/>
      </c>
      <c r="G2219" t="str">
        <f>IF(E2219="","",IF(COUNTIF('DATA QCEW'!$A$2:$A$20,E2219)&gt;0,"19-SECTOR","DETAIL / OTHER"))</f>
        <v/>
      </c>
    </row>
    <row r="2220" spans="4:7">
      <c r="D2220" s="8"/>
      <c r="E2220" t="str">
        <f t="shared" si="68"/>
        <v/>
      </c>
      <c r="F2220" t="str">
        <f t="shared" si="69"/>
        <v/>
      </c>
      <c r="G2220" t="str">
        <f>IF(E2220="","",IF(COUNTIF('DATA QCEW'!$A$2:$A$20,E2220)&gt;0,"19-SECTOR","DETAIL / OTHER"))</f>
        <v/>
      </c>
    </row>
    <row r="2221" spans="4:7">
      <c r="D2221" s="8"/>
      <c r="E2221" t="str">
        <f t="shared" si="68"/>
        <v/>
      </c>
      <c r="F2221" t="str">
        <f t="shared" si="69"/>
        <v/>
      </c>
      <c r="G2221" t="str">
        <f>IF(E2221="","",IF(COUNTIF('DATA QCEW'!$A$2:$A$20,E2221)&gt;0,"19-SECTOR","DETAIL / OTHER"))</f>
        <v/>
      </c>
    </row>
    <row r="2222" spans="4:7">
      <c r="D2222" s="8"/>
      <c r="E2222" t="str">
        <f t="shared" si="68"/>
        <v/>
      </c>
      <c r="F2222" t="str">
        <f t="shared" si="69"/>
        <v/>
      </c>
      <c r="G2222" t="str">
        <f>IF(E2222="","",IF(COUNTIF('DATA QCEW'!$A$2:$A$20,E2222)&gt;0,"19-SECTOR","DETAIL / OTHER"))</f>
        <v/>
      </c>
    </row>
    <row r="2223" spans="4:7">
      <c r="D2223" s="8"/>
      <c r="E2223" t="str">
        <f t="shared" si="68"/>
        <v/>
      </c>
      <c r="F2223" t="str">
        <f t="shared" si="69"/>
        <v/>
      </c>
      <c r="G2223" t="str">
        <f>IF(E2223="","",IF(COUNTIF('DATA QCEW'!$A$2:$A$20,E2223)&gt;0,"19-SECTOR","DETAIL / OTHER"))</f>
        <v/>
      </c>
    </row>
    <row r="2224" spans="4:7">
      <c r="D2224" s="8"/>
      <c r="E2224" t="str">
        <f t="shared" si="68"/>
        <v/>
      </c>
      <c r="F2224" t="str">
        <f t="shared" si="69"/>
        <v/>
      </c>
      <c r="G2224" t="str">
        <f>IF(E2224="","",IF(COUNTIF('DATA QCEW'!$A$2:$A$20,E2224)&gt;0,"19-SECTOR","DETAIL / OTHER"))</f>
        <v/>
      </c>
    </row>
    <row r="2225" spans="4:7">
      <c r="D2225" s="8"/>
      <c r="E2225" t="str">
        <f t="shared" si="68"/>
        <v/>
      </c>
      <c r="F2225" t="str">
        <f t="shared" si="69"/>
        <v/>
      </c>
      <c r="G2225" t="str">
        <f>IF(E2225="","",IF(COUNTIF('DATA QCEW'!$A$2:$A$20,E2225)&gt;0,"19-SECTOR","DETAIL / OTHER"))</f>
        <v/>
      </c>
    </row>
    <row r="2226" spans="4:7">
      <c r="D2226" s="8"/>
      <c r="E2226" t="str">
        <f t="shared" si="68"/>
        <v/>
      </c>
      <c r="F2226" t="str">
        <f t="shared" si="69"/>
        <v/>
      </c>
      <c r="G2226" t="str">
        <f>IF(E2226="","",IF(COUNTIF('DATA QCEW'!$A$2:$A$20,E2226)&gt;0,"19-SECTOR","DETAIL / OTHER"))</f>
        <v/>
      </c>
    </row>
    <row r="2227" spans="4:7">
      <c r="D2227" s="8"/>
      <c r="E2227" t="str">
        <f t="shared" si="68"/>
        <v/>
      </c>
      <c r="F2227" t="str">
        <f t="shared" si="69"/>
        <v/>
      </c>
      <c r="G2227" t="str">
        <f>IF(E2227="","",IF(COUNTIF('DATA QCEW'!$A$2:$A$20,E2227)&gt;0,"19-SECTOR","DETAIL / OTHER"))</f>
        <v/>
      </c>
    </row>
    <row r="2228" spans="4:7">
      <c r="D2228" s="8"/>
      <c r="E2228" t="str">
        <f t="shared" si="68"/>
        <v/>
      </c>
      <c r="F2228" t="str">
        <f t="shared" si="69"/>
        <v/>
      </c>
      <c r="G2228" t="str">
        <f>IF(E2228="","",IF(COUNTIF('DATA QCEW'!$A$2:$A$20,E2228)&gt;0,"19-SECTOR","DETAIL / OTHER"))</f>
        <v/>
      </c>
    </row>
    <row r="2229" spans="4:7">
      <c r="D2229" s="8"/>
      <c r="E2229" t="str">
        <f t="shared" si="68"/>
        <v/>
      </c>
      <c r="F2229" t="str">
        <f t="shared" si="69"/>
        <v/>
      </c>
      <c r="G2229" t="str">
        <f>IF(E2229="","",IF(COUNTIF('DATA QCEW'!$A$2:$A$20,E2229)&gt;0,"19-SECTOR","DETAIL / OTHER"))</f>
        <v/>
      </c>
    </row>
    <row r="2230" spans="4:7">
      <c r="D2230" s="8"/>
      <c r="E2230" t="str">
        <f t="shared" si="68"/>
        <v/>
      </c>
      <c r="F2230" t="str">
        <f t="shared" si="69"/>
        <v/>
      </c>
      <c r="G2230" t="str">
        <f>IF(E2230="","",IF(COUNTIF('DATA QCEW'!$A$2:$A$20,E2230)&gt;0,"19-SECTOR","DETAIL / OTHER"))</f>
        <v/>
      </c>
    </row>
    <row r="2231" spans="4:7">
      <c r="D2231" s="8"/>
      <c r="E2231" t="str">
        <f t="shared" si="68"/>
        <v/>
      </c>
      <c r="F2231" t="str">
        <f t="shared" si="69"/>
        <v/>
      </c>
      <c r="G2231" t="str">
        <f>IF(E2231="","",IF(COUNTIF('DATA QCEW'!$A$2:$A$20,E2231)&gt;0,"19-SECTOR","DETAIL / OTHER"))</f>
        <v/>
      </c>
    </row>
    <row r="2232" spans="4:7">
      <c r="D2232" s="8"/>
      <c r="E2232" t="str">
        <f t="shared" si="68"/>
        <v/>
      </c>
      <c r="F2232" t="str">
        <f t="shared" si="69"/>
        <v/>
      </c>
      <c r="G2232" t="str">
        <f>IF(E2232="","",IF(COUNTIF('DATA QCEW'!$A$2:$A$20,E2232)&gt;0,"19-SECTOR","DETAIL / OTHER"))</f>
        <v/>
      </c>
    </row>
    <row r="2233" spans="4:7">
      <c r="D2233" s="8"/>
      <c r="E2233" t="str">
        <f t="shared" si="68"/>
        <v/>
      </c>
      <c r="F2233" t="str">
        <f t="shared" si="69"/>
        <v/>
      </c>
      <c r="G2233" t="str">
        <f>IF(E2233="","",IF(COUNTIF('DATA QCEW'!$A$2:$A$20,E2233)&gt;0,"19-SECTOR","DETAIL / OTHER"))</f>
        <v/>
      </c>
    </row>
    <row r="2234" spans="4:7">
      <c r="D2234" s="8"/>
      <c r="E2234" t="str">
        <f t="shared" si="68"/>
        <v/>
      </c>
      <c r="F2234" t="str">
        <f t="shared" si="69"/>
        <v/>
      </c>
      <c r="G2234" t="str">
        <f>IF(E2234="","",IF(COUNTIF('DATA QCEW'!$A$2:$A$20,E2234)&gt;0,"19-SECTOR","DETAIL / OTHER"))</f>
        <v/>
      </c>
    </row>
    <row r="2235" spans="4:7">
      <c r="D2235" s="8"/>
      <c r="E2235" t="str">
        <f t="shared" si="68"/>
        <v/>
      </c>
      <c r="F2235" t="str">
        <f t="shared" si="69"/>
        <v/>
      </c>
      <c r="G2235" t="str">
        <f>IF(E2235="","",IF(COUNTIF('DATA QCEW'!$A$2:$A$20,E2235)&gt;0,"19-SECTOR","DETAIL / OTHER"))</f>
        <v/>
      </c>
    </row>
    <row r="2236" spans="4:7">
      <c r="D2236" s="8"/>
      <c r="E2236" t="str">
        <f t="shared" si="68"/>
        <v/>
      </c>
      <c r="F2236" t="str">
        <f t="shared" si="69"/>
        <v/>
      </c>
      <c r="G2236" t="str">
        <f>IF(E2236="","",IF(COUNTIF('DATA QCEW'!$A$2:$A$20,E2236)&gt;0,"19-SECTOR","DETAIL / OTHER"))</f>
        <v/>
      </c>
    </row>
    <row r="2237" spans="4:7">
      <c r="D2237" s="8"/>
      <c r="E2237" t="str">
        <f t="shared" si="68"/>
        <v/>
      </c>
      <c r="F2237" t="str">
        <f t="shared" si="69"/>
        <v/>
      </c>
      <c r="G2237" t="str">
        <f>IF(E2237="","",IF(COUNTIF('DATA QCEW'!$A$2:$A$20,E2237)&gt;0,"19-SECTOR","DETAIL / OTHER"))</f>
        <v/>
      </c>
    </row>
    <row r="2238" spans="4:7">
      <c r="D2238" s="8"/>
      <c r="E2238" t="str">
        <f t="shared" si="68"/>
        <v/>
      </c>
      <c r="F2238" t="str">
        <f t="shared" si="69"/>
        <v/>
      </c>
      <c r="G2238" t="str">
        <f>IF(E2238="","",IF(COUNTIF('DATA QCEW'!$A$2:$A$20,E2238)&gt;0,"19-SECTOR","DETAIL / OTHER"))</f>
        <v/>
      </c>
    </row>
    <row r="2239" spans="4:7">
      <c r="D2239" s="8"/>
      <c r="E2239" t="str">
        <f t="shared" si="68"/>
        <v/>
      </c>
      <c r="F2239" t="str">
        <f t="shared" si="69"/>
        <v/>
      </c>
      <c r="G2239" t="str">
        <f>IF(E2239="","",IF(COUNTIF('DATA QCEW'!$A$2:$A$20,E2239)&gt;0,"19-SECTOR","DETAIL / OTHER"))</f>
        <v/>
      </c>
    </row>
    <row r="2240" spans="4:7">
      <c r="D2240" s="8"/>
      <c r="E2240" t="str">
        <f t="shared" si="68"/>
        <v/>
      </c>
      <c r="F2240" t="str">
        <f t="shared" si="69"/>
        <v/>
      </c>
      <c r="G2240" t="str">
        <f>IF(E2240="","",IF(COUNTIF('DATA QCEW'!$A$2:$A$20,E2240)&gt;0,"19-SECTOR","DETAIL / OTHER"))</f>
        <v/>
      </c>
    </row>
    <row r="2241" spans="4:7">
      <c r="D2241" s="8"/>
      <c r="E2241" t="str">
        <f t="shared" si="68"/>
        <v/>
      </c>
      <c r="F2241" t="str">
        <f t="shared" si="69"/>
        <v/>
      </c>
      <c r="G2241" t="str">
        <f>IF(E2241="","",IF(COUNTIF('DATA QCEW'!$A$2:$A$20,E2241)&gt;0,"19-SECTOR","DETAIL / OTHER"))</f>
        <v/>
      </c>
    </row>
    <row r="2242" spans="4:7">
      <c r="D2242" s="8"/>
      <c r="E2242" t="str">
        <f t="shared" ref="E2242:E2305" si="70">IF(LEFT(TRIM(A2242),6)="NAICS ",IFERROR(MID(TRIM(A2242),7,FIND(" ",TRIM(A2242)&amp;" ",7)-7),""),"")</f>
        <v/>
      </c>
      <c r="F2242" t="str">
        <f t="shared" ref="F2242:F2305" si="71">IF(E2242="","",TRIM(MID(TRIM(A2242),FIND(" ",TRIM(A2242)&amp;" ",7)+1,255)))</f>
        <v/>
      </c>
      <c r="G2242" t="str">
        <f>IF(E2242="","",IF(COUNTIF('DATA QCEW'!$A$2:$A$20,E2242)&gt;0,"19-SECTOR","DETAIL / OTHER"))</f>
        <v/>
      </c>
    </row>
    <row r="2243" spans="4:7">
      <c r="D2243" s="8"/>
      <c r="E2243" t="str">
        <f t="shared" si="70"/>
        <v/>
      </c>
      <c r="F2243" t="str">
        <f t="shared" si="71"/>
        <v/>
      </c>
      <c r="G2243" t="str">
        <f>IF(E2243="","",IF(COUNTIF('DATA QCEW'!$A$2:$A$20,E2243)&gt;0,"19-SECTOR","DETAIL / OTHER"))</f>
        <v/>
      </c>
    </row>
    <row r="2244" spans="4:7">
      <c r="D2244" s="8"/>
      <c r="E2244" t="str">
        <f t="shared" si="70"/>
        <v/>
      </c>
      <c r="F2244" t="str">
        <f t="shared" si="71"/>
        <v/>
      </c>
      <c r="G2244" t="str">
        <f>IF(E2244="","",IF(COUNTIF('DATA QCEW'!$A$2:$A$20,E2244)&gt;0,"19-SECTOR","DETAIL / OTHER"))</f>
        <v/>
      </c>
    </row>
    <row r="2245" spans="4:7">
      <c r="D2245" s="8"/>
      <c r="E2245" t="str">
        <f t="shared" si="70"/>
        <v/>
      </c>
      <c r="F2245" t="str">
        <f t="shared" si="71"/>
        <v/>
      </c>
      <c r="G2245" t="str">
        <f>IF(E2245="","",IF(COUNTIF('DATA QCEW'!$A$2:$A$20,E2245)&gt;0,"19-SECTOR","DETAIL / OTHER"))</f>
        <v/>
      </c>
    </row>
    <row r="2246" spans="4:7">
      <c r="D2246" s="8"/>
      <c r="E2246" t="str">
        <f t="shared" si="70"/>
        <v/>
      </c>
      <c r="F2246" t="str">
        <f t="shared" si="71"/>
        <v/>
      </c>
      <c r="G2246" t="str">
        <f>IF(E2246="","",IF(COUNTIF('DATA QCEW'!$A$2:$A$20,E2246)&gt;0,"19-SECTOR","DETAIL / OTHER"))</f>
        <v/>
      </c>
    </row>
    <row r="2247" spans="4:7">
      <c r="D2247" s="8"/>
      <c r="E2247" t="str">
        <f t="shared" si="70"/>
        <v/>
      </c>
      <c r="F2247" t="str">
        <f t="shared" si="71"/>
        <v/>
      </c>
      <c r="G2247" t="str">
        <f>IF(E2247="","",IF(COUNTIF('DATA QCEW'!$A$2:$A$20,E2247)&gt;0,"19-SECTOR","DETAIL / OTHER"))</f>
        <v/>
      </c>
    </row>
    <row r="2248" spans="4:7">
      <c r="D2248" s="8"/>
      <c r="E2248" t="str">
        <f t="shared" si="70"/>
        <v/>
      </c>
      <c r="F2248" t="str">
        <f t="shared" si="71"/>
        <v/>
      </c>
      <c r="G2248" t="str">
        <f>IF(E2248="","",IF(COUNTIF('DATA QCEW'!$A$2:$A$20,E2248)&gt;0,"19-SECTOR","DETAIL / OTHER"))</f>
        <v/>
      </c>
    </row>
    <row r="2249" spans="4:7">
      <c r="D2249" s="8"/>
      <c r="E2249" t="str">
        <f t="shared" si="70"/>
        <v/>
      </c>
      <c r="F2249" t="str">
        <f t="shared" si="71"/>
        <v/>
      </c>
      <c r="G2249" t="str">
        <f>IF(E2249="","",IF(COUNTIF('DATA QCEW'!$A$2:$A$20,E2249)&gt;0,"19-SECTOR","DETAIL / OTHER"))</f>
        <v/>
      </c>
    </row>
    <row r="2250" spans="4:7">
      <c r="D2250" s="8"/>
      <c r="E2250" t="str">
        <f t="shared" si="70"/>
        <v/>
      </c>
      <c r="F2250" t="str">
        <f t="shared" si="71"/>
        <v/>
      </c>
      <c r="G2250" t="str">
        <f>IF(E2250="","",IF(COUNTIF('DATA QCEW'!$A$2:$A$20,E2250)&gt;0,"19-SECTOR","DETAIL / OTHER"))</f>
        <v/>
      </c>
    </row>
    <row r="2251" spans="4:7">
      <c r="D2251" s="8"/>
      <c r="E2251" t="str">
        <f t="shared" si="70"/>
        <v/>
      </c>
      <c r="F2251" t="str">
        <f t="shared" si="71"/>
        <v/>
      </c>
      <c r="G2251" t="str">
        <f>IF(E2251="","",IF(COUNTIF('DATA QCEW'!$A$2:$A$20,E2251)&gt;0,"19-SECTOR","DETAIL / OTHER"))</f>
        <v/>
      </c>
    </row>
    <row r="2252" spans="4:7">
      <c r="D2252" s="8"/>
      <c r="E2252" t="str">
        <f t="shared" si="70"/>
        <v/>
      </c>
      <c r="F2252" t="str">
        <f t="shared" si="71"/>
        <v/>
      </c>
      <c r="G2252" t="str">
        <f>IF(E2252="","",IF(COUNTIF('DATA QCEW'!$A$2:$A$20,E2252)&gt;0,"19-SECTOR","DETAIL / OTHER"))</f>
        <v/>
      </c>
    </row>
    <row r="2253" spans="4:7">
      <c r="D2253" s="8"/>
      <c r="E2253" t="str">
        <f t="shared" si="70"/>
        <v/>
      </c>
      <c r="F2253" t="str">
        <f t="shared" si="71"/>
        <v/>
      </c>
      <c r="G2253" t="str">
        <f>IF(E2253="","",IF(COUNTIF('DATA QCEW'!$A$2:$A$20,E2253)&gt;0,"19-SECTOR","DETAIL / OTHER"))</f>
        <v/>
      </c>
    </row>
    <row r="2254" spans="4:7">
      <c r="D2254" s="8"/>
      <c r="E2254" t="str">
        <f t="shared" si="70"/>
        <v/>
      </c>
      <c r="F2254" t="str">
        <f t="shared" si="71"/>
        <v/>
      </c>
      <c r="G2254" t="str">
        <f>IF(E2254="","",IF(COUNTIF('DATA QCEW'!$A$2:$A$20,E2254)&gt;0,"19-SECTOR","DETAIL / OTHER"))</f>
        <v/>
      </c>
    </row>
    <row r="2255" spans="4:7">
      <c r="D2255" s="8"/>
      <c r="E2255" t="str">
        <f t="shared" si="70"/>
        <v/>
      </c>
      <c r="F2255" t="str">
        <f t="shared" si="71"/>
        <v/>
      </c>
      <c r="G2255" t="str">
        <f>IF(E2255="","",IF(COUNTIF('DATA QCEW'!$A$2:$A$20,E2255)&gt;0,"19-SECTOR","DETAIL / OTHER"))</f>
        <v/>
      </c>
    </row>
    <row r="2256" spans="4:7">
      <c r="D2256" s="8"/>
      <c r="E2256" t="str">
        <f t="shared" si="70"/>
        <v/>
      </c>
      <c r="F2256" t="str">
        <f t="shared" si="71"/>
        <v/>
      </c>
      <c r="G2256" t="str">
        <f>IF(E2256="","",IF(COUNTIF('DATA QCEW'!$A$2:$A$20,E2256)&gt;0,"19-SECTOR","DETAIL / OTHER"))</f>
        <v/>
      </c>
    </row>
    <row r="2257" spans="4:7">
      <c r="D2257" s="8"/>
      <c r="E2257" t="str">
        <f t="shared" si="70"/>
        <v/>
      </c>
      <c r="F2257" t="str">
        <f t="shared" si="71"/>
        <v/>
      </c>
      <c r="G2257" t="str">
        <f>IF(E2257="","",IF(COUNTIF('DATA QCEW'!$A$2:$A$20,E2257)&gt;0,"19-SECTOR","DETAIL / OTHER"))</f>
        <v/>
      </c>
    </row>
    <row r="2258" spans="4:7">
      <c r="D2258" s="8"/>
      <c r="E2258" t="str">
        <f t="shared" si="70"/>
        <v/>
      </c>
      <c r="F2258" t="str">
        <f t="shared" si="71"/>
        <v/>
      </c>
      <c r="G2258" t="str">
        <f>IF(E2258="","",IF(COUNTIF('DATA QCEW'!$A$2:$A$20,E2258)&gt;0,"19-SECTOR","DETAIL / OTHER"))</f>
        <v/>
      </c>
    </row>
    <row r="2259" spans="4:7">
      <c r="D2259" s="8"/>
      <c r="E2259" t="str">
        <f t="shared" si="70"/>
        <v/>
      </c>
      <c r="F2259" t="str">
        <f t="shared" si="71"/>
        <v/>
      </c>
      <c r="G2259" t="str">
        <f>IF(E2259="","",IF(COUNTIF('DATA QCEW'!$A$2:$A$20,E2259)&gt;0,"19-SECTOR","DETAIL / OTHER"))</f>
        <v/>
      </c>
    </row>
    <row r="2260" spans="4:7">
      <c r="D2260" s="8"/>
      <c r="E2260" t="str">
        <f t="shared" si="70"/>
        <v/>
      </c>
      <c r="F2260" t="str">
        <f t="shared" si="71"/>
        <v/>
      </c>
      <c r="G2260" t="str">
        <f>IF(E2260="","",IF(COUNTIF('DATA QCEW'!$A$2:$A$20,E2260)&gt;0,"19-SECTOR","DETAIL / OTHER"))</f>
        <v/>
      </c>
    </row>
    <row r="2261" spans="4:7">
      <c r="D2261" s="8"/>
      <c r="E2261" t="str">
        <f t="shared" si="70"/>
        <v/>
      </c>
      <c r="F2261" t="str">
        <f t="shared" si="71"/>
        <v/>
      </c>
      <c r="G2261" t="str">
        <f>IF(E2261="","",IF(COUNTIF('DATA QCEW'!$A$2:$A$20,E2261)&gt;0,"19-SECTOR","DETAIL / OTHER"))</f>
        <v/>
      </c>
    </row>
    <row r="2262" spans="4:7">
      <c r="D2262" s="8"/>
      <c r="E2262" t="str">
        <f t="shared" si="70"/>
        <v/>
      </c>
      <c r="F2262" t="str">
        <f t="shared" si="71"/>
        <v/>
      </c>
      <c r="G2262" t="str">
        <f>IF(E2262="","",IF(COUNTIF('DATA QCEW'!$A$2:$A$20,E2262)&gt;0,"19-SECTOR","DETAIL / OTHER"))</f>
        <v/>
      </c>
    </row>
    <row r="2263" spans="4:7">
      <c r="D2263" s="8"/>
      <c r="E2263" t="str">
        <f t="shared" si="70"/>
        <v/>
      </c>
      <c r="F2263" t="str">
        <f t="shared" si="71"/>
        <v/>
      </c>
      <c r="G2263" t="str">
        <f>IF(E2263="","",IF(COUNTIF('DATA QCEW'!$A$2:$A$20,E2263)&gt;0,"19-SECTOR","DETAIL / OTHER"))</f>
        <v/>
      </c>
    </row>
    <row r="2264" spans="4:7">
      <c r="D2264" s="8"/>
      <c r="E2264" t="str">
        <f t="shared" si="70"/>
        <v/>
      </c>
      <c r="F2264" t="str">
        <f t="shared" si="71"/>
        <v/>
      </c>
      <c r="G2264" t="str">
        <f>IF(E2264="","",IF(COUNTIF('DATA QCEW'!$A$2:$A$20,E2264)&gt;0,"19-SECTOR","DETAIL / OTHER"))</f>
        <v/>
      </c>
    </row>
    <row r="2265" spans="4:7">
      <c r="D2265" s="8"/>
      <c r="E2265" t="str">
        <f t="shared" si="70"/>
        <v/>
      </c>
      <c r="F2265" t="str">
        <f t="shared" si="71"/>
        <v/>
      </c>
      <c r="G2265" t="str">
        <f>IF(E2265="","",IF(COUNTIF('DATA QCEW'!$A$2:$A$20,E2265)&gt;0,"19-SECTOR","DETAIL / OTHER"))</f>
        <v/>
      </c>
    </row>
    <row r="2266" spans="4:7">
      <c r="D2266" s="8"/>
      <c r="E2266" t="str">
        <f t="shared" si="70"/>
        <v/>
      </c>
      <c r="F2266" t="str">
        <f t="shared" si="71"/>
        <v/>
      </c>
      <c r="G2266" t="str">
        <f>IF(E2266="","",IF(COUNTIF('DATA QCEW'!$A$2:$A$20,E2266)&gt;0,"19-SECTOR","DETAIL / OTHER"))</f>
        <v/>
      </c>
    </row>
    <row r="2267" spans="4:7">
      <c r="D2267" s="8"/>
      <c r="E2267" t="str">
        <f t="shared" si="70"/>
        <v/>
      </c>
      <c r="F2267" t="str">
        <f t="shared" si="71"/>
        <v/>
      </c>
      <c r="G2267" t="str">
        <f>IF(E2267="","",IF(COUNTIF('DATA QCEW'!$A$2:$A$20,E2267)&gt;0,"19-SECTOR","DETAIL / OTHER"))</f>
        <v/>
      </c>
    </row>
    <row r="2268" spans="4:7">
      <c r="D2268" s="8"/>
      <c r="E2268" t="str">
        <f t="shared" si="70"/>
        <v/>
      </c>
      <c r="F2268" t="str">
        <f t="shared" si="71"/>
        <v/>
      </c>
      <c r="G2268" t="str">
        <f>IF(E2268="","",IF(COUNTIF('DATA QCEW'!$A$2:$A$20,E2268)&gt;0,"19-SECTOR","DETAIL / OTHER"))</f>
        <v/>
      </c>
    </row>
    <row r="2269" spans="4:7">
      <c r="D2269" s="8"/>
      <c r="E2269" t="str">
        <f t="shared" si="70"/>
        <v/>
      </c>
      <c r="F2269" t="str">
        <f t="shared" si="71"/>
        <v/>
      </c>
      <c r="G2269" t="str">
        <f>IF(E2269="","",IF(COUNTIF('DATA QCEW'!$A$2:$A$20,E2269)&gt;0,"19-SECTOR","DETAIL / OTHER"))</f>
        <v/>
      </c>
    </row>
    <row r="2270" spans="4:7">
      <c r="D2270" s="8"/>
      <c r="E2270" t="str">
        <f t="shared" si="70"/>
        <v/>
      </c>
      <c r="F2270" t="str">
        <f t="shared" si="71"/>
        <v/>
      </c>
      <c r="G2270" t="str">
        <f>IF(E2270="","",IF(COUNTIF('DATA QCEW'!$A$2:$A$20,E2270)&gt;0,"19-SECTOR","DETAIL / OTHER"))</f>
        <v/>
      </c>
    </row>
    <row r="2271" spans="4:7">
      <c r="D2271" s="8"/>
      <c r="E2271" t="str">
        <f t="shared" si="70"/>
        <v/>
      </c>
      <c r="F2271" t="str">
        <f t="shared" si="71"/>
        <v/>
      </c>
      <c r="G2271" t="str">
        <f>IF(E2271="","",IF(COUNTIF('DATA QCEW'!$A$2:$A$20,E2271)&gt;0,"19-SECTOR","DETAIL / OTHER"))</f>
        <v/>
      </c>
    </row>
    <row r="2272" spans="4:7">
      <c r="D2272" s="8"/>
      <c r="E2272" t="str">
        <f t="shared" si="70"/>
        <v/>
      </c>
      <c r="F2272" t="str">
        <f t="shared" si="71"/>
        <v/>
      </c>
      <c r="G2272" t="str">
        <f>IF(E2272="","",IF(COUNTIF('DATA QCEW'!$A$2:$A$20,E2272)&gt;0,"19-SECTOR","DETAIL / OTHER"))</f>
        <v/>
      </c>
    </row>
    <row r="2273" spans="4:7">
      <c r="D2273" s="8"/>
      <c r="E2273" t="str">
        <f t="shared" si="70"/>
        <v/>
      </c>
      <c r="F2273" t="str">
        <f t="shared" si="71"/>
        <v/>
      </c>
      <c r="G2273" t="str">
        <f>IF(E2273="","",IF(COUNTIF('DATA QCEW'!$A$2:$A$20,E2273)&gt;0,"19-SECTOR","DETAIL / OTHER"))</f>
        <v/>
      </c>
    </row>
    <row r="2274" spans="4:7">
      <c r="D2274" s="8"/>
      <c r="E2274" t="str">
        <f t="shared" si="70"/>
        <v/>
      </c>
      <c r="F2274" t="str">
        <f t="shared" si="71"/>
        <v/>
      </c>
      <c r="G2274" t="str">
        <f>IF(E2274="","",IF(COUNTIF('DATA QCEW'!$A$2:$A$20,E2274)&gt;0,"19-SECTOR","DETAIL / OTHER"))</f>
        <v/>
      </c>
    </row>
    <row r="2275" spans="4:7">
      <c r="D2275" s="8"/>
      <c r="E2275" t="str">
        <f t="shared" si="70"/>
        <v/>
      </c>
      <c r="F2275" t="str">
        <f t="shared" si="71"/>
        <v/>
      </c>
      <c r="G2275" t="str">
        <f>IF(E2275="","",IF(COUNTIF('DATA QCEW'!$A$2:$A$20,E2275)&gt;0,"19-SECTOR","DETAIL / OTHER"))</f>
        <v/>
      </c>
    </row>
    <row r="2276" spans="4:7">
      <c r="D2276" s="8"/>
      <c r="E2276" t="str">
        <f t="shared" si="70"/>
        <v/>
      </c>
      <c r="F2276" t="str">
        <f t="shared" si="71"/>
        <v/>
      </c>
      <c r="G2276" t="str">
        <f>IF(E2276="","",IF(COUNTIF('DATA QCEW'!$A$2:$A$20,E2276)&gt;0,"19-SECTOR","DETAIL / OTHER"))</f>
        <v/>
      </c>
    </row>
    <row r="2277" spans="4:7">
      <c r="D2277" s="8"/>
      <c r="E2277" t="str">
        <f t="shared" si="70"/>
        <v/>
      </c>
      <c r="F2277" t="str">
        <f t="shared" si="71"/>
        <v/>
      </c>
      <c r="G2277" t="str">
        <f>IF(E2277="","",IF(COUNTIF('DATA QCEW'!$A$2:$A$20,E2277)&gt;0,"19-SECTOR","DETAIL / OTHER"))</f>
        <v/>
      </c>
    </row>
    <row r="2278" spans="4:7">
      <c r="D2278" s="8"/>
      <c r="E2278" t="str">
        <f t="shared" si="70"/>
        <v/>
      </c>
      <c r="F2278" t="str">
        <f t="shared" si="71"/>
        <v/>
      </c>
      <c r="G2278" t="str">
        <f>IF(E2278="","",IF(COUNTIF('DATA QCEW'!$A$2:$A$20,E2278)&gt;0,"19-SECTOR","DETAIL / OTHER"))</f>
        <v/>
      </c>
    </row>
    <row r="2279" spans="4:7">
      <c r="D2279" s="8"/>
      <c r="E2279" t="str">
        <f t="shared" si="70"/>
        <v/>
      </c>
      <c r="F2279" t="str">
        <f t="shared" si="71"/>
        <v/>
      </c>
      <c r="G2279" t="str">
        <f>IF(E2279="","",IF(COUNTIF('DATA QCEW'!$A$2:$A$20,E2279)&gt;0,"19-SECTOR","DETAIL / OTHER"))</f>
        <v/>
      </c>
    </row>
    <row r="2280" spans="4:7">
      <c r="D2280" s="8"/>
      <c r="E2280" t="str">
        <f t="shared" si="70"/>
        <v/>
      </c>
      <c r="F2280" t="str">
        <f t="shared" si="71"/>
        <v/>
      </c>
      <c r="G2280" t="str">
        <f>IF(E2280="","",IF(COUNTIF('DATA QCEW'!$A$2:$A$20,E2280)&gt;0,"19-SECTOR","DETAIL / OTHER"))</f>
        <v/>
      </c>
    </row>
    <row r="2281" spans="4:7">
      <c r="D2281" s="8"/>
      <c r="E2281" t="str">
        <f t="shared" si="70"/>
        <v/>
      </c>
      <c r="F2281" t="str">
        <f t="shared" si="71"/>
        <v/>
      </c>
      <c r="G2281" t="str">
        <f>IF(E2281="","",IF(COUNTIF('DATA QCEW'!$A$2:$A$20,E2281)&gt;0,"19-SECTOR","DETAIL / OTHER"))</f>
        <v/>
      </c>
    </row>
    <row r="2282" spans="4:7">
      <c r="D2282" s="8"/>
      <c r="E2282" t="str">
        <f t="shared" si="70"/>
        <v/>
      </c>
      <c r="F2282" t="str">
        <f t="shared" si="71"/>
        <v/>
      </c>
      <c r="G2282" t="str">
        <f>IF(E2282="","",IF(COUNTIF('DATA QCEW'!$A$2:$A$20,E2282)&gt;0,"19-SECTOR","DETAIL / OTHER"))</f>
        <v/>
      </c>
    </row>
    <row r="2283" spans="4:7">
      <c r="D2283" s="8"/>
      <c r="E2283" t="str">
        <f t="shared" si="70"/>
        <v/>
      </c>
      <c r="F2283" t="str">
        <f t="shared" si="71"/>
        <v/>
      </c>
      <c r="G2283" t="str">
        <f>IF(E2283="","",IF(COUNTIF('DATA QCEW'!$A$2:$A$20,E2283)&gt;0,"19-SECTOR","DETAIL / OTHER"))</f>
        <v/>
      </c>
    </row>
    <row r="2284" spans="4:7">
      <c r="D2284" s="8"/>
      <c r="E2284" t="str">
        <f t="shared" si="70"/>
        <v/>
      </c>
      <c r="F2284" t="str">
        <f t="shared" si="71"/>
        <v/>
      </c>
      <c r="G2284" t="str">
        <f>IF(E2284="","",IF(COUNTIF('DATA QCEW'!$A$2:$A$20,E2284)&gt;0,"19-SECTOR","DETAIL / OTHER"))</f>
        <v/>
      </c>
    </row>
    <row r="2285" spans="4:7">
      <c r="D2285" s="8"/>
      <c r="E2285" t="str">
        <f t="shared" si="70"/>
        <v/>
      </c>
      <c r="F2285" t="str">
        <f t="shared" si="71"/>
        <v/>
      </c>
      <c r="G2285" t="str">
        <f>IF(E2285="","",IF(COUNTIF('DATA QCEW'!$A$2:$A$20,E2285)&gt;0,"19-SECTOR","DETAIL / OTHER"))</f>
        <v/>
      </c>
    </row>
    <row r="2286" spans="4:7">
      <c r="D2286" s="8"/>
      <c r="E2286" t="str">
        <f t="shared" si="70"/>
        <v/>
      </c>
      <c r="F2286" t="str">
        <f t="shared" si="71"/>
        <v/>
      </c>
      <c r="G2286" t="str">
        <f>IF(E2286="","",IF(COUNTIF('DATA QCEW'!$A$2:$A$20,E2286)&gt;0,"19-SECTOR","DETAIL / OTHER"))</f>
        <v/>
      </c>
    </row>
    <row r="2287" spans="4:7">
      <c r="D2287" s="8"/>
      <c r="E2287" t="str">
        <f t="shared" si="70"/>
        <v/>
      </c>
      <c r="F2287" t="str">
        <f t="shared" si="71"/>
        <v/>
      </c>
      <c r="G2287" t="str">
        <f>IF(E2287="","",IF(COUNTIF('DATA QCEW'!$A$2:$A$20,E2287)&gt;0,"19-SECTOR","DETAIL / OTHER"))</f>
        <v/>
      </c>
    </row>
    <row r="2288" spans="4:7">
      <c r="D2288" s="8"/>
      <c r="E2288" t="str">
        <f t="shared" si="70"/>
        <v/>
      </c>
      <c r="F2288" t="str">
        <f t="shared" si="71"/>
        <v/>
      </c>
      <c r="G2288" t="str">
        <f>IF(E2288="","",IF(COUNTIF('DATA QCEW'!$A$2:$A$20,E2288)&gt;0,"19-SECTOR","DETAIL / OTHER"))</f>
        <v/>
      </c>
    </row>
    <row r="2289" spans="4:7">
      <c r="D2289" s="8"/>
      <c r="E2289" t="str">
        <f t="shared" si="70"/>
        <v/>
      </c>
      <c r="F2289" t="str">
        <f t="shared" si="71"/>
        <v/>
      </c>
      <c r="G2289" t="str">
        <f>IF(E2289="","",IF(COUNTIF('DATA QCEW'!$A$2:$A$20,E2289)&gt;0,"19-SECTOR","DETAIL / OTHER"))</f>
        <v/>
      </c>
    </row>
    <row r="2290" spans="4:7">
      <c r="D2290" s="8"/>
      <c r="E2290" t="str">
        <f t="shared" si="70"/>
        <v/>
      </c>
      <c r="F2290" t="str">
        <f t="shared" si="71"/>
        <v/>
      </c>
      <c r="G2290" t="str">
        <f>IF(E2290="","",IF(COUNTIF('DATA QCEW'!$A$2:$A$20,E2290)&gt;0,"19-SECTOR","DETAIL / OTHER"))</f>
        <v/>
      </c>
    </row>
    <row r="2291" spans="4:7">
      <c r="D2291" s="8"/>
      <c r="E2291" t="str">
        <f t="shared" si="70"/>
        <v/>
      </c>
      <c r="F2291" t="str">
        <f t="shared" si="71"/>
        <v/>
      </c>
      <c r="G2291" t="str">
        <f>IF(E2291="","",IF(COUNTIF('DATA QCEW'!$A$2:$A$20,E2291)&gt;0,"19-SECTOR","DETAIL / OTHER"))</f>
        <v/>
      </c>
    </row>
    <row r="2292" spans="4:7">
      <c r="D2292" s="8"/>
      <c r="E2292" t="str">
        <f t="shared" si="70"/>
        <v/>
      </c>
      <c r="F2292" t="str">
        <f t="shared" si="71"/>
        <v/>
      </c>
      <c r="G2292" t="str">
        <f>IF(E2292="","",IF(COUNTIF('DATA QCEW'!$A$2:$A$20,E2292)&gt;0,"19-SECTOR","DETAIL / OTHER"))</f>
        <v/>
      </c>
    </row>
    <row r="2293" spans="4:7">
      <c r="D2293" s="8"/>
      <c r="E2293" t="str">
        <f t="shared" si="70"/>
        <v/>
      </c>
      <c r="F2293" t="str">
        <f t="shared" si="71"/>
        <v/>
      </c>
      <c r="G2293" t="str">
        <f>IF(E2293="","",IF(COUNTIF('DATA QCEW'!$A$2:$A$20,E2293)&gt;0,"19-SECTOR","DETAIL / OTHER"))</f>
        <v/>
      </c>
    </row>
    <row r="2294" spans="4:7">
      <c r="D2294" s="8"/>
      <c r="E2294" t="str">
        <f t="shared" si="70"/>
        <v/>
      </c>
      <c r="F2294" t="str">
        <f t="shared" si="71"/>
        <v/>
      </c>
      <c r="G2294" t="str">
        <f>IF(E2294="","",IF(COUNTIF('DATA QCEW'!$A$2:$A$20,E2294)&gt;0,"19-SECTOR","DETAIL / OTHER"))</f>
        <v/>
      </c>
    </row>
    <row r="2295" spans="4:7">
      <c r="D2295" s="8"/>
      <c r="E2295" t="str">
        <f t="shared" si="70"/>
        <v/>
      </c>
      <c r="F2295" t="str">
        <f t="shared" si="71"/>
        <v/>
      </c>
      <c r="G2295" t="str">
        <f>IF(E2295="","",IF(COUNTIF('DATA QCEW'!$A$2:$A$20,E2295)&gt;0,"19-SECTOR","DETAIL / OTHER"))</f>
        <v/>
      </c>
    </row>
    <row r="2296" spans="4:7">
      <c r="D2296" s="8"/>
      <c r="E2296" t="str">
        <f t="shared" si="70"/>
        <v/>
      </c>
      <c r="F2296" t="str">
        <f t="shared" si="71"/>
        <v/>
      </c>
      <c r="G2296" t="str">
        <f>IF(E2296="","",IF(COUNTIF('DATA QCEW'!$A$2:$A$20,E2296)&gt;0,"19-SECTOR","DETAIL / OTHER"))</f>
        <v/>
      </c>
    </row>
    <row r="2297" spans="4:7">
      <c r="D2297" s="8"/>
      <c r="E2297" t="str">
        <f t="shared" si="70"/>
        <v/>
      </c>
      <c r="F2297" t="str">
        <f t="shared" si="71"/>
        <v/>
      </c>
      <c r="G2297" t="str">
        <f>IF(E2297="","",IF(COUNTIF('DATA QCEW'!$A$2:$A$20,E2297)&gt;0,"19-SECTOR","DETAIL / OTHER"))</f>
        <v/>
      </c>
    </row>
    <row r="2298" spans="4:7">
      <c r="D2298" s="8"/>
      <c r="E2298" t="str">
        <f t="shared" si="70"/>
        <v/>
      </c>
      <c r="F2298" t="str">
        <f t="shared" si="71"/>
        <v/>
      </c>
      <c r="G2298" t="str">
        <f>IF(E2298="","",IF(COUNTIF('DATA QCEW'!$A$2:$A$20,E2298)&gt;0,"19-SECTOR","DETAIL / OTHER"))</f>
        <v/>
      </c>
    </row>
    <row r="2299" spans="4:7">
      <c r="D2299" s="8"/>
      <c r="E2299" t="str">
        <f t="shared" si="70"/>
        <v/>
      </c>
      <c r="F2299" t="str">
        <f t="shared" si="71"/>
        <v/>
      </c>
      <c r="G2299" t="str">
        <f>IF(E2299="","",IF(COUNTIF('DATA QCEW'!$A$2:$A$20,E2299)&gt;0,"19-SECTOR","DETAIL / OTHER"))</f>
        <v/>
      </c>
    </row>
    <row r="2300" spans="4:7">
      <c r="D2300" s="8"/>
      <c r="E2300" t="str">
        <f t="shared" si="70"/>
        <v/>
      </c>
      <c r="F2300" t="str">
        <f t="shared" si="71"/>
        <v/>
      </c>
      <c r="G2300" t="str">
        <f>IF(E2300="","",IF(COUNTIF('DATA QCEW'!$A$2:$A$20,E2300)&gt;0,"19-SECTOR","DETAIL / OTHER"))</f>
        <v/>
      </c>
    </row>
    <row r="2301" spans="4:7">
      <c r="D2301" s="8"/>
      <c r="E2301" t="str">
        <f t="shared" si="70"/>
        <v/>
      </c>
      <c r="F2301" t="str">
        <f t="shared" si="71"/>
        <v/>
      </c>
      <c r="G2301" t="str">
        <f>IF(E2301="","",IF(COUNTIF('DATA QCEW'!$A$2:$A$20,E2301)&gt;0,"19-SECTOR","DETAIL / OTHER"))</f>
        <v/>
      </c>
    </row>
    <row r="2302" spans="4:7">
      <c r="D2302" s="8"/>
      <c r="E2302" t="str">
        <f t="shared" si="70"/>
        <v/>
      </c>
      <c r="F2302" t="str">
        <f t="shared" si="71"/>
        <v/>
      </c>
      <c r="G2302" t="str">
        <f>IF(E2302="","",IF(COUNTIF('DATA QCEW'!$A$2:$A$20,E2302)&gt;0,"19-SECTOR","DETAIL / OTHER"))</f>
        <v/>
      </c>
    </row>
    <row r="2303" spans="4:7">
      <c r="D2303" s="8"/>
      <c r="E2303" t="str">
        <f t="shared" si="70"/>
        <v/>
      </c>
      <c r="F2303" t="str">
        <f t="shared" si="71"/>
        <v/>
      </c>
      <c r="G2303" t="str">
        <f>IF(E2303="","",IF(COUNTIF('DATA QCEW'!$A$2:$A$20,E2303)&gt;0,"19-SECTOR","DETAIL / OTHER"))</f>
        <v/>
      </c>
    </row>
    <row r="2304" spans="4:7">
      <c r="D2304" s="8"/>
      <c r="E2304" t="str">
        <f t="shared" si="70"/>
        <v/>
      </c>
      <c r="F2304" t="str">
        <f t="shared" si="71"/>
        <v/>
      </c>
      <c r="G2304" t="str">
        <f>IF(E2304="","",IF(COUNTIF('DATA QCEW'!$A$2:$A$20,E2304)&gt;0,"19-SECTOR","DETAIL / OTHER"))</f>
        <v/>
      </c>
    </row>
    <row r="2305" spans="4:7">
      <c r="D2305" s="8"/>
      <c r="E2305" t="str">
        <f t="shared" si="70"/>
        <v/>
      </c>
      <c r="F2305" t="str">
        <f t="shared" si="71"/>
        <v/>
      </c>
      <c r="G2305" t="str">
        <f>IF(E2305="","",IF(COUNTIF('DATA QCEW'!$A$2:$A$20,E2305)&gt;0,"19-SECTOR","DETAIL / OTHER"))</f>
        <v/>
      </c>
    </row>
    <row r="2306" spans="4:7">
      <c r="D2306" s="8"/>
      <c r="E2306" t="str">
        <f t="shared" ref="E2306:E2369" si="72">IF(LEFT(TRIM(A2306),6)="NAICS ",IFERROR(MID(TRIM(A2306),7,FIND(" ",TRIM(A2306)&amp;" ",7)-7),""),"")</f>
        <v/>
      </c>
      <c r="F2306" t="str">
        <f t="shared" ref="F2306:F2369" si="73">IF(E2306="","",TRIM(MID(TRIM(A2306),FIND(" ",TRIM(A2306)&amp;" ",7)+1,255)))</f>
        <v/>
      </c>
      <c r="G2306" t="str">
        <f>IF(E2306="","",IF(COUNTIF('DATA QCEW'!$A$2:$A$20,E2306)&gt;0,"19-SECTOR","DETAIL / OTHER"))</f>
        <v/>
      </c>
    </row>
    <row r="2307" spans="4:7">
      <c r="D2307" s="8"/>
      <c r="E2307" t="str">
        <f t="shared" si="72"/>
        <v/>
      </c>
      <c r="F2307" t="str">
        <f t="shared" si="73"/>
        <v/>
      </c>
      <c r="G2307" t="str">
        <f>IF(E2307="","",IF(COUNTIF('DATA QCEW'!$A$2:$A$20,E2307)&gt;0,"19-SECTOR","DETAIL / OTHER"))</f>
        <v/>
      </c>
    </row>
    <row r="2308" spans="4:7">
      <c r="D2308" s="8"/>
      <c r="E2308" t="str">
        <f t="shared" si="72"/>
        <v/>
      </c>
      <c r="F2308" t="str">
        <f t="shared" si="73"/>
        <v/>
      </c>
      <c r="G2308" t="str">
        <f>IF(E2308="","",IF(COUNTIF('DATA QCEW'!$A$2:$A$20,E2308)&gt;0,"19-SECTOR","DETAIL / OTHER"))</f>
        <v/>
      </c>
    </row>
    <row r="2309" spans="4:7">
      <c r="D2309" s="8"/>
      <c r="E2309" t="str">
        <f t="shared" si="72"/>
        <v/>
      </c>
      <c r="F2309" t="str">
        <f t="shared" si="73"/>
        <v/>
      </c>
      <c r="G2309" t="str">
        <f>IF(E2309="","",IF(COUNTIF('DATA QCEW'!$A$2:$A$20,E2309)&gt;0,"19-SECTOR","DETAIL / OTHER"))</f>
        <v/>
      </c>
    </row>
    <row r="2310" spans="4:7">
      <c r="D2310" s="8"/>
      <c r="E2310" t="str">
        <f t="shared" si="72"/>
        <v/>
      </c>
      <c r="F2310" t="str">
        <f t="shared" si="73"/>
        <v/>
      </c>
      <c r="G2310" t="str">
        <f>IF(E2310="","",IF(COUNTIF('DATA QCEW'!$A$2:$A$20,E2310)&gt;0,"19-SECTOR","DETAIL / OTHER"))</f>
        <v/>
      </c>
    </row>
    <row r="2311" spans="4:7">
      <c r="D2311" s="8"/>
      <c r="E2311" t="str">
        <f t="shared" si="72"/>
        <v/>
      </c>
      <c r="F2311" t="str">
        <f t="shared" si="73"/>
        <v/>
      </c>
      <c r="G2311" t="str">
        <f>IF(E2311="","",IF(COUNTIF('DATA QCEW'!$A$2:$A$20,E2311)&gt;0,"19-SECTOR","DETAIL / OTHER"))</f>
        <v/>
      </c>
    </row>
    <row r="2312" spans="4:7">
      <c r="D2312" s="8"/>
      <c r="E2312" t="str">
        <f t="shared" si="72"/>
        <v/>
      </c>
      <c r="F2312" t="str">
        <f t="shared" si="73"/>
        <v/>
      </c>
      <c r="G2312" t="str">
        <f>IF(E2312="","",IF(COUNTIF('DATA QCEW'!$A$2:$A$20,E2312)&gt;0,"19-SECTOR","DETAIL / OTHER"))</f>
        <v/>
      </c>
    </row>
    <row r="2313" spans="4:7">
      <c r="D2313" s="8"/>
      <c r="E2313" t="str">
        <f t="shared" si="72"/>
        <v/>
      </c>
      <c r="F2313" t="str">
        <f t="shared" si="73"/>
        <v/>
      </c>
      <c r="G2313" t="str">
        <f>IF(E2313="","",IF(COUNTIF('DATA QCEW'!$A$2:$A$20,E2313)&gt;0,"19-SECTOR","DETAIL / OTHER"))</f>
        <v/>
      </c>
    </row>
    <row r="2314" spans="4:7">
      <c r="D2314" s="8"/>
      <c r="E2314" t="str">
        <f t="shared" si="72"/>
        <v/>
      </c>
      <c r="F2314" t="str">
        <f t="shared" si="73"/>
        <v/>
      </c>
      <c r="G2314" t="str">
        <f>IF(E2314="","",IF(COUNTIF('DATA QCEW'!$A$2:$A$20,E2314)&gt;0,"19-SECTOR","DETAIL / OTHER"))</f>
        <v/>
      </c>
    </row>
    <row r="2315" spans="4:7">
      <c r="D2315" s="8"/>
      <c r="E2315" t="str">
        <f t="shared" si="72"/>
        <v/>
      </c>
      <c r="F2315" t="str">
        <f t="shared" si="73"/>
        <v/>
      </c>
      <c r="G2315" t="str">
        <f>IF(E2315="","",IF(COUNTIF('DATA QCEW'!$A$2:$A$20,E2315)&gt;0,"19-SECTOR","DETAIL / OTHER"))</f>
        <v/>
      </c>
    </row>
    <row r="2316" spans="4:7">
      <c r="D2316" s="8"/>
      <c r="E2316" t="str">
        <f t="shared" si="72"/>
        <v/>
      </c>
      <c r="F2316" t="str">
        <f t="shared" si="73"/>
        <v/>
      </c>
      <c r="G2316" t="str">
        <f>IF(E2316="","",IF(COUNTIF('DATA QCEW'!$A$2:$A$20,E2316)&gt;0,"19-SECTOR","DETAIL / OTHER"))</f>
        <v/>
      </c>
    </row>
    <row r="2317" spans="4:7">
      <c r="D2317" s="8"/>
      <c r="E2317" t="str">
        <f t="shared" si="72"/>
        <v/>
      </c>
      <c r="F2317" t="str">
        <f t="shared" si="73"/>
        <v/>
      </c>
      <c r="G2317" t="str">
        <f>IF(E2317="","",IF(COUNTIF('DATA QCEW'!$A$2:$A$20,E2317)&gt;0,"19-SECTOR","DETAIL / OTHER"))</f>
        <v/>
      </c>
    </row>
    <row r="2318" spans="4:7">
      <c r="D2318" s="8"/>
      <c r="E2318" t="str">
        <f t="shared" si="72"/>
        <v/>
      </c>
      <c r="F2318" t="str">
        <f t="shared" si="73"/>
        <v/>
      </c>
      <c r="G2318" t="str">
        <f>IF(E2318="","",IF(COUNTIF('DATA QCEW'!$A$2:$A$20,E2318)&gt;0,"19-SECTOR","DETAIL / OTHER"))</f>
        <v/>
      </c>
    </row>
    <row r="2319" spans="4:7">
      <c r="D2319" s="8"/>
      <c r="E2319" t="str">
        <f t="shared" si="72"/>
        <v/>
      </c>
      <c r="F2319" t="str">
        <f t="shared" si="73"/>
        <v/>
      </c>
      <c r="G2319" t="str">
        <f>IF(E2319="","",IF(COUNTIF('DATA QCEW'!$A$2:$A$20,E2319)&gt;0,"19-SECTOR","DETAIL / OTHER"))</f>
        <v/>
      </c>
    </row>
    <row r="2320" spans="4:7">
      <c r="D2320" s="8"/>
      <c r="E2320" t="str">
        <f t="shared" si="72"/>
        <v/>
      </c>
      <c r="F2320" t="str">
        <f t="shared" si="73"/>
        <v/>
      </c>
      <c r="G2320" t="str">
        <f>IF(E2320="","",IF(COUNTIF('DATA QCEW'!$A$2:$A$20,E2320)&gt;0,"19-SECTOR","DETAIL / OTHER"))</f>
        <v/>
      </c>
    </row>
    <row r="2321" spans="4:7">
      <c r="D2321" s="8"/>
      <c r="E2321" t="str">
        <f t="shared" si="72"/>
        <v/>
      </c>
      <c r="F2321" t="str">
        <f t="shared" si="73"/>
        <v/>
      </c>
      <c r="G2321" t="str">
        <f>IF(E2321="","",IF(COUNTIF('DATA QCEW'!$A$2:$A$20,E2321)&gt;0,"19-SECTOR","DETAIL / OTHER"))</f>
        <v/>
      </c>
    </row>
    <row r="2322" spans="4:7">
      <c r="D2322" s="8"/>
      <c r="E2322" t="str">
        <f t="shared" si="72"/>
        <v/>
      </c>
      <c r="F2322" t="str">
        <f t="shared" si="73"/>
        <v/>
      </c>
      <c r="G2322" t="str">
        <f>IF(E2322="","",IF(COUNTIF('DATA QCEW'!$A$2:$A$20,E2322)&gt;0,"19-SECTOR","DETAIL / OTHER"))</f>
        <v/>
      </c>
    </row>
    <row r="2323" spans="4:7">
      <c r="D2323" s="8"/>
      <c r="E2323" t="str">
        <f t="shared" si="72"/>
        <v/>
      </c>
      <c r="F2323" t="str">
        <f t="shared" si="73"/>
        <v/>
      </c>
      <c r="G2323" t="str">
        <f>IF(E2323="","",IF(COUNTIF('DATA QCEW'!$A$2:$A$20,E2323)&gt;0,"19-SECTOR","DETAIL / OTHER"))</f>
        <v/>
      </c>
    </row>
    <row r="2324" spans="4:7">
      <c r="D2324" s="8"/>
      <c r="E2324" t="str">
        <f t="shared" si="72"/>
        <v/>
      </c>
      <c r="F2324" t="str">
        <f t="shared" si="73"/>
        <v/>
      </c>
      <c r="G2324" t="str">
        <f>IF(E2324="","",IF(COUNTIF('DATA QCEW'!$A$2:$A$20,E2324)&gt;0,"19-SECTOR","DETAIL / OTHER"))</f>
        <v/>
      </c>
    </row>
    <row r="2325" spans="4:7">
      <c r="D2325" s="8"/>
      <c r="E2325" t="str">
        <f t="shared" si="72"/>
        <v/>
      </c>
      <c r="F2325" t="str">
        <f t="shared" si="73"/>
        <v/>
      </c>
      <c r="G2325" t="str">
        <f>IF(E2325="","",IF(COUNTIF('DATA QCEW'!$A$2:$A$20,E2325)&gt;0,"19-SECTOR","DETAIL / OTHER"))</f>
        <v/>
      </c>
    </row>
    <row r="2326" spans="4:7">
      <c r="D2326" s="8"/>
      <c r="E2326" t="str">
        <f t="shared" si="72"/>
        <v/>
      </c>
      <c r="F2326" t="str">
        <f t="shared" si="73"/>
        <v/>
      </c>
      <c r="G2326" t="str">
        <f>IF(E2326="","",IF(COUNTIF('DATA QCEW'!$A$2:$A$20,E2326)&gt;0,"19-SECTOR","DETAIL / OTHER"))</f>
        <v/>
      </c>
    </row>
    <row r="2327" spans="4:7">
      <c r="D2327" s="8"/>
      <c r="E2327" t="str">
        <f t="shared" si="72"/>
        <v/>
      </c>
      <c r="F2327" t="str">
        <f t="shared" si="73"/>
        <v/>
      </c>
      <c r="G2327" t="str">
        <f>IF(E2327="","",IF(COUNTIF('DATA QCEW'!$A$2:$A$20,E2327)&gt;0,"19-SECTOR","DETAIL / OTHER"))</f>
        <v/>
      </c>
    </row>
    <row r="2328" spans="4:7">
      <c r="D2328" s="8"/>
      <c r="E2328" t="str">
        <f t="shared" si="72"/>
        <v/>
      </c>
      <c r="F2328" t="str">
        <f t="shared" si="73"/>
        <v/>
      </c>
      <c r="G2328" t="str">
        <f>IF(E2328="","",IF(COUNTIF('DATA QCEW'!$A$2:$A$20,E2328)&gt;0,"19-SECTOR","DETAIL / OTHER"))</f>
        <v/>
      </c>
    </row>
    <row r="2329" spans="4:7">
      <c r="D2329" s="8"/>
      <c r="E2329" t="str">
        <f t="shared" si="72"/>
        <v/>
      </c>
      <c r="F2329" t="str">
        <f t="shared" si="73"/>
        <v/>
      </c>
      <c r="G2329" t="str">
        <f>IF(E2329="","",IF(COUNTIF('DATA QCEW'!$A$2:$A$20,E2329)&gt;0,"19-SECTOR","DETAIL / OTHER"))</f>
        <v/>
      </c>
    </row>
    <row r="2330" spans="4:7">
      <c r="D2330" s="8"/>
      <c r="E2330" t="str">
        <f t="shared" si="72"/>
        <v/>
      </c>
      <c r="F2330" t="str">
        <f t="shared" si="73"/>
        <v/>
      </c>
      <c r="G2330" t="str">
        <f>IF(E2330="","",IF(COUNTIF('DATA QCEW'!$A$2:$A$20,E2330)&gt;0,"19-SECTOR","DETAIL / OTHER"))</f>
        <v/>
      </c>
    </row>
    <row r="2331" spans="4:7">
      <c r="D2331" s="8"/>
      <c r="E2331" t="str">
        <f t="shared" si="72"/>
        <v/>
      </c>
      <c r="F2331" t="str">
        <f t="shared" si="73"/>
        <v/>
      </c>
      <c r="G2331" t="str">
        <f>IF(E2331="","",IF(COUNTIF('DATA QCEW'!$A$2:$A$20,E2331)&gt;0,"19-SECTOR","DETAIL / OTHER"))</f>
        <v/>
      </c>
    </row>
    <row r="2332" spans="4:7">
      <c r="D2332" s="8"/>
      <c r="E2332" t="str">
        <f t="shared" si="72"/>
        <v/>
      </c>
      <c r="F2332" t="str">
        <f t="shared" si="73"/>
        <v/>
      </c>
      <c r="G2332" t="str">
        <f>IF(E2332="","",IF(COUNTIF('DATA QCEW'!$A$2:$A$20,E2332)&gt;0,"19-SECTOR","DETAIL / OTHER"))</f>
        <v/>
      </c>
    </row>
    <row r="2333" spans="4:7">
      <c r="D2333" s="8"/>
      <c r="E2333" t="str">
        <f t="shared" si="72"/>
        <v/>
      </c>
      <c r="F2333" t="str">
        <f t="shared" si="73"/>
        <v/>
      </c>
      <c r="G2333" t="str">
        <f>IF(E2333="","",IF(COUNTIF('DATA QCEW'!$A$2:$A$20,E2333)&gt;0,"19-SECTOR","DETAIL / OTHER"))</f>
        <v/>
      </c>
    </row>
    <row r="2334" spans="4:7">
      <c r="D2334" s="8"/>
      <c r="E2334" t="str">
        <f t="shared" si="72"/>
        <v/>
      </c>
      <c r="F2334" t="str">
        <f t="shared" si="73"/>
        <v/>
      </c>
      <c r="G2334" t="str">
        <f>IF(E2334="","",IF(COUNTIF('DATA QCEW'!$A$2:$A$20,E2334)&gt;0,"19-SECTOR","DETAIL / OTHER"))</f>
        <v/>
      </c>
    </row>
    <row r="2335" spans="4:7">
      <c r="D2335" s="8"/>
      <c r="E2335" t="str">
        <f t="shared" si="72"/>
        <v/>
      </c>
      <c r="F2335" t="str">
        <f t="shared" si="73"/>
        <v/>
      </c>
      <c r="G2335" t="str">
        <f>IF(E2335="","",IF(COUNTIF('DATA QCEW'!$A$2:$A$20,E2335)&gt;0,"19-SECTOR","DETAIL / OTHER"))</f>
        <v/>
      </c>
    </row>
    <row r="2336" spans="4:7">
      <c r="D2336" s="8"/>
      <c r="E2336" t="str">
        <f t="shared" si="72"/>
        <v/>
      </c>
      <c r="F2336" t="str">
        <f t="shared" si="73"/>
        <v/>
      </c>
      <c r="G2336" t="str">
        <f>IF(E2336="","",IF(COUNTIF('DATA QCEW'!$A$2:$A$20,E2336)&gt;0,"19-SECTOR","DETAIL / OTHER"))</f>
        <v/>
      </c>
    </row>
    <row r="2337" spans="4:7">
      <c r="D2337" s="8"/>
      <c r="E2337" t="str">
        <f t="shared" si="72"/>
        <v/>
      </c>
      <c r="F2337" t="str">
        <f t="shared" si="73"/>
        <v/>
      </c>
      <c r="G2337" t="str">
        <f>IF(E2337="","",IF(COUNTIF('DATA QCEW'!$A$2:$A$20,E2337)&gt;0,"19-SECTOR","DETAIL / OTHER"))</f>
        <v/>
      </c>
    </row>
    <row r="2338" spans="4:7">
      <c r="D2338" s="8"/>
      <c r="E2338" t="str">
        <f t="shared" si="72"/>
        <v/>
      </c>
      <c r="F2338" t="str">
        <f t="shared" si="73"/>
        <v/>
      </c>
      <c r="G2338" t="str">
        <f>IF(E2338="","",IF(COUNTIF('DATA QCEW'!$A$2:$A$20,E2338)&gt;0,"19-SECTOR","DETAIL / OTHER"))</f>
        <v/>
      </c>
    </row>
    <row r="2339" spans="4:7">
      <c r="D2339" s="8"/>
      <c r="E2339" t="str">
        <f t="shared" si="72"/>
        <v/>
      </c>
      <c r="F2339" t="str">
        <f t="shared" si="73"/>
        <v/>
      </c>
      <c r="G2339" t="str">
        <f>IF(E2339="","",IF(COUNTIF('DATA QCEW'!$A$2:$A$20,E2339)&gt;0,"19-SECTOR","DETAIL / OTHER"))</f>
        <v/>
      </c>
    </row>
    <row r="2340" spans="4:7">
      <c r="D2340" s="8"/>
      <c r="E2340" t="str">
        <f t="shared" si="72"/>
        <v/>
      </c>
      <c r="F2340" t="str">
        <f t="shared" si="73"/>
        <v/>
      </c>
      <c r="G2340" t="str">
        <f>IF(E2340="","",IF(COUNTIF('DATA QCEW'!$A$2:$A$20,E2340)&gt;0,"19-SECTOR","DETAIL / OTHER"))</f>
        <v/>
      </c>
    </row>
    <row r="2341" spans="4:7">
      <c r="D2341" s="8"/>
      <c r="E2341" t="str">
        <f t="shared" si="72"/>
        <v/>
      </c>
      <c r="F2341" t="str">
        <f t="shared" si="73"/>
        <v/>
      </c>
      <c r="G2341" t="str">
        <f>IF(E2341="","",IF(COUNTIF('DATA QCEW'!$A$2:$A$20,E2341)&gt;0,"19-SECTOR","DETAIL / OTHER"))</f>
        <v/>
      </c>
    </row>
    <row r="2342" spans="4:7">
      <c r="D2342" s="8"/>
      <c r="E2342" t="str">
        <f t="shared" si="72"/>
        <v/>
      </c>
      <c r="F2342" t="str">
        <f t="shared" si="73"/>
        <v/>
      </c>
      <c r="G2342" t="str">
        <f>IF(E2342="","",IF(COUNTIF('DATA QCEW'!$A$2:$A$20,E2342)&gt;0,"19-SECTOR","DETAIL / OTHER"))</f>
        <v/>
      </c>
    </row>
    <row r="2343" spans="4:7">
      <c r="D2343" s="8"/>
      <c r="E2343" t="str">
        <f t="shared" si="72"/>
        <v/>
      </c>
      <c r="F2343" t="str">
        <f t="shared" si="73"/>
        <v/>
      </c>
      <c r="G2343" t="str">
        <f>IF(E2343="","",IF(COUNTIF('DATA QCEW'!$A$2:$A$20,E2343)&gt;0,"19-SECTOR","DETAIL / OTHER"))</f>
        <v/>
      </c>
    </row>
    <row r="2344" spans="4:7">
      <c r="D2344" s="8"/>
      <c r="E2344" t="str">
        <f t="shared" si="72"/>
        <v/>
      </c>
      <c r="F2344" t="str">
        <f t="shared" si="73"/>
        <v/>
      </c>
      <c r="G2344" t="str">
        <f>IF(E2344="","",IF(COUNTIF('DATA QCEW'!$A$2:$A$20,E2344)&gt;0,"19-SECTOR","DETAIL / OTHER"))</f>
        <v/>
      </c>
    </row>
    <row r="2345" spans="4:7">
      <c r="D2345" s="8"/>
      <c r="E2345" t="str">
        <f t="shared" si="72"/>
        <v/>
      </c>
      <c r="F2345" t="str">
        <f t="shared" si="73"/>
        <v/>
      </c>
      <c r="G2345" t="str">
        <f>IF(E2345="","",IF(COUNTIF('DATA QCEW'!$A$2:$A$20,E2345)&gt;0,"19-SECTOR","DETAIL / OTHER"))</f>
        <v/>
      </c>
    </row>
    <row r="2346" spans="4:7">
      <c r="D2346" s="8"/>
      <c r="E2346" t="str">
        <f t="shared" si="72"/>
        <v/>
      </c>
      <c r="F2346" t="str">
        <f t="shared" si="73"/>
        <v/>
      </c>
      <c r="G2346" t="str">
        <f>IF(E2346="","",IF(COUNTIF('DATA QCEW'!$A$2:$A$20,E2346)&gt;0,"19-SECTOR","DETAIL / OTHER"))</f>
        <v/>
      </c>
    </row>
    <row r="2347" spans="4:7">
      <c r="D2347" s="8"/>
      <c r="E2347" t="str">
        <f t="shared" si="72"/>
        <v/>
      </c>
      <c r="F2347" t="str">
        <f t="shared" si="73"/>
        <v/>
      </c>
      <c r="G2347" t="str">
        <f>IF(E2347="","",IF(COUNTIF('DATA QCEW'!$A$2:$A$20,E2347)&gt;0,"19-SECTOR","DETAIL / OTHER"))</f>
        <v/>
      </c>
    </row>
    <row r="2348" spans="4:7">
      <c r="D2348" s="8"/>
      <c r="E2348" t="str">
        <f t="shared" si="72"/>
        <v/>
      </c>
      <c r="F2348" t="str">
        <f t="shared" si="73"/>
        <v/>
      </c>
      <c r="G2348" t="str">
        <f>IF(E2348="","",IF(COUNTIF('DATA QCEW'!$A$2:$A$20,E2348)&gt;0,"19-SECTOR","DETAIL / OTHER"))</f>
        <v/>
      </c>
    </row>
    <row r="2349" spans="4:7">
      <c r="D2349" s="8"/>
      <c r="E2349" t="str">
        <f t="shared" si="72"/>
        <v/>
      </c>
      <c r="F2349" t="str">
        <f t="shared" si="73"/>
        <v/>
      </c>
      <c r="G2349" t="str">
        <f>IF(E2349="","",IF(COUNTIF('DATA QCEW'!$A$2:$A$20,E2349)&gt;0,"19-SECTOR","DETAIL / OTHER"))</f>
        <v/>
      </c>
    </row>
    <row r="2350" spans="4:7">
      <c r="D2350" s="8"/>
      <c r="E2350" t="str">
        <f t="shared" si="72"/>
        <v/>
      </c>
      <c r="F2350" t="str">
        <f t="shared" si="73"/>
        <v/>
      </c>
      <c r="G2350" t="str">
        <f>IF(E2350="","",IF(COUNTIF('DATA QCEW'!$A$2:$A$20,E2350)&gt;0,"19-SECTOR","DETAIL / OTHER"))</f>
        <v/>
      </c>
    </row>
    <row r="2351" spans="4:7">
      <c r="D2351" s="8"/>
      <c r="E2351" t="str">
        <f t="shared" si="72"/>
        <v/>
      </c>
      <c r="F2351" t="str">
        <f t="shared" si="73"/>
        <v/>
      </c>
      <c r="G2351" t="str">
        <f>IF(E2351="","",IF(COUNTIF('DATA QCEW'!$A$2:$A$20,E2351)&gt;0,"19-SECTOR","DETAIL / OTHER"))</f>
        <v/>
      </c>
    </row>
    <row r="2352" spans="4:7">
      <c r="D2352" s="8"/>
      <c r="E2352" t="str">
        <f t="shared" si="72"/>
        <v/>
      </c>
      <c r="F2352" t="str">
        <f t="shared" si="73"/>
        <v/>
      </c>
      <c r="G2352" t="str">
        <f>IF(E2352="","",IF(COUNTIF('DATA QCEW'!$A$2:$A$20,E2352)&gt;0,"19-SECTOR","DETAIL / OTHER"))</f>
        <v/>
      </c>
    </row>
    <row r="2353" spans="4:7">
      <c r="D2353" s="8"/>
      <c r="E2353" t="str">
        <f t="shared" si="72"/>
        <v/>
      </c>
      <c r="F2353" t="str">
        <f t="shared" si="73"/>
        <v/>
      </c>
      <c r="G2353" t="str">
        <f>IF(E2353="","",IF(COUNTIF('DATA QCEW'!$A$2:$A$20,E2353)&gt;0,"19-SECTOR","DETAIL / OTHER"))</f>
        <v/>
      </c>
    </row>
    <row r="2354" spans="4:7">
      <c r="D2354" s="8"/>
      <c r="E2354" t="str">
        <f t="shared" si="72"/>
        <v/>
      </c>
      <c r="F2354" t="str">
        <f t="shared" si="73"/>
        <v/>
      </c>
      <c r="G2354" t="str">
        <f>IF(E2354="","",IF(COUNTIF('DATA QCEW'!$A$2:$A$20,E2354)&gt;0,"19-SECTOR","DETAIL / OTHER"))</f>
        <v/>
      </c>
    </row>
    <row r="2355" spans="4:7">
      <c r="D2355" s="8"/>
      <c r="E2355" t="str">
        <f t="shared" si="72"/>
        <v/>
      </c>
      <c r="F2355" t="str">
        <f t="shared" si="73"/>
        <v/>
      </c>
      <c r="G2355" t="str">
        <f>IF(E2355="","",IF(COUNTIF('DATA QCEW'!$A$2:$A$20,E2355)&gt;0,"19-SECTOR","DETAIL / OTHER"))</f>
        <v/>
      </c>
    </row>
    <row r="2356" spans="4:7">
      <c r="D2356" s="8"/>
      <c r="E2356" t="str">
        <f t="shared" si="72"/>
        <v/>
      </c>
      <c r="F2356" t="str">
        <f t="shared" si="73"/>
        <v/>
      </c>
      <c r="G2356" t="str">
        <f>IF(E2356="","",IF(COUNTIF('DATA QCEW'!$A$2:$A$20,E2356)&gt;0,"19-SECTOR","DETAIL / OTHER"))</f>
        <v/>
      </c>
    </row>
    <row r="2357" spans="4:7">
      <c r="D2357" s="8"/>
      <c r="E2357" t="str">
        <f t="shared" si="72"/>
        <v/>
      </c>
      <c r="F2357" t="str">
        <f t="shared" si="73"/>
        <v/>
      </c>
      <c r="G2357" t="str">
        <f>IF(E2357="","",IF(COUNTIF('DATA QCEW'!$A$2:$A$20,E2357)&gt;0,"19-SECTOR","DETAIL / OTHER"))</f>
        <v/>
      </c>
    </row>
    <row r="2358" spans="4:7">
      <c r="D2358" s="8"/>
      <c r="E2358" t="str">
        <f t="shared" si="72"/>
        <v/>
      </c>
      <c r="F2358" t="str">
        <f t="shared" si="73"/>
        <v/>
      </c>
      <c r="G2358" t="str">
        <f>IF(E2358="","",IF(COUNTIF('DATA QCEW'!$A$2:$A$20,E2358)&gt;0,"19-SECTOR","DETAIL / OTHER"))</f>
        <v/>
      </c>
    </row>
    <row r="2359" spans="4:7">
      <c r="D2359" s="8"/>
      <c r="E2359" t="str">
        <f t="shared" si="72"/>
        <v/>
      </c>
      <c r="F2359" t="str">
        <f t="shared" si="73"/>
        <v/>
      </c>
      <c r="G2359" t="str">
        <f>IF(E2359="","",IF(COUNTIF('DATA QCEW'!$A$2:$A$20,E2359)&gt;0,"19-SECTOR","DETAIL / OTHER"))</f>
        <v/>
      </c>
    </row>
    <row r="2360" spans="4:7">
      <c r="D2360" s="8"/>
      <c r="E2360" t="str">
        <f t="shared" si="72"/>
        <v/>
      </c>
      <c r="F2360" t="str">
        <f t="shared" si="73"/>
        <v/>
      </c>
      <c r="G2360" t="str">
        <f>IF(E2360="","",IF(COUNTIF('DATA QCEW'!$A$2:$A$20,E2360)&gt;0,"19-SECTOR","DETAIL / OTHER"))</f>
        <v/>
      </c>
    </row>
    <row r="2361" spans="4:7">
      <c r="D2361" s="8"/>
      <c r="E2361" t="str">
        <f t="shared" si="72"/>
        <v/>
      </c>
      <c r="F2361" t="str">
        <f t="shared" si="73"/>
        <v/>
      </c>
      <c r="G2361" t="str">
        <f>IF(E2361="","",IF(COUNTIF('DATA QCEW'!$A$2:$A$20,E2361)&gt;0,"19-SECTOR","DETAIL / OTHER"))</f>
        <v/>
      </c>
    </row>
    <row r="2362" spans="4:7">
      <c r="D2362" s="8"/>
      <c r="E2362" t="str">
        <f t="shared" si="72"/>
        <v/>
      </c>
      <c r="F2362" t="str">
        <f t="shared" si="73"/>
        <v/>
      </c>
      <c r="G2362" t="str">
        <f>IF(E2362="","",IF(COUNTIF('DATA QCEW'!$A$2:$A$20,E2362)&gt;0,"19-SECTOR","DETAIL / OTHER"))</f>
        <v/>
      </c>
    </row>
    <row r="2363" spans="4:7">
      <c r="D2363" s="8"/>
      <c r="E2363" t="str">
        <f t="shared" si="72"/>
        <v/>
      </c>
      <c r="F2363" t="str">
        <f t="shared" si="73"/>
        <v/>
      </c>
      <c r="G2363" t="str">
        <f>IF(E2363="","",IF(COUNTIF('DATA QCEW'!$A$2:$A$20,E2363)&gt;0,"19-SECTOR","DETAIL / OTHER"))</f>
        <v/>
      </c>
    </row>
    <row r="2364" spans="4:7">
      <c r="D2364" s="8"/>
      <c r="E2364" t="str">
        <f t="shared" si="72"/>
        <v/>
      </c>
      <c r="F2364" t="str">
        <f t="shared" si="73"/>
        <v/>
      </c>
      <c r="G2364" t="str">
        <f>IF(E2364="","",IF(COUNTIF('DATA QCEW'!$A$2:$A$20,E2364)&gt;0,"19-SECTOR","DETAIL / OTHER"))</f>
        <v/>
      </c>
    </row>
    <row r="2365" spans="4:7">
      <c r="D2365" s="8"/>
      <c r="E2365" t="str">
        <f t="shared" si="72"/>
        <v/>
      </c>
      <c r="F2365" t="str">
        <f t="shared" si="73"/>
        <v/>
      </c>
      <c r="G2365" t="str">
        <f>IF(E2365="","",IF(COUNTIF('DATA QCEW'!$A$2:$A$20,E2365)&gt;0,"19-SECTOR","DETAIL / OTHER"))</f>
        <v/>
      </c>
    </row>
    <row r="2366" spans="4:7">
      <c r="D2366" s="8"/>
      <c r="E2366" t="str">
        <f t="shared" si="72"/>
        <v/>
      </c>
      <c r="F2366" t="str">
        <f t="shared" si="73"/>
        <v/>
      </c>
      <c r="G2366" t="str">
        <f>IF(E2366="","",IF(COUNTIF('DATA QCEW'!$A$2:$A$20,E2366)&gt;0,"19-SECTOR","DETAIL / OTHER"))</f>
        <v/>
      </c>
    </row>
    <row r="2367" spans="4:7">
      <c r="D2367" s="8"/>
      <c r="E2367" t="str">
        <f t="shared" si="72"/>
        <v/>
      </c>
      <c r="F2367" t="str">
        <f t="shared" si="73"/>
        <v/>
      </c>
      <c r="G2367" t="str">
        <f>IF(E2367="","",IF(COUNTIF('DATA QCEW'!$A$2:$A$20,E2367)&gt;0,"19-SECTOR","DETAIL / OTHER"))</f>
        <v/>
      </c>
    </row>
    <row r="2368" spans="4:7">
      <c r="D2368" s="8"/>
      <c r="E2368" t="str">
        <f t="shared" si="72"/>
        <v/>
      </c>
      <c r="F2368" t="str">
        <f t="shared" si="73"/>
        <v/>
      </c>
      <c r="G2368" t="str">
        <f>IF(E2368="","",IF(COUNTIF('DATA QCEW'!$A$2:$A$20,E2368)&gt;0,"19-SECTOR","DETAIL / OTHER"))</f>
        <v/>
      </c>
    </row>
    <row r="2369" spans="4:7">
      <c r="D2369" s="8"/>
      <c r="E2369" t="str">
        <f t="shared" si="72"/>
        <v/>
      </c>
      <c r="F2369" t="str">
        <f t="shared" si="73"/>
        <v/>
      </c>
      <c r="G2369" t="str">
        <f>IF(E2369="","",IF(COUNTIF('DATA QCEW'!$A$2:$A$20,E2369)&gt;0,"19-SECTOR","DETAIL / OTHER"))</f>
        <v/>
      </c>
    </row>
    <row r="2370" spans="4:7">
      <c r="D2370" s="8"/>
      <c r="E2370" t="str">
        <f t="shared" ref="E2370:E2433" si="74">IF(LEFT(TRIM(A2370),6)="NAICS ",IFERROR(MID(TRIM(A2370),7,FIND(" ",TRIM(A2370)&amp;" ",7)-7),""),"")</f>
        <v/>
      </c>
      <c r="F2370" t="str">
        <f t="shared" ref="F2370:F2433" si="75">IF(E2370="","",TRIM(MID(TRIM(A2370),FIND(" ",TRIM(A2370)&amp;" ",7)+1,255)))</f>
        <v/>
      </c>
      <c r="G2370" t="str">
        <f>IF(E2370="","",IF(COUNTIF('DATA QCEW'!$A$2:$A$20,E2370)&gt;0,"19-SECTOR","DETAIL / OTHER"))</f>
        <v/>
      </c>
    </row>
    <row r="2371" spans="4:7">
      <c r="D2371" s="8"/>
      <c r="E2371" t="str">
        <f t="shared" si="74"/>
        <v/>
      </c>
      <c r="F2371" t="str">
        <f t="shared" si="75"/>
        <v/>
      </c>
      <c r="G2371" t="str">
        <f>IF(E2371="","",IF(COUNTIF('DATA QCEW'!$A$2:$A$20,E2371)&gt;0,"19-SECTOR","DETAIL / OTHER"))</f>
        <v/>
      </c>
    </row>
    <row r="2372" spans="4:7">
      <c r="D2372" s="8"/>
      <c r="E2372" t="str">
        <f t="shared" si="74"/>
        <v/>
      </c>
      <c r="F2372" t="str">
        <f t="shared" si="75"/>
        <v/>
      </c>
      <c r="G2372" t="str">
        <f>IF(E2372="","",IF(COUNTIF('DATA QCEW'!$A$2:$A$20,E2372)&gt;0,"19-SECTOR","DETAIL / OTHER"))</f>
        <v/>
      </c>
    </row>
    <row r="2373" spans="4:7">
      <c r="D2373" s="8"/>
      <c r="E2373" t="str">
        <f t="shared" si="74"/>
        <v/>
      </c>
      <c r="F2373" t="str">
        <f t="shared" si="75"/>
        <v/>
      </c>
      <c r="G2373" t="str">
        <f>IF(E2373="","",IF(COUNTIF('DATA QCEW'!$A$2:$A$20,E2373)&gt;0,"19-SECTOR","DETAIL / OTHER"))</f>
        <v/>
      </c>
    </row>
    <row r="2374" spans="4:7">
      <c r="D2374" s="8"/>
      <c r="E2374" t="str">
        <f t="shared" si="74"/>
        <v/>
      </c>
      <c r="F2374" t="str">
        <f t="shared" si="75"/>
        <v/>
      </c>
      <c r="G2374" t="str">
        <f>IF(E2374="","",IF(COUNTIF('DATA QCEW'!$A$2:$A$20,E2374)&gt;0,"19-SECTOR","DETAIL / OTHER"))</f>
        <v/>
      </c>
    </row>
    <row r="2375" spans="4:7">
      <c r="D2375" s="8"/>
      <c r="E2375" t="str">
        <f t="shared" si="74"/>
        <v/>
      </c>
      <c r="F2375" t="str">
        <f t="shared" si="75"/>
        <v/>
      </c>
      <c r="G2375" t="str">
        <f>IF(E2375="","",IF(COUNTIF('DATA QCEW'!$A$2:$A$20,E2375)&gt;0,"19-SECTOR","DETAIL / OTHER"))</f>
        <v/>
      </c>
    </row>
    <row r="2376" spans="4:7">
      <c r="D2376" s="8"/>
      <c r="E2376" t="str">
        <f t="shared" si="74"/>
        <v/>
      </c>
      <c r="F2376" t="str">
        <f t="shared" si="75"/>
        <v/>
      </c>
      <c r="G2376" t="str">
        <f>IF(E2376="","",IF(COUNTIF('DATA QCEW'!$A$2:$A$20,E2376)&gt;0,"19-SECTOR","DETAIL / OTHER"))</f>
        <v/>
      </c>
    </row>
    <row r="2377" spans="4:7">
      <c r="D2377" s="8"/>
      <c r="E2377" t="str">
        <f t="shared" si="74"/>
        <v/>
      </c>
      <c r="F2377" t="str">
        <f t="shared" si="75"/>
        <v/>
      </c>
      <c r="G2377" t="str">
        <f>IF(E2377="","",IF(COUNTIF('DATA QCEW'!$A$2:$A$20,E2377)&gt;0,"19-SECTOR","DETAIL / OTHER"))</f>
        <v/>
      </c>
    </row>
    <row r="2378" spans="4:7">
      <c r="D2378" s="8"/>
      <c r="E2378" t="str">
        <f t="shared" si="74"/>
        <v/>
      </c>
      <c r="F2378" t="str">
        <f t="shared" si="75"/>
        <v/>
      </c>
      <c r="G2378" t="str">
        <f>IF(E2378="","",IF(COUNTIF('DATA QCEW'!$A$2:$A$20,E2378)&gt;0,"19-SECTOR","DETAIL / OTHER"))</f>
        <v/>
      </c>
    </row>
    <row r="2379" spans="4:7">
      <c r="D2379" s="8"/>
      <c r="E2379" t="str">
        <f t="shared" si="74"/>
        <v/>
      </c>
      <c r="F2379" t="str">
        <f t="shared" si="75"/>
        <v/>
      </c>
      <c r="G2379" t="str">
        <f>IF(E2379="","",IF(COUNTIF('DATA QCEW'!$A$2:$A$20,E2379)&gt;0,"19-SECTOR","DETAIL / OTHER"))</f>
        <v/>
      </c>
    </row>
    <row r="2380" spans="4:7">
      <c r="D2380" s="8"/>
      <c r="E2380" t="str">
        <f t="shared" si="74"/>
        <v/>
      </c>
      <c r="F2380" t="str">
        <f t="shared" si="75"/>
        <v/>
      </c>
      <c r="G2380" t="str">
        <f>IF(E2380="","",IF(COUNTIF('DATA QCEW'!$A$2:$A$20,E2380)&gt;0,"19-SECTOR","DETAIL / OTHER"))</f>
        <v/>
      </c>
    </row>
    <row r="2381" spans="4:7">
      <c r="D2381" s="8"/>
      <c r="E2381" t="str">
        <f t="shared" si="74"/>
        <v/>
      </c>
      <c r="F2381" t="str">
        <f t="shared" si="75"/>
        <v/>
      </c>
      <c r="G2381" t="str">
        <f>IF(E2381="","",IF(COUNTIF('DATA QCEW'!$A$2:$A$20,E2381)&gt;0,"19-SECTOR","DETAIL / OTHER"))</f>
        <v/>
      </c>
    </row>
    <row r="2382" spans="4:7">
      <c r="D2382" s="8"/>
      <c r="E2382" t="str">
        <f t="shared" si="74"/>
        <v/>
      </c>
      <c r="F2382" t="str">
        <f t="shared" si="75"/>
        <v/>
      </c>
      <c r="G2382" t="str">
        <f>IF(E2382="","",IF(COUNTIF('DATA QCEW'!$A$2:$A$20,E2382)&gt;0,"19-SECTOR","DETAIL / OTHER"))</f>
        <v/>
      </c>
    </row>
    <row r="2383" spans="4:7">
      <c r="D2383" s="8"/>
      <c r="E2383" t="str">
        <f t="shared" si="74"/>
        <v/>
      </c>
      <c r="F2383" t="str">
        <f t="shared" si="75"/>
        <v/>
      </c>
      <c r="G2383" t="str">
        <f>IF(E2383="","",IF(COUNTIF('DATA QCEW'!$A$2:$A$20,E2383)&gt;0,"19-SECTOR","DETAIL / OTHER"))</f>
        <v/>
      </c>
    </row>
    <row r="2384" spans="4:7">
      <c r="D2384" s="8"/>
      <c r="E2384" t="str">
        <f t="shared" si="74"/>
        <v/>
      </c>
      <c r="F2384" t="str">
        <f t="shared" si="75"/>
        <v/>
      </c>
      <c r="G2384" t="str">
        <f>IF(E2384="","",IF(COUNTIF('DATA QCEW'!$A$2:$A$20,E2384)&gt;0,"19-SECTOR","DETAIL / OTHER"))</f>
        <v/>
      </c>
    </row>
    <row r="2385" spans="4:7">
      <c r="D2385" s="8"/>
      <c r="E2385" t="str">
        <f t="shared" si="74"/>
        <v/>
      </c>
      <c r="F2385" t="str">
        <f t="shared" si="75"/>
        <v/>
      </c>
      <c r="G2385" t="str">
        <f>IF(E2385="","",IF(COUNTIF('DATA QCEW'!$A$2:$A$20,E2385)&gt;0,"19-SECTOR","DETAIL / OTHER"))</f>
        <v/>
      </c>
    </row>
    <row r="2386" spans="4:7">
      <c r="D2386" s="8"/>
      <c r="E2386" t="str">
        <f t="shared" si="74"/>
        <v/>
      </c>
      <c r="F2386" t="str">
        <f t="shared" si="75"/>
        <v/>
      </c>
      <c r="G2386" t="str">
        <f>IF(E2386="","",IF(COUNTIF('DATA QCEW'!$A$2:$A$20,E2386)&gt;0,"19-SECTOR","DETAIL / OTHER"))</f>
        <v/>
      </c>
    </row>
    <row r="2387" spans="4:7">
      <c r="D2387" s="8"/>
      <c r="E2387" t="str">
        <f t="shared" si="74"/>
        <v/>
      </c>
      <c r="F2387" t="str">
        <f t="shared" si="75"/>
        <v/>
      </c>
      <c r="G2387" t="str">
        <f>IF(E2387="","",IF(COUNTIF('DATA QCEW'!$A$2:$A$20,E2387)&gt;0,"19-SECTOR","DETAIL / OTHER"))</f>
        <v/>
      </c>
    </row>
    <row r="2388" spans="4:7">
      <c r="D2388" s="8"/>
      <c r="E2388" t="str">
        <f t="shared" si="74"/>
        <v/>
      </c>
      <c r="F2388" t="str">
        <f t="shared" si="75"/>
        <v/>
      </c>
      <c r="G2388" t="str">
        <f>IF(E2388="","",IF(COUNTIF('DATA QCEW'!$A$2:$A$20,E2388)&gt;0,"19-SECTOR","DETAIL / OTHER"))</f>
        <v/>
      </c>
    </row>
    <row r="2389" spans="4:7">
      <c r="D2389" s="8"/>
      <c r="E2389" t="str">
        <f t="shared" si="74"/>
        <v/>
      </c>
      <c r="F2389" t="str">
        <f t="shared" si="75"/>
        <v/>
      </c>
      <c r="G2389" t="str">
        <f>IF(E2389="","",IF(COUNTIF('DATA QCEW'!$A$2:$A$20,E2389)&gt;0,"19-SECTOR","DETAIL / OTHER"))</f>
        <v/>
      </c>
    </row>
    <row r="2390" spans="4:7">
      <c r="D2390" s="8"/>
      <c r="E2390" t="str">
        <f t="shared" si="74"/>
        <v/>
      </c>
      <c r="F2390" t="str">
        <f t="shared" si="75"/>
        <v/>
      </c>
      <c r="G2390" t="str">
        <f>IF(E2390="","",IF(COUNTIF('DATA QCEW'!$A$2:$A$20,E2390)&gt;0,"19-SECTOR","DETAIL / OTHER"))</f>
        <v/>
      </c>
    </row>
    <row r="2391" spans="4:7">
      <c r="D2391" s="8"/>
      <c r="E2391" t="str">
        <f t="shared" si="74"/>
        <v/>
      </c>
      <c r="F2391" t="str">
        <f t="shared" si="75"/>
        <v/>
      </c>
      <c r="G2391" t="str">
        <f>IF(E2391="","",IF(COUNTIF('DATA QCEW'!$A$2:$A$20,E2391)&gt;0,"19-SECTOR","DETAIL / OTHER"))</f>
        <v/>
      </c>
    </row>
    <row r="2392" spans="4:7">
      <c r="D2392" s="8"/>
      <c r="E2392" t="str">
        <f t="shared" si="74"/>
        <v/>
      </c>
      <c r="F2392" t="str">
        <f t="shared" si="75"/>
        <v/>
      </c>
      <c r="G2392" t="str">
        <f>IF(E2392="","",IF(COUNTIF('DATA QCEW'!$A$2:$A$20,E2392)&gt;0,"19-SECTOR","DETAIL / OTHER"))</f>
        <v/>
      </c>
    </row>
    <row r="2393" spans="4:7">
      <c r="D2393" s="8"/>
      <c r="E2393" t="str">
        <f t="shared" si="74"/>
        <v/>
      </c>
      <c r="F2393" t="str">
        <f t="shared" si="75"/>
        <v/>
      </c>
      <c r="G2393" t="str">
        <f>IF(E2393="","",IF(COUNTIF('DATA QCEW'!$A$2:$A$20,E2393)&gt;0,"19-SECTOR","DETAIL / OTHER"))</f>
        <v/>
      </c>
    </row>
    <row r="2394" spans="4:7">
      <c r="D2394" s="8"/>
      <c r="E2394" t="str">
        <f t="shared" si="74"/>
        <v/>
      </c>
      <c r="F2394" t="str">
        <f t="shared" si="75"/>
        <v/>
      </c>
      <c r="G2394" t="str">
        <f>IF(E2394="","",IF(COUNTIF('DATA QCEW'!$A$2:$A$20,E2394)&gt;0,"19-SECTOR","DETAIL / OTHER"))</f>
        <v/>
      </c>
    </row>
    <row r="2395" spans="4:7">
      <c r="D2395" s="8"/>
      <c r="E2395" t="str">
        <f t="shared" si="74"/>
        <v/>
      </c>
      <c r="F2395" t="str">
        <f t="shared" si="75"/>
        <v/>
      </c>
      <c r="G2395" t="str">
        <f>IF(E2395="","",IF(COUNTIF('DATA QCEW'!$A$2:$A$20,E2395)&gt;0,"19-SECTOR","DETAIL / OTHER"))</f>
        <v/>
      </c>
    </row>
    <row r="2396" spans="4:7">
      <c r="D2396" s="8"/>
      <c r="E2396" t="str">
        <f t="shared" si="74"/>
        <v/>
      </c>
      <c r="F2396" t="str">
        <f t="shared" si="75"/>
        <v/>
      </c>
      <c r="G2396" t="str">
        <f>IF(E2396="","",IF(COUNTIF('DATA QCEW'!$A$2:$A$20,E2396)&gt;0,"19-SECTOR","DETAIL / OTHER"))</f>
        <v/>
      </c>
    </row>
    <row r="2397" spans="4:7">
      <c r="D2397" s="8"/>
      <c r="E2397" t="str">
        <f t="shared" si="74"/>
        <v/>
      </c>
      <c r="F2397" t="str">
        <f t="shared" si="75"/>
        <v/>
      </c>
      <c r="G2397" t="str">
        <f>IF(E2397="","",IF(COUNTIF('DATA QCEW'!$A$2:$A$20,E2397)&gt;0,"19-SECTOR","DETAIL / OTHER"))</f>
        <v/>
      </c>
    </row>
    <row r="2398" spans="4:7">
      <c r="D2398" s="8"/>
      <c r="E2398" t="str">
        <f t="shared" si="74"/>
        <v/>
      </c>
      <c r="F2398" t="str">
        <f t="shared" si="75"/>
        <v/>
      </c>
      <c r="G2398" t="str">
        <f>IF(E2398="","",IF(COUNTIF('DATA QCEW'!$A$2:$A$20,E2398)&gt;0,"19-SECTOR","DETAIL / OTHER"))</f>
        <v/>
      </c>
    </row>
    <row r="2399" spans="4:7">
      <c r="D2399" s="8"/>
      <c r="E2399" t="str">
        <f t="shared" si="74"/>
        <v/>
      </c>
      <c r="F2399" t="str">
        <f t="shared" si="75"/>
        <v/>
      </c>
      <c r="G2399" t="str">
        <f>IF(E2399="","",IF(COUNTIF('DATA QCEW'!$A$2:$A$20,E2399)&gt;0,"19-SECTOR","DETAIL / OTHER"))</f>
        <v/>
      </c>
    </row>
    <row r="2400" spans="4:7">
      <c r="D2400" s="8"/>
      <c r="E2400" t="str">
        <f t="shared" si="74"/>
        <v/>
      </c>
      <c r="F2400" t="str">
        <f t="shared" si="75"/>
        <v/>
      </c>
      <c r="G2400" t="str">
        <f>IF(E2400="","",IF(COUNTIF('DATA QCEW'!$A$2:$A$20,E2400)&gt;0,"19-SECTOR","DETAIL / OTHER"))</f>
        <v/>
      </c>
    </row>
    <row r="2401" spans="4:7">
      <c r="D2401" s="8"/>
      <c r="E2401" t="str">
        <f t="shared" si="74"/>
        <v/>
      </c>
      <c r="F2401" t="str">
        <f t="shared" si="75"/>
        <v/>
      </c>
      <c r="G2401" t="str">
        <f>IF(E2401="","",IF(COUNTIF('DATA QCEW'!$A$2:$A$20,E2401)&gt;0,"19-SECTOR","DETAIL / OTHER"))</f>
        <v/>
      </c>
    </row>
    <row r="2402" spans="4:7">
      <c r="D2402" s="8"/>
      <c r="E2402" t="str">
        <f t="shared" si="74"/>
        <v/>
      </c>
      <c r="F2402" t="str">
        <f t="shared" si="75"/>
        <v/>
      </c>
      <c r="G2402" t="str">
        <f>IF(E2402="","",IF(COUNTIF('DATA QCEW'!$A$2:$A$20,E2402)&gt;0,"19-SECTOR","DETAIL / OTHER"))</f>
        <v/>
      </c>
    </row>
    <row r="2403" spans="4:7">
      <c r="D2403" s="8"/>
      <c r="E2403" t="str">
        <f t="shared" si="74"/>
        <v/>
      </c>
      <c r="F2403" t="str">
        <f t="shared" si="75"/>
        <v/>
      </c>
      <c r="G2403" t="str">
        <f>IF(E2403="","",IF(COUNTIF('DATA QCEW'!$A$2:$A$20,E2403)&gt;0,"19-SECTOR","DETAIL / OTHER"))</f>
        <v/>
      </c>
    </row>
    <row r="2404" spans="4:7">
      <c r="D2404" s="8"/>
      <c r="E2404" t="str">
        <f t="shared" si="74"/>
        <v/>
      </c>
      <c r="F2404" t="str">
        <f t="shared" si="75"/>
        <v/>
      </c>
      <c r="G2404" t="str">
        <f>IF(E2404="","",IF(COUNTIF('DATA QCEW'!$A$2:$A$20,E2404)&gt;0,"19-SECTOR","DETAIL / OTHER"))</f>
        <v/>
      </c>
    </row>
    <row r="2405" spans="4:7">
      <c r="D2405" s="8"/>
      <c r="E2405" t="str">
        <f t="shared" si="74"/>
        <v/>
      </c>
      <c r="F2405" t="str">
        <f t="shared" si="75"/>
        <v/>
      </c>
      <c r="G2405" t="str">
        <f>IF(E2405="","",IF(COUNTIF('DATA QCEW'!$A$2:$A$20,E2405)&gt;0,"19-SECTOR","DETAIL / OTHER"))</f>
        <v/>
      </c>
    </row>
    <row r="2406" spans="4:7">
      <c r="D2406" s="8"/>
      <c r="E2406" t="str">
        <f t="shared" si="74"/>
        <v/>
      </c>
      <c r="F2406" t="str">
        <f t="shared" si="75"/>
        <v/>
      </c>
      <c r="G2406" t="str">
        <f>IF(E2406="","",IF(COUNTIF('DATA QCEW'!$A$2:$A$20,E2406)&gt;0,"19-SECTOR","DETAIL / OTHER"))</f>
        <v/>
      </c>
    </row>
    <row r="2407" spans="4:7">
      <c r="D2407" s="8"/>
      <c r="E2407" t="str">
        <f t="shared" si="74"/>
        <v/>
      </c>
      <c r="F2407" t="str">
        <f t="shared" si="75"/>
        <v/>
      </c>
      <c r="G2407" t="str">
        <f>IF(E2407="","",IF(COUNTIF('DATA QCEW'!$A$2:$A$20,E2407)&gt;0,"19-SECTOR","DETAIL / OTHER"))</f>
        <v/>
      </c>
    </row>
    <row r="2408" spans="4:7">
      <c r="D2408" s="8"/>
      <c r="E2408" t="str">
        <f t="shared" si="74"/>
        <v/>
      </c>
      <c r="F2408" t="str">
        <f t="shared" si="75"/>
        <v/>
      </c>
      <c r="G2408" t="str">
        <f>IF(E2408="","",IF(COUNTIF('DATA QCEW'!$A$2:$A$20,E2408)&gt;0,"19-SECTOR","DETAIL / OTHER"))</f>
        <v/>
      </c>
    </row>
    <row r="2409" spans="4:7">
      <c r="D2409" s="8"/>
      <c r="E2409" t="str">
        <f t="shared" si="74"/>
        <v/>
      </c>
      <c r="F2409" t="str">
        <f t="shared" si="75"/>
        <v/>
      </c>
      <c r="G2409" t="str">
        <f>IF(E2409="","",IF(COUNTIF('DATA QCEW'!$A$2:$A$20,E2409)&gt;0,"19-SECTOR","DETAIL / OTHER"))</f>
        <v/>
      </c>
    </row>
    <row r="2410" spans="4:7">
      <c r="D2410" s="8"/>
      <c r="E2410" t="str">
        <f t="shared" si="74"/>
        <v/>
      </c>
      <c r="F2410" t="str">
        <f t="shared" si="75"/>
        <v/>
      </c>
      <c r="G2410" t="str">
        <f>IF(E2410="","",IF(COUNTIF('DATA QCEW'!$A$2:$A$20,E2410)&gt;0,"19-SECTOR","DETAIL / OTHER"))</f>
        <v/>
      </c>
    </row>
    <row r="2411" spans="4:7">
      <c r="D2411" s="8"/>
      <c r="E2411" t="str">
        <f t="shared" si="74"/>
        <v/>
      </c>
      <c r="F2411" t="str">
        <f t="shared" si="75"/>
        <v/>
      </c>
      <c r="G2411" t="str">
        <f>IF(E2411="","",IF(COUNTIF('DATA QCEW'!$A$2:$A$20,E2411)&gt;0,"19-SECTOR","DETAIL / OTHER"))</f>
        <v/>
      </c>
    </row>
    <row r="2412" spans="4:7">
      <c r="D2412" s="8"/>
      <c r="E2412" t="str">
        <f t="shared" si="74"/>
        <v/>
      </c>
      <c r="F2412" t="str">
        <f t="shared" si="75"/>
        <v/>
      </c>
      <c r="G2412" t="str">
        <f>IF(E2412="","",IF(COUNTIF('DATA QCEW'!$A$2:$A$20,E2412)&gt;0,"19-SECTOR","DETAIL / OTHER"))</f>
        <v/>
      </c>
    </row>
    <row r="2413" spans="4:7">
      <c r="D2413" s="8"/>
      <c r="E2413" t="str">
        <f t="shared" si="74"/>
        <v/>
      </c>
      <c r="F2413" t="str">
        <f t="shared" si="75"/>
        <v/>
      </c>
      <c r="G2413" t="str">
        <f>IF(E2413="","",IF(COUNTIF('DATA QCEW'!$A$2:$A$20,E2413)&gt;0,"19-SECTOR","DETAIL / OTHER"))</f>
        <v/>
      </c>
    </row>
    <row r="2414" spans="4:7">
      <c r="D2414" s="8"/>
      <c r="E2414" t="str">
        <f t="shared" si="74"/>
        <v/>
      </c>
      <c r="F2414" t="str">
        <f t="shared" si="75"/>
        <v/>
      </c>
      <c r="G2414" t="str">
        <f>IF(E2414="","",IF(COUNTIF('DATA QCEW'!$A$2:$A$20,E2414)&gt;0,"19-SECTOR","DETAIL / OTHER"))</f>
        <v/>
      </c>
    </row>
    <row r="2415" spans="4:7">
      <c r="D2415" s="8"/>
      <c r="E2415" t="str">
        <f t="shared" si="74"/>
        <v/>
      </c>
      <c r="F2415" t="str">
        <f t="shared" si="75"/>
        <v/>
      </c>
      <c r="G2415" t="str">
        <f>IF(E2415="","",IF(COUNTIF('DATA QCEW'!$A$2:$A$20,E2415)&gt;0,"19-SECTOR","DETAIL / OTHER"))</f>
        <v/>
      </c>
    </row>
    <row r="2416" spans="4:7">
      <c r="D2416" s="8"/>
      <c r="E2416" t="str">
        <f t="shared" si="74"/>
        <v/>
      </c>
      <c r="F2416" t="str">
        <f t="shared" si="75"/>
        <v/>
      </c>
      <c r="G2416" t="str">
        <f>IF(E2416="","",IF(COUNTIF('DATA QCEW'!$A$2:$A$20,E2416)&gt;0,"19-SECTOR","DETAIL / OTHER"))</f>
        <v/>
      </c>
    </row>
    <row r="2417" spans="4:7">
      <c r="D2417" s="8"/>
      <c r="E2417" t="str">
        <f t="shared" si="74"/>
        <v/>
      </c>
      <c r="F2417" t="str">
        <f t="shared" si="75"/>
        <v/>
      </c>
      <c r="G2417" t="str">
        <f>IF(E2417="","",IF(COUNTIF('DATA QCEW'!$A$2:$A$20,E2417)&gt;0,"19-SECTOR","DETAIL / OTHER"))</f>
        <v/>
      </c>
    </row>
    <row r="2418" spans="4:7">
      <c r="D2418" s="8"/>
      <c r="E2418" t="str">
        <f t="shared" si="74"/>
        <v/>
      </c>
      <c r="F2418" t="str">
        <f t="shared" si="75"/>
        <v/>
      </c>
      <c r="G2418" t="str">
        <f>IF(E2418="","",IF(COUNTIF('DATA QCEW'!$A$2:$A$20,E2418)&gt;0,"19-SECTOR","DETAIL / OTHER"))</f>
        <v/>
      </c>
    </row>
    <row r="2419" spans="4:7">
      <c r="D2419" s="8"/>
      <c r="E2419" t="str">
        <f t="shared" si="74"/>
        <v/>
      </c>
      <c r="F2419" t="str">
        <f t="shared" si="75"/>
        <v/>
      </c>
      <c r="G2419" t="str">
        <f>IF(E2419="","",IF(COUNTIF('DATA QCEW'!$A$2:$A$20,E2419)&gt;0,"19-SECTOR","DETAIL / OTHER"))</f>
        <v/>
      </c>
    </row>
    <row r="2420" spans="4:7">
      <c r="D2420" s="8"/>
      <c r="E2420" t="str">
        <f t="shared" si="74"/>
        <v/>
      </c>
      <c r="F2420" t="str">
        <f t="shared" si="75"/>
        <v/>
      </c>
      <c r="G2420" t="str">
        <f>IF(E2420="","",IF(COUNTIF('DATA QCEW'!$A$2:$A$20,E2420)&gt;0,"19-SECTOR","DETAIL / OTHER"))</f>
        <v/>
      </c>
    </row>
    <row r="2421" spans="4:7">
      <c r="D2421" s="8"/>
      <c r="E2421" t="str">
        <f t="shared" si="74"/>
        <v/>
      </c>
      <c r="F2421" t="str">
        <f t="shared" si="75"/>
        <v/>
      </c>
      <c r="G2421" t="str">
        <f>IF(E2421="","",IF(COUNTIF('DATA QCEW'!$A$2:$A$20,E2421)&gt;0,"19-SECTOR","DETAIL / OTHER"))</f>
        <v/>
      </c>
    </row>
    <row r="2422" spans="4:7">
      <c r="D2422" s="8"/>
      <c r="E2422" t="str">
        <f t="shared" si="74"/>
        <v/>
      </c>
      <c r="F2422" t="str">
        <f t="shared" si="75"/>
        <v/>
      </c>
      <c r="G2422" t="str">
        <f>IF(E2422="","",IF(COUNTIF('DATA QCEW'!$A$2:$A$20,E2422)&gt;0,"19-SECTOR","DETAIL / OTHER"))</f>
        <v/>
      </c>
    </row>
    <row r="2423" spans="4:7">
      <c r="D2423" s="8"/>
      <c r="E2423" t="str">
        <f t="shared" si="74"/>
        <v/>
      </c>
      <c r="F2423" t="str">
        <f t="shared" si="75"/>
        <v/>
      </c>
      <c r="G2423" t="str">
        <f>IF(E2423="","",IF(COUNTIF('DATA QCEW'!$A$2:$A$20,E2423)&gt;0,"19-SECTOR","DETAIL / OTHER"))</f>
        <v/>
      </c>
    </row>
    <row r="2424" spans="4:7">
      <c r="D2424" s="8"/>
      <c r="E2424" t="str">
        <f t="shared" si="74"/>
        <v/>
      </c>
      <c r="F2424" t="str">
        <f t="shared" si="75"/>
        <v/>
      </c>
      <c r="G2424" t="str">
        <f>IF(E2424="","",IF(COUNTIF('DATA QCEW'!$A$2:$A$20,E2424)&gt;0,"19-SECTOR","DETAIL / OTHER"))</f>
        <v/>
      </c>
    </row>
    <row r="2425" spans="4:7">
      <c r="D2425" s="8"/>
      <c r="E2425" t="str">
        <f t="shared" si="74"/>
        <v/>
      </c>
      <c r="F2425" t="str">
        <f t="shared" si="75"/>
        <v/>
      </c>
      <c r="G2425" t="str">
        <f>IF(E2425="","",IF(COUNTIF('DATA QCEW'!$A$2:$A$20,E2425)&gt;0,"19-SECTOR","DETAIL / OTHER"))</f>
        <v/>
      </c>
    </row>
    <row r="2426" spans="4:7">
      <c r="D2426" s="8"/>
      <c r="E2426" t="str">
        <f t="shared" si="74"/>
        <v/>
      </c>
      <c r="F2426" t="str">
        <f t="shared" si="75"/>
        <v/>
      </c>
      <c r="G2426" t="str">
        <f>IF(E2426="","",IF(COUNTIF('DATA QCEW'!$A$2:$A$20,E2426)&gt;0,"19-SECTOR","DETAIL / OTHER"))</f>
        <v/>
      </c>
    </row>
    <row r="2427" spans="4:7">
      <c r="D2427" s="8"/>
      <c r="E2427" t="str">
        <f t="shared" si="74"/>
        <v/>
      </c>
      <c r="F2427" t="str">
        <f t="shared" si="75"/>
        <v/>
      </c>
      <c r="G2427" t="str">
        <f>IF(E2427="","",IF(COUNTIF('DATA QCEW'!$A$2:$A$20,E2427)&gt;0,"19-SECTOR","DETAIL / OTHER"))</f>
        <v/>
      </c>
    </row>
    <row r="2428" spans="4:7">
      <c r="D2428" s="8"/>
      <c r="E2428" t="str">
        <f t="shared" si="74"/>
        <v/>
      </c>
      <c r="F2428" t="str">
        <f t="shared" si="75"/>
        <v/>
      </c>
      <c r="G2428" t="str">
        <f>IF(E2428="","",IF(COUNTIF('DATA QCEW'!$A$2:$A$20,E2428)&gt;0,"19-SECTOR","DETAIL / OTHER"))</f>
        <v/>
      </c>
    </row>
    <row r="2429" spans="4:7">
      <c r="D2429" s="8"/>
      <c r="E2429" t="str">
        <f t="shared" si="74"/>
        <v/>
      </c>
      <c r="F2429" t="str">
        <f t="shared" si="75"/>
        <v/>
      </c>
      <c r="G2429" t="str">
        <f>IF(E2429="","",IF(COUNTIF('DATA QCEW'!$A$2:$A$20,E2429)&gt;0,"19-SECTOR","DETAIL / OTHER"))</f>
        <v/>
      </c>
    </row>
    <row r="2430" spans="4:7">
      <c r="D2430" s="8"/>
      <c r="E2430" t="str">
        <f t="shared" si="74"/>
        <v/>
      </c>
      <c r="F2430" t="str">
        <f t="shared" si="75"/>
        <v/>
      </c>
      <c r="G2430" t="str">
        <f>IF(E2430="","",IF(COUNTIF('DATA QCEW'!$A$2:$A$20,E2430)&gt;0,"19-SECTOR","DETAIL / OTHER"))</f>
        <v/>
      </c>
    </row>
    <row r="2431" spans="4:7">
      <c r="D2431" s="8"/>
      <c r="E2431" t="str">
        <f t="shared" si="74"/>
        <v/>
      </c>
      <c r="F2431" t="str">
        <f t="shared" si="75"/>
        <v/>
      </c>
      <c r="G2431" t="str">
        <f>IF(E2431="","",IF(COUNTIF('DATA QCEW'!$A$2:$A$20,E2431)&gt;0,"19-SECTOR","DETAIL / OTHER"))</f>
        <v/>
      </c>
    </row>
    <row r="2432" spans="4:7">
      <c r="D2432" s="8"/>
      <c r="E2432" t="str">
        <f t="shared" si="74"/>
        <v/>
      </c>
      <c r="F2432" t="str">
        <f t="shared" si="75"/>
        <v/>
      </c>
      <c r="G2432" t="str">
        <f>IF(E2432="","",IF(COUNTIF('DATA QCEW'!$A$2:$A$20,E2432)&gt;0,"19-SECTOR","DETAIL / OTHER"))</f>
        <v/>
      </c>
    </row>
    <row r="2433" spans="4:7">
      <c r="D2433" s="8"/>
      <c r="E2433" t="str">
        <f t="shared" si="74"/>
        <v/>
      </c>
      <c r="F2433" t="str">
        <f t="shared" si="75"/>
        <v/>
      </c>
      <c r="G2433" t="str">
        <f>IF(E2433="","",IF(COUNTIF('DATA QCEW'!$A$2:$A$20,E2433)&gt;0,"19-SECTOR","DETAIL / OTHER"))</f>
        <v/>
      </c>
    </row>
    <row r="2434" spans="4:7">
      <c r="D2434" s="8"/>
      <c r="E2434" t="str">
        <f t="shared" ref="E2434:E2497" si="76">IF(LEFT(TRIM(A2434),6)="NAICS ",IFERROR(MID(TRIM(A2434),7,FIND(" ",TRIM(A2434)&amp;" ",7)-7),""),"")</f>
        <v/>
      </c>
      <c r="F2434" t="str">
        <f t="shared" ref="F2434:F2497" si="77">IF(E2434="","",TRIM(MID(TRIM(A2434),FIND(" ",TRIM(A2434)&amp;" ",7)+1,255)))</f>
        <v/>
      </c>
      <c r="G2434" t="str">
        <f>IF(E2434="","",IF(COUNTIF('DATA QCEW'!$A$2:$A$20,E2434)&gt;0,"19-SECTOR","DETAIL / OTHER"))</f>
        <v/>
      </c>
    </row>
    <row r="2435" spans="4:7">
      <c r="D2435" s="8"/>
      <c r="E2435" t="str">
        <f t="shared" si="76"/>
        <v/>
      </c>
      <c r="F2435" t="str">
        <f t="shared" si="77"/>
        <v/>
      </c>
      <c r="G2435" t="str">
        <f>IF(E2435="","",IF(COUNTIF('DATA QCEW'!$A$2:$A$20,E2435)&gt;0,"19-SECTOR","DETAIL / OTHER"))</f>
        <v/>
      </c>
    </row>
    <row r="2436" spans="4:7">
      <c r="D2436" s="8"/>
      <c r="E2436" t="str">
        <f t="shared" si="76"/>
        <v/>
      </c>
      <c r="F2436" t="str">
        <f t="shared" si="77"/>
        <v/>
      </c>
      <c r="G2436" t="str">
        <f>IF(E2436="","",IF(COUNTIF('DATA QCEW'!$A$2:$A$20,E2436)&gt;0,"19-SECTOR","DETAIL / OTHER"))</f>
        <v/>
      </c>
    </row>
    <row r="2437" spans="4:7">
      <c r="D2437" s="8"/>
      <c r="E2437" t="str">
        <f t="shared" si="76"/>
        <v/>
      </c>
      <c r="F2437" t="str">
        <f t="shared" si="77"/>
        <v/>
      </c>
      <c r="G2437" t="str">
        <f>IF(E2437="","",IF(COUNTIF('DATA QCEW'!$A$2:$A$20,E2437)&gt;0,"19-SECTOR","DETAIL / OTHER"))</f>
        <v/>
      </c>
    </row>
    <row r="2438" spans="4:7">
      <c r="D2438" s="8"/>
      <c r="E2438" t="str">
        <f t="shared" si="76"/>
        <v/>
      </c>
      <c r="F2438" t="str">
        <f t="shared" si="77"/>
        <v/>
      </c>
      <c r="G2438" t="str">
        <f>IF(E2438="","",IF(COUNTIF('DATA QCEW'!$A$2:$A$20,E2438)&gt;0,"19-SECTOR","DETAIL / OTHER"))</f>
        <v/>
      </c>
    </row>
    <row r="2439" spans="4:7">
      <c r="D2439" s="8"/>
      <c r="E2439" t="str">
        <f t="shared" si="76"/>
        <v/>
      </c>
      <c r="F2439" t="str">
        <f t="shared" si="77"/>
        <v/>
      </c>
      <c r="G2439" t="str">
        <f>IF(E2439="","",IF(COUNTIF('DATA QCEW'!$A$2:$A$20,E2439)&gt;0,"19-SECTOR","DETAIL / OTHER"))</f>
        <v/>
      </c>
    </row>
    <row r="2440" spans="4:7">
      <c r="D2440" s="8"/>
      <c r="E2440" t="str">
        <f t="shared" si="76"/>
        <v/>
      </c>
      <c r="F2440" t="str">
        <f t="shared" si="77"/>
        <v/>
      </c>
      <c r="G2440" t="str">
        <f>IF(E2440="","",IF(COUNTIF('DATA QCEW'!$A$2:$A$20,E2440)&gt;0,"19-SECTOR","DETAIL / OTHER"))</f>
        <v/>
      </c>
    </row>
    <row r="2441" spans="4:7">
      <c r="D2441" s="8"/>
      <c r="E2441" t="str">
        <f t="shared" si="76"/>
        <v/>
      </c>
      <c r="F2441" t="str">
        <f t="shared" si="77"/>
        <v/>
      </c>
      <c r="G2441" t="str">
        <f>IF(E2441="","",IF(COUNTIF('DATA QCEW'!$A$2:$A$20,E2441)&gt;0,"19-SECTOR","DETAIL / OTHER"))</f>
        <v/>
      </c>
    </row>
    <row r="2442" spans="4:7">
      <c r="D2442" s="8"/>
      <c r="E2442" t="str">
        <f t="shared" si="76"/>
        <v/>
      </c>
      <c r="F2442" t="str">
        <f t="shared" si="77"/>
        <v/>
      </c>
      <c r="G2442" t="str">
        <f>IF(E2442="","",IF(COUNTIF('DATA QCEW'!$A$2:$A$20,E2442)&gt;0,"19-SECTOR","DETAIL / OTHER"))</f>
        <v/>
      </c>
    </row>
    <row r="2443" spans="4:7">
      <c r="D2443" s="8"/>
      <c r="E2443" t="str">
        <f t="shared" si="76"/>
        <v/>
      </c>
      <c r="F2443" t="str">
        <f t="shared" si="77"/>
        <v/>
      </c>
      <c r="G2443" t="str">
        <f>IF(E2443="","",IF(COUNTIF('DATA QCEW'!$A$2:$A$20,E2443)&gt;0,"19-SECTOR","DETAIL / OTHER"))</f>
        <v/>
      </c>
    </row>
    <row r="2444" spans="4:7">
      <c r="D2444" s="8"/>
      <c r="E2444" t="str">
        <f t="shared" si="76"/>
        <v/>
      </c>
      <c r="F2444" t="str">
        <f t="shared" si="77"/>
        <v/>
      </c>
      <c r="G2444" t="str">
        <f>IF(E2444="","",IF(COUNTIF('DATA QCEW'!$A$2:$A$20,E2444)&gt;0,"19-SECTOR","DETAIL / OTHER"))</f>
        <v/>
      </c>
    </row>
    <row r="2445" spans="4:7">
      <c r="D2445" s="8"/>
      <c r="E2445" t="str">
        <f t="shared" si="76"/>
        <v/>
      </c>
      <c r="F2445" t="str">
        <f t="shared" si="77"/>
        <v/>
      </c>
      <c r="G2445" t="str">
        <f>IF(E2445="","",IF(COUNTIF('DATA QCEW'!$A$2:$A$20,E2445)&gt;0,"19-SECTOR","DETAIL / OTHER"))</f>
        <v/>
      </c>
    </row>
    <row r="2446" spans="4:7">
      <c r="D2446" s="8"/>
      <c r="E2446" t="str">
        <f t="shared" si="76"/>
        <v/>
      </c>
      <c r="F2446" t="str">
        <f t="shared" si="77"/>
        <v/>
      </c>
      <c r="G2446" t="str">
        <f>IF(E2446="","",IF(COUNTIF('DATA QCEW'!$A$2:$A$20,E2446)&gt;0,"19-SECTOR","DETAIL / OTHER"))</f>
        <v/>
      </c>
    </row>
    <row r="2447" spans="4:7">
      <c r="D2447" s="8"/>
      <c r="E2447" t="str">
        <f t="shared" si="76"/>
        <v/>
      </c>
      <c r="F2447" t="str">
        <f t="shared" si="77"/>
        <v/>
      </c>
      <c r="G2447" t="str">
        <f>IF(E2447="","",IF(COUNTIF('DATA QCEW'!$A$2:$A$20,E2447)&gt;0,"19-SECTOR","DETAIL / OTHER"))</f>
        <v/>
      </c>
    </row>
    <row r="2448" spans="4:7">
      <c r="D2448" s="8"/>
      <c r="E2448" t="str">
        <f t="shared" si="76"/>
        <v/>
      </c>
      <c r="F2448" t="str">
        <f t="shared" si="77"/>
        <v/>
      </c>
      <c r="G2448" t="str">
        <f>IF(E2448="","",IF(COUNTIF('DATA QCEW'!$A$2:$A$20,E2448)&gt;0,"19-SECTOR","DETAIL / OTHER"))</f>
        <v/>
      </c>
    </row>
    <row r="2449" spans="4:7">
      <c r="D2449" s="8"/>
      <c r="E2449" t="str">
        <f t="shared" si="76"/>
        <v/>
      </c>
      <c r="F2449" t="str">
        <f t="shared" si="77"/>
        <v/>
      </c>
      <c r="G2449" t="str">
        <f>IF(E2449="","",IF(COUNTIF('DATA QCEW'!$A$2:$A$20,E2449)&gt;0,"19-SECTOR","DETAIL / OTHER"))</f>
        <v/>
      </c>
    </row>
    <row r="2450" spans="4:7">
      <c r="D2450" s="8"/>
      <c r="E2450" t="str">
        <f t="shared" si="76"/>
        <v/>
      </c>
      <c r="F2450" t="str">
        <f t="shared" si="77"/>
        <v/>
      </c>
      <c r="G2450" t="str">
        <f>IF(E2450="","",IF(COUNTIF('DATA QCEW'!$A$2:$A$20,E2450)&gt;0,"19-SECTOR","DETAIL / OTHER"))</f>
        <v/>
      </c>
    </row>
    <row r="2451" spans="4:7">
      <c r="D2451" s="8"/>
      <c r="E2451" t="str">
        <f t="shared" si="76"/>
        <v/>
      </c>
      <c r="F2451" t="str">
        <f t="shared" si="77"/>
        <v/>
      </c>
      <c r="G2451" t="str">
        <f>IF(E2451="","",IF(COUNTIF('DATA QCEW'!$A$2:$A$20,E2451)&gt;0,"19-SECTOR","DETAIL / OTHER"))</f>
        <v/>
      </c>
    </row>
    <row r="2452" spans="4:7">
      <c r="D2452" s="8"/>
      <c r="E2452" t="str">
        <f t="shared" si="76"/>
        <v/>
      </c>
      <c r="F2452" t="str">
        <f t="shared" si="77"/>
        <v/>
      </c>
      <c r="G2452" t="str">
        <f>IF(E2452="","",IF(COUNTIF('DATA QCEW'!$A$2:$A$20,E2452)&gt;0,"19-SECTOR","DETAIL / OTHER"))</f>
        <v/>
      </c>
    </row>
    <row r="2453" spans="4:7">
      <c r="D2453" s="8"/>
      <c r="E2453" t="str">
        <f t="shared" si="76"/>
        <v/>
      </c>
      <c r="F2453" t="str">
        <f t="shared" si="77"/>
        <v/>
      </c>
      <c r="G2453" t="str">
        <f>IF(E2453="","",IF(COUNTIF('DATA QCEW'!$A$2:$A$20,E2453)&gt;0,"19-SECTOR","DETAIL / OTHER"))</f>
        <v/>
      </c>
    </row>
    <row r="2454" spans="4:7">
      <c r="D2454" s="8"/>
      <c r="E2454" t="str">
        <f t="shared" si="76"/>
        <v/>
      </c>
      <c r="F2454" t="str">
        <f t="shared" si="77"/>
        <v/>
      </c>
      <c r="G2454" t="str">
        <f>IF(E2454="","",IF(COUNTIF('DATA QCEW'!$A$2:$A$20,E2454)&gt;0,"19-SECTOR","DETAIL / OTHER"))</f>
        <v/>
      </c>
    </row>
    <row r="2455" spans="4:7">
      <c r="D2455" s="8"/>
      <c r="E2455" t="str">
        <f t="shared" si="76"/>
        <v/>
      </c>
      <c r="F2455" t="str">
        <f t="shared" si="77"/>
        <v/>
      </c>
      <c r="G2455" t="str">
        <f>IF(E2455="","",IF(COUNTIF('DATA QCEW'!$A$2:$A$20,E2455)&gt;0,"19-SECTOR","DETAIL / OTHER"))</f>
        <v/>
      </c>
    </row>
    <row r="2456" spans="4:7">
      <c r="D2456" s="8"/>
      <c r="E2456" t="str">
        <f t="shared" si="76"/>
        <v/>
      </c>
      <c r="F2456" t="str">
        <f t="shared" si="77"/>
        <v/>
      </c>
      <c r="G2456" t="str">
        <f>IF(E2456="","",IF(COUNTIF('DATA QCEW'!$A$2:$A$20,E2456)&gt;0,"19-SECTOR","DETAIL / OTHER"))</f>
        <v/>
      </c>
    </row>
    <row r="2457" spans="4:7">
      <c r="D2457" s="8"/>
      <c r="E2457" t="str">
        <f t="shared" si="76"/>
        <v/>
      </c>
      <c r="F2457" t="str">
        <f t="shared" si="77"/>
        <v/>
      </c>
      <c r="G2457" t="str">
        <f>IF(E2457="","",IF(COUNTIF('DATA QCEW'!$A$2:$A$20,E2457)&gt;0,"19-SECTOR","DETAIL / OTHER"))</f>
        <v/>
      </c>
    </row>
    <row r="2458" spans="4:7">
      <c r="D2458" s="8"/>
      <c r="E2458" t="str">
        <f t="shared" si="76"/>
        <v/>
      </c>
      <c r="F2458" t="str">
        <f t="shared" si="77"/>
        <v/>
      </c>
      <c r="G2458" t="str">
        <f>IF(E2458="","",IF(COUNTIF('DATA QCEW'!$A$2:$A$20,E2458)&gt;0,"19-SECTOR","DETAIL / OTHER"))</f>
        <v/>
      </c>
    </row>
    <row r="2459" spans="4:7">
      <c r="D2459" s="8"/>
      <c r="E2459" t="str">
        <f t="shared" si="76"/>
        <v/>
      </c>
      <c r="F2459" t="str">
        <f t="shared" si="77"/>
        <v/>
      </c>
      <c r="G2459" t="str">
        <f>IF(E2459="","",IF(COUNTIF('DATA QCEW'!$A$2:$A$20,E2459)&gt;0,"19-SECTOR","DETAIL / OTHER"))</f>
        <v/>
      </c>
    </row>
    <row r="2460" spans="4:7">
      <c r="D2460" s="8"/>
      <c r="E2460" t="str">
        <f t="shared" si="76"/>
        <v/>
      </c>
      <c r="F2460" t="str">
        <f t="shared" si="77"/>
        <v/>
      </c>
      <c r="G2460" t="str">
        <f>IF(E2460="","",IF(COUNTIF('DATA QCEW'!$A$2:$A$20,E2460)&gt;0,"19-SECTOR","DETAIL / OTHER"))</f>
        <v/>
      </c>
    </row>
    <row r="2461" spans="4:7">
      <c r="D2461" s="8"/>
      <c r="E2461" t="str">
        <f t="shared" si="76"/>
        <v/>
      </c>
      <c r="F2461" t="str">
        <f t="shared" si="77"/>
        <v/>
      </c>
      <c r="G2461" t="str">
        <f>IF(E2461="","",IF(COUNTIF('DATA QCEW'!$A$2:$A$20,E2461)&gt;0,"19-SECTOR","DETAIL / OTHER"))</f>
        <v/>
      </c>
    </row>
    <row r="2462" spans="4:7">
      <c r="D2462" s="8"/>
      <c r="E2462" t="str">
        <f t="shared" si="76"/>
        <v/>
      </c>
      <c r="F2462" t="str">
        <f t="shared" si="77"/>
        <v/>
      </c>
      <c r="G2462" t="str">
        <f>IF(E2462="","",IF(COUNTIF('DATA QCEW'!$A$2:$A$20,E2462)&gt;0,"19-SECTOR","DETAIL / OTHER"))</f>
        <v/>
      </c>
    </row>
    <row r="2463" spans="4:7">
      <c r="D2463" s="8"/>
      <c r="E2463" t="str">
        <f t="shared" si="76"/>
        <v/>
      </c>
      <c r="F2463" t="str">
        <f t="shared" si="77"/>
        <v/>
      </c>
      <c r="G2463" t="str">
        <f>IF(E2463="","",IF(COUNTIF('DATA QCEW'!$A$2:$A$20,E2463)&gt;0,"19-SECTOR","DETAIL / OTHER"))</f>
        <v/>
      </c>
    </row>
    <row r="2464" spans="4:7">
      <c r="D2464" s="8"/>
      <c r="E2464" t="str">
        <f t="shared" si="76"/>
        <v/>
      </c>
      <c r="F2464" t="str">
        <f t="shared" si="77"/>
        <v/>
      </c>
      <c r="G2464" t="str">
        <f>IF(E2464="","",IF(COUNTIF('DATA QCEW'!$A$2:$A$20,E2464)&gt;0,"19-SECTOR","DETAIL / OTHER"))</f>
        <v/>
      </c>
    </row>
    <row r="2465" spans="4:7">
      <c r="D2465" s="8"/>
      <c r="E2465" t="str">
        <f t="shared" si="76"/>
        <v/>
      </c>
      <c r="F2465" t="str">
        <f t="shared" si="77"/>
        <v/>
      </c>
      <c r="G2465" t="str">
        <f>IF(E2465="","",IF(COUNTIF('DATA QCEW'!$A$2:$A$20,E2465)&gt;0,"19-SECTOR","DETAIL / OTHER"))</f>
        <v/>
      </c>
    </row>
    <row r="2466" spans="4:7">
      <c r="D2466" s="8"/>
      <c r="E2466" t="str">
        <f t="shared" si="76"/>
        <v/>
      </c>
      <c r="F2466" t="str">
        <f t="shared" si="77"/>
        <v/>
      </c>
      <c r="G2466" t="str">
        <f>IF(E2466="","",IF(COUNTIF('DATA QCEW'!$A$2:$A$20,E2466)&gt;0,"19-SECTOR","DETAIL / OTHER"))</f>
        <v/>
      </c>
    </row>
    <row r="2467" spans="4:7">
      <c r="D2467" s="8"/>
      <c r="E2467" t="str">
        <f t="shared" si="76"/>
        <v/>
      </c>
      <c r="F2467" t="str">
        <f t="shared" si="77"/>
        <v/>
      </c>
      <c r="G2467" t="str">
        <f>IF(E2467="","",IF(COUNTIF('DATA QCEW'!$A$2:$A$20,E2467)&gt;0,"19-SECTOR","DETAIL / OTHER"))</f>
        <v/>
      </c>
    </row>
    <row r="2468" spans="4:7">
      <c r="D2468" s="8"/>
      <c r="E2468" t="str">
        <f t="shared" si="76"/>
        <v/>
      </c>
      <c r="F2468" t="str">
        <f t="shared" si="77"/>
        <v/>
      </c>
      <c r="G2468" t="str">
        <f>IF(E2468="","",IF(COUNTIF('DATA QCEW'!$A$2:$A$20,E2468)&gt;0,"19-SECTOR","DETAIL / OTHER"))</f>
        <v/>
      </c>
    </row>
    <row r="2469" spans="4:7">
      <c r="D2469" s="8"/>
      <c r="E2469" t="str">
        <f t="shared" si="76"/>
        <v/>
      </c>
      <c r="F2469" t="str">
        <f t="shared" si="77"/>
        <v/>
      </c>
      <c r="G2469" t="str">
        <f>IF(E2469="","",IF(COUNTIF('DATA QCEW'!$A$2:$A$20,E2469)&gt;0,"19-SECTOR","DETAIL / OTHER"))</f>
        <v/>
      </c>
    </row>
    <row r="2470" spans="4:7">
      <c r="D2470" s="8"/>
      <c r="E2470" t="str">
        <f t="shared" si="76"/>
        <v/>
      </c>
      <c r="F2470" t="str">
        <f t="shared" si="77"/>
        <v/>
      </c>
      <c r="G2470" t="str">
        <f>IF(E2470="","",IF(COUNTIF('DATA QCEW'!$A$2:$A$20,E2470)&gt;0,"19-SECTOR","DETAIL / OTHER"))</f>
        <v/>
      </c>
    </row>
    <row r="2471" spans="4:7">
      <c r="D2471" s="8"/>
      <c r="E2471" t="str">
        <f t="shared" si="76"/>
        <v/>
      </c>
      <c r="F2471" t="str">
        <f t="shared" si="77"/>
        <v/>
      </c>
      <c r="G2471" t="str">
        <f>IF(E2471="","",IF(COUNTIF('DATA QCEW'!$A$2:$A$20,E2471)&gt;0,"19-SECTOR","DETAIL / OTHER"))</f>
        <v/>
      </c>
    </row>
    <row r="2472" spans="4:7">
      <c r="D2472" s="8"/>
      <c r="E2472" t="str">
        <f t="shared" si="76"/>
        <v/>
      </c>
      <c r="F2472" t="str">
        <f t="shared" si="77"/>
        <v/>
      </c>
      <c r="G2472" t="str">
        <f>IF(E2472="","",IF(COUNTIF('DATA QCEW'!$A$2:$A$20,E2472)&gt;0,"19-SECTOR","DETAIL / OTHER"))</f>
        <v/>
      </c>
    </row>
    <row r="2473" spans="4:7">
      <c r="D2473" s="8"/>
      <c r="E2473" t="str">
        <f t="shared" si="76"/>
        <v/>
      </c>
      <c r="F2473" t="str">
        <f t="shared" si="77"/>
        <v/>
      </c>
      <c r="G2473" t="str">
        <f>IF(E2473="","",IF(COUNTIF('DATA QCEW'!$A$2:$A$20,E2473)&gt;0,"19-SECTOR","DETAIL / OTHER"))</f>
        <v/>
      </c>
    </row>
    <row r="2474" spans="4:7">
      <c r="D2474" s="8"/>
      <c r="E2474" t="str">
        <f t="shared" si="76"/>
        <v/>
      </c>
      <c r="F2474" t="str">
        <f t="shared" si="77"/>
        <v/>
      </c>
      <c r="G2474" t="str">
        <f>IF(E2474="","",IF(COUNTIF('DATA QCEW'!$A$2:$A$20,E2474)&gt;0,"19-SECTOR","DETAIL / OTHER"))</f>
        <v/>
      </c>
    </row>
    <row r="2475" spans="4:7">
      <c r="D2475" s="8"/>
      <c r="E2475" t="str">
        <f t="shared" si="76"/>
        <v/>
      </c>
      <c r="F2475" t="str">
        <f t="shared" si="77"/>
        <v/>
      </c>
      <c r="G2475" t="str">
        <f>IF(E2475="","",IF(COUNTIF('DATA QCEW'!$A$2:$A$20,E2475)&gt;0,"19-SECTOR","DETAIL / OTHER"))</f>
        <v/>
      </c>
    </row>
    <row r="2476" spans="4:7">
      <c r="D2476" s="8"/>
      <c r="E2476" t="str">
        <f t="shared" si="76"/>
        <v/>
      </c>
      <c r="F2476" t="str">
        <f t="shared" si="77"/>
        <v/>
      </c>
      <c r="G2476" t="str">
        <f>IF(E2476="","",IF(COUNTIF('DATA QCEW'!$A$2:$A$20,E2476)&gt;0,"19-SECTOR","DETAIL / OTHER"))</f>
        <v/>
      </c>
    </row>
    <row r="2477" spans="4:7">
      <c r="D2477" s="8"/>
      <c r="E2477" t="str">
        <f t="shared" si="76"/>
        <v/>
      </c>
      <c r="F2477" t="str">
        <f t="shared" si="77"/>
        <v/>
      </c>
      <c r="G2477" t="str">
        <f>IF(E2477="","",IF(COUNTIF('DATA QCEW'!$A$2:$A$20,E2477)&gt;0,"19-SECTOR","DETAIL / OTHER"))</f>
        <v/>
      </c>
    </row>
    <row r="2478" spans="4:7">
      <c r="D2478" s="8"/>
      <c r="E2478" t="str">
        <f t="shared" si="76"/>
        <v/>
      </c>
      <c r="F2478" t="str">
        <f t="shared" si="77"/>
        <v/>
      </c>
      <c r="G2478" t="str">
        <f>IF(E2478="","",IF(COUNTIF('DATA QCEW'!$A$2:$A$20,E2478)&gt;0,"19-SECTOR","DETAIL / OTHER"))</f>
        <v/>
      </c>
    </row>
    <row r="2479" spans="4:7">
      <c r="D2479" s="8"/>
      <c r="E2479" t="str">
        <f t="shared" si="76"/>
        <v/>
      </c>
      <c r="F2479" t="str">
        <f t="shared" si="77"/>
        <v/>
      </c>
      <c r="G2479" t="str">
        <f>IF(E2479="","",IF(COUNTIF('DATA QCEW'!$A$2:$A$20,E2479)&gt;0,"19-SECTOR","DETAIL / OTHER"))</f>
        <v/>
      </c>
    </row>
    <row r="2480" spans="4:7">
      <c r="D2480" s="8"/>
      <c r="E2480" t="str">
        <f t="shared" si="76"/>
        <v/>
      </c>
      <c r="F2480" t="str">
        <f t="shared" si="77"/>
        <v/>
      </c>
      <c r="G2480" t="str">
        <f>IF(E2480="","",IF(COUNTIF('DATA QCEW'!$A$2:$A$20,E2480)&gt;0,"19-SECTOR","DETAIL / OTHER"))</f>
        <v/>
      </c>
    </row>
    <row r="2481" spans="4:7">
      <c r="D2481" s="8"/>
      <c r="E2481" t="str">
        <f t="shared" si="76"/>
        <v/>
      </c>
      <c r="F2481" t="str">
        <f t="shared" si="77"/>
        <v/>
      </c>
      <c r="G2481" t="str">
        <f>IF(E2481="","",IF(COUNTIF('DATA QCEW'!$A$2:$A$20,E2481)&gt;0,"19-SECTOR","DETAIL / OTHER"))</f>
        <v/>
      </c>
    </row>
    <row r="2482" spans="4:7">
      <c r="D2482" s="8"/>
      <c r="E2482" t="str">
        <f t="shared" si="76"/>
        <v/>
      </c>
      <c r="F2482" t="str">
        <f t="shared" si="77"/>
        <v/>
      </c>
      <c r="G2482" t="str">
        <f>IF(E2482="","",IF(COUNTIF('DATA QCEW'!$A$2:$A$20,E2482)&gt;0,"19-SECTOR","DETAIL / OTHER"))</f>
        <v/>
      </c>
    </row>
    <row r="2483" spans="4:7">
      <c r="D2483" s="8"/>
      <c r="E2483" t="str">
        <f t="shared" si="76"/>
        <v/>
      </c>
      <c r="F2483" t="str">
        <f t="shared" si="77"/>
        <v/>
      </c>
      <c r="G2483" t="str">
        <f>IF(E2483="","",IF(COUNTIF('DATA QCEW'!$A$2:$A$20,E2483)&gt;0,"19-SECTOR","DETAIL / OTHER"))</f>
        <v/>
      </c>
    </row>
    <row r="2484" spans="4:7">
      <c r="D2484" s="8"/>
      <c r="E2484" t="str">
        <f t="shared" si="76"/>
        <v/>
      </c>
      <c r="F2484" t="str">
        <f t="shared" si="77"/>
        <v/>
      </c>
      <c r="G2484" t="str">
        <f>IF(E2484="","",IF(COUNTIF('DATA QCEW'!$A$2:$A$20,E2484)&gt;0,"19-SECTOR","DETAIL / OTHER"))</f>
        <v/>
      </c>
    </row>
    <row r="2485" spans="4:7">
      <c r="D2485" s="8"/>
      <c r="E2485" t="str">
        <f t="shared" si="76"/>
        <v/>
      </c>
      <c r="F2485" t="str">
        <f t="shared" si="77"/>
        <v/>
      </c>
      <c r="G2485" t="str">
        <f>IF(E2485="","",IF(COUNTIF('DATA QCEW'!$A$2:$A$20,E2485)&gt;0,"19-SECTOR","DETAIL / OTHER"))</f>
        <v/>
      </c>
    </row>
    <row r="2486" spans="4:7">
      <c r="D2486" s="8"/>
      <c r="E2486" t="str">
        <f t="shared" si="76"/>
        <v/>
      </c>
      <c r="F2486" t="str">
        <f t="shared" si="77"/>
        <v/>
      </c>
      <c r="G2486" t="str">
        <f>IF(E2486="","",IF(COUNTIF('DATA QCEW'!$A$2:$A$20,E2486)&gt;0,"19-SECTOR","DETAIL / OTHER"))</f>
        <v/>
      </c>
    </row>
    <row r="2487" spans="4:7">
      <c r="D2487" s="8"/>
      <c r="E2487" t="str">
        <f t="shared" si="76"/>
        <v/>
      </c>
      <c r="F2487" t="str">
        <f t="shared" si="77"/>
        <v/>
      </c>
      <c r="G2487" t="str">
        <f>IF(E2487="","",IF(COUNTIF('DATA QCEW'!$A$2:$A$20,E2487)&gt;0,"19-SECTOR","DETAIL / OTHER"))</f>
        <v/>
      </c>
    </row>
    <row r="2488" spans="4:7">
      <c r="D2488" s="8"/>
      <c r="E2488" t="str">
        <f t="shared" si="76"/>
        <v/>
      </c>
      <c r="F2488" t="str">
        <f t="shared" si="77"/>
        <v/>
      </c>
      <c r="G2488" t="str">
        <f>IF(E2488="","",IF(COUNTIF('DATA QCEW'!$A$2:$A$20,E2488)&gt;0,"19-SECTOR","DETAIL / OTHER"))</f>
        <v/>
      </c>
    </row>
    <row r="2489" spans="4:7">
      <c r="D2489" s="8"/>
      <c r="E2489" t="str">
        <f t="shared" si="76"/>
        <v/>
      </c>
      <c r="F2489" t="str">
        <f t="shared" si="77"/>
        <v/>
      </c>
      <c r="G2489" t="str">
        <f>IF(E2489="","",IF(COUNTIF('DATA QCEW'!$A$2:$A$20,E2489)&gt;0,"19-SECTOR","DETAIL / OTHER"))</f>
        <v/>
      </c>
    </row>
    <row r="2490" spans="4:7">
      <c r="D2490" s="8"/>
      <c r="E2490" t="str">
        <f t="shared" si="76"/>
        <v/>
      </c>
      <c r="F2490" t="str">
        <f t="shared" si="77"/>
        <v/>
      </c>
      <c r="G2490" t="str">
        <f>IF(E2490="","",IF(COUNTIF('DATA QCEW'!$A$2:$A$20,E2490)&gt;0,"19-SECTOR","DETAIL / OTHER"))</f>
        <v/>
      </c>
    </row>
    <row r="2491" spans="4:7">
      <c r="D2491" s="8"/>
      <c r="E2491" t="str">
        <f t="shared" si="76"/>
        <v/>
      </c>
      <c r="F2491" t="str">
        <f t="shared" si="77"/>
        <v/>
      </c>
      <c r="G2491" t="str">
        <f>IF(E2491="","",IF(COUNTIF('DATA QCEW'!$A$2:$A$20,E2491)&gt;0,"19-SECTOR","DETAIL / OTHER"))</f>
        <v/>
      </c>
    </row>
    <row r="2492" spans="4:7">
      <c r="D2492" s="8"/>
      <c r="E2492" t="str">
        <f t="shared" si="76"/>
        <v/>
      </c>
      <c r="F2492" t="str">
        <f t="shared" si="77"/>
        <v/>
      </c>
      <c r="G2492" t="str">
        <f>IF(E2492="","",IF(COUNTIF('DATA QCEW'!$A$2:$A$20,E2492)&gt;0,"19-SECTOR","DETAIL / OTHER"))</f>
        <v/>
      </c>
    </row>
    <row r="2493" spans="4:7">
      <c r="D2493" s="8"/>
      <c r="E2493" t="str">
        <f t="shared" si="76"/>
        <v/>
      </c>
      <c r="F2493" t="str">
        <f t="shared" si="77"/>
        <v/>
      </c>
      <c r="G2493" t="str">
        <f>IF(E2493="","",IF(COUNTIF('DATA QCEW'!$A$2:$A$20,E2493)&gt;0,"19-SECTOR","DETAIL / OTHER"))</f>
        <v/>
      </c>
    </row>
    <row r="2494" spans="4:7">
      <c r="D2494" s="8"/>
      <c r="E2494" t="str">
        <f t="shared" si="76"/>
        <v/>
      </c>
      <c r="F2494" t="str">
        <f t="shared" si="77"/>
        <v/>
      </c>
      <c r="G2494" t="str">
        <f>IF(E2494="","",IF(COUNTIF('DATA QCEW'!$A$2:$A$20,E2494)&gt;0,"19-SECTOR","DETAIL / OTHER"))</f>
        <v/>
      </c>
    </row>
    <row r="2495" spans="4:7">
      <c r="D2495" s="8"/>
      <c r="E2495" t="str">
        <f t="shared" si="76"/>
        <v/>
      </c>
      <c r="F2495" t="str">
        <f t="shared" si="77"/>
        <v/>
      </c>
      <c r="G2495" t="str">
        <f>IF(E2495="","",IF(COUNTIF('DATA QCEW'!$A$2:$A$20,E2495)&gt;0,"19-SECTOR","DETAIL / OTHER"))</f>
        <v/>
      </c>
    </row>
    <row r="2496" spans="4:7">
      <c r="D2496" s="8"/>
      <c r="E2496" t="str">
        <f t="shared" si="76"/>
        <v/>
      </c>
      <c r="F2496" t="str">
        <f t="shared" si="77"/>
        <v/>
      </c>
      <c r="G2496" t="str">
        <f>IF(E2496="","",IF(COUNTIF('DATA QCEW'!$A$2:$A$20,E2496)&gt;0,"19-SECTOR","DETAIL / OTHER"))</f>
        <v/>
      </c>
    </row>
    <row r="2497" spans="4:7">
      <c r="D2497" s="8"/>
      <c r="E2497" t="str">
        <f t="shared" si="76"/>
        <v/>
      </c>
      <c r="F2497" t="str">
        <f t="shared" si="77"/>
        <v/>
      </c>
      <c r="G2497" t="str">
        <f>IF(E2497="","",IF(COUNTIF('DATA QCEW'!$A$2:$A$20,E2497)&gt;0,"19-SECTOR","DETAIL / OTHER"))</f>
        <v/>
      </c>
    </row>
    <row r="2498" spans="4:7">
      <c r="D2498" s="8"/>
      <c r="E2498" t="str">
        <f t="shared" ref="E2498:E2561" si="78">IF(LEFT(TRIM(A2498),6)="NAICS ",IFERROR(MID(TRIM(A2498),7,FIND(" ",TRIM(A2498)&amp;" ",7)-7),""),"")</f>
        <v/>
      </c>
      <c r="F2498" t="str">
        <f t="shared" ref="F2498:F2561" si="79">IF(E2498="","",TRIM(MID(TRIM(A2498),FIND(" ",TRIM(A2498)&amp;" ",7)+1,255)))</f>
        <v/>
      </c>
      <c r="G2498" t="str">
        <f>IF(E2498="","",IF(COUNTIF('DATA QCEW'!$A$2:$A$20,E2498)&gt;0,"19-SECTOR","DETAIL / OTHER"))</f>
        <v/>
      </c>
    </row>
    <row r="2499" spans="4:7">
      <c r="D2499" s="8"/>
      <c r="E2499" t="str">
        <f t="shared" si="78"/>
        <v/>
      </c>
      <c r="F2499" t="str">
        <f t="shared" si="79"/>
        <v/>
      </c>
      <c r="G2499" t="str">
        <f>IF(E2499="","",IF(COUNTIF('DATA QCEW'!$A$2:$A$20,E2499)&gt;0,"19-SECTOR","DETAIL / OTHER"))</f>
        <v/>
      </c>
    </row>
    <row r="2500" spans="4:7">
      <c r="D2500" s="8"/>
      <c r="E2500" t="str">
        <f t="shared" si="78"/>
        <v/>
      </c>
      <c r="F2500" t="str">
        <f t="shared" si="79"/>
        <v/>
      </c>
      <c r="G2500" t="str">
        <f>IF(E2500="","",IF(COUNTIF('DATA QCEW'!$A$2:$A$20,E2500)&gt;0,"19-SECTOR","DETAIL / OTHER"))</f>
        <v/>
      </c>
    </row>
    <row r="2501" spans="4:7">
      <c r="D2501" s="8"/>
      <c r="E2501" t="str">
        <f t="shared" si="78"/>
        <v/>
      </c>
      <c r="F2501" t="str">
        <f t="shared" si="79"/>
        <v/>
      </c>
      <c r="G2501" t="str">
        <f>IF(E2501="","",IF(COUNTIF('DATA QCEW'!$A$2:$A$20,E2501)&gt;0,"19-SECTOR","DETAIL / OTHER"))</f>
        <v/>
      </c>
    </row>
    <row r="2502" spans="4:7">
      <c r="D2502" s="8"/>
      <c r="E2502" t="str">
        <f t="shared" si="78"/>
        <v/>
      </c>
      <c r="F2502" t="str">
        <f t="shared" si="79"/>
        <v/>
      </c>
      <c r="G2502" t="str">
        <f>IF(E2502="","",IF(COUNTIF('DATA QCEW'!$A$2:$A$20,E2502)&gt;0,"19-SECTOR","DETAIL / OTHER"))</f>
        <v/>
      </c>
    </row>
    <row r="2503" spans="4:7">
      <c r="D2503" s="8"/>
      <c r="E2503" t="str">
        <f t="shared" si="78"/>
        <v/>
      </c>
      <c r="F2503" t="str">
        <f t="shared" si="79"/>
        <v/>
      </c>
      <c r="G2503" t="str">
        <f>IF(E2503="","",IF(COUNTIF('DATA QCEW'!$A$2:$A$20,E2503)&gt;0,"19-SECTOR","DETAIL / OTHER"))</f>
        <v/>
      </c>
    </row>
    <row r="2504" spans="4:7">
      <c r="D2504" s="8"/>
      <c r="E2504" t="str">
        <f t="shared" si="78"/>
        <v/>
      </c>
      <c r="F2504" t="str">
        <f t="shared" si="79"/>
        <v/>
      </c>
      <c r="G2504" t="str">
        <f>IF(E2504="","",IF(COUNTIF('DATA QCEW'!$A$2:$A$20,E2504)&gt;0,"19-SECTOR","DETAIL / OTHER"))</f>
        <v/>
      </c>
    </row>
    <row r="2505" spans="4:7">
      <c r="D2505" s="8"/>
      <c r="E2505" t="str">
        <f t="shared" si="78"/>
        <v/>
      </c>
      <c r="F2505" t="str">
        <f t="shared" si="79"/>
        <v/>
      </c>
      <c r="G2505" t="str">
        <f>IF(E2505="","",IF(COUNTIF('DATA QCEW'!$A$2:$A$20,E2505)&gt;0,"19-SECTOR","DETAIL / OTHER"))</f>
        <v/>
      </c>
    </row>
    <row r="2506" spans="4:7">
      <c r="D2506" s="8"/>
      <c r="E2506" t="str">
        <f t="shared" si="78"/>
        <v/>
      </c>
      <c r="F2506" t="str">
        <f t="shared" si="79"/>
        <v/>
      </c>
      <c r="G2506" t="str">
        <f>IF(E2506="","",IF(COUNTIF('DATA QCEW'!$A$2:$A$20,E2506)&gt;0,"19-SECTOR","DETAIL / OTHER"))</f>
        <v/>
      </c>
    </row>
    <row r="2507" spans="4:7">
      <c r="D2507" s="8"/>
      <c r="E2507" t="str">
        <f t="shared" si="78"/>
        <v/>
      </c>
      <c r="F2507" t="str">
        <f t="shared" si="79"/>
        <v/>
      </c>
      <c r="G2507" t="str">
        <f>IF(E2507="","",IF(COUNTIF('DATA QCEW'!$A$2:$A$20,E2507)&gt;0,"19-SECTOR","DETAIL / OTHER"))</f>
        <v/>
      </c>
    </row>
    <row r="2508" spans="4:7">
      <c r="D2508" s="8"/>
      <c r="E2508" t="str">
        <f t="shared" si="78"/>
        <v/>
      </c>
      <c r="F2508" t="str">
        <f t="shared" si="79"/>
        <v/>
      </c>
      <c r="G2508" t="str">
        <f>IF(E2508="","",IF(COUNTIF('DATA QCEW'!$A$2:$A$20,E2508)&gt;0,"19-SECTOR","DETAIL / OTHER"))</f>
        <v/>
      </c>
    </row>
    <row r="2509" spans="4:7">
      <c r="D2509" s="8"/>
      <c r="E2509" t="str">
        <f t="shared" si="78"/>
        <v/>
      </c>
      <c r="F2509" t="str">
        <f t="shared" si="79"/>
        <v/>
      </c>
      <c r="G2509" t="str">
        <f>IF(E2509="","",IF(COUNTIF('DATA QCEW'!$A$2:$A$20,E2509)&gt;0,"19-SECTOR","DETAIL / OTHER"))</f>
        <v/>
      </c>
    </row>
    <row r="2510" spans="4:7">
      <c r="D2510" s="8"/>
      <c r="E2510" t="str">
        <f t="shared" si="78"/>
        <v/>
      </c>
      <c r="F2510" t="str">
        <f t="shared" si="79"/>
        <v/>
      </c>
      <c r="G2510" t="str">
        <f>IF(E2510="","",IF(COUNTIF('DATA QCEW'!$A$2:$A$20,E2510)&gt;0,"19-SECTOR","DETAIL / OTHER"))</f>
        <v/>
      </c>
    </row>
    <row r="2511" spans="4:7">
      <c r="D2511" s="8"/>
      <c r="E2511" t="str">
        <f t="shared" si="78"/>
        <v/>
      </c>
      <c r="F2511" t="str">
        <f t="shared" si="79"/>
        <v/>
      </c>
      <c r="G2511" t="str">
        <f>IF(E2511="","",IF(COUNTIF('DATA QCEW'!$A$2:$A$20,E2511)&gt;0,"19-SECTOR","DETAIL / OTHER"))</f>
        <v/>
      </c>
    </row>
    <row r="2512" spans="4:7">
      <c r="D2512" s="8"/>
      <c r="E2512" t="str">
        <f t="shared" si="78"/>
        <v/>
      </c>
      <c r="F2512" t="str">
        <f t="shared" si="79"/>
        <v/>
      </c>
      <c r="G2512" t="str">
        <f>IF(E2512="","",IF(COUNTIF('DATA QCEW'!$A$2:$A$20,E2512)&gt;0,"19-SECTOR","DETAIL / OTHER"))</f>
        <v/>
      </c>
    </row>
    <row r="2513" spans="4:7">
      <c r="D2513" s="8"/>
      <c r="E2513" t="str">
        <f t="shared" si="78"/>
        <v/>
      </c>
      <c r="F2513" t="str">
        <f t="shared" si="79"/>
        <v/>
      </c>
      <c r="G2513" t="str">
        <f>IF(E2513="","",IF(COUNTIF('DATA QCEW'!$A$2:$A$20,E2513)&gt;0,"19-SECTOR","DETAIL / OTHER"))</f>
        <v/>
      </c>
    </row>
    <row r="2514" spans="4:7">
      <c r="D2514" s="8"/>
      <c r="E2514" t="str">
        <f t="shared" si="78"/>
        <v/>
      </c>
      <c r="F2514" t="str">
        <f t="shared" si="79"/>
        <v/>
      </c>
      <c r="G2514" t="str">
        <f>IF(E2514="","",IF(COUNTIF('DATA QCEW'!$A$2:$A$20,E2514)&gt;0,"19-SECTOR","DETAIL / OTHER"))</f>
        <v/>
      </c>
    </row>
    <row r="2515" spans="4:7">
      <c r="D2515" s="8"/>
      <c r="E2515" t="str">
        <f t="shared" si="78"/>
        <v/>
      </c>
      <c r="F2515" t="str">
        <f t="shared" si="79"/>
        <v/>
      </c>
      <c r="G2515" t="str">
        <f>IF(E2515="","",IF(COUNTIF('DATA QCEW'!$A$2:$A$20,E2515)&gt;0,"19-SECTOR","DETAIL / OTHER"))</f>
        <v/>
      </c>
    </row>
    <row r="2516" spans="4:7">
      <c r="D2516" s="8"/>
      <c r="E2516" t="str">
        <f t="shared" si="78"/>
        <v/>
      </c>
      <c r="F2516" t="str">
        <f t="shared" si="79"/>
        <v/>
      </c>
      <c r="G2516" t="str">
        <f>IF(E2516="","",IF(COUNTIF('DATA QCEW'!$A$2:$A$20,E2516)&gt;0,"19-SECTOR","DETAIL / OTHER"))</f>
        <v/>
      </c>
    </row>
    <row r="2517" spans="4:7">
      <c r="D2517" s="8"/>
      <c r="E2517" t="str">
        <f t="shared" si="78"/>
        <v/>
      </c>
      <c r="F2517" t="str">
        <f t="shared" si="79"/>
        <v/>
      </c>
      <c r="G2517" t="str">
        <f>IF(E2517="","",IF(COUNTIF('DATA QCEW'!$A$2:$A$20,E2517)&gt;0,"19-SECTOR","DETAIL / OTHER"))</f>
        <v/>
      </c>
    </row>
    <row r="2518" spans="4:7">
      <c r="D2518" s="8"/>
      <c r="E2518" t="str">
        <f t="shared" si="78"/>
        <v/>
      </c>
      <c r="F2518" t="str">
        <f t="shared" si="79"/>
        <v/>
      </c>
      <c r="G2518" t="str">
        <f>IF(E2518="","",IF(COUNTIF('DATA QCEW'!$A$2:$A$20,E2518)&gt;0,"19-SECTOR","DETAIL / OTHER"))</f>
        <v/>
      </c>
    </row>
    <row r="2519" spans="4:7">
      <c r="D2519" s="8"/>
      <c r="E2519" t="str">
        <f t="shared" si="78"/>
        <v/>
      </c>
      <c r="F2519" t="str">
        <f t="shared" si="79"/>
        <v/>
      </c>
      <c r="G2519" t="str">
        <f>IF(E2519="","",IF(COUNTIF('DATA QCEW'!$A$2:$A$20,E2519)&gt;0,"19-SECTOR","DETAIL / OTHER"))</f>
        <v/>
      </c>
    </row>
    <row r="2520" spans="4:7">
      <c r="D2520" s="8"/>
      <c r="E2520" t="str">
        <f t="shared" si="78"/>
        <v/>
      </c>
      <c r="F2520" t="str">
        <f t="shared" si="79"/>
        <v/>
      </c>
      <c r="G2520" t="str">
        <f>IF(E2520="","",IF(COUNTIF('DATA QCEW'!$A$2:$A$20,E2520)&gt;0,"19-SECTOR","DETAIL / OTHER"))</f>
        <v/>
      </c>
    </row>
    <row r="2521" spans="4:7">
      <c r="D2521" s="8"/>
      <c r="E2521" t="str">
        <f t="shared" si="78"/>
        <v/>
      </c>
      <c r="F2521" t="str">
        <f t="shared" si="79"/>
        <v/>
      </c>
      <c r="G2521" t="str">
        <f>IF(E2521="","",IF(COUNTIF('DATA QCEW'!$A$2:$A$20,E2521)&gt;0,"19-SECTOR","DETAIL / OTHER"))</f>
        <v/>
      </c>
    </row>
    <row r="2522" spans="4:7">
      <c r="D2522" s="8"/>
      <c r="E2522" t="str">
        <f t="shared" si="78"/>
        <v/>
      </c>
      <c r="F2522" t="str">
        <f t="shared" si="79"/>
        <v/>
      </c>
      <c r="G2522" t="str">
        <f>IF(E2522="","",IF(COUNTIF('DATA QCEW'!$A$2:$A$20,E2522)&gt;0,"19-SECTOR","DETAIL / OTHER"))</f>
        <v/>
      </c>
    </row>
    <row r="2523" spans="4:7">
      <c r="D2523" s="8"/>
      <c r="E2523" t="str">
        <f t="shared" si="78"/>
        <v/>
      </c>
      <c r="F2523" t="str">
        <f t="shared" si="79"/>
        <v/>
      </c>
      <c r="G2523" t="str">
        <f>IF(E2523="","",IF(COUNTIF('DATA QCEW'!$A$2:$A$20,E2523)&gt;0,"19-SECTOR","DETAIL / OTHER"))</f>
        <v/>
      </c>
    </row>
    <row r="2524" spans="4:7">
      <c r="D2524" s="8"/>
      <c r="E2524" t="str">
        <f t="shared" si="78"/>
        <v/>
      </c>
      <c r="F2524" t="str">
        <f t="shared" si="79"/>
        <v/>
      </c>
      <c r="G2524" t="str">
        <f>IF(E2524="","",IF(COUNTIF('DATA QCEW'!$A$2:$A$20,E2524)&gt;0,"19-SECTOR","DETAIL / OTHER"))</f>
        <v/>
      </c>
    </row>
    <row r="2525" spans="4:7">
      <c r="D2525" s="8"/>
      <c r="E2525" t="str">
        <f t="shared" si="78"/>
        <v/>
      </c>
      <c r="F2525" t="str">
        <f t="shared" si="79"/>
        <v/>
      </c>
      <c r="G2525" t="str">
        <f>IF(E2525="","",IF(COUNTIF('DATA QCEW'!$A$2:$A$20,E2525)&gt;0,"19-SECTOR","DETAIL / OTHER"))</f>
        <v/>
      </c>
    </row>
    <row r="2526" spans="4:7">
      <c r="D2526" s="8"/>
      <c r="E2526" t="str">
        <f t="shared" si="78"/>
        <v/>
      </c>
      <c r="F2526" t="str">
        <f t="shared" si="79"/>
        <v/>
      </c>
      <c r="G2526" t="str">
        <f>IF(E2526="","",IF(COUNTIF('DATA QCEW'!$A$2:$A$20,E2526)&gt;0,"19-SECTOR","DETAIL / OTHER"))</f>
        <v/>
      </c>
    </row>
    <row r="2527" spans="4:7">
      <c r="D2527" s="8"/>
      <c r="E2527" t="str">
        <f t="shared" si="78"/>
        <v/>
      </c>
      <c r="F2527" t="str">
        <f t="shared" si="79"/>
        <v/>
      </c>
      <c r="G2527" t="str">
        <f>IF(E2527="","",IF(COUNTIF('DATA QCEW'!$A$2:$A$20,E2527)&gt;0,"19-SECTOR","DETAIL / OTHER"))</f>
        <v/>
      </c>
    </row>
    <row r="2528" spans="4:7">
      <c r="D2528" s="8"/>
      <c r="E2528" t="str">
        <f t="shared" si="78"/>
        <v/>
      </c>
      <c r="F2528" t="str">
        <f t="shared" si="79"/>
        <v/>
      </c>
      <c r="G2528" t="str">
        <f>IF(E2528="","",IF(COUNTIF('DATA QCEW'!$A$2:$A$20,E2528)&gt;0,"19-SECTOR","DETAIL / OTHER"))</f>
        <v/>
      </c>
    </row>
    <row r="2529" spans="4:7">
      <c r="D2529" s="8"/>
      <c r="E2529" t="str">
        <f t="shared" si="78"/>
        <v/>
      </c>
      <c r="F2529" t="str">
        <f t="shared" si="79"/>
        <v/>
      </c>
      <c r="G2529" t="str">
        <f>IF(E2529="","",IF(COUNTIF('DATA QCEW'!$A$2:$A$20,E2529)&gt;0,"19-SECTOR","DETAIL / OTHER"))</f>
        <v/>
      </c>
    </row>
    <row r="2530" spans="4:7">
      <c r="D2530" s="8"/>
      <c r="E2530" t="str">
        <f t="shared" si="78"/>
        <v/>
      </c>
      <c r="F2530" t="str">
        <f t="shared" si="79"/>
        <v/>
      </c>
      <c r="G2530" t="str">
        <f>IF(E2530="","",IF(COUNTIF('DATA QCEW'!$A$2:$A$20,E2530)&gt;0,"19-SECTOR","DETAIL / OTHER"))</f>
        <v/>
      </c>
    </row>
    <row r="2531" spans="4:7">
      <c r="D2531" s="8"/>
      <c r="E2531" t="str">
        <f t="shared" si="78"/>
        <v/>
      </c>
      <c r="F2531" t="str">
        <f t="shared" si="79"/>
        <v/>
      </c>
      <c r="G2531" t="str">
        <f>IF(E2531="","",IF(COUNTIF('DATA QCEW'!$A$2:$A$20,E2531)&gt;0,"19-SECTOR","DETAIL / OTHER"))</f>
        <v/>
      </c>
    </row>
    <row r="2532" spans="4:7">
      <c r="D2532" s="8"/>
      <c r="E2532" t="str">
        <f t="shared" si="78"/>
        <v/>
      </c>
      <c r="F2532" t="str">
        <f t="shared" si="79"/>
        <v/>
      </c>
      <c r="G2532" t="str">
        <f>IF(E2532="","",IF(COUNTIF('DATA QCEW'!$A$2:$A$20,E2532)&gt;0,"19-SECTOR","DETAIL / OTHER"))</f>
        <v/>
      </c>
    </row>
    <row r="2533" spans="4:7">
      <c r="D2533" s="8"/>
      <c r="E2533" t="str">
        <f t="shared" si="78"/>
        <v/>
      </c>
      <c r="F2533" t="str">
        <f t="shared" si="79"/>
        <v/>
      </c>
      <c r="G2533" t="str">
        <f>IF(E2533="","",IF(COUNTIF('DATA QCEW'!$A$2:$A$20,E2533)&gt;0,"19-SECTOR","DETAIL / OTHER"))</f>
        <v/>
      </c>
    </row>
    <row r="2534" spans="4:7">
      <c r="D2534" s="8"/>
      <c r="E2534" t="str">
        <f t="shared" si="78"/>
        <v/>
      </c>
      <c r="F2534" t="str">
        <f t="shared" si="79"/>
        <v/>
      </c>
      <c r="G2534" t="str">
        <f>IF(E2534="","",IF(COUNTIF('DATA QCEW'!$A$2:$A$20,E2534)&gt;0,"19-SECTOR","DETAIL / OTHER"))</f>
        <v/>
      </c>
    </row>
    <row r="2535" spans="4:7">
      <c r="D2535" s="8"/>
      <c r="E2535" t="str">
        <f t="shared" si="78"/>
        <v/>
      </c>
      <c r="F2535" t="str">
        <f t="shared" si="79"/>
        <v/>
      </c>
      <c r="G2535" t="str">
        <f>IF(E2535="","",IF(COUNTIF('DATA QCEW'!$A$2:$A$20,E2535)&gt;0,"19-SECTOR","DETAIL / OTHER"))</f>
        <v/>
      </c>
    </row>
    <row r="2536" spans="4:7">
      <c r="D2536" s="8"/>
      <c r="E2536" t="str">
        <f t="shared" si="78"/>
        <v/>
      </c>
      <c r="F2536" t="str">
        <f t="shared" si="79"/>
        <v/>
      </c>
      <c r="G2536" t="str">
        <f>IF(E2536="","",IF(COUNTIF('DATA QCEW'!$A$2:$A$20,E2536)&gt;0,"19-SECTOR","DETAIL / OTHER"))</f>
        <v/>
      </c>
    </row>
    <row r="2537" spans="4:7">
      <c r="D2537" s="8"/>
      <c r="E2537" t="str">
        <f t="shared" si="78"/>
        <v/>
      </c>
      <c r="F2537" t="str">
        <f t="shared" si="79"/>
        <v/>
      </c>
      <c r="G2537" t="str">
        <f>IF(E2537="","",IF(COUNTIF('DATA QCEW'!$A$2:$A$20,E2537)&gt;0,"19-SECTOR","DETAIL / OTHER"))</f>
        <v/>
      </c>
    </row>
    <row r="2538" spans="4:7">
      <c r="D2538" s="8"/>
      <c r="E2538" t="str">
        <f t="shared" si="78"/>
        <v/>
      </c>
      <c r="F2538" t="str">
        <f t="shared" si="79"/>
        <v/>
      </c>
      <c r="G2538" t="str">
        <f>IF(E2538="","",IF(COUNTIF('DATA QCEW'!$A$2:$A$20,E2538)&gt;0,"19-SECTOR","DETAIL / OTHER"))</f>
        <v/>
      </c>
    </row>
    <row r="2539" spans="4:7">
      <c r="D2539" s="8"/>
      <c r="E2539" t="str">
        <f t="shared" si="78"/>
        <v/>
      </c>
      <c r="F2539" t="str">
        <f t="shared" si="79"/>
        <v/>
      </c>
      <c r="G2539" t="str">
        <f>IF(E2539="","",IF(COUNTIF('DATA QCEW'!$A$2:$A$20,E2539)&gt;0,"19-SECTOR","DETAIL / OTHER"))</f>
        <v/>
      </c>
    </row>
    <row r="2540" spans="4:7">
      <c r="D2540" s="8"/>
      <c r="E2540" t="str">
        <f t="shared" si="78"/>
        <v/>
      </c>
      <c r="F2540" t="str">
        <f t="shared" si="79"/>
        <v/>
      </c>
      <c r="G2540" t="str">
        <f>IF(E2540="","",IF(COUNTIF('DATA QCEW'!$A$2:$A$20,E2540)&gt;0,"19-SECTOR","DETAIL / OTHER"))</f>
        <v/>
      </c>
    </row>
    <row r="2541" spans="4:7">
      <c r="D2541" s="8"/>
      <c r="E2541" t="str">
        <f t="shared" si="78"/>
        <v/>
      </c>
      <c r="F2541" t="str">
        <f t="shared" si="79"/>
        <v/>
      </c>
      <c r="G2541" t="str">
        <f>IF(E2541="","",IF(COUNTIF('DATA QCEW'!$A$2:$A$20,E2541)&gt;0,"19-SECTOR","DETAIL / OTHER"))</f>
        <v/>
      </c>
    </row>
    <row r="2542" spans="4:7">
      <c r="D2542" s="8"/>
      <c r="E2542" t="str">
        <f t="shared" si="78"/>
        <v/>
      </c>
      <c r="F2542" t="str">
        <f t="shared" si="79"/>
        <v/>
      </c>
      <c r="G2542" t="str">
        <f>IF(E2542="","",IF(COUNTIF('DATA QCEW'!$A$2:$A$20,E2542)&gt;0,"19-SECTOR","DETAIL / OTHER"))</f>
        <v/>
      </c>
    </row>
    <row r="2543" spans="4:7">
      <c r="D2543" s="8"/>
      <c r="E2543" t="str">
        <f t="shared" si="78"/>
        <v/>
      </c>
      <c r="F2543" t="str">
        <f t="shared" si="79"/>
        <v/>
      </c>
      <c r="G2543" t="str">
        <f>IF(E2543="","",IF(COUNTIF('DATA QCEW'!$A$2:$A$20,E2543)&gt;0,"19-SECTOR","DETAIL / OTHER"))</f>
        <v/>
      </c>
    </row>
    <row r="2544" spans="4:7">
      <c r="D2544" s="8"/>
      <c r="E2544" t="str">
        <f t="shared" si="78"/>
        <v/>
      </c>
      <c r="F2544" t="str">
        <f t="shared" si="79"/>
        <v/>
      </c>
      <c r="G2544" t="str">
        <f>IF(E2544="","",IF(COUNTIF('DATA QCEW'!$A$2:$A$20,E2544)&gt;0,"19-SECTOR","DETAIL / OTHER"))</f>
        <v/>
      </c>
    </row>
    <row r="2545" spans="4:7">
      <c r="D2545" s="8"/>
      <c r="E2545" t="str">
        <f t="shared" si="78"/>
        <v/>
      </c>
      <c r="F2545" t="str">
        <f t="shared" si="79"/>
        <v/>
      </c>
      <c r="G2545" t="str">
        <f>IF(E2545="","",IF(COUNTIF('DATA QCEW'!$A$2:$A$20,E2545)&gt;0,"19-SECTOR","DETAIL / OTHER"))</f>
        <v/>
      </c>
    </row>
    <row r="2546" spans="4:7">
      <c r="D2546" s="8"/>
      <c r="E2546" t="str">
        <f t="shared" si="78"/>
        <v/>
      </c>
      <c r="F2546" t="str">
        <f t="shared" si="79"/>
        <v/>
      </c>
      <c r="G2546" t="str">
        <f>IF(E2546="","",IF(COUNTIF('DATA QCEW'!$A$2:$A$20,E2546)&gt;0,"19-SECTOR","DETAIL / OTHER"))</f>
        <v/>
      </c>
    </row>
    <row r="2547" spans="4:7">
      <c r="D2547" s="8"/>
      <c r="E2547" t="str">
        <f t="shared" si="78"/>
        <v/>
      </c>
      <c r="F2547" t="str">
        <f t="shared" si="79"/>
        <v/>
      </c>
      <c r="G2547" t="str">
        <f>IF(E2547="","",IF(COUNTIF('DATA QCEW'!$A$2:$A$20,E2547)&gt;0,"19-SECTOR","DETAIL / OTHER"))</f>
        <v/>
      </c>
    </row>
    <row r="2548" spans="4:7">
      <c r="D2548" s="8"/>
      <c r="E2548" t="str">
        <f t="shared" si="78"/>
        <v/>
      </c>
      <c r="F2548" t="str">
        <f t="shared" si="79"/>
        <v/>
      </c>
      <c r="G2548" t="str">
        <f>IF(E2548="","",IF(COUNTIF('DATA QCEW'!$A$2:$A$20,E2548)&gt;0,"19-SECTOR","DETAIL / OTHER"))</f>
        <v/>
      </c>
    </row>
    <row r="2549" spans="4:7">
      <c r="D2549" s="8"/>
      <c r="E2549" t="str">
        <f t="shared" si="78"/>
        <v/>
      </c>
      <c r="F2549" t="str">
        <f t="shared" si="79"/>
        <v/>
      </c>
      <c r="G2549" t="str">
        <f>IF(E2549="","",IF(COUNTIF('DATA QCEW'!$A$2:$A$20,E2549)&gt;0,"19-SECTOR","DETAIL / OTHER"))</f>
        <v/>
      </c>
    </row>
    <row r="2550" spans="4:7">
      <c r="D2550" s="8"/>
      <c r="E2550" t="str">
        <f t="shared" si="78"/>
        <v/>
      </c>
      <c r="F2550" t="str">
        <f t="shared" si="79"/>
        <v/>
      </c>
      <c r="G2550" t="str">
        <f>IF(E2550="","",IF(COUNTIF('DATA QCEW'!$A$2:$A$20,E2550)&gt;0,"19-SECTOR","DETAIL / OTHER"))</f>
        <v/>
      </c>
    </row>
    <row r="2551" spans="4:7">
      <c r="D2551" s="8"/>
      <c r="E2551" t="str">
        <f t="shared" si="78"/>
        <v/>
      </c>
      <c r="F2551" t="str">
        <f t="shared" si="79"/>
        <v/>
      </c>
      <c r="G2551" t="str">
        <f>IF(E2551="","",IF(COUNTIF('DATA QCEW'!$A$2:$A$20,E2551)&gt;0,"19-SECTOR","DETAIL / OTHER"))</f>
        <v/>
      </c>
    </row>
    <row r="2552" spans="4:7">
      <c r="D2552" s="8"/>
      <c r="E2552" t="str">
        <f t="shared" si="78"/>
        <v/>
      </c>
      <c r="F2552" t="str">
        <f t="shared" si="79"/>
        <v/>
      </c>
      <c r="G2552" t="str">
        <f>IF(E2552="","",IF(COUNTIF('DATA QCEW'!$A$2:$A$20,E2552)&gt;0,"19-SECTOR","DETAIL / OTHER"))</f>
        <v/>
      </c>
    </row>
    <row r="2553" spans="4:7">
      <c r="D2553" s="8"/>
      <c r="E2553" t="str">
        <f t="shared" si="78"/>
        <v/>
      </c>
      <c r="F2553" t="str">
        <f t="shared" si="79"/>
        <v/>
      </c>
      <c r="G2553" t="str">
        <f>IF(E2553="","",IF(COUNTIF('DATA QCEW'!$A$2:$A$20,E2553)&gt;0,"19-SECTOR","DETAIL / OTHER"))</f>
        <v/>
      </c>
    </row>
    <row r="2554" spans="4:7">
      <c r="D2554" s="8"/>
      <c r="E2554" t="str">
        <f t="shared" si="78"/>
        <v/>
      </c>
      <c r="F2554" t="str">
        <f t="shared" si="79"/>
        <v/>
      </c>
      <c r="G2554" t="str">
        <f>IF(E2554="","",IF(COUNTIF('DATA QCEW'!$A$2:$A$20,E2554)&gt;0,"19-SECTOR","DETAIL / OTHER"))</f>
        <v/>
      </c>
    </row>
    <row r="2555" spans="4:7">
      <c r="D2555" s="8"/>
      <c r="E2555" t="str">
        <f t="shared" si="78"/>
        <v/>
      </c>
      <c r="F2555" t="str">
        <f t="shared" si="79"/>
        <v/>
      </c>
      <c r="G2555" t="str">
        <f>IF(E2555="","",IF(COUNTIF('DATA QCEW'!$A$2:$A$20,E2555)&gt;0,"19-SECTOR","DETAIL / OTHER"))</f>
        <v/>
      </c>
    </row>
    <row r="2556" spans="4:7">
      <c r="D2556" s="8"/>
      <c r="E2556" t="str">
        <f t="shared" si="78"/>
        <v/>
      </c>
      <c r="F2556" t="str">
        <f t="shared" si="79"/>
        <v/>
      </c>
      <c r="G2556" t="str">
        <f>IF(E2556="","",IF(COUNTIF('DATA QCEW'!$A$2:$A$20,E2556)&gt;0,"19-SECTOR","DETAIL / OTHER"))</f>
        <v/>
      </c>
    </row>
    <row r="2557" spans="4:7">
      <c r="D2557" s="8"/>
      <c r="E2557" t="str">
        <f t="shared" si="78"/>
        <v/>
      </c>
      <c r="F2557" t="str">
        <f t="shared" si="79"/>
        <v/>
      </c>
      <c r="G2557" t="str">
        <f>IF(E2557="","",IF(COUNTIF('DATA QCEW'!$A$2:$A$20,E2557)&gt;0,"19-SECTOR","DETAIL / OTHER"))</f>
        <v/>
      </c>
    </row>
    <row r="2558" spans="4:7">
      <c r="D2558" s="8"/>
      <c r="E2558" t="str">
        <f t="shared" si="78"/>
        <v/>
      </c>
      <c r="F2558" t="str">
        <f t="shared" si="79"/>
        <v/>
      </c>
      <c r="G2558" t="str">
        <f>IF(E2558="","",IF(COUNTIF('DATA QCEW'!$A$2:$A$20,E2558)&gt;0,"19-SECTOR","DETAIL / OTHER"))</f>
        <v/>
      </c>
    </row>
    <row r="2559" spans="4:7">
      <c r="D2559" s="8"/>
      <c r="E2559" t="str">
        <f t="shared" si="78"/>
        <v/>
      </c>
      <c r="F2559" t="str">
        <f t="shared" si="79"/>
        <v/>
      </c>
      <c r="G2559" t="str">
        <f>IF(E2559="","",IF(COUNTIF('DATA QCEW'!$A$2:$A$20,E2559)&gt;0,"19-SECTOR","DETAIL / OTHER"))</f>
        <v/>
      </c>
    </row>
    <row r="2560" spans="4:7">
      <c r="D2560" s="8"/>
      <c r="E2560" t="str">
        <f t="shared" si="78"/>
        <v/>
      </c>
      <c r="F2560" t="str">
        <f t="shared" si="79"/>
        <v/>
      </c>
      <c r="G2560" t="str">
        <f>IF(E2560="","",IF(COUNTIF('DATA QCEW'!$A$2:$A$20,E2560)&gt;0,"19-SECTOR","DETAIL / OTHER"))</f>
        <v/>
      </c>
    </row>
    <row r="2561" spans="4:7">
      <c r="D2561" s="8"/>
      <c r="E2561" t="str">
        <f t="shared" si="78"/>
        <v/>
      </c>
      <c r="F2561" t="str">
        <f t="shared" si="79"/>
        <v/>
      </c>
      <c r="G2561" t="str">
        <f>IF(E2561="","",IF(COUNTIF('DATA QCEW'!$A$2:$A$20,E2561)&gt;0,"19-SECTOR","DETAIL / OTHER"))</f>
        <v/>
      </c>
    </row>
    <row r="2562" spans="4:7">
      <c r="D2562" s="8"/>
      <c r="E2562" t="str">
        <f t="shared" ref="E2562:E2625" si="80">IF(LEFT(TRIM(A2562),6)="NAICS ",IFERROR(MID(TRIM(A2562),7,FIND(" ",TRIM(A2562)&amp;" ",7)-7),""),"")</f>
        <v/>
      </c>
      <c r="F2562" t="str">
        <f t="shared" ref="F2562:F2625" si="81">IF(E2562="","",TRIM(MID(TRIM(A2562),FIND(" ",TRIM(A2562)&amp;" ",7)+1,255)))</f>
        <v/>
      </c>
      <c r="G2562" t="str">
        <f>IF(E2562="","",IF(COUNTIF('DATA QCEW'!$A$2:$A$20,E2562)&gt;0,"19-SECTOR","DETAIL / OTHER"))</f>
        <v/>
      </c>
    </row>
    <row r="2563" spans="4:7">
      <c r="D2563" s="8"/>
      <c r="E2563" t="str">
        <f t="shared" si="80"/>
        <v/>
      </c>
      <c r="F2563" t="str">
        <f t="shared" si="81"/>
        <v/>
      </c>
      <c r="G2563" t="str">
        <f>IF(E2563="","",IF(COUNTIF('DATA QCEW'!$A$2:$A$20,E2563)&gt;0,"19-SECTOR","DETAIL / OTHER"))</f>
        <v/>
      </c>
    </row>
    <row r="2564" spans="4:7">
      <c r="D2564" s="8"/>
      <c r="E2564" t="str">
        <f t="shared" si="80"/>
        <v/>
      </c>
      <c r="F2564" t="str">
        <f t="shared" si="81"/>
        <v/>
      </c>
      <c r="G2564" t="str">
        <f>IF(E2564="","",IF(COUNTIF('DATA QCEW'!$A$2:$A$20,E2564)&gt;0,"19-SECTOR","DETAIL / OTHER"))</f>
        <v/>
      </c>
    </row>
    <row r="2565" spans="4:7">
      <c r="D2565" s="8"/>
      <c r="E2565" t="str">
        <f t="shared" si="80"/>
        <v/>
      </c>
      <c r="F2565" t="str">
        <f t="shared" si="81"/>
        <v/>
      </c>
      <c r="G2565" t="str">
        <f>IF(E2565="","",IF(COUNTIF('DATA QCEW'!$A$2:$A$20,E2565)&gt;0,"19-SECTOR","DETAIL / OTHER"))</f>
        <v/>
      </c>
    </row>
    <row r="2566" spans="4:7">
      <c r="D2566" s="8"/>
      <c r="E2566" t="str">
        <f t="shared" si="80"/>
        <v/>
      </c>
      <c r="F2566" t="str">
        <f t="shared" si="81"/>
        <v/>
      </c>
      <c r="G2566" t="str">
        <f>IF(E2566="","",IF(COUNTIF('DATA QCEW'!$A$2:$A$20,E2566)&gt;0,"19-SECTOR","DETAIL / OTHER"))</f>
        <v/>
      </c>
    </row>
    <row r="2567" spans="4:7">
      <c r="D2567" s="8"/>
      <c r="E2567" t="str">
        <f t="shared" si="80"/>
        <v/>
      </c>
      <c r="F2567" t="str">
        <f t="shared" si="81"/>
        <v/>
      </c>
      <c r="G2567" t="str">
        <f>IF(E2567="","",IF(COUNTIF('DATA QCEW'!$A$2:$A$20,E2567)&gt;0,"19-SECTOR","DETAIL / OTHER"))</f>
        <v/>
      </c>
    </row>
    <row r="2568" spans="4:7">
      <c r="D2568" s="8"/>
      <c r="E2568" t="str">
        <f t="shared" si="80"/>
        <v/>
      </c>
      <c r="F2568" t="str">
        <f t="shared" si="81"/>
        <v/>
      </c>
      <c r="G2568" t="str">
        <f>IF(E2568="","",IF(COUNTIF('DATA QCEW'!$A$2:$A$20,E2568)&gt;0,"19-SECTOR","DETAIL / OTHER"))</f>
        <v/>
      </c>
    </row>
    <row r="2569" spans="4:7">
      <c r="D2569" s="8"/>
      <c r="E2569" t="str">
        <f t="shared" si="80"/>
        <v/>
      </c>
      <c r="F2569" t="str">
        <f t="shared" si="81"/>
        <v/>
      </c>
      <c r="G2569" t="str">
        <f>IF(E2569="","",IF(COUNTIF('DATA QCEW'!$A$2:$A$20,E2569)&gt;0,"19-SECTOR","DETAIL / OTHER"))</f>
        <v/>
      </c>
    </row>
    <row r="2570" spans="4:7">
      <c r="D2570" s="8"/>
      <c r="E2570" t="str">
        <f t="shared" si="80"/>
        <v/>
      </c>
      <c r="F2570" t="str">
        <f t="shared" si="81"/>
        <v/>
      </c>
      <c r="G2570" t="str">
        <f>IF(E2570="","",IF(COUNTIF('DATA QCEW'!$A$2:$A$20,E2570)&gt;0,"19-SECTOR","DETAIL / OTHER"))</f>
        <v/>
      </c>
    </row>
    <row r="2571" spans="4:7">
      <c r="D2571" s="8"/>
      <c r="E2571" t="str">
        <f t="shared" si="80"/>
        <v/>
      </c>
      <c r="F2571" t="str">
        <f t="shared" si="81"/>
        <v/>
      </c>
      <c r="G2571" t="str">
        <f>IF(E2571="","",IF(COUNTIF('DATA QCEW'!$A$2:$A$20,E2571)&gt;0,"19-SECTOR","DETAIL / OTHER"))</f>
        <v/>
      </c>
    </row>
    <row r="2572" spans="4:7">
      <c r="D2572" s="8"/>
      <c r="E2572" t="str">
        <f t="shared" si="80"/>
        <v/>
      </c>
      <c r="F2572" t="str">
        <f t="shared" si="81"/>
        <v/>
      </c>
      <c r="G2572" t="str">
        <f>IF(E2572="","",IF(COUNTIF('DATA QCEW'!$A$2:$A$20,E2572)&gt;0,"19-SECTOR","DETAIL / OTHER"))</f>
        <v/>
      </c>
    </row>
    <row r="2573" spans="4:7">
      <c r="D2573" s="8"/>
      <c r="E2573" t="str">
        <f t="shared" si="80"/>
        <v/>
      </c>
      <c r="F2573" t="str">
        <f t="shared" si="81"/>
        <v/>
      </c>
      <c r="G2573" t="str">
        <f>IF(E2573="","",IF(COUNTIF('DATA QCEW'!$A$2:$A$20,E2573)&gt;0,"19-SECTOR","DETAIL / OTHER"))</f>
        <v/>
      </c>
    </row>
    <row r="2574" spans="4:7">
      <c r="D2574" s="8"/>
      <c r="E2574" t="str">
        <f t="shared" si="80"/>
        <v/>
      </c>
      <c r="F2574" t="str">
        <f t="shared" si="81"/>
        <v/>
      </c>
      <c r="G2574" t="str">
        <f>IF(E2574="","",IF(COUNTIF('DATA QCEW'!$A$2:$A$20,E2574)&gt;0,"19-SECTOR","DETAIL / OTHER"))</f>
        <v/>
      </c>
    </row>
    <row r="2575" spans="4:7">
      <c r="D2575" s="8"/>
      <c r="E2575" t="str">
        <f t="shared" si="80"/>
        <v/>
      </c>
      <c r="F2575" t="str">
        <f t="shared" si="81"/>
        <v/>
      </c>
      <c r="G2575" t="str">
        <f>IF(E2575="","",IF(COUNTIF('DATA QCEW'!$A$2:$A$20,E2575)&gt;0,"19-SECTOR","DETAIL / OTHER"))</f>
        <v/>
      </c>
    </row>
    <row r="2576" spans="4:7">
      <c r="D2576" s="8"/>
      <c r="E2576" t="str">
        <f t="shared" si="80"/>
        <v/>
      </c>
      <c r="F2576" t="str">
        <f t="shared" si="81"/>
        <v/>
      </c>
      <c r="G2576" t="str">
        <f>IF(E2576="","",IF(COUNTIF('DATA QCEW'!$A$2:$A$20,E2576)&gt;0,"19-SECTOR","DETAIL / OTHER"))</f>
        <v/>
      </c>
    </row>
    <row r="2577" spans="4:7">
      <c r="D2577" s="8"/>
      <c r="E2577" t="str">
        <f t="shared" si="80"/>
        <v/>
      </c>
      <c r="F2577" t="str">
        <f t="shared" si="81"/>
        <v/>
      </c>
      <c r="G2577" t="str">
        <f>IF(E2577="","",IF(COUNTIF('DATA QCEW'!$A$2:$A$20,E2577)&gt;0,"19-SECTOR","DETAIL / OTHER"))</f>
        <v/>
      </c>
    </row>
    <row r="2578" spans="4:7">
      <c r="D2578" s="8"/>
      <c r="E2578" t="str">
        <f t="shared" si="80"/>
        <v/>
      </c>
      <c r="F2578" t="str">
        <f t="shared" si="81"/>
        <v/>
      </c>
      <c r="G2578" t="str">
        <f>IF(E2578="","",IF(COUNTIF('DATA QCEW'!$A$2:$A$20,E2578)&gt;0,"19-SECTOR","DETAIL / OTHER"))</f>
        <v/>
      </c>
    </row>
    <row r="2579" spans="4:7">
      <c r="D2579" s="8"/>
      <c r="E2579" t="str">
        <f t="shared" si="80"/>
        <v/>
      </c>
      <c r="F2579" t="str">
        <f t="shared" si="81"/>
        <v/>
      </c>
      <c r="G2579" t="str">
        <f>IF(E2579="","",IF(COUNTIF('DATA QCEW'!$A$2:$A$20,E2579)&gt;0,"19-SECTOR","DETAIL / OTHER"))</f>
        <v/>
      </c>
    </row>
    <row r="2580" spans="4:7">
      <c r="D2580" s="8"/>
      <c r="E2580" t="str">
        <f t="shared" si="80"/>
        <v/>
      </c>
      <c r="F2580" t="str">
        <f t="shared" si="81"/>
        <v/>
      </c>
      <c r="G2580" t="str">
        <f>IF(E2580="","",IF(COUNTIF('DATA QCEW'!$A$2:$A$20,E2580)&gt;0,"19-SECTOR","DETAIL / OTHER"))</f>
        <v/>
      </c>
    </row>
    <row r="2581" spans="4:7">
      <c r="D2581" s="8"/>
      <c r="E2581" t="str">
        <f t="shared" si="80"/>
        <v/>
      </c>
      <c r="F2581" t="str">
        <f t="shared" si="81"/>
        <v/>
      </c>
      <c r="G2581" t="str">
        <f>IF(E2581="","",IF(COUNTIF('DATA QCEW'!$A$2:$A$20,E2581)&gt;0,"19-SECTOR","DETAIL / OTHER"))</f>
        <v/>
      </c>
    </row>
    <row r="2582" spans="4:7">
      <c r="D2582" s="8"/>
      <c r="E2582" t="str">
        <f t="shared" si="80"/>
        <v/>
      </c>
      <c r="F2582" t="str">
        <f t="shared" si="81"/>
        <v/>
      </c>
      <c r="G2582" t="str">
        <f>IF(E2582="","",IF(COUNTIF('DATA QCEW'!$A$2:$A$20,E2582)&gt;0,"19-SECTOR","DETAIL / OTHER"))</f>
        <v/>
      </c>
    </row>
    <row r="2583" spans="4:7">
      <c r="D2583" s="8"/>
      <c r="E2583" t="str">
        <f t="shared" si="80"/>
        <v/>
      </c>
      <c r="F2583" t="str">
        <f t="shared" si="81"/>
        <v/>
      </c>
      <c r="G2583" t="str">
        <f>IF(E2583="","",IF(COUNTIF('DATA QCEW'!$A$2:$A$20,E2583)&gt;0,"19-SECTOR","DETAIL / OTHER"))</f>
        <v/>
      </c>
    </row>
    <row r="2584" spans="4:7">
      <c r="D2584" s="8"/>
      <c r="E2584" t="str">
        <f t="shared" si="80"/>
        <v/>
      </c>
      <c r="F2584" t="str">
        <f t="shared" si="81"/>
        <v/>
      </c>
      <c r="G2584" t="str">
        <f>IF(E2584="","",IF(COUNTIF('DATA QCEW'!$A$2:$A$20,E2584)&gt;0,"19-SECTOR","DETAIL / OTHER"))</f>
        <v/>
      </c>
    </row>
    <row r="2585" spans="4:7">
      <c r="D2585" s="8"/>
      <c r="E2585" t="str">
        <f t="shared" si="80"/>
        <v/>
      </c>
      <c r="F2585" t="str">
        <f t="shared" si="81"/>
        <v/>
      </c>
      <c r="G2585" t="str">
        <f>IF(E2585="","",IF(COUNTIF('DATA QCEW'!$A$2:$A$20,E2585)&gt;0,"19-SECTOR","DETAIL / OTHER"))</f>
        <v/>
      </c>
    </row>
    <row r="2586" spans="4:7">
      <c r="D2586" s="8"/>
      <c r="E2586" t="str">
        <f t="shared" si="80"/>
        <v/>
      </c>
      <c r="F2586" t="str">
        <f t="shared" si="81"/>
        <v/>
      </c>
      <c r="G2586" t="str">
        <f>IF(E2586="","",IF(COUNTIF('DATA QCEW'!$A$2:$A$20,E2586)&gt;0,"19-SECTOR","DETAIL / OTHER"))</f>
        <v/>
      </c>
    </row>
    <row r="2587" spans="4:7">
      <c r="D2587" s="8"/>
      <c r="E2587" t="str">
        <f t="shared" si="80"/>
        <v/>
      </c>
      <c r="F2587" t="str">
        <f t="shared" si="81"/>
        <v/>
      </c>
      <c r="G2587" t="str">
        <f>IF(E2587="","",IF(COUNTIF('DATA QCEW'!$A$2:$A$20,E2587)&gt;0,"19-SECTOR","DETAIL / OTHER"))</f>
        <v/>
      </c>
    </row>
    <row r="2588" spans="4:7">
      <c r="D2588" s="8"/>
      <c r="E2588" t="str">
        <f t="shared" si="80"/>
        <v/>
      </c>
      <c r="F2588" t="str">
        <f t="shared" si="81"/>
        <v/>
      </c>
      <c r="G2588" t="str">
        <f>IF(E2588="","",IF(COUNTIF('DATA QCEW'!$A$2:$A$20,E2588)&gt;0,"19-SECTOR","DETAIL / OTHER"))</f>
        <v/>
      </c>
    </row>
    <row r="2589" spans="4:7">
      <c r="D2589" s="8"/>
      <c r="E2589" t="str">
        <f t="shared" si="80"/>
        <v/>
      </c>
      <c r="F2589" t="str">
        <f t="shared" si="81"/>
        <v/>
      </c>
      <c r="G2589" t="str">
        <f>IF(E2589="","",IF(COUNTIF('DATA QCEW'!$A$2:$A$20,E2589)&gt;0,"19-SECTOR","DETAIL / OTHER"))</f>
        <v/>
      </c>
    </row>
    <row r="2590" spans="4:7">
      <c r="D2590" s="8"/>
      <c r="E2590" t="str">
        <f t="shared" si="80"/>
        <v/>
      </c>
      <c r="F2590" t="str">
        <f t="shared" si="81"/>
        <v/>
      </c>
      <c r="G2590" t="str">
        <f>IF(E2590="","",IF(COUNTIF('DATA QCEW'!$A$2:$A$20,E2590)&gt;0,"19-SECTOR","DETAIL / OTHER"))</f>
        <v/>
      </c>
    </row>
    <row r="2591" spans="4:7">
      <c r="D2591" s="8"/>
      <c r="E2591" t="str">
        <f t="shared" si="80"/>
        <v/>
      </c>
      <c r="F2591" t="str">
        <f t="shared" si="81"/>
        <v/>
      </c>
      <c r="G2591" t="str">
        <f>IF(E2591="","",IF(COUNTIF('DATA QCEW'!$A$2:$A$20,E2591)&gt;0,"19-SECTOR","DETAIL / OTHER"))</f>
        <v/>
      </c>
    </row>
    <row r="2592" spans="4:7">
      <c r="D2592" s="8"/>
      <c r="E2592" t="str">
        <f t="shared" si="80"/>
        <v/>
      </c>
      <c r="F2592" t="str">
        <f t="shared" si="81"/>
        <v/>
      </c>
      <c r="G2592" t="str">
        <f>IF(E2592="","",IF(COUNTIF('DATA QCEW'!$A$2:$A$20,E2592)&gt;0,"19-SECTOR","DETAIL / OTHER"))</f>
        <v/>
      </c>
    </row>
    <row r="2593" spans="4:7">
      <c r="D2593" s="8"/>
      <c r="E2593" t="str">
        <f t="shared" si="80"/>
        <v/>
      </c>
      <c r="F2593" t="str">
        <f t="shared" si="81"/>
        <v/>
      </c>
      <c r="G2593" t="str">
        <f>IF(E2593="","",IF(COUNTIF('DATA QCEW'!$A$2:$A$20,E2593)&gt;0,"19-SECTOR","DETAIL / OTHER"))</f>
        <v/>
      </c>
    </row>
    <row r="2594" spans="4:7">
      <c r="D2594" s="8"/>
      <c r="E2594" t="str">
        <f t="shared" si="80"/>
        <v/>
      </c>
      <c r="F2594" t="str">
        <f t="shared" si="81"/>
        <v/>
      </c>
      <c r="G2594" t="str">
        <f>IF(E2594="","",IF(COUNTIF('DATA QCEW'!$A$2:$A$20,E2594)&gt;0,"19-SECTOR","DETAIL / OTHER"))</f>
        <v/>
      </c>
    </row>
    <row r="2595" spans="4:7">
      <c r="D2595" s="8"/>
      <c r="E2595" t="str">
        <f t="shared" si="80"/>
        <v/>
      </c>
      <c r="F2595" t="str">
        <f t="shared" si="81"/>
        <v/>
      </c>
      <c r="G2595" t="str">
        <f>IF(E2595="","",IF(COUNTIF('DATA QCEW'!$A$2:$A$20,E2595)&gt;0,"19-SECTOR","DETAIL / OTHER"))</f>
        <v/>
      </c>
    </row>
    <row r="2596" spans="4:7">
      <c r="D2596" s="8"/>
      <c r="E2596" t="str">
        <f t="shared" si="80"/>
        <v/>
      </c>
      <c r="F2596" t="str">
        <f t="shared" si="81"/>
        <v/>
      </c>
      <c r="G2596" t="str">
        <f>IF(E2596="","",IF(COUNTIF('DATA QCEW'!$A$2:$A$20,E2596)&gt;0,"19-SECTOR","DETAIL / OTHER"))</f>
        <v/>
      </c>
    </row>
    <row r="2597" spans="4:7">
      <c r="D2597" s="8"/>
      <c r="E2597" t="str">
        <f t="shared" si="80"/>
        <v/>
      </c>
      <c r="F2597" t="str">
        <f t="shared" si="81"/>
        <v/>
      </c>
      <c r="G2597" t="str">
        <f>IF(E2597="","",IF(COUNTIF('DATA QCEW'!$A$2:$A$20,E2597)&gt;0,"19-SECTOR","DETAIL / OTHER"))</f>
        <v/>
      </c>
    </row>
    <row r="2598" spans="4:7">
      <c r="D2598" s="8"/>
      <c r="E2598" t="str">
        <f t="shared" si="80"/>
        <v/>
      </c>
      <c r="F2598" t="str">
        <f t="shared" si="81"/>
        <v/>
      </c>
      <c r="G2598" t="str">
        <f>IF(E2598="","",IF(COUNTIF('DATA QCEW'!$A$2:$A$20,E2598)&gt;0,"19-SECTOR","DETAIL / OTHER"))</f>
        <v/>
      </c>
    </row>
    <row r="2599" spans="4:7">
      <c r="D2599" s="8"/>
      <c r="E2599" t="str">
        <f t="shared" si="80"/>
        <v/>
      </c>
      <c r="F2599" t="str">
        <f t="shared" si="81"/>
        <v/>
      </c>
      <c r="G2599" t="str">
        <f>IF(E2599="","",IF(COUNTIF('DATA QCEW'!$A$2:$A$20,E2599)&gt;0,"19-SECTOR","DETAIL / OTHER"))</f>
        <v/>
      </c>
    </row>
    <row r="2600" spans="4:7">
      <c r="D2600" s="8"/>
      <c r="E2600" t="str">
        <f t="shared" si="80"/>
        <v/>
      </c>
      <c r="F2600" t="str">
        <f t="shared" si="81"/>
        <v/>
      </c>
      <c r="G2600" t="str">
        <f>IF(E2600="","",IF(COUNTIF('DATA QCEW'!$A$2:$A$20,E2600)&gt;0,"19-SECTOR","DETAIL / OTHER"))</f>
        <v/>
      </c>
    </row>
    <row r="2601" spans="4:7">
      <c r="D2601" s="8"/>
      <c r="E2601" t="str">
        <f t="shared" si="80"/>
        <v/>
      </c>
      <c r="F2601" t="str">
        <f t="shared" si="81"/>
        <v/>
      </c>
      <c r="G2601" t="str">
        <f>IF(E2601="","",IF(COUNTIF('DATA QCEW'!$A$2:$A$20,E2601)&gt;0,"19-SECTOR","DETAIL / OTHER"))</f>
        <v/>
      </c>
    </row>
    <row r="2602" spans="4:7">
      <c r="D2602" s="8"/>
      <c r="E2602" t="str">
        <f t="shared" si="80"/>
        <v/>
      </c>
      <c r="F2602" t="str">
        <f t="shared" si="81"/>
        <v/>
      </c>
      <c r="G2602" t="str">
        <f>IF(E2602="","",IF(COUNTIF('DATA QCEW'!$A$2:$A$20,E2602)&gt;0,"19-SECTOR","DETAIL / OTHER"))</f>
        <v/>
      </c>
    </row>
    <row r="2603" spans="4:7">
      <c r="D2603" s="8"/>
      <c r="E2603" t="str">
        <f t="shared" si="80"/>
        <v/>
      </c>
      <c r="F2603" t="str">
        <f t="shared" si="81"/>
        <v/>
      </c>
      <c r="G2603" t="str">
        <f>IF(E2603="","",IF(COUNTIF('DATA QCEW'!$A$2:$A$20,E2603)&gt;0,"19-SECTOR","DETAIL / OTHER"))</f>
        <v/>
      </c>
    </row>
    <row r="2604" spans="4:7">
      <c r="D2604" s="8"/>
      <c r="E2604" t="str">
        <f t="shared" si="80"/>
        <v/>
      </c>
      <c r="F2604" t="str">
        <f t="shared" si="81"/>
        <v/>
      </c>
      <c r="G2604" t="str">
        <f>IF(E2604="","",IF(COUNTIF('DATA QCEW'!$A$2:$A$20,E2604)&gt;0,"19-SECTOR","DETAIL / OTHER"))</f>
        <v/>
      </c>
    </row>
    <row r="2605" spans="4:7">
      <c r="D2605" s="8"/>
      <c r="E2605" t="str">
        <f t="shared" si="80"/>
        <v/>
      </c>
      <c r="F2605" t="str">
        <f t="shared" si="81"/>
        <v/>
      </c>
      <c r="G2605" t="str">
        <f>IF(E2605="","",IF(COUNTIF('DATA QCEW'!$A$2:$A$20,E2605)&gt;0,"19-SECTOR","DETAIL / OTHER"))</f>
        <v/>
      </c>
    </row>
    <row r="2606" spans="4:7">
      <c r="D2606" s="8"/>
      <c r="E2606" t="str">
        <f t="shared" si="80"/>
        <v/>
      </c>
      <c r="F2606" t="str">
        <f t="shared" si="81"/>
        <v/>
      </c>
      <c r="G2606" t="str">
        <f>IF(E2606="","",IF(COUNTIF('DATA QCEW'!$A$2:$A$20,E2606)&gt;0,"19-SECTOR","DETAIL / OTHER"))</f>
        <v/>
      </c>
    </row>
    <row r="2607" spans="4:7">
      <c r="D2607" s="8"/>
      <c r="E2607" t="str">
        <f t="shared" si="80"/>
        <v/>
      </c>
      <c r="F2607" t="str">
        <f t="shared" si="81"/>
        <v/>
      </c>
      <c r="G2607" t="str">
        <f>IF(E2607="","",IF(COUNTIF('DATA QCEW'!$A$2:$A$20,E2607)&gt;0,"19-SECTOR","DETAIL / OTHER"))</f>
        <v/>
      </c>
    </row>
    <row r="2608" spans="4:7">
      <c r="D2608" s="8"/>
      <c r="E2608" t="str">
        <f t="shared" si="80"/>
        <v/>
      </c>
      <c r="F2608" t="str">
        <f t="shared" si="81"/>
        <v/>
      </c>
      <c r="G2608" t="str">
        <f>IF(E2608="","",IF(COUNTIF('DATA QCEW'!$A$2:$A$20,E2608)&gt;0,"19-SECTOR","DETAIL / OTHER"))</f>
        <v/>
      </c>
    </row>
    <row r="2609" spans="4:7">
      <c r="D2609" s="8"/>
      <c r="E2609" t="str">
        <f t="shared" si="80"/>
        <v/>
      </c>
      <c r="F2609" t="str">
        <f t="shared" si="81"/>
        <v/>
      </c>
      <c r="G2609" t="str">
        <f>IF(E2609="","",IF(COUNTIF('DATA QCEW'!$A$2:$A$20,E2609)&gt;0,"19-SECTOR","DETAIL / OTHER"))</f>
        <v/>
      </c>
    </row>
    <row r="2610" spans="4:7">
      <c r="D2610" s="8"/>
      <c r="E2610" t="str">
        <f t="shared" si="80"/>
        <v/>
      </c>
      <c r="F2610" t="str">
        <f t="shared" si="81"/>
        <v/>
      </c>
      <c r="G2610" t="str">
        <f>IF(E2610="","",IF(COUNTIF('DATA QCEW'!$A$2:$A$20,E2610)&gt;0,"19-SECTOR","DETAIL / OTHER"))</f>
        <v/>
      </c>
    </row>
    <row r="2611" spans="4:7">
      <c r="D2611" s="8"/>
      <c r="E2611" t="str">
        <f t="shared" si="80"/>
        <v/>
      </c>
      <c r="F2611" t="str">
        <f t="shared" si="81"/>
        <v/>
      </c>
      <c r="G2611" t="str">
        <f>IF(E2611="","",IF(COUNTIF('DATA QCEW'!$A$2:$A$20,E2611)&gt;0,"19-SECTOR","DETAIL / OTHER"))</f>
        <v/>
      </c>
    </row>
    <row r="2612" spans="4:7">
      <c r="D2612" s="8"/>
      <c r="E2612" t="str">
        <f t="shared" si="80"/>
        <v/>
      </c>
      <c r="F2612" t="str">
        <f t="shared" si="81"/>
        <v/>
      </c>
      <c r="G2612" t="str">
        <f>IF(E2612="","",IF(COUNTIF('DATA QCEW'!$A$2:$A$20,E2612)&gt;0,"19-SECTOR","DETAIL / OTHER"))</f>
        <v/>
      </c>
    </row>
    <row r="2613" spans="4:7">
      <c r="D2613" s="8"/>
      <c r="E2613" t="str">
        <f t="shared" si="80"/>
        <v/>
      </c>
      <c r="F2613" t="str">
        <f t="shared" si="81"/>
        <v/>
      </c>
      <c r="G2613" t="str">
        <f>IF(E2613="","",IF(COUNTIF('DATA QCEW'!$A$2:$A$20,E2613)&gt;0,"19-SECTOR","DETAIL / OTHER"))</f>
        <v/>
      </c>
    </row>
    <row r="2614" spans="4:7">
      <c r="D2614" s="8"/>
      <c r="E2614" t="str">
        <f t="shared" si="80"/>
        <v/>
      </c>
      <c r="F2614" t="str">
        <f t="shared" si="81"/>
        <v/>
      </c>
      <c r="G2614" t="str">
        <f>IF(E2614="","",IF(COUNTIF('DATA QCEW'!$A$2:$A$20,E2614)&gt;0,"19-SECTOR","DETAIL / OTHER"))</f>
        <v/>
      </c>
    </row>
    <row r="2615" spans="4:7">
      <c r="D2615" s="8"/>
      <c r="E2615" t="str">
        <f t="shared" si="80"/>
        <v/>
      </c>
      <c r="F2615" t="str">
        <f t="shared" si="81"/>
        <v/>
      </c>
      <c r="G2615" t="str">
        <f>IF(E2615="","",IF(COUNTIF('DATA QCEW'!$A$2:$A$20,E2615)&gt;0,"19-SECTOR","DETAIL / OTHER"))</f>
        <v/>
      </c>
    </row>
    <row r="2616" spans="4:7">
      <c r="D2616" s="8"/>
      <c r="E2616" t="str">
        <f t="shared" si="80"/>
        <v/>
      </c>
      <c r="F2616" t="str">
        <f t="shared" si="81"/>
        <v/>
      </c>
      <c r="G2616" t="str">
        <f>IF(E2616="","",IF(COUNTIF('DATA QCEW'!$A$2:$A$20,E2616)&gt;0,"19-SECTOR","DETAIL / OTHER"))</f>
        <v/>
      </c>
    </row>
    <row r="2617" spans="4:7">
      <c r="D2617" s="8"/>
      <c r="E2617" t="str">
        <f t="shared" si="80"/>
        <v/>
      </c>
      <c r="F2617" t="str">
        <f t="shared" si="81"/>
        <v/>
      </c>
      <c r="G2617" t="str">
        <f>IF(E2617="","",IF(COUNTIF('DATA QCEW'!$A$2:$A$20,E2617)&gt;0,"19-SECTOR","DETAIL / OTHER"))</f>
        <v/>
      </c>
    </row>
    <row r="2618" spans="4:7">
      <c r="D2618" s="8"/>
      <c r="E2618" t="str">
        <f t="shared" si="80"/>
        <v/>
      </c>
      <c r="F2618" t="str">
        <f t="shared" si="81"/>
        <v/>
      </c>
      <c r="G2618" t="str">
        <f>IF(E2618="","",IF(COUNTIF('DATA QCEW'!$A$2:$A$20,E2618)&gt;0,"19-SECTOR","DETAIL / OTHER"))</f>
        <v/>
      </c>
    </row>
    <row r="2619" spans="4:7">
      <c r="D2619" s="8"/>
      <c r="E2619" t="str">
        <f t="shared" si="80"/>
        <v/>
      </c>
      <c r="F2619" t="str">
        <f t="shared" si="81"/>
        <v/>
      </c>
      <c r="G2619" t="str">
        <f>IF(E2619="","",IF(COUNTIF('DATA QCEW'!$A$2:$A$20,E2619)&gt;0,"19-SECTOR","DETAIL / OTHER"))</f>
        <v/>
      </c>
    </row>
    <row r="2620" spans="4:7">
      <c r="D2620" s="8"/>
      <c r="E2620" t="str">
        <f t="shared" si="80"/>
        <v/>
      </c>
      <c r="F2620" t="str">
        <f t="shared" si="81"/>
        <v/>
      </c>
      <c r="G2620" t="str">
        <f>IF(E2620="","",IF(COUNTIF('DATA QCEW'!$A$2:$A$20,E2620)&gt;0,"19-SECTOR","DETAIL / OTHER"))</f>
        <v/>
      </c>
    </row>
    <row r="2621" spans="4:7">
      <c r="D2621" s="8"/>
      <c r="E2621" t="str">
        <f t="shared" si="80"/>
        <v/>
      </c>
      <c r="F2621" t="str">
        <f t="shared" si="81"/>
        <v/>
      </c>
      <c r="G2621" t="str">
        <f>IF(E2621="","",IF(COUNTIF('DATA QCEW'!$A$2:$A$20,E2621)&gt;0,"19-SECTOR","DETAIL / OTHER"))</f>
        <v/>
      </c>
    </row>
    <row r="2622" spans="4:7">
      <c r="D2622" s="8"/>
      <c r="E2622" t="str">
        <f t="shared" si="80"/>
        <v/>
      </c>
      <c r="F2622" t="str">
        <f t="shared" si="81"/>
        <v/>
      </c>
      <c r="G2622" t="str">
        <f>IF(E2622="","",IF(COUNTIF('DATA QCEW'!$A$2:$A$20,E2622)&gt;0,"19-SECTOR","DETAIL / OTHER"))</f>
        <v/>
      </c>
    </row>
    <row r="2623" spans="4:7">
      <c r="D2623" s="8"/>
      <c r="E2623" t="str">
        <f t="shared" si="80"/>
        <v/>
      </c>
      <c r="F2623" t="str">
        <f t="shared" si="81"/>
        <v/>
      </c>
      <c r="G2623" t="str">
        <f>IF(E2623="","",IF(COUNTIF('DATA QCEW'!$A$2:$A$20,E2623)&gt;0,"19-SECTOR","DETAIL / OTHER"))</f>
        <v/>
      </c>
    </row>
    <row r="2624" spans="4:7">
      <c r="D2624" s="8"/>
      <c r="E2624" t="str">
        <f t="shared" si="80"/>
        <v/>
      </c>
      <c r="F2624" t="str">
        <f t="shared" si="81"/>
        <v/>
      </c>
      <c r="G2624" t="str">
        <f>IF(E2624="","",IF(COUNTIF('DATA QCEW'!$A$2:$A$20,E2624)&gt;0,"19-SECTOR","DETAIL / OTHER"))</f>
        <v/>
      </c>
    </row>
    <row r="2625" spans="4:7">
      <c r="D2625" s="8"/>
      <c r="E2625" t="str">
        <f t="shared" si="80"/>
        <v/>
      </c>
      <c r="F2625" t="str">
        <f t="shared" si="81"/>
        <v/>
      </c>
      <c r="G2625" t="str">
        <f>IF(E2625="","",IF(COUNTIF('DATA QCEW'!$A$2:$A$20,E2625)&gt;0,"19-SECTOR","DETAIL / OTHER"))</f>
        <v/>
      </c>
    </row>
    <row r="2626" spans="4:7">
      <c r="D2626" s="8"/>
      <c r="E2626" t="str">
        <f t="shared" ref="E2626:E2689" si="82">IF(LEFT(TRIM(A2626),6)="NAICS ",IFERROR(MID(TRIM(A2626),7,FIND(" ",TRIM(A2626)&amp;" ",7)-7),""),"")</f>
        <v/>
      </c>
      <c r="F2626" t="str">
        <f t="shared" ref="F2626:F2689" si="83">IF(E2626="","",TRIM(MID(TRIM(A2626),FIND(" ",TRIM(A2626)&amp;" ",7)+1,255)))</f>
        <v/>
      </c>
      <c r="G2626" t="str">
        <f>IF(E2626="","",IF(COUNTIF('DATA QCEW'!$A$2:$A$20,E2626)&gt;0,"19-SECTOR","DETAIL / OTHER"))</f>
        <v/>
      </c>
    </row>
    <row r="2627" spans="4:7">
      <c r="D2627" s="8"/>
      <c r="E2627" t="str">
        <f t="shared" si="82"/>
        <v/>
      </c>
      <c r="F2627" t="str">
        <f t="shared" si="83"/>
        <v/>
      </c>
      <c r="G2627" t="str">
        <f>IF(E2627="","",IF(COUNTIF('DATA QCEW'!$A$2:$A$20,E2627)&gt;0,"19-SECTOR","DETAIL / OTHER"))</f>
        <v/>
      </c>
    </row>
    <row r="2628" spans="4:7">
      <c r="D2628" s="8"/>
      <c r="E2628" t="str">
        <f t="shared" si="82"/>
        <v/>
      </c>
      <c r="F2628" t="str">
        <f t="shared" si="83"/>
        <v/>
      </c>
      <c r="G2628" t="str">
        <f>IF(E2628="","",IF(COUNTIF('DATA QCEW'!$A$2:$A$20,E2628)&gt;0,"19-SECTOR","DETAIL / OTHER"))</f>
        <v/>
      </c>
    </row>
    <row r="2629" spans="4:7">
      <c r="D2629" s="8"/>
      <c r="E2629" t="str">
        <f t="shared" si="82"/>
        <v/>
      </c>
      <c r="F2629" t="str">
        <f t="shared" si="83"/>
        <v/>
      </c>
      <c r="G2629" t="str">
        <f>IF(E2629="","",IF(COUNTIF('DATA QCEW'!$A$2:$A$20,E2629)&gt;0,"19-SECTOR","DETAIL / OTHER"))</f>
        <v/>
      </c>
    </row>
    <row r="2630" spans="4:7">
      <c r="D2630" s="8"/>
      <c r="E2630" t="str">
        <f t="shared" si="82"/>
        <v/>
      </c>
      <c r="F2630" t="str">
        <f t="shared" si="83"/>
        <v/>
      </c>
      <c r="G2630" t="str">
        <f>IF(E2630="","",IF(COUNTIF('DATA QCEW'!$A$2:$A$20,E2630)&gt;0,"19-SECTOR","DETAIL / OTHER"))</f>
        <v/>
      </c>
    </row>
    <row r="2631" spans="4:7">
      <c r="D2631" s="8"/>
      <c r="E2631" t="str">
        <f t="shared" si="82"/>
        <v/>
      </c>
      <c r="F2631" t="str">
        <f t="shared" si="83"/>
        <v/>
      </c>
      <c r="G2631" t="str">
        <f>IF(E2631="","",IF(COUNTIF('DATA QCEW'!$A$2:$A$20,E2631)&gt;0,"19-SECTOR","DETAIL / OTHER"))</f>
        <v/>
      </c>
    </row>
    <row r="2632" spans="4:7">
      <c r="D2632" s="8"/>
      <c r="E2632" t="str">
        <f t="shared" si="82"/>
        <v/>
      </c>
      <c r="F2632" t="str">
        <f t="shared" si="83"/>
        <v/>
      </c>
      <c r="G2632" t="str">
        <f>IF(E2632="","",IF(COUNTIF('DATA QCEW'!$A$2:$A$20,E2632)&gt;0,"19-SECTOR","DETAIL / OTHER"))</f>
        <v/>
      </c>
    </row>
    <row r="2633" spans="4:7">
      <c r="D2633" s="8"/>
      <c r="E2633" t="str">
        <f t="shared" si="82"/>
        <v/>
      </c>
      <c r="F2633" t="str">
        <f t="shared" si="83"/>
        <v/>
      </c>
      <c r="G2633" t="str">
        <f>IF(E2633="","",IF(COUNTIF('DATA QCEW'!$A$2:$A$20,E2633)&gt;0,"19-SECTOR","DETAIL / OTHER"))</f>
        <v/>
      </c>
    </row>
    <row r="2634" spans="4:7">
      <c r="D2634" s="8"/>
      <c r="E2634" t="str">
        <f t="shared" si="82"/>
        <v/>
      </c>
      <c r="F2634" t="str">
        <f t="shared" si="83"/>
        <v/>
      </c>
      <c r="G2634" t="str">
        <f>IF(E2634="","",IF(COUNTIF('DATA QCEW'!$A$2:$A$20,E2634)&gt;0,"19-SECTOR","DETAIL / OTHER"))</f>
        <v/>
      </c>
    </row>
    <row r="2635" spans="4:7">
      <c r="D2635" s="8"/>
      <c r="E2635" t="str">
        <f t="shared" si="82"/>
        <v/>
      </c>
      <c r="F2635" t="str">
        <f t="shared" si="83"/>
        <v/>
      </c>
      <c r="G2635" t="str">
        <f>IF(E2635="","",IF(COUNTIF('DATA QCEW'!$A$2:$A$20,E2635)&gt;0,"19-SECTOR","DETAIL / OTHER"))</f>
        <v/>
      </c>
    </row>
    <row r="2636" spans="4:7">
      <c r="D2636" s="8"/>
      <c r="E2636" t="str">
        <f t="shared" si="82"/>
        <v/>
      </c>
      <c r="F2636" t="str">
        <f t="shared" si="83"/>
        <v/>
      </c>
      <c r="G2636" t="str">
        <f>IF(E2636="","",IF(COUNTIF('DATA QCEW'!$A$2:$A$20,E2636)&gt;0,"19-SECTOR","DETAIL / OTHER"))</f>
        <v/>
      </c>
    </row>
    <row r="2637" spans="4:7">
      <c r="D2637" s="8"/>
      <c r="E2637" t="str">
        <f t="shared" si="82"/>
        <v/>
      </c>
      <c r="F2637" t="str">
        <f t="shared" si="83"/>
        <v/>
      </c>
      <c r="G2637" t="str">
        <f>IF(E2637="","",IF(COUNTIF('DATA QCEW'!$A$2:$A$20,E2637)&gt;0,"19-SECTOR","DETAIL / OTHER"))</f>
        <v/>
      </c>
    </row>
    <row r="2638" spans="4:7">
      <c r="D2638" s="8"/>
      <c r="E2638" t="str">
        <f t="shared" si="82"/>
        <v/>
      </c>
      <c r="F2638" t="str">
        <f t="shared" si="83"/>
        <v/>
      </c>
      <c r="G2638" t="str">
        <f>IF(E2638="","",IF(COUNTIF('DATA QCEW'!$A$2:$A$20,E2638)&gt;0,"19-SECTOR","DETAIL / OTHER"))</f>
        <v/>
      </c>
    </row>
    <row r="2639" spans="4:7">
      <c r="D2639" s="8"/>
      <c r="E2639" t="str">
        <f t="shared" si="82"/>
        <v/>
      </c>
      <c r="F2639" t="str">
        <f t="shared" si="83"/>
        <v/>
      </c>
      <c r="G2639" t="str">
        <f>IF(E2639="","",IF(COUNTIF('DATA QCEW'!$A$2:$A$20,E2639)&gt;0,"19-SECTOR","DETAIL / OTHER"))</f>
        <v/>
      </c>
    </row>
    <row r="2640" spans="4:7">
      <c r="D2640" s="8"/>
      <c r="E2640" t="str">
        <f t="shared" si="82"/>
        <v/>
      </c>
      <c r="F2640" t="str">
        <f t="shared" si="83"/>
        <v/>
      </c>
      <c r="G2640" t="str">
        <f>IF(E2640="","",IF(COUNTIF('DATA QCEW'!$A$2:$A$20,E2640)&gt;0,"19-SECTOR","DETAIL / OTHER"))</f>
        <v/>
      </c>
    </row>
    <row r="2641" spans="4:7">
      <c r="D2641" s="8"/>
      <c r="E2641" t="str">
        <f t="shared" si="82"/>
        <v/>
      </c>
      <c r="F2641" t="str">
        <f t="shared" si="83"/>
        <v/>
      </c>
      <c r="G2641" t="str">
        <f>IF(E2641="","",IF(COUNTIF('DATA QCEW'!$A$2:$A$20,E2641)&gt;0,"19-SECTOR","DETAIL / OTHER"))</f>
        <v/>
      </c>
    </row>
    <row r="2642" spans="4:7">
      <c r="D2642" s="8"/>
      <c r="E2642" t="str">
        <f t="shared" si="82"/>
        <v/>
      </c>
      <c r="F2642" t="str">
        <f t="shared" si="83"/>
        <v/>
      </c>
      <c r="G2642" t="str">
        <f>IF(E2642="","",IF(COUNTIF('DATA QCEW'!$A$2:$A$20,E2642)&gt;0,"19-SECTOR","DETAIL / OTHER"))</f>
        <v/>
      </c>
    </row>
    <row r="2643" spans="4:7">
      <c r="D2643" s="8"/>
      <c r="E2643" t="str">
        <f t="shared" si="82"/>
        <v/>
      </c>
      <c r="F2643" t="str">
        <f t="shared" si="83"/>
        <v/>
      </c>
      <c r="G2643" t="str">
        <f>IF(E2643="","",IF(COUNTIF('DATA QCEW'!$A$2:$A$20,E2643)&gt;0,"19-SECTOR","DETAIL / OTHER"))</f>
        <v/>
      </c>
    </row>
    <row r="2644" spans="4:7">
      <c r="D2644" s="8"/>
      <c r="E2644" t="str">
        <f t="shared" si="82"/>
        <v/>
      </c>
      <c r="F2644" t="str">
        <f t="shared" si="83"/>
        <v/>
      </c>
      <c r="G2644" t="str">
        <f>IF(E2644="","",IF(COUNTIF('DATA QCEW'!$A$2:$A$20,E2644)&gt;0,"19-SECTOR","DETAIL / OTHER"))</f>
        <v/>
      </c>
    </row>
    <row r="2645" spans="4:7">
      <c r="D2645" s="8"/>
      <c r="E2645" t="str">
        <f t="shared" si="82"/>
        <v/>
      </c>
      <c r="F2645" t="str">
        <f t="shared" si="83"/>
        <v/>
      </c>
      <c r="G2645" t="str">
        <f>IF(E2645="","",IF(COUNTIF('DATA QCEW'!$A$2:$A$20,E2645)&gt;0,"19-SECTOR","DETAIL / OTHER"))</f>
        <v/>
      </c>
    </row>
    <row r="2646" spans="4:7">
      <c r="D2646" s="8"/>
      <c r="E2646" t="str">
        <f t="shared" si="82"/>
        <v/>
      </c>
      <c r="F2646" t="str">
        <f t="shared" si="83"/>
        <v/>
      </c>
      <c r="G2646" t="str">
        <f>IF(E2646="","",IF(COUNTIF('DATA QCEW'!$A$2:$A$20,E2646)&gt;0,"19-SECTOR","DETAIL / OTHER"))</f>
        <v/>
      </c>
    </row>
    <row r="2647" spans="4:7">
      <c r="D2647" s="8"/>
      <c r="E2647" t="str">
        <f t="shared" si="82"/>
        <v/>
      </c>
      <c r="F2647" t="str">
        <f t="shared" si="83"/>
        <v/>
      </c>
      <c r="G2647" t="str">
        <f>IF(E2647="","",IF(COUNTIF('DATA QCEW'!$A$2:$A$20,E2647)&gt;0,"19-SECTOR","DETAIL / OTHER"))</f>
        <v/>
      </c>
    </row>
    <row r="2648" spans="4:7">
      <c r="D2648" s="8"/>
      <c r="E2648" t="str">
        <f t="shared" si="82"/>
        <v/>
      </c>
      <c r="F2648" t="str">
        <f t="shared" si="83"/>
        <v/>
      </c>
      <c r="G2648" t="str">
        <f>IF(E2648="","",IF(COUNTIF('DATA QCEW'!$A$2:$A$20,E2648)&gt;0,"19-SECTOR","DETAIL / OTHER"))</f>
        <v/>
      </c>
    </row>
    <row r="2649" spans="4:7">
      <c r="D2649" s="8"/>
      <c r="E2649" t="str">
        <f t="shared" si="82"/>
        <v/>
      </c>
      <c r="F2649" t="str">
        <f t="shared" si="83"/>
        <v/>
      </c>
      <c r="G2649" t="str">
        <f>IF(E2649="","",IF(COUNTIF('DATA QCEW'!$A$2:$A$20,E2649)&gt;0,"19-SECTOR","DETAIL / OTHER"))</f>
        <v/>
      </c>
    </row>
    <row r="2650" spans="4:7">
      <c r="D2650" s="8"/>
      <c r="E2650" t="str">
        <f t="shared" si="82"/>
        <v/>
      </c>
      <c r="F2650" t="str">
        <f t="shared" si="83"/>
        <v/>
      </c>
      <c r="G2650" t="str">
        <f>IF(E2650="","",IF(COUNTIF('DATA QCEW'!$A$2:$A$20,E2650)&gt;0,"19-SECTOR","DETAIL / OTHER"))</f>
        <v/>
      </c>
    </row>
    <row r="2651" spans="4:7">
      <c r="D2651" s="8"/>
      <c r="E2651" t="str">
        <f t="shared" si="82"/>
        <v/>
      </c>
      <c r="F2651" t="str">
        <f t="shared" si="83"/>
        <v/>
      </c>
      <c r="G2651" t="str">
        <f>IF(E2651="","",IF(COUNTIF('DATA QCEW'!$A$2:$A$20,E2651)&gt;0,"19-SECTOR","DETAIL / OTHER"))</f>
        <v/>
      </c>
    </row>
    <row r="2652" spans="4:7">
      <c r="D2652" s="8"/>
      <c r="E2652" t="str">
        <f t="shared" si="82"/>
        <v/>
      </c>
      <c r="F2652" t="str">
        <f t="shared" si="83"/>
        <v/>
      </c>
      <c r="G2652" t="str">
        <f>IF(E2652="","",IF(COUNTIF('DATA QCEW'!$A$2:$A$20,E2652)&gt;0,"19-SECTOR","DETAIL / OTHER"))</f>
        <v/>
      </c>
    </row>
    <row r="2653" spans="4:7">
      <c r="D2653" s="8"/>
      <c r="E2653" t="str">
        <f t="shared" si="82"/>
        <v/>
      </c>
      <c r="F2653" t="str">
        <f t="shared" si="83"/>
        <v/>
      </c>
      <c r="G2653" t="str">
        <f>IF(E2653="","",IF(COUNTIF('DATA QCEW'!$A$2:$A$20,E2653)&gt;0,"19-SECTOR","DETAIL / OTHER"))</f>
        <v/>
      </c>
    </row>
    <row r="2654" spans="4:7">
      <c r="D2654" s="8"/>
      <c r="E2654" t="str">
        <f t="shared" si="82"/>
        <v/>
      </c>
      <c r="F2654" t="str">
        <f t="shared" si="83"/>
        <v/>
      </c>
      <c r="G2654" t="str">
        <f>IF(E2654="","",IF(COUNTIF('DATA QCEW'!$A$2:$A$20,E2654)&gt;0,"19-SECTOR","DETAIL / OTHER"))</f>
        <v/>
      </c>
    </row>
    <row r="2655" spans="4:7">
      <c r="D2655" s="8"/>
      <c r="E2655" t="str">
        <f t="shared" si="82"/>
        <v/>
      </c>
      <c r="F2655" t="str">
        <f t="shared" si="83"/>
        <v/>
      </c>
      <c r="G2655" t="str">
        <f>IF(E2655="","",IF(COUNTIF('DATA QCEW'!$A$2:$A$20,E2655)&gt;0,"19-SECTOR","DETAIL / OTHER"))</f>
        <v/>
      </c>
    </row>
    <row r="2656" spans="4:7">
      <c r="D2656" s="8"/>
      <c r="E2656" t="str">
        <f t="shared" si="82"/>
        <v/>
      </c>
      <c r="F2656" t="str">
        <f t="shared" si="83"/>
        <v/>
      </c>
      <c r="G2656" t="str">
        <f>IF(E2656="","",IF(COUNTIF('DATA QCEW'!$A$2:$A$20,E2656)&gt;0,"19-SECTOR","DETAIL / OTHER"))</f>
        <v/>
      </c>
    </row>
    <row r="2657" spans="4:7">
      <c r="D2657" s="8"/>
      <c r="E2657" t="str">
        <f t="shared" si="82"/>
        <v/>
      </c>
      <c r="F2657" t="str">
        <f t="shared" si="83"/>
        <v/>
      </c>
      <c r="G2657" t="str">
        <f>IF(E2657="","",IF(COUNTIF('DATA QCEW'!$A$2:$A$20,E2657)&gt;0,"19-SECTOR","DETAIL / OTHER"))</f>
        <v/>
      </c>
    </row>
    <row r="2658" spans="4:7">
      <c r="D2658" s="8"/>
      <c r="E2658" t="str">
        <f t="shared" si="82"/>
        <v/>
      </c>
      <c r="F2658" t="str">
        <f t="shared" si="83"/>
        <v/>
      </c>
      <c r="G2658" t="str">
        <f>IF(E2658="","",IF(COUNTIF('DATA QCEW'!$A$2:$A$20,E2658)&gt;0,"19-SECTOR","DETAIL / OTHER"))</f>
        <v/>
      </c>
    </row>
    <row r="2659" spans="4:7">
      <c r="D2659" s="8"/>
      <c r="E2659" t="str">
        <f t="shared" si="82"/>
        <v/>
      </c>
      <c r="F2659" t="str">
        <f t="shared" si="83"/>
        <v/>
      </c>
      <c r="G2659" t="str">
        <f>IF(E2659="","",IF(COUNTIF('DATA QCEW'!$A$2:$A$20,E2659)&gt;0,"19-SECTOR","DETAIL / OTHER"))</f>
        <v/>
      </c>
    </row>
    <row r="2660" spans="4:7">
      <c r="D2660" s="8"/>
      <c r="E2660" t="str">
        <f t="shared" si="82"/>
        <v/>
      </c>
      <c r="F2660" t="str">
        <f t="shared" si="83"/>
        <v/>
      </c>
      <c r="G2660" t="str">
        <f>IF(E2660="","",IF(COUNTIF('DATA QCEW'!$A$2:$A$20,E2660)&gt;0,"19-SECTOR","DETAIL / OTHER"))</f>
        <v/>
      </c>
    </row>
    <row r="2661" spans="4:7">
      <c r="D2661" s="8"/>
      <c r="E2661" t="str">
        <f t="shared" si="82"/>
        <v/>
      </c>
      <c r="F2661" t="str">
        <f t="shared" si="83"/>
        <v/>
      </c>
      <c r="G2661" t="str">
        <f>IF(E2661="","",IF(COUNTIF('DATA QCEW'!$A$2:$A$20,E2661)&gt;0,"19-SECTOR","DETAIL / OTHER"))</f>
        <v/>
      </c>
    </row>
    <row r="2662" spans="4:7">
      <c r="D2662" s="8"/>
      <c r="E2662" t="str">
        <f t="shared" si="82"/>
        <v/>
      </c>
      <c r="F2662" t="str">
        <f t="shared" si="83"/>
        <v/>
      </c>
      <c r="G2662" t="str">
        <f>IF(E2662="","",IF(COUNTIF('DATA QCEW'!$A$2:$A$20,E2662)&gt;0,"19-SECTOR","DETAIL / OTHER"))</f>
        <v/>
      </c>
    </row>
    <row r="2663" spans="4:7">
      <c r="D2663" s="8"/>
      <c r="E2663" t="str">
        <f t="shared" si="82"/>
        <v/>
      </c>
      <c r="F2663" t="str">
        <f t="shared" si="83"/>
        <v/>
      </c>
      <c r="G2663" t="str">
        <f>IF(E2663="","",IF(COUNTIF('DATA QCEW'!$A$2:$A$20,E2663)&gt;0,"19-SECTOR","DETAIL / OTHER"))</f>
        <v/>
      </c>
    </row>
    <row r="2664" spans="4:7">
      <c r="D2664" s="8"/>
      <c r="E2664" t="str">
        <f t="shared" si="82"/>
        <v/>
      </c>
      <c r="F2664" t="str">
        <f t="shared" si="83"/>
        <v/>
      </c>
      <c r="G2664" t="str">
        <f>IF(E2664="","",IF(COUNTIF('DATA QCEW'!$A$2:$A$20,E2664)&gt;0,"19-SECTOR","DETAIL / OTHER"))</f>
        <v/>
      </c>
    </row>
    <row r="2665" spans="4:7">
      <c r="D2665" s="8"/>
      <c r="E2665" t="str">
        <f t="shared" si="82"/>
        <v/>
      </c>
      <c r="F2665" t="str">
        <f t="shared" si="83"/>
        <v/>
      </c>
      <c r="G2665" t="str">
        <f>IF(E2665="","",IF(COUNTIF('DATA QCEW'!$A$2:$A$20,E2665)&gt;0,"19-SECTOR","DETAIL / OTHER"))</f>
        <v/>
      </c>
    </row>
    <row r="2666" spans="4:7">
      <c r="D2666" s="8"/>
      <c r="E2666" t="str">
        <f t="shared" si="82"/>
        <v/>
      </c>
      <c r="F2666" t="str">
        <f t="shared" si="83"/>
        <v/>
      </c>
      <c r="G2666" t="str">
        <f>IF(E2666="","",IF(COUNTIF('DATA QCEW'!$A$2:$A$20,E2666)&gt;0,"19-SECTOR","DETAIL / OTHER"))</f>
        <v/>
      </c>
    </row>
    <row r="2667" spans="4:7">
      <c r="D2667" s="8"/>
      <c r="E2667" t="str">
        <f t="shared" si="82"/>
        <v/>
      </c>
      <c r="F2667" t="str">
        <f t="shared" si="83"/>
        <v/>
      </c>
      <c r="G2667" t="str">
        <f>IF(E2667="","",IF(COUNTIF('DATA QCEW'!$A$2:$A$20,E2667)&gt;0,"19-SECTOR","DETAIL / OTHER"))</f>
        <v/>
      </c>
    </row>
    <row r="2668" spans="4:7">
      <c r="D2668" s="8"/>
      <c r="E2668" t="str">
        <f t="shared" si="82"/>
        <v/>
      </c>
      <c r="F2668" t="str">
        <f t="shared" si="83"/>
        <v/>
      </c>
      <c r="G2668" t="str">
        <f>IF(E2668="","",IF(COUNTIF('DATA QCEW'!$A$2:$A$20,E2668)&gt;0,"19-SECTOR","DETAIL / OTHER"))</f>
        <v/>
      </c>
    </row>
    <row r="2669" spans="4:7">
      <c r="D2669" s="8"/>
      <c r="E2669" t="str">
        <f t="shared" si="82"/>
        <v/>
      </c>
      <c r="F2669" t="str">
        <f t="shared" si="83"/>
        <v/>
      </c>
      <c r="G2669" t="str">
        <f>IF(E2669="","",IF(COUNTIF('DATA QCEW'!$A$2:$A$20,E2669)&gt;0,"19-SECTOR","DETAIL / OTHER"))</f>
        <v/>
      </c>
    </row>
    <row r="2670" spans="4:7">
      <c r="D2670" s="8"/>
      <c r="E2670" t="str">
        <f t="shared" si="82"/>
        <v/>
      </c>
      <c r="F2670" t="str">
        <f t="shared" si="83"/>
        <v/>
      </c>
      <c r="G2670" t="str">
        <f>IF(E2670="","",IF(COUNTIF('DATA QCEW'!$A$2:$A$20,E2670)&gt;0,"19-SECTOR","DETAIL / OTHER"))</f>
        <v/>
      </c>
    </row>
    <row r="2671" spans="4:7">
      <c r="D2671" s="8"/>
      <c r="E2671" t="str">
        <f t="shared" si="82"/>
        <v/>
      </c>
      <c r="F2671" t="str">
        <f t="shared" si="83"/>
        <v/>
      </c>
      <c r="G2671" t="str">
        <f>IF(E2671="","",IF(COUNTIF('DATA QCEW'!$A$2:$A$20,E2671)&gt;0,"19-SECTOR","DETAIL / OTHER"))</f>
        <v/>
      </c>
    </row>
    <row r="2672" spans="4:7">
      <c r="D2672" s="8"/>
      <c r="E2672" t="str">
        <f t="shared" si="82"/>
        <v/>
      </c>
      <c r="F2672" t="str">
        <f t="shared" si="83"/>
        <v/>
      </c>
      <c r="G2672" t="str">
        <f>IF(E2672="","",IF(COUNTIF('DATA QCEW'!$A$2:$A$20,E2672)&gt;0,"19-SECTOR","DETAIL / OTHER"))</f>
        <v/>
      </c>
    </row>
    <row r="2673" spans="4:7">
      <c r="D2673" s="8"/>
      <c r="E2673" t="str">
        <f t="shared" si="82"/>
        <v/>
      </c>
      <c r="F2673" t="str">
        <f t="shared" si="83"/>
        <v/>
      </c>
      <c r="G2673" t="str">
        <f>IF(E2673="","",IF(COUNTIF('DATA QCEW'!$A$2:$A$20,E2673)&gt;0,"19-SECTOR","DETAIL / OTHER"))</f>
        <v/>
      </c>
    </row>
    <row r="2674" spans="4:7">
      <c r="D2674" s="8"/>
      <c r="E2674" t="str">
        <f t="shared" si="82"/>
        <v/>
      </c>
      <c r="F2674" t="str">
        <f t="shared" si="83"/>
        <v/>
      </c>
      <c r="G2674" t="str">
        <f>IF(E2674="","",IF(COUNTIF('DATA QCEW'!$A$2:$A$20,E2674)&gt;0,"19-SECTOR","DETAIL / OTHER"))</f>
        <v/>
      </c>
    </row>
    <row r="2675" spans="4:7">
      <c r="D2675" s="8"/>
      <c r="E2675" t="str">
        <f t="shared" si="82"/>
        <v/>
      </c>
      <c r="F2675" t="str">
        <f t="shared" si="83"/>
        <v/>
      </c>
      <c r="G2675" t="str">
        <f>IF(E2675="","",IF(COUNTIF('DATA QCEW'!$A$2:$A$20,E2675)&gt;0,"19-SECTOR","DETAIL / OTHER"))</f>
        <v/>
      </c>
    </row>
    <row r="2676" spans="4:7">
      <c r="D2676" s="8"/>
      <c r="E2676" t="str">
        <f t="shared" si="82"/>
        <v/>
      </c>
      <c r="F2676" t="str">
        <f t="shared" si="83"/>
        <v/>
      </c>
      <c r="G2676" t="str">
        <f>IF(E2676="","",IF(COUNTIF('DATA QCEW'!$A$2:$A$20,E2676)&gt;0,"19-SECTOR","DETAIL / OTHER"))</f>
        <v/>
      </c>
    </row>
    <row r="2677" spans="4:7">
      <c r="D2677" s="8"/>
      <c r="E2677" t="str">
        <f t="shared" si="82"/>
        <v/>
      </c>
      <c r="F2677" t="str">
        <f t="shared" si="83"/>
        <v/>
      </c>
      <c r="G2677" t="str">
        <f>IF(E2677="","",IF(COUNTIF('DATA QCEW'!$A$2:$A$20,E2677)&gt;0,"19-SECTOR","DETAIL / OTHER"))</f>
        <v/>
      </c>
    </row>
    <row r="2678" spans="4:7">
      <c r="D2678" s="8"/>
      <c r="E2678" t="str">
        <f t="shared" si="82"/>
        <v/>
      </c>
      <c r="F2678" t="str">
        <f t="shared" si="83"/>
        <v/>
      </c>
      <c r="G2678" t="str">
        <f>IF(E2678="","",IF(COUNTIF('DATA QCEW'!$A$2:$A$20,E2678)&gt;0,"19-SECTOR","DETAIL / OTHER"))</f>
        <v/>
      </c>
    </row>
    <row r="2679" spans="4:7">
      <c r="D2679" s="8"/>
      <c r="E2679" t="str">
        <f t="shared" si="82"/>
        <v/>
      </c>
      <c r="F2679" t="str">
        <f t="shared" si="83"/>
        <v/>
      </c>
      <c r="G2679" t="str">
        <f>IF(E2679="","",IF(COUNTIF('DATA QCEW'!$A$2:$A$20,E2679)&gt;0,"19-SECTOR","DETAIL / OTHER"))</f>
        <v/>
      </c>
    </row>
    <row r="2680" spans="4:7">
      <c r="D2680" s="8"/>
      <c r="E2680" t="str">
        <f t="shared" si="82"/>
        <v/>
      </c>
      <c r="F2680" t="str">
        <f t="shared" si="83"/>
        <v/>
      </c>
      <c r="G2680" t="str">
        <f>IF(E2680="","",IF(COUNTIF('DATA QCEW'!$A$2:$A$20,E2680)&gt;0,"19-SECTOR","DETAIL / OTHER"))</f>
        <v/>
      </c>
    </row>
    <row r="2681" spans="4:7">
      <c r="D2681" s="8"/>
      <c r="E2681" t="str">
        <f t="shared" si="82"/>
        <v/>
      </c>
      <c r="F2681" t="str">
        <f t="shared" si="83"/>
        <v/>
      </c>
      <c r="G2681" t="str">
        <f>IF(E2681="","",IF(COUNTIF('DATA QCEW'!$A$2:$A$20,E2681)&gt;0,"19-SECTOR","DETAIL / OTHER"))</f>
        <v/>
      </c>
    </row>
    <row r="2682" spans="4:7">
      <c r="D2682" s="8"/>
      <c r="E2682" t="str">
        <f t="shared" si="82"/>
        <v/>
      </c>
      <c r="F2682" t="str">
        <f t="shared" si="83"/>
        <v/>
      </c>
      <c r="G2682" t="str">
        <f>IF(E2682="","",IF(COUNTIF('DATA QCEW'!$A$2:$A$20,E2682)&gt;0,"19-SECTOR","DETAIL / OTHER"))</f>
        <v/>
      </c>
    </row>
    <row r="2683" spans="4:7">
      <c r="D2683" s="8"/>
      <c r="E2683" t="str">
        <f t="shared" si="82"/>
        <v/>
      </c>
      <c r="F2683" t="str">
        <f t="shared" si="83"/>
        <v/>
      </c>
      <c r="G2683" t="str">
        <f>IF(E2683="","",IF(COUNTIF('DATA QCEW'!$A$2:$A$20,E2683)&gt;0,"19-SECTOR","DETAIL / OTHER"))</f>
        <v/>
      </c>
    </row>
    <row r="2684" spans="4:7">
      <c r="D2684" s="8"/>
      <c r="E2684" t="str">
        <f t="shared" si="82"/>
        <v/>
      </c>
      <c r="F2684" t="str">
        <f t="shared" si="83"/>
        <v/>
      </c>
      <c r="G2684" t="str">
        <f>IF(E2684="","",IF(COUNTIF('DATA QCEW'!$A$2:$A$20,E2684)&gt;0,"19-SECTOR","DETAIL / OTHER"))</f>
        <v/>
      </c>
    </row>
    <row r="2685" spans="4:7">
      <c r="D2685" s="8"/>
      <c r="E2685" t="str">
        <f t="shared" si="82"/>
        <v/>
      </c>
      <c r="F2685" t="str">
        <f t="shared" si="83"/>
        <v/>
      </c>
      <c r="G2685" t="str">
        <f>IF(E2685="","",IF(COUNTIF('DATA QCEW'!$A$2:$A$20,E2685)&gt;0,"19-SECTOR","DETAIL / OTHER"))</f>
        <v/>
      </c>
    </row>
    <row r="2686" spans="4:7">
      <c r="D2686" s="8"/>
      <c r="E2686" t="str">
        <f t="shared" si="82"/>
        <v/>
      </c>
      <c r="F2686" t="str">
        <f t="shared" si="83"/>
        <v/>
      </c>
      <c r="G2686" t="str">
        <f>IF(E2686="","",IF(COUNTIF('DATA QCEW'!$A$2:$A$20,E2686)&gt;0,"19-SECTOR","DETAIL / OTHER"))</f>
        <v/>
      </c>
    </row>
    <row r="2687" spans="4:7">
      <c r="D2687" s="8"/>
      <c r="E2687" t="str">
        <f t="shared" si="82"/>
        <v/>
      </c>
      <c r="F2687" t="str">
        <f t="shared" si="83"/>
        <v/>
      </c>
      <c r="G2687" t="str">
        <f>IF(E2687="","",IF(COUNTIF('DATA QCEW'!$A$2:$A$20,E2687)&gt;0,"19-SECTOR","DETAIL / OTHER"))</f>
        <v/>
      </c>
    </row>
    <row r="2688" spans="4:7">
      <c r="D2688" s="8"/>
      <c r="E2688" t="str">
        <f t="shared" si="82"/>
        <v/>
      </c>
      <c r="F2688" t="str">
        <f t="shared" si="83"/>
        <v/>
      </c>
      <c r="G2688" t="str">
        <f>IF(E2688="","",IF(COUNTIF('DATA QCEW'!$A$2:$A$20,E2688)&gt;0,"19-SECTOR","DETAIL / OTHER"))</f>
        <v/>
      </c>
    </row>
    <row r="2689" spans="4:7">
      <c r="D2689" s="8"/>
      <c r="E2689" t="str">
        <f t="shared" si="82"/>
        <v/>
      </c>
      <c r="F2689" t="str">
        <f t="shared" si="83"/>
        <v/>
      </c>
      <c r="G2689" t="str">
        <f>IF(E2689="","",IF(COUNTIF('DATA QCEW'!$A$2:$A$20,E2689)&gt;0,"19-SECTOR","DETAIL / OTHER"))</f>
        <v/>
      </c>
    </row>
    <row r="2690" spans="4:7">
      <c r="D2690" s="8"/>
      <c r="E2690" t="str">
        <f t="shared" ref="E2690:E2753" si="84">IF(LEFT(TRIM(A2690),6)="NAICS ",IFERROR(MID(TRIM(A2690),7,FIND(" ",TRIM(A2690)&amp;" ",7)-7),""),"")</f>
        <v/>
      </c>
      <c r="F2690" t="str">
        <f t="shared" ref="F2690:F2753" si="85">IF(E2690="","",TRIM(MID(TRIM(A2690),FIND(" ",TRIM(A2690)&amp;" ",7)+1,255)))</f>
        <v/>
      </c>
      <c r="G2690" t="str">
        <f>IF(E2690="","",IF(COUNTIF('DATA QCEW'!$A$2:$A$20,E2690)&gt;0,"19-SECTOR","DETAIL / OTHER"))</f>
        <v/>
      </c>
    </row>
    <row r="2691" spans="4:7">
      <c r="D2691" s="8"/>
      <c r="E2691" t="str">
        <f t="shared" si="84"/>
        <v/>
      </c>
      <c r="F2691" t="str">
        <f t="shared" si="85"/>
        <v/>
      </c>
      <c r="G2691" t="str">
        <f>IF(E2691="","",IF(COUNTIF('DATA QCEW'!$A$2:$A$20,E2691)&gt;0,"19-SECTOR","DETAIL / OTHER"))</f>
        <v/>
      </c>
    </row>
    <row r="2692" spans="4:7">
      <c r="D2692" s="8"/>
      <c r="E2692" t="str">
        <f t="shared" si="84"/>
        <v/>
      </c>
      <c r="F2692" t="str">
        <f t="shared" si="85"/>
        <v/>
      </c>
      <c r="G2692" t="str">
        <f>IF(E2692="","",IF(COUNTIF('DATA QCEW'!$A$2:$A$20,E2692)&gt;0,"19-SECTOR","DETAIL / OTHER"))</f>
        <v/>
      </c>
    </row>
    <row r="2693" spans="4:7">
      <c r="D2693" s="8"/>
      <c r="E2693" t="str">
        <f t="shared" si="84"/>
        <v/>
      </c>
      <c r="F2693" t="str">
        <f t="shared" si="85"/>
        <v/>
      </c>
      <c r="G2693" t="str">
        <f>IF(E2693="","",IF(COUNTIF('DATA QCEW'!$A$2:$A$20,E2693)&gt;0,"19-SECTOR","DETAIL / OTHER"))</f>
        <v/>
      </c>
    </row>
    <row r="2694" spans="4:7">
      <c r="D2694" s="8"/>
      <c r="E2694" t="str">
        <f t="shared" si="84"/>
        <v/>
      </c>
      <c r="F2694" t="str">
        <f t="shared" si="85"/>
        <v/>
      </c>
      <c r="G2694" t="str">
        <f>IF(E2694="","",IF(COUNTIF('DATA QCEW'!$A$2:$A$20,E2694)&gt;0,"19-SECTOR","DETAIL / OTHER"))</f>
        <v/>
      </c>
    </row>
    <row r="2695" spans="4:7">
      <c r="D2695" s="8"/>
      <c r="E2695" t="str">
        <f t="shared" si="84"/>
        <v/>
      </c>
      <c r="F2695" t="str">
        <f t="shared" si="85"/>
        <v/>
      </c>
      <c r="G2695" t="str">
        <f>IF(E2695="","",IF(COUNTIF('DATA QCEW'!$A$2:$A$20,E2695)&gt;0,"19-SECTOR","DETAIL / OTHER"))</f>
        <v/>
      </c>
    </row>
    <row r="2696" spans="4:7">
      <c r="D2696" s="8"/>
      <c r="E2696" t="str">
        <f t="shared" si="84"/>
        <v/>
      </c>
      <c r="F2696" t="str">
        <f t="shared" si="85"/>
        <v/>
      </c>
      <c r="G2696" t="str">
        <f>IF(E2696="","",IF(COUNTIF('DATA QCEW'!$A$2:$A$20,E2696)&gt;0,"19-SECTOR","DETAIL / OTHER"))</f>
        <v/>
      </c>
    </row>
    <row r="2697" spans="4:7">
      <c r="D2697" s="8"/>
      <c r="E2697" t="str">
        <f t="shared" si="84"/>
        <v/>
      </c>
      <c r="F2697" t="str">
        <f t="shared" si="85"/>
        <v/>
      </c>
      <c r="G2697" t="str">
        <f>IF(E2697="","",IF(COUNTIF('DATA QCEW'!$A$2:$A$20,E2697)&gt;0,"19-SECTOR","DETAIL / OTHER"))</f>
        <v/>
      </c>
    </row>
    <row r="2698" spans="4:7">
      <c r="D2698" s="8"/>
      <c r="E2698" t="str">
        <f t="shared" si="84"/>
        <v/>
      </c>
      <c r="F2698" t="str">
        <f t="shared" si="85"/>
        <v/>
      </c>
      <c r="G2698" t="str">
        <f>IF(E2698="","",IF(COUNTIF('DATA QCEW'!$A$2:$A$20,E2698)&gt;0,"19-SECTOR","DETAIL / OTHER"))</f>
        <v/>
      </c>
    </row>
    <row r="2699" spans="4:7">
      <c r="D2699" s="8"/>
      <c r="E2699" t="str">
        <f t="shared" si="84"/>
        <v/>
      </c>
      <c r="F2699" t="str">
        <f t="shared" si="85"/>
        <v/>
      </c>
      <c r="G2699" t="str">
        <f>IF(E2699="","",IF(COUNTIF('DATA QCEW'!$A$2:$A$20,E2699)&gt;0,"19-SECTOR","DETAIL / OTHER"))</f>
        <v/>
      </c>
    </row>
    <row r="2700" spans="4:7">
      <c r="D2700" s="8"/>
      <c r="E2700" t="str">
        <f t="shared" si="84"/>
        <v/>
      </c>
      <c r="F2700" t="str">
        <f t="shared" si="85"/>
        <v/>
      </c>
      <c r="G2700" t="str">
        <f>IF(E2700="","",IF(COUNTIF('DATA QCEW'!$A$2:$A$20,E2700)&gt;0,"19-SECTOR","DETAIL / OTHER"))</f>
        <v/>
      </c>
    </row>
    <row r="2701" spans="4:7">
      <c r="D2701" s="8"/>
      <c r="E2701" t="str">
        <f t="shared" si="84"/>
        <v/>
      </c>
      <c r="F2701" t="str">
        <f t="shared" si="85"/>
        <v/>
      </c>
      <c r="G2701" t="str">
        <f>IF(E2701="","",IF(COUNTIF('DATA QCEW'!$A$2:$A$20,E2701)&gt;0,"19-SECTOR","DETAIL / OTHER"))</f>
        <v/>
      </c>
    </row>
    <row r="2702" spans="4:7">
      <c r="D2702" s="8"/>
      <c r="E2702" t="str">
        <f t="shared" si="84"/>
        <v/>
      </c>
      <c r="F2702" t="str">
        <f t="shared" si="85"/>
        <v/>
      </c>
      <c r="G2702" t="str">
        <f>IF(E2702="","",IF(COUNTIF('DATA QCEW'!$A$2:$A$20,E2702)&gt;0,"19-SECTOR","DETAIL / OTHER"))</f>
        <v/>
      </c>
    </row>
    <row r="2703" spans="4:7">
      <c r="D2703" s="8"/>
      <c r="E2703" t="str">
        <f t="shared" si="84"/>
        <v/>
      </c>
      <c r="F2703" t="str">
        <f t="shared" si="85"/>
        <v/>
      </c>
      <c r="G2703" t="str">
        <f>IF(E2703="","",IF(COUNTIF('DATA QCEW'!$A$2:$A$20,E2703)&gt;0,"19-SECTOR","DETAIL / OTHER"))</f>
        <v/>
      </c>
    </row>
    <row r="2704" spans="4:7">
      <c r="D2704" s="8"/>
      <c r="E2704" t="str">
        <f t="shared" si="84"/>
        <v/>
      </c>
      <c r="F2704" t="str">
        <f t="shared" si="85"/>
        <v/>
      </c>
      <c r="G2704" t="str">
        <f>IF(E2704="","",IF(COUNTIF('DATA QCEW'!$A$2:$A$20,E2704)&gt;0,"19-SECTOR","DETAIL / OTHER"))</f>
        <v/>
      </c>
    </row>
    <row r="2705" spans="4:7">
      <c r="D2705" s="8"/>
      <c r="E2705" t="str">
        <f t="shared" si="84"/>
        <v/>
      </c>
      <c r="F2705" t="str">
        <f t="shared" si="85"/>
        <v/>
      </c>
      <c r="G2705" t="str">
        <f>IF(E2705="","",IF(COUNTIF('DATA QCEW'!$A$2:$A$20,E2705)&gt;0,"19-SECTOR","DETAIL / OTHER"))</f>
        <v/>
      </c>
    </row>
    <row r="2706" spans="4:7">
      <c r="D2706" s="8"/>
      <c r="E2706" t="str">
        <f t="shared" si="84"/>
        <v/>
      </c>
      <c r="F2706" t="str">
        <f t="shared" si="85"/>
        <v/>
      </c>
      <c r="G2706" t="str">
        <f>IF(E2706="","",IF(COUNTIF('DATA QCEW'!$A$2:$A$20,E2706)&gt;0,"19-SECTOR","DETAIL / OTHER"))</f>
        <v/>
      </c>
    </row>
    <row r="2707" spans="4:7">
      <c r="D2707" s="8"/>
      <c r="E2707" t="str">
        <f t="shared" si="84"/>
        <v/>
      </c>
      <c r="F2707" t="str">
        <f t="shared" si="85"/>
        <v/>
      </c>
      <c r="G2707" t="str">
        <f>IF(E2707="","",IF(COUNTIF('DATA QCEW'!$A$2:$A$20,E2707)&gt;0,"19-SECTOR","DETAIL / OTHER"))</f>
        <v/>
      </c>
    </row>
    <row r="2708" spans="4:7">
      <c r="D2708" s="8"/>
      <c r="E2708" t="str">
        <f t="shared" si="84"/>
        <v/>
      </c>
      <c r="F2708" t="str">
        <f t="shared" si="85"/>
        <v/>
      </c>
      <c r="G2708" t="str">
        <f>IF(E2708="","",IF(COUNTIF('DATA QCEW'!$A$2:$A$20,E2708)&gt;0,"19-SECTOR","DETAIL / OTHER"))</f>
        <v/>
      </c>
    </row>
    <row r="2709" spans="4:7">
      <c r="D2709" s="8"/>
      <c r="E2709" t="str">
        <f t="shared" si="84"/>
        <v/>
      </c>
      <c r="F2709" t="str">
        <f t="shared" si="85"/>
        <v/>
      </c>
      <c r="G2709" t="str">
        <f>IF(E2709="","",IF(COUNTIF('DATA QCEW'!$A$2:$A$20,E2709)&gt;0,"19-SECTOR","DETAIL / OTHER"))</f>
        <v/>
      </c>
    </row>
    <row r="2710" spans="4:7">
      <c r="D2710" s="8"/>
      <c r="E2710" t="str">
        <f t="shared" si="84"/>
        <v/>
      </c>
      <c r="F2710" t="str">
        <f t="shared" si="85"/>
        <v/>
      </c>
      <c r="G2710" t="str">
        <f>IF(E2710="","",IF(COUNTIF('DATA QCEW'!$A$2:$A$20,E2710)&gt;0,"19-SECTOR","DETAIL / OTHER"))</f>
        <v/>
      </c>
    </row>
    <row r="2711" spans="4:7">
      <c r="D2711" s="8"/>
      <c r="E2711" t="str">
        <f t="shared" si="84"/>
        <v/>
      </c>
      <c r="F2711" t="str">
        <f t="shared" si="85"/>
        <v/>
      </c>
      <c r="G2711" t="str">
        <f>IF(E2711="","",IF(COUNTIF('DATA QCEW'!$A$2:$A$20,E2711)&gt;0,"19-SECTOR","DETAIL / OTHER"))</f>
        <v/>
      </c>
    </row>
    <row r="2712" spans="4:7">
      <c r="D2712" s="8"/>
      <c r="E2712" t="str">
        <f t="shared" si="84"/>
        <v/>
      </c>
      <c r="F2712" t="str">
        <f t="shared" si="85"/>
        <v/>
      </c>
      <c r="G2712" t="str">
        <f>IF(E2712="","",IF(COUNTIF('DATA QCEW'!$A$2:$A$20,E2712)&gt;0,"19-SECTOR","DETAIL / OTHER"))</f>
        <v/>
      </c>
    </row>
    <row r="2713" spans="4:7">
      <c r="D2713" s="8"/>
      <c r="E2713" t="str">
        <f t="shared" si="84"/>
        <v/>
      </c>
      <c r="F2713" t="str">
        <f t="shared" si="85"/>
        <v/>
      </c>
      <c r="G2713" t="str">
        <f>IF(E2713="","",IF(COUNTIF('DATA QCEW'!$A$2:$A$20,E2713)&gt;0,"19-SECTOR","DETAIL / OTHER"))</f>
        <v/>
      </c>
    </row>
    <row r="2714" spans="4:7">
      <c r="D2714" s="8"/>
      <c r="E2714" t="str">
        <f t="shared" si="84"/>
        <v/>
      </c>
      <c r="F2714" t="str">
        <f t="shared" si="85"/>
        <v/>
      </c>
      <c r="G2714" t="str">
        <f>IF(E2714="","",IF(COUNTIF('DATA QCEW'!$A$2:$A$20,E2714)&gt;0,"19-SECTOR","DETAIL / OTHER"))</f>
        <v/>
      </c>
    </row>
    <row r="2715" spans="4:7">
      <c r="D2715" s="8"/>
      <c r="E2715" t="str">
        <f t="shared" si="84"/>
        <v/>
      </c>
      <c r="F2715" t="str">
        <f t="shared" si="85"/>
        <v/>
      </c>
      <c r="G2715" t="str">
        <f>IF(E2715="","",IF(COUNTIF('DATA QCEW'!$A$2:$A$20,E2715)&gt;0,"19-SECTOR","DETAIL / OTHER"))</f>
        <v/>
      </c>
    </row>
    <row r="2716" spans="4:7">
      <c r="D2716" s="8"/>
      <c r="E2716" t="str">
        <f t="shared" si="84"/>
        <v/>
      </c>
      <c r="F2716" t="str">
        <f t="shared" si="85"/>
        <v/>
      </c>
      <c r="G2716" t="str">
        <f>IF(E2716="","",IF(COUNTIF('DATA QCEW'!$A$2:$A$20,E2716)&gt;0,"19-SECTOR","DETAIL / OTHER"))</f>
        <v/>
      </c>
    </row>
    <row r="2717" spans="4:7">
      <c r="D2717" s="8"/>
      <c r="E2717" t="str">
        <f t="shared" si="84"/>
        <v/>
      </c>
      <c r="F2717" t="str">
        <f t="shared" si="85"/>
        <v/>
      </c>
      <c r="G2717" t="str">
        <f>IF(E2717="","",IF(COUNTIF('DATA QCEW'!$A$2:$A$20,E2717)&gt;0,"19-SECTOR","DETAIL / OTHER"))</f>
        <v/>
      </c>
    </row>
    <row r="2718" spans="4:7">
      <c r="D2718" s="8"/>
      <c r="E2718" t="str">
        <f t="shared" si="84"/>
        <v/>
      </c>
      <c r="F2718" t="str">
        <f t="shared" si="85"/>
        <v/>
      </c>
      <c r="G2718" t="str">
        <f>IF(E2718="","",IF(COUNTIF('DATA QCEW'!$A$2:$A$20,E2718)&gt;0,"19-SECTOR","DETAIL / OTHER"))</f>
        <v/>
      </c>
    </row>
    <row r="2719" spans="4:7">
      <c r="D2719" s="8"/>
      <c r="E2719" t="str">
        <f t="shared" si="84"/>
        <v/>
      </c>
      <c r="F2719" t="str">
        <f t="shared" si="85"/>
        <v/>
      </c>
      <c r="G2719" t="str">
        <f>IF(E2719="","",IF(COUNTIF('DATA QCEW'!$A$2:$A$20,E2719)&gt;0,"19-SECTOR","DETAIL / OTHER"))</f>
        <v/>
      </c>
    </row>
    <row r="2720" spans="4:7">
      <c r="D2720" s="8"/>
      <c r="E2720" t="str">
        <f t="shared" si="84"/>
        <v/>
      </c>
      <c r="F2720" t="str">
        <f t="shared" si="85"/>
        <v/>
      </c>
      <c r="G2720" t="str">
        <f>IF(E2720="","",IF(COUNTIF('DATA QCEW'!$A$2:$A$20,E2720)&gt;0,"19-SECTOR","DETAIL / OTHER"))</f>
        <v/>
      </c>
    </row>
    <row r="2721" spans="4:7">
      <c r="D2721" s="8"/>
      <c r="E2721" t="str">
        <f t="shared" si="84"/>
        <v/>
      </c>
      <c r="F2721" t="str">
        <f t="shared" si="85"/>
        <v/>
      </c>
      <c r="G2721" t="str">
        <f>IF(E2721="","",IF(COUNTIF('DATA QCEW'!$A$2:$A$20,E2721)&gt;0,"19-SECTOR","DETAIL / OTHER"))</f>
        <v/>
      </c>
    </row>
    <row r="2722" spans="4:7">
      <c r="D2722" s="8"/>
      <c r="E2722" t="str">
        <f t="shared" si="84"/>
        <v/>
      </c>
      <c r="F2722" t="str">
        <f t="shared" si="85"/>
        <v/>
      </c>
      <c r="G2722" t="str">
        <f>IF(E2722="","",IF(COUNTIF('DATA QCEW'!$A$2:$A$20,E2722)&gt;0,"19-SECTOR","DETAIL / OTHER"))</f>
        <v/>
      </c>
    </row>
    <row r="2723" spans="4:7">
      <c r="D2723" s="8"/>
      <c r="E2723" t="str">
        <f t="shared" si="84"/>
        <v/>
      </c>
      <c r="F2723" t="str">
        <f t="shared" si="85"/>
        <v/>
      </c>
      <c r="G2723" t="str">
        <f>IF(E2723="","",IF(COUNTIF('DATA QCEW'!$A$2:$A$20,E2723)&gt;0,"19-SECTOR","DETAIL / OTHER"))</f>
        <v/>
      </c>
    </row>
    <row r="2724" spans="4:7">
      <c r="D2724" s="8"/>
      <c r="E2724" t="str">
        <f t="shared" si="84"/>
        <v/>
      </c>
      <c r="F2724" t="str">
        <f t="shared" si="85"/>
        <v/>
      </c>
      <c r="G2724" t="str">
        <f>IF(E2724="","",IF(COUNTIF('DATA QCEW'!$A$2:$A$20,E2724)&gt;0,"19-SECTOR","DETAIL / OTHER"))</f>
        <v/>
      </c>
    </row>
    <row r="2725" spans="4:7">
      <c r="D2725" s="8"/>
      <c r="E2725" t="str">
        <f t="shared" si="84"/>
        <v/>
      </c>
      <c r="F2725" t="str">
        <f t="shared" si="85"/>
        <v/>
      </c>
      <c r="G2725" t="str">
        <f>IF(E2725="","",IF(COUNTIF('DATA QCEW'!$A$2:$A$20,E2725)&gt;0,"19-SECTOR","DETAIL / OTHER"))</f>
        <v/>
      </c>
    </row>
    <row r="2726" spans="4:7">
      <c r="D2726" s="8"/>
      <c r="E2726" t="str">
        <f t="shared" si="84"/>
        <v/>
      </c>
      <c r="F2726" t="str">
        <f t="shared" si="85"/>
        <v/>
      </c>
      <c r="G2726" t="str">
        <f>IF(E2726="","",IF(COUNTIF('DATA QCEW'!$A$2:$A$20,E2726)&gt;0,"19-SECTOR","DETAIL / OTHER"))</f>
        <v/>
      </c>
    </row>
    <row r="2727" spans="4:7">
      <c r="D2727" s="8"/>
      <c r="E2727" t="str">
        <f t="shared" si="84"/>
        <v/>
      </c>
      <c r="F2727" t="str">
        <f t="shared" si="85"/>
        <v/>
      </c>
      <c r="G2727" t="str">
        <f>IF(E2727="","",IF(COUNTIF('DATA QCEW'!$A$2:$A$20,E2727)&gt;0,"19-SECTOR","DETAIL / OTHER"))</f>
        <v/>
      </c>
    </row>
    <row r="2728" spans="4:7">
      <c r="D2728" s="8"/>
      <c r="E2728" t="str">
        <f t="shared" si="84"/>
        <v/>
      </c>
      <c r="F2728" t="str">
        <f t="shared" si="85"/>
        <v/>
      </c>
      <c r="G2728" t="str">
        <f>IF(E2728="","",IF(COUNTIF('DATA QCEW'!$A$2:$A$20,E2728)&gt;0,"19-SECTOR","DETAIL / OTHER"))</f>
        <v/>
      </c>
    </row>
    <row r="2729" spans="4:7">
      <c r="D2729" s="8"/>
      <c r="E2729" t="str">
        <f t="shared" si="84"/>
        <v/>
      </c>
      <c r="F2729" t="str">
        <f t="shared" si="85"/>
        <v/>
      </c>
      <c r="G2729" t="str">
        <f>IF(E2729="","",IF(COUNTIF('DATA QCEW'!$A$2:$A$20,E2729)&gt;0,"19-SECTOR","DETAIL / OTHER"))</f>
        <v/>
      </c>
    </row>
    <row r="2730" spans="4:7">
      <c r="D2730" s="8"/>
      <c r="E2730" t="str">
        <f t="shared" si="84"/>
        <v/>
      </c>
      <c r="F2730" t="str">
        <f t="shared" si="85"/>
        <v/>
      </c>
      <c r="G2730" t="str">
        <f>IF(E2730="","",IF(COUNTIF('DATA QCEW'!$A$2:$A$20,E2730)&gt;0,"19-SECTOR","DETAIL / OTHER"))</f>
        <v/>
      </c>
    </row>
    <row r="2731" spans="4:7">
      <c r="D2731" s="8"/>
      <c r="E2731" t="str">
        <f t="shared" si="84"/>
        <v/>
      </c>
      <c r="F2731" t="str">
        <f t="shared" si="85"/>
        <v/>
      </c>
      <c r="G2731" t="str">
        <f>IF(E2731="","",IF(COUNTIF('DATA QCEW'!$A$2:$A$20,E2731)&gt;0,"19-SECTOR","DETAIL / OTHER"))</f>
        <v/>
      </c>
    </row>
    <row r="2732" spans="4:7">
      <c r="D2732" s="8"/>
      <c r="E2732" t="str">
        <f t="shared" si="84"/>
        <v/>
      </c>
      <c r="F2732" t="str">
        <f t="shared" si="85"/>
        <v/>
      </c>
      <c r="G2732" t="str">
        <f>IF(E2732="","",IF(COUNTIF('DATA QCEW'!$A$2:$A$20,E2732)&gt;0,"19-SECTOR","DETAIL / OTHER"))</f>
        <v/>
      </c>
    </row>
    <row r="2733" spans="4:7">
      <c r="D2733" s="8"/>
      <c r="E2733" t="str">
        <f t="shared" si="84"/>
        <v/>
      </c>
      <c r="F2733" t="str">
        <f t="shared" si="85"/>
        <v/>
      </c>
      <c r="G2733" t="str">
        <f>IF(E2733="","",IF(COUNTIF('DATA QCEW'!$A$2:$A$20,E2733)&gt;0,"19-SECTOR","DETAIL / OTHER"))</f>
        <v/>
      </c>
    </row>
    <row r="2734" spans="4:7">
      <c r="D2734" s="8"/>
      <c r="E2734" t="str">
        <f t="shared" si="84"/>
        <v/>
      </c>
      <c r="F2734" t="str">
        <f t="shared" si="85"/>
        <v/>
      </c>
      <c r="G2734" t="str">
        <f>IF(E2734="","",IF(COUNTIF('DATA QCEW'!$A$2:$A$20,E2734)&gt;0,"19-SECTOR","DETAIL / OTHER"))</f>
        <v/>
      </c>
    </row>
    <row r="2735" spans="4:7">
      <c r="D2735" s="8"/>
      <c r="E2735" t="str">
        <f t="shared" si="84"/>
        <v/>
      </c>
      <c r="F2735" t="str">
        <f t="shared" si="85"/>
        <v/>
      </c>
      <c r="G2735" t="str">
        <f>IF(E2735="","",IF(COUNTIF('DATA QCEW'!$A$2:$A$20,E2735)&gt;0,"19-SECTOR","DETAIL / OTHER"))</f>
        <v/>
      </c>
    </row>
    <row r="2736" spans="4:7">
      <c r="D2736" s="8"/>
      <c r="E2736" t="str">
        <f t="shared" si="84"/>
        <v/>
      </c>
      <c r="F2736" t="str">
        <f t="shared" si="85"/>
        <v/>
      </c>
      <c r="G2736" t="str">
        <f>IF(E2736="","",IF(COUNTIF('DATA QCEW'!$A$2:$A$20,E2736)&gt;0,"19-SECTOR","DETAIL / OTHER"))</f>
        <v/>
      </c>
    </row>
    <row r="2737" spans="4:7">
      <c r="D2737" s="8"/>
      <c r="E2737" t="str">
        <f t="shared" si="84"/>
        <v/>
      </c>
      <c r="F2737" t="str">
        <f t="shared" si="85"/>
        <v/>
      </c>
      <c r="G2737" t="str">
        <f>IF(E2737="","",IF(COUNTIF('DATA QCEW'!$A$2:$A$20,E2737)&gt;0,"19-SECTOR","DETAIL / OTHER"))</f>
        <v/>
      </c>
    </row>
    <row r="2738" spans="4:7">
      <c r="D2738" s="8"/>
      <c r="E2738" t="str">
        <f t="shared" si="84"/>
        <v/>
      </c>
      <c r="F2738" t="str">
        <f t="shared" si="85"/>
        <v/>
      </c>
      <c r="G2738" t="str">
        <f>IF(E2738="","",IF(COUNTIF('DATA QCEW'!$A$2:$A$20,E2738)&gt;0,"19-SECTOR","DETAIL / OTHER"))</f>
        <v/>
      </c>
    </row>
    <row r="2739" spans="4:7">
      <c r="D2739" s="8"/>
      <c r="E2739" t="str">
        <f t="shared" si="84"/>
        <v/>
      </c>
      <c r="F2739" t="str">
        <f t="shared" si="85"/>
        <v/>
      </c>
      <c r="G2739" t="str">
        <f>IF(E2739="","",IF(COUNTIF('DATA QCEW'!$A$2:$A$20,E2739)&gt;0,"19-SECTOR","DETAIL / OTHER"))</f>
        <v/>
      </c>
    </row>
    <row r="2740" spans="4:7">
      <c r="D2740" s="8"/>
      <c r="E2740" t="str">
        <f t="shared" si="84"/>
        <v/>
      </c>
      <c r="F2740" t="str">
        <f t="shared" si="85"/>
        <v/>
      </c>
      <c r="G2740" t="str">
        <f>IF(E2740="","",IF(COUNTIF('DATA QCEW'!$A$2:$A$20,E2740)&gt;0,"19-SECTOR","DETAIL / OTHER"))</f>
        <v/>
      </c>
    </row>
    <row r="2741" spans="4:7">
      <c r="D2741" s="8"/>
      <c r="E2741" t="str">
        <f t="shared" si="84"/>
        <v/>
      </c>
      <c r="F2741" t="str">
        <f t="shared" si="85"/>
        <v/>
      </c>
      <c r="G2741" t="str">
        <f>IF(E2741="","",IF(COUNTIF('DATA QCEW'!$A$2:$A$20,E2741)&gt;0,"19-SECTOR","DETAIL / OTHER"))</f>
        <v/>
      </c>
    </row>
    <row r="2742" spans="4:7">
      <c r="D2742" s="8"/>
      <c r="E2742" t="str">
        <f t="shared" si="84"/>
        <v/>
      </c>
      <c r="F2742" t="str">
        <f t="shared" si="85"/>
        <v/>
      </c>
      <c r="G2742" t="str">
        <f>IF(E2742="","",IF(COUNTIF('DATA QCEW'!$A$2:$A$20,E2742)&gt;0,"19-SECTOR","DETAIL / OTHER"))</f>
        <v/>
      </c>
    </row>
    <row r="2743" spans="4:7">
      <c r="D2743" s="8"/>
      <c r="E2743" t="str">
        <f t="shared" si="84"/>
        <v/>
      </c>
      <c r="F2743" t="str">
        <f t="shared" si="85"/>
        <v/>
      </c>
      <c r="G2743" t="str">
        <f>IF(E2743="","",IF(COUNTIF('DATA QCEW'!$A$2:$A$20,E2743)&gt;0,"19-SECTOR","DETAIL / OTHER"))</f>
        <v/>
      </c>
    </row>
    <row r="2744" spans="4:7">
      <c r="D2744" s="8"/>
      <c r="E2744" t="str">
        <f t="shared" si="84"/>
        <v/>
      </c>
      <c r="F2744" t="str">
        <f t="shared" si="85"/>
        <v/>
      </c>
      <c r="G2744" t="str">
        <f>IF(E2744="","",IF(COUNTIF('DATA QCEW'!$A$2:$A$20,E2744)&gt;0,"19-SECTOR","DETAIL / OTHER"))</f>
        <v/>
      </c>
    </row>
    <row r="2745" spans="4:7">
      <c r="D2745" s="8"/>
      <c r="E2745" t="str">
        <f t="shared" si="84"/>
        <v/>
      </c>
      <c r="F2745" t="str">
        <f t="shared" si="85"/>
        <v/>
      </c>
      <c r="G2745" t="str">
        <f>IF(E2745="","",IF(COUNTIF('DATA QCEW'!$A$2:$A$20,E2745)&gt;0,"19-SECTOR","DETAIL / OTHER"))</f>
        <v/>
      </c>
    </row>
    <row r="2746" spans="4:7">
      <c r="D2746" s="8"/>
      <c r="E2746" t="str">
        <f t="shared" si="84"/>
        <v/>
      </c>
      <c r="F2746" t="str">
        <f t="shared" si="85"/>
        <v/>
      </c>
      <c r="G2746" t="str">
        <f>IF(E2746="","",IF(COUNTIF('DATA QCEW'!$A$2:$A$20,E2746)&gt;0,"19-SECTOR","DETAIL / OTHER"))</f>
        <v/>
      </c>
    </row>
    <row r="2747" spans="4:7">
      <c r="D2747" s="8"/>
      <c r="E2747" t="str">
        <f t="shared" si="84"/>
        <v/>
      </c>
      <c r="F2747" t="str">
        <f t="shared" si="85"/>
        <v/>
      </c>
      <c r="G2747" t="str">
        <f>IF(E2747="","",IF(COUNTIF('DATA QCEW'!$A$2:$A$20,E2747)&gt;0,"19-SECTOR","DETAIL / OTHER"))</f>
        <v/>
      </c>
    </row>
    <row r="2748" spans="4:7">
      <c r="D2748" s="8"/>
      <c r="E2748" t="str">
        <f t="shared" si="84"/>
        <v/>
      </c>
      <c r="F2748" t="str">
        <f t="shared" si="85"/>
        <v/>
      </c>
      <c r="G2748" t="str">
        <f>IF(E2748="","",IF(COUNTIF('DATA QCEW'!$A$2:$A$20,E2748)&gt;0,"19-SECTOR","DETAIL / OTHER"))</f>
        <v/>
      </c>
    </row>
    <row r="2749" spans="4:7">
      <c r="D2749" s="8"/>
      <c r="E2749" t="str">
        <f t="shared" si="84"/>
        <v/>
      </c>
      <c r="F2749" t="str">
        <f t="shared" si="85"/>
        <v/>
      </c>
      <c r="G2749" t="str">
        <f>IF(E2749="","",IF(COUNTIF('DATA QCEW'!$A$2:$A$20,E2749)&gt;0,"19-SECTOR","DETAIL / OTHER"))</f>
        <v/>
      </c>
    </row>
    <row r="2750" spans="4:7">
      <c r="D2750" s="8"/>
      <c r="E2750" t="str">
        <f t="shared" si="84"/>
        <v/>
      </c>
      <c r="F2750" t="str">
        <f t="shared" si="85"/>
        <v/>
      </c>
      <c r="G2750" t="str">
        <f>IF(E2750="","",IF(COUNTIF('DATA QCEW'!$A$2:$A$20,E2750)&gt;0,"19-SECTOR","DETAIL / OTHER"))</f>
        <v/>
      </c>
    </row>
    <row r="2751" spans="4:7">
      <c r="D2751" s="8"/>
      <c r="E2751" t="str">
        <f t="shared" si="84"/>
        <v/>
      </c>
      <c r="F2751" t="str">
        <f t="shared" si="85"/>
        <v/>
      </c>
      <c r="G2751" t="str">
        <f>IF(E2751="","",IF(COUNTIF('DATA QCEW'!$A$2:$A$20,E2751)&gt;0,"19-SECTOR","DETAIL / OTHER"))</f>
        <v/>
      </c>
    </row>
    <row r="2752" spans="4:7">
      <c r="D2752" s="8"/>
      <c r="E2752" t="str">
        <f t="shared" si="84"/>
        <v/>
      </c>
      <c r="F2752" t="str">
        <f t="shared" si="85"/>
        <v/>
      </c>
      <c r="G2752" t="str">
        <f>IF(E2752="","",IF(COUNTIF('DATA QCEW'!$A$2:$A$20,E2752)&gt;0,"19-SECTOR","DETAIL / OTHER"))</f>
        <v/>
      </c>
    </row>
    <row r="2753" spans="4:7">
      <c r="D2753" s="8"/>
      <c r="E2753" t="str">
        <f t="shared" si="84"/>
        <v/>
      </c>
      <c r="F2753" t="str">
        <f t="shared" si="85"/>
        <v/>
      </c>
      <c r="G2753" t="str">
        <f>IF(E2753="","",IF(COUNTIF('DATA QCEW'!$A$2:$A$20,E2753)&gt;0,"19-SECTOR","DETAIL / OTHER"))</f>
        <v/>
      </c>
    </row>
    <row r="2754" spans="4:7">
      <c r="D2754" s="8"/>
      <c r="E2754" t="str">
        <f t="shared" ref="E2754:E2817" si="86">IF(LEFT(TRIM(A2754),6)="NAICS ",IFERROR(MID(TRIM(A2754),7,FIND(" ",TRIM(A2754)&amp;" ",7)-7),""),"")</f>
        <v/>
      </c>
      <c r="F2754" t="str">
        <f t="shared" ref="F2754:F2817" si="87">IF(E2754="","",TRIM(MID(TRIM(A2754),FIND(" ",TRIM(A2754)&amp;" ",7)+1,255)))</f>
        <v/>
      </c>
      <c r="G2754" t="str">
        <f>IF(E2754="","",IF(COUNTIF('DATA QCEW'!$A$2:$A$20,E2754)&gt;0,"19-SECTOR","DETAIL / OTHER"))</f>
        <v/>
      </c>
    </row>
    <row r="2755" spans="4:7">
      <c r="D2755" s="8"/>
      <c r="E2755" t="str">
        <f t="shared" si="86"/>
        <v/>
      </c>
      <c r="F2755" t="str">
        <f t="shared" si="87"/>
        <v/>
      </c>
      <c r="G2755" t="str">
        <f>IF(E2755="","",IF(COUNTIF('DATA QCEW'!$A$2:$A$20,E2755)&gt;0,"19-SECTOR","DETAIL / OTHER"))</f>
        <v/>
      </c>
    </row>
    <row r="2756" spans="4:7">
      <c r="D2756" s="8"/>
      <c r="E2756" t="str">
        <f t="shared" si="86"/>
        <v/>
      </c>
      <c r="F2756" t="str">
        <f t="shared" si="87"/>
        <v/>
      </c>
      <c r="G2756" t="str">
        <f>IF(E2756="","",IF(COUNTIF('DATA QCEW'!$A$2:$A$20,E2756)&gt;0,"19-SECTOR","DETAIL / OTHER"))</f>
        <v/>
      </c>
    </row>
    <row r="2757" spans="4:7">
      <c r="D2757" s="8"/>
      <c r="E2757" t="str">
        <f t="shared" si="86"/>
        <v/>
      </c>
      <c r="F2757" t="str">
        <f t="shared" si="87"/>
        <v/>
      </c>
      <c r="G2757" t="str">
        <f>IF(E2757="","",IF(COUNTIF('DATA QCEW'!$A$2:$A$20,E2757)&gt;0,"19-SECTOR","DETAIL / OTHER"))</f>
        <v/>
      </c>
    </row>
    <row r="2758" spans="4:7">
      <c r="D2758" s="8"/>
      <c r="E2758" t="str">
        <f t="shared" si="86"/>
        <v/>
      </c>
      <c r="F2758" t="str">
        <f t="shared" si="87"/>
        <v/>
      </c>
      <c r="G2758" t="str">
        <f>IF(E2758="","",IF(COUNTIF('DATA QCEW'!$A$2:$A$20,E2758)&gt;0,"19-SECTOR","DETAIL / OTHER"))</f>
        <v/>
      </c>
    </row>
    <row r="2759" spans="4:7">
      <c r="D2759" s="8"/>
      <c r="E2759" t="str">
        <f t="shared" si="86"/>
        <v/>
      </c>
      <c r="F2759" t="str">
        <f t="shared" si="87"/>
        <v/>
      </c>
      <c r="G2759" t="str">
        <f>IF(E2759="","",IF(COUNTIF('DATA QCEW'!$A$2:$A$20,E2759)&gt;0,"19-SECTOR","DETAIL / OTHER"))</f>
        <v/>
      </c>
    </row>
    <row r="2760" spans="4:7">
      <c r="D2760" s="8"/>
      <c r="E2760" t="str">
        <f t="shared" si="86"/>
        <v/>
      </c>
      <c r="F2760" t="str">
        <f t="shared" si="87"/>
        <v/>
      </c>
      <c r="G2760" t="str">
        <f>IF(E2760="","",IF(COUNTIF('DATA QCEW'!$A$2:$A$20,E2760)&gt;0,"19-SECTOR","DETAIL / OTHER"))</f>
        <v/>
      </c>
    </row>
    <row r="2761" spans="4:7">
      <c r="D2761" s="8"/>
      <c r="E2761" t="str">
        <f t="shared" si="86"/>
        <v/>
      </c>
      <c r="F2761" t="str">
        <f t="shared" si="87"/>
        <v/>
      </c>
      <c r="G2761" t="str">
        <f>IF(E2761="","",IF(COUNTIF('DATA QCEW'!$A$2:$A$20,E2761)&gt;0,"19-SECTOR","DETAIL / OTHER"))</f>
        <v/>
      </c>
    </row>
    <row r="2762" spans="4:7">
      <c r="D2762" s="8"/>
      <c r="E2762" t="str">
        <f t="shared" si="86"/>
        <v/>
      </c>
      <c r="F2762" t="str">
        <f t="shared" si="87"/>
        <v/>
      </c>
      <c r="G2762" t="str">
        <f>IF(E2762="","",IF(COUNTIF('DATA QCEW'!$A$2:$A$20,E2762)&gt;0,"19-SECTOR","DETAIL / OTHER"))</f>
        <v/>
      </c>
    </row>
    <row r="2763" spans="4:7">
      <c r="D2763" s="8"/>
      <c r="E2763" t="str">
        <f t="shared" si="86"/>
        <v/>
      </c>
      <c r="F2763" t="str">
        <f t="shared" si="87"/>
        <v/>
      </c>
      <c r="G2763" t="str">
        <f>IF(E2763="","",IF(COUNTIF('DATA QCEW'!$A$2:$A$20,E2763)&gt;0,"19-SECTOR","DETAIL / OTHER"))</f>
        <v/>
      </c>
    </row>
    <row r="2764" spans="4:7">
      <c r="D2764" s="8"/>
      <c r="E2764" t="str">
        <f t="shared" si="86"/>
        <v/>
      </c>
      <c r="F2764" t="str">
        <f t="shared" si="87"/>
        <v/>
      </c>
      <c r="G2764" t="str">
        <f>IF(E2764="","",IF(COUNTIF('DATA QCEW'!$A$2:$A$20,E2764)&gt;0,"19-SECTOR","DETAIL / OTHER"))</f>
        <v/>
      </c>
    </row>
    <row r="2765" spans="4:7">
      <c r="D2765" s="8"/>
      <c r="E2765" t="str">
        <f t="shared" si="86"/>
        <v/>
      </c>
      <c r="F2765" t="str">
        <f t="shared" si="87"/>
        <v/>
      </c>
      <c r="G2765" t="str">
        <f>IF(E2765="","",IF(COUNTIF('DATA QCEW'!$A$2:$A$20,E2765)&gt;0,"19-SECTOR","DETAIL / OTHER"))</f>
        <v/>
      </c>
    </row>
    <row r="2766" spans="4:7">
      <c r="D2766" s="8"/>
      <c r="E2766" t="str">
        <f t="shared" si="86"/>
        <v/>
      </c>
      <c r="F2766" t="str">
        <f t="shared" si="87"/>
        <v/>
      </c>
      <c r="G2766" t="str">
        <f>IF(E2766="","",IF(COUNTIF('DATA QCEW'!$A$2:$A$20,E2766)&gt;0,"19-SECTOR","DETAIL / OTHER"))</f>
        <v/>
      </c>
    </row>
    <row r="2767" spans="4:7">
      <c r="D2767" s="8"/>
      <c r="E2767" t="str">
        <f t="shared" si="86"/>
        <v/>
      </c>
      <c r="F2767" t="str">
        <f t="shared" si="87"/>
        <v/>
      </c>
      <c r="G2767" t="str">
        <f>IF(E2767="","",IF(COUNTIF('DATA QCEW'!$A$2:$A$20,E2767)&gt;0,"19-SECTOR","DETAIL / OTHER"))</f>
        <v/>
      </c>
    </row>
    <row r="2768" spans="4:7">
      <c r="D2768" s="8"/>
      <c r="E2768" t="str">
        <f t="shared" si="86"/>
        <v/>
      </c>
      <c r="F2768" t="str">
        <f t="shared" si="87"/>
        <v/>
      </c>
      <c r="G2768" t="str">
        <f>IF(E2768="","",IF(COUNTIF('DATA QCEW'!$A$2:$A$20,E2768)&gt;0,"19-SECTOR","DETAIL / OTHER"))</f>
        <v/>
      </c>
    </row>
    <row r="2769" spans="4:7">
      <c r="D2769" s="8"/>
      <c r="E2769" t="str">
        <f t="shared" si="86"/>
        <v/>
      </c>
      <c r="F2769" t="str">
        <f t="shared" si="87"/>
        <v/>
      </c>
      <c r="G2769" t="str">
        <f>IF(E2769="","",IF(COUNTIF('DATA QCEW'!$A$2:$A$20,E2769)&gt;0,"19-SECTOR","DETAIL / OTHER"))</f>
        <v/>
      </c>
    </row>
    <row r="2770" spans="4:7">
      <c r="D2770" s="8"/>
      <c r="E2770" t="str">
        <f t="shared" si="86"/>
        <v/>
      </c>
      <c r="F2770" t="str">
        <f t="shared" si="87"/>
        <v/>
      </c>
      <c r="G2770" t="str">
        <f>IF(E2770="","",IF(COUNTIF('DATA QCEW'!$A$2:$A$20,E2770)&gt;0,"19-SECTOR","DETAIL / OTHER"))</f>
        <v/>
      </c>
    </row>
    <row r="2771" spans="4:7">
      <c r="D2771" s="8"/>
      <c r="E2771" t="str">
        <f t="shared" si="86"/>
        <v/>
      </c>
      <c r="F2771" t="str">
        <f t="shared" si="87"/>
        <v/>
      </c>
      <c r="G2771" t="str">
        <f>IF(E2771="","",IF(COUNTIF('DATA QCEW'!$A$2:$A$20,E2771)&gt;0,"19-SECTOR","DETAIL / OTHER"))</f>
        <v/>
      </c>
    </row>
    <row r="2772" spans="4:7">
      <c r="D2772" s="8"/>
      <c r="E2772" t="str">
        <f t="shared" si="86"/>
        <v/>
      </c>
      <c r="F2772" t="str">
        <f t="shared" si="87"/>
        <v/>
      </c>
      <c r="G2772" t="str">
        <f>IF(E2772="","",IF(COUNTIF('DATA QCEW'!$A$2:$A$20,E2772)&gt;0,"19-SECTOR","DETAIL / OTHER"))</f>
        <v/>
      </c>
    </row>
    <row r="2773" spans="4:7">
      <c r="D2773" s="8"/>
      <c r="E2773" t="str">
        <f t="shared" si="86"/>
        <v/>
      </c>
      <c r="F2773" t="str">
        <f t="shared" si="87"/>
        <v/>
      </c>
      <c r="G2773" t="str">
        <f>IF(E2773="","",IF(COUNTIF('DATA QCEW'!$A$2:$A$20,E2773)&gt;0,"19-SECTOR","DETAIL / OTHER"))</f>
        <v/>
      </c>
    </row>
    <row r="2774" spans="4:7">
      <c r="D2774" s="8"/>
      <c r="E2774" t="str">
        <f t="shared" si="86"/>
        <v/>
      </c>
      <c r="F2774" t="str">
        <f t="shared" si="87"/>
        <v/>
      </c>
      <c r="G2774" t="str">
        <f>IF(E2774="","",IF(COUNTIF('DATA QCEW'!$A$2:$A$20,E2774)&gt;0,"19-SECTOR","DETAIL / OTHER"))</f>
        <v/>
      </c>
    </row>
    <row r="2775" spans="4:7">
      <c r="D2775" s="8"/>
      <c r="E2775" t="str">
        <f t="shared" si="86"/>
        <v/>
      </c>
      <c r="F2775" t="str">
        <f t="shared" si="87"/>
        <v/>
      </c>
      <c r="G2775" t="str">
        <f>IF(E2775="","",IF(COUNTIF('DATA QCEW'!$A$2:$A$20,E2775)&gt;0,"19-SECTOR","DETAIL / OTHER"))</f>
        <v/>
      </c>
    </row>
    <row r="2776" spans="4:7">
      <c r="D2776" s="8"/>
      <c r="E2776" t="str">
        <f t="shared" si="86"/>
        <v/>
      </c>
      <c r="F2776" t="str">
        <f t="shared" si="87"/>
        <v/>
      </c>
      <c r="G2776" t="str">
        <f>IF(E2776="","",IF(COUNTIF('DATA QCEW'!$A$2:$A$20,E2776)&gt;0,"19-SECTOR","DETAIL / OTHER"))</f>
        <v/>
      </c>
    </row>
    <row r="2777" spans="4:7">
      <c r="D2777" s="8"/>
      <c r="E2777" t="str">
        <f t="shared" si="86"/>
        <v/>
      </c>
      <c r="F2777" t="str">
        <f t="shared" si="87"/>
        <v/>
      </c>
      <c r="G2777" t="str">
        <f>IF(E2777="","",IF(COUNTIF('DATA QCEW'!$A$2:$A$20,E2777)&gt;0,"19-SECTOR","DETAIL / OTHER"))</f>
        <v/>
      </c>
    </row>
    <row r="2778" spans="4:7">
      <c r="D2778" s="8"/>
      <c r="E2778" t="str">
        <f t="shared" si="86"/>
        <v/>
      </c>
      <c r="F2778" t="str">
        <f t="shared" si="87"/>
        <v/>
      </c>
      <c r="G2778" t="str">
        <f>IF(E2778="","",IF(COUNTIF('DATA QCEW'!$A$2:$A$20,E2778)&gt;0,"19-SECTOR","DETAIL / OTHER"))</f>
        <v/>
      </c>
    </row>
    <row r="2779" spans="4:7">
      <c r="D2779" s="8"/>
      <c r="E2779" t="str">
        <f t="shared" si="86"/>
        <v/>
      </c>
      <c r="F2779" t="str">
        <f t="shared" si="87"/>
        <v/>
      </c>
      <c r="G2779" t="str">
        <f>IF(E2779="","",IF(COUNTIF('DATA QCEW'!$A$2:$A$20,E2779)&gt;0,"19-SECTOR","DETAIL / OTHER"))</f>
        <v/>
      </c>
    </row>
    <row r="2780" spans="4:7">
      <c r="D2780" s="8"/>
      <c r="E2780" t="str">
        <f t="shared" si="86"/>
        <v/>
      </c>
      <c r="F2780" t="str">
        <f t="shared" si="87"/>
        <v/>
      </c>
      <c r="G2780" t="str">
        <f>IF(E2780="","",IF(COUNTIF('DATA QCEW'!$A$2:$A$20,E2780)&gt;0,"19-SECTOR","DETAIL / OTHER"))</f>
        <v/>
      </c>
    </row>
    <row r="2781" spans="4:7">
      <c r="D2781" s="8"/>
      <c r="E2781" t="str">
        <f t="shared" si="86"/>
        <v/>
      </c>
      <c r="F2781" t="str">
        <f t="shared" si="87"/>
        <v/>
      </c>
      <c r="G2781" t="str">
        <f>IF(E2781="","",IF(COUNTIF('DATA QCEW'!$A$2:$A$20,E2781)&gt;0,"19-SECTOR","DETAIL / OTHER"))</f>
        <v/>
      </c>
    </row>
    <row r="2782" spans="4:7">
      <c r="D2782" s="8"/>
      <c r="E2782" t="str">
        <f t="shared" si="86"/>
        <v/>
      </c>
      <c r="F2782" t="str">
        <f t="shared" si="87"/>
        <v/>
      </c>
      <c r="G2782" t="str">
        <f>IF(E2782="","",IF(COUNTIF('DATA QCEW'!$A$2:$A$20,E2782)&gt;0,"19-SECTOR","DETAIL / OTHER"))</f>
        <v/>
      </c>
    </row>
    <row r="2783" spans="4:7">
      <c r="D2783" s="8"/>
      <c r="E2783" t="str">
        <f t="shared" si="86"/>
        <v/>
      </c>
      <c r="F2783" t="str">
        <f t="shared" si="87"/>
        <v/>
      </c>
      <c r="G2783" t="str">
        <f>IF(E2783="","",IF(COUNTIF('DATA QCEW'!$A$2:$A$20,E2783)&gt;0,"19-SECTOR","DETAIL / OTHER"))</f>
        <v/>
      </c>
    </row>
    <row r="2784" spans="4:7">
      <c r="D2784" s="8"/>
      <c r="E2784" t="str">
        <f t="shared" si="86"/>
        <v/>
      </c>
      <c r="F2784" t="str">
        <f t="shared" si="87"/>
        <v/>
      </c>
      <c r="G2784" t="str">
        <f>IF(E2784="","",IF(COUNTIF('DATA QCEW'!$A$2:$A$20,E2784)&gt;0,"19-SECTOR","DETAIL / OTHER"))</f>
        <v/>
      </c>
    </row>
    <row r="2785" spans="4:7">
      <c r="D2785" s="8"/>
      <c r="E2785" t="str">
        <f t="shared" si="86"/>
        <v/>
      </c>
      <c r="F2785" t="str">
        <f t="shared" si="87"/>
        <v/>
      </c>
      <c r="G2785" t="str">
        <f>IF(E2785="","",IF(COUNTIF('DATA QCEW'!$A$2:$A$20,E2785)&gt;0,"19-SECTOR","DETAIL / OTHER"))</f>
        <v/>
      </c>
    </row>
    <row r="2786" spans="4:7">
      <c r="D2786" s="8"/>
      <c r="E2786" t="str">
        <f t="shared" si="86"/>
        <v/>
      </c>
      <c r="F2786" t="str">
        <f t="shared" si="87"/>
        <v/>
      </c>
      <c r="G2786" t="str">
        <f>IF(E2786="","",IF(COUNTIF('DATA QCEW'!$A$2:$A$20,E2786)&gt;0,"19-SECTOR","DETAIL / OTHER"))</f>
        <v/>
      </c>
    </row>
    <row r="2787" spans="4:7">
      <c r="D2787" s="8"/>
      <c r="E2787" t="str">
        <f t="shared" si="86"/>
        <v/>
      </c>
      <c r="F2787" t="str">
        <f t="shared" si="87"/>
        <v/>
      </c>
      <c r="G2787" t="str">
        <f>IF(E2787="","",IF(COUNTIF('DATA QCEW'!$A$2:$A$20,E2787)&gt;0,"19-SECTOR","DETAIL / OTHER"))</f>
        <v/>
      </c>
    </row>
    <row r="2788" spans="4:7">
      <c r="D2788" s="8"/>
      <c r="E2788" t="str">
        <f t="shared" si="86"/>
        <v/>
      </c>
      <c r="F2788" t="str">
        <f t="shared" si="87"/>
        <v/>
      </c>
      <c r="G2788" t="str">
        <f>IF(E2788="","",IF(COUNTIF('DATA QCEW'!$A$2:$A$20,E2788)&gt;0,"19-SECTOR","DETAIL / OTHER"))</f>
        <v/>
      </c>
    </row>
    <row r="2789" spans="4:7">
      <c r="D2789" s="8"/>
      <c r="E2789" t="str">
        <f t="shared" si="86"/>
        <v/>
      </c>
      <c r="F2789" t="str">
        <f t="shared" si="87"/>
        <v/>
      </c>
      <c r="G2789" t="str">
        <f>IF(E2789="","",IF(COUNTIF('DATA QCEW'!$A$2:$A$20,E2789)&gt;0,"19-SECTOR","DETAIL / OTHER"))</f>
        <v/>
      </c>
    </row>
    <row r="2790" spans="4:7">
      <c r="D2790" s="8"/>
      <c r="E2790" t="str">
        <f t="shared" si="86"/>
        <v/>
      </c>
      <c r="F2790" t="str">
        <f t="shared" si="87"/>
        <v/>
      </c>
      <c r="G2790" t="str">
        <f>IF(E2790="","",IF(COUNTIF('DATA QCEW'!$A$2:$A$20,E2790)&gt;0,"19-SECTOR","DETAIL / OTHER"))</f>
        <v/>
      </c>
    </row>
    <row r="2791" spans="4:7">
      <c r="D2791" s="8"/>
      <c r="E2791" t="str">
        <f t="shared" si="86"/>
        <v/>
      </c>
      <c r="F2791" t="str">
        <f t="shared" si="87"/>
        <v/>
      </c>
      <c r="G2791" t="str">
        <f>IF(E2791="","",IF(COUNTIF('DATA QCEW'!$A$2:$A$20,E2791)&gt;0,"19-SECTOR","DETAIL / OTHER"))</f>
        <v/>
      </c>
    </row>
    <row r="2792" spans="4:7">
      <c r="D2792" s="8"/>
      <c r="E2792" t="str">
        <f t="shared" si="86"/>
        <v/>
      </c>
      <c r="F2792" t="str">
        <f t="shared" si="87"/>
        <v/>
      </c>
      <c r="G2792" t="str">
        <f>IF(E2792="","",IF(COUNTIF('DATA QCEW'!$A$2:$A$20,E2792)&gt;0,"19-SECTOR","DETAIL / OTHER"))</f>
        <v/>
      </c>
    </row>
    <row r="2793" spans="4:7">
      <c r="D2793" s="8"/>
      <c r="E2793" t="str">
        <f t="shared" si="86"/>
        <v/>
      </c>
      <c r="F2793" t="str">
        <f t="shared" si="87"/>
        <v/>
      </c>
      <c r="G2793" t="str">
        <f>IF(E2793="","",IF(COUNTIF('DATA QCEW'!$A$2:$A$20,E2793)&gt;0,"19-SECTOR","DETAIL / OTHER"))</f>
        <v/>
      </c>
    </row>
    <row r="2794" spans="4:7">
      <c r="D2794" s="8"/>
      <c r="E2794" t="str">
        <f t="shared" si="86"/>
        <v/>
      </c>
      <c r="F2794" t="str">
        <f t="shared" si="87"/>
        <v/>
      </c>
      <c r="G2794" t="str">
        <f>IF(E2794="","",IF(COUNTIF('DATA QCEW'!$A$2:$A$20,E2794)&gt;0,"19-SECTOR","DETAIL / OTHER"))</f>
        <v/>
      </c>
    </row>
    <row r="2795" spans="4:7">
      <c r="D2795" s="8"/>
      <c r="E2795" t="str">
        <f t="shared" si="86"/>
        <v/>
      </c>
      <c r="F2795" t="str">
        <f t="shared" si="87"/>
        <v/>
      </c>
      <c r="G2795" t="str">
        <f>IF(E2795="","",IF(COUNTIF('DATA QCEW'!$A$2:$A$20,E2795)&gt;0,"19-SECTOR","DETAIL / OTHER"))</f>
        <v/>
      </c>
    </row>
    <row r="2796" spans="4:7">
      <c r="D2796" s="8"/>
      <c r="E2796" t="str">
        <f t="shared" si="86"/>
        <v/>
      </c>
      <c r="F2796" t="str">
        <f t="shared" si="87"/>
        <v/>
      </c>
      <c r="G2796" t="str">
        <f>IF(E2796="","",IF(COUNTIF('DATA QCEW'!$A$2:$A$20,E2796)&gt;0,"19-SECTOR","DETAIL / OTHER"))</f>
        <v/>
      </c>
    </row>
    <row r="2797" spans="4:7">
      <c r="D2797" s="8"/>
      <c r="E2797" t="str">
        <f t="shared" si="86"/>
        <v/>
      </c>
      <c r="F2797" t="str">
        <f t="shared" si="87"/>
        <v/>
      </c>
      <c r="G2797" t="str">
        <f>IF(E2797="","",IF(COUNTIF('DATA QCEW'!$A$2:$A$20,E2797)&gt;0,"19-SECTOR","DETAIL / OTHER"))</f>
        <v/>
      </c>
    </row>
    <row r="2798" spans="4:7">
      <c r="D2798" s="8"/>
      <c r="E2798" t="str">
        <f t="shared" si="86"/>
        <v/>
      </c>
      <c r="F2798" t="str">
        <f t="shared" si="87"/>
        <v/>
      </c>
      <c r="G2798" t="str">
        <f>IF(E2798="","",IF(COUNTIF('DATA QCEW'!$A$2:$A$20,E2798)&gt;0,"19-SECTOR","DETAIL / OTHER"))</f>
        <v/>
      </c>
    </row>
    <row r="2799" spans="4:7">
      <c r="D2799" s="8"/>
      <c r="E2799" t="str">
        <f t="shared" si="86"/>
        <v/>
      </c>
      <c r="F2799" t="str">
        <f t="shared" si="87"/>
        <v/>
      </c>
      <c r="G2799" t="str">
        <f>IF(E2799="","",IF(COUNTIF('DATA QCEW'!$A$2:$A$20,E2799)&gt;0,"19-SECTOR","DETAIL / OTHER"))</f>
        <v/>
      </c>
    </row>
    <row r="2800" spans="4:7">
      <c r="D2800" s="8"/>
      <c r="E2800" t="str">
        <f t="shared" si="86"/>
        <v/>
      </c>
      <c r="F2800" t="str">
        <f t="shared" si="87"/>
        <v/>
      </c>
      <c r="G2800" t="str">
        <f>IF(E2800="","",IF(COUNTIF('DATA QCEW'!$A$2:$A$20,E2800)&gt;0,"19-SECTOR","DETAIL / OTHER"))</f>
        <v/>
      </c>
    </row>
    <row r="2801" spans="4:7">
      <c r="D2801" s="8"/>
      <c r="E2801" t="str">
        <f t="shared" si="86"/>
        <v/>
      </c>
      <c r="F2801" t="str">
        <f t="shared" si="87"/>
        <v/>
      </c>
      <c r="G2801" t="str">
        <f>IF(E2801="","",IF(COUNTIF('DATA QCEW'!$A$2:$A$20,E2801)&gt;0,"19-SECTOR","DETAIL / OTHER"))</f>
        <v/>
      </c>
    </row>
    <row r="2802" spans="4:7">
      <c r="D2802" s="8"/>
      <c r="E2802" t="str">
        <f t="shared" si="86"/>
        <v/>
      </c>
      <c r="F2802" t="str">
        <f t="shared" si="87"/>
        <v/>
      </c>
      <c r="G2802" t="str">
        <f>IF(E2802="","",IF(COUNTIF('DATA QCEW'!$A$2:$A$20,E2802)&gt;0,"19-SECTOR","DETAIL / OTHER"))</f>
        <v/>
      </c>
    </row>
    <row r="2803" spans="4:7">
      <c r="D2803" s="8"/>
      <c r="E2803" t="str">
        <f t="shared" si="86"/>
        <v/>
      </c>
      <c r="F2803" t="str">
        <f t="shared" si="87"/>
        <v/>
      </c>
      <c r="G2803" t="str">
        <f>IF(E2803="","",IF(COUNTIF('DATA QCEW'!$A$2:$A$20,E2803)&gt;0,"19-SECTOR","DETAIL / OTHER"))</f>
        <v/>
      </c>
    </row>
    <row r="2804" spans="4:7">
      <c r="D2804" s="8"/>
      <c r="E2804" t="str">
        <f t="shared" si="86"/>
        <v/>
      </c>
      <c r="F2804" t="str">
        <f t="shared" si="87"/>
        <v/>
      </c>
      <c r="G2804" t="str">
        <f>IF(E2804="","",IF(COUNTIF('DATA QCEW'!$A$2:$A$20,E2804)&gt;0,"19-SECTOR","DETAIL / OTHER"))</f>
        <v/>
      </c>
    </row>
    <row r="2805" spans="4:7">
      <c r="D2805" s="8"/>
      <c r="E2805" t="str">
        <f t="shared" si="86"/>
        <v/>
      </c>
      <c r="F2805" t="str">
        <f t="shared" si="87"/>
        <v/>
      </c>
      <c r="G2805" t="str">
        <f>IF(E2805="","",IF(COUNTIF('DATA QCEW'!$A$2:$A$20,E2805)&gt;0,"19-SECTOR","DETAIL / OTHER"))</f>
        <v/>
      </c>
    </row>
    <row r="2806" spans="4:7">
      <c r="D2806" s="8"/>
      <c r="E2806" t="str">
        <f t="shared" si="86"/>
        <v/>
      </c>
      <c r="F2806" t="str">
        <f t="shared" si="87"/>
        <v/>
      </c>
      <c r="G2806" t="str">
        <f>IF(E2806="","",IF(COUNTIF('DATA QCEW'!$A$2:$A$20,E2806)&gt;0,"19-SECTOR","DETAIL / OTHER"))</f>
        <v/>
      </c>
    </row>
    <row r="2807" spans="4:7">
      <c r="D2807" s="8"/>
      <c r="E2807" t="str">
        <f t="shared" si="86"/>
        <v/>
      </c>
      <c r="F2807" t="str">
        <f t="shared" si="87"/>
        <v/>
      </c>
      <c r="G2807" t="str">
        <f>IF(E2807="","",IF(COUNTIF('DATA QCEW'!$A$2:$A$20,E2807)&gt;0,"19-SECTOR","DETAIL / OTHER"))</f>
        <v/>
      </c>
    </row>
    <row r="2808" spans="4:7">
      <c r="D2808" s="8"/>
      <c r="E2808" t="str">
        <f t="shared" si="86"/>
        <v/>
      </c>
      <c r="F2808" t="str">
        <f t="shared" si="87"/>
        <v/>
      </c>
      <c r="G2808" t="str">
        <f>IF(E2808="","",IF(COUNTIF('DATA QCEW'!$A$2:$A$20,E2808)&gt;0,"19-SECTOR","DETAIL / OTHER"))</f>
        <v/>
      </c>
    </row>
    <row r="2809" spans="4:7">
      <c r="D2809" s="8"/>
      <c r="E2809" t="str">
        <f t="shared" si="86"/>
        <v/>
      </c>
      <c r="F2809" t="str">
        <f t="shared" si="87"/>
        <v/>
      </c>
      <c r="G2809" t="str">
        <f>IF(E2809="","",IF(COUNTIF('DATA QCEW'!$A$2:$A$20,E2809)&gt;0,"19-SECTOR","DETAIL / OTHER"))</f>
        <v/>
      </c>
    </row>
    <row r="2810" spans="4:7">
      <c r="D2810" s="8"/>
      <c r="E2810" t="str">
        <f t="shared" si="86"/>
        <v/>
      </c>
      <c r="F2810" t="str">
        <f t="shared" si="87"/>
        <v/>
      </c>
      <c r="G2810" t="str">
        <f>IF(E2810="","",IF(COUNTIF('DATA QCEW'!$A$2:$A$20,E2810)&gt;0,"19-SECTOR","DETAIL / OTHER"))</f>
        <v/>
      </c>
    </row>
    <row r="2811" spans="4:7">
      <c r="D2811" s="8"/>
      <c r="E2811" t="str">
        <f t="shared" si="86"/>
        <v/>
      </c>
      <c r="F2811" t="str">
        <f t="shared" si="87"/>
        <v/>
      </c>
      <c r="G2811" t="str">
        <f>IF(E2811="","",IF(COUNTIF('DATA QCEW'!$A$2:$A$20,E2811)&gt;0,"19-SECTOR","DETAIL / OTHER"))</f>
        <v/>
      </c>
    </row>
    <row r="2812" spans="4:7">
      <c r="D2812" s="8"/>
      <c r="E2812" t="str">
        <f t="shared" si="86"/>
        <v/>
      </c>
      <c r="F2812" t="str">
        <f t="shared" si="87"/>
        <v/>
      </c>
      <c r="G2812" t="str">
        <f>IF(E2812="","",IF(COUNTIF('DATA QCEW'!$A$2:$A$20,E2812)&gt;0,"19-SECTOR","DETAIL / OTHER"))</f>
        <v/>
      </c>
    </row>
    <row r="2813" spans="4:7">
      <c r="D2813" s="8"/>
      <c r="E2813" t="str">
        <f t="shared" si="86"/>
        <v/>
      </c>
      <c r="F2813" t="str">
        <f t="shared" si="87"/>
        <v/>
      </c>
      <c r="G2813" t="str">
        <f>IF(E2813="","",IF(COUNTIF('DATA QCEW'!$A$2:$A$20,E2813)&gt;0,"19-SECTOR","DETAIL / OTHER"))</f>
        <v/>
      </c>
    </row>
    <row r="2814" spans="4:7">
      <c r="D2814" s="8"/>
      <c r="E2814" t="str">
        <f t="shared" si="86"/>
        <v/>
      </c>
      <c r="F2814" t="str">
        <f t="shared" si="87"/>
        <v/>
      </c>
      <c r="G2814" t="str">
        <f>IF(E2814="","",IF(COUNTIF('DATA QCEW'!$A$2:$A$20,E2814)&gt;0,"19-SECTOR","DETAIL / OTHER"))</f>
        <v/>
      </c>
    </row>
    <row r="2815" spans="4:7">
      <c r="D2815" s="8"/>
      <c r="E2815" t="str">
        <f t="shared" si="86"/>
        <v/>
      </c>
      <c r="F2815" t="str">
        <f t="shared" si="87"/>
        <v/>
      </c>
      <c r="G2815" t="str">
        <f>IF(E2815="","",IF(COUNTIF('DATA QCEW'!$A$2:$A$20,E2815)&gt;0,"19-SECTOR","DETAIL / OTHER"))</f>
        <v/>
      </c>
    </row>
    <row r="2816" spans="4:7">
      <c r="D2816" s="8"/>
      <c r="E2816" t="str">
        <f t="shared" si="86"/>
        <v/>
      </c>
      <c r="F2816" t="str">
        <f t="shared" si="87"/>
        <v/>
      </c>
      <c r="G2816" t="str">
        <f>IF(E2816="","",IF(COUNTIF('DATA QCEW'!$A$2:$A$20,E2816)&gt;0,"19-SECTOR","DETAIL / OTHER"))</f>
        <v/>
      </c>
    </row>
    <row r="2817" spans="4:7">
      <c r="D2817" s="8"/>
      <c r="E2817" t="str">
        <f t="shared" si="86"/>
        <v/>
      </c>
      <c r="F2817" t="str">
        <f t="shared" si="87"/>
        <v/>
      </c>
      <c r="G2817" t="str">
        <f>IF(E2817="","",IF(COUNTIF('DATA QCEW'!$A$2:$A$20,E2817)&gt;0,"19-SECTOR","DETAIL / OTHER"))</f>
        <v/>
      </c>
    </row>
    <row r="2818" spans="4:7">
      <c r="D2818" s="8"/>
      <c r="E2818" t="str">
        <f t="shared" ref="E2818:E2881" si="88">IF(LEFT(TRIM(A2818),6)="NAICS ",IFERROR(MID(TRIM(A2818),7,FIND(" ",TRIM(A2818)&amp;" ",7)-7),""),"")</f>
        <v/>
      </c>
      <c r="F2818" t="str">
        <f t="shared" ref="F2818:F2881" si="89">IF(E2818="","",TRIM(MID(TRIM(A2818),FIND(" ",TRIM(A2818)&amp;" ",7)+1,255)))</f>
        <v/>
      </c>
      <c r="G2818" t="str">
        <f>IF(E2818="","",IF(COUNTIF('DATA QCEW'!$A$2:$A$20,E2818)&gt;0,"19-SECTOR","DETAIL / OTHER"))</f>
        <v/>
      </c>
    </row>
    <row r="2819" spans="4:7">
      <c r="D2819" s="8"/>
      <c r="E2819" t="str">
        <f t="shared" si="88"/>
        <v/>
      </c>
      <c r="F2819" t="str">
        <f t="shared" si="89"/>
        <v/>
      </c>
      <c r="G2819" t="str">
        <f>IF(E2819="","",IF(COUNTIF('DATA QCEW'!$A$2:$A$20,E2819)&gt;0,"19-SECTOR","DETAIL / OTHER"))</f>
        <v/>
      </c>
    </row>
    <row r="2820" spans="4:7">
      <c r="D2820" s="8"/>
      <c r="E2820" t="str">
        <f t="shared" si="88"/>
        <v/>
      </c>
      <c r="F2820" t="str">
        <f t="shared" si="89"/>
        <v/>
      </c>
      <c r="G2820" t="str">
        <f>IF(E2820="","",IF(COUNTIF('DATA QCEW'!$A$2:$A$20,E2820)&gt;0,"19-SECTOR","DETAIL / OTHER"))</f>
        <v/>
      </c>
    </row>
    <row r="2821" spans="4:7">
      <c r="D2821" s="8"/>
      <c r="E2821" t="str">
        <f t="shared" si="88"/>
        <v/>
      </c>
      <c r="F2821" t="str">
        <f t="shared" si="89"/>
        <v/>
      </c>
      <c r="G2821" t="str">
        <f>IF(E2821="","",IF(COUNTIF('DATA QCEW'!$A$2:$A$20,E2821)&gt;0,"19-SECTOR","DETAIL / OTHER"))</f>
        <v/>
      </c>
    </row>
    <row r="2822" spans="4:7">
      <c r="D2822" s="8"/>
      <c r="E2822" t="str">
        <f t="shared" si="88"/>
        <v/>
      </c>
      <c r="F2822" t="str">
        <f t="shared" si="89"/>
        <v/>
      </c>
      <c r="G2822" t="str">
        <f>IF(E2822="","",IF(COUNTIF('DATA QCEW'!$A$2:$A$20,E2822)&gt;0,"19-SECTOR","DETAIL / OTHER"))</f>
        <v/>
      </c>
    </row>
    <row r="2823" spans="4:7">
      <c r="D2823" s="8"/>
      <c r="E2823" t="str">
        <f t="shared" si="88"/>
        <v/>
      </c>
      <c r="F2823" t="str">
        <f t="shared" si="89"/>
        <v/>
      </c>
      <c r="G2823" t="str">
        <f>IF(E2823="","",IF(COUNTIF('DATA QCEW'!$A$2:$A$20,E2823)&gt;0,"19-SECTOR","DETAIL / OTHER"))</f>
        <v/>
      </c>
    </row>
    <row r="2824" spans="4:7">
      <c r="D2824" s="8"/>
      <c r="E2824" t="str">
        <f t="shared" si="88"/>
        <v/>
      </c>
      <c r="F2824" t="str">
        <f t="shared" si="89"/>
        <v/>
      </c>
      <c r="G2824" t="str">
        <f>IF(E2824="","",IF(COUNTIF('DATA QCEW'!$A$2:$A$20,E2824)&gt;0,"19-SECTOR","DETAIL / OTHER"))</f>
        <v/>
      </c>
    </row>
    <row r="2825" spans="4:7">
      <c r="D2825" s="8"/>
      <c r="E2825" t="str">
        <f t="shared" si="88"/>
        <v/>
      </c>
      <c r="F2825" t="str">
        <f t="shared" si="89"/>
        <v/>
      </c>
      <c r="G2825" t="str">
        <f>IF(E2825="","",IF(COUNTIF('DATA QCEW'!$A$2:$A$20,E2825)&gt;0,"19-SECTOR","DETAIL / OTHER"))</f>
        <v/>
      </c>
    </row>
    <row r="2826" spans="4:7">
      <c r="D2826" s="8"/>
      <c r="E2826" t="str">
        <f t="shared" si="88"/>
        <v/>
      </c>
      <c r="F2826" t="str">
        <f t="shared" si="89"/>
        <v/>
      </c>
      <c r="G2826" t="str">
        <f>IF(E2826="","",IF(COUNTIF('DATA QCEW'!$A$2:$A$20,E2826)&gt;0,"19-SECTOR","DETAIL / OTHER"))</f>
        <v/>
      </c>
    </row>
    <row r="2827" spans="4:7">
      <c r="D2827" s="8"/>
      <c r="E2827" t="str">
        <f t="shared" si="88"/>
        <v/>
      </c>
      <c r="F2827" t="str">
        <f t="shared" si="89"/>
        <v/>
      </c>
      <c r="G2827" t="str">
        <f>IF(E2827="","",IF(COUNTIF('DATA QCEW'!$A$2:$A$20,E2827)&gt;0,"19-SECTOR","DETAIL / OTHER"))</f>
        <v/>
      </c>
    </row>
    <row r="2828" spans="4:7">
      <c r="D2828" s="8"/>
      <c r="E2828" t="str">
        <f t="shared" si="88"/>
        <v/>
      </c>
      <c r="F2828" t="str">
        <f t="shared" si="89"/>
        <v/>
      </c>
      <c r="G2828" t="str">
        <f>IF(E2828="","",IF(COUNTIF('DATA QCEW'!$A$2:$A$20,E2828)&gt;0,"19-SECTOR","DETAIL / OTHER"))</f>
        <v/>
      </c>
    </row>
    <row r="2829" spans="4:7">
      <c r="D2829" s="8"/>
      <c r="E2829" t="str">
        <f t="shared" si="88"/>
        <v/>
      </c>
      <c r="F2829" t="str">
        <f t="shared" si="89"/>
        <v/>
      </c>
      <c r="G2829" t="str">
        <f>IF(E2829="","",IF(COUNTIF('DATA QCEW'!$A$2:$A$20,E2829)&gt;0,"19-SECTOR","DETAIL / OTHER"))</f>
        <v/>
      </c>
    </row>
    <row r="2830" spans="4:7">
      <c r="D2830" s="8"/>
      <c r="E2830" t="str">
        <f t="shared" si="88"/>
        <v/>
      </c>
      <c r="F2830" t="str">
        <f t="shared" si="89"/>
        <v/>
      </c>
      <c r="G2830" t="str">
        <f>IF(E2830="","",IF(COUNTIF('DATA QCEW'!$A$2:$A$20,E2830)&gt;0,"19-SECTOR","DETAIL / OTHER"))</f>
        <v/>
      </c>
    </row>
    <row r="2831" spans="4:7">
      <c r="D2831" s="8"/>
      <c r="E2831" t="str">
        <f t="shared" si="88"/>
        <v/>
      </c>
      <c r="F2831" t="str">
        <f t="shared" si="89"/>
        <v/>
      </c>
      <c r="G2831" t="str">
        <f>IF(E2831="","",IF(COUNTIF('DATA QCEW'!$A$2:$A$20,E2831)&gt;0,"19-SECTOR","DETAIL / OTHER"))</f>
        <v/>
      </c>
    </row>
    <row r="2832" spans="4:7">
      <c r="D2832" s="8"/>
      <c r="E2832" t="str">
        <f t="shared" si="88"/>
        <v/>
      </c>
      <c r="F2832" t="str">
        <f t="shared" si="89"/>
        <v/>
      </c>
      <c r="G2832" t="str">
        <f>IF(E2832="","",IF(COUNTIF('DATA QCEW'!$A$2:$A$20,E2832)&gt;0,"19-SECTOR","DETAIL / OTHER"))</f>
        <v/>
      </c>
    </row>
    <row r="2833" spans="4:7">
      <c r="D2833" s="8"/>
      <c r="E2833" t="str">
        <f t="shared" si="88"/>
        <v/>
      </c>
      <c r="F2833" t="str">
        <f t="shared" si="89"/>
        <v/>
      </c>
      <c r="G2833" t="str">
        <f>IF(E2833="","",IF(COUNTIF('DATA QCEW'!$A$2:$A$20,E2833)&gt;0,"19-SECTOR","DETAIL / OTHER"))</f>
        <v/>
      </c>
    </row>
    <row r="2834" spans="4:7">
      <c r="D2834" s="8"/>
      <c r="E2834" t="str">
        <f t="shared" si="88"/>
        <v/>
      </c>
      <c r="F2834" t="str">
        <f t="shared" si="89"/>
        <v/>
      </c>
      <c r="G2834" t="str">
        <f>IF(E2834="","",IF(COUNTIF('DATA QCEW'!$A$2:$A$20,E2834)&gt;0,"19-SECTOR","DETAIL / OTHER"))</f>
        <v/>
      </c>
    </row>
    <row r="2835" spans="4:7">
      <c r="D2835" s="8"/>
      <c r="E2835" t="str">
        <f t="shared" si="88"/>
        <v/>
      </c>
      <c r="F2835" t="str">
        <f t="shared" si="89"/>
        <v/>
      </c>
      <c r="G2835" t="str">
        <f>IF(E2835="","",IF(COUNTIF('DATA QCEW'!$A$2:$A$20,E2835)&gt;0,"19-SECTOR","DETAIL / OTHER"))</f>
        <v/>
      </c>
    </row>
    <row r="2836" spans="4:7">
      <c r="D2836" s="8"/>
      <c r="E2836" t="str">
        <f t="shared" si="88"/>
        <v/>
      </c>
      <c r="F2836" t="str">
        <f t="shared" si="89"/>
        <v/>
      </c>
      <c r="G2836" t="str">
        <f>IF(E2836="","",IF(COUNTIF('DATA QCEW'!$A$2:$A$20,E2836)&gt;0,"19-SECTOR","DETAIL / OTHER"))</f>
        <v/>
      </c>
    </row>
    <row r="2837" spans="4:7">
      <c r="D2837" s="8"/>
      <c r="E2837" t="str">
        <f t="shared" si="88"/>
        <v/>
      </c>
      <c r="F2837" t="str">
        <f t="shared" si="89"/>
        <v/>
      </c>
      <c r="G2837" t="str">
        <f>IF(E2837="","",IF(COUNTIF('DATA QCEW'!$A$2:$A$20,E2837)&gt;0,"19-SECTOR","DETAIL / OTHER"))</f>
        <v/>
      </c>
    </row>
    <row r="2838" spans="4:7">
      <c r="D2838" s="8"/>
      <c r="E2838" t="str">
        <f t="shared" si="88"/>
        <v/>
      </c>
      <c r="F2838" t="str">
        <f t="shared" si="89"/>
        <v/>
      </c>
      <c r="G2838" t="str">
        <f>IF(E2838="","",IF(COUNTIF('DATA QCEW'!$A$2:$A$20,E2838)&gt;0,"19-SECTOR","DETAIL / OTHER"))</f>
        <v/>
      </c>
    </row>
    <row r="2839" spans="4:7">
      <c r="D2839" s="8"/>
      <c r="E2839" t="str">
        <f t="shared" si="88"/>
        <v/>
      </c>
      <c r="F2839" t="str">
        <f t="shared" si="89"/>
        <v/>
      </c>
      <c r="G2839" t="str">
        <f>IF(E2839="","",IF(COUNTIF('DATA QCEW'!$A$2:$A$20,E2839)&gt;0,"19-SECTOR","DETAIL / OTHER"))</f>
        <v/>
      </c>
    </row>
    <row r="2840" spans="4:7">
      <c r="D2840" s="8"/>
      <c r="E2840" t="str">
        <f t="shared" si="88"/>
        <v/>
      </c>
      <c r="F2840" t="str">
        <f t="shared" si="89"/>
        <v/>
      </c>
      <c r="G2840" t="str">
        <f>IF(E2840="","",IF(COUNTIF('DATA QCEW'!$A$2:$A$20,E2840)&gt;0,"19-SECTOR","DETAIL / OTHER"))</f>
        <v/>
      </c>
    </row>
    <row r="2841" spans="4:7">
      <c r="D2841" s="8"/>
      <c r="E2841" t="str">
        <f t="shared" si="88"/>
        <v/>
      </c>
      <c r="F2841" t="str">
        <f t="shared" si="89"/>
        <v/>
      </c>
      <c r="G2841" t="str">
        <f>IF(E2841="","",IF(COUNTIF('DATA QCEW'!$A$2:$A$20,E2841)&gt;0,"19-SECTOR","DETAIL / OTHER"))</f>
        <v/>
      </c>
    </row>
    <row r="2842" spans="4:7">
      <c r="D2842" s="8"/>
      <c r="E2842" t="str">
        <f t="shared" si="88"/>
        <v/>
      </c>
      <c r="F2842" t="str">
        <f t="shared" si="89"/>
        <v/>
      </c>
      <c r="G2842" t="str">
        <f>IF(E2842="","",IF(COUNTIF('DATA QCEW'!$A$2:$A$20,E2842)&gt;0,"19-SECTOR","DETAIL / OTHER"))</f>
        <v/>
      </c>
    </row>
    <row r="2843" spans="4:7">
      <c r="D2843" s="8"/>
      <c r="E2843" t="str">
        <f t="shared" si="88"/>
        <v/>
      </c>
      <c r="F2843" t="str">
        <f t="shared" si="89"/>
        <v/>
      </c>
      <c r="G2843" t="str">
        <f>IF(E2843="","",IF(COUNTIF('DATA QCEW'!$A$2:$A$20,E2843)&gt;0,"19-SECTOR","DETAIL / OTHER"))</f>
        <v/>
      </c>
    </row>
    <row r="2844" spans="4:7">
      <c r="D2844" s="8"/>
      <c r="E2844" t="str">
        <f t="shared" si="88"/>
        <v/>
      </c>
      <c r="F2844" t="str">
        <f t="shared" si="89"/>
        <v/>
      </c>
      <c r="G2844" t="str">
        <f>IF(E2844="","",IF(COUNTIF('DATA QCEW'!$A$2:$A$20,E2844)&gt;0,"19-SECTOR","DETAIL / OTHER"))</f>
        <v/>
      </c>
    </row>
    <row r="2845" spans="4:7">
      <c r="D2845" s="8"/>
      <c r="E2845" t="str">
        <f t="shared" si="88"/>
        <v/>
      </c>
      <c r="F2845" t="str">
        <f t="shared" si="89"/>
        <v/>
      </c>
      <c r="G2845" t="str">
        <f>IF(E2845="","",IF(COUNTIF('DATA QCEW'!$A$2:$A$20,E2845)&gt;0,"19-SECTOR","DETAIL / OTHER"))</f>
        <v/>
      </c>
    </row>
    <row r="2846" spans="4:7">
      <c r="D2846" s="8"/>
      <c r="E2846" t="str">
        <f t="shared" si="88"/>
        <v/>
      </c>
      <c r="F2846" t="str">
        <f t="shared" si="89"/>
        <v/>
      </c>
      <c r="G2846" t="str">
        <f>IF(E2846="","",IF(COUNTIF('DATA QCEW'!$A$2:$A$20,E2846)&gt;0,"19-SECTOR","DETAIL / OTHER"))</f>
        <v/>
      </c>
    </row>
    <row r="2847" spans="4:7">
      <c r="D2847" s="8"/>
      <c r="E2847" t="str">
        <f t="shared" si="88"/>
        <v/>
      </c>
      <c r="F2847" t="str">
        <f t="shared" si="89"/>
        <v/>
      </c>
      <c r="G2847" t="str">
        <f>IF(E2847="","",IF(COUNTIF('DATA QCEW'!$A$2:$A$20,E2847)&gt;0,"19-SECTOR","DETAIL / OTHER"))</f>
        <v/>
      </c>
    </row>
    <row r="2848" spans="4:7">
      <c r="D2848" s="8"/>
      <c r="E2848" t="str">
        <f t="shared" si="88"/>
        <v/>
      </c>
      <c r="F2848" t="str">
        <f t="shared" si="89"/>
        <v/>
      </c>
      <c r="G2848" t="str">
        <f>IF(E2848="","",IF(COUNTIF('DATA QCEW'!$A$2:$A$20,E2848)&gt;0,"19-SECTOR","DETAIL / OTHER"))</f>
        <v/>
      </c>
    </row>
    <row r="2849" spans="4:7">
      <c r="D2849" s="8"/>
      <c r="E2849" t="str">
        <f t="shared" si="88"/>
        <v/>
      </c>
      <c r="F2849" t="str">
        <f t="shared" si="89"/>
        <v/>
      </c>
      <c r="G2849" t="str">
        <f>IF(E2849="","",IF(COUNTIF('DATA QCEW'!$A$2:$A$20,E2849)&gt;0,"19-SECTOR","DETAIL / OTHER"))</f>
        <v/>
      </c>
    </row>
    <row r="2850" spans="4:7">
      <c r="D2850" s="8"/>
      <c r="E2850" t="str">
        <f t="shared" si="88"/>
        <v/>
      </c>
      <c r="F2850" t="str">
        <f t="shared" si="89"/>
        <v/>
      </c>
      <c r="G2850" t="str">
        <f>IF(E2850="","",IF(COUNTIF('DATA QCEW'!$A$2:$A$20,E2850)&gt;0,"19-SECTOR","DETAIL / OTHER"))</f>
        <v/>
      </c>
    </row>
    <row r="2851" spans="4:7">
      <c r="D2851" s="8"/>
      <c r="E2851" t="str">
        <f t="shared" si="88"/>
        <v/>
      </c>
      <c r="F2851" t="str">
        <f t="shared" si="89"/>
        <v/>
      </c>
      <c r="G2851" t="str">
        <f>IF(E2851="","",IF(COUNTIF('DATA QCEW'!$A$2:$A$20,E2851)&gt;0,"19-SECTOR","DETAIL / OTHER"))</f>
        <v/>
      </c>
    </row>
    <row r="2852" spans="4:7">
      <c r="D2852" s="8"/>
      <c r="E2852" t="str">
        <f t="shared" si="88"/>
        <v/>
      </c>
      <c r="F2852" t="str">
        <f t="shared" si="89"/>
        <v/>
      </c>
      <c r="G2852" t="str">
        <f>IF(E2852="","",IF(COUNTIF('DATA QCEW'!$A$2:$A$20,E2852)&gt;0,"19-SECTOR","DETAIL / OTHER"))</f>
        <v/>
      </c>
    </row>
    <row r="2853" spans="4:7">
      <c r="D2853" s="8"/>
      <c r="E2853" t="str">
        <f t="shared" si="88"/>
        <v/>
      </c>
      <c r="F2853" t="str">
        <f t="shared" si="89"/>
        <v/>
      </c>
      <c r="G2853" t="str">
        <f>IF(E2853="","",IF(COUNTIF('DATA QCEW'!$A$2:$A$20,E2853)&gt;0,"19-SECTOR","DETAIL / OTHER"))</f>
        <v/>
      </c>
    </row>
    <row r="2854" spans="4:7">
      <c r="D2854" s="8"/>
      <c r="E2854" t="str">
        <f t="shared" si="88"/>
        <v/>
      </c>
      <c r="F2854" t="str">
        <f t="shared" si="89"/>
        <v/>
      </c>
      <c r="G2854" t="str">
        <f>IF(E2854="","",IF(COUNTIF('DATA QCEW'!$A$2:$A$20,E2854)&gt;0,"19-SECTOR","DETAIL / OTHER"))</f>
        <v/>
      </c>
    </row>
    <row r="2855" spans="4:7">
      <c r="D2855" s="8"/>
      <c r="E2855" t="str">
        <f t="shared" si="88"/>
        <v/>
      </c>
      <c r="F2855" t="str">
        <f t="shared" si="89"/>
        <v/>
      </c>
      <c r="G2855" t="str">
        <f>IF(E2855="","",IF(COUNTIF('DATA QCEW'!$A$2:$A$20,E2855)&gt;0,"19-SECTOR","DETAIL / OTHER"))</f>
        <v/>
      </c>
    </row>
    <row r="2856" spans="4:7">
      <c r="D2856" s="8"/>
      <c r="E2856" t="str">
        <f t="shared" si="88"/>
        <v/>
      </c>
      <c r="F2856" t="str">
        <f t="shared" si="89"/>
        <v/>
      </c>
      <c r="G2856" t="str">
        <f>IF(E2856="","",IF(COUNTIF('DATA QCEW'!$A$2:$A$20,E2856)&gt;0,"19-SECTOR","DETAIL / OTHER"))</f>
        <v/>
      </c>
    </row>
    <row r="2857" spans="4:7">
      <c r="D2857" s="8"/>
      <c r="E2857" t="str">
        <f t="shared" si="88"/>
        <v/>
      </c>
      <c r="F2857" t="str">
        <f t="shared" si="89"/>
        <v/>
      </c>
      <c r="G2857" t="str">
        <f>IF(E2857="","",IF(COUNTIF('DATA QCEW'!$A$2:$A$20,E2857)&gt;0,"19-SECTOR","DETAIL / OTHER"))</f>
        <v/>
      </c>
    </row>
    <row r="2858" spans="4:7">
      <c r="D2858" s="8"/>
      <c r="E2858" t="str">
        <f t="shared" si="88"/>
        <v/>
      </c>
      <c r="F2858" t="str">
        <f t="shared" si="89"/>
        <v/>
      </c>
      <c r="G2858" t="str">
        <f>IF(E2858="","",IF(COUNTIF('DATA QCEW'!$A$2:$A$20,E2858)&gt;0,"19-SECTOR","DETAIL / OTHER"))</f>
        <v/>
      </c>
    </row>
    <row r="2859" spans="4:7">
      <c r="D2859" s="8"/>
      <c r="E2859" t="str">
        <f t="shared" si="88"/>
        <v/>
      </c>
      <c r="F2859" t="str">
        <f t="shared" si="89"/>
        <v/>
      </c>
      <c r="G2859" t="str">
        <f>IF(E2859="","",IF(COUNTIF('DATA QCEW'!$A$2:$A$20,E2859)&gt;0,"19-SECTOR","DETAIL / OTHER"))</f>
        <v/>
      </c>
    </row>
    <row r="2860" spans="4:7">
      <c r="D2860" s="8"/>
      <c r="E2860" t="str">
        <f t="shared" si="88"/>
        <v/>
      </c>
      <c r="F2860" t="str">
        <f t="shared" si="89"/>
        <v/>
      </c>
      <c r="G2860" t="str">
        <f>IF(E2860="","",IF(COUNTIF('DATA QCEW'!$A$2:$A$20,E2860)&gt;0,"19-SECTOR","DETAIL / OTHER"))</f>
        <v/>
      </c>
    </row>
    <row r="2861" spans="4:7">
      <c r="D2861" s="8"/>
      <c r="E2861" t="str">
        <f t="shared" si="88"/>
        <v/>
      </c>
      <c r="F2861" t="str">
        <f t="shared" si="89"/>
        <v/>
      </c>
      <c r="G2861" t="str">
        <f>IF(E2861="","",IF(COUNTIF('DATA QCEW'!$A$2:$A$20,E2861)&gt;0,"19-SECTOR","DETAIL / OTHER"))</f>
        <v/>
      </c>
    </row>
    <row r="2862" spans="4:7">
      <c r="D2862" s="8"/>
      <c r="E2862" t="str">
        <f t="shared" si="88"/>
        <v/>
      </c>
      <c r="F2862" t="str">
        <f t="shared" si="89"/>
        <v/>
      </c>
      <c r="G2862" t="str">
        <f>IF(E2862="","",IF(COUNTIF('DATA QCEW'!$A$2:$A$20,E2862)&gt;0,"19-SECTOR","DETAIL / OTHER"))</f>
        <v/>
      </c>
    </row>
    <row r="2863" spans="4:7">
      <c r="D2863" s="8"/>
      <c r="E2863" t="str">
        <f t="shared" si="88"/>
        <v/>
      </c>
      <c r="F2863" t="str">
        <f t="shared" si="89"/>
        <v/>
      </c>
      <c r="G2863" t="str">
        <f>IF(E2863="","",IF(COUNTIF('DATA QCEW'!$A$2:$A$20,E2863)&gt;0,"19-SECTOR","DETAIL / OTHER"))</f>
        <v/>
      </c>
    </row>
    <row r="2864" spans="4:7">
      <c r="D2864" s="8"/>
      <c r="E2864" t="str">
        <f t="shared" si="88"/>
        <v/>
      </c>
      <c r="F2864" t="str">
        <f t="shared" si="89"/>
        <v/>
      </c>
      <c r="G2864" t="str">
        <f>IF(E2864="","",IF(COUNTIF('DATA QCEW'!$A$2:$A$20,E2864)&gt;0,"19-SECTOR","DETAIL / OTHER"))</f>
        <v/>
      </c>
    </row>
    <row r="2865" spans="4:7">
      <c r="D2865" s="8"/>
      <c r="E2865" t="str">
        <f t="shared" si="88"/>
        <v/>
      </c>
      <c r="F2865" t="str">
        <f t="shared" si="89"/>
        <v/>
      </c>
      <c r="G2865" t="str">
        <f>IF(E2865="","",IF(COUNTIF('DATA QCEW'!$A$2:$A$20,E2865)&gt;0,"19-SECTOR","DETAIL / OTHER"))</f>
        <v/>
      </c>
    </row>
    <row r="2866" spans="4:7">
      <c r="D2866" s="8"/>
      <c r="E2866" t="str">
        <f t="shared" si="88"/>
        <v/>
      </c>
      <c r="F2866" t="str">
        <f t="shared" si="89"/>
        <v/>
      </c>
      <c r="G2866" t="str">
        <f>IF(E2866="","",IF(COUNTIF('DATA QCEW'!$A$2:$A$20,E2866)&gt;0,"19-SECTOR","DETAIL / OTHER"))</f>
        <v/>
      </c>
    </row>
    <row r="2867" spans="4:7">
      <c r="D2867" s="8"/>
      <c r="E2867" t="str">
        <f t="shared" si="88"/>
        <v/>
      </c>
      <c r="F2867" t="str">
        <f t="shared" si="89"/>
        <v/>
      </c>
      <c r="G2867" t="str">
        <f>IF(E2867="","",IF(COUNTIF('DATA QCEW'!$A$2:$A$20,E2867)&gt;0,"19-SECTOR","DETAIL / OTHER"))</f>
        <v/>
      </c>
    </row>
    <row r="2868" spans="4:7">
      <c r="D2868" s="8"/>
      <c r="E2868" t="str">
        <f t="shared" si="88"/>
        <v/>
      </c>
      <c r="F2868" t="str">
        <f t="shared" si="89"/>
        <v/>
      </c>
      <c r="G2868" t="str">
        <f>IF(E2868="","",IF(COUNTIF('DATA QCEW'!$A$2:$A$20,E2868)&gt;0,"19-SECTOR","DETAIL / OTHER"))</f>
        <v/>
      </c>
    </row>
    <row r="2869" spans="4:7">
      <c r="D2869" s="8"/>
      <c r="E2869" t="str">
        <f t="shared" si="88"/>
        <v/>
      </c>
      <c r="F2869" t="str">
        <f t="shared" si="89"/>
        <v/>
      </c>
      <c r="G2869" t="str">
        <f>IF(E2869="","",IF(COUNTIF('DATA QCEW'!$A$2:$A$20,E2869)&gt;0,"19-SECTOR","DETAIL / OTHER"))</f>
        <v/>
      </c>
    </row>
    <row r="2870" spans="4:7">
      <c r="D2870" s="8"/>
      <c r="E2870" t="str">
        <f t="shared" si="88"/>
        <v/>
      </c>
      <c r="F2870" t="str">
        <f t="shared" si="89"/>
        <v/>
      </c>
      <c r="G2870" t="str">
        <f>IF(E2870="","",IF(COUNTIF('DATA QCEW'!$A$2:$A$20,E2870)&gt;0,"19-SECTOR","DETAIL / OTHER"))</f>
        <v/>
      </c>
    </row>
    <row r="2871" spans="4:7">
      <c r="D2871" s="8"/>
      <c r="E2871" t="str">
        <f t="shared" si="88"/>
        <v/>
      </c>
      <c r="F2871" t="str">
        <f t="shared" si="89"/>
        <v/>
      </c>
      <c r="G2871" t="str">
        <f>IF(E2871="","",IF(COUNTIF('DATA QCEW'!$A$2:$A$20,E2871)&gt;0,"19-SECTOR","DETAIL / OTHER"))</f>
        <v/>
      </c>
    </row>
    <row r="2872" spans="4:7">
      <c r="D2872" s="8"/>
      <c r="E2872" t="str">
        <f t="shared" si="88"/>
        <v/>
      </c>
      <c r="F2872" t="str">
        <f t="shared" si="89"/>
        <v/>
      </c>
      <c r="G2872" t="str">
        <f>IF(E2872="","",IF(COUNTIF('DATA QCEW'!$A$2:$A$20,E2872)&gt;0,"19-SECTOR","DETAIL / OTHER"))</f>
        <v/>
      </c>
    </row>
    <row r="2873" spans="4:7">
      <c r="D2873" s="8"/>
      <c r="E2873" t="str">
        <f t="shared" si="88"/>
        <v/>
      </c>
      <c r="F2873" t="str">
        <f t="shared" si="89"/>
        <v/>
      </c>
      <c r="G2873" t="str">
        <f>IF(E2873="","",IF(COUNTIF('DATA QCEW'!$A$2:$A$20,E2873)&gt;0,"19-SECTOR","DETAIL / OTHER"))</f>
        <v/>
      </c>
    </row>
    <row r="2874" spans="4:7">
      <c r="D2874" s="8"/>
      <c r="E2874" t="str">
        <f t="shared" si="88"/>
        <v/>
      </c>
      <c r="F2874" t="str">
        <f t="shared" si="89"/>
        <v/>
      </c>
      <c r="G2874" t="str">
        <f>IF(E2874="","",IF(COUNTIF('DATA QCEW'!$A$2:$A$20,E2874)&gt;0,"19-SECTOR","DETAIL / OTHER"))</f>
        <v/>
      </c>
    </row>
    <row r="2875" spans="4:7">
      <c r="D2875" s="8"/>
      <c r="E2875" t="str">
        <f t="shared" si="88"/>
        <v/>
      </c>
      <c r="F2875" t="str">
        <f t="shared" si="89"/>
        <v/>
      </c>
      <c r="G2875" t="str">
        <f>IF(E2875="","",IF(COUNTIF('DATA QCEW'!$A$2:$A$20,E2875)&gt;0,"19-SECTOR","DETAIL / OTHER"))</f>
        <v/>
      </c>
    </row>
    <row r="2876" spans="4:7">
      <c r="D2876" s="8"/>
      <c r="E2876" t="str">
        <f t="shared" si="88"/>
        <v/>
      </c>
      <c r="F2876" t="str">
        <f t="shared" si="89"/>
        <v/>
      </c>
      <c r="G2876" t="str">
        <f>IF(E2876="","",IF(COUNTIF('DATA QCEW'!$A$2:$A$20,E2876)&gt;0,"19-SECTOR","DETAIL / OTHER"))</f>
        <v/>
      </c>
    </row>
    <row r="2877" spans="4:7">
      <c r="D2877" s="8"/>
      <c r="E2877" t="str">
        <f t="shared" si="88"/>
        <v/>
      </c>
      <c r="F2877" t="str">
        <f t="shared" si="89"/>
        <v/>
      </c>
      <c r="G2877" t="str">
        <f>IF(E2877="","",IF(COUNTIF('DATA QCEW'!$A$2:$A$20,E2877)&gt;0,"19-SECTOR","DETAIL / OTHER"))</f>
        <v/>
      </c>
    </row>
    <row r="2878" spans="4:7">
      <c r="D2878" s="8"/>
      <c r="E2878" t="str">
        <f t="shared" si="88"/>
        <v/>
      </c>
      <c r="F2878" t="str">
        <f t="shared" si="89"/>
        <v/>
      </c>
      <c r="G2878" t="str">
        <f>IF(E2878="","",IF(COUNTIF('DATA QCEW'!$A$2:$A$20,E2878)&gt;0,"19-SECTOR","DETAIL / OTHER"))</f>
        <v/>
      </c>
    </row>
    <row r="2879" spans="4:7">
      <c r="D2879" s="8"/>
      <c r="E2879" t="str">
        <f t="shared" si="88"/>
        <v/>
      </c>
      <c r="F2879" t="str">
        <f t="shared" si="89"/>
        <v/>
      </c>
      <c r="G2879" t="str">
        <f>IF(E2879="","",IF(COUNTIF('DATA QCEW'!$A$2:$A$20,E2879)&gt;0,"19-SECTOR","DETAIL / OTHER"))</f>
        <v/>
      </c>
    </row>
    <row r="2880" spans="4:7">
      <c r="D2880" s="8"/>
      <c r="E2880" t="str">
        <f t="shared" si="88"/>
        <v/>
      </c>
      <c r="F2880" t="str">
        <f t="shared" si="89"/>
        <v/>
      </c>
      <c r="G2880" t="str">
        <f>IF(E2880="","",IF(COUNTIF('DATA QCEW'!$A$2:$A$20,E2880)&gt;0,"19-SECTOR","DETAIL / OTHER"))</f>
        <v/>
      </c>
    </row>
    <row r="2881" spans="4:7">
      <c r="D2881" s="8"/>
      <c r="E2881" t="str">
        <f t="shared" si="88"/>
        <v/>
      </c>
      <c r="F2881" t="str">
        <f t="shared" si="89"/>
        <v/>
      </c>
      <c r="G2881" t="str">
        <f>IF(E2881="","",IF(COUNTIF('DATA QCEW'!$A$2:$A$20,E2881)&gt;0,"19-SECTOR","DETAIL / OTHER"))</f>
        <v/>
      </c>
    </row>
    <row r="2882" spans="4:7">
      <c r="D2882" s="8"/>
      <c r="E2882" t="str">
        <f t="shared" ref="E2882:E2945" si="90">IF(LEFT(TRIM(A2882),6)="NAICS ",IFERROR(MID(TRIM(A2882),7,FIND(" ",TRIM(A2882)&amp;" ",7)-7),""),"")</f>
        <v/>
      </c>
      <c r="F2882" t="str">
        <f t="shared" ref="F2882:F2945" si="91">IF(E2882="","",TRIM(MID(TRIM(A2882),FIND(" ",TRIM(A2882)&amp;" ",7)+1,255)))</f>
        <v/>
      </c>
      <c r="G2882" t="str">
        <f>IF(E2882="","",IF(COUNTIF('DATA QCEW'!$A$2:$A$20,E2882)&gt;0,"19-SECTOR","DETAIL / OTHER"))</f>
        <v/>
      </c>
    </row>
    <row r="2883" spans="4:7">
      <c r="D2883" s="8"/>
      <c r="E2883" t="str">
        <f t="shared" si="90"/>
        <v/>
      </c>
      <c r="F2883" t="str">
        <f t="shared" si="91"/>
        <v/>
      </c>
      <c r="G2883" t="str">
        <f>IF(E2883="","",IF(COUNTIF('DATA QCEW'!$A$2:$A$20,E2883)&gt;0,"19-SECTOR","DETAIL / OTHER"))</f>
        <v/>
      </c>
    </row>
    <row r="2884" spans="4:7">
      <c r="D2884" s="8"/>
      <c r="E2884" t="str">
        <f t="shared" si="90"/>
        <v/>
      </c>
      <c r="F2884" t="str">
        <f t="shared" si="91"/>
        <v/>
      </c>
      <c r="G2884" t="str">
        <f>IF(E2884="","",IF(COUNTIF('DATA QCEW'!$A$2:$A$20,E2884)&gt;0,"19-SECTOR","DETAIL / OTHER"))</f>
        <v/>
      </c>
    </row>
    <row r="2885" spans="4:7">
      <c r="D2885" s="8"/>
      <c r="E2885" t="str">
        <f t="shared" si="90"/>
        <v/>
      </c>
      <c r="F2885" t="str">
        <f t="shared" si="91"/>
        <v/>
      </c>
      <c r="G2885" t="str">
        <f>IF(E2885="","",IF(COUNTIF('DATA QCEW'!$A$2:$A$20,E2885)&gt;0,"19-SECTOR","DETAIL / OTHER"))</f>
        <v/>
      </c>
    </row>
    <row r="2886" spans="4:7">
      <c r="D2886" s="8"/>
      <c r="E2886" t="str">
        <f t="shared" si="90"/>
        <v/>
      </c>
      <c r="F2886" t="str">
        <f t="shared" si="91"/>
        <v/>
      </c>
      <c r="G2886" t="str">
        <f>IF(E2886="","",IF(COUNTIF('DATA QCEW'!$A$2:$A$20,E2886)&gt;0,"19-SECTOR","DETAIL / OTHER"))</f>
        <v/>
      </c>
    </row>
    <row r="2887" spans="4:7">
      <c r="D2887" s="8"/>
      <c r="E2887" t="str">
        <f t="shared" si="90"/>
        <v/>
      </c>
      <c r="F2887" t="str">
        <f t="shared" si="91"/>
        <v/>
      </c>
      <c r="G2887" t="str">
        <f>IF(E2887="","",IF(COUNTIF('DATA QCEW'!$A$2:$A$20,E2887)&gt;0,"19-SECTOR","DETAIL / OTHER"))</f>
        <v/>
      </c>
    </row>
    <row r="2888" spans="4:7">
      <c r="D2888" s="8"/>
      <c r="E2888" t="str">
        <f t="shared" si="90"/>
        <v/>
      </c>
      <c r="F2888" t="str">
        <f t="shared" si="91"/>
        <v/>
      </c>
      <c r="G2888" t="str">
        <f>IF(E2888="","",IF(COUNTIF('DATA QCEW'!$A$2:$A$20,E2888)&gt;0,"19-SECTOR","DETAIL / OTHER"))</f>
        <v/>
      </c>
    </row>
    <row r="2889" spans="4:7">
      <c r="D2889" s="8"/>
      <c r="E2889" t="str">
        <f t="shared" si="90"/>
        <v/>
      </c>
      <c r="F2889" t="str">
        <f t="shared" si="91"/>
        <v/>
      </c>
      <c r="G2889" t="str">
        <f>IF(E2889="","",IF(COUNTIF('DATA QCEW'!$A$2:$A$20,E2889)&gt;0,"19-SECTOR","DETAIL / OTHER"))</f>
        <v/>
      </c>
    </row>
    <row r="2890" spans="4:7">
      <c r="D2890" s="8"/>
      <c r="E2890" t="str">
        <f t="shared" si="90"/>
        <v/>
      </c>
      <c r="F2890" t="str">
        <f t="shared" si="91"/>
        <v/>
      </c>
      <c r="G2890" t="str">
        <f>IF(E2890="","",IF(COUNTIF('DATA QCEW'!$A$2:$A$20,E2890)&gt;0,"19-SECTOR","DETAIL / OTHER"))</f>
        <v/>
      </c>
    </row>
    <row r="2891" spans="4:7">
      <c r="D2891" s="8"/>
      <c r="E2891" t="str">
        <f t="shared" si="90"/>
        <v/>
      </c>
      <c r="F2891" t="str">
        <f t="shared" si="91"/>
        <v/>
      </c>
      <c r="G2891" t="str">
        <f>IF(E2891="","",IF(COUNTIF('DATA QCEW'!$A$2:$A$20,E2891)&gt;0,"19-SECTOR","DETAIL / OTHER"))</f>
        <v/>
      </c>
    </row>
    <row r="2892" spans="4:7">
      <c r="D2892" s="8"/>
      <c r="E2892" t="str">
        <f t="shared" si="90"/>
        <v/>
      </c>
      <c r="F2892" t="str">
        <f t="shared" si="91"/>
        <v/>
      </c>
      <c r="G2892" t="str">
        <f>IF(E2892="","",IF(COUNTIF('DATA QCEW'!$A$2:$A$20,E2892)&gt;0,"19-SECTOR","DETAIL / OTHER"))</f>
        <v/>
      </c>
    </row>
    <row r="2893" spans="4:7">
      <c r="D2893" s="8"/>
      <c r="E2893" t="str">
        <f t="shared" si="90"/>
        <v/>
      </c>
      <c r="F2893" t="str">
        <f t="shared" si="91"/>
        <v/>
      </c>
      <c r="G2893" t="str">
        <f>IF(E2893="","",IF(COUNTIF('DATA QCEW'!$A$2:$A$20,E2893)&gt;0,"19-SECTOR","DETAIL / OTHER"))</f>
        <v/>
      </c>
    </row>
    <row r="2894" spans="4:7">
      <c r="D2894" s="8"/>
      <c r="E2894" t="str">
        <f t="shared" si="90"/>
        <v/>
      </c>
      <c r="F2894" t="str">
        <f t="shared" si="91"/>
        <v/>
      </c>
      <c r="G2894" t="str">
        <f>IF(E2894="","",IF(COUNTIF('DATA QCEW'!$A$2:$A$20,E2894)&gt;0,"19-SECTOR","DETAIL / OTHER"))</f>
        <v/>
      </c>
    </row>
    <row r="2895" spans="4:7">
      <c r="D2895" s="8"/>
      <c r="E2895" t="str">
        <f t="shared" si="90"/>
        <v/>
      </c>
      <c r="F2895" t="str">
        <f t="shared" si="91"/>
        <v/>
      </c>
      <c r="G2895" t="str">
        <f>IF(E2895="","",IF(COUNTIF('DATA QCEW'!$A$2:$A$20,E2895)&gt;0,"19-SECTOR","DETAIL / OTHER"))</f>
        <v/>
      </c>
    </row>
    <row r="2896" spans="4:7">
      <c r="D2896" s="8"/>
      <c r="E2896" t="str">
        <f t="shared" si="90"/>
        <v/>
      </c>
      <c r="F2896" t="str">
        <f t="shared" si="91"/>
        <v/>
      </c>
      <c r="G2896" t="str">
        <f>IF(E2896="","",IF(COUNTIF('DATA QCEW'!$A$2:$A$20,E2896)&gt;0,"19-SECTOR","DETAIL / OTHER"))</f>
        <v/>
      </c>
    </row>
    <row r="2897" spans="4:7">
      <c r="D2897" s="8"/>
      <c r="E2897" t="str">
        <f t="shared" si="90"/>
        <v/>
      </c>
      <c r="F2897" t="str">
        <f t="shared" si="91"/>
        <v/>
      </c>
      <c r="G2897" t="str">
        <f>IF(E2897="","",IF(COUNTIF('DATA QCEW'!$A$2:$A$20,E2897)&gt;0,"19-SECTOR","DETAIL / OTHER"))</f>
        <v/>
      </c>
    </row>
    <row r="2898" spans="4:7">
      <c r="D2898" s="8"/>
      <c r="E2898" t="str">
        <f t="shared" si="90"/>
        <v/>
      </c>
      <c r="F2898" t="str">
        <f t="shared" si="91"/>
        <v/>
      </c>
      <c r="G2898" t="str">
        <f>IF(E2898="","",IF(COUNTIF('DATA QCEW'!$A$2:$A$20,E2898)&gt;0,"19-SECTOR","DETAIL / OTHER"))</f>
        <v/>
      </c>
    </row>
    <row r="2899" spans="4:7">
      <c r="D2899" s="8"/>
      <c r="E2899" t="str">
        <f t="shared" si="90"/>
        <v/>
      </c>
      <c r="F2899" t="str">
        <f t="shared" si="91"/>
        <v/>
      </c>
      <c r="G2899" t="str">
        <f>IF(E2899="","",IF(COUNTIF('DATA QCEW'!$A$2:$A$20,E2899)&gt;0,"19-SECTOR","DETAIL / OTHER"))</f>
        <v/>
      </c>
    </row>
    <row r="2900" spans="4:7">
      <c r="D2900" s="8"/>
      <c r="E2900" t="str">
        <f t="shared" si="90"/>
        <v/>
      </c>
      <c r="F2900" t="str">
        <f t="shared" si="91"/>
        <v/>
      </c>
      <c r="G2900" t="str">
        <f>IF(E2900="","",IF(COUNTIF('DATA QCEW'!$A$2:$A$20,E2900)&gt;0,"19-SECTOR","DETAIL / OTHER"))</f>
        <v/>
      </c>
    </row>
    <row r="2901" spans="4:7">
      <c r="D2901" s="8"/>
      <c r="E2901" t="str">
        <f t="shared" si="90"/>
        <v/>
      </c>
      <c r="F2901" t="str">
        <f t="shared" si="91"/>
        <v/>
      </c>
      <c r="G2901" t="str">
        <f>IF(E2901="","",IF(COUNTIF('DATA QCEW'!$A$2:$A$20,E2901)&gt;0,"19-SECTOR","DETAIL / OTHER"))</f>
        <v/>
      </c>
    </row>
    <row r="2902" spans="4:7">
      <c r="D2902" s="8"/>
      <c r="E2902" t="str">
        <f t="shared" si="90"/>
        <v/>
      </c>
      <c r="F2902" t="str">
        <f t="shared" si="91"/>
        <v/>
      </c>
      <c r="G2902" t="str">
        <f>IF(E2902="","",IF(COUNTIF('DATA QCEW'!$A$2:$A$20,E2902)&gt;0,"19-SECTOR","DETAIL / OTHER"))</f>
        <v/>
      </c>
    </row>
    <row r="2903" spans="4:7">
      <c r="D2903" s="8"/>
      <c r="E2903" t="str">
        <f t="shared" si="90"/>
        <v/>
      </c>
      <c r="F2903" t="str">
        <f t="shared" si="91"/>
        <v/>
      </c>
      <c r="G2903" t="str">
        <f>IF(E2903="","",IF(COUNTIF('DATA QCEW'!$A$2:$A$20,E2903)&gt;0,"19-SECTOR","DETAIL / OTHER"))</f>
        <v/>
      </c>
    </row>
    <row r="2904" spans="4:7">
      <c r="D2904" s="8"/>
      <c r="E2904" t="str">
        <f t="shared" si="90"/>
        <v/>
      </c>
      <c r="F2904" t="str">
        <f t="shared" si="91"/>
        <v/>
      </c>
      <c r="G2904" t="str">
        <f>IF(E2904="","",IF(COUNTIF('DATA QCEW'!$A$2:$A$20,E2904)&gt;0,"19-SECTOR","DETAIL / OTHER"))</f>
        <v/>
      </c>
    </row>
    <row r="2905" spans="4:7">
      <c r="D2905" s="8"/>
      <c r="E2905" t="str">
        <f t="shared" si="90"/>
        <v/>
      </c>
      <c r="F2905" t="str">
        <f t="shared" si="91"/>
        <v/>
      </c>
      <c r="G2905" t="str">
        <f>IF(E2905="","",IF(COUNTIF('DATA QCEW'!$A$2:$A$20,E2905)&gt;0,"19-SECTOR","DETAIL / OTHER"))</f>
        <v/>
      </c>
    </row>
    <row r="2906" spans="4:7">
      <c r="D2906" s="8"/>
      <c r="E2906" t="str">
        <f t="shared" si="90"/>
        <v/>
      </c>
      <c r="F2906" t="str">
        <f t="shared" si="91"/>
        <v/>
      </c>
      <c r="G2906" t="str">
        <f>IF(E2906="","",IF(COUNTIF('DATA QCEW'!$A$2:$A$20,E2906)&gt;0,"19-SECTOR","DETAIL / OTHER"))</f>
        <v/>
      </c>
    </row>
    <row r="2907" spans="4:7">
      <c r="D2907" s="8"/>
      <c r="E2907" t="str">
        <f t="shared" si="90"/>
        <v/>
      </c>
      <c r="F2907" t="str">
        <f t="shared" si="91"/>
        <v/>
      </c>
      <c r="G2907" t="str">
        <f>IF(E2907="","",IF(COUNTIF('DATA QCEW'!$A$2:$A$20,E2907)&gt;0,"19-SECTOR","DETAIL / OTHER"))</f>
        <v/>
      </c>
    </row>
    <row r="2908" spans="4:7">
      <c r="D2908" s="8"/>
      <c r="E2908" t="str">
        <f t="shared" si="90"/>
        <v/>
      </c>
      <c r="F2908" t="str">
        <f t="shared" si="91"/>
        <v/>
      </c>
      <c r="G2908" t="str">
        <f>IF(E2908="","",IF(COUNTIF('DATA QCEW'!$A$2:$A$20,E2908)&gt;0,"19-SECTOR","DETAIL / OTHER"))</f>
        <v/>
      </c>
    </row>
    <row r="2909" spans="4:7">
      <c r="D2909" s="8"/>
      <c r="E2909" t="str">
        <f t="shared" si="90"/>
        <v/>
      </c>
      <c r="F2909" t="str">
        <f t="shared" si="91"/>
        <v/>
      </c>
      <c r="G2909" t="str">
        <f>IF(E2909="","",IF(COUNTIF('DATA QCEW'!$A$2:$A$20,E2909)&gt;0,"19-SECTOR","DETAIL / OTHER"))</f>
        <v/>
      </c>
    </row>
    <row r="2910" spans="4:7">
      <c r="D2910" s="8"/>
      <c r="E2910" t="str">
        <f t="shared" si="90"/>
        <v/>
      </c>
      <c r="F2910" t="str">
        <f t="shared" si="91"/>
        <v/>
      </c>
      <c r="G2910" t="str">
        <f>IF(E2910="","",IF(COUNTIF('DATA QCEW'!$A$2:$A$20,E2910)&gt;0,"19-SECTOR","DETAIL / OTHER"))</f>
        <v/>
      </c>
    </row>
    <row r="2911" spans="4:7">
      <c r="D2911" s="8"/>
      <c r="E2911" t="str">
        <f t="shared" si="90"/>
        <v/>
      </c>
      <c r="F2911" t="str">
        <f t="shared" si="91"/>
        <v/>
      </c>
      <c r="G2911" t="str">
        <f>IF(E2911="","",IF(COUNTIF('DATA QCEW'!$A$2:$A$20,E2911)&gt;0,"19-SECTOR","DETAIL / OTHER"))</f>
        <v/>
      </c>
    </row>
    <row r="2912" spans="4:7">
      <c r="D2912" s="8"/>
      <c r="E2912" t="str">
        <f t="shared" si="90"/>
        <v/>
      </c>
      <c r="F2912" t="str">
        <f t="shared" si="91"/>
        <v/>
      </c>
      <c r="G2912" t="str">
        <f>IF(E2912="","",IF(COUNTIF('DATA QCEW'!$A$2:$A$20,E2912)&gt;0,"19-SECTOR","DETAIL / OTHER"))</f>
        <v/>
      </c>
    </row>
    <row r="2913" spans="4:7">
      <c r="D2913" s="8"/>
      <c r="E2913" t="str">
        <f t="shared" si="90"/>
        <v/>
      </c>
      <c r="F2913" t="str">
        <f t="shared" si="91"/>
        <v/>
      </c>
      <c r="G2913" t="str">
        <f>IF(E2913="","",IF(COUNTIF('DATA QCEW'!$A$2:$A$20,E2913)&gt;0,"19-SECTOR","DETAIL / OTHER"))</f>
        <v/>
      </c>
    </row>
    <row r="2914" spans="4:7">
      <c r="D2914" s="8"/>
      <c r="E2914" t="str">
        <f t="shared" si="90"/>
        <v/>
      </c>
      <c r="F2914" t="str">
        <f t="shared" si="91"/>
        <v/>
      </c>
      <c r="G2914" t="str">
        <f>IF(E2914="","",IF(COUNTIF('DATA QCEW'!$A$2:$A$20,E2914)&gt;0,"19-SECTOR","DETAIL / OTHER"))</f>
        <v/>
      </c>
    </row>
    <row r="2915" spans="4:7">
      <c r="D2915" s="8"/>
      <c r="E2915" t="str">
        <f t="shared" si="90"/>
        <v/>
      </c>
      <c r="F2915" t="str">
        <f t="shared" si="91"/>
        <v/>
      </c>
      <c r="G2915" t="str">
        <f>IF(E2915="","",IF(COUNTIF('DATA QCEW'!$A$2:$A$20,E2915)&gt;0,"19-SECTOR","DETAIL / OTHER"))</f>
        <v/>
      </c>
    </row>
    <row r="2916" spans="4:7">
      <c r="D2916" s="8"/>
      <c r="E2916" t="str">
        <f t="shared" si="90"/>
        <v/>
      </c>
      <c r="F2916" t="str">
        <f t="shared" si="91"/>
        <v/>
      </c>
      <c r="G2916" t="str">
        <f>IF(E2916="","",IF(COUNTIF('DATA QCEW'!$A$2:$A$20,E2916)&gt;0,"19-SECTOR","DETAIL / OTHER"))</f>
        <v/>
      </c>
    </row>
    <row r="2917" spans="4:7">
      <c r="D2917" s="8"/>
      <c r="E2917" t="str">
        <f t="shared" si="90"/>
        <v/>
      </c>
      <c r="F2917" t="str">
        <f t="shared" si="91"/>
        <v/>
      </c>
      <c r="G2917" t="str">
        <f>IF(E2917="","",IF(COUNTIF('DATA QCEW'!$A$2:$A$20,E2917)&gt;0,"19-SECTOR","DETAIL / OTHER"))</f>
        <v/>
      </c>
    </row>
    <row r="2918" spans="4:7">
      <c r="D2918" s="8"/>
      <c r="E2918" t="str">
        <f t="shared" si="90"/>
        <v/>
      </c>
      <c r="F2918" t="str">
        <f t="shared" si="91"/>
        <v/>
      </c>
      <c r="G2918" t="str">
        <f>IF(E2918="","",IF(COUNTIF('DATA QCEW'!$A$2:$A$20,E2918)&gt;0,"19-SECTOR","DETAIL / OTHER"))</f>
        <v/>
      </c>
    </row>
    <row r="2919" spans="4:7">
      <c r="D2919" s="8"/>
      <c r="E2919" t="str">
        <f t="shared" si="90"/>
        <v/>
      </c>
      <c r="F2919" t="str">
        <f t="shared" si="91"/>
        <v/>
      </c>
      <c r="G2919" t="str">
        <f>IF(E2919="","",IF(COUNTIF('DATA QCEW'!$A$2:$A$20,E2919)&gt;0,"19-SECTOR","DETAIL / OTHER"))</f>
        <v/>
      </c>
    </row>
    <row r="2920" spans="4:7">
      <c r="D2920" s="8"/>
      <c r="E2920" t="str">
        <f t="shared" si="90"/>
        <v/>
      </c>
      <c r="F2920" t="str">
        <f t="shared" si="91"/>
        <v/>
      </c>
      <c r="G2920" t="str">
        <f>IF(E2920="","",IF(COUNTIF('DATA QCEW'!$A$2:$A$20,E2920)&gt;0,"19-SECTOR","DETAIL / OTHER"))</f>
        <v/>
      </c>
    </row>
    <row r="2921" spans="4:7">
      <c r="D2921" s="8"/>
      <c r="E2921" t="str">
        <f t="shared" si="90"/>
        <v/>
      </c>
      <c r="F2921" t="str">
        <f t="shared" si="91"/>
        <v/>
      </c>
      <c r="G2921" t="str">
        <f>IF(E2921="","",IF(COUNTIF('DATA QCEW'!$A$2:$A$20,E2921)&gt;0,"19-SECTOR","DETAIL / OTHER"))</f>
        <v/>
      </c>
    </row>
    <row r="2922" spans="4:7">
      <c r="D2922" s="8"/>
      <c r="E2922" t="str">
        <f t="shared" si="90"/>
        <v/>
      </c>
      <c r="F2922" t="str">
        <f t="shared" si="91"/>
        <v/>
      </c>
      <c r="G2922" t="str">
        <f>IF(E2922="","",IF(COUNTIF('DATA QCEW'!$A$2:$A$20,E2922)&gt;0,"19-SECTOR","DETAIL / OTHER"))</f>
        <v/>
      </c>
    </row>
    <row r="2923" spans="4:7">
      <c r="D2923" s="8"/>
      <c r="E2923" t="str">
        <f t="shared" si="90"/>
        <v/>
      </c>
      <c r="F2923" t="str">
        <f t="shared" si="91"/>
        <v/>
      </c>
      <c r="G2923" t="str">
        <f>IF(E2923="","",IF(COUNTIF('DATA QCEW'!$A$2:$A$20,E2923)&gt;0,"19-SECTOR","DETAIL / OTHER"))</f>
        <v/>
      </c>
    </row>
    <row r="2924" spans="4:7">
      <c r="D2924" s="8"/>
      <c r="E2924" t="str">
        <f t="shared" si="90"/>
        <v/>
      </c>
      <c r="F2924" t="str">
        <f t="shared" si="91"/>
        <v/>
      </c>
      <c r="G2924" t="str">
        <f>IF(E2924="","",IF(COUNTIF('DATA QCEW'!$A$2:$A$20,E2924)&gt;0,"19-SECTOR","DETAIL / OTHER"))</f>
        <v/>
      </c>
    </row>
    <row r="2925" spans="4:7">
      <c r="D2925" s="8"/>
      <c r="E2925" t="str">
        <f t="shared" si="90"/>
        <v/>
      </c>
      <c r="F2925" t="str">
        <f t="shared" si="91"/>
        <v/>
      </c>
      <c r="G2925" t="str">
        <f>IF(E2925="","",IF(COUNTIF('DATA QCEW'!$A$2:$A$20,E2925)&gt;0,"19-SECTOR","DETAIL / OTHER"))</f>
        <v/>
      </c>
    </row>
    <row r="2926" spans="4:7">
      <c r="D2926" s="8"/>
      <c r="E2926" t="str">
        <f t="shared" si="90"/>
        <v/>
      </c>
      <c r="F2926" t="str">
        <f t="shared" si="91"/>
        <v/>
      </c>
      <c r="G2926" t="str">
        <f>IF(E2926="","",IF(COUNTIF('DATA QCEW'!$A$2:$A$20,E2926)&gt;0,"19-SECTOR","DETAIL / OTHER"))</f>
        <v/>
      </c>
    </row>
    <row r="2927" spans="4:7">
      <c r="D2927" s="8"/>
      <c r="E2927" t="str">
        <f t="shared" si="90"/>
        <v/>
      </c>
      <c r="F2927" t="str">
        <f t="shared" si="91"/>
        <v/>
      </c>
      <c r="G2927" t="str">
        <f>IF(E2927="","",IF(COUNTIF('DATA QCEW'!$A$2:$A$20,E2927)&gt;0,"19-SECTOR","DETAIL / OTHER"))</f>
        <v/>
      </c>
    </row>
    <row r="2928" spans="4:7">
      <c r="D2928" s="8"/>
      <c r="E2928" t="str">
        <f t="shared" si="90"/>
        <v/>
      </c>
      <c r="F2928" t="str">
        <f t="shared" si="91"/>
        <v/>
      </c>
      <c r="G2928" t="str">
        <f>IF(E2928="","",IF(COUNTIF('DATA QCEW'!$A$2:$A$20,E2928)&gt;0,"19-SECTOR","DETAIL / OTHER"))</f>
        <v/>
      </c>
    </row>
    <row r="2929" spans="4:7">
      <c r="D2929" s="8"/>
      <c r="E2929" t="str">
        <f t="shared" si="90"/>
        <v/>
      </c>
      <c r="F2929" t="str">
        <f t="shared" si="91"/>
        <v/>
      </c>
      <c r="G2929" t="str">
        <f>IF(E2929="","",IF(COUNTIF('DATA QCEW'!$A$2:$A$20,E2929)&gt;0,"19-SECTOR","DETAIL / OTHER"))</f>
        <v/>
      </c>
    </row>
    <row r="2930" spans="4:7">
      <c r="D2930" s="8"/>
      <c r="E2930" t="str">
        <f t="shared" si="90"/>
        <v/>
      </c>
      <c r="F2930" t="str">
        <f t="shared" si="91"/>
        <v/>
      </c>
      <c r="G2930" t="str">
        <f>IF(E2930="","",IF(COUNTIF('DATA QCEW'!$A$2:$A$20,E2930)&gt;0,"19-SECTOR","DETAIL / OTHER"))</f>
        <v/>
      </c>
    </row>
    <row r="2931" spans="4:7">
      <c r="D2931" s="8"/>
      <c r="E2931" t="str">
        <f t="shared" si="90"/>
        <v/>
      </c>
      <c r="F2931" t="str">
        <f t="shared" si="91"/>
        <v/>
      </c>
      <c r="G2931" t="str">
        <f>IF(E2931="","",IF(COUNTIF('DATA QCEW'!$A$2:$A$20,E2931)&gt;0,"19-SECTOR","DETAIL / OTHER"))</f>
        <v/>
      </c>
    </row>
    <row r="2932" spans="4:7">
      <c r="D2932" s="8"/>
      <c r="E2932" t="str">
        <f t="shared" si="90"/>
        <v/>
      </c>
      <c r="F2932" t="str">
        <f t="shared" si="91"/>
        <v/>
      </c>
      <c r="G2932" t="str">
        <f>IF(E2932="","",IF(COUNTIF('DATA QCEW'!$A$2:$A$20,E2932)&gt;0,"19-SECTOR","DETAIL / OTHER"))</f>
        <v/>
      </c>
    </row>
    <row r="2933" spans="4:7">
      <c r="D2933" s="8"/>
      <c r="E2933" t="str">
        <f t="shared" si="90"/>
        <v/>
      </c>
      <c r="F2933" t="str">
        <f t="shared" si="91"/>
        <v/>
      </c>
      <c r="G2933" t="str">
        <f>IF(E2933="","",IF(COUNTIF('DATA QCEW'!$A$2:$A$20,E2933)&gt;0,"19-SECTOR","DETAIL / OTHER"))</f>
        <v/>
      </c>
    </row>
    <row r="2934" spans="4:7">
      <c r="D2934" s="8"/>
      <c r="E2934" t="str">
        <f t="shared" si="90"/>
        <v/>
      </c>
      <c r="F2934" t="str">
        <f t="shared" si="91"/>
        <v/>
      </c>
      <c r="G2934" t="str">
        <f>IF(E2934="","",IF(COUNTIF('DATA QCEW'!$A$2:$A$20,E2934)&gt;0,"19-SECTOR","DETAIL / OTHER"))</f>
        <v/>
      </c>
    </row>
    <row r="2935" spans="4:7">
      <c r="D2935" s="8"/>
      <c r="E2935" t="str">
        <f t="shared" si="90"/>
        <v/>
      </c>
      <c r="F2935" t="str">
        <f t="shared" si="91"/>
        <v/>
      </c>
      <c r="G2935" t="str">
        <f>IF(E2935="","",IF(COUNTIF('DATA QCEW'!$A$2:$A$20,E2935)&gt;0,"19-SECTOR","DETAIL / OTHER"))</f>
        <v/>
      </c>
    </row>
    <row r="2936" spans="4:7">
      <c r="D2936" s="8"/>
      <c r="E2936" t="str">
        <f t="shared" si="90"/>
        <v/>
      </c>
      <c r="F2936" t="str">
        <f t="shared" si="91"/>
        <v/>
      </c>
      <c r="G2936" t="str">
        <f>IF(E2936="","",IF(COUNTIF('DATA QCEW'!$A$2:$A$20,E2936)&gt;0,"19-SECTOR","DETAIL / OTHER"))</f>
        <v/>
      </c>
    </row>
    <row r="2937" spans="4:7">
      <c r="D2937" s="8"/>
      <c r="E2937" t="str">
        <f t="shared" si="90"/>
        <v/>
      </c>
      <c r="F2937" t="str">
        <f t="shared" si="91"/>
        <v/>
      </c>
      <c r="G2937" t="str">
        <f>IF(E2937="","",IF(COUNTIF('DATA QCEW'!$A$2:$A$20,E2937)&gt;0,"19-SECTOR","DETAIL / OTHER"))</f>
        <v/>
      </c>
    </row>
    <row r="2938" spans="4:7">
      <c r="D2938" s="8"/>
      <c r="E2938" t="str">
        <f t="shared" si="90"/>
        <v/>
      </c>
      <c r="F2938" t="str">
        <f t="shared" si="91"/>
        <v/>
      </c>
      <c r="G2938" t="str">
        <f>IF(E2938="","",IF(COUNTIF('DATA QCEW'!$A$2:$A$20,E2938)&gt;0,"19-SECTOR","DETAIL / OTHER"))</f>
        <v/>
      </c>
    </row>
    <row r="2939" spans="4:7">
      <c r="D2939" s="8"/>
      <c r="E2939" t="str">
        <f t="shared" si="90"/>
        <v/>
      </c>
      <c r="F2939" t="str">
        <f t="shared" si="91"/>
        <v/>
      </c>
      <c r="G2939" t="str">
        <f>IF(E2939="","",IF(COUNTIF('DATA QCEW'!$A$2:$A$20,E2939)&gt;0,"19-SECTOR","DETAIL / OTHER"))</f>
        <v/>
      </c>
    </row>
    <row r="2940" spans="4:7">
      <c r="D2940" s="8"/>
      <c r="E2940" t="str">
        <f t="shared" si="90"/>
        <v/>
      </c>
      <c r="F2940" t="str">
        <f t="shared" si="91"/>
        <v/>
      </c>
      <c r="G2940" t="str">
        <f>IF(E2940="","",IF(COUNTIF('DATA QCEW'!$A$2:$A$20,E2940)&gt;0,"19-SECTOR","DETAIL / OTHER"))</f>
        <v/>
      </c>
    </row>
    <row r="2941" spans="4:7">
      <c r="D2941" s="8"/>
      <c r="E2941" t="str">
        <f t="shared" si="90"/>
        <v/>
      </c>
      <c r="F2941" t="str">
        <f t="shared" si="91"/>
        <v/>
      </c>
      <c r="G2941" t="str">
        <f>IF(E2941="","",IF(COUNTIF('DATA QCEW'!$A$2:$A$20,E2941)&gt;0,"19-SECTOR","DETAIL / OTHER"))</f>
        <v/>
      </c>
    </row>
    <row r="2942" spans="4:7">
      <c r="D2942" s="8"/>
      <c r="E2942" t="str">
        <f t="shared" si="90"/>
        <v/>
      </c>
      <c r="F2942" t="str">
        <f t="shared" si="91"/>
        <v/>
      </c>
      <c r="G2942" t="str">
        <f>IF(E2942="","",IF(COUNTIF('DATA QCEW'!$A$2:$A$20,E2942)&gt;0,"19-SECTOR","DETAIL / OTHER"))</f>
        <v/>
      </c>
    </row>
    <row r="2943" spans="4:7">
      <c r="D2943" s="8"/>
      <c r="E2943" t="str">
        <f t="shared" si="90"/>
        <v/>
      </c>
      <c r="F2943" t="str">
        <f t="shared" si="91"/>
        <v/>
      </c>
      <c r="G2943" t="str">
        <f>IF(E2943="","",IF(COUNTIF('DATA QCEW'!$A$2:$A$20,E2943)&gt;0,"19-SECTOR","DETAIL / OTHER"))</f>
        <v/>
      </c>
    </row>
    <row r="2944" spans="4:7">
      <c r="D2944" s="8"/>
      <c r="E2944" t="str">
        <f t="shared" si="90"/>
        <v/>
      </c>
      <c r="F2944" t="str">
        <f t="shared" si="91"/>
        <v/>
      </c>
      <c r="G2944" t="str">
        <f>IF(E2944="","",IF(COUNTIF('DATA QCEW'!$A$2:$A$20,E2944)&gt;0,"19-SECTOR","DETAIL / OTHER"))</f>
        <v/>
      </c>
    </row>
    <row r="2945" spans="4:7">
      <c r="D2945" s="8"/>
      <c r="E2945" t="str">
        <f t="shared" si="90"/>
        <v/>
      </c>
      <c r="F2945" t="str">
        <f t="shared" si="91"/>
        <v/>
      </c>
      <c r="G2945" t="str">
        <f>IF(E2945="","",IF(COUNTIF('DATA QCEW'!$A$2:$A$20,E2945)&gt;0,"19-SECTOR","DETAIL / OTHER"))</f>
        <v/>
      </c>
    </row>
    <row r="2946" spans="4:7">
      <c r="D2946" s="8"/>
      <c r="E2946" t="str">
        <f t="shared" ref="E2946:E3000" si="92">IF(LEFT(TRIM(A2946),6)="NAICS ",IFERROR(MID(TRIM(A2946),7,FIND(" ",TRIM(A2946)&amp;" ",7)-7),""),"")</f>
        <v/>
      </c>
      <c r="F2946" t="str">
        <f t="shared" ref="F2946:F3000" si="93">IF(E2946="","",TRIM(MID(TRIM(A2946),FIND(" ",TRIM(A2946)&amp;" ",7)+1,255)))</f>
        <v/>
      </c>
      <c r="G2946" t="str">
        <f>IF(E2946="","",IF(COUNTIF('DATA QCEW'!$A$2:$A$20,E2946)&gt;0,"19-SECTOR","DETAIL / OTHER"))</f>
        <v/>
      </c>
    </row>
    <row r="2947" spans="4:7">
      <c r="D2947" s="8"/>
      <c r="E2947" t="str">
        <f t="shared" si="92"/>
        <v/>
      </c>
      <c r="F2947" t="str">
        <f t="shared" si="93"/>
        <v/>
      </c>
      <c r="G2947" t="str">
        <f>IF(E2947="","",IF(COUNTIF('DATA QCEW'!$A$2:$A$20,E2947)&gt;0,"19-SECTOR","DETAIL / OTHER"))</f>
        <v/>
      </c>
    </row>
    <row r="2948" spans="4:7">
      <c r="D2948" s="8"/>
      <c r="E2948" t="str">
        <f t="shared" si="92"/>
        <v/>
      </c>
      <c r="F2948" t="str">
        <f t="shared" si="93"/>
        <v/>
      </c>
      <c r="G2948" t="str">
        <f>IF(E2948="","",IF(COUNTIF('DATA QCEW'!$A$2:$A$20,E2948)&gt;0,"19-SECTOR","DETAIL / OTHER"))</f>
        <v/>
      </c>
    </row>
    <row r="2949" spans="4:7">
      <c r="D2949" s="8"/>
      <c r="E2949" t="str">
        <f t="shared" si="92"/>
        <v/>
      </c>
      <c r="F2949" t="str">
        <f t="shared" si="93"/>
        <v/>
      </c>
      <c r="G2949" t="str">
        <f>IF(E2949="","",IF(COUNTIF('DATA QCEW'!$A$2:$A$20,E2949)&gt;0,"19-SECTOR","DETAIL / OTHER"))</f>
        <v/>
      </c>
    </row>
    <row r="2950" spans="4:7">
      <c r="D2950" s="8"/>
      <c r="E2950" t="str">
        <f t="shared" si="92"/>
        <v/>
      </c>
      <c r="F2950" t="str">
        <f t="shared" si="93"/>
        <v/>
      </c>
      <c r="G2950" t="str">
        <f>IF(E2950="","",IF(COUNTIF('DATA QCEW'!$A$2:$A$20,E2950)&gt;0,"19-SECTOR","DETAIL / OTHER"))</f>
        <v/>
      </c>
    </row>
    <row r="2951" spans="4:7">
      <c r="D2951" s="8"/>
      <c r="E2951" t="str">
        <f t="shared" si="92"/>
        <v/>
      </c>
      <c r="F2951" t="str">
        <f t="shared" si="93"/>
        <v/>
      </c>
      <c r="G2951" t="str">
        <f>IF(E2951="","",IF(COUNTIF('DATA QCEW'!$A$2:$A$20,E2951)&gt;0,"19-SECTOR","DETAIL / OTHER"))</f>
        <v/>
      </c>
    </row>
    <row r="2952" spans="4:7">
      <c r="D2952" s="8"/>
      <c r="E2952" t="str">
        <f t="shared" si="92"/>
        <v/>
      </c>
      <c r="F2952" t="str">
        <f t="shared" si="93"/>
        <v/>
      </c>
      <c r="G2952" t="str">
        <f>IF(E2952="","",IF(COUNTIF('DATA QCEW'!$A$2:$A$20,E2952)&gt;0,"19-SECTOR","DETAIL / OTHER"))</f>
        <v/>
      </c>
    </row>
    <row r="2953" spans="4:7">
      <c r="D2953" s="8"/>
      <c r="E2953" t="str">
        <f t="shared" si="92"/>
        <v/>
      </c>
      <c r="F2953" t="str">
        <f t="shared" si="93"/>
        <v/>
      </c>
      <c r="G2953" t="str">
        <f>IF(E2953="","",IF(COUNTIF('DATA QCEW'!$A$2:$A$20,E2953)&gt;0,"19-SECTOR","DETAIL / OTHER"))</f>
        <v/>
      </c>
    </row>
    <row r="2954" spans="4:7">
      <c r="D2954" s="8"/>
      <c r="E2954" t="str">
        <f t="shared" si="92"/>
        <v/>
      </c>
      <c r="F2954" t="str">
        <f t="shared" si="93"/>
        <v/>
      </c>
      <c r="G2954" t="str">
        <f>IF(E2954="","",IF(COUNTIF('DATA QCEW'!$A$2:$A$20,E2954)&gt;0,"19-SECTOR","DETAIL / OTHER"))</f>
        <v/>
      </c>
    </row>
    <row r="2955" spans="4:7">
      <c r="D2955" s="8"/>
      <c r="E2955" t="str">
        <f t="shared" si="92"/>
        <v/>
      </c>
      <c r="F2955" t="str">
        <f t="shared" si="93"/>
        <v/>
      </c>
      <c r="G2955" t="str">
        <f>IF(E2955="","",IF(COUNTIF('DATA QCEW'!$A$2:$A$20,E2955)&gt;0,"19-SECTOR","DETAIL / OTHER"))</f>
        <v/>
      </c>
    </row>
    <row r="2956" spans="4:7">
      <c r="D2956" s="8"/>
      <c r="E2956" t="str">
        <f t="shared" si="92"/>
        <v/>
      </c>
      <c r="F2956" t="str">
        <f t="shared" si="93"/>
        <v/>
      </c>
      <c r="G2956" t="str">
        <f>IF(E2956="","",IF(COUNTIF('DATA QCEW'!$A$2:$A$20,E2956)&gt;0,"19-SECTOR","DETAIL / OTHER"))</f>
        <v/>
      </c>
    </row>
    <row r="2957" spans="4:7">
      <c r="D2957" s="8"/>
      <c r="E2957" t="str">
        <f t="shared" si="92"/>
        <v/>
      </c>
      <c r="F2957" t="str">
        <f t="shared" si="93"/>
        <v/>
      </c>
      <c r="G2957" t="str">
        <f>IF(E2957="","",IF(COUNTIF('DATA QCEW'!$A$2:$A$20,E2957)&gt;0,"19-SECTOR","DETAIL / OTHER"))</f>
        <v/>
      </c>
    </row>
    <row r="2958" spans="4:7">
      <c r="D2958" s="8"/>
      <c r="E2958" t="str">
        <f t="shared" si="92"/>
        <v/>
      </c>
      <c r="F2958" t="str">
        <f t="shared" si="93"/>
        <v/>
      </c>
      <c r="G2958" t="str">
        <f>IF(E2958="","",IF(COUNTIF('DATA QCEW'!$A$2:$A$20,E2958)&gt;0,"19-SECTOR","DETAIL / OTHER"))</f>
        <v/>
      </c>
    </row>
    <row r="2959" spans="4:7">
      <c r="D2959" s="8"/>
      <c r="E2959" t="str">
        <f t="shared" si="92"/>
        <v/>
      </c>
      <c r="F2959" t="str">
        <f t="shared" si="93"/>
        <v/>
      </c>
      <c r="G2959" t="str">
        <f>IF(E2959="","",IF(COUNTIF('DATA QCEW'!$A$2:$A$20,E2959)&gt;0,"19-SECTOR","DETAIL / OTHER"))</f>
        <v/>
      </c>
    </row>
    <row r="2960" spans="4:7">
      <c r="D2960" s="8"/>
      <c r="E2960" t="str">
        <f t="shared" si="92"/>
        <v/>
      </c>
      <c r="F2960" t="str">
        <f t="shared" si="93"/>
        <v/>
      </c>
      <c r="G2960" t="str">
        <f>IF(E2960="","",IF(COUNTIF('DATA QCEW'!$A$2:$A$20,E2960)&gt;0,"19-SECTOR","DETAIL / OTHER"))</f>
        <v/>
      </c>
    </row>
    <row r="2961" spans="4:7">
      <c r="D2961" s="8"/>
      <c r="E2961" t="str">
        <f t="shared" si="92"/>
        <v/>
      </c>
      <c r="F2961" t="str">
        <f t="shared" si="93"/>
        <v/>
      </c>
      <c r="G2961" t="str">
        <f>IF(E2961="","",IF(COUNTIF('DATA QCEW'!$A$2:$A$20,E2961)&gt;0,"19-SECTOR","DETAIL / OTHER"))</f>
        <v/>
      </c>
    </row>
    <row r="2962" spans="4:7">
      <c r="D2962" s="8"/>
      <c r="E2962" t="str">
        <f t="shared" si="92"/>
        <v/>
      </c>
      <c r="F2962" t="str">
        <f t="shared" si="93"/>
        <v/>
      </c>
      <c r="G2962" t="str">
        <f>IF(E2962="","",IF(COUNTIF('DATA QCEW'!$A$2:$A$20,E2962)&gt;0,"19-SECTOR","DETAIL / OTHER"))</f>
        <v/>
      </c>
    </row>
    <row r="2963" spans="4:7">
      <c r="D2963" s="8"/>
      <c r="E2963" t="str">
        <f t="shared" si="92"/>
        <v/>
      </c>
      <c r="F2963" t="str">
        <f t="shared" si="93"/>
        <v/>
      </c>
      <c r="G2963" t="str">
        <f>IF(E2963="","",IF(COUNTIF('DATA QCEW'!$A$2:$A$20,E2963)&gt;0,"19-SECTOR","DETAIL / OTHER"))</f>
        <v/>
      </c>
    </row>
    <row r="2964" spans="4:7">
      <c r="D2964" s="8"/>
      <c r="E2964" t="str">
        <f t="shared" si="92"/>
        <v/>
      </c>
      <c r="F2964" t="str">
        <f t="shared" si="93"/>
        <v/>
      </c>
      <c r="G2964" t="str">
        <f>IF(E2964="","",IF(COUNTIF('DATA QCEW'!$A$2:$A$20,E2964)&gt;0,"19-SECTOR","DETAIL / OTHER"))</f>
        <v/>
      </c>
    </row>
    <row r="2965" spans="4:7">
      <c r="D2965" s="8"/>
      <c r="E2965" t="str">
        <f t="shared" si="92"/>
        <v/>
      </c>
      <c r="F2965" t="str">
        <f t="shared" si="93"/>
        <v/>
      </c>
      <c r="G2965" t="str">
        <f>IF(E2965="","",IF(COUNTIF('DATA QCEW'!$A$2:$A$20,E2965)&gt;0,"19-SECTOR","DETAIL / OTHER"))</f>
        <v/>
      </c>
    </row>
    <row r="2966" spans="4:7">
      <c r="D2966" s="8"/>
      <c r="E2966" t="str">
        <f t="shared" si="92"/>
        <v/>
      </c>
      <c r="F2966" t="str">
        <f t="shared" si="93"/>
        <v/>
      </c>
      <c r="G2966" t="str">
        <f>IF(E2966="","",IF(COUNTIF('DATA QCEW'!$A$2:$A$20,E2966)&gt;0,"19-SECTOR","DETAIL / OTHER"))</f>
        <v/>
      </c>
    </row>
    <row r="2967" spans="4:7">
      <c r="D2967" s="8"/>
      <c r="E2967" t="str">
        <f t="shared" si="92"/>
        <v/>
      </c>
      <c r="F2967" t="str">
        <f t="shared" si="93"/>
        <v/>
      </c>
      <c r="G2967" t="str">
        <f>IF(E2967="","",IF(COUNTIF('DATA QCEW'!$A$2:$A$20,E2967)&gt;0,"19-SECTOR","DETAIL / OTHER"))</f>
        <v/>
      </c>
    </row>
    <row r="2968" spans="4:7">
      <c r="D2968" s="8"/>
      <c r="E2968" t="str">
        <f t="shared" si="92"/>
        <v/>
      </c>
      <c r="F2968" t="str">
        <f t="shared" si="93"/>
        <v/>
      </c>
      <c r="G2968" t="str">
        <f>IF(E2968="","",IF(COUNTIF('DATA QCEW'!$A$2:$A$20,E2968)&gt;0,"19-SECTOR","DETAIL / OTHER"))</f>
        <v/>
      </c>
    </row>
    <row r="2969" spans="4:7">
      <c r="D2969" s="8"/>
      <c r="E2969" t="str">
        <f t="shared" si="92"/>
        <v/>
      </c>
      <c r="F2969" t="str">
        <f t="shared" si="93"/>
        <v/>
      </c>
      <c r="G2969" t="str">
        <f>IF(E2969="","",IF(COUNTIF('DATA QCEW'!$A$2:$A$20,E2969)&gt;0,"19-SECTOR","DETAIL / OTHER"))</f>
        <v/>
      </c>
    </row>
    <row r="2970" spans="4:7">
      <c r="D2970" s="8"/>
      <c r="E2970" t="str">
        <f t="shared" si="92"/>
        <v/>
      </c>
      <c r="F2970" t="str">
        <f t="shared" si="93"/>
        <v/>
      </c>
      <c r="G2970" t="str">
        <f>IF(E2970="","",IF(COUNTIF('DATA QCEW'!$A$2:$A$20,E2970)&gt;0,"19-SECTOR","DETAIL / OTHER"))</f>
        <v/>
      </c>
    </row>
    <row r="2971" spans="4:7">
      <c r="D2971" s="8"/>
      <c r="E2971" t="str">
        <f t="shared" si="92"/>
        <v/>
      </c>
      <c r="F2971" t="str">
        <f t="shared" si="93"/>
        <v/>
      </c>
      <c r="G2971" t="str">
        <f>IF(E2971="","",IF(COUNTIF('DATA QCEW'!$A$2:$A$20,E2971)&gt;0,"19-SECTOR","DETAIL / OTHER"))</f>
        <v/>
      </c>
    </row>
    <row r="2972" spans="4:7">
      <c r="D2972" s="8"/>
      <c r="E2972" t="str">
        <f t="shared" si="92"/>
        <v/>
      </c>
      <c r="F2972" t="str">
        <f t="shared" si="93"/>
        <v/>
      </c>
      <c r="G2972" t="str">
        <f>IF(E2972="","",IF(COUNTIF('DATA QCEW'!$A$2:$A$20,E2972)&gt;0,"19-SECTOR","DETAIL / OTHER"))</f>
        <v/>
      </c>
    </row>
    <row r="2973" spans="4:7">
      <c r="D2973" s="8"/>
      <c r="E2973" t="str">
        <f t="shared" si="92"/>
        <v/>
      </c>
      <c r="F2973" t="str">
        <f t="shared" si="93"/>
        <v/>
      </c>
      <c r="G2973" t="str">
        <f>IF(E2973="","",IF(COUNTIF('DATA QCEW'!$A$2:$A$20,E2973)&gt;0,"19-SECTOR","DETAIL / OTHER"))</f>
        <v/>
      </c>
    </row>
    <row r="2974" spans="4:7">
      <c r="D2974" s="8"/>
      <c r="E2974" t="str">
        <f t="shared" si="92"/>
        <v/>
      </c>
      <c r="F2974" t="str">
        <f t="shared" si="93"/>
        <v/>
      </c>
      <c r="G2974" t="str">
        <f>IF(E2974="","",IF(COUNTIF('DATA QCEW'!$A$2:$A$20,E2974)&gt;0,"19-SECTOR","DETAIL / OTHER"))</f>
        <v/>
      </c>
    </row>
    <row r="2975" spans="4:7">
      <c r="D2975" s="8"/>
      <c r="E2975" t="str">
        <f t="shared" si="92"/>
        <v/>
      </c>
      <c r="F2975" t="str">
        <f t="shared" si="93"/>
        <v/>
      </c>
      <c r="G2975" t="str">
        <f>IF(E2975="","",IF(COUNTIF('DATA QCEW'!$A$2:$A$20,E2975)&gt;0,"19-SECTOR","DETAIL / OTHER"))</f>
        <v/>
      </c>
    </row>
    <row r="2976" spans="4:7">
      <c r="D2976" s="8"/>
      <c r="E2976" t="str">
        <f t="shared" si="92"/>
        <v/>
      </c>
      <c r="F2976" t="str">
        <f t="shared" si="93"/>
        <v/>
      </c>
      <c r="G2976" t="str">
        <f>IF(E2976="","",IF(COUNTIF('DATA QCEW'!$A$2:$A$20,E2976)&gt;0,"19-SECTOR","DETAIL / OTHER"))</f>
        <v/>
      </c>
    </row>
    <row r="2977" spans="4:7">
      <c r="D2977" s="8"/>
      <c r="E2977" t="str">
        <f t="shared" si="92"/>
        <v/>
      </c>
      <c r="F2977" t="str">
        <f t="shared" si="93"/>
        <v/>
      </c>
      <c r="G2977" t="str">
        <f>IF(E2977="","",IF(COUNTIF('DATA QCEW'!$A$2:$A$20,E2977)&gt;0,"19-SECTOR","DETAIL / OTHER"))</f>
        <v/>
      </c>
    </row>
    <row r="2978" spans="4:7">
      <c r="D2978" s="8"/>
      <c r="E2978" t="str">
        <f t="shared" si="92"/>
        <v/>
      </c>
      <c r="F2978" t="str">
        <f t="shared" si="93"/>
        <v/>
      </c>
      <c r="G2978" t="str">
        <f>IF(E2978="","",IF(COUNTIF('DATA QCEW'!$A$2:$A$20,E2978)&gt;0,"19-SECTOR","DETAIL / OTHER"))</f>
        <v/>
      </c>
    </row>
    <row r="2979" spans="4:7">
      <c r="D2979" s="8"/>
      <c r="E2979" t="str">
        <f t="shared" si="92"/>
        <v/>
      </c>
      <c r="F2979" t="str">
        <f t="shared" si="93"/>
        <v/>
      </c>
      <c r="G2979" t="str">
        <f>IF(E2979="","",IF(COUNTIF('DATA QCEW'!$A$2:$A$20,E2979)&gt;0,"19-SECTOR","DETAIL / OTHER"))</f>
        <v/>
      </c>
    </row>
    <row r="2980" spans="4:7">
      <c r="D2980" s="8"/>
      <c r="E2980" t="str">
        <f t="shared" si="92"/>
        <v/>
      </c>
      <c r="F2980" t="str">
        <f t="shared" si="93"/>
        <v/>
      </c>
      <c r="G2980" t="str">
        <f>IF(E2980="","",IF(COUNTIF('DATA QCEW'!$A$2:$A$20,E2980)&gt;0,"19-SECTOR","DETAIL / OTHER"))</f>
        <v/>
      </c>
    </row>
    <row r="2981" spans="4:7">
      <c r="D2981" s="8"/>
      <c r="E2981" t="str">
        <f t="shared" si="92"/>
        <v/>
      </c>
      <c r="F2981" t="str">
        <f t="shared" si="93"/>
        <v/>
      </c>
      <c r="G2981" t="str">
        <f>IF(E2981="","",IF(COUNTIF('DATA QCEW'!$A$2:$A$20,E2981)&gt;0,"19-SECTOR","DETAIL / OTHER"))</f>
        <v/>
      </c>
    </row>
    <row r="2982" spans="4:7">
      <c r="D2982" s="8"/>
      <c r="E2982" t="str">
        <f t="shared" si="92"/>
        <v/>
      </c>
      <c r="F2982" t="str">
        <f t="shared" si="93"/>
        <v/>
      </c>
      <c r="G2982" t="str">
        <f>IF(E2982="","",IF(COUNTIF('DATA QCEW'!$A$2:$A$20,E2982)&gt;0,"19-SECTOR","DETAIL / OTHER"))</f>
        <v/>
      </c>
    </row>
    <row r="2983" spans="4:7">
      <c r="D2983" s="8"/>
      <c r="E2983" t="str">
        <f t="shared" si="92"/>
        <v/>
      </c>
      <c r="F2983" t="str">
        <f t="shared" si="93"/>
        <v/>
      </c>
      <c r="G2983" t="str">
        <f>IF(E2983="","",IF(COUNTIF('DATA QCEW'!$A$2:$A$20,E2983)&gt;0,"19-SECTOR","DETAIL / OTHER"))</f>
        <v/>
      </c>
    </row>
    <row r="2984" spans="4:7">
      <c r="D2984" s="8"/>
      <c r="E2984" t="str">
        <f t="shared" si="92"/>
        <v/>
      </c>
      <c r="F2984" t="str">
        <f t="shared" si="93"/>
        <v/>
      </c>
      <c r="G2984" t="str">
        <f>IF(E2984="","",IF(COUNTIF('DATA QCEW'!$A$2:$A$20,E2984)&gt;0,"19-SECTOR","DETAIL / OTHER"))</f>
        <v/>
      </c>
    </row>
    <row r="2985" spans="4:7">
      <c r="D2985" s="8"/>
      <c r="E2985" t="str">
        <f t="shared" si="92"/>
        <v/>
      </c>
      <c r="F2985" t="str">
        <f t="shared" si="93"/>
        <v/>
      </c>
      <c r="G2985" t="str">
        <f>IF(E2985="","",IF(COUNTIF('DATA QCEW'!$A$2:$A$20,E2985)&gt;0,"19-SECTOR","DETAIL / OTHER"))</f>
        <v/>
      </c>
    </row>
    <row r="2986" spans="4:7">
      <c r="D2986" s="8"/>
      <c r="E2986" t="str">
        <f t="shared" si="92"/>
        <v/>
      </c>
      <c r="F2986" t="str">
        <f t="shared" si="93"/>
        <v/>
      </c>
      <c r="G2986" t="str">
        <f>IF(E2986="","",IF(COUNTIF('DATA QCEW'!$A$2:$A$20,E2986)&gt;0,"19-SECTOR","DETAIL / OTHER"))</f>
        <v/>
      </c>
    </row>
    <row r="2987" spans="4:7">
      <c r="D2987" s="8"/>
      <c r="E2987" t="str">
        <f t="shared" si="92"/>
        <v/>
      </c>
      <c r="F2987" t="str">
        <f t="shared" si="93"/>
        <v/>
      </c>
      <c r="G2987" t="str">
        <f>IF(E2987="","",IF(COUNTIF('DATA QCEW'!$A$2:$A$20,E2987)&gt;0,"19-SECTOR","DETAIL / OTHER"))</f>
        <v/>
      </c>
    </row>
    <row r="2988" spans="4:7">
      <c r="D2988" s="8"/>
      <c r="E2988" t="str">
        <f t="shared" si="92"/>
        <v/>
      </c>
      <c r="F2988" t="str">
        <f t="shared" si="93"/>
        <v/>
      </c>
      <c r="G2988" t="str">
        <f>IF(E2988="","",IF(COUNTIF('DATA QCEW'!$A$2:$A$20,E2988)&gt;0,"19-SECTOR","DETAIL / OTHER"))</f>
        <v/>
      </c>
    </row>
    <row r="2989" spans="4:7">
      <c r="D2989" s="8"/>
      <c r="E2989" t="str">
        <f t="shared" si="92"/>
        <v/>
      </c>
      <c r="F2989" t="str">
        <f t="shared" si="93"/>
        <v/>
      </c>
      <c r="G2989" t="str">
        <f>IF(E2989="","",IF(COUNTIF('DATA QCEW'!$A$2:$A$20,E2989)&gt;0,"19-SECTOR","DETAIL / OTHER"))</f>
        <v/>
      </c>
    </row>
    <row r="2990" spans="4:7">
      <c r="D2990" s="8"/>
      <c r="E2990" t="str">
        <f t="shared" si="92"/>
        <v/>
      </c>
      <c r="F2990" t="str">
        <f t="shared" si="93"/>
        <v/>
      </c>
      <c r="G2990" t="str">
        <f>IF(E2990="","",IF(COUNTIF('DATA QCEW'!$A$2:$A$20,E2990)&gt;0,"19-SECTOR","DETAIL / OTHER"))</f>
        <v/>
      </c>
    </row>
    <row r="2991" spans="4:7">
      <c r="D2991" s="8"/>
      <c r="E2991" t="str">
        <f t="shared" si="92"/>
        <v/>
      </c>
      <c r="F2991" t="str">
        <f t="shared" si="93"/>
        <v/>
      </c>
      <c r="G2991" t="str">
        <f>IF(E2991="","",IF(COUNTIF('DATA QCEW'!$A$2:$A$20,E2991)&gt;0,"19-SECTOR","DETAIL / OTHER"))</f>
        <v/>
      </c>
    </row>
    <row r="2992" spans="4:7">
      <c r="D2992" s="8"/>
      <c r="E2992" t="str">
        <f t="shared" si="92"/>
        <v/>
      </c>
      <c r="F2992" t="str">
        <f t="shared" si="93"/>
        <v/>
      </c>
      <c r="G2992" t="str">
        <f>IF(E2992="","",IF(COUNTIF('DATA QCEW'!$A$2:$A$20,E2992)&gt;0,"19-SECTOR","DETAIL / OTHER"))</f>
        <v/>
      </c>
    </row>
    <row r="2993" spans="4:7">
      <c r="D2993" s="8"/>
      <c r="E2993" t="str">
        <f t="shared" si="92"/>
        <v/>
      </c>
      <c r="F2993" t="str">
        <f t="shared" si="93"/>
        <v/>
      </c>
      <c r="G2993" t="str">
        <f>IF(E2993="","",IF(COUNTIF('DATA QCEW'!$A$2:$A$20,E2993)&gt;0,"19-SECTOR","DETAIL / OTHER"))</f>
        <v/>
      </c>
    </row>
    <row r="2994" spans="4:7">
      <c r="D2994" s="8"/>
      <c r="E2994" t="str">
        <f t="shared" si="92"/>
        <v/>
      </c>
      <c r="F2994" t="str">
        <f t="shared" si="93"/>
        <v/>
      </c>
      <c r="G2994" t="str">
        <f>IF(E2994="","",IF(COUNTIF('DATA QCEW'!$A$2:$A$20,E2994)&gt;0,"19-SECTOR","DETAIL / OTHER"))</f>
        <v/>
      </c>
    </row>
    <row r="2995" spans="4:7">
      <c r="D2995" s="8"/>
      <c r="E2995" t="str">
        <f t="shared" si="92"/>
        <v/>
      </c>
      <c r="F2995" t="str">
        <f t="shared" si="93"/>
        <v/>
      </c>
      <c r="G2995" t="str">
        <f>IF(E2995="","",IF(COUNTIF('DATA QCEW'!$A$2:$A$20,E2995)&gt;0,"19-SECTOR","DETAIL / OTHER"))</f>
        <v/>
      </c>
    </row>
    <row r="2996" spans="4:7">
      <c r="D2996" s="8"/>
      <c r="E2996" t="str">
        <f t="shared" si="92"/>
        <v/>
      </c>
      <c r="F2996" t="str">
        <f t="shared" si="93"/>
        <v/>
      </c>
      <c r="G2996" t="str">
        <f>IF(E2996="","",IF(COUNTIF('DATA QCEW'!$A$2:$A$20,E2996)&gt;0,"19-SECTOR","DETAIL / OTHER"))</f>
        <v/>
      </c>
    </row>
    <row r="2997" spans="4:7">
      <c r="D2997" s="8"/>
      <c r="E2997" t="str">
        <f t="shared" si="92"/>
        <v/>
      </c>
      <c r="F2997" t="str">
        <f t="shared" si="93"/>
        <v/>
      </c>
      <c r="G2997" t="str">
        <f>IF(E2997="","",IF(COUNTIF('DATA QCEW'!$A$2:$A$20,E2997)&gt;0,"19-SECTOR","DETAIL / OTHER"))</f>
        <v/>
      </c>
    </row>
    <row r="2998" spans="4:7">
      <c r="D2998" s="8"/>
      <c r="E2998" t="str">
        <f t="shared" si="92"/>
        <v/>
      </c>
      <c r="F2998" t="str">
        <f t="shared" si="93"/>
        <v/>
      </c>
      <c r="G2998" t="str">
        <f>IF(E2998="","",IF(COUNTIF('DATA QCEW'!$A$2:$A$20,E2998)&gt;0,"19-SECTOR","DETAIL / OTHER"))</f>
        <v/>
      </c>
    </row>
    <row r="2999" spans="4:7">
      <c r="D2999" s="8"/>
      <c r="E2999" t="str">
        <f t="shared" si="92"/>
        <v/>
      </c>
      <c r="F2999" t="str">
        <f t="shared" si="93"/>
        <v/>
      </c>
      <c r="G2999" t="str">
        <f>IF(E2999="","",IF(COUNTIF('DATA QCEW'!$A$2:$A$20,E2999)&gt;0,"19-SECTOR","DETAIL / OTHER"))</f>
        <v/>
      </c>
    </row>
    <row r="3000" spans="4:7">
      <c r="D3000" s="8"/>
      <c r="E3000" t="str">
        <f t="shared" si="92"/>
        <v/>
      </c>
      <c r="F3000" t="str">
        <f t="shared" si="93"/>
        <v/>
      </c>
      <c r="G3000" t="str">
        <f>IF(E3000="","",IF(COUNTIF('DATA QCEW'!$A$2:$A$20,E3000)&gt;0,"19-SECTOR","DETAIL / OTHER"))</f>
        <v/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80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7" customWidth="1"/>
    <col min="2" max="2" width="40" customWidth="1"/>
    <col min="3" max="3" width="20" customWidth="1"/>
    <col min="4" max="4" width="52" customWidth="1"/>
    <col min="5" max="5" width="18" customWidth="1"/>
    <col min="6" max="6" width="26" customWidth="1"/>
    <col min="7" max="9" width="27" customWidth="1"/>
    <col min="10" max="10" width="29" customWidth="1"/>
    <col min="11" max="11" width="23" customWidth="1"/>
  </cols>
  <sheetData>
    <row r="1" ht="32" customHeight="1" spans="1:11">
      <c r="A1" s="3" t="s">
        <v>161</v>
      </c>
      <c r="B1" s="3" t="s">
        <v>82</v>
      </c>
      <c r="C1" s="3" t="s">
        <v>225</v>
      </c>
      <c r="D1" s="3" t="s">
        <v>226</v>
      </c>
      <c r="E1" s="3" t="s">
        <v>227</v>
      </c>
      <c r="F1" s="3" t="s">
        <v>228</v>
      </c>
      <c r="G1" s="3" t="s">
        <v>229</v>
      </c>
      <c r="H1" s="3" t="s">
        <v>230</v>
      </c>
      <c r="I1" s="3" t="s">
        <v>231</v>
      </c>
      <c r="J1" s="3" t="s">
        <v>232</v>
      </c>
      <c r="K1" s="3" t="s">
        <v>233</v>
      </c>
    </row>
    <row r="2" spans="1:11">
      <c r="A2" t="s">
        <v>98</v>
      </c>
      <c r="B2" t="s">
        <v>234</v>
      </c>
      <c r="C2" t="s">
        <v>235</v>
      </c>
      <c r="D2" t="s">
        <v>236</v>
      </c>
      <c r="E2" s="8">
        <v>170</v>
      </c>
      <c r="F2" s="8">
        <v>277000</v>
      </c>
      <c r="G2" s="8">
        <f t="shared" ref="G2:G65" si="0">IF(OR(E2="",F2=""),"",E2*F2)</f>
        <v>47090000</v>
      </c>
      <c r="H2" s="5">
        <v>0.4775</v>
      </c>
      <c r="I2" s="8">
        <f t="shared" ref="I2:I65" si="1">IF(G2="","",IF(ISNUMBER(H2),G2,""))</f>
        <v>47090000</v>
      </c>
      <c r="J2" s="8">
        <f t="shared" ref="J2:J65" si="2">IF(I2="","",I2*H2)</f>
        <v>22485475</v>
      </c>
      <c r="K2" t="str">
        <f t="shared" ref="K2:K65" si="3">IF(G2="","MISSING OEWS",IF(ISNUMBER(H2),"MATCHED","MISSING WHARTON"))</f>
        <v>MATCHED</v>
      </c>
    </row>
    <row r="3" spans="1:11">
      <c r="A3" t="s">
        <v>98</v>
      </c>
      <c r="B3" t="s">
        <v>234</v>
      </c>
      <c r="C3" t="s">
        <v>237</v>
      </c>
      <c r="D3" t="s">
        <v>238</v>
      </c>
      <c r="E3" s="8">
        <v>5660</v>
      </c>
      <c r="F3" s="8">
        <v>99340</v>
      </c>
      <c r="G3" s="8">
        <f t="shared" si="0"/>
        <v>562264400</v>
      </c>
      <c r="H3" s="5">
        <v>0.5382</v>
      </c>
      <c r="I3" s="8">
        <f t="shared" si="1"/>
        <v>562264400</v>
      </c>
      <c r="J3" s="8">
        <f t="shared" si="2"/>
        <v>302610700.08</v>
      </c>
      <c r="K3" t="str">
        <f t="shared" si="3"/>
        <v>MATCHED</v>
      </c>
    </row>
    <row r="4" spans="1:11">
      <c r="A4" t="s">
        <v>98</v>
      </c>
      <c r="B4" t="s">
        <v>234</v>
      </c>
      <c r="C4" t="s">
        <v>239</v>
      </c>
      <c r="D4" t="s">
        <v>240</v>
      </c>
      <c r="E4" s="8">
        <v>70</v>
      </c>
      <c r="F4" s="8">
        <v>129740</v>
      </c>
      <c r="G4" s="8">
        <f t="shared" si="0"/>
        <v>9081800</v>
      </c>
      <c r="H4" s="5">
        <v>0.445</v>
      </c>
      <c r="I4" s="8">
        <f t="shared" si="1"/>
        <v>9081800</v>
      </c>
      <c r="J4" s="8">
        <f t="shared" si="2"/>
        <v>4041401</v>
      </c>
      <c r="K4" t="str">
        <f t="shared" si="3"/>
        <v>MATCHED</v>
      </c>
    </row>
    <row r="5" spans="1:11">
      <c r="A5" t="s">
        <v>98</v>
      </c>
      <c r="B5" t="s">
        <v>234</v>
      </c>
      <c r="C5" t="s">
        <v>241</v>
      </c>
      <c r="D5" t="s">
        <v>242</v>
      </c>
      <c r="E5" s="8">
        <v>330</v>
      </c>
      <c r="F5" s="8">
        <v>162490</v>
      </c>
      <c r="G5" s="8">
        <f t="shared" si="0"/>
        <v>53621700</v>
      </c>
      <c r="H5" s="5">
        <v>0.3735</v>
      </c>
      <c r="I5" s="8">
        <f t="shared" si="1"/>
        <v>53621700</v>
      </c>
      <c r="J5" s="8">
        <f t="shared" si="2"/>
        <v>20027704.95</v>
      </c>
      <c r="K5" t="str">
        <f t="shared" si="3"/>
        <v>MATCHED</v>
      </c>
    </row>
    <row r="6" spans="1:11">
      <c r="A6" t="s">
        <v>98</v>
      </c>
      <c r="B6" t="s">
        <v>234</v>
      </c>
      <c r="C6" t="s">
        <v>243</v>
      </c>
      <c r="D6" t="s">
        <v>244</v>
      </c>
      <c r="E6" s="8">
        <v>150</v>
      </c>
      <c r="F6" s="8">
        <v>124650</v>
      </c>
      <c r="G6" s="8">
        <f t="shared" si="0"/>
        <v>18697500</v>
      </c>
      <c r="H6" s="5">
        <v>0.4444</v>
      </c>
      <c r="I6" s="8">
        <f t="shared" si="1"/>
        <v>18697500</v>
      </c>
      <c r="J6" s="8">
        <f t="shared" si="2"/>
        <v>8309169</v>
      </c>
      <c r="K6" t="str">
        <f t="shared" si="3"/>
        <v>MATCHED</v>
      </c>
    </row>
    <row r="7" spans="1:11">
      <c r="A7" t="s">
        <v>98</v>
      </c>
      <c r="B7" t="s">
        <v>234</v>
      </c>
      <c r="C7" t="s">
        <v>245</v>
      </c>
      <c r="D7" t="s">
        <v>246</v>
      </c>
      <c r="E7" s="8">
        <v>300</v>
      </c>
      <c r="F7" s="8">
        <v>115030</v>
      </c>
      <c r="G7" s="8">
        <f t="shared" si="0"/>
        <v>34509000</v>
      </c>
      <c r="H7" s="5">
        <v>0.2907</v>
      </c>
      <c r="I7" s="8">
        <f t="shared" si="1"/>
        <v>34509000</v>
      </c>
      <c r="J7" s="8">
        <f t="shared" si="2"/>
        <v>10031766.3</v>
      </c>
      <c r="K7" t="str">
        <f t="shared" si="3"/>
        <v>MATCHED</v>
      </c>
    </row>
    <row r="8" spans="1:11">
      <c r="A8" t="s">
        <v>98</v>
      </c>
      <c r="B8" t="s">
        <v>234</v>
      </c>
      <c r="C8" t="s">
        <v>247</v>
      </c>
      <c r="D8" t="s">
        <v>248</v>
      </c>
      <c r="E8" s="8">
        <v>140</v>
      </c>
      <c r="F8" s="8">
        <v>160470</v>
      </c>
      <c r="G8" s="8">
        <f t="shared" si="0"/>
        <v>22465800</v>
      </c>
      <c r="H8" s="5">
        <v>0.5265</v>
      </c>
      <c r="I8" s="8">
        <f t="shared" si="1"/>
        <v>22465800</v>
      </c>
      <c r="J8" s="8">
        <f t="shared" si="2"/>
        <v>11828243.7</v>
      </c>
      <c r="K8" t="str">
        <f t="shared" si="3"/>
        <v>MATCHED</v>
      </c>
    </row>
    <row r="9" spans="1:11">
      <c r="A9" t="s">
        <v>98</v>
      </c>
      <c r="B9" t="s">
        <v>234</v>
      </c>
      <c r="C9" t="s">
        <v>249</v>
      </c>
      <c r="D9" t="s">
        <v>250</v>
      </c>
      <c r="E9" s="8">
        <v>460</v>
      </c>
      <c r="F9" s="8">
        <v>156410</v>
      </c>
      <c r="G9" s="8">
        <f t="shared" si="0"/>
        <v>71948600</v>
      </c>
      <c r="H9" s="5">
        <v>0.7221</v>
      </c>
      <c r="I9" s="8">
        <f t="shared" si="1"/>
        <v>71948600</v>
      </c>
      <c r="J9" s="8">
        <f t="shared" si="2"/>
        <v>51954084.06</v>
      </c>
      <c r="K9" t="str">
        <f t="shared" si="3"/>
        <v>MATCHED</v>
      </c>
    </row>
    <row r="10" spans="1:11">
      <c r="A10" t="s">
        <v>98</v>
      </c>
      <c r="B10" t="s">
        <v>234</v>
      </c>
      <c r="C10" t="s">
        <v>251</v>
      </c>
      <c r="D10" t="s">
        <v>252</v>
      </c>
      <c r="E10" s="8">
        <v>580</v>
      </c>
      <c r="F10" s="8">
        <v>108020</v>
      </c>
      <c r="G10" s="8">
        <f t="shared" si="0"/>
        <v>62651600</v>
      </c>
      <c r="H10" s="5">
        <v>0.3636</v>
      </c>
      <c r="I10" s="8">
        <f t="shared" si="1"/>
        <v>62651600</v>
      </c>
      <c r="J10" s="8">
        <f t="shared" si="2"/>
        <v>22780121.76</v>
      </c>
      <c r="K10" t="str">
        <f t="shared" si="3"/>
        <v>MATCHED</v>
      </c>
    </row>
    <row r="11" spans="1:11">
      <c r="A11" t="s">
        <v>98</v>
      </c>
      <c r="B11" t="s">
        <v>234</v>
      </c>
      <c r="C11" t="s">
        <v>253</v>
      </c>
      <c r="D11" t="s">
        <v>254</v>
      </c>
      <c r="E11" s="8">
        <v>50</v>
      </c>
      <c r="F11" s="8">
        <v>144980</v>
      </c>
      <c r="G11" s="8">
        <f t="shared" si="0"/>
        <v>7249000</v>
      </c>
      <c r="H11" s="5">
        <v>0.6944</v>
      </c>
      <c r="I11" s="8">
        <f t="shared" si="1"/>
        <v>7249000</v>
      </c>
      <c r="J11" s="8">
        <f t="shared" si="2"/>
        <v>5033705.6</v>
      </c>
      <c r="K11" t="str">
        <f t="shared" si="3"/>
        <v>MATCHED</v>
      </c>
    </row>
    <row r="12" spans="1:11">
      <c r="A12" t="s">
        <v>98</v>
      </c>
      <c r="B12" t="s">
        <v>234</v>
      </c>
      <c r="C12" t="s">
        <v>255</v>
      </c>
      <c r="D12" t="s">
        <v>256</v>
      </c>
      <c r="E12" s="8">
        <v>320</v>
      </c>
      <c r="F12" s="8">
        <v>100610</v>
      </c>
      <c r="G12" s="8">
        <f t="shared" si="0"/>
        <v>32195200</v>
      </c>
      <c r="H12" s="5">
        <v>0.5783</v>
      </c>
      <c r="I12" s="8">
        <f t="shared" si="1"/>
        <v>32195200</v>
      </c>
      <c r="J12" s="8">
        <f t="shared" si="2"/>
        <v>18618484.16</v>
      </c>
      <c r="K12" t="str">
        <f t="shared" si="3"/>
        <v>MATCHED</v>
      </c>
    </row>
    <row r="13" spans="1:11">
      <c r="A13" t="s">
        <v>98</v>
      </c>
      <c r="B13" t="s">
        <v>234</v>
      </c>
      <c r="C13" t="s">
        <v>257</v>
      </c>
      <c r="D13" t="s">
        <v>258</v>
      </c>
      <c r="E13" s="8">
        <v>100</v>
      </c>
      <c r="F13" s="8">
        <v>141370</v>
      </c>
      <c r="G13" s="8">
        <f t="shared" si="0"/>
        <v>14137000</v>
      </c>
      <c r="H13" s="5">
        <v>0.5962</v>
      </c>
      <c r="I13" s="8">
        <f t="shared" si="1"/>
        <v>14137000</v>
      </c>
      <c r="J13" s="8">
        <f t="shared" si="2"/>
        <v>8428479.4</v>
      </c>
      <c r="K13" t="str">
        <f t="shared" si="3"/>
        <v>MATCHED</v>
      </c>
    </row>
    <row r="14" spans="1:11">
      <c r="A14" t="s">
        <v>98</v>
      </c>
      <c r="B14" t="s">
        <v>234</v>
      </c>
      <c r="C14" t="s">
        <v>259</v>
      </c>
      <c r="D14" t="s">
        <v>260</v>
      </c>
      <c r="E14" s="8">
        <v>3060</v>
      </c>
      <c r="F14" s="8">
        <v>107600</v>
      </c>
      <c r="G14" s="8">
        <f t="shared" si="0"/>
        <v>329256000</v>
      </c>
      <c r="H14" s="5">
        <v>0.22</v>
      </c>
      <c r="I14" s="8">
        <f t="shared" si="1"/>
        <v>329256000</v>
      </c>
      <c r="J14" s="8">
        <f t="shared" si="2"/>
        <v>72436320</v>
      </c>
      <c r="K14" t="str">
        <f t="shared" si="3"/>
        <v>MATCHED</v>
      </c>
    </row>
    <row r="15" spans="1:11">
      <c r="A15" t="s">
        <v>98</v>
      </c>
      <c r="B15" t="s">
        <v>234</v>
      </c>
      <c r="C15" t="s">
        <v>261</v>
      </c>
      <c r="D15" t="s">
        <v>262</v>
      </c>
      <c r="E15" s="8">
        <v>50</v>
      </c>
      <c r="F15" s="8">
        <v>120590</v>
      </c>
      <c r="G15" s="8">
        <f t="shared" si="0"/>
        <v>6029500</v>
      </c>
      <c r="H15" s="5">
        <v>0.382</v>
      </c>
      <c r="I15" s="8">
        <f t="shared" si="1"/>
        <v>6029500</v>
      </c>
      <c r="J15" s="8">
        <f t="shared" si="2"/>
        <v>2303269</v>
      </c>
      <c r="K15" t="str">
        <f t="shared" si="3"/>
        <v>MATCHED</v>
      </c>
    </row>
    <row r="16" spans="1:11">
      <c r="A16" t="s">
        <v>98</v>
      </c>
      <c r="B16" t="s">
        <v>234</v>
      </c>
      <c r="C16" t="s">
        <v>263</v>
      </c>
      <c r="D16" t="s">
        <v>264</v>
      </c>
      <c r="E16" s="8">
        <v>470</v>
      </c>
      <c r="F16" s="8"/>
      <c r="G16" s="8" t="str">
        <f t="shared" si="0"/>
        <v/>
      </c>
      <c r="H16" s="5">
        <v>0.4896</v>
      </c>
      <c r="I16" s="8" t="str">
        <f t="shared" si="1"/>
        <v/>
      </c>
      <c r="J16" s="8" t="str">
        <f t="shared" si="2"/>
        <v/>
      </c>
      <c r="K16" t="str">
        <f t="shared" si="3"/>
        <v>MISSING OEWS</v>
      </c>
    </row>
    <row r="17" spans="1:11">
      <c r="A17" t="s">
        <v>98</v>
      </c>
      <c r="B17" t="s">
        <v>234</v>
      </c>
      <c r="C17" t="s">
        <v>265</v>
      </c>
      <c r="D17" t="s">
        <v>266</v>
      </c>
      <c r="E17" s="8">
        <v>520</v>
      </c>
      <c r="F17" s="8">
        <v>81950</v>
      </c>
      <c r="G17" s="8">
        <f t="shared" si="0"/>
        <v>42614000</v>
      </c>
      <c r="H17" s="5">
        <v>0.5876</v>
      </c>
      <c r="I17" s="8">
        <f t="shared" si="1"/>
        <v>42614000</v>
      </c>
      <c r="J17" s="8">
        <f t="shared" si="2"/>
        <v>25039986.4</v>
      </c>
      <c r="K17" t="str">
        <f t="shared" si="3"/>
        <v>MATCHED</v>
      </c>
    </row>
    <row r="18" spans="1:11">
      <c r="A18" t="s">
        <v>98</v>
      </c>
      <c r="B18" t="s">
        <v>234</v>
      </c>
      <c r="C18" t="s">
        <v>267</v>
      </c>
      <c r="D18" t="s">
        <v>268</v>
      </c>
      <c r="E18" s="8">
        <v>60</v>
      </c>
      <c r="F18" s="8">
        <v>67290</v>
      </c>
      <c r="G18" s="8">
        <f t="shared" si="0"/>
        <v>4037400</v>
      </c>
      <c r="H18" s="5">
        <v>0.4611</v>
      </c>
      <c r="I18" s="8">
        <f t="shared" si="1"/>
        <v>4037400</v>
      </c>
      <c r="J18" s="8">
        <f t="shared" si="2"/>
        <v>1861645.14</v>
      </c>
      <c r="K18" t="str">
        <f t="shared" si="3"/>
        <v>MATCHED</v>
      </c>
    </row>
    <row r="19" spans="1:11">
      <c r="A19" t="s">
        <v>98</v>
      </c>
      <c r="B19" t="s">
        <v>234</v>
      </c>
      <c r="C19" t="s">
        <v>269</v>
      </c>
      <c r="D19" t="s">
        <v>270</v>
      </c>
      <c r="E19" s="8">
        <v>700</v>
      </c>
      <c r="F19" s="8">
        <v>74400</v>
      </c>
      <c r="G19" s="8">
        <f t="shared" si="0"/>
        <v>52080000</v>
      </c>
      <c r="H19" s="5">
        <v>0.7808</v>
      </c>
      <c r="I19" s="8">
        <f t="shared" si="1"/>
        <v>52080000</v>
      </c>
      <c r="J19" s="8">
        <f t="shared" si="2"/>
        <v>40664064</v>
      </c>
      <c r="K19" t="str">
        <f t="shared" si="3"/>
        <v>MATCHED</v>
      </c>
    </row>
    <row r="20" spans="1:11">
      <c r="A20" t="s">
        <v>98</v>
      </c>
      <c r="B20" t="s">
        <v>234</v>
      </c>
      <c r="C20" t="s">
        <v>271</v>
      </c>
      <c r="D20" t="s">
        <v>272</v>
      </c>
      <c r="E20" s="8">
        <v>270</v>
      </c>
      <c r="F20" s="8">
        <v>62420</v>
      </c>
      <c r="G20" s="8">
        <f t="shared" si="0"/>
        <v>16853400</v>
      </c>
      <c r="H20" s="5">
        <v>0.2375</v>
      </c>
      <c r="I20" s="8">
        <f t="shared" si="1"/>
        <v>16853400</v>
      </c>
      <c r="J20" s="8">
        <f t="shared" si="2"/>
        <v>4002682.5</v>
      </c>
      <c r="K20" t="str">
        <f t="shared" si="3"/>
        <v>MATCHED</v>
      </c>
    </row>
    <row r="21" spans="1:11">
      <c r="A21" t="s">
        <v>98</v>
      </c>
      <c r="B21" t="s">
        <v>234</v>
      </c>
      <c r="C21" t="s">
        <v>273</v>
      </c>
      <c r="D21" t="s">
        <v>274</v>
      </c>
      <c r="E21" s="8">
        <v>250</v>
      </c>
      <c r="F21" s="8">
        <v>75350</v>
      </c>
      <c r="G21" s="8">
        <f t="shared" si="0"/>
        <v>18837500</v>
      </c>
      <c r="H21" s="5">
        <v>0.6943</v>
      </c>
      <c r="I21" s="8">
        <f t="shared" si="1"/>
        <v>18837500</v>
      </c>
      <c r="J21" s="8">
        <f t="shared" si="2"/>
        <v>13078876.25</v>
      </c>
      <c r="K21" t="str">
        <f t="shared" si="3"/>
        <v>MATCHED</v>
      </c>
    </row>
    <row r="22" spans="1:11">
      <c r="A22" t="s">
        <v>98</v>
      </c>
      <c r="B22" t="s">
        <v>234</v>
      </c>
      <c r="C22" t="s">
        <v>275</v>
      </c>
      <c r="D22" t="s">
        <v>276</v>
      </c>
      <c r="E22" s="8">
        <v>130</v>
      </c>
      <c r="F22" s="8">
        <v>90840</v>
      </c>
      <c r="G22" s="8">
        <f t="shared" si="0"/>
        <v>11809200</v>
      </c>
      <c r="H22" s="5">
        <v>0.6375</v>
      </c>
      <c r="I22" s="8">
        <f t="shared" si="1"/>
        <v>11809200</v>
      </c>
      <c r="J22" s="8">
        <f t="shared" si="2"/>
        <v>7528365</v>
      </c>
      <c r="K22" t="str">
        <f t="shared" si="3"/>
        <v>MATCHED</v>
      </c>
    </row>
    <row r="23" spans="1:11">
      <c r="A23" t="s">
        <v>98</v>
      </c>
      <c r="B23" t="s">
        <v>234</v>
      </c>
      <c r="C23" t="s">
        <v>277</v>
      </c>
      <c r="D23" t="s">
        <v>278</v>
      </c>
      <c r="E23" s="8">
        <v>120</v>
      </c>
      <c r="F23" s="8"/>
      <c r="G23" s="8" t="str">
        <f t="shared" si="0"/>
        <v/>
      </c>
      <c r="H23" s="5">
        <v>0.5773</v>
      </c>
      <c r="I23" s="8" t="str">
        <f t="shared" si="1"/>
        <v/>
      </c>
      <c r="J23" s="8" t="str">
        <f t="shared" si="2"/>
        <v/>
      </c>
      <c r="K23" t="str">
        <f t="shared" si="3"/>
        <v>MISSING OEWS</v>
      </c>
    </row>
    <row r="24" spans="1:11">
      <c r="A24" t="s">
        <v>98</v>
      </c>
      <c r="B24" t="s">
        <v>234</v>
      </c>
      <c r="C24" t="s">
        <v>279</v>
      </c>
      <c r="D24" t="s">
        <v>280</v>
      </c>
      <c r="E24" s="8">
        <v>50</v>
      </c>
      <c r="F24" s="8">
        <v>48850</v>
      </c>
      <c r="G24" s="8">
        <f t="shared" si="0"/>
        <v>2442500</v>
      </c>
      <c r="H24" s="5">
        <v>0.4476</v>
      </c>
      <c r="I24" s="8">
        <f t="shared" si="1"/>
        <v>2442500</v>
      </c>
      <c r="J24" s="8">
        <f t="shared" si="2"/>
        <v>1093263</v>
      </c>
      <c r="K24" t="str">
        <f t="shared" si="3"/>
        <v>MATCHED</v>
      </c>
    </row>
    <row r="25" spans="1:11">
      <c r="A25" t="s">
        <v>98</v>
      </c>
      <c r="B25" t="s">
        <v>234</v>
      </c>
      <c r="C25" t="s">
        <v>281</v>
      </c>
      <c r="D25" t="s">
        <v>282</v>
      </c>
      <c r="E25" s="8">
        <v>30</v>
      </c>
      <c r="F25" s="8"/>
      <c r="G25" s="8" t="str">
        <f t="shared" si="0"/>
        <v/>
      </c>
      <c r="H25" s="5">
        <v>0.6167</v>
      </c>
      <c r="I25" s="8" t="str">
        <f t="shared" si="1"/>
        <v/>
      </c>
      <c r="J25" s="8" t="str">
        <f t="shared" si="2"/>
        <v/>
      </c>
      <c r="K25" t="str">
        <f t="shared" si="3"/>
        <v>MISSING OEWS</v>
      </c>
    </row>
    <row r="26" spans="1:11">
      <c r="A26" t="s">
        <v>98</v>
      </c>
      <c r="B26" t="s">
        <v>234</v>
      </c>
      <c r="C26" t="s">
        <v>283</v>
      </c>
      <c r="D26" t="s">
        <v>284</v>
      </c>
      <c r="E26" s="8">
        <v>100</v>
      </c>
      <c r="F26" s="8"/>
      <c r="G26" s="8" t="str">
        <f t="shared" si="0"/>
        <v/>
      </c>
      <c r="H26" s="5">
        <v>0.565</v>
      </c>
      <c r="I26" s="8" t="str">
        <f t="shared" si="1"/>
        <v/>
      </c>
      <c r="J26" s="8" t="str">
        <f t="shared" si="2"/>
        <v/>
      </c>
      <c r="K26" t="str">
        <f t="shared" si="3"/>
        <v>MISSING OEWS</v>
      </c>
    </row>
    <row r="27" spans="1:11">
      <c r="A27" t="s">
        <v>98</v>
      </c>
      <c r="B27" t="s">
        <v>234</v>
      </c>
      <c r="C27" t="s">
        <v>285</v>
      </c>
      <c r="D27" t="s">
        <v>286</v>
      </c>
      <c r="E27" s="8">
        <v>210</v>
      </c>
      <c r="F27" s="8">
        <v>92250</v>
      </c>
      <c r="G27" s="8">
        <f t="shared" si="0"/>
        <v>19372500</v>
      </c>
      <c r="H27" s="5">
        <v>0.7792</v>
      </c>
      <c r="I27" s="8">
        <f t="shared" si="1"/>
        <v>19372500</v>
      </c>
      <c r="J27" s="8">
        <f t="shared" si="2"/>
        <v>15095052</v>
      </c>
      <c r="K27" t="str">
        <f t="shared" si="3"/>
        <v>MATCHED</v>
      </c>
    </row>
    <row r="28" spans="1:11">
      <c r="A28" t="s">
        <v>98</v>
      </c>
      <c r="B28" t="s">
        <v>234</v>
      </c>
      <c r="C28" t="s">
        <v>287</v>
      </c>
      <c r="D28" t="s">
        <v>288</v>
      </c>
      <c r="E28" s="8">
        <v>660</v>
      </c>
      <c r="F28" s="8"/>
      <c r="G28" s="8" t="str">
        <f t="shared" si="0"/>
        <v/>
      </c>
      <c r="H28" s="5">
        <v>0.6599</v>
      </c>
      <c r="I28" s="8" t="str">
        <f t="shared" si="1"/>
        <v/>
      </c>
      <c r="J28" s="8" t="str">
        <f t="shared" si="2"/>
        <v/>
      </c>
      <c r="K28" t="str">
        <f t="shared" si="3"/>
        <v>MISSING OEWS</v>
      </c>
    </row>
    <row r="29" spans="1:11">
      <c r="A29" t="s">
        <v>98</v>
      </c>
      <c r="B29" t="s">
        <v>234</v>
      </c>
      <c r="C29" t="s">
        <v>289</v>
      </c>
      <c r="D29" t="s">
        <v>290</v>
      </c>
      <c r="E29" s="8">
        <v>1110</v>
      </c>
      <c r="F29" s="8">
        <v>83410</v>
      </c>
      <c r="G29" s="8">
        <f t="shared" si="0"/>
        <v>92585100</v>
      </c>
      <c r="H29" s="5">
        <v>0.795</v>
      </c>
      <c r="I29" s="8">
        <f t="shared" si="1"/>
        <v>92585100</v>
      </c>
      <c r="J29" s="8">
        <f t="shared" si="2"/>
        <v>73605154.5</v>
      </c>
      <c r="K29" t="str">
        <f t="shared" si="3"/>
        <v>MATCHED</v>
      </c>
    </row>
    <row r="30" spans="1:11">
      <c r="A30" t="s">
        <v>98</v>
      </c>
      <c r="B30" t="s">
        <v>234</v>
      </c>
      <c r="C30" t="s">
        <v>291</v>
      </c>
      <c r="D30" t="s">
        <v>292</v>
      </c>
      <c r="E30" s="8">
        <v>40</v>
      </c>
      <c r="F30" s="8">
        <v>107730</v>
      </c>
      <c r="G30" s="8">
        <f t="shared" si="0"/>
        <v>4309200</v>
      </c>
      <c r="H30" s="5">
        <v>0.6388</v>
      </c>
      <c r="I30" s="8">
        <f t="shared" si="1"/>
        <v>4309200</v>
      </c>
      <c r="J30" s="8">
        <f t="shared" si="2"/>
        <v>2752716.96</v>
      </c>
      <c r="K30" t="str">
        <f t="shared" si="3"/>
        <v>MATCHED</v>
      </c>
    </row>
    <row r="31" spans="1:11">
      <c r="A31" t="s">
        <v>98</v>
      </c>
      <c r="B31" t="s">
        <v>234</v>
      </c>
      <c r="C31" t="s">
        <v>293</v>
      </c>
      <c r="D31" t="s">
        <v>294</v>
      </c>
      <c r="E31" s="8">
        <v>230</v>
      </c>
      <c r="F31" s="8">
        <v>65730</v>
      </c>
      <c r="G31" s="8">
        <f t="shared" si="0"/>
        <v>15117900</v>
      </c>
      <c r="H31" s="5">
        <v>0.6062</v>
      </c>
      <c r="I31" s="8">
        <f t="shared" si="1"/>
        <v>15117900</v>
      </c>
      <c r="J31" s="8">
        <f t="shared" si="2"/>
        <v>9164470.98</v>
      </c>
      <c r="K31" t="str">
        <f t="shared" si="3"/>
        <v>MATCHED</v>
      </c>
    </row>
    <row r="32" spans="1:11">
      <c r="A32" t="s">
        <v>98</v>
      </c>
      <c r="B32" t="s">
        <v>234</v>
      </c>
      <c r="C32" t="s">
        <v>295</v>
      </c>
      <c r="D32" t="s">
        <v>296</v>
      </c>
      <c r="E32" s="8">
        <v>80</v>
      </c>
      <c r="F32" s="8"/>
      <c r="G32" s="8" t="str">
        <f t="shared" si="0"/>
        <v/>
      </c>
      <c r="H32" s="5">
        <v>0.695</v>
      </c>
      <c r="I32" s="8" t="str">
        <f t="shared" si="1"/>
        <v/>
      </c>
      <c r="J32" s="8" t="str">
        <f t="shared" si="2"/>
        <v/>
      </c>
      <c r="K32" t="str">
        <f t="shared" si="3"/>
        <v>MISSING OEWS</v>
      </c>
    </row>
    <row r="33" spans="1:11">
      <c r="A33" t="s">
        <v>98</v>
      </c>
      <c r="B33" t="s">
        <v>234</v>
      </c>
      <c r="C33" t="s">
        <v>297</v>
      </c>
      <c r="D33" t="s">
        <v>298</v>
      </c>
      <c r="E33" s="8">
        <v>90</v>
      </c>
      <c r="F33" s="8"/>
      <c r="G33" s="8" t="str">
        <f t="shared" si="0"/>
        <v/>
      </c>
      <c r="H33" s="5">
        <v>0.5211</v>
      </c>
      <c r="I33" s="8" t="str">
        <f t="shared" si="1"/>
        <v/>
      </c>
      <c r="J33" s="8" t="str">
        <f t="shared" si="2"/>
        <v/>
      </c>
      <c r="K33" t="str">
        <f t="shared" si="3"/>
        <v>MISSING OEWS</v>
      </c>
    </row>
    <row r="34" spans="1:11">
      <c r="A34" t="s">
        <v>98</v>
      </c>
      <c r="B34" t="s">
        <v>234</v>
      </c>
      <c r="C34" t="s">
        <v>299</v>
      </c>
      <c r="D34" t="s">
        <v>300</v>
      </c>
      <c r="E34" s="8">
        <v>50</v>
      </c>
      <c r="F34" s="8">
        <v>101700</v>
      </c>
      <c r="G34" s="8">
        <f t="shared" si="0"/>
        <v>5085000</v>
      </c>
      <c r="H34" s="5">
        <v>0.7425</v>
      </c>
      <c r="I34" s="8">
        <f t="shared" si="1"/>
        <v>5085000</v>
      </c>
      <c r="J34" s="8">
        <f t="shared" si="2"/>
        <v>3775612.5</v>
      </c>
      <c r="K34" t="str">
        <f t="shared" si="3"/>
        <v>MATCHED</v>
      </c>
    </row>
    <row r="35" spans="1:11">
      <c r="A35" t="s">
        <v>98</v>
      </c>
      <c r="B35" t="s">
        <v>234</v>
      </c>
      <c r="C35" t="s">
        <v>301</v>
      </c>
      <c r="D35" t="s">
        <v>302</v>
      </c>
      <c r="E35" s="8">
        <v>100</v>
      </c>
      <c r="F35" s="8">
        <v>87540</v>
      </c>
      <c r="G35" s="8">
        <f t="shared" si="0"/>
        <v>8754000</v>
      </c>
      <c r="H35" s="5">
        <v>0.4786</v>
      </c>
      <c r="I35" s="8">
        <f t="shared" si="1"/>
        <v>8754000</v>
      </c>
      <c r="J35" s="8">
        <f t="shared" si="2"/>
        <v>4189664.4</v>
      </c>
      <c r="K35" t="str">
        <f t="shared" si="3"/>
        <v>MATCHED</v>
      </c>
    </row>
    <row r="36" spans="1:11">
      <c r="A36" t="s">
        <v>98</v>
      </c>
      <c r="B36" t="s">
        <v>234</v>
      </c>
      <c r="C36" t="s">
        <v>303</v>
      </c>
      <c r="D36" t="s">
        <v>304</v>
      </c>
      <c r="E36" s="8">
        <v>220</v>
      </c>
      <c r="F36" s="8">
        <v>75660</v>
      </c>
      <c r="G36" s="8">
        <f t="shared" si="0"/>
        <v>16645200</v>
      </c>
      <c r="H36" s="5">
        <v>0.2333</v>
      </c>
      <c r="I36" s="8">
        <f t="shared" si="1"/>
        <v>16645200</v>
      </c>
      <c r="J36" s="8">
        <f t="shared" si="2"/>
        <v>3883325.16</v>
      </c>
      <c r="K36" t="str">
        <f t="shared" si="3"/>
        <v>MATCHED</v>
      </c>
    </row>
    <row r="37" spans="1:11">
      <c r="A37" t="s">
        <v>98</v>
      </c>
      <c r="B37" t="s">
        <v>234</v>
      </c>
      <c r="C37" t="s">
        <v>305</v>
      </c>
      <c r="D37" t="s">
        <v>306</v>
      </c>
      <c r="E37" s="8">
        <v>230</v>
      </c>
      <c r="F37" s="8">
        <v>73850</v>
      </c>
      <c r="G37" s="8">
        <f t="shared" si="0"/>
        <v>16985500</v>
      </c>
      <c r="H37" s="5">
        <v>0.1269</v>
      </c>
      <c r="I37" s="8">
        <f t="shared" si="1"/>
        <v>16985500</v>
      </c>
      <c r="J37" s="8">
        <f t="shared" si="2"/>
        <v>2155459.95</v>
      </c>
      <c r="K37" t="str">
        <f t="shared" si="3"/>
        <v>MATCHED</v>
      </c>
    </row>
    <row r="38" spans="1:11">
      <c r="A38" t="s">
        <v>98</v>
      </c>
      <c r="B38" t="s">
        <v>234</v>
      </c>
      <c r="C38" t="s">
        <v>307</v>
      </c>
      <c r="D38" t="s">
        <v>308</v>
      </c>
      <c r="E38" s="8">
        <v>770</v>
      </c>
      <c r="F38" s="8">
        <v>87270</v>
      </c>
      <c r="G38" s="8">
        <f t="shared" si="0"/>
        <v>67197900</v>
      </c>
      <c r="H38" s="5">
        <v>0.0519</v>
      </c>
      <c r="I38" s="8">
        <f t="shared" si="1"/>
        <v>67197900</v>
      </c>
      <c r="J38" s="8">
        <f t="shared" si="2"/>
        <v>3487571.01</v>
      </c>
      <c r="K38" t="str">
        <f t="shared" si="3"/>
        <v>MATCHED</v>
      </c>
    </row>
    <row r="39" spans="1:11">
      <c r="A39" t="s">
        <v>98</v>
      </c>
      <c r="B39" t="s">
        <v>234</v>
      </c>
      <c r="C39" t="s">
        <v>309</v>
      </c>
      <c r="D39" t="s">
        <v>310</v>
      </c>
      <c r="E39" s="8">
        <v>210</v>
      </c>
      <c r="F39" s="8">
        <v>60360</v>
      </c>
      <c r="G39" s="8">
        <f t="shared" si="0"/>
        <v>12675600</v>
      </c>
      <c r="H39" s="5">
        <v>0.4037</v>
      </c>
      <c r="I39" s="8">
        <f t="shared" si="1"/>
        <v>12675600</v>
      </c>
      <c r="J39" s="8">
        <f t="shared" si="2"/>
        <v>5117139.72</v>
      </c>
      <c r="K39" t="str">
        <f t="shared" si="3"/>
        <v>MATCHED</v>
      </c>
    </row>
    <row r="40" spans="1:11">
      <c r="A40" t="s">
        <v>98</v>
      </c>
      <c r="B40" t="s">
        <v>234</v>
      </c>
      <c r="C40" t="s">
        <v>311</v>
      </c>
      <c r="D40" t="s">
        <v>312</v>
      </c>
      <c r="E40" s="8">
        <v>650</v>
      </c>
      <c r="F40" s="8">
        <v>81500</v>
      </c>
      <c r="G40" s="8">
        <f t="shared" si="0"/>
        <v>52975000</v>
      </c>
      <c r="H40" s="5">
        <v>0.056</v>
      </c>
      <c r="I40" s="8">
        <f t="shared" si="1"/>
        <v>52975000</v>
      </c>
      <c r="J40" s="8">
        <f t="shared" si="2"/>
        <v>2966600</v>
      </c>
      <c r="K40" t="str">
        <f t="shared" si="3"/>
        <v>MATCHED</v>
      </c>
    </row>
    <row r="41" spans="1:11">
      <c r="A41" t="s">
        <v>98</v>
      </c>
      <c r="B41" t="s">
        <v>234</v>
      </c>
      <c r="C41" t="s">
        <v>313</v>
      </c>
      <c r="D41" t="s">
        <v>314</v>
      </c>
      <c r="E41" s="8">
        <v>1270</v>
      </c>
      <c r="F41" s="8">
        <v>52540</v>
      </c>
      <c r="G41" s="8">
        <f t="shared" si="0"/>
        <v>66725800</v>
      </c>
      <c r="H41" s="5">
        <v>0.374</v>
      </c>
      <c r="I41" s="8">
        <f t="shared" si="1"/>
        <v>66725800</v>
      </c>
      <c r="J41" s="8">
        <f t="shared" si="2"/>
        <v>24955449.2</v>
      </c>
      <c r="K41" t="str">
        <f t="shared" si="3"/>
        <v>MATCHED</v>
      </c>
    </row>
    <row r="42" spans="1:11">
      <c r="A42" t="s">
        <v>98</v>
      </c>
      <c r="B42" t="s">
        <v>234</v>
      </c>
      <c r="C42" t="s">
        <v>315</v>
      </c>
      <c r="D42" t="s">
        <v>316</v>
      </c>
      <c r="E42" s="8"/>
      <c r="F42" s="8">
        <v>50010</v>
      </c>
      <c r="G42" s="8" t="str">
        <f t="shared" si="0"/>
        <v/>
      </c>
      <c r="H42" s="5">
        <v>0.2969</v>
      </c>
      <c r="I42" s="8" t="str">
        <f t="shared" si="1"/>
        <v/>
      </c>
      <c r="J42" s="8" t="str">
        <f t="shared" si="2"/>
        <v/>
      </c>
      <c r="K42" t="str">
        <f t="shared" si="3"/>
        <v>MISSING OEWS</v>
      </c>
    </row>
    <row r="43" spans="1:11">
      <c r="A43" t="s">
        <v>98</v>
      </c>
      <c r="B43" t="s">
        <v>234</v>
      </c>
      <c r="C43" t="s">
        <v>317</v>
      </c>
      <c r="D43" t="s">
        <v>318</v>
      </c>
      <c r="E43" s="8">
        <v>50</v>
      </c>
      <c r="F43" s="8">
        <v>63050</v>
      </c>
      <c r="G43" s="8">
        <f t="shared" si="0"/>
        <v>3152500</v>
      </c>
      <c r="H43" s="5">
        <v>0.2778</v>
      </c>
      <c r="I43" s="8">
        <f t="shared" si="1"/>
        <v>3152500</v>
      </c>
      <c r="J43" s="8">
        <f t="shared" si="2"/>
        <v>875764.5</v>
      </c>
      <c r="K43" t="str">
        <f t="shared" si="3"/>
        <v>MATCHED</v>
      </c>
    </row>
    <row r="44" spans="1:11">
      <c r="A44" t="s">
        <v>98</v>
      </c>
      <c r="B44" t="s">
        <v>234</v>
      </c>
      <c r="C44" t="s">
        <v>319</v>
      </c>
      <c r="D44" t="s">
        <v>320</v>
      </c>
      <c r="E44" s="8">
        <v>330</v>
      </c>
      <c r="F44" s="8">
        <v>65690</v>
      </c>
      <c r="G44" s="8">
        <f t="shared" si="0"/>
        <v>21677700</v>
      </c>
      <c r="H44" s="5">
        <v>0.2786</v>
      </c>
      <c r="I44" s="8">
        <f t="shared" si="1"/>
        <v>21677700</v>
      </c>
      <c r="J44" s="8">
        <f t="shared" si="2"/>
        <v>6039407.22</v>
      </c>
      <c r="K44" t="str">
        <f t="shared" si="3"/>
        <v>MATCHED</v>
      </c>
    </row>
    <row r="45" spans="1:11">
      <c r="A45" t="s">
        <v>98</v>
      </c>
      <c r="B45" t="s">
        <v>234</v>
      </c>
      <c r="C45" t="s">
        <v>321</v>
      </c>
      <c r="D45" t="s">
        <v>322</v>
      </c>
      <c r="E45" s="8">
        <v>320</v>
      </c>
      <c r="F45" s="8">
        <v>41710</v>
      </c>
      <c r="G45" s="8">
        <f t="shared" si="0"/>
        <v>13347200</v>
      </c>
      <c r="H45" s="5">
        <v>0.33</v>
      </c>
      <c r="I45" s="8">
        <f t="shared" si="1"/>
        <v>13347200</v>
      </c>
      <c r="J45" s="8">
        <f t="shared" si="2"/>
        <v>4404576</v>
      </c>
      <c r="K45" t="str">
        <f t="shared" si="3"/>
        <v>MATCHED</v>
      </c>
    </row>
    <row r="46" spans="1:11">
      <c r="A46" t="s">
        <v>98</v>
      </c>
      <c r="B46" t="s">
        <v>234</v>
      </c>
      <c r="C46" t="s">
        <v>323</v>
      </c>
      <c r="D46" t="s">
        <v>324</v>
      </c>
      <c r="E46" s="8">
        <v>60</v>
      </c>
      <c r="F46" s="8"/>
      <c r="G46" s="8" t="str">
        <f t="shared" si="0"/>
        <v/>
      </c>
      <c r="H46" s="5">
        <v>0.575</v>
      </c>
      <c r="I46" s="8" t="str">
        <f t="shared" si="1"/>
        <v/>
      </c>
      <c r="J46" s="8" t="str">
        <f t="shared" si="2"/>
        <v/>
      </c>
      <c r="K46" t="str">
        <f t="shared" si="3"/>
        <v>MISSING OEWS</v>
      </c>
    </row>
    <row r="47" spans="1:11">
      <c r="A47" t="s">
        <v>98</v>
      </c>
      <c r="B47" t="s">
        <v>234</v>
      </c>
      <c r="C47" t="s">
        <v>325</v>
      </c>
      <c r="D47" t="s">
        <v>326</v>
      </c>
      <c r="E47" s="8">
        <v>150</v>
      </c>
      <c r="F47" s="8">
        <v>134040</v>
      </c>
      <c r="G47" s="8">
        <f t="shared" si="0"/>
        <v>20106000</v>
      </c>
      <c r="H47" s="5">
        <v>0.163</v>
      </c>
      <c r="I47" s="8">
        <f t="shared" si="1"/>
        <v>20106000</v>
      </c>
      <c r="J47" s="8">
        <f t="shared" si="2"/>
        <v>3277278</v>
      </c>
      <c r="K47" t="str">
        <f t="shared" si="3"/>
        <v>MATCHED</v>
      </c>
    </row>
    <row r="48" spans="1:11">
      <c r="A48" t="s">
        <v>98</v>
      </c>
      <c r="B48" t="s">
        <v>234</v>
      </c>
      <c r="C48" t="s">
        <v>327</v>
      </c>
      <c r="D48" t="s">
        <v>328</v>
      </c>
      <c r="E48" s="8">
        <v>210</v>
      </c>
      <c r="F48" s="8">
        <v>61840</v>
      </c>
      <c r="G48" s="8">
        <f t="shared" si="0"/>
        <v>12986400</v>
      </c>
      <c r="H48" s="5">
        <v>0.2065</v>
      </c>
      <c r="I48" s="8">
        <f t="shared" si="1"/>
        <v>12986400</v>
      </c>
      <c r="J48" s="8">
        <f t="shared" si="2"/>
        <v>2681691.6</v>
      </c>
      <c r="K48" t="str">
        <f t="shared" si="3"/>
        <v>MATCHED</v>
      </c>
    </row>
    <row r="49" spans="1:11">
      <c r="A49" t="s">
        <v>98</v>
      </c>
      <c r="B49" t="s">
        <v>234</v>
      </c>
      <c r="C49" t="s">
        <v>329</v>
      </c>
      <c r="D49" t="s">
        <v>330</v>
      </c>
      <c r="E49" s="8">
        <v>480</v>
      </c>
      <c r="F49" s="8">
        <v>37550</v>
      </c>
      <c r="G49" s="8">
        <f t="shared" si="0"/>
        <v>18024000</v>
      </c>
      <c r="H49" s="5">
        <v>0.1357</v>
      </c>
      <c r="I49" s="8">
        <f t="shared" si="1"/>
        <v>18024000</v>
      </c>
      <c r="J49" s="8">
        <f t="shared" si="2"/>
        <v>2445856.8</v>
      </c>
      <c r="K49" t="str">
        <f t="shared" si="3"/>
        <v>MATCHED</v>
      </c>
    </row>
    <row r="50" spans="1:11">
      <c r="A50" t="s">
        <v>98</v>
      </c>
      <c r="B50" t="s">
        <v>234</v>
      </c>
      <c r="C50" t="s">
        <v>331</v>
      </c>
      <c r="D50" t="s">
        <v>332</v>
      </c>
      <c r="E50" s="8">
        <v>80</v>
      </c>
      <c r="F50" s="8">
        <v>55650</v>
      </c>
      <c r="G50" s="8">
        <f t="shared" si="0"/>
        <v>4452000</v>
      </c>
      <c r="H50" s="5">
        <v>0.2269</v>
      </c>
      <c r="I50" s="8">
        <f t="shared" si="1"/>
        <v>4452000</v>
      </c>
      <c r="J50" s="8">
        <f t="shared" si="2"/>
        <v>1010158.8</v>
      </c>
      <c r="K50" t="str">
        <f t="shared" si="3"/>
        <v>MATCHED</v>
      </c>
    </row>
    <row r="51" spans="1:11">
      <c r="A51" t="s">
        <v>98</v>
      </c>
      <c r="B51" t="s">
        <v>234</v>
      </c>
      <c r="C51" t="s">
        <v>333</v>
      </c>
      <c r="D51" t="s">
        <v>334</v>
      </c>
      <c r="E51" s="8">
        <v>180</v>
      </c>
      <c r="F51" s="8">
        <v>65570</v>
      </c>
      <c r="G51" s="8">
        <f t="shared" si="0"/>
        <v>11802600</v>
      </c>
      <c r="H51" s="5">
        <v>0.2357</v>
      </c>
      <c r="I51" s="8">
        <f t="shared" si="1"/>
        <v>11802600</v>
      </c>
      <c r="J51" s="8">
        <f t="shared" si="2"/>
        <v>2781872.82</v>
      </c>
      <c r="K51" t="str">
        <f t="shared" si="3"/>
        <v>MATCHED</v>
      </c>
    </row>
    <row r="52" spans="1:11">
      <c r="A52" t="s">
        <v>98</v>
      </c>
      <c r="B52" t="s">
        <v>234</v>
      </c>
      <c r="C52" t="s">
        <v>335</v>
      </c>
      <c r="D52" t="s">
        <v>336</v>
      </c>
      <c r="E52" s="8">
        <v>2650</v>
      </c>
      <c r="F52" s="8">
        <v>37340</v>
      </c>
      <c r="G52" s="8">
        <f t="shared" si="0"/>
        <v>98951000</v>
      </c>
      <c r="H52" s="5">
        <v>0</v>
      </c>
      <c r="I52" s="8">
        <f t="shared" si="1"/>
        <v>98951000</v>
      </c>
      <c r="J52" s="8">
        <f t="shared" si="2"/>
        <v>0</v>
      </c>
      <c r="K52" t="str">
        <f t="shared" si="3"/>
        <v>MATCHED</v>
      </c>
    </row>
    <row r="53" spans="1:11">
      <c r="A53" t="s">
        <v>98</v>
      </c>
      <c r="B53" t="s">
        <v>234</v>
      </c>
      <c r="C53" t="s">
        <v>337</v>
      </c>
      <c r="D53" t="s">
        <v>338</v>
      </c>
      <c r="E53" s="8">
        <v>140</v>
      </c>
      <c r="F53" s="8">
        <v>37400</v>
      </c>
      <c r="G53" s="8">
        <f t="shared" si="0"/>
        <v>5236000</v>
      </c>
      <c r="H53" s="5">
        <v>0</v>
      </c>
      <c r="I53" s="8">
        <f t="shared" si="1"/>
        <v>5236000</v>
      </c>
      <c r="J53" s="8">
        <f t="shared" si="2"/>
        <v>0</v>
      </c>
      <c r="K53" t="str">
        <f t="shared" si="3"/>
        <v>MATCHED</v>
      </c>
    </row>
    <row r="54" spans="1:11">
      <c r="A54" t="s">
        <v>98</v>
      </c>
      <c r="B54" t="s">
        <v>234</v>
      </c>
      <c r="C54" t="s">
        <v>339</v>
      </c>
      <c r="D54" t="s">
        <v>340</v>
      </c>
      <c r="E54" s="8">
        <v>70</v>
      </c>
      <c r="F54" s="8">
        <v>41940</v>
      </c>
      <c r="G54" s="8">
        <f t="shared" si="0"/>
        <v>2935800</v>
      </c>
      <c r="H54" s="5">
        <v>0.1567</v>
      </c>
      <c r="I54" s="8">
        <f t="shared" si="1"/>
        <v>2935800</v>
      </c>
      <c r="J54" s="8">
        <f t="shared" si="2"/>
        <v>460039.86</v>
      </c>
      <c r="K54" t="str">
        <f t="shared" si="3"/>
        <v>MATCHED</v>
      </c>
    </row>
    <row r="55" spans="1:11">
      <c r="A55" t="s">
        <v>98</v>
      </c>
      <c r="B55" t="s">
        <v>234</v>
      </c>
      <c r="C55" t="s">
        <v>341</v>
      </c>
      <c r="D55" t="s">
        <v>342</v>
      </c>
      <c r="E55" s="8">
        <v>1090</v>
      </c>
      <c r="F55" s="8">
        <v>42480</v>
      </c>
      <c r="G55" s="8">
        <f t="shared" si="0"/>
        <v>46303200</v>
      </c>
      <c r="H55" s="5">
        <v>0</v>
      </c>
      <c r="I55" s="8">
        <f t="shared" si="1"/>
        <v>46303200</v>
      </c>
      <c r="J55" s="8">
        <f t="shared" si="2"/>
        <v>0</v>
      </c>
      <c r="K55" t="str">
        <f t="shared" si="3"/>
        <v>MATCHED</v>
      </c>
    </row>
    <row r="56" spans="1:11">
      <c r="A56" t="s">
        <v>98</v>
      </c>
      <c r="B56" t="s">
        <v>234</v>
      </c>
      <c r="C56" t="s">
        <v>343</v>
      </c>
      <c r="D56" t="s">
        <v>344</v>
      </c>
      <c r="E56" s="8">
        <v>2030</v>
      </c>
      <c r="F56" s="8">
        <v>43690</v>
      </c>
      <c r="G56" s="8">
        <f t="shared" si="0"/>
        <v>88690700</v>
      </c>
      <c r="H56" s="5">
        <v>0</v>
      </c>
      <c r="I56" s="8">
        <f t="shared" si="1"/>
        <v>88690700</v>
      </c>
      <c r="J56" s="8">
        <f t="shared" si="2"/>
        <v>0</v>
      </c>
      <c r="K56" t="str">
        <f t="shared" si="3"/>
        <v>MATCHED</v>
      </c>
    </row>
    <row r="57" spans="1:11">
      <c r="A57" t="s">
        <v>98</v>
      </c>
      <c r="B57" t="s">
        <v>234</v>
      </c>
      <c r="C57" t="s">
        <v>345</v>
      </c>
      <c r="D57" t="s">
        <v>346</v>
      </c>
      <c r="E57" s="8"/>
      <c r="F57" s="8">
        <v>50420</v>
      </c>
      <c r="G57" s="8" t="str">
        <f t="shared" si="0"/>
        <v/>
      </c>
      <c r="H57" s="5">
        <v>0</v>
      </c>
      <c r="I57" s="8" t="str">
        <f t="shared" si="1"/>
        <v/>
      </c>
      <c r="J57" s="8" t="str">
        <f t="shared" si="2"/>
        <v/>
      </c>
      <c r="K57" t="str">
        <f t="shared" si="3"/>
        <v>MISSING OEWS</v>
      </c>
    </row>
    <row r="58" spans="1:11">
      <c r="A58" t="s">
        <v>98</v>
      </c>
      <c r="B58" t="s">
        <v>234</v>
      </c>
      <c r="C58" t="s">
        <v>347</v>
      </c>
      <c r="D58" t="s">
        <v>348</v>
      </c>
      <c r="E58" s="8">
        <v>30</v>
      </c>
      <c r="F58" s="8">
        <v>49590</v>
      </c>
      <c r="G58" s="8">
        <f t="shared" si="0"/>
        <v>1487700</v>
      </c>
      <c r="H58" s="5">
        <v>0.2974</v>
      </c>
      <c r="I58" s="8">
        <f t="shared" si="1"/>
        <v>1487700</v>
      </c>
      <c r="J58" s="8">
        <f t="shared" si="2"/>
        <v>442441.98</v>
      </c>
      <c r="K58" t="str">
        <f t="shared" si="3"/>
        <v>MATCHED</v>
      </c>
    </row>
    <row r="59" spans="1:11">
      <c r="A59" t="s">
        <v>98</v>
      </c>
      <c r="B59" t="s">
        <v>234</v>
      </c>
      <c r="C59" t="s">
        <v>349</v>
      </c>
      <c r="D59" t="s">
        <v>350</v>
      </c>
      <c r="E59" s="8">
        <v>240</v>
      </c>
      <c r="F59" s="8">
        <v>52370</v>
      </c>
      <c r="G59" s="8">
        <f t="shared" si="0"/>
        <v>12568800</v>
      </c>
      <c r="H59" s="5">
        <v>0.2765</v>
      </c>
      <c r="I59" s="8">
        <f t="shared" si="1"/>
        <v>12568800</v>
      </c>
      <c r="J59" s="8">
        <f t="shared" si="2"/>
        <v>3475273.2</v>
      </c>
      <c r="K59" t="str">
        <f t="shared" si="3"/>
        <v>MATCHED</v>
      </c>
    </row>
    <row r="60" spans="1:11">
      <c r="A60" t="s">
        <v>98</v>
      </c>
      <c r="B60" t="s">
        <v>234</v>
      </c>
      <c r="C60" t="s">
        <v>351</v>
      </c>
      <c r="D60" t="s">
        <v>352</v>
      </c>
      <c r="E60" s="8">
        <v>1430</v>
      </c>
      <c r="F60" s="8">
        <v>48390</v>
      </c>
      <c r="G60" s="8">
        <f t="shared" si="0"/>
        <v>69197700</v>
      </c>
      <c r="H60" s="5">
        <v>0.05</v>
      </c>
      <c r="I60" s="8">
        <f t="shared" si="1"/>
        <v>69197700</v>
      </c>
      <c r="J60" s="8">
        <f t="shared" si="2"/>
        <v>3459885</v>
      </c>
      <c r="K60" t="str">
        <f t="shared" si="3"/>
        <v>MATCHED</v>
      </c>
    </row>
    <row r="61" spans="1:11">
      <c r="A61" t="s">
        <v>98</v>
      </c>
      <c r="B61" t="s">
        <v>234</v>
      </c>
      <c r="C61" t="s">
        <v>353</v>
      </c>
      <c r="D61" t="s">
        <v>354</v>
      </c>
      <c r="E61" s="8">
        <v>5870</v>
      </c>
      <c r="F61" s="8">
        <v>38710</v>
      </c>
      <c r="G61" s="8">
        <f t="shared" si="0"/>
        <v>227227700</v>
      </c>
      <c r="H61" s="5">
        <v>0.1614</v>
      </c>
      <c r="I61" s="8">
        <f t="shared" si="1"/>
        <v>227227700</v>
      </c>
      <c r="J61" s="8">
        <f t="shared" si="2"/>
        <v>36674550.78</v>
      </c>
      <c r="K61" t="str">
        <f t="shared" si="3"/>
        <v>MATCHED</v>
      </c>
    </row>
    <row r="62" spans="1:11">
      <c r="A62" t="s">
        <v>98</v>
      </c>
      <c r="B62" t="s">
        <v>234</v>
      </c>
      <c r="C62" t="s">
        <v>355</v>
      </c>
      <c r="D62" t="s">
        <v>356</v>
      </c>
      <c r="E62" s="8">
        <v>40</v>
      </c>
      <c r="F62" s="8"/>
      <c r="G62" s="8" t="str">
        <f t="shared" si="0"/>
        <v/>
      </c>
      <c r="H62" s="5">
        <v>0.4476</v>
      </c>
      <c r="I62" s="8" t="str">
        <f t="shared" si="1"/>
        <v/>
      </c>
      <c r="J62" s="8" t="str">
        <f t="shared" si="2"/>
        <v/>
      </c>
      <c r="K62" t="str">
        <f t="shared" si="3"/>
        <v>MISSING OEWS</v>
      </c>
    </row>
    <row r="63" spans="1:11">
      <c r="A63" t="s">
        <v>98</v>
      </c>
      <c r="B63" t="s">
        <v>234</v>
      </c>
      <c r="C63" t="s">
        <v>357</v>
      </c>
      <c r="D63" t="s">
        <v>358</v>
      </c>
      <c r="E63" s="8">
        <v>50</v>
      </c>
      <c r="F63" s="8">
        <v>112040</v>
      </c>
      <c r="G63" s="8">
        <f t="shared" si="0"/>
        <v>5602000</v>
      </c>
      <c r="H63" s="5">
        <v>0.4833</v>
      </c>
      <c r="I63" s="8">
        <f t="shared" si="1"/>
        <v>5602000</v>
      </c>
      <c r="J63" s="8">
        <f t="shared" si="2"/>
        <v>2707446.6</v>
      </c>
      <c r="K63" t="str">
        <f t="shared" si="3"/>
        <v>MATCHED</v>
      </c>
    </row>
    <row r="64" spans="1:11">
      <c r="A64" t="s">
        <v>98</v>
      </c>
      <c r="B64" t="s">
        <v>234</v>
      </c>
      <c r="C64" t="s">
        <v>359</v>
      </c>
      <c r="D64" t="s">
        <v>360</v>
      </c>
      <c r="E64" s="8">
        <v>340</v>
      </c>
      <c r="F64" s="8">
        <v>43990</v>
      </c>
      <c r="G64" s="8">
        <f t="shared" si="0"/>
        <v>14956600</v>
      </c>
      <c r="H64" s="5">
        <v>0.4938</v>
      </c>
      <c r="I64" s="8">
        <f t="shared" si="1"/>
        <v>14956600</v>
      </c>
      <c r="J64" s="8">
        <f t="shared" si="2"/>
        <v>7385569.08</v>
      </c>
      <c r="K64" t="str">
        <f t="shared" si="3"/>
        <v>MATCHED</v>
      </c>
    </row>
    <row r="65" spans="1:11">
      <c r="A65" t="s">
        <v>98</v>
      </c>
      <c r="B65" t="s">
        <v>234</v>
      </c>
      <c r="C65" t="s">
        <v>361</v>
      </c>
      <c r="D65" t="s">
        <v>362</v>
      </c>
      <c r="E65" s="8">
        <v>670</v>
      </c>
      <c r="F65" s="8">
        <v>81740</v>
      </c>
      <c r="G65" s="8">
        <f t="shared" si="0"/>
        <v>54765800</v>
      </c>
      <c r="H65" s="5">
        <v>0.73</v>
      </c>
      <c r="I65" s="8">
        <f t="shared" si="1"/>
        <v>54765800</v>
      </c>
      <c r="J65" s="8">
        <f t="shared" si="2"/>
        <v>39979034</v>
      </c>
      <c r="K65" t="str">
        <f t="shared" si="3"/>
        <v>MATCHED</v>
      </c>
    </row>
    <row r="66" spans="1:11">
      <c r="A66" t="s">
        <v>98</v>
      </c>
      <c r="B66" t="s">
        <v>234</v>
      </c>
      <c r="C66" t="s">
        <v>363</v>
      </c>
      <c r="D66" t="s">
        <v>364</v>
      </c>
      <c r="E66" s="8">
        <v>1600</v>
      </c>
      <c r="F66" s="8">
        <v>76540</v>
      </c>
      <c r="G66" s="8">
        <f t="shared" ref="G66:G129" si="4">IF(OR(E66="",F66=""),"",E66*F66)</f>
        <v>122464000</v>
      </c>
      <c r="H66" s="5">
        <v>0.5105</v>
      </c>
      <c r="I66" s="8">
        <f t="shared" ref="I66:I129" si="5">IF(G66="","",IF(ISNUMBER(H66),G66,""))</f>
        <v>122464000</v>
      </c>
      <c r="J66" s="8">
        <f t="shared" ref="J66:J129" si="6">IF(I66="","",I66*H66)</f>
        <v>62517872</v>
      </c>
      <c r="K66" t="str">
        <f t="shared" ref="K66:K129" si="7">IF(G66="","MISSING OEWS",IF(ISNUMBER(H66),"MATCHED","MISSING WHARTON"))</f>
        <v>MATCHED</v>
      </c>
    </row>
    <row r="67" spans="1:11">
      <c r="A67" t="s">
        <v>98</v>
      </c>
      <c r="B67" t="s">
        <v>234</v>
      </c>
      <c r="C67" t="s">
        <v>365</v>
      </c>
      <c r="D67" t="s">
        <v>366</v>
      </c>
      <c r="E67" s="8">
        <v>70</v>
      </c>
      <c r="F67" s="8">
        <v>66120</v>
      </c>
      <c r="G67" s="8">
        <f t="shared" si="4"/>
        <v>4628400</v>
      </c>
      <c r="H67" s="5"/>
      <c r="I67" s="8" t="str">
        <f t="shared" si="5"/>
        <v/>
      </c>
      <c r="J67" s="8" t="str">
        <f t="shared" si="6"/>
        <v/>
      </c>
      <c r="K67" t="str">
        <f t="shared" si="7"/>
        <v>MISSING WHARTON</v>
      </c>
    </row>
    <row r="68" spans="1:11">
      <c r="A68" t="s">
        <v>98</v>
      </c>
      <c r="B68" t="s">
        <v>234</v>
      </c>
      <c r="C68" t="s">
        <v>367</v>
      </c>
      <c r="D68" t="s">
        <v>368</v>
      </c>
      <c r="E68" s="8">
        <v>1620</v>
      </c>
      <c r="F68" s="8">
        <v>70640</v>
      </c>
      <c r="G68" s="8">
        <f t="shared" si="4"/>
        <v>114436800</v>
      </c>
      <c r="H68" s="5">
        <v>0.5034</v>
      </c>
      <c r="I68" s="8">
        <f t="shared" si="5"/>
        <v>114436800</v>
      </c>
      <c r="J68" s="8">
        <f t="shared" si="6"/>
        <v>57607485.12</v>
      </c>
      <c r="K68" t="str">
        <f t="shared" si="7"/>
        <v>MATCHED</v>
      </c>
    </row>
    <row r="69" spans="1:11">
      <c r="A69" t="s">
        <v>98</v>
      </c>
      <c r="B69" t="s">
        <v>234</v>
      </c>
      <c r="C69" t="s">
        <v>369</v>
      </c>
      <c r="D69" t="s">
        <v>370</v>
      </c>
      <c r="E69" s="8">
        <v>50</v>
      </c>
      <c r="F69" s="8">
        <v>50560</v>
      </c>
      <c r="G69" s="8">
        <f t="shared" si="4"/>
        <v>2528000</v>
      </c>
      <c r="H69" s="5">
        <v>0.8617</v>
      </c>
      <c r="I69" s="8">
        <f t="shared" si="5"/>
        <v>2528000</v>
      </c>
      <c r="J69" s="8">
        <f t="shared" si="6"/>
        <v>2178377.6</v>
      </c>
      <c r="K69" t="str">
        <f t="shared" si="7"/>
        <v>MATCHED</v>
      </c>
    </row>
    <row r="70" spans="1:11">
      <c r="A70" t="s">
        <v>98</v>
      </c>
      <c r="B70" t="s">
        <v>234</v>
      </c>
      <c r="C70" t="s">
        <v>371</v>
      </c>
      <c r="D70" t="s">
        <v>372</v>
      </c>
      <c r="E70" s="8">
        <v>4100</v>
      </c>
      <c r="F70" s="8">
        <v>51280</v>
      </c>
      <c r="G70" s="8">
        <f t="shared" si="4"/>
        <v>210248000</v>
      </c>
      <c r="H70" s="5">
        <v>0.9517</v>
      </c>
      <c r="I70" s="8">
        <f t="shared" si="5"/>
        <v>210248000</v>
      </c>
      <c r="J70" s="8">
        <f t="shared" si="6"/>
        <v>200093021.6</v>
      </c>
      <c r="K70" t="str">
        <f t="shared" si="7"/>
        <v>MATCHED</v>
      </c>
    </row>
    <row r="71" spans="1:11">
      <c r="A71" t="s">
        <v>98</v>
      </c>
      <c r="B71" t="s">
        <v>234</v>
      </c>
      <c r="C71" t="s">
        <v>373</v>
      </c>
      <c r="D71" t="s">
        <v>374</v>
      </c>
      <c r="E71" s="8">
        <v>1180</v>
      </c>
      <c r="F71" s="8">
        <v>50080</v>
      </c>
      <c r="G71" s="8">
        <f t="shared" si="4"/>
        <v>59094400</v>
      </c>
      <c r="H71" s="5">
        <v>0.9409</v>
      </c>
      <c r="I71" s="8">
        <f t="shared" si="5"/>
        <v>59094400</v>
      </c>
      <c r="J71" s="8">
        <f t="shared" si="6"/>
        <v>55601920.96</v>
      </c>
      <c r="K71" t="str">
        <f t="shared" si="7"/>
        <v>MATCHED</v>
      </c>
    </row>
    <row r="72" spans="1:11">
      <c r="A72" t="s">
        <v>98</v>
      </c>
      <c r="B72" t="s">
        <v>234</v>
      </c>
      <c r="C72" t="s">
        <v>375</v>
      </c>
      <c r="D72" t="s">
        <v>376</v>
      </c>
      <c r="E72" s="8">
        <v>60</v>
      </c>
      <c r="F72" s="8">
        <v>54540</v>
      </c>
      <c r="G72" s="8">
        <f t="shared" si="4"/>
        <v>3272400</v>
      </c>
      <c r="H72" s="5">
        <v>0.8237</v>
      </c>
      <c r="I72" s="8">
        <f t="shared" si="5"/>
        <v>3272400</v>
      </c>
      <c r="J72" s="8">
        <f t="shared" si="6"/>
        <v>2695475.88</v>
      </c>
      <c r="K72" t="str">
        <f t="shared" si="7"/>
        <v>MATCHED</v>
      </c>
    </row>
    <row r="73" spans="1:11">
      <c r="A73" t="s">
        <v>98</v>
      </c>
      <c r="B73" t="s">
        <v>234</v>
      </c>
      <c r="C73" t="s">
        <v>377</v>
      </c>
      <c r="D73" t="s">
        <v>378</v>
      </c>
      <c r="E73" s="8">
        <v>510</v>
      </c>
      <c r="F73" s="8">
        <v>44350</v>
      </c>
      <c r="G73" s="8">
        <f t="shared" si="4"/>
        <v>22618500</v>
      </c>
      <c r="H73" s="5">
        <v>0.82</v>
      </c>
      <c r="I73" s="8">
        <f t="shared" si="5"/>
        <v>22618500</v>
      </c>
      <c r="J73" s="8">
        <f t="shared" si="6"/>
        <v>18547170</v>
      </c>
      <c r="K73" t="str">
        <f t="shared" si="7"/>
        <v>MATCHED</v>
      </c>
    </row>
    <row r="74" spans="1:11">
      <c r="A74" t="s">
        <v>98</v>
      </c>
      <c r="B74" t="s">
        <v>234</v>
      </c>
      <c r="C74" t="s">
        <v>379</v>
      </c>
      <c r="D74" t="s">
        <v>380</v>
      </c>
      <c r="E74" s="8">
        <v>50</v>
      </c>
      <c r="F74" s="8">
        <v>36750</v>
      </c>
      <c r="G74" s="8">
        <f t="shared" si="4"/>
        <v>1837500</v>
      </c>
      <c r="H74" s="5">
        <v>0.7526</v>
      </c>
      <c r="I74" s="8">
        <f t="shared" si="5"/>
        <v>1837500</v>
      </c>
      <c r="J74" s="8">
        <f t="shared" si="6"/>
        <v>1382902.5</v>
      </c>
      <c r="K74" t="str">
        <f t="shared" si="7"/>
        <v>MATCHED</v>
      </c>
    </row>
    <row r="75" spans="1:11">
      <c r="A75" t="s">
        <v>98</v>
      </c>
      <c r="B75" t="s">
        <v>234</v>
      </c>
      <c r="C75" t="s">
        <v>381</v>
      </c>
      <c r="D75" t="s">
        <v>382</v>
      </c>
      <c r="E75" s="8">
        <v>40</v>
      </c>
      <c r="F75" s="8">
        <v>43250</v>
      </c>
      <c r="G75" s="8">
        <f t="shared" si="4"/>
        <v>1730000</v>
      </c>
      <c r="H75" s="5">
        <v>0.9553</v>
      </c>
      <c r="I75" s="8">
        <f t="shared" si="5"/>
        <v>1730000</v>
      </c>
      <c r="J75" s="8">
        <f t="shared" si="6"/>
        <v>1652669</v>
      </c>
      <c r="K75" t="str">
        <f t="shared" si="7"/>
        <v>MATCHED</v>
      </c>
    </row>
    <row r="76" spans="1:11">
      <c r="A76" t="s">
        <v>98</v>
      </c>
      <c r="B76" t="s">
        <v>234</v>
      </c>
      <c r="C76" t="s">
        <v>383</v>
      </c>
      <c r="D76" t="s">
        <v>384</v>
      </c>
      <c r="E76" s="8">
        <v>320</v>
      </c>
      <c r="F76" s="8">
        <v>42230</v>
      </c>
      <c r="G76" s="8">
        <f t="shared" si="4"/>
        <v>13513600</v>
      </c>
      <c r="H76" s="5">
        <v>0.8342</v>
      </c>
      <c r="I76" s="8">
        <f t="shared" si="5"/>
        <v>13513600</v>
      </c>
      <c r="J76" s="8">
        <f t="shared" si="6"/>
        <v>11273045.12</v>
      </c>
      <c r="K76" t="str">
        <f t="shared" si="7"/>
        <v>MATCHED</v>
      </c>
    </row>
    <row r="77" spans="1:11">
      <c r="A77" t="s">
        <v>98</v>
      </c>
      <c r="B77" t="s">
        <v>234</v>
      </c>
      <c r="C77" t="s">
        <v>385</v>
      </c>
      <c r="D77" t="s">
        <v>386</v>
      </c>
      <c r="E77" s="8">
        <v>340</v>
      </c>
      <c r="F77" s="8">
        <v>40890</v>
      </c>
      <c r="G77" s="8">
        <f t="shared" si="4"/>
        <v>13902600</v>
      </c>
      <c r="H77" s="5">
        <v>0.7368</v>
      </c>
      <c r="I77" s="8">
        <f t="shared" si="5"/>
        <v>13902600</v>
      </c>
      <c r="J77" s="8">
        <f t="shared" si="6"/>
        <v>10243435.68</v>
      </c>
      <c r="K77" t="str">
        <f t="shared" si="7"/>
        <v>MATCHED</v>
      </c>
    </row>
    <row r="78" spans="1:11">
      <c r="A78" t="s">
        <v>98</v>
      </c>
      <c r="B78" t="s">
        <v>234</v>
      </c>
      <c r="C78" t="s">
        <v>387</v>
      </c>
      <c r="D78" t="s">
        <v>388</v>
      </c>
      <c r="E78" s="8">
        <v>190</v>
      </c>
      <c r="F78" s="8">
        <v>46970</v>
      </c>
      <c r="G78" s="8">
        <f t="shared" si="4"/>
        <v>8924300</v>
      </c>
      <c r="H78" s="5">
        <v>0.8192</v>
      </c>
      <c r="I78" s="8">
        <f t="shared" si="5"/>
        <v>8924300</v>
      </c>
      <c r="J78" s="8">
        <f t="shared" si="6"/>
        <v>7310786.56</v>
      </c>
      <c r="K78" t="str">
        <f t="shared" si="7"/>
        <v>MATCHED</v>
      </c>
    </row>
    <row r="79" spans="1:11">
      <c r="A79" t="s">
        <v>98</v>
      </c>
      <c r="B79" t="s">
        <v>234</v>
      </c>
      <c r="C79" t="s">
        <v>389</v>
      </c>
      <c r="D79" t="s">
        <v>390</v>
      </c>
      <c r="E79" s="8">
        <v>510</v>
      </c>
      <c r="F79" s="8">
        <v>52480</v>
      </c>
      <c r="G79" s="8">
        <f t="shared" si="4"/>
        <v>26764800</v>
      </c>
      <c r="H79" s="5">
        <v>0.7794</v>
      </c>
      <c r="I79" s="8">
        <f t="shared" si="5"/>
        <v>26764800</v>
      </c>
      <c r="J79" s="8">
        <f t="shared" si="6"/>
        <v>20860485.12</v>
      </c>
      <c r="K79" t="str">
        <f t="shared" si="7"/>
        <v>MATCHED</v>
      </c>
    </row>
    <row r="80" spans="1:11">
      <c r="A80" t="s">
        <v>98</v>
      </c>
      <c r="B80" t="s">
        <v>234</v>
      </c>
      <c r="C80" t="s">
        <v>391</v>
      </c>
      <c r="D80" t="s">
        <v>392</v>
      </c>
      <c r="E80" s="8">
        <v>2030</v>
      </c>
      <c r="F80" s="8">
        <v>44180</v>
      </c>
      <c r="G80" s="8">
        <f t="shared" si="4"/>
        <v>89685400</v>
      </c>
      <c r="H80" s="5">
        <v>0.6455</v>
      </c>
      <c r="I80" s="8">
        <f t="shared" si="5"/>
        <v>89685400</v>
      </c>
      <c r="J80" s="8">
        <f t="shared" si="6"/>
        <v>57891925.7</v>
      </c>
      <c r="K80" t="str">
        <f t="shared" si="7"/>
        <v>MATCHED</v>
      </c>
    </row>
    <row r="81" spans="1:11">
      <c r="A81" t="s">
        <v>98</v>
      </c>
      <c r="B81" t="s">
        <v>234</v>
      </c>
      <c r="C81" t="s">
        <v>393</v>
      </c>
      <c r="D81" t="s">
        <v>394</v>
      </c>
      <c r="E81" s="8">
        <v>330</v>
      </c>
      <c r="F81" s="8">
        <v>39740</v>
      </c>
      <c r="G81" s="8">
        <f t="shared" si="4"/>
        <v>13114200</v>
      </c>
      <c r="H81" s="5">
        <v>0.2932</v>
      </c>
      <c r="I81" s="8">
        <f t="shared" si="5"/>
        <v>13114200</v>
      </c>
      <c r="J81" s="8">
        <f t="shared" si="6"/>
        <v>3845083.44</v>
      </c>
      <c r="K81" t="str">
        <f t="shared" si="7"/>
        <v>MATCHED</v>
      </c>
    </row>
    <row r="82" spans="1:11">
      <c r="A82" t="s">
        <v>98</v>
      </c>
      <c r="B82" t="s">
        <v>234</v>
      </c>
      <c r="C82" t="s">
        <v>395</v>
      </c>
      <c r="D82" t="s">
        <v>396</v>
      </c>
      <c r="E82" s="8">
        <v>310</v>
      </c>
      <c r="F82" s="8">
        <v>65070</v>
      </c>
      <c r="G82" s="8">
        <f t="shared" si="4"/>
        <v>20171700</v>
      </c>
      <c r="H82" s="5">
        <v>0.7955</v>
      </c>
      <c r="I82" s="8">
        <f t="shared" si="5"/>
        <v>20171700</v>
      </c>
      <c r="J82" s="8">
        <f t="shared" si="6"/>
        <v>16046587.35</v>
      </c>
      <c r="K82" t="str">
        <f t="shared" si="7"/>
        <v>MATCHED</v>
      </c>
    </row>
    <row r="83" spans="1:11">
      <c r="A83" t="s">
        <v>98</v>
      </c>
      <c r="B83" t="s">
        <v>234</v>
      </c>
      <c r="C83" t="s">
        <v>397</v>
      </c>
      <c r="D83" t="s">
        <v>398</v>
      </c>
      <c r="E83" s="8">
        <v>3120</v>
      </c>
      <c r="F83" s="8">
        <v>45180</v>
      </c>
      <c r="G83" s="8">
        <f t="shared" si="4"/>
        <v>140961600</v>
      </c>
      <c r="H83" s="5">
        <v>0.8031</v>
      </c>
      <c r="I83" s="8">
        <f t="shared" si="5"/>
        <v>140961600</v>
      </c>
      <c r="J83" s="8">
        <f t="shared" si="6"/>
        <v>113206260.96</v>
      </c>
      <c r="K83" t="str">
        <f t="shared" si="7"/>
        <v>MATCHED</v>
      </c>
    </row>
    <row r="84" spans="1:11">
      <c r="A84" t="s">
        <v>98</v>
      </c>
      <c r="B84" t="s">
        <v>234</v>
      </c>
      <c r="C84" t="s">
        <v>399</v>
      </c>
      <c r="D84" t="s">
        <v>400</v>
      </c>
      <c r="E84" s="8">
        <v>190</v>
      </c>
      <c r="F84" s="8">
        <v>43150</v>
      </c>
      <c r="G84" s="8">
        <f t="shared" si="4"/>
        <v>8198500</v>
      </c>
      <c r="H84" s="5">
        <v>0.75</v>
      </c>
      <c r="I84" s="8">
        <f t="shared" si="5"/>
        <v>8198500</v>
      </c>
      <c r="J84" s="8">
        <f t="shared" si="6"/>
        <v>6148875</v>
      </c>
      <c r="K84" t="str">
        <f t="shared" si="7"/>
        <v>MATCHED</v>
      </c>
    </row>
    <row r="85" spans="1:11">
      <c r="A85" t="s">
        <v>98</v>
      </c>
      <c r="B85" t="s">
        <v>234</v>
      </c>
      <c r="C85" t="s">
        <v>401</v>
      </c>
      <c r="D85" t="s">
        <v>402</v>
      </c>
      <c r="E85" s="8">
        <v>6690</v>
      </c>
      <c r="F85" s="8">
        <v>43740</v>
      </c>
      <c r="G85" s="8">
        <f t="shared" si="4"/>
        <v>292620600</v>
      </c>
      <c r="H85" s="5">
        <v>0.7452</v>
      </c>
      <c r="I85" s="8">
        <f t="shared" si="5"/>
        <v>292620600</v>
      </c>
      <c r="J85" s="8">
        <f t="shared" si="6"/>
        <v>218060871.12</v>
      </c>
      <c r="K85" t="str">
        <f t="shared" si="7"/>
        <v>MATCHED</v>
      </c>
    </row>
    <row r="86" spans="1:11">
      <c r="A86" t="s">
        <v>98</v>
      </c>
      <c r="B86" t="s">
        <v>234</v>
      </c>
      <c r="C86" t="s">
        <v>403</v>
      </c>
      <c r="D86" t="s">
        <v>404</v>
      </c>
      <c r="E86" s="8">
        <v>15210</v>
      </c>
      <c r="F86" s="8">
        <v>61180</v>
      </c>
      <c r="G86" s="8">
        <f t="shared" si="4"/>
        <v>930547800</v>
      </c>
      <c r="H86" s="5">
        <v>0.22</v>
      </c>
      <c r="I86" s="8">
        <f t="shared" si="5"/>
        <v>930547800</v>
      </c>
      <c r="J86" s="8">
        <f t="shared" si="6"/>
        <v>204720516</v>
      </c>
      <c r="K86" t="str">
        <f t="shared" si="7"/>
        <v>MATCHED</v>
      </c>
    </row>
    <row r="87" spans="1:11">
      <c r="A87" t="s">
        <v>98</v>
      </c>
      <c r="B87" t="s">
        <v>234</v>
      </c>
      <c r="C87" t="s">
        <v>405</v>
      </c>
      <c r="D87" t="s">
        <v>406</v>
      </c>
      <c r="E87" s="8">
        <v>330</v>
      </c>
      <c r="F87" s="8">
        <v>47440</v>
      </c>
      <c r="G87" s="8">
        <f t="shared" si="4"/>
        <v>15655200</v>
      </c>
      <c r="H87" s="5">
        <v>0.15</v>
      </c>
      <c r="I87" s="8">
        <f t="shared" si="5"/>
        <v>15655200</v>
      </c>
      <c r="J87" s="8">
        <f t="shared" si="6"/>
        <v>2348280</v>
      </c>
      <c r="K87" t="str">
        <f t="shared" si="7"/>
        <v>MATCHED</v>
      </c>
    </row>
    <row r="88" spans="1:11">
      <c r="A88" t="s">
        <v>98</v>
      </c>
      <c r="B88" t="s">
        <v>234</v>
      </c>
      <c r="C88" t="s">
        <v>407</v>
      </c>
      <c r="D88" t="s">
        <v>408</v>
      </c>
      <c r="E88" s="8">
        <v>750</v>
      </c>
      <c r="F88" s="8">
        <v>55060</v>
      </c>
      <c r="G88" s="8">
        <f t="shared" si="4"/>
        <v>41295000</v>
      </c>
      <c r="H88" s="5">
        <v>0.0396</v>
      </c>
      <c r="I88" s="8">
        <f t="shared" si="5"/>
        <v>41295000</v>
      </c>
      <c r="J88" s="8">
        <f t="shared" si="6"/>
        <v>1635282</v>
      </c>
      <c r="K88" t="str">
        <f t="shared" si="7"/>
        <v>MATCHED</v>
      </c>
    </row>
    <row r="89" spans="1:11">
      <c r="A89" t="s">
        <v>98</v>
      </c>
      <c r="B89" t="s">
        <v>234</v>
      </c>
      <c r="C89" t="s">
        <v>409</v>
      </c>
      <c r="D89" t="s">
        <v>410</v>
      </c>
      <c r="E89" s="8">
        <v>8620</v>
      </c>
      <c r="F89" s="8">
        <v>35040</v>
      </c>
      <c r="G89" s="8">
        <f t="shared" si="4"/>
        <v>302044800</v>
      </c>
      <c r="H89" s="5">
        <v>0.1583</v>
      </c>
      <c r="I89" s="8">
        <f t="shared" si="5"/>
        <v>302044800</v>
      </c>
      <c r="J89" s="8">
        <f t="shared" si="6"/>
        <v>47813691.84</v>
      </c>
      <c r="K89" t="str">
        <f t="shared" si="7"/>
        <v>MATCHED</v>
      </c>
    </row>
    <row r="90" spans="1:11">
      <c r="A90" t="s">
        <v>98</v>
      </c>
      <c r="B90" t="s">
        <v>234</v>
      </c>
      <c r="C90" t="s">
        <v>411</v>
      </c>
      <c r="D90" t="s">
        <v>412</v>
      </c>
      <c r="E90" s="8">
        <v>14820</v>
      </c>
      <c r="F90" s="8">
        <v>40290</v>
      </c>
      <c r="G90" s="8">
        <f t="shared" si="4"/>
        <v>597097800</v>
      </c>
      <c r="H90" s="5">
        <v>0.0559</v>
      </c>
      <c r="I90" s="8">
        <f t="shared" si="5"/>
        <v>597097800</v>
      </c>
      <c r="J90" s="8">
        <f t="shared" si="6"/>
        <v>33377767.02</v>
      </c>
      <c r="K90" t="str">
        <f t="shared" si="7"/>
        <v>MATCHED</v>
      </c>
    </row>
    <row r="91" spans="1:11">
      <c r="A91" t="s">
        <v>98</v>
      </c>
      <c r="B91" t="s">
        <v>234</v>
      </c>
      <c r="C91" t="s">
        <v>413</v>
      </c>
      <c r="D91" t="s">
        <v>414</v>
      </c>
      <c r="E91" s="8">
        <v>196100</v>
      </c>
      <c r="F91" s="8">
        <v>37360</v>
      </c>
      <c r="G91" s="8">
        <f t="shared" si="4"/>
        <v>7326296000</v>
      </c>
      <c r="H91" s="5">
        <v>0.0633</v>
      </c>
      <c r="I91" s="8">
        <f t="shared" si="5"/>
        <v>7326296000</v>
      </c>
      <c r="J91" s="8">
        <f t="shared" si="6"/>
        <v>463754536.8</v>
      </c>
      <c r="K91" t="str">
        <f t="shared" si="7"/>
        <v>MATCHED</v>
      </c>
    </row>
    <row r="92" spans="1:11">
      <c r="A92" t="s">
        <v>98</v>
      </c>
      <c r="B92" t="s">
        <v>234</v>
      </c>
      <c r="C92" t="s">
        <v>415</v>
      </c>
      <c r="D92" t="s">
        <v>416</v>
      </c>
      <c r="E92" s="8">
        <v>12770</v>
      </c>
      <c r="F92" s="8">
        <v>37490</v>
      </c>
      <c r="G92" s="8">
        <f t="shared" si="4"/>
        <v>478747300</v>
      </c>
      <c r="H92" s="5">
        <v>0.0864</v>
      </c>
      <c r="I92" s="8">
        <f t="shared" si="5"/>
        <v>478747300</v>
      </c>
      <c r="J92" s="8">
        <f t="shared" si="6"/>
        <v>41363766.72</v>
      </c>
      <c r="K92" t="str">
        <f t="shared" si="7"/>
        <v>MATCHED</v>
      </c>
    </row>
    <row r="93" spans="1:11">
      <c r="A93" t="s">
        <v>98</v>
      </c>
      <c r="B93" t="s">
        <v>234</v>
      </c>
      <c r="C93" t="s">
        <v>417</v>
      </c>
      <c r="D93" t="s">
        <v>418</v>
      </c>
      <c r="E93" s="8">
        <v>440</v>
      </c>
      <c r="F93" s="8">
        <v>43630</v>
      </c>
      <c r="G93" s="8">
        <f t="shared" si="4"/>
        <v>19197200</v>
      </c>
      <c r="H93" s="5"/>
      <c r="I93" s="8" t="str">
        <f t="shared" si="5"/>
        <v/>
      </c>
      <c r="J93" s="8" t="str">
        <f t="shared" si="6"/>
        <v/>
      </c>
      <c r="K93" t="str">
        <f t="shared" si="7"/>
        <v>MISSING WHARTON</v>
      </c>
    </row>
    <row r="94" spans="1:11">
      <c r="A94" t="s">
        <v>98</v>
      </c>
      <c r="B94" t="s">
        <v>234</v>
      </c>
      <c r="C94" t="s">
        <v>419</v>
      </c>
      <c r="D94" t="s">
        <v>420</v>
      </c>
      <c r="E94" s="8">
        <v>2440</v>
      </c>
      <c r="F94" s="8">
        <v>57740</v>
      </c>
      <c r="G94" s="8">
        <f t="shared" si="4"/>
        <v>140885600</v>
      </c>
      <c r="H94" s="5">
        <v>0</v>
      </c>
      <c r="I94" s="8">
        <f t="shared" si="5"/>
        <v>140885600</v>
      </c>
      <c r="J94" s="8">
        <f t="shared" si="6"/>
        <v>0</v>
      </c>
      <c r="K94" t="str">
        <f t="shared" si="7"/>
        <v>MATCHED</v>
      </c>
    </row>
    <row r="95" spans="1:11">
      <c r="A95" t="s">
        <v>98</v>
      </c>
      <c r="B95" t="s">
        <v>234</v>
      </c>
      <c r="C95" t="s">
        <v>421</v>
      </c>
      <c r="D95" t="s">
        <v>422</v>
      </c>
      <c r="E95" s="8">
        <v>16680</v>
      </c>
      <c r="F95" s="8">
        <v>54350</v>
      </c>
      <c r="G95" s="8">
        <f t="shared" si="4"/>
        <v>906558000</v>
      </c>
      <c r="H95" s="5">
        <v>0.2111</v>
      </c>
      <c r="I95" s="8">
        <f t="shared" si="5"/>
        <v>906558000</v>
      </c>
      <c r="J95" s="8">
        <f t="shared" si="6"/>
        <v>191374393.8</v>
      </c>
      <c r="K95" t="str">
        <f t="shared" si="7"/>
        <v>MATCHED</v>
      </c>
    </row>
    <row r="96" spans="1:11">
      <c r="A96" t="s">
        <v>98</v>
      </c>
      <c r="B96" t="s">
        <v>234</v>
      </c>
      <c r="C96" t="s">
        <v>423</v>
      </c>
      <c r="D96" t="s">
        <v>424</v>
      </c>
      <c r="E96" s="8">
        <v>120</v>
      </c>
      <c r="F96" s="8">
        <v>61790</v>
      </c>
      <c r="G96" s="8">
        <f t="shared" si="4"/>
        <v>7414800</v>
      </c>
      <c r="H96" s="5">
        <v>0.1462</v>
      </c>
      <c r="I96" s="8">
        <f t="shared" si="5"/>
        <v>7414800</v>
      </c>
      <c r="J96" s="8">
        <f t="shared" si="6"/>
        <v>1084043.76</v>
      </c>
      <c r="K96" t="str">
        <f t="shared" si="7"/>
        <v>MATCHED</v>
      </c>
    </row>
    <row r="97" spans="1:11">
      <c r="A97" t="s">
        <v>98</v>
      </c>
      <c r="B97" t="s">
        <v>234</v>
      </c>
      <c r="C97" t="s">
        <v>425</v>
      </c>
      <c r="D97" t="s">
        <v>426</v>
      </c>
      <c r="E97" s="8">
        <v>1420</v>
      </c>
      <c r="F97" s="8">
        <v>53780</v>
      </c>
      <c r="G97" s="8">
        <f t="shared" si="4"/>
        <v>76367600</v>
      </c>
      <c r="H97" s="5"/>
      <c r="I97" s="8" t="str">
        <f t="shared" si="5"/>
        <v/>
      </c>
      <c r="J97" s="8" t="str">
        <f t="shared" si="6"/>
        <v/>
      </c>
      <c r="K97" t="str">
        <f t="shared" si="7"/>
        <v>MISSING WHARTON</v>
      </c>
    </row>
    <row r="98" spans="1:11">
      <c r="A98" t="s">
        <v>98</v>
      </c>
      <c r="B98" t="s">
        <v>234</v>
      </c>
      <c r="C98" t="s">
        <v>427</v>
      </c>
      <c r="D98" t="s">
        <v>428</v>
      </c>
      <c r="E98" s="8">
        <v>100</v>
      </c>
      <c r="F98" s="8">
        <v>55940</v>
      </c>
      <c r="G98" s="8">
        <f t="shared" si="4"/>
        <v>5594000</v>
      </c>
      <c r="H98" s="5">
        <v>0.081</v>
      </c>
      <c r="I98" s="8">
        <f t="shared" si="5"/>
        <v>5594000</v>
      </c>
      <c r="J98" s="8">
        <f t="shared" si="6"/>
        <v>453114</v>
      </c>
      <c r="K98" t="str">
        <f t="shared" si="7"/>
        <v>MATCHED</v>
      </c>
    </row>
    <row r="99" spans="1:11">
      <c r="A99" t="s">
        <v>98</v>
      </c>
      <c r="B99" t="s">
        <v>234</v>
      </c>
      <c r="C99" t="s">
        <v>429</v>
      </c>
      <c r="D99" t="s">
        <v>430</v>
      </c>
      <c r="E99" s="8">
        <v>560</v>
      </c>
      <c r="F99" s="8">
        <v>63880</v>
      </c>
      <c r="G99" s="8">
        <f t="shared" si="4"/>
        <v>35772800</v>
      </c>
      <c r="H99" s="5">
        <v>0.0589</v>
      </c>
      <c r="I99" s="8">
        <f t="shared" si="5"/>
        <v>35772800</v>
      </c>
      <c r="J99" s="8">
        <f t="shared" si="6"/>
        <v>2107017.92</v>
      </c>
      <c r="K99" t="str">
        <f t="shared" si="7"/>
        <v>MATCHED</v>
      </c>
    </row>
    <row r="100" spans="1:11">
      <c r="A100" t="s">
        <v>98</v>
      </c>
      <c r="B100" t="s">
        <v>234</v>
      </c>
      <c r="C100" t="s">
        <v>431</v>
      </c>
      <c r="D100" t="s">
        <v>432</v>
      </c>
      <c r="E100" s="8">
        <v>100</v>
      </c>
      <c r="F100" s="8">
        <v>72210</v>
      </c>
      <c r="G100" s="8">
        <f t="shared" si="4"/>
        <v>7221000</v>
      </c>
      <c r="H100" s="5">
        <v>0.0786</v>
      </c>
      <c r="I100" s="8">
        <f t="shared" si="5"/>
        <v>7221000</v>
      </c>
      <c r="J100" s="8">
        <f t="shared" si="6"/>
        <v>567570.6</v>
      </c>
      <c r="K100" t="str">
        <f t="shared" si="7"/>
        <v>MATCHED</v>
      </c>
    </row>
    <row r="101" spans="1:11">
      <c r="A101" t="s">
        <v>98</v>
      </c>
      <c r="B101" t="s">
        <v>234</v>
      </c>
      <c r="C101" t="s">
        <v>433</v>
      </c>
      <c r="D101" t="s">
        <v>434</v>
      </c>
      <c r="E101" s="8">
        <v>730</v>
      </c>
      <c r="F101" s="8">
        <v>77410</v>
      </c>
      <c r="G101" s="8">
        <f t="shared" si="4"/>
        <v>56509300</v>
      </c>
      <c r="H101" s="5">
        <v>0.3523</v>
      </c>
      <c r="I101" s="8">
        <f t="shared" si="5"/>
        <v>56509300</v>
      </c>
      <c r="J101" s="8">
        <f t="shared" si="6"/>
        <v>19908226.39</v>
      </c>
      <c r="K101" t="str">
        <f t="shared" si="7"/>
        <v>MATCHED</v>
      </c>
    </row>
    <row r="102" spans="1:11">
      <c r="A102" t="s">
        <v>98</v>
      </c>
      <c r="B102" t="s">
        <v>234</v>
      </c>
      <c r="C102" t="s">
        <v>435</v>
      </c>
      <c r="D102" t="s">
        <v>436</v>
      </c>
      <c r="E102" s="8">
        <v>210</v>
      </c>
      <c r="F102" s="8">
        <v>55290</v>
      </c>
      <c r="G102" s="8">
        <f t="shared" si="4"/>
        <v>11610900</v>
      </c>
      <c r="H102" s="5">
        <v>0.0434</v>
      </c>
      <c r="I102" s="8">
        <f t="shared" si="5"/>
        <v>11610900</v>
      </c>
      <c r="J102" s="8">
        <f t="shared" si="6"/>
        <v>503913.06</v>
      </c>
      <c r="K102" t="str">
        <f t="shared" si="7"/>
        <v>MATCHED</v>
      </c>
    </row>
    <row r="103" spans="1:11">
      <c r="A103" t="s">
        <v>98</v>
      </c>
      <c r="B103" t="s">
        <v>234</v>
      </c>
      <c r="C103" t="s">
        <v>437</v>
      </c>
      <c r="D103" t="s">
        <v>438</v>
      </c>
      <c r="E103" s="8">
        <v>340</v>
      </c>
      <c r="F103" s="8">
        <v>55570</v>
      </c>
      <c r="G103" s="8">
        <f t="shared" si="4"/>
        <v>18893800</v>
      </c>
      <c r="H103" s="5">
        <v>0</v>
      </c>
      <c r="I103" s="8">
        <f t="shared" si="5"/>
        <v>18893800</v>
      </c>
      <c r="J103" s="8">
        <f t="shared" si="6"/>
        <v>0</v>
      </c>
      <c r="K103" t="str">
        <f t="shared" si="7"/>
        <v>MATCHED</v>
      </c>
    </row>
    <row r="104" spans="1:11">
      <c r="A104" t="s">
        <v>98</v>
      </c>
      <c r="B104" t="s">
        <v>234</v>
      </c>
      <c r="C104" t="s">
        <v>439</v>
      </c>
      <c r="D104" t="s">
        <v>440</v>
      </c>
      <c r="E104" s="8">
        <v>3270</v>
      </c>
      <c r="F104" s="8">
        <v>47960</v>
      </c>
      <c r="G104" s="8">
        <f t="shared" si="4"/>
        <v>156829200</v>
      </c>
      <c r="H104" s="5">
        <v>0.1357</v>
      </c>
      <c r="I104" s="8">
        <f t="shared" si="5"/>
        <v>156829200</v>
      </c>
      <c r="J104" s="8">
        <f t="shared" si="6"/>
        <v>21281722.44</v>
      </c>
      <c r="K104" t="str">
        <f t="shared" si="7"/>
        <v>MATCHED</v>
      </c>
    </row>
    <row r="105" spans="1:11">
      <c r="A105" t="s">
        <v>98</v>
      </c>
      <c r="B105" t="s">
        <v>234</v>
      </c>
      <c r="C105" t="s">
        <v>441</v>
      </c>
      <c r="D105" t="s">
        <v>442</v>
      </c>
      <c r="E105" s="8">
        <v>1300</v>
      </c>
      <c r="F105" s="8">
        <v>57410</v>
      </c>
      <c r="G105" s="8">
        <f t="shared" si="4"/>
        <v>74633000</v>
      </c>
      <c r="H105" s="5">
        <v>0.1425</v>
      </c>
      <c r="I105" s="8">
        <f t="shared" si="5"/>
        <v>74633000</v>
      </c>
      <c r="J105" s="8">
        <f t="shared" si="6"/>
        <v>10635202.5</v>
      </c>
      <c r="K105" t="str">
        <f t="shared" si="7"/>
        <v>MATCHED</v>
      </c>
    </row>
    <row r="106" spans="1:11">
      <c r="A106" t="s">
        <v>98</v>
      </c>
      <c r="B106" t="s">
        <v>234</v>
      </c>
      <c r="C106" t="s">
        <v>443</v>
      </c>
      <c r="D106" t="s">
        <v>444</v>
      </c>
      <c r="E106" s="8">
        <v>90</v>
      </c>
      <c r="F106" s="8">
        <v>62960</v>
      </c>
      <c r="G106" s="8">
        <f t="shared" si="4"/>
        <v>5666400</v>
      </c>
      <c r="H106" s="5">
        <v>0.0867</v>
      </c>
      <c r="I106" s="8">
        <f t="shared" si="5"/>
        <v>5666400</v>
      </c>
      <c r="J106" s="8">
        <f t="shared" si="6"/>
        <v>491276.88</v>
      </c>
      <c r="K106" t="str">
        <f t="shared" si="7"/>
        <v>MATCHED</v>
      </c>
    </row>
    <row r="107" spans="1:11">
      <c r="A107" t="s">
        <v>98</v>
      </c>
      <c r="B107" t="s">
        <v>234</v>
      </c>
      <c r="C107" t="s">
        <v>445</v>
      </c>
      <c r="D107" t="s">
        <v>446</v>
      </c>
      <c r="E107" s="8">
        <v>1120</v>
      </c>
      <c r="F107" s="8">
        <v>56980</v>
      </c>
      <c r="G107" s="8">
        <f t="shared" si="4"/>
        <v>63817600</v>
      </c>
      <c r="H107" s="5">
        <v>0.25</v>
      </c>
      <c r="I107" s="8">
        <f t="shared" si="5"/>
        <v>63817600</v>
      </c>
      <c r="J107" s="8">
        <f t="shared" si="6"/>
        <v>15954400</v>
      </c>
      <c r="K107" t="str">
        <f t="shared" si="7"/>
        <v>MATCHED</v>
      </c>
    </row>
    <row r="108" spans="1:11">
      <c r="A108" t="s">
        <v>98</v>
      </c>
      <c r="B108" t="s">
        <v>234</v>
      </c>
      <c r="C108" t="s">
        <v>447</v>
      </c>
      <c r="D108" t="s">
        <v>448</v>
      </c>
      <c r="E108" s="8">
        <v>250</v>
      </c>
      <c r="F108" s="8">
        <v>45340</v>
      </c>
      <c r="G108" s="8">
        <f t="shared" si="4"/>
        <v>11335000</v>
      </c>
      <c r="H108" s="5">
        <v>0.0528</v>
      </c>
      <c r="I108" s="8">
        <f t="shared" si="5"/>
        <v>11335000</v>
      </c>
      <c r="J108" s="8">
        <f t="shared" si="6"/>
        <v>598488</v>
      </c>
      <c r="K108" t="str">
        <f t="shared" si="7"/>
        <v>MATCHED</v>
      </c>
    </row>
    <row r="109" spans="1:11">
      <c r="A109" t="s">
        <v>98</v>
      </c>
      <c r="B109" t="s">
        <v>234</v>
      </c>
      <c r="C109" t="s">
        <v>449</v>
      </c>
      <c r="D109" t="s">
        <v>450</v>
      </c>
      <c r="E109" s="8">
        <v>3160</v>
      </c>
      <c r="F109" s="8">
        <v>47020</v>
      </c>
      <c r="G109" s="8">
        <f t="shared" si="4"/>
        <v>148583200</v>
      </c>
      <c r="H109" s="5">
        <v>0.0867</v>
      </c>
      <c r="I109" s="8">
        <f t="shared" si="5"/>
        <v>148583200</v>
      </c>
      <c r="J109" s="8">
        <f t="shared" si="6"/>
        <v>12882163.44</v>
      </c>
      <c r="K109" t="str">
        <f t="shared" si="7"/>
        <v>MATCHED</v>
      </c>
    </row>
    <row r="110" spans="1:11">
      <c r="A110" t="s">
        <v>98</v>
      </c>
      <c r="B110" t="s">
        <v>234</v>
      </c>
      <c r="C110" t="s">
        <v>451</v>
      </c>
      <c r="D110" t="s">
        <v>452</v>
      </c>
      <c r="E110" s="8">
        <v>220</v>
      </c>
      <c r="F110" s="8"/>
      <c r="G110" s="8" t="str">
        <f t="shared" si="4"/>
        <v/>
      </c>
      <c r="H110" s="5">
        <v>0.0594</v>
      </c>
      <c r="I110" s="8" t="str">
        <f t="shared" si="5"/>
        <v/>
      </c>
      <c r="J110" s="8" t="str">
        <f t="shared" si="6"/>
        <v/>
      </c>
      <c r="K110" t="str">
        <f t="shared" si="7"/>
        <v>MISSING OEWS</v>
      </c>
    </row>
    <row r="111" spans="1:11">
      <c r="A111" t="s">
        <v>98</v>
      </c>
      <c r="B111" t="s">
        <v>234</v>
      </c>
      <c r="C111" t="s">
        <v>453</v>
      </c>
      <c r="D111" t="s">
        <v>454</v>
      </c>
      <c r="E111" s="8">
        <v>60</v>
      </c>
      <c r="F111" s="8">
        <v>50350</v>
      </c>
      <c r="G111" s="8">
        <f t="shared" si="4"/>
        <v>3021000</v>
      </c>
      <c r="H111" s="5">
        <v>0.1667</v>
      </c>
      <c r="I111" s="8">
        <f t="shared" si="5"/>
        <v>3021000</v>
      </c>
      <c r="J111" s="8">
        <f t="shared" si="6"/>
        <v>503600.7</v>
      </c>
      <c r="K111" t="str">
        <f t="shared" si="7"/>
        <v>MATCHED</v>
      </c>
    </row>
    <row r="112" spans="1:11">
      <c r="A112" t="s">
        <v>98</v>
      </c>
      <c r="B112" t="s">
        <v>234</v>
      </c>
      <c r="C112" t="s">
        <v>455</v>
      </c>
      <c r="D112" t="s">
        <v>456</v>
      </c>
      <c r="E112" s="8">
        <v>1500</v>
      </c>
      <c r="F112" s="8">
        <v>62390</v>
      </c>
      <c r="G112" s="8">
        <f t="shared" si="4"/>
        <v>93585000</v>
      </c>
      <c r="H112" s="5">
        <v>0.3775</v>
      </c>
      <c r="I112" s="8">
        <f t="shared" si="5"/>
        <v>93585000</v>
      </c>
      <c r="J112" s="8">
        <f t="shared" si="6"/>
        <v>35328337.5</v>
      </c>
      <c r="K112" t="str">
        <f t="shared" si="7"/>
        <v>MATCHED</v>
      </c>
    </row>
    <row r="113" spans="1:11">
      <c r="A113" t="s">
        <v>98</v>
      </c>
      <c r="B113" t="s">
        <v>234</v>
      </c>
      <c r="C113" t="s">
        <v>457</v>
      </c>
      <c r="D113" t="s">
        <v>458</v>
      </c>
      <c r="E113" s="8">
        <v>50</v>
      </c>
      <c r="F113" s="8">
        <v>37370</v>
      </c>
      <c r="G113" s="8">
        <f t="shared" si="4"/>
        <v>1868500</v>
      </c>
      <c r="H113" s="5">
        <v>0.15</v>
      </c>
      <c r="I113" s="8">
        <f t="shared" si="5"/>
        <v>1868500</v>
      </c>
      <c r="J113" s="8">
        <f t="shared" si="6"/>
        <v>280275</v>
      </c>
      <c r="K113" t="str">
        <f t="shared" si="7"/>
        <v>MATCHED</v>
      </c>
    </row>
    <row r="114" spans="1:11">
      <c r="A114" t="s">
        <v>98</v>
      </c>
      <c r="B114" t="s">
        <v>234</v>
      </c>
      <c r="C114" t="s">
        <v>459</v>
      </c>
      <c r="D114" t="s">
        <v>460</v>
      </c>
      <c r="E114" s="8">
        <v>570</v>
      </c>
      <c r="F114" s="8">
        <v>41400</v>
      </c>
      <c r="G114" s="8">
        <f t="shared" si="4"/>
        <v>23598000</v>
      </c>
      <c r="H114" s="5">
        <v>0.0475</v>
      </c>
      <c r="I114" s="8">
        <f t="shared" si="5"/>
        <v>23598000</v>
      </c>
      <c r="J114" s="8">
        <f t="shared" si="6"/>
        <v>1120905</v>
      </c>
      <c r="K114" t="str">
        <f t="shared" si="7"/>
        <v>MATCHED</v>
      </c>
    </row>
    <row r="115" spans="1:11">
      <c r="A115" t="s">
        <v>98</v>
      </c>
      <c r="B115" t="s">
        <v>234</v>
      </c>
      <c r="C115" t="s">
        <v>461</v>
      </c>
      <c r="D115" t="s">
        <v>462</v>
      </c>
      <c r="E115" s="8"/>
      <c r="F115" s="8">
        <v>37950</v>
      </c>
      <c r="G115" s="8" t="str">
        <f t="shared" si="4"/>
        <v/>
      </c>
      <c r="H115" s="5">
        <v>0.038</v>
      </c>
      <c r="I115" s="8" t="str">
        <f t="shared" si="5"/>
        <v/>
      </c>
      <c r="J115" s="8" t="str">
        <f t="shared" si="6"/>
        <v/>
      </c>
      <c r="K115" t="str">
        <f t="shared" si="7"/>
        <v>MISSING OEWS</v>
      </c>
    </row>
    <row r="116" spans="1:11">
      <c r="A116" t="s">
        <v>98</v>
      </c>
      <c r="B116" t="s">
        <v>234</v>
      </c>
      <c r="C116" t="s">
        <v>463</v>
      </c>
      <c r="D116" t="s">
        <v>464</v>
      </c>
      <c r="E116" s="8">
        <v>360</v>
      </c>
      <c r="F116" s="8">
        <v>31980</v>
      </c>
      <c r="G116" s="8">
        <f t="shared" si="4"/>
        <v>11512800</v>
      </c>
      <c r="H116" s="5"/>
      <c r="I116" s="8" t="str">
        <f t="shared" si="5"/>
        <v/>
      </c>
      <c r="J116" s="8" t="str">
        <f t="shared" si="6"/>
        <v/>
      </c>
      <c r="K116" t="str">
        <f t="shared" si="7"/>
        <v>MISSING WHARTON</v>
      </c>
    </row>
    <row r="117" spans="1:11">
      <c r="A117" t="s">
        <v>98</v>
      </c>
      <c r="B117" t="s">
        <v>234</v>
      </c>
      <c r="C117" t="s">
        <v>465</v>
      </c>
      <c r="D117" t="s">
        <v>466</v>
      </c>
      <c r="E117" s="8">
        <v>280</v>
      </c>
      <c r="F117" s="8">
        <v>49290</v>
      </c>
      <c r="G117" s="8">
        <f t="shared" si="4"/>
        <v>13801200</v>
      </c>
      <c r="H117" s="5">
        <v>0.0233</v>
      </c>
      <c r="I117" s="8">
        <f t="shared" si="5"/>
        <v>13801200</v>
      </c>
      <c r="J117" s="8">
        <f t="shared" si="6"/>
        <v>321567.96</v>
      </c>
      <c r="K117" t="str">
        <f t="shared" si="7"/>
        <v>MATCHED</v>
      </c>
    </row>
    <row r="118" spans="1:11">
      <c r="A118" t="s">
        <v>98</v>
      </c>
      <c r="B118" t="s">
        <v>234</v>
      </c>
      <c r="C118" t="s">
        <v>467</v>
      </c>
      <c r="D118" t="s">
        <v>468</v>
      </c>
      <c r="E118" s="8">
        <v>430</v>
      </c>
      <c r="F118" s="8">
        <v>50280</v>
      </c>
      <c r="G118" s="8">
        <f t="shared" si="4"/>
        <v>21620400</v>
      </c>
      <c r="H118" s="5">
        <v>0</v>
      </c>
      <c r="I118" s="8">
        <f t="shared" si="5"/>
        <v>21620400</v>
      </c>
      <c r="J118" s="8">
        <f t="shared" si="6"/>
        <v>0</v>
      </c>
      <c r="K118" t="str">
        <f t="shared" si="7"/>
        <v>MATCHED</v>
      </c>
    </row>
    <row r="119" spans="1:11">
      <c r="A119" t="s">
        <v>98</v>
      </c>
      <c r="B119" t="s">
        <v>234</v>
      </c>
      <c r="C119" t="s">
        <v>469</v>
      </c>
      <c r="D119" t="s">
        <v>470</v>
      </c>
      <c r="E119" s="8">
        <v>740</v>
      </c>
      <c r="F119" s="8">
        <v>44300</v>
      </c>
      <c r="G119" s="8">
        <f t="shared" si="4"/>
        <v>32782000</v>
      </c>
      <c r="H119" s="5">
        <v>0.0452</v>
      </c>
      <c r="I119" s="8">
        <f t="shared" si="5"/>
        <v>32782000</v>
      </c>
      <c r="J119" s="8">
        <f t="shared" si="6"/>
        <v>1481746.4</v>
      </c>
      <c r="K119" t="str">
        <f t="shared" si="7"/>
        <v>MATCHED</v>
      </c>
    </row>
    <row r="120" spans="1:11">
      <c r="A120" t="s">
        <v>98</v>
      </c>
      <c r="B120" t="s">
        <v>234</v>
      </c>
      <c r="C120" t="s">
        <v>471</v>
      </c>
      <c r="D120" t="s">
        <v>472</v>
      </c>
      <c r="E120" s="8">
        <v>130</v>
      </c>
      <c r="F120" s="8">
        <v>47210</v>
      </c>
      <c r="G120" s="8">
        <f t="shared" si="4"/>
        <v>6137300</v>
      </c>
      <c r="H120" s="5">
        <v>0.0864</v>
      </c>
      <c r="I120" s="8">
        <f t="shared" si="5"/>
        <v>6137300</v>
      </c>
      <c r="J120" s="8">
        <f t="shared" si="6"/>
        <v>530262.72</v>
      </c>
      <c r="K120" t="str">
        <f t="shared" si="7"/>
        <v>MATCHED</v>
      </c>
    </row>
    <row r="121" spans="1:11">
      <c r="A121" t="s">
        <v>98</v>
      </c>
      <c r="B121" t="s">
        <v>234</v>
      </c>
      <c r="C121" t="s">
        <v>473</v>
      </c>
      <c r="D121" t="s">
        <v>474</v>
      </c>
      <c r="E121" s="8">
        <v>230</v>
      </c>
      <c r="F121" s="8">
        <v>44480</v>
      </c>
      <c r="G121" s="8">
        <f t="shared" si="4"/>
        <v>10230400</v>
      </c>
      <c r="H121" s="5">
        <v>0.1026</v>
      </c>
      <c r="I121" s="8">
        <f t="shared" si="5"/>
        <v>10230400</v>
      </c>
      <c r="J121" s="8">
        <f t="shared" si="6"/>
        <v>1049639.04</v>
      </c>
      <c r="K121" t="str">
        <f t="shared" si="7"/>
        <v>MATCHED</v>
      </c>
    </row>
    <row r="122" spans="1:11">
      <c r="A122" t="s">
        <v>98</v>
      </c>
      <c r="B122" t="s">
        <v>234</v>
      </c>
      <c r="C122" t="s">
        <v>475</v>
      </c>
      <c r="D122" t="s">
        <v>476</v>
      </c>
      <c r="E122" s="8"/>
      <c r="F122" s="8">
        <v>36820</v>
      </c>
      <c r="G122" s="8" t="str">
        <f t="shared" si="4"/>
        <v/>
      </c>
      <c r="H122" s="5">
        <v>0</v>
      </c>
      <c r="I122" s="8" t="str">
        <f t="shared" si="5"/>
        <v/>
      </c>
      <c r="J122" s="8" t="str">
        <f t="shared" si="6"/>
        <v/>
      </c>
      <c r="K122" t="str">
        <f t="shared" si="7"/>
        <v>MISSING OEWS</v>
      </c>
    </row>
    <row r="123" spans="1:11">
      <c r="A123" t="s">
        <v>98</v>
      </c>
      <c r="B123" t="s">
        <v>234</v>
      </c>
      <c r="C123" t="s">
        <v>477</v>
      </c>
      <c r="D123" t="s">
        <v>478</v>
      </c>
      <c r="E123" s="8">
        <v>100</v>
      </c>
      <c r="F123" s="8">
        <v>45530</v>
      </c>
      <c r="G123" s="8">
        <f t="shared" si="4"/>
        <v>4553000</v>
      </c>
      <c r="H123" s="5">
        <v>0.0339</v>
      </c>
      <c r="I123" s="8">
        <f t="shared" si="5"/>
        <v>4553000</v>
      </c>
      <c r="J123" s="8">
        <f t="shared" si="6"/>
        <v>154346.7</v>
      </c>
      <c r="K123" t="str">
        <f t="shared" si="7"/>
        <v>MATCHED</v>
      </c>
    </row>
    <row r="124" spans="1:11">
      <c r="A124" t="s">
        <v>98</v>
      </c>
      <c r="B124" t="s">
        <v>234</v>
      </c>
      <c r="C124" t="s">
        <v>479</v>
      </c>
      <c r="D124" t="s">
        <v>480</v>
      </c>
      <c r="E124" s="8">
        <v>70</v>
      </c>
      <c r="F124" s="8"/>
      <c r="G124" s="8" t="str">
        <f t="shared" si="4"/>
        <v/>
      </c>
      <c r="H124" s="5">
        <v>0.0679</v>
      </c>
      <c r="I124" s="8" t="str">
        <f t="shared" si="5"/>
        <v/>
      </c>
      <c r="J124" s="8" t="str">
        <f t="shared" si="6"/>
        <v/>
      </c>
      <c r="K124" t="str">
        <f t="shared" si="7"/>
        <v>MISSING OEWS</v>
      </c>
    </row>
    <row r="125" spans="1:11">
      <c r="A125" t="s">
        <v>98</v>
      </c>
      <c r="B125" t="s">
        <v>234</v>
      </c>
      <c r="C125" t="s">
        <v>481</v>
      </c>
      <c r="D125" t="s">
        <v>482</v>
      </c>
      <c r="E125" s="8">
        <v>2080</v>
      </c>
      <c r="F125" s="8">
        <v>41850</v>
      </c>
      <c r="G125" s="8">
        <f t="shared" si="4"/>
        <v>87048000</v>
      </c>
      <c r="H125" s="5">
        <v>0.2969</v>
      </c>
      <c r="I125" s="8">
        <f t="shared" si="5"/>
        <v>87048000</v>
      </c>
      <c r="J125" s="8">
        <f t="shared" si="6"/>
        <v>25844551.2</v>
      </c>
      <c r="K125" t="str">
        <f t="shared" si="7"/>
        <v>MATCHED</v>
      </c>
    </row>
    <row r="126" spans="1:11">
      <c r="A126" t="s">
        <v>98</v>
      </c>
      <c r="B126" t="s">
        <v>234</v>
      </c>
      <c r="C126" t="s">
        <v>483</v>
      </c>
      <c r="D126" t="s">
        <v>484</v>
      </c>
      <c r="E126" s="8">
        <v>4740</v>
      </c>
      <c r="F126" s="8">
        <v>39870</v>
      </c>
      <c r="G126" s="8">
        <f t="shared" si="4"/>
        <v>188983800</v>
      </c>
      <c r="H126" s="5">
        <v>0.0475</v>
      </c>
      <c r="I126" s="8">
        <f t="shared" si="5"/>
        <v>188983800</v>
      </c>
      <c r="J126" s="8">
        <f t="shared" si="6"/>
        <v>8976730.5</v>
      </c>
      <c r="K126" t="str">
        <f t="shared" si="7"/>
        <v>MATCHED</v>
      </c>
    </row>
    <row r="127" spans="1:11">
      <c r="A127" t="s">
        <v>98</v>
      </c>
      <c r="B127" t="s">
        <v>234</v>
      </c>
      <c r="C127" t="s">
        <v>485</v>
      </c>
      <c r="D127" t="s">
        <v>486</v>
      </c>
      <c r="E127" s="8">
        <v>130</v>
      </c>
      <c r="F127" s="8">
        <v>42800</v>
      </c>
      <c r="G127" s="8">
        <f t="shared" si="4"/>
        <v>5564000</v>
      </c>
      <c r="H127" s="5">
        <v>0.0864</v>
      </c>
      <c r="I127" s="8">
        <f t="shared" si="5"/>
        <v>5564000</v>
      </c>
      <c r="J127" s="8">
        <f t="shared" si="6"/>
        <v>480729.6</v>
      </c>
      <c r="K127" t="str">
        <f t="shared" si="7"/>
        <v>MATCHED</v>
      </c>
    </row>
    <row r="128" spans="1:11">
      <c r="A128" t="s">
        <v>98</v>
      </c>
      <c r="B128" t="s">
        <v>234</v>
      </c>
      <c r="C128" t="s">
        <v>487</v>
      </c>
      <c r="D128" t="s">
        <v>488</v>
      </c>
      <c r="E128" s="8">
        <v>320</v>
      </c>
      <c r="F128" s="8">
        <v>38480</v>
      </c>
      <c r="G128" s="8">
        <f t="shared" si="4"/>
        <v>12313600</v>
      </c>
      <c r="H128" s="5">
        <v>0</v>
      </c>
      <c r="I128" s="8">
        <f t="shared" si="5"/>
        <v>12313600</v>
      </c>
      <c r="J128" s="8">
        <f t="shared" si="6"/>
        <v>0</v>
      </c>
      <c r="K128" t="str">
        <f t="shared" si="7"/>
        <v>MATCHED</v>
      </c>
    </row>
    <row r="129" spans="1:11">
      <c r="A129" t="s">
        <v>98</v>
      </c>
      <c r="B129" t="s">
        <v>234</v>
      </c>
      <c r="C129" t="s">
        <v>489</v>
      </c>
      <c r="D129" t="s">
        <v>490</v>
      </c>
      <c r="E129" s="8">
        <v>240</v>
      </c>
      <c r="F129" s="8">
        <v>40280</v>
      </c>
      <c r="G129" s="8">
        <f t="shared" si="4"/>
        <v>9667200</v>
      </c>
      <c r="H129" s="5">
        <v>0.0838</v>
      </c>
      <c r="I129" s="8">
        <f t="shared" si="5"/>
        <v>9667200</v>
      </c>
      <c r="J129" s="8">
        <f t="shared" si="6"/>
        <v>810111.36</v>
      </c>
      <c r="K129" t="str">
        <f t="shared" si="7"/>
        <v>MATCHED</v>
      </c>
    </row>
    <row r="130" spans="1:11">
      <c r="A130" t="s">
        <v>98</v>
      </c>
      <c r="B130" t="s">
        <v>234</v>
      </c>
      <c r="C130" t="s">
        <v>491</v>
      </c>
      <c r="D130" t="s">
        <v>492</v>
      </c>
      <c r="E130" s="8">
        <v>210</v>
      </c>
      <c r="F130" s="8">
        <v>42180</v>
      </c>
      <c r="G130" s="8">
        <f t="shared" ref="G130:G193" si="8">IF(OR(E130="",F130=""),"",E130*F130)</f>
        <v>8857800</v>
      </c>
      <c r="H130" s="5"/>
      <c r="I130" s="8" t="str">
        <f t="shared" ref="I130:I193" si="9">IF(G130="","",IF(ISNUMBER(H130),G130,""))</f>
        <v/>
      </c>
      <c r="J130" s="8" t="str">
        <f t="shared" ref="J130:J193" si="10">IF(I130="","",I130*H130)</f>
        <v/>
      </c>
      <c r="K130" t="str">
        <f t="shared" ref="K130:K193" si="11">IF(G130="","MISSING OEWS",IF(ISNUMBER(H130),"MATCHED","MISSING WHARTON"))</f>
        <v>MISSING WHARTON</v>
      </c>
    </row>
    <row r="131" spans="1:11">
      <c r="A131" t="s">
        <v>98</v>
      </c>
      <c r="B131" t="s">
        <v>234</v>
      </c>
      <c r="C131" t="s">
        <v>493</v>
      </c>
      <c r="D131" t="s">
        <v>494</v>
      </c>
      <c r="E131" s="8">
        <v>1860</v>
      </c>
      <c r="F131" s="8">
        <v>60310</v>
      </c>
      <c r="G131" s="8">
        <f t="shared" si="8"/>
        <v>112176600</v>
      </c>
      <c r="H131" s="5">
        <v>0.3429</v>
      </c>
      <c r="I131" s="8">
        <f t="shared" si="9"/>
        <v>112176600</v>
      </c>
      <c r="J131" s="8">
        <f t="shared" si="10"/>
        <v>38465356.14</v>
      </c>
      <c r="K131" t="str">
        <f t="shared" si="11"/>
        <v>MATCHED</v>
      </c>
    </row>
    <row r="132" spans="1:11">
      <c r="A132" t="s">
        <v>98</v>
      </c>
      <c r="B132" t="s">
        <v>234</v>
      </c>
      <c r="C132" t="s">
        <v>495</v>
      </c>
      <c r="D132" t="s">
        <v>496</v>
      </c>
      <c r="E132" s="8">
        <v>830</v>
      </c>
      <c r="F132" s="8">
        <v>84540</v>
      </c>
      <c r="G132" s="8">
        <f t="shared" si="8"/>
        <v>70168200</v>
      </c>
      <c r="H132" s="5">
        <v>0.3558</v>
      </c>
      <c r="I132" s="8">
        <f t="shared" si="9"/>
        <v>70168200</v>
      </c>
      <c r="J132" s="8">
        <f t="shared" si="10"/>
        <v>24965845.56</v>
      </c>
      <c r="K132" t="str">
        <f t="shared" si="11"/>
        <v>MATCHED</v>
      </c>
    </row>
    <row r="133" spans="1:11">
      <c r="A133" t="s">
        <v>98</v>
      </c>
      <c r="B133" t="s">
        <v>234</v>
      </c>
      <c r="C133" t="s">
        <v>497</v>
      </c>
      <c r="D133" t="s">
        <v>498</v>
      </c>
      <c r="E133" s="8">
        <v>50</v>
      </c>
      <c r="F133" s="8">
        <v>41570</v>
      </c>
      <c r="G133" s="8">
        <f t="shared" si="8"/>
        <v>2078500</v>
      </c>
      <c r="H133" s="5">
        <v>0.3167</v>
      </c>
      <c r="I133" s="8">
        <f t="shared" si="9"/>
        <v>2078500</v>
      </c>
      <c r="J133" s="8">
        <f t="shared" si="10"/>
        <v>658260.95</v>
      </c>
      <c r="K133" t="str">
        <f t="shared" si="11"/>
        <v>MATCHED</v>
      </c>
    </row>
    <row r="134" spans="1:11">
      <c r="A134" t="s">
        <v>98</v>
      </c>
      <c r="B134" t="s">
        <v>234</v>
      </c>
      <c r="C134" t="s">
        <v>499</v>
      </c>
      <c r="D134" t="s">
        <v>500</v>
      </c>
      <c r="E134" s="8">
        <v>14930</v>
      </c>
      <c r="F134" s="8">
        <v>51330</v>
      </c>
      <c r="G134" s="8">
        <f t="shared" si="8"/>
        <v>766356900</v>
      </c>
      <c r="H134" s="5">
        <v>0.2065</v>
      </c>
      <c r="I134" s="8">
        <f t="shared" si="9"/>
        <v>766356900</v>
      </c>
      <c r="J134" s="8">
        <f t="shared" si="10"/>
        <v>158252699.85</v>
      </c>
      <c r="K134" t="str">
        <f t="shared" si="11"/>
        <v>MATCHED</v>
      </c>
    </row>
    <row r="135" spans="1:11">
      <c r="A135" t="s">
        <v>98</v>
      </c>
      <c r="B135" t="s">
        <v>234</v>
      </c>
      <c r="C135" t="s">
        <v>501</v>
      </c>
      <c r="D135" t="s">
        <v>502</v>
      </c>
      <c r="E135" s="8">
        <v>660</v>
      </c>
      <c r="F135" s="8">
        <v>39350</v>
      </c>
      <c r="G135" s="8">
        <f t="shared" si="8"/>
        <v>25971000</v>
      </c>
      <c r="H135" s="5">
        <v>0.3393</v>
      </c>
      <c r="I135" s="8">
        <f t="shared" si="9"/>
        <v>25971000</v>
      </c>
      <c r="J135" s="8">
        <f t="shared" si="10"/>
        <v>8811960.3</v>
      </c>
      <c r="K135" t="str">
        <f t="shared" si="11"/>
        <v>MATCHED</v>
      </c>
    </row>
    <row r="136" spans="1:11">
      <c r="A136" t="s">
        <v>98</v>
      </c>
      <c r="B136" t="s">
        <v>234</v>
      </c>
      <c r="C136" t="s">
        <v>503</v>
      </c>
      <c r="D136" t="s">
        <v>504</v>
      </c>
      <c r="E136" s="8">
        <v>180</v>
      </c>
      <c r="F136" s="8">
        <v>44000</v>
      </c>
      <c r="G136" s="8">
        <f t="shared" si="8"/>
        <v>7920000</v>
      </c>
      <c r="H136" s="5">
        <v>0.3288</v>
      </c>
      <c r="I136" s="8">
        <f t="shared" si="9"/>
        <v>7920000</v>
      </c>
      <c r="J136" s="8">
        <f t="shared" si="10"/>
        <v>2604096</v>
      </c>
      <c r="K136" t="str">
        <f t="shared" si="11"/>
        <v>MATCHED</v>
      </c>
    </row>
    <row r="137" spans="1:11">
      <c r="A137" t="s">
        <v>98</v>
      </c>
      <c r="B137" t="s">
        <v>234</v>
      </c>
      <c r="C137" t="s">
        <v>505</v>
      </c>
      <c r="D137" t="s">
        <v>506</v>
      </c>
      <c r="E137" s="8">
        <v>50</v>
      </c>
      <c r="F137" s="8">
        <v>61090</v>
      </c>
      <c r="G137" s="8">
        <f t="shared" si="8"/>
        <v>3054500</v>
      </c>
      <c r="H137" s="5">
        <v>0</v>
      </c>
      <c r="I137" s="8">
        <f t="shared" si="9"/>
        <v>3054500</v>
      </c>
      <c r="J137" s="8">
        <f t="shared" si="10"/>
        <v>0</v>
      </c>
      <c r="K137" t="str">
        <f t="shared" si="11"/>
        <v>MATCHED</v>
      </c>
    </row>
    <row r="138" spans="1:11">
      <c r="A138" t="s">
        <v>98</v>
      </c>
      <c r="B138" t="s">
        <v>234</v>
      </c>
      <c r="C138" t="s">
        <v>507</v>
      </c>
      <c r="D138" t="s">
        <v>508</v>
      </c>
      <c r="E138" s="8">
        <v>7060</v>
      </c>
      <c r="F138" s="8">
        <v>40250</v>
      </c>
      <c r="G138" s="8">
        <f t="shared" si="8"/>
        <v>284165000</v>
      </c>
      <c r="H138" s="5">
        <v>0</v>
      </c>
      <c r="I138" s="8">
        <f t="shared" si="9"/>
        <v>284165000</v>
      </c>
      <c r="J138" s="8">
        <f t="shared" si="10"/>
        <v>0</v>
      </c>
      <c r="K138" t="str">
        <f t="shared" si="11"/>
        <v>MATCHED</v>
      </c>
    </row>
    <row r="139" spans="1:11">
      <c r="A139" t="s">
        <v>98</v>
      </c>
      <c r="B139" t="s">
        <v>234</v>
      </c>
      <c r="C139" t="s">
        <v>509</v>
      </c>
      <c r="D139" t="s">
        <v>510</v>
      </c>
      <c r="E139" s="8">
        <v>1980</v>
      </c>
      <c r="F139" s="8">
        <v>38890</v>
      </c>
      <c r="G139" s="8">
        <f t="shared" si="8"/>
        <v>77002200</v>
      </c>
      <c r="H139" s="5">
        <v>0.0452</v>
      </c>
      <c r="I139" s="8">
        <f t="shared" si="9"/>
        <v>77002200</v>
      </c>
      <c r="J139" s="8">
        <f t="shared" si="10"/>
        <v>3480499.44</v>
      </c>
      <c r="K139" t="str">
        <f t="shared" si="11"/>
        <v>MATCHED</v>
      </c>
    </row>
    <row r="140" spans="1:11">
      <c r="A140" t="s">
        <v>98</v>
      </c>
      <c r="B140" t="s">
        <v>234</v>
      </c>
      <c r="C140" t="s">
        <v>511</v>
      </c>
      <c r="D140" t="s">
        <v>512</v>
      </c>
      <c r="E140" s="8">
        <v>9710</v>
      </c>
      <c r="F140" s="8">
        <v>36610</v>
      </c>
      <c r="G140" s="8">
        <f t="shared" si="8"/>
        <v>355483100</v>
      </c>
      <c r="H140" s="5">
        <v>0.049</v>
      </c>
      <c r="I140" s="8">
        <f t="shared" si="9"/>
        <v>355483100</v>
      </c>
      <c r="J140" s="8">
        <f t="shared" si="10"/>
        <v>17418671.9</v>
      </c>
      <c r="K140" t="str">
        <f t="shared" si="11"/>
        <v>MATCHED</v>
      </c>
    </row>
    <row r="141" spans="1:11">
      <c r="A141" t="s">
        <v>98</v>
      </c>
      <c r="B141" t="s">
        <v>234</v>
      </c>
      <c r="C141" t="s">
        <v>513</v>
      </c>
      <c r="D141" t="s">
        <v>514</v>
      </c>
      <c r="E141" s="8">
        <v>160</v>
      </c>
      <c r="F141" s="8">
        <v>38690</v>
      </c>
      <c r="G141" s="8">
        <f t="shared" si="8"/>
        <v>6190400</v>
      </c>
      <c r="H141" s="5">
        <v>0.0731</v>
      </c>
      <c r="I141" s="8">
        <f t="shared" si="9"/>
        <v>6190400</v>
      </c>
      <c r="J141" s="8">
        <f t="shared" si="10"/>
        <v>452518.24</v>
      </c>
      <c r="K141" t="str">
        <f t="shared" si="11"/>
        <v>MATCHED</v>
      </c>
    </row>
    <row r="142" spans="1:11">
      <c r="A142" t="s">
        <v>98</v>
      </c>
      <c r="B142" t="s">
        <v>234</v>
      </c>
      <c r="C142" t="s">
        <v>515</v>
      </c>
      <c r="D142" t="s">
        <v>516</v>
      </c>
      <c r="E142" s="8">
        <v>17920</v>
      </c>
      <c r="F142" s="8">
        <v>35420</v>
      </c>
      <c r="G142" s="8">
        <f t="shared" si="8"/>
        <v>634726400</v>
      </c>
      <c r="H142" s="5">
        <v>0.0792</v>
      </c>
      <c r="I142" s="8">
        <f t="shared" si="9"/>
        <v>634726400</v>
      </c>
      <c r="J142" s="8">
        <f t="shared" si="10"/>
        <v>50270330.88</v>
      </c>
      <c r="K142" t="str">
        <f t="shared" si="11"/>
        <v>MATCHED</v>
      </c>
    </row>
    <row r="143" spans="1:11">
      <c r="A143" t="s">
        <v>98</v>
      </c>
      <c r="B143" t="s">
        <v>234</v>
      </c>
      <c r="C143" t="s">
        <v>517</v>
      </c>
      <c r="D143" t="s">
        <v>518</v>
      </c>
      <c r="E143" s="8"/>
      <c r="F143" s="8">
        <v>34470</v>
      </c>
      <c r="G143" s="8" t="str">
        <f t="shared" si="8"/>
        <v/>
      </c>
      <c r="H143" s="5">
        <v>0.2233</v>
      </c>
      <c r="I143" s="8" t="str">
        <f t="shared" si="9"/>
        <v/>
      </c>
      <c r="J143" s="8" t="str">
        <f t="shared" si="10"/>
        <v/>
      </c>
      <c r="K143" t="str">
        <f t="shared" si="11"/>
        <v>MISSING OEWS</v>
      </c>
    </row>
    <row r="144" spans="1:11">
      <c r="A144" t="s">
        <v>98</v>
      </c>
      <c r="B144" t="s">
        <v>234</v>
      </c>
      <c r="C144" t="s">
        <v>519</v>
      </c>
      <c r="D144" t="s">
        <v>520</v>
      </c>
      <c r="E144" s="8">
        <v>70</v>
      </c>
      <c r="F144" s="8">
        <v>37600</v>
      </c>
      <c r="G144" s="8">
        <f t="shared" si="8"/>
        <v>2632000</v>
      </c>
      <c r="H144" s="5"/>
      <c r="I144" s="8" t="str">
        <f t="shared" si="9"/>
        <v/>
      </c>
      <c r="J144" s="8" t="str">
        <f t="shared" si="10"/>
        <v/>
      </c>
      <c r="K144" t="str">
        <f t="shared" si="11"/>
        <v>MISSING WHARTON</v>
      </c>
    </row>
    <row r="145" spans="1:11">
      <c r="A145" t="s">
        <v>100</v>
      </c>
      <c r="B145" t="s">
        <v>521</v>
      </c>
      <c r="C145" t="s">
        <v>235</v>
      </c>
      <c r="D145" t="s">
        <v>236</v>
      </c>
      <c r="E145" s="8">
        <v>680</v>
      </c>
      <c r="F145" s="8">
        <v>371920</v>
      </c>
      <c r="G145" s="8">
        <f t="shared" si="8"/>
        <v>252905600</v>
      </c>
      <c r="H145" s="5">
        <v>0.4775</v>
      </c>
      <c r="I145" s="8">
        <f t="shared" si="9"/>
        <v>252905600</v>
      </c>
      <c r="J145" s="8">
        <f t="shared" si="10"/>
        <v>120762424</v>
      </c>
      <c r="K145" t="str">
        <f t="shared" si="11"/>
        <v>MATCHED</v>
      </c>
    </row>
    <row r="146" spans="1:11">
      <c r="A146" t="s">
        <v>100</v>
      </c>
      <c r="B146" t="s">
        <v>521</v>
      </c>
      <c r="C146" t="s">
        <v>237</v>
      </c>
      <c r="D146" t="s">
        <v>238</v>
      </c>
      <c r="E146" s="8">
        <v>21150</v>
      </c>
      <c r="F146" s="8">
        <v>178920</v>
      </c>
      <c r="G146" s="8">
        <f t="shared" si="8"/>
        <v>3784158000</v>
      </c>
      <c r="H146" s="5">
        <v>0.5382</v>
      </c>
      <c r="I146" s="8">
        <f t="shared" si="9"/>
        <v>3784158000</v>
      </c>
      <c r="J146" s="8">
        <f t="shared" si="10"/>
        <v>2036633835.6</v>
      </c>
      <c r="K146" t="str">
        <f t="shared" si="11"/>
        <v>MATCHED</v>
      </c>
    </row>
    <row r="147" spans="1:11">
      <c r="A147" t="s">
        <v>100</v>
      </c>
      <c r="B147" t="s">
        <v>521</v>
      </c>
      <c r="C147" t="s">
        <v>239</v>
      </c>
      <c r="D147" t="s">
        <v>240</v>
      </c>
      <c r="E147" s="8">
        <v>540</v>
      </c>
      <c r="F147" s="8">
        <v>247940</v>
      </c>
      <c r="G147" s="8">
        <f t="shared" si="8"/>
        <v>133887600</v>
      </c>
      <c r="H147" s="5">
        <v>0.445</v>
      </c>
      <c r="I147" s="8">
        <f t="shared" si="9"/>
        <v>133887600</v>
      </c>
      <c r="J147" s="8">
        <f t="shared" si="10"/>
        <v>59579982</v>
      </c>
      <c r="K147" t="str">
        <f t="shared" si="11"/>
        <v>MATCHED</v>
      </c>
    </row>
    <row r="148" spans="1:11">
      <c r="A148" t="s">
        <v>100</v>
      </c>
      <c r="B148" t="s">
        <v>521</v>
      </c>
      <c r="C148" t="s">
        <v>241</v>
      </c>
      <c r="D148" t="s">
        <v>242</v>
      </c>
      <c r="E148" s="8">
        <v>880</v>
      </c>
      <c r="F148" s="8">
        <v>188990</v>
      </c>
      <c r="G148" s="8">
        <f t="shared" si="8"/>
        <v>166311200</v>
      </c>
      <c r="H148" s="5">
        <v>0.3735</v>
      </c>
      <c r="I148" s="8">
        <f t="shared" si="9"/>
        <v>166311200</v>
      </c>
      <c r="J148" s="8">
        <f t="shared" si="10"/>
        <v>62117233.2</v>
      </c>
      <c r="K148" t="str">
        <f t="shared" si="11"/>
        <v>MATCHED</v>
      </c>
    </row>
    <row r="149" spans="1:11">
      <c r="A149" t="s">
        <v>100</v>
      </c>
      <c r="B149" t="s">
        <v>521</v>
      </c>
      <c r="C149" t="s">
        <v>522</v>
      </c>
      <c r="D149" t="s">
        <v>523</v>
      </c>
      <c r="E149" s="8">
        <v>150</v>
      </c>
      <c r="F149" s="8">
        <v>206920</v>
      </c>
      <c r="G149" s="8">
        <f t="shared" si="8"/>
        <v>31038000</v>
      </c>
      <c r="H149" s="5">
        <v>0.53</v>
      </c>
      <c r="I149" s="8">
        <f t="shared" si="9"/>
        <v>31038000</v>
      </c>
      <c r="J149" s="8">
        <f t="shared" si="10"/>
        <v>16450140</v>
      </c>
      <c r="K149" t="str">
        <f t="shared" si="11"/>
        <v>MATCHED</v>
      </c>
    </row>
    <row r="150" spans="1:11">
      <c r="A150" t="s">
        <v>100</v>
      </c>
      <c r="B150" t="s">
        <v>521</v>
      </c>
      <c r="C150" t="s">
        <v>243</v>
      </c>
      <c r="D150" t="s">
        <v>244</v>
      </c>
      <c r="E150" s="8">
        <v>690</v>
      </c>
      <c r="F150" s="8">
        <v>141030</v>
      </c>
      <c r="G150" s="8">
        <f t="shared" si="8"/>
        <v>97310700</v>
      </c>
      <c r="H150" s="5">
        <v>0.4444</v>
      </c>
      <c r="I150" s="8">
        <f t="shared" si="9"/>
        <v>97310700</v>
      </c>
      <c r="J150" s="8">
        <f t="shared" si="10"/>
        <v>43244875.08</v>
      </c>
      <c r="K150" t="str">
        <f t="shared" si="11"/>
        <v>MATCHED</v>
      </c>
    </row>
    <row r="151" spans="1:11">
      <c r="A151" t="s">
        <v>100</v>
      </c>
      <c r="B151" t="s">
        <v>521</v>
      </c>
      <c r="C151" t="s">
        <v>245</v>
      </c>
      <c r="D151" t="s">
        <v>246</v>
      </c>
      <c r="E151" s="8">
        <v>870</v>
      </c>
      <c r="F151" s="8">
        <v>156050</v>
      </c>
      <c r="G151" s="8">
        <f t="shared" si="8"/>
        <v>135763500</v>
      </c>
      <c r="H151" s="5">
        <v>0.2907</v>
      </c>
      <c r="I151" s="8">
        <f t="shared" si="9"/>
        <v>135763500</v>
      </c>
      <c r="J151" s="8">
        <f t="shared" si="10"/>
        <v>39466449.45</v>
      </c>
      <c r="K151" t="str">
        <f t="shared" si="11"/>
        <v>MATCHED</v>
      </c>
    </row>
    <row r="152" spans="1:11">
      <c r="A152" t="s">
        <v>100</v>
      </c>
      <c r="B152" t="s">
        <v>521</v>
      </c>
      <c r="C152" t="s">
        <v>247</v>
      </c>
      <c r="D152" t="s">
        <v>248</v>
      </c>
      <c r="E152" s="8">
        <v>1020</v>
      </c>
      <c r="F152" s="8">
        <v>195660</v>
      </c>
      <c r="G152" s="8">
        <f t="shared" si="8"/>
        <v>199573200</v>
      </c>
      <c r="H152" s="5">
        <v>0.5265</v>
      </c>
      <c r="I152" s="8">
        <f t="shared" si="9"/>
        <v>199573200</v>
      </c>
      <c r="J152" s="8">
        <f t="shared" si="10"/>
        <v>105075289.8</v>
      </c>
      <c r="K152" t="str">
        <f t="shared" si="11"/>
        <v>MATCHED</v>
      </c>
    </row>
    <row r="153" spans="1:11">
      <c r="A153" t="s">
        <v>100</v>
      </c>
      <c r="B153" t="s">
        <v>521</v>
      </c>
      <c r="C153" t="s">
        <v>249</v>
      </c>
      <c r="D153" t="s">
        <v>250</v>
      </c>
      <c r="E153" s="8">
        <v>3860</v>
      </c>
      <c r="F153" s="8">
        <v>208250</v>
      </c>
      <c r="G153" s="8">
        <f t="shared" si="8"/>
        <v>803845000</v>
      </c>
      <c r="H153" s="5">
        <v>0.7221</v>
      </c>
      <c r="I153" s="8">
        <f t="shared" si="9"/>
        <v>803845000</v>
      </c>
      <c r="J153" s="8">
        <f t="shared" si="10"/>
        <v>580456474.5</v>
      </c>
      <c r="K153" t="str">
        <f t="shared" si="11"/>
        <v>MATCHED</v>
      </c>
    </row>
    <row r="154" spans="1:11">
      <c r="A154" t="s">
        <v>100</v>
      </c>
      <c r="B154" t="s">
        <v>521</v>
      </c>
      <c r="C154" t="s">
        <v>251</v>
      </c>
      <c r="D154" t="s">
        <v>252</v>
      </c>
      <c r="E154" s="8">
        <v>3170</v>
      </c>
      <c r="F154" s="8">
        <v>137490</v>
      </c>
      <c r="G154" s="8">
        <f t="shared" si="8"/>
        <v>435843300</v>
      </c>
      <c r="H154" s="5">
        <v>0.3636</v>
      </c>
      <c r="I154" s="8">
        <f t="shared" si="9"/>
        <v>435843300</v>
      </c>
      <c r="J154" s="8">
        <f t="shared" si="10"/>
        <v>158472623.88</v>
      </c>
      <c r="K154" t="str">
        <f t="shared" si="11"/>
        <v>MATCHED</v>
      </c>
    </row>
    <row r="155" spans="1:11">
      <c r="A155" t="s">
        <v>100</v>
      </c>
      <c r="B155" t="s">
        <v>521</v>
      </c>
      <c r="C155" t="s">
        <v>253</v>
      </c>
      <c r="D155" t="s">
        <v>254</v>
      </c>
      <c r="E155" s="8">
        <v>370</v>
      </c>
      <c r="F155" s="8">
        <v>160720</v>
      </c>
      <c r="G155" s="8">
        <f t="shared" si="8"/>
        <v>59466400</v>
      </c>
      <c r="H155" s="5">
        <v>0.6944</v>
      </c>
      <c r="I155" s="8">
        <f t="shared" si="9"/>
        <v>59466400</v>
      </c>
      <c r="J155" s="8">
        <f t="shared" si="10"/>
        <v>41293468.16</v>
      </c>
      <c r="K155" t="str">
        <f t="shared" si="11"/>
        <v>MATCHED</v>
      </c>
    </row>
    <row r="156" spans="1:11">
      <c r="A156" t="s">
        <v>100</v>
      </c>
      <c r="B156" t="s">
        <v>521</v>
      </c>
      <c r="C156" t="s">
        <v>255</v>
      </c>
      <c r="D156" t="s">
        <v>256</v>
      </c>
      <c r="E156" s="8">
        <v>960</v>
      </c>
      <c r="F156" s="8">
        <v>133950</v>
      </c>
      <c r="G156" s="8">
        <f t="shared" si="8"/>
        <v>128592000</v>
      </c>
      <c r="H156" s="5">
        <v>0.5783</v>
      </c>
      <c r="I156" s="8">
        <f t="shared" si="9"/>
        <v>128592000</v>
      </c>
      <c r="J156" s="8">
        <f t="shared" si="10"/>
        <v>74364753.6</v>
      </c>
      <c r="K156" t="str">
        <f t="shared" si="11"/>
        <v>MATCHED</v>
      </c>
    </row>
    <row r="157" spans="1:11">
      <c r="A157" t="s">
        <v>100</v>
      </c>
      <c r="B157" t="s">
        <v>521</v>
      </c>
      <c r="C157" t="s">
        <v>524</v>
      </c>
      <c r="D157" t="s">
        <v>525</v>
      </c>
      <c r="E157" s="8">
        <v>50</v>
      </c>
      <c r="F157" s="8">
        <v>143460</v>
      </c>
      <c r="G157" s="8">
        <f t="shared" si="8"/>
        <v>7173000</v>
      </c>
      <c r="H157" s="5">
        <v>0.5771</v>
      </c>
      <c r="I157" s="8">
        <f t="shared" si="9"/>
        <v>7173000</v>
      </c>
      <c r="J157" s="8">
        <f t="shared" si="10"/>
        <v>4139538.3</v>
      </c>
      <c r="K157" t="str">
        <f t="shared" si="11"/>
        <v>MATCHED</v>
      </c>
    </row>
    <row r="158" spans="1:11">
      <c r="A158" t="s">
        <v>100</v>
      </c>
      <c r="B158" t="s">
        <v>521</v>
      </c>
      <c r="C158" t="s">
        <v>257</v>
      </c>
      <c r="D158" t="s">
        <v>258</v>
      </c>
      <c r="E158" s="8">
        <v>810</v>
      </c>
      <c r="F158" s="8">
        <v>149100</v>
      </c>
      <c r="G158" s="8">
        <f t="shared" si="8"/>
        <v>120771000</v>
      </c>
      <c r="H158" s="5">
        <v>0.5962</v>
      </c>
      <c r="I158" s="8">
        <f t="shared" si="9"/>
        <v>120771000</v>
      </c>
      <c r="J158" s="8">
        <f t="shared" si="10"/>
        <v>72003670.2</v>
      </c>
      <c r="K158" t="str">
        <f t="shared" si="11"/>
        <v>MATCHED</v>
      </c>
    </row>
    <row r="159" spans="1:11">
      <c r="A159" t="s">
        <v>100</v>
      </c>
      <c r="B159" t="s">
        <v>521</v>
      </c>
      <c r="C159" t="s">
        <v>526</v>
      </c>
      <c r="D159" t="s">
        <v>527</v>
      </c>
      <c r="E159" s="8">
        <v>100</v>
      </c>
      <c r="F159" s="8">
        <v>167710</v>
      </c>
      <c r="G159" s="8">
        <f t="shared" si="8"/>
        <v>16771000</v>
      </c>
      <c r="H159" s="5">
        <v>0.6833</v>
      </c>
      <c r="I159" s="8">
        <f t="shared" si="9"/>
        <v>16771000</v>
      </c>
      <c r="J159" s="8">
        <f t="shared" si="10"/>
        <v>11459624.3</v>
      </c>
      <c r="K159" t="str">
        <f t="shared" si="11"/>
        <v>MATCHED</v>
      </c>
    </row>
    <row r="160" spans="1:11">
      <c r="A160" t="s">
        <v>100</v>
      </c>
      <c r="B160" t="s">
        <v>521</v>
      </c>
      <c r="C160" t="s">
        <v>528</v>
      </c>
      <c r="D160" t="s">
        <v>529</v>
      </c>
      <c r="E160" s="8">
        <v>3600</v>
      </c>
      <c r="F160" s="8">
        <v>158430</v>
      </c>
      <c r="G160" s="8">
        <f t="shared" si="8"/>
        <v>570348000</v>
      </c>
      <c r="H160" s="5">
        <v>0.374</v>
      </c>
      <c r="I160" s="8">
        <f t="shared" si="9"/>
        <v>570348000</v>
      </c>
      <c r="J160" s="8">
        <f t="shared" si="10"/>
        <v>213310152</v>
      </c>
      <c r="K160" t="str">
        <f t="shared" si="11"/>
        <v>MATCHED</v>
      </c>
    </row>
    <row r="161" spans="1:11">
      <c r="A161" t="s">
        <v>100</v>
      </c>
      <c r="B161" t="s">
        <v>521</v>
      </c>
      <c r="C161" t="s">
        <v>530</v>
      </c>
      <c r="D161" t="s">
        <v>531</v>
      </c>
      <c r="E161" s="8">
        <v>1510</v>
      </c>
      <c r="F161" s="8">
        <v>225840</v>
      </c>
      <c r="G161" s="8">
        <f t="shared" si="8"/>
        <v>341018400</v>
      </c>
      <c r="H161" s="5">
        <v>0.263</v>
      </c>
      <c r="I161" s="8">
        <f t="shared" si="9"/>
        <v>341018400</v>
      </c>
      <c r="J161" s="8">
        <f t="shared" si="10"/>
        <v>89687839.2</v>
      </c>
      <c r="K161" t="str">
        <f t="shared" si="11"/>
        <v>MATCHED</v>
      </c>
    </row>
    <row r="162" spans="1:11">
      <c r="A162" t="s">
        <v>100</v>
      </c>
      <c r="B162" t="s">
        <v>521</v>
      </c>
      <c r="C162" t="s">
        <v>261</v>
      </c>
      <c r="D162" t="s">
        <v>262</v>
      </c>
      <c r="E162" s="8">
        <v>270</v>
      </c>
      <c r="F162" s="8">
        <v>175710</v>
      </c>
      <c r="G162" s="8">
        <f t="shared" si="8"/>
        <v>47441700</v>
      </c>
      <c r="H162" s="5">
        <v>0.382</v>
      </c>
      <c r="I162" s="8">
        <f t="shared" si="9"/>
        <v>47441700</v>
      </c>
      <c r="J162" s="8">
        <f t="shared" si="10"/>
        <v>18122729.4</v>
      </c>
      <c r="K162" t="str">
        <f t="shared" si="11"/>
        <v>MATCHED</v>
      </c>
    </row>
    <row r="163" spans="1:11">
      <c r="A163" t="s">
        <v>100</v>
      </c>
      <c r="B163" t="s">
        <v>521</v>
      </c>
      <c r="C163" t="s">
        <v>532</v>
      </c>
      <c r="D163" t="s">
        <v>533</v>
      </c>
      <c r="E163" s="8">
        <v>2030</v>
      </c>
      <c r="F163" s="8">
        <v>159520</v>
      </c>
      <c r="G163" s="8">
        <f t="shared" si="8"/>
        <v>323825600</v>
      </c>
      <c r="H163" s="5">
        <v>0.3833</v>
      </c>
      <c r="I163" s="8">
        <f t="shared" si="9"/>
        <v>323825600</v>
      </c>
      <c r="J163" s="8">
        <f t="shared" si="10"/>
        <v>124122352.48</v>
      </c>
      <c r="K163" t="str">
        <f t="shared" si="11"/>
        <v>MATCHED</v>
      </c>
    </row>
    <row r="164" spans="1:11">
      <c r="A164" t="s">
        <v>100</v>
      </c>
      <c r="B164" t="s">
        <v>521</v>
      </c>
      <c r="C164" t="s">
        <v>263</v>
      </c>
      <c r="D164" t="s">
        <v>264</v>
      </c>
      <c r="E164" s="8">
        <v>4740</v>
      </c>
      <c r="F164" s="8">
        <v>170910</v>
      </c>
      <c r="G164" s="8">
        <f t="shared" si="8"/>
        <v>810113400</v>
      </c>
      <c r="H164" s="5">
        <v>0.4896</v>
      </c>
      <c r="I164" s="8">
        <f t="shared" si="9"/>
        <v>810113400</v>
      </c>
      <c r="J164" s="8">
        <f t="shared" si="10"/>
        <v>396631520.64</v>
      </c>
      <c r="K164" t="str">
        <f t="shared" si="11"/>
        <v>MATCHED</v>
      </c>
    </row>
    <row r="165" spans="1:11">
      <c r="A165" t="s">
        <v>100</v>
      </c>
      <c r="B165" t="s">
        <v>521</v>
      </c>
      <c r="C165" t="s">
        <v>265</v>
      </c>
      <c r="D165" t="s">
        <v>266</v>
      </c>
      <c r="E165" s="8">
        <v>1660</v>
      </c>
      <c r="F165" s="8">
        <v>94810</v>
      </c>
      <c r="G165" s="8">
        <f t="shared" si="8"/>
        <v>157384600</v>
      </c>
      <c r="H165" s="5">
        <v>0.5876</v>
      </c>
      <c r="I165" s="8">
        <f t="shared" si="9"/>
        <v>157384600</v>
      </c>
      <c r="J165" s="8">
        <f t="shared" si="10"/>
        <v>92479190.96</v>
      </c>
      <c r="K165" t="str">
        <f t="shared" si="11"/>
        <v>MATCHED</v>
      </c>
    </row>
    <row r="166" spans="1:11">
      <c r="A166" t="s">
        <v>100</v>
      </c>
      <c r="B166" t="s">
        <v>521</v>
      </c>
      <c r="C166" t="s">
        <v>267</v>
      </c>
      <c r="D166" t="s">
        <v>268</v>
      </c>
      <c r="E166" s="8">
        <v>2010</v>
      </c>
      <c r="F166" s="8">
        <v>95510</v>
      </c>
      <c r="G166" s="8">
        <f t="shared" si="8"/>
        <v>191975100</v>
      </c>
      <c r="H166" s="5">
        <v>0.4611</v>
      </c>
      <c r="I166" s="8">
        <f t="shared" si="9"/>
        <v>191975100</v>
      </c>
      <c r="J166" s="8">
        <f t="shared" si="10"/>
        <v>88519718.61</v>
      </c>
      <c r="K166" t="str">
        <f t="shared" si="11"/>
        <v>MATCHED</v>
      </c>
    </row>
    <row r="167" spans="1:11">
      <c r="A167" t="s">
        <v>100</v>
      </c>
      <c r="B167" t="s">
        <v>521</v>
      </c>
      <c r="C167" t="s">
        <v>534</v>
      </c>
      <c r="D167" t="s">
        <v>535</v>
      </c>
      <c r="E167" s="8">
        <v>290</v>
      </c>
      <c r="F167" s="8">
        <v>99510</v>
      </c>
      <c r="G167" s="8">
        <f t="shared" si="8"/>
        <v>28857900</v>
      </c>
      <c r="H167" s="5">
        <v>0.6393</v>
      </c>
      <c r="I167" s="8">
        <f t="shared" si="9"/>
        <v>28857900</v>
      </c>
      <c r="J167" s="8">
        <f t="shared" si="10"/>
        <v>18448855.47</v>
      </c>
      <c r="K167" t="str">
        <f t="shared" si="11"/>
        <v>MATCHED</v>
      </c>
    </row>
    <row r="168" spans="1:11">
      <c r="A168" t="s">
        <v>100</v>
      </c>
      <c r="B168" t="s">
        <v>521</v>
      </c>
      <c r="C168" t="s">
        <v>269</v>
      </c>
      <c r="D168" t="s">
        <v>270</v>
      </c>
      <c r="E168" s="8">
        <v>2190</v>
      </c>
      <c r="F168" s="8">
        <v>89220</v>
      </c>
      <c r="G168" s="8">
        <f t="shared" si="8"/>
        <v>195391800</v>
      </c>
      <c r="H168" s="5">
        <v>0.7808</v>
      </c>
      <c r="I168" s="8">
        <f t="shared" si="9"/>
        <v>195391800</v>
      </c>
      <c r="J168" s="8">
        <f t="shared" si="10"/>
        <v>152561917.44</v>
      </c>
      <c r="K168" t="str">
        <f t="shared" si="11"/>
        <v>MATCHED</v>
      </c>
    </row>
    <row r="169" spans="1:11">
      <c r="A169" t="s">
        <v>100</v>
      </c>
      <c r="B169" t="s">
        <v>521</v>
      </c>
      <c r="C169" t="s">
        <v>273</v>
      </c>
      <c r="D169" t="s">
        <v>274</v>
      </c>
      <c r="E169" s="8">
        <v>1230</v>
      </c>
      <c r="F169" s="8">
        <v>97260</v>
      </c>
      <c r="G169" s="8">
        <f t="shared" si="8"/>
        <v>119629800</v>
      </c>
      <c r="H169" s="5">
        <v>0.6943</v>
      </c>
      <c r="I169" s="8">
        <f t="shared" si="9"/>
        <v>119629800</v>
      </c>
      <c r="J169" s="8">
        <f t="shared" si="10"/>
        <v>83058970.14</v>
      </c>
      <c r="K169" t="str">
        <f t="shared" si="11"/>
        <v>MATCHED</v>
      </c>
    </row>
    <row r="170" spans="1:11">
      <c r="A170" t="s">
        <v>100</v>
      </c>
      <c r="B170" t="s">
        <v>521</v>
      </c>
      <c r="C170" t="s">
        <v>275</v>
      </c>
      <c r="D170" t="s">
        <v>276</v>
      </c>
      <c r="E170" s="8">
        <v>2550</v>
      </c>
      <c r="F170" s="8">
        <v>132530</v>
      </c>
      <c r="G170" s="8">
        <f t="shared" si="8"/>
        <v>337951500</v>
      </c>
      <c r="H170" s="5">
        <v>0.6375</v>
      </c>
      <c r="I170" s="8">
        <f t="shared" si="9"/>
        <v>337951500</v>
      </c>
      <c r="J170" s="8">
        <f t="shared" si="10"/>
        <v>215444081.25</v>
      </c>
      <c r="K170" t="str">
        <f t="shared" si="11"/>
        <v>MATCHED</v>
      </c>
    </row>
    <row r="171" spans="1:11">
      <c r="A171" t="s">
        <v>100</v>
      </c>
      <c r="B171" t="s">
        <v>521</v>
      </c>
      <c r="C171" t="s">
        <v>277</v>
      </c>
      <c r="D171" t="s">
        <v>278</v>
      </c>
      <c r="E171" s="8">
        <v>640</v>
      </c>
      <c r="F171" s="8">
        <v>122470</v>
      </c>
      <c r="G171" s="8">
        <f t="shared" si="8"/>
        <v>78380800</v>
      </c>
      <c r="H171" s="5">
        <v>0.5773</v>
      </c>
      <c r="I171" s="8">
        <f t="shared" si="9"/>
        <v>78380800</v>
      </c>
      <c r="J171" s="8">
        <f t="shared" si="10"/>
        <v>45249235.84</v>
      </c>
      <c r="K171" t="str">
        <f t="shared" si="11"/>
        <v>MATCHED</v>
      </c>
    </row>
    <row r="172" spans="1:11">
      <c r="A172" t="s">
        <v>100</v>
      </c>
      <c r="B172" t="s">
        <v>521</v>
      </c>
      <c r="C172" t="s">
        <v>281</v>
      </c>
      <c r="D172" t="s">
        <v>282</v>
      </c>
      <c r="E172" s="8">
        <v>110</v>
      </c>
      <c r="F172" s="8">
        <v>86890</v>
      </c>
      <c r="G172" s="8">
        <f t="shared" si="8"/>
        <v>9557900</v>
      </c>
      <c r="H172" s="5">
        <v>0.6167</v>
      </c>
      <c r="I172" s="8">
        <f t="shared" si="9"/>
        <v>9557900</v>
      </c>
      <c r="J172" s="8">
        <f t="shared" si="10"/>
        <v>5894356.93</v>
      </c>
      <c r="K172" t="str">
        <f t="shared" si="11"/>
        <v>MATCHED</v>
      </c>
    </row>
    <row r="173" spans="1:11">
      <c r="A173" t="s">
        <v>100</v>
      </c>
      <c r="B173" t="s">
        <v>521</v>
      </c>
      <c r="C173" t="s">
        <v>283</v>
      </c>
      <c r="D173" t="s">
        <v>284</v>
      </c>
      <c r="E173" s="8">
        <v>950</v>
      </c>
      <c r="F173" s="8">
        <v>99420</v>
      </c>
      <c r="G173" s="8">
        <f t="shared" si="8"/>
        <v>94449000</v>
      </c>
      <c r="H173" s="5">
        <v>0.565</v>
      </c>
      <c r="I173" s="8">
        <f t="shared" si="9"/>
        <v>94449000</v>
      </c>
      <c r="J173" s="8">
        <f t="shared" si="10"/>
        <v>53363685</v>
      </c>
      <c r="K173" t="str">
        <f t="shared" si="11"/>
        <v>MATCHED</v>
      </c>
    </row>
    <row r="174" spans="1:11">
      <c r="A174" t="s">
        <v>100</v>
      </c>
      <c r="B174" t="s">
        <v>521</v>
      </c>
      <c r="C174" t="s">
        <v>285</v>
      </c>
      <c r="D174" t="s">
        <v>286</v>
      </c>
      <c r="E174" s="8">
        <v>470</v>
      </c>
      <c r="F174" s="8">
        <v>112910</v>
      </c>
      <c r="G174" s="8">
        <f t="shared" si="8"/>
        <v>53067700</v>
      </c>
      <c r="H174" s="5">
        <v>0.7792</v>
      </c>
      <c r="I174" s="8">
        <f t="shared" si="9"/>
        <v>53067700</v>
      </c>
      <c r="J174" s="8">
        <f t="shared" si="10"/>
        <v>41350351.84</v>
      </c>
      <c r="K174" t="str">
        <f t="shared" si="11"/>
        <v>MATCHED</v>
      </c>
    </row>
    <row r="175" spans="1:11">
      <c r="A175" t="s">
        <v>100</v>
      </c>
      <c r="B175" t="s">
        <v>521</v>
      </c>
      <c r="C175" t="s">
        <v>287</v>
      </c>
      <c r="D175" t="s">
        <v>288</v>
      </c>
      <c r="E175" s="8">
        <v>2940</v>
      </c>
      <c r="F175" s="8">
        <v>107250</v>
      </c>
      <c r="G175" s="8">
        <f t="shared" si="8"/>
        <v>315315000</v>
      </c>
      <c r="H175" s="5">
        <v>0.6599</v>
      </c>
      <c r="I175" s="8">
        <f t="shared" si="9"/>
        <v>315315000</v>
      </c>
      <c r="J175" s="8">
        <f t="shared" si="10"/>
        <v>208076368.5</v>
      </c>
      <c r="K175" t="str">
        <f t="shared" si="11"/>
        <v>MATCHED</v>
      </c>
    </row>
    <row r="176" spans="1:11">
      <c r="A176" t="s">
        <v>100</v>
      </c>
      <c r="B176" t="s">
        <v>521</v>
      </c>
      <c r="C176" t="s">
        <v>289</v>
      </c>
      <c r="D176" t="s">
        <v>290</v>
      </c>
      <c r="E176" s="8">
        <v>7680</v>
      </c>
      <c r="F176" s="8">
        <v>114020</v>
      </c>
      <c r="G176" s="8">
        <f t="shared" si="8"/>
        <v>875673600</v>
      </c>
      <c r="H176" s="5">
        <v>0.795</v>
      </c>
      <c r="I176" s="8">
        <f t="shared" si="9"/>
        <v>875673600</v>
      </c>
      <c r="J176" s="8">
        <f t="shared" si="10"/>
        <v>696160512</v>
      </c>
      <c r="K176" t="str">
        <f t="shared" si="11"/>
        <v>MATCHED</v>
      </c>
    </row>
    <row r="177" spans="1:11">
      <c r="A177" t="s">
        <v>100</v>
      </c>
      <c r="B177" t="s">
        <v>521</v>
      </c>
      <c r="C177" t="s">
        <v>536</v>
      </c>
      <c r="D177" t="s">
        <v>537</v>
      </c>
      <c r="E177" s="8">
        <v>1070</v>
      </c>
      <c r="F177" s="8">
        <v>129210</v>
      </c>
      <c r="G177" s="8">
        <f t="shared" si="8"/>
        <v>138254700</v>
      </c>
      <c r="H177" s="5">
        <v>0.6904</v>
      </c>
      <c r="I177" s="8">
        <f t="shared" si="9"/>
        <v>138254700</v>
      </c>
      <c r="J177" s="8">
        <f t="shared" si="10"/>
        <v>95451044.88</v>
      </c>
      <c r="K177" t="str">
        <f t="shared" si="11"/>
        <v>MATCHED</v>
      </c>
    </row>
    <row r="178" spans="1:11">
      <c r="A178" t="s">
        <v>100</v>
      </c>
      <c r="B178" t="s">
        <v>521</v>
      </c>
      <c r="C178" t="s">
        <v>538</v>
      </c>
      <c r="D178" t="s">
        <v>539</v>
      </c>
      <c r="E178" s="8">
        <v>290</v>
      </c>
      <c r="F178" s="8">
        <v>115540</v>
      </c>
      <c r="G178" s="8">
        <f t="shared" si="8"/>
        <v>33506600</v>
      </c>
      <c r="H178" s="5">
        <v>0.6192</v>
      </c>
      <c r="I178" s="8">
        <f t="shared" si="9"/>
        <v>33506600</v>
      </c>
      <c r="J178" s="8">
        <f t="shared" si="10"/>
        <v>20747286.72</v>
      </c>
      <c r="K178" t="str">
        <f t="shared" si="11"/>
        <v>MATCHED</v>
      </c>
    </row>
    <row r="179" spans="1:11">
      <c r="A179" t="s">
        <v>100</v>
      </c>
      <c r="B179" t="s">
        <v>521</v>
      </c>
      <c r="C179" t="s">
        <v>291</v>
      </c>
      <c r="D179" t="s">
        <v>292</v>
      </c>
      <c r="E179" s="8">
        <v>440</v>
      </c>
      <c r="F179" s="8">
        <v>131030</v>
      </c>
      <c r="G179" s="8">
        <f t="shared" si="8"/>
        <v>57653200</v>
      </c>
      <c r="H179" s="5">
        <v>0.6388</v>
      </c>
      <c r="I179" s="8">
        <f t="shared" si="9"/>
        <v>57653200</v>
      </c>
      <c r="J179" s="8">
        <f t="shared" si="10"/>
        <v>36828864.16</v>
      </c>
      <c r="K179" t="str">
        <f t="shared" si="11"/>
        <v>MATCHED</v>
      </c>
    </row>
    <row r="180" spans="1:11">
      <c r="A180" t="s">
        <v>100</v>
      </c>
      <c r="B180" t="s">
        <v>521</v>
      </c>
      <c r="C180" t="s">
        <v>540</v>
      </c>
      <c r="D180" t="s">
        <v>541</v>
      </c>
      <c r="E180" s="8">
        <v>110</v>
      </c>
      <c r="F180" s="8">
        <v>134370</v>
      </c>
      <c r="G180" s="8">
        <f t="shared" si="8"/>
        <v>14780700</v>
      </c>
      <c r="H180" s="5">
        <v>0.6292</v>
      </c>
      <c r="I180" s="8">
        <f t="shared" si="9"/>
        <v>14780700</v>
      </c>
      <c r="J180" s="8">
        <f t="shared" si="10"/>
        <v>9300016.44</v>
      </c>
      <c r="K180" t="str">
        <f t="shared" si="11"/>
        <v>MATCHED</v>
      </c>
    </row>
    <row r="181" spans="1:11">
      <c r="A181" t="s">
        <v>100</v>
      </c>
      <c r="B181" t="s">
        <v>521</v>
      </c>
      <c r="C181" t="s">
        <v>542</v>
      </c>
      <c r="D181" t="s">
        <v>543</v>
      </c>
      <c r="E181" s="8">
        <v>190</v>
      </c>
      <c r="F181" s="8">
        <v>91560</v>
      </c>
      <c r="G181" s="8">
        <f t="shared" si="8"/>
        <v>17396400</v>
      </c>
      <c r="H181" s="5">
        <v>0.7096</v>
      </c>
      <c r="I181" s="8">
        <f t="shared" si="9"/>
        <v>17396400</v>
      </c>
      <c r="J181" s="8">
        <f t="shared" si="10"/>
        <v>12344485.44</v>
      </c>
      <c r="K181" t="str">
        <f t="shared" si="11"/>
        <v>MATCHED</v>
      </c>
    </row>
    <row r="182" spans="1:11">
      <c r="A182" t="s">
        <v>100</v>
      </c>
      <c r="B182" t="s">
        <v>521</v>
      </c>
      <c r="C182" t="s">
        <v>293</v>
      </c>
      <c r="D182" t="s">
        <v>294</v>
      </c>
      <c r="E182" s="8">
        <v>800</v>
      </c>
      <c r="F182" s="8">
        <v>85250</v>
      </c>
      <c r="G182" s="8">
        <f t="shared" si="8"/>
        <v>68200000</v>
      </c>
      <c r="H182" s="5">
        <v>0.6062</v>
      </c>
      <c r="I182" s="8">
        <f t="shared" si="9"/>
        <v>68200000</v>
      </c>
      <c r="J182" s="8">
        <f t="shared" si="10"/>
        <v>41342840</v>
      </c>
      <c r="K182" t="str">
        <f t="shared" si="11"/>
        <v>MATCHED</v>
      </c>
    </row>
    <row r="183" spans="1:11">
      <c r="A183" t="s">
        <v>100</v>
      </c>
      <c r="B183" t="s">
        <v>521</v>
      </c>
      <c r="C183" t="s">
        <v>544</v>
      </c>
      <c r="D183" t="s">
        <v>545</v>
      </c>
      <c r="E183" s="8">
        <v>400</v>
      </c>
      <c r="F183" s="8">
        <v>138700</v>
      </c>
      <c r="G183" s="8">
        <f t="shared" si="8"/>
        <v>55480000</v>
      </c>
      <c r="H183" s="5">
        <v>0.6278</v>
      </c>
      <c r="I183" s="8">
        <f t="shared" si="9"/>
        <v>55480000</v>
      </c>
      <c r="J183" s="8">
        <f t="shared" si="10"/>
        <v>34830344</v>
      </c>
      <c r="K183" t="str">
        <f t="shared" si="11"/>
        <v>MATCHED</v>
      </c>
    </row>
    <row r="184" spans="1:11">
      <c r="A184" t="s">
        <v>100</v>
      </c>
      <c r="B184" t="s">
        <v>521</v>
      </c>
      <c r="C184" t="s">
        <v>546</v>
      </c>
      <c r="D184" t="s">
        <v>547</v>
      </c>
      <c r="E184" s="8">
        <v>160</v>
      </c>
      <c r="F184" s="8">
        <v>110760</v>
      </c>
      <c r="G184" s="8">
        <f t="shared" si="8"/>
        <v>17721600</v>
      </c>
      <c r="H184" s="5">
        <v>0.8389</v>
      </c>
      <c r="I184" s="8">
        <f t="shared" si="9"/>
        <v>17721600</v>
      </c>
      <c r="J184" s="8">
        <f t="shared" si="10"/>
        <v>14866650.24</v>
      </c>
      <c r="K184" t="str">
        <f t="shared" si="11"/>
        <v>MATCHED</v>
      </c>
    </row>
    <row r="185" spans="1:11">
      <c r="A185" t="s">
        <v>100</v>
      </c>
      <c r="B185" t="s">
        <v>521</v>
      </c>
      <c r="C185" t="s">
        <v>548</v>
      </c>
      <c r="D185" t="s">
        <v>549</v>
      </c>
      <c r="E185" s="8">
        <v>60</v>
      </c>
      <c r="F185" s="8">
        <v>139160</v>
      </c>
      <c r="G185" s="8">
        <f t="shared" si="8"/>
        <v>8349600</v>
      </c>
      <c r="H185" s="5">
        <v>0.8502</v>
      </c>
      <c r="I185" s="8">
        <f t="shared" si="9"/>
        <v>8349600</v>
      </c>
      <c r="J185" s="8">
        <f t="shared" si="10"/>
        <v>7098829.92</v>
      </c>
      <c r="K185" t="str">
        <f t="shared" si="11"/>
        <v>MATCHED</v>
      </c>
    </row>
    <row r="186" spans="1:11">
      <c r="A186" t="s">
        <v>100</v>
      </c>
      <c r="B186" t="s">
        <v>521</v>
      </c>
      <c r="C186" t="s">
        <v>295</v>
      </c>
      <c r="D186" t="s">
        <v>296</v>
      </c>
      <c r="E186" s="8">
        <v>770</v>
      </c>
      <c r="F186" s="8">
        <v>112720</v>
      </c>
      <c r="G186" s="8">
        <f t="shared" si="8"/>
        <v>86794400</v>
      </c>
      <c r="H186" s="5">
        <v>0.695</v>
      </c>
      <c r="I186" s="8">
        <f t="shared" si="9"/>
        <v>86794400</v>
      </c>
      <c r="J186" s="8">
        <f t="shared" si="10"/>
        <v>60322108</v>
      </c>
      <c r="K186" t="str">
        <f t="shared" si="11"/>
        <v>MATCHED</v>
      </c>
    </row>
    <row r="187" spans="1:11">
      <c r="A187" t="s">
        <v>100</v>
      </c>
      <c r="B187" t="s">
        <v>521</v>
      </c>
      <c r="C187" t="s">
        <v>550</v>
      </c>
      <c r="D187" t="s">
        <v>551</v>
      </c>
      <c r="E187" s="8">
        <v>170</v>
      </c>
      <c r="F187" s="8">
        <v>109140</v>
      </c>
      <c r="G187" s="8">
        <f t="shared" si="8"/>
        <v>18553800</v>
      </c>
      <c r="H187" s="5">
        <v>0.6824</v>
      </c>
      <c r="I187" s="8">
        <f t="shared" si="9"/>
        <v>18553800</v>
      </c>
      <c r="J187" s="8">
        <f t="shared" si="10"/>
        <v>12661113.12</v>
      </c>
      <c r="K187" t="str">
        <f t="shared" si="11"/>
        <v>MATCHED</v>
      </c>
    </row>
    <row r="188" spans="1:11">
      <c r="A188" t="s">
        <v>100</v>
      </c>
      <c r="B188" t="s">
        <v>521</v>
      </c>
      <c r="C188" t="s">
        <v>297</v>
      </c>
      <c r="D188" t="s">
        <v>298</v>
      </c>
      <c r="E188" s="8">
        <v>810</v>
      </c>
      <c r="F188" s="8">
        <v>144020</v>
      </c>
      <c r="G188" s="8">
        <f t="shared" si="8"/>
        <v>116656200</v>
      </c>
      <c r="H188" s="5">
        <v>0.5211</v>
      </c>
      <c r="I188" s="8">
        <f t="shared" si="9"/>
        <v>116656200</v>
      </c>
      <c r="J188" s="8">
        <f t="shared" si="10"/>
        <v>60789545.82</v>
      </c>
      <c r="K188" t="str">
        <f t="shared" si="11"/>
        <v>MATCHED</v>
      </c>
    </row>
    <row r="189" spans="1:11">
      <c r="A189" t="s">
        <v>100</v>
      </c>
      <c r="B189" t="s">
        <v>521</v>
      </c>
      <c r="C189" t="s">
        <v>552</v>
      </c>
      <c r="D189" t="s">
        <v>553</v>
      </c>
      <c r="E189" s="8">
        <v>40</v>
      </c>
      <c r="F189" s="8">
        <v>117530</v>
      </c>
      <c r="G189" s="8">
        <f t="shared" si="8"/>
        <v>4701200</v>
      </c>
      <c r="H189" s="5">
        <v>0.8117</v>
      </c>
      <c r="I189" s="8">
        <f t="shared" si="9"/>
        <v>4701200</v>
      </c>
      <c r="J189" s="8">
        <f t="shared" si="10"/>
        <v>3815964.04</v>
      </c>
      <c r="K189" t="str">
        <f t="shared" si="11"/>
        <v>MATCHED</v>
      </c>
    </row>
    <row r="190" spans="1:11">
      <c r="A190" t="s">
        <v>100</v>
      </c>
      <c r="B190" t="s">
        <v>521</v>
      </c>
      <c r="C190" t="s">
        <v>299</v>
      </c>
      <c r="D190" t="s">
        <v>300</v>
      </c>
      <c r="E190" s="8">
        <v>1040</v>
      </c>
      <c r="F190" s="8">
        <v>122620</v>
      </c>
      <c r="G190" s="8">
        <f t="shared" si="8"/>
        <v>127524800</v>
      </c>
      <c r="H190" s="5">
        <v>0.7425</v>
      </c>
      <c r="I190" s="8">
        <f t="shared" si="9"/>
        <v>127524800</v>
      </c>
      <c r="J190" s="8">
        <f t="shared" si="10"/>
        <v>94687164</v>
      </c>
      <c r="K190" t="str">
        <f t="shared" si="11"/>
        <v>MATCHED</v>
      </c>
    </row>
    <row r="191" spans="1:11">
      <c r="A191" t="s">
        <v>100</v>
      </c>
      <c r="B191" t="s">
        <v>521</v>
      </c>
      <c r="C191" t="s">
        <v>554</v>
      </c>
      <c r="D191" t="s">
        <v>555</v>
      </c>
      <c r="E191" s="8">
        <v>420</v>
      </c>
      <c r="F191" s="8">
        <v>98870</v>
      </c>
      <c r="G191" s="8">
        <f t="shared" si="8"/>
        <v>41525400</v>
      </c>
      <c r="H191" s="5">
        <v>0.6031</v>
      </c>
      <c r="I191" s="8">
        <f t="shared" si="9"/>
        <v>41525400</v>
      </c>
      <c r="J191" s="8">
        <f t="shared" si="10"/>
        <v>25043968.74</v>
      </c>
      <c r="K191" t="str">
        <f t="shared" si="11"/>
        <v>MATCHED</v>
      </c>
    </row>
    <row r="192" spans="1:11">
      <c r="A192" t="s">
        <v>100</v>
      </c>
      <c r="B192" t="s">
        <v>521</v>
      </c>
      <c r="C192" t="s">
        <v>556</v>
      </c>
      <c r="D192" t="s">
        <v>557</v>
      </c>
      <c r="E192" s="8">
        <v>550</v>
      </c>
      <c r="F192" s="8">
        <v>126170</v>
      </c>
      <c r="G192" s="8">
        <f t="shared" si="8"/>
        <v>69393500</v>
      </c>
      <c r="H192" s="5">
        <v>0.8228</v>
      </c>
      <c r="I192" s="8">
        <f t="shared" si="9"/>
        <v>69393500</v>
      </c>
      <c r="J192" s="8">
        <f t="shared" si="10"/>
        <v>57096971.8</v>
      </c>
      <c r="K192" t="str">
        <f t="shared" si="11"/>
        <v>MATCHED</v>
      </c>
    </row>
    <row r="193" spans="1:11">
      <c r="A193" t="s">
        <v>100</v>
      </c>
      <c r="B193" t="s">
        <v>521</v>
      </c>
      <c r="C193" t="s">
        <v>558</v>
      </c>
      <c r="D193" t="s">
        <v>559</v>
      </c>
      <c r="E193" s="8">
        <v>160</v>
      </c>
      <c r="F193" s="8">
        <v>125390</v>
      </c>
      <c r="G193" s="8">
        <f t="shared" si="8"/>
        <v>20062400</v>
      </c>
      <c r="H193" s="5">
        <v>0.7929</v>
      </c>
      <c r="I193" s="8">
        <f t="shared" si="9"/>
        <v>20062400</v>
      </c>
      <c r="J193" s="8">
        <f t="shared" si="10"/>
        <v>15907476.96</v>
      </c>
      <c r="K193" t="str">
        <f t="shared" si="11"/>
        <v>MATCHED</v>
      </c>
    </row>
    <row r="194" spans="1:11">
      <c r="A194" t="s">
        <v>100</v>
      </c>
      <c r="B194" t="s">
        <v>521</v>
      </c>
      <c r="C194" t="s">
        <v>560</v>
      </c>
      <c r="D194" t="s">
        <v>561</v>
      </c>
      <c r="E194" s="8">
        <v>650</v>
      </c>
      <c r="F194" s="8">
        <v>84620</v>
      </c>
      <c r="G194" s="8">
        <f t="shared" ref="G194:G257" si="12">IF(OR(E194="",F194=""),"",E194*F194)</f>
        <v>55003000</v>
      </c>
      <c r="H194" s="5">
        <v>0.3682</v>
      </c>
      <c r="I194" s="8">
        <f t="shared" ref="I194:I257" si="13">IF(G194="","",IF(ISNUMBER(H194),G194,""))</f>
        <v>55003000</v>
      </c>
      <c r="J194" s="8">
        <f t="shared" ref="J194:J257" si="14">IF(I194="","",I194*H194)</f>
        <v>20252104.6</v>
      </c>
      <c r="K194" t="str">
        <f t="shared" ref="K194:K257" si="15">IF(G194="","MISSING OEWS",IF(ISNUMBER(H194),"MATCHED","MISSING WHARTON"))</f>
        <v>MATCHED</v>
      </c>
    </row>
    <row r="195" spans="1:11">
      <c r="A195" t="s">
        <v>100</v>
      </c>
      <c r="B195" t="s">
        <v>521</v>
      </c>
      <c r="C195" t="s">
        <v>562</v>
      </c>
      <c r="D195" t="s">
        <v>563</v>
      </c>
      <c r="E195" s="8">
        <v>90</v>
      </c>
      <c r="F195" s="8">
        <v>145670</v>
      </c>
      <c r="G195" s="8">
        <f t="shared" si="12"/>
        <v>13110300</v>
      </c>
      <c r="H195" s="5">
        <v>0.3615</v>
      </c>
      <c r="I195" s="8">
        <f t="shared" si="13"/>
        <v>13110300</v>
      </c>
      <c r="J195" s="8">
        <f t="shared" si="14"/>
        <v>4739373.45</v>
      </c>
      <c r="K195" t="str">
        <f t="shared" si="15"/>
        <v>MATCHED</v>
      </c>
    </row>
    <row r="196" spans="1:11">
      <c r="A196" t="s">
        <v>100</v>
      </c>
      <c r="B196" t="s">
        <v>521</v>
      </c>
      <c r="C196" t="s">
        <v>564</v>
      </c>
      <c r="D196" t="s">
        <v>565</v>
      </c>
      <c r="E196" s="8">
        <v>960</v>
      </c>
      <c r="F196" s="8">
        <v>159350</v>
      </c>
      <c r="G196" s="8">
        <f t="shared" si="12"/>
        <v>152976000</v>
      </c>
      <c r="H196" s="5">
        <v>0.4218</v>
      </c>
      <c r="I196" s="8">
        <f t="shared" si="13"/>
        <v>152976000</v>
      </c>
      <c r="J196" s="8">
        <f t="shared" si="14"/>
        <v>64525276.8</v>
      </c>
      <c r="K196" t="str">
        <f t="shared" si="15"/>
        <v>MATCHED</v>
      </c>
    </row>
    <row r="197" spans="1:11">
      <c r="A197" t="s">
        <v>100</v>
      </c>
      <c r="B197" t="s">
        <v>521</v>
      </c>
      <c r="C197" t="s">
        <v>566</v>
      </c>
      <c r="D197" t="s">
        <v>567</v>
      </c>
      <c r="E197" s="8">
        <v>720</v>
      </c>
      <c r="F197" s="8">
        <v>152840</v>
      </c>
      <c r="G197" s="8">
        <f t="shared" si="12"/>
        <v>110044800</v>
      </c>
      <c r="H197" s="5">
        <v>0.3523</v>
      </c>
      <c r="I197" s="8">
        <f t="shared" si="13"/>
        <v>110044800</v>
      </c>
      <c r="J197" s="8">
        <f t="shared" si="14"/>
        <v>38768783.04</v>
      </c>
      <c r="K197" t="str">
        <f t="shared" si="15"/>
        <v>MATCHED</v>
      </c>
    </row>
    <row r="198" spans="1:11">
      <c r="A198" t="s">
        <v>100</v>
      </c>
      <c r="B198" t="s">
        <v>521</v>
      </c>
      <c r="C198" t="s">
        <v>568</v>
      </c>
      <c r="D198" t="s">
        <v>569</v>
      </c>
      <c r="E198" s="8">
        <v>70</v>
      </c>
      <c r="F198" s="8">
        <v>129310</v>
      </c>
      <c r="G198" s="8">
        <f t="shared" si="12"/>
        <v>9051700</v>
      </c>
      <c r="H198" s="5">
        <v>0.4536</v>
      </c>
      <c r="I198" s="8">
        <f t="shared" si="13"/>
        <v>9051700</v>
      </c>
      <c r="J198" s="8">
        <f t="shared" si="14"/>
        <v>4105851.12</v>
      </c>
      <c r="K198" t="str">
        <f t="shared" si="15"/>
        <v>MATCHED</v>
      </c>
    </row>
    <row r="199" spans="1:11">
      <c r="A199" t="s">
        <v>100</v>
      </c>
      <c r="B199" t="s">
        <v>521</v>
      </c>
      <c r="C199" t="s">
        <v>570</v>
      </c>
      <c r="D199" t="s">
        <v>571</v>
      </c>
      <c r="E199" s="8">
        <v>440</v>
      </c>
      <c r="F199" s="8">
        <v>130070</v>
      </c>
      <c r="G199" s="8">
        <f t="shared" si="12"/>
        <v>57230800</v>
      </c>
      <c r="H199" s="5">
        <v>0.5196</v>
      </c>
      <c r="I199" s="8">
        <f t="shared" si="13"/>
        <v>57230800</v>
      </c>
      <c r="J199" s="8">
        <f t="shared" si="14"/>
        <v>29737123.68</v>
      </c>
      <c r="K199" t="str">
        <f t="shared" si="15"/>
        <v>MATCHED</v>
      </c>
    </row>
    <row r="200" spans="1:11">
      <c r="A200" t="s">
        <v>100</v>
      </c>
      <c r="B200" t="s">
        <v>521</v>
      </c>
      <c r="C200" t="s">
        <v>572</v>
      </c>
      <c r="D200" t="s">
        <v>573</v>
      </c>
      <c r="E200" s="8">
        <v>680</v>
      </c>
      <c r="F200" s="8">
        <v>152560</v>
      </c>
      <c r="G200" s="8">
        <f t="shared" si="12"/>
        <v>103740800</v>
      </c>
      <c r="H200" s="5">
        <v>0.2672</v>
      </c>
      <c r="I200" s="8">
        <f t="shared" si="13"/>
        <v>103740800</v>
      </c>
      <c r="J200" s="8">
        <f t="shared" si="14"/>
        <v>27719541.76</v>
      </c>
      <c r="K200" t="str">
        <f t="shared" si="15"/>
        <v>MATCHED</v>
      </c>
    </row>
    <row r="201" spans="1:11">
      <c r="A201" t="s">
        <v>100</v>
      </c>
      <c r="B201" t="s">
        <v>521</v>
      </c>
      <c r="C201" t="s">
        <v>301</v>
      </c>
      <c r="D201" t="s">
        <v>302</v>
      </c>
      <c r="E201" s="8">
        <v>1800</v>
      </c>
      <c r="F201" s="8">
        <v>155000</v>
      </c>
      <c r="G201" s="8">
        <f t="shared" si="12"/>
        <v>279000000</v>
      </c>
      <c r="H201" s="5">
        <v>0.4786</v>
      </c>
      <c r="I201" s="8">
        <f t="shared" si="13"/>
        <v>279000000</v>
      </c>
      <c r="J201" s="8">
        <f t="shared" si="14"/>
        <v>133529400</v>
      </c>
      <c r="K201" t="str">
        <f t="shared" si="15"/>
        <v>MATCHED</v>
      </c>
    </row>
    <row r="202" spans="1:11">
      <c r="A202" t="s">
        <v>100</v>
      </c>
      <c r="B202" t="s">
        <v>521</v>
      </c>
      <c r="C202" t="s">
        <v>574</v>
      </c>
      <c r="D202" t="s">
        <v>575</v>
      </c>
      <c r="E202" s="8">
        <v>410</v>
      </c>
      <c r="F202" s="8">
        <v>125990</v>
      </c>
      <c r="G202" s="8">
        <f t="shared" si="12"/>
        <v>51655900</v>
      </c>
      <c r="H202" s="5">
        <v>0.269</v>
      </c>
      <c r="I202" s="8">
        <f t="shared" si="13"/>
        <v>51655900</v>
      </c>
      <c r="J202" s="8">
        <f t="shared" si="14"/>
        <v>13895437.1</v>
      </c>
      <c r="K202" t="str">
        <f t="shared" si="15"/>
        <v>MATCHED</v>
      </c>
    </row>
    <row r="203" spans="1:11">
      <c r="A203" t="s">
        <v>100</v>
      </c>
      <c r="B203" t="s">
        <v>521</v>
      </c>
      <c r="C203" t="s">
        <v>576</v>
      </c>
      <c r="D203" t="s">
        <v>577</v>
      </c>
      <c r="E203" s="8">
        <v>1420</v>
      </c>
      <c r="F203" s="8">
        <v>152630</v>
      </c>
      <c r="G203" s="8">
        <f t="shared" si="12"/>
        <v>216734600</v>
      </c>
      <c r="H203" s="5">
        <v>0.3008</v>
      </c>
      <c r="I203" s="8">
        <f t="shared" si="13"/>
        <v>216734600</v>
      </c>
      <c r="J203" s="8">
        <f t="shared" si="14"/>
        <v>65193767.68</v>
      </c>
      <c r="K203" t="str">
        <f t="shared" si="15"/>
        <v>MATCHED</v>
      </c>
    </row>
    <row r="204" spans="1:11">
      <c r="A204" t="s">
        <v>100</v>
      </c>
      <c r="B204" t="s">
        <v>521</v>
      </c>
      <c r="C204" t="s">
        <v>578</v>
      </c>
      <c r="D204" t="s">
        <v>579</v>
      </c>
      <c r="E204" s="8">
        <v>2610</v>
      </c>
      <c r="F204" s="8">
        <v>113050</v>
      </c>
      <c r="G204" s="8">
        <f t="shared" si="12"/>
        <v>295060500</v>
      </c>
      <c r="H204" s="5">
        <v>0.2861</v>
      </c>
      <c r="I204" s="8">
        <f t="shared" si="13"/>
        <v>295060500</v>
      </c>
      <c r="J204" s="8">
        <f t="shared" si="14"/>
        <v>84416809.05</v>
      </c>
      <c r="K204" t="str">
        <f t="shared" si="15"/>
        <v>MATCHED</v>
      </c>
    </row>
    <row r="205" spans="1:11">
      <c r="A205" t="s">
        <v>100</v>
      </c>
      <c r="B205" t="s">
        <v>521</v>
      </c>
      <c r="C205" t="s">
        <v>580</v>
      </c>
      <c r="D205" t="s">
        <v>581</v>
      </c>
      <c r="E205" s="8">
        <v>9180</v>
      </c>
      <c r="F205" s="8">
        <v>170500</v>
      </c>
      <c r="G205" s="8">
        <f t="shared" si="12"/>
        <v>1565190000</v>
      </c>
      <c r="H205" s="5">
        <v>0.3065</v>
      </c>
      <c r="I205" s="8">
        <f t="shared" si="13"/>
        <v>1565190000</v>
      </c>
      <c r="J205" s="8">
        <f t="shared" si="14"/>
        <v>479730735</v>
      </c>
      <c r="K205" t="str">
        <f t="shared" si="15"/>
        <v>MATCHED</v>
      </c>
    </row>
    <row r="206" spans="1:11">
      <c r="A206" t="s">
        <v>100</v>
      </c>
      <c r="B206" t="s">
        <v>521</v>
      </c>
      <c r="C206" t="s">
        <v>582</v>
      </c>
      <c r="D206" t="s">
        <v>583</v>
      </c>
      <c r="E206" s="8">
        <v>1210</v>
      </c>
      <c r="F206" s="8">
        <v>116560</v>
      </c>
      <c r="G206" s="8">
        <f t="shared" si="12"/>
        <v>141037600</v>
      </c>
      <c r="H206" s="5">
        <v>0.315</v>
      </c>
      <c r="I206" s="8">
        <f t="shared" si="13"/>
        <v>141037600</v>
      </c>
      <c r="J206" s="8">
        <f t="shared" si="14"/>
        <v>44426844</v>
      </c>
      <c r="K206" t="str">
        <f t="shared" si="15"/>
        <v>MATCHED</v>
      </c>
    </row>
    <row r="207" spans="1:11">
      <c r="A207" t="s">
        <v>100</v>
      </c>
      <c r="B207" t="s">
        <v>521</v>
      </c>
      <c r="C207" t="s">
        <v>584</v>
      </c>
      <c r="D207" t="s">
        <v>585</v>
      </c>
      <c r="E207" s="8"/>
      <c r="F207" s="8">
        <v>82840</v>
      </c>
      <c r="G207" s="8" t="str">
        <f t="shared" si="12"/>
        <v/>
      </c>
      <c r="H207" s="5">
        <v>0.7</v>
      </c>
      <c r="I207" s="8" t="str">
        <f t="shared" si="13"/>
        <v/>
      </c>
      <c r="J207" s="8" t="str">
        <f t="shared" si="14"/>
        <v/>
      </c>
      <c r="K207" t="str">
        <f t="shared" si="15"/>
        <v>MISSING OEWS</v>
      </c>
    </row>
    <row r="208" spans="1:11">
      <c r="A208" t="s">
        <v>100</v>
      </c>
      <c r="B208" t="s">
        <v>521</v>
      </c>
      <c r="C208" t="s">
        <v>586</v>
      </c>
      <c r="D208" t="s">
        <v>587</v>
      </c>
      <c r="E208" s="8">
        <v>90</v>
      </c>
      <c r="F208" s="8">
        <v>74150</v>
      </c>
      <c r="G208" s="8">
        <f t="shared" si="12"/>
        <v>6673500</v>
      </c>
      <c r="H208" s="5">
        <v>0.71</v>
      </c>
      <c r="I208" s="8">
        <f t="shared" si="13"/>
        <v>6673500</v>
      </c>
      <c r="J208" s="8">
        <f t="shared" si="14"/>
        <v>4738185</v>
      </c>
      <c r="K208" t="str">
        <f t="shared" si="15"/>
        <v>MATCHED</v>
      </c>
    </row>
    <row r="209" spans="1:11">
      <c r="A209" t="s">
        <v>100</v>
      </c>
      <c r="B209" t="s">
        <v>521</v>
      </c>
      <c r="C209" t="s">
        <v>588</v>
      </c>
      <c r="D209" t="s">
        <v>589</v>
      </c>
      <c r="E209" s="8">
        <v>140</v>
      </c>
      <c r="F209" s="8">
        <v>65540</v>
      </c>
      <c r="G209" s="8">
        <f t="shared" si="12"/>
        <v>9175600</v>
      </c>
      <c r="H209" s="5"/>
      <c r="I209" s="8" t="str">
        <f t="shared" si="13"/>
        <v/>
      </c>
      <c r="J209" s="8" t="str">
        <f t="shared" si="14"/>
        <v/>
      </c>
      <c r="K209" t="str">
        <f t="shared" si="15"/>
        <v>MISSING WHARTON</v>
      </c>
    </row>
    <row r="210" spans="1:11">
      <c r="A210" t="s">
        <v>100</v>
      </c>
      <c r="B210" t="s">
        <v>521</v>
      </c>
      <c r="C210" t="s">
        <v>590</v>
      </c>
      <c r="D210" t="s">
        <v>591</v>
      </c>
      <c r="E210" s="8">
        <v>50</v>
      </c>
      <c r="F210" s="8">
        <v>93160</v>
      </c>
      <c r="G210" s="8">
        <f t="shared" si="12"/>
        <v>4658000</v>
      </c>
      <c r="H210" s="5">
        <v>0.4567</v>
      </c>
      <c r="I210" s="8">
        <f t="shared" si="13"/>
        <v>4658000</v>
      </c>
      <c r="J210" s="8">
        <f t="shared" si="14"/>
        <v>2127308.6</v>
      </c>
      <c r="K210" t="str">
        <f t="shared" si="15"/>
        <v>MATCHED</v>
      </c>
    </row>
    <row r="211" spans="1:11">
      <c r="A211" t="s">
        <v>100</v>
      </c>
      <c r="B211" t="s">
        <v>521</v>
      </c>
      <c r="C211" t="s">
        <v>592</v>
      </c>
      <c r="D211" t="s">
        <v>593</v>
      </c>
      <c r="E211" s="8">
        <v>790</v>
      </c>
      <c r="F211" s="8">
        <v>82560</v>
      </c>
      <c r="G211" s="8">
        <f t="shared" si="12"/>
        <v>65222400</v>
      </c>
      <c r="H211" s="5">
        <v>0.4</v>
      </c>
      <c r="I211" s="8">
        <f t="shared" si="13"/>
        <v>65222400</v>
      </c>
      <c r="J211" s="8">
        <f t="shared" si="14"/>
        <v>26088960</v>
      </c>
      <c r="K211" t="str">
        <f t="shared" si="15"/>
        <v>MATCHED</v>
      </c>
    </row>
    <row r="212" spans="1:11">
      <c r="A212" t="s">
        <v>100</v>
      </c>
      <c r="B212" t="s">
        <v>521</v>
      </c>
      <c r="C212" t="s">
        <v>594</v>
      </c>
      <c r="D212" t="s">
        <v>595</v>
      </c>
      <c r="E212" s="8">
        <v>210</v>
      </c>
      <c r="F212" s="8">
        <v>95140</v>
      </c>
      <c r="G212" s="8">
        <f t="shared" si="12"/>
        <v>19979400</v>
      </c>
      <c r="H212" s="5">
        <v>0.1781</v>
      </c>
      <c r="I212" s="8">
        <f t="shared" si="13"/>
        <v>19979400</v>
      </c>
      <c r="J212" s="8">
        <f t="shared" si="14"/>
        <v>3558331.14</v>
      </c>
      <c r="K212" t="str">
        <f t="shared" si="15"/>
        <v>MATCHED</v>
      </c>
    </row>
    <row r="213" spans="1:11">
      <c r="A213" t="s">
        <v>100</v>
      </c>
      <c r="B213" t="s">
        <v>521</v>
      </c>
      <c r="C213" t="s">
        <v>596</v>
      </c>
      <c r="D213" t="s">
        <v>597</v>
      </c>
      <c r="E213" s="8">
        <v>210</v>
      </c>
      <c r="F213" s="8">
        <v>75200</v>
      </c>
      <c r="G213" s="8">
        <f t="shared" si="12"/>
        <v>15792000</v>
      </c>
      <c r="H213" s="5">
        <v>0.4615</v>
      </c>
      <c r="I213" s="8">
        <f t="shared" si="13"/>
        <v>15792000</v>
      </c>
      <c r="J213" s="8">
        <f t="shared" si="14"/>
        <v>7288008</v>
      </c>
      <c r="K213" t="str">
        <f t="shared" si="15"/>
        <v>MATCHED</v>
      </c>
    </row>
    <row r="214" spans="1:11">
      <c r="A214" t="s">
        <v>100</v>
      </c>
      <c r="B214" t="s">
        <v>521</v>
      </c>
      <c r="C214" t="s">
        <v>598</v>
      </c>
      <c r="D214" t="s">
        <v>599</v>
      </c>
      <c r="E214" s="8">
        <v>270</v>
      </c>
      <c r="F214" s="8">
        <v>93200</v>
      </c>
      <c r="G214" s="8">
        <f t="shared" si="12"/>
        <v>25164000</v>
      </c>
      <c r="H214" s="5">
        <v>0.2855</v>
      </c>
      <c r="I214" s="8">
        <f t="shared" si="13"/>
        <v>25164000</v>
      </c>
      <c r="J214" s="8">
        <f t="shared" si="14"/>
        <v>7184322</v>
      </c>
      <c r="K214" t="str">
        <f t="shared" si="15"/>
        <v>MATCHED</v>
      </c>
    </row>
    <row r="215" spans="1:11">
      <c r="A215" t="s">
        <v>100</v>
      </c>
      <c r="B215" t="s">
        <v>521</v>
      </c>
      <c r="C215" t="s">
        <v>600</v>
      </c>
      <c r="D215" t="s">
        <v>601</v>
      </c>
      <c r="E215" s="8">
        <v>560</v>
      </c>
      <c r="F215" s="8">
        <v>86280</v>
      </c>
      <c r="G215" s="8">
        <f t="shared" si="12"/>
        <v>48316800</v>
      </c>
      <c r="H215" s="5">
        <v>0.3125</v>
      </c>
      <c r="I215" s="8">
        <f t="shared" si="13"/>
        <v>48316800</v>
      </c>
      <c r="J215" s="8">
        <f t="shared" si="14"/>
        <v>15099000</v>
      </c>
      <c r="K215" t="str">
        <f t="shared" si="15"/>
        <v>MATCHED</v>
      </c>
    </row>
    <row r="216" spans="1:11">
      <c r="A216" t="s">
        <v>100</v>
      </c>
      <c r="B216" t="s">
        <v>521</v>
      </c>
      <c r="C216" t="s">
        <v>602</v>
      </c>
      <c r="D216" t="s">
        <v>603</v>
      </c>
      <c r="E216" s="8">
        <v>560</v>
      </c>
      <c r="F216" s="8">
        <v>91280</v>
      </c>
      <c r="G216" s="8">
        <f t="shared" si="12"/>
        <v>51116800</v>
      </c>
      <c r="H216" s="5">
        <v>0.1733</v>
      </c>
      <c r="I216" s="8">
        <f t="shared" si="13"/>
        <v>51116800</v>
      </c>
      <c r="J216" s="8">
        <f t="shared" si="14"/>
        <v>8858541.44</v>
      </c>
      <c r="K216" t="str">
        <f t="shared" si="15"/>
        <v>MATCHED</v>
      </c>
    </row>
    <row r="217" spans="1:11">
      <c r="A217" t="s">
        <v>100</v>
      </c>
      <c r="B217" t="s">
        <v>521</v>
      </c>
      <c r="C217" t="s">
        <v>604</v>
      </c>
      <c r="D217" t="s">
        <v>605</v>
      </c>
      <c r="E217" s="8">
        <v>640</v>
      </c>
      <c r="F217" s="8">
        <v>82620</v>
      </c>
      <c r="G217" s="8">
        <f t="shared" si="12"/>
        <v>52876800</v>
      </c>
      <c r="H217" s="5">
        <v>0.1404</v>
      </c>
      <c r="I217" s="8">
        <f t="shared" si="13"/>
        <v>52876800</v>
      </c>
      <c r="J217" s="8">
        <f t="shared" si="14"/>
        <v>7423902.72</v>
      </c>
      <c r="K217" t="str">
        <f t="shared" si="15"/>
        <v>MATCHED</v>
      </c>
    </row>
    <row r="218" spans="1:11">
      <c r="A218" t="s">
        <v>100</v>
      </c>
      <c r="B218" t="s">
        <v>521</v>
      </c>
      <c r="C218" t="s">
        <v>606</v>
      </c>
      <c r="D218" t="s">
        <v>607</v>
      </c>
      <c r="E218" s="8">
        <v>350</v>
      </c>
      <c r="F218" s="8">
        <v>67560</v>
      </c>
      <c r="G218" s="8">
        <f t="shared" si="12"/>
        <v>23646000</v>
      </c>
      <c r="H218" s="5">
        <v>0.6783</v>
      </c>
      <c r="I218" s="8">
        <f t="shared" si="13"/>
        <v>23646000</v>
      </c>
      <c r="J218" s="8">
        <f t="shared" si="14"/>
        <v>16039081.8</v>
      </c>
      <c r="K218" t="str">
        <f t="shared" si="15"/>
        <v>MATCHED</v>
      </c>
    </row>
    <row r="219" spans="1:11">
      <c r="A219" t="s">
        <v>100</v>
      </c>
      <c r="B219" t="s">
        <v>521</v>
      </c>
      <c r="C219" t="s">
        <v>608</v>
      </c>
      <c r="D219" t="s">
        <v>609</v>
      </c>
      <c r="E219" s="8">
        <v>190</v>
      </c>
      <c r="F219" s="8">
        <v>130530</v>
      </c>
      <c r="G219" s="8">
        <f t="shared" si="12"/>
        <v>24800700</v>
      </c>
      <c r="H219" s="5">
        <v>0.1808</v>
      </c>
      <c r="I219" s="8">
        <f t="shared" si="13"/>
        <v>24800700</v>
      </c>
      <c r="J219" s="8">
        <f t="shared" si="14"/>
        <v>4483966.56</v>
      </c>
      <c r="K219" t="str">
        <f t="shared" si="15"/>
        <v>MATCHED</v>
      </c>
    </row>
    <row r="220" spans="1:11">
      <c r="A220" t="s">
        <v>100</v>
      </c>
      <c r="B220" t="s">
        <v>521</v>
      </c>
      <c r="C220" t="s">
        <v>610</v>
      </c>
      <c r="D220" t="s">
        <v>611</v>
      </c>
      <c r="E220" s="8">
        <v>600</v>
      </c>
      <c r="F220" s="8">
        <v>106320</v>
      </c>
      <c r="G220" s="8">
        <f t="shared" si="12"/>
        <v>63792000</v>
      </c>
      <c r="H220" s="5">
        <v>0.4662</v>
      </c>
      <c r="I220" s="8">
        <f t="shared" si="13"/>
        <v>63792000</v>
      </c>
      <c r="J220" s="8">
        <f t="shared" si="14"/>
        <v>29739830.4</v>
      </c>
      <c r="K220" t="str">
        <f t="shared" si="15"/>
        <v>MATCHED</v>
      </c>
    </row>
    <row r="221" spans="1:11">
      <c r="A221" t="s">
        <v>100</v>
      </c>
      <c r="B221" t="s">
        <v>521</v>
      </c>
      <c r="C221" t="s">
        <v>612</v>
      </c>
      <c r="D221" t="s">
        <v>613</v>
      </c>
      <c r="E221" s="8">
        <v>4350</v>
      </c>
      <c r="F221" s="8">
        <v>161440</v>
      </c>
      <c r="G221" s="8">
        <f t="shared" si="12"/>
        <v>702264000</v>
      </c>
      <c r="H221" s="5">
        <v>0.2937</v>
      </c>
      <c r="I221" s="8">
        <f t="shared" si="13"/>
        <v>702264000</v>
      </c>
      <c r="J221" s="8">
        <f t="shared" si="14"/>
        <v>206254936.8</v>
      </c>
      <c r="K221" t="str">
        <f t="shared" si="15"/>
        <v>MATCHED</v>
      </c>
    </row>
    <row r="222" spans="1:11">
      <c r="A222" t="s">
        <v>100</v>
      </c>
      <c r="B222" t="s">
        <v>521</v>
      </c>
      <c r="C222" t="s">
        <v>614</v>
      </c>
      <c r="D222" t="s">
        <v>615</v>
      </c>
      <c r="E222" s="8">
        <v>30</v>
      </c>
      <c r="F222" s="8">
        <v>206640</v>
      </c>
      <c r="G222" s="8">
        <f t="shared" si="12"/>
        <v>6199200</v>
      </c>
      <c r="H222" s="5">
        <v>0.5271</v>
      </c>
      <c r="I222" s="8">
        <f t="shared" si="13"/>
        <v>6199200</v>
      </c>
      <c r="J222" s="8">
        <f t="shared" si="14"/>
        <v>3267598.32</v>
      </c>
      <c r="K222" t="str">
        <f t="shared" si="15"/>
        <v>MATCHED</v>
      </c>
    </row>
    <row r="223" spans="1:11">
      <c r="A223" t="s">
        <v>100</v>
      </c>
      <c r="B223" t="s">
        <v>521</v>
      </c>
      <c r="C223" t="s">
        <v>616</v>
      </c>
      <c r="D223" t="s">
        <v>617</v>
      </c>
      <c r="E223" s="8">
        <v>1040</v>
      </c>
      <c r="F223" s="8">
        <v>65050</v>
      </c>
      <c r="G223" s="8">
        <f t="shared" si="12"/>
        <v>67652000</v>
      </c>
      <c r="H223" s="5">
        <v>0.25</v>
      </c>
      <c r="I223" s="8">
        <f t="shared" si="13"/>
        <v>67652000</v>
      </c>
      <c r="J223" s="8">
        <f t="shared" si="14"/>
        <v>16913000</v>
      </c>
      <c r="K223" t="str">
        <f t="shared" si="15"/>
        <v>MATCHED</v>
      </c>
    </row>
    <row r="224" spans="1:11">
      <c r="A224" t="s">
        <v>100</v>
      </c>
      <c r="B224" t="s">
        <v>521</v>
      </c>
      <c r="C224" t="s">
        <v>618</v>
      </c>
      <c r="D224" t="s">
        <v>619</v>
      </c>
      <c r="E224" s="8">
        <v>360</v>
      </c>
      <c r="F224" s="8">
        <v>72840</v>
      </c>
      <c r="G224" s="8">
        <f t="shared" si="12"/>
        <v>26222400</v>
      </c>
      <c r="H224" s="5">
        <v>0.2635</v>
      </c>
      <c r="I224" s="8">
        <f t="shared" si="13"/>
        <v>26222400</v>
      </c>
      <c r="J224" s="8">
        <f t="shared" si="14"/>
        <v>6909602.4</v>
      </c>
      <c r="K224" t="str">
        <f t="shared" si="15"/>
        <v>MATCHED</v>
      </c>
    </row>
    <row r="225" spans="1:11">
      <c r="A225" t="s">
        <v>100</v>
      </c>
      <c r="B225" t="s">
        <v>521</v>
      </c>
      <c r="C225" t="s">
        <v>620</v>
      </c>
      <c r="D225" t="s">
        <v>621</v>
      </c>
      <c r="E225" s="8">
        <v>2270</v>
      </c>
      <c r="F225" s="8">
        <v>62280</v>
      </c>
      <c r="G225" s="8">
        <f t="shared" si="12"/>
        <v>141375600</v>
      </c>
      <c r="H225" s="5">
        <v>0.3617</v>
      </c>
      <c r="I225" s="8">
        <f t="shared" si="13"/>
        <v>141375600</v>
      </c>
      <c r="J225" s="8">
        <f t="shared" si="14"/>
        <v>51135554.52</v>
      </c>
      <c r="K225" t="str">
        <f t="shared" si="15"/>
        <v>MATCHED</v>
      </c>
    </row>
    <row r="226" spans="1:11">
      <c r="A226" t="s">
        <v>100</v>
      </c>
      <c r="B226" t="s">
        <v>521</v>
      </c>
      <c r="C226" t="s">
        <v>622</v>
      </c>
      <c r="D226" t="s">
        <v>623</v>
      </c>
      <c r="E226" s="8">
        <v>190</v>
      </c>
      <c r="F226" s="8">
        <v>93730</v>
      </c>
      <c r="G226" s="8">
        <f t="shared" si="12"/>
        <v>17808700</v>
      </c>
      <c r="H226" s="5">
        <v>0.4562</v>
      </c>
      <c r="I226" s="8">
        <f t="shared" si="13"/>
        <v>17808700</v>
      </c>
      <c r="J226" s="8">
        <f t="shared" si="14"/>
        <v>8124328.94</v>
      </c>
      <c r="K226" t="str">
        <f t="shared" si="15"/>
        <v>MATCHED</v>
      </c>
    </row>
    <row r="227" spans="1:11">
      <c r="A227" t="s">
        <v>100</v>
      </c>
      <c r="B227" t="s">
        <v>521</v>
      </c>
      <c r="C227" t="s">
        <v>624</v>
      </c>
      <c r="D227" t="s">
        <v>625</v>
      </c>
      <c r="E227" s="8">
        <v>140</v>
      </c>
      <c r="F227" s="8">
        <v>66890</v>
      </c>
      <c r="G227" s="8">
        <f t="shared" si="12"/>
        <v>9364600</v>
      </c>
      <c r="H227" s="5">
        <v>0.5519</v>
      </c>
      <c r="I227" s="8">
        <f t="shared" si="13"/>
        <v>9364600</v>
      </c>
      <c r="J227" s="8">
        <f t="shared" si="14"/>
        <v>5168322.74</v>
      </c>
      <c r="K227" t="str">
        <f t="shared" si="15"/>
        <v>MATCHED</v>
      </c>
    </row>
    <row r="228" spans="1:11">
      <c r="A228" t="s">
        <v>100</v>
      </c>
      <c r="B228" t="s">
        <v>521</v>
      </c>
      <c r="C228" t="s">
        <v>319</v>
      </c>
      <c r="D228" t="s">
        <v>320</v>
      </c>
      <c r="E228" s="8">
        <v>4010</v>
      </c>
      <c r="F228" s="8">
        <v>101660</v>
      </c>
      <c r="G228" s="8">
        <f t="shared" si="12"/>
        <v>407656600</v>
      </c>
      <c r="H228" s="5">
        <v>0.2786</v>
      </c>
      <c r="I228" s="8">
        <f t="shared" si="13"/>
        <v>407656600</v>
      </c>
      <c r="J228" s="8">
        <f t="shared" si="14"/>
        <v>113573128.76</v>
      </c>
      <c r="K228" t="str">
        <f t="shared" si="15"/>
        <v>MATCHED</v>
      </c>
    </row>
    <row r="229" spans="1:11">
      <c r="A229" t="s">
        <v>100</v>
      </c>
      <c r="B229" t="s">
        <v>521</v>
      </c>
      <c r="C229" t="s">
        <v>626</v>
      </c>
      <c r="D229" t="s">
        <v>627</v>
      </c>
      <c r="E229" s="8">
        <v>770</v>
      </c>
      <c r="F229" s="8">
        <v>81840</v>
      </c>
      <c r="G229" s="8">
        <f t="shared" si="12"/>
        <v>63016800</v>
      </c>
      <c r="H229" s="5">
        <v>0.2712</v>
      </c>
      <c r="I229" s="8">
        <f t="shared" si="13"/>
        <v>63016800</v>
      </c>
      <c r="J229" s="8">
        <f t="shared" si="14"/>
        <v>17090156.16</v>
      </c>
      <c r="K229" t="str">
        <f t="shared" si="15"/>
        <v>MATCHED</v>
      </c>
    </row>
    <row r="230" spans="1:11">
      <c r="A230" t="s">
        <v>100</v>
      </c>
      <c r="B230" t="s">
        <v>521</v>
      </c>
      <c r="C230" t="s">
        <v>628</v>
      </c>
      <c r="D230" t="s">
        <v>629</v>
      </c>
      <c r="E230" s="8">
        <v>710</v>
      </c>
      <c r="F230" s="8">
        <v>264990</v>
      </c>
      <c r="G230" s="8">
        <f t="shared" si="12"/>
        <v>188142900</v>
      </c>
      <c r="H230" s="5">
        <v>0.45</v>
      </c>
      <c r="I230" s="8">
        <f t="shared" si="13"/>
        <v>188142900</v>
      </c>
      <c r="J230" s="8">
        <f t="shared" si="14"/>
        <v>84664305</v>
      </c>
      <c r="K230" t="str">
        <f t="shared" si="15"/>
        <v>MATCHED</v>
      </c>
    </row>
    <row r="231" spans="1:11">
      <c r="A231" t="s">
        <v>100</v>
      </c>
      <c r="B231" t="s">
        <v>521</v>
      </c>
      <c r="C231" t="s">
        <v>630</v>
      </c>
      <c r="D231" t="s">
        <v>631</v>
      </c>
      <c r="E231" s="8">
        <v>110</v>
      </c>
      <c r="F231" s="8">
        <v>95380</v>
      </c>
      <c r="G231" s="8">
        <f t="shared" si="12"/>
        <v>10491800</v>
      </c>
      <c r="H231" s="5">
        <v>0.5917</v>
      </c>
      <c r="I231" s="8">
        <f t="shared" si="13"/>
        <v>10491800</v>
      </c>
      <c r="J231" s="8">
        <f t="shared" si="14"/>
        <v>6207998.06</v>
      </c>
      <c r="K231" t="str">
        <f t="shared" si="15"/>
        <v>MATCHED</v>
      </c>
    </row>
    <row r="232" spans="1:11">
      <c r="A232" t="s">
        <v>100</v>
      </c>
      <c r="B232" t="s">
        <v>521</v>
      </c>
      <c r="C232" t="s">
        <v>632</v>
      </c>
      <c r="D232" t="s">
        <v>633</v>
      </c>
      <c r="E232" s="8">
        <v>990</v>
      </c>
      <c r="F232" s="8">
        <v>89210</v>
      </c>
      <c r="G232" s="8">
        <f t="shared" si="12"/>
        <v>88317900</v>
      </c>
      <c r="H232" s="5">
        <v>0.8794</v>
      </c>
      <c r="I232" s="8">
        <f t="shared" si="13"/>
        <v>88317900</v>
      </c>
      <c r="J232" s="8">
        <f t="shared" si="14"/>
        <v>77666761.26</v>
      </c>
      <c r="K232" t="str">
        <f t="shared" si="15"/>
        <v>MATCHED</v>
      </c>
    </row>
    <row r="233" spans="1:11">
      <c r="A233" t="s">
        <v>100</v>
      </c>
      <c r="B233" t="s">
        <v>521</v>
      </c>
      <c r="C233" t="s">
        <v>634</v>
      </c>
      <c r="D233" t="s">
        <v>635</v>
      </c>
      <c r="E233" s="8">
        <v>200</v>
      </c>
      <c r="F233" s="8">
        <v>107580</v>
      </c>
      <c r="G233" s="8">
        <f t="shared" si="12"/>
        <v>21516000</v>
      </c>
      <c r="H233" s="5"/>
      <c r="I233" s="8" t="str">
        <f t="shared" si="13"/>
        <v/>
      </c>
      <c r="J233" s="8" t="str">
        <f t="shared" si="14"/>
        <v/>
      </c>
      <c r="K233" t="str">
        <f t="shared" si="15"/>
        <v>MISSING WHARTON</v>
      </c>
    </row>
    <row r="234" spans="1:11">
      <c r="A234" t="s">
        <v>100</v>
      </c>
      <c r="B234" t="s">
        <v>521</v>
      </c>
      <c r="C234" t="s">
        <v>323</v>
      </c>
      <c r="D234" t="s">
        <v>324</v>
      </c>
      <c r="E234" s="8">
        <v>240</v>
      </c>
      <c r="F234" s="8">
        <v>81670</v>
      </c>
      <c r="G234" s="8">
        <f t="shared" si="12"/>
        <v>19600800</v>
      </c>
      <c r="H234" s="5">
        <v>0.575</v>
      </c>
      <c r="I234" s="8">
        <f t="shared" si="13"/>
        <v>19600800</v>
      </c>
      <c r="J234" s="8">
        <f t="shared" si="14"/>
        <v>11270460</v>
      </c>
      <c r="K234" t="str">
        <f t="shared" si="15"/>
        <v>MATCHED</v>
      </c>
    </row>
    <row r="235" spans="1:11">
      <c r="A235" t="s">
        <v>100</v>
      </c>
      <c r="B235" t="s">
        <v>521</v>
      </c>
      <c r="C235" t="s">
        <v>636</v>
      </c>
      <c r="D235" t="s">
        <v>637</v>
      </c>
      <c r="E235" s="8"/>
      <c r="F235" s="8">
        <v>78330</v>
      </c>
      <c r="G235" s="8" t="str">
        <f t="shared" si="12"/>
        <v/>
      </c>
      <c r="H235" s="5">
        <v>0.71</v>
      </c>
      <c r="I235" s="8" t="str">
        <f t="shared" si="13"/>
        <v/>
      </c>
      <c r="J235" s="8" t="str">
        <f t="shared" si="14"/>
        <v/>
      </c>
      <c r="K235" t="str">
        <f t="shared" si="15"/>
        <v>MISSING OEWS</v>
      </c>
    </row>
    <row r="236" spans="1:11">
      <c r="A236" t="s">
        <v>100</v>
      </c>
      <c r="B236" t="s">
        <v>521</v>
      </c>
      <c r="C236" t="s">
        <v>638</v>
      </c>
      <c r="D236" t="s">
        <v>639</v>
      </c>
      <c r="E236" s="8"/>
      <c r="F236" s="8">
        <v>138540</v>
      </c>
      <c r="G236" s="8" t="str">
        <f t="shared" si="12"/>
        <v/>
      </c>
      <c r="H236" s="5">
        <v>0.1495</v>
      </c>
      <c r="I236" s="8" t="str">
        <f t="shared" si="13"/>
        <v/>
      </c>
      <c r="J236" s="8" t="str">
        <f t="shared" si="14"/>
        <v/>
      </c>
      <c r="K236" t="str">
        <f t="shared" si="15"/>
        <v>MISSING OEWS</v>
      </c>
    </row>
    <row r="237" spans="1:11">
      <c r="A237" t="s">
        <v>100</v>
      </c>
      <c r="B237" t="s">
        <v>521</v>
      </c>
      <c r="C237" t="s">
        <v>640</v>
      </c>
      <c r="D237" t="s">
        <v>641</v>
      </c>
      <c r="E237" s="8">
        <v>60</v>
      </c>
      <c r="F237" s="8">
        <v>78490</v>
      </c>
      <c r="G237" s="8">
        <f t="shared" si="12"/>
        <v>4709400</v>
      </c>
      <c r="H237" s="5">
        <v>0.0792</v>
      </c>
      <c r="I237" s="8">
        <f t="shared" si="13"/>
        <v>4709400</v>
      </c>
      <c r="J237" s="8">
        <f t="shared" si="14"/>
        <v>372984.48</v>
      </c>
      <c r="K237" t="str">
        <f t="shared" si="15"/>
        <v>MATCHED</v>
      </c>
    </row>
    <row r="238" spans="1:11">
      <c r="A238" t="s">
        <v>100</v>
      </c>
      <c r="B238" t="s">
        <v>521</v>
      </c>
      <c r="C238" t="s">
        <v>642</v>
      </c>
      <c r="D238" t="s">
        <v>643</v>
      </c>
      <c r="E238" s="8"/>
      <c r="F238" s="8">
        <v>68110</v>
      </c>
      <c r="G238" s="8" t="str">
        <f t="shared" si="12"/>
        <v/>
      </c>
      <c r="H238" s="5">
        <v>0</v>
      </c>
      <c r="I238" s="8" t="str">
        <f t="shared" si="13"/>
        <v/>
      </c>
      <c r="J238" s="8" t="str">
        <f t="shared" si="14"/>
        <v/>
      </c>
      <c r="K238" t="str">
        <f t="shared" si="15"/>
        <v>MISSING OEWS</v>
      </c>
    </row>
    <row r="239" spans="1:11">
      <c r="A239" t="s">
        <v>100</v>
      </c>
      <c r="B239" t="s">
        <v>521</v>
      </c>
      <c r="C239" t="s">
        <v>644</v>
      </c>
      <c r="D239" t="s">
        <v>645</v>
      </c>
      <c r="E239" s="8">
        <v>30</v>
      </c>
      <c r="F239" s="8">
        <v>106740</v>
      </c>
      <c r="G239" s="8">
        <f t="shared" si="12"/>
        <v>3202200</v>
      </c>
      <c r="H239" s="5">
        <v>0.3929</v>
      </c>
      <c r="I239" s="8">
        <f t="shared" si="13"/>
        <v>3202200</v>
      </c>
      <c r="J239" s="8">
        <f t="shared" si="14"/>
        <v>1258144.38</v>
      </c>
      <c r="K239" t="str">
        <f t="shared" si="15"/>
        <v>MATCHED</v>
      </c>
    </row>
    <row r="240" spans="1:11">
      <c r="A240" t="s">
        <v>100</v>
      </c>
      <c r="B240" t="s">
        <v>521</v>
      </c>
      <c r="C240" t="s">
        <v>329</v>
      </c>
      <c r="D240" t="s">
        <v>330</v>
      </c>
      <c r="E240" s="8">
        <v>930</v>
      </c>
      <c r="F240" s="8">
        <v>47890</v>
      </c>
      <c r="G240" s="8">
        <f t="shared" si="12"/>
        <v>44537700</v>
      </c>
      <c r="H240" s="5">
        <v>0.1357</v>
      </c>
      <c r="I240" s="8">
        <f t="shared" si="13"/>
        <v>44537700</v>
      </c>
      <c r="J240" s="8">
        <f t="shared" si="14"/>
        <v>6043765.89</v>
      </c>
      <c r="K240" t="str">
        <f t="shared" si="15"/>
        <v>MATCHED</v>
      </c>
    </row>
    <row r="241" spans="1:11">
      <c r="A241" t="s">
        <v>100</v>
      </c>
      <c r="B241" t="s">
        <v>521</v>
      </c>
      <c r="C241" t="s">
        <v>331</v>
      </c>
      <c r="D241" t="s">
        <v>332</v>
      </c>
      <c r="E241" s="8">
        <v>30</v>
      </c>
      <c r="F241" s="8">
        <v>66940</v>
      </c>
      <c r="G241" s="8">
        <f t="shared" si="12"/>
        <v>2008200</v>
      </c>
      <c r="H241" s="5">
        <v>0.2269</v>
      </c>
      <c r="I241" s="8">
        <f t="shared" si="13"/>
        <v>2008200</v>
      </c>
      <c r="J241" s="8">
        <f t="shared" si="14"/>
        <v>455660.58</v>
      </c>
      <c r="K241" t="str">
        <f t="shared" si="15"/>
        <v>MATCHED</v>
      </c>
    </row>
    <row r="242" spans="1:11">
      <c r="A242" t="s">
        <v>100</v>
      </c>
      <c r="B242" t="s">
        <v>521</v>
      </c>
      <c r="C242" t="s">
        <v>335</v>
      </c>
      <c r="D242" t="s">
        <v>336</v>
      </c>
      <c r="E242" s="8">
        <v>800</v>
      </c>
      <c r="F242" s="8">
        <v>42690</v>
      </c>
      <c r="G242" s="8">
        <f t="shared" si="12"/>
        <v>34152000</v>
      </c>
      <c r="H242" s="5">
        <v>0</v>
      </c>
      <c r="I242" s="8">
        <f t="shared" si="13"/>
        <v>34152000</v>
      </c>
      <c r="J242" s="8">
        <f t="shared" si="14"/>
        <v>0</v>
      </c>
      <c r="K242" t="str">
        <f t="shared" si="15"/>
        <v>MATCHED</v>
      </c>
    </row>
    <row r="243" spans="1:11">
      <c r="A243" t="s">
        <v>100</v>
      </c>
      <c r="B243" t="s">
        <v>521</v>
      </c>
      <c r="C243" t="s">
        <v>337</v>
      </c>
      <c r="D243" t="s">
        <v>338</v>
      </c>
      <c r="E243" s="8">
        <v>80</v>
      </c>
      <c r="F243" s="8">
        <v>39540</v>
      </c>
      <c r="G243" s="8">
        <f t="shared" si="12"/>
        <v>3163200</v>
      </c>
      <c r="H243" s="5">
        <v>0</v>
      </c>
      <c r="I243" s="8">
        <f t="shared" si="13"/>
        <v>3163200</v>
      </c>
      <c r="J243" s="8">
        <f t="shared" si="14"/>
        <v>0</v>
      </c>
      <c r="K243" t="str">
        <f t="shared" si="15"/>
        <v>MATCHED</v>
      </c>
    </row>
    <row r="244" spans="1:11">
      <c r="A244" t="s">
        <v>100</v>
      </c>
      <c r="B244" t="s">
        <v>521</v>
      </c>
      <c r="C244" t="s">
        <v>646</v>
      </c>
      <c r="D244" t="s">
        <v>647</v>
      </c>
      <c r="E244" s="8"/>
      <c r="F244" s="8">
        <v>49930</v>
      </c>
      <c r="G244" s="8" t="str">
        <f t="shared" si="12"/>
        <v/>
      </c>
      <c r="H244" s="5"/>
      <c r="I244" s="8" t="str">
        <f t="shared" si="13"/>
        <v/>
      </c>
      <c r="J244" s="8" t="str">
        <f t="shared" si="14"/>
        <v/>
      </c>
      <c r="K244" t="str">
        <f t="shared" si="15"/>
        <v>MISSING OEWS</v>
      </c>
    </row>
    <row r="245" spans="1:11">
      <c r="A245" t="s">
        <v>100</v>
      </c>
      <c r="B245" t="s">
        <v>521</v>
      </c>
      <c r="C245" t="s">
        <v>341</v>
      </c>
      <c r="D245" t="s">
        <v>342</v>
      </c>
      <c r="E245" s="8">
        <v>90</v>
      </c>
      <c r="F245" s="8">
        <v>45080</v>
      </c>
      <c r="G245" s="8">
        <f t="shared" si="12"/>
        <v>4057200</v>
      </c>
      <c r="H245" s="5">
        <v>0</v>
      </c>
      <c r="I245" s="8">
        <f t="shared" si="13"/>
        <v>4057200</v>
      </c>
      <c r="J245" s="8">
        <f t="shared" si="14"/>
        <v>0</v>
      </c>
      <c r="K245" t="str">
        <f t="shared" si="15"/>
        <v>MATCHED</v>
      </c>
    </row>
    <row r="246" spans="1:11">
      <c r="A246" t="s">
        <v>100</v>
      </c>
      <c r="B246" t="s">
        <v>521</v>
      </c>
      <c r="C246" t="s">
        <v>357</v>
      </c>
      <c r="D246" t="s">
        <v>358</v>
      </c>
      <c r="E246" s="8">
        <v>230</v>
      </c>
      <c r="F246" s="8">
        <v>133080</v>
      </c>
      <c r="G246" s="8">
        <f t="shared" si="12"/>
        <v>30608400</v>
      </c>
      <c r="H246" s="5">
        <v>0.4833</v>
      </c>
      <c r="I246" s="8">
        <f t="shared" si="13"/>
        <v>30608400</v>
      </c>
      <c r="J246" s="8">
        <f t="shared" si="14"/>
        <v>14793039.72</v>
      </c>
      <c r="K246" t="str">
        <f t="shared" si="15"/>
        <v>MATCHED</v>
      </c>
    </row>
    <row r="247" spans="1:11">
      <c r="A247" t="s">
        <v>100</v>
      </c>
      <c r="B247" t="s">
        <v>521</v>
      </c>
      <c r="C247" t="s">
        <v>648</v>
      </c>
      <c r="D247" t="s">
        <v>649</v>
      </c>
      <c r="E247" s="8"/>
      <c r="F247" s="8">
        <v>23890</v>
      </c>
      <c r="G247" s="8" t="str">
        <f t="shared" si="12"/>
        <v/>
      </c>
      <c r="H247" s="5">
        <v>0.6672</v>
      </c>
      <c r="I247" s="8" t="str">
        <f t="shared" si="13"/>
        <v/>
      </c>
      <c r="J247" s="8" t="str">
        <f t="shared" si="14"/>
        <v/>
      </c>
      <c r="K247" t="str">
        <f t="shared" si="15"/>
        <v>MISSING OEWS</v>
      </c>
    </row>
    <row r="248" spans="1:11">
      <c r="A248" t="s">
        <v>100</v>
      </c>
      <c r="B248" t="s">
        <v>521</v>
      </c>
      <c r="C248" t="s">
        <v>359</v>
      </c>
      <c r="D248" t="s">
        <v>360</v>
      </c>
      <c r="E248" s="8"/>
      <c r="F248" s="8">
        <v>42960</v>
      </c>
      <c r="G248" s="8" t="str">
        <f t="shared" si="12"/>
        <v/>
      </c>
      <c r="H248" s="5">
        <v>0.4938</v>
      </c>
      <c r="I248" s="8" t="str">
        <f t="shared" si="13"/>
        <v/>
      </c>
      <c r="J248" s="8" t="str">
        <f t="shared" si="14"/>
        <v/>
      </c>
      <c r="K248" t="str">
        <f t="shared" si="15"/>
        <v>MISSING OEWS</v>
      </c>
    </row>
    <row r="249" spans="1:11">
      <c r="A249" t="s">
        <v>100</v>
      </c>
      <c r="B249" t="s">
        <v>521</v>
      </c>
      <c r="C249" t="s">
        <v>650</v>
      </c>
      <c r="D249" t="s">
        <v>651</v>
      </c>
      <c r="E249" s="8">
        <v>160</v>
      </c>
      <c r="F249" s="8">
        <v>187570</v>
      </c>
      <c r="G249" s="8">
        <f t="shared" si="12"/>
        <v>30011200</v>
      </c>
      <c r="H249" s="5">
        <v>0.845</v>
      </c>
      <c r="I249" s="8">
        <f t="shared" si="13"/>
        <v>30011200</v>
      </c>
      <c r="J249" s="8">
        <f t="shared" si="14"/>
        <v>25359464</v>
      </c>
      <c r="K249" t="str">
        <f t="shared" si="15"/>
        <v>MATCHED</v>
      </c>
    </row>
    <row r="250" spans="1:11">
      <c r="A250" t="s">
        <v>100</v>
      </c>
      <c r="B250" t="s">
        <v>521</v>
      </c>
      <c r="C250" t="s">
        <v>361</v>
      </c>
      <c r="D250" t="s">
        <v>362</v>
      </c>
      <c r="E250" s="8">
        <v>4640</v>
      </c>
      <c r="F250" s="8">
        <v>108400</v>
      </c>
      <c r="G250" s="8">
        <f t="shared" si="12"/>
        <v>502976000</v>
      </c>
      <c r="H250" s="5">
        <v>0.73</v>
      </c>
      <c r="I250" s="8">
        <f t="shared" si="13"/>
        <v>502976000</v>
      </c>
      <c r="J250" s="8">
        <f t="shared" si="14"/>
        <v>367172480</v>
      </c>
      <c r="K250" t="str">
        <f t="shared" si="15"/>
        <v>MATCHED</v>
      </c>
    </row>
    <row r="251" spans="1:11">
      <c r="A251" t="s">
        <v>100</v>
      </c>
      <c r="B251" t="s">
        <v>521</v>
      </c>
      <c r="C251" t="s">
        <v>652</v>
      </c>
      <c r="D251" t="s">
        <v>653</v>
      </c>
      <c r="E251" s="8">
        <v>180</v>
      </c>
      <c r="F251" s="8">
        <v>110500</v>
      </c>
      <c r="G251" s="8">
        <f t="shared" si="12"/>
        <v>19890000</v>
      </c>
      <c r="H251" s="5">
        <v>0.6463</v>
      </c>
      <c r="I251" s="8">
        <f t="shared" si="13"/>
        <v>19890000</v>
      </c>
      <c r="J251" s="8">
        <f t="shared" si="14"/>
        <v>12854907</v>
      </c>
      <c r="K251" t="str">
        <f t="shared" si="15"/>
        <v>MATCHED</v>
      </c>
    </row>
    <row r="252" spans="1:11">
      <c r="A252" t="s">
        <v>100</v>
      </c>
      <c r="B252" t="s">
        <v>521</v>
      </c>
      <c r="C252" t="s">
        <v>363</v>
      </c>
      <c r="D252" t="s">
        <v>364</v>
      </c>
      <c r="E252" s="8">
        <v>1580</v>
      </c>
      <c r="F252" s="8">
        <v>96210</v>
      </c>
      <c r="G252" s="8">
        <f t="shared" si="12"/>
        <v>152011800</v>
      </c>
      <c r="H252" s="5">
        <v>0.5105</v>
      </c>
      <c r="I252" s="8">
        <f t="shared" si="13"/>
        <v>152011800</v>
      </c>
      <c r="J252" s="8">
        <f t="shared" si="14"/>
        <v>77602023.9</v>
      </c>
      <c r="K252" t="str">
        <f t="shared" si="15"/>
        <v>MATCHED</v>
      </c>
    </row>
    <row r="253" spans="1:11">
      <c r="A253" t="s">
        <v>100</v>
      </c>
      <c r="B253" t="s">
        <v>521</v>
      </c>
      <c r="C253" t="s">
        <v>654</v>
      </c>
      <c r="D253" t="s">
        <v>655</v>
      </c>
      <c r="E253" s="8">
        <v>1520</v>
      </c>
      <c r="F253" s="8">
        <v>126930</v>
      </c>
      <c r="G253" s="8">
        <f t="shared" si="12"/>
        <v>192933600</v>
      </c>
      <c r="H253" s="5">
        <v>0.5939</v>
      </c>
      <c r="I253" s="8">
        <f t="shared" si="13"/>
        <v>192933600</v>
      </c>
      <c r="J253" s="8">
        <f t="shared" si="14"/>
        <v>114583265.04</v>
      </c>
      <c r="K253" t="str">
        <f t="shared" si="15"/>
        <v>MATCHED</v>
      </c>
    </row>
    <row r="254" spans="1:11">
      <c r="A254" t="s">
        <v>100</v>
      </c>
      <c r="B254" t="s">
        <v>521</v>
      </c>
      <c r="C254" t="s">
        <v>656</v>
      </c>
      <c r="D254" t="s">
        <v>657</v>
      </c>
      <c r="E254" s="8"/>
      <c r="F254" s="8">
        <v>130080</v>
      </c>
      <c r="G254" s="8" t="str">
        <f t="shared" si="12"/>
        <v/>
      </c>
      <c r="H254" s="5">
        <v>0.518</v>
      </c>
      <c r="I254" s="8" t="str">
        <f t="shared" si="13"/>
        <v/>
      </c>
      <c r="J254" s="8" t="str">
        <f t="shared" si="14"/>
        <v/>
      </c>
      <c r="K254" t="str">
        <f t="shared" si="15"/>
        <v>MISSING OEWS</v>
      </c>
    </row>
    <row r="255" spans="1:11">
      <c r="A255" t="s">
        <v>100</v>
      </c>
      <c r="B255" t="s">
        <v>521</v>
      </c>
      <c r="C255" t="s">
        <v>365</v>
      </c>
      <c r="D255" t="s">
        <v>366</v>
      </c>
      <c r="E255" s="8">
        <v>70</v>
      </c>
      <c r="F255" s="8">
        <v>70860</v>
      </c>
      <c r="G255" s="8">
        <f t="shared" si="12"/>
        <v>4960200</v>
      </c>
      <c r="H255" s="5"/>
      <c r="I255" s="8" t="str">
        <f t="shared" si="13"/>
        <v/>
      </c>
      <c r="J255" s="8" t="str">
        <f t="shared" si="14"/>
        <v/>
      </c>
      <c r="K255" t="str">
        <f t="shared" si="15"/>
        <v>MISSING WHARTON</v>
      </c>
    </row>
    <row r="256" spans="1:11">
      <c r="A256" t="s">
        <v>100</v>
      </c>
      <c r="B256" t="s">
        <v>521</v>
      </c>
      <c r="C256" t="s">
        <v>367</v>
      </c>
      <c r="D256" t="s">
        <v>368</v>
      </c>
      <c r="E256" s="8">
        <v>2900</v>
      </c>
      <c r="F256" s="8">
        <v>80230</v>
      </c>
      <c r="G256" s="8">
        <f t="shared" si="12"/>
        <v>232667000</v>
      </c>
      <c r="H256" s="5">
        <v>0.5034</v>
      </c>
      <c r="I256" s="8">
        <f t="shared" si="13"/>
        <v>232667000</v>
      </c>
      <c r="J256" s="8">
        <f t="shared" si="14"/>
        <v>117124567.8</v>
      </c>
      <c r="K256" t="str">
        <f t="shared" si="15"/>
        <v>MATCHED</v>
      </c>
    </row>
    <row r="257" spans="1:11">
      <c r="A257" t="s">
        <v>100</v>
      </c>
      <c r="B257" t="s">
        <v>521</v>
      </c>
      <c r="C257" t="s">
        <v>369</v>
      </c>
      <c r="D257" t="s">
        <v>370</v>
      </c>
      <c r="E257" s="8">
        <v>580</v>
      </c>
      <c r="F257" s="8">
        <v>50720</v>
      </c>
      <c r="G257" s="8">
        <f t="shared" si="12"/>
        <v>29417600</v>
      </c>
      <c r="H257" s="5">
        <v>0.8617</v>
      </c>
      <c r="I257" s="8">
        <f t="shared" si="13"/>
        <v>29417600</v>
      </c>
      <c r="J257" s="8">
        <f t="shared" si="14"/>
        <v>25349145.92</v>
      </c>
      <c r="K257" t="str">
        <f t="shared" si="15"/>
        <v>MATCHED</v>
      </c>
    </row>
    <row r="258" spans="1:11">
      <c r="A258" t="s">
        <v>100</v>
      </c>
      <c r="B258" t="s">
        <v>521</v>
      </c>
      <c r="C258" t="s">
        <v>371</v>
      </c>
      <c r="D258" t="s">
        <v>372</v>
      </c>
      <c r="E258" s="8">
        <v>5780</v>
      </c>
      <c r="F258" s="8">
        <v>54980</v>
      </c>
      <c r="G258" s="8">
        <f t="shared" ref="G258:G321" si="16">IF(OR(E258="",F258=""),"",E258*F258)</f>
        <v>317784400</v>
      </c>
      <c r="H258" s="5">
        <v>0.9517</v>
      </c>
      <c r="I258" s="8">
        <f t="shared" ref="I258:I321" si="17">IF(G258="","",IF(ISNUMBER(H258),G258,""))</f>
        <v>317784400</v>
      </c>
      <c r="J258" s="8">
        <f t="shared" ref="J258:J321" si="18">IF(I258="","",I258*H258)</f>
        <v>302435413.48</v>
      </c>
      <c r="K258" t="str">
        <f t="shared" ref="K258:K321" si="19">IF(G258="","MISSING OEWS",IF(ISNUMBER(H258),"MATCHED","MISSING WHARTON"))</f>
        <v>MATCHED</v>
      </c>
    </row>
    <row r="259" spans="1:11">
      <c r="A259" t="s">
        <v>100</v>
      </c>
      <c r="B259" t="s">
        <v>521</v>
      </c>
      <c r="C259" t="s">
        <v>373</v>
      </c>
      <c r="D259" t="s">
        <v>374</v>
      </c>
      <c r="E259" s="8">
        <v>480</v>
      </c>
      <c r="F259" s="8">
        <v>65900</v>
      </c>
      <c r="G259" s="8">
        <f t="shared" si="16"/>
        <v>31632000</v>
      </c>
      <c r="H259" s="5">
        <v>0.9409</v>
      </c>
      <c r="I259" s="8">
        <f t="shared" si="17"/>
        <v>31632000</v>
      </c>
      <c r="J259" s="8">
        <f t="shared" si="18"/>
        <v>29762548.8</v>
      </c>
      <c r="K259" t="str">
        <f t="shared" si="19"/>
        <v>MATCHED</v>
      </c>
    </row>
    <row r="260" spans="1:11">
      <c r="A260" t="s">
        <v>100</v>
      </c>
      <c r="B260" t="s">
        <v>521</v>
      </c>
      <c r="C260" t="s">
        <v>375</v>
      </c>
      <c r="D260" t="s">
        <v>376</v>
      </c>
      <c r="E260" s="8">
        <v>130</v>
      </c>
      <c r="F260" s="8">
        <v>63330</v>
      </c>
      <c r="G260" s="8">
        <f t="shared" si="16"/>
        <v>8232900</v>
      </c>
      <c r="H260" s="5">
        <v>0.8237</v>
      </c>
      <c r="I260" s="8">
        <f t="shared" si="17"/>
        <v>8232900</v>
      </c>
      <c r="J260" s="8">
        <f t="shared" si="18"/>
        <v>6781439.73</v>
      </c>
      <c r="K260" t="str">
        <f t="shared" si="19"/>
        <v>MATCHED</v>
      </c>
    </row>
    <row r="261" spans="1:11">
      <c r="A261" t="s">
        <v>100</v>
      </c>
      <c r="B261" t="s">
        <v>521</v>
      </c>
      <c r="C261" t="s">
        <v>377</v>
      </c>
      <c r="D261" t="s">
        <v>378</v>
      </c>
      <c r="E261" s="8">
        <v>510</v>
      </c>
      <c r="F261" s="8">
        <v>56080</v>
      </c>
      <c r="G261" s="8">
        <f t="shared" si="16"/>
        <v>28600800</v>
      </c>
      <c r="H261" s="5">
        <v>0.82</v>
      </c>
      <c r="I261" s="8">
        <f t="shared" si="17"/>
        <v>28600800</v>
      </c>
      <c r="J261" s="8">
        <f t="shared" si="18"/>
        <v>23452656</v>
      </c>
      <c r="K261" t="str">
        <f t="shared" si="19"/>
        <v>MATCHED</v>
      </c>
    </row>
    <row r="262" spans="1:11">
      <c r="A262" t="s">
        <v>100</v>
      </c>
      <c r="B262" t="s">
        <v>521</v>
      </c>
      <c r="C262" t="s">
        <v>379</v>
      </c>
      <c r="D262" t="s">
        <v>380</v>
      </c>
      <c r="E262" s="8">
        <v>180</v>
      </c>
      <c r="F262" s="8">
        <v>45120</v>
      </c>
      <c r="G262" s="8">
        <f t="shared" si="16"/>
        <v>8121600</v>
      </c>
      <c r="H262" s="5">
        <v>0.7526</v>
      </c>
      <c r="I262" s="8">
        <f t="shared" si="17"/>
        <v>8121600</v>
      </c>
      <c r="J262" s="8">
        <f t="shared" si="18"/>
        <v>6112316.16</v>
      </c>
      <c r="K262" t="str">
        <f t="shared" si="19"/>
        <v>MATCHED</v>
      </c>
    </row>
    <row r="263" spans="1:11">
      <c r="A263" t="s">
        <v>100</v>
      </c>
      <c r="B263" t="s">
        <v>521</v>
      </c>
      <c r="C263" t="s">
        <v>383</v>
      </c>
      <c r="D263" t="s">
        <v>384</v>
      </c>
      <c r="E263" s="8">
        <v>230</v>
      </c>
      <c r="F263" s="8">
        <v>49150</v>
      </c>
      <c r="G263" s="8">
        <f t="shared" si="16"/>
        <v>11304500</v>
      </c>
      <c r="H263" s="5">
        <v>0.8342</v>
      </c>
      <c r="I263" s="8">
        <f t="shared" si="17"/>
        <v>11304500</v>
      </c>
      <c r="J263" s="8">
        <f t="shared" si="18"/>
        <v>9430213.9</v>
      </c>
      <c r="K263" t="str">
        <f t="shared" si="19"/>
        <v>MATCHED</v>
      </c>
    </row>
    <row r="264" spans="1:11">
      <c r="A264" t="s">
        <v>100</v>
      </c>
      <c r="B264" t="s">
        <v>521</v>
      </c>
      <c r="C264" t="s">
        <v>385</v>
      </c>
      <c r="D264" t="s">
        <v>386</v>
      </c>
      <c r="E264" s="8">
        <v>450</v>
      </c>
      <c r="F264" s="8">
        <v>40920</v>
      </c>
      <c r="G264" s="8">
        <f t="shared" si="16"/>
        <v>18414000</v>
      </c>
      <c r="H264" s="5">
        <v>0.7368</v>
      </c>
      <c r="I264" s="8">
        <f t="shared" si="17"/>
        <v>18414000</v>
      </c>
      <c r="J264" s="8">
        <f t="shared" si="18"/>
        <v>13567435.2</v>
      </c>
      <c r="K264" t="str">
        <f t="shared" si="19"/>
        <v>MATCHED</v>
      </c>
    </row>
    <row r="265" spans="1:11">
      <c r="A265" t="s">
        <v>100</v>
      </c>
      <c r="B265" t="s">
        <v>521</v>
      </c>
      <c r="C265" t="s">
        <v>658</v>
      </c>
      <c r="D265" t="s">
        <v>659</v>
      </c>
      <c r="E265" s="8">
        <v>90</v>
      </c>
      <c r="F265" s="8">
        <v>63200</v>
      </c>
      <c r="G265" s="8">
        <f t="shared" si="16"/>
        <v>5688000</v>
      </c>
      <c r="H265" s="5"/>
      <c r="I265" s="8" t="str">
        <f t="shared" si="17"/>
        <v/>
      </c>
      <c r="J265" s="8" t="str">
        <f t="shared" si="18"/>
        <v/>
      </c>
      <c r="K265" t="str">
        <f t="shared" si="19"/>
        <v>MISSING WHARTON</v>
      </c>
    </row>
    <row r="266" spans="1:11">
      <c r="A266" t="s">
        <v>100</v>
      </c>
      <c r="B266" t="s">
        <v>521</v>
      </c>
      <c r="C266" t="s">
        <v>387</v>
      </c>
      <c r="D266" t="s">
        <v>388</v>
      </c>
      <c r="E266" s="8">
        <v>1980</v>
      </c>
      <c r="F266" s="8">
        <v>56820</v>
      </c>
      <c r="G266" s="8">
        <f t="shared" si="16"/>
        <v>112503600</v>
      </c>
      <c r="H266" s="5">
        <v>0.8192</v>
      </c>
      <c r="I266" s="8">
        <f t="shared" si="17"/>
        <v>112503600</v>
      </c>
      <c r="J266" s="8">
        <f t="shared" si="18"/>
        <v>92162949.12</v>
      </c>
      <c r="K266" t="str">
        <f t="shared" si="19"/>
        <v>MATCHED</v>
      </c>
    </row>
    <row r="267" spans="1:11">
      <c r="A267" t="s">
        <v>100</v>
      </c>
      <c r="B267" t="s">
        <v>521</v>
      </c>
      <c r="C267" t="s">
        <v>389</v>
      </c>
      <c r="D267" t="s">
        <v>390</v>
      </c>
      <c r="E267" s="8">
        <v>1910</v>
      </c>
      <c r="F267" s="8">
        <v>77170</v>
      </c>
      <c r="G267" s="8">
        <f t="shared" si="16"/>
        <v>147394700</v>
      </c>
      <c r="H267" s="5">
        <v>0.7794</v>
      </c>
      <c r="I267" s="8">
        <f t="shared" si="17"/>
        <v>147394700</v>
      </c>
      <c r="J267" s="8">
        <f t="shared" si="18"/>
        <v>114879429.18</v>
      </c>
      <c r="K267" t="str">
        <f t="shared" si="19"/>
        <v>MATCHED</v>
      </c>
    </row>
    <row r="268" spans="1:11">
      <c r="A268" t="s">
        <v>100</v>
      </c>
      <c r="B268" t="s">
        <v>521</v>
      </c>
      <c r="C268" t="s">
        <v>391</v>
      </c>
      <c r="D268" t="s">
        <v>392</v>
      </c>
      <c r="E268" s="8">
        <v>1520</v>
      </c>
      <c r="F268" s="8">
        <v>56610</v>
      </c>
      <c r="G268" s="8">
        <f t="shared" si="16"/>
        <v>86047200</v>
      </c>
      <c r="H268" s="5">
        <v>0.6455</v>
      </c>
      <c r="I268" s="8">
        <f t="shared" si="17"/>
        <v>86047200</v>
      </c>
      <c r="J268" s="8">
        <f t="shared" si="18"/>
        <v>55543467.6</v>
      </c>
      <c r="K268" t="str">
        <f t="shared" si="19"/>
        <v>MATCHED</v>
      </c>
    </row>
    <row r="269" spans="1:11">
      <c r="A269" t="s">
        <v>100</v>
      </c>
      <c r="B269" t="s">
        <v>521</v>
      </c>
      <c r="C269" t="s">
        <v>393</v>
      </c>
      <c r="D269" t="s">
        <v>394</v>
      </c>
      <c r="E269" s="8">
        <v>2450</v>
      </c>
      <c r="F269" s="8">
        <v>47170</v>
      </c>
      <c r="G269" s="8">
        <f t="shared" si="16"/>
        <v>115566500</v>
      </c>
      <c r="H269" s="5">
        <v>0.2932</v>
      </c>
      <c r="I269" s="8">
        <f t="shared" si="17"/>
        <v>115566500</v>
      </c>
      <c r="J269" s="8">
        <f t="shared" si="18"/>
        <v>33884097.8</v>
      </c>
      <c r="K269" t="str">
        <f t="shared" si="19"/>
        <v>MATCHED</v>
      </c>
    </row>
    <row r="270" spans="1:11">
      <c r="A270" t="s">
        <v>100</v>
      </c>
      <c r="B270" t="s">
        <v>521</v>
      </c>
      <c r="C270" t="s">
        <v>395</v>
      </c>
      <c r="D270" t="s">
        <v>396</v>
      </c>
      <c r="E270" s="8">
        <v>1450</v>
      </c>
      <c r="F270" s="8">
        <v>87520</v>
      </c>
      <c r="G270" s="8">
        <f t="shared" si="16"/>
        <v>126904000</v>
      </c>
      <c r="H270" s="5">
        <v>0.7955</v>
      </c>
      <c r="I270" s="8">
        <f t="shared" si="17"/>
        <v>126904000</v>
      </c>
      <c r="J270" s="8">
        <f t="shared" si="18"/>
        <v>100952132</v>
      </c>
      <c r="K270" t="str">
        <f t="shared" si="19"/>
        <v>MATCHED</v>
      </c>
    </row>
    <row r="271" spans="1:11">
      <c r="A271" t="s">
        <v>100</v>
      </c>
      <c r="B271" t="s">
        <v>521</v>
      </c>
      <c r="C271" t="s">
        <v>397</v>
      </c>
      <c r="D271" t="s">
        <v>398</v>
      </c>
      <c r="E271" s="8">
        <v>6030</v>
      </c>
      <c r="F271" s="8">
        <v>49150</v>
      </c>
      <c r="G271" s="8">
        <f t="shared" si="16"/>
        <v>296374500</v>
      </c>
      <c r="H271" s="5">
        <v>0.8031</v>
      </c>
      <c r="I271" s="8">
        <f t="shared" si="17"/>
        <v>296374500</v>
      </c>
      <c r="J271" s="8">
        <f t="shared" si="18"/>
        <v>238018360.95</v>
      </c>
      <c r="K271" t="str">
        <f t="shared" si="19"/>
        <v>MATCHED</v>
      </c>
    </row>
    <row r="272" spans="1:11">
      <c r="A272" t="s">
        <v>100</v>
      </c>
      <c r="B272" t="s">
        <v>521</v>
      </c>
      <c r="C272" t="s">
        <v>399</v>
      </c>
      <c r="D272" t="s">
        <v>400</v>
      </c>
      <c r="E272" s="8">
        <v>170</v>
      </c>
      <c r="F272" s="8">
        <v>52050</v>
      </c>
      <c r="G272" s="8">
        <f t="shared" si="16"/>
        <v>8848500</v>
      </c>
      <c r="H272" s="5">
        <v>0.75</v>
      </c>
      <c r="I272" s="8">
        <f t="shared" si="17"/>
        <v>8848500</v>
      </c>
      <c r="J272" s="8">
        <f t="shared" si="18"/>
        <v>6636375</v>
      </c>
      <c r="K272" t="str">
        <f t="shared" si="19"/>
        <v>MATCHED</v>
      </c>
    </row>
    <row r="273" spans="1:11">
      <c r="A273" t="s">
        <v>100</v>
      </c>
      <c r="B273" t="s">
        <v>521</v>
      </c>
      <c r="C273" t="s">
        <v>401</v>
      </c>
      <c r="D273" t="s">
        <v>402</v>
      </c>
      <c r="E273" s="8">
        <v>9410</v>
      </c>
      <c r="F273" s="8">
        <v>48390</v>
      </c>
      <c r="G273" s="8">
        <f t="shared" si="16"/>
        <v>455349900</v>
      </c>
      <c r="H273" s="5">
        <v>0.7452</v>
      </c>
      <c r="I273" s="8">
        <f t="shared" si="17"/>
        <v>455349900</v>
      </c>
      <c r="J273" s="8">
        <f t="shared" si="18"/>
        <v>339326745.48</v>
      </c>
      <c r="K273" t="str">
        <f t="shared" si="19"/>
        <v>MATCHED</v>
      </c>
    </row>
    <row r="274" spans="1:11">
      <c r="A274" t="s">
        <v>100</v>
      </c>
      <c r="B274" t="s">
        <v>521</v>
      </c>
      <c r="C274" t="s">
        <v>660</v>
      </c>
      <c r="D274" t="s">
        <v>661</v>
      </c>
      <c r="E274" s="8"/>
      <c r="F274" s="8">
        <v>55540</v>
      </c>
      <c r="G274" s="8" t="str">
        <f t="shared" si="16"/>
        <v/>
      </c>
      <c r="H274" s="5">
        <v>0.2639</v>
      </c>
      <c r="I274" s="8" t="str">
        <f t="shared" si="17"/>
        <v/>
      </c>
      <c r="J274" s="8" t="str">
        <f t="shared" si="18"/>
        <v/>
      </c>
      <c r="K274" t="str">
        <f t="shared" si="19"/>
        <v>MISSING OEWS</v>
      </c>
    </row>
    <row r="275" spans="1:11">
      <c r="A275" t="s">
        <v>100</v>
      </c>
      <c r="B275" t="s">
        <v>521</v>
      </c>
      <c r="C275" t="s">
        <v>662</v>
      </c>
      <c r="D275" t="s">
        <v>663</v>
      </c>
      <c r="E275" s="8">
        <v>150</v>
      </c>
      <c r="F275" s="8">
        <v>68780</v>
      </c>
      <c r="G275" s="8">
        <f t="shared" si="16"/>
        <v>10317000</v>
      </c>
      <c r="H275" s="5"/>
      <c r="I275" s="8" t="str">
        <f t="shared" si="17"/>
        <v/>
      </c>
      <c r="J275" s="8" t="str">
        <f t="shared" si="18"/>
        <v/>
      </c>
      <c r="K275" t="str">
        <f t="shared" si="19"/>
        <v>MISSING WHARTON</v>
      </c>
    </row>
    <row r="276" spans="1:11">
      <c r="A276" t="s">
        <v>100</v>
      </c>
      <c r="B276" t="s">
        <v>521</v>
      </c>
      <c r="C276" t="s">
        <v>403</v>
      </c>
      <c r="D276" t="s">
        <v>404</v>
      </c>
      <c r="E276" s="8">
        <v>70</v>
      </c>
      <c r="F276" s="8">
        <v>59030</v>
      </c>
      <c r="G276" s="8">
        <f t="shared" si="16"/>
        <v>4132100</v>
      </c>
      <c r="H276" s="5">
        <v>0.22</v>
      </c>
      <c r="I276" s="8">
        <f t="shared" si="17"/>
        <v>4132100</v>
      </c>
      <c r="J276" s="8">
        <f t="shared" si="18"/>
        <v>909062</v>
      </c>
      <c r="K276" t="str">
        <f t="shared" si="19"/>
        <v>MATCHED</v>
      </c>
    </row>
    <row r="277" spans="1:11">
      <c r="A277" t="s">
        <v>100</v>
      </c>
      <c r="B277" t="s">
        <v>521</v>
      </c>
      <c r="C277" t="s">
        <v>413</v>
      </c>
      <c r="D277" t="s">
        <v>414</v>
      </c>
      <c r="E277" s="8">
        <v>240</v>
      </c>
      <c r="F277" s="8">
        <v>35180</v>
      </c>
      <c r="G277" s="8">
        <f t="shared" si="16"/>
        <v>8443200</v>
      </c>
      <c r="H277" s="5">
        <v>0.0633</v>
      </c>
      <c r="I277" s="8">
        <f t="shared" si="17"/>
        <v>8443200</v>
      </c>
      <c r="J277" s="8">
        <f t="shared" si="18"/>
        <v>534454.56</v>
      </c>
      <c r="K277" t="str">
        <f t="shared" si="19"/>
        <v>MATCHED</v>
      </c>
    </row>
    <row r="278" spans="1:11">
      <c r="A278" t="s">
        <v>100</v>
      </c>
      <c r="B278" t="s">
        <v>521</v>
      </c>
      <c r="C278" t="s">
        <v>415</v>
      </c>
      <c r="D278" t="s">
        <v>416</v>
      </c>
      <c r="E278" s="8">
        <v>110</v>
      </c>
      <c r="F278" s="8">
        <v>42600</v>
      </c>
      <c r="G278" s="8">
        <f t="shared" si="16"/>
        <v>4686000</v>
      </c>
      <c r="H278" s="5">
        <v>0.0864</v>
      </c>
      <c r="I278" s="8">
        <f t="shared" si="17"/>
        <v>4686000</v>
      </c>
      <c r="J278" s="8">
        <f t="shared" si="18"/>
        <v>404870.4</v>
      </c>
      <c r="K278" t="str">
        <f t="shared" si="19"/>
        <v>MATCHED</v>
      </c>
    </row>
    <row r="279" spans="1:11">
      <c r="A279" t="s">
        <v>100</v>
      </c>
      <c r="B279" t="s">
        <v>521</v>
      </c>
      <c r="C279" t="s">
        <v>664</v>
      </c>
      <c r="D279" t="s">
        <v>665</v>
      </c>
      <c r="E279" s="8">
        <v>30500</v>
      </c>
      <c r="F279" s="8">
        <v>97750</v>
      </c>
      <c r="G279" s="8">
        <f t="shared" si="16"/>
        <v>2981375000</v>
      </c>
      <c r="H279" s="5">
        <v>0.265</v>
      </c>
      <c r="I279" s="8">
        <f t="shared" si="17"/>
        <v>2981375000</v>
      </c>
      <c r="J279" s="8">
        <f t="shared" si="18"/>
        <v>790064375</v>
      </c>
      <c r="K279" t="str">
        <f t="shared" si="19"/>
        <v>MATCHED</v>
      </c>
    </row>
    <row r="280" spans="1:11">
      <c r="A280" t="s">
        <v>100</v>
      </c>
      <c r="B280" t="s">
        <v>521</v>
      </c>
      <c r="C280" t="s">
        <v>666</v>
      </c>
      <c r="D280" t="s">
        <v>667</v>
      </c>
      <c r="E280" s="8">
        <v>600</v>
      </c>
      <c r="F280" s="8">
        <v>74030</v>
      </c>
      <c r="G280" s="8">
        <f t="shared" si="16"/>
        <v>44418000</v>
      </c>
      <c r="H280" s="5">
        <v>0</v>
      </c>
      <c r="I280" s="8">
        <f t="shared" si="17"/>
        <v>44418000</v>
      </c>
      <c r="J280" s="8">
        <f t="shared" si="18"/>
        <v>0</v>
      </c>
      <c r="K280" t="str">
        <f t="shared" si="19"/>
        <v>MATCHED</v>
      </c>
    </row>
    <row r="281" spans="1:11">
      <c r="A281" t="s">
        <v>100</v>
      </c>
      <c r="B281" t="s">
        <v>521</v>
      </c>
      <c r="C281" t="s">
        <v>427</v>
      </c>
      <c r="D281" t="s">
        <v>428</v>
      </c>
      <c r="E281" s="8">
        <v>460</v>
      </c>
      <c r="F281" s="8">
        <v>62300</v>
      </c>
      <c r="G281" s="8">
        <f t="shared" si="16"/>
        <v>28658000</v>
      </c>
      <c r="H281" s="5">
        <v>0.081</v>
      </c>
      <c r="I281" s="8">
        <f t="shared" si="17"/>
        <v>28658000</v>
      </c>
      <c r="J281" s="8">
        <f t="shared" si="18"/>
        <v>2321298</v>
      </c>
      <c r="K281" t="str">
        <f t="shared" si="19"/>
        <v>MATCHED</v>
      </c>
    </row>
    <row r="282" spans="1:11">
      <c r="A282" t="s">
        <v>100</v>
      </c>
      <c r="B282" t="s">
        <v>521</v>
      </c>
      <c r="C282" t="s">
        <v>668</v>
      </c>
      <c r="D282" t="s">
        <v>669</v>
      </c>
      <c r="E282" s="8">
        <v>230</v>
      </c>
      <c r="F282" s="8">
        <v>55600</v>
      </c>
      <c r="G282" s="8">
        <f t="shared" si="16"/>
        <v>12788000</v>
      </c>
      <c r="H282" s="5">
        <v>0</v>
      </c>
      <c r="I282" s="8">
        <f t="shared" si="17"/>
        <v>12788000</v>
      </c>
      <c r="J282" s="8">
        <f t="shared" si="18"/>
        <v>0</v>
      </c>
      <c r="K282" t="str">
        <f t="shared" si="19"/>
        <v>MATCHED</v>
      </c>
    </row>
    <row r="283" spans="1:11">
      <c r="A283" t="s">
        <v>100</v>
      </c>
      <c r="B283" t="s">
        <v>521</v>
      </c>
      <c r="C283" t="s">
        <v>670</v>
      </c>
      <c r="D283" t="s">
        <v>671</v>
      </c>
      <c r="E283" s="8">
        <v>9710</v>
      </c>
      <c r="F283" s="8">
        <v>45160</v>
      </c>
      <c r="G283" s="8">
        <f t="shared" si="16"/>
        <v>438503600</v>
      </c>
      <c r="H283" s="5">
        <v>0.0297</v>
      </c>
      <c r="I283" s="8">
        <f t="shared" si="17"/>
        <v>438503600</v>
      </c>
      <c r="J283" s="8">
        <f t="shared" si="18"/>
        <v>13023556.92</v>
      </c>
      <c r="K283" t="str">
        <f t="shared" si="19"/>
        <v>MATCHED</v>
      </c>
    </row>
    <row r="284" spans="1:11">
      <c r="A284" t="s">
        <v>100</v>
      </c>
      <c r="B284" t="s">
        <v>521</v>
      </c>
      <c r="C284" t="s">
        <v>672</v>
      </c>
      <c r="D284" t="s">
        <v>673</v>
      </c>
      <c r="E284" s="8">
        <v>170</v>
      </c>
      <c r="F284" s="8">
        <v>58050</v>
      </c>
      <c r="G284" s="8">
        <f t="shared" si="16"/>
        <v>9868500</v>
      </c>
      <c r="H284" s="5">
        <v>0</v>
      </c>
      <c r="I284" s="8">
        <f t="shared" si="17"/>
        <v>9868500</v>
      </c>
      <c r="J284" s="8">
        <f t="shared" si="18"/>
        <v>0</v>
      </c>
      <c r="K284" t="str">
        <f t="shared" si="19"/>
        <v>MATCHED</v>
      </c>
    </row>
    <row r="285" spans="1:11">
      <c r="A285" t="s">
        <v>100</v>
      </c>
      <c r="B285" t="s">
        <v>521</v>
      </c>
      <c r="C285" t="s">
        <v>429</v>
      </c>
      <c r="D285" t="s">
        <v>430</v>
      </c>
      <c r="E285" s="8">
        <v>25110</v>
      </c>
      <c r="F285" s="8">
        <v>61990</v>
      </c>
      <c r="G285" s="8">
        <f t="shared" si="16"/>
        <v>1556568900</v>
      </c>
      <c r="H285" s="5">
        <v>0.0589</v>
      </c>
      <c r="I285" s="8">
        <f t="shared" si="17"/>
        <v>1556568900</v>
      </c>
      <c r="J285" s="8">
        <f t="shared" si="18"/>
        <v>91681908.21</v>
      </c>
      <c r="K285" t="str">
        <f t="shared" si="19"/>
        <v>MATCHED</v>
      </c>
    </row>
    <row r="286" spans="1:11">
      <c r="A286" t="s">
        <v>100</v>
      </c>
      <c r="B286" t="s">
        <v>521</v>
      </c>
      <c r="C286" t="s">
        <v>431</v>
      </c>
      <c r="D286" t="s">
        <v>432</v>
      </c>
      <c r="E286" s="8">
        <v>6840</v>
      </c>
      <c r="F286" s="8">
        <v>83210</v>
      </c>
      <c r="G286" s="8">
        <f t="shared" si="16"/>
        <v>569156400</v>
      </c>
      <c r="H286" s="5">
        <v>0.0786</v>
      </c>
      <c r="I286" s="8">
        <f t="shared" si="17"/>
        <v>569156400</v>
      </c>
      <c r="J286" s="8">
        <f t="shared" si="18"/>
        <v>44735693.04</v>
      </c>
      <c r="K286" t="str">
        <f t="shared" si="19"/>
        <v>MATCHED</v>
      </c>
    </row>
    <row r="287" spans="1:11">
      <c r="A287" t="s">
        <v>100</v>
      </c>
      <c r="B287" t="s">
        <v>521</v>
      </c>
      <c r="C287" t="s">
        <v>674</v>
      </c>
      <c r="D287" t="s">
        <v>675</v>
      </c>
      <c r="E287" s="8">
        <v>50</v>
      </c>
      <c r="F287" s="8">
        <v>55180</v>
      </c>
      <c r="G287" s="8">
        <f t="shared" si="16"/>
        <v>2759000</v>
      </c>
      <c r="H287" s="5">
        <v>0</v>
      </c>
      <c r="I287" s="8">
        <f t="shared" si="17"/>
        <v>2759000</v>
      </c>
      <c r="J287" s="8">
        <f t="shared" si="18"/>
        <v>0</v>
      </c>
      <c r="K287" t="str">
        <f t="shared" si="19"/>
        <v>MATCHED</v>
      </c>
    </row>
    <row r="288" spans="1:11">
      <c r="A288" t="s">
        <v>100</v>
      </c>
      <c r="B288" t="s">
        <v>521</v>
      </c>
      <c r="C288" t="s">
        <v>676</v>
      </c>
      <c r="D288" t="s">
        <v>677</v>
      </c>
      <c r="E288" s="8"/>
      <c r="F288" s="8">
        <v>54410</v>
      </c>
      <c r="G288" s="8" t="str">
        <f t="shared" si="16"/>
        <v/>
      </c>
      <c r="H288" s="5">
        <v>0.0731</v>
      </c>
      <c r="I288" s="8" t="str">
        <f t="shared" si="17"/>
        <v/>
      </c>
      <c r="J288" s="8" t="str">
        <f t="shared" si="18"/>
        <v/>
      </c>
      <c r="K288" t="str">
        <f t="shared" si="19"/>
        <v>MISSING OEWS</v>
      </c>
    </row>
    <row r="289" spans="1:11">
      <c r="A289" t="s">
        <v>100</v>
      </c>
      <c r="B289" t="s">
        <v>521</v>
      </c>
      <c r="C289" t="s">
        <v>678</v>
      </c>
      <c r="D289" t="s">
        <v>679</v>
      </c>
      <c r="E289" s="8">
        <v>280</v>
      </c>
      <c r="F289" s="8">
        <v>47810</v>
      </c>
      <c r="G289" s="8">
        <f t="shared" si="16"/>
        <v>13386800</v>
      </c>
      <c r="H289" s="5">
        <v>0.0368</v>
      </c>
      <c r="I289" s="8">
        <f t="shared" si="17"/>
        <v>13386800</v>
      </c>
      <c r="J289" s="8">
        <f t="shared" si="18"/>
        <v>492634.24</v>
      </c>
      <c r="K289" t="str">
        <f t="shared" si="19"/>
        <v>MATCHED</v>
      </c>
    </row>
    <row r="290" spans="1:11">
      <c r="A290" t="s">
        <v>100</v>
      </c>
      <c r="B290" t="s">
        <v>521</v>
      </c>
      <c r="C290" t="s">
        <v>680</v>
      </c>
      <c r="D290" t="s">
        <v>681</v>
      </c>
      <c r="E290" s="8">
        <v>100</v>
      </c>
      <c r="F290" s="8">
        <v>44530</v>
      </c>
      <c r="G290" s="8">
        <f t="shared" si="16"/>
        <v>4453000</v>
      </c>
      <c r="H290" s="5">
        <v>0</v>
      </c>
      <c r="I290" s="8">
        <f t="shared" si="17"/>
        <v>4453000</v>
      </c>
      <c r="J290" s="8">
        <f t="shared" si="18"/>
        <v>0</v>
      </c>
      <c r="K290" t="str">
        <f t="shared" si="19"/>
        <v>MATCHED</v>
      </c>
    </row>
    <row r="291" spans="1:11">
      <c r="A291" t="s">
        <v>100</v>
      </c>
      <c r="B291" t="s">
        <v>521</v>
      </c>
      <c r="C291" t="s">
        <v>682</v>
      </c>
      <c r="D291" t="s">
        <v>683</v>
      </c>
      <c r="E291" s="8">
        <v>1590</v>
      </c>
      <c r="F291" s="8">
        <v>70320</v>
      </c>
      <c r="G291" s="8">
        <f t="shared" si="16"/>
        <v>111808800</v>
      </c>
      <c r="H291" s="5">
        <v>0.04</v>
      </c>
      <c r="I291" s="8">
        <f t="shared" si="17"/>
        <v>111808800</v>
      </c>
      <c r="J291" s="8">
        <f t="shared" si="18"/>
        <v>4472352</v>
      </c>
      <c r="K291" t="str">
        <f t="shared" si="19"/>
        <v>MATCHED</v>
      </c>
    </row>
    <row r="292" spans="1:11">
      <c r="A292" t="s">
        <v>100</v>
      </c>
      <c r="B292" t="s">
        <v>521</v>
      </c>
      <c r="C292" t="s">
        <v>684</v>
      </c>
      <c r="D292" t="s">
        <v>685</v>
      </c>
      <c r="E292" s="8"/>
      <c r="F292" s="8">
        <v>72710</v>
      </c>
      <c r="G292" s="8" t="str">
        <f t="shared" si="16"/>
        <v/>
      </c>
      <c r="H292" s="5">
        <v>0.0687</v>
      </c>
      <c r="I292" s="8" t="str">
        <f t="shared" si="17"/>
        <v/>
      </c>
      <c r="J292" s="8" t="str">
        <f t="shared" si="18"/>
        <v/>
      </c>
      <c r="K292" t="str">
        <f t="shared" si="19"/>
        <v>MISSING OEWS</v>
      </c>
    </row>
    <row r="293" spans="1:11">
      <c r="A293" t="s">
        <v>100</v>
      </c>
      <c r="B293" t="s">
        <v>521</v>
      </c>
      <c r="C293" t="s">
        <v>686</v>
      </c>
      <c r="D293" t="s">
        <v>687</v>
      </c>
      <c r="E293" s="8">
        <v>240</v>
      </c>
      <c r="F293" s="8">
        <v>69390</v>
      </c>
      <c r="G293" s="8">
        <f t="shared" si="16"/>
        <v>16653600</v>
      </c>
      <c r="H293" s="5">
        <v>0</v>
      </c>
      <c r="I293" s="8">
        <f t="shared" si="17"/>
        <v>16653600</v>
      </c>
      <c r="J293" s="8">
        <f t="shared" si="18"/>
        <v>0</v>
      </c>
      <c r="K293" t="str">
        <f t="shared" si="19"/>
        <v>MATCHED</v>
      </c>
    </row>
    <row r="294" spans="1:11">
      <c r="A294" t="s">
        <v>100</v>
      </c>
      <c r="B294" t="s">
        <v>521</v>
      </c>
      <c r="C294" t="s">
        <v>688</v>
      </c>
      <c r="D294" t="s">
        <v>689</v>
      </c>
      <c r="E294" s="8">
        <v>220</v>
      </c>
      <c r="F294" s="8">
        <v>51630</v>
      </c>
      <c r="G294" s="8">
        <f t="shared" si="16"/>
        <v>11358600</v>
      </c>
      <c r="H294" s="5">
        <v>0.0396</v>
      </c>
      <c r="I294" s="8">
        <f t="shared" si="17"/>
        <v>11358600</v>
      </c>
      <c r="J294" s="8">
        <f t="shared" si="18"/>
        <v>449800.56</v>
      </c>
      <c r="K294" t="str">
        <f t="shared" si="19"/>
        <v>MATCHED</v>
      </c>
    </row>
    <row r="295" spans="1:11">
      <c r="A295" t="s">
        <v>100</v>
      </c>
      <c r="B295" t="s">
        <v>521</v>
      </c>
      <c r="C295" t="s">
        <v>690</v>
      </c>
      <c r="D295" t="s">
        <v>691</v>
      </c>
      <c r="E295" s="8">
        <v>220</v>
      </c>
      <c r="F295" s="8">
        <v>52330</v>
      </c>
      <c r="G295" s="8">
        <f t="shared" si="16"/>
        <v>11512600</v>
      </c>
      <c r="H295" s="5">
        <v>0</v>
      </c>
      <c r="I295" s="8">
        <f t="shared" si="17"/>
        <v>11512600</v>
      </c>
      <c r="J295" s="8">
        <f t="shared" si="18"/>
        <v>0</v>
      </c>
      <c r="K295" t="str">
        <f t="shared" si="19"/>
        <v>MATCHED</v>
      </c>
    </row>
    <row r="296" spans="1:11">
      <c r="A296" t="s">
        <v>100</v>
      </c>
      <c r="B296" t="s">
        <v>521</v>
      </c>
      <c r="C296" t="s">
        <v>692</v>
      </c>
      <c r="D296" t="s">
        <v>693</v>
      </c>
      <c r="E296" s="8">
        <v>70</v>
      </c>
      <c r="F296" s="8">
        <v>46340</v>
      </c>
      <c r="G296" s="8">
        <f t="shared" si="16"/>
        <v>3243800</v>
      </c>
      <c r="H296" s="5"/>
      <c r="I296" s="8" t="str">
        <f t="shared" si="17"/>
        <v/>
      </c>
      <c r="J296" s="8" t="str">
        <f t="shared" si="18"/>
        <v/>
      </c>
      <c r="K296" t="str">
        <f t="shared" si="19"/>
        <v>MISSING WHARTON</v>
      </c>
    </row>
    <row r="297" spans="1:11">
      <c r="A297" t="s">
        <v>100</v>
      </c>
      <c r="B297" t="s">
        <v>521</v>
      </c>
      <c r="C297" t="s">
        <v>694</v>
      </c>
      <c r="D297" t="s">
        <v>695</v>
      </c>
      <c r="E297" s="8">
        <v>850</v>
      </c>
      <c r="F297" s="8">
        <v>60070</v>
      </c>
      <c r="G297" s="8">
        <f t="shared" si="16"/>
        <v>51059500</v>
      </c>
      <c r="H297" s="5">
        <v>0.3737</v>
      </c>
      <c r="I297" s="8">
        <f t="shared" si="17"/>
        <v>51059500</v>
      </c>
      <c r="J297" s="8">
        <f t="shared" si="18"/>
        <v>19080935.15</v>
      </c>
      <c r="K297" t="str">
        <f t="shared" si="19"/>
        <v>MATCHED</v>
      </c>
    </row>
    <row r="298" spans="1:11">
      <c r="A298" t="s">
        <v>100</v>
      </c>
      <c r="B298" t="s">
        <v>521</v>
      </c>
      <c r="C298" t="s">
        <v>696</v>
      </c>
      <c r="D298" t="s">
        <v>697</v>
      </c>
      <c r="E298" s="8">
        <v>50</v>
      </c>
      <c r="F298" s="8">
        <v>50970</v>
      </c>
      <c r="G298" s="8">
        <f t="shared" si="16"/>
        <v>2548500</v>
      </c>
      <c r="H298" s="5">
        <v>0</v>
      </c>
      <c r="I298" s="8">
        <f t="shared" si="17"/>
        <v>2548500</v>
      </c>
      <c r="J298" s="8">
        <f t="shared" si="18"/>
        <v>0</v>
      </c>
      <c r="K298" t="str">
        <f t="shared" si="19"/>
        <v>MATCHED</v>
      </c>
    </row>
    <row r="299" spans="1:11">
      <c r="A299" t="s">
        <v>100</v>
      </c>
      <c r="B299" t="s">
        <v>521</v>
      </c>
      <c r="C299" t="s">
        <v>698</v>
      </c>
      <c r="D299" t="s">
        <v>699</v>
      </c>
      <c r="E299" s="8"/>
      <c r="F299" s="8">
        <v>62370</v>
      </c>
      <c r="G299" s="8" t="str">
        <f t="shared" si="16"/>
        <v/>
      </c>
      <c r="H299" s="5">
        <v>0.0452</v>
      </c>
      <c r="I299" s="8" t="str">
        <f t="shared" si="17"/>
        <v/>
      </c>
      <c r="J299" s="8" t="str">
        <f t="shared" si="18"/>
        <v/>
      </c>
      <c r="K299" t="str">
        <f t="shared" si="19"/>
        <v>MISSING OEWS</v>
      </c>
    </row>
    <row r="300" spans="1:11">
      <c r="A300" t="s">
        <v>100</v>
      </c>
      <c r="B300" t="s">
        <v>521</v>
      </c>
      <c r="C300" t="s">
        <v>700</v>
      </c>
      <c r="D300" t="s">
        <v>701</v>
      </c>
      <c r="E300" s="8">
        <v>100</v>
      </c>
      <c r="F300" s="8">
        <v>64530</v>
      </c>
      <c r="G300" s="8">
        <f t="shared" si="16"/>
        <v>6453000</v>
      </c>
      <c r="H300" s="5">
        <v>0</v>
      </c>
      <c r="I300" s="8">
        <f t="shared" si="17"/>
        <v>6453000</v>
      </c>
      <c r="J300" s="8">
        <f t="shared" si="18"/>
        <v>0</v>
      </c>
      <c r="K300" t="str">
        <f t="shared" si="19"/>
        <v>MATCHED</v>
      </c>
    </row>
    <row r="301" spans="1:11">
      <c r="A301" t="s">
        <v>100</v>
      </c>
      <c r="B301" t="s">
        <v>521</v>
      </c>
      <c r="C301" t="s">
        <v>702</v>
      </c>
      <c r="D301" t="s">
        <v>703</v>
      </c>
      <c r="E301" s="8">
        <v>90</v>
      </c>
      <c r="F301" s="8">
        <v>60020</v>
      </c>
      <c r="G301" s="8">
        <f t="shared" si="16"/>
        <v>5401800</v>
      </c>
      <c r="H301" s="5">
        <v>0.0825</v>
      </c>
      <c r="I301" s="8">
        <f t="shared" si="17"/>
        <v>5401800</v>
      </c>
      <c r="J301" s="8">
        <f t="shared" si="18"/>
        <v>445648.5</v>
      </c>
      <c r="K301" t="str">
        <f t="shared" si="19"/>
        <v>MATCHED</v>
      </c>
    </row>
    <row r="302" spans="1:11">
      <c r="A302" t="s">
        <v>100</v>
      </c>
      <c r="B302" t="s">
        <v>521</v>
      </c>
      <c r="C302" t="s">
        <v>704</v>
      </c>
      <c r="D302" t="s">
        <v>705</v>
      </c>
      <c r="E302" s="8">
        <v>10300</v>
      </c>
      <c r="F302" s="8">
        <v>60090</v>
      </c>
      <c r="G302" s="8">
        <f t="shared" si="16"/>
        <v>618927000</v>
      </c>
      <c r="H302" s="5">
        <v>0</v>
      </c>
      <c r="I302" s="8">
        <f t="shared" si="17"/>
        <v>618927000</v>
      </c>
      <c r="J302" s="8">
        <f t="shared" si="18"/>
        <v>0</v>
      </c>
      <c r="K302" t="str">
        <f t="shared" si="19"/>
        <v>MATCHED</v>
      </c>
    </row>
    <row r="303" spans="1:11">
      <c r="A303" t="s">
        <v>100</v>
      </c>
      <c r="B303" t="s">
        <v>521</v>
      </c>
      <c r="C303" t="s">
        <v>706</v>
      </c>
      <c r="D303" t="s">
        <v>707</v>
      </c>
      <c r="E303" s="8">
        <v>11530</v>
      </c>
      <c r="F303" s="8">
        <v>72560</v>
      </c>
      <c r="G303" s="8">
        <f t="shared" si="16"/>
        <v>836616800</v>
      </c>
      <c r="H303" s="5">
        <v>0.0432</v>
      </c>
      <c r="I303" s="8">
        <f t="shared" si="17"/>
        <v>836616800</v>
      </c>
      <c r="J303" s="8">
        <f t="shared" si="18"/>
        <v>36141845.76</v>
      </c>
      <c r="K303" t="str">
        <f t="shared" si="19"/>
        <v>MATCHED</v>
      </c>
    </row>
    <row r="304" spans="1:11">
      <c r="A304" t="s">
        <v>100</v>
      </c>
      <c r="B304" t="s">
        <v>521</v>
      </c>
      <c r="C304" t="s">
        <v>708</v>
      </c>
      <c r="D304" t="s">
        <v>709</v>
      </c>
      <c r="E304" s="8">
        <v>39110</v>
      </c>
      <c r="F304" s="8">
        <v>61360</v>
      </c>
      <c r="G304" s="8">
        <f t="shared" si="16"/>
        <v>2399789600</v>
      </c>
      <c r="H304" s="5">
        <v>0.05</v>
      </c>
      <c r="I304" s="8">
        <f t="shared" si="17"/>
        <v>2399789600</v>
      </c>
      <c r="J304" s="8">
        <f t="shared" si="18"/>
        <v>119989480</v>
      </c>
      <c r="K304" t="str">
        <f t="shared" si="19"/>
        <v>MATCHED</v>
      </c>
    </row>
    <row r="305" spans="1:11">
      <c r="A305" t="s">
        <v>100</v>
      </c>
      <c r="B305" t="s">
        <v>521</v>
      </c>
      <c r="C305" t="s">
        <v>710</v>
      </c>
      <c r="D305" t="s">
        <v>711</v>
      </c>
      <c r="E305" s="8">
        <v>21620</v>
      </c>
      <c r="F305" s="8">
        <v>59390</v>
      </c>
      <c r="G305" s="8">
        <f t="shared" si="16"/>
        <v>1284011800</v>
      </c>
      <c r="H305" s="5">
        <v>0</v>
      </c>
      <c r="I305" s="8">
        <f t="shared" si="17"/>
        <v>1284011800</v>
      </c>
      <c r="J305" s="8">
        <f t="shared" si="18"/>
        <v>0</v>
      </c>
      <c r="K305" t="str">
        <f t="shared" si="19"/>
        <v>MATCHED</v>
      </c>
    </row>
    <row r="306" spans="1:11">
      <c r="A306" t="s">
        <v>100</v>
      </c>
      <c r="B306" t="s">
        <v>521</v>
      </c>
      <c r="C306" t="s">
        <v>712</v>
      </c>
      <c r="D306" t="s">
        <v>713</v>
      </c>
      <c r="E306" s="8">
        <v>3720</v>
      </c>
      <c r="F306" s="8">
        <v>63200</v>
      </c>
      <c r="G306" s="8">
        <f t="shared" si="16"/>
        <v>235104000</v>
      </c>
      <c r="H306" s="5">
        <v>0.0233</v>
      </c>
      <c r="I306" s="8">
        <f t="shared" si="17"/>
        <v>235104000</v>
      </c>
      <c r="J306" s="8">
        <f t="shared" si="18"/>
        <v>5477923.2</v>
      </c>
      <c r="K306" t="str">
        <f t="shared" si="19"/>
        <v>MATCHED</v>
      </c>
    </row>
    <row r="307" spans="1:11">
      <c r="A307" t="s">
        <v>100</v>
      </c>
      <c r="B307" t="s">
        <v>521</v>
      </c>
      <c r="C307" t="s">
        <v>714</v>
      </c>
      <c r="D307" t="s">
        <v>715</v>
      </c>
      <c r="E307" s="8">
        <v>1140</v>
      </c>
      <c r="F307" s="8">
        <v>68090</v>
      </c>
      <c r="G307" s="8">
        <f t="shared" si="16"/>
        <v>77622600</v>
      </c>
      <c r="H307" s="5">
        <v>0.095</v>
      </c>
      <c r="I307" s="8">
        <f t="shared" si="17"/>
        <v>77622600</v>
      </c>
      <c r="J307" s="8">
        <f t="shared" si="18"/>
        <v>7374147</v>
      </c>
      <c r="K307" t="str">
        <f t="shared" si="19"/>
        <v>MATCHED</v>
      </c>
    </row>
    <row r="308" spans="1:11">
      <c r="A308" t="s">
        <v>100</v>
      </c>
      <c r="B308" t="s">
        <v>521</v>
      </c>
      <c r="C308" t="s">
        <v>716</v>
      </c>
      <c r="D308" t="s">
        <v>717</v>
      </c>
      <c r="E308" s="8">
        <v>13220</v>
      </c>
      <c r="F308" s="8">
        <v>65600</v>
      </c>
      <c r="G308" s="8">
        <f t="shared" si="16"/>
        <v>867232000</v>
      </c>
      <c r="H308" s="5">
        <v>0</v>
      </c>
      <c r="I308" s="8">
        <f t="shared" si="17"/>
        <v>867232000</v>
      </c>
      <c r="J308" s="8">
        <f t="shared" si="18"/>
        <v>0</v>
      </c>
      <c r="K308" t="str">
        <f t="shared" si="19"/>
        <v>MATCHED</v>
      </c>
    </row>
    <row r="309" spans="1:11">
      <c r="A309" t="s">
        <v>100</v>
      </c>
      <c r="B309" t="s">
        <v>521</v>
      </c>
      <c r="C309" t="s">
        <v>718</v>
      </c>
      <c r="D309" t="s">
        <v>719</v>
      </c>
      <c r="E309" s="8">
        <v>2020</v>
      </c>
      <c r="F309" s="8">
        <v>78200</v>
      </c>
      <c r="G309" s="8">
        <f t="shared" si="16"/>
        <v>157964000</v>
      </c>
      <c r="H309" s="5">
        <v>0</v>
      </c>
      <c r="I309" s="8">
        <f t="shared" si="17"/>
        <v>157964000</v>
      </c>
      <c r="J309" s="8">
        <f t="shared" si="18"/>
        <v>0</v>
      </c>
      <c r="K309" t="str">
        <f t="shared" si="19"/>
        <v>MATCHED</v>
      </c>
    </row>
    <row r="310" spans="1:11">
      <c r="A310" t="s">
        <v>100</v>
      </c>
      <c r="B310" t="s">
        <v>521</v>
      </c>
      <c r="C310" t="s">
        <v>720</v>
      </c>
      <c r="D310" t="s">
        <v>721</v>
      </c>
      <c r="E310" s="8">
        <v>5590</v>
      </c>
      <c r="F310" s="8">
        <v>71950</v>
      </c>
      <c r="G310" s="8">
        <f t="shared" si="16"/>
        <v>402200500</v>
      </c>
      <c r="H310" s="5">
        <v>0.0339</v>
      </c>
      <c r="I310" s="8">
        <f t="shared" si="17"/>
        <v>402200500</v>
      </c>
      <c r="J310" s="8">
        <f t="shared" si="18"/>
        <v>13634596.95</v>
      </c>
      <c r="K310" t="str">
        <f t="shared" si="19"/>
        <v>MATCHED</v>
      </c>
    </row>
    <row r="311" spans="1:11">
      <c r="A311" t="s">
        <v>100</v>
      </c>
      <c r="B311" t="s">
        <v>521</v>
      </c>
      <c r="C311" t="s">
        <v>722</v>
      </c>
      <c r="D311" t="s">
        <v>723</v>
      </c>
      <c r="E311" s="8">
        <v>2630</v>
      </c>
      <c r="F311" s="8">
        <v>70960</v>
      </c>
      <c r="G311" s="8">
        <f t="shared" si="16"/>
        <v>186624800</v>
      </c>
      <c r="H311" s="5"/>
      <c r="I311" s="8" t="str">
        <f t="shared" si="17"/>
        <v/>
      </c>
      <c r="J311" s="8" t="str">
        <f t="shared" si="18"/>
        <v/>
      </c>
      <c r="K311" t="str">
        <f t="shared" si="19"/>
        <v>MISSING WHARTON</v>
      </c>
    </row>
    <row r="312" spans="1:11">
      <c r="A312" t="s">
        <v>100</v>
      </c>
      <c r="B312" t="s">
        <v>521</v>
      </c>
      <c r="C312" t="s">
        <v>724</v>
      </c>
      <c r="D312" t="s">
        <v>725</v>
      </c>
      <c r="E312" s="8">
        <v>2920</v>
      </c>
      <c r="F312" s="8">
        <v>51110</v>
      </c>
      <c r="G312" s="8">
        <f t="shared" si="16"/>
        <v>149241200</v>
      </c>
      <c r="H312" s="5">
        <v>0</v>
      </c>
      <c r="I312" s="8">
        <f t="shared" si="17"/>
        <v>149241200</v>
      </c>
      <c r="J312" s="8">
        <f t="shared" si="18"/>
        <v>0</v>
      </c>
      <c r="K312" t="str">
        <f t="shared" si="19"/>
        <v>MATCHED</v>
      </c>
    </row>
    <row r="313" spans="1:11">
      <c r="A313" t="s">
        <v>100</v>
      </c>
      <c r="B313" t="s">
        <v>521</v>
      </c>
      <c r="C313" t="s">
        <v>726</v>
      </c>
      <c r="D313" t="s">
        <v>727</v>
      </c>
      <c r="E313" s="8">
        <v>38870</v>
      </c>
      <c r="F313" s="8">
        <v>49560</v>
      </c>
      <c r="G313" s="8">
        <f t="shared" si="16"/>
        <v>1926397200</v>
      </c>
      <c r="H313" s="5">
        <v>0</v>
      </c>
      <c r="I313" s="8">
        <f t="shared" si="17"/>
        <v>1926397200</v>
      </c>
      <c r="J313" s="8">
        <f t="shared" si="18"/>
        <v>0</v>
      </c>
      <c r="K313" t="str">
        <f t="shared" si="19"/>
        <v>MATCHED</v>
      </c>
    </row>
    <row r="314" spans="1:11">
      <c r="A314" t="s">
        <v>100</v>
      </c>
      <c r="B314" t="s">
        <v>521</v>
      </c>
      <c r="C314" t="s">
        <v>728</v>
      </c>
      <c r="D314" t="s">
        <v>729</v>
      </c>
      <c r="E314" s="8">
        <v>3060</v>
      </c>
      <c r="F314" s="8">
        <v>52900</v>
      </c>
      <c r="G314" s="8">
        <f t="shared" si="16"/>
        <v>161874000</v>
      </c>
      <c r="H314" s="5">
        <v>0</v>
      </c>
      <c r="I314" s="8">
        <f t="shared" si="17"/>
        <v>161874000</v>
      </c>
      <c r="J314" s="8">
        <f t="shared" si="18"/>
        <v>0</v>
      </c>
      <c r="K314" t="str">
        <f t="shared" si="19"/>
        <v>MATCHED</v>
      </c>
    </row>
    <row r="315" spans="1:11">
      <c r="A315" t="s">
        <v>100</v>
      </c>
      <c r="B315" t="s">
        <v>521</v>
      </c>
      <c r="C315" t="s">
        <v>730</v>
      </c>
      <c r="D315" t="s">
        <v>731</v>
      </c>
      <c r="E315" s="8">
        <v>4240</v>
      </c>
      <c r="F315" s="8">
        <v>59230</v>
      </c>
      <c r="G315" s="8">
        <f t="shared" si="16"/>
        <v>251135200</v>
      </c>
      <c r="H315" s="5"/>
      <c r="I315" s="8" t="str">
        <f t="shared" si="17"/>
        <v/>
      </c>
      <c r="J315" s="8" t="str">
        <f t="shared" si="18"/>
        <v/>
      </c>
      <c r="K315" t="str">
        <f t="shared" si="19"/>
        <v>MISSING WHARTON</v>
      </c>
    </row>
    <row r="316" spans="1:11">
      <c r="A316" t="s">
        <v>100</v>
      </c>
      <c r="B316" t="s">
        <v>521</v>
      </c>
      <c r="C316" t="s">
        <v>433</v>
      </c>
      <c r="D316" t="s">
        <v>434</v>
      </c>
      <c r="E316" s="8">
        <v>6690</v>
      </c>
      <c r="F316" s="8">
        <v>110700</v>
      </c>
      <c r="G316" s="8">
        <f t="shared" si="16"/>
        <v>740583000</v>
      </c>
      <c r="H316" s="5">
        <v>0.3523</v>
      </c>
      <c r="I316" s="8">
        <f t="shared" si="17"/>
        <v>740583000</v>
      </c>
      <c r="J316" s="8">
        <f t="shared" si="18"/>
        <v>260907390.9</v>
      </c>
      <c r="K316" t="str">
        <f t="shared" si="19"/>
        <v>MATCHED</v>
      </c>
    </row>
    <row r="317" spans="1:11">
      <c r="A317" t="s">
        <v>100</v>
      </c>
      <c r="B317" t="s">
        <v>521</v>
      </c>
      <c r="C317" t="s">
        <v>732</v>
      </c>
      <c r="D317" t="s">
        <v>733</v>
      </c>
      <c r="E317" s="8"/>
      <c r="F317" s="8">
        <v>52160</v>
      </c>
      <c r="G317" s="8" t="str">
        <f t="shared" si="16"/>
        <v/>
      </c>
      <c r="H317" s="5">
        <v>0.0667</v>
      </c>
      <c r="I317" s="8" t="str">
        <f t="shared" si="17"/>
        <v/>
      </c>
      <c r="J317" s="8" t="str">
        <f t="shared" si="18"/>
        <v/>
      </c>
      <c r="K317" t="str">
        <f t="shared" si="19"/>
        <v>MISSING OEWS</v>
      </c>
    </row>
    <row r="318" spans="1:11">
      <c r="A318" t="s">
        <v>100</v>
      </c>
      <c r="B318" t="s">
        <v>521</v>
      </c>
      <c r="C318" t="s">
        <v>734</v>
      </c>
      <c r="D318" t="s">
        <v>735</v>
      </c>
      <c r="E318" s="8">
        <v>3270</v>
      </c>
      <c r="F318" s="8">
        <v>79740</v>
      </c>
      <c r="G318" s="8">
        <f t="shared" si="16"/>
        <v>260749800</v>
      </c>
      <c r="H318" s="5">
        <v>0.19</v>
      </c>
      <c r="I318" s="8">
        <f t="shared" si="17"/>
        <v>260749800</v>
      </c>
      <c r="J318" s="8">
        <f t="shared" si="18"/>
        <v>49542462</v>
      </c>
      <c r="K318" t="str">
        <f t="shared" si="19"/>
        <v>MATCHED</v>
      </c>
    </row>
    <row r="319" spans="1:11">
      <c r="A319" t="s">
        <v>100</v>
      </c>
      <c r="B319" t="s">
        <v>521</v>
      </c>
      <c r="C319" t="s">
        <v>736</v>
      </c>
      <c r="D319" t="s">
        <v>737</v>
      </c>
      <c r="E319" s="8">
        <v>370</v>
      </c>
      <c r="F319" s="8">
        <v>72000</v>
      </c>
      <c r="G319" s="8">
        <f t="shared" si="16"/>
        <v>26640000</v>
      </c>
      <c r="H319" s="5">
        <v>0.0233</v>
      </c>
      <c r="I319" s="8">
        <f t="shared" si="17"/>
        <v>26640000</v>
      </c>
      <c r="J319" s="8">
        <f t="shared" si="18"/>
        <v>620712</v>
      </c>
      <c r="K319" t="str">
        <f t="shared" si="19"/>
        <v>MATCHED</v>
      </c>
    </row>
    <row r="320" spans="1:11">
      <c r="A320" t="s">
        <v>100</v>
      </c>
      <c r="B320" t="s">
        <v>521</v>
      </c>
      <c r="C320" t="s">
        <v>437</v>
      </c>
      <c r="D320" t="s">
        <v>438</v>
      </c>
      <c r="E320" s="8">
        <v>2930</v>
      </c>
      <c r="F320" s="8">
        <v>64810</v>
      </c>
      <c r="G320" s="8">
        <f t="shared" si="16"/>
        <v>189893300</v>
      </c>
      <c r="H320" s="5">
        <v>0</v>
      </c>
      <c r="I320" s="8">
        <f t="shared" si="17"/>
        <v>189893300</v>
      </c>
      <c r="J320" s="8">
        <f t="shared" si="18"/>
        <v>0</v>
      </c>
      <c r="K320" t="str">
        <f t="shared" si="19"/>
        <v>MATCHED</v>
      </c>
    </row>
    <row r="321" spans="1:11">
      <c r="A321" t="s">
        <v>100</v>
      </c>
      <c r="B321" t="s">
        <v>521</v>
      </c>
      <c r="C321" t="s">
        <v>441</v>
      </c>
      <c r="D321" t="s">
        <v>442</v>
      </c>
      <c r="E321" s="8">
        <v>10300</v>
      </c>
      <c r="F321" s="8">
        <v>72700</v>
      </c>
      <c r="G321" s="8">
        <f t="shared" si="16"/>
        <v>748810000</v>
      </c>
      <c r="H321" s="5">
        <v>0.1425</v>
      </c>
      <c r="I321" s="8">
        <f t="shared" si="17"/>
        <v>748810000</v>
      </c>
      <c r="J321" s="8">
        <f t="shared" si="18"/>
        <v>106705425</v>
      </c>
      <c r="K321" t="str">
        <f t="shared" si="19"/>
        <v>MATCHED</v>
      </c>
    </row>
    <row r="322" spans="1:11">
      <c r="A322" t="s">
        <v>100</v>
      </c>
      <c r="B322" t="s">
        <v>521</v>
      </c>
      <c r="C322" t="s">
        <v>738</v>
      </c>
      <c r="D322" t="s">
        <v>739</v>
      </c>
      <c r="E322" s="8">
        <v>130</v>
      </c>
      <c r="F322" s="8">
        <v>64730</v>
      </c>
      <c r="G322" s="8">
        <f t="shared" ref="G322:G385" si="20">IF(OR(E322="",F322=""),"",E322*F322)</f>
        <v>8414900</v>
      </c>
      <c r="H322" s="5">
        <v>0</v>
      </c>
      <c r="I322" s="8">
        <f t="shared" ref="I322:I385" si="21">IF(G322="","",IF(ISNUMBER(H322),G322,""))</f>
        <v>8414900</v>
      </c>
      <c r="J322" s="8">
        <f t="shared" ref="J322:J385" si="22">IF(I322="","",I322*H322)</f>
        <v>0</v>
      </c>
      <c r="K322" t="str">
        <f t="shared" ref="K322:K385" si="23">IF(G322="","MISSING OEWS",IF(ISNUMBER(H322),"MATCHED","MISSING WHARTON"))</f>
        <v>MATCHED</v>
      </c>
    </row>
    <row r="323" spans="1:11">
      <c r="A323" t="s">
        <v>100</v>
      </c>
      <c r="B323" t="s">
        <v>521</v>
      </c>
      <c r="C323" t="s">
        <v>740</v>
      </c>
      <c r="D323" t="s">
        <v>741</v>
      </c>
      <c r="E323" s="8">
        <v>3880</v>
      </c>
      <c r="F323" s="8">
        <v>59360</v>
      </c>
      <c r="G323" s="8">
        <f t="shared" si="20"/>
        <v>230316800</v>
      </c>
      <c r="H323" s="5">
        <v>0.0731</v>
      </c>
      <c r="I323" s="8">
        <f t="shared" si="21"/>
        <v>230316800</v>
      </c>
      <c r="J323" s="8">
        <f t="shared" si="22"/>
        <v>16836158.08</v>
      </c>
      <c r="K323" t="str">
        <f t="shared" si="23"/>
        <v>MATCHED</v>
      </c>
    </row>
    <row r="324" spans="1:11">
      <c r="A324" t="s">
        <v>100</v>
      </c>
      <c r="B324" t="s">
        <v>521</v>
      </c>
      <c r="C324" t="s">
        <v>445</v>
      </c>
      <c r="D324" t="s">
        <v>446</v>
      </c>
      <c r="E324" s="8">
        <v>19330</v>
      </c>
      <c r="F324" s="8">
        <v>70760</v>
      </c>
      <c r="G324" s="8">
        <f t="shared" si="20"/>
        <v>1367790800</v>
      </c>
      <c r="H324" s="5">
        <v>0.25</v>
      </c>
      <c r="I324" s="8">
        <f t="shared" si="21"/>
        <v>1367790800</v>
      </c>
      <c r="J324" s="8">
        <f t="shared" si="22"/>
        <v>341947700</v>
      </c>
      <c r="K324" t="str">
        <f t="shared" si="23"/>
        <v>MATCHED</v>
      </c>
    </row>
    <row r="325" spans="1:11">
      <c r="A325" t="s">
        <v>100</v>
      </c>
      <c r="B325" t="s">
        <v>521</v>
      </c>
      <c r="C325" t="s">
        <v>447</v>
      </c>
      <c r="D325" t="s">
        <v>448</v>
      </c>
      <c r="E325" s="8">
        <v>2690</v>
      </c>
      <c r="F325" s="8">
        <v>68000</v>
      </c>
      <c r="G325" s="8">
        <f t="shared" si="20"/>
        <v>182920000</v>
      </c>
      <c r="H325" s="5">
        <v>0.0528</v>
      </c>
      <c r="I325" s="8">
        <f t="shared" si="21"/>
        <v>182920000</v>
      </c>
      <c r="J325" s="8">
        <f t="shared" si="22"/>
        <v>9658176</v>
      </c>
      <c r="K325" t="str">
        <f t="shared" si="23"/>
        <v>MATCHED</v>
      </c>
    </row>
    <row r="326" spans="1:11">
      <c r="A326" t="s">
        <v>100</v>
      </c>
      <c r="B326" t="s">
        <v>521</v>
      </c>
      <c r="C326" t="s">
        <v>742</v>
      </c>
      <c r="D326" t="s">
        <v>743</v>
      </c>
      <c r="E326" s="8">
        <v>560</v>
      </c>
      <c r="F326" s="8">
        <v>75700</v>
      </c>
      <c r="G326" s="8">
        <f t="shared" si="20"/>
        <v>42392000</v>
      </c>
      <c r="H326" s="5">
        <v>0</v>
      </c>
      <c r="I326" s="8">
        <f t="shared" si="21"/>
        <v>42392000</v>
      </c>
      <c r="J326" s="8">
        <f t="shared" si="22"/>
        <v>0</v>
      </c>
      <c r="K326" t="str">
        <f t="shared" si="23"/>
        <v>MATCHED</v>
      </c>
    </row>
    <row r="327" spans="1:11">
      <c r="A327" t="s">
        <v>100</v>
      </c>
      <c r="B327" t="s">
        <v>521</v>
      </c>
      <c r="C327" t="s">
        <v>744</v>
      </c>
      <c r="D327" t="s">
        <v>745</v>
      </c>
      <c r="E327" s="8"/>
      <c r="F327" s="8">
        <v>68770</v>
      </c>
      <c r="G327" s="8" t="str">
        <f t="shared" si="20"/>
        <v/>
      </c>
      <c r="H327" s="5">
        <v>0</v>
      </c>
      <c r="I327" s="8" t="str">
        <f t="shared" si="21"/>
        <v/>
      </c>
      <c r="J327" s="8" t="str">
        <f t="shared" si="22"/>
        <v/>
      </c>
      <c r="K327" t="str">
        <f t="shared" si="23"/>
        <v>MISSING OEWS</v>
      </c>
    </row>
    <row r="328" spans="1:11">
      <c r="A328" t="s">
        <v>100</v>
      </c>
      <c r="B328" t="s">
        <v>521</v>
      </c>
      <c r="C328" t="s">
        <v>746</v>
      </c>
      <c r="D328" t="s">
        <v>747</v>
      </c>
      <c r="E328" s="8">
        <v>290</v>
      </c>
      <c r="F328" s="8"/>
      <c r="G328" s="8" t="str">
        <f t="shared" si="20"/>
        <v/>
      </c>
      <c r="H328" s="5"/>
      <c r="I328" s="8" t="str">
        <f t="shared" si="21"/>
        <v/>
      </c>
      <c r="J328" s="8" t="str">
        <f t="shared" si="22"/>
        <v/>
      </c>
      <c r="K328" t="str">
        <f t="shared" si="23"/>
        <v>MISSING OEWS</v>
      </c>
    </row>
    <row r="329" spans="1:11">
      <c r="A329" t="s">
        <v>100</v>
      </c>
      <c r="B329" t="s">
        <v>521</v>
      </c>
      <c r="C329" t="s">
        <v>449</v>
      </c>
      <c r="D329" t="s">
        <v>450</v>
      </c>
      <c r="E329" s="8">
        <v>6900</v>
      </c>
      <c r="F329" s="8">
        <v>66000</v>
      </c>
      <c r="G329" s="8">
        <f t="shared" si="20"/>
        <v>455400000</v>
      </c>
      <c r="H329" s="5">
        <v>0.0867</v>
      </c>
      <c r="I329" s="8">
        <f t="shared" si="21"/>
        <v>455400000</v>
      </c>
      <c r="J329" s="8">
        <f t="shared" si="22"/>
        <v>39483180</v>
      </c>
      <c r="K329" t="str">
        <f t="shared" si="23"/>
        <v>MATCHED</v>
      </c>
    </row>
    <row r="330" spans="1:11">
      <c r="A330" t="s">
        <v>100</v>
      </c>
      <c r="B330" t="s">
        <v>521</v>
      </c>
      <c r="C330" t="s">
        <v>748</v>
      </c>
      <c r="D330" t="s">
        <v>749</v>
      </c>
      <c r="E330" s="8">
        <v>1230</v>
      </c>
      <c r="F330" s="8">
        <v>50360</v>
      </c>
      <c r="G330" s="8">
        <f t="shared" si="20"/>
        <v>61942800</v>
      </c>
      <c r="H330" s="5">
        <v>0</v>
      </c>
      <c r="I330" s="8">
        <f t="shared" si="21"/>
        <v>61942800</v>
      </c>
      <c r="J330" s="8">
        <f t="shared" si="22"/>
        <v>0</v>
      </c>
      <c r="K330" t="str">
        <f t="shared" si="23"/>
        <v>MATCHED</v>
      </c>
    </row>
    <row r="331" spans="1:11">
      <c r="A331" t="s">
        <v>100</v>
      </c>
      <c r="B331" t="s">
        <v>521</v>
      </c>
      <c r="C331" t="s">
        <v>451</v>
      </c>
      <c r="D331" t="s">
        <v>452</v>
      </c>
      <c r="E331" s="8">
        <v>1040</v>
      </c>
      <c r="F331" s="8">
        <v>44990</v>
      </c>
      <c r="G331" s="8">
        <f t="shared" si="20"/>
        <v>46789600</v>
      </c>
      <c r="H331" s="5">
        <v>0.0594</v>
      </c>
      <c r="I331" s="8">
        <f t="shared" si="21"/>
        <v>46789600</v>
      </c>
      <c r="J331" s="8">
        <f t="shared" si="22"/>
        <v>2779302.24</v>
      </c>
      <c r="K331" t="str">
        <f t="shared" si="23"/>
        <v>MATCHED</v>
      </c>
    </row>
    <row r="332" spans="1:11">
      <c r="A332" t="s">
        <v>100</v>
      </c>
      <c r="B332" t="s">
        <v>521</v>
      </c>
      <c r="C332" t="s">
        <v>453</v>
      </c>
      <c r="D332" t="s">
        <v>454</v>
      </c>
      <c r="E332" s="8">
        <v>990</v>
      </c>
      <c r="F332" s="8">
        <v>59600</v>
      </c>
      <c r="G332" s="8">
        <f t="shared" si="20"/>
        <v>59004000</v>
      </c>
      <c r="H332" s="5">
        <v>0.1667</v>
      </c>
      <c r="I332" s="8">
        <f t="shared" si="21"/>
        <v>59004000</v>
      </c>
      <c r="J332" s="8">
        <f t="shared" si="22"/>
        <v>9835966.8</v>
      </c>
      <c r="K332" t="str">
        <f t="shared" si="23"/>
        <v>MATCHED</v>
      </c>
    </row>
    <row r="333" spans="1:11">
      <c r="A333" t="s">
        <v>100</v>
      </c>
      <c r="B333" t="s">
        <v>521</v>
      </c>
      <c r="C333" t="s">
        <v>455</v>
      </c>
      <c r="D333" t="s">
        <v>456</v>
      </c>
      <c r="E333" s="8">
        <v>3760</v>
      </c>
      <c r="F333" s="8">
        <v>98700</v>
      </c>
      <c r="G333" s="8">
        <f t="shared" si="20"/>
        <v>371112000</v>
      </c>
      <c r="H333" s="5">
        <v>0.3775</v>
      </c>
      <c r="I333" s="8">
        <f t="shared" si="21"/>
        <v>371112000</v>
      </c>
      <c r="J333" s="8">
        <f t="shared" si="22"/>
        <v>140094780</v>
      </c>
      <c r="K333" t="str">
        <f t="shared" si="23"/>
        <v>MATCHED</v>
      </c>
    </row>
    <row r="334" spans="1:11">
      <c r="A334" t="s">
        <v>100</v>
      </c>
      <c r="B334" t="s">
        <v>521</v>
      </c>
      <c r="C334" t="s">
        <v>457</v>
      </c>
      <c r="D334" t="s">
        <v>458</v>
      </c>
      <c r="E334" s="8">
        <v>370</v>
      </c>
      <c r="F334" s="8">
        <v>84660</v>
      </c>
      <c r="G334" s="8">
        <f t="shared" si="20"/>
        <v>31324200</v>
      </c>
      <c r="H334" s="5">
        <v>0.15</v>
      </c>
      <c r="I334" s="8">
        <f t="shared" si="21"/>
        <v>31324200</v>
      </c>
      <c r="J334" s="8">
        <f t="shared" si="22"/>
        <v>4698630</v>
      </c>
      <c r="K334" t="str">
        <f t="shared" si="23"/>
        <v>MATCHED</v>
      </c>
    </row>
    <row r="335" spans="1:11">
      <c r="A335" t="s">
        <v>100</v>
      </c>
      <c r="B335" t="s">
        <v>521</v>
      </c>
      <c r="C335" t="s">
        <v>750</v>
      </c>
      <c r="D335" t="s">
        <v>751</v>
      </c>
      <c r="E335" s="8"/>
      <c r="F335" s="8">
        <v>59140</v>
      </c>
      <c r="G335" s="8" t="str">
        <f t="shared" si="20"/>
        <v/>
      </c>
      <c r="H335" s="5">
        <v>0.1</v>
      </c>
      <c r="I335" s="8" t="str">
        <f t="shared" si="21"/>
        <v/>
      </c>
      <c r="J335" s="8" t="str">
        <f t="shared" si="22"/>
        <v/>
      </c>
      <c r="K335" t="str">
        <f t="shared" si="23"/>
        <v>MISSING OEWS</v>
      </c>
    </row>
    <row r="336" spans="1:11">
      <c r="A336" t="s">
        <v>100</v>
      </c>
      <c r="B336" t="s">
        <v>521</v>
      </c>
      <c r="C336" t="s">
        <v>752</v>
      </c>
      <c r="D336" t="s">
        <v>753</v>
      </c>
      <c r="E336" s="8">
        <v>160</v>
      </c>
      <c r="F336" s="8">
        <v>56090</v>
      </c>
      <c r="G336" s="8">
        <f t="shared" si="20"/>
        <v>8974400</v>
      </c>
      <c r="H336" s="5">
        <v>0</v>
      </c>
      <c r="I336" s="8">
        <f t="shared" si="21"/>
        <v>8974400</v>
      </c>
      <c r="J336" s="8">
        <f t="shared" si="22"/>
        <v>0</v>
      </c>
      <c r="K336" t="str">
        <f t="shared" si="23"/>
        <v>MATCHED</v>
      </c>
    </row>
    <row r="337" spans="1:11">
      <c r="A337" t="s">
        <v>100</v>
      </c>
      <c r="B337" t="s">
        <v>521</v>
      </c>
      <c r="C337" t="s">
        <v>754</v>
      </c>
      <c r="D337" t="s">
        <v>755</v>
      </c>
      <c r="E337" s="8">
        <v>170</v>
      </c>
      <c r="F337" s="8">
        <v>56530</v>
      </c>
      <c r="G337" s="8">
        <f t="shared" si="20"/>
        <v>9610100</v>
      </c>
      <c r="H337" s="5">
        <v>0.0633</v>
      </c>
      <c r="I337" s="8">
        <f t="shared" si="21"/>
        <v>9610100</v>
      </c>
      <c r="J337" s="8">
        <f t="shared" si="22"/>
        <v>608319.33</v>
      </c>
      <c r="K337" t="str">
        <f t="shared" si="23"/>
        <v>MATCHED</v>
      </c>
    </row>
    <row r="338" spans="1:11">
      <c r="A338" t="s">
        <v>100</v>
      </c>
      <c r="B338" t="s">
        <v>521</v>
      </c>
      <c r="C338" t="s">
        <v>756</v>
      </c>
      <c r="D338" t="s">
        <v>757</v>
      </c>
      <c r="E338" s="8">
        <v>500</v>
      </c>
      <c r="F338" s="8">
        <v>70660</v>
      </c>
      <c r="G338" s="8">
        <f t="shared" si="20"/>
        <v>35330000</v>
      </c>
      <c r="H338" s="5">
        <v>0.0897</v>
      </c>
      <c r="I338" s="8">
        <f t="shared" si="21"/>
        <v>35330000</v>
      </c>
      <c r="J338" s="8">
        <f t="shared" si="22"/>
        <v>3169101</v>
      </c>
      <c r="K338" t="str">
        <f t="shared" si="23"/>
        <v>MATCHED</v>
      </c>
    </row>
    <row r="339" spans="1:11">
      <c r="A339" t="s">
        <v>100</v>
      </c>
      <c r="B339" t="s">
        <v>521</v>
      </c>
      <c r="C339" t="s">
        <v>758</v>
      </c>
      <c r="D339" t="s">
        <v>759</v>
      </c>
      <c r="E339" s="8"/>
      <c r="F339" s="8">
        <v>62710</v>
      </c>
      <c r="G339" s="8" t="str">
        <f t="shared" si="20"/>
        <v/>
      </c>
      <c r="H339" s="5">
        <v>0.1267</v>
      </c>
      <c r="I339" s="8" t="str">
        <f t="shared" si="21"/>
        <v/>
      </c>
      <c r="J339" s="8" t="str">
        <f t="shared" si="22"/>
        <v/>
      </c>
      <c r="K339" t="str">
        <f t="shared" si="23"/>
        <v>MISSING OEWS</v>
      </c>
    </row>
    <row r="340" spans="1:11">
      <c r="A340" t="s">
        <v>100</v>
      </c>
      <c r="B340" t="s">
        <v>521</v>
      </c>
      <c r="C340" t="s">
        <v>760</v>
      </c>
      <c r="D340" t="s">
        <v>761</v>
      </c>
      <c r="E340" s="8"/>
      <c r="F340" s="8">
        <v>47890</v>
      </c>
      <c r="G340" s="8" t="str">
        <f t="shared" si="20"/>
        <v/>
      </c>
      <c r="H340" s="5">
        <v>0.0559</v>
      </c>
      <c r="I340" s="8" t="str">
        <f t="shared" si="21"/>
        <v/>
      </c>
      <c r="J340" s="8" t="str">
        <f t="shared" si="22"/>
        <v/>
      </c>
      <c r="K340" t="str">
        <f t="shared" si="23"/>
        <v>MISSING OEWS</v>
      </c>
    </row>
    <row r="341" spans="1:11">
      <c r="A341" t="s">
        <v>100</v>
      </c>
      <c r="B341" t="s">
        <v>521</v>
      </c>
      <c r="C341" t="s">
        <v>465</v>
      </c>
      <c r="D341" t="s">
        <v>466</v>
      </c>
      <c r="E341" s="8">
        <v>5630</v>
      </c>
      <c r="F341" s="8">
        <v>68610</v>
      </c>
      <c r="G341" s="8">
        <f t="shared" si="20"/>
        <v>386274300</v>
      </c>
      <c r="H341" s="5">
        <v>0.0233</v>
      </c>
      <c r="I341" s="8">
        <f t="shared" si="21"/>
        <v>386274300</v>
      </c>
      <c r="J341" s="8">
        <f t="shared" si="22"/>
        <v>9000191.19</v>
      </c>
      <c r="K341" t="str">
        <f t="shared" si="23"/>
        <v>MATCHED</v>
      </c>
    </row>
    <row r="342" spans="1:11">
      <c r="A342" t="s">
        <v>100</v>
      </c>
      <c r="B342" t="s">
        <v>521</v>
      </c>
      <c r="C342" t="s">
        <v>762</v>
      </c>
      <c r="D342" t="s">
        <v>763</v>
      </c>
      <c r="E342" s="8">
        <v>70</v>
      </c>
      <c r="F342" s="8">
        <v>79720</v>
      </c>
      <c r="G342" s="8">
        <f t="shared" si="20"/>
        <v>5580400</v>
      </c>
      <c r="H342" s="5">
        <v>0.0983</v>
      </c>
      <c r="I342" s="8">
        <f t="shared" si="21"/>
        <v>5580400</v>
      </c>
      <c r="J342" s="8">
        <f t="shared" si="22"/>
        <v>548553.32</v>
      </c>
      <c r="K342" t="str">
        <f t="shared" si="23"/>
        <v>MATCHED</v>
      </c>
    </row>
    <row r="343" spans="1:11">
      <c r="A343" t="s">
        <v>100</v>
      </c>
      <c r="B343" t="s">
        <v>521</v>
      </c>
      <c r="C343" t="s">
        <v>764</v>
      </c>
      <c r="D343" t="s">
        <v>765</v>
      </c>
      <c r="E343" s="8"/>
      <c r="F343" s="8">
        <v>40420</v>
      </c>
      <c r="G343" s="8" t="str">
        <f t="shared" si="20"/>
        <v/>
      </c>
      <c r="H343" s="5"/>
      <c r="I343" s="8" t="str">
        <f t="shared" si="21"/>
        <v/>
      </c>
      <c r="J343" s="8" t="str">
        <f t="shared" si="22"/>
        <v/>
      </c>
      <c r="K343" t="str">
        <f t="shared" si="23"/>
        <v>MISSING OEWS</v>
      </c>
    </row>
    <row r="344" spans="1:11">
      <c r="A344" t="s">
        <v>100</v>
      </c>
      <c r="B344" t="s">
        <v>521</v>
      </c>
      <c r="C344" t="s">
        <v>766</v>
      </c>
      <c r="D344" t="s">
        <v>767</v>
      </c>
      <c r="E344" s="8">
        <v>150</v>
      </c>
      <c r="F344" s="8">
        <v>101880</v>
      </c>
      <c r="G344" s="8">
        <f t="shared" si="20"/>
        <v>15282000</v>
      </c>
      <c r="H344" s="5">
        <v>0.1618</v>
      </c>
      <c r="I344" s="8">
        <f t="shared" si="21"/>
        <v>15282000</v>
      </c>
      <c r="J344" s="8">
        <f t="shared" si="22"/>
        <v>2472627.6</v>
      </c>
      <c r="K344" t="str">
        <f t="shared" si="23"/>
        <v>MATCHED</v>
      </c>
    </row>
    <row r="345" spans="1:11">
      <c r="A345" t="s">
        <v>100</v>
      </c>
      <c r="B345" t="s">
        <v>521</v>
      </c>
      <c r="C345" t="s">
        <v>768</v>
      </c>
      <c r="D345" t="s">
        <v>769</v>
      </c>
      <c r="E345" s="8"/>
      <c r="F345" s="8">
        <v>100000</v>
      </c>
      <c r="G345" s="8" t="str">
        <f t="shared" si="20"/>
        <v/>
      </c>
      <c r="H345" s="5">
        <v>0.104</v>
      </c>
      <c r="I345" s="8" t="str">
        <f t="shared" si="21"/>
        <v/>
      </c>
      <c r="J345" s="8" t="str">
        <f t="shared" si="22"/>
        <v/>
      </c>
      <c r="K345" t="str">
        <f t="shared" si="23"/>
        <v>MISSING OEWS</v>
      </c>
    </row>
    <row r="346" spans="1:11">
      <c r="A346" t="s">
        <v>100</v>
      </c>
      <c r="B346" t="s">
        <v>521</v>
      </c>
      <c r="C346" t="s">
        <v>770</v>
      </c>
      <c r="D346" t="s">
        <v>771</v>
      </c>
      <c r="E346" s="8">
        <v>290</v>
      </c>
      <c r="F346" s="8">
        <v>69930</v>
      </c>
      <c r="G346" s="8">
        <f t="shared" si="20"/>
        <v>20279700</v>
      </c>
      <c r="H346" s="5">
        <v>0.1188</v>
      </c>
      <c r="I346" s="8">
        <f t="shared" si="21"/>
        <v>20279700</v>
      </c>
      <c r="J346" s="8">
        <f t="shared" si="22"/>
        <v>2409228.36</v>
      </c>
      <c r="K346" t="str">
        <f t="shared" si="23"/>
        <v>MATCHED</v>
      </c>
    </row>
    <row r="347" spans="1:11">
      <c r="A347" t="s">
        <v>100</v>
      </c>
      <c r="B347" t="s">
        <v>521</v>
      </c>
      <c r="C347" t="s">
        <v>772</v>
      </c>
      <c r="D347" t="s">
        <v>773</v>
      </c>
      <c r="E347" s="8"/>
      <c r="F347" s="8">
        <v>107300</v>
      </c>
      <c r="G347" s="8" t="str">
        <f t="shared" si="20"/>
        <v/>
      </c>
      <c r="H347" s="5">
        <v>0.1</v>
      </c>
      <c r="I347" s="8" t="str">
        <f t="shared" si="21"/>
        <v/>
      </c>
      <c r="J347" s="8" t="str">
        <f t="shared" si="22"/>
        <v/>
      </c>
      <c r="K347" t="str">
        <f t="shared" si="23"/>
        <v>MISSING OEWS</v>
      </c>
    </row>
    <row r="348" spans="1:11">
      <c r="A348" t="s">
        <v>100</v>
      </c>
      <c r="B348" t="s">
        <v>521</v>
      </c>
      <c r="C348" t="s">
        <v>774</v>
      </c>
      <c r="D348" t="s">
        <v>775</v>
      </c>
      <c r="E348" s="8">
        <v>1280</v>
      </c>
      <c r="F348" s="8">
        <v>86200</v>
      </c>
      <c r="G348" s="8">
        <f t="shared" si="20"/>
        <v>110336000</v>
      </c>
      <c r="H348" s="5">
        <v>0.15</v>
      </c>
      <c r="I348" s="8">
        <f t="shared" si="21"/>
        <v>110336000</v>
      </c>
      <c r="J348" s="8">
        <f t="shared" si="22"/>
        <v>16550400</v>
      </c>
      <c r="K348" t="str">
        <f t="shared" si="23"/>
        <v>MATCHED</v>
      </c>
    </row>
    <row r="349" spans="1:11">
      <c r="A349" t="s">
        <v>100</v>
      </c>
      <c r="B349" t="s">
        <v>521</v>
      </c>
      <c r="C349" t="s">
        <v>776</v>
      </c>
      <c r="D349" t="s">
        <v>777</v>
      </c>
      <c r="E349" s="8">
        <v>2150</v>
      </c>
      <c r="F349" s="8">
        <v>82550</v>
      </c>
      <c r="G349" s="8">
        <f t="shared" si="20"/>
        <v>177482500</v>
      </c>
      <c r="H349" s="5">
        <v>0.1583</v>
      </c>
      <c r="I349" s="8">
        <f t="shared" si="21"/>
        <v>177482500</v>
      </c>
      <c r="J349" s="8">
        <f t="shared" si="22"/>
        <v>28095479.75</v>
      </c>
      <c r="K349" t="str">
        <f t="shared" si="23"/>
        <v>MATCHED</v>
      </c>
    </row>
    <row r="350" spans="1:11">
      <c r="A350" t="s">
        <v>100</v>
      </c>
      <c r="B350" t="s">
        <v>521</v>
      </c>
      <c r="C350" t="s">
        <v>778</v>
      </c>
      <c r="D350" t="s">
        <v>779</v>
      </c>
      <c r="E350" s="8">
        <v>1550</v>
      </c>
      <c r="F350" s="8">
        <v>62220</v>
      </c>
      <c r="G350" s="8">
        <f t="shared" si="20"/>
        <v>96441000</v>
      </c>
      <c r="H350" s="5">
        <v>0.1</v>
      </c>
      <c r="I350" s="8">
        <f t="shared" si="21"/>
        <v>96441000</v>
      </c>
      <c r="J350" s="8">
        <f t="shared" si="22"/>
        <v>9644100</v>
      </c>
      <c r="K350" t="str">
        <f t="shared" si="23"/>
        <v>MATCHED</v>
      </c>
    </row>
    <row r="351" spans="1:11">
      <c r="A351" t="s">
        <v>100</v>
      </c>
      <c r="B351" t="s">
        <v>521</v>
      </c>
      <c r="C351" t="s">
        <v>469</v>
      </c>
      <c r="D351" t="s">
        <v>470</v>
      </c>
      <c r="E351" s="8">
        <v>840</v>
      </c>
      <c r="F351" s="8">
        <v>74950</v>
      </c>
      <c r="G351" s="8">
        <f t="shared" si="20"/>
        <v>62958000</v>
      </c>
      <c r="H351" s="5">
        <v>0.0452</v>
      </c>
      <c r="I351" s="8">
        <f t="shared" si="21"/>
        <v>62958000</v>
      </c>
      <c r="J351" s="8">
        <f t="shared" si="22"/>
        <v>2845701.6</v>
      </c>
      <c r="K351" t="str">
        <f t="shared" si="23"/>
        <v>MATCHED</v>
      </c>
    </row>
    <row r="352" spans="1:11">
      <c r="A352" t="s">
        <v>100</v>
      </c>
      <c r="B352" t="s">
        <v>521</v>
      </c>
      <c r="C352" t="s">
        <v>471</v>
      </c>
      <c r="D352" t="s">
        <v>472</v>
      </c>
      <c r="E352" s="8">
        <v>3310</v>
      </c>
      <c r="F352" s="8">
        <v>62430</v>
      </c>
      <c r="G352" s="8">
        <f t="shared" si="20"/>
        <v>206643300</v>
      </c>
      <c r="H352" s="5">
        <v>0.0864</v>
      </c>
      <c r="I352" s="8">
        <f t="shared" si="21"/>
        <v>206643300</v>
      </c>
      <c r="J352" s="8">
        <f t="shared" si="22"/>
        <v>17853981.12</v>
      </c>
      <c r="K352" t="str">
        <f t="shared" si="23"/>
        <v>MATCHED</v>
      </c>
    </row>
    <row r="353" spans="1:11">
      <c r="A353" t="s">
        <v>100</v>
      </c>
      <c r="B353" t="s">
        <v>521</v>
      </c>
      <c r="C353" t="s">
        <v>473</v>
      </c>
      <c r="D353" t="s">
        <v>474</v>
      </c>
      <c r="E353" s="8">
        <v>930</v>
      </c>
      <c r="F353" s="8">
        <v>57470</v>
      </c>
      <c r="G353" s="8">
        <f t="shared" si="20"/>
        <v>53447100</v>
      </c>
      <c r="H353" s="5">
        <v>0.1026</v>
      </c>
      <c r="I353" s="8">
        <f t="shared" si="21"/>
        <v>53447100</v>
      </c>
      <c r="J353" s="8">
        <f t="shared" si="22"/>
        <v>5483672.46</v>
      </c>
      <c r="K353" t="str">
        <f t="shared" si="23"/>
        <v>MATCHED</v>
      </c>
    </row>
    <row r="354" spans="1:11">
      <c r="A354" t="s">
        <v>100</v>
      </c>
      <c r="B354" t="s">
        <v>521</v>
      </c>
      <c r="C354" t="s">
        <v>477</v>
      </c>
      <c r="D354" t="s">
        <v>478</v>
      </c>
      <c r="E354" s="8">
        <v>170</v>
      </c>
      <c r="F354" s="8">
        <v>43810</v>
      </c>
      <c r="G354" s="8">
        <f t="shared" si="20"/>
        <v>7447700</v>
      </c>
      <c r="H354" s="5">
        <v>0.0339</v>
      </c>
      <c r="I354" s="8">
        <f t="shared" si="21"/>
        <v>7447700</v>
      </c>
      <c r="J354" s="8">
        <f t="shared" si="22"/>
        <v>252477.03</v>
      </c>
      <c r="K354" t="str">
        <f t="shared" si="23"/>
        <v>MATCHED</v>
      </c>
    </row>
    <row r="355" spans="1:11">
      <c r="A355" t="s">
        <v>100</v>
      </c>
      <c r="B355" t="s">
        <v>521</v>
      </c>
      <c r="C355" t="s">
        <v>780</v>
      </c>
      <c r="D355" t="s">
        <v>781</v>
      </c>
      <c r="E355" s="8">
        <v>470</v>
      </c>
      <c r="F355" s="8">
        <v>63820</v>
      </c>
      <c r="G355" s="8">
        <f t="shared" si="20"/>
        <v>29995400</v>
      </c>
      <c r="H355" s="5">
        <v>0.1056</v>
      </c>
      <c r="I355" s="8">
        <f t="shared" si="21"/>
        <v>29995400</v>
      </c>
      <c r="J355" s="8">
        <f t="shared" si="22"/>
        <v>3167514.24</v>
      </c>
      <c r="K355" t="str">
        <f t="shared" si="23"/>
        <v>MATCHED</v>
      </c>
    </row>
    <row r="356" spans="1:11">
      <c r="A356" t="s">
        <v>100</v>
      </c>
      <c r="B356" t="s">
        <v>521</v>
      </c>
      <c r="C356" t="s">
        <v>481</v>
      </c>
      <c r="D356" t="s">
        <v>482</v>
      </c>
      <c r="E356" s="8">
        <v>4800</v>
      </c>
      <c r="F356" s="8">
        <v>60540</v>
      </c>
      <c r="G356" s="8">
        <f t="shared" si="20"/>
        <v>290592000</v>
      </c>
      <c r="H356" s="5">
        <v>0.2969</v>
      </c>
      <c r="I356" s="8">
        <f t="shared" si="21"/>
        <v>290592000</v>
      </c>
      <c r="J356" s="8">
        <f t="shared" si="22"/>
        <v>86276764.8</v>
      </c>
      <c r="K356" t="str">
        <f t="shared" si="23"/>
        <v>MATCHED</v>
      </c>
    </row>
    <row r="357" spans="1:11">
      <c r="A357" t="s">
        <v>100</v>
      </c>
      <c r="B357" t="s">
        <v>521</v>
      </c>
      <c r="C357" t="s">
        <v>483</v>
      </c>
      <c r="D357" t="s">
        <v>484</v>
      </c>
      <c r="E357" s="8">
        <v>490</v>
      </c>
      <c r="F357" s="8">
        <v>54460</v>
      </c>
      <c r="G357" s="8">
        <f t="shared" si="20"/>
        <v>26685400</v>
      </c>
      <c r="H357" s="5">
        <v>0.0475</v>
      </c>
      <c r="I357" s="8">
        <f t="shared" si="21"/>
        <v>26685400</v>
      </c>
      <c r="J357" s="8">
        <f t="shared" si="22"/>
        <v>1267556.5</v>
      </c>
      <c r="K357" t="str">
        <f t="shared" si="23"/>
        <v>MATCHED</v>
      </c>
    </row>
    <row r="358" spans="1:11">
      <c r="A358" t="s">
        <v>100</v>
      </c>
      <c r="B358" t="s">
        <v>521</v>
      </c>
      <c r="C358" t="s">
        <v>782</v>
      </c>
      <c r="D358" t="s">
        <v>783</v>
      </c>
      <c r="E358" s="8">
        <v>210</v>
      </c>
      <c r="F358" s="8">
        <v>47990</v>
      </c>
      <c r="G358" s="8">
        <f t="shared" si="20"/>
        <v>10077900</v>
      </c>
      <c r="H358" s="5">
        <v>0.0317</v>
      </c>
      <c r="I358" s="8">
        <f t="shared" si="21"/>
        <v>10077900</v>
      </c>
      <c r="J358" s="8">
        <f t="shared" si="22"/>
        <v>319469.43</v>
      </c>
      <c r="K358" t="str">
        <f t="shared" si="23"/>
        <v>MATCHED</v>
      </c>
    </row>
    <row r="359" spans="1:11">
      <c r="A359" t="s">
        <v>100</v>
      </c>
      <c r="B359" t="s">
        <v>521</v>
      </c>
      <c r="C359" t="s">
        <v>784</v>
      </c>
      <c r="D359" t="s">
        <v>785</v>
      </c>
      <c r="E359" s="8">
        <v>420</v>
      </c>
      <c r="F359" s="8">
        <v>81360</v>
      </c>
      <c r="G359" s="8">
        <f t="shared" si="20"/>
        <v>34171200</v>
      </c>
      <c r="H359" s="5">
        <v>0.2111</v>
      </c>
      <c r="I359" s="8">
        <f t="shared" si="21"/>
        <v>34171200</v>
      </c>
      <c r="J359" s="8">
        <f t="shared" si="22"/>
        <v>7213540.32</v>
      </c>
      <c r="K359" t="str">
        <f t="shared" si="23"/>
        <v>MATCHED</v>
      </c>
    </row>
    <row r="360" spans="1:11">
      <c r="A360" t="s">
        <v>100</v>
      </c>
      <c r="B360" t="s">
        <v>521</v>
      </c>
      <c r="C360" t="s">
        <v>485</v>
      </c>
      <c r="D360" t="s">
        <v>486</v>
      </c>
      <c r="E360" s="8">
        <v>300</v>
      </c>
      <c r="F360" s="8">
        <v>59230</v>
      </c>
      <c r="G360" s="8">
        <f t="shared" si="20"/>
        <v>17769000</v>
      </c>
      <c r="H360" s="5">
        <v>0.0864</v>
      </c>
      <c r="I360" s="8">
        <f t="shared" si="21"/>
        <v>17769000</v>
      </c>
      <c r="J360" s="8">
        <f t="shared" si="22"/>
        <v>1535241.6</v>
      </c>
      <c r="K360" t="str">
        <f t="shared" si="23"/>
        <v>MATCHED</v>
      </c>
    </row>
    <row r="361" spans="1:11">
      <c r="A361" t="s">
        <v>100</v>
      </c>
      <c r="B361" t="s">
        <v>521</v>
      </c>
      <c r="C361" t="s">
        <v>786</v>
      </c>
      <c r="D361" t="s">
        <v>787</v>
      </c>
      <c r="E361" s="8">
        <v>100</v>
      </c>
      <c r="F361" s="8">
        <v>56890</v>
      </c>
      <c r="G361" s="8">
        <f t="shared" si="20"/>
        <v>5689000</v>
      </c>
      <c r="H361" s="5">
        <v>0.0125</v>
      </c>
      <c r="I361" s="8">
        <f t="shared" si="21"/>
        <v>5689000</v>
      </c>
      <c r="J361" s="8">
        <f t="shared" si="22"/>
        <v>71112.5</v>
      </c>
      <c r="K361" t="str">
        <f t="shared" si="23"/>
        <v>MATCHED</v>
      </c>
    </row>
    <row r="362" spans="1:11">
      <c r="A362" t="s">
        <v>100</v>
      </c>
      <c r="B362" t="s">
        <v>521</v>
      </c>
      <c r="C362" t="s">
        <v>489</v>
      </c>
      <c r="D362" t="s">
        <v>490</v>
      </c>
      <c r="E362" s="8">
        <v>1110</v>
      </c>
      <c r="F362" s="8">
        <v>41810</v>
      </c>
      <c r="G362" s="8">
        <f t="shared" si="20"/>
        <v>46409100</v>
      </c>
      <c r="H362" s="5">
        <v>0.0838</v>
      </c>
      <c r="I362" s="8">
        <f t="shared" si="21"/>
        <v>46409100</v>
      </c>
      <c r="J362" s="8">
        <f t="shared" si="22"/>
        <v>3889082.58</v>
      </c>
      <c r="K362" t="str">
        <f t="shared" si="23"/>
        <v>MATCHED</v>
      </c>
    </row>
    <row r="363" spans="1:11">
      <c r="A363" t="s">
        <v>100</v>
      </c>
      <c r="B363" t="s">
        <v>521</v>
      </c>
      <c r="C363" t="s">
        <v>491</v>
      </c>
      <c r="D363" t="s">
        <v>492</v>
      </c>
      <c r="E363" s="8">
        <v>990</v>
      </c>
      <c r="F363" s="8">
        <v>56750</v>
      </c>
      <c r="G363" s="8">
        <f t="shared" si="20"/>
        <v>56182500</v>
      </c>
      <c r="H363" s="5"/>
      <c r="I363" s="8" t="str">
        <f t="shared" si="21"/>
        <v/>
      </c>
      <c r="J363" s="8" t="str">
        <f t="shared" si="22"/>
        <v/>
      </c>
      <c r="K363" t="str">
        <f t="shared" si="23"/>
        <v>MISSING WHARTON</v>
      </c>
    </row>
    <row r="364" spans="1:11">
      <c r="A364" t="s">
        <v>100</v>
      </c>
      <c r="B364" t="s">
        <v>521</v>
      </c>
      <c r="C364" t="s">
        <v>493</v>
      </c>
      <c r="D364" t="s">
        <v>494</v>
      </c>
      <c r="E364" s="8">
        <v>3870</v>
      </c>
      <c r="F364" s="8">
        <v>88770</v>
      </c>
      <c r="G364" s="8">
        <f t="shared" si="20"/>
        <v>343539900</v>
      </c>
      <c r="H364" s="5">
        <v>0.3429</v>
      </c>
      <c r="I364" s="8">
        <f t="shared" si="21"/>
        <v>343539900</v>
      </c>
      <c r="J364" s="8">
        <f t="shared" si="22"/>
        <v>117799831.71</v>
      </c>
      <c r="K364" t="str">
        <f t="shared" si="23"/>
        <v>MATCHED</v>
      </c>
    </row>
    <row r="365" spans="1:11">
      <c r="A365" t="s">
        <v>100</v>
      </c>
      <c r="B365" t="s">
        <v>521</v>
      </c>
      <c r="C365" t="s">
        <v>495</v>
      </c>
      <c r="D365" t="s">
        <v>496</v>
      </c>
      <c r="E365" s="8">
        <v>200</v>
      </c>
      <c r="F365" s="8">
        <v>163400</v>
      </c>
      <c r="G365" s="8">
        <f t="shared" si="20"/>
        <v>32680000</v>
      </c>
      <c r="H365" s="5">
        <v>0.3558</v>
      </c>
      <c r="I365" s="8">
        <f t="shared" si="21"/>
        <v>32680000</v>
      </c>
      <c r="J365" s="8">
        <f t="shared" si="22"/>
        <v>11627544</v>
      </c>
      <c r="K365" t="str">
        <f t="shared" si="23"/>
        <v>MATCHED</v>
      </c>
    </row>
    <row r="366" spans="1:11">
      <c r="A366" t="s">
        <v>100</v>
      </c>
      <c r="B366" t="s">
        <v>521</v>
      </c>
      <c r="C366" t="s">
        <v>497</v>
      </c>
      <c r="D366" t="s">
        <v>498</v>
      </c>
      <c r="E366" s="8"/>
      <c r="F366" s="8">
        <v>44640</v>
      </c>
      <c r="G366" s="8" t="str">
        <f t="shared" si="20"/>
        <v/>
      </c>
      <c r="H366" s="5">
        <v>0.3167</v>
      </c>
      <c r="I366" s="8" t="str">
        <f t="shared" si="21"/>
        <v/>
      </c>
      <c r="J366" s="8" t="str">
        <f t="shared" si="22"/>
        <v/>
      </c>
      <c r="K366" t="str">
        <f t="shared" si="23"/>
        <v>MISSING OEWS</v>
      </c>
    </row>
    <row r="367" spans="1:11">
      <c r="A367" t="s">
        <v>100</v>
      </c>
      <c r="B367" t="s">
        <v>521</v>
      </c>
      <c r="C367" t="s">
        <v>499</v>
      </c>
      <c r="D367" t="s">
        <v>500</v>
      </c>
      <c r="E367" s="8">
        <v>31590</v>
      </c>
      <c r="F367" s="8">
        <v>58140</v>
      </c>
      <c r="G367" s="8">
        <f t="shared" si="20"/>
        <v>1836642600</v>
      </c>
      <c r="H367" s="5">
        <v>0.2065</v>
      </c>
      <c r="I367" s="8">
        <f t="shared" si="21"/>
        <v>1836642600</v>
      </c>
      <c r="J367" s="8">
        <f t="shared" si="22"/>
        <v>379266696.9</v>
      </c>
      <c r="K367" t="str">
        <f t="shared" si="23"/>
        <v>MATCHED</v>
      </c>
    </row>
    <row r="368" spans="1:11">
      <c r="A368" t="s">
        <v>100</v>
      </c>
      <c r="B368" t="s">
        <v>521</v>
      </c>
      <c r="C368" t="s">
        <v>501</v>
      </c>
      <c r="D368" t="s">
        <v>502</v>
      </c>
      <c r="E368" s="8">
        <v>690</v>
      </c>
      <c r="F368" s="8">
        <v>50680</v>
      </c>
      <c r="G368" s="8">
        <f t="shared" si="20"/>
        <v>34969200</v>
      </c>
      <c r="H368" s="5">
        <v>0.3393</v>
      </c>
      <c r="I368" s="8">
        <f t="shared" si="21"/>
        <v>34969200</v>
      </c>
      <c r="J368" s="8">
        <f t="shared" si="22"/>
        <v>11865049.56</v>
      </c>
      <c r="K368" t="str">
        <f t="shared" si="23"/>
        <v>MATCHED</v>
      </c>
    </row>
    <row r="369" spans="1:11">
      <c r="A369" t="s">
        <v>100</v>
      </c>
      <c r="B369" t="s">
        <v>521</v>
      </c>
      <c r="C369" t="s">
        <v>503</v>
      </c>
      <c r="D369" t="s">
        <v>504</v>
      </c>
      <c r="E369" s="8"/>
      <c r="F369" s="8">
        <v>55360</v>
      </c>
      <c r="G369" s="8" t="str">
        <f t="shared" si="20"/>
        <v/>
      </c>
      <c r="H369" s="5">
        <v>0.3288</v>
      </c>
      <c r="I369" s="8" t="str">
        <f t="shared" si="21"/>
        <v/>
      </c>
      <c r="J369" s="8" t="str">
        <f t="shared" si="22"/>
        <v/>
      </c>
      <c r="K369" t="str">
        <f t="shared" si="23"/>
        <v>MISSING OEWS</v>
      </c>
    </row>
    <row r="370" spans="1:11">
      <c r="A370" t="s">
        <v>100</v>
      </c>
      <c r="B370" t="s">
        <v>521</v>
      </c>
      <c r="C370" t="s">
        <v>788</v>
      </c>
      <c r="D370" t="s">
        <v>789</v>
      </c>
      <c r="E370" s="8">
        <v>30</v>
      </c>
      <c r="F370" s="8">
        <v>54130</v>
      </c>
      <c r="G370" s="8">
        <f t="shared" si="20"/>
        <v>1623900</v>
      </c>
      <c r="H370" s="5">
        <v>0.19</v>
      </c>
      <c r="I370" s="8">
        <f t="shared" si="21"/>
        <v>1623900</v>
      </c>
      <c r="J370" s="8">
        <f t="shared" si="22"/>
        <v>308541</v>
      </c>
      <c r="K370" t="str">
        <f t="shared" si="23"/>
        <v>MATCHED</v>
      </c>
    </row>
    <row r="371" spans="1:11">
      <c r="A371" t="s">
        <v>100</v>
      </c>
      <c r="B371" t="s">
        <v>521</v>
      </c>
      <c r="C371" t="s">
        <v>790</v>
      </c>
      <c r="D371" t="s">
        <v>791</v>
      </c>
      <c r="E371" s="8">
        <v>40</v>
      </c>
      <c r="F371" s="8">
        <v>67510</v>
      </c>
      <c r="G371" s="8">
        <f t="shared" si="20"/>
        <v>2700400</v>
      </c>
      <c r="H371" s="5">
        <v>0.152</v>
      </c>
      <c r="I371" s="8">
        <f t="shared" si="21"/>
        <v>2700400</v>
      </c>
      <c r="J371" s="8">
        <f t="shared" si="22"/>
        <v>410460.8</v>
      </c>
      <c r="K371" t="str">
        <f t="shared" si="23"/>
        <v>MATCHED</v>
      </c>
    </row>
    <row r="372" spans="1:11">
      <c r="A372" t="s">
        <v>100</v>
      </c>
      <c r="B372" t="s">
        <v>521</v>
      </c>
      <c r="C372" t="s">
        <v>792</v>
      </c>
      <c r="D372" t="s">
        <v>793</v>
      </c>
      <c r="E372" s="8">
        <v>80</v>
      </c>
      <c r="F372" s="8">
        <v>80510</v>
      </c>
      <c r="G372" s="8">
        <f t="shared" si="20"/>
        <v>6440800</v>
      </c>
      <c r="H372" s="5">
        <v>0.3977</v>
      </c>
      <c r="I372" s="8">
        <f t="shared" si="21"/>
        <v>6440800</v>
      </c>
      <c r="J372" s="8">
        <f t="shared" si="22"/>
        <v>2561506.16</v>
      </c>
      <c r="K372" t="str">
        <f t="shared" si="23"/>
        <v>MATCHED</v>
      </c>
    </row>
    <row r="373" spans="1:11">
      <c r="A373" t="s">
        <v>100</v>
      </c>
      <c r="B373" t="s">
        <v>521</v>
      </c>
      <c r="C373" t="s">
        <v>794</v>
      </c>
      <c r="D373" t="s">
        <v>795</v>
      </c>
      <c r="E373" s="8">
        <v>90</v>
      </c>
      <c r="F373" s="8">
        <v>53110</v>
      </c>
      <c r="G373" s="8">
        <f t="shared" si="20"/>
        <v>4779900</v>
      </c>
      <c r="H373" s="5"/>
      <c r="I373" s="8" t="str">
        <f t="shared" si="21"/>
        <v/>
      </c>
      <c r="J373" s="8" t="str">
        <f t="shared" si="22"/>
        <v/>
      </c>
      <c r="K373" t="str">
        <f t="shared" si="23"/>
        <v>MISSING WHARTON</v>
      </c>
    </row>
    <row r="374" spans="1:11">
      <c r="A374" t="s">
        <v>100</v>
      </c>
      <c r="B374" t="s">
        <v>521</v>
      </c>
      <c r="C374" t="s">
        <v>796</v>
      </c>
      <c r="D374" t="s">
        <v>797</v>
      </c>
      <c r="E374" s="8">
        <v>430</v>
      </c>
      <c r="F374" s="8">
        <v>68510</v>
      </c>
      <c r="G374" s="8">
        <f t="shared" si="20"/>
        <v>29459300</v>
      </c>
      <c r="H374" s="5">
        <v>0.1018</v>
      </c>
      <c r="I374" s="8">
        <f t="shared" si="21"/>
        <v>29459300</v>
      </c>
      <c r="J374" s="8">
        <f t="shared" si="22"/>
        <v>2998956.74</v>
      </c>
      <c r="K374" t="str">
        <f t="shared" si="23"/>
        <v>MATCHED</v>
      </c>
    </row>
    <row r="375" spans="1:11">
      <c r="A375" t="s">
        <v>100</v>
      </c>
      <c r="B375" t="s">
        <v>521</v>
      </c>
      <c r="C375" t="s">
        <v>798</v>
      </c>
      <c r="D375" t="s">
        <v>799</v>
      </c>
      <c r="E375" s="8">
        <v>570</v>
      </c>
      <c r="F375" s="8">
        <v>135130</v>
      </c>
      <c r="G375" s="8">
        <f t="shared" si="20"/>
        <v>77024100</v>
      </c>
      <c r="H375" s="5">
        <v>0.095</v>
      </c>
      <c r="I375" s="8">
        <f t="shared" si="21"/>
        <v>77024100</v>
      </c>
      <c r="J375" s="8">
        <f t="shared" si="22"/>
        <v>7317289.5</v>
      </c>
      <c r="K375" t="str">
        <f t="shared" si="23"/>
        <v>MATCHED</v>
      </c>
    </row>
    <row r="376" spans="1:11">
      <c r="A376" t="s">
        <v>100</v>
      </c>
      <c r="B376" t="s">
        <v>521</v>
      </c>
      <c r="C376" t="s">
        <v>800</v>
      </c>
      <c r="D376" t="s">
        <v>801</v>
      </c>
      <c r="E376" s="8">
        <v>190</v>
      </c>
      <c r="F376" s="8">
        <v>144970</v>
      </c>
      <c r="G376" s="8">
        <f t="shared" si="20"/>
        <v>27544300</v>
      </c>
      <c r="H376" s="5">
        <v>0.0971</v>
      </c>
      <c r="I376" s="8">
        <f t="shared" si="21"/>
        <v>27544300</v>
      </c>
      <c r="J376" s="8">
        <f t="shared" si="22"/>
        <v>2674551.53</v>
      </c>
      <c r="K376" t="str">
        <f t="shared" si="23"/>
        <v>MATCHED</v>
      </c>
    </row>
    <row r="377" spans="1:11">
      <c r="A377" t="s">
        <v>100</v>
      </c>
      <c r="B377" t="s">
        <v>521</v>
      </c>
      <c r="C377" t="s">
        <v>802</v>
      </c>
      <c r="D377" t="s">
        <v>803</v>
      </c>
      <c r="E377" s="8">
        <v>1290</v>
      </c>
      <c r="F377" s="8">
        <v>65950</v>
      </c>
      <c r="G377" s="8">
        <f t="shared" si="20"/>
        <v>85075500</v>
      </c>
      <c r="H377" s="5">
        <v>0.1261</v>
      </c>
      <c r="I377" s="8">
        <f t="shared" si="21"/>
        <v>85075500</v>
      </c>
      <c r="J377" s="8">
        <f t="shared" si="22"/>
        <v>10728020.55</v>
      </c>
      <c r="K377" t="str">
        <f t="shared" si="23"/>
        <v>MATCHED</v>
      </c>
    </row>
    <row r="378" spans="1:11">
      <c r="A378" t="s">
        <v>100</v>
      </c>
      <c r="B378" t="s">
        <v>521</v>
      </c>
      <c r="C378" t="s">
        <v>804</v>
      </c>
      <c r="D378" t="s">
        <v>805</v>
      </c>
      <c r="E378" s="8">
        <v>1130</v>
      </c>
      <c r="F378" s="8">
        <v>74660</v>
      </c>
      <c r="G378" s="8">
        <f t="shared" si="20"/>
        <v>84365800</v>
      </c>
      <c r="H378" s="5">
        <v>0.0864</v>
      </c>
      <c r="I378" s="8">
        <f t="shared" si="21"/>
        <v>84365800</v>
      </c>
      <c r="J378" s="8">
        <f t="shared" si="22"/>
        <v>7289205.12</v>
      </c>
      <c r="K378" t="str">
        <f t="shared" si="23"/>
        <v>MATCHED</v>
      </c>
    </row>
    <row r="379" spans="1:11">
      <c r="A379" t="s">
        <v>100</v>
      </c>
      <c r="B379" t="s">
        <v>521</v>
      </c>
      <c r="C379" t="s">
        <v>806</v>
      </c>
      <c r="D379" t="s">
        <v>807</v>
      </c>
      <c r="E379" s="8">
        <v>280</v>
      </c>
      <c r="F379" s="8">
        <v>56240</v>
      </c>
      <c r="G379" s="8">
        <f t="shared" si="20"/>
        <v>15747200</v>
      </c>
      <c r="H379" s="5">
        <v>0</v>
      </c>
      <c r="I379" s="8">
        <f t="shared" si="21"/>
        <v>15747200</v>
      </c>
      <c r="J379" s="8">
        <f t="shared" si="22"/>
        <v>0</v>
      </c>
      <c r="K379" t="str">
        <f t="shared" si="23"/>
        <v>MATCHED</v>
      </c>
    </row>
    <row r="380" spans="1:11">
      <c r="A380" t="s">
        <v>100</v>
      </c>
      <c r="B380" t="s">
        <v>521</v>
      </c>
      <c r="C380" t="s">
        <v>505</v>
      </c>
      <c r="D380" t="s">
        <v>506</v>
      </c>
      <c r="E380" s="8">
        <v>120</v>
      </c>
      <c r="F380" s="8">
        <v>74510</v>
      </c>
      <c r="G380" s="8">
        <f t="shared" si="20"/>
        <v>8941200</v>
      </c>
      <c r="H380" s="5">
        <v>0</v>
      </c>
      <c r="I380" s="8">
        <f t="shared" si="21"/>
        <v>8941200</v>
      </c>
      <c r="J380" s="8">
        <f t="shared" si="22"/>
        <v>0</v>
      </c>
      <c r="K380" t="str">
        <f t="shared" si="23"/>
        <v>MATCHED</v>
      </c>
    </row>
    <row r="381" spans="1:11">
      <c r="A381" t="s">
        <v>100</v>
      </c>
      <c r="B381" t="s">
        <v>521</v>
      </c>
      <c r="C381" t="s">
        <v>507</v>
      </c>
      <c r="D381" t="s">
        <v>508</v>
      </c>
      <c r="E381" s="8">
        <v>2340</v>
      </c>
      <c r="F381" s="8">
        <v>55050</v>
      </c>
      <c r="G381" s="8">
        <f t="shared" si="20"/>
        <v>128817000</v>
      </c>
      <c r="H381" s="5">
        <v>0</v>
      </c>
      <c r="I381" s="8">
        <f t="shared" si="21"/>
        <v>128817000</v>
      </c>
      <c r="J381" s="8">
        <f t="shared" si="22"/>
        <v>0</v>
      </c>
      <c r="K381" t="str">
        <f t="shared" si="23"/>
        <v>MATCHED</v>
      </c>
    </row>
    <row r="382" spans="1:11">
      <c r="A382" t="s">
        <v>100</v>
      </c>
      <c r="B382" t="s">
        <v>521</v>
      </c>
      <c r="C382" t="s">
        <v>509</v>
      </c>
      <c r="D382" t="s">
        <v>510</v>
      </c>
      <c r="E382" s="8">
        <v>730</v>
      </c>
      <c r="F382" s="8">
        <v>45990</v>
      </c>
      <c r="G382" s="8">
        <f t="shared" si="20"/>
        <v>33572700</v>
      </c>
      <c r="H382" s="5">
        <v>0.0452</v>
      </c>
      <c r="I382" s="8">
        <f t="shared" si="21"/>
        <v>33572700</v>
      </c>
      <c r="J382" s="8">
        <f t="shared" si="22"/>
        <v>1517486.04</v>
      </c>
      <c r="K382" t="str">
        <f t="shared" si="23"/>
        <v>MATCHED</v>
      </c>
    </row>
    <row r="383" spans="1:11">
      <c r="A383" t="s">
        <v>100</v>
      </c>
      <c r="B383" t="s">
        <v>521</v>
      </c>
      <c r="C383" t="s">
        <v>511</v>
      </c>
      <c r="D383" t="s">
        <v>512</v>
      </c>
      <c r="E383" s="8">
        <v>7770</v>
      </c>
      <c r="F383" s="8">
        <v>47210</v>
      </c>
      <c r="G383" s="8">
        <f t="shared" si="20"/>
        <v>366821700</v>
      </c>
      <c r="H383" s="5">
        <v>0.049</v>
      </c>
      <c r="I383" s="8">
        <f t="shared" si="21"/>
        <v>366821700</v>
      </c>
      <c r="J383" s="8">
        <f t="shared" si="22"/>
        <v>17974263.3</v>
      </c>
      <c r="K383" t="str">
        <f t="shared" si="23"/>
        <v>MATCHED</v>
      </c>
    </row>
    <row r="384" spans="1:11">
      <c r="A384" t="s">
        <v>100</v>
      </c>
      <c r="B384" t="s">
        <v>521</v>
      </c>
      <c r="C384" t="s">
        <v>513</v>
      </c>
      <c r="D384" t="s">
        <v>514</v>
      </c>
      <c r="E384" s="8">
        <v>220</v>
      </c>
      <c r="F384" s="8">
        <v>46740</v>
      </c>
      <c r="G384" s="8">
        <f t="shared" si="20"/>
        <v>10282800</v>
      </c>
      <c r="H384" s="5">
        <v>0.0731</v>
      </c>
      <c r="I384" s="8">
        <f t="shared" si="21"/>
        <v>10282800</v>
      </c>
      <c r="J384" s="8">
        <f t="shared" si="22"/>
        <v>751672.68</v>
      </c>
      <c r="K384" t="str">
        <f t="shared" si="23"/>
        <v>MATCHED</v>
      </c>
    </row>
    <row r="385" spans="1:11">
      <c r="A385" t="s">
        <v>100</v>
      </c>
      <c r="B385" t="s">
        <v>521</v>
      </c>
      <c r="C385" t="s">
        <v>515</v>
      </c>
      <c r="D385" t="s">
        <v>516</v>
      </c>
      <c r="E385" s="8">
        <v>220</v>
      </c>
      <c r="F385" s="8">
        <v>46320</v>
      </c>
      <c r="G385" s="8">
        <f t="shared" si="20"/>
        <v>10190400</v>
      </c>
      <c r="H385" s="5">
        <v>0.0792</v>
      </c>
      <c r="I385" s="8">
        <f t="shared" si="21"/>
        <v>10190400</v>
      </c>
      <c r="J385" s="8">
        <f t="shared" si="22"/>
        <v>807079.68</v>
      </c>
      <c r="K385" t="str">
        <f t="shared" si="23"/>
        <v>MATCHED</v>
      </c>
    </row>
    <row r="386" spans="1:11">
      <c r="A386" t="s">
        <v>100</v>
      </c>
      <c r="B386" t="s">
        <v>521</v>
      </c>
      <c r="C386" t="s">
        <v>517</v>
      </c>
      <c r="D386" t="s">
        <v>518</v>
      </c>
      <c r="E386" s="8">
        <v>840</v>
      </c>
      <c r="F386" s="8">
        <v>55030</v>
      </c>
      <c r="G386" s="8">
        <f t="shared" ref="G386:G449" si="24">IF(OR(E386="",F386=""),"",E386*F386)</f>
        <v>46225200</v>
      </c>
      <c r="H386" s="5">
        <v>0.2233</v>
      </c>
      <c r="I386" s="8">
        <f t="shared" ref="I386:I449" si="25">IF(G386="","",IF(ISNUMBER(H386),G386,""))</f>
        <v>46225200</v>
      </c>
      <c r="J386" s="8">
        <f t="shared" ref="J386:J449" si="26">IF(I386="","",I386*H386)</f>
        <v>10322087.16</v>
      </c>
      <c r="K386" t="str">
        <f t="shared" ref="K386:K449" si="27">IF(G386="","MISSING OEWS",IF(ISNUMBER(H386),"MATCHED","MISSING WHARTON"))</f>
        <v>MATCHED</v>
      </c>
    </row>
    <row r="387" spans="1:11">
      <c r="A387" t="s">
        <v>100</v>
      </c>
      <c r="B387" t="s">
        <v>521</v>
      </c>
      <c r="C387" t="s">
        <v>808</v>
      </c>
      <c r="D387" t="s">
        <v>809</v>
      </c>
      <c r="E387" s="8">
        <v>350</v>
      </c>
      <c r="F387" s="8">
        <v>72980</v>
      </c>
      <c r="G387" s="8">
        <f t="shared" si="24"/>
        <v>25543000</v>
      </c>
      <c r="H387" s="5">
        <v>0.2192</v>
      </c>
      <c r="I387" s="8">
        <f t="shared" si="25"/>
        <v>25543000</v>
      </c>
      <c r="J387" s="8">
        <f t="shared" si="26"/>
        <v>5599025.6</v>
      </c>
      <c r="K387" t="str">
        <f t="shared" si="27"/>
        <v>MATCHED</v>
      </c>
    </row>
    <row r="388" spans="1:11">
      <c r="A388" t="s">
        <v>100</v>
      </c>
      <c r="B388" t="s">
        <v>521</v>
      </c>
      <c r="C388" t="s">
        <v>810</v>
      </c>
      <c r="D388" t="s">
        <v>811</v>
      </c>
      <c r="E388" s="8">
        <v>1980</v>
      </c>
      <c r="F388" s="8">
        <v>64210</v>
      </c>
      <c r="G388" s="8">
        <f t="shared" si="24"/>
        <v>127135800</v>
      </c>
      <c r="H388" s="5">
        <v>0.0679</v>
      </c>
      <c r="I388" s="8">
        <f t="shared" si="25"/>
        <v>127135800</v>
      </c>
      <c r="J388" s="8">
        <f t="shared" si="26"/>
        <v>8632520.82</v>
      </c>
      <c r="K388" t="str">
        <f t="shared" si="27"/>
        <v>MATCHED</v>
      </c>
    </row>
    <row r="389" spans="1:11">
      <c r="A389" t="s">
        <v>100</v>
      </c>
      <c r="B389" t="s">
        <v>521</v>
      </c>
      <c r="C389" t="s">
        <v>812</v>
      </c>
      <c r="D389" t="s">
        <v>813</v>
      </c>
      <c r="E389" s="8">
        <v>17380</v>
      </c>
      <c r="F389" s="8">
        <v>70410</v>
      </c>
      <c r="G389" s="8">
        <f t="shared" si="24"/>
        <v>1223725800</v>
      </c>
      <c r="H389" s="5">
        <v>0</v>
      </c>
      <c r="I389" s="8">
        <f t="shared" si="25"/>
        <v>1223725800</v>
      </c>
      <c r="J389" s="8">
        <f t="shared" si="26"/>
        <v>0</v>
      </c>
      <c r="K389" t="str">
        <f t="shared" si="27"/>
        <v>MATCHED</v>
      </c>
    </row>
    <row r="390" spans="1:11">
      <c r="A390" t="s">
        <v>100</v>
      </c>
      <c r="B390" t="s">
        <v>521</v>
      </c>
      <c r="C390" t="s">
        <v>814</v>
      </c>
      <c r="D390" t="s">
        <v>815</v>
      </c>
      <c r="E390" s="8">
        <v>370</v>
      </c>
      <c r="F390" s="8">
        <v>62660</v>
      </c>
      <c r="G390" s="8">
        <f t="shared" si="24"/>
        <v>23184200</v>
      </c>
      <c r="H390" s="5">
        <v>0.05</v>
      </c>
      <c r="I390" s="8">
        <f t="shared" si="25"/>
        <v>23184200</v>
      </c>
      <c r="J390" s="8">
        <f t="shared" si="26"/>
        <v>1159210</v>
      </c>
      <c r="K390" t="str">
        <f t="shared" si="27"/>
        <v>MATCHED</v>
      </c>
    </row>
    <row r="391" spans="1:11">
      <c r="A391" t="s">
        <v>100</v>
      </c>
      <c r="B391" t="s">
        <v>521</v>
      </c>
      <c r="C391" t="s">
        <v>519</v>
      </c>
      <c r="D391" t="s">
        <v>520</v>
      </c>
      <c r="E391" s="8">
        <v>130</v>
      </c>
      <c r="F391" s="8">
        <v>64420</v>
      </c>
      <c r="G391" s="8">
        <f t="shared" si="24"/>
        <v>8374600</v>
      </c>
      <c r="H391" s="5"/>
      <c r="I391" s="8" t="str">
        <f t="shared" si="25"/>
        <v/>
      </c>
      <c r="J391" s="8" t="str">
        <f t="shared" si="26"/>
        <v/>
      </c>
      <c r="K391" t="str">
        <f t="shared" si="27"/>
        <v>MISSING WHARTON</v>
      </c>
    </row>
    <row r="392" spans="1:11">
      <c r="A392" t="s">
        <v>102</v>
      </c>
      <c r="B392" t="s">
        <v>103</v>
      </c>
      <c r="C392" t="s">
        <v>235</v>
      </c>
      <c r="D392" t="s">
        <v>236</v>
      </c>
      <c r="E392" s="8">
        <v>1290</v>
      </c>
      <c r="F392" s="8">
        <v>279350</v>
      </c>
      <c r="G392" s="8">
        <f t="shared" si="24"/>
        <v>360361500</v>
      </c>
      <c r="H392" s="5">
        <v>0.4775</v>
      </c>
      <c r="I392" s="8">
        <f t="shared" si="25"/>
        <v>360361500</v>
      </c>
      <c r="J392" s="8">
        <f t="shared" si="26"/>
        <v>172072616.25</v>
      </c>
      <c r="K392" t="str">
        <f t="shared" si="27"/>
        <v>MATCHED</v>
      </c>
    </row>
    <row r="393" spans="1:11">
      <c r="A393" t="s">
        <v>102</v>
      </c>
      <c r="B393" t="s">
        <v>103</v>
      </c>
      <c r="C393" t="s">
        <v>237</v>
      </c>
      <c r="D393" t="s">
        <v>238</v>
      </c>
      <c r="E393" s="8">
        <v>16960</v>
      </c>
      <c r="F393" s="8">
        <v>170090</v>
      </c>
      <c r="G393" s="8">
        <f t="shared" si="24"/>
        <v>2884726400</v>
      </c>
      <c r="H393" s="5">
        <v>0.5382</v>
      </c>
      <c r="I393" s="8">
        <f t="shared" si="25"/>
        <v>2884726400</v>
      </c>
      <c r="J393" s="8">
        <f t="shared" si="26"/>
        <v>1552559748.48</v>
      </c>
      <c r="K393" t="str">
        <f t="shared" si="27"/>
        <v>MATCHED</v>
      </c>
    </row>
    <row r="394" spans="1:11">
      <c r="A394" t="s">
        <v>102</v>
      </c>
      <c r="B394" t="s">
        <v>103</v>
      </c>
      <c r="C394" t="s">
        <v>239</v>
      </c>
      <c r="D394" t="s">
        <v>240</v>
      </c>
      <c r="E394" s="8">
        <v>1260</v>
      </c>
      <c r="F394" s="8">
        <v>171270</v>
      </c>
      <c r="G394" s="8">
        <f t="shared" si="24"/>
        <v>215800200</v>
      </c>
      <c r="H394" s="5">
        <v>0.445</v>
      </c>
      <c r="I394" s="8">
        <f t="shared" si="25"/>
        <v>215800200</v>
      </c>
      <c r="J394" s="8">
        <f t="shared" si="26"/>
        <v>96031089</v>
      </c>
      <c r="K394" t="str">
        <f t="shared" si="27"/>
        <v>MATCHED</v>
      </c>
    </row>
    <row r="395" spans="1:11">
      <c r="A395" t="s">
        <v>102</v>
      </c>
      <c r="B395" t="s">
        <v>103</v>
      </c>
      <c r="C395" t="s">
        <v>241</v>
      </c>
      <c r="D395" t="s">
        <v>242</v>
      </c>
      <c r="E395" s="8">
        <v>1840</v>
      </c>
      <c r="F395" s="8">
        <v>160010</v>
      </c>
      <c r="G395" s="8">
        <f t="shared" si="24"/>
        <v>294418400</v>
      </c>
      <c r="H395" s="5">
        <v>0.3735</v>
      </c>
      <c r="I395" s="8">
        <f t="shared" si="25"/>
        <v>294418400</v>
      </c>
      <c r="J395" s="8">
        <f t="shared" si="26"/>
        <v>109965272.4</v>
      </c>
      <c r="K395" t="str">
        <f t="shared" si="27"/>
        <v>MATCHED</v>
      </c>
    </row>
    <row r="396" spans="1:11">
      <c r="A396" t="s">
        <v>102</v>
      </c>
      <c r="B396" t="s">
        <v>103</v>
      </c>
      <c r="C396" t="s">
        <v>522</v>
      </c>
      <c r="D396" t="s">
        <v>523</v>
      </c>
      <c r="E396" s="8">
        <v>700</v>
      </c>
      <c r="F396" s="8">
        <v>165940</v>
      </c>
      <c r="G396" s="8">
        <f t="shared" si="24"/>
        <v>116158000</v>
      </c>
      <c r="H396" s="5">
        <v>0.53</v>
      </c>
      <c r="I396" s="8">
        <f t="shared" si="25"/>
        <v>116158000</v>
      </c>
      <c r="J396" s="8">
        <f t="shared" si="26"/>
        <v>61563740</v>
      </c>
      <c r="K396" t="str">
        <f t="shared" si="27"/>
        <v>MATCHED</v>
      </c>
    </row>
    <row r="397" spans="1:11">
      <c r="A397" t="s">
        <v>102</v>
      </c>
      <c r="B397" t="s">
        <v>103</v>
      </c>
      <c r="C397" t="s">
        <v>243</v>
      </c>
      <c r="D397" t="s">
        <v>244</v>
      </c>
      <c r="E397" s="8">
        <v>1850</v>
      </c>
      <c r="F397" s="8">
        <v>155740</v>
      </c>
      <c r="G397" s="8">
        <f t="shared" si="24"/>
        <v>288119000</v>
      </c>
      <c r="H397" s="5">
        <v>0.4444</v>
      </c>
      <c r="I397" s="8">
        <f t="shared" si="25"/>
        <v>288119000</v>
      </c>
      <c r="J397" s="8">
        <f t="shared" si="26"/>
        <v>128040083.6</v>
      </c>
      <c r="K397" t="str">
        <f t="shared" si="27"/>
        <v>MATCHED</v>
      </c>
    </row>
    <row r="398" spans="1:11">
      <c r="A398" t="s">
        <v>102</v>
      </c>
      <c r="B398" t="s">
        <v>103</v>
      </c>
      <c r="C398" t="s">
        <v>245</v>
      </c>
      <c r="D398" t="s">
        <v>246</v>
      </c>
      <c r="E398" s="8">
        <v>1150</v>
      </c>
      <c r="F398" s="8">
        <v>155470</v>
      </c>
      <c r="G398" s="8">
        <f t="shared" si="24"/>
        <v>178790500</v>
      </c>
      <c r="H398" s="5">
        <v>0.2907</v>
      </c>
      <c r="I398" s="8">
        <f t="shared" si="25"/>
        <v>178790500</v>
      </c>
      <c r="J398" s="8">
        <f t="shared" si="26"/>
        <v>51974398.35</v>
      </c>
      <c r="K398" t="str">
        <f t="shared" si="27"/>
        <v>MATCHED</v>
      </c>
    </row>
    <row r="399" spans="1:11">
      <c r="A399" t="s">
        <v>102</v>
      </c>
      <c r="B399" t="s">
        <v>103</v>
      </c>
      <c r="C399" t="s">
        <v>247</v>
      </c>
      <c r="D399" t="s">
        <v>248</v>
      </c>
      <c r="E399" s="8">
        <v>3190</v>
      </c>
      <c r="F399" s="8">
        <v>184840</v>
      </c>
      <c r="G399" s="8">
        <f t="shared" si="24"/>
        <v>589639600</v>
      </c>
      <c r="H399" s="5">
        <v>0.5265</v>
      </c>
      <c r="I399" s="8">
        <f t="shared" si="25"/>
        <v>589639600</v>
      </c>
      <c r="J399" s="8">
        <f t="shared" si="26"/>
        <v>310445249.4</v>
      </c>
      <c r="K399" t="str">
        <f t="shared" si="27"/>
        <v>MATCHED</v>
      </c>
    </row>
    <row r="400" spans="1:11">
      <c r="A400" t="s">
        <v>102</v>
      </c>
      <c r="B400" t="s">
        <v>103</v>
      </c>
      <c r="C400" t="s">
        <v>249</v>
      </c>
      <c r="D400" t="s">
        <v>250</v>
      </c>
      <c r="E400" s="8">
        <v>4500</v>
      </c>
      <c r="F400" s="8">
        <v>194490</v>
      </c>
      <c r="G400" s="8">
        <f t="shared" si="24"/>
        <v>875205000</v>
      </c>
      <c r="H400" s="5">
        <v>0.7221</v>
      </c>
      <c r="I400" s="8">
        <f t="shared" si="25"/>
        <v>875205000</v>
      </c>
      <c r="J400" s="8">
        <f t="shared" si="26"/>
        <v>631985530.5</v>
      </c>
      <c r="K400" t="str">
        <f t="shared" si="27"/>
        <v>MATCHED</v>
      </c>
    </row>
    <row r="401" spans="1:11">
      <c r="A401" t="s">
        <v>102</v>
      </c>
      <c r="B401" t="s">
        <v>103</v>
      </c>
      <c r="C401" t="s">
        <v>251</v>
      </c>
      <c r="D401" t="s">
        <v>252</v>
      </c>
      <c r="E401" s="8">
        <v>3720</v>
      </c>
      <c r="F401" s="8">
        <v>168660</v>
      </c>
      <c r="G401" s="8">
        <f t="shared" si="24"/>
        <v>627415200</v>
      </c>
      <c r="H401" s="5">
        <v>0.3636</v>
      </c>
      <c r="I401" s="8">
        <f t="shared" si="25"/>
        <v>627415200</v>
      </c>
      <c r="J401" s="8">
        <f t="shared" si="26"/>
        <v>228128166.72</v>
      </c>
      <c r="K401" t="str">
        <f t="shared" si="27"/>
        <v>MATCHED</v>
      </c>
    </row>
    <row r="402" spans="1:11">
      <c r="A402" t="s">
        <v>102</v>
      </c>
      <c r="B402" t="s">
        <v>103</v>
      </c>
      <c r="C402" t="s">
        <v>253</v>
      </c>
      <c r="D402" t="s">
        <v>254</v>
      </c>
      <c r="E402" s="8">
        <v>600</v>
      </c>
      <c r="F402" s="8">
        <v>162190</v>
      </c>
      <c r="G402" s="8">
        <f t="shared" si="24"/>
        <v>97314000</v>
      </c>
      <c r="H402" s="5">
        <v>0.6944</v>
      </c>
      <c r="I402" s="8">
        <f t="shared" si="25"/>
        <v>97314000</v>
      </c>
      <c r="J402" s="8">
        <f t="shared" si="26"/>
        <v>67574841.6</v>
      </c>
      <c r="K402" t="str">
        <f t="shared" si="27"/>
        <v>MATCHED</v>
      </c>
    </row>
    <row r="403" spans="1:11">
      <c r="A403" t="s">
        <v>102</v>
      </c>
      <c r="B403" t="s">
        <v>103</v>
      </c>
      <c r="C403" t="s">
        <v>255</v>
      </c>
      <c r="D403" t="s">
        <v>256</v>
      </c>
      <c r="E403" s="8">
        <v>1550</v>
      </c>
      <c r="F403" s="8">
        <v>153850</v>
      </c>
      <c r="G403" s="8">
        <f t="shared" si="24"/>
        <v>238467500</v>
      </c>
      <c r="H403" s="5">
        <v>0.5783</v>
      </c>
      <c r="I403" s="8">
        <f t="shared" si="25"/>
        <v>238467500</v>
      </c>
      <c r="J403" s="8">
        <f t="shared" si="26"/>
        <v>137905755.25</v>
      </c>
      <c r="K403" t="str">
        <f t="shared" si="27"/>
        <v>MATCHED</v>
      </c>
    </row>
    <row r="404" spans="1:11">
      <c r="A404" t="s">
        <v>102</v>
      </c>
      <c r="B404" t="s">
        <v>103</v>
      </c>
      <c r="C404" t="s">
        <v>524</v>
      </c>
      <c r="D404" t="s">
        <v>525</v>
      </c>
      <c r="E404" s="8">
        <v>120</v>
      </c>
      <c r="F404" s="8">
        <v>162850</v>
      </c>
      <c r="G404" s="8">
        <f t="shared" si="24"/>
        <v>19542000</v>
      </c>
      <c r="H404" s="5">
        <v>0.5771</v>
      </c>
      <c r="I404" s="8">
        <f t="shared" si="25"/>
        <v>19542000</v>
      </c>
      <c r="J404" s="8">
        <f t="shared" si="26"/>
        <v>11277688.2</v>
      </c>
      <c r="K404" t="str">
        <f t="shared" si="27"/>
        <v>MATCHED</v>
      </c>
    </row>
    <row r="405" spans="1:11">
      <c r="A405" t="s">
        <v>102</v>
      </c>
      <c r="B405" t="s">
        <v>103</v>
      </c>
      <c r="C405" t="s">
        <v>257</v>
      </c>
      <c r="D405" t="s">
        <v>258</v>
      </c>
      <c r="E405" s="8">
        <v>1180</v>
      </c>
      <c r="F405" s="8">
        <v>180940</v>
      </c>
      <c r="G405" s="8">
        <f t="shared" si="24"/>
        <v>213509200</v>
      </c>
      <c r="H405" s="5">
        <v>0.5962</v>
      </c>
      <c r="I405" s="8">
        <f t="shared" si="25"/>
        <v>213509200</v>
      </c>
      <c r="J405" s="8">
        <f t="shared" si="26"/>
        <v>127294185.04</v>
      </c>
      <c r="K405" t="str">
        <f t="shared" si="27"/>
        <v>MATCHED</v>
      </c>
    </row>
    <row r="406" spans="1:11">
      <c r="A406" t="s">
        <v>102</v>
      </c>
      <c r="B406" t="s">
        <v>103</v>
      </c>
      <c r="C406" t="s">
        <v>526</v>
      </c>
      <c r="D406" t="s">
        <v>527</v>
      </c>
      <c r="E406" s="8">
        <v>500</v>
      </c>
      <c r="F406" s="8">
        <v>167140</v>
      </c>
      <c r="G406" s="8">
        <f t="shared" si="24"/>
        <v>83570000</v>
      </c>
      <c r="H406" s="5">
        <v>0.6833</v>
      </c>
      <c r="I406" s="8">
        <f t="shared" si="25"/>
        <v>83570000</v>
      </c>
      <c r="J406" s="8">
        <f t="shared" si="26"/>
        <v>57103381</v>
      </c>
      <c r="K406" t="str">
        <f t="shared" si="27"/>
        <v>MATCHED</v>
      </c>
    </row>
    <row r="407" spans="1:11">
      <c r="A407" t="s">
        <v>102</v>
      </c>
      <c r="B407" t="s">
        <v>103</v>
      </c>
      <c r="C407" t="s">
        <v>528</v>
      </c>
      <c r="D407" t="s">
        <v>529</v>
      </c>
      <c r="E407" s="8">
        <v>3880</v>
      </c>
      <c r="F407" s="8">
        <v>145340</v>
      </c>
      <c r="G407" s="8">
        <f t="shared" si="24"/>
        <v>563919200</v>
      </c>
      <c r="H407" s="5">
        <v>0.374</v>
      </c>
      <c r="I407" s="8">
        <f t="shared" si="25"/>
        <v>563919200</v>
      </c>
      <c r="J407" s="8">
        <f t="shared" si="26"/>
        <v>210905780.8</v>
      </c>
      <c r="K407" t="str">
        <f t="shared" si="27"/>
        <v>MATCHED</v>
      </c>
    </row>
    <row r="408" spans="1:11">
      <c r="A408" t="s">
        <v>102</v>
      </c>
      <c r="B408" t="s">
        <v>103</v>
      </c>
      <c r="C408" t="s">
        <v>530</v>
      </c>
      <c r="D408" t="s">
        <v>531</v>
      </c>
      <c r="E408" s="8">
        <v>5090</v>
      </c>
      <c r="F408" s="8">
        <v>179010</v>
      </c>
      <c r="G408" s="8">
        <f t="shared" si="24"/>
        <v>911160900</v>
      </c>
      <c r="H408" s="5">
        <v>0.263</v>
      </c>
      <c r="I408" s="8">
        <f t="shared" si="25"/>
        <v>911160900</v>
      </c>
      <c r="J408" s="8">
        <f t="shared" si="26"/>
        <v>239635316.7</v>
      </c>
      <c r="K408" t="str">
        <f t="shared" si="27"/>
        <v>MATCHED</v>
      </c>
    </row>
    <row r="409" spans="1:11">
      <c r="A409" t="s">
        <v>102</v>
      </c>
      <c r="B409" t="s">
        <v>103</v>
      </c>
      <c r="C409" t="s">
        <v>261</v>
      </c>
      <c r="D409" t="s">
        <v>262</v>
      </c>
      <c r="E409" s="8">
        <v>160</v>
      </c>
      <c r="F409" s="8">
        <v>171290</v>
      </c>
      <c r="G409" s="8">
        <f t="shared" si="24"/>
        <v>27406400</v>
      </c>
      <c r="H409" s="5">
        <v>0.382</v>
      </c>
      <c r="I409" s="8">
        <f t="shared" si="25"/>
        <v>27406400</v>
      </c>
      <c r="J409" s="8">
        <f t="shared" si="26"/>
        <v>10469244.8</v>
      </c>
      <c r="K409" t="str">
        <f t="shared" si="27"/>
        <v>MATCHED</v>
      </c>
    </row>
    <row r="410" spans="1:11">
      <c r="A410" t="s">
        <v>102</v>
      </c>
      <c r="B410" t="s">
        <v>103</v>
      </c>
      <c r="C410" t="s">
        <v>532</v>
      </c>
      <c r="D410" t="s">
        <v>533</v>
      </c>
      <c r="E410" s="8">
        <v>380</v>
      </c>
      <c r="F410" s="8">
        <v>138840</v>
      </c>
      <c r="G410" s="8">
        <f t="shared" si="24"/>
        <v>52759200</v>
      </c>
      <c r="H410" s="5">
        <v>0.3833</v>
      </c>
      <c r="I410" s="8">
        <f t="shared" si="25"/>
        <v>52759200</v>
      </c>
      <c r="J410" s="8">
        <f t="shared" si="26"/>
        <v>20222601.36</v>
      </c>
      <c r="K410" t="str">
        <f t="shared" si="27"/>
        <v>MATCHED</v>
      </c>
    </row>
    <row r="411" spans="1:11">
      <c r="A411" t="s">
        <v>102</v>
      </c>
      <c r="B411" t="s">
        <v>103</v>
      </c>
      <c r="C411" t="s">
        <v>816</v>
      </c>
      <c r="D411" t="s">
        <v>817</v>
      </c>
      <c r="E411" s="8">
        <v>320</v>
      </c>
      <c r="F411" s="8">
        <v>157050</v>
      </c>
      <c r="G411" s="8">
        <f t="shared" si="24"/>
        <v>50256000</v>
      </c>
      <c r="H411" s="5">
        <v>0.4174</v>
      </c>
      <c r="I411" s="8">
        <f t="shared" si="25"/>
        <v>50256000</v>
      </c>
      <c r="J411" s="8">
        <f t="shared" si="26"/>
        <v>20976854.4</v>
      </c>
      <c r="K411" t="str">
        <f t="shared" si="27"/>
        <v>MATCHED</v>
      </c>
    </row>
    <row r="412" spans="1:11">
      <c r="A412" t="s">
        <v>102</v>
      </c>
      <c r="B412" t="s">
        <v>103</v>
      </c>
      <c r="C412" t="s">
        <v>263</v>
      </c>
      <c r="D412" t="s">
        <v>264</v>
      </c>
      <c r="E412" s="8">
        <v>5720</v>
      </c>
      <c r="F412" s="8">
        <v>169460</v>
      </c>
      <c r="G412" s="8">
        <f t="shared" si="24"/>
        <v>969311200</v>
      </c>
      <c r="H412" s="5">
        <v>0.4896</v>
      </c>
      <c r="I412" s="8">
        <f t="shared" si="25"/>
        <v>969311200</v>
      </c>
      <c r="J412" s="8">
        <f t="shared" si="26"/>
        <v>474574763.52</v>
      </c>
      <c r="K412" t="str">
        <f t="shared" si="27"/>
        <v>MATCHED</v>
      </c>
    </row>
    <row r="413" spans="1:11">
      <c r="A413" t="s">
        <v>102</v>
      </c>
      <c r="B413" t="s">
        <v>103</v>
      </c>
      <c r="C413" t="s">
        <v>265</v>
      </c>
      <c r="D413" t="s">
        <v>266</v>
      </c>
      <c r="E413" s="8">
        <v>4220</v>
      </c>
      <c r="F413" s="8">
        <v>101860</v>
      </c>
      <c r="G413" s="8">
        <f t="shared" si="24"/>
        <v>429849200</v>
      </c>
      <c r="H413" s="5">
        <v>0.5876</v>
      </c>
      <c r="I413" s="8">
        <f t="shared" si="25"/>
        <v>429849200</v>
      </c>
      <c r="J413" s="8">
        <f t="shared" si="26"/>
        <v>252579389.92</v>
      </c>
      <c r="K413" t="str">
        <f t="shared" si="27"/>
        <v>MATCHED</v>
      </c>
    </row>
    <row r="414" spans="1:11">
      <c r="A414" t="s">
        <v>102</v>
      </c>
      <c r="B414" t="s">
        <v>103</v>
      </c>
      <c r="C414" t="s">
        <v>818</v>
      </c>
      <c r="D414" t="s">
        <v>819</v>
      </c>
      <c r="E414" s="8">
        <v>220</v>
      </c>
      <c r="F414" s="8">
        <v>96890</v>
      </c>
      <c r="G414" s="8">
        <f t="shared" si="24"/>
        <v>21315800</v>
      </c>
      <c r="H414" s="5">
        <v>0.6983</v>
      </c>
      <c r="I414" s="8">
        <f t="shared" si="25"/>
        <v>21315800</v>
      </c>
      <c r="J414" s="8">
        <f t="shared" si="26"/>
        <v>14884823.14</v>
      </c>
      <c r="K414" t="str">
        <f t="shared" si="27"/>
        <v>MATCHED</v>
      </c>
    </row>
    <row r="415" spans="1:11">
      <c r="A415" t="s">
        <v>102</v>
      </c>
      <c r="B415" t="s">
        <v>103</v>
      </c>
      <c r="C415" t="s">
        <v>267</v>
      </c>
      <c r="D415" t="s">
        <v>268</v>
      </c>
      <c r="E415" s="8">
        <v>4710</v>
      </c>
      <c r="F415" s="8">
        <v>112660</v>
      </c>
      <c r="G415" s="8">
        <f t="shared" si="24"/>
        <v>530628600</v>
      </c>
      <c r="H415" s="5">
        <v>0.4611</v>
      </c>
      <c r="I415" s="8">
        <f t="shared" si="25"/>
        <v>530628600</v>
      </c>
      <c r="J415" s="8">
        <f t="shared" si="26"/>
        <v>244672847.46</v>
      </c>
      <c r="K415" t="str">
        <f t="shared" si="27"/>
        <v>MATCHED</v>
      </c>
    </row>
    <row r="416" spans="1:11">
      <c r="A416" t="s">
        <v>102</v>
      </c>
      <c r="B416" t="s">
        <v>103</v>
      </c>
      <c r="C416" t="s">
        <v>534</v>
      </c>
      <c r="D416" t="s">
        <v>535</v>
      </c>
      <c r="E416" s="8">
        <v>1600</v>
      </c>
      <c r="F416" s="8">
        <v>116920</v>
      </c>
      <c r="G416" s="8">
        <f t="shared" si="24"/>
        <v>187072000</v>
      </c>
      <c r="H416" s="5">
        <v>0.6393</v>
      </c>
      <c r="I416" s="8">
        <f t="shared" si="25"/>
        <v>187072000</v>
      </c>
      <c r="J416" s="8">
        <f t="shared" si="26"/>
        <v>119595129.6</v>
      </c>
      <c r="K416" t="str">
        <f t="shared" si="27"/>
        <v>MATCHED</v>
      </c>
    </row>
    <row r="417" spans="1:11">
      <c r="A417" t="s">
        <v>102</v>
      </c>
      <c r="B417" t="s">
        <v>103</v>
      </c>
      <c r="C417" t="s">
        <v>269</v>
      </c>
      <c r="D417" t="s">
        <v>270</v>
      </c>
      <c r="E417" s="8">
        <v>2840</v>
      </c>
      <c r="F417" s="8">
        <v>98910</v>
      </c>
      <c r="G417" s="8">
        <f t="shared" si="24"/>
        <v>280904400</v>
      </c>
      <c r="H417" s="5">
        <v>0.7808</v>
      </c>
      <c r="I417" s="8">
        <f t="shared" si="25"/>
        <v>280904400</v>
      </c>
      <c r="J417" s="8">
        <f t="shared" si="26"/>
        <v>219330155.52</v>
      </c>
      <c r="K417" t="str">
        <f t="shared" si="27"/>
        <v>MATCHED</v>
      </c>
    </row>
    <row r="418" spans="1:11">
      <c r="A418" t="s">
        <v>102</v>
      </c>
      <c r="B418" t="s">
        <v>103</v>
      </c>
      <c r="C418" t="s">
        <v>820</v>
      </c>
      <c r="D418" t="s">
        <v>821</v>
      </c>
      <c r="E418" s="8">
        <v>220</v>
      </c>
      <c r="F418" s="8">
        <v>125350</v>
      </c>
      <c r="G418" s="8">
        <f t="shared" si="24"/>
        <v>27577000</v>
      </c>
      <c r="H418" s="5">
        <v>0.5536</v>
      </c>
      <c r="I418" s="8">
        <f t="shared" si="25"/>
        <v>27577000</v>
      </c>
      <c r="J418" s="8">
        <f t="shared" si="26"/>
        <v>15266627.2</v>
      </c>
      <c r="K418" t="str">
        <f t="shared" si="27"/>
        <v>MATCHED</v>
      </c>
    </row>
    <row r="419" spans="1:11">
      <c r="A419" t="s">
        <v>102</v>
      </c>
      <c r="B419" t="s">
        <v>103</v>
      </c>
      <c r="C419" t="s">
        <v>273</v>
      </c>
      <c r="D419" t="s">
        <v>274</v>
      </c>
      <c r="E419" s="8">
        <v>1900</v>
      </c>
      <c r="F419" s="8">
        <v>109670</v>
      </c>
      <c r="G419" s="8">
        <f t="shared" si="24"/>
        <v>208373000</v>
      </c>
      <c r="H419" s="5">
        <v>0.6943</v>
      </c>
      <c r="I419" s="8">
        <f t="shared" si="25"/>
        <v>208373000</v>
      </c>
      <c r="J419" s="8">
        <f t="shared" si="26"/>
        <v>144673373.9</v>
      </c>
      <c r="K419" t="str">
        <f t="shared" si="27"/>
        <v>MATCHED</v>
      </c>
    </row>
    <row r="420" spans="1:11">
      <c r="A420" t="s">
        <v>102</v>
      </c>
      <c r="B420" t="s">
        <v>103</v>
      </c>
      <c r="C420" t="s">
        <v>275</v>
      </c>
      <c r="D420" t="s">
        <v>276</v>
      </c>
      <c r="E420" s="8">
        <v>12550</v>
      </c>
      <c r="F420" s="8">
        <v>128670</v>
      </c>
      <c r="G420" s="8">
        <f t="shared" si="24"/>
        <v>1614808500</v>
      </c>
      <c r="H420" s="5">
        <v>0.6375</v>
      </c>
      <c r="I420" s="8">
        <f t="shared" si="25"/>
        <v>1614808500</v>
      </c>
      <c r="J420" s="8">
        <f t="shared" si="26"/>
        <v>1029440418.75</v>
      </c>
      <c r="K420" t="str">
        <f t="shared" si="27"/>
        <v>MATCHED</v>
      </c>
    </row>
    <row r="421" spans="1:11">
      <c r="A421" t="s">
        <v>102</v>
      </c>
      <c r="B421" t="s">
        <v>103</v>
      </c>
      <c r="C421" t="s">
        <v>277</v>
      </c>
      <c r="D421" t="s">
        <v>278</v>
      </c>
      <c r="E421" s="8">
        <v>6120</v>
      </c>
      <c r="F421" s="8">
        <v>118230</v>
      </c>
      <c r="G421" s="8">
        <f t="shared" si="24"/>
        <v>723567600</v>
      </c>
      <c r="H421" s="5">
        <v>0.5773</v>
      </c>
      <c r="I421" s="8">
        <f t="shared" si="25"/>
        <v>723567600</v>
      </c>
      <c r="J421" s="8">
        <f t="shared" si="26"/>
        <v>417715575.48</v>
      </c>
      <c r="K421" t="str">
        <f t="shared" si="27"/>
        <v>MATCHED</v>
      </c>
    </row>
    <row r="422" spans="1:11">
      <c r="A422" t="s">
        <v>102</v>
      </c>
      <c r="B422" t="s">
        <v>103</v>
      </c>
      <c r="C422" t="s">
        <v>279</v>
      </c>
      <c r="D422" t="s">
        <v>280</v>
      </c>
      <c r="E422" s="8">
        <v>50</v>
      </c>
      <c r="F422" s="8">
        <v>85450</v>
      </c>
      <c r="G422" s="8">
        <f t="shared" si="24"/>
        <v>4272500</v>
      </c>
      <c r="H422" s="5">
        <v>0.4476</v>
      </c>
      <c r="I422" s="8">
        <f t="shared" si="25"/>
        <v>4272500</v>
      </c>
      <c r="J422" s="8">
        <f t="shared" si="26"/>
        <v>1912371</v>
      </c>
      <c r="K422" t="str">
        <f t="shared" si="27"/>
        <v>MATCHED</v>
      </c>
    </row>
    <row r="423" spans="1:11">
      <c r="A423" t="s">
        <v>102</v>
      </c>
      <c r="B423" t="s">
        <v>103</v>
      </c>
      <c r="C423" t="s">
        <v>281</v>
      </c>
      <c r="D423" t="s">
        <v>282</v>
      </c>
      <c r="E423" s="8">
        <v>410</v>
      </c>
      <c r="F423" s="8">
        <v>104060</v>
      </c>
      <c r="G423" s="8">
        <f t="shared" si="24"/>
        <v>42664600</v>
      </c>
      <c r="H423" s="5">
        <v>0.6167</v>
      </c>
      <c r="I423" s="8">
        <f t="shared" si="25"/>
        <v>42664600</v>
      </c>
      <c r="J423" s="8">
        <f t="shared" si="26"/>
        <v>26311258.82</v>
      </c>
      <c r="K423" t="str">
        <f t="shared" si="27"/>
        <v>MATCHED</v>
      </c>
    </row>
    <row r="424" spans="1:11">
      <c r="A424" t="s">
        <v>102</v>
      </c>
      <c r="B424" t="s">
        <v>103</v>
      </c>
      <c r="C424" t="s">
        <v>283</v>
      </c>
      <c r="D424" t="s">
        <v>284</v>
      </c>
      <c r="E424" s="8">
        <v>4400</v>
      </c>
      <c r="F424" s="8">
        <v>122560</v>
      </c>
      <c r="G424" s="8">
        <f t="shared" si="24"/>
        <v>539264000</v>
      </c>
      <c r="H424" s="5">
        <v>0.565</v>
      </c>
      <c r="I424" s="8">
        <f t="shared" si="25"/>
        <v>539264000</v>
      </c>
      <c r="J424" s="8">
        <f t="shared" si="26"/>
        <v>304684160</v>
      </c>
      <c r="K424" t="str">
        <f t="shared" si="27"/>
        <v>MATCHED</v>
      </c>
    </row>
    <row r="425" spans="1:11">
      <c r="A425" t="s">
        <v>102</v>
      </c>
      <c r="B425" t="s">
        <v>103</v>
      </c>
      <c r="C425" t="s">
        <v>285</v>
      </c>
      <c r="D425" t="s">
        <v>286</v>
      </c>
      <c r="E425" s="8">
        <v>2570</v>
      </c>
      <c r="F425" s="8">
        <v>102260</v>
      </c>
      <c r="G425" s="8">
        <f t="shared" si="24"/>
        <v>262808200</v>
      </c>
      <c r="H425" s="5">
        <v>0.7792</v>
      </c>
      <c r="I425" s="8">
        <f t="shared" si="25"/>
        <v>262808200</v>
      </c>
      <c r="J425" s="8">
        <f t="shared" si="26"/>
        <v>204780149.44</v>
      </c>
      <c r="K425" t="str">
        <f t="shared" si="27"/>
        <v>MATCHED</v>
      </c>
    </row>
    <row r="426" spans="1:11">
      <c r="A426" t="s">
        <v>102</v>
      </c>
      <c r="B426" t="s">
        <v>103</v>
      </c>
      <c r="C426" t="s">
        <v>287</v>
      </c>
      <c r="D426" t="s">
        <v>288</v>
      </c>
      <c r="E426" s="8">
        <v>8490</v>
      </c>
      <c r="F426" s="8">
        <v>108770</v>
      </c>
      <c r="G426" s="8">
        <f t="shared" si="24"/>
        <v>923457300</v>
      </c>
      <c r="H426" s="5">
        <v>0.6599</v>
      </c>
      <c r="I426" s="8">
        <f t="shared" si="25"/>
        <v>923457300</v>
      </c>
      <c r="J426" s="8">
        <f t="shared" si="26"/>
        <v>609389472.27</v>
      </c>
      <c r="K426" t="str">
        <f t="shared" si="27"/>
        <v>MATCHED</v>
      </c>
    </row>
    <row r="427" spans="1:11">
      <c r="A427" t="s">
        <v>102</v>
      </c>
      <c r="B427" t="s">
        <v>103</v>
      </c>
      <c r="C427" t="s">
        <v>289</v>
      </c>
      <c r="D427" t="s">
        <v>290</v>
      </c>
      <c r="E427" s="8">
        <v>8160</v>
      </c>
      <c r="F427" s="8">
        <v>103260</v>
      </c>
      <c r="G427" s="8">
        <f t="shared" si="24"/>
        <v>842601600</v>
      </c>
      <c r="H427" s="5">
        <v>0.795</v>
      </c>
      <c r="I427" s="8">
        <f t="shared" si="25"/>
        <v>842601600</v>
      </c>
      <c r="J427" s="8">
        <f t="shared" si="26"/>
        <v>669868272</v>
      </c>
      <c r="K427" t="str">
        <f t="shared" si="27"/>
        <v>MATCHED</v>
      </c>
    </row>
    <row r="428" spans="1:11">
      <c r="A428" t="s">
        <v>102</v>
      </c>
      <c r="B428" t="s">
        <v>103</v>
      </c>
      <c r="C428" t="s">
        <v>822</v>
      </c>
      <c r="D428" t="s">
        <v>823</v>
      </c>
      <c r="E428" s="8">
        <v>60</v>
      </c>
      <c r="F428" s="8">
        <v>85600</v>
      </c>
      <c r="G428" s="8">
        <f t="shared" si="24"/>
        <v>5136000</v>
      </c>
      <c r="H428" s="5">
        <v>0.6102</v>
      </c>
      <c r="I428" s="8">
        <f t="shared" si="25"/>
        <v>5136000</v>
      </c>
      <c r="J428" s="8">
        <f t="shared" si="26"/>
        <v>3133987.2</v>
      </c>
      <c r="K428" t="str">
        <f t="shared" si="27"/>
        <v>MATCHED</v>
      </c>
    </row>
    <row r="429" spans="1:11">
      <c r="A429" t="s">
        <v>102</v>
      </c>
      <c r="B429" t="s">
        <v>103</v>
      </c>
      <c r="C429" t="s">
        <v>824</v>
      </c>
      <c r="D429" t="s">
        <v>825</v>
      </c>
      <c r="E429" s="8">
        <v>340</v>
      </c>
      <c r="F429" s="8">
        <v>110260</v>
      </c>
      <c r="G429" s="8">
        <f t="shared" si="24"/>
        <v>37488400</v>
      </c>
      <c r="H429" s="5">
        <v>0.8</v>
      </c>
      <c r="I429" s="8">
        <f t="shared" si="25"/>
        <v>37488400</v>
      </c>
      <c r="J429" s="8">
        <f t="shared" si="26"/>
        <v>29990720</v>
      </c>
      <c r="K429" t="str">
        <f t="shared" si="27"/>
        <v>MATCHED</v>
      </c>
    </row>
    <row r="430" spans="1:11">
      <c r="A430" t="s">
        <v>102</v>
      </c>
      <c r="B430" t="s">
        <v>103</v>
      </c>
      <c r="C430" t="s">
        <v>826</v>
      </c>
      <c r="D430" t="s">
        <v>827</v>
      </c>
      <c r="E430" s="8">
        <v>90</v>
      </c>
      <c r="F430" s="8">
        <v>95630</v>
      </c>
      <c r="G430" s="8">
        <f t="shared" si="24"/>
        <v>8606700</v>
      </c>
      <c r="H430" s="5">
        <v>0.8182</v>
      </c>
      <c r="I430" s="8">
        <f t="shared" si="25"/>
        <v>8606700</v>
      </c>
      <c r="J430" s="8">
        <f t="shared" si="26"/>
        <v>7042001.94</v>
      </c>
      <c r="K430" t="str">
        <f t="shared" si="27"/>
        <v>MATCHED</v>
      </c>
    </row>
    <row r="431" spans="1:11">
      <c r="A431" t="s">
        <v>102</v>
      </c>
      <c r="B431" t="s">
        <v>103</v>
      </c>
      <c r="C431" t="s">
        <v>536</v>
      </c>
      <c r="D431" t="s">
        <v>537</v>
      </c>
      <c r="E431" s="8">
        <v>2490</v>
      </c>
      <c r="F431" s="8">
        <v>115450</v>
      </c>
      <c r="G431" s="8">
        <f t="shared" si="24"/>
        <v>287470500</v>
      </c>
      <c r="H431" s="5">
        <v>0.6904</v>
      </c>
      <c r="I431" s="8">
        <f t="shared" si="25"/>
        <v>287470500</v>
      </c>
      <c r="J431" s="8">
        <f t="shared" si="26"/>
        <v>198469633.2</v>
      </c>
      <c r="K431" t="str">
        <f t="shared" si="27"/>
        <v>MATCHED</v>
      </c>
    </row>
    <row r="432" spans="1:11">
      <c r="A432" t="s">
        <v>102</v>
      </c>
      <c r="B432" t="s">
        <v>103</v>
      </c>
      <c r="C432" t="s">
        <v>828</v>
      </c>
      <c r="D432" t="s">
        <v>829</v>
      </c>
      <c r="E432" s="8">
        <v>230</v>
      </c>
      <c r="F432" s="8">
        <v>134550</v>
      </c>
      <c r="G432" s="8">
        <f t="shared" si="24"/>
        <v>30946500</v>
      </c>
      <c r="H432" s="5">
        <v>0.7767</v>
      </c>
      <c r="I432" s="8">
        <f t="shared" si="25"/>
        <v>30946500</v>
      </c>
      <c r="J432" s="8">
        <f t="shared" si="26"/>
        <v>24036146.55</v>
      </c>
      <c r="K432" t="str">
        <f t="shared" si="27"/>
        <v>MATCHED</v>
      </c>
    </row>
    <row r="433" spans="1:11">
      <c r="A433" t="s">
        <v>102</v>
      </c>
      <c r="B433" t="s">
        <v>103</v>
      </c>
      <c r="C433" t="s">
        <v>538</v>
      </c>
      <c r="D433" t="s">
        <v>539</v>
      </c>
      <c r="E433" s="8">
        <v>570</v>
      </c>
      <c r="F433" s="8">
        <v>121120</v>
      </c>
      <c r="G433" s="8">
        <f t="shared" si="24"/>
        <v>69038400</v>
      </c>
      <c r="H433" s="5">
        <v>0.6192</v>
      </c>
      <c r="I433" s="8">
        <f t="shared" si="25"/>
        <v>69038400</v>
      </c>
      <c r="J433" s="8">
        <f t="shared" si="26"/>
        <v>42748577.28</v>
      </c>
      <c r="K433" t="str">
        <f t="shared" si="27"/>
        <v>MATCHED</v>
      </c>
    </row>
    <row r="434" spans="1:11">
      <c r="A434" t="s">
        <v>102</v>
      </c>
      <c r="B434" t="s">
        <v>103</v>
      </c>
      <c r="C434" t="s">
        <v>291</v>
      </c>
      <c r="D434" t="s">
        <v>292</v>
      </c>
      <c r="E434" s="8">
        <v>4020</v>
      </c>
      <c r="F434" s="8">
        <v>120310</v>
      </c>
      <c r="G434" s="8">
        <f t="shared" si="24"/>
        <v>483646200</v>
      </c>
      <c r="H434" s="5">
        <v>0.6388</v>
      </c>
      <c r="I434" s="8">
        <f t="shared" si="25"/>
        <v>483646200</v>
      </c>
      <c r="J434" s="8">
        <f t="shared" si="26"/>
        <v>308953192.56</v>
      </c>
      <c r="K434" t="str">
        <f t="shared" si="27"/>
        <v>MATCHED</v>
      </c>
    </row>
    <row r="435" spans="1:11">
      <c r="A435" t="s">
        <v>102</v>
      </c>
      <c r="B435" t="s">
        <v>103</v>
      </c>
      <c r="C435" t="s">
        <v>540</v>
      </c>
      <c r="D435" t="s">
        <v>541</v>
      </c>
      <c r="E435" s="8">
        <v>1410</v>
      </c>
      <c r="F435" s="8">
        <v>121860</v>
      </c>
      <c r="G435" s="8">
        <f t="shared" si="24"/>
        <v>171822600</v>
      </c>
      <c r="H435" s="5">
        <v>0.6292</v>
      </c>
      <c r="I435" s="8">
        <f t="shared" si="25"/>
        <v>171822600</v>
      </c>
      <c r="J435" s="8">
        <f t="shared" si="26"/>
        <v>108110779.92</v>
      </c>
      <c r="K435" t="str">
        <f t="shared" si="27"/>
        <v>MATCHED</v>
      </c>
    </row>
    <row r="436" spans="1:11">
      <c r="A436" t="s">
        <v>102</v>
      </c>
      <c r="B436" t="s">
        <v>103</v>
      </c>
      <c r="C436" t="s">
        <v>542</v>
      </c>
      <c r="D436" t="s">
        <v>543</v>
      </c>
      <c r="E436" s="8">
        <v>820</v>
      </c>
      <c r="F436" s="8">
        <v>91250</v>
      </c>
      <c r="G436" s="8">
        <f t="shared" si="24"/>
        <v>74825000</v>
      </c>
      <c r="H436" s="5">
        <v>0.7096</v>
      </c>
      <c r="I436" s="8">
        <f t="shared" si="25"/>
        <v>74825000</v>
      </c>
      <c r="J436" s="8">
        <f t="shared" si="26"/>
        <v>53095820</v>
      </c>
      <c r="K436" t="str">
        <f t="shared" si="27"/>
        <v>MATCHED</v>
      </c>
    </row>
    <row r="437" spans="1:11">
      <c r="A437" t="s">
        <v>102</v>
      </c>
      <c r="B437" t="s">
        <v>103</v>
      </c>
      <c r="C437" t="s">
        <v>293</v>
      </c>
      <c r="D437" t="s">
        <v>294</v>
      </c>
      <c r="E437" s="8">
        <v>2690</v>
      </c>
      <c r="F437" s="8">
        <v>86920</v>
      </c>
      <c r="G437" s="8">
        <f t="shared" si="24"/>
        <v>233814800</v>
      </c>
      <c r="H437" s="5">
        <v>0.6062</v>
      </c>
      <c r="I437" s="8">
        <f t="shared" si="25"/>
        <v>233814800</v>
      </c>
      <c r="J437" s="8">
        <f t="shared" si="26"/>
        <v>141738531.76</v>
      </c>
      <c r="K437" t="str">
        <f t="shared" si="27"/>
        <v>MATCHED</v>
      </c>
    </row>
    <row r="438" spans="1:11">
      <c r="A438" t="s">
        <v>102</v>
      </c>
      <c r="B438" t="s">
        <v>103</v>
      </c>
      <c r="C438" t="s">
        <v>544</v>
      </c>
      <c r="D438" t="s">
        <v>545</v>
      </c>
      <c r="E438" s="8">
        <v>1560</v>
      </c>
      <c r="F438" s="8">
        <v>128940</v>
      </c>
      <c r="G438" s="8">
        <f t="shared" si="24"/>
        <v>201146400</v>
      </c>
      <c r="H438" s="5">
        <v>0.6278</v>
      </c>
      <c r="I438" s="8">
        <f t="shared" si="25"/>
        <v>201146400</v>
      </c>
      <c r="J438" s="8">
        <f t="shared" si="26"/>
        <v>126279709.92</v>
      </c>
      <c r="K438" t="str">
        <f t="shared" si="27"/>
        <v>MATCHED</v>
      </c>
    </row>
    <row r="439" spans="1:11">
      <c r="A439" t="s">
        <v>102</v>
      </c>
      <c r="B439" t="s">
        <v>103</v>
      </c>
      <c r="C439" t="s">
        <v>546</v>
      </c>
      <c r="D439" t="s">
        <v>547</v>
      </c>
      <c r="E439" s="8">
        <v>420</v>
      </c>
      <c r="F439" s="8">
        <v>120980</v>
      </c>
      <c r="G439" s="8">
        <f t="shared" si="24"/>
        <v>50811600</v>
      </c>
      <c r="H439" s="5">
        <v>0.8389</v>
      </c>
      <c r="I439" s="8">
        <f t="shared" si="25"/>
        <v>50811600</v>
      </c>
      <c r="J439" s="8">
        <f t="shared" si="26"/>
        <v>42625851.24</v>
      </c>
      <c r="K439" t="str">
        <f t="shared" si="27"/>
        <v>MATCHED</v>
      </c>
    </row>
    <row r="440" spans="1:11">
      <c r="A440" t="s">
        <v>102</v>
      </c>
      <c r="B440" t="s">
        <v>103</v>
      </c>
      <c r="C440" t="s">
        <v>548</v>
      </c>
      <c r="D440" t="s">
        <v>549</v>
      </c>
      <c r="E440" s="8">
        <v>290</v>
      </c>
      <c r="F440" s="8">
        <v>145230</v>
      </c>
      <c r="G440" s="8">
        <f t="shared" si="24"/>
        <v>42116700</v>
      </c>
      <c r="H440" s="5">
        <v>0.8502</v>
      </c>
      <c r="I440" s="8">
        <f t="shared" si="25"/>
        <v>42116700</v>
      </c>
      <c r="J440" s="8">
        <f t="shared" si="26"/>
        <v>35807618.34</v>
      </c>
      <c r="K440" t="str">
        <f t="shared" si="27"/>
        <v>MATCHED</v>
      </c>
    </row>
    <row r="441" spans="1:11">
      <c r="A441" t="s">
        <v>102</v>
      </c>
      <c r="B441" t="s">
        <v>103</v>
      </c>
      <c r="C441" t="s">
        <v>295</v>
      </c>
      <c r="D441" t="s">
        <v>296</v>
      </c>
      <c r="E441" s="8">
        <v>2300</v>
      </c>
      <c r="F441" s="8">
        <v>113710</v>
      </c>
      <c r="G441" s="8">
        <f t="shared" si="24"/>
        <v>261533000</v>
      </c>
      <c r="H441" s="5">
        <v>0.695</v>
      </c>
      <c r="I441" s="8">
        <f t="shared" si="25"/>
        <v>261533000</v>
      </c>
      <c r="J441" s="8">
        <f t="shared" si="26"/>
        <v>181765435</v>
      </c>
      <c r="K441" t="str">
        <f t="shared" si="27"/>
        <v>MATCHED</v>
      </c>
    </row>
    <row r="442" spans="1:11">
      <c r="A442" t="s">
        <v>102</v>
      </c>
      <c r="B442" t="s">
        <v>103</v>
      </c>
      <c r="C442" t="s">
        <v>550</v>
      </c>
      <c r="D442" t="s">
        <v>551</v>
      </c>
      <c r="E442" s="8">
        <v>450</v>
      </c>
      <c r="F442" s="8">
        <v>126390</v>
      </c>
      <c r="G442" s="8">
        <f t="shared" si="24"/>
        <v>56875500</v>
      </c>
      <c r="H442" s="5">
        <v>0.6824</v>
      </c>
      <c r="I442" s="8">
        <f t="shared" si="25"/>
        <v>56875500</v>
      </c>
      <c r="J442" s="8">
        <f t="shared" si="26"/>
        <v>38811841.2</v>
      </c>
      <c r="K442" t="str">
        <f t="shared" si="27"/>
        <v>MATCHED</v>
      </c>
    </row>
    <row r="443" spans="1:11">
      <c r="A443" t="s">
        <v>102</v>
      </c>
      <c r="B443" t="s">
        <v>103</v>
      </c>
      <c r="C443" t="s">
        <v>297</v>
      </c>
      <c r="D443" t="s">
        <v>298</v>
      </c>
      <c r="E443" s="8">
        <v>2730</v>
      </c>
      <c r="F443" s="8">
        <v>134960</v>
      </c>
      <c r="G443" s="8">
        <f t="shared" si="24"/>
        <v>368440800</v>
      </c>
      <c r="H443" s="5">
        <v>0.5211</v>
      </c>
      <c r="I443" s="8">
        <f t="shared" si="25"/>
        <v>368440800</v>
      </c>
      <c r="J443" s="8">
        <f t="shared" si="26"/>
        <v>191994500.88</v>
      </c>
      <c r="K443" t="str">
        <f t="shared" si="27"/>
        <v>MATCHED</v>
      </c>
    </row>
    <row r="444" spans="1:11">
      <c r="A444" t="s">
        <v>102</v>
      </c>
      <c r="B444" t="s">
        <v>103</v>
      </c>
      <c r="C444" t="s">
        <v>552</v>
      </c>
      <c r="D444" t="s">
        <v>553</v>
      </c>
      <c r="E444" s="8">
        <v>250</v>
      </c>
      <c r="F444" s="8">
        <v>114320</v>
      </c>
      <c r="G444" s="8">
        <f t="shared" si="24"/>
        <v>28580000</v>
      </c>
      <c r="H444" s="5">
        <v>0.8117</v>
      </c>
      <c r="I444" s="8">
        <f t="shared" si="25"/>
        <v>28580000</v>
      </c>
      <c r="J444" s="8">
        <f t="shared" si="26"/>
        <v>23198386</v>
      </c>
      <c r="K444" t="str">
        <f t="shared" si="27"/>
        <v>MATCHED</v>
      </c>
    </row>
    <row r="445" spans="1:11">
      <c r="A445" t="s">
        <v>102</v>
      </c>
      <c r="B445" t="s">
        <v>103</v>
      </c>
      <c r="C445" t="s">
        <v>830</v>
      </c>
      <c r="D445" t="s">
        <v>831</v>
      </c>
      <c r="E445" s="8">
        <v>50</v>
      </c>
      <c r="F445" s="8">
        <v>115450</v>
      </c>
      <c r="G445" s="8">
        <f t="shared" si="24"/>
        <v>5772500</v>
      </c>
      <c r="H445" s="5">
        <v>0.8276</v>
      </c>
      <c r="I445" s="8">
        <f t="shared" si="25"/>
        <v>5772500</v>
      </c>
      <c r="J445" s="8">
        <f t="shared" si="26"/>
        <v>4777321</v>
      </c>
      <c r="K445" t="str">
        <f t="shared" si="27"/>
        <v>MATCHED</v>
      </c>
    </row>
    <row r="446" spans="1:11">
      <c r="A446" t="s">
        <v>102</v>
      </c>
      <c r="B446" t="s">
        <v>103</v>
      </c>
      <c r="C446" t="s">
        <v>832</v>
      </c>
      <c r="D446" t="s">
        <v>833</v>
      </c>
      <c r="E446" s="8">
        <v>120</v>
      </c>
      <c r="F446" s="8">
        <v>121290</v>
      </c>
      <c r="G446" s="8">
        <f t="shared" si="24"/>
        <v>14554800</v>
      </c>
      <c r="H446" s="5">
        <v>0.6827</v>
      </c>
      <c r="I446" s="8">
        <f t="shared" si="25"/>
        <v>14554800</v>
      </c>
      <c r="J446" s="8">
        <f t="shared" si="26"/>
        <v>9936561.96</v>
      </c>
      <c r="K446" t="str">
        <f t="shared" si="27"/>
        <v>MATCHED</v>
      </c>
    </row>
    <row r="447" spans="1:11">
      <c r="A447" t="s">
        <v>102</v>
      </c>
      <c r="B447" t="s">
        <v>103</v>
      </c>
      <c r="C447" t="s">
        <v>299</v>
      </c>
      <c r="D447" t="s">
        <v>300</v>
      </c>
      <c r="E447" s="8">
        <v>2550</v>
      </c>
      <c r="F447" s="8">
        <v>105490</v>
      </c>
      <c r="G447" s="8">
        <f t="shared" si="24"/>
        <v>268999500</v>
      </c>
      <c r="H447" s="5">
        <v>0.7425</v>
      </c>
      <c r="I447" s="8">
        <f t="shared" si="25"/>
        <v>268999500</v>
      </c>
      <c r="J447" s="8">
        <f t="shared" si="26"/>
        <v>199732128.75</v>
      </c>
      <c r="K447" t="str">
        <f t="shared" si="27"/>
        <v>MATCHED</v>
      </c>
    </row>
    <row r="448" spans="1:11">
      <c r="A448" t="s">
        <v>102</v>
      </c>
      <c r="B448" t="s">
        <v>103</v>
      </c>
      <c r="C448" t="s">
        <v>554</v>
      </c>
      <c r="D448" t="s">
        <v>555</v>
      </c>
      <c r="E448" s="8">
        <v>1090</v>
      </c>
      <c r="F448" s="8">
        <v>108210</v>
      </c>
      <c r="G448" s="8">
        <f t="shared" si="24"/>
        <v>117948900</v>
      </c>
      <c r="H448" s="5">
        <v>0.6031</v>
      </c>
      <c r="I448" s="8">
        <f t="shared" si="25"/>
        <v>117948900</v>
      </c>
      <c r="J448" s="8">
        <f t="shared" si="26"/>
        <v>71134981.59</v>
      </c>
      <c r="K448" t="str">
        <f t="shared" si="27"/>
        <v>MATCHED</v>
      </c>
    </row>
    <row r="449" spans="1:11">
      <c r="A449" t="s">
        <v>102</v>
      </c>
      <c r="B449" t="s">
        <v>103</v>
      </c>
      <c r="C449" t="s">
        <v>556</v>
      </c>
      <c r="D449" t="s">
        <v>557</v>
      </c>
      <c r="E449" s="8">
        <v>1490</v>
      </c>
      <c r="F449" s="8">
        <v>121820</v>
      </c>
      <c r="G449" s="8">
        <f t="shared" si="24"/>
        <v>181511800</v>
      </c>
      <c r="H449" s="5">
        <v>0.8228</v>
      </c>
      <c r="I449" s="8">
        <f t="shared" si="25"/>
        <v>181511800</v>
      </c>
      <c r="J449" s="8">
        <f t="shared" si="26"/>
        <v>149347909.04</v>
      </c>
      <c r="K449" t="str">
        <f t="shared" si="27"/>
        <v>MATCHED</v>
      </c>
    </row>
    <row r="450" spans="1:11">
      <c r="A450" t="s">
        <v>102</v>
      </c>
      <c r="B450" t="s">
        <v>103</v>
      </c>
      <c r="C450" t="s">
        <v>834</v>
      </c>
      <c r="D450" t="s">
        <v>835</v>
      </c>
      <c r="E450" s="8">
        <v>60</v>
      </c>
      <c r="F450" s="8">
        <v>133850</v>
      </c>
      <c r="G450" s="8">
        <f t="shared" ref="G450:G513" si="28">IF(OR(E450="",F450=""),"",E450*F450)</f>
        <v>8031000</v>
      </c>
      <c r="H450" s="5">
        <v>0.5375</v>
      </c>
      <c r="I450" s="8">
        <f t="shared" ref="I450:I513" si="29">IF(G450="","",IF(ISNUMBER(H450),G450,""))</f>
        <v>8031000</v>
      </c>
      <c r="J450" s="8">
        <f t="shared" ref="J450:J513" si="30">IF(I450="","",I450*H450)</f>
        <v>4316662.5</v>
      </c>
      <c r="K450" t="str">
        <f t="shared" ref="K450:K513" si="31">IF(G450="","MISSING OEWS",IF(ISNUMBER(H450),"MATCHED","MISSING WHARTON"))</f>
        <v>MATCHED</v>
      </c>
    </row>
    <row r="451" spans="1:11">
      <c r="A451" t="s">
        <v>102</v>
      </c>
      <c r="B451" t="s">
        <v>103</v>
      </c>
      <c r="C451" t="s">
        <v>558</v>
      </c>
      <c r="D451" t="s">
        <v>559</v>
      </c>
      <c r="E451" s="8">
        <v>920</v>
      </c>
      <c r="F451" s="8">
        <v>102190</v>
      </c>
      <c r="G451" s="8">
        <f t="shared" si="28"/>
        <v>94014800</v>
      </c>
      <c r="H451" s="5">
        <v>0.7929</v>
      </c>
      <c r="I451" s="8">
        <f t="shared" si="29"/>
        <v>94014800</v>
      </c>
      <c r="J451" s="8">
        <f t="shared" si="30"/>
        <v>74544334.92</v>
      </c>
      <c r="K451" t="str">
        <f t="shared" si="31"/>
        <v>MATCHED</v>
      </c>
    </row>
    <row r="452" spans="1:11">
      <c r="A452" t="s">
        <v>102</v>
      </c>
      <c r="B452" t="s">
        <v>103</v>
      </c>
      <c r="C452" t="s">
        <v>560</v>
      </c>
      <c r="D452" t="s">
        <v>561</v>
      </c>
      <c r="E452" s="8">
        <v>660</v>
      </c>
      <c r="F452" s="8">
        <v>96190</v>
      </c>
      <c r="G452" s="8">
        <f t="shared" si="28"/>
        <v>63485400</v>
      </c>
      <c r="H452" s="5">
        <v>0.3682</v>
      </c>
      <c r="I452" s="8">
        <f t="shared" si="29"/>
        <v>63485400</v>
      </c>
      <c r="J452" s="8">
        <f t="shared" si="30"/>
        <v>23375324.28</v>
      </c>
      <c r="K452" t="str">
        <f t="shared" si="31"/>
        <v>MATCHED</v>
      </c>
    </row>
    <row r="453" spans="1:11">
      <c r="A453" t="s">
        <v>102</v>
      </c>
      <c r="B453" t="s">
        <v>103</v>
      </c>
      <c r="C453" t="s">
        <v>836</v>
      </c>
      <c r="D453" t="s">
        <v>837</v>
      </c>
      <c r="E453" s="8">
        <v>30</v>
      </c>
      <c r="F453" s="8">
        <v>89840</v>
      </c>
      <c r="G453" s="8">
        <f t="shared" si="28"/>
        <v>2695200</v>
      </c>
      <c r="H453" s="5">
        <v>0.1</v>
      </c>
      <c r="I453" s="8">
        <f t="shared" si="29"/>
        <v>2695200</v>
      </c>
      <c r="J453" s="8">
        <f t="shared" si="30"/>
        <v>269520</v>
      </c>
      <c r="K453" t="str">
        <f t="shared" si="31"/>
        <v>MATCHED</v>
      </c>
    </row>
    <row r="454" spans="1:11">
      <c r="A454" t="s">
        <v>102</v>
      </c>
      <c r="B454" t="s">
        <v>103</v>
      </c>
      <c r="C454" t="s">
        <v>562</v>
      </c>
      <c r="D454" t="s">
        <v>563</v>
      </c>
      <c r="E454" s="8">
        <v>190</v>
      </c>
      <c r="F454" s="8">
        <v>119450</v>
      </c>
      <c r="G454" s="8">
        <f t="shared" si="28"/>
        <v>22695500</v>
      </c>
      <c r="H454" s="5">
        <v>0.3615</v>
      </c>
      <c r="I454" s="8">
        <f t="shared" si="29"/>
        <v>22695500</v>
      </c>
      <c r="J454" s="8">
        <f t="shared" si="30"/>
        <v>8204423.25</v>
      </c>
      <c r="K454" t="str">
        <f t="shared" si="31"/>
        <v>MATCHED</v>
      </c>
    </row>
    <row r="455" spans="1:11">
      <c r="A455" t="s">
        <v>102</v>
      </c>
      <c r="B455" t="s">
        <v>103</v>
      </c>
      <c r="C455" t="s">
        <v>564</v>
      </c>
      <c r="D455" t="s">
        <v>565</v>
      </c>
      <c r="E455" s="8">
        <v>2230</v>
      </c>
      <c r="F455" s="8">
        <v>119120</v>
      </c>
      <c r="G455" s="8">
        <f t="shared" si="28"/>
        <v>265637600</v>
      </c>
      <c r="H455" s="5">
        <v>0.4218</v>
      </c>
      <c r="I455" s="8">
        <f t="shared" si="29"/>
        <v>265637600</v>
      </c>
      <c r="J455" s="8">
        <f t="shared" si="30"/>
        <v>112045939.68</v>
      </c>
      <c r="K455" t="str">
        <f t="shared" si="31"/>
        <v>MATCHED</v>
      </c>
    </row>
    <row r="456" spans="1:11">
      <c r="A456" t="s">
        <v>102</v>
      </c>
      <c r="B456" t="s">
        <v>103</v>
      </c>
      <c r="C456" t="s">
        <v>838</v>
      </c>
      <c r="D456" t="s">
        <v>839</v>
      </c>
      <c r="E456" s="8">
        <v>60</v>
      </c>
      <c r="F456" s="8">
        <v>138990</v>
      </c>
      <c r="G456" s="8">
        <f t="shared" si="28"/>
        <v>8339400</v>
      </c>
      <c r="H456" s="5">
        <v>0.3639</v>
      </c>
      <c r="I456" s="8">
        <f t="shared" si="29"/>
        <v>8339400</v>
      </c>
      <c r="J456" s="8">
        <f t="shared" si="30"/>
        <v>3034707.66</v>
      </c>
      <c r="K456" t="str">
        <f t="shared" si="31"/>
        <v>MATCHED</v>
      </c>
    </row>
    <row r="457" spans="1:11">
      <c r="A457" t="s">
        <v>102</v>
      </c>
      <c r="B457" t="s">
        <v>103</v>
      </c>
      <c r="C457" t="s">
        <v>566</v>
      </c>
      <c r="D457" t="s">
        <v>567</v>
      </c>
      <c r="E457" s="8">
        <v>22270</v>
      </c>
      <c r="F457" s="8">
        <v>122280</v>
      </c>
      <c r="G457" s="8">
        <f t="shared" si="28"/>
        <v>2723175600</v>
      </c>
      <c r="H457" s="5">
        <v>0.3523</v>
      </c>
      <c r="I457" s="8">
        <f t="shared" si="29"/>
        <v>2723175600</v>
      </c>
      <c r="J457" s="8">
        <f t="shared" si="30"/>
        <v>959374763.88</v>
      </c>
      <c r="K457" t="str">
        <f t="shared" si="31"/>
        <v>MATCHED</v>
      </c>
    </row>
    <row r="458" spans="1:11">
      <c r="A458" t="s">
        <v>102</v>
      </c>
      <c r="B458" t="s">
        <v>103</v>
      </c>
      <c r="C458" t="s">
        <v>568</v>
      </c>
      <c r="D458" t="s">
        <v>569</v>
      </c>
      <c r="E458" s="8">
        <v>280</v>
      </c>
      <c r="F458" s="8">
        <v>132680</v>
      </c>
      <c r="G458" s="8">
        <f t="shared" si="28"/>
        <v>37150400</v>
      </c>
      <c r="H458" s="5">
        <v>0.4536</v>
      </c>
      <c r="I458" s="8">
        <f t="shared" si="29"/>
        <v>37150400</v>
      </c>
      <c r="J458" s="8">
        <f t="shared" si="30"/>
        <v>16851421.44</v>
      </c>
      <c r="K458" t="str">
        <f t="shared" si="31"/>
        <v>MATCHED</v>
      </c>
    </row>
    <row r="459" spans="1:11">
      <c r="A459" t="s">
        <v>102</v>
      </c>
      <c r="B459" t="s">
        <v>103</v>
      </c>
      <c r="C459" t="s">
        <v>570</v>
      </c>
      <c r="D459" t="s">
        <v>571</v>
      </c>
      <c r="E459" s="8">
        <v>550</v>
      </c>
      <c r="F459" s="8">
        <v>125800</v>
      </c>
      <c r="G459" s="8">
        <f t="shared" si="28"/>
        <v>69190000</v>
      </c>
      <c r="H459" s="5">
        <v>0.5196</v>
      </c>
      <c r="I459" s="8">
        <f t="shared" si="29"/>
        <v>69190000</v>
      </c>
      <c r="J459" s="8">
        <f t="shared" si="30"/>
        <v>35951124</v>
      </c>
      <c r="K459" t="str">
        <f t="shared" si="31"/>
        <v>MATCHED</v>
      </c>
    </row>
    <row r="460" spans="1:11">
      <c r="A460" t="s">
        <v>102</v>
      </c>
      <c r="B460" t="s">
        <v>103</v>
      </c>
      <c r="C460" t="s">
        <v>572</v>
      </c>
      <c r="D460" t="s">
        <v>573</v>
      </c>
      <c r="E460" s="8">
        <v>500</v>
      </c>
      <c r="F460" s="8">
        <v>126290</v>
      </c>
      <c r="G460" s="8">
        <f t="shared" si="28"/>
        <v>63145000</v>
      </c>
      <c r="H460" s="5">
        <v>0.2672</v>
      </c>
      <c r="I460" s="8">
        <f t="shared" si="29"/>
        <v>63145000</v>
      </c>
      <c r="J460" s="8">
        <f t="shared" si="30"/>
        <v>16872344</v>
      </c>
      <c r="K460" t="str">
        <f t="shared" si="31"/>
        <v>MATCHED</v>
      </c>
    </row>
    <row r="461" spans="1:11">
      <c r="A461" t="s">
        <v>102</v>
      </c>
      <c r="B461" t="s">
        <v>103</v>
      </c>
      <c r="C461" t="s">
        <v>301</v>
      </c>
      <c r="D461" t="s">
        <v>302</v>
      </c>
      <c r="E461" s="8">
        <v>1400</v>
      </c>
      <c r="F461" s="8">
        <v>121470</v>
      </c>
      <c r="G461" s="8">
        <f t="shared" si="28"/>
        <v>170058000</v>
      </c>
      <c r="H461" s="5">
        <v>0.4786</v>
      </c>
      <c r="I461" s="8">
        <f t="shared" si="29"/>
        <v>170058000</v>
      </c>
      <c r="J461" s="8">
        <f t="shared" si="30"/>
        <v>81389758.8</v>
      </c>
      <c r="K461" t="str">
        <f t="shared" si="31"/>
        <v>MATCHED</v>
      </c>
    </row>
    <row r="462" spans="1:11">
      <c r="A462" t="s">
        <v>102</v>
      </c>
      <c r="B462" t="s">
        <v>103</v>
      </c>
      <c r="C462" t="s">
        <v>574</v>
      </c>
      <c r="D462" t="s">
        <v>575</v>
      </c>
      <c r="E462" s="8">
        <v>110</v>
      </c>
      <c r="F462" s="8">
        <v>111630</v>
      </c>
      <c r="G462" s="8">
        <f t="shared" si="28"/>
        <v>12279300</v>
      </c>
      <c r="H462" s="5">
        <v>0.269</v>
      </c>
      <c r="I462" s="8">
        <f t="shared" si="29"/>
        <v>12279300</v>
      </c>
      <c r="J462" s="8">
        <f t="shared" si="30"/>
        <v>3303131.7</v>
      </c>
      <c r="K462" t="str">
        <f t="shared" si="31"/>
        <v>MATCHED</v>
      </c>
    </row>
    <row r="463" spans="1:11">
      <c r="A463" t="s">
        <v>102</v>
      </c>
      <c r="B463" t="s">
        <v>103</v>
      </c>
      <c r="C463" t="s">
        <v>576</v>
      </c>
      <c r="D463" t="s">
        <v>577</v>
      </c>
      <c r="E463" s="8">
        <v>1870</v>
      </c>
      <c r="F463" s="8">
        <v>136970</v>
      </c>
      <c r="G463" s="8">
        <f t="shared" si="28"/>
        <v>256133900</v>
      </c>
      <c r="H463" s="5">
        <v>0.3008</v>
      </c>
      <c r="I463" s="8">
        <f t="shared" si="29"/>
        <v>256133900</v>
      </c>
      <c r="J463" s="8">
        <f t="shared" si="30"/>
        <v>77045077.12</v>
      </c>
      <c r="K463" t="str">
        <f t="shared" si="31"/>
        <v>MATCHED</v>
      </c>
    </row>
    <row r="464" spans="1:11">
      <c r="A464" t="s">
        <v>102</v>
      </c>
      <c r="B464" t="s">
        <v>103</v>
      </c>
      <c r="C464" t="s">
        <v>840</v>
      </c>
      <c r="D464" t="s">
        <v>841</v>
      </c>
      <c r="E464" s="8">
        <v>3740</v>
      </c>
      <c r="F464" s="8">
        <v>139420</v>
      </c>
      <c r="G464" s="8">
        <f t="shared" si="28"/>
        <v>521430800</v>
      </c>
      <c r="H464" s="5">
        <v>0.2825</v>
      </c>
      <c r="I464" s="8">
        <f t="shared" si="29"/>
        <v>521430800</v>
      </c>
      <c r="J464" s="8">
        <f t="shared" si="30"/>
        <v>147304201</v>
      </c>
      <c r="K464" t="str">
        <f t="shared" si="31"/>
        <v>MATCHED</v>
      </c>
    </row>
    <row r="465" spans="1:11">
      <c r="A465" t="s">
        <v>102</v>
      </c>
      <c r="B465" t="s">
        <v>103</v>
      </c>
      <c r="C465" t="s">
        <v>580</v>
      </c>
      <c r="D465" t="s">
        <v>581</v>
      </c>
      <c r="E465" s="8">
        <v>380</v>
      </c>
      <c r="F465" s="8">
        <v>117290</v>
      </c>
      <c r="G465" s="8">
        <f t="shared" si="28"/>
        <v>44570200</v>
      </c>
      <c r="H465" s="5">
        <v>0.3065</v>
      </c>
      <c r="I465" s="8">
        <f t="shared" si="29"/>
        <v>44570200</v>
      </c>
      <c r="J465" s="8">
        <f t="shared" si="30"/>
        <v>13660766.3</v>
      </c>
      <c r="K465" t="str">
        <f t="shared" si="31"/>
        <v>MATCHED</v>
      </c>
    </row>
    <row r="466" spans="1:11">
      <c r="A466" t="s">
        <v>102</v>
      </c>
      <c r="B466" t="s">
        <v>103</v>
      </c>
      <c r="C466" t="s">
        <v>582</v>
      </c>
      <c r="D466" t="s">
        <v>583</v>
      </c>
      <c r="E466" s="8">
        <v>2820</v>
      </c>
      <c r="F466" s="8">
        <v>129070</v>
      </c>
      <c r="G466" s="8">
        <f t="shared" si="28"/>
        <v>363977400</v>
      </c>
      <c r="H466" s="5">
        <v>0.315</v>
      </c>
      <c r="I466" s="8">
        <f t="shared" si="29"/>
        <v>363977400</v>
      </c>
      <c r="J466" s="8">
        <f t="shared" si="30"/>
        <v>114652881</v>
      </c>
      <c r="K466" t="str">
        <f t="shared" si="31"/>
        <v>MATCHED</v>
      </c>
    </row>
    <row r="467" spans="1:11">
      <c r="A467" t="s">
        <v>102</v>
      </c>
      <c r="B467" t="s">
        <v>103</v>
      </c>
      <c r="C467" t="s">
        <v>584</v>
      </c>
      <c r="D467" t="s">
        <v>585</v>
      </c>
      <c r="E467" s="8">
        <v>300</v>
      </c>
      <c r="F467" s="8">
        <v>90170</v>
      </c>
      <c r="G467" s="8">
        <f t="shared" si="28"/>
        <v>27051000</v>
      </c>
      <c r="H467" s="5">
        <v>0.7</v>
      </c>
      <c r="I467" s="8">
        <f t="shared" si="29"/>
        <v>27051000</v>
      </c>
      <c r="J467" s="8">
        <f t="shared" si="30"/>
        <v>18935700</v>
      </c>
      <c r="K467" t="str">
        <f t="shared" si="31"/>
        <v>MATCHED</v>
      </c>
    </row>
    <row r="468" spans="1:11">
      <c r="A468" t="s">
        <v>102</v>
      </c>
      <c r="B468" t="s">
        <v>103</v>
      </c>
      <c r="C468" t="s">
        <v>842</v>
      </c>
      <c r="D468" t="s">
        <v>843</v>
      </c>
      <c r="E468" s="8">
        <v>2050</v>
      </c>
      <c r="F468" s="8">
        <v>89750</v>
      </c>
      <c r="G468" s="8">
        <f t="shared" si="28"/>
        <v>183987500</v>
      </c>
      <c r="H468" s="5">
        <v>0.5217</v>
      </c>
      <c r="I468" s="8">
        <f t="shared" si="29"/>
        <v>183987500</v>
      </c>
      <c r="J468" s="8">
        <f t="shared" si="30"/>
        <v>95986278.75</v>
      </c>
      <c r="K468" t="str">
        <f t="shared" si="31"/>
        <v>MATCHED</v>
      </c>
    </row>
    <row r="469" spans="1:11">
      <c r="A469" t="s">
        <v>102</v>
      </c>
      <c r="B469" t="s">
        <v>103</v>
      </c>
      <c r="C469" t="s">
        <v>586</v>
      </c>
      <c r="D469" t="s">
        <v>587</v>
      </c>
      <c r="E469" s="8">
        <v>240</v>
      </c>
      <c r="F469" s="8">
        <v>90840</v>
      </c>
      <c r="G469" s="8">
        <f t="shared" si="28"/>
        <v>21801600</v>
      </c>
      <c r="H469" s="5">
        <v>0.71</v>
      </c>
      <c r="I469" s="8">
        <f t="shared" si="29"/>
        <v>21801600</v>
      </c>
      <c r="J469" s="8">
        <f t="shared" si="30"/>
        <v>15479136</v>
      </c>
      <c r="K469" t="str">
        <f t="shared" si="31"/>
        <v>MATCHED</v>
      </c>
    </row>
    <row r="470" spans="1:11">
      <c r="A470" t="s">
        <v>102</v>
      </c>
      <c r="B470" t="s">
        <v>103</v>
      </c>
      <c r="C470" t="s">
        <v>588</v>
      </c>
      <c r="D470" t="s">
        <v>589</v>
      </c>
      <c r="E470" s="8">
        <v>140</v>
      </c>
      <c r="F470" s="8">
        <v>105990</v>
      </c>
      <c r="G470" s="8">
        <f t="shared" si="28"/>
        <v>14838600</v>
      </c>
      <c r="H470" s="5"/>
      <c r="I470" s="8" t="str">
        <f t="shared" si="29"/>
        <v/>
      </c>
      <c r="J470" s="8" t="str">
        <f t="shared" si="30"/>
        <v/>
      </c>
      <c r="K470" t="str">
        <f t="shared" si="31"/>
        <v>MISSING WHARTON</v>
      </c>
    </row>
    <row r="471" spans="1:11">
      <c r="A471" t="s">
        <v>102</v>
      </c>
      <c r="B471" t="s">
        <v>103</v>
      </c>
      <c r="C471" t="s">
        <v>590</v>
      </c>
      <c r="D471" t="s">
        <v>591</v>
      </c>
      <c r="E471" s="8">
        <v>460</v>
      </c>
      <c r="F471" s="8">
        <v>78960</v>
      </c>
      <c r="G471" s="8">
        <f t="shared" si="28"/>
        <v>36321600</v>
      </c>
      <c r="H471" s="5">
        <v>0.4567</v>
      </c>
      <c r="I471" s="8">
        <f t="shared" si="29"/>
        <v>36321600</v>
      </c>
      <c r="J471" s="8">
        <f t="shared" si="30"/>
        <v>16588074.72</v>
      </c>
      <c r="K471" t="str">
        <f t="shared" si="31"/>
        <v>MATCHED</v>
      </c>
    </row>
    <row r="472" spans="1:11">
      <c r="A472" t="s">
        <v>102</v>
      </c>
      <c r="B472" t="s">
        <v>103</v>
      </c>
      <c r="C472" t="s">
        <v>592</v>
      </c>
      <c r="D472" t="s">
        <v>593</v>
      </c>
      <c r="E472" s="8">
        <v>6310</v>
      </c>
      <c r="F472" s="8">
        <v>97510</v>
      </c>
      <c r="G472" s="8">
        <f t="shared" si="28"/>
        <v>615288100</v>
      </c>
      <c r="H472" s="5">
        <v>0.4</v>
      </c>
      <c r="I472" s="8">
        <f t="shared" si="29"/>
        <v>615288100</v>
      </c>
      <c r="J472" s="8">
        <f t="shared" si="30"/>
        <v>246115240</v>
      </c>
      <c r="K472" t="str">
        <f t="shared" si="31"/>
        <v>MATCHED</v>
      </c>
    </row>
    <row r="473" spans="1:11">
      <c r="A473" t="s">
        <v>102</v>
      </c>
      <c r="B473" t="s">
        <v>103</v>
      </c>
      <c r="C473" t="s">
        <v>594</v>
      </c>
      <c r="D473" t="s">
        <v>595</v>
      </c>
      <c r="E473" s="8">
        <v>120</v>
      </c>
      <c r="F473" s="8">
        <v>111920</v>
      </c>
      <c r="G473" s="8">
        <f t="shared" si="28"/>
        <v>13430400</v>
      </c>
      <c r="H473" s="5">
        <v>0.1781</v>
      </c>
      <c r="I473" s="8">
        <f t="shared" si="29"/>
        <v>13430400</v>
      </c>
      <c r="J473" s="8">
        <f t="shared" si="30"/>
        <v>2391954.24</v>
      </c>
      <c r="K473" t="str">
        <f t="shared" si="31"/>
        <v>MATCHED</v>
      </c>
    </row>
    <row r="474" spans="1:11">
      <c r="A474" t="s">
        <v>102</v>
      </c>
      <c r="B474" t="s">
        <v>103</v>
      </c>
      <c r="C474" t="s">
        <v>596</v>
      </c>
      <c r="D474" t="s">
        <v>597</v>
      </c>
      <c r="E474" s="8">
        <v>80</v>
      </c>
      <c r="F474" s="8">
        <v>100860</v>
      </c>
      <c r="G474" s="8">
        <f t="shared" si="28"/>
        <v>8068800</v>
      </c>
      <c r="H474" s="5">
        <v>0.4615</v>
      </c>
      <c r="I474" s="8">
        <f t="shared" si="29"/>
        <v>8068800</v>
      </c>
      <c r="J474" s="8">
        <f t="shared" si="30"/>
        <v>3723751.2</v>
      </c>
      <c r="K474" t="str">
        <f t="shared" si="31"/>
        <v>MATCHED</v>
      </c>
    </row>
    <row r="475" spans="1:11">
      <c r="A475" t="s">
        <v>102</v>
      </c>
      <c r="B475" t="s">
        <v>103</v>
      </c>
      <c r="C475" t="s">
        <v>598</v>
      </c>
      <c r="D475" t="s">
        <v>599</v>
      </c>
      <c r="E475" s="8">
        <v>220</v>
      </c>
      <c r="F475" s="8">
        <v>104100</v>
      </c>
      <c r="G475" s="8">
        <f t="shared" si="28"/>
        <v>22902000</v>
      </c>
      <c r="H475" s="5">
        <v>0.2855</v>
      </c>
      <c r="I475" s="8">
        <f t="shared" si="29"/>
        <v>22902000</v>
      </c>
      <c r="J475" s="8">
        <f t="shared" si="30"/>
        <v>6538521</v>
      </c>
      <c r="K475" t="str">
        <f t="shared" si="31"/>
        <v>MATCHED</v>
      </c>
    </row>
    <row r="476" spans="1:11">
      <c r="A476" t="s">
        <v>102</v>
      </c>
      <c r="B476" t="s">
        <v>103</v>
      </c>
      <c r="C476" t="s">
        <v>600</v>
      </c>
      <c r="D476" t="s">
        <v>601</v>
      </c>
      <c r="E476" s="8">
        <v>360</v>
      </c>
      <c r="F476" s="8">
        <v>101680</v>
      </c>
      <c r="G476" s="8">
        <f t="shared" si="28"/>
        <v>36604800</v>
      </c>
      <c r="H476" s="5">
        <v>0.3125</v>
      </c>
      <c r="I476" s="8">
        <f t="shared" si="29"/>
        <v>36604800</v>
      </c>
      <c r="J476" s="8">
        <f t="shared" si="30"/>
        <v>11439000</v>
      </c>
      <c r="K476" t="str">
        <f t="shared" si="31"/>
        <v>MATCHED</v>
      </c>
    </row>
    <row r="477" spans="1:11">
      <c r="A477" t="s">
        <v>102</v>
      </c>
      <c r="B477" t="s">
        <v>103</v>
      </c>
      <c r="C477" t="s">
        <v>602</v>
      </c>
      <c r="D477" t="s">
        <v>603</v>
      </c>
      <c r="E477" s="8">
        <v>310</v>
      </c>
      <c r="F477" s="8">
        <v>97810</v>
      </c>
      <c r="G477" s="8">
        <f t="shared" si="28"/>
        <v>30321100</v>
      </c>
      <c r="H477" s="5">
        <v>0.1733</v>
      </c>
      <c r="I477" s="8">
        <f t="shared" si="29"/>
        <v>30321100</v>
      </c>
      <c r="J477" s="8">
        <f t="shared" si="30"/>
        <v>5254646.63</v>
      </c>
      <c r="K477" t="str">
        <f t="shared" si="31"/>
        <v>MATCHED</v>
      </c>
    </row>
    <row r="478" spans="1:11">
      <c r="A478" t="s">
        <v>102</v>
      </c>
      <c r="B478" t="s">
        <v>103</v>
      </c>
      <c r="C478" t="s">
        <v>604</v>
      </c>
      <c r="D478" t="s">
        <v>605</v>
      </c>
      <c r="E478" s="8">
        <v>630</v>
      </c>
      <c r="F478" s="8">
        <v>108350</v>
      </c>
      <c r="G478" s="8">
        <f t="shared" si="28"/>
        <v>68260500</v>
      </c>
      <c r="H478" s="5">
        <v>0.1404</v>
      </c>
      <c r="I478" s="8">
        <f t="shared" si="29"/>
        <v>68260500</v>
      </c>
      <c r="J478" s="8">
        <f t="shared" si="30"/>
        <v>9583774.2</v>
      </c>
      <c r="K478" t="str">
        <f t="shared" si="31"/>
        <v>MATCHED</v>
      </c>
    </row>
    <row r="479" spans="1:11">
      <c r="A479" t="s">
        <v>102</v>
      </c>
      <c r="B479" t="s">
        <v>103</v>
      </c>
      <c r="C479" t="s">
        <v>606</v>
      </c>
      <c r="D479" t="s">
        <v>607</v>
      </c>
      <c r="E479" s="8">
        <v>2230</v>
      </c>
      <c r="F479" s="8">
        <v>78900</v>
      </c>
      <c r="G479" s="8">
        <f t="shared" si="28"/>
        <v>175947000</v>
      </c>
      <c r="H479" s="5">
        <v>0.6783</v>
      </c>
      <c r="I479" s="8">
        <f t="shared" si="29"/>
        <v>175947000</v>
      </c>
      <c r="J479" s="8">
        <f t="shared" si="30"/>
        <v>119344850.1</v>
      </c>
      <c r="K479" t="str">
        <f t="shared" si="31"/>
        <v>MATCHED</v>
      </c>
    </row>
    <row r="480" spans="1:11">
      <c r="A480" t="s">
        <v>102</v>
      </c>
      <c r="B480" t="s">
        <v>103</v>
      </c>
      <c r="C480" t="s">
        <v>844</v>
      </c>
      <c r="D480" t="s">
        <v>845</v>
      </c>
      <c r="E480" s="8">
        <v>50</v>
      </c>
      <c r="F480" s="8">
        <v>116880</v>
      </c>
      <c r="G480" s="8">
        <f t="shared" si="28"/>
        <v>5844000</v>
      </c>
      <c r="H480" s="5">
        <v>0.15</v>
      </c>
      <c r="I480" s="8">
        <f t="shared" si="29"/>
        <v>5844000</v>
      </c>
      <c r="J480" s="8">
        <f t="shared" si="30"/>
        <v>876600</v>
      </c>
      <c r="K480" t="str">
        <f t="shared" si="31"/>
        <v>MATCHED</v>
      </c>
    </row>
    <row r="481" spans="1:11">
      <c r="A481" t="s">
        <v>102</v>
      </c>
      <c r="B481" t="s">
        <v>103</v>
      </c>
      <c r="C481" t="s">
        <v>311</v>
      </c>
      <c r="D481" t="s">
        <v>312</v>
      </c>
      <c r="E481" s="8">
        <v>910</v>
      </c>
      <c r="F481" s="8">
        <v>103150</v>
      </c>
      <c r="G481" s="8">
        <f t="shared" si="28"/>
        <v>93866500</v>
      </c>
      <c r="H481" s="5">
        <v>0.056</v>
      </c>
      <c r="I481" s="8">
        <f t="shared" si="29"/>
        <v>93866500</v>
      </c>
      <c r="J481" s="8">
        <f t="shared" si="30"/>
        <v>5256524</v>
      </c>
      <c r="K481" t="str">
        <f t="shared" si="31"/>
        <v>MATCHED</v>
      </c>
    </row>
    <row r="482" spans="1:11">
      <c r="A482" t="s">
        <v>102</v>
      </c>
      <c r="B482" t="s">
        <v>103</v>
      </c>
      <c r="C482" t="s">
        <v>846</v>
      </c>
      <c r="D482" t="s">
        <v>847</v>
      </c>
      <c r="E482" s="8">
        <v>50</v>
      </c>
      <c r="F482" s="8">
        <v>122170</v>
      </c>
      <c r="G482" s="8">
        <f t="shared" si="28"/>
        <v>6108500</v>
      </c>
      <c r="H482" s="5">
        <v>0.44</v>
      </c>
      <c r="I482" s="8">
        <f t="shared" si="29"/>
        <v>6108500</v>
      </c>
      <c r="J482" s="8">
        <f t="shared" si="30"/>
        <v>2687740</v>
      </c>
      <c r="K482" t="str">
        <f t="shared" si="31"/>
        <v>MATCHED</v>
      </c>
    </row>
    <row r="483" spans="1:11">
      <c r="A483" t="s">
        <v>102</v>
      </c>
      <c r="B483" t="s">
        <v>103</v>
      </c>
      <c r="C483" t="s">
        <v>848</v>
      </c>
      <c r="D483" t="s">
        <v>849</v>
      </c>
      <c r="E483" s="8">
        <v>40</v>
      </c>
      <c r="F483" s="8">
        <v>128020</v>
      </c>
      <c r="G483" s="8">
        <f t="shared" si="28"/>
        <v>5120800</v>
      </c>
      <c r="H483" s="5">
        <v>0.5759</v>
      </c>
      <c r="I483" s="8">
        <f t="shared" si="29"/>
        <v>5120800</v>
      </c>
      <c r="J483" s="8">
        <f t="shared" si="30"/>
        <v>2949068.72</v>
      </c>
      <c r="K483" t="str">
        <f t="shared" si="31"/>
        <v>MATCHED</v>
      </c>
    </row>
    <row r="484" spans="1:11">
      <c r="A484" t="s">
        <v>102</v>
      </c>
      <c r="B484" t="s">
        <v>103</v>
      </c>
      <c r="C484" t="s">
        <v>608</v>
      </c>
      <c r="D484" t="s">
        <v>609</v>
      </c>
      <c r="E484" s="8">
        <v>610</v>
      </c>
      <c r="F484" s="8">
        <v>122730</v>
      </c>
      <c r="G484" s="8">
        <f t="shared" si="28"/>
        <v>74865300</v>
      </c>
      <c r="H484" s="5">
        <v>0.1808</v>
      </c>
      <c r="I484" s="8">
        <f t="shared" si="29"/>
        <v>74865300</v>
      </c>
      <c r="J484" s="8">
        <f t="shared" si="30"/>
        <v>13535646.24</v>
      </c>
      <c r="K484" t="str">
        <f t="shared" si="31"/>
        <v>MATCHED</v>
      </c>
    </row>
    <row r="485" spans="1:11">
      <c r="A485" t="s">
        <v>102</v>
      </c>
      <c r="B485" t="s">
        <v>103</v>
      </c>
      <c r="C485" t="s">
        <v>610</v>
      </c>
      <c r="D485" t="s">
        <v>611</v>
      </c>
      <c r="E485" s="8">
        <v>1160</v>
      </c>
      <c r="F485" s="8">
        <v>119250</v>
      </c>
      <c r="G485" s="8">
        <f t="shared" si="28"/>
        <v>138330000</v>
      </c>
      <c r="H485" s="5">
        <v>0.4662</v>
      </c>
      <c r="I485" s="8">
        <f t="shared" si="29"/>
        <v>138330000</v>
      </c>
      <c r="J485" s="8">
        <f t="shared" si="30"/>
        <v>64489446</v>
      </c>
      <c r="K485" t="str">
        <f t="shared" si="31"/>
        <v>MATCHED</v>
      </c>
    </row>
    <row r="486" spans="1:11">
      <c r="A486" t="s">
        <v>102</v>
      </c>
      <c r="B486" t="s">
        <v>103</v>
      </c>
      <c r="C486" t="s">
        <v>612</v>
      </c>
      <c r="D486" t="s">
        <v>613</v>
      </c>
      <c r="E486" s="8">
        <v>120</v>
      </c>
      <c r="F486" s="8">
        <v>141130</v>
      </c>
      <c r="G486" s="8">
        <f t="shared" si="28"/>
        <v>16935600</v>
      </c>
      <c r="H486" s="5">
        <v>0.2937</v>
      </c>
      <c r="I486" s="8">
        <f t="shared" si="29"/>
        <v>16935600</v>
      </c>
      <c r="J486" s="8">
        <f t="shared" si="30"/>
        <v>4973985.72</v>
      </c>
      <c r="K486" t="str">
        <f t="shared" si="31"/>
        <v>MATCHED</v>
      </c>
    </row>
    <row r="487" spans="1:11">
      <c r="A487" t="s">
        <v>102</v>
      </c>
      <c r="B487" t="s">
        <v>103</v>
      </c>
      <c r="C487" t="s">
        <v>850</v>
      </c>
      <c r="D487" t="s">
        <v>851</v>
      </c>
      <c r="E487" s="8">
        <v>60</v>
      </c>
      <c r="F487" s="8">
        <v>111990</v>
      </c>
      <c r="G487" s="8">
        <f t="shared" si="28"/>
        <v>6719400</v>
      </c>
      <c r="H487" s="5">
        <v>0.5312</v>
      </c>
      <c r="I487" s="8">
        <f t="shared" si="29"/>
        <v>6719400</v>
      </c>
      <c r="J487" s="8">
        <f t="shared" si="30"/>
        <v>3569345.28</v>
      </c>
      <c r="K487" t="str">
        <f t="shared" si="31"/>
        <v>MATCHED</v>
      </c>
    </row>
    <row r="488" spans="1:11">
      <c r="A488" t="s">
        <v>102</v>
      </c>
      <c r="B488" t="s">
        <v>103</v>
      </c>
      <c r="C488" t="s">
        <v>614</v>
      </c>
      <c r="D488" t="s">
        <v>615</v>
      </c>
      <c r="E488" s="8">
        <v>170</v>
      </c>
      <c r="F488" s="8">
        <v>145820</v>
      </c>
      <c r="G488" s="8">
        <f t="shared" si="28"/>
        <v>24789400</v>
      </c>
      <c r="H488" s="5">
        <v>0.5271</v>
      </c>
      <c r="I488" s="8">
        <f t="shared" si="29"/>
        <v>24789400</v>
      </c>
      <c r="J488" s="8">
        <f t="shared" si="30"/>
        <v>13066492.74</v>
      </c>
      <c r="K488" t="str">
        <f t="shared" si="31"/>
        <v>MATCHED</v>
      </c>
    </row>
    <row r="489" spans="1:11">
      <c r="A489" t="s">
        <v>102</v>
      </c>
      <c r="B489" t="s">
        <v>103</v>
      </c>
      <c r="C489" t="s">
        <v>852</v>
      </c>
      <c r="D489" t="s">
        <v>853</v>
      </c>
      <c r="E489" s="8">
        <v>190</v>
      </c>
      <c r="F489" s="8">
        <v>126530</v>
      </c>
      <c r="G489" s="8">
        <f t="shared" si="28"/>
        <v>24040700</v>
      </c>
      <c r="H489" s="5">
        <v>0.554</v>
      </c>
      <c r="I489" s="8">
        <f t="shared" si="29"/>
        <v>24040700</v>
      </c>
      <c r="J489" s="8">
        <f t="shared" si="30"/>
        <v>13318547.8</v>
      </c>
      <c r="K489" t="str">
        <f t="shared" si="31"/>
        <v>MATCHED</v>
      </c>
    </row>
    <row r="490" spans="1:11">
      <c r="A490" t="s">
        <v>102</v>
      </c>
      <c r="B490" t="s">
        <v>103</v>
      </c>
      <c r="C490" t="s">
        <v>616</v>
      </c>
      <c r="D490" t="s">
        <v>617</v>
      </c>
      <c r="E490" s="8">
        <v>790</v>
      </c>
      <c r="F490" s="8">
        <v>97980</v>
      </c>
      <c r="G490" s="8">
        <f t="shared" si="28"/>
        <v>77404200</v>
      </c>
      <c r="H490" s="5">
        <v>0.25</v>
      </c>
      <c r="I490" s="8">
        <f t="shared" si="29"/>
        <v>77404200</v>
      </c>
      <c r="J490" s="8">
        <f t="shared" si="30"/>
        <v>19351050</v>
      </c>
      <c r="K490" t="str">
        <f t="shared" si="31"/>
        <v>MATCHED</v>
      </c>
    </row>
    <row r="491" spans="1:11">
      <c r="A491" t="s">
        <v>102</v>
      </c>
      <c r="B491" t="s">
        <v>103</v>
      </c>
      <c r="C491" t="s">
        <v>618</v>
      </c>
      <c r="D491" t="s">
        <v>619</v>
      </c>
      <c r="E491" s="8">
        <v>600</v>
      </c>
      <c r="F491" s="8">
        <v>88870</v>
      </c>
      <c r="G491" s="8">
        <f t="shared" si="28"/>
        <v>53322000</v>
      </c>
      <c r="H491" s="5">
        <v>0.2635</v>
      </c>
      <c r="I491" s="8">
        <f t="shared" si="29"/>
        <v>53322000</v>
      </c>
      <c r="J491" s="8">
        <f t="shared" si="30"/>
        <v>14050347</v>
      </c>
      <c r="K491" t="str">
        <f t="shared" si="31"/>
        <v>MATCHED</v>
      </c>
    </row>
    <row r="492" spans="1:11">
      <c r="A492" t="s">
        <v>102</v>
      </c>
      <c r="B492" t="s">
        <v>103</v>
      </c>
      <c r="C492" t="s">
        <v>620</v>
      </c>
      <c r="D492" t="s">
        <v>621</v>
      </c>
      <c r="E492" s="8">
        <v>60</v>
      </c>
      <c r="F492" s="8">
        <v>97820</v>
      </c>
      <c r="G492" s="8">
        <f t="shared" si="28"/>
        <v>5869200</v>
      </c>
      <c r="H492" s="5">
        <v>0.3617</v>
      </c>
      <c r="I492" s="8">
        <f t="shared" si="29"/>
        <v>5869200</v>
      </c>
      <c r="J492" s="8">
        <f t="shared" si="30"/>
        <v>2122889.64</v>
      </c>
      <c r="K492" t="str">
        <f t="shared" si="31"/>
        <v>MATCHED</v>
      </c>
    </row>
    <row r="493" spans="1:11">
      <c r="A493" t="s">
        <v>102</v>
      </c>
      <c r="B493" t="s">
        <v>103</v>
      </c>
      <c r="C493" t="s">
        <v>622</v>
      </c>
      <c r="D493" t="s">
        <v>623</v>
      </c>
      <c r="E493" s="8">
        <v>100</v>
      </c>
      <c r="F493" s="8">
        <v>76180</v>
      </c>
      <c r="G493" s="8">
        <f t="shared" si="28"/>
        <v>7618000</v>
      </c>
      <c r="H493" s="5">
        <v>0.4562</v>
      </c>
      <c r="I493" s="8">
        <f t="shared" si="29"/>
        <v>7618000</v>
      </c>
      <c r="J493" s="8">
        <f t="shared" si="30"/>
        <v>3475331.6</v>
      </c>
      <c r="K493" t="str">
        <f t="shared" si="31"/>
        <v>MATCHED</v>
      </c>
    </row>
    <row r="494" spans="1:11">
      <c r="A494" t="s">
        <v>102</v>
      </c>
      <c r="B494" t="s">
        <v>103</v>
      </c>
      <c r="C494" t="s">
        <v>854</v>
      </c>
      <c r="D494" t="s">
        <v>855</v>
      </c>
      <c r="E494" s="8">
        <v>3600</v>
      </c>
      <c r="F494" s="8">
        <v>117660</v>
      </c>
      <c r="G494" s="8">
        <f t="shared" si="28"/>
        <v>423576000</v>
      </c>
      <c r="H494" s="5">
        <v>0.1619</v>
      </c>
      <c r="I494" s="8">
        <f t="shared" si="29"/>
        <v>423576000</v>
      </c>
      <c r="J494" s="8">
        <f t="shared" si="30"/>
        <v>68576954.4</v>
      </c>
      <c r="K494" t="str">
        <f t="shared" si="31"/>
        <v>MATCHED</v>
      </c>
    </row>
    <row r="495" spans="1:11">
      <c r="A495" t="s">
        <v>102</v>
      </c>
      <c r="B495" t="s">
        <v>103</v>
      </c>
      <c r="C495" t="s">
        <v>856</v>
      </c>
      <c r="D495" t="s">
        <v>857</v>
      </c>
      <c r="E495" s="8">
        <v>390</v>
      </c>
      <c r="F495" s="8">
        <v>100170</v>
      </c>
      <c r="G495" s="8">
        <f t="shared" si="28"/>
        <v>39066300</v>
      </c>
      <c r="H495" s="5">
        <v>0.181</v>
      </c>
      <c r="I495" s="8">
        <f t="shared" si="29"/>
        <v>39066300</v>
      </c>
      <c r="J495" s="8">
        <f t="shared" si="30"/>
        <v>7071000.3</v>
      </c>
      <c r="K495" t="str">
        <f t="shared" si="31"/>
        <v>MATCHED</v>
      </c>
    </row>
    <row r="496" spans="1:11">
      <c r="A496" t="s">
        <v>102</v>
      </c>
      <c r="B496" t="s">
        <v>103</v>
      </c>
      <c r="C496" t="s">
        <v>624</v>
      </c>
      <c r="D496" t="s">
        <v>625</v>
      </c>
      <c r="E496" s="8">
        <v>110</v>
      </c>
      <c r="F496" s="8">
        <v>97280</v>
      </c>
      <c r="G496" s="8">
        <f t="shared" si="28"/>
        <v>10700800</v>
      </c>
      <c r="H496" s="5">
        <v>0.5519</v>
      </c>
      <c r="I496" s="8">
        <f t="shared" si="29"/>
        <v>10700800</v>
      </c>
      <c r="J496" s="8">
        <f t="shared" si="30"/>
        <v>5905771.52</v>
      </c>
      <c r="K496" t="str">
        <f t="shared" si="31"/>
        <v>MATCHED</v>
      </c>
    </row>
    <row r="497" spans="1:11">
      <c r="A497" t="s">
        <v>102</v>
      </c>
      <c r="B497" t="s">
        <v>103</v>
      </c>
      <c r="C497" t="s">
        <v>319</v>
      </c>
      <c r="D497" t="s">
        <v>320</v>
      </c>
      <c r="E497" s="8">
        <v>2880</v>
      </c>
      <c r="F497" s="8">
        <v>117490</v>
      </c>
      <c r="G497" s="8">
        <f t="shared" si="28"/>
        <v>338371200</v>
      </c>
      <c r="H497" s="5">
        <v>0.2786</v>
      </c>
      <c r="I497" s="8">
        <f t="shared" si="29"/>
        <v>338371200</v>
      </c>
      <c r="J497" s="8">
        <f t="shared" si="30"/>
        <v>94270216.32</v>
      </c>
      <c r="K497" t="str">
        <f t="shared" si="31"/>
        <v>MATCHED</v>
      </c>
    </row>
    <row r="498" spans="1:11">
      <c r="A498" t="s">
        <v>102</v>
      </c>
      <c r="B498" t="s">
        <v>103</v>
      </c>
      <c r="C498" t="s">
        <v>626</v>
      </c>
      <c r="D498" t="s">
        <v>627</v>
      </c>
      <c r="E498" s="8">
        <v>270</v>
      </c>
      <c r="F498" s="8">
        <v>105310</v>
      </c>
      <c r="G498" s="8">
        <f t="shared" si="28"/>
        <v>28433700</v>
      </c>
      <c r="H498" s="5">
        <v>0.2712</v>
      </c>
      <c r="I498" s="8">
        <f t="shared" si="29"/>
        <v>28433700</v>
      </c>
      <c r="J498" s="8">
        <f t="shared" si="30"/>
        <v>7711219.44</v>
      </c>
      <c r="K498" t="str">
        <f t="shared" si="31"/>
        <v>MATCHED</v>
      </c>
    </row>
    <row r="499" spans="1:11">
      <c r="A499" t="s">
        <v>102</v>
      </c>
      <c r="B499" t="s">
        <v>103</v>
      </c>
      <c r="C499" t="s">
        <v>628</v>
      </c>
      <c r="D499" t="s">
        <v>629</v>
      </c>
      <c r="E499" s="8">
        <v>1540</v>
      </c>
      <c r="F499" s="8">
        <v>235210</v>
      </c>
      <c r="G499" s="8">
        <f t="shared" si="28"/>
        <v>362223400</v>
      </c>
      <c r="H499" s="5">
        <v>0.45</v>
      </c>
      <c r="I499" s="8">
        <f t="shared" si="29"/>
        <v>362223400</v>
      </c>
      <c r="J499" s="8">
        <f t="shared" si="30"/>
        <v>163000530</v>
      </c>
      <c r="K499" t="str">
        <f t="shared" si="31"/>
        <v>MATCHED</v>
      </c>
    </row>
    <row r="500" spans="1:11">
      <c r="A500" t="s">
        <v>102</v>
      </c>
      <c r="B500" t="s">
        <v>103</v>
      </c>
      <c r="C500" t="s">
        <v>630</v>
      </c>
      <c r="D500" t="s">
        <v>631</v>
      </c>
      <c r="E500" s="8">
        <v>280</v>
      </c>
      <c r="F500" s="8">
        <v>96380</v>
      </c>
      <c r="G500" s="8">
        <f t="shared" si="28"/>
        <v>26986400</v>
      </c>
      <c r="H500" s="5">
        <v>0.5917</v>
      </c>
      <c r="I500" s="8">
        <f t="shared" si="29"/>
        <v>26986400</v>
      </c>
      <c r="J500" s="8">
        <f t="shared" si="30"/>
        <v>15967852.88</v>
      </c>
      <c r="K500" t="str">
        <f t="shared" si="31"/>
        <v>MATCHED</v>
      </c>
    </row>
    <row r="501" spans="1:11">
      <c r="A501" t="s">
        <v>102</v>
      </c>
      <c r="B501" t="s">
        <v>103</v>
      </c>
      <c r="C501" t="s">
        <v>632</v>
      </c>
      <c r="D501" t="s">
        <v>633</v>
      </c>
      <c r="E501" s="8">
        <v>100</v>
      </c>
      <c r="F501" s="8">
        <v>96430</v>
      </c>
      <c r="G501" s="8">
        <f t="shared" si="28"/>
        <v>9643000</v>
      </c>
      <c r="H501" s="5">
        <v>0.8794</v>
      </c>
      <c r="I501" s="8">
        <f t="shared" si="29"/>
        <v>9643000</v>
      </c>
      <c r="J501" s="8">
        <f t="shared" si="30"/>
        <v>8480054.2</v>
      </c>
      <c r="K501" t="str">
        <f t="shared" si="31"/>
        <v>MATCHED</v>
      </c>
    </row>
    <row r="502" spans="1:11">
      <c r="A502" t="s">
        <v>102</v>
      </c>
      <c r="B502" t="s">
        <v>103</v>
      </c>
      <c r="C502" t="s">
        <v>858</v>
      </c>
      <c r="D502" t="s">
        <v>859</v>
      </c>
      <c r="E502" s="8">
        <v>130</v>
      </c>
      <c r="F502" s="8">
        <v>96550</v>
      </c>
      <c r="G502" s="8">
        <f t="shared" si="28"/>
        <v>12551500</v>
      </c>
      <c r="H502" s="5">
        <v>0.7375</v>
      </c>
      <c r="I502" s="8">
        <f t="shared" si="29"/>
        <v>12551500</v>
      </c>
      <c r="J502" s="8">
        <f t="shared" si="30"/>
        <v>9256731.25</v>
      </c>
      <c r="K502" t="str">
        <f t="shared" si="31"/>
        <v>MATCHED</v>
      </c>
    </row>
    <row r="503" spans="1:11">
      <c r="A503" t="s">
        <v>102</v>
      </c>
      <c r="B503" t="s">
        <v>103</v>
      </c>
      <c r="C503" t="s">
        <v>323</v>
      </c>
      <c r="D503" t="s">
        <v>324</v>
      </c>
      <c r="E503" s="8">
        <v>1880</v>
      </c>
      <c r="F503" s="8">
        <v>102640</v>
      </c>
      <c r="G503" s="8">
        <f t="shared" si="28"/>
        <v>192963200</v>
      </c>
      <c r="H503" s="5">
        <v>0.575</v>
      </c>
      <c r="I503" s="8">
        <f t="shared" si="29"/>
        <v>192963200</v>
      </c>
      <c r="J503" s="8">
        <f t="shared" si="30"/>
        <v>110953840</v>
      </c>
      <c r="K503" t="str">
        <f t="shared" si="31"/>
        <v>MATCHED</v>
      </c>
    </row>
    <row r="504" spans="1:11">
      <c r="A504" t="s">
        <v>102</v>
      </c>
      <c r="B504" t="s">
        <v>103</v>
      </c>
      <c r="C504" t="s">
        <v>636</v>
      </c>
      <c r="D504" t="s">
        <v>637</v>
      </c>
      <c r="E504" s="8">
        <v>250</v>
      </c>
      <c r="F504" s="8">
        <v>124940</v>
      </c>
      <c r="G504" s="8">
        <f t="shared" si="28"/>
        <v>31235000</v>
      </c>
      <c r="H504" s="5">
        <v>0.71</v>
      </c>
      <c r="I504" s="8">
        <f t="shared" si="29"/>
        <v>31235000</v>
      </c>
      <c r="J504" s="8">
        <f t="shared" si="30"/>
        <v>22176850</v>
      </c>
      <c r="K504" t="str">
        <f t="shared" si="31"/>
        <v>MATCHED</v>
      </c>
    </row>
    <row r="505" spans="1:11">
      <c r="A505" t="s">
        <v>102</v>
      </c>
      <c r="B505" t="s">
        <v>103</v>
      </c>
      <c r="C505" t="s">
        <v>860</v>
      </c>
      <c r="D505" t="s">
        <v>861</v>
      </c>
      <c r="E505" s="8">
        <v>40</v>
      </c>
      <c r="F505" s="8">
        <v>119850</v>
      </c>
      <c r="G505" s="8">
        <f t="shared" si="28"/>
        <v>4794000</v>
      </c>
      <c r="H505" s="5">
        <v>0.7744</v>
      </c>
      <c r="I505" s="8">
        <f t="shared" si="29"/>
        <v>4794000</v>
      </c>
      <c r="J505" s="8">
        <f t="shared" si="30"/>
        <v>3712473.6</v>
      </c>
      <c r="K505" t="str">
        <f t="shared" si="31"/>
        <v>MATCHED</v>
      </c>
    </row>
    <row r="506" spans="1:11">
      <c r="A506" t="s">
        <v>102</v>
      </c>
      <c r="B506" t="s">
        <v>103</v>
      </c>
      <c r="C506" t="s">
        <v>862</v>
      </c>
      <c r="D506" t="s">
        <v>863</v>
      </c>
      <c r="E506" s="8">
        <v>70</v>
      </c>
      <c r="F506" s="8">
        <v>94110</v>
      </c>
      <c r="G506" s="8">
        <f t="shared" si="28"/>
        <v>6587700</v>
      </c>
      <c r="H506" s="5">
        <v>0.1958</v>
      </c>
      <c r="I506" s="8">
        <f t="shared" si="29"/>
        <v>6587700</v>
      </c>
      <c r="J506" s="8">
        <f t="shared" si="30"/>
        <v>1289871.66</v>
      </c>
      <c r="K506" t="str">
        <f t="shared" si="31"/>
        <v>MATCHED</v>
      </c>
    </row>
    <row r="507" spans="1:11">
      <c r="A507" t="s">
        <v>102</v>
      </c>
      <c r="B507" t="s">
        <v>103</v>
      </c>
      <c r="C507" t="s">
        <v>864</v>
      </c>
      <c r="D507" t="s">
        <v>865</v>
      </c>
      <c r="E507" s="8">
        <v>40</v>
      </c>
      <c r="F507" s="8">
        <v>121550</v>
      </c>
      <c r="G507" s="8">
        <f t="shared" si="28"/>
        <v>4862000</v>
      </c>
      <c r="H507" s="5">
        <v>0.2267</v>
      </c>
      <c r="I507" s="8">
        <f t="shared" si="29"/>
        <v>4862000</v>
      </c>
      <c r="J507" s="8">
        <f t="shared" si="30"/>
        <v>1102215.4</v>
      </c>
      <c r="K507" t="str">
        <f t="shared" si="31"/>
        <v>MATCHED</v>
      </c>
    </row>
    <row r="508" spans="1:11">
      <c r="A508" t="s">
        <v>102</v>
      </c>
      <c r="B508" t="s">
        <v>103</v>
      </c>
      <c r="C508" t="s">
        <v>644</v>
      </c>
      <c r="D508" t="s">
        <v>645</v>
      </c>
      <c r="E508" s="8">
        <v>630</v>
      </c>
      <c r="F508" s="8">
        <v>104960</v>
      </c>
      <c r="G508" s="8">
        <f t="shared" si="28"/>
        <v>66124800</v>
      </c>
      <c r="H508" s="5">
        <v>0.3929</v>
      </c>
      <c r="I508" s="8">
        <f t="shared" si="29"/>
        <v>66124800</v>
      </c>
      <c r="J508" s="8">
        <f t="shared" si="30"/>
        <v>25980433.92</v>
      </c>
      <c r="K508" t="str">
        <f t="shared" si="31"/>
        <v>MATCHED</v>
      </c>
    </row>
    <row r="509" spans="1:11">
      <c r="A509" t="s">
        <v>102</v>
      </c>
      <c r="B509" t="s">
        <v>103</v>
      </c>
      <c r="C509" t="s">
        <v>866</v>
      </c>
      <c r="D509" t="s">
        <v>867</v>
      </c>
      <c r="E509" s="8">
        <v>40</v>
      </c>
      <c r="F509" s="8">
        <v>109600</v>
      </c>
      <c r="G509" s="8">
        <f t="shared" si="28"/>
        <v>4384000</v>
      </c>
      <c r="H509" s="5"/>
      <c r="I509" s="8" t="str">
        <f t="shared" si="29"/>
        <v/>
      </c>
      <c r="J509" s="8" t="str">
        <f t="shared" si="30"/>
        <v/>
      </c>
      <c r="K509" t="str">
        <f t="shared" si="31"/>
        <v>MISSING WHARTON</v>
      </c>
    </row>
    <row r="510" spans="1:11">
      <c r="A510" t="s">
        <v>102</v>
      </c>
      <c r="B510" t="s">
        <v>103</v>
      </c>
      <c r="C510" t="s">
        <v>868</v>
      </c>
      <c r="D510" t="s">
        <v>869</v>
      </c>
      <c r="E510" s="8">
        <v>70</v>
      </c>
      <c r="F510" s="8">
        <v>93060</v>
      </c>
      <c r="G510" s="8">
        <f t="shared" si="28"/>
        <v>6514200</v>
      </c>
      <c r="H510" s="5">
        <v>0.0317</v>
      </c>
      <c r="I510" s="8">
        <f t="shared" si="29"/>
        <v>6514200</v>
      </c>
      <c r="J510" s="8">
        <f t="shared" si="30"/>
        <v>206500.14</v>
      </c>
      <c r="K510" t="str">
        <f t="shared" si="31"/>
        <v>MATCHED</v>
      </c>
    </row>
    <row r="511" spans="1:11">
      <c r="A511" t="s">
        <v>102</v>
      </c>
      <c r="B511" t="s">
        <v>103</v>
      </c>
      <c r="C511" t="s">
        <v>870</v>
      </c>
      <c r="D511" t="s">
        <v>871</v>
      </c>
      <c r="E511" s="8"/>
      <c r="F511" s="8">
        <v>89850</v>
      </c>
      <c r="G511" s="8" t="str">
        <f t="shared" si="28"/>
        <v/>
      </c>
      <c r="H511" s="5">
        <v>0.3324</v>
      </c>
      <c r="I511" s="8" t="str">
        <f t="shared" si="29"/>
        <v/>
      </c>
      <c r="J511" s="8" t="str">
        <f t="shared" si="30"/>
        <v/>
      </c>
      <c r="K511" t="str">
        <f t="shared" si="31"/>
        <v>MISSING OEWS</v>
      </c>
    </row>
    <row r="512" spans="1:11">
      <c r="A512" t="s">
        <v>102</v>
      </c>
      <c r="B512" t="s">
        <v>103</v>
      </c>
      <c r="C512" t="s">
        <v>329</v>
      </c>
      <c r="D512" t="s">
        <v>330</v>
      </c>
      <c r="E512" s="8">
        <v>4740</v>
      </c>
      <c r="F512" s="8">
        <v>68330</v>
      </c>
      <c r="G512" s="8">
        <f t="shared" si="28"/>
        <v>323884200</v>
      </c>
      <c r="H512" s="5">
        <v>0.1357</v>
      </c>
      <c r="I512" s="8">
        <f t="shared" si="29"/>
        <v>323884200</v>
      </c>
      <c r="J512" s="8">
        <f t="shared" si="30"/>
        <v>43951085.94</v>
      </c>
      <c r="K512" t="str">
        <f t="shared" si="31"/>
        <v>MATCHED</v>
      </c>
    </row>
    <row r="513" spans="1:11">
      <c r="A513" t="s">
        <v>102</v>
      </c>
      <c r="B513" t="s">
        <v>103</v>
      </c>
      <c r="C513" t="s">
        <v>872</v>
      </c>
      <c r="D513" t="s">
        <v>873</v>
      </c>
      <c r="E513" s="8">
        <v>100</v>
      </c>
      <c r="F513" s="8">
        <v>110060</v>
      </c>
      <c r="G513" s="8">
        <f t="shared" si="28"/>
        <v>11006000</v>
      </c>
      <c r="H513" s="5">
        <v>0.3357</v>
      </c>
      <c r="I513" s="8">
        <f t="shared" si="29"/>
        <v>11006000</v>
      </c>
      <c r="J513" s="8">
        <f t="shared" si="30"/>
        <v>3694714.2</v>
      </c>
      <c r="K513" t="str">
        <f t="shared" si="31"/>
        <v>MATCHED</v>
      </c>
    </row>
    <row r="514" spans="1:11">
      <c r="A514" t="s">
        <v>102</v>
      </c>
      <c r="B514" t="s">
        <v>103</v>
      </c>
      <c r="C514" t="s">
        <v>333</v>
      </c>
      <c r="D514" t="s">
        <v>334</v>
      </c>
      <c r="E514" s="8">
        <v>290</v>
      </c>
      <c r="F514" s="8">
        <v>79960</v>
      </c>
      <c r="G514" s="8">
        <f t="shared" ref="G514:G577" si="32">IF(OR(E514="",F514=""),"",E514*F514)</f>
        <v>23188400</v>
      </c>
      <c r="H514" s="5">
        <v>0.2357</v>
      </c>
      <c r="I514" s="8">
        <f t="shared" ref="I514:I577" si="33">IF(G514="","",IF(ISNUMBER(H514),G514,""))</f>
        <v>23188400</v>
      </c>
      <c r="J514" s="8">
        <f t="shared" ref="J514:J577" si="34">IF(I514="","",I514*H514)</f>
        <v>5465505.88</v>
      </c>
      <c r="K514" t="str">
        <f t="shared" ref="K514:K577" si="35">IF(G514="","MISSING OEWS",IF(ISNUMBER(H514),"MATCHED","MISSING WHARTON"))</f>
        <v>MATCHED</v>
      </c>
    </row>
    <row r="515" spans="1:11">
      <c r="A515" t="s">
        <v>102</v>
      </c>
      <c r="B515" t="s">
        <v>103</v>
      </c>
      <c r="C515" t="s">
        <v>335</v>
      </c>
      <c r="D515" t="s">
        <v>336</v>
      </c>
      <c r="E515" s="8">
        <v>620</v>
      </c>
      <c r="F515" s="8">
        <v>47500</v>
      </c>
      <c r="G515" s="8">
        <f t="shared" si="32"/>
        <v>29450000</v>
      </c>
      <c r="H515" s="5">
        <v>0</v>
      </c>
      <c r="I515" s="8">
        <f t="shared" si="33"/>
        <v>29450000</v>
      </c>
      <c r="J515" s="8">
        <f t="shared" si="34"/>
        <v>0</v>
      </c>
      <c r="K515" t="str">
        <f t="shared" si="35"/>
        <v>MATCHED</v>
      </c>
    </row>
    <row r="516" spans="1:11">
      <c r="A516" t="s">
        <v>102</v>
      </c>
      <c r="B516" t="s">
        <v>103</v>
      </c>
      <c r="C516" t="s">
        <v>341</v>
      </c>
      <c r="D516" t="s">
        <v>342</v>
      </c>
      <c r="E516" s="8">
        <v>1570</v>
      </c>
      <c r="F516" s="8">
        <v>47060</v>
      </c>
      <c r="G516" s="8">
        <f t="shared" si="32"/>
        <v>73884200</v>
      </c>
      <c r="H516" s="5">
        <v>0</v>
      </c>
      <c r="I516" s="8">
        <f t="shared" si="33"/>
        <v>73884200</v>
      </c>
      <c r="J516" s="8">
        <f t="shared" si="34"/>
        <v>0</v>
      </c>
      <c r="K516" t="str">
        <f t="shared" si="35"/>
        <v>MATCHED</v>
      </c>
    </row>
    <row r="517" spans="1:11">
      <c r="A517" t="s">
        <v>102</v>
      </c>
      <c r="B517" t="s">
        <v>103</v>
      </c>
      <c r="C517" t="s">
        <v>345</v>
      </c>
      <c r="D517" t="s">
        <v>346</v>
      </c>
      <c r="E517" s="8">
        <v>1040</v>
      </c>
      <c r="F517" s="8">
        <v>65010</v>
      </c>
      <c r="G517" s="8">
        <f t="shared" si="32"/>
        <v>67610400</v>
      </c>
      <c r="H517" s="5">
        <v>0</v>
      </c>
      <c r="I517" s="8">
        <f t="shared" si="33"/>
        <v>67610400</v>
      </c>
      <c r="J517" s="8">
        <f t="shared" si="34"/>
        <v>0</v>
      </c>
      <c r="K517" t="str">
        <f t="shared" si="35"/>
        <v>MATCHED</v>
      </c>
    </row>
    <row r="518" spans="1:11">
      <c r="A518" t="s">
        <v>102</v>
      </c>
      <c r="B518" t="s">
        <v>103</v>
      </c>
      <c r="C518" t="s">
        <v>874</v>
      </c>
      <c r="D518" t="s">
        <v>875</v>
      </c>
      <c r="E518" s="8">
        <v>30</v>
      </c>
      <c r="F518" s="8">
        <v>60910</v>
      </c>
      <c r="G518" s="8">
        <f t="shared" si="32"/>
        <v>1827300</v>
      </c>
      <c r="H518" s="5"/>
      <c r="I518" s="8" t="str">
        <f t="shared" si="33"/>
        <v/>
      </c>
      <c r="J518" s="8" t="str">
        <f t="shared" si="34"/>
        <v/>
      </c>
      <c r="K518" t="str">
        <f t="shared" si="35"/>
        <v>MISSING WHARTON</v>
      </c>
    </row>
    <row r="519" spans="1:11">
      <c r="A519" t="s">
        <v>102</v>
      </c>
      <c r="B519" t="s">
        <v>103</v>
      </c>
      <c r="C519" t="s">
        <v>876</v>
      </c>
      <c r="D519" t="s">
        <v>877</v>
      </c>
      <c r="E519" s="8"/>
      <c r="F519" s="8">
        <v>40970</v>
      </c>
      <c r="G519" s="8" t="str">
        <f t="shared" si="32"/>
        <v/>
      </c>
      <c r="H519" s="5">
        <v>0.25</v>
      </c>
      <c r="I519" s="8" t="str">
        <f t="shared" si="33"/>
        <v/>
      </c>
      <c r="J519" s="8" t="str">
        <f t="shared" si="34"/>
        <v/>
      </c>
      <c r="K519" t="str">
        <f t="shared" si="35"/>
        <v>MISSING OEWS</v>
      </c>
    </row>
    <row r="520" spans="1:11">
      <c r="A520" t="s">
        <v>102</v>
      </c>
      <c r="B520" t="s">
        <v>103</v>
      </c>
      <c r="C520" t="s">
        <v>355</v>
      </c>
      <c r="D520" t="s">
        <v>356</v>
      </c>
      <c r="E520" s="8">
        <v>60</v>
      </c>
      <c r="F520" s="8">
        <v>72440</v>
      </c>
      <c r="G520" s="8">
        <f t="shared" si="32"/>
        <v>4346400</v>
      </c>
      <c r="H520" s="5">
        <v>0.4476</v>
      </c>
      <c r="I520" s="8">
        <f t="shared" si="33"/>
        <v>4346400</v>
      </c>
      <c r="J520" s="8">
        <f t="shared" si="34"/>
        <v>1945448.64</v>
      </c>
      <c r="K520" t="str">
        <f t="shared" si="35"/>
        <v>MATCHED</v>
      </c>
    </row>
    <row r="521" spans="1:11">
      <c r="A521" t="s">
        <v>102</v>
      </c>
      <c r="B521" t="s">
        <v>103</v>
      </c>
      <c r="C521" t="s">
        <v>357</v>
      </c>
      <c r="D521" t="s">
        <v>358</v>
      </c>
      <c r="E521" s="8">
        <v>230</v>
      </c>
      <c r="F521" s="8">
        <v>131430</v>
      </c>
      <c r="G521" s="8">
        <f t="shared" si="32"/>
        <v>30228900</v>
      </c>
      <c r="H521" s="5">
        <v>0.4833</v>
      </c>
      <c r="I521" s="8">
        <f t="shared" si="33"/>
        <v>30228900</v>
      </c>
      <c r="J521" s="8">
        <f t="shared" si="34"/>
        <v>14609627.37</v>
      </c>
      <c r="K521" t="str">
        <f t="shared" si="35"/>
        <v>MATCHED</v>
      </c>
    </row>
    <row r="522" spans="1:11">
      <c r="A522" t="s">
        <v>102</v>
      </c>
      <c r="B522" t="s">
        <v>103</v>
      </c>
      <c r="C522" t="s">
        <v>648</v>
      </c>
      <c r="D522" t="s">
        <v>649</v>
      </c>
      <c r="E522" s="8">
        <v>480</v>
      </c>
      <c r="F522" s="8">
        <v>46500</v>
      </c>
      <c r="G522" s="8">
        <f t="shared" si="32"/>
        <v>22320000</v>
      </c>
      <c r="H522" s="5">
        <v>0.6672</v>
      </c>
      <c r="I522" s="8">
        <f t="shared" si="33"/>
        <v>22320000</v>
      </c>
      <c r="J522" s="8">
        <f t="shared" si="34"/>
        <v>14891904</v>
      </c>
      <c r="K522" t="str">
        <f t="shared" si="35"/>
        <v>MATCHED</v>
      </c>
    </row>
    <row r="523" spans="1:11">
      <c r="A523" t="s">
        <v>102</v>
      </c>
      <c r="B523" t="s">
        <v>103</v>
      </c>
      <c r="C523" t="s">
        <v>878</v>
      </c>
      <c r="D523" t="s">
        <v>879</v>
      </c>
      <c r="E523" s="8"/>
      <c r="F523" s="8">
        <v>38510</v>
      </c>
      <c r="G523" s="8" t="str">
        <f t="shared" si="32"/>
        <v/>
      </c>
      <c r="H523" s="5">
        <v>0.7719</v>
      </c>
      <c r="I523" s="8" t="str">
        <f t="shared" si="33"/>
        <v/>
      </c>
      <c r="J523" s="8" t="str">
        <f t="shared" si="34"/>
        <v/>
      </c>
      <c r="K523" t="str">
        <f t="shared" si="35"/>
        <v>MISSING OEWS</v>
      </c>
    </row>
    <row r="524" spans="1:11">
      <c r="A524" t="s">
        <v>102</v>
      </c>
      <c r="B524" t="s">
        <v>103</v>
      </c>
      <c r="C524" t="s">
        <v>359</v>
      </c>
      <c r="D524" t="s">
        <v>360</v>
      </c>
      <c r="E524" s="8">
        <v>80</v>
      </c>
      <c r="F524" s="8">
        <v>46730</v>
      </c>
      <c r="G524" s="8">
        <f t="shared" si="32"/>
        <v>3738400</v>
      </c>
      <c r="H524" s="5">
        <v>0.4938</v>
      </c>
      <c r="I524" s="8">
        <f t="shared" si="33"/>
        <v>3738400</v>
      </c>
      <c r="J524" s="8">
        <f t="shared" si="34"/>
        <v>1846021.92</v>
      </c>
      <c r="K524" t="str">
        <f t="shared" si="35"/>
        <v>MATCHED</v>
      </c>
    </row>
    <row r="525" spans="1:11">
      <c r="A525" t="s">
        <v>102</v>
      </c>
      <c r="B525" t="s">
        <v>103</v>
      </c>
      <c r="C525" t="s">
        <v>650</v>
      </c>
      <c r="D525" t="s">
        <v>651</v>
      </c>
      <c r="E525" s="8">
        <v>330</v>
      </c>
      <c r="F525" s="8">
        <v>127260</v>
      </c>
      <c r="G525" s="8">
        <f t="shared" si="32"/>
        <v>41995800</v>
      </c>
      <c r="H525" s="5">
        <v>0.845</v>
      </c>
      <c r="I525" s="8">
        <f t="shared" si="33"/>
        <v>41995800</v>
      </c>
      <c r="J525" s="8">
        <f t="shared" si="34"/>
        <v>35486451</v>
      </c>
      <c r="K525" t="str">
        <f t="shared" si="35"/>
        <v>MATCHED</v>
      </c>
    </row>
    <row r="526" spans="1:11">
      <c r="A526" t="s">
        <v>102</v>
      </c>
      <c r="B526" t="s">
        <v>103</v>
      </c>
      <c r="C526" t="s">
        <v>361</v>
      </c>
      <c r="D526" t="s">
        <v>362</v>
      </c>
      <c r="E526" s="8">
        <v>6170</v>
      </c>
      <c r="F526" s="8">
        <v>89140</v>
      </c>
      <c r="G526" s="8">
        <f t="shared" si="32"/>
        <v>549993800</v>
      </c>
      <c r="H526" s="5">
        <v>0.73</v>
      </c>
      <c r="I526" s="8">
        <f t="shared" si="33"/>
        <v>549993800</v>
      </c>
      <c r="J526" s="8">
        <f t="shared" si="34"/>
        <v>401495474</v>
      </c>
      <c r="K526" t="str">
        <f t="shared" si="35"/>
        <v>MATCHED</v>
      </c>
    </row>
    <row r="527" spans="1:11">
      <c r="A527" t="s">
        <v>102</v>
      </c>
      <c r="B527" t="s">
        <v>103</v>
      </c>
      <c r="C527" t="s">
        <v>652</v>
      </c>
      <c r="D527" t="s">
        <v>653</v>
      </c>
      <c r="E527" s="8">
        <v>750</v>
      </c>
      <c r="F527" s="8">
        <v>98710</v>
      </c>
      <c r="G527" s="8">
        <f t="shared" si="32"/>
        <v>74032500</v>
      </c>
      <c r="H527" s="5">
        <v>0.6463</v>
      </c>
      <c r="I527" s="8">
        <f t="shared" si="33"/>
        <v>74032500</v>
      </c>
      <c r="J527" s="8">
        <f t="shared" si="34"/>
        <v>47847204.75</v>
      </c>
      <c r="K527" t="str">
        <f t="shared" si="35"/>
        <v>MATCHED</v>
      </c>
    </row>
    <row r="528" spans="1:11">
      <c r="A528" t="s">
        <v>102</v>
      </c>
      <c r="B528" t="s">
        <v>103</v>
      </c>
      <c r="C528" t="s">
        <v>363</v>
      </c>
      <c r="D528" t="s">
        <v>364</v>
      </c>
      <c r="E528" s="8">
        <v>1090</v>
      </c>
      <c r="F528" s="8">
        <v>82430</v>
      </c>
      <c r="G528" s="8">
        <f t="shared" si="32"/>
        <v>89848700</v>
      </c>
      <c r="H528" s="5">
        <v>0.5105</v>
      </c>
      <c r="I528" s="8">
        <f t="shared" si="33"/>
        <v>89848700</v>
      </c>
      <c r="J528" s="8">
        <f t="shared" si="34"/>
        <v>45867761.35</v>
      </c>
      <c r="K528" t="str">
        <f t="shared" si="35"/>
        <v>MATCHED</v>
      </c>
    </row>
    <row r="529" spans="1:11">
      <c r="A529" t="s">
        <v>102</v>
      </c>
      <c r="B529" t="s">
        <v>103</v>
      </c>
      <c r="C529" t="s">
        <v>654</v>
      </c>
      <c r="D529" t="s">
        <v>655</v>
      </c>
      <c r="E529" s="8">
        <v>510</v>
      </c>
      <c r="F529" s="8">
        <v>118500</v>
      </c>
      <c r="G529" s="8">
        <f t="shared" si="32"/>
        <v>60435000</v>
      </c>
      <c r="H529" s="5">
        <v>0.5939</v>
      </c>
      <c r="I529" s="8">
        <f t="shared" si="33"/>
        <v>60435000</v>
      </c>
      <c r="J529" s="8">
        <f t="shared" si="34"/>
        <v>35892346.5</v>
      </c>
      <c r="K529" t="str">
        <f t="shared" si="35"/>
        <v>MATCHED</v>
      </c>
    </row>
    <row r="530" spans="1:11">
      <c r="A530" t="s">
        <v>102</v>
      </c>
      <c r="B530" t="s">
        <v>103</v>
      </c>
      <c r="C530" t="s">
        <v>656</v>
      </c>
      <c r="D530" t="s">
        <v>657</v>
      </c>
      <c r="E530" s="8">
        <v>240</v>
      </c>
      <c r="F530" s="8">
        <v>121600</v>
      </c>
      <c r="G530" s="8">
        <f t="shared" si="32"/>
        <v>29184000</v>
      </c>
      <c r="H530" s="5">
        <v>0.518</v>
      </c>
      <c r="I530" s="8">
        <f t="shared" si="33"/>
        <v>29184000</v>
      </c>
      <c r="J530" s="8">
        <f t="shared" si="34"/>
        <v>15117312</v>
      </c>
      <c r="K530" t="str">
        <f t="shared" si="35"/>
        <v>MATCHED</v>
      </c>
    </row>
    <row r="531" spans="1:11">
      <c r="A531" t="s">
        <v>102</v>
      </c>
      <c r="B531" t="s">
        <v>103</v>
      </c>
      <c r="C531" t="s">
        <v>365</v>
      </c>
      <c r="D531" t="s">
        <v>366</v>
      </c>
      <c r="E531" s="8">
        <v>80</v>
      </c>
      <c r="F531" s="8">
        <v>78460</v>
      </c>
      <c r="G531" s="8">
        <f t="shared" si="32"/>
        <v>6276800</v>
      </c>
      <c r="H531" s="5"/>
      <c r="I531" s="8" t="str">
        <f t="shared" si="33"/>
        <v/>
      </c>
      <c r="J531" s="8" t="str">
        <f t="shared" si="34"/>
        <v/>
      </c>
      <c r="K531" t="str">
        <f t="shared" si="35"/>
        <v>MISSING WHARTON</v>
      </c>
    </row>
    <row r="532" spans="1:11">
      <c r="A532" t="s">
        <v>102</v>
      </c>
      <c r="B532" t="s">
        <v>103</v>
      </c>
      <c r="C532" t="s">
        <v>367</v>
      </c>
      <c r="D532" t="s">
        <v>368</v>
      </c>
      <c r="E532" s="8">
        <v>7990</v>
      </c>
      <c r="F532" s="8">
        <v>99300</v>
      </c>
      <c r="G532" s="8">
        <f t="shared" si="32"/>
        <v>793407000</v>
      </c>
      <c r="H532" s="5">
        <v>0.5034</v>
      </c>
      <c r="I532" s="8">
        <f t="shared" si="33"/>
        <v>793407000</v>
      </c>
      <c r="J532" s="8">
        <f t="shared" si="34"/>
        <v>399401083.8</v>
      </c>
      <c r="K532" t="str">
        <f t="shared" si="35"/>
        <v>MATCHED</v>
      </c>
    </row>
    <row r="533" spans="1:11">
      <c r="A533" t="s">
        <v>102</v>
      </c>
      <c r="B533" t="s">
        <v>103</v>
      </c>
      <c r="C533" t="s">
        <v>880</v>
      </c>
      <c r="D533" t="s">
        <v>881</v>
      </c>
      <c r="E533" s="8">
        <v>1330</v>
      </c>
      <c r="F533" s="8">
        <v>75080</v>
      </c>
      <c r="G533" s="8">
        <f t="shared" si="32"/>
        <v>99856400</v>
      </c>
      <c r="H533" s="5">
        <v>0.9</v>
      </c>
      <c r="I533" s="8">
        <f t="shared" si="33"/>
        <v>99856400</v>
      </c>
      <c r="J533" s="8">
        <f t="shared" si="34"/>
        <v>89870760</v>
      </c>
      <c r="K533" t="str">
        <f t="shared" si="35"/>
        <v>MATCHED</v>
      </c>
    </row>
    <row r="534" spans="1:11">
      <c r="A534" t="s">
        <v>102</v>
      </c>
      <c r="B534" t="s">
        <v>103</v>
      </c>
      <c r="C534" t="s">
        <v>369</v>
      </c>
      <c r="D534" t="s">
        <v>370</v>
      </c>
      <c r="E534" s="8">
        <v>2820</v>
      </c>
      <c r="F534" s="8">
        <v>61110</v>
      </c>
      <c r="G534" s="8">
        <f t="shared" si="32"/>
        <v>172330200</v>
      </c>
      <c r="H534" s="5">
        <v>0.8617</v>
      </c>
      <c r="I534" s="8">
        <f t="shared" si="33"/>
        <v>172330200</v>
      </c>
      <c r="J534" s="8">
        <f t="shared" si="34"/>
        <v>148496933.34</v>
      </c>
      <c r="K534" t="str">
        <f t="shared" si="35"/>
        <v>MATCHED</v>
      </c>
    </row>
    <row r="535" spans="1:11">
      <c r="A535" t="s">
        <v>102</v>
      </c>
      <c r="B535" t="s">
        <v>103</v>
      </c>
      <c r="C535" t="s">
        <v>371</v>
      </c>
      <c r="D535" t="s">
        <v>372</v>
      </c>
      <c r="E535" s="8">
        <v>4740</v>
      </c>
      <c r="F535" s="8">
        <v>61050</v>
      </c>
      <c r="G535" s="8">
        <f t="shared" si="32"/>
        <v>289377000</v>
      </c>
      <c r="H535" s="5">
        <v>0.9517</v>
      </c>
      <c r="I535" s="8">
        <f t="shared" si="33"/>
        <v>289377000</v>
      </c>
      <c r="J535" s="8">
        <f t="shared" si="34"/>
        <v>275400090.9</v>
      </c>
      <c r="K535" t="str">
        <f t="shared" si="35"/>
        <v>MATCHED</v>
      </c>
    </row>
    <row r="536" spans="1:11">
      <c r="A536" t="s">
        <v>102</v>
      </c>
      <c r="B536" t="s">
        <v>103</v>
      </c>
      <c r="C536" t="s">
        <v>373</v>
      </c>
      <c r="D536" t="s">
        <v>374</v>
      </c>
      <c r="E536" s="8">
        <v>490</v>
      </c>
      <c r="F536" s="8">
        <v>72770</v>
      </c>
      <c r="G536" s="8">
        <f t="shared" si="32"/>
        <v>35657300</v>
      </c>
      <c r="H536" s="5">
        <v>0.9409</v>
      </c>
      <c r="I536" s="8">
        <f t="shared" si="33"/>
        <v>35657300</v>
      </c>
      <c r="J536" s="8">
        <f t="shared" si="34"/>
        <v>33549953.57</v>
      </c>
      <c r="K536" t="str">
        <f t="shared" si="35"/>
        <v>MATCHED</v>
      </c>
    </row>
    <row r="537" spans="1:11">
      <c r="A537" t="s">
        <v>102</v>
      </c>
      <c r="B537" t="s">
        <v>103</v>
      </c>
      <c r="C537" t="s">
        <v>375</v>
      </c>
      <c r="D537" t="s">
        <v>376</v>
      </c>
      <c r="E537" s="8">
        <v>200</v>
      </c>
      <c r="F537" s="8">
        <v>61810</v>
      </c>
      <c r="G537" s="8">
        <f t="shared" si="32"/>
        <v>12362000</v>
      </c>
      <c r="H537" s="5">
        <v>0.8237</v>
      </c>
      <c r="I537" s="8">
        <f t="shared" si="33"/>
        <v>12362000</v>
      </c>
      <c r="J537" s="8">
        <f t="shared" si="34"/>
        <v>10182579.4</v>
      </c>
      <c r="K537" t="str">
        <f t="shared" si="35"/>
        <v>MATCHED</v>
      </c>
    </row>
    <row r="538" spans="1:11">
      <c r="A538" t="s">
        <v>102</v>
      </c>
      <c r="B538" t="s">
        <v>103</v>
      </c>
      <c r="C538" t="s">
        <v>882</v>
      </c>
      <c r="D538" t="s">
        <v>883</v>
      </c>
      <c r="E538" s="8"/>
      <c r="F538" s="8">
        <v>51070</v>
      </c>
      <c r="G538" s="8" t="str">
        <f t="shared" si="32"/>
        <v/>
      </c>
      <c r="H538" s="5">
        <v>0.9138</v>
      </c>
      <c r="I538" s="8" t="str">
        <f t="shared" si="33"/>
        <v/>
      </c>
      <c r="J538" s="8" t="str">
        <f t="shared" si="34"/>
        <v/>
      </c>
      <c r="K538" t="str">
        <f t="shared" si="35"/>
        <v>MISSING OEWS</v>
      </c>
    </row>
    <row r="539" spans="1:11">
      <c r="A539" t="s">
        <v>102</v>
      </c>
      <c r="B539" t="s">
        <v>103</v>
      </c>
      <c r="C539" t="s">
        <v>884</v>
      </c>
      <c r="D539" t="s">
        <v>885</v>
      </c>
      <c r="E539" s="8">
        <v>80</v>
      </c>
      <c r="F539" s="8">
        <v>82950</v>
      </c>
      <c r="G539" s="8">
        <f t="shared" si="32"/>
        <v>6636000</v>
      </c>
      <c r="H539" s="5"/>
      <c r="I539" s="8" t="str">
        <f t="shared" si="33"/>
        <v/>
      </c>
      <c r="J539" s="8" t="str">
        <f t="shared" si="34"/>
        <v/>
      </c>
      <c r="K539" t="str">
        <f t="shared" si="35"/>
        <v>MISSING WHARTON</v>
      </c>
    </row>
    <row r="540" spans="1:11">
      <c r="A540" t="s">
        <v>102</v>
      </c>
      <c r="B540" t="s">
        <v>103</v>
      </c>
      <c r="C540" t="s">
        <v>377</v>
      </c>
      <c r="D540" t="s">
        <v>378</v>
      </c>
      <c r="E540" s="8">
        <v>27180</v>
      </c>
      <c r="F540" s="8">
        <v>61620</v>
      </c>
      <c r="G540" s="8">
        <f t="shared" si="32"/>
        <v>1674831600</v>
      </c>
      <c r="H540" s="5">
        <v>0.82</v>
      </c>
      <c r="I540" s="8">
        <f t="shared" si="33"/>
        <v>1674831600</v>
      </c>
      <c r="J540" s="8">
        <f t="shared" si="34"/>
        <v>1373361912</v>
      </c>
      <c r="K540" t="str">
        <f t="shared" si="35"/>
        <v>MATCHED</v>
      </c>
    </row>
    <row r="541" spans="1:11">
      <c r="A541" t="s">
        <v>102</v>
      </c>
      <c r="B541" t="s">
        <v>103</v>
      </c>
      <c r="C541" t="s">
        <v>379</v>
      </c>
      <c r="D541" t="s">
        <v>380</v>
      </c>
      <c r="E541" s="8">
        <v>180</v>
      </c>
      <c r="F541" s="8">
        <v>66670</v>
      </c>
      <c r="G541" s="8">
        <f t="shared" si="32"/>
        <v>12000600</v>
      </c>
      <c r="H541" s="5">
        <v>0.7526</v>
      </c>
      <c r="I541" s="8">
        <f t="shared" si="33"/>
        <v>12000600</v>
      </c>
      <c r="J541" s="8">
        <f t="shared" si="34"/>
        <v>9031651.56</v>
      </c>
      <c r="K541" t="str">
        <f t="shared" si="35"/>
        <v>MATCHED</v>
      </c>
    </row>
    <row r="542" spans="1:11">
      <c r="A542" t="s">
        <v>102</v>
      </c>
      <c r="B542" t="s">
        <v>103</v>
      </c>
      <c r="C542" t="s">
        <v>381</v>
      </c>
      <c r="D542" t="s">
        <v>382</v>
      </c>
      <c r="E542" s="8">
        <v>180</v>
      </c>
      <c r="F542" s="8">
        <v>72070</v>
      </c>
      <c r="G542" s="8">
        <f t="shared" si="32"/>
        <v>12972600</v>
      </c>
      <c r="H542" s="5">
        <v>0.9553</v>
      </c>
      <c r="I542" s="8">
        <f t="shared" si="33"/>
        <v>12972600</v>
      </c>
      <c r="J542" s="8">
        <f t="shared" si="34"/>
        <v>12392724.78</v>
      </c>
      <c r="K542" t="str">
        <f t="shared" si="35"/>
        <v>MATCHED</v>
      </c>
    </row>
    <row r="543" spans="1:11">
      <c r="A543" t="s">
        <v>102</v>
      </c>
      <c r="B543" t="s">
        <v>103</v>
      </c>
      <c r="C543" t="s">
        <v>383</v>
      </c>
      <c r="D543" t="s">
        <v>384</v>
      </c>
      <c r="E543" s="8">
        <v>220</v>
      </c>
      <c r="F543" s="8">
        <v>63410</v>
      </c>
      <c r="G543" s="8">
        <f t="shared" si="32"/>
        <v>13950200</v>
      </c>
      <c r="H543" s="5">
        <v>0.8342</v>
      </c>
      <c r="I543" s="8">
        <f t="shared" si="33"/>
        <v>13950200</v>
      </c>
      <c r="J543" s="8">
        <f t="shared" si="34"/>
        <v>11637256.84</v>
      </c>
      <c r="K543" t="str">
        <f t="shared" si="35"/>
        <v>MATCHED</v>
      </c>
    </row>
    <row r="544" spans="1:11">
      <c r="A544" t="s">
        <v>102</v>
      </c>
      <c r="B544" t="s">
        <v>103</v>
      </c>
      <c r="C544" t="s">
        <v>385</v>
      </c>
      <c r="D544" t="s">
        <v>386</v>
      </c>
      <c r="E544" s="8">
        <v>670</v>
      </c>
      <c r="F544" s="8">
        <v>41160</v>
      </c>
      <c r="G544" s="8">
        <f t="shared" si="32"/>
        <v>27577200</v>
      </c>
      <c r="H544" s="5">
        <v>0.7368</v>
      </c>
      <c r="I544" s="8">
        <f t="shared" si="33"/>
        <v>27577200</v>
      </c>
      <c r="J544" s="8">
        <f t="shared" si="34"/>
        <v>20318880.96</v>
      </c>
      <c r="K544" t="str">
        <f t="shared" si="35"/>
        <v>MATCHED</v>
      </c>
    </row>
    <row r="545" spans="1:11">
      <c r="A545" t="s">
        <v>102</v>
      </c>
      <c r="B545" t="s">
        <v>103</v>
      </c>
      <c r="C545" t="s">
        <v>658</v>
      </c>
      <c r="D545" t="s">
        <v>659</v>
      </c>
      <c r="E545" s="8">
        <v>240</v>
      </c>
      <c r="F545" s="8">
        <v>76090</v>
      </c>
      <c r="G545" s="8">
        <f t="shared" si="32"/>
        <v>18261600</v>
      </c>
      <c r="H545" s="5"/>
      <c r="I545" s="8" t="str">
        <f t="shared" si="33"/>
        <v/>
      </c>
      <c r="J545" s="8" t="str">
        <f t="shared" si="34"/>
        <v/>
      </c>
      <c r="K545" t="str">
        <f t="shared" si="35"/>
        <v>MISSING WHARTON</v>
      </c>
    </row>
    <row r="546" spans="1:11">
      <c r="A546" t="s">
        <v>102</v>
      </c>
      <c r="B546" t="s">
        <v>103</v>
      </c>
      <c r="C546" t="s">
        <v>886</v>
      </c>
      <c r="D546" t="s">
        <v>887</v>
      </c>
      <c r="E546" s="8">
        <v>40</v>
      </c>
      <c r="F546" s="8">
        <v>42970</v>
      </c>
      <c r="G546" s="8">
        <f t="shared" si="32"/>
        <v>1718800</v>
      </c>
      <c r="H546" s="5">
        <v>0.2235</v>
      </c>
      <c r="I546" s="8">
        <f t="shared" si="33"/>
        <v>1718800</v>
      </c>
      <c r="J546" s="8">
        <f t="shared" si="34"/>
        <v>384151.8</v>
      </c>
      <c r="K546" t="str">
        <f t="shared" si="35"/>
        <v>MATCHED</v>
      </c>
    </row>
    <row r="547" spans="1:11">
      <c r="A547" t="s">
        <v>102</v>
      </c>
      <c r="B547" t="s">
        <v>103</v>
      </c>
      <c r="C547" t="s">
        <v>387</v>
      </c>
      <c r="D547" t="s">
        <v>388</v>
      </c>
      <c r="E547" s="8">
        <v>2710</v>
      </c>
      <c r="F547" s="8">
        <v>78890</v>
      </c>
      <c r="G547" s="8">
        <f t="shared" si="32"/>
        <v>213791900</v>
      </c>
      <c r="H547" s="5">
        <v>0.8192</v>
      </c>
      <c r="I547" s="8">
        <f t="shared" si="33"/>
        <v>213791900</v>
      </c>
      <c r="J547" s="8">
        <f t="shared" si="34"/>
        <v>175138324.48</v>
      </c>
      <c r="K547" t="str">
        <f t="shared" si="35"/>
        <v>MATCHED</v>
      </c>
    </row>
    <row r="548" spans="1:11">
      <c r="A548" t="s">
        <v>102</v>
      </c>
      <c r="B548" t="s">
        <v>103</v>
      </c>
      <c r="C548" t="s">
        <v>888</v>
      </c>
      <c r="D548" t="s">
        <v>889</v>
      </c>
      <c r="E548" s="8">
        <v>6470</v>
      </c>
      <c r="F548" s="8">
        <v>67590</v>
      </c>
      <c r="G548" s="8">
        <f t="shared" si="32"/>
        <v>437307300</v>
      </c>
      <c r="H548" s="5">
        <v>0.3654</v>
      </c>
      <c r="I548" s="8">
        <f t="shared" si="33"/>
        <v>437307300</v>
      </c>
      <c r="J548" s="8">
        <f t="shared" si="34"/>
        <v>159792087.42</v>
      </c>
      <c r="K548" t="str">
        <f t="shared" si="35"/>
        <v>MATCHED</v>
      </c>
    </row>
    <row r="549" spans="1:11">
      <c r="A549" t="s">
        <v>102</v>
      </c>
      <c r="B549" t="s">
        <v>103</v>
      </c>
      <c r="C549" t="s">
        <v>389</v>
      </c>
      <c r="D549" t="s">
        <v>390</v>
      </c>
      <c r="E549" s="8">
        <v>4940</v>
      </c>
      <c r="F549" s="8">
        <v>88520</v>
      </c>
      <c r="G549" s="8">
        <f t="shared" si="32"/>
        <v>437288800</v>
      </c>
      <c r="H549" s="5">
        <v>0.7794</v>
      </c>
      <c r="I549" s="8">
        <f t="shared" si="33"/>
        <v>437288800</v>
      </c>
      <c r="J549" s="8">
        <f t="shared" si="34"/>
        <v>340822890.72</v>
      </c>
      <c r="K549" t="str">
        <f t="shared" si="35"/>
        <v>MATCHED</v>
      </c>
    </row>
    <row r="550" spans="1:11">
      <c r="A550" t="s">
        <v>102</v>
      </c>
      <c r="B550" t="s">
        <v>103</v>
      </c>
      <c r="C550" t="s">
        <v>391</v>
      </c>
      <c r="D550" t="s">
        <v>392</v>
      </c>
      <c r="E550" s="8">
        <v>1420</v>
      </c>
      <c r="F550" s="8">
        <v>69580</v>
      </c>
      <c r="G550" s="8">
        <f t="shared" si="32"/>
        <v>98803600</v>
      </c>
      <c r="H550" s="5">
        <v>0.6455</v>
      </c>
      <c r="I550" s="8">
        <f t="shared" si="33"/>
        <v>98803600</v>
      </c>
      <c r="J550" s="8">
        <f t="shared" si="34"/>
        <v>63777723.8</v>
      </c>
      <c r="K550" t="str">
        <f t="shared" si="35"/>
        <v>MATCHED</v>
      </c>
    </row>
    <row r="551" spans="1:11">
      <c r="A551" t="s">
        <v>102</v>
      </c>
      <c r="B551" t="s">
        <v>103</v>
      </c>
      <c r="C551" t="s">
        <v>393</v>
      </c>
      <c r="D551" t="s">
        <v>394</v>
      </c>
      <c r="E551" s="8">
        <v>50</v>
      </c>
      <c r="F551" s="8">
        <v>64290</v>
      </c>
      <c r="G551" s="8">
        <f t="shared" si="32"/>
        <v>3214500</v>
      </c>
      <c r="H551" s="5">
        <v>0.2932</v>
      </c>
      <c r="I551" s="8">
        <f t="shared" si="33"/>
        <v>3214500</v>
      </c>
      <c r="J551" s="8">
        <f t="shared" si="34"/>
        <v>942491.4</v>
      </c>
      <c r="K551" t="str">
        <f t="shared" si="35"/>
        <v>MATCHED</v>
      </c>
    </row>
    <row r="552" spans="1:11">
      <c r="A552" t="s">
        <v>102</v>
      </c>
      <c r="B552" t="s">
        <v>103</v>
      </c>
      <c r="C552" t="s">
        <v>395</v>
      </c>
      <c r="D552" t="s">
        <v>396</v>
      </c>
      <c r="E552" s="8">
        <v>3090</v>
      </c>
      <c r="F552" s="8">
        <v>90120</v>
      </c>
      <c r="G552" s="8">
        <f t="shared" si="32"/>
        <v>278470800</v>
      </c>
      <c r="H552" s="5">
        <v>0.7955</v>
      </c>
      <c r="I552" s="8">
        <f t="shared" si="33"/>
        <v>278470800</v>
      </c>
      <c r="J552" s="8">
        <f t="shared" si="34"/>
        <v>221523521.4</v>
      </c>
      <c r="K552" t="str">
        <f t="shared" si="35"/>
        <v>MATCHED</v>
      </c>
    </row>
    <row r="553" spans="1:11">
      <c r="A553" t="s">
        <v>102</v>
      </c>
      <c r="B553" t="s">
        <v>103</v>
      </c>
      <c r="C553" t="s">
        <v>890</v>
      </c>
      <c r="D553" t="s">
        <v>891</v>
      </c>
      <c r="E553" s="8">
        <v>40</v>
      </c>
      <c r="F553" s="8">
        <v>79900</v>
      </c>
      <c r="G553" s="8">
        <f t="shared" si="32"/>
        <v>3196000</v>
      </c>
      <c r="H553" s="5">
        <v>0.8679</v>
      </c>
      <c r="I553" s="8">
        <f t="shared" si="33"/>
        <v>3196000</v>
      </c>
      <c r="J553" s="8">
        <f t="shared" si="34"/>
        <v>2773808.4</v>
      </c>
      <c r="K553" t="str">
        <f t="shared" si="35"/>
        <v>MATCHED</v>
      </c>
    </row>
    <row r="554" spans="1:11">
      <c r="A554" t="s">
        <v>102</v>
      </c>
      <c r="B554" t="s">
        <v>103</v>
      </c>
      <c r="C554" t="s">
        <v>397</v>
      </c>
      <c r="D554" t="s">
        <v>398</v>
      </c>
      <c r="E554" s="8">
        <v>5100</v>
      </c>
      <c r="F554" s="8">
        <v>58470</v>
      </c>
      <c r="G554" s="8">
        <f t="shared" si="32"/>
        <v>298197000</v>
      </c>
      <c r="H554" s="5">
        <v>0.8031</v>
      </c>
      <c r="I554" s="8">
        <f t="shared" si="33"/>
        <v>298197000</v>
      </c>
      <c r="J554" s="8">
        <f t="shared" si="34"/>
        <v>239482010.7</v>
      </c>
      <c r="K554" t="str">
        <f t="shared" si="35"/>
        <v>MATCHED</v>
      </c>
    </row>
    <row r="555" spans="1:11">
      <c r="A555" t="s">
        <v>102</v>
      </c>
      <c r="B555" t="s">
        <v>103</v>
      </c>
      <c r="C555" t="s">
        <v>399</v>
      </c>
      <c r="D555" t="s">
        <v>400</v>
      </c>
      <c r="E555" s="8">
        <v>200</v>
      </c>
      <c r="F555" s="8">
        <v>46300</v>
      </c>
      <c r="G555" s="8">
        <f t="shared" si="32"/>
        <v>9260000</v>
      </c>
      <c r="H555" s="5">
        <v>0.75</v>
      </c>
      <c r="I555" s="8">
        <f t="shared" si="33"/>
        <v>9260000</v>
      </c>
      <c r="J555" s="8">
        <f t="shared" si="34"/>
        <v>6945000</v>
      </c>
      <c r="K555" t="str">
        <f t="shared" si="35"/>
        <v>MATCHED</v>
      </c>
    </row>
    <row r="556" spans="1:11">
      <c r="A556" t="s">
        <v>102</v>
      </c>
      <c r="B556" t="s">
        <v>103</v>
      </c>
      <c r="C556" t="s">
        <v>892</v>
      </c>
      <c r="D556" t="s">
        <v>893</v>
      </c>
      <c r="E556" s="8">
        <v>120</v>
      </c>
      <c r="F556" s="8">
        <v>61590</v>
      </c>
      <c r="G556" s="8">
        <f t="shared" si="32"/>
        <v>7390800</v>
      </c>
      <c r="H556" s="5">
        <v>0.231</v>
      </c>
      <c r="I556" s="8">
        <f t="shared" si="33"/>
        <v>7390800</v>
      </c>
      <c r="J556" s="8">
        <f t="shared" si="34"/>
        <v>1707274.8</v>
      </c>
      <c r="K556" t="str">
        <f t="shared" si="35"/>
        <v>MATCHED</v>
      </c>
    </row>
    <row r="557" spans="1:11">
      <c r="A557" t="s">
        <v>102</v>
      </c>
      <c r="B557" t="s">
        <v>103</v>
      </c>
      <c r="C557" t="s">
        <v>401</v>
      </c>
      <c r="D557" t="s">
        <v>402</v>
      </c>
      <c r="E557" s="8">
        <v>9270</v>
      </c>
      <c r="F557" s="8">
        <v>58350</v>
      </c>
      <c r="G557" s="8">
        <f t="shared" si="32"/>
        <v>540904500</v>
      </c>
      <c r="H557" s="5">
        <v>0.7452</v>
      </c>
      <c r="I557" s="8">
        <f t="shared" si="33"/>
        <v>540904500</v>
      </c>
      <c r="J557" s="8">
        <f t="shared" si="34"/>
        <v>403082033.4</v>
      </c>
      <c r="K557" t="str">
        <f t="shared" si="35"/>
        <v>MATCHED</v>
      </c>
    </row>
    <row r="558" spans="1:11">
      <c r="A558" t="s">
        <v>102</v>
      </c>
      <c r="B558" t="s">
        <v>103</v>
      </c>
      <c r="C558" t="s">
        <v>660</v>
      </c>
      <c r="D558" t="s">
        <v>661</v>
      </c>
      <c r="E558" s="8">
        <v>50</v>
      </c>
      <c r="F558" s="8">
        <v>54080</v>
      </c>
      <c r="G558" s="8">
        <f t="shared" si="32"/>
        <v>2704000</v>
      </c>
      <c r="H558" s="5">
        <v>0.2639</v>
      </c>
      <c r="I558" s="8">
        <f t="shared" si="33"/>
        <v>2704000</v>
      </c>
      <c r="J558" s="8">
        <f t="shared" si="34"/>
        <v>713585.6</v>
      </c>
      <c r="K558" t="str">
        <f t="shared" si="35"/>
        <v>MATCHED</v>
      </c>
    </row>
    <row r="559" spans="1:11">
      <c r="A559" t="s">
        <v>102</v>
      </c>
      <c r="B559" t="s">
        <v>103</v>
      </c>
      <c r="C559" t="s">
        <v>662</v>
      </c>
      <c r="D559" t="s">
        <v>663</v>
      </c>
      <c r="E559" s="8">
        <v>320</v>
      </c>
      <c r="F559" s="8">
        <v>66030</v>
      </c>
      <c r="G559" s="8">
        <f t="shared" si="32"/>
        <v>21129600</v>
      </c>
      <c r="H559" s="5"/>
      <c r="I559" s="8" t="str">
        <f t="shared" si="33"/>
        <v/>
      </c>
      <c r="J559" s="8" t="str">
        <f t="shared" si="34"/>
        <v/>
      </c>
      <c r="K559" t="str">
        <f t="shared" si="35"/>
        <v>MISSING WHARTON</v>
      </c>
    </row>
    <row r="560" spans="1:11">
      <c r="A560" t="s">
        <v>102</v>
      </c>
      <c r="B560" t="s">
        <v>103</v>
      </c>
      <c r="C560" t="s">
        <v>413</v>
      </c>
      <c r="D560" t="s">
        <v>414</v>
      </c>
      <c r="E560" s="8">
        <v>70</v>
      </c>
      <c r="F560" s="8">
        <v>36070</v>
      </c>
      <c r="G560" s="8">
        <f t="shared" si="32"/>
        <v>2524900</v>
      </c>
      <c r="H560" s="5">
        <v>0.0633</v>
      </c>
      <c r="I560" s="8">
        <f t="shared" si="33"/>
        <v>2524900</v>
      </c>
      <c r="J560" s="8">
        <f t="shared" si="34"/>
        <v>159826.17</v>
      </c>
      <c r="K560" t="str">
        <f t="shared" si="35"/>
        <v>MATCHED</v>
      </c>
    </row>
    <row r="561" spans="1:11">
      <c r="A561" t="s">
        <v>102</v>
      </c>
      <c r="B561" t="s">
        <v>103</v>
      </c>
      <c r="C561" t="s">
        <v>417</v>
      </c>
      <c r="D561" t="s">
        <v>418</v>
      </c>
      <c r="E561" s="8">
        <v>60</v>
      </c>
      <c r="F561" s="8">
        <v>45000</v>
      </c>
      <c r="G561" s="8">
        <f t="shared" si="32"/>
        <v>2700000</v>
      </c>
      <c r="H561" s="5"/>
      <c r="I561" s="8" t="str">
        <f t="shared" si="33"/>
        <v/>
      </c>
      <c r="J561" s="8" t="str">
        <f t="shared" si="34"/>
        <v/>
      </c>
      <c r="K561" t="str">
        <f t="shared" si="35"/>
        <v>MISSING WHARTON</v>
      </c>
    </row>
    <row r="562" spans="1:11">
      <c r="A562" t="s">
        <v>102</v>
      </c>
      <c r="B562" t="s">
        <v>103</v>
      </c>
      <c r="C562" t="s">
        <v>664</v>
      </c>
      <c r="D562" t="s">
        <v>665</v>
      </c>
      <c r="E562" s="8">
        <v>5550</v>
      </c>
      <c r="F562" s="8">
        <v>105980</v>
      </c>
      <c r="G562" s="8">
        <f t="shared" si="32"/>
        <v>588189000</v>
      </c>
      <c r="H562" s="5">
        <v>0.265</v>
      </c>
      <c r="I562" s="8">
        <f t="shared" si="33"/>
        <v>588189000</v>
      </c>
      <c r="J562" s="8">
        <f t="shared" si="34"/>
        <v>155870085</v>
      </c>
      <c r="K562" t="str">
        <f t="shared" si="35"/>
        <v>MATCHED</v>
      </c>
    </row>
    <row r="563" spans="1:11">
      <c r="A563" t="s">
        <v>102</v>
      </c>
      <c r="B563" t="s">
        <v>103</v>
      </c>
      <c r="C563" t="s">
        <v>666</v>
      </c>
      <c r="D563" t="s">
        <v>667</v>
      </c>
      <c r="E563" s="8">
        <v>50</v>
      </c>
      <c r="F563" s="8">
        <v>71350</v>
      </c>
      <c r="G563" s="8">
        <f t="shared" si="32"/>
        <v>3567500</v>
      </c>
      <c r="H563" s="5">
        <v>0</v>
      </c>
      <c r="I563" s="8">
        <f t="shared" si="33"/>
        <v>3567500</v>
      </c>
      <c r="J563" s="8">
        <f t="shared" si="34"/>
        <v>0</v>
      </c>
      <c r="K563" t="str">
        <f t="shared" si="35"/>
        <v>MATCHED</v>
      </c>
    </row>
    <row r="564" spans="1:11">
      <c r="A564" t="s">
        <v>102</v>
      </c>
      <c r="B564" t="s">
        <v>103</v>
      </c>
      <c r="C564" t="s">
        <v>427</v>
      </c>
      <c r="D564" t="s">
        <v>428</v>
      </c>
      <c r="E564" s="8">
        <v>70</v>
      </c>
      <c r="F564" s="8">
        <v>69010</v>
      </c>
      <c r="G564" s="8">
        <f t="shared" si="32"/>
        <v>4830700</v>
      </c>
      <c r="H564" s="5">
        <v>0.081</v>
      </c>
      <c r="I564" s="8">
        <f t="shared" si="33"/>
        <v>4830700</v>
      </c>
      <c r="J564" s="8">
        <f t="shared" si="34"/>
        <v>391286.7</v>
      </c>
      <c r="K564" t="str">
        <f t="shared" si="35"/>
        <v>MATCHED</v>
      </c>
    </row>
    <row r="565" spans="1:11">
      <c r="A565" t="s">
        <v>102</v>
      </c>
      <c r="B565" t="s">
        <v>103</v>
      </c>
      <c r="C565" t="s">
        <v>670</v>
      </c>
      <c r="D565" t="s">
        <v>671</v>
      </c>
      <c r="E565" s="8">
        <v>2720</v>
      </c>
      <c r="F565" s="8">
        <v>61510</v>
      </c>
      <c r="G565" s="8">
        <f t="shared" si="32"/>
        <v>167307200</v>
      </c>
      <c r="H565" s="5">
        <v>0.0297</v>
      </c>
      <c r="I565" s="8">
        <f t="shared" si="33"/>
        <v>167307200</v>
      </c>
      <c r="J565" s="8">
        <f t="shared" si="34"/>
        <v>4969023.84</v>
      </c>
      <c r="K565" t="str">
        <f t="shared" si="35"/>
        <v>MATCHED</v>
      </c>
    </row>
    <row r="566" spans="1:11">
      <c r="A566" t="s">
        <v>102</v>
      </c>
      <c r="B566" t="s">
        <v>103</v>
      </c>
      <c r="C566" t="s">
        <v>672</v>
      </c>
      <c r="D566" t="s">
        <v>673</v>
      </c>
      <c r="E566" s="8">
        <v>30</v>
      </c>
      <c r="F566" s="8">
        <v>84760</v>
      </c>
      <c r="G566" s="8">
        <f t="shared" si="32"/>
        <v>2542800</v>
      </c>
      <c r="H566" s="5">
        <v>0</v>
      </c>
      <c r="I566" s="8">
        <f t="shared" si="33"/>
        <v>2542800</v>
      </c>
      <c r="J566" s="8">
        <f t="shared" si="34"/>
        <v>0</v>
      </c>
      <c r="K566" t="str">
        <f t="shared" si="35"/>
        <v>MATCHED</v>
      </c>
    </row>
    <row r="567" spans="1:11">
      <c r="A567" t="s">
        <v>102</v>
      </c>
      <c r="B567" t="s">
        <v>103</v>
      </c>
      <c r="C567" t="s">
        <v>429</v>
      </c>
      <c r="D567" t="s">
        <v>430</v>
      </c>
      <c r="E567" s="8">
        <v>4420</v>
      </c>
      <c r="F567" s="8">
        <v>85370</v>
      </c>
      <c r="G567" s="8">
        <f t="shared" si="32"/>
        <v>377335400</v>
      </c>
      <c r="H567" s="5">
        <v>0.0589</v>
      </c>
      <c r="I567" s="8">
        <f t="shared" si="33"/>
        <v>377335400</v>
      </c>
      <c r="J567" s="8">
        <f t="shared" si="34"/>
        <v>22225055.06</v>
      </c>
      <c r="K567" t="str">
        <f t="shared" si="35"/>
        <v>MATCHED</v>
      </c>
    </row>
    <row r="568" spans="1:11">
      <c r="A568" t="s">
        <v>102</v>
      </c>
      <c r="B568" t="s">
        <v>103</v>
      </c>
      <c r="C568" t="s">
        <v>431</v>
      </c>
      <c r="D568" t="s">
        <v>432</v>
      </c>
      <c r="E568" s="8">
        <v>8980</v>
      </c>
      <c r="F568" s="8">
        <v>102840</v>
      </c>
      <c r="G568" s="8">
        <f t="shared" si="32"/>
        <v>923503200</v>
      </c>
      <c r="H568" s="5">
        <v>0.0786</v>
      </c>
      <c r="I568" s="8">
        <f t="shared" si="33"/>
        <v>923503200</v>
      </c>
      <c r="J568" s="8">
        <f t="shared" si="34"/>
        <v>72587351.52</v>
      </c>
      <c r="K568" t="str">
        <f t="shared" si="35"/>
        <v>MATCHED</v>
      </c>
    </row>
    <row r="569" spans="1:11">
      <c r="A569" t="s">
        <v>102</v>
      </c>
      <c r="B569" t="s">
        <v>103</v>
      </c>
      <c r="C569" t="s">
        <v>676</v>
      </c>
      <c r="D569" t="s">
        <v>677</v>
      </c>
      <c r="E569" s="8">
        <v>60</v>
      </c>
      <c r="F569" s="8">
        <v>99830</v>
      </c>
      <c r="G569" s="8">
        <f t="shared" si="32"/>
        <v>5989800</v>
      </c>
      <c r="H569" s="5">
        <v>0.0731</v>
      </c>
      <c r="I569" s="8">
        <f t="shared" si="33"/>
        <v>5989800</v>
      </c>
      <c r="J569" s="8">
        <f t="shared" si="34"/>
        <v>437854.38</v>
      </c>
      <c r="K569" t="str">
        <f t="shared" si="35"/>
        <v>MATCHED</v>
      </c>
    </row>
    <row r="570" spans="1:11">
      <c r="A570" t="s">
        <v>102</v>
      </c>
      <c r="B570" t="s">
        <v>103</v>
      </c>
      <c r="C570" t="s">
        <v>680</v>
      </c>
      <c r="D570" t="s">
        <v>681</v>
      </c>
      <c r="E570" s="8">
        <v>540</v>
      </c>
      <c r="F570" s="8">
        <v>58580</v>
      </c>
      <c r="G570" s="8">
        <f t="shared" si="32"/>
        <v>31633200</v>
      </c>
      <c r="H570" s="5">
        <v>0</v>
      </c>
      <c r="I570" s="8">
        <f t="shared" si="33"/>
        <v>31633200</v>
      </c>
      <c r="J570" s="8">
        <f t="shared" si="34"/>
        <v>0</v>
      </c>
      <c r="K570" t="str">
        <f t="shared" si="35"/>
        <v>MATCHED</v>
      </c>
    </row>
    <row r="571" spans="1:11">
      <c r="A571" t="s">
        <v>102</v>
      </c>
      <c r="B571" t="s">
        <v>103</v>
      </c>
      <c r="C571" t="s">
        <v>682</v>
      </c>
      <c r="D571" t="s">
        <v>683</v>
      </c>
      <c r="E571" s="8">
        <v>7580</v>
      </c>
      <c r="F571" s="8">
        <v>85590</v>
      </c>
      <c r="G571" s="8">
        <f t="shared" si="32"/>
        <v>648772200</v>
      </c>
      <c r="H571" s="5">
        <v>0.04</v>
      </c>
      <c r="I571" s="8">
        <f t="shared" si="33"/>
        <v>648772200</v>
      </c>
      <c r="J571" s="8">
        <f t="shared" si="34"/>
        <v>25950888</v>
      </c>
      <c r="K571" t="str">
        <f t="shared" si="35"/>
        <v>MATCHED</v>
      </c>
    </row>
    <row r="572" spans="1:11">
      <c r="A572" t="s">
        <v>102</v>
      </c>
      <c r="B572" t="s">
        <v>103</v>
      </c>
      <c r="C572" t="s">
        <v>894</v>
      </c>
      <c r="D572" t="s">
        <v>895</v>
      </c>
      <c r="E572" s="8">
        <v>4010</v>
      </c>
      <c r="F572" s="8">
        <v>60300</v>
      </c>
      <c r="G572" s="8">
        <f t="shared" si="32"/>
        <v>241803000</v>
      </c>
      <c r="H572" s="5">
        <v>0.0635</v>
      </c>
      <c r="I572" s="8">
        <f t="shared" si="33"/>
        <v>241803000</v>
      </c>
      <c r="J572" s="8">
        <f t="shared" si="34"/>
        <v>15354490.5</v>
      </c>
      <c r="K572" t="str">
        <f t="shared" si="35"/>
        <v>MATCHED</v>
      </c>
    </row>
    <row r="573" spans="1:11">
      <c r="A573" t="s">
        <v>102</v>
      </c>
      <c r="B573" t="s">
        <v>103</v>
      </c>
      <c r="C573" t="s">
        <v>688</v>
      </c>
      <c r="D573" t="s">
        <v>689</v>
      </c>
      <c r="E573" s="8">
        <v>110</v>
      </c>
      <c r="F573" s="8">
        <v>57090</v>
      </c>
      <c r="G573" s="8">
        <f t="shared" si="32"/>
        <v>6279900</v>
      </c>
      <c r="H573" s="5">
        <v>0.0396</v>
      </c>
      <c r="I573" s="8">
        <f t="shared" si="33"/>
        <v>6279900</v>
      </c>
      <c r="J573" s="8">
        <f t="shared" si="34"/>
        <v>248684.04</v>
      </c>
      <c r="K573" t="str">
        <f t="shared" si="35"/>
        <v>MATCHED</v>
      </c>
    </row>
    <row r="574" spans="1:11">
      <c r="A574" t="s">
        <v>102</v>
      </c>
      <c r="B574" t="s">
        <v>103</v>
      </c>
      <c r="C574" t="s">
        <v>690</v>
      </c>
      <c r="D574" t="s">
        <v>691</v>
      </c>
      <c r="E574" s="8">
        <v>200</v>
      </c>
      <c r="F574" s="8">
        <v>47470</v>
      </c>
      <c r="G574" s="8">
        <f t="shared" si="32"/>
        <v>9494000</v>
      </c>
      <c r="H574" s="5">
        <v>0</v>
      </c>
      <c r="I574" s="8">
        <f t="shared" si="33"/>
        <v>9494000</v>
      </c>
      <c r="J574" s="8">
        <f t="shared" si="34"/>
        <v>0</v>
      </c>
      <c r="K574" t="str">
        <f t="shared" si="35"/>
        <v>MATCHED</v>
      </c>
    </row>
    <row r="575" spans="1:11">
      <c r="A575" t="s">
        <v>102</v>
      </c>
      <c r="B575" t="s">
        <v>103</v>
      </c>
      <c r="C575" t="s">
        <v>692</v>
      </c>
      <c r="D575" t="s">
        <v>693</v>
      </c>
      <c r="E575" s="8">
        <v>140</v>
      </c>
      <c r="F575" s="8">
        <v>52220</v>
      </c>
      <c r="G575" s="8">
        <f t="shared" si="32"/>
        <v>7310800</v>
      </c>
      <c r="H575" s="5"/>
      <c r="I575" s="8" t="str">
        <f t="shared" si="33"/>
        <v/>
      </c>
      <c r="J575" s="8" t="str">
        <f t="shared" si="34"/>
        <v/>
      </c>
      <c r="K575" t="str">
        <f t="shared" si="35"/>
        <v>MISSING WHARTON</v>
      </c>
    </row>
    <row r="576" spans="1:11">
      <c r="A576" t="s">
        <v>102</v>
      </c>
      <c r="B576" t="s">
        <v>103</v>
      </c>
      <c r="C576" t="s">
        <v>694</v>
      </c>
      <c r="D576" t="s">
        <v>695</v>
      </c>
      <c r="E576" s="8">
        <v>4150</v>
      </c>
      <c r="F576" s="8">
        <v>105630</v>
      </c>
      <c r="G576" s="8">
        <f t="shared" si="32"/>
        <v>438364500</v>
      </c>
      <c r="H576" s="5">
        <v>0.3737</v>
      </c>
      <c r="I576" s="8">
        <f t="shared" si="33"/>
        <v>438364500</v>
      </c>
      <c r="J576" s="8">
        <f t="shared" si="34"/>
        <v>163816813.65</v>
      </c>
      <c r="K576" t="str">
        <f t="shared" si="35"/>
        <v>MATCHED</v>
      </c>
    </row>
    <row r="577" spans="1:11">
      <c r="A577" t="s">
        <v>102</v>
      </c>
      <c r="B577" t="s">
        <v>103</v>
      </c>
      <c r="C577" t="s">
        <v>698</v>
      </c>
      <c r="D577" t="s">
        <v>699</v>
      </c>
      <c r="E577" s="8">
        <v>150</v>
      </c>
      <c r="F577" s="8">
        <v>102910</v>
      </c>
      <c r="G577" s="8">
        <f t="shared" si="32"/>
        <v>15436500</v>
      </c>
      <c r="H577" s="5">
        <v>0.0452</v>
      </c>
      <c r="I577" s="8">
        <f t="shared" si="33"/>
        <v>15436500</v>
      </c>
      <c r="J577" s="8">
        <f t="shared" si="34"/>
        <v>697729.8</v>
      </c>
      <c r="K577" t="str">
        <f t="shared" si="35"/>
        <v>MATCHED</v>
      </c>
    </row>
    <row r="578" spans="1:11">
      <c r="A578" t="s">
        <v>102</v>
      </c>
      <c r="B578" t="s">
        <v>103</v>
      </c>
      <c r="C578" t="s">
        <v>896</v>
      </c>
      <c r="D578" t="s">
        <v>897</v>
      </c>
      <c r="E578" s="8">
        <v>140</v>
      </c>
      <c r="F578" s="8">
        <v>55920</v>
      </c>
      <c r="G578" s="8">
        <f t="shared" ref="G578:G641" si="36">IF(OR(E578="",F578=""),"",E578*F578)</f>
        <v>7828800</v>
      </c>
      <c r="H578" s="5">
        <v>0.0864</v>
      </c>
      <c r="I578" s="8">
        <f t="shared" ref="I578:I641" si="37">IF(G578="","",IF(ISNUMBER(H578),G578,""))</f>
        <v>7828800</v>
      </c>
      <c r="J578" s="8">
        <f t="shared" ref="J578:J641" si="38">IF(I578="","",I578*H578)</f>
        <v>676408.32</v>
      </c>
      <c r="K578" t="str">
        <f t="shared" ref="K578:K641" si="39">IF(G578="","MISSING OEWS",IF(ISNUMBER(H578),"MATCHED","MISSING WHARTON"))</f>
        <v>MATCHED</v>
      </c>
    </row>
    <row r="579" spans="1:11">
      <c r="A579" t="s">
        <v>102</v>
      </c>
      <c r="B579" t="s">
        <v>103</v>
      </c>
      <c r="C579" t="s">
        <v>702</v>
      </c>
      <c r="D579" t="s">
        <v>703</v>
      </c>
      <c r="E579" s="8">
        <v>370</v>
      </c>
      <c r="F579" s="8">
        <v>76320</v>
      </c>
      <c r="G579" s="8">
        <f t="shared" si="36"/>
        <v>28238400</v>
      </c>
      <c r="H579" s="5">
        <v>0.0825</v>
      </c>
      <c r="I579" s="8">
        <f t="shared" si="37"/>
        <v>28238400</v>
      </c>
      <c r="J579" s="8">
        <f t="shared" si="38"/>
        <v>2329668</v>
      </c>
      <c r="K579" t="str">
        <f t="shared" si="39"/>
        <v>MATCHED</v>
      </c>
    </row>
    <row r="580" spans="1:11">
      <c r="A580" t="s">
        <v>102</v>
      </c>
      <c r="B580" t="s">
        <v>103</v>
      </c>
      <c r="C580" t="s">
        <v>708</v>
      </c>
      <c r="D580" t="s">
        <v>709</v>
      </c>
      <c r="E580" s="8">
        <v>620</v>
      </c>
      <c r="F580" s="8">
        <v>86850</v>
      </c>
      <c r="G580" s="8">
        <f t="shared" si="36"/>
        <v>53847000</v>
      </c>
      <c r="H580" s="5">
        <v>0.05</v>
      </c>
      <c r="I580" s="8">
        <f t="shared" si="37"/>
        <v>53847000</v>
      </c>
      <c r="J580" s="8">
        <f t="shared" si="38"/>
        <v>2692350</v>
      </c>
      <c r="K580" t="str">
        <f t="shared" si="39"/>
        <v>MATCHED</v>
      </c>
    </row>
    <row r="581" spans="1:11">
      <c r="A581" t="s">
        <v>102</v>
      </c>
      <c r="B581" t="s">
        <v>103</v>
      </c>
      <c r="C581" t="s">
        <v>710</v>
      </c>
      <c r="D581" t="s">
        <v>711</v>
      </c>
      <c r="E581" s="8">
        <v>270</v>
      </c>
      <c r="F581" s="8">
        <v>115490</v>
      </c>
      <c r="G581" s="8">
        <f t="shared" si="36"/>
        <v>31182300</v>
      </c>
      <c r="H581" s="5">
        <v>0</v>
      </c>
      <c r="I581" s="8">
        <f t="shared" si="37"/>
        <v>31182300</v>
      </c>
      <c r="J581" s="8">
        <f t="shared" si="38"/>
        <v>0</v>
      </c>
      <c r="K581" t="str">
        <f t="shared" si="39"/>
        <v>MATCHED</v>
      </c>
    </row>
    <row r="582" spans="1:11">
      <c r="A582" t="s">
        <v>102</v>
      </c>
      <c r="B582" t="s">
        <v>103</v>
      </c>
      <c r="C582" t="s">
        <v>712</v>
      </c>
      <c r="D582" t="s">
        <v>713</v>
      </c>
      <c r="E582" s="8">
        <v>80</v>
      </c>
      <c r="F582" s="8">
        <v>79310</v>
      </c>
      <c r="G582" s="8">
        <f t="shared" si="36"/>
        <v>6344800</v>
      </c>
      <c r="H582" s="5">
        <v>0.0233</v>
      </c>
      <c r="I582" s="8">
        <f t="shared" si="37"/>
        <v>6344800</v>
      </c>
      <c r="J582" s="8">
        <f t="shared" si="38"/>
        <v>147833.84</v>
      </c>
      <c r="K582" t="str">
        <f t="shared" si="39"/>
        <v>MATCHED</v>
      </c>
    </row>
    <row r="583" spans="1:11">
      <c r="A583" t="s">
        <v>102</v>
      </c>
      <c r="B583" t="s">
        <v>103</v>
      </c>
      <c r="C583" t="s">
        <v>726</v>
      </c>
      <c r="D583" t="s">
        <v>727</v>
      </c>
      <c r="E583" s="8">
        <v>270</v>
      </c>
      <c r="F583" s="8">
        <v>72260</v>
      </c>
      <c r="G583" s="8">
        <f t="shared" si="36"/>
        <v>19510200</v>
      </c>
      <c r="H583" s="5">
        <v>0</v>
      </c>
      <c r="I583" s="8">
        <f t="shared" si="37"/>
        <v>19510200</v>
      </c>
      <c r="J583" s="8">
        <f t="shared" si="38"/>
        <v>0</v>
      </c>
      <c r="K583" t="str">
        <f t="shared" si="39"/>
        <v>MATCHED</v>
      </c>
    </row>
    <row r="584" spans="1:11">
      <c r="A584" t="s">
        <v>102</v>
      </c>
      <c r="B584" t="s">
        <v>103</v>
      </c>
      <c r="C584" t="s">
        <v>433</v>
      </c>
      <c r="D584" t="s">
        <v>434</v>
      </c>
      <c r="E584" s="8">
        <v>24410</v>
      </c>
      <c r="F584" s="8">
        <v>124580</v>
      </c>
      <c r="G584" s="8">
        <f t="shared" si="36"/>
        <v>3040997800</v>
      </c>
      <c r="H584" s="5">
        <v>0.3523</v>
      </c>
      <c r="I584" s="8">
        <f t="shared" si="37"/>
        <v>3040997800</v>
      </c>
      <c r="J584" s="8">
        <f t="shared" si="38"/>
        <v>1071343524.94</v>
      </c>
      <c r="K584" t="str">
        <f t="shared" si="39"/>
        <v>MATCHED</v>
      </c>
    </row>
    <row r="585" spans="1:11">
      <c r="A585" t="s">
        <v>102</v>
      </c>
      <c r="B585" t="s">
        <v>103</v>
      </c>
      <c r="C585" t="s">
        <v>898</v>
      </c>
      <c r="D585" t="s">
        <v>899</v>
      </c>
      <c r="E585" s="8">
        <v>100</v>
      </c>
      <c r="F585" s="8">
        <v>105890</v>
      </c>
      <c r="G585" s="8">
        <f t="shared" si="36"/>
        <v>10589000</v>
      </c>
      <c r="H585" s="5">
        <v>0.1583</v>
      </c>
      <c r="I585" s="8">
        <f t="shared" si="37"/>
        <v>10589000</v>
      </c>
      <c r="J585" s="8">
        <f t="shared" si="38"/>
        <v>1676238.7</v>
      </c>
      <c r="K585" t="str">
        <f t="shared" si="39"/>
        <v>MATCHED</v>
      </c>
    </row>
    <row r="586" spans="1:11">
      <c r="A586" t="s">
        <v>102</v>
      </c>
      <c r="B586" t="s">
        <v>103</v>
      </c>
      <c r="C586" t="s">
        <v>900</v>
      </c>
      <c r="D586" t="s">
        <v>901</v>
      </c>
      <c r="E586" s="8">
        <v>380</v>
      </c>
      <c r="F586" s="8">
        <v>97570</v>
      </c>
      <c r="G586" s="8">
        <f t="shared" si="36"/>
        <v>37076600</v>
      </c>
      <c r="H586" s="5">
        <v>0.195</v>
      </c>
      <c r="I586" s="8">
        <f t="shared" si="37"/>
        <v>37076600</v>
      </c>
      <c r="J586" s="8">
        <f t="shared" si="38"/>
        <v>7229937</v>
      </c>
      <c r="K586" t="str">
        <f t="shared" si="39"/>
        <v>MATCHED</v>
      </c>
    </row>
    <row r="587" spans="1:11">
      <c r="A587" t="s">
        <v>102</v>
      </c>
      <c r="B587" t="s">
        <v>103</v>
      </c>
      <c r="C587" t="s">
        <v>732</v>
      </c>
      <c r="D587" t="s">
        <v>733</v>
      </c>
      <c r="E587" s="8">
        <v>150</v>
      </c>
      <c r="F587" s="8">
        <v>78230</v>
      </c>
      <c r="G587" s="8">
        <f t="shared" si="36"/>
        <v>11734500</v>
      </c>
      <c r="H587" s="5">
        <v>0.0667</v>
      </c>
      <c r="I587" s="8">
        <f t="shared" si="37"/>
        <v>11734500</v>
      </c>
      <c r="J587" s="8">
        <f t="shared" si="38"/>
        <v>782691.15</v>
      </c>
      <c r="K587" t="str">
        <f t="shared" si="39"/>
        <v>MATCHED</v>
      </c>
    </row>
    <row r="588" spans="1:11">
      <c r="A588" t="s">
        <v>102</v>
      </c>
      <c r="B588" t="s">
        <v>103</v>
      </c>
      <c r="C588" t="s">
        <v>902</v>
      </c>
      <c r="D588" t="s">
        <v>903</v>
      </c>
      <c r="E588" s="8">
        <v>40</v>
      </c>
      <c r="F588" s="8">
        <v>87910</v>
      </c>
      <c r="G588" s="8">
        <f t="shared" si="36"/>
        <v>3516400</v>
      </c>
      <c r="H588" s="5">
        <v>0.2033</v>
      </c>
      <c r="I588" s="8">
        <f t="shared" si="37"/>
        <v>3516400</v>
      </c>
      <c r="J588" s="8">
        <f t="shared" si="38"/>
        <v>714884.12</v>
      </c>
      <c r="K588" t="str">
        <f t="shared" si="39"/>
        <v>MATCHED</v>
      </c>
    </row>
    <row r="589" spans="1:11">
      <c r="A589" t="s">
        <v>102</v>
      </c>
      <c r="B589" t="s">
        <v>103</v>
      </c>
      <c r="C589" t="s">
        <v>734</v>
      </c>
      <c r="D589" t="s">
        <v>735</v>
      </c>
      <c r="E589" s="8">
        <v>1170</v>
      </c>
      <c r="F589" s="8">
        <v>111910</v>
      </c>
      <c r="G589" s="8">
        <f t="shared" si="36"/>
        <v>130934700</v>
      </c>
      <c r="H589" s="5">
        <v>0.19</v>
      </c>
      <c r="I589" s="8">
        <f t="shared" si="37"/>
        <v>130934700</v>
      </c>
      <c r="J589" s="8">
        <f t="shared" si="38"/>
        <v>24877593</v>
      </c>
      <c r="K589" t="str">
        <f t="shared" si="39"/>
        <v>MATCHED</v>
      </c>
    </row>
    <row r="590" spans="1:11">
      <c r="A590" t="s">
        <v>102</v>
      </c>
      <c r="B590" t="s">
        <v>103</v>
      </c>
      <c r="C590" t="s">
        <v>904</v>
      </c>
      <c r="D590" t="s">
        <v>905</v>
      </c>
      <c r="E590" s="8">
        <v>13280</v>
      </c>
      <c r="F590" s="8">
        <v>104470</v>
      </c>
      <c r="G590" s="8">
        <f t="shared" si="36"/>
        <v>1387361600</v>
      </c>
      <c r="H590" s="5">
        <v>0.2219</v>
      </c>
      <c r="I590" s="8">
        <f t="shared" si="37"/>
        <v>1387361600</v>
      </c>
      <c r="J590" s="8">
        <f t="shared" si="38"/>
        <v>307855539.04</v>
      </c>
      <c r="K590" t="str">
        <f t="shared" si="39"/>
        <v>MATCHED</v>
      </c>
    </row>
    <row r="591" spans="1:11">
      <c r="A591" t="s">
        <v>102</v>
      </c>
      <c r="B591" t="s">
        <v>103</v>
      </c>
      <c r="C591" t="s">
        <v>435</v>
      </c>
      <c r="D591" t="s">
        <v>436</v>
      </c>
      <c r="E591" s="8">
        <v>30</v>
      </c>
      <c r="F591" s="8">
        <v>120440</v>
      </c>
      <c r="G591" s="8">
        <f t="shared" si="36"/>
        <v>3613200</v>
      </c>
      <c r="H591" s="5">
        <v>0.0434</v>
      </c>
      <c r="I591" s="8">
        <f t="shared" si="37"/>
        <v>3613200</v>
      </c>
      <c r="J591" s="8">
        <f t="shared" si="38"/>
        <v>156812.88</v>
      </c>
      <c r="K591" t="str">
        <f t="shared" si="39"/>
        <v>MATCHED</v>
      </c>
    </row>
    <row r="592" spans="1:11">
      <c r="A592" t="s">
        <v>102</v>
      </c>
      <c r="B592" t="s">
        <v>103</v>
      </c>
      <c r="C592" t="s">
        <v>736</v>
      </c>
      <c r="D592" t="s">
        <v>737</v>
      </c>
      <c r="E592" s="8">
        <v>1140</v>
      </c>
      <c r="F592" s="8">
        <v>89720</v>
      </c>
      <c r="G592" s="8">
        <f t="shared" si="36"/>
        <v>102280800</v>
      </c>
      <c r="H592" s="5">
        <v>0.0233</v>
      </c>
      <c r="I592" s="8">
        <f t="shared" si="37"/>
        <v>102280800</v>
      </c>
      <c r="J592" s="8">
        <f t="shared" si="38"/>
        <v>2383142.64</v>
      </c>
      <c r="K592" t="str">
        <f t="shared" si="39"/>
        <v>MATCHED</v>
      </c>
    </row>
    <row r="593" spans="1:11">
      <c r="A593" t="s">
        <v>102</v>
      </c>
      <c r="B593" t="s">
        <v>103</v>
      </c>
      <c r="C593" t="s">
        <v>437</v>
      </c>
      <c r="D593" t="s">
        <v>438</v>
      </c>
      <c r="E593" s="8">
        <v>3030</v>
      </c>
      <c r="F593" s="8">
        <v>95840</v>
      </c>
      <c r="G593" s="8">
        <f t="shared" si="36"/>
        <v>290395200</v>
      </c>
      <c r="H593" s="5">
        <v>0</v>
      </c>
      <c r="I593" s="8">
        <f t="shared" si="37"/>
        <v>290395200</v>
      </c>
      <c r="J593" s="8">
        <f t="shared" si="38"/>
        <v>0</v>
      </c>
      <c r="K593" t="str">
        <f t="shared" si="39"/>
        <v>MATCHED</v>
      </c>
    </row>
    <row r="594" spans="1:11">
      <c r="A594" t="s">
        <v>102</v>
      </c>
      <c r="B594" t="s">
        <v>103</v>
      </c>
      <c r="C594" t="s">
        <v>439</v>
      </c>
      <c r="D594" t="s">
        <v>440</v>
      </c>
      <c r="E594" s="8"/>
      <c r="F594" s="8">
        <v>56720</v>
      </c>
      <c r="G594" s="8" t="str">
        <f t="shared" si="36"/>
        <v/>
      </c>
      <c r="H594" s="5">
        <v>0.1357</v>
      </c>
      <c r="I594" s="8" t="str">
        <f t="shared" si="37"/>
        <v/>
      </c>
      <c r="J594" s="8" t="str">
        <f t="shared" si="38"/>
        <v/>
      </c>
      <c r="K594" t="str">
        <f t="shared" si="39"/>
        <v>MISSING OEWS</v>
      </c>
    </row>
    <row r="595" spans="1:11">
      <c r="A595" t="s">
        <v>102</v>
      </c>
      <c r="B595" t="s">
        <v>103</v>
      </c>
      <c r="C595" t="s">
        <v>441</v>
      </c>
      <c r="D595" t="s">
        <v>442</v>
      </c>
      <c r="E595" s="8">
        <v>750</v>
      </c>
      <c r="F595" s="8">
        <v>90280</v>
      </c>
      <c r="G595" s="8">
        <f t="shared" si="36"/>
        <v>67710000</v>
      </c>
      <c r="H595" s="5">
        <v>0.1425</v>
      </c>
      <c r="I595" s="8">
        <f t="shared" si="37"/>
        <v>67710000</v>
      </c>
      <c r="J595" s="8">
        <f t="shared" si="38"/>
        <v>9648675</v>
      </c>
      <c r="K595" t="str">
        <f t="shared" si="39"/>
        <v>MATCHED</v>
      </c>
    </row>
    <row r="596" spans="1:11">
      <c r="A596" t="s">
        <v>102</v>
      </c>
      <c r="B596" t="s">
        <v>103</v>
      </c>
      <c r="C596" t="s">
        <v>740</v>
      </c>
      <c r="D596" t="s">
        <v>741</v>
      </c>
      <c r="E596" s="8">
        <v>22280</v>
      </c>
      <c r="F596" s="8">
        <v>88890</v>
      </c>
      <c r="G596" s="8">
        <f t="shared" si="36"/>
        <v>1980469200</v>
      </c>
      <c r="H596" s="5">
        <v>0.0731</v>
      </c>
      <c r="I596" s="8">
        <f t="shared" si="37"/>
        <v>1980469200</v>
      </c>
      <c r="J596" s="8">
        <f t="shared" si="38"/>
        <v>144772298.52</v>
      </c>
      <c r="K596" t="str">
        <f t="shared" si="39"/>
        <v>MATCHED</v>
      </c>
    </row>
    <row r="597" spans="1:11">
      <c r="A597" t="s">
        <v>102</v>
      </c>
      <c r="B597" t="s">
        <v>103</v>
      </c>
      <c r="C597" t="s">
        <v>443</v>
      </c>
      <c r="D597" t="s">
        <v>444</v>
      </c>
      <c r="E597" s="8">
        <v>1220</v>
      </c>
      <c r="F597" s="8">
        <v>90520</v>
      </c>
      <c r="G597" s="8">
        <f t="shared" si="36"/>
        <v>110434400</v>
      </c>
      <c r="H597" s="5">
        <v>0.0867</v>
      </c>
      <c r="I597" s="8">
        <f t="shared" si="37"/>
        <v>110434400</v>
      </c>
      <c r="J597" s="8">
        <f t="shared" si="38"/>
        <v>9574662.48</v>
      </c>
      <c r="K597" t="str">
        <f t="shared" si="39"/>
        <v>MATCHED</v>
      </c>
    </row>
    <row r="598" spans="1:11">
      <c r="A598" t="s">
        <v>102</v>
      </c>
      <c r="B598" t="s">
        <v>103</v>
      </c>
      <c r="C598" t="s">
        <v>906</v>
      </c>
      <c r="D598" t="s">
        <v>907</v>
      </c>
      <c r="E598" s="8"/>
      <c r="F598" s="8">
        <v>98990</v>
      </c>
      <c r="G598" s="8" t="str">
        <f t="shared" si="36"/>
        <v/>
      </c>
      <c r="H598" s="5">
        <v>0.1226</v>
      </c>
      <c r="I598" s="8" t="str">
        <f t="shared" si="37"/>
        <v/>
      </c>
      <c r="J598" s="8" t="str">
        <f t="shared" si="38"/>
        <v/>
      </c>
      <c r="K598" t="str">
        <f t="shared" si="39"/>
        <v>MISSING OEWS</v>
      </c>
    </row>
    <row r="599" spans="1:11">
      <c r="A599" t="s">
        <v>102</v>
      </c>
      <c r="B599" t="s">
        <v>103</v>
      </c>
      <c r="C599" t="s">
        <v>445</v>
      </c>
      <c r="D599" t="s">
        <v>446</v>
      </c>
      <c r="E599" s="8">
        <v>10100</v>
      </c>
      <c r="F599" s="8">
        <v>92130</v>
      </c>
      <c r="G599" s="8">
        <f t="shared" si="36"/>
        <v>930513000</v>
      </c>
      <c r="H599" s="5">
        <v>0.25</v>
      </c>
      <c r="I599" s="8">
        <f t="shared" si="37"/>
        <v>930513000</v>
      </c>
      <c r="J599" s="8">
        <f t="shared" si="38"/>
        <v>232628250</v>
      </c>
      <c r="K599" t="str">
        <f t="shared" si="39"/>
        <v>MATCHED</v>
      </c>
    </row>
    <row r="600" spans="1:11">
      <c r="A600" t="s">
        <v>102</v>
      </c>
      <c r="B600" t="s">
        <v>103</v>
      </c>
      <c r="C600" t="s">
        <v>447</v>
      </c>
      <c r="D600" t="s">
        <v>448</v>
      </c>
      <c r="E600" s="8">
        <v>380</v>
      </c>
      <c r="F600" s="8">
        <v>83320</v>
      </c>
      <c r="G600" s="8">
        <f t="shared" si="36"/>
        <v>31661600</v>
      </c>
      <c r="H600" s="5">
        <v>0.0528</v>
      </c>
      <c r="I600" s="8">
        <f t="shared" si="37"/>
        <v>31661600</v>
      </c>
      <c r="J600" s="8">
        <f t="shared" si="38"/>
        <v>1671732.48</v>
      </c>
      <c r="K600" t="str">
        <f t="shared" si="39"/>
        <v>MATCHED</v>
      </c>
    </row>
    <row r="601" spans="1:11">
      <c r="A601" t="s">
        <v>102</v>
      </c>
      <c r="B601" t="s">
        <v>103</v>
      </c>
      <c r="C601" t="s">
        <v>742</v>
      </c>
      <c r="D601" t="s">
        <v>743</v>
      </c>
      <c r="E601" s="8">
        <v>220</v>
      </c>
      <c r="F601" s="8">
        <v>103530</v>
      </c>
      <c r="G601" s="8">
        <f t="shared" si="36"/>
        <v>22776600</v>
      </c>
      <c r="H601" s="5">
        <v>0</v>
      </c>
      <c r="I601" s="8">
        <f t="shared" si="37"/>
        <v>22776600</v>
      </c>
      <c r="J601" s="8">
        <f t="shared" si="38"/>
        <v>0</v>
      </c>
      <c r="K601" t="str">
        <f t="shared" si="39"/>
        <v>MATCHED</v>
      </c>
    </row>
    <row r="602" spans="1:11">
      <c r="A602" t="s">
        <v>102</v>
      </c>
      <c r="B602" t="s">
        <v>103</v>
      </c>
      <c r="C602" t="s">
        <v>744</v>
      </c>
      <c r="D602" t="s">
        <v>745</v>
      </c>
      <c r="E602" s="8">
        <v>65310</v>
      </c>
      <c r="F602" s="8">
        <v>102040</v>
      </c>
      <c r="G602" s="8">
        <f t="shared" si="36"/>
        <v>6664232400</v>
      </c>
      <c r="H602" s="5">
        <v>0</v>
      </c>
      <c r="I602" s="8">
        <f t="shared" si="37"/>
        <v>6664232400</v>
      </c>
      <c r="J602" s="8">
        <f t="shared" si="38"/>
        <v>0</v>
      </c>
      <c r="K602" t="str">
        <f t="shared" si="39"/>
        <v>MATCHED</v>
      </c>
    </row>
    <row r="603" spans="1:11">
      <c r="A603" t="s">
        <v>102</v>
      </c>
      <c r="B603" t="s">
        <v>103</v>
      </c>
      <c r="C603" t="s">
        <v>908</v>
      </c>
      <c r="D603" t="s">
        <v>909</v>
      </c>
      <c r="E603" s="8">
        <v>1420</v>
      </c>
      <c r="F603" s="8">
        <v>86130</v>
      </c>
      <c r="G603" s="8">
        <f t="shared" si="36"/>
        <v>122304600</v>
      </c>
      <c r="H603" s="5">
        <v>0.0475</v>
      </c>
      <c r="I603" s="8">
        <f t="shared" si="37"/>
        <v>122304600</v>
      </c>
      <c r="J603" s="8">
        <f t="shared" si="38"/>
        <v>5809468.5</v>
      </c>
      <c r="K603" t="str">
        <f t="shared" si="39"/>
        <v>MATCHED</v>
      </c>
    </row>
    <row r="604" spans="1:11">
      <c r="A604" t="s">
        <v>102</v>
      </c>
      <c r="B604" t="s">
        <v>103</v>
      </c>
      <c r="C604" t="s">
        <v>746</v>
      </c>
      <c r="D604" t="s">
        <v>747</v>
      </c>
      <c r="E604" s="8">
        <v>130</v>
      </c>
      <c r="F604" s="8">
        <v>103360</v>
      </c>
      <c r="G604" s="8">
        <f t="shared" si="36"/>
        <v>13436800</v>
      </c>
      <c r="H604" s="5"/>
      <c r="I604" s="8" t="str">
        <f t="shared" si="37"/>
        <v/>
      </c>
      <c r="J604" s="8" t="str">
        <f t="shared" si="38"/>
        <v/>
      </c>
      <c r="K604" t="str">
        <f t="shared" si="39"/>
        <v>MISSING WHARTON</v>
      </c>
    </row>
    <row r="605" spans="1:11">
      <c r="A605" t="s">
        <v>102</v>
      </c>
      <c r="B605" t="s">
        <v>103</v>
      </c>
      <c r="C605" t="s">
        <v>449</v>
      </c>
      <c r="D605" t="s">
        <v>450</v>
      </c>
      <c r="E605" s="8">
        <v>8660</v>
      </c>
      <c r="F605" s="8">
        <v>72830</v>
      </c>
      <c r="G605" s="8">
        <f t="shared" si="36"/>
        <v>630707800</v>
      </c>
      <c r="H605" s="5">
        <v>0.0867</v>
      </c>
      <c r="I605" s="8">
        <f t="shared" si="37"/>
        <v>630707800</v>
      </c>
      <c r="J605" s="8">
        <f t="shared" si="38"/>
        <v>54682366.26</v>
      </c>
      <c r="K605" t="str">
        <f t="shared" si="39"/>
        <v>MATCHED</v>
      </c>
    </row>
    <row r="606" spans="1:11">
      <c r="A606" t="s">
        <v>102</v>
      </c>
      <c r="B606" t="s">
        <v>103</v>
      </c>
      <c r="C606" t="s">
        <v>910</v>
      </c>
      <c r="D606" t="s">
        <v>911</v>
      </c>
      <c r="E606" s="8">
        <v>4960</v>
      </c>
      <c r="F606" s="8">
        <v>71120</v>
      </c>
      <c r="G606" s="8">
        <f t="shared" si="36"/>
        <v>352755200</v>
      </c>
      <c r="H606" s="5">
        <v>0</v>
      </c>
      <c r="I606" s="8">
        <f t="shared" si="37"/>
        <v>352755200</v>
      </c>
      <c r="J606" s="8">
        <f t="shared" si="38"/>
        <v>0</v>
      </c>
      <c r="K606" t="str">
        <f t="shared" si="39"/>
        <v>MATCHED</v>
      </c>
    </row>
    <row r="607" spans="1:11">
      <c r="A607" t="s">
        <v>102</v>
      </c>
      <c r="B607" t="s">
        <v>103</v>
      </c>
      <c r="C607" t="s">
        <v>451</v>
      </c>
      <c r="D607" t="s">
        <v>452</v>
      </c>
      <c r="E607" s="8">
        <v>1290</v>
      </c>
      <c r="F607" s="8">
        <v>61870</v>
      </c>
      <c r="G607" s="8">
        <f t="shared" si="36"/>
        <v>79812300</v>
      </c>
      <c r="H607" s="5">
        <v>0.0594</v>
      </c>
      <c r="I607" s="8">
        <f t="shared" si="37"/>
        <v>79812300</v>
      </c>
      <c r="J607" s="8">
        <f t="shared" si="38"/>
        <v>4740850.62</v>
      </c>
      <c r="K607" t="str">
        <f t="shared" si="39"/>
        <v>MATCHED</v>
      </c>
    </row>
    <row r="608" spans="1:11">
      <c r="A608" t="s">
        <v>102</v>
      </c>
      <c r="B608" t="s">
        <v>103</v>
      </c>
      <c r="C608" t="s">
        <v>453</v>
      </c>
      <c r="D608" t="s">
        <v>454</v>
      </c>
      <c r="E608" s="8">
        <v>1730</v>
      </c>
      <c r="F608" s="8">
        <v>79200</v>
      </c>
      <c r="G608" s="8">
        <f t="shared" si="36"/>
        <v>137016000</v>
      </c>
      <c r="H608" s="5">
        <v>0.1667</v>
      </c>
      <c r="I608" s="8">
        <f t="shared" si="37"/>
        <v>137016000</v>
      </c>
      <c r="J608" s="8">
        <f t="shared" si="38"/>
        <v>22840567.2</v>
      </c>
      <c r="K608" t="str">
        <f t="shared" si="39"/>
        <v>MATCHED</v>
      </c>
    </row>
    <row r="609" spans="1:11">
      <c r="A609" t="s">
        <v>102</v>
      </c>
      <c r="B609" t="s">
        <v>103</v>
      </c>
      <c r="C609" t="s">
        <v>455</v>
      </c>
      <c r="D609" t="s">
        <v>456</v>
      </c>
      <c r="E609" s="8">
        <v>10480</v>
      </c>
      <c r="F609" s="8">
        <v>123830</v>
      </c>
      <c r="G609" s="8">
        <f t="shared" si="36"/>
        <v>1297738400</v>
      </c>
      <c r="H609" s="5">
        <v>0.3775</v>
      </c>
      <c r="I609" s="8">
        <f t="shared" si="37"/>
        <v>1297738400</v>
      </c>
      <c r="J609" s="8">
        <f t="shared" si="38"/>
        <v>489896246</v>
      </c>
      <c r="K609" t="str">
        <f t="shared" si="39"/>
        <v>MATCHED</v>
      </c>
    </row>
    <row r="610" spans="1:11">
      <c r="A610" t="s">
        <v>102</v>
      </c>
      <c r="B610" t="s">
        <v>103</v>
      </c>
      <c r="C610" t="s">
        <v>912</v>
      </c>
      <c r="D610" t="s">
        <v>913</v>
      </c>
      <c r="E610" s="8">
        <v>120</v>
      </c>
      <c r="F610" s="8">
        <v>56620</v>
      </c>
      <c r="G610" s="8">
        <f t="shared" si="36"/>
        <v>6794400</v>
      </c>
      <c r="H610" s="5">
        <v>0.0559</v>
      </c>
      <c r="I610" s="8">
        <f t="shared" si="37"/>
        <v>6794400</v>
      </c>
      <c r="J610" s="8">
        <f t="shared" si="38"/>
        <v>379806.96</v>
      </c>
      <c r="K610" t="str">
        <f t="shared" si="39"/>
        <v>MATCHED</v>
      </c>
    </row>
    <row r="611" spans="1:11">
      <c r="A611" t="s">
        <v>102</v>
      </c>
      <c r="B611" t="s">
        <v>103</v>
      </c>
      <c r="C611" t="s">
        <v>457</v>
      </c>
      <c r="D611" t="s">
        <v>458</v>
      </c>
      <c r="E611" s="8">
        <v>50</v>
      </c>
      <c r="F611" s="8">
        <v>53490</v>
      </c>
      <c r="G611" s="8">
        <f t="shared" si="36"/>
        <v>2674500</v>
      </c>
      <c r="H611" s="5">
        <v>0.15</v>
      </c>
      <c r="I611" s="8">
        <f t="shared" si="37"/>
        <v>2674500</v>
      </c>
      <c r="J611" s="8">
        <f t="shared" si="38"/>
        <v>401175</v>
      </c>
      <c r="K611" t="str">
        <f t="shared" si="39"/>
        <v>MATCHED</v>
      </c>
    </row>
    <row r="612" spans="1:11">
      <c r="A612" t="s">
        <v>102</v>
      </c>
      <c r="B612" t="s">
        <v>103</v>
      </c>
      <c r="C612" t="s">
        <v>756</v>
      </c>
      <c r="D612" t="s">
        <v>757</v>
      </c>
      <c r="E612" s="8">
        <v>390</v>
      </c>
      <c r="F612" s="8">
        <v>101590</v>
      </c>
      <c r="G612" s="8">
        <f t="shared" si="36"/>
        <v>39620100</v>
      </c>
      <c r="H612" s="5">
        <v>0.0897</v>
      </c>
      <c r="I612" s="8">
        <f t="shared" si="37"/>
        <v>39620100</v>
      </c>
      <c r="J612" s="8">
        <f t="shared" si="38"/>
        <v>3553922.97</v>
      </c>
      <c r="K612" t="str">
        <f t="shared" si="39"/>
        <v>MATCHED</v>
      </c>
    </row>
    <row r="613" spans="1:11">
      <c r="A613" t="s">
        <v>102</v>
      </c>
      <c r="B613" t="s">
        <v>103</v>
      </c>
      <c r="C613" t="s">
        <v>465</v>
      </c>
      <c r="D613" t="s">
        <v>466</v>
      </c>
      <c r="E613" s="8">
        <v>1910</v>
      </c>
      <c r="F613" s="8">
        <v>94900</v>
      </c>
      <c r="G613" s="8">
        <f t="shared" si="36"/>
        <v>181259000</v>
      </c>
      <c r="H613" s="5">
        <v>0.0233</v>
      </c>
      <c r="I613" s="8">
        <f t="shared" si="37"/>
        <v>181259000</v>
      </c>
      <c r="J613" s="8">
        <f t="shared" si="38"/>
        <v>4223334.7</v>
      </c>
      <c r="K613" t="str">
        <f t="shared" si="39"/>
        <v>MATCHED</v>
      </c>
    </row>
    <row r="614" spans="1:11">
      <c r="A614" t="s">
        <v>102</v>
      </c>
      <c r="B614" t="s">
        <v>103</v>
      </c>
      <c r="C614" t="s">
        <v>762</v>
      </c>
      <c r="D614" t="s">
        <v>763</v>
      </c>
      <c r="E614" s="8">
        <v>120</v>
      </c>
      <c r="F614" s="8">
        <v>73210</v>
      </c>
      <c r="G614" s="8">
        <f t="shared" si="36"/>
        <v>8785200</v>
      </c>
      <c r="H614" s="5">
        <v>0.0983</v>
      </c>
      <c r="I614" s="8">
        <f t="shared" si="37"/>
        <v>8785200</v>
      </c>
      <c r="J614" s="8">
        <f t="shared" si="38"/>
        <v>863585.16</v>
      </c>
      <c r="K614" t="str">
        <f t="shared" si="39"/>
        <v>MATCHED</v>
      </c>
    </row>
    <row r="615" spans="1:11">
      <c r="A615" t="s">
        <v>102</v>
      </c>
      <c r="B615" t="s">
        <v>103</v>
      </c>
      <c r="C615" t="s">
        <v>914</v>
      </c>
      <c r="D615" t="s">
        <v>915</v>
      </c>
      <c r="E615" s="8">
        <v>4030</v>
      </c>
      <c r="F615" s="8">
        <v>120700</v>
      </c>
      <c r="G615" s="8">
        <f t="shared" si="36"/>
        <v>486421000</v>
      </c>
      <c r="H615" s="5">
        <v>0.1425</v>
      </c>
      <c r="I615" s="8">
        <f t="shared" si="37"/>
        <v>486421000</v>
      </c>
      <c r="J615" s="8">
        <f t="shared" si="38"/>
        <v>69314992.5</v>
      </c>
      <c r="K615" t="str">
        <f t="shared" si="39"/>
        <v>MATCHED</v>
      </c>
    </row>
    <row r="616" spans="1:11">
      <c r="A616" t="s">
        <v>102</v>
      </c>
      <c r="B616" t="s">
        <v>103</v>
      </c>
      <c r="C616" t="s">
        <v>916</v>
      </c>
      <c r="D616" t="s">
        <v>917</v>
      </c>
      <c r="E616" s="8">
        <v>5570</v>
      </c>
      <c r="F616" s="8">
        <v>109170</v>
      </c>
      <c r="G616" s="8">
        <f t="shared" si="36"/>
        <v>608076900</v>
      </c>
      <c r="H616" s="5">
        <v>0.4267</v>
      </c>
      <c r="I616" s="8">
        <f t="shared" si="37"/>
        <v>608076900</v>
      </c>
      <c r="J616" s="8">
        <f t="shared" si="38"/>
        <v>259466413.23</v>
      </c>
      <c r="K616" t="str">
        <f t="shared" si="39"/>
        <v>MATCHED</v>
      </c>
    </row>
    <row r="617" spans="1:11">
      <c r="A617" t="s">
        <v>102</v>
      </c>
      <c r="B617" t="s">
        <v>103</v>
      </c>
      <c r="C617" t="s">
        <v>766</v>
      </c>
      <c r="D617" t="s">
        <v>767</v>
      </c>
      <c r="E617" s="8">
        <v>20400</v>
      </c>
      <c r="F617" s="8">
        <v>104520</v>
      </c>
      <c r="G617" s="8">
        <f t="shared" si="36"/>
        <v>2132208000</v>
      </c>
      <c r="H617" s="5">
        <v>0.1618</v>
      </c>
      <c r="I617" s="8">
        <f t="shared" si="37"/>
        <v>2132208000</v>
      </c>
      <c r="J617" s="8">
        <f t="shared" si="38"/>
        <v>344991254.4</v>
      </c>
      <c r="K617" t="str">
        <f t="shared" si="39"/>
        <v>MATCHED</v>
      </c>
    </row>
    <row r="618" spans="1:11">
      <c r="A618" t="s">
        <v>102</v>
      </c>
      <c r="B618" t="s">
        <v>103</v>
      </c>
      <c r="C618" t="s">
        <v>768</v>
      </c>
      <c r="D618" t="s">
        <v>769</v>
      </c>
      <c r="E618" s="8">
        <v>630</v>
      </c>
      <c r="F618" s="8">
        <v>94560</v>
      </c>
      <c r="G618" s="8">
        <f t="shared" si="36"/>
        <v>59572800</v>
      </c>
      <c r="H618" s="5">
        <v>0.104</v>
      </c>
      <c r="I618" s="8">
        <f t="shared" si="37"/>
        <v>59572800</v>
      </c>
      <c r="J618" s="8">
        <f t="shared" si="38"/>
        <v>6195571.2</v>
      </c>
      <c r="K618" t="str">
        <f t="shared" si="39"/>
        <v>MATCHED</v>
      </c>
    </row>
    <row r="619" spans="1:11">
      <c r="A619" t="s">
        <v>102</v>
      </c>
      <c r="B619" t="s">
        <v>103</v>
      </c>
      <c r="C619" t="s">
        <v>770</v>
      </c>
      <c r="D619" t="s">
        <v>771</v>
      </c>
      <c r="E619" s="8">
        <v>17880</v>
      </c>
      <c r="F619" s="8">
        <v>61580</v>
      </c>
      <c r="G619" s="8">
        <f t="shared" si="36"/>
        <v>1101050400</v>
      </c>
      <c r="H619" s="5">
        <v>0.1188</v>
      </c>
      <c r="I619" s="8">
        <f t="shared" si="37"/>
        <v>1101050400</v>
      </c>
      <c r="J619" s="8">
        <f t="shared" si="38"/>
        <v>130804787.52</v>
      </c>
      <c r="K619" t="str">
        <f t="shared" si="39"/>
        <v>MATCHED</v>
      </c>
    </row>
    <row r="620" spans="1:11">
      <c r="A620" t="s">
        <v>102</v>
      </c>
      <c r="B620" t="s">
        <v>103</v>
      </c>
      <c r="C620" t="s">
        <v>772</v>
      </c>
      <c r="D620" t="s">
        <v>773</v>
      </c>
      <c r="E620" s="8">
        <v>50</v>
      </c>
      <c r="F620" s="8">
        <v>104890</v>
      </c>
      <c r="G620" s="8">
        <f t="shared" si="36"/>
        <v>5244500</v>
      </c>
      <c r="H620" s="5">
        <v>0.1</v>
      </c>
      <c r="I620" s="8">
        <f t="shared" si="37"/>
        <v>5244500</v>
      </c>
      <c r="J620" s="8">
        <f t="shared" si="38"/>
        <v>524450</v>
      </c>
      <c r="K620" t="str">
        <f t="shared" si="39"/>
        <v>MATCHED</v>
      </c>
    </row>
    <row r="621" spans="1:11">
      <c r="A621" t="s">
        <v>102</v>
      </c>
      <c r="B621" t="s">
        <v>103</v>
      </c>
      <c r="C621" t="s">
        <v>774</v>
      </c>
      <c r="D621" t="s">
        <v>775</v>
      </c>
      <c r="E621" s="8">
        <v>7920</v>
      </c>
      <c r="F621" s="8">
        <v>92980</v>
      </c>
      <c r="G621" s="8">
        <f t="shared" si="36"/>
        <v>736401600</v>
      </c>
      <c r="H621" s="5">
        <v>0.15</v>
      </c>
      <c r="I621" s="8">
        <f t="shared" si="37"/>
        <v>736401600</v>
      </c>
      <c r="J621" s="8">
        <f t="shared" si="38"/>
        <v>110460240</v>
      </c>
      <c r="K621" t="str">
        <f t="shared" si="39"/>
        <v>MATCHED</v>
      </c>
    </row>
    <row r="622" spans="1:11">
      <c r="A622" t="s">
        <v>102</v>
      </c>
      <c r="B622" t="s">
        <v>103</v>
      </c>
      <c r="C622" t="s">
        <v>776</v>
      </c>
      <c r="D622" t="s">
        <v>777</v>
      </c>
      <c r="E622" s="8">
        <v>220</v>
      </c>
      <c r="F622" s="8">
        <v>95020</v>
      </c>
      <c r="G622" s="8">
        <f t="shared" si="36"/>
        <v>20904400</v>
      </c>
      <c r="H622" s="5">
        <v>0.1583</v>
      </c>
      <c r="I622" s="8">
        <f t="shared" si="37"/>
        <v>20904400</v>
      </c>
      <c r="J622" s="8">
        <f t="shared" si="38"/>
        <v>3309166.52</v>
      </c>
      <c r="K622" t="str">
        <f t="shared" si="39"/>
        <v>MATCHED</v>
      </c>
    </row>
    <row r="623" spans="1:11">
      <c r="A623" t="s">
        <v>102</v>
      </c>
      <c r="B623" t="s">
        <v>103</v>
      </c>
      <c r="C623" t="s">
        <v>778</v>
      </c>
      <c r="D623" t="s">
        <v>779</v>
      </c>
      <c r="E623" s="8">
        <v>260</v>
      </c>
      <c r="F623" s="8">
        <v>75250</v>
      </c>
      <c r="G623" s="8">
        <f t="shared" si="36"/>
        <v>19565000</v>
      </c>
      <c r="H623" s="5">
        <v>0.1</v>
      </c>
      <c r="I623" s="8">
        <f t="shared" si="37"/>
        <v>19565000</v>
      </c>
      <c r="J623" s="8">
        <f t="shared" si="38"/>
        <v>1956500</v>
      </c>
      <c r="K623" t="str">
        <f t="shared" si="39"/>
        <v>MATCHED</v>
      </c>
    </row>
    <row r="624" spans="1:11">
      <c r="A624" t="s">
        <v>102</v>
      </c>
      <c r="B624" t="s">
        <v>103</v>
      </c>
      <c r="C624" t="s">
        <v>469</v>
      </c>
      <c r="D624" t="s">
        <v>470</v>
      </c>
      <c r="E624" s="8">
        <v>70</v>
      </c>
      <c r="F624" s="8">
        <v>92680</v>
      </c>
      <c r="G624" s="8">
        <f t="shared" si="36"/>
        <v>6487600</v>
      </c>
      <c r="H624" s="5">
        <v>0.0452</v>
      </c>
      <c r="I624" s="8">
        <f t="shared" si="37"/>
        <v>6487600</v>
      </c>
      <c r="J624" s="8">
        <f t="shared" si="38"/>
        <v>293239.52</v>
      </c>
      <c r="K624" t="str">
        <f t="shared" si="39"/>
        <v>MATCHED</v>
      </c>
    </row>
    <row r="625" spans="1:11">
      <c r="A625" t="s">
        <v>102</v>
      </c>
      <c r="B625" t="s">
        <v>103</v>
      </c>
      <c r="C625" t="s">
        <v>471</v>
      </c>
      <c r="D625" t="s">
        <v>472</v>
      </c>
      <c r="E625" s="8">
        <v>140</v>
      </c>
      <c r="F625" s="8">
        <v>54420</v>
      </c>
      <c r="G625" s="8">
        <f t="shared" si="36"/>
        <v>7618800</v>
      </c>
      <c r="H625" s="5">
        <v>0.0864</v>
      </c>
      <c r="I625" s="8">
        <f t="shared" si="37"/>
        <v>7618800</v>
      </c>
      <c r="J625" s="8">
        <f t="shared" si="38"/>
        <v>658264.32</v>
      </c>
      <c r="K625" t="str">
        <f t="shared" si="39"/>
        <v>MATCHED</v>
      </c>
    </row>
    <row r="626" spans="1:11">
      <c r="A626" t="s">
        <v>102</v>
      </c>
      <c r="B626" t="s">
        <v>103</v>
      </c>
      <c r="C626" t="s">
        <v>481</v>
      </c>
      <c r="D626" t="s">
        <v>482</v>
      </c>
      <c r="E626" s="8">
        <v>1720</v>
      </c>
      <c r="F626" s="8">
        <v>82100</v>
      </c>
      <c r="G626" s="8">
        <f t="shared" si="36"/>
        <v>141212000</v>
      </c>
      <c r="H626" s="5">
        <v>0.2969</v>
      </c>
      <c r="I626" s="8">
        <f t="shared" si="37"/>
        <v>141212000</v>
      </c>
      <c r="J626" s="8">
        <f t="shared" si="38"/>
        <v>41925842.8</v>
      </c>
      <c r="K626" t="str">
        <f t="shared" si="39"/>
        <v>MATCHED</v>
      </c>
    </row>
    <row r="627" spans="1:11">
      <c r="A627" t="s">
        <v>102</v>
      </c>
      <c r="B627" t="s">
        <v>103</v>
      </c>
      <c r="C627" t="s">
        <v>782</v>
      </c>
      <c r="D627" t="s">
        <v>783</v>
      </c>
      <c r="E627" s="8">
        <v>90</v>
      </c>
      <c r="F627" s="8">
        <v>60210</v>
      </c>
      <c r="G627" s="8">
        <f t="shared" si="36"/>
        <v>5418900</v>
      </c>
      <c r="H627" s="5">
        <v>0.0317</v>
      </c>
      <c r="I627" s="8">
        <f t="shared" si="37"/>
        <v>5418900</v>
      </c>
      <c r="J627" s="8">
        <f t="shared" si="38"/>
        <v>171779.13</v>
      </c>
      <c r="K627" t="str">
        <f t="shared" si="39"/>
        <v>MATCHED</v>
      </c>
    </row>
    <row r="628" spans="1:11">
      <c r="A628" t="s">
        <v>102</v>
      </c>
      <c r="B628" t="s">
        <v>103</v>
      </c>
      <c r="C628" t="s">
        <v>784</v>
      </c>
      <c r="D628" t="s">
        <v>785</v>
      </c>
      <c r="E628" s="8">
        <v>50</v>
      </c>
      <c r="F628" s="8">
        <v>63560</v>
      </c>
      <c r="G628" s="8">
        <f t="shared" si="36"/>
        <v>3178000</v>
      </c>
      <c r="H628" s="5">
        <v>0.2111</v>
      </c>
      <c r="I628" s="8">
        <f t="shared" si="37"/>
        <v>3178000</v>
      </c>
      <c r="J628" s="8">
        <f t="shared" si="38"/>
        <v>670875.8</v>
      </c>
      <c r="K628" t="str">
        <f t="shared" si="39"/>
        <v>MATCHED</v>
      </c>
    </row>
    <row r="629" spans="1:11">
      <c r="A629" t="s">
        <v>102</v>
      </c>
      <c r="B629" t="s">
        <v>103</v>
      </c>
      <c r="C629" t="s">
        <v>489</v>
      </c>
      <c r="D629" t="s">
        <v>490</v>
      </c>
      <c r="E629" s="8">
        <v>170</v>
      </c>
      <c r="F629" s="8">
        <v>59430</v>
      </c>
      <c r="G629" s="8">
        <f t="shared" si="36"/>
        <v>10103100</v>
      </c>
      <c r="H629" s="5">
        <v>0.0838</v>
      </c>
      <c r="I629" s="8">
        <f t="shared" si="37"/>
        <v>10103100</v>
      </c>
      <c r="J629" s="8">
        <f t="shared" si="38"/>
        <v>846639.78</v>
      </c>
      <c r="K629" t="str">
        <f t="shared" si="39"/>
        <v>MATCHED</v>
      </c>
    </row>
    <row r="630" spans="1:11">
      <c r="A630" t="s">
        <v>102</v>
      </c>
      <c r="B630" t="s">
        <v>103</v>
      </c>
      <c r="C630" t="s">
        <v>491</v>
      </c>
      <c r="D630" t="s">
        <v>492</v>
      </c>
      <c r="E630" s="8">
        <v>1520</v>
      </c>
      <c r="F630" s="8">
        <v>100040</v>
      </c>
      <c r="G630" s="8">
        <f t="shared" si="36"/>
        <v>152060800</v>
      </c>
      <c r="H630" s="5"/>
      <c r="I630" s="8" t="str">
        <f t="shared" si="37"/>
        <v/>
      </c>
      <c r="J630" s="8" t="str">
        <f t="shared" si="38"/>
        <v/>
      </c>
      <c r="K630" t="str">
        <f t="shared" si="39"/>
        <v>MISSING WHARTON</v>
      </c>
    </row>
    <row r="631" spans="1:11">
      <c r="A631" t="s">
        <v>102</v>
      </c>
      <c r="B631" t="s">
        <v>103</v>
      </c>
      <c r="C631" t="s">
        <v>493</v>
      </c>
      <c r="D631" t="s">
        <v>494</v>
      </c>
      <c r="E631" s="8">
        <v>990</v>
      </c>
      <c r="F631" s="8">
        <v>98520</v>
      </c>
      <c r="G631" s="8">
        <f t="shared" si="36"/>
        <v>97534800</v>
      </c>
      <c r="H631" s="5">
        <v>0.3429</v>
      </c>
      <c r="I631" s="8">
        <f t="shared" si="37"/>
        <v>97534800</v>
      </c>
      <c r="J631" s="8">
        <f t="shared" si="38"/>
        <v>33444682.92</v>
      </c>
      <c r="K631" t="str">
        <f t="shared" si="39"/>
        <v>MATCHED</v>
      </c>
    </row>
    <row r="632" spans="1:11">
      <c r="A632" t="s">
        <v>102</v>
      </c>
      <c r="B632" t="s">
        <v>103</v>
      </c>
      <c r="C632" t="s">
        <v>495</v>
      </c>
      <c r="D632" t="s">
        <v>496</v>
      </c>
      <c r="E632" s="8">
        <v>40</v>
      </c>
      <c r="F632" s="8">
        <v>176560</v>
      </c>
      <c r="G632" s="8">
        <f t="shared" si="36"/>
        <v>7062400</v>
      </c>
      <c r="H632" s="5">
        <v>0.3558</v>
      </c>
      <c r="I632" s="8">
        <f t="shared" si="37"/>
        <v>7062400</v>
      </c>
      <c r="J632" s="8">
        <f t="shared" si="38"/>
        <v>2512801.92</v>
      </c>
      <c r="K632" t="str">
        <f t="shared" si="39"/>
        <v>MATCHED</v>
      </c>
    </row>
    <row r="633" spans="1:11">
      <c r="A633" t="s">
        <v>102</v>
      </c>
      <c r="B633" t="s">
        <v>103</v>
      </c>
      <c r="C633" t="s">
        <v>497</v>
      </c>
      <c r="D633" t="s">
        <v>498</v>
      </c>
      <c r="E633" s="8">
        <v>180</v>
      </c>
      <c r="F633" s="8">
        <v>41000</v>
      </c>
      <c r="G633" s="8">
        <f t="shared" si="36"/>
        <v>7380000</v>
      </c>
      <c r="H633" s="5">
        <v>0.3167</v>
      </c>
      <c r="I633" s="8">
        <f t="shared" si="37"/>
        <v>7380000</v>
      </c>
      <c r="J633" s="8">
        <f t="shared" si="38"/>
        <v>2337246</v>
      </c>
      <c r="K633" t="str">
        <f t="shared" si="39"/>
        <v>MATCHED</v>
      </c>
    </row>
    <row r="634" spans="1:11">
      <c r="A634" t="s">
        <v>102</v>
      </c>
      <c r="B634" t="s">
        <v>103</v>
      </c>
      <c r="C634" t="s">
        <v>499</v>
      </c>
      <c r="D634" t="s">
        <v>500</v>
      </c>
      <c r="E634" s="8">
        <v>2070</v>
      </c>
      <c r="F634" s="8">
        <v>68270</v>
      </c>
      <c r="G634" s="8">
        <f t="shared" si="36"/>
        <v>141318900</v>
      </c>
      <c r="H634" s="5">
        <v>0.2065</v>
      </c>
      <c r="I634" s="8">
        <f t="shared" si="37"/>
        <v>141318900</v>
      </c>
      <c r="J634" s="8">
        <f t="shared" si="38"/>
        <v>29182352.85</v>
      </c>
      <c r="K634" t="str">
        <f t="shared" si="39"/>
        <v>MATCHED</v>
      </c>
    </row>
    <row r="635" spans="1:11">
      <c r="A635" t="s">
        <v>102</v>
      </c>
      <c r="B635" t="s">
        <v>103</v>
      </c>
      <c r="C635" t="s">
        <v>501</v>
      </c>
      <c r="D635" t="s">
        <v>502</v>
      </c>
      <c r="E635" s="8">
        <v>480</v>
      </c>
      <c r="F635" s="8">
        <v>66210</v>
      </c>
      <c r="G635" s="8">
        <f t="shared" si="36"/>
        <v>31780800</v>
      </c>
      <c r="H635" s="5">
        <v>0.3393</v>
      </c>
      <c r="I635" s="8">
        <f t="shared" si="37"/>
        <v>31780800</v>
      </c>
      <c r="J635" s="8">
        <f t="shared" si="38"/>
        <v>10783225.44</v>
      </c>
      <c r="K635" t="str">
        <f t="shared" si="39"/>
        <v>MATCHED</v>
      </c>
    </row>
    <row r="636" spans="1:11">
      <c r="A636" t="s">
        <v>102</v>
      </c>
      <c r="B636" t="s">
        <v>103</v>
      </c>
      <c r="C636" t="s">
        <v>804</v>
      </c>
      <c r="D636" t="s">
        <v>805</v>
      </c>
      <c r="E636" s="8">
        <v>110</v>
      </c>
      <c r="F636" s="8">
        <v>108080</v>
      </c>
      <c r="G636" s="8">
        <f t="shared" si="36"/>
        <v>11888800</v>
      </c>
      <c r="H636" s="5">
        <v>0.0864</v>
      </c>
      <c r="I636" s="8">
        <f t="shared" si="37"/>
        <v>11888800</v>
      </c>
      <c r="J636" s="8">
        <f t="shared" si="38"/>
        <v>1027192.32</v>
      </c>
      <c r="K636" t="str">
        <f t="shared" si="39"/>
        <v>MATCHED</v>
      </c>
    </row>
    <row r="637" spans="1:11">
      <c r="A637" t="s">
        <v>102</v>
      </c>
      <c r="B637" t="s">
        <v>103</v>
      </c>
      <c r="C637" t="s">
        <v>507</v>
      </c>
      <c r="D637" t="s">
        <v>508</v>
      </c>
      <c r="E637" s="8">
        <v>830</v>
      </c>
      <c r="F637" s="8">
        <v>58960</v>
      </c>
      <c r="G637" s="8">
        <f t="shared" si="36"/>
        <v>48936800</v>
      </c>
      <c r="H637" s="5">
        <v>0</v>
      </c>
      <c r="I637" s="8">
        <f t="shared" si="37"/>
        <v>48936800</v>
      </c>
      <c r="J637" s="8">
        <f t="shared" si="38"/>
        <v>0</v>
      </c>
      <c r="K637" t="str">
        <f t="shared" si="39"/>
        <v>MATCHED</v>
      </c>
    </row>
    <row r="638" spans="1:11">
      <c r="A638" t="s">
        <v>102</v>
      </c>
      <c r="B638" t="s">
        <v>103</v>
      </c>
      <c r="C638" t="s">
        <v>511</v>
      </c>
      <c r="D638" t="s">
        <v>512</v>
      </c>
      <c r="E638" s="8">
        <v>2710</v>
      </c>
      <c r="F638" s="8">
        <v>55280</v>
      </c>
      <c r="G638" s="8">
        <f t="shared" si="36"/>
        <v>149808800</v>
      </c>
      <c r="H638" s="5">
        <v>0.049</v>
      </c>
      <c r="I638" s="8">
        <f t="shared" si="37"/>
        <v>149808800</v>
      </c>
      <c r="J638" s="8">
        <f t="shared" si="38"/>
        <v>7340631.2</v>
      </c>
      <c r="K638" t="str">
        <f t="shared" si="39"/>
        <v>MATCHED</v>
      </c>
    </row>
    <row r="639" spans="1:11">
      <c r="A639" t="s">
        <v>102</v>
      </c>
      <c r="B639" t="s">
        <v>103</v>
      </c>
      <c r="C639" t="s">
        <v>517</v>
      </c>
      <c r="D639" t="s">
        <v>518</v>
      </c>
      <c r="E639" s="8">
        <v>2610</v>
      </c>
      <c r="F639" s="8">
        <v>63810</v>
      </c>
      <c r="G639" s="8">
        <f t="shared" si="36"/>
        <v>166544100</v>
      </c>
      <c r="H639" s="5">
        <v>0.2233</v>
      </c>
      <c r="I639" s="8">
        <f t="shared" si="37"/>
        <v>166544100</v>
      </c>
      <c r="J639" s="8">
        <f t="shared" si="38"/>
        <v>37189297.53</v>
      </c>
      <c r="K639" t="str">
        <f t="shared" si="39"/>
        <v>MATCHED</v>
      </c>
    </row>
    <row r="640" spans="1:11">
      <c r="A640" t="s">
        <v>102</v>
      </c>
      <c r="B640" t="s">
        <v>103</v>
      </c>
      <c r="C640" t="s">
        <v>808</v>
      </c>
      <c r="D640" t="s">
        <v>809</v>
      </c>
      <c r="E640" s="8">
        <v>320</v>
      </c>
      <c r="F640" s="8">
        <v>83090</v>
      </c>
      <c r="G640" s="8">
        <f t="shared" si="36"/>
        <v>26588800</v>
      </c>
      <c r="H640" s="5">
        <v>0.2192</v>
      </c>
      <c r="I640" s="8">
        <f t="shared" si="37"/>
        <v>26588800</v>
      </c>
      <c r="J640" s="8">
        <f t="shared" si="38"/>
        <v>5828264.96</v>
      </c>
      <c r="K640" t="str">
        <f t="shared" si="39"/>
        <v>MATCHED</v>
      </c>
    </row>
    <row r="641" spans="1:11">
      <c r="A641" t="s">
        <v>102</v>
      </c>
      <c r="B641" t="s">
        <v>103</v>
      </c>
      <c r="C641" t="s">
        <v>810</v>
      </c>
      <c r="D641" t="s">
        <v>811</v>
      </c>
      <c r="E641" s="8">
        <v>60</v>
      </c>
      <c r="F641" s="8">
        <v>70270</v>
      </c>
      <c r="G641" s="8">
        <f t="shared" si="36"/>
        <v>4216200</v>
      </c>
      <c r="H641" s="5">
        <v>0.0679</v>
      </c>
      <c r="I641" s="8">
        <f t="shared" si="37"/>
        <v>4216200</v>
      </c>
      <c r="J641" s="8">
        <f t="shared" si="38"/>
        <v>286279.98</v>
      </c>
      <c r="K641" t="str">
        <f t="shared" si="39"/>
        <v>MATCHED</v>
      </c>
    </row>
    <row r="642" spans="1:11">
      <c r="A642" t="s">
        <v>102</v>
      </c>
      <c r="B642" t="s">
        <v>103</v>
      </c>
      <c r="C642" t="s">
        <v>812</v>
      </c>
      <c r="D642" t="s">
        <v>813</v>
      </c>
      <c r="E642" s="8">
        <v>50</v>
      </c>
      <c r="F642" s="8">
        <v>57680</v>
      </c>
      <c r="G642" s="8">
        <f t="shared" ref="G642:G705" si="40">IF(OR(E642="",F642=""),"",E642*F642)</f>
        <v>2884000</v>
      </c>
      <c r="H642" s="5">
        <v>0</v>
      </c>
      <c r="I642" s="8">
        <f t="shared" ref="I642:I705" si="41">IF(G642="","",IF(ISNUMBER(H642),G642,""))</f>
        <v>2884000</v>
      </c>
      <c r="J642" s="8">
        <f t="shared" ref="J642:J705" si="42">IF(I642="","",I642*H642)</f>
        <v>0</v>
      </c>
      <c r="K642" t="str">
        <f t="shared" ref="K642:K705" si="43">IF(G642="","MISSING OEWS",IF(ISNUMBER(H642),"MATCHED","MISSING WHARTON"))</f>
        <v>MATCHED</v>
      </c>
    </row>
    <row r="643" spans="1:11">
      <c r="A643" t="s">
        <v>102</v>
      </c>
      <c r="B643" t="s">
        <v>103</v>
      </c>
      <c r="C643" t="s">
        <v>918</v>
      </c>
      <c r="D643" t="s">
        <v>919</v>
      </c>
      <c r="E643" s="8">
        <v>110</v>
      </c>
      <c r="F643" s="8">
        <v>35530</v>
      </c>
      <c r="G643" s="8">
        <f t="shared" si="40"/>
        <v>3908300</v>
      </c>
      <c r="H643" s="5">
        <v>0.2375</v>
      </c>
      <c r="I643" s="8">
        <f t="shared" si="41"/>
        <v>3908300</v>
      </c>
      <c r="J643" s="8">
        <f t="shared" si="42"/>
        <v>928221.25</v>
      </c>
      <c r="K643" t="str">
        <f t="shared" si="43"/>
        <v>MATCHED</v>
      </c>
    </row>
    <row r="644" spans="1:11">
      <c r="A644" t="s">
        <v>102</v>
      </c>
      <c r="B644" t="s">
        <v>103</v>
      </c>
      <c r="C644" t="s">
        <v>814</v>
      </c>
      <c r="D644" t="s">
        <v>815</v>
      </c>
      <c r="E644" s="8">
        <v>70</v>
      </c>
      <c r="F644" s="8">
        <v>74200</v>
      </c>
      <c r="G644" s="8">
        <f t="shared" si="40"/>
        <v>5194000</v>
      </c>
      <c r="H644" s="5">
        <v>0.05</v>
      </c>
      <c r="I644" s="8">
        <f t="shared" si="41"/>
        <v>5194000</v>
      </c>
      <c r="J644" s="8">
        <f t="shared" si="42"/>
        <v>259700</v>
      </c>
      <c r="K644" t="str">
        <f t="shared" si="43"/>
        <v>MATCHED</v>
      </c>
    </row>
    <row r="645" spans="1:11">
      <c r="A645" t="s">
        <v>102</v>
      </c>
      <c r="B645" t="s">
        <v>103</v>
      </c>
      <c r="C645" t="s">
        <v>519</v>
      </c>
      <c r="D645" t="s">
        <v>520</v>
      </c>
      <c r="E645" s="8">
        <v>140</v>
      </c>
      <c r="F645" s="8">
        <v>93810</v>
      </c>
      <c r="G645" s="8">
        <f t="shared" si="40"/>
        <v>13133400</v>
      </c>
      <c r="H645" s="5"/>
      <c r="I645" s="8" t="str">
        <f t="shared" si="41"/>
        <v/>
      </c>
      <c r="J645" s="8" t="str">
        <f t="shared" si="42"/>
        <v/>
      </c>
      <c r="K645" t="str">
        <f t="shared" si="43"/>
        <v>MISSING WHARTON</v>
      </c>
    </row>
    <row r="646" spans="1:11">
      <c r="A646" t="s">
        <v>104</v>
      </c>
      <c r="B646" t="s">
        <v>105</v>
      </c>
      <c r="C646" t="s">
        <v>235</v>
      </c>
      <c r="D646" t="s">
        <v>236</v>
      </c>
      <c r="E646" s="8">
        <v>6450</v>
      </c>
      <c r="F646" s="8">
        <v>231770</v>
      </c>
      <c r="G646" s="8">
        <f t="shared" si="40"/>
        <v>1494916500</v>
      </c>
      <c r="H646" s="5">
        <v>0.4775</v>
      </c>
      <c r="I646" s="8">
        <f t="shared" si="41"/>
        <v>1494916500</v>
      </c>
      <c r="J646" s="8">
        <f t="shared" si="42"/>
        <v>713822628.75</v>
      </c>
      <c r="K646" t="str">
        <f t="shared" si="43"/>
        <v>MATCHED</v>
      </c>
    </row>
    <row r="647" spans="1:11">
      <c r="A647" t="s">
        <v>104</v>
      </c>
      <c r="B647" t="s">
        <v>105</v>
      </c>
      <c r="C647" t="s">
        <v>237</v>
      </c>
      <c r="D647" t="s">
        <v>238</v>
      </c>
      <c r="E647" s="8">
        <v>263010</v>
      </c>
      <c r="F647" s="8">
        <v>133650</v>
      </c>
      <c r="G647" s="8">
        <f t="shared" si="40"/>
        <v>35151286500</v>
      </c>
      <c r="H647" s="5">
        <v>0.5382</v>
      </c>
      <c r="I647" s="8">
        <f t="shared" si="41"/>
        <v>35151286500</v>
      </c>
      <c r="J647" s="8">
        <f t="shared" si="42"/>
        <v>18918422394.3</v>
      </c>
      <c r="K647" t="str">
        <f t="shared" si="43"/>
        <v>MATCHED</v>
      </c>
    </row>
    <row r="648" spans="1:11">
      <c r="A648" t="s">
        <v>104</v>
      </c>
      <c r="B648" t="s">
        <v>105</v>
      </c>
      <c r="C648" t="s">
        <v>920</v>
      </c>
      <c r="D648" t="s">
        <v>921</v>
      </c>
      <c r="E648" s="8">
        <v>70</v>
      </c>
      <c r="F648" s="8">
        <v>90380</v>
      </c>
      <c r="G648" s="8">
        <f t="shared" si="40"/>
        <v>6326600</v>
      </c>
      <c r="H648" s="5">
        <v>0.5583</v>
      </c>
      <c r="I648" s="8">
        <f t="shared" si="41"/>
        <v>6326600</v>
      </c>
      <c r="J648" s="8">
        <f t="shared" si="42"/>
        <v>3532140.78</v>
      </c>
      <c r="K648" t="str">
        <f t="shared" si="43"/>
        <v>MATCHED</v>
      </c>
    </row>
    <row r="649" spans="1:11">
      <c r="A649" t="s">
        <v>104</v>
      </c>
      <c r="B649" t="s">
        <v>105</v>
      </c>
      <c r="C649" t="s">
        <v>239</v>
      </c>
      <c r="D649" t="s">
        <v>240</v>
      </c>
      <c r="E649" s="8">
        <v>5480</v>
      </c>
      <c r="F649" s="8">
        <v>138120</v>
      </c>
      <c r="G649" s="8">
        <f t="shared" si="40"/>
        <v>756897600</v>
      </c>
      <c r="H649" s="5">
        <v>0.445</v>
      </c>
      <c r="I649" s="8">
        <f t="shared" si="41"/>
        <v>756897600</v>
      </c>
      <c r="J649" s="8">
        <f t="shared" si="42"/>
        <v>336819432</v>
      </c>
      <c r="K649" t="str">
        <f t="shared" si="43"/>
        <v>MATCHED</v>
      </c>
    </row>
    <row r="650" spans="1:11">
      <c r="A650" t="s">
        <v>104</v>
      </c>
      <c r="B650" t="s">
        <v>105</v>
      </c>
      <c r="C650" t="s">
        <v>241</v>
      </c>
      <c r="D650" t="s">
        <v>242</v>
      </c>
      <c r="E650" s="8">
        <v>12040</v>
      </c>
      <c r="F650" s="8">
        <v>143860</v>
      </c>
      <c r="G650" s="8">
        <f t="shared" si="40"/>
        <v>1732074400</v>
      </c>
      <c r="H650" s="5">
        <v>0.3735</v>
      </c>
      <c r="I650" s="8">
        <f t="shared" si="41"/>
        <v>1732074400</v>
      </c>
      <c r="J650" s="8">
        <f t="shared" si="42"/>
        <v>646929788.4</v>
      </c>
      <c r="K650" t="str">
        <f t="shared" si="43"/>
        <v>MATCHED</v>
      </c>
    </row>
    <row r="651" spans="1:11">
      <c r="A651" t="s">
        <v>104</v>
      </c>
      <c r="B651" t="s">
        <v>105</v>
      </c>
      <c r="C651" t="s">
        <v>522</v>
      </c>
      <c r="D651" t="s">
        <v>523</v>
      </c>
      <c r="E651" s="8">
        <v>320</v>
      </c>
      <c r="F651" s="8">
        <v>169050</v>
      </c>
      <c r="G651" s="8">
        <f t="shared" si="40"/>
        <v>54096000</v>
      </c>
      <c r="H651" s="5">
        <v>0.53</v>
      </c>
      <c r="I651" s="8">
        <f t="shared" si="41"/>
        <v>54096000</v>
      </c>
      <c r="J651" s="8">
        <f t="shared" si="42"/>
        <v>28670880</v>
      </c>
      <c r="K651" t="str">
        <f t="shared" si="43"/>
        <v>MATCHED</v>
      </c>
    </row>
    <row r="652" spans="1:11">
      <c r="A652" t="s">
        <v>104</v>
      </c>
      <c r="B652" t="s">
        <v>105</v>
      </c>
      <c r="C652" t="s">
        <v>922</v>
      </c>
      <c r="D652" t="s">
        <v>923</v>
      </c>
      <c r="E652" s="8">
        <v>90</v>
      </c>
      <c r="F652" s="8">
        <v>103300</v>
      </c>
      <c r="G652" s="8">
        <f t="shared" si="40"/>
        <v>9297000</v>
      </c>
      <c r="H652" s="5">
        <v>0.5594</v>
      </c>
      <c r="I652" s="8">
        <f t="shared" si="41"/>
        <v>9297000</v>
      </c>
      <c r="J652" s="8">
        <f t="shared" si="42"/>
        <v>5200741.8</v>
      </c>
      <c r="K652" t="str">
        <f t="shared" si="43"/>
        <v>MATCHED</v>
      </c>
    </row>
    <row r="653" spans="1:11">
      <c r="A653" t="s">
        <v>104</v>
      </c>
      <c r="B653" t="s">
        <v>105</v>
      </c>
      <c r="C653" t="s">
        <v>243</v>
      </c>
      <c r="D653" t="s">
        <v>244</v>
      </c>
      <c r="E653" s="8">
        <v>12800</v>
      </c>
      <c r="F653" s="8">
        <v>124490</v>
      </c>
      <c r="G653" s="8">
        <f t="shared" si="40"/>
        <v>1593472000</v>
      </c>
      <c r="H653" s="5">
        <v>0.4444</v>
      </c>
      <c r="I653" s="8">
        <f t="shared" si="41"/>
        <v>1593472000</v>
      </c>
      <c r="J653" s="8">
        <f t="shared" si="42"/>
        <v>708138956.8</v>
      </c>
      <c r="K653" t="str">
        <f t="shared" si="43"/>
        <v>MATCHED</v>
      </c>
    </row>
    <row r="654" spans="1:11">
      <c r="A654" t="s">
        <v>104</v>
      </c>
      <c r="B654" t="s">
        <v>105</v>
      </c>
      <c r="C654" t="s">
        <v>245</v>
      </c>
      <c r="D654" t="s">
        <v>246</v>
      </c>
      <c r="E654" s="8">
        <v>2130</v>
      </c>
      <c r="F654" s="8">
        <v>125630</v>
      </c>
      <c r="G654" s="8">
        <f t="shared" si="40"/>
        <v>267591900</v>
      </c>
      <c r="H654" s="5">
        <v>0.2907</v>
      </c>
      <c r="I654" s="8">
        <f t="shared" si="41"/>
        <v>267591900</v>
      </c>
      <c r="J654" s="8">
        <f t="shared" si="42"/>
        <v>77788965.33</v>
      </c>
      <c r="K654" t="str">
        <f t="shared" si="43"/>
        <v>MATCHED</v>
      </c>
    </row>
    <row r="655" spans="1:11">
      <c r="A655" t="s">
        <v>104</v>
      </c>
      <c r="B655" t="s">
        <v>105</v>
      </c>
      <c r="C655" t="s">
        <v>247</v>
      </c>
      <c r="D655" t="s">
        <v>248</v>
      </c>
      <c r="E655" s="8">
        <v>4380</v>
      </c>
      <c r="F655" s="8">
        <v>155560</v>
      </c>
      <c r="G655" s="8">
        <f t="shared" si="40"/>
        <v>681352800</v>
      </c>
      <c r="H655" s="5">
        <v>0.5265</v>
      </c>
      <c r="I655" s="8">
        <f t="shared" si="41"/>
        <v>681352800</v>
      </c>
      <c r="J655" s="8">
        <f t="shared" si="42"/>
        <v>358732249.2</v>
      </c>
      <c r="K655" t="str">
        <f t="shared" si="43"/>
        <v>MATCHED</v>
      </c>
    </row>
    <row r="656" spans="1:11">
      <c r="A656" t="s">
        <v>104</v>
      </c>
      <c r="B656" t="s">
        <v>105</v>
      </c>
      <c r="C656" t="s">
        <v>249</v>
      </c>
      <c r="D656" t="s">
        <v>250</v>
      </c>
      <c r="E656" s="8">
        <v>19770</v>
      </c>
      <c r="F656" s="8">
        <v>161500</v>
      </c>
      <c r="G656" s="8">
        <f t="shared" si="40"/>
        <v>3192855000</v>
      </c>
      <c r="H656" s="5">
        <v>0.7221</v>
      </c>
      <c r="I656" s="8">
        <f t="shared" si="41"/>
        <v>3192855000</v>
      </c>
      <c r="J656" s="8">
        <f t="shared" si="42"/>
        <v>2305560595.5</v>
      </c>
      <c r="K656" t="str">
        <f t="shared" si="43"/>
        <v>MATCHED</v>
      </c>
    </row>
    <row r="657" spans="1:11">
      <c r="A657" t="s">
        <v>104</v>
      </c>
      <c r="B657" t="s">
        <v>105</v>
      </c>
      <c r="C657" t="s">
        <v>251</v>
      </c>
      <c r="D657" t="s">
        <v>252</v>
      </c>
      <c r="E657" s="8">
        <v>3030</v>
      </c>
      <c r="F657" s="8">
        <v>124550</v>
      </c>
      <c r="G657" s="8">
        <f t="shared" si="40"/>
        <v>377386500</v>
      </c>
      <c r="H657" s="5">
        <v>0.3636</v>
      </c>
      <c r="I657" s="8">
        <f t="shared" si="41"/>
        <v>377386500</v>
      </c>
      <c r="J657" s="8">
        <f t="shared" si="42"/>
        <v>137217731.4</v>
      </c>
      <c r="K657" t="str">
        <f t="shared" si="43"/>
        <v>MATCHED</v>
      </c>
    </row>
    <row r="658" spans="1:11">
      <c r="A658" t="s">
        <v>104</v>
      </c>
      <c r="B658" t="s">
        <v>105</v>
      </c>
      <c r="C658" t="s">
        <v>253</v>
      </c>
      <c r="D658" t="s">
        <v>254</v>
      </c>
      <c r="E658" s="8">
        <v>2940</v>
      </c>
      <c r="F658" s="8">
        <v>138370</v>
      </c>
      <c r="G658" s="8">
        <f t="shared" si="40"/>
        <v>406807800</v>
      </c>
      <c r="H658" s="5">
        <v>0.6944</v>
      </c>
      <c r="I658" s="8">
        <f t="shared" si="41"/>
        <v>406807800</v>
      </c>
      <c r="J658" s="8">
        <f t="shared" si="42"/>
        <v>282487336.32</v>
      </c>
      <c r="K658" t="str">
        <f t="shared" si="43"/>
        <v>MATCHED</v>
      </c>
    </row>
    <row r="659" spans="1:11">
      <c r="A659" t="s">
        <v>104</v>
      </c>
      <c r="B659" t="s">
        <v>105</v>
      </c>
      <c r="C659" t="s">
        <v>255</v>
      </c>
      <c r="D659" t="s">
        <v>256</v>
      </c>
      <c r="E659" s="8">
        <v>5450</v>
      </c>
      <c r="F659" s="8">
        <v>97010</v>
      </c>
      <c r="G659" s="8">
        <f t="shared" si="40"/>
        <v>528704500</v>
      </c>
      <c r="H659" s="5">
        <v>0.5783</v>
      </c>
      <c r="I659" s="8">
        <f t="shared" si="41"/>
        <v>528704500</v>
      </c>
      <c r="J659" s="8">
        <f t="shared" si="42"/>
        <v>305749812.35</v>
      </c>
      <c r="K659" t="str">
        <f t="shared" si="43"/>
        <v>MATCHED</v>
      </c>
    </row>
    <row r="660" spans="1:11">
      <c r="A660" t="s">
        <v>104</v>
      </c>
      <c r="B660" t="s">
        <v>105</v>
      </c>
      <c r="C660" t="s">
        <v>524</v>
      </c>
      <c r="D660" t="s">
        <v>525</v>
      </c>
      <c r="E660" s="8">
        <v>190</v>
      </c>
      <c r="F660" s="8">
        <v>142300</v>
      </c>
      <c r="G660" s="8">
        <f t="shared" si="40"/>
        <v>27037000</v>
      </c>
      <c r="H660" s="5">
        <v>0.5771</v>
      </c>
      <c r="I660" s="8">
        <f t="shared" si="41"/>
        <v>27037000</v>
      </c>
      <c r="J660" s="8">
        <f t="shared" si="42"/>
        <v>15603052.7</v>
      </c>
      <c r="K660" t="str">
        <f t="shared" si="43"/>
        <v>MATCHED</v>
      </c>
    </row>
    <row r="661" spans="1:11">
      <c r="A661" t="s">
        <v>104</v>
      </c>
      <c r="B661" t="s">
        <v>105</v>
      </c>
      <c r="C661" t="s">
        <v>257</v>
      </c>
      <c r="D661" t="s">
        <v>258</v>
      </c>
      <c r="E661" s="8">
        <v>3470</v>
      </c>
      <c r="F661" s="8">
        <v>147400</v>
      </c>
      <c r="G661" s="8">
        <f t="shared" si="40"/>
        <v>511478000</v>
      </c>
      <c r="H661" s="5">
        <v>0.5962</v>
      </c>
      <c r="I661" s="8">
        <f t="shared" si="41"/>
        <v>511478000</v>
      </c>
      <c r="J661" s="8">
        <f t="shared" si="42"/>
        <v>304943183.6</v>
      </c>
      <c r="K661" t="str">
        <f t="shared" si="43"/>
        <v>MATCHED</v>
      </c>
    </row>
    <row r="662" spans="1:11">
      <c r="A662" t="s">
        <v>104</v>
      </c>
      <c r="B662" t="s">
        <v>105</v>
      </c>
      <c r="C662" t="s">
        <v>526</v>
      </c>
      <c r="D662" t="s">
        <v>527</v>
      </c>
      <c r="E662" s="8">
        <v>570</v>
      </c>
      <c r="F662" s="8">
        <v>141170</v>
      </c>
      <c r="G662" s="8">
        <f t="shared" si="40"/>
        <v>80466900</v>
      </c>
      <c r="H662" s="5">
        <v>0.6833</v>
      </c>
      <c r="I662" s="8">
        <f t="shared" si="41"/>
        <v>80466900</v>
      </c>
      <c r="J662" s="8">
        <f t="shared" si="42"/>
        <v>54983032.77</v>
      </c>
      <c r="K662" t="str">
        <f t="shared" si="43"/>
        <v>MATCHED</v>
      </c>
    </row>
    <row r="663" spans="1:11">
      <c r="A663" t="s">
        <v>104</v>
      </c>
      <c r="B663" t="s">
        <v>105</v>
      </c>
      <c r="C663" t="s">
        <v>528</v>
      </c>
      <c r="D663" t="s">
        <v>529</v>
      </c>
      <c r="E663" s="8">
        <v>305170</v>
      </c>
      <c r="F663" s="8">
        <v>121290</v>
      </c>
      <c r="G663" s="8">
        <f t="shared" si="40"/>
        <v>37014069300</v>
      </c>
      <c r="H663" s="5">
        <v>0.374</v>
      </c>
      <c r="I663" s="8">
        <f t="shared" si="41"/>
        <v>37014069300</v>
      </c>
      <c r="J663" s="8">
        <f t="shared" si="42"/>
        <v>13843261918.2</v>
      </c>
      <c r="K663" t="str">
        <f t="shared" si="43"/>
        <v>MATCHED</v>
      </c>
    </row>
    <row r="664" spans="1:11">
      <c r="A664" t="s">
        <v>104</v>
      </c>
      <c r="B664" t="s">
        <v>105</v>
      </c>
      <c r="C664" t="s">
        <v>530</v>
      </c>
      <c r="D664" t="s">
        <v>531</v>
      </c>
      <c r="E664" s="8">
        <v>4210</v>
      </c>
      <c r="F664" s="8">
        <v>171870</v>
      </c>
      <c r="G664" s="8">
        <f t="shared" si="40"/>
        <v>723572700</v>
      </c>
      <c r="H664" s="5">
        <v>0.263</v>
      </c>
      <c r="I664" s="8">
        <f t="shared" si="41"/>
        <v>723572700</v>
      </c>
      <c r="J664" s="8">
        <f t="shared" si="42"/>
        <v>190299620.1</v>
      </c>
      <c r="K664" t="str">
        <f t="shared" si="43"/>
        <v>MATCHED</v>
      </c>
    </row>
    <row r="665" spans="1:11">
      <c r="A665" t="s">
        <v>104</v>
      </c>
      <c r="B665" t="s">
        <v>105</v>
      </c>
      <c r="C665" t="s">
        <v>924</v>
      </c>
      <c r="D665" t="s">
        <v>925</v>
      </c>
      <c r="E665" s="8">
        <v>30</v>
      </c>
      <c r="F665" s="8">
        <v>88290</v>
      </c>
      <c r="G665" s="8">
        <f t="shared" si="40"/>
        <v>2648700</v>
      </c>
      <c r="H665" s="5">
        <v>0.4729</v>
      </c>
      <c r="I665" s="8">
        <f t="shared" si="41"/>
        <v>2648700</v>
      </c>
      <c r="J665" s="8">
        <f t="shared" si="42"/>
        <v>1252570.23</v>
      </c>
      <c r="K665" t="str">
        <f t="shared" si="43"/>
        <v>MATCHED</v>
      </c>
    </row>
    <row r="666" spans="1:11">
      <c r="A666" t="s">
        <v>104</v>
      </c>
      <c r="B666" t="s">
        <v>105</v>
      </c>
      <c r="C666" t="s">
        <v>261</v>
      </c>
      <c r="D666" t="s">
        <v>262</v>
      </c>
      <c r="E666" s="8"/>
      <c r="F666" s="8">
        <v>124490</v>
      </c>
      <c r="G666" s="8" t="str">
        <f t="shared" si="40"/>
        <v/>
      </c>
      <c r="H666" s="5">
        <v>0.382</v>
      </c>
      <c r="I666" s="8" t="str">
        <f t="shared" si="41"/>
        <v/>
      </c>
      <c r="J666" s="8" t="str">
        <f t="shared" si="42"/>
        <v/>
      </c>
      <c r="K666" t="str">
        <f t="shared" si="43"/>
        <v>MISSING OEWS</v>
      </c>
    </row>
    <row r="667" spans="1:11">
      <c r="A667" t="s">
        <v>104</v>
      </c>
      <c r="B667" t="s">
        <v>105</v>
      </c>
      <c r="C667" t="s">
        <v>532</v>
      </c>
      <c r="D667" t="s">
        <v>533</v>
      </c>
      <c r="E667" s="8">
        <v>7020</v>
      </c>
      <c r="F667" s="8">
        <v>114500</v>
      </c>
      <c r="G667" s="8">
        <f t="shared" si="40"/>
        <v>803790000</v>
      </c>
      <c r="H667" s="5">
        <v>0.3833</v>
      </c>
      <c r="I667" s="8">
        <f t="shared" si="41"/>
        <v>803790000</v>
      </c>
      <c r="J667" s="8">
        <f t="shared" si="42"/>
        <v>308092707</v>
      </c>
      <c r="K667" t="str">
        <f t="shared" si="43"/>
        <v>MATCHED</v>
      </c>
    </row>
    <row r="668" spans="1:11">
      <c r="A668" t="s">
        <v>104</v>
      </c>
      <c r="B668" t="s">
        <v>105</v>
      </c>
      <c r="C668" t="s">
        <v>926</v>
      </c>
      <c r="D668" t="s">
        <v>927</v>
      </c>
      <c r="E668" s="8">
        <v>90</v>
      </c>
      <c r="F668" s="8">
        <v>82320</v>
      </c>
      <c r="G668" s="8">
        <f t="shared" si="40"/>
        <v>7408800</v>
      </c>
      <c r="H668" s="5">
        <v>0.3656</v>
      </c>
      <c r="I668" s="8">
        <f t="shared" si="41"/>
        <v>7408800</v>
      </c>
      <c r="J668" s="8">
        <f t="shared" si="42"/>
        <v>2708657.28</v>
      </c>
      <c r="K668" t="str">
        <f t="shared" si="43"/>
        <v>MATCHED</v>
      </c>
    </row>
    <row r="669" spans="1:11">
      <c r="A669" t="s">
        <v>104</v>
      </c>
      <c r="B669" t="s">
        <v>105</v>
      </c>
      <c r="C669" t="s">
        <v>263</v>
      </c>
      <c r="D669" t="s">
        <v>264</v>
      </c>
      <c r="E669" s="8">
        <v>19320</v>
      </c>
      <c r="F669" s="8">
        <v>136480</v>
      </c>
      <c r="G669" s="8">
        <f t="shared" si="40"/>
        <v>2636793600</v>
      </c>
      <c r="H669" s="5">
        <v>0.4896</v>
      </c>
      <c r="I669" s="8">
        <f t="shared" si="41"/>
        <v>2636793600</v>
      </c>
      <c r="J669" s="8">
        <f t="shared" si="42"/>
        <v>1290974146.56</v>
      </c>
      <c r="K669" t="str">
        <f t="shared" si="43"/>
        <v>MATCHED</v>
      </c>
    </row>
    <row r="670" spans="1:11">
      <c r="A670" t="s">
        <v>104</v>
      </c>
      <c r="B670" t="s">
        <v>105</v>
      </c>
      <c r="C670" t="s">
        <v>265</v>
      </c>
      <c r="D670" t="s">
        <v>266</v>
      </c>
      <c r="E670" s="8">
        <v>23180</v>
      </c>
      <c r="F670" s="8">
        <v>77960</v>
      </c>
      <c r="G670" s="8">
        <f t="shared" si="40"/>
        <v>1807112800</v>
      </c>
      <c r="H670" s="5">
        <v>0.5876</v>
      </c>
      <c r="I670" s="8">
        <f t="shared" si="41"/>
        <v>1807112800</v>
      </c>
      <c r="J670" s="8">
        <f t="shared" si="42"/>
        <v>1061859481.28</v>
      </c>
      <c r="K670" t="str">
        <f t="shared" si="43"/>
        <v>MATCHED</v>
      </c>
    </row>
    <row r="671" spans="1:11">
      <c r="A671" t="s">
        <v>104</v>
      </c>
      <c r="B671" t="s">
        <v>105</v>
      </c>
      <c r="C671" t="s">
        <v>818</v>
      </c>
      <c r="D671" t="s">
        <v>819</v>
      </c>
      <c r="E671" s="8">
        <v>120</v>
      </c>
      <c r="F671" s="8">
        <v>86440</v>
      </c>
      <c r="G671" s="8">
        <f t="shared" si="40"/>
        <v>10372800</v>
      </c>
      <c r="H671" s="5">
        <v>0.6983</v>
      </c>
      <c r="I671" s="8">
        <f t="shared" si="41"/>
        <v>10372800</v>
      </c>
      <c r="J671" s="8">
        <f t="shared" si="42"/>
        <v>7243326.24</v>
      </c>
      <c r="K671" t="str">
        <f t="shared" si="43"/>
        <v>MATCHED</v>
      </c>
    </row>
    <row r="672" spans="1:11">
      <c r="A672" t="s">
        <v>104</v>
      </c>
      <c r="B672" t="s">
        <v>105</v>
      </c>
      <c r="C672" t="s">
        <v>267</v>
      </c>
      <c r="D672" t="s">
        <v>268</v>
      </c>
      <c r="E672" s="8">
        <v>6440</v>
      </c>
      <c r="F672" s="8">
        <v>81690</v>
      </c>
      <c r="G672" s="8">
        <f t="shared" si="40"/>
        <v>526083600</v>
      </c>
      <c r="H672" s="5">
        <v>0.4611</v>
      </c>
      <c r="I672" s="8">
        <f t="shared" si="41"/>
        <v>526083600</v>
      </c>
      <c r="J672" s="8">
        <f t="shared" si="42"/>
        <v>242577147.96</v>
      </c>
      <c r="K672" t="str">
        <f t="shared" si="43"/>
        <v>MATCHED</v>
      </c>
    </row>
    <row r="673" spans="1:11">
      <c r="A673" t="s">
        <v>104</v>
      </c>
      <c r="B673" t="s">
        <v>105</v>
      </c>
      <c r="C673" t="s">
        <v>534</v>
      </c>
      <c r="D673" t="s">
        <v>535</v>
      </c>
      <c r="E673" s="8">
        <v>122940</v>
      </c>
      <c r="F673" s="8">
        <v>90520</v>
      </c>
      <c r="G673" s="8">
        <f t="shared" si="40"/>
        <v>11128528800</v>
      </c>
      <c r="H673" s="5">
        <v>0.6393</v>
      </c>
      <c r="I673" s="8">
        <f t="shared" si="41"/>
        <v>11128528800</v>
      </c>
      <c r="J673" s="8">
        <f t="shared" si="42"/>
        <v>7114468461.84</v>
      </c>
      <c r="K673" t="str">
        <f t="shared" si="43"/>
        <v>MATCHED</v>
      </c>
    </row>
    <row r="674" spans="1:11">
      <c r="A674" t="s">
        <v>104</v>
      </c>
      <c r="B674" t="s">
        <v>105</v>
      </c>
      <c r="C674" t="s">
        <v>269</v>
      </c>
      <c r="D674" t="s">
        <v>270</v>
      </c>
      <c r="E674" s="8">
        <v>22110</v>
      </c>
      <c r="F674" s="8">
        <v>79050</v>
      </c>
      <c r="G674" s="8">
        <f t="shared" si="40"/>
        <v>1747795500</v>
      </c>
      <c r="H674" s="5">
        <v>0.7808</v>
      </c>
      <c r="I674" s="8">
        <f t="shared" si="41"/>
        <v>1747795500</v>
      </c>
      <c r="J674" s="8">
        <f t="shared" si="42"/>
        <v>1364678726.4</v>
      </c>
      <c r="K674" t="str">
        <f t="shared" si="43"/>
        <v>MATCHED</v>
      </c>
    </row>
    <row r="675" spans="1:11">
      <c r="A675" t="s">
        <v>104</v>
      </c>
      <c r="B675" t="s">
        <v>105</v>
      </c>
      <c r="C675" t="s">
        <v>820</v>
      </c>
      <c r="D675" t="s">
        <v>821</v>
      </c>
      <c r="E675" s="8">
        <v>400</v>
      </c>
      <c r="F675" s="8">
        <v>105560</v>
      </c>
      <c r="G675" s="8">
        <f t="shared" si="40"/>
        <v>42224000</v>
      </c>
      <c r="H675" s="5">
        <v>0.5536</v>
      </c>
      <c r="I675" s="8">
        <f t="shared" si="41"/>
        <v>42224000</v>
      </c>
      <c r="J675" s="8">
        <f t="shared" si="42"/>
        <v>23375206.4</v>
      </c>
      <c r="K675" t="str">
        <f t="shared" si="43"/>
        <v>MATCHED</v>
      </c>
    </row>
    <row r="676" spans="1:11">
      <c r="A676" t="s">
        <v>104</v>
      </c>
      <c r="B676" t="s">
        <v>105</v>
      </c>
      <c r="C676" t="s">
        <v>273</v>
      </c>
      <c r="D676" t="s">
        <v>274</v>
      </c>
      <c r="E676" s="8">
        <v>2690</v>
      </c>
      <c r="F676" s="8">
        <v>87840</v>
      </c>
      <c r="G676" s="8">
        <f t="shared" si="40"/>
        <v>236289600</v>
      </c>
      <c r="H676" s="5">
        <v>0.6943</v>
      </c>
      <c r="I676" s="8">
        <f t="shared" si="41"/>
        <v>236289600</v>
      </c>
      <c r="J676" s="8">
        <f t="shared" si="42"/>
        <v>164055869.28</v>
      </c>
      <c r="K676" t="str">
        <f t="shared" si="43"/>
        <v>MATCHED</v>
      </c>
    </row>
    <row r="677" spans="1:11">
      <c r="A677" t="s">
        <v>104</v>
      </c>
      <c r="B677" t="s">
        <v>105</v>
      </c>
      <c r="C677" t="s">
        <v>275</v>
      </c>
      <c r="D677" t="s">
        <v>276</v>
      </c>
      <c r="E677" s="8">
        <v>239500</v>
      </c>
      <c r="F677" s="8">
        <v>103820</v>
      </c>
      <c r="G677" s="8">
        <f t="shared" si="40"/>
        <v>24864890000</v>
      </c>
      <c r="H677" s="5">
        <v>0.6375</v>
      </c>
      <c r="I677" s="8">
        <f t="shared" si="41"/>
        <v>24864890000</v>
      </c>
      <c r="J677" s="8">
        <f t="shared" si="42"/>
        <v>15851367375</v>
      </c>
      <c r="K677" t="str">
        <f t="shared" si="43"/>
        <v>MATCHED</v>
      </c>
    </row>
    <row r="678" spans="1:11">
      <c r="A678" t="s">
        <v>104</v>
      </c>
      <c r="B678" t="s">
        <v>105</v>
      </c>
      <c r="C678" t="s">
        <v>277</v>
      </c>
      <c r="D678" t="s">
        <v>278</v>
      </c>
      <c r="E678" s="8">
        <v>2330</v>
      </c>
      <c r="F678" s="8">
        <v>102900</v>
      </c>
      <c r="G678" s="8">
        <f t="shared" si="40"/>
        <v>239757000</v>
      </c>
      <c r="H678" s="5">
        <v>0.5773</v>
      </c>
      <c r="I678" s="8">
        <f t="shared" si="41"/>
        <v>239757000</v>
      </c>
      <c r="J678" s="8">
        <f t="shared" si="42"/>
        <v>138411716.1</v>
      </c>
      <c r="K678" t="str">
        <f t="shared" si="43"/>
        <v>MATCHED</v>
      </c>
    </row>
    <row r="679" spans="1:11">
      <c r="A679" t="s">
        <v>104</v>
      </c>
      <c r="B679" t="s">
        <v>105</v>
      </c>
      <c r="C679" t="s">
        <v>279</v>
      </c>
      <c r="D679" t="s">
        <v>280</v>
      </c>
      <c r="E679" s="8">
        <v>460</v>
      </c>
      <c r="F679" s="8">
        <v>63220</v>
      </c>
      <c r="G679" s="8">
        <f t="shared" si="40"/>
        <v>29081200</v>
      </c>
      <c r="H679" s="5">
        <v>0.4476</v>
      </c>
      <c r="I679" s="8">
        <f t="shared" si="41"/>
        <v>29081200</v>
      </c>
      <c r="J679" s="8">
        <f t="shared" si="42"/>
        <v>13016745.12</v>
      </c>
      <c r="K679" t="str">
        <f t="shared" si="43"/>
        <v>MATCHED</v>
      </c>
    </row>
    <row r="680" spans="1:11">
      <c r="A680" t="s">
        <v>104</v>
      </c>
      <c r="B680" t="s">
        <v>105</v>
      </c>
      <c r="C680" t="s">
        <v>928</v>
      </c>
      <c r="D680" t="s">
        <v>929</v>
      </c>
      <c r="E680" s="8">
        <v>360</v>
      </c>
      <c r="F680" s="8">
        <v>60600</v>
      </c>
      <c r="G680" s="8">
        <f t="shared" si="40"/>
        <v>21816000</v>
      </c>
      <c r="H680" s="5">
        <v>0.5571</v>
      </c>
      <c r="I680" s="8">
        <f t="shared" si="41"/>
        <v>21816000</v>
      </c>
      <c r="J680" s="8">
        <f t="shared" si="42"/>
        <v>12153693.6</v>
      </c>
      <c r="K680" t="str">
        <f t="shared" si="43"/>
        <v>MATCHED</v>
      </c>
    </row>
    <row r="681" spans="1:11">
      <c r="A681" t="s">
        <v>104</v>
      </c>
      <c r="B681" t="s">
        <v>105</v>
      </c>
      <c r="C681" t="s">
        <v>281</v>
      </c>
      <c r="D681" t="s">
        <v>282</v>
      </c>
      <c r="E681" s="8">
        <v>870</v>
      </c>
      <c r="F681" s="8">
        <v>84490</v>
      </c>
      <c r="G681" s="8">
        <f t="shared" si="40"/>
        <v>73506300</v>
      </c>
      <c r="H681" s="5">
        <v>0.6167</v>
      </c>
      <c r="I681" s="8">
        <f t="shared" si="41"/>
        <v>73506300</v>
      </c>
      <c r="J681" s="8">
        <f t="shared" si="42"/>
        <v>45331335.21</v>
      </c>
      <c r="K681" t="str">
        <f t="shared" si="43"/>
        <v>MATCHED</v>
      </c>
    </row>
    <row r="682" spans="1:11">
      <c r="A682" t="s">
        <v>104</v>
      </c>
      <c r="B682" t="s">
        <v>105</v>
      </c>
      <c r="C682" t="s">
        <v>283</v>
      </c>
      <c r="D682" t="s">
        <v>284</v>
      </c>
      <c r="E682" s="8">
        <v>3850</v>
      </c>
      <c r="F682" s="8">
        <v>86640</v>
      </c>
      <c r="G682" s="8">
        <f t="shared" si="40"/>
        <v>333564000</v>
      </c>
      <c r="H682" s="5">
        <v>0.565</v>
      </c>
      <c r="I682" s="8">
        <f t="shared" si="41"/>
        <v>333564000</v>
      </c>
      <c r="J682" s="8">
        <f t="shared" si="42"/>
        <v>188463660</v>
      </c>
      <c r="K682" t="str">
        <f t="shared" si="43"/>
        <v>MATCHED</v>
      </c>
    </row>
    <row r="683" spans="1:11">
      <c r="A683" t="s">
        <v>104</v>
      </c>
      <c r="B683" t="s">
        <v>105</v>
      </c>
      <c r="C683" t="s">
        <v>285</v>
      </c>
      <c r="D683" t="s">
        <v>286</v>
      </c>
      <c r="E683" s="8">
        <v>19120</v>
      </c>
      <c r="F683" s="8">
        <v>70080</v>
      </c>
      <c r="G683" s="8">
        <f t="shared" si="40"/>
        <v>1339929600</v>
      </c>
      <c r="H683" s="5">
        <v>0.7792</v>
      </c>
      <c r="I683" s="8">
        <f t="shared" si="41"/>
        <v>1339929600</v>
      </c>
      <c r="J683" s="8">
        <f t="shared" si="42"/>
        <v>1044073144.32</v>
      </c>
      <c r="K683" t="str">
        <f t="shared" si="43"/>
        <v>MATCHED</v>
      </c>
    </row>
    <row r="684" spans="1:11">
      <c r="A684" t="s">
        <v>104</v>
      </c>
      <c r="B684" t="s">
        <v>105</v>
      </c>
      <c r="C684" t="s">
        <v>287</v>
      </c>
      <c r="D684" t="s">
        <v>288</v>
      </c>
      <c r="E684" s="8">
        <v>16630</v>
      </c>
      <c r="F684" s="8">
        <v>86820</v>
      </c>
      <c r="G684" s="8">
        <f t="shared" si="40"/>
        <v>1443816600</v>
      </c>
      <c r="H684" s="5">
        <v>0.6599</v>
      </c>
      <c r="I684" s="8">
        <f t="shared" si="41"/>
        <v>1443816600</v>
      </c>
      <c r="J684" s="8">
        <f t="shared" si="42"/>
        <v>952774574.34</v>
      </c>
      <c r="K684" t="str">
        <f t="shared" si="43"/>
        <v>MATCHED</v>
      </c>
    </row>
    <row r="685" spans="1:11">
      <c r="A685" t="s">
        <v>104</v>
      </c>
      <c r="B685" t="s">
        <v>105</v>
      </c>
      <c r="C685" t="s">
        <v>289</v>
      </c>
      <c r="D685" t="s">
        <v>290</v>
      </c>
      <c r="E685" s="8">
        <v>66920</v>
      </c>
      <c r="F685" s="8">
        <v>91160</v>
      </c>
      <c r="G685" s="8">
        <f t="shared" si="40"/>
        <v>6100427200</v>
      </c>
      <c r="H685" s="5">
        <v>0.795</v>
      </c>
      <c r="I685" s="8">
        <f t="shared" si="41"/>
        <v>6100427200</v>
      </c>
      <c r="J685" s="8">
        <f t="shared" si="42"/>
        <v>4849839624</v>
      </c>
      <c r="K685" t="str">
        <f t="shared" si="43"/>
        <v>MATCHED</v>
      </c>
    </row>
    <row r="686" spans="1:11">
      <c r="A686" t="s">
        <v>104</v>
      </c>
      <c r="B686" t="s">
        <v>105</v>
      </c>
      <c r="C686" t="s">
        <v>822</v>
      </c>
      <c r="D686" t="s">
        <v>823</v>
      </c>
      <c r="E686" s="8"/>
      <c r="F686" s="8">
        <v>83440</v>
      </c>
      <c r="G686" s="8" t="str">
        <f t="shared" si="40"/>
        <v/>
      </c>
      <c r="H686" s="5">
        <v>0.6102</v>
      </c>
      <c r="I686" s="8" t="str">
        <f t="shared" si="41"/>
        <v/>
      </c>
      <c r="J686" s="8" t="str">
        <f t="shared" si="42"/>
        <v/>
      </c>
      <c r="K686" t="str">
        <f t="shared" si="43"/>
        <v>MISSING OEWS</v>
      </c>
    </row>
    <row r="687" spans="1:11">
      <c r="A687" t="s">
        <v>104</v>
      </c>
      <c r="B687" t="s">
        <v>105</v>
      </c>
      <c r="C687" t="s">
        <v>824</v>
      </c>
      <c r="D687" t="s">
        <v>825</v>
      </c>
      <c r="E687" s="8">
        <v>340</v>
      </c>
      <c r="F687" s="8">
        <v>97570</v>
      </c>
      <c r="G687" s="8">
        <f t="shared" si="40"/>
        <v>33173800</v>
      </c>
      <c r="H687" s="5">
        <v>0.8</v>
      </c>
      <c r="I687" s="8">
        <f t="shared" si="41"/>
        <v>33173800</v>
      </c>
      <c r="J687" s="8">
        <f t="shared" si="42"/>
        <v>26539040</v>
      </c>
      <c r="K687" t="str">
        <f t="shared" si="43"/>
        <v>MATCHED</v>
      </c>
    </row>
    <row r="688" spans="1:11">
      <c r="A688" t="s">
        <v>104</v>
      </c>
      <c r="B688" t="s">
        <v>105</v>
      </c>
      <c r="C688" t="s">
        <v>826</v>
      </c>
      <c r="D688" t="s">
        <v>827</v>
      </c>
      <c r="E688" s="8">
        <v>110</v>
      </c>
      <c r="F688" s="8">
        <v>84810</v>
      </c>
      <c r="G688" s="8">
        <f t="shared" si="40"/>
        <v>9329100</v>
      </c>
      <c r="H688" s="5">
        <v>0.8182</v>
      </c>
      <c r="I688" s="8">
        <f t="shared" si="41"/>
        <v>9329100</v>
      </c>
      <c r="J688" s="8">
        <f t="shared" si="42"/>
        <v>7633069.62</v>
      </c>
      <c r="K688" t="str">
        <f t="shared" si="43"/>
        <v>MATCHED</v>
      </c>
    </row>
    <row r="689" spans="1:11">
      <c r="A689" t="s">
        <v>104</v>
      </c>
      <c r="B689" t="s">
        <v>105</v>
      </c>
      <c r="C689" t="s">
        <v>536</v>
      </c>
      <c r="D689" t="s">
        <v>537</v>
      </c>
      <c r="E689" s="8">
        <v>2020</v>
      </c>
      <c r="F689" s="8">
        <v>100070</v>
      </c>
      <c r="G689" s="8">
        <f t="shared" si="40"/>
        <v>202141400</v>
      </c>
      <c r="H689" s="5">
        <v>0.6904</v>
      </c>
      <c r="I689" s="8">
        <f t="shared" si="41"/>
        <v>202141400</v>
      </c>
      <c r="J689" s="8">
        <f t="shared" si="42"/>
        <v>139558422.56</v>
      </c>
      <c r="K689" t="str">
        <f t="shared" si="43"/>
        <v>MATCHED</v>
      </c>
    </row>
    <row r="690" spans="1:11">
      <c r="A690" t="s">
        <v>104</v>
      </c>
      <c r="B690" t="s">
        <v>105</v>
      </c>
      <c r="C690" t="s">
        <v>930</v>
      </c>
      <c r="D690" t="s">
        <v>931</v>
      </c>
      <c r="E690" s="8"/>
      <c r="F690" s="8">
        <v>52770</v>
      </c>
      <c r="G690" s="8" t="str">
        <f t="shared" si="40"/>
        <v/>
      </c>
      <c r="H690" s="5">
        <v>0.6857</v>
      </c>
      <c r="I690" s="8" t="str">
        <f t="shared" si="41"/>
        <v/>
      </c>
      <c r="J690" s="8" t="str">
        <f t="shared" si="42"/>
        <v/>
      </c>
      <c r="K690" t="str">
        <f t="shared" si="43"/>
        <v>MISSING OEWS</v>
      </c>
    </row>
    <row r="691" spans="1:11">
      <c r="A691" t="s">
        <v>104</v>
      </c>
      <c r="B691" t="s">
        <v>105</v>
      </c>
      <c r="C691" t="s">
        <v>828</v>
      </c>
      <c r="D691" t="s">
        <v>829</v>
      </c>
      <c r="E691" s="8">
        <v>360</v>
      </c>
      <c r="F691" s="8">
        <v>116850</v>
      </c>
      <c r="G691" s="8">
        <f t="shared" si="40"/>
        <v>42066000</v>
      </c>
      <c r="H691" s="5">
        <v>0.7767</v>
      </c>
      <c r="I691" s="8">
        <f t="shared" si="41"/>
        <v>42066000</v>
      </c>
      <c r="J691" s="8">
        <f t="shared" si="42"/>
        <v>32672662.2</v>
      </c>
      <c r="K691" t="str">
        <f t="shared" si="43"/>
        <v>MATCHED</v>
      </c>
    </row>
    <row r="692" spans="1:11">
      <c r="A692" t="s">
        <v>104</v>
      </c>
      <c r="B692" t="s">
        <v>105</v>
      </c>
      <c r="C692" t="s">
        <v>932</v>
      </c>
      <c r="D692" t="s">
        <v>933</v>
      </c>
      <c r="E692" s="8">
        <v>50</v>
      </c>
      <c r="F692" s="8">
        <v>56270</v>
      </c>
      <c r="G692" s="8">
        <f t="shared" si="40"/>
        <v>2813500</v>
      </c>
      <c r="H692" s="5">
        <v>0.7587</v>
      </c>
      <c r="I692" s="8">
        <f t="shared" si="41"/>
        <v>2813500</v>
      </c>
      <c r="J692" s="8">
        <f t="shared" si="42"/>
        <v>2134602.45</v>
      </c>
      <c r="K692" t="str">
        <f t="shared" si="43"/>
        <v>MATCHED</v>
      </c>
    </row>
    <row r="693" spans="1:11">
      <c r="A693" t="s">
        <v>104</v>
      </c>
      <c r="B693" t="s">
        <v>105</v>
      </c>
      <c r="C693" t="s">
        <v>934</v>
      </c>
      <c r="D693" t="s">
        <v>935</v>
      </c>
      <c r="E693" s="8">
        <v>590</v>
      </c>
      <c r="F693" s="8">
        <v>78730</v>
      </c>
      <c r="G693" s="8">
        <f t="shared" si="40"/>
        <v>46450700</v>
      </c>
      <c r="H693" s="5">
        <v>0.805</v>
      </c>
      <c r="I693" s="8">
        <f t="shared" si="41"/>
        <v>46450700</v>
      </c>
      <c r="J693" s="8">
        <f t="shared" si="42"/>
        <v>37392813.5</v>
      </c>
      <c r="K693" t="str">
        <f t="shared" si="43"/>
        <v>MATCHED</v>
      </c>
    </row>
    <row r="694" spans="1:11">
      <c r="A694" t="s">
        <v>104</v>
      </c>
      <c r="B694" t="s">
        <v>105</v>
      </c>
      <c r="C694" t="s">
        <v>538</v>
      </c>
      <c r="D694" t="s">
        <v>539</v>
      </c>
      <c r="E694" s="8">
        <v>530</v>
      </c>
      <c r="F694" s="8">
        <v>89340</v>
      </c>
      <c r="G694" s="8">
        <f t="shared" si="40"/>
        <v>47350200</v>
      </c>
      <c r="H694" s="5">
        <v>0.6192</v>
      </c>
      <c r="I694" s="8">
        <f t="shared" si="41"/>
        <v>47350200</v>
      </c>
      <c r="J694" s="8">
        <f t="shared" si="42"/>
        <v>29319243.84</v>
      </c>
      <c r="K694" t="str">
        <f t="shared" si="43"/>
        <v>MATCHED</v>
      </c>
    </row>
    <row r="695" spans="1:11">
      <c r="A695" t="s">
        <v>104</v>
      </c>
      <c r="B695" t="s">
        <v>105</v>
      </c>
      <c r="C695" t="s">
        <v>291</v>
      </c>
      <c r="D695" t="s">
        <v>292</v>
      </c>
      <c r="E695" s="8">
        <v>1690</v>
      </c>
      <c r="F695" s="8">
        <v>101540</v>
      </c>
      <c r="G695" s="8">
        <f t="shared" si="40"/>
        <v>171602600</v>
      </c>
      <c r="H695" s="5">
        <v>0.6388</v>
      </c>
      <c r="I695" s="8">
        <f t="shared" si="41"/>
        <v>171602600</v>
      </c>
      <c r="J695" s="8">
        <f t="shared" si="42"/>
        <v>109619740.88</v>
      </c>
      <c r="K695" t="str">
        <f t="shared" si="43"/>
        <v>MATCHED</v>
      </c>
    </row>
    <row r="696" spans="1:11">
      <c r="A696" t="s">
        <v>104</v>
      </c>
      <c r="B696" t="s">
        <v>105</v>
      </c>
      <c r="C696" t="s">
        <v>540</v>
      </c>
      <c r="D696" t="s">
        <v>541</v>
      </c>
      <c r="E696" s="8">
        <v>720</v>
      </c>
      <c r="F696" s="8">
        <v>115230</v>
      </c>
      <c r="G696" s="8">
        <f t="shared" si="40"/>
        <v>82965600</v>
      </c>
      <c r="H696" s="5">
        <v>0.6292</v>
      </c>
      <c r="I696" s="8">
        <f t="shared" si="41"/>
        <v>82965600</v>
      </c>
      <c r="J696" s="8">
        <f t="shared" si="42"/>
        <v>52201955.52</v>
      </c>
      <c r="K696" t="str">
        <f t="shared" si="43"/>
        <v>MATCHED</v>
      </c>
    </row>
    <row r="697" spans="1:11">
      <c r="A697" t="s">
        <v>104</v>
      </c>
      <c r="B697" t="s">
        <v>105</v>
      </c>
      <c r="C697" t="s">
        <v>542</v>
      </c>
      <c r="D697" t="s">
        <v>543</v>
      </c>
      <c r="E697" s="8"/>
      <c r="F697" s="8">
        <v>69040</v>
      </c>
      <c r="G697" s="8" t="str">
        <f t="shared" si="40"/>
        <v/>
      </c>
      <c r="H697" s="5">
        <v>0.7096</v>
      </c>
      <c r="I697" s="8" t="str">
        <f t="shared" si="41"/>
        <v/>
      </c>
      <c r="J697" s="8" t="str">
        <f t="shared" si="42"/>
        <v/>
      </c>
      <c r="K697" t="str">
        <f t="shared" si="43"/>
        <v>MISSING OEWS</v>
      </c>
    </row>
    <row r="698" spans="1:11">
      <c r="A698" t="s">
        <v>104</v>
      </c>
      <c r="B698" t="s">
        <v>105</v>
      </c>
      <c r="C698" t="s">
        <v>293</v>
      </c>
      <c r="D698" t="s">
        <v>294</v>
      </c>
      <c r="E698" s="8">
        <v>9130</v>
      </c>
      <c r="F698" s="8">
        <v>70160</v>
      </c>
      <c r="G698" s="8">
        <f t="shared" si="40"/>
        <v>640560800</v>
      </c>
      <c r="H698" s="5">
        <v>0.6062</v>
      </c>
      <c r="I698" s="8">
        <f t="shared" si="41"/>
        <v>640560800</v>
      </c>
      <c r="J698" s="8">
        <f t="shared" si="42"/>
        <v>388307956.96</v>
      </c>
      <c r="K698" t="str">
        <f t="shared" si="43"/>
        <v>MATCHED</v>
      </c>
    </row>
    <row r="699" spans="1:11">
      <c r="A699" t="s">
        <v>104</v>
      </c>
      <c r="B699" t="s">
        <v>105</v>
      </c>
      <c r="C699" t="s">
        <v>544</v>
      </c>
      <c r="D699" t="s">
        <v>545</v>
      </c>
      <c r="E699" s="8">
        <v>1300</v>
      </c>
      <c r="F699" s="8">
        <v>96560</v>
      </c>
      <c r="G699" s="8">
        <f t="shared" si="40"/>
        <v>125528000</v>
      </c>
      <c r="H699" s="5">
        <v>0.6278</v>
      </c>
      <c r="I699" s="8">
        <f t="shared" si="41"/>
        <v>125528000</v>
      </c>
      <c r="J699" s="8">
        <f t="shared" si="42"/>
        <v>78806478.4</v>
      </c>
      <c r="K699" t="str">
        <f t="shared" si="43"/>
        <v>MATCHED</v>
      </c>
    </row>
    <row r="700" spans="1:11">
      <c r="A700" t="s">
        <v>104</v>
      </c>
      <c r="B700" t="s">
        <v>105</v>
      </c>
      <c r="C700" t="s">
        <v>546</v>
      </c>
      <c r="D700" t="s">
        <v>547</v>
      </c>
      <c r="E700" s="8">
        <v>260</v>
      </c>
      <c r="F700" s="8">
        <v>95210</v>
      </c>
      <c r="G700" s="8">
        <f t="shared" si="40"/>
        <v>24754600</v>
      </c>
      <c r="H700" s="5">
        <v>0.8389</v>
      </c>
      <c r="I700" s="8">
        <f t="shared" si="41"/>
        <v>24754600</v>
      </c>
      <c r="J700" s="8">
        <f t="shared" si="42"/>
        <v>20766633.94</v>
      </c>
      <c r="K700" t="str">
        <f t="shared" si="43"/>
        <v>MATCHED</v>
      </c>
    </row>
    <row r="701" spans="1:11">
      <c r="A701" t="s">
        <v>104</v>
      </c>
      <c r="B701" t="s">
        <v>105</v>
      </c>
      <c r="C701" t="s">
        <v>548</v>
      </c>
      <c r="D701" t="s">
        <v>549</v>
      </c>
      <c r="E701" s="8">
        <v>280</v>
      </c>
      <c r="F701" s="8">
        <v>108350</v>
      </c>
      <c r="G701" s="8">
        <f t="shared" si="40"/>
        <v>30338000</v>
      </c>
      <c r="H701" s="5">
        <v>0.8502</v>
      </c>
      <c r="I701" s="8">
        <f t="shared" si="41"/>
        <v>30338000</v>
      </c>
      <c r="J701" s="8">
        <f t="shared" si="42"/>
        <v>25793367.6</v>
      </c>
      <c r="K701" t="str">
        <f t="shared" si="43"/>
        <v>MATCHED</v>
      </c>
    </row>
    <row r="702" spans="1:11">
      <c r="A702" t="s">
        <v>104</v>
      </c>
      <c r="B702" t="s">
        <v>105</v>
      </c>
      <c r="C702" t="s">
        <v>295</v>
      </c>
      <c r="D702" t="s">
        <v>296</v>
      </c>
      <c r="E702" s="8">
        <v>3560</v>
      </c>
      <c r="F702" s="8">
        <v>97600</v>
      </c>
      <c r="G702" s="8">
        <f t="shared" si="40"/>
        <v>347456000</v>
      </c>
      <c r="H702" s="5">
        <v>0.695</v>
      </c>
      <c r="I702" s="8">
        <f t="shared" si="41"/>
        <v>347456000</v>
      </c>
      <c r="J702" s="8">
        <f t="shared" si="42"/>
        <v>241481920</v>
      </c>
      <c r="K702" t="str">
        <f t="shared" si="43"/>
        <v>MATCHED</v>
      </c>
    </row>
    <row r="703" spans="1:11">
      <c r="A703" t="s">
        <v>104</v>
      </c>
      <c r="B703" t="s">
        <v>105</v>
      </c>
      <c r="C703" t="s">
        <v>550</v>
      </c>
      <c r="D703" t="s">
        <v>551</v>
      </c>
      <c r="E703" s="8">
        <v>1470</v>
      </c>
      <c r="F703" s="8">
        <v>98130</v>
      </c>
      <c r="G703" s="8">
        <f t="shared" si="40"/>
        <v>144251100</v>
      </c>
      <c r="H703" s="5">
        <v>0.6824</v>
      </c>
      <c r="I703" s="8">
        <f t="shared" si="41"/>
        <v>144251100</v>
      </c>
      <c r="J703" s="8">
        <f t="shared" si="42"/>
        <v>98436950.64</v>
      </c>
      <c r="K703" t="str">
        <f t="shared" si="43"/>
        <v>MATCHED</v>
      </c>
    </row>
    <row r="704" spans="1:11">
      <c r="A704" t="s">
        <v>104</v>
      </c>
      <c r="B704" t="s">
        <v>105</v>
      </c>
      <c r="C704" t="s">
        <v>297</v>
      </c>
      <c r="D704" t="s">
        <v>298</v>
      </c>
      <c r="E704" s="8">
        <v>5260</v>
      </c>
      <c r="F704" s="8">
        <v>116690</v>
      </c>
      <c r="G704" s="8">
        <f t="shared" si="40"/>
        <v>613789400</v>
      </c>
      <c r="H704" s="5">
        <v>0.5211</v>
      </c>
      <c r="I704" s="8">
        <f t="shared" si="41"/>
        <v>613789400</v>
      </c>
      <c r="J704" s="8">
        <f t="shared" si="42"/>
        <v>319845656.34</v>
      </c>
      <c r="K704" t="str">
        <f t="shared" si="43"/>
        <v>MATCHED</v>
      </c>
    </row>
    <row r="705" spans="1:11">
      <c r="A705" t="s">
        <v>104</v>
      </c>
      <c r="B705" t="s">
        <v>105</v>
      </c>
      <c r="C705" t="s">
        <v>552</v>
      </c>
      <c r="D705" t="s">
        <v>553</v>
      </c>
      <c r="E705" s="8">
        <v>300</v>
      </c>
      <c r="F705" s="8">
        <v>90450</v>
      </c>
      <c r="G705" s="8">
        <f t="shared" si="40"/>
        <v>27135000</v>
      </c>
      <c r="H705" s="5">
        <v>0.8117</v>
      </c>
      <c r="I705" s="8">
        <f t="shared" si="41"/>
        <v>27135000</v>
      </c>
      <c r="J705" s="8">
        <f t="shared" si="42"/>
        <v>22025479.5</v>
      </c>
      <c r="K705" t="str">
        <f t="shared" si="43"/>
        <v>MATCHED</v>
      </c>
    </row>
    <row r="706" spans="1:11">
      <c r="A706" t="s">
        <v>104</v>
      </c>
      <c r="B706" t="s">
        <v>105</v>
      </c>
      <c r="C706" t="s">
        <v>830</v>
      </c>
      <c r="D706" t="s">
        <v>831</v>
      </c>
      <c r="E706" s="8">
        <v>360</v>
      </c>
      <c r="F706" s="8">
        <v>74050</v>
      </c>
      <c r="G706" s="8">
        <f t="shared" ref="G706:G769" si="44">IF(OR(E706="",F706=""),"",E706*F706)</f>
        <v>26658000</v>
      </c>
      <c r="H706" s="5">
        <v>0.8276</v>
      </c>
      <c r="I706" s="8">
        <f t="shared" ref="I706:I769" si="45">IF(G706="","",IF(ISNUMBER(H706),G706,""))</f>
        <v>26658000</v>
      </c>
      <c r="J706" s="8">
        <f t="shared" ref="J706:J769" si="46">IF(I706="","",I706*H706)</f>
        <v>22062160.8</v>
      </c>
      <c r="K706" t="str">
        <f t="shared" ref="K706:K769" si="47">IF(G706="","MISSING OEWS",IF(ISNUMBER(H706),"MATCHED","MISSING WHARTON"))</f>
        <v>MATCHED</v>
      </c>
    </row>
    <row r="707" spans="1:11">
      <c r="A707" t="s">
        <v>104</v>
      </c>
      <c r="B707" t="s">
        <v>105</v>
      </c>
      <c r="C707" t="s">
        <v>832</v>
      </c>
      <c r="D707" t="s">
        <v>833</v>
      </c>
      <c r="E707" s="8">
        <v>330</v>
      </c>
      <c r="F707" s="8">
        <v>74270</v>
      </c>
      <c r="G707" s="8">
        <f t="shared" si="44"/>
        <v>24509100</v>
      </c>
      <c r="H707" s="5">
        <v>0.6827</v>
      </c>
      <c r="I707" s="8">
        <f t="shared" si="45"/>
        <v>24509100</v>
      </c>
      <c r="J707" s="8">
        <f t="shared" si="46"/>
        <v>16732362.57</v>
      </c>
      <c r="K707" t="str">
        <f t="shared" si="47"/>
        <v>MATCHED</v>
      </c>
    </row>
    <row r="708" spans="1:11">
      <c r="A708" t="s">
        <v>104</v>
      </c>
      <c r="B708" t="s">
        <v>105</v>
      </c>
      <c r="C708" t="s">
        <v>299</v>
      </c>
      <c r="D708" t="s">
        <v>300</v>
      </c>
      <c r="E708" s="8">
        <v>2370</v>
      </c>
      <c r="F708" s="8">
        <v>86100</v>
      </c>
      <c r="G708" s="8">
        <f t="shared" si="44"/>
        <v>204057000</v>
      </c>
      <c r="H708" s="5">
        <v>0.7425</v>
      </c>
      <c r="I708" s="8">
        <f t="shared" si="45"/>
        <v>204057000</v>
      </c>
      <c r="J708" s="8">
        <f t="shared" si="46"/>
        <v>151512322.5</v>
      </c>
      <c r="K708" t="str">
        <f t="shared" si="47"/>
        <v>MATCHED</v>
      </c>
    </row>
    <row r="709" spans="1:11">
      <c r="A709" t="s">
        <v>104</v>
      </c>
      <c r="B709" t="s">
        <v>105</v>
      </c>
      <c r="C709" t="s">
        <v>554</v>
      </c>
      <c r="D709" t="s">
        <v>555</v>
      </c>
      <c r="E709" s="8">
        <v>150</v>
      </c>
      <c r="F709" s="8">
        <v>92790</v>
      </c>
      <c r="G709" s="8">
        <f t="shared" si="44"/>
        <v>13918500</v>
      </c>
      <c r="H709" s="5">
        <v>0.6031</v>
      </c>
      <c r="I709" s="8">
        <f t="shared" si="45"/>
        <v>13918500</v>
      </c>
      <c r="J709" s="8">
        <f t="shared" si="46"/>
        <v>8394247.35</v>
      </c>
      <c r="K709" t="str">
        <f t="shared" si="47"/>
        <v>MATCHED</v>
      </c>
    </row>
    <row r="710" spans="1:11">
      <c r="A710" t="s">
        <v>104</v>
      </c>
      <c r="B710" t="s">
        <v>105</v>
      </c>
      <c r="C710" t="s">
        <v>556</v>
      </c>
      <c r="D710" t="s">
        <v>557</v>
      </c>
      <c r="E710" s="8">
        <v>770</v>
      </c>
      <c r="F710" s="8">
        <v>101090</v>
      </c>
      <c r="G710" s="8">
        <f t="shared" si="44"/>
        <v>77839300</v>
      </c>
      <c r="H710" s="5">
        <v>0.8228</v>
      </c>
      <c r="I710" s="8">
        <f t="shared" si="45"/>
        <v>77839300</v>
      </c>
      <c r="J710" s="8">
        <f t="shared" si="46"/>
        <v>64046176.04</v>
      </c>
      <c r="K710" t="str">
        <f t="shared" si="47"/>
        <v>MATCHED</v>
      </c>
    </row>
    <row r="711" spans="1:11">
      <c r="A711" t="s">
        <v>104</v>
      </c>
      <c r="B711" t="s">
        <v>105</v>
      </c>
      <c r="C711" t="s">
        <v>834</v>
      </c>
      <c r="D711" t="s">
        <v>835</v>
      </c>
      <c r="E711" s="8">
        <v>4380</v>
      </c>
      <c r="F711" s="8">
        <v>103460</v>
      </c>
      <c r="G711" s="8">
        <f t="shared" si="44"/>
        <v>453154800</v>
      </c>
      <c r="H711" s="5">
        <v>0.5375</v>
      </c>
      <c r="I711" s="8">
        <f t="shared" si="45"/>
        <v>453154800</v>
      </c>
      <c r="J711" s="8">
        <f t="shared" si="46"/>
        <v>243570705</v>
      </c>
      <c r="K711" t="str">
        <f t="shared" si="47"/>
        <v>MATCHED</v>
      </c>
    </row>
    <row r="712" spans="1:11">
      <c r="A712" t="s">
        <v>104</v>
      </c>
      <c r="B712" t="s">
        <v>105</v>
      </c>
      <c r="C712" t="s">
        <v>936</v>
      </c>
      <c r="D712" t="s">
        <v>937</v>
      </c>
      <c r="E712" s="8">
        <v>350</v>
      </c>
      <c r="F712" s="8">
        <v>78010</v>
      </c>
      <c r="G712" s="8">
        <f t="shared" si="44"/>
        <v>27303500</v>
      </c>
      <c r="H712" s="5">
        <v>0.3342</v>
      </c>
      <c r="I712" s="8">
        <f t="shared" si="45"/>
        <v>27303500</v>
      </c>
      <c r="J712" s="8">
        <f t="shared" si="46"/>
        <v>9124829.7</v>
      </c>
      <c r="K712" t="str">
        <f t="shared" si="47"/>
        <v>MATCHED</v>
      </c>
    </row>
    <row r="713" spans="1:11">
      <c r="A713" t="s">
        <v>104</v>
      </c>
      <c r="B713" t="s">
        <v>105</v>
      </c>
      <c r="C713" t="s">
        <v>558</v>
      </c>
      <c r="D713" t="s">
        <v>559</v>
      </c>
      <c r="E713" s="8">
        <v>80</v>
      </c>
      <c r="F713" s="8">
        <v>75610</v>
      </c>
      <c r="G713" s="8">
        <f t="shared" si="44"/>
        <v>6048800</v>
      </c>
      <c r="H713" s="5">
        <v>0.7929</v>
      </c>
      <c r="I713" s="8">
        <f t="shared" si="45"/>
        <v>6048800</v>
      </c>
      <c r="J713" s="8">
        <f t="shared" si="46"/>
        <v>4796093.52</v>
      </c>
      <c r="K713" t="str">
        <f t="shared" si="47"/>
        <v>MATCHED</v>
      </c>
    </row>
    <row r="714" spans="1:11">
      <c r="A714" t="s">
        <v>104</v>
      </c>
      <c r="B714" t="s">
        <v>105</v>
      </c>
      <c r="C714" t="s">
        <v>560</v>
      </c>
      <c r="D714" t="s">
        <v>561</v>
      </c>
      <c r="E714" s="8">
        <v>5160</v>
      </c>
      <c r="F714" s="8">
        <v>78930</v>
      </c>
      <c r="G714" s="8">
        <f t="shared" si="44"/>
        <v>407278800</v>
      </c>
      <c r="H714" s="5">
        <v>0.3682</v>
      </c>
      <c r="I714" s="8">
        <f t="shared" si="45"/>
        <v>407278800</v>
      </c>
      <c r="J714" s="8">
        <f t="shared" si="46"/>
        <v>149960054.16</v>
      </c>
      <c r="K714" t="str">
        <f t="shared" si="47"/>
        <v>MATCHED</v>
      </c>
    </row>
    <row r="715" spans="1:11">
      <c r="A715" t="s">
        <v>104</v>
      </c>
      <c r="B715" t="s">
        <v>105</v>
      </c>
      <c r="C715" t="s">
        <v>562</v>
      </c>
      <c r="D715" t="s">
        <v>563</v>
      </c>
      <c r="E715" s="8">
        <v>400</v>
      </c>
      <c r="F715" s="8">
        <v>131460</v>
      </c>
      <c r="G715" s="8">
        <f t="shared" si="44"/>
        <v>52584000</v>
      </c>
      <c r="H715" s="5">
        <v>0.3615</v>
      </c>
      <c r="I715" s="8">
        <f t="shared" si="45"/>
        <v>52584000</v>
      </c>
      <c r="J715" s="8">
        <f t="shared" si="46"/>
        <v>19009116</v>
      </c>
      <c r="K715" t="str">
        <f t="shared" si="47"/>
        <v>MATCHED</v>
      </c>
    </row>
    <row r="716" spans="1:11">
      <c r="A716" t="s">
        <v>104</v>
      </c>
      <c r="B716" t="s">
        <v>105</v>
      </c>
      <c r="C716" t="s">
        <v>564</v>
      </c>
      <c r="D716" t="s">
        <v>565</v>
      </c>
      <c r="E716" s="8">
        <v>48860</v>
      </c>
      <c r="F716" s="8">
        <v>93810</v>
      </c>
      <c r="G716" s="8">
        <f t="shared" si="44"/>
        <v>4583556600</v>
      </c>
      <c r="H716" s="5">
        <v>0.4218</v>
      </c>
      <c r="I716" s="8">
        <f t="shared" si="45"/>
        <v>4583556600</v>
      </c>
      <c r="J716" s="8">
        <f t="shared" si="46"/>
        <v>1933344173.88</v>
      </c>
      <c r="K716" t="str">
        <f t="shared" si="47"/>
        <v>MATCHED</v>
      </c>
    </row>
    <row r="717" spans="1:11">
      <c r="A717" t="s">
        <v>104</v>
      </c>
      <c r="B717" t="s">
        <v>105</v>
      </c>
      <c r="C717" t="s">
        <v>838</v>
      </c>
      <c r="D717" t="s">
        <v>839</v>
      </c>
      <c r="E717" s="8">
        <v>50</v>
      </c>
      <c r="F717" s="8">
        <v>143600</v>
      </c>
      <c r="G717" s="8">
        <f t="shared" si="44"/>
        <v>7180000</v>
      </c>
      <c r="H717" s="5">
        <v>0.3639</v>
      </c>
      <c r="I717" s="8">
        <f t="shared" si="45"/>
        <v>7180000</v>
      </c>
      <c r="J717" s="8">
        <f t="shared" si="46"/>
        <v>2612802</v>
      </c>
      <c r="K717" t="str">
        <f t="shared" si="47"/>
        <v>MATCHED</v>
      </c>
    </row>
    <row r="718" spans="1:11">
      <c r="A718" t="s">
        <v>104</v>
      </c>
      <c r="B718" t="s">
        <v>105</v>
      </c>
      <c r="C718" t="s">
        <v>566</v>
      </c>
      <c r="D718" t="s">
        <v>567</v>
      </c>
      <c r="E718" s="8">
        <v>10990</v>
      </c>
      <c r="F718" s="8">
        <v>107820</v>
      </c>
      <c r="G718" s="8">
        <f t="shared" si="44"/>
        <v>1184941800</v>
      </c>
      <c r="H718" s="5">
        <v>0.3523</v>
      </c>
      <c r="I718" s="8">
        <f t="shared" si="45"/>
        <v>1184941800</v>
      </c>
      <c r="J718" s="8">
        <f t="shared" si="46"/>
        <v>417454996.14</v>
      </c>
      <c r="K718" t="str">
        <f t="shared" si="47"/>
        <v>MATCHED</v>
      </c>
    </row>
    <row r="719" spans="1:11">
      <c r="A719" t="s">
        <v>104</v>
      </c>
      <c r="B719" t="s">
        <v>105</v>
      </c>
      <c r="C719" t="s">
        <v>568</v>
      </c>
      <c r="D719" t="s">
        <v>569</v>
      </c>
      <c r="E719" s="8">
        <v>830</v>
      </c>
      <c r="F719" s="8">
        <v>101420</v>
      </c>
      <c r="G719" s="8">
        <f t="shared" si="44"/>
        <v>84178600</v>
      </c>
      <c r="H719" s="5">
        <v>0.4536</v>
      </c>
      <c r="I719" s="8">
        <f t="shared" si="45"/>
        <v>84178600</v>
      </c>
      <c r="J719" s="8">
        <f t="shared" si="46"/>
        <v>38183412.96</v>
      </c>
      <c r="K719" t="str">
        <f t="shared" si="47"/>
        <v>MATCHED</v>
      </c>
    </row>
    <row r="720" spans="1:11">
      <c r="A720" t="s">
        <v>104</v>
      </c>
      <c r="B720" t="s">
        <v>105</v>
      </c>
      <c r="C720" t="s">
        <v>570</v>
      </c>
      <c r="D720" t="s">
        <v>571</v>
      </c>
      <c r="E720" s="8">
        <v>180</v>
      </c>
      <c r="F720" s="8">
        <v>88940</v>
      </c>
      <c r="G720" s="8">
        <f t="shared" si="44"/>
        <v>16009200</v>
      </c>
      <c r="H720" s="5">
        <v>0.5196</v>
      </c>
      <c r="I720" s="8">
        <f t="shared" si="45"/>
        <v>16009200</v>
      </c>
      <c r="J720" s="8">
        <f t="shared" si="46"/>
        <v>8318380.32</v>
      </c>
      <c r="K720" t="str">
        <f t="shared" si="47"/>
        <v>MATCHED</v>
      </c>
    </row>
    <row r="721" spans="1:11">
      <c r="A721" t="s">
        <v>104</v>
      </c>
      <c r="B721" t="s">
        <v>105</v>
      </c>
      <c r="C721" t="s">
        <v>572</v>
      </c>
      <c r="D721" t="s">
        <v>573</v>
      </c>
      <c r="E721" s="8">
        <v>1960</v>
      </c>
      <c r="F721" s="8">
        <v>110170</v>
      </c>
      <c r="G721" s="8">
        <f t="shared" si="44"/>
        <v>215933200</v>
      </c>
      <c r="H721" s="5">
        <v>0.2672</v>
      </c>
      <c r="I721" s="8">
        <f t="shared" si="45"/>
        <v>215933200</v>
      </c>
      <c r="J721" s="8">
        <f t="shared" si="46"/>
        <v>57697351.04</v>
      </c>
      <c r="K721" t="str">
        <f t="shared" si="47"/>
        <v>MATCHED</v>
      </c>
    </row>
    <row r="722" spans="1:11">
      <c r="A722" t="s">
        <v>104</v>
      </c>
      <c r="B722" t="s">
        <v>105</v>
      </c>
      <c r="C722" t="s">
        <v>301</v>
      </c>
      <c r="D722" t="s">
        <v>302</v>
      </c>
      <c r="E722" s="8">
        <v>2360</v>
      </c>
      <c r="F722" s="8">
        <v>104720</v>
      </c>
      <c r="G722" s="8">
        <f t="shared" si="44"/>
        <v>247139200</v>
      </c>
      <c r="H722" s="5">
        <v>0.4786</v>
      </c>
      <c r="I722" s="8">
        <f t="shared" si="45"/>
        <v>247139200</v>
      </c>
      <c r="J722" s="8">
        <f t="shared" si="46"/>
        <v>118280821.12</v>
      </c>
      <c r="K722" t="str">
        <f t="shared" si="47"/>
        <v>MATCHED</v>
      </c>
    </row>
    <row r="723" spans="1:11">
      <c r="A723" t="s">
        <v>104</v>
      </c>
      <c r="B723" t="s">
        <v>105</v>
      </c>
      <c r="C723" t="s">
        <v>938</v>
      </c>
      <c r="D723" t="s">
        <v>939</v>
      </c>
      <c r="E723" s="8"/>
      <c r="F723" s="8">
        <v>99050</v>
      </c>
      <c r="G723" s="8" t="str">
        <f t="shared" si="44"/>
        <v/>
      </c>
      <c r="H723" s="5">
        <v>0.2417</v>
      </c>
      <c r="I723" s="8" t="str">
        <f t="shared" si="45"/>
        <v/>
      </c>
      <c r="J723" s="8" t="str">
        <f t="shared" si="46"/>
        <v/>
      </c>
      <c r="K723" t="str">
        <f t="shared" si="47"/>
        <v>MISSING OEWS</v>
      </c>
    </row>
    <row r="724" spans="1:11">
      <c r="A724" t="s">
        <v>104</v>
      </c>
      <c r="B724" t="s">
        <v>105</v>
      </c>
      <c r="C724" t="s">
        <v>574</v>
      </c>
      <c r="D724" t="s">
        <v>575</v>
      </c>
      <c r="E724" s="8">
        <v>110</v>
      </c>
      <c r="F724" s="8">
        <v>118580</v>
      </c>
      <c r="G724" s="8">
        <f t="shared" si="44"/>
        <v>13043800</v>
      </c>
      <c r="H724" s="5">
        <v>0.269</v>
      </c>
      <c r="I724" s="8">
        <f t="shared" si="45"/>
        <v>13043800</v>
      </c>
      <c r="J724" s="8">
        <f t="shared" si="46"/>
        <v>3508782.2</v>
      </c>
      <c r="K724" t="str">
        <f t="shared" si="47"/>
        <v>MATCHED</v>
      </c>
    </row>
    <row r="725" spans="1:11">
      <c r="A725" t="s">
        <v>104</v>
      </c>
      <c r="B725" t="s">
        <v>105</v>
      </c>
      <c r="C725" t="s">
        <v>576</v>
      </c>
      <c r="D725" t="s">
        <v>577</v>
      </c>
      <c r="E725" s="8">
        <v>7710</v>
      </c>
      <c r="F725" s="8">
        <v>108560</v>
      </c>
      <c r="G725" s="8">
        <f t="shared" si="44"/>
        <v>836997600</v>
      </c>
      <c r="H725" s="5">
        <v>0.3008</v>
      </c>
      <c r="I725" s="8">
        <f t="shared" si="45"/>
        <v>836997600</v>
      </c>
      <c r="J725" s="8">
        <f t="shared" si="46"/>
        <v>251768878.08</v>
      </c>
      <c r="K725" t="str">
        <f t="shared" si="47"/>
        <v>MATCHED</v>
      </c>
    </row>
    <row r="726" spans="1:11">
      <c r="A726" t="s">
        <v>104</v>
      </c>
      <c r="B726" t="s">
        <v>105</v>
      </c>
      <c r="C726" t="s">
        <v>578</v>
      </c>
      <c r="D726" t="s">
        <v>579</v>
      </c>
      <c r="E726" s="8">
        <v>40</v>
      </c>
      <c r="F726" s="8">
        <v>81470</v>
      </c>
      <c r="G726" s="8">
        <f t="shared" si="44"/>
        <v>3258800</v>
      </c>
      <c r="H726" s="5">
        <v>0.2861</v>
      </c>
      <c r="I726" s="8">
        <f t="shared" si="45"/>
        <v>3258800</v>
      </c>
      <c r="J726" s="8">
        <f t="shared" si="46"/>
        <v>932342.68</v>
      </c>
      <c r="K726" t="str">
        <f t="shared" si="47"/>
        <v>MATCHED</v>
      </c>
    </row>
    <row r="727" spans="1:11">
      <c r="A727" t="s">
        <v>104</v>
      </c>
      <c r="B727" t="s">
        <v>105</v>
      </c>
      <c r="C727" t="s">
        <v>582</v>
      </c>
      <c r="D727" t="s">
        <v>583</v>
      </c>
      <c r="E727" s="8">
        <v>3880</v>
      </c>
      <c r="F727" s="8">
        <v>107880</v>
      </c>
      <c r="G727" s="8">
        <f t="shared" si="44"/>
        <v>418574400</v>
      </c>
      <c r="H727" s="5">
        <v>0.315</v>
      </c>
      <c r="I727" s="8">
        <f t="shared" si="45"/>
        <v>418574400</v>
      </c>
      <c r="J727" s="8">
        <f t="shared" si="46"/>
        <v>131850936</v>
      </c>
      <c r="K727" t="str">
        <f t="shared" si="47"/>
        <v>MATCHED</v>
      </c>
    </row>
    <row r="728" spans="1:11">
      <c r="A728" t="s">
        <v>104</v>
      </c>
      <c r="B728" t="s">
        <v>105</v>
      </c>
      <c r="C728" t="s">
        <v>584</v>
      </c>
      <c r="D728" t="s">
        <v>585</v>
      </c>
      <c r="E728" s="8">
        <v>12480</v>
      </c>
      <c r="F728" s="8">
        <v>73480</v>
      </c>
      <c r="G728" s="8">
        <f t="shared" si="44"/>
        <v>917030400</v>
      </c>
      <c r="H728" s="5">
        <v>0.7</v>
      </c>
      <c r="I728" s="8">
        <f t="shared" si="45"/>
        <v>917030400</v>
      </c>
      <c r="J728" s="8">
        <f t="shared" si="46"/>
        <v>641921280</v>
      </c>
      <c r="K728" t="str">
        <f t="shared" si="47"/>
        <v>MATCHED</v>
      </c>
    </row>
    <row r="729" spans="1:11">
      <c r="A729" t="s">
        <v>104</v>
      </c>
      <c r="B729" t="s">
        <v>105</v>
      </c>
      <c r="C729" t="s">
        <v>842</v>
      </c>
      <c r="D729" t="s">
        <v>843</v>
      </c>
      <c r="E729" s="8">
        <v>3860</v>
      </c>
      <c r="F729" s="8">
        <v>74200</v>
      </c>
      <c r="G729" s="8">
        <f t="shared" si="44"/>
        <v>286412000</v>
      </c>
      <c r="H729" s="5">
        <v>0.5217</v>
      </c>
      <c r="I729" s="8">
        <f t="shared" si="45"/>
        <v>286412000</v>
      </c>
      <c r="J729" s="8">
        <f t="shared" si="46"/>
        <v>149421140.4</v>
      </c>
      <c r="K729" t="str">
        <f t="shared" si="47"/>
        <v>MATCHED</v>
      </c>
    </row>
    <row r="730" spans="1:11">
      <c r="A730" t="s">
        <v>104</v>
      </c>
      <c r="B730" t="s">
        <v>105</v>
      </c>
      <c r="C730" t="s">
        <v>586</v>
      </c>
      <c r="D730" t="s">
        <v>587</v>
      </c>
      <c r="E730" s="8">
        <v>4180</v>
      </c>
      <c r="F730" s="8">
        <v>84510</v>
      </c>
      <c r="G730" s="8">
        <f t="shared" si="44"/>
        <v>353251800</v>
      </c>
      <c r="H730" s="5">
        <v>0.71</v>
      </c>
      <c r="I730" s="8">
        <f t="shared" si="45"/>
        <v>353251800</v>
      </c>
      <c r="J730" s="8">
        <f t="shared" si="46"/>
        <v>250808778</v>
      </c>
      <c r="K730" t="str">
        <f t="shared" si="47"/>
        <v>MATCHED</v>
      </c>
    </row>
    <row r="731" spans="1:11">
      <c r="A731" t="s">
        <v>104</v>
      </c>
      <c r="B731" t="s">
        <v>105</v>
      </c>
      <c r="C731" t="s">
        <v>588</v>
      </c>
      <c r="D731" t="s">
        <v>589</v>
      </c>
      <c r="E731" s="8">
        <v>2050</v>
      </c>
      <c r="F731" s="8">
        <v>69110</v>
      </c>
      <c r="G731" s="8">
        <f t="shared" si="44"/>
        <v>141675500</v>
      </c>
      <c r="H731" s="5"/>
      <c r="I731" s="8" t="str">
        <f t="shared" si="45"/>
        <v/>
      </c>
      <c r="J731" s="8" t="str">
        <f t="shared" si="46"/>
        <v/>
      </c>
      <c r="K731" t="str">
        <f t="shared" si="47"/>
        <v>MISSING WHARTON</v>
      </c>
    </row>
    <row r="732" spans="1:11">
      <c r="A732" t="s">
        <v>104</v>
      </c>
      <c r="B732" t="s">
        <v>105</v>
      </c>
      <c r="C732" t="s">
        <v>590</v>
      </c>
      <c r="D732" t="s">
        <v>591</v>
      </c>
      <c r="E732" s="8">
        <v>2340</v>
      </c>
      <c r="F732" s="8">
        <v>65410</v>
      </c>
      <c r="G732" s="8">
        <f t="shared" si="44"/>
        <v>153059400</v>
      </c>
      <c r="H732" s="5">
        <v>0.4567</v>
      </c>
      <c r="I732" s="8">
        <f t="shared" si="45"/>
        <v>153059400</v>
      </c>
      <c r="J732" s="8">
        <f t="shared" si="46"/>
        <v>69902227.98</v>
      </c>
      <c r="K732" t="str">
        <f t="shared" si="47"/>
        <v>MATCHED</v>
      </c>
    </row>
    <row r="733" spans="1:11">
      <c r="A733" t="s">
        <v>104</v>
      </c>
      <c r="B733" t="s">
        <v>105</v>
      </c>
      <c r="C733" t="s">
        <v>592</v>
      </c>
      <c r="D733" t="s">
        <v>593</v>
      </c>
      <c r="E733" s="8">
        <v>3190</v>
      </c>
      <c r="F733" s="8">
        <v>72400</v>
      </c>
      <c r="G733" s="8">
        <f t="shared" si="44"/>
        <v>230956000</v>
      </c>
      <c r="H733" s="5">
        <v>0.4</v>
      </c>
      <c r="I733" s="8">
        <f t="shared" si="45"/>
        <v>230956000</v>
      </c>
      <c r="J733" s="8">
        <f t="shared" si="46"/>
        <v>92382400</v>
      </c>
      <c r="K733" t="str">
        <f t="shared" si="47"/>
        <v>MATCHED</v>
      </c>
    </row>
    <row r="734" spans="1:11">
      <c r="A734" t="s">
        <v>104</v>
      </c>
      <c r="B734" t="s">
        <v>105</v>
      </c>
      <c r="C734" t="s">
        <v>594</v>
      </c>
      <c r="D734" t="s">
        <v>595</v>
      </c>
      <c r="E734" s="8">
        <v>170</v>
      </c>
      <c r="F734" s="8">
        <v>76700</v>
      </c>
      <c r="G734" s="8">
        <f t="shared" si="44"/>
        <v>13039000</v>
      </c>
      <c r="H734" s="5">
        <v>0.1781</v>
      </c>
      <c r="I734" s="8">
        <f t="shared" si="45"/>
        <v>13039000</v>
      </c>
      <c r="J734" s="8">
        <f t="shared" si="46"/>
        <v>2322245.9</v>
      </c>
      <c r="K734" t="str">
        <f t="shared" si="47"/>
        <v>MATCHED</v>
      </c>
    </row>
    <row r="735" spans="1:11">
      <c r="A735" t="s">
        <v>104</v>
      </c>
      <c r="B735" t="s">
        <v>105</v>
      </c>
      <c r="C735" t="s">
        <v>596</v>
      </c>
      <c r="D735" t="s">
        <v>597</v>
      </c>
      <c r="E735" s="8">
        <v>60</v>
      </c>
      <c r="F735" s="8">
        <v>60950</v>
      </c>
      <c r="G735" s="8">
        <f t="shared" si="44"/>
        <v>3657000</v>
      </c>
      <c r="H735" s="5">
        <v>0.4615</v>
      </c>
      <c r="I735" s="8">
        <f t="shared" si="45"/>
        <v>3657000</v>
      </c>
      <c r="J735" s="8">
        <f t="shared" si="46"/>
        <v>1687705.5</v>
      </c>
      <c r="K735" t="str">
        <f t="shared" si="47"/>
        <v>MATCHED</v>
      </c>
    </row>
    <row r="736" spans="1:11">
      <c r="A736" t="s">
        <v>104</v>
      </c>
      <c r="B736" t="s">
        <v>105</v>
      </c>
      <c r="C736" t="s">
        <v>598</v>
      </c>
      <c r="D736" t="s">
        <v>599</v>
      </c>
      <c r="E736" s="8">
        <v>240</v>
      </c>
      <c r="F736" s="8">
        <v>76380</v>
      </c>
      <c r="G736" s="8">
        <f t="shared" si="44"/>
        <v>18331200</v>
      </c>
      <c r="H736" s="5">
        <v>0.2855</v>
      </c>
      <c r="I736" s="8">
        <f t="shared" si="45"/>
        <v>18331200</v>
      </c>
      <c r="J736" s="8">
        <f t="shared" si="46"/>
        <v>5233557.6</v>
      </c>
      <c r="K736" t="str">
        <f t="shared" si="47"/>
        <v>MATCHED</v>
      </c>
    </row>
    <row r="737" spans="1:11">
      <c r="A737" t="s">
        <v>104</v>
      </c>
      <c r="B737" t="s">
        <v>105</v>
      </c>
      <c r="C737" t="s">
        <v>600</v>
      </c>
      <c r="D737" t="s">
        <v>601</v>
      </c>
      <c r="E737" s="8">
        <v>480</v>
      </c>
      <c r="F737" s="8">
        <v>69570</v>
      </c>
      <c r="G737" s="8">
        <f t="shared" si="44"/>
        <v>33393600</v>
      </c>
      <c r="H737" s="5">
        <v>0.3125</v>
      </c>
      <c r="I737" s="8">
        <f t="shared" si="45"/>
        <v>33393600</v>
      </c>
      <c r="J737" s="8">
        <f t="shared" si="46"/>
        <v>10435500</v>
      </c>
      <c r="K737" t="str">
        <f t="shared" si="47"/>
        <v>MATCHED</v>
      </c>
    </row>
    <row r="738" spans="1:11">
      <c r="A738" t="s">
        <v>104</v>
      </c>
      <c r="B738" t="s">
        <v>105</v>
      </c>
      <c r="C738" t="s">
        <v>602</v>
      </c>
      <c r="D738" t="s">
        <v>603</v>
      </c>
      <c r="E738" s="8">
        <v>620</v>
      </c>
      <c r="F738" s="8">
        <v>84870</v>
      </c>
      <c r="G738" s="8">
        <f t="shared" si="44"/>
        <v>52619400</v>
      </c>
      <c r="H738" s="5">
        <v>0.1733</v>
      </c>
      <c r="I738" s="8">
        <f t="shared" si="45"/>
        <v>52619400</v>
      </c>
      <c r="J738" s="8">
        <f t="shared" si="46"/>
        <v>9118942.02</v>
      </c>
      <c r="K738" t="str">
        <f t="shared" si="47"/>
        <v>MATCHED</v>
      </c>
    </row>
    <row r="739" spans="1:11">
      <c r="A739" t="s">
        <v>104</v>
      </c>
      <c r="B739" t="s">
        <v>105</v>
      </c>
      <c r="C739" t="s">
        <v>604</v>
      </c>
      <c r="D739" t="s">
        <v>605</v>
      </c>
      <c r="E739" s="8">
        <v>320</v>
      </c>
      <c r="F739" s="8">
        <v>74470</v>
      </c>
      <c r="G739" s="8">
        <f t="shared" si="44"/>
        <v>23830400</v>
      </c>
      <c r="H739" s="5">
        <v>0.1404</v>
      </c>
      <c r="I739" s="8">
        <f t="shared" si="45"/>
        <v>23830400</v>
      </c>
      <c r="J739" s="8">
        <f t="shared" si="46"/>
        <v>3345788.16</v>
      </c>
      <c r="K739" t="str">
        <f t="shared" si="47"/>
        <v>MATCHED</v>
      </c>
    </row>
    <row r="740" spans="1:11">
      <c r="A740" t="s">
        <v>104</v>
      </c>
      <c r="B740" t="s">
        <v>105</v>
      </c>
      <c r="C740" t="s">
        <v>606</v>
      </c>
      <c r="D740" t="s">
        <v>607</v>
      </c>
      <c r="E740" s="8">
        <v>1980</v>
      </c>
      <c r="F740" s="8">
        <v>58500</v>
      </c>
      <c r="G740" s="8">
        <f t="shared" si="44"/>
        <v>115830000</v>
      </c>
      <c r="H740" s="5">
        <v>0.6783</v>
      </c>
      <c r="I740" s="8">
        <f t="shared" si="45"/>
        <v>115830000</v>
      </c>
      <c r="J740" s="8">
        <f t="shared" si="46"/>
        <v>78567489</v>
      </c>
      <c r="K740" t="str">
        <f t="shared" si="47"/>
        <v>MATCHED</v>
      </c>
    </row>
    <row r="741" spans="1:11">
      <c r="A741" t="s">
        <v>104</v>
      </c>
      <c r="B741" t="s">
        <v>105</v>
      </c>
      <c r="C741" t="s">
        <v>608</v>
      </c>
      <c r="D741" t="s">
        <v>609</v>
      </c>
      <c r="E741" s="8">
        <v>90</v>
      </c>
      <c r="F741" s="8">
        <v>93310</v>
      </c>
      <c r="G741" s="8">
        <f t="shared" si="44"/>
        <v>8397900</v>
      </c>
      <c r="H741" s="5">
        <v>0.1808</v>
      </c>
      <c r="I741" s="8">
        <f t="shared" si="45"/>
        <v>8397900</v>
      </c>
      <c r="J741" s="8">
        <f t="shared" si="46"/>
        <v>1518340.32</v>
      </c>
      <c r="K741" t="str">
        <f t="shared" si="47"/>
        <v>MATCHED</v>
      </c>
    </row>
    <row r="742" spans="1:11">
      <c r="A742" t="s">
        <v>104</v>
      </c>
      <c r="B742" t="s">
        <v>105</v>
      </c>
      <c r="C742" t="s">
        <v>610</v>
      </c>
      <c r="D742" t="s">
        <v>611</v>
      </c>
      <c r="E742" s="8">
        <v>180</v>
      </c>
      <c r="F742" s="8">
        <v>99740</v>
      </c>
      <c r="G742" s="8">
        <f t="shared" si="44"/>
        <v>17953200</v>
      </c>
      <c r="H742" s="5">
        <v>0.4662</v>
      </c>
      <c r="I742" s="8">
        <f t="shared" si="45"/>
        <v>17953200</v>
      </c>
      <c r="J742" s="8">
        <f t="shared" si="46"/>
        <v>8369781.84</v>
      </c>
      <c r="K742" t="str">
        <f t="shared" si="47"/>
        <v>MATCHED</v>
      </c>
    </row>
    <row r="743" spans="1:11">
      <c r="A743" t="s">
        <v>104</v>
      </c>
      <c r="B743" t="s">
        <v>105</v>
      </c>
      <c r="C743" t="s">
        <v>612</v>
      </c>
      <c r="D743" t="s">
        <v>613</v>
      </c>
      <c r="E743" s="8">
        <v>70</v>
      </c>
      <c r="F743" s="8">
        <v>72650</v>
      </c>
      <c r="G743" s="8">
        <f t="shared" si="44"/>
        <v>5085500</v>
      </c>
      <c r="H743" s="5">
        <v>0.2937</v>
      </c>
      <c r="I743" s="8">
        <f t="shared" si="45"/>
        <v>5085500</v>
      </c>
      <c r="J743" s="8">
        <f t="shared" si="46"/>
        <v>1493611.35</v>
      </c>
      <c r="K743" t="str">
        <f t="shared" si="47"/>
        <v>MATCHED</v>
      </c>
    </row>
    <row r="744" spans="1:11">
      <c r="A744" t="s">
        <v>104</v>
      </c>
      <c r="B744" t="s">
        <v>105</v>
      </c>
      <c r="C744" t="s">
        <v>852</v>
      </c>
      <c r="D744" t="s">
        <v>853</v>
      </c>
      <c r="E744" s="8">
        <v>90</v>
      </c>
      <c r="F744" s="8">
        <v>108270</v>
      </c>
      <c r="G744" s="8">
        <f t="shared" si="44"/>
        <v>9744300</v>
      </c>
      <c r="H744" s="5">
        <v>0.554</v>
      </c>
      <c r="I744" s="8">
        <f t="shared" si="45"/>
        <v>9744300</v>
      </c>
      <c r="J744" s="8">
        <f t="shared" si="46"/>
        <v>5398342.2</v>
      </c>
      <c r="K744" t="str">
        <f t="shared" si="47"/>
        <v>MATCHED</v>
      </c>
    </row>
    <row r="745" spans="1:11">
      <c r="A745" t="s">
        <v>104</v>
      </c>
      <c r="B745" t="s">
        <v>105</v>
      </c>
      <c r="C745" t="s">
        <v>616</v>
      </c>
      <c r="D745" t="s">
        <v>617</v>
      </c>
      <c r="E745" s="8">
        <v>370</v>
      </c>
      <c r="F745" s="8">
        <v>55170</v>
      </c>
      <c r="G745" s="8">
        <f t="shared" si="44"/>
        <v>20412900</v>
      </c>
      <c r="H745" s="5">
        <v>0.25</v>
      </c>
      <c r="I745" s="8">
        <f t="shared" si="45"/>
        <v>20412900</v>
      </c>
      <c r="J745" s="8">
        <f t="shared" si="46"/>
        <v>5103225</v>
      </c>
      <c r="K745" t="str">
        <f t="shared" si="47"/>
        <v>MATCHED</v>
      </c>
    </row>
    <row r="746" spans="1:11">
      <c r="A746" t="s">
        <v>104</v>
      </c>
      <c r="B746" t="s">
        <v>105</v>
      </c>
      <c r="C746" t="s">
        <v>618</v>
      </c>
      <c r="D746" t="s">
        <v>619</v>
      </c>
      <c r="E746" s="8">
        <v>110</v>
      </c>
      <c r="F746" s="8">
        <v>65870</v>
      </c>
      <c r="G746" s="8">
        <f t="shared" si="44"/>
        <v>7245700</v>
      </c>
      <c r="H746" s="5">
        <v>0.2635</v>
      </c>
      <c r="I746" s="8">
        <f t="shared" si="45"/>
        <v>7245700</v>
      </c>
      <c r="J746" s="8">
        <f t="shared" si="46"/>
        <v>1909241.95</v>
      </c>
      <c r="K746" t="str">
        <f t="shared" si="47"/>
        <v>MATCHED</v>
      </c>
    </row>
    <row r="747" spans="1:11">
      <c r="A747" t="s">
        <v>104</v>
      </c>
      <c r="B747" t="s">
        <v>105</v>
      </c>
      <c r="C747" t="s">
        <v>624</v>
      </c>
      <c r="D747" t="s">
        <v>625</v>
      </c>
      <c r="E747" s="8">
        <v>200</v>
      </c>
      <c r="F747" s="8">
        <v>80080</v>
      </c>
      <c r="G747" s="8">
        <f t="shared" si="44"/>
        <v>16016000</v>
      </c>
      <c r="H747" s="5">
        <v>0.5519</v>
      </c>
      <c r="I747" s="8">
        <f t="shared" si="45"/>
        <v>16016000</v>
      </c>
      <c r="J747" s="8">
        <f t="shared" si="46"/>
        <v>8839230.4</v>
      </c>
      <c r="K747" t="str">
        <f t="shared" si="47"/>
        <v>MATCHED</v>
      </c>
    </row>
    <row r="748" spans="1:11">
      <c r="A748" t="s">
        <v>104</v>
      </c>
      <c r="B748" t="s">
        <v>105</v>
      </c>
      <c r="C748" t="s">
        <v>319</v>
      </c>
      <c r="D748" t="s">
        <v>320</v>
      </c>
      <c r="E748" s="8">
        <v>23810</v>
      </c>
      <c r="F748" s="8">
        <v>95860</v>
      </c>
      <c r="G748" s="8">
        <f t="shared" si="44"/>
        <v>2282426600</v>
      </c>
      <c r="H748" s="5">
        <v>0.2786</v>
      </c>
      <c r="I748" s="8">
        <f t="shared" si="45"/>
        <v>2282426600</v>
      </c>
      <c r="J748" s="8">
        <f t="shared" si="46"/>
        <v>635884050.76</v>
      </c>
      <c r="K748" t="str">
        <f t="shared" si="47"/>
        <v>MATCHED</v>
      </c>
    </row>
    <row r="749" spans="1:11">
      <c r="A749" t="s">
        <v>104</v>
      </c>
      <c r="B749" t="s">
        <v>105</v>
      </c>
      <c r="C749" t="s">
        <v>626</v>
      </c>
      <c r="D749" t="s">
        <v>627</v>
      </c>
      <c r="E749" s="8">
        <v>2870</v>
      </c>
      <c r="F749" s="8">
        <v>76460</v>
      </c>
      <c r="G749" s="8">
        <f t="shared" si="44"/>
        <v>219440200</v>
      </c>
      <c r="H749" s="5">
        <v>0.2712</v>
      </c>
      <c r="I749" s="8">
        <f t="shared" si="45"/>
        <v>219440200</v>
      </c>
      <c r="J749" s="8">
        <f t="shared" si="46"/>
        <v>59512182.24</v>
      </c>
      <c r="K749" t="str">
        <f t="shared" si="47"/>
        <v>MATCHED</v>
      </c>
    </row>
    <row r="750" spans="1:11">
      <c r="A750" t="s">
        <v>104</v>
      </c>
      <c r="B750" t="s">
        <v>105</v>
      </c>
      <c r="C750" t="s">
        <v>940</v>
      </c>
      <c r="D750" t="s">
        <v>941</v>
      </c>
      <c r="E750" s="8">
        <v>100</v>
      </c>
      <c r="F750" s="8"/>
      <c r="G750" s="8" t="str">
        <f t="shared" si="44"/>
        <v/>
      </c>
      <c r="H750" s="5">
        <v>0.4</v>
      </c>
      <c r="I750" s="8" t="str">
        <f t="shared" si="45"/>
        <v/>
      </c>
      <c r="J750" s="8" t="str">
        <f t="shared" si="46"/>
        <v/>
      </c>
      <c r="K750" t="str">
        <f t="shared" si="47"/>
        <v>MISSING OEWS</v>
      </c>
    </row>
    <row r="751" spans="1:11">
      <c r="A751" t="s">
        <v>104</v>
      </c>
      <c r="B751" t="s">
        <v>105</v>
      </c>
      <c r="C751" t="s">
        <v>942</v>
      </c>
      <c r="D751" t="s">
        <v>943</v>
      </c>
      <c r="E751" s="8">
        <v>80</v>
      </c>
      <c r="F751" s="8">
        <v>56040</v>
      </c>
      <c r="G751" s="8">
        <f t="shared" si="44"/>
        <v>4483200</v>
      </c>
      <c r="H751" s="5"/>
      <c r="I751" s="8" t="str">
        <f t="shared" si="45"/>
        <v/>
      </c>
      <c r="J751" s="8" t="str">
        <f t="shared" si="46"/>
        <v/>
      </c>
      <c r="K751" t="str">
        <f t="shared" si="47"/>
        <v>MISSING WHARTON</v>
      </c>
    </row>
    <row r="752" spans="1:11">
      <c r="A752" t="s">
        <v>104</v>
      </c>
      <c r="B752" t="s">
        <v>105</v>
      </c>
      <c r="C752" t="s">
        <v>628</v>
      </c>
      <c r="D752" t="s">
        <v>629</v>
      </c>
      <c r="E752" s="8">
        <v>2170</v>
      </c>
      <c r="F752" s="8">
        <v>195210</v>
      </c>
      <c r="G752" s="8">
        <f t="shared" si="44"/>
        <v>423605700</v>
      </c>
      <c r="H752" s="5">
        <v>0.45</v>
      </c>
      <c r="I752" s="8">
        <f t="shared" si="45"/>
        <v>423605700</v>
      </c>
      <c r="J752" s="8">
        <f t="shared" si="46"/>
        <v>190622565</v>
      </c>
      <c r="K752" t="str">
        <f t="shared" si="47"/>
        <v>MATCHED</v>
      </c>
    </row>
    <row r="753" spans="1:11">
      <c r="A753" t="s">
        <v>104</v>
      </c>
      <c r="B753" t="s">
        <v>105</v>
      </c>
      <c r="C753" t="s">
        <v>630</v>
      </c>
      <c r="D753" t="s">
        <v>631</v>
      </c>
      <c r="E753" s="8">
        <v>390</v>
      </c>
      <c r="F753" s="8">
        <v>88120</v>
      </c>
      <c r="G753" s="8">
        <f t="shared" si="44"/>
        <v>34366800</v>
      </c>
      <c r="H753" s="5">
        <v>0.5917</v>
      </c>
      <c r="I753" s="8">
        <f t="shared" si="45"/>
        <v>34366800</v>
      </c>
      <c r="J753" s="8">
        <f t="shared" si="46"/>
        <v>20334835.56</v>
      </c>
      <c r="K753" t="str">
        <f t="shared" si="47"/>
        <v>MATCHED</v>
      </c>
    </row>
    <row r="754" spans="1:11">
      <c r="A754" t="s">
        <v>104</v>
      </c>
      <c r="B754" t="s">
        <v>105</v>
      </c>
      <c r="C754" t="s">
        <v>632</v>
      </c>
      <c r="D754" t="s">
        <v>633</v>
      </c>
      <c r="E754" s="8">
        <v>320</v>
      </c>
      <c r="F754" s="8">
        <v>77080</v>
      </c>
      <c r="G754" s="8">
        <f t="shared" si="44"/>
        <v>24665600</v>
      </c>
      <c r="H754" s="5">
        <v>0.8794</v>
      </c>
      <c r="I754" s="8">
        <f t="shared" si="45"/>
        <v>24665600</v>
      </c>
      <c r="J754" s="8">
        <f t="shared" si="46"/>
        <v>21690928.64</v>
      </c>
      <c r="K754" t="str">
        <f t="shared" si="47"/>
        <v>MATCHED</v>
      </c>
    </row>
    <row r="755" spans="1:11">
      <c r="A755" t="s">
        <v>104</v>
      </c>
      <c r="B755" t="s">
        <v>105</v>
      </c>
      <c r="C755" t="s">
        <v>634</v>
      </c>
      <c r="D755" t="s">
        <v>635</v>
      </c>
      <c r="E755" s="8">
        <v>30</v>
      </c>
      <c r="F755" s="8">
        <v>75610</v>
      </c>
      <c r="G755" s="8">
        <f t="shared" si="44"/>
        <v>2268300</v>
      </c>
      <c r="H755" s="5"/>
      <c r="I755" s="8" t="str">
        <f t="shared" si="45"/>
        <v/>
      </c>
      <c r="J755" s="8" t="str">
        <f t="shared" si="46"/>
        <v/>
      </c>
      <c r="K755" t="str">
        <f t="shared" si="47"/>
        <v>MISSING WHARTON</v>
      </c>
    </row>
    <row r="756" spans="1:11">
      <c r="A756" t="s">
        <v>104</v>
      </c>
      <c r="B756" t="s">
        <v>105</v>
      </c>
      <c r="C756" t="s">
        <v>944</v>
      </c>
      <c r="D756" t="s">
        <v>945</v>
      </c>
      <c r="E756" s="8"/>
      <c r="F756" s="8">
        <v>113990</v>
      </c>
      <c r="G756" s="8" t="str">
        <f t="shared" si="44"/>
        <v/>
      </c>
      <c r="H756" s="5">
        <v>0.5783</v>
      </c>
      <c r="I756" s="8" t="str">
        <f t="shared" si="45"/>
        <v/>
      </c>
      <c r="J756" s="8" t="str">
        <f t="shared" si="46"/>
        <v/>
      </c>
      <c r="K756" t="str">
        <f t="shared" si="47"/>
        <v>MISSING OEWS</v>
      </c>
    </row>
    <row r="757" spans="1:11">
      <c r="A757" t="s">
        <v>104</v>
      </c>
      <c r="B757" t="s">
        <v>105</v>
      </c>
      <c r="C757" t="s">
        <v>946</v>
      </c>
      <c r="D757" t="s">
        <v>947</v>
      </c>
      <c r="E757" s="8"/>
      <c r="F757" s="8">
        <v>140890</v>
      </c>
      <c r="G757" s="8" t="str">
        <f t="shared" si="44"/>
        <v/>
      </c>
      <c r="H757" s="5">
        <v>0.3688</v>
      </c>
      <c r="I757" s="8" t="str">
        <f t="shared" si="45"/>
        <v/>
      </c>
      <c r="J757" s="8" t="str">
        <f t="shared" si="46"/>
        <v/>
      </c>
      <c r="K757" t="str">
        <f t="shared" si="47"/>
        <v>MISSING OEWS</v>
      </c>
    </row>
    <row r="758" spans="1:11">
      <c r="A758" t="s">
        <v>104</v>
      </c>
      <c r="B758" t="s">
        <v>105</v>
      </c>
      <c r="C758" t="s">
        <v>948</v>
      </c>
      <c r="D758" t="s">
        <v>949</v>
      </c>
      <c r="E758" s="8"/>
      <c r="F758" s="8">
        <v>64650</v>
      </c>
      <c r="G758" s="8" t="str">
        <f t="shared" si="44"/>
        <v/>
      </c>
      <c r="H758" s="5">
        <v>0.2281</v>
      </c>
      <c r="I758" s="8" t="str">
        <f t="shared" si="45"/>
        <v/>
      </c>
      <c r="J758" s="8" t="str">
        <f t="shared" si="46"/>
        <v/>
      </c>
      <c r="K758" t="str">
        <f t="shared" si="47"/>
        <v>MISSING OEWS</v>
      </c>
    </row>
    <row r="759" spans="1:11">
      <c r="A759" t="s">
        <v>104</v>
      </c>
      <c r="B759" t="s">
        <v>105</v>
      </c>
      <c r="C759" t="s">
        <v>950</v>
      </c>
      <c r="D759" t="s">
        <v>951</v>
      </c>
      <c r="E759" s="8"/>
      <c r="F759" s="8">
        <v>82100</v>
      </c>
      <c r="G759" s="8" t="str">
        <f t="shared" si="44"/>
        <v/>
      </c>
      <c r="H759" s="5"/>
      <c r="I759" s="8" t="str">
        <f t="shared" si="45"/>
        <v/>
      </c>
      <c r="J759" s="8" t="str">
        <f t="shared" si="46"/>
        <v/>
      </c>
      <c r="K759" t="str">
        <f t="shared" si="47"/>
        <v>MISSING OEWS</v>
      </c>
    </row>
    <row r="760" spans="1:11">
      <c r="A760" t="s">
        <v>104</v>
      </c>
      <c r="B760" t="s">
        <v>105</v>
      </c>
      <c r="C760" t="s">
        <v>952</v>
      </c>
      <c r="D760" t="s">
        <v>953</v>
      </c>
      <c r="E760" s="8">
        <v>900</v>
      </c>
      <c r="F760" s="8">
        <v>82850</v>
      </c>
      <c r="G760" s="8">
        <f t="shared" si="44"/>
        <v>74565000</v>
      </c>
      <c r="H760" s="5">
        <v>0.3029</v>
      </c>
      <c r="I760" s="8">
        <f t="shared" si="45"/>
        <v>74565000</v>
      </c>
      <c r="J760" s="8">
        <f t="shared" si="46"/>
        <v>22585738.5</v>
      </c>
      <c r="K760" t="str">
        <f t="shared" si="47"/>
        <v>MATCHED</v>
      </c>
    </row>
    <row r="761" spans="1:11">
      <c r="A761" t="s">
        <v>104</v>
      </c>
      <c r="B761" t="s">
        <v>105</v>
      </c>
      <c r="C761" t="s">
        <v>858</v>
      </c>
      <c r="D761" t="s">
        <v>859</v>
      </c>
      <c r="E761" s="8">
        <v>1120</v>
      </c>
      <c r="F761" s="8">
        <v>68090</v>
      </c>
      <c r="G761" s="8">
        <f t="shared" si="44"/>
        <v>76260800</v>
      </c>
      <c r="H761" s="5">
        <v>0.7375</v>
      </c>
      <c r="I761" s="8">
        <f t="shared" si="45"/>
        <v>76260800</v>
      </c>
      <c r="J761" s="8">
        <f t="shared" si="46"/>
        <v>56242340</v>
      </c>
      <c r="K761" t="str">
        <f t="shared" si="47"/>
        <v>MATCHED</v>
      </c>
    </row>
    <row r="762" spans="1:11">
      <c r="A762" t="s">
        <v>104</v>
      </c>
      <c r="B762" t="s">
        <v>105</v>
      </c>
      <c r="C762" t="s">
        <v>954</v>
      </c>
      <c r="D762" t="s">
        <v>955</v>
      </c>
      <c r="E762" s="8">
        <v>6230</v>
      </c>
      <c r="F762" s="8">
        <v>70350</v>
      </c>
      <c r="G762" s="8">
        <f t="shared" si="44"/>
        <v>438280500</v>
      </c>
      <c r="H762" s="5">
        <v>0.3133</v>
      </c>
      <c r="I762" s="8">
        <f t="shared" si="45"/>
        <v>438280500</v>
      </c>
      <c r="J762" s="8">
        <f t="shared" si="46"/>
        <v>137313280.65</v>
      </c>
      <c r="K762" t="str">
        <f t="shared" si="47"/>
        <v>MATCHED</v>
      </c>
    </row>
    <row r="763" spans="1:11">
      <c r="A763" t="s">
        <v>104</v>
      </c>
      <c r="B763" t="s">
        <v>105</v>
      </c>
      <c r="C763" t="s">
        <v>956</v>
      </c>
      <c r="D763" t="s">
        <v>957</v>
      </c>
      <c r="E763" s="8"/>
      <c r="F763" s="8">
        <v>39080</v>
      </c>
      <c r="G763" s="8" t="str">
        <f t="shared" si="44"/>
        <v/>
      </c>
      <c r="H763" s="5">
        <v>0.038</v>
      </c>
      <c r="I763" s="8" t="str">
        <f t="shared" si="45"/>
        <v/>
      </c>
      <c r="J763" s="8" t="str">
        <f t="shared" si="46"/>
        <v/>
      </c>
      <c r="K763" t="str">
        <f t="shared" si="47"/>
        <v>MISSING OEWS</v>
      </c>
    </row>
    <row r="764" spans="1:11">
      <c r="A764" t="s">
        <v>104</v>
      </c>
      <c r="B764" t="s">
        <v>105</v>
      </c>
      <c r="C764" t="s">
        <v>958</v>
      </c>
      <c r="D764" t="s">
        <v>959</v>
      </c>
      <c r="E764" s="8">
        <v>930</v>
      </c>
      <c r="F764" s="8">
        <v>77220</v>
      </c>
      <c r="G764" s="8">
        <f t="shared" si="44"/>
        <v>71814600</v>
      </c>
      <c r="H764" s="5"/>
      <c r="I764" s="8" t="str">
        <f t="shared" si="45"/>
        <v/>
      </c>
      <c r="J764" s="8" t="str">
        <f t="shared" si="46"/>
        <v/>
      </c>
      <c r="K764" t="str">
        <f t="shared" si="47"/>
        <v>MISSING WHARTON</v>
      </c>
    </row>
    <row r="765" spans="1:11">
      <c r="A765" t="s">
        <v>104</v>
      </c>
      <c r="B765" t="s">
        <v>105</v>
      </c>
      <c r="C765" t="s">
        <v>960</v>
      </c>
      <c r="D765" t="s">
        <v>961</v>
      </c>
      <c r="E765" s="8">
        <v>50</v>
      </c>
      <c r="F765" s="8">
        <v>89780</v>
      </c>
      <c r="G765" s="8">
        <f t="shared" si="44"/>
        <v>4489000</v>
      </c>
      <c r="H765" s="5">
        <v>0.3463</v>
      </c>
      <c r="I765" s="8">
        <f t="shared" si="45"/>
        <v>4489000</v>
      </c>
      <c r="J765" s="8">
        <f t="shared" si="46"/>
        <v>1554540.7</v>
      </c>
      <c r="K765" t="str">
        <f t="shared" si="47"/>
        <v>MATCHED</v>
      </c>
    </row>
    <row r="766" spans="1:11">
      <c r="A766" t="s">
        <v>104</v>
      </c>
      <c r="B766" t="s">
        <v>105</v>
      </c>
      <c r="C766" t="s">
        <v>323</v>
      </c>
      <c r="D766" t="s">
        <v>324</v>
      </c>
      <c r="E766" s="8">
        <v>2000</v>
      </c>
      <c r="F766" s="8">
        <v>62440</v>
      </c>
      <c r="G766" s="8">
        <f t="shared" si="44"/>
        <v>124880000</v>
      </c>
      <c r="H766" s="5">
        <v>0.575</v>
      </c>
      <c r="I766" s="8">
        <f t="shared" si="45"/>
        <v>124880000</v>
      </c>
      <c r="J766" s="8">
        <f t="shared" si="46"/>
        <v>71806000</v>
      </c>
      <c r="K766" t="str">
        <f t="shared" si="47"/>
        <v>MATCHED</v>
      </c>
    </row>
    <row r="767" spans="1:11">
      <c r="A767" t="s">
        <v>104</v>
      </c>
      <c r="B767" t="s">
        <v>105</v>
      </c>
      <c r="C767" t="s">
        <v>636</v>
      </c>
      <c r="D767" t="s">
        <v>637</v>
      </c>
      <c r="E767" s="8"/>
      <c r="F767" s="8">
        <v>87820</v>
      </c>
      <c r="G767" s="8" t="str">
        <f t="shared" si="44"/>
        <v/>
      </c>
      <c r="H767" s="5">
        <v>0.71</v>
      </c>
      <c r="I767" s="8" t="str">
        <f t="shared" si="45"/>
        <v/>
      </c>
      <c r="J767" s="8" t="str">
        <f t="shared" si="46"/>
        <v/>
      </c>
      <c r="K767" t="str">
        <f t="shared" si="47"/>
        <v>MISSING OEWS</v>
      </c>
    </row>
    <row r="768" spans="1:11">
      <c r="A768" t="s">
        <v>104</v>
      </c>
      <c r="B768" t="s">
        <v>105</v>
      </c>
      <c r="C768" t="s">
        <v>962</v>
      </c>
      <c r="D768" t="s">
        <v>963</v>
      </c>
      <c r="E768" s="8">
        <v>1220</v>
      </c>
      <c r="F768" s="8">
        <v>58420</v>
      </c>
      <c r="G768" s="8">
        <f t="shared" si="44"/>
        <v>71272400</v>
      </c>
      <c r="H768" s="5">
        <v>0.5483</v>
      </c>
      <c r="I768" s="8">
        <f t="shared" si="45"/>
        <v>71272400</v>
      </c>
      <c r="J768" s="8">
        <f t="shared" si="46"/>
        <v>39078656.92</v>
      </c>
      <c r="K768" t="str">
        <f t="shared" si="47"/>
        <v>MATCHED</v>
      </c>
    </row>
    <row r="769" spans="1:11">
      <c r="A769" t="s">
        <v>104</v>
      </c>
      <c r="B769" t="s">
        <v>105</v>
      </c>
      <c r="C769" t="s">
        <v>964</v>
      </c>
      <c r="D769" t="s">
        <v>965</v>
      </c>
      <c r="E769" s="8"/>
      <c r="F769" s="8">
        <v>80180</v>
      </c>
      <c r="G769" s="8" t="str">
        <f t="shared" si="44"/>
        <v/>
      </c>
      <c r="H769" s="5">
        <v>0.5607</v>
      </c>
      <c r="I769" s="8" t="str">
        <f t="shared" si="45"/>
        <v/>
      </c>
      <c r="J769" s="8" t="str">
        <f t="shared" si="46"/>
        <v/>
      </c>
      <c r="K769" t="str">
        <f t="shared" si="47"/>
        <v>MISSING OEWS</v>
      </c>
    </row>
    <row r="770" spans="1:11">
      <c r="A770" t="s">
        <v>104</v>
      </c>
      <c r="B770" t="s">
        <v>105</v>
      </c>
      <c r="C770" t="s">
        <v>966</v>
      </c>
      <c r="D770" t="s">
        <v>967</v>
      </c>
      <c r="E770" s="8">
        <v>650</v>
      </c>
      <c r="F770" s="8">
        <v>58090</v>
      </c>
      <c r="G770" s="8">
        <f t="shared" ref="G770:G833" si="48">IF(OR(E770="",F770=""),"",E770*F770)</f>
        <v>37758500</v>
      </c>
      <c r="H770" s="5">
        <v>0.0594</v>
      </c>
      <c r="I770" s="8">
        <f t="shared" ref="I770:I833" si="49">IF(G770="","",IF(ISNUMBER(H770),G770,""))</f>
        <v>37758500</v>
      </c>
      <c r="J770" s="8">
        <f t="shared" ref="J770:J833" si="50">IF(I770="","",I770*H770)</f>
        <v>2242854.9</v>
      </c>
      <c r="K770" t="str">
        <f t="shared" ref="K770:K833" si="51">IF(G770="","MISSING OEWS",IF(ISNUMBER(H770),"MATCHED","MISSING WHARTON"))</f>
        <v>MATCHED</v>
      </c>
    </row>
    <row r="771" spans="1:11">
      <c r="A771" t="s">
        <v>104</v>
      </c>
      <c r="B771" t="s">
        <v>105</v>
      </c>
      <c r="C771" t="s">
        <v>968</v>
      </c>
      <c r="D771" t="s">
        <v>969</v>
      </c>
      <c r="E771" s="8">
        <v>40</v>
      </c>
      <c r="F771" s="8">
        <v>69750</v>
      </c>
      <c r="G771" s="8">
        <f t="shared" si="48"/>
        <v>2790000</v>
      </c>
      <c r="H771" s="5">
        <v>0.3207</v>
      </c>
      <c r="I771" s="8">
        <f t="shared" si="49"/>
        <v>2790000</v>
      </c>
      <c r="J771" s="8">
        <f t="shared" si="50"/>
        <v>894753</v>
      </c>
      <c r="K771" t="str">
        <f t="shared" si="51"/>
        <v>MATCHED</v>
      </c>
    </row>
    <row r="772" spans="1:11">
      <c r="A772" t="s">
        <v>104</v>
      </c>
      <c r="B772" t="s">
        <v>105</v>
      </c>
      <c r="C772" t="s">
        <v>970</v>
      </c>
      <c r="D772" t="s">
        <v>971</v>
      </c>
      <c r="E772" s="8">
        <v>60</v>
      </c>
      <c r="F772" s="8">
        <v>74430</v>
      </c>
      <c r="G772" s="8">
        <f t="shared" si="48"/>
        <v>4465800</v>
      </c>
      <c r="H772" s="5">
        <v>0.3458</v>
      </c>
      <c r="I772" s="8">
        <f t="shared" si="49"/>
        <v>4465800</v>
      </c>
      <c r="J772" s="8">
        <f t="shared" si="50"/>
        <v>1544273.64</v>
      </c>
      <c r="K772" t="str">
        <f t="shared" si="51"/>
        <v>MATCHED</v>
      </c>
    </row>
    <row r="773" spans="1:11">
      <c r="A773" t="s">
        <v>104</v>
      </c>
      <c r="B773" t="s">
        <v>105</v>
      </c>
      <c r="C773" t="s">
        <v>972</v>
      </c>
      <c r="D773" t="s">
        <v>973</v>
      </c>
      <c r="E773" s="8">
        <v>170</v>
      </c>
      <c r="F773" s="8">
        <v>39970</v>
      </c>
      <c r="G773" s="8">
        <f t="shared" si="48"/>
        <v>6794900</v>
      </c>
      <c r="H773" s="5">
        <v>0.118</v>
      </c>
      <c r="I773" s="8">
        <f t="shared" si="49"/>
        <v>6794900</v>
      </c>
      <c r="J773" s="8">
        <f t="shared" si="50"/>
        <v>801798.2</v>
      </c>
      <c r="K773" t="str">
        <f t="shared" si="51"/>
        <v>MATCHED</v>
      </c>
    </row>
    <row r="774" spans="1:11">
      <c r="A774" t="s">
        <v>104</v>
      </c>
      <c r="B774" t="s">
        <v>105</v>
      </c>
      <c r="C774" t="s">
        <v>864</v>
      </c>
      <c r="D774" t="s">
        <v>865</v>
      </c>
      <c r="E774" s="8">
        <v>40</v>
      </c>
      <c r="F774" s="8">
        <v>70720</v>
      </c>
      <c r="G774" s="8">
        <f t="shared" si="48"/>
        <v>2828800</v>
      </c>
      <c r="H774" s="5">
        <v>0.2267</v>
      </c>
      <c r="I774" s="8">
        <f t="shared" si="49"/>
        <v>2828800</v>
      </c>
      <c r="J774" s="8">
        <f t="shared" si="50"/>
        <v>641288.96</v>
      </c>
      <c r="K774" t="str">
        <f t="shared" si="51"/>
        <v>MATCHED</v>
      </c>
    </row>
    <row r="775" spans="1:11">
      <c r="A775" t="s">
        <v>104</v>
      </c>
      <c r="B775" t="s">
        <v>105</v>
      </c>
      <c r="C775" t="s">
        <v>644</v>
      </c>
      <c r="D775" t="s">
        <v>645</v>
      </c>
      <c r="E775" s="8">
        <v>30</v>
      </c>
      <c r="F775" s="8">
        <v>74120</v>
      </c>
      <c r="G775" s="8">
        <f t="shared" si="48"/>
        <v>2223600</v>
      </c>
      <c r="H775" s="5">
        <v>0.3929</v>
      </c>
      <c r="I775" s="8">
        <f t="shared" si="49"/>
        <v>2223600</v>
      </c>
      <c r="J775" s="8">
        <f t="shared" si="50"/>
        <v>873652.44</v>
      </c>
      <c r="K775" t="str">
        <f t="shared" si="51"/>
        <v>MATCHED</v>
      </c>
    </row>
    <row r="776" spans="1:11">
      <c r="A776" t="s">
        <v>104</v>
      </c>
      <c r="B776" t="s">
        <v>105</v>
      </c>
      <c r="C776" t="s">
        <v>866</v>
      </c>
      <c r="D776" t="s">
        <v>867</v>
      </c>
      <c r="E776" s="8">
        <v>340</v>
      </c>
      <c r="F776" s="8">
        <v>80920</v>
      </c>
      <c r="G776" s="8">
        <f t="shared" si="48"/>
        <v>27512800</v>
      </c>
      <c r="H776" s="5"/>
      <c r="I776" s="8" t="str">
        <f t="shared" si="49"/>
        <v/>
      </c>
      <c r="J776" s="8" t="str">
        <f t="shared" si="50"/>
        <v/>
      </c>
      <c r="K776" t="str">
        <f t="shared" si="51"/>
        <v>MISSING WHARTON</v>
      </c>
    </row>
    <row r="777" spans="1:11">
      <c r="A777" t="s">
        <v>104</v>
      </c>
      <c r="B777" t="s">
        <v>105</v>
      </c>
      <c r="C777" t="s">
        <v>974</v>
      </c>
      <c r="D777" t="s">
        <v>975</v>
      </c>
      <c r="E777" s="8"/>
      <c r="F777" s="8">
        <v>55690</v>
      </c>
      <c r="G777" s="8" t="str">
        <f t="shared" si="48"/>
        <v/>
      </c>
      <c r="H777" s="5">
        <v>0.125</v>
      </c>
      <c r="I777" s="8" t="str">
        <f t="shared" si="49"/>
        <v/>
      </c>
      <c r="J777" s="8" t="str">
        <f t="shared" si="50"/>
        <v/>
      </c>
      <c r="K777" t="str">
        <f t="shared" si="51"/>
        <v>MISSING OEWS</v>
      </c>
    </row>
    <row r="778" spans="1:11">
      <c r="A778" t="s">
        <v>104</v>
      </c>
      <c r="B778" t="s">
        <v>105</v>
      </c>
      <c r="C778" t="s">
        <v>329</v>
      </c>
      <c r="D778" t="s">
        <v>330</v>
      </c>
      <c r="E778" s="8">
        <v>1520</v>
      </c>
      <c r="F778" s="8">
        <v>49940</v>
      </c>
      <c r="G778" s="8">
        <f t="shared" si="48"/>
        <v>75908800</v>
      </c>
      <c r="H778" s="5">
        <v>0.1357</v>
      </c>
      <c r="I778" s="8">
        <f t="shared" si="49"/>
        <v>75908800</v>
      </c>
      <c r="J778" s="8">
        <f t="shared" si="50"/>
        <v>10300824.16</v>
      </c>
      <c r="K778" t="str">
        <f t="shared" si="51"/>
        <v>MATCHED</v>
      </c>
    </row>
    <row r="779" spans="1:11">
      <c r="A779" t="s">
        <v>104</v>
      </c>
      <c r="B779" t="s">
        <v>105</v>
      </c>
      <c r="C779" t="s">
        <v>976</v>
      </c>
      <c r="D779" t="s">
        <v>977</v>
      </c>
      <c r="E779" s="8">
        <v>6060</v>
      </c>
      <c r="F779" s="8">
        <v>52490</v>
      </c>
      <c r="G779" s="8">
        <f t="shared" si="48"/>
        <v>318089400</v>
      </c>
      <c r="H779" s="5">
        <v>0</v>
      </c>
      <c r="I779" s="8">
        <f t="shared" si="49"/>
        <v>318089400</v>
      </c>
      <c r="J779" s="8">
        <f t="shared" si="50"/>
        <v>0</v>
      </c>
      <c r="K779" t="str">
        <f t="shared" si="51"/>
        <v>MATCHED</v>
      </c>
    </row>
    <row r="780" spans="1:11">
      <c r="A780" t="s">
        <v>104</v>
      </c>
      <c r="B780" t="s">
        <v>105</v>
      </c>
      <c r="C780" t="s">
        <v>872</v>
      </c>
      <c r="D780" t="s">
        <v>873</v>
      </c>
      <c r="E780" s="8">
        <v>30</v>
      </c>
      <c r="F780" s="8">
        <v>47310</v>
      </c>
      <c r="G780" s="8">
        <f t="shared" si="48"/>
        <v>1419300</v>
      </c>
      <c r="H780" s="5">
        <v>0.3357</v>
      </c>
      <c r="I780" s="8">
        <f t="shared" si="49"/>
        <v>1419300</v>
      </c>
      <c r="J780" s="8">
        <f t="shared" si="50"/>
        <v>476459.01</v>
      </c>
      <c r="K780" t="str">
        <f t="shared" si="51"/>
        <v>MATCHED</v>
      </c>
    </row>
    <row r="781" spans="1:11">
      <c r="A781" t="s">
        <v>104</v>
      </c>
      <c r="B781" t="s">
        <v>105</v>
      </c>
      <c r="C781" t="s">
        <v>978</v>
      </c>
      <c r="D781" t="s">
        <v>979</v>
      </c>
      <c r="E781" s="8">
        <v>140</v>
      </c>
      <c r="F781" s="8">
        <v>69410</v>
      </c>
      <c r="G781" s="8">
        <f t="shared" si="48"/>
        <v>9717400</v>
      </c>
      <c r="H781" s="5">
        <v>0.281</v>
      </c>
      <c r="I781" s="8">
        <f t="shared" si="49"/>
        <v>9717400</v>
      </c>
      <c r="J781" s="8">
        <f t="shared" si="50"/>
        <v>2730589.4</v>
      </c>
      <c r="K781" t="str">
        <f t="shared" si="51"/>
        <v>MATCHED</v>
      </c>
    </row>
    <row r="782" spans="1:11">
      <c r="A782" t="s">
        <v>104</v>
      </c>
      <c r="B782" t="s">
        <v>105</v>
      </c>
      <c r="C782" t="s">
        <v>980</v>
      </c>
      <c r="D782" t="s">
        <v>981</v>
      </c>
      <c r="E782" s="8">
        <v>100</v>
      </c>
      <c r="F782" s="8">
        <v>47830</v>
      </c>
      <c r="G782" s="8">
        <f t="shared" si="48"/>
        <v>4783000</v>
      </c>
      <c r="H782" s="5">
        <v>0.4173</v>
      </c>
      <c r="I782" s="8">
        <f t="shared" si="49"/>
        <v>4783000</v>
      </c>
      <c r="J782" s="8">
        <f t="shared" si="50"/>
        <v>1995945.9</v>
      </c>
      <c r="K782" t="str">
        <f t="shared" si="51"/>
        <v>MATCHED</v>
      </c>
    </row>
    <row r="783" spans="1:11">
      <c r="A783" t="s">
        <v>104</v>
      </c>
      <c r="B783" t="s">
        <v>105</v>
      </c>
      <c r="C783" t="s">
        <v>982</v>
      </c>
      <c r="D783" t="s">
        <v>983</v>
      </c>
      <c r="E783" s="8">
        <v>810</v>
      </c>
      <c r="F783" s="8">
        <v>25960</v>
      </c>
      <c r="G783" s="8">
        <f t="shared" si="48"/>
        <v>21027600</v>
      </c>
      <c r="H783" s="5">
        <v>0.25</v>
      </c>
      <c r="I783" s="8">
        <f t="shared" si="49"/>
        <v>21027600</v>
      </c>
      <c r="J783" s="8">
        <f t="shared" si="50"/>
        <v>5256900</v>
      </c>
      <c r="K783" t="str">
        <f t="shared" si="51"/>
        <v>MATCHED</v>
      </c>
    </row>
    <row r="784" spans="1:11">
      <c r="A784" t="s">
        <v>104</v>
      </c>
      <c r="B784" t="s">
        <v>105</v>
      </c>
      <c r="C784" t="s">
        <v>984</v>
      </c>
      <c r="D784" t="s">
        <v>985</v>
      </c>
      <c r="E784" s="8">
        <v>100</v>
      </c>
      <c r="F784" s="8">
        <v>42400</v>
      </c>
      <c r="G784" s="8">
        <f t="shared" si="48"/>
        <v>4240000</v>
      </c>
      <c r="H784" s="5">
        <v>0.1175</v>
      </c>
      <c r="I784" s="8">
        <f t="shared" si="49"/>
        <v>4240000</v>
      </c>
      <c r="J784" s="8">
        <f t="shared" si="50"/>
        <v>498200</v>
      </c>
      <c r="K784" t="str">
        <f t="shared" si="51"/>
        <v>MATCHED</v>
      </c>
    </row>
    <row r="785" spans="1:11">
      <c r="A785" t="s">
        <v>104</v>
      </c>
      <c r="B785" t="s">
        <v>105</v>
      </c>
      <c r="C785" t="s">
        <v>986</v>
      </c>
      <c r="D785" t="s">
        <v>987</v>
      </c>
      <c r="E785" s="8">
        <v>110</v>
      </c>
      <c r="F785" s="8">
        <v>33510</v>
      </c>
      <c r="G785" s="8">
        <f t="shared" si="48"/>
        <v>3686100</v>
      </c>
      <c r="H785" s="5">
        <v>0.0613</v>
      </c>
      <c r="I785" s="8">
        <f t="shared" si="49"/>
        <v>3686100</v>
      </c>
      <c r="J785" s="8">
        <f t="shared" si="50"/>
        <v>225957.93</v>
      </c>
      <c r="K785" t="str">
        <f t="shared" si="51"/>
        <v>MATCHED</v>
      </c>
    </row>
    <row r="786" spans="1:11">
      <c r="A786" t="s">
        <v>104</v>
      </c>
      <c r="B786" t="s">
        <v>105</v>
      </c>
      <c r="C786" t="s">
        <v>988</v>
      </c>
      <c r="D786" t="s">
        <v>989</v>
      </c>
      <c r="E786" s="8"/>
      <c r="F786" s="8">
        <v>33650</v>
      </c>
      <c r="G786" s="8" t="str">
        <f t="shared" si="48"/>
        <v/>
      </c>
      <c r="H786" s="5">
        <v>0.2031</v>
      </c>
      <c r="I786" s="8" t="str">
        <f t="shared" si="49"/>
        <v/>
      </c>
      <c r="J786" s="8" t="str">
        <f t="shared" si="50"/>
        <v/>
      </c>
      <c r="K786" t="str">
        <f t="shared" si="51"/>
        <v>MISSING OEWS</v>
      </c>
    </row>
    <row r="787" spans="1:11">
      <c r="A787" t="s">
        <v>104</v>
      </c>
      <c r="B787" t="s">
        <v>105</v>
      </c>
      <c r="C787" t="s">
        <v>990</v>
      </c>
      <c r="D787" t="s">
        <v>991</v>
      </c>
      <c r="E787" s="8">
        <v>40</v>
      </c>
      <c r="F787" s="8">
        <v>37930</v>
      </c>
      <c r="G787" s="8">
        <f t="shared" si="48"/>
        <v>1517200</v>
      </c>
      <c r="H787" s="5">
        <v>0.152</v>
      </c>
      <c r="I787" s="8">
        <f t="shared" si="49"/>
        <v>1517200</v>
      </c>
      <c r="J787" s="8">
        <f t="shared" si="50"/>
        <v>230614.4</v>
      </c>
      <c r="K787" t="str">
        <f t="shared" si="51"/>
        <v>MATCHED</v>
      </c>
    </row>
    <row r="788" spans="1:11">
      <c r="A788" t="s">
        <v>104</v>
      </c>
      <c r="B788" t="s">
        <v>105</v>
      </c>
      <c r="C788" t="s">
        <v>331</v>
      </c>
      <c r="D788" t="s">
        <v>332</v>
      </c>
      <c r="E788" s="8">
        <v>1100</v>
      </c>
      <c r="F788" s="8">
        <v>69280</v>
      </c>
      <c r="G788" s="8">
        <f t="shared" si="48"/>
        <v>76208000</v>
      </c>
      <c r="H788" s="5">
        <v>0.2269</v>
      </c>
      <c r="I788" s="8">
        <f t="shared" si="49"/>
        <v>76208000</v>
      </c>
      <c r="J788" s="8">
        <f t="shared" si="50"/>
        <v>17291595.2</v>
      </c>
      <c r="K788" t="str">
        <f t="shared" si="51"/>
        <v>MATCHED</v>
      </c>
    </row>
    <row r="789" spans="1:11">
      <c r="A789" t="s">
        <v>104</v>
      </c>
      <c r="B789" t="s">
        <v>105</v>
      </c>
      <c r="C789" t="s">
        <v>333</v>
      </c>
      <c r="D789" t="s">
        <v>334</v>
      </c>
      <c r="E789" s="8">
        <v>1720</v>
      </c>
      <c r="F789" s="8">
        <v>63240</v>
      </c>
      <c r="G789" s="8">
        <f t="shared" si="48"/>
        <v>108772800</v>
      </c>
      <c r="H789" s="5">
        <v>0.2357</v>
      </c>
      <c r="I789" s="8">
        <f t="shared" si="49"/>
        <v>108772800</v>
      </c>
      <c r="J789" s="8">
        <f t="shared" si="50"/>
        <v>25637748.96</v>
      </c>
      <c r="K789" t="str">
        <f t="shared" si="51"/>
        <v>MATCHED</v>
      </c>
    </row>
    <row r="790" spans="1:11">
      <c r="A790" t="s">
        <v>104</v>
      </c>
      <c r="B790" t="s">
        <v>105</v>
      </c>
      <c r="C790" t="s">
        <v>335</v>
      </c>
      <c r="D790" t="s">
        <v>336</v>
      </c>
      <c r="E790" s="8">
        <v>18640</v>
      </c>
      <c r="F790" s="8">
        <v>39980</v>
      </c>
      <c r="G790" s="8">
        <f t="shared" si="48"/>
        <v>745227200</v>
      </c>
      <c r="H790" s="5">
        <v>0</v>
      </c>
      <c r="I790" s="8">
        <f t="shared" si="49"/>
        <v>745227200</v>
      </c>
      <c r="J790" s="8">
        <f t="shared" si="50"/>
        <v>0</v>
      </c>
      <c r="K790" t="str">
        <f t="shared" si="51"/>
        <v>MATCHED</v>
      </c>
    </row>
    <row r="791" spans="1:11">
      <c r="A791" t="s">
        <v>104</v>
      </c>
      <c r="B791" t="s">
        <v>105</v>
      </c>
      <c r="C791" t="s">
        <v>337</v>
      </c>
      <c r="D791" t="s">
        <v>338</v>
      </c>
      <c r="E791" s="8">
        <v>540</v>
      </c>
      <c r="F791" s="8">
        <v>41190</v>
      </c>
      <c r="G791" s="8">
        <f t="shared" si="48"/>
        <v>22242600</v>
      </c>
      <c r="H791" s="5">
        <v>0</v>
      </c>
      <c r="I791" s="8">
        <f t="shared" si="49"/>
        <v>22242600</v>
      </c>
      <c r="J791" s="8">
        <f t="shared" si="50"/>
        <v>0</v>
      </c>
      <c r="K791" t="str">
        <f t="shared" si="51"/>
        <v>MATCHED</v>
      </c>
    </row>
    <row r="792" spans="1:11">
      <c r="A792" t="s">
        <v>104</v>
      </c>
      <c r="B792" t="s">
        <v>105</v>
      </c>
      <c r="C792" t="s">
        <v>646</v>
      </c>
      <c r="D792" t="s">
        <v>647</v>
      </c>
      <c r="E792" s="8">
        <v>840</v>
      </c>
      <c r="F792" s="8">
        <v>51250</v>
      </c>
      <c r="G792" s="8">
        <f t="shared" si="48"/>
        <v>43050000</v>
      </c>
      <c r="H792" s="5"/>
      <c r="I792" s="8" t="str">
        <f t="shared" si="49"/>
        <v/>
      </c>
      <c r="J792" s="8" t="str">
        <f t="shared" si="50"/>
        <v/>
      </c>
      <c r="K792" t="str">
        <f t="shared" si="51"/>
        <v>MISSING WHARTON</v>
      </c>
    </row>
    <row r="793" spans="1:11">
      <c r="A793" t="s">
        <v>104</v>
      </c>
      <c r="B793" t="s">
        <v>105</v>
      </c>
      <c r="C793" t="s">
        <v>339</v>
      </c>
      <c r="D793" t="s">
        <v>340</v>
      </c>
      <c r="E793" s="8">
        <v>180</v>
      </c>
      <c r="F793" s="8">
        <v>50420</v>
      </c>
      <c r="G793" s="8">
        <f t="shared" si="48"/>
        <v>9075600</v>
      </c>
      <c r="H793" s="5">
        <v>0.1567</v>
      </c>
      <c r="I793" s="8">
        <f t="shared" si="49"/>
        <v>9075600</v>
      </c>
      <c r="J793" s="8">
        <f t="shared" si="50"/>
        <v>1422146.52</v>
      </c>
      <c r="K793" t="str">
        <f t="shared" si="51"/>
        <v>MATCHED</v>
      </c>
    </row>
    <row r="794" spans="1:11">
      <c r="A794" t="s">
        <v>104</v>
      </c>
      <c r="B794" t="s">
        <v>105</v>
      </c>
      <c r="C794" t="s">
        <v>341</v>
      </c>
      <c r="D794" t="s">
        <v>342</v>
      </c>
      <c r="E794" s="8">
        <v>18270</v>
      </c>
      <c r="F794" s="8">
        <v>44810</v>
      </c>
      <c r="G794" s="8">
        <f t="shared" si="48"/>
        <v>818678700</v>
      </c>
      <c r="H794" s="5">
        <v>0</v>
      </c>
      <c r="I794" s="8">
        <f t="shared" si="49"/>
        <v>818678700</v>
      </c>
      <c r="J794" s="8">
        <f t="shared" si="50"/>
        <v>0</v>
      </c>
      <c r="K794" t="str">
        <f t="shared" si="51"/>
        <v>MATCHED</v>
      </c>
    </row>
    <row r="795" spans="1:11">
      <c r="A795" t="s">
        <v>104</v>
      </c>
      <c r="B795" t="s">
        <v>105</v>
      </c>
      <c r="C795" t="s">
        <v>343</v>
      </c>
      <c r="D795" t="s">
        <v>344</v>
      </c>
      <c r="E795" s="8">
        <v>40</v>
      </c>
      <c r="F795" s="8">
        <v>41350</v>
      </c>
      <c r="G795" s="8">
        <f t="shared" si="48"/>
        <v>1654000</v>
      </c>
      <c r="H795" s="5">
        <v>0</v>
      </c>
      <c r="I795" s="8">
        <f t="shared" si="49"/>
        <v>1654000</v>
      </c>
      <c r="J795" s="8">
        <f t="shared" si="50"/>
        <v>0</v>
      </c>
      <c r="K795" t="str">
        <f t="shared" si="51"/>
        <v>MATCHED</v>
      </c>
    </row>
    <row r="796" spans="1:11">
      <c r="A796" t="s">
        <v>104</v>
      </c>
      <c r="B796" t="s">
        <v>105</v>
      </c>
      <c r="C796" t="s">
        <v>345</v>
      </c>
      <c r="D796" t="s">
        <v>346</v>
      </c>
      <c r="E796" s="8">
        <v>470</v>
      </c>
      <c r="F796" s="8">
        <v>61960</v>
      </c>
      <c r="G796" s="8">
        <f t="shared" si="48"/>
        <v>29121200</v>
      </c>
      <c r="H796" s="5">
        <v>0</v>
      </c>
      <c r="I796" s="8">
        <f t="shared" si="49"/>
        <v>29121200</v>
      </c>
      <c r="J796" s="8">
        <f t="shared" si="50"/>
        <v>0</v>
      </c>
      <c r="K796" t="str">
        <f t="shared" si="51"/>
        <v>MATCHED</v>
      </c>
    </row>
    <row r="797" spans="1:11">
      <c r="A797" t="s">
        <v>104</v>
      </c>
      <c r="B797" t="s">
        <v>105</v>
      </c>
      <c r="C797" t="s">
        <v>874</v>
      </c>
      <c r="D797" t="s">
        <v>875</v>
      </c>
      <c r="E797" s="8">
        <v>520</v>
      </c>
      <c r="F797" s="8">
        <v>45080</v>
      </c>
      <c r="G797" s="8">
        <f t="shared" si="48"/>
        <v>23441600</v>
      </c>
      <c r="H797" s="5"/>
      <c r="I797" s="8" t="str">
        <f t="shared" si="49"/>
        <v/>
      </c>
      <c r="J797" s="8" t="str">
        <f t="shared" si="50"/>
        <v/>
      </c>
      <c r="K797" t="str">
        <f t="shared" si="51"/>
        <v>MISSING WHARTON</v>
      </c>
    </row>
    <row r="798" spans="1:11">
      <c r="A798" t="s">
        <v>104</v>
      </c>
      <c r="B798" t="s">
        <v>105</v>
      </c>
      <c r="C798" t="s">
        <v>353</v>
      </c>
      <c r="D798" t="s">
        <v>354</v>
      </c>
      <c r="E798" s="8"/>
      <c r="F798" s="8">
        <v>53010</v>
      </c>
      <c r="G798" s="8" t="str">
        <f t="shared" si="48"/>
        <v/>
      </c>
      <c r="H798" s="5">
        <v>0.1614</v>
      </c>
      <c r="I798" s="8" t="str">
        <f t="shared" si="49"/>
        <v/>
      </c>
      <c r="J798" s="8" t="str">
        <f t="shared" si="50"/>
        <v/>
      </c>
      <c r="K798" t="str">
        <f t="shared" si="51"/>
        <v>MISSING OEWS</v>
      </c>
    </row>
    <row r="799" spans="1:11">
      <c r="A799" t="s">
        <v>104</v>
      </c>
      <c r="B799" t="s">
        <v>105</v>
      </c>
      <c r="C799" t="s">
        <v>876</v>
      </c>
      <c r="D799" t="s">
        <v>877</v>
      </c>
      <c r="E799" s="8">
        <v>180</v>
      </c>
      <c r="F799" s="8">
        <v>34260</v>
      </c>
      <c r="G799" s="8">
        <f t="shared" si="48"/>
        <v>6166800</v>
      </c>
      <c r="H799" s="5">
        <v>0.25</v>
      </c>
      <c r="I799" s="8">
        <f t="shared" si="49"/>
        <v>6166800</v>
      </c>
      <c r="J799" s="8">
        <f t="shared" si="50"/>
        <v>1541700</v>
      </c>
      <c r="K799" t="str">
        <f t="shared" si="51"/>
        <v>MATCHED</v>
      </c>
    </row>
    <row r="800" spans="1:11">
      <c r="A800" t="s">
        <v>104</v>
      </c>
      <c r="B800" t="s">
        <v>105</v>
      </c>
      <c r="C800" t="s">
        <v>992</v>
      </c>
      <c r="D800" t="s">
        <v>993</v>
      </c>
      <c r="E800" s="8"/>
      <c r="F800" s="8">
        <v>37770</v>
      </c>
      <c r="G800" s="8" t="str">
        <f t="shared" si="48"/>
        <v/>
      </c>
      <c r="H800" s="5">
        <v>0.1239</v>
      </c>
      <c r="I800" s="8" t="str">
        <f t="shared" si="49"/>
        <v/>
      </c>
      <c r="J800" s="8" t="str">
        <f t="shared" si="50"/>
        <v/>
      </c>
      <c r="K800" t="str">
        <f t="shared" si="51"/>
        <v>MISSING OEWS</v>
      </c>
    </row>
    <row r="801" spans="1:11">
      <c r="A801" t="s">
        <v>104</v>
      </c>
      <c r="B801" t="s">
        <v>105</v>
      </c>
      <c r="C801" t="s">
        <v>994</v>
      </c>
      <c r="D801" t="s">
        <v>995</v>
      </c>
      <c r="E801" s="8">
        <v>120</v>
      </c>
      <c r="F801" s="8">
        <v>51570</v>
      </c>
      <c r="G801" s="8">
        <f t="shared" si="48"/>
        <v>6188400</v>
      </c>
      <c r="H801" s="5">
        <v>0.65</v>
      </c>
      <c r="I801" s="8">
        <f t="shared" si="49"/>
        <v>6188400</v>
      </c>
      <c r="J801" s="8">
        <f t="shared" si="50"/>
        <v>4022460</v>
      </c>
      <c r="K801" t="str">
        <f t="shared" si="51"/>
        <v>MATCHED</v>
      </c>
    </row>
    <row r="802" spans="1:11">
      <c r="A802" t="s">
        <v>104</v>
      </c>
      <c r="B802" t="s">
        <v>105</v>
      </c>
      <c r="C802" t="s">
        <v>996</v>
      </c>
      <c r="D802" t="s">
        <v>997</v>
      </c>
      <c r="E802" s="8">
        <v>90</v>
      </c>
      <c r="F802" s="8">
        <v>41040</v>
      </c>
      <c r="G802" s="8">
        <f t="shared" si="48"/>
        <v>3693600</v>
      </c>
      <c r="H802" s="5">
        <v>0.105</v>
      </c>
      <c r="I802" s="8">
        <f t="shared" si="49"/>
        <v>3693600</v>
      </c>
      <c r="J802" s="8">
        <f t="shared" si="50"/>
        <v>387828</v>
      </c>
      <c r="K802" t="str">
        <f t="shared" si="51"/>
        <v>MATCHED</v>
      </c>
    </row>
    <row r="803" spans="1:11">
      <c r="A803" t="s">
        <v>104</v>
      </c>
      <c r="B803" t="s">
        <v>105</v>
      </c>
      <c r="C803" t="s">
        <v>998</v>
      </c>
      <c r="D803" t="s">
        <v>999</v>
      </c>
      <c r="E803" s="8">
        <v>40</v>
      </c>
      <c r="F803" s="8">
        <v>51400</v>
      </c>
      <c r="G803" s="8">
        <f t="shared" si="48"/>
        <v>2056000</v>
      </c>
      <c r="H803" s="5">
        <v>0.0636</v>
      </c>
      <c r="I803" s="8">
        <f t="shared" si="49"/>
        <v>2056000</v>
      </c>
      <c r="J803" s="8">
        <f t="shared" si="50"/>
        <v>130761.6</v>
      </c>
      <c r="K803" t="str">
        <f t="shared" si="51"/>
        <v>MATCHED</v>
      </c>
    </row>
    <row r="804" spans="1:11">
      <c r="A804" t="s">
        <v>104</v>
      </c>
      <c r="B804" t="s">
        <v>105</v>
      </c>
      <c r="C804" t="s">
        <v>355</v>
      </c>
      <c r="D804" t="s">
        <v>356</v>
      </c>
      <c r="E804" s="8">
        <v>1150</v>
      </c>
      <c r="F804" s="8">
        <v>65150</v>
      </c>
      <c r="G804" s="8">
        <f t="shared" si="48"/>
        <v>74922500</v>
      </c>
      <c r="H804" s="5">
        <v>0.4476</v>
      </c>
      <c r="I804" s="8">
        <f t="shared" si="49"/>
        <v>74922500</v>
      </c>
      <c r="J804" s="8">
        <f t="shared" si="50"/>
        <v>33535311</v>
      </c>
      <c r="K804" t="str">
        <f t="shared" si="51"/>
        <v>MATCHED</v>
      </c>
    </row>
    <row r="805" spans="1:11">
      <c r="A805" t="s">
        <v>104</v>
      </c>
      <c r="B805" t="s">
        <v>105</v>
      </c>
      <c r="C805" t="s">
        <v>357</v>
      </c>
      <c r="D805" t="s">
        <v>358</v>
      </c>
      <c r="E805" s="8">
        <v>4210</v>
      </c>
      <c r="F805" s="8">
        <v>97430</v>
      </c>
      <c r="G805" s="8">
        <f t="shared" si="48"/>
        <v>410180300</v>
      </c>
      <c r="H805" s="5">
        <v>0.4833</v>
      </c>
      <c r="I805" s="8">
        <f t="shared" si="49"/>
        <v>410180300</v>
      </c>
      <c r="J805" s="8">
        <f t="shared" si="50"/>
        <v>198240138.99</v>
      </c>
      <c r="K805" t="str">
        <f t="shared" si="51"/>
        <v>MATCHED</v>
      </c>
    </row>
    <row r="806" spans="1:11">
      <c r="A806" t="s">
        <v>104</v>
      </c>
      <c r="B806" t="s">
        <v>105</v>
      </c>
      <c r="C806" t="s">
        <v>648</v>
      </c>
      <c r="D806" t="s">
        <v>649</v>
      </c>
      <c r="E806" s="8">
        <v>730</v>
      </c>
      <c r="F806" s="8">
        <v>33640</v>
      </c>
      <c r="G806" s="8">
        <f t="shared" si="48"/>
        <v>24557200</v>
      </c>
      <c r="H806" s="5">
        <v>0.6672</v>
      </c>
      <c r="I806" s="8">
        <f t="shared" si="49"/>
        <v>24557200</v>
      </c>
      <c r="J806" s="8">
        <f t="shared" si="50"/>
        <v>16384563.84</v>
      </c>
      <c r="K806" t="str">
        <f t="shared" si="51"/>
        <v>MATCHED</v>
      </c>
    </row>
    <row r="807" spans="1:11">
      <c r="A807" t="s">
        <v>104</v>
      </c>
      <c r="B807" t="s">
        <v>105</v>
      </c>
      <c r="C807" t="s">
        <v>878</v>
      </c>
      <c r="D807" t="s">
        <v>879</v>
      </c>
      <c r="E807" s="8">
        <v>1160</v>
      </c>
      <c r="F807" s="8">
        <v>44900</v>
      </c>
      <c r="G807" s="8">
        <f t="shared" si="48"/>
        <v>52084000</v>
      </c>
      <c r="H807" s="5">
        <v>0.7719</v>
      </c>
      <c r="I807" s="8">
        <f t="shared" si="49"/>
        <v>52084000</v>
      </c>
      <c r="J807" s="8">
        <f t="shared" si="50"/>
        <v>40203639.6</v>
      </c>
      <c r="K807" t="str">
        <f t="shared" si="51"/>
        <v>MATCHED</v>
      </c>
    </row>
    <row r="808" spans="1:11">
      <c r="A808" t="s">
        <v>104</v>
      </c>
      <c r="B808" t="s">
        <v>105</v>
      </c>
      <c r="C808" t="s">
        <v>1000</v>
      </c>
      <c r="D808" t="s">
        <v>1001</v>
      </c>
      <c r="E808" s="8">
        <v>820</v>
      </c>
      <c r="F808" s="8">
        <v>56690</v>
      </c>
      <c r="G808" s="8">
        <f t="shared" si="48"/>
        <v>46485800</v>
      </c>
      <c r="H808" s="5">
        <v>0.3737</v>
      </c>
      <c r="I808" s="8">
        <f t="shared" si="49"/>
        <v>46485800</v>
      </c>
      <c r="J808" s="8">
        <f t="shared" si="50"/>
        <v>17371743.46</v>
      </c>
      <c r="K808" t="str">
        <f t="shared" si="51"/>
        <v>MATCHED</v>
      </c>
    </row>
    <row r="809" spans="1:11">
      <c r="A809" t="s">
        <v>104</v>
      </c>
      <c r="B809" t="s">
        <v>105</v>
      </c>
      <c r="C809" t="s">
        <v>359</v>
      </c>
      <c r="D809" t="s">
        <v>360</v>
      </c>
      <c r="E809" s="8">
        <v>8650</v>
      </c>
      <c r="F809" s="8">
        <v>46400</v>
      </c>
      <c r="G809" s="8">
        <f t="shared" si="48"/>
        <v>401360000</v>
      </c>
      <c r="H809" s="5">
        <v>0.4938</v>
      </c>
      <c r="I809" s="8">
        <f t="shared" si="49"/>
        <v>401360000</v>
      </c>
      <c r="J809" s="8">
        <f t="shared" si="50"/>
        <v>198191568</v>
      </c>
      <c r="K809" t="str">
        <f t="shared" si="51"/>
        <v>MATCHED</v>
      </c>
    </row>
    <row r="810" spans="1:11">
      <c r="A810" t="s">
        <v>104</v>
      </c>
      <c r="B810" t="s">
        <v>105</v>
      </c>
      <c r="C810" t="s">
        <v>1002</v>
      </c>
      <c r="D810" t="s">
        <v>1003</v>
      </c>
      <c r="E810" s="8"/>
      <c r="F810" s="8">
        <v>49630</v>
      </c>
      <c r="G810" s="8" t="str">
        <f t="shared" si="48"/>
        <v/>
      </c>
      <c r="H810" s="5">
        <v>0.6725</v>
      </c>
      <c r="I810" s="8" t="str">
        <f t="shared" si="49"/>
        <v/>
      </c>
      <c r="J810" s="8" t="str">
        <f t="shared" si="50"/>
        <v/>
      </c>
      <c r="K810" t="str">
        <f t="shared" si="51"/>
        <v>MISSING OEWS</v>
      </c>
    </row>
    <row r="811" spans="1:11">
      <c r="A811" t="s">
        <v>104</v>
      </c>
      <c r="B811" t="s">
        <v>105</v>
      </c>
      <c r="C811" t="s">
        <v>1004</v>
      </c>
      <c r="D811" t="s">
        <v>1005</v>
      </c>
      <c r="E811" s="8">
        <v>60</v>
      </c>
      <c r="F811" s="8">
        <v>88850</v>
      </c>
      <c r="G811" s="8">
        <f t="shared" si="48"/>
        <v>5331000</v>
      </c>
      <c r="H811" s="5">
        <v>0.6684</v>
      </c>
      <c r="I811" s="8">
        <f t="shared" si="49"/>
        <v>5331000</v>
      </c>
      <c r="J811" s="8">
        <f t="shared" si="50"/>
        <v>3563240.4</v>
      </c>
      <c r="K811" t="str">
        <f t="shared" si="51"/>
        <v>MATCHED</v>
      </c>
    </row>
    <row r="812" spans="1:11">
      <c r="A812" t="s">
        <v>104</v>
      </c>
      <c r="B812" t="s">
        <v>105</v>
      </c>
      <c r="C812" t="s">
        <v>361</v>
      </c>
      <c r="D812" t="s">
        <v>362</v>
      </c>
      <c r="E812" s="8">
        <v>129530</v>
      </c>
      <c r="F812" s="8">
        <v>83270</v>
      </c>
      <c r="G812" s="8">
        <f t="shared" si="48"/>
        <v>10785963100</v>
      </c>
      <c r="H812" s="5">
        <v>0.73</v>
      </c>
      <c r="I812" s="8">
        <f t="shared" si="49"/>
        <v>10785963100</v>
      </c>
      <c r="J812" s="8">
        <f t="shared" si="50"/>
        <v>7873753063</v>
      </c>
      <c r="K812" t="str">
        <f t="shared" si="51"/>
        <v>MATCHED</v>
      </c>
    </row>
    <row r="813" spans="1:11">
      <c r="A813" t="s">
        <v>104</v>
      </c>
      <c r="B813" t="s">
        <v>105</v>
      </c>
      <c r="C813" t="s">
        <v>652</v>
      </c>
      <c r="D813" t="s">
        <v>653</v>
      </c>
      <c r="E813" s="8">
        <v>2810</v>
      </c>
      <c r="F813" s="8">
        <v>97460</v>
      </c>
      <c r="G813" s="8">
        <f t="shared" si="48"/>
        <v>273862600</v>
      </c>
      <c r="H813" s="5">
        <v>0.6463</v>
      </c>
      <c r="I813" s="8">
        <f t="shared" si="49"/>
        <v>273862600</v>
      </c>
      <c r="J813" s="8">
        <f t="shared" si="50"/>
        <v>176997398.38</v>
      </c>
      <c r="K813" t="str">
        <f t="shared" si="51"/>
        <v>MATCHED</v>
      </c>
    </row>
    <row r="814" spans="1:11">
      <c r="A814" t="s">
        <v>104</v>
      </c>
      <c r="B814" t="s">
        <v>105</v>
      </c>
      <c r="C814" t="s">
        <v>363</v>
      </c>
      <c r="D814" t="s">
        <v>364</v>
      </c>
      <c r="E814" s="8">
        <v>18610</v>
      </c>
      <c r="F814" s="8">
        <v>83300</v>
      </c>
      <c r="G814" s="8">
        <f t="shared" si="48"/>
        <v>1550213000</v>
      </c>
      <c r="H814" s="5">
        <v>0.5105</v>
      </c>
      <c r="I814" s="8">
        <f t="shared" si="49"/>
        <v>1550213000</v>
      </c>
      <c r="J814" s="8">
        <f t="shared" si="50"/>
        <v>791383736.5</v>
      </c>
      <c r="K814" t="str">
        <f t="shared" si="51"/>
        <v>MATCHED</v>
      </c>
    </row>
    <row r="815" spans="1:11">
      <c r="A815" t="s">
        <v>104</v>
      </c>
      <c r="B815" t="s">
        <v>105</v>
      </c>
      <c r="C815" t="s">
        <v>1006</v>
      </c>
      <c r="D815" t="s">
        <v>1007</v>
      </c>
      <c r="E815" s="8">
        <v>1250</v>
      </c>
      <c r="F815" s="8">
        <v>39800</v>
      </c>
      <c r="G815" s="8">
        <f t="shared" si="48"/>
        <v>49750000</v>
      </c>
      <c r="H815" s="5">
        <v>0.3062</v>
      </c>
      <c r="I815" s="8">
        <f t="shared" si="49"/>
        <v>49750000</v>
      </c>
      <c r="J815" s="8">
        <f t="shared" si="50"/>
        <v>15233450</v>
      </c>
      <c r="K815" t="str">
        <f t="shared" si="51"/>
        <v>MATCHED</v>
      </c>
    </row>
    <row r="816" spans="1:11">
      <c r="A816" t="s">
        <v>104</v>
      </c>
      <c r="B816" t="s">
        <v>105</v>
      </c>
      <c r="C816" t="s">
        <v>1008</v>
      </c>
      <c r="D816" t="s">
        <v>1009</v>
      </c>
      <c r="E816" s="8">
        <v>1040</v>
      </c>
      <c r="F816" s="8">
        <v>91500</v>
      </c>
      <c r="G816" s="8">
        <f t="shared" si="48"/>
        <v>95160000</v>
      </c>
      <c r="H816" s="5">
        <v>0.5816</v>
      </c>
      <c r="I816" s="8">
        <f t="shared" si="49"/>
        <v>95160000</v>
      </c>
      <c r="J816" s="8">
        <f t="shared" si="50"/>
        <v>55345056</v>
      </c>
      <c r="K816" t="str">
        <f t="shared" si="51"/>
        <v>MATCHED</v>
      </c>
    </row>
    <row r="817" spans="1:11">
      <c r="A817" t="s">
        <v>104</v>
      </c>
      <c r="B817" t="s">
        <v>105</v>
      </c>
      <c r="C817" t="s">
        <v>654</v>
      </c>
      <c r="D817" t="s">
        <v>655</v>
      </c>
      <c r="E817" s="8">
        <v>13740</v>
      </c>
      <c r="F817" s="8">
        <v>80190</v>
      </c>
      <c r="G817" s="8">
        <f t="shared" si="48"/>
        <v>1101810600</v>
      </c>
      <c r="H817" s="5">
        <v>0.5939</v>
      </c>
      <c r="I817" s="8">
        <f t="shared" si="49"/>
        <v>1101810600</v>
      </c>
      <c r="J817" s="8">
        <f t="shared" si="50"/>
        <v>654365315.34</v>
      </c>
      <c r="K817" t="str">
        <f t="shared" si="51"/>
        <v>MATCHED</v>
      </c>
    </row>
    <row r="818" spans="1:11">
      <c r="A818" t="s">
        <v>104</v>
      </c>
      <c r="B818" t="s">
        <v>105</v>
      </c>
      <c r="C818" t="s">
        <v>656</v>
      </c>
      <c r="D818" t="s">
        <v>657</v>
      </c>
      <c r="E818" s="8">
        <v>1490</v>
      </c>
      <c r="F818" s="8">
        <v>114120</v>
      </c>
      <c r="G818" s="8">
        <f t="shared" si="48"/>
        <v>170038800</v>
      </c>
      <c r="H818" s="5">
        <v>0.518</v>
      </c>
      <c r="I818" s="8">
        <f t="shared" si="49"/>
        <v>170038800</v>
      </c>
      <c r="J818" s="8">
        <f t="shared" si="50"/>
        <v>88080098.4</v>
      </c>
      <c r="K818" t="str">
        <f t="shared" si="51"/>
        <v>MATCHED</v>
      </c>
    </row>
    <row r="819" spans="1:11">
      <c r="A819" t="s">
        <v>104</v>
      </c>
      <c r="B819" t="s">
        <v>105</v>
      </c>
      <c r="C819" t="s">
        <v>1010</v>
      </c>
      <c r="D819" t="s">
        <v>1011</v>
      </c>
      <c r="E819" s="8">
        <v>2260</v>
      </c>
      <c r="F819" s="8">
        <v>38850</v>
      </c>
      <c r="G819" s="8">
        <f t="shared" si="48"/>
        <v>87801000</v>
      </c>
      <c r="H819" s="5">
        <v>0.9625</v>
      </c>
      <c r="I819" s="8">
        <f t="shared" si="49"/>
        <v>87801000</v>
      </c>
      <c r="J819" s="8">
        <f t="shared" si="50"/>
        <v>84508462.5</v>
      </c>
      <c r="K819" t="str">
        <f t="shared" si="51"/>
        <v>MATCHED</v>
      </c>
    </row>
    <row r="820" spans="1:11">
      <c r="A820" t="s">
        <v>104</v>
      </c>
      <c r="B820" t="s">
        <v>105</v>
      </c>
      <c r="C820" t="s">
        <v>1012</v>
      </c>
      <c r="D820" t="s">
        <v>1013</v>
      </c>
      <c r="E820" s="8">
        <v>1160</v>
      </c>
      <c r="F820" s="8">
        <v>43770</v>
      </c>
      <c r="G820" s="8">
        <f t="shared" si="48"/>
        <v>50773200</v>
      </c>
      <c r="H820" s="5">
        <v>0.3167</v>
      </c>
      <c r="I820" s="8">
        <f t="shared" si="49"/>
        <v>50773200</v>
      </c>
      <c r="J820" s="8">
        <f t="shared" si="50"/>
        <v>16079872.44</v>
      </c>
      <c r="K820" t="str">
        <f t="shared" si="51"/>
        <v>MATCHED</v>
      </c>
    </row>
    <row r="821" spans="1:11">
      <c r="A821" t="s">
        <v>104</v>
      </c>
      <c r="B821" t="s">
        <v>105</v>
      </c>
      <c r="C821" t="s">
        <v>365</v>
      </c>
      <c r="D821" t="s">
        <v>366</v>
      </c>
      <c r="E821" s="8">
        <v>2670</v>
      </c>
      <c r="F821" s="8">
        <v>52790</v>
      </c>
      <c r="G821" s="8">
        <f t="shared" si="48"/>
        <v>140949300</v>
      </c>
      <c r="H821" s="5"/>
      <c r="I821" s="8" t="str">
        <f t="shared" si="49"/>
        <v/>
      </c>
      <c r="J821" s="8" t="str">
        <f t="shared" si="50"/>
        <v/>
      </c>
      <c r="K821" t="str">
        <f t="shared" si="51"/>
        <v>MISSING WHARTON</v>
      </c>
    </row>
    <row r="822" spans="1:11">
      <c r="A822" t="s">
        <v>104</v>
      </c>
      <c r="B822" t="s">
        <v>105</v>
      </c>
      <c r="C822" t="s">
        <v>367</v>
      </c>
      <c r="D822" t="s">
        <v>368</v>
      </c>
      <c r="E822" s="8">
        <v>55420</v>
      </c>
      <c r="F822" s="8">
        <v>74780</v>
      </c>
      <c r="G822" s="8">
        <f t="shared" si="48"/>
        <v>4144307600</v>
      </c>
      <c r="H822" s="5">
        <v>0.5034</v>
      </c>
      <c r="I822" s="8">
        <f t="shared" si="49"/>
        <v>4144307600</v>
      </c>
      <c r="J822" s="8">
        <f t="shared" si="50"/>
        <v>2086244445.84</v>
      </c>
      <c r="K822" t="str">
        <f t="shared" si="51"/>
        <v>MATCHED</v>
      </c>
    </row>
    <row r="823" spans="1:11">
      <c r="A823" t="s">
        <v>104</v>
      </c>
      <c r="B823" t="s">
        <v>105</v>
      </c>
      <c r="C823" t="s">
        <v>1014</v>
      </c>
      <c r="D823" t="s">
        <v>1015</v>
      </c>
      <c r="E823" s="8"/>
      <c r="F823" s="8">
        <v>45810</v>
      </c>
      <c r="G823" s="8" t="str">
        <f t="shared" si="48"/>
        <v/>
      </c>
      <c r="H823" s="5">
        <v>0.7579</v>
      </c>
      <c r="I823" s="8" t="str">
        <f t="shared" si="49"/>
        <v/>
      </c>
      <c r="J823" s="8" t="str">
        <f t="shared" si="50"/>
        <v/>
      </c>
      <c r="K823" t="str">
        <f t="shared" si="51"/>
        <v>MISSING OEWS</v>
      </c>
    </row>
    <row r="824" spans="1:11">
      <c r="A824" t="s">
        <v>104</v>
      </c>
      <c r="B824" t="s">
        <v>105</v>
      </c>
      <c r="C824" t="s">
        <v>880</v>
      </c>
      <c r="D824" t="s">
        <v>881</v>
      </c>
      <c r="E824" s="8">
        <v>1260</v>
      </c>
      <c r="F824" s="8">
        <v>55490</v>
      </c>
      <c r="G824" s="8">
        <f t="shared" si="48"/>
        <v>69917400</v>
      </c>
      <c r="H824" s="5">
        <v>0.9</v>
      </c>
      <c r="I824" s="8">
        <f t="shared" si="49"/>
        <v>69917400</v>
      </c>
      <c r="J824" s="8">
        <f t="shared" si="50"/>
        <v>62925660</v>
      </c>
      <c r="K824" t="str">
        <f t="shared" si="51"/>
        <v>MATCHED</v>
      </c>
    </row>
    <row r="825" spans="1:11">
      <c r="A825" t="s">
        <v>104</v>
      </c>
      <c r="B825" t="s">
        <v>105</v>
      </c>
      <c r="C825" t="s">
        <v>369</v>
      </c>
      <c r="D825" t="s">
        <v>370</v>
      </c>
      <c r="E825" s="8">
        <v>9590</v>
      </c>
      <c r="F825" s="8">
        <v>53780</v>
      </c>
      <c r="G825" s="8">
        <f t="shared" si="48"/>
        <v>515750200</v>
      </c>
      <c r="H825" s="5">
        <v>0.8617</v>
      </c>
      <c r="I825" s="8">
        <f t="shared" si="49"/>
        <v>515750200</v>
      </c>
      <c r="J825" s="8">
        <f t="shared" si="50"/>
        <v>444421947.34</v>
      </c>
      <c r="K825" t="str">
        <f t="shared" si="51"/>
        <v>MATCHED</v>
      </c>
    </row>
    <row r="826" spans="1:11">
      <c r="A826" t="s">
        <v>104</v>
      </c>
      <c r="B826" t="s">
        <v>105</v>
      </c>
      <c r="C826" t="s">
        <v>371</v>
      </c>
      <c r="D826" t="s">
        <v>372</v>
      </c>
      <c r="E826" s="8">
        <v>116680</v>
      </c>
      <c r="F826" s="8">
        <v>55630</v>
      </c>
      <c r="G826" s="8">
        <f t="shared" si="48"/>
        <v>6490908400</v>
      </c>
      <c r="H826" s="5">
        <v>0.9517</v>
      </c>
      <c r="I826" s="8">
        <f t="shared" si="49"/>
        <v>6490908400</v>
      </c>
      <c r="J826" s="8">
        <f t="shared" si="50"/>
        <v>6177397524.28</v>
      </c>
      <c r="K826" t="str">
        <f t="shared" si="51"/>
        <v>MATCHED</v>
      </c>
    </row>
    <row r="827" spans="1:11">
      <c r="A827" t="s">
        <v>104</v>
      </c>
      <c r="B827" t="s">
        <v>105</v>
      </c>
      <c r="C827" t="s">
        <v>373</v>
      </c>
      <c r="D827" t="s">
        <v>374</v>
      </c>
      <c r="E827" s="8">
        <v>15930</v>
      </c>
      <c r="F827" s="8">
        <v>59660</v>
      </c>
      <c r="G827" s="8">
        <f t="shared" si="48"/>
        <v>950383800</v>
      </c>
      <c r="H827" s="5">
        <v>0.9409</v>
      </c>
      <c r="I827" s="8">
        <f t="shared" si="49"/>
        <v>950383800</v>
      </c>
      <c r="J827" s="8">
        <f t="shared" si="50"/>
        <v>894216117.42</v>
      </c>
      <c r="K827" t="str">
        <f t="shared" si="51"/>
        <v>MATCHED</v>
      </c>
    </row>
    <row r="828" spans="1:11">
      <c r="A828" t="s">
        <v>104</v>
      </c>
      <c r="B828" t="s">
        <v>105</v>
      </c>
      <c r="C828" t="s">
        <v>375</v>
      </c>
      <c r="D828" t="s">
        <v>376</v>
      </c>
      <c r="E828" s="8">
        <v>2590</v>
      </c>
      <c r="F828" s="8">
        <v>52060</v>
      </c>
      <c r="G828" s="8">
        <f t="shared" si="48"/>
        <v>134835400</v>
      </c>
      <c r="H828" s="5">
        <v>0.8237</v>
      </c>
      <c r="I828" s="8">
        <f t="shared" si="49"/>
        <v>134835400</v>
      </c>
      <c r="J828" s="8">
        <f t="shared" si="50"/>
        <v>111063918.98</v>
      </c>
      <c r="K828" t="str">
        <f t="shared" si="51"/>
        <v>MATCHED</v>
      </c>
    </row>
    <row r="829" spans="1:11">
      <c r="A829" t="s">
        <v>104</v>
      </c>
      <c r="B829" t="s">
        <v>105</v>
      </c>
      <c r="C829" t="s">
        <v>884</v>
      </c>
      <c r="D829" t="s">
        <v>885</v>
      </c>
      <c r="E829" s="8">
        <v>140</v>
      </c>
      <c r="F829" s="8">
        <v>60220</v>
      </c>
      <c r="G829" s="8">
        <f t="shared" si="48"/>
        <v>8430800</v>
      </c>
      <c r="H829" s="5"/>
      <c r="I829" s="8" t="str">
        <f t="shared" si="49"/>
        <v/>
      </c>
      <c r="J829" s="8" t="str">
        <f t="shared" si="50"/>
        <v/>
      </c>
      <c r="K829" t="str">
        <f t="shared" si="51"/>
        <v>MISSING WHARTON</v>
      </c>
    </row>
    <row r="830" spans="1:11">
      <c r="A830" t="s">
        <v>104</v>
      </c>
      <c r="B830" t="s">
        <v>105</v>
      </c>
      <c r="C830" t="s">
        <v>1016</v>
      </c>
      <c r="D830" t="s">
        <v>1017</v>
      </c>
      <c r="E830" s="8">
        <v>40</v>
      </c>
      <c r="F830" s="8">
        <v>55970</v>
      </c>
      <c r="G830" s="8">
        <f t="shared" si="48"/>
        <v>2238800</v>
      </c>
      <c r="H830" s="5">
        <v>0.9469</v>
      </c>
      <c r="I830" s="8">
        <f t="shared" si="49"/>
        <v>2238800</v>
      </c>
      <c r="J830" s="8">
        <f t="shared" si="50"/>
        <v>2119919.72</v>
      </c>
      <c r="K830" t="str">
        <f t="shared" si="51"/>
        <v>MATCHED</v>
      </c>
    </row>
    <row r="831" spans="1:11">
      <c r="A831" t="s">
        <v>104</v>
      </c>
      <c r="B831" t="s">
        <v>105</v>
      </c>
      <c r="C831" t="s">
        <v>377</v>
      </c>
      <c r="D831" t="s">
        <v>378</v>
      </c>
      <c r="E831" s="8">
        <v>39810</v>
      </c>
      <c r="F831" s="8">
        <v>50420</v>
      </c>
      <c r="G831" s="8">
        <f t="shared" si="48"/>
        <v>2007220200</v>
      </c>
      <c r="H831" s="5">
        <v>0.82</v>
      </c>
      <c r="I831" s="8">
        <f t="shared" si="49"/>
        <v>2007220200</v>
      </c>
      <c r="J831" s="8">
        <f t="shared" si="50"/>
        <v>1645920564</v>
      </c>
      <c r="K831" t="str">
        <f t="shared" si="51"/>
        <v>MATCHED</v>
      </c>
    </row>
    <row r="832" spans="1:11">
      <c r="A832" t="s">
        <v>104</v>
      </c>
      <c r="B832" t="s">
        <v>105</v>
      </c>
      <c r="C832" t="s">
        <v>379</v>
      </c>
      <c r="D832" t="s">
        <v>380</v>
      </c>
      <c r="E832" s="8">
        <v>1360</v>
      </c>
      <c r="F832" s="8">
        <v>39700</v>
      </c>
      <c r="G832" s="8">
        <f t="shared" si="48"/>
        <v>53992000</v>
      </c>
      <c r="H832" s="5">
        <v>0.7526</v>
      </c>
      <c r="I832" s="8">
        <f t="shared" si="49"/>
        <v>53992000</v>
      </c>
      <c r="J832" s="8">
        <f t="shared" si="50"/>
        <v>40634379.2</v>
      </c>
      <c r="K832" t="str">
        <f t="shared" si="51"/>
        <v>MATCHED</v>
      </c>
    </row>
    <row r="833" spans="1:11">
      <c r="A833" t="s">
        <v>104</v>
      </c>
      <c r="B833" t="s">
        <v>105</v>
      </c>
      <c r="C833" t="s">
        <v>1018</v>
      </c>
      <c r="D833" t="s">
        <v>1019</v>
      </c>
      <c r="E833" s="8">
        <v>570</v>
      </c>
      <c r="F833" s="8">
        <v>60510</v>
      </c>
      <c r="G833" s="8">
        <f t="shared" si="48"/>
        <v>34490700</v>
      </c>
      <c r="H833" s="5">
        <v>0.9111</v>
      </c>
      <c r="I833" s="8">
        <f t="shared" si="49"/>
        <v>34490700</v>
      </c>
      <c r="J833" s="8">
        <f t="shared" si="50"/>
        <v>31424476.77</v>
      </c>
      <c r="K833" t="str">
        <f t="shared" si="51"/>
        <v>MATCHED</v>
      </c>
    </row>
    <row r="834" spans="1:11">
      <c r="A834" t="s">
        <v>104</v>
      </c>
      <c r="B834" t="s">
        <v>105</v>
      </c>
      <c r="C834" t="s">
        <v>381</v>
      </c>
      <c r="D834" t="s">
        <v>382</v>
      </c>
      <c r="E834" s="8">
        <v>1000</v>
      </c>
      <c r="F834" s="8">
        <v>46870</v>
      </c>
      <c r="G834" s="8">
        <f t="shared" ref="G834:G897" si="52">IF(OR(E834="",F834=""),"",E834*F834)</f>
        <v>46870000</v>
      </c>
      <c r="H834" s="5">
        <v>0.9553</v>
      </c>
      <c r="I834" s="8">
        <f t="shared" ref="I834:I897" si="53">IF(G834="","",IF(ISNUMBER(H834),G834,""))</f>
        <v>46870000</v>
      </c>
      <c r="J834" s="8">
        <f t="shared" ref="J834:J897" si="54">IF(I834="","",I834*H834)</f>
        <v>44774911</v>
      </c>
      <c r="K834" t="str">
        <f t="shared" ref="K834:K897" si="55">IF(G834="","MISSING OEWS",IF(ISNUMBER(H834),"MATCHED","MISSING WHARTON"))</f>
        <v>MATCHED</v>
      </c>
    </row>
    <row r="835" spans="1:11">
      <c r="A835" t="s">
        <v>104</v>
      </c>
      <c r="B835" t="s">
        <v>105</v>
      </c>
      <c r="C835" t="s">
        <v>383</v>
      </c>
      <c r="D835" t="s">
        <v>384</v>
      </c>
      <c r="E835" s="8">
        <v>1610</v>
      </c>
      <c r="F835" s="8">
        <v>53470</v>
      </c>
      <c r="G835" s="8">
        <f t="shared" si="52"/>
        <v>86086700</v>
      </c>
      <c r="H835" s="5">
        <v>0.8342</v>
      </c>
      <c r="I835" s="8">
        <f t="shared" si="53"/>
        <v>86086700</v>
      </c>
      <c r="J835" s="8">
        <f t="shared" si="54"/>
        <v>71813525.14</v>
      </c>
      <c r="K835" t="str">
        <f t="shared" si="55"/>
        <v>MATCHED</v>
      </c>
    </row>
    <row r="836" spans="1:11">
      <c r="A836" t="s">
        <v>104</v>
      </c>
      <c r="B836" t="s">
        <v>105</v>
      </c>
      <c r="C836" t="s">
        <v>385</v>
      </c>
      <c r="D836" t="s">
        <v>386</v>
      </c>
      <c r="E836" s="8">
        <v>17610</v>
      </c>
      <c r="F836" s="8">
        <v>40820</v>
      </c>
      <c r="G836" s="8">
        <f t="shared" si="52"/>
        <v>718840200</v>
      </c>
      <c r="H836" s="5">
        <v>0.7368</v>
      </c>
      <c r="I836" s="8">
        <f t="shared" si="53"/>
        <v>718840200</v>
      </c>
      <c r="J836" s="8">
        <f t="shared" si="54"/>
        <v>529641459.36</v>
      </c>
      <c r="K836" t="str">
        <f t="shared" si="55"/>
        <v>MATCHED</v>
      </c>
    </row>
    <row r="837" spans="1:11">
      <c r="A837" t="s">
        <v>104</v>
      </c>
      <c r="B837" t="s">
        <v>105</v>
      </c>
      <c r="C837" t="s">
        <v>658</v>
      </c>
      <c r="D837" t="s">
        <v>659</v>
      </c>
      <c r="E837" s="8">
        <v>780</v>
      </c>
      <c r="F837" s="8">
        <v>59870</v>
      </c>
      <c r="G837" s="8">
        <f t="shared" si="52"/>
        <v>46698600</v>
      </c>
      <c r="H837" s="5"/>
      <c r="I837" s="8" t="str">
        <f t="shared" si="53"/>
        <v/>
      </c>
      <c r="J837" s="8" t="str">
        <f t="shared" si="54"/>
        <v/>
      </c>
      <c r="K837" t="str">
        <f t="shared" si="55"/>
        <v>MISSING WHARTON</v>
      </c>
    </row>
    <row r="838" spans="1:11">
      <c r="A838" t="s">
        <v>104</v>
      </c>
      <c r="B838" t="s">
        <v>105</v>
      </c>
      <c r="C838" t="s">
        <v>886</v>
      </c>
      <c r="D838" t="s">
        <v>887</v>
      </c>
      <c r="E838" s="8">
        <v>560</v>
      </c>
      <c r="F838" s="8">
        <v>36900</v>
      </c>
      <c r="G838" s="8">
        <f t="shared" si="52"/>
        <v>20664000</v>
      </c>
      <c r="H838" s="5">
        <v>0.2235</v>
      </c>
      <c r="I838" s="8">
        <f t="shared" si="53"/>
        <v>20664000</v>
      </c>
      <c r="J838" s="8">
        <f t="shared" si="54"/>
        <v>4618404</v>
      </c>
      <c r="K838" t="str">
        <f t="shared" si="55"/>
        <v>MATCHED</v>
      </c>
    </row>
    <row r="839" spans="1:11">
      <c r="A839" t="s">
        <v>104</v>
      </c>
      <c r="B839" t="s">
        <v>105</v>
      </c>
      <c r="C839" t="s">
        <v>387</v>
      </c>
      <c r="D839" t="s">
        <v>388</v>
      </c>
      <c r="E839" s="8">
        <v>18890</v>
      </c>
      <c r="F839" s="8">
        <v>53010</v>
      </c>
      <c r="G839" s="8">
        <f t="shared" si="52"/>
        <v>1001358900</v>
      </c>
      <c r="H839" s="5">
        <v>0.8192</v>
      </c>
      <c r="I839" s="8">
        <f t="shared" si="53"/>
        <v>1001358900</v>
      </c>
      <c r="J839" s="8">
        <f t="shared" si="54"/>
        <v>820313210.88</v>
      </c>
      <c r="K839" t="str">
        <f t="shared" si="55"/>
        <v>MATCHED</v>
      </c>
    </row>
    <row r="840" spans="1:11">
      <c r="A840" t="s">
        <v>104</v>
      </c>
      <c r="B840" t="s">
        <v>105</v>
      </c>
      <c r="C840" t="s">
        <v>888</v>
      </c>
      <c r="D840" t="s">
        <v>889</v>
      </c>
      <c r="E840" s="8">
        <v>370</v>
      </c>
      <c r="F840" s="8">
        <v>43410</v>
      </c>
      <c r="G840" s="8">
        <f t="shared" si="52"/>
        <v>16061700</v>
      </c>
      <c r="H840" s="5">
        <v>0.3654</v>
      </c>
      <c r="I840" s="8">
        <f t="shared" si="53"/>
        <v>16061700</v>
      </c>
      <c r="J840" s="8">
        <f t="shared" si="54"/>
        <v>5868945.18</v>
      </c>
      <c r="K840" t="str">
        <f t="shared" si="55"/>
        <v>MATCHED</v>
      </c>
    </row>
    <row r="841" spans="1:11">
      <c r="A841" t="s">
        <v>104</v>
      </c>
      <c r="B841" t="s">
        <v>105</v>
      </c>
      <c r="C841" t="s">
        <v>389</v>
      </c>
      <c r="D841" t="s">
        <v>390</v>
      </c>
      <c r="E841" s="8">
        <v>23610</v>
      </c>
      <c r="F841" s="8">
        <v>62870</v>
      </c>
      <c r="G841" s="8">
        <f t="shared" si="52"/>
        <v>1484360700</v>
      </c>
      <c r="H841" s="5">
        <v>0.7794</v>
      </c>
      <c r="I841" s="8">
        <f t="shared" si="53"/>
        <v>1484360700</v>
      </c>
      <c r="J841" s="8">
        <f t="shared" si="54"/>
        <v>1156910729.58</v>
      </c>
      <c r="K841" t="str">
        <f t="shared" si="55"/>
        <v>MATCHED</v>
      </c>
    </row>
    <row r="842" spans="1:11">
      <c r="A842" t="s">
        <v>104</v>
      </c>
      <c r="B842" t="s">
        <v>105</v>
      </c>
      <c r="C842" t="s">
        <v>391</v>
      </c>
      <c r="D842" t="s">
        <v>392</v>
      </c>
      <c r="E842" s="8">
        <v>11740</v>
      </c>
      <c r="F842" s="8">
        <v>52170</v>
      </c>
      <c r="G842" s="8">
        <f t="shared" si="52"/>
        <v>612475800</v>
      </c>
      <c r="H842" s="5">
        <v>0.6455</v>
      </c>
      <c r="I842" s="8">
        <f t="shared" si="53"/>
        <v>612475800</v>
      </c>
      <c r="J842" s="8">
        <f t="shared" si="54"/>
        <v>395353128.9</v>
      </c>
      <c r="K842" t="str">
        <f t="shared" si="55"/>
        <v>MATCHED</v>
      </c>
    </row>
    <row r="843" spans="1:11">
      <c r="A843" t="s">
        <v>104</v>
      </c>
      <c r="B843" t="s">
        <v>105</v>
      </c>
      <c r="C843" t="s">
        <v>393</v>
      </c>
      <c r="D843" t="s">
        <v>394</v>
      </c>
      <c r="E843" s="8">
        <v>550</v>
      </c>
      <c r="F843" s="8">
        <v>48670</v>
      </c>
      <c r="G843" s="8">
        <f t="shared" si="52"/>
        <v>26768500</v>
      </c>
      <c r="H843" s="5">
        <v>0.2932</v>
      </c>
      <c r="I843" s="8">
        <f t="shared" si="53"/>
        <v>26768500</v>
      </c>
      <c r="J843" s="8">
        <f t="shared" si="54"/>
        <v>7848524.2</v>
      </c>
      <c r="K843" t="str">
        <f t="shared" si="55"/>
        <v>MATCHED</v>
      </c>
    </row>
    <row r="844" spans="1:11">
      <c r="A844" t="s">
        <v>104</v>
      </c>
      <c r="B844" t="s">
        <v>105</v>
      </c>
      <c r="C844" t="s">
        <v>395</v>
      </c>
      <c r="D844" t="s">
        <v>396</v>
      </c>
      <c r="E844" s="8">
        <v>18450</v>
      </c>
      <c r="F844" s="8">
        <v>77410</v>
      </c>
      <c r="G844" s="8">
        <f t="shared" si="52"/>
        <v>1428214500</v>
      </c>
      <c r="H844" s="5">
        <v>0.7955</v>
      </c>
      <c r="I844" s="8">
        <f t="shared" si="53"/>
        <v>1428214500</v>
      </c>
      <c r="J844" s="8">
        <f t="shared" si="54"/>
        <v>1136144634.75</v>
      </c>
      <c r="K844" t="str">
        <f t="shared" si="55"/>
        <v>MATCHED</v>
      </c>
    </row>
    <row r="845" spans="1:11">
      <c r="A845" t="s">
        <v>104</v>
      </c>
      <c r="B845" t="s">
        <v>105</v>
      </c>
      <c r="C845" t="s">
        <v>890</v>
      </c>
      <c r="D845" t="s">
        <v>891</v>
      </c>
      <c r="E845" s="8">
        <v>180</v>
      </c>
      <c r="F845" s="8">
        <v>69560</v>
      </c>
      <c r="G845" s="8">
        <f t="shared" si="52"/>
        <v>12520800</v>
      </c>
      <c r="H845" s="5">
        <v>0.8679</v>
      </c>
      <c r="I845" s="8">
        <f t="shared" si="53"/>
        <v>12520800</v>
      </c>
      <c r="J845" s="8">
        <f t="shared" si="54"/>
        <v>10866802.32</v>
      </c>
      <c r="K845" t="str">
        <f t="shared" si="55"/>
        <v>MATCHED</v>
      </c>
    </row>
    <row r="846" spans="1:11">
      <c r="A846" t="s">
        <v>104</v>
      </c>
      <c r="B846" t="s">
        <v>105</v>
      </c>
      <c r="C846" t="s">
        <v>397</v>
      </c>
      <c r="D846" t="s">
        <v>398</v>
      </c>
      <c r="E846" s="8">
        <v>135720</v>
      </c>
      <c r="F846" s="8">
        <v>47720</v>
      </c>
      <c r="G846" s="8">
        <f t="shared" si="52"/>
        <v>6476558400</v>
      </c>
      <c r="H846" s="5">
        <v>0.8031</v>
      </c>
      <c r="I846" s="8">
        <f t="shared" si="53"/>
        <v>6476558400</v>
      </c>
      <c r="J846" s="8">
        <f t="shared" si="54"/>
        <v>5201324051.04</v>
      </c>
      <c r="K846" t="str">
        <f t="shared" si="55"/>
        <v>MATCHED</v>
      </c>
    </row>
    <row r="847" spans="1:11">
      <c r="A847" t="s">
        <v>104</v>
      </c>
      <c r="B847" t="s">
        <v>105</v>
      </c>
      <c r="C847" t="s">
        <v>399</v>
      </c>
      <c r="D847" t="s">
        <v>400</v>
      </c>
      <c r="E847" s="8">
        <v>2020</v>
      </c>
      <c r="F847" s="8">
        <v>44670</v>
      </c>
      <c r="G847" s="8">
        <f t="shared" si="52"/>
        <v>90233400</v>
      </c>
      <c r="H847" s="5">
        <v>0.75</v>
      </c>
      <c r="I847" s="8">
        <f t="shared" si="53"/>
        <v>90233400</v>
      </c>
      <c r="J847" s="8">
        <f t="shared" si="54"/>
        <v>67675050</v>
      </c>
      <c r="K847" t="str">
        <f t="shared" si="55"/>
        <v>MATCHED</v>
      </c>
    </row>
    <row r="848" spans="1:11">
      <c r="A848" t="s">
        <v>104</v>
      </c>
      <c r="B848" t="s">
        <v>105</v>
      </c>
      <c r="C848" t="s">
        <v>1020</v>
      </c>
      <c r="D848" t="s">
        <v>1021</v>
      </c>
      <c r="E848" s="8">
        <v>70</v>
      </c>
      <c r="F848" s="8">
        <v>58280</v>
      </c>
      <c r="G848" s="8">
        <f t="shared" si="52"/>
        <v>4079600</v>
      </c>
      <c r="H848" s="5">
        <v>0.9519</v>
      </c>
      <c r="I848" s="8">
        <f t="shared" si="53"/>
        <v>4079600</v>
      </c>
      <c r="J848" s="8">
        <f t="shared" si="54"/>
        <v>3883371.24</v>
      </c>
      <c r="K848" t="str">
        <f t="shared" si="55"/>
        <v>MATCHED</v>
      </c>
    </row>
    <row r="849" spans="1:11">
      <c r="A849" t="s">
        <v>104</v>
      </c>
      <c r="B849" t="s">
        <v>105</v>
      </c>
      <c r="C849" t="s">
        <v>892</v>
      </c>
      <c r="D849" t="s">
        <v>893</v>
      </c>
      <c r="E849" s="8"/>
      <c r="F849" s="8">
        <v>42350</v>
      </c>
      <c r="G849" s="8" t="str">
        <f t="shared" si="52"/>
        <v/>
      </c>
      <c r="H849" s="5">
        <v>0.231</v>
      </c>
      <c r="I849" s="8" t="str">
        <f t="shared" si="53"/>
        <v/>
      </c>
      <c r="J849" s="8" t="str">
        <f t="shared" si="54"/>
        <v/>
      </c>
      <c r="K849" t="str">
        <f t="shared" si="55"/>
        <v>MISSING OEWS</v>
      </c>
    </row>
    <row r="850" spans="1:11">
      <c r="A850" t="s">
        <v>104</v>
      </c>
      <c r="B850" t="s">
        <v>105</v>
      </c>
      <c r="C850" t="s">
        <v>401</v>
      </c>
      <c r="D850" t="s">
        <v>402</v>
      </c>
      <c r="E850" s="8">
        <v>260720</v>
      </c>
      <c r="F850" s="8">
        <v>49570</v>
      </c>
      <c r="G850" s="8">
        <f t="shared" si="52"/>
        <v>12923890400</v>
      </c>
      <c r="H850" s="5">
        <v>0.7452</v>
      </c>
      <c r="I850" s="8">
        <f t="shared" si="53"/>
        <v>12923890400</v>
      </c>
      <c r="J850" s="8">
        <f t="shared" si="54"/>
        <v>9630883126.08</v>
      </c>
      <c r="K850" t="str">
        <f t="shared" si="55"/>
        <v>MATCHED</v>
      </c>
    </row>
    <row r="851" spans="1:11">
      <c r="A851" t="s">
        <v>104</v>
      </c>
      <c r="B851" t="s">
        <v>105</v>
      </c>
      <c r="C851" t="s">
        <v>660</v>
      </c>
      <c r="D851" t="s">
        <v>661</v>
      </c>
      <c r="E851" s="8">
        <v>100</v>
      </c>
      <c r="F851" s="8">
        <v>53680</v>
      </c>
      <c r="G851" s="8">
        <f t="shared" si="52"/>
        <v>5368000</v>
      </c>
      <c r="H851" s="5">
        <v>0.2639</v>
      </c>
      <c r="I851" s="8">
        <f t="shared" si="53"/>
        <v>5368000</v>
      </c>
      <c r="J851" s="8">
        <f t="shared" si="54"/>
        <v>1416615.2</v>
      </c>
      <c r="K851" t="str">
        <f t="shared" si="55"/>
        <v>MATCHED</v>
      </c>
    </row>
    <row r="852" spans="1:11">
      <c r="A852" t="s">
        <v>104</v>
      </c>
      <c r="B852" t="s">
        <v>105</v>
      </c>
      <c r="C852" t="s">
        <v>662</v>
      </c>
      <c r="D852" t="s">
        <v>663</v>
      </c>
      <c r="E852" s="8">
        <v>3570</v>
      </c>
      <c r="F852" s="8">
        <v>56090</v>
      </c>
      <c r="G852" s="8">
        <f t="shared" si="52"/>
        <v>200241300</v>
      </c>
      <c r="H852" s="5"/>
      <c r="I852" s="8" t="str">
        <f t="shared" si="53"/>
        <v/>
      </c>
      <c r="J852" s="8" t="str">
        <f t="shared" si="54"/>
        <v/>
      </c>
      <c r="K852" t="str">
        <f t="shared" si="55"/>
        <v>MISSING WHARTON</v>
      </c>
    </row>
    <row r="853" spans="1:11">
      <c r="A853" t="s">
        <v>104</v>
      </c>
      <c r="B853" t="s">
        <v>105</v>
      </c>
      <c r="C853" t="s">
        <v>403</v>
      </c>
      <c r="D853" t="s">
        <v>404</v>
      </c>
      <c r="E853" s="8">
        <v>80</v>
      </c>
      <c r="F853" s="8">
        <v>60430</v>
      </c>
      <c r="G853" s="8">
        <f t="shared" si="52"/>
        <v>4834400</v>
      </c>
      <c r="H853" s="5">
        <v>0.22</v>
      </c>
      <c r="I853" s="8">
        <f t="shared" si="53"/>
        <v>4834400</v>
      </c>
      <c r="J853" s="8">
        <f t="shared" si="54"/>
        <v>1063568</v>
      </c>
      <c r="K853" t="str">
        <f t="shared" si="55"/>
        <v>MATCHED</v>
      </c>
    </row>
    <row r="854" spans="1:11">
      <c r="A854" t="s">
        <v>104</v>
      </c>
      <c r="B854" t="s">
        <v>105</v>
      </c>
      <c r="C854" t="s">
        <v>411</v>
      </c>
      <c r="D854" t="s">
        <v>412</v>
      </c>
      <c r="E854" s="8"/>
      <c r="F854" s="8">
        <v>44520</v>
      </c>
      <c r="G854" s="8" t="str">
        <f t="shared" si="52"/>
        <v/>
      </c>
      <c r="H854" s="5">
        <v>0.0559</v>
      </c>
      <c r="I854" s="8" t="str">
        <f t="shared" si="53"/>
        <v/>
      </c>
      <c r="J854" s="8" t="str">
        <f t="shared" si="54"/>
        <v/>
      </c>
      <c r="K854" t="str">
        <f t="shared" si="55"/>
        <v>MISSING OEWS</v>
      </c>
    </row>
    <row r="855" spans="1:11">
      <c r="A855" t="s">
        <v>104</v>
      </c>
      <c r="B855" t="s">
        <v>105</v>
      </c>
      <c r="C855" t="s">
        <v>413</v>
      </c>
      <c r="D855" t="s">
        <v>414</v>
      </c>
      <c r="E855" s="8">
        <v>340</v>
      </c>
      <c r="F855" s="8">
        <v>40890</v>
      </c>
      <c r="G855" s="8">
        <f t="shared" si="52"/>
        <v>13902600</v>
      </c>
      <c r="H855" s="5">
        <v>0.0633</v>
      </c>
      <c r="I855" s="8">
        <f t="shared" si="53"/>
        <v>13902600</v>
      </c>
      <c r="J855" s="8">
        <f t="shared" si="54"/>
        <v>880034.58</v>
      </c>
      <c r="K855" t="str">
        <f t="shared" si="55"/>
        <v>MATCHED</v>
      </c>
    </row>
    <row r="856" spans="1:11">
      <c r="A856" t="s">
        <v>104</v>
      </c>
      <c r="B856" t="s">
        <v>105</v>
      </c>
      <c r="C856" t="s">
        <v>415</v>
      </c>
      <c r="D856" t="s">
        <v>416</v>
      </c>
      <c r="E856" s="8">
        <v>410</v>
      </c>
      <c r="F856" s="8">
        <v>36290</v>
      </c>
      <c r="G856" s="8">
        <f t="shared" si="52"/>
        <v>14878900</v>
      </c>
      <c r="H856" s="5">
        <v>0.0864</v>
      </c>
      <c r="I856" s="8">
        <f t="shared" si="53"/>
        <v>14878900</v>
      </c>
      <c r="J856" s="8">
        <f t="shared" si="54"/>
        <v>1285536.96</v>
      </c>
      <c r="K856" t="str">
        <f t="shared" si="55"/>
        <v>MATCHED</v>
      </c>
    </row>
    <row r="857" spans="1:11">
      <c r="A857" t="s">
        <v>104</v>
      </c>
      <c r="B857" t="s">
        <v>105</v>
      </c>
      <c r="C857" t="s">
        <v>421</v>
      </c>
      <c r="D857" t="s">
        <v>422</v>
      </c>
      <c r="E857" s="8">
        <v>50</v>
      </c>
      <c r="F857" s="8">
        <v>53330</v>
      </c>
      <c r="G857" s="8">
        <f t="shared" si="52"/>
        <v>2666500</v>
      </c>
      <c r="H857" s="5">
        <v>0.2111</v>
      </c>
      <c r="I857" s="8">
        <f t="shared" si="53"/>
        <v>2666500</v>
      </c>
      <c r="J857" s="8">
        <f t="shared" si="54"/>
        <v>562898.15</v>
      </c>
      <c r="K857" t="str">
        <f t="shared" si="55"/>
        <v>MATCHED</v>
      </c>
    </row>
    <row r="858" spans="1:11">
      <c r="A858" t="s">
        <v>104</v>
      </c>
      <c r="B858" t="s">
        <v>105</v>
      </c>
      <c r="C858" t="s">
        <v>664</v>
      </c>
      <c r="D858" t="s">
        <v>665</v>
      </c>
      <c r="E858" s="8">
        <v>633650</v>
      </c>
      <c r="F858" s="8">
        <v>86580</v>
      </c>
      <c r="G858" s="8">
        <f t="shared" si="52"/>
        <v>54861417000</v>
      </c>
      <c r="H858" s="5">
        <v>0.265</v>
      </c>
      <c r="I858" s="8">
        <f t="shared" si="53"/>
        <v>54861417000</v>
      </c>
      <c r="J858" s="8">
        <f t="shared" si="54"/>
        <v>14538275505</v>
      </c>
      <c r="K858" t="str">
        <f t="shared" si="55"/>
        <v>MATCHED</v>
      </c>
    </row>
    <row r="859" spans="1:11">
      <c r="A859" t="s">
        <v>104</v>
      </c>
      <c r="B859" t="s">
        <v>105</v>
      </c>
      <c r="C859" t="s">
        <v>666</v>
      </c>
      <c r="D859" t="s">
        <v>667</v>
      </c>
      <c r="E859" s="8">
        <v>6160</v>
      </c>
      <c r="F859" s="8">
        <v>81180</v>
      </c>
      <c r="G859" s="8">
        <f t="shared" si="52"/>
        <v>500068800</v>
      </c>
      <c r="H859" s="5">
        <v>0</v>
      </c>
      <c r="I859" s="8">
        <f t="shared" si="53"/>
        <v>500068800</v>
      </c>
      <c r="J859" s="8">
        <f t="shared" si="54"/>
        <v>0</v>
      </c>
      <c r="K859" t="str">
        <f t="shared" si="55"/>
        <v>MATCHED</v>
      </c>
    </row>
    <row r="860" spans="1:11">
      <c r="A860" t="s">
        <v>104</v>
      </c>
      <c r="B860" t="s">
        <v>105</v>
      </c>
      <c r="C860" t="s">
        <v>1022</v>
      </c>
      <c r="D860" t="s">
        <v>1023</v>
      </c>
      <c r="E860" s="8">
        <v>49800</v>
      </c>
      <c r="F860" s="8">
        <v>68570</v>
      </c>
      <c r="G860" s="8">
        <f t="shared" si="52"/>
        <v>3414786000</v>
      </c>
      <c r="H860" s="5">
        <v>0.05</v>
      </c>
      <c r="I860" s="8">
        <f t="shared" si="53"/>
        <v>3414786000</v>
      </c>
      <c r="J860" s="8">
        <f t="shared" si="54"/>
        <v>170739300</v>
      </c>
      <c r="K860" t="str">
        <f t="shared" si="55"/>
        <v>MATCHED</v>
      </c>
    </row>
    <row r="861" spans="1:11">
      <c r="A861" t="s">
        <v>104</v>
      </c>
      <c r="B861" t="s">
        <v>105</v>
      </c>
      <c r="C861" t="s">
        <v>1024</v>
      </c>
      <c r="D861" t="s">
        <v>1025</v>
      </c>
      <c r="E861" s="8">
        <v>6260</v>
      </c>
      <c r="F861" s="8">
        <v>61910</v>
      </c>
      <c r="G861" s="8">
        <f t="shared" si="52"/>
        <v>387556600</v>
      </c>
      <c r="H861" s="5">
        <v>0</v>
      </c>
      <c r="I861" s="8">
        <f t="shared" si="53"/>
        <v>387556600</v>
      </c>
      <c r="J861" s="8">
        <f t="shared" si="54"/>
        <v>0</v>
      </c>
      <c r="K861" t="str">
        <f t="shared" si="55"/>
        <v>MATCHED</v>
      </c>
    </row>
    <row r="862" spans="1:11">
      <c r="A862" t="s">
        <v>104</v>
      </c>
      <c r="B862" t="s">
        <v>105</v>
      </c>
      <c r="C862" t="s">
        <v>427</v>
      </c>
      <c r="D862" t="s">
        <v>428</v>
      </c>
      <c r="E862" s="8">
        <v>570980</v>
      </c>
      <c r="F862" s="8">
        <v>66470</v>
      </c>
      <c r="G862" s="8">
        <f t="shared" si="52"/>
        <v>37953040600</v>
      </c>
      <c r="H862" s="5">
        <v>0.081</v>
      </c>
      <c r="I862" s="8">
        <f t="shared" si="53"/>
        <v>37953040600</v>
      </c>
      <c r="J862" s="8">
        <f t="shared" si="54"/>
        <v>3074196288.6</v>
      </c>
      <c r="K862" t="str">
        <f t="shared" si="55"/>
        <v>MATCHED</v>
      </c>
    </row>
    <row r="863" spans="1:11">
      <c r="A863" t="s">
        <v>104</v>
      </c>
      <c r="B863" t="s">
        <v>105</v>
      </c>
      <c r="C863" t="s">
        <v>1026</v>
      </c>
      <c r="D863" t="s">
        <v>1027</v>
      </c>
      <c r="E863" s="8">
        <v>7980</v>
      </c>
      <c r="F863" s="8">
        <v>58330</v>
      </c>
      <c r="G863" s="8">
        <f t="shared" si="52"/>
        <v>465473400</v>
      </c>
      <c r="H863" s="5">
        <v>0.0438</v>
      </c>
      <c r="I863" s="8">
        <f t="shared" si="53"/>
        <v>465473400</v>
      </c>
      <c r="J863" s="8">
        <f t="shared" si="54"/>
        <v>20387734.92</v>
      </c>
      <c r="K863" t="str">
        <f t="shared" si="55"/>
        <v>MATCHED</v>
      </c>
    </row>
    <row r="864" spans="1:11">
      <c r="A864" t="s">
        <v>104</v>
      </c>
      <c r="B864" t="s">
        <v>105</v>
      </c>
      <c r="C864" t="s">
        <v>1028</v>
      </c>
      <c r="D864" t="s">
        <v>1029</v>
      </c>
      <c r="E864" s="8">
        <v>20310</v>
      </c>
      <c r="F864" s="8">
        <v>62830</v>
      </c>
      <c r="G864" s="8">
        <f t="shared" si="52"/>
        <v>1276077300</v>
      </c>
      <c r="H864" s="5">
        <v>0</v>
      </c>
      <c r="I864" s="8">
        <f t="shared" si="53"/>
        <v>1276077300</v>
      </c>
      <c r="J864" s="8">
        <f t="shared" si="54"/>
        <v>0</v>
      </c>
      <c r="K864" t="str">
        <f t="shared" si="55"/>
        <v>MATCHED</v>
      </c>
    </row>
    <row r="865" spans="1:11">
      <c r="A865" t="s">
        <v>104</v>
      </c>
      <c r="B865" t="s">
        <v>105</v>
      </c>
      <c r="C865" t="s">
        <v>1030</v>
      </c>
      <c r="D865" t="s">
        <v>1031</v>
      </c>
      <c r="E865" s="8">
        <v>3430</v>
      </c>
      <c r="F865" s="8">
        <v>53250</v>
      </c>
      <c r="G865" s="8">
        <f t="shared" si="52"/>
        <v>182647500</v>
      </c>
      <c r="H865" s="5">
        <v>0</v>
      </c>
      <c r="I865" s="8">
        <f t="shared" si="53"/>
        <v>182647500</v>
      </c>
      <c r="J865" s="8">
        <f t="shared" si="54"/>
        <v>0</v>
      </c>
      <c r="K865" t="str">
        <f t="shared" si="55"/>
        <v>MATCHED</v>
      </c>
    </row>
    <row r="866" spans="1:11">
      <c r="A866" t="s">
        <v>104</v>
      </c>
      <c r="B866" t="s">
        <v>105</v>
      </c>
      <c r="C866" t="s">
        <v>1032</v>
      </c>
      <c r="D866" t="s">
        <v>1033</v>
      </c>
      <c r="E866" s="8">
        <v>28940</v>
      </c>
      <c r="F866" s="8">
        <v>60750</v>
      </c>
      <c r="G866" s="8">
        <f t="shared" si="52"/>
        <v>1758105000</v>
      </c>
      <c r="H866" s="5">
        <v>0.028</v>
      </c>
      <c r="I866" s="8">
        <f t="shared" si="53"/>
        <v>1758105000</v>
      </c>
      <c r="J866" s="8">
        <f t="shared" si="54"/>
        <v>49226940</v>
      </c>
      <c r="K866" t="str">
        <f t="shared" si="55"/>
        <v>MATCHED</v>
      </c>
    </row>
    <row r="867" spans="1:11">
      <c r="A867" t="s">
        <v>104</v>
      </c>
      <c r="B867" t="s">
        <v>105</v>
      </c>
      <c r="C867" t="s">
        <v>668</v>
      </c>
      <c r="D867" t="s">
        <v>669</v>
      </c>
      <c r="E867" s="8">
        <v>194180</v>
      </c>
      <c r="F867" s="8">
        <v>60240</v>
      </c>
      <c r="G867" s="8">
        <f t="shared" si="52"/>
        <v>11697403200</v>
      </c>
      <c r="H867" s="5">
        <v>0</v>
      </c>
      <c r="I867" s="8">
        <f t="shared" si="53"/>
        <v>11697403200</v>
      </c>
      <c r="J867" s="8">
        <f t="shared" si="54"/>
        <v>0</v>
      </c>
      <c r="K867" t="str">
        <f t="shared" si="55"/>
        <v>MATCHED</v>
      </c>
    </row>
    <row r="868" spans="1:11">
      <c r="A868" t="s">
        <v>104</v>
      </c>
      <c r="B868" t="s">
        <v>105</v>
      </c>
      <c r="C868" t="s">
        <v>1034</v>
      </c>
      <c r="D868" t="s">
        <v>1035</v>
      </c>
      <c r="E868" s="8">
        <v>1160</v>
      </c>
      <c r="F868" s="8">
        <v>85230</v>
      </c>
      <c r="G868" s="8">
        <f t="shared" si="52"/>
        <v>98866800</v>
      </c>
      <c r="H868" s="5">
        <v>0</v>
      </c>
      <c r="I868" s="8">
        <f t="shared" si="53"/>
        <v>98866800</v>
      </c>
      <c r="J868" s="8">
        <f t="shared" si="54"/>
        <v>0</v>
      </c>
      <c r="K868" t="str">
        <f t="shared" si="55"/>
        <v>MATCHED</v>
      </c>
    </row>
    <row r="869" spans="1:11">
      <c r="A869" t="s">
        <v>104</v>
      </c>
      <c r="B869" t="s">
        <v>105</v>
      </c>
      <c r="C869" t="s">
        <v>670</v>
      </c>
      <c r="D869" t="s">
        <v>671</v>
      </c>
      <c r="E869" s="8">
        <v>929760</v>
      </c>
      <c r="F869" s="8">
        <v>52810</v>
      </c>
      <c r="G869" s="8">
        <f t="shared" si="52"/>
        <v>49100625600</v>
      </c>
      <c r="H869" s="5">
        <v>0.0297</v>
      </c>
      <c r="I869" s="8">
        <f t="shared" si="53"/>
        <v>49100625600</v>
      </c>
      <c r="J869" s="8">
        <f t="shared" si="54"/>
        <v>1458288580.32</v>
      </c>
      <c r="K869" t="str">
        <f t="shared" si="55"/>
        <v>MATCHED</v>
      </c>
    </row>
    <row r="870" spans="1:11">
      <c r="A870" t="s">
        <v>104</v>
      </c>
      <c r="B870" t="s">
        <v>105</v>
      </c>
      <c r="C870" t="s">
        <v>672</v>
      </c>
      <c r="D870" t="s">
        <v>673</v>
      </c>
      <c r="E870" s="8">
        <v>31820</v>
      </c>
      <c r="F870" s="8">
        <v>58930</v>
      </c>
      <c r="G870" s="8">
        <f t="shared" si="52"/>
        <v>1875152600</v>
      </c>
      <c r="H870" s="5">
        <v>0</v>
      </c>
      <c r="I870" s="8">
        <f t="shared" si="53"/>
        <v>1875152600</v>
      </c>
      <c r="J870" s="8">
        <f t="shared" si="54"/>
        <v>0</v>
      </c>
      <c r="K870" t="str">
        <f t="shared" si="55"/>
        <v>MATCHED</v>
      </c>
    </row>
    <row r="871" spans="1:11">
      <c r="A871" t="s">
        <v>104</v>
      </c>
      <c r="B871" t="s">
        <v>105</v>
      </c>
      <c r="C871" t="s">
        <v>1036</v>
      </c>
      <c r="D871" t="s">
        <v>1037</v>
      </c>
      <c r="E871" s="8">
        <v>2110</v>
      </c>
      <c r="F871" s="8">
        <v>82040</v>
      </c>
      <c r="G871" s="8">
        <f t="shared" si="52"/>
        <v>173104400</v>
      </c>
      <c r="H871" s="5">
        <v>0</v>
      </c>
      <c r="I871" s="8">
        <f t="shared" si="53"/>
        <v>173104400</v>
      </c>
      <c r="J871" s="8">
        <f t="shared" si="54"/>
        <v>0</v>
      </c>
      <c r="K871" t="str">
        <f t="shared" si="55"/>
        <v>MATCHED</v>
      </c>
    </row>
    <row r="872" spans="1:11">
      <c r="A872" t="s">
        <v>104</v>
      </c>
      <c r="B872" t="s">
        <v>105</v>
      </c>
      <c r="C872" t="s">
        <v>429</v>
      </c>
      <c r="D872" t="s">
        <v>430</v>
      </c>
      <c r="E872" s="8">
        <v>302290</v>
      </c>
      <c r="F872" s="8">
        <v>70760</v>
      </c>
      <c r="G872" s="8">
        <f t="shared" si="52"/>
        <v>21390040400</v>
      </c>
      <c r="H872" s="5">
        <v>0.0589</v>
      </c>
      <c r="I872" s="8">
        <f t="shared" si="53"/>
        <v>21390040400</v>
      </c>
      <c r="J872" s="8">
        <f t="shared" si="54"/>
        <v>1259873379.56</v>
      </c>
      <c r="K872" t="str">
        <f t="shared" si="55"/>
        <v>MATCHED</v>
      </c>
    </row>
    <row r="873" spans="1:11">
      <c r="A873" t="s">
        <v>104</v>
      </c>
      <c r="B873" t="s">
        <v>105</v>
      </c>
      <c r="C873" t="s">
        <v>1038</v>
      </c>
      <c r="D873" t="s">
        <v>1039</v>
      </c>
      <c r="E873" s="8">
        <v>80680</v>
      </c>
      <c r="F873" s="8">
        <v>64120</v>
      </c>
      <c r="G873" s="8">
        <f t="shared" si="52"/>
        <v>5173201600</v>
      </c>
      <c r="H873" s="5">
        <v>0</v>
      </c>
      <c r="I873" s="8">
        <f t="shared" si="53"/>
        <v>5173201600</v>
      </c>
      <c r="J873" s="8">
        <f t="shared" si="54"/>
        <v>0</v>
      </c>
      <c r="K873" t="str">
        <f t="shared" si="55"/>
        <v>MATCHED</v>
      </c>
    </row>
    <row r="874" spans="1:11">
      <c r="A874" t="s">
        <v>104</v>
      </c>
      <c r="B874" t="s">
        <v>105</v>
      </c>
      <c r="C874" t="s">
        <v>1040</v>
      </c>
      <c r="D874" t="s">
        <v>1041</v>
      </c>
      <c r="E874" s="8">
        <v>12680</v>
      </c>
      <c r="F874" s="8">
        <v>72730</v>
      </c>
      <c r="G874" s="8">
        <f t="shared" si="52"/>
        <v>922216400</v>
      </c>
      <c r="H874" s="5">
        <v>0</v>
      </c>
      <c r="I874" s="8">
        <f t="shared" si="53"/>
        <v>922216400</v>
      </c>
      <c r="J874" s="8">
        <f t="shared" si="54"/>
        <v>0</v>
      </c>
      <c r="K874" t="str">
        <f t="shared" si="55"/>
        <v>MATCHED</v>
      </c>
    </row>
    <row r="875" spans="1:11">
      <c r="A875" t="s">
        <v>104</v>
      </c>
      <c r="B875" t="s">
        <v>105</v>
      </c>
      <c r="C875" t="s">
        <v>431</v>
      </c>
      <c r="D875" t="s">
        <v>432</v>
      </c>
      <c r="E875" s="8">
        <v>599700</v>
      </c>
      <c r="F875" s="8">
        <v>70190</v>
      </c>
      <c r="G875" s="8">
        <f t="shared" si="52"/>
        <v>42092943000</v>
      </c>
      <c r="H875" s="5">
        <v>0.0786</v>
      </c>
      <c r="I875" s="8">
        <f t="shared" si="53"/>
        <v>42092943000</v>
      </c>
      <c r="J875" s="8">
        <f t="shared" si="54"/>
        <v>3308505319.8</v>
      </c>
      <c r="K875" t="str">
        <f t="shared" si="55"/>
        <v>MATCHED</v>
      </c>
    </row>
    <row r="876" spans="1:11">
      <c r="A876" t="s">
        <v>104</v>
      </c>
      <c r="B876" t="s">
        <v>105</v>
      </c>
      <c r="C876" t="s">
        <v>1042</v>
      </c>
      <c r="D876" t="s">
        <v>1043</v>
      </c>
      <c r="E876" s="8">
        <v>46870</v>
      </c>
      <c r="F876" s="8">
        <v>60630</v>
      </c>
      <c r="G876" s="8">
        <f t="shared" si="52"/>
        <v>2841728100</v>
      </c>
      <c r="H876" s="5">
        <v>0</v>
      </c>
      <c r="I876" s="8">
        <f t="shared" si="53"/>
        <v>2841728100</v>
      </c>
      <c r="J876" s="8">
        <f t="shared" si="54"/>
        <v>0</v>
      </c>
      <c r="K876" t="str">
        <f t="shared" si="55"/>
        <v>MATCHED</v>
      </c>
    </row>
    <row r="877" spans="1:11">
      <c r="A877" t="s">
        <v>104</v>
      </c>
      <c r="B877" t="s">
        <v>105</v>
      </c>
      <c r="C877" t="s">
        <v>674</v>
      </c>
      <c r="D877" t="s">
        <v>675</v>
      </c>
      <c r="E877" s="8">
        <v>42240</v>
      </c>
      <c r="F877" s="8">
        <v>55010</v>
      </c>
      <c r="G877" s="8">
        <f t="shared" si="52"/>
        <v>2323622400</v>
      </c>
      <c r="H877" s="5">
        <v>0</v>
      </c>
      <c r="I877" s="8">
        <f t="shared" si="53"/>
        <v>2323622400</v>
      </c>
      <c r="J877" s="8">
        <f t="shared" si="54"/>
        <v>0</v>
      </c>
      <c r="K877" t="str">
        <f t="shared" si="55"/>
        <v>MATCHED</v>
      </c>
    </row>
    <row r="878" spans="1:11">
      <c r="A878" t="s">
        <v>104</v>
      </c>
      <c r="B878" t="s">
        <v>105</v>
      </c>
      <c r="C878" t="s">
        <v>676</v>
      </c>
      <c r="D878" t="s">
        <v>677</v>
      </c>
      <c r="E878" s="8">
        <v>23330</v>
      </c>
      <c r="F878" s="8">
        <v>65140</v>
      </c>
      <c r="G878" s="8">
        <f t="shared" si="52"/>
        <v>1519716200</v>
      </c>
      <c r="H878" s="5">
        <v>0.0731</v>
      </c>
      <c r="I878" s="8">
        <f t="shared" si="53"/>
        <v>1519716200</v>
      </c>
      <c r="J878" s="8">
        <f t="shared" si="54"/>
        <v>111091254.22</v>
      </c>
      <c r="K878" t="str">
        <f t="shared" si="55"/>
        <v>MATCHED</v>
      </c>
    </row>
    <row r="879" spans="1:11">
      <c r="A879" t="s">
        <v>104</v>
      </c>
      <c r="B879" t="s">
        <v>105</v>
      </c>
      <c r="C879" t="s">
        <v>678</v>
      </c>
      <c r="D879" t="s">
        <v>679</v>
      </c>
      <c r="E879" s="8">
        <v>185730</v>
      </c>
      <c r="F879" s="8">
        <v>54820</v>
      </c>
      <c r="G879" s="8">
        <f t="shared" si="52"/>
        <v>10181718600</v>
      </c>
      <c r="H879" s="5">
        <v>0.0368</v>
      </c>
      <c r="I879" s="8">
        <f t="shared" si="53"/>
        <v>10181718600</v>
      </c>
      <c r="J879" s="8">
        <f t="shared" si="54"/>
        <v>374687244.48</v>
      </c>
      <c r="K879" t="str">
        <f t="shared" si="55"/>
        <v>MATCHED</v>
      </c>
    </row>
    <row r="880" spans="1:11">
      <c r="A880" t="s">
        <v>104</v>
      </c>
      <c r="B880" t="s">
        <v>105</v>
      </c>
      <c r="C880" t="s">
        <v>1044</v>
      </c>
      <c r="D880" t="s">
        <v>1045</v>
      </c>
      <c r="E880" s="8">
        <v>360</v>
      </c>
      <c r="F880" s="8">
        <v>58550</v>
      </c>
      <c r="G880" s="8">
        <f t="shared" si="52"/>
        <v>21078000</v>
      </c>
      <c r="H880" s="5">
        <v>0</v>
      </c>
      <c r="I880" s="8">
        <f t="shared" si="53"/>
        <v>21078000</v>
      </c>
      <c r="J880" s="8">
        <f t="shared" si="54"/>
        <v>0</v>
      </c>
      <c r="K880" t="str">
        <f t="shared" si="55"/>
        <v>MATCHED</v>
      </c>
    </row>
    <row r="881" spans="1:11">
      <c r="A881" t="s">
        <v>104</v>
      </c>
      <c r="B881" t="s">
        <v>105</v>
      </c>
      <c r="C881" t="s">
        <v>680</v>
      </c>
      <c r="D881" t="s">
        <v>681</v>
      </c>
      <c r="E881" s="8">
        <v>26300</v>
      </c>
      <c r="F881" s="8">
        <v>54600</v>
      </c>
      <c r="G881" s="8">
        <f t="shared" si="52"/>
        <v>1435980000</v>
      </c>
      <c r="H881" s="5">
        <v>0</v>
      </c>
      <c r="I881" s="8">
        <f t="shared" si="53"/>
        <v>1435980000</v>
      </c>
      <c r="J881" s="8">
        <f t="shared" si="54"/>
        <v>0</v>
      </c>
      <c r="K881" t="str">
        <f t="shared" si="55"/>
        <v>MATCHED</v>
      </c>
    </row>
    <row r="882" spans="1:11">
      <c r="A882" t="s">
        <v>104</v>
      </c>
      <c r="B882" t="s">
        <v>105</v>
      </c>
      <c r="C882" t="s">
        <v>682</v>
      </c>
      <c r="D882" t="s">
        <v>683</v>
      </c>
      <c r="E882" s="8">
        <v>383600</v>
      </c>
      <c r="F882" s="8">
        <v>71870</v>
      </c>
      <c r="G882" s="8">
        <f t="shared" si="52"/>
        <v>27569332000</v>
      </c>
      <c r="H882" s="5">
        <v>0.04</v>
      </c>
      <c r="I882" s="8">
        <f t="shared" si="53"/>
        <v>27569332000</v>
      </c>
      <c r="J882" s="8">
        <f t="shared" si="54"/>
        <v>1102773280</v>
      </c>
      <c r="K882" t="str">
        <f t="shared" si="55"/>
        <v>MATCHED</v>
      </c>
    </row>
    <row r="883" spans="1:11">
      <c r="A883" t="s">
        <v>104</v>
      </c>
      <c r="B883" t="s">
        <v>105</v>
      </c>
      <c r="C883" t="s">
        <v>1046</v>
      </c>
      <c r="D883" t="s">
        <v>1047</v>
      </c>
      <c r="E883" s="8">
        <v>18350</v>
      </c>
      <c r="F883" s="8">
        <v>61900</v>
      </c>
      <c r="G883" s="8">
        <f t="shared" si="52"/>
        <v>1135865000</v>
      </c>
      <c r="H883" s="5">
        <v>0</v>
      </c>
      <c r="I883" s="8">
        <f t="shared" si="53"/>
        <v>1135865000</v>
      </c>
      <c r="J883" s="8">
        <f t="shared" si="54"/>
        <v>0</v>
      </c>
      <c r="K883" t="str">
        <f t="shared" si="55"/>
        <v>MATCHED</v>
      </c>
    </row>
    <row r="884" spans="1:11">
      <c r="A884" t="s">
        <v>104</v>
      </c>
      <c r="B884" t="s">
        <v>105</v>
      </c>
      <c r="C884" t="s">
        <v>1048</v>
      </c>
      <c r="D884" t="s">
        <v>1049</v>
      </c>
      <c r="E884" s="8">
        <v>12410</v>
      </c>
      <c r="F884" s="8">
        <v>65520</v>
      </c>
      <c r="G884" s="8">
        <f t="shared" si="52"/>
        <v>813103200</v>
      </c>
      <c r="H884" s="5">
        <v>0</v>
      </c>
      <c r="I884" s="8">
        <f t="shared" si="53"/>
        <v>813103200</v>
      </c>
      <c r="J884" s="8">
        <f t="shared" si="54"/>
        <v>0</v>
      </c>
      <c r="K884" t="str">
        <f t="shared" si="55"/>
        <v>MATCHED</v>
      </c>
    </row>
    <row r="885" spans="1:11">
      <c r="A885" t="s">
        <v>104</v>
      </c>
      <c r="B885" t="s">
        <v>105</v>
      </c>
      <c r="C885" t="s">
        <v>1050</v>
      </c>
      <c r="D885" t="s">
        <v>1051</v>
      </c>
      <c r="E885" s="8">
        <v>132130</v>
      </c>
      <c r="F885" s="8">
        <v>58230</v>
      </c>
      <c r="G885" s="8">
        <f t="shared" si="52"/>
        <v>7693929900</v>
      </c>
      <c r="H885" s="5">
        <v>0</v>
      </c>
      <c r="I885" s="8">
        <f t="shared" si="53"/>
        <v>7693929900</v>
      </c>
      <c r="J885" s="8">
        <f t="shared" si="54"/>
        <v>0</v>
      </c>
      <c r="K885" t="str">
        <f t="shared" si="55"/>
        <v>MATCHED</v>
      </c>
    </row>
    <row r="886" spans="1:11">
      <c r="A886" t="s">
        <v>104</v>
      </c>
      <c r="B886" t="s">
        <v>105</v>
      </c>
      <c r="C886" t="s">
        <v>684</v>
      </c>
      <c r="D886" t="s">
        <v>685</v>
      </c>
      <c r="E886" s="8">
        <v>77530</v>
      </c>
      <c r="F886" s="8">
        <v>70890</v>
      </c>
      <c r="G886" s="8">
        <f t="shared" si="52"/>
        <v>5496101700</v>
      </c>
      <c r="H886" s="5">
        <v>0.0687</v>
      </c>
      <c r="I886" s="8">
        <f t="shared" si="53"/>
        <v>5496101700</v>
      </c>
      <c r="J886" s="8">
        <f t="shared" si="54"/>
        <v>377582186.79</v>
      </c>
      <c r="K886" t="str">
        <f t="shared" si="55"/>
        <v>MATCHED</v>
      </c>
    </row>
    <row r="887" spans="1:11">
      <c r="A887" t="s">
        <v>104</v>
      </c>
      <c r="B887" t="s">
        <v>105</v>
      </c>
      <c r="C887" t="s">
        <v>686</v>
      </c>
      <c r="D887" t="s">
        <v>687</v>
      </c>
      <c r="E887" s="8">
        <v>57020</v>
      </c>
      <c r="F887" s="8">
        <v>71330</v>
      </c>
      <c r="G887" s="8">
        <f t="shared" si="52"/>
        <v>4067236600</v>
      </c>
      <c r="H887" s="5">
        <v>0</v>
      </c>
      <c r="I887" s="8">
        <f t="shared" si="53"/>
        <v>4067236600</v>
      </c>
      <c r="J887" s="8">
        <f t="shared" si="54"/>
        <v>0</v>
      </c>
      <c r="K887" t="str">
        <f t="shared" si="55"/>
        <v>MATCHED</v>
      </c>
    </row>
    <row r="888" spans="1:11">
      <c r="A888" t="s">
        <v>104</v>
      </c>
      <c r="B888" t="s">
        <v>105</v>
      </c>
      <c r="C888" t="s">
        <v>894</v>
      </c>
      <c r="D888" t="s">
        <v>895</v>
      </c>
      <c r="E888" s="8">
        <v>20420</v>
      </c>
      <c r="F888" s="8">
        <v>60360</v>
      </c>
      <c r="G888" s="8">
        <f t="shared" si="52"/>
        <v>1232551200</v>
      </c>
      <c r="H888" s="5">
        <v>0.0635</v>
      </c>
      <c r="I888" s="8">
        <f t="shared" si="53"/>
        <v>1232551200</v>
      </c>
      <c r="J888" s="8">
        <f t="shared" si="54"/>
        <v>78267001.2</v>
      </c>
      <c r="K888" t="str">
        <f t="shared" si="55"/>
        <v>MATCHED</v>
      </c>
    </row>
    <row r="889" spans="1:11">
      <c r="A889" t="s">
        <v>104</v>
      </c>
      <c r="B889" t="s">
        <v>105</v>
      </c>
      <c r="C889" t="s">
        <v>1052</v>
      </c>
      <c r="D889" t="s">
        <v>1053</v>
      </c>
      <c r="E889" s="8">
        <v>13730</v>
      </c>
      <c r="F889" s="8">
        <v>51040</v>
      </c>
      <c r="G889" s="8">
        <f t="shared" si="52"/>
        <v>700779200</v>
      </c>
      <c r="H889" s="5">
        <v>0</v>
      </c>
      <c r="I889" s="8">
        <f t="shared" si="53"/>
        <v>700779200</v>
      </c>
      <c r="J889" s="8">
        <f t="shared" si="54"/>
        <v>0</v>
      </c>
      <c r="K889" t="str">
        <f t="shared" si="55"/>
        <v>MATCHED</v>
      </c>
    </row>
    <row r="890" spans="1:11">
      <c r="A890" t="s">
        <v>104</v>
      </c>
      <c r="B890" t="s">
        <v>105</v>
      </c>
      <c r="C890" t="s">
        <v>1054</v>
      </c>
      <c r="D890" t="s">
        <v>1055</v>
      </c>
      <c r="E890" s="8">
        <v>19120</v>
      </c>
      <c r="F890" s="8">
        <v>43830</v>
      </c>
      <c r="G890" s="8">
        <f t="shared" si="52"/>
        <v>838029600</v>
      </c>
      <c r="H890" s="5">
        <v>0</v>
      </c>
      <c r="I890" s="8">
        <f t="shared" si="53"/>
        <v>838029600</v>
      </c>
      <c r="J890" s="8">
        <f t="shared" si="54"/>
        <v>0</v>
      </c>
      <c r="K890" t="str">
        <f t="shared" si="55"/>
        <v>MATCHED</v>
      </c>
    </row>
    <row r="891" spans="1:11">
      <c r="A891" t="s">
        <v>104</v>
      </c>
      <c r="B891" t="s">
        <v>105</v>
      </c>
      <c r="C891" t="s">
        <v>688</v>
      </c>
      <c r="D891" t="s">
        <v>689</v>
      </c>
      <c r="E891" s="8">
        <v>57960</v>
      </c>
      <c r="F891" s="8">
        <v>43550</v>
      </c>
      <c r="G891" s="8">
        <f t="shared" si="52"/>
        <v>2524158000</v>
      </c>
      <c r="H891" s="5">
        <v>0.0396</v>
      </c>
      <c r="I891" s="8">
        <f t="shared" si="53"/>
        <v>2524158000</v>
      </c>
      <c r="J891" s="8">
        <f t="shared" si="54"/>
        <v>99956656.8</v>
      </c>
      <c r="K891" t="str">
        <f t="shared" si="55"/>
        <v>MATCHED</v>
      </c>
    </row>
    <row r="892" spans="1:11">
      <c r="A892" t="s">
        <v>104</v>
      </c>
      <c r="B892" t="s">
        <v>105</v>
      </c>
      <c r="C892" t="s">
        <v>1056</v>
      </c>
      <c r="D892" t="s">
        <v>1057</v>
      </c>
      <c r="E892" s="8">
        <v>6930</v>
      </c>
      <c r="F892" s="8">
        <v>42830</v>
      </c>
      <c r="G892" s="8">
        <f t="shared" si="52"/>
        <v>296811900</v>
      </c>
      <c r="H892" s="5">
        <v>0</v>
      </c>
      <c r="I892" s="8">
        <f t="shared" si="53"/>
        <v>296811900</v>
      </c>
      <c r="J892" s="8">
        <f t="shared" si="54"/>
        <v>0</v>
      </c>
      <c r="K892" t="str">
        <f t="shared" si="55"/>
        <v>MATCHED</v>
      </c>
    </row>
    <row r="893" spans="1:11">
      <c r="A893" t="s">
        <v>104</v>
      </c>
      <c r="B893" t="s">
        <v>105</v>
      </c>
      <c r="C893" t="s">
        <v>690</v>
      </c>
      <c r="D893" t="s">
        <v>691</v>
      </c>
      <c r="E893" s="8">
        <v>42460</v>
      </c>
      <c r="F893" s="8">
        <v>43590</v>
      </c>
      <c r="G893" s="8">
        <f t="shared" si="52"/>
        <v>1850831400</v>
      </c>
      <c r="H893" s="5">
        <v>0</v>
      </c>
      <c r="I893" s="8">
        <f t="shared" si="53"/>
        <v>1850831400</v>
      </c>
      <c r="J893" s="8">
        <f t="shared" si="54"/>
        <v>0</v>
      </c>
      <c r="K893" t="str">
        <f t="shared" si="55"/>
        <v>MATCHED</v>
      </c>
    </row>
    <row r="894" spans="1:11">
      <c r="A894" t="s">
        <v>104</v>
      </c>
      <c r="B894" t="s">
        <v>105</v>
      </c>
      <c r="C894" t="s">
        <v>1058</v>
      </c>
      <c r="D894" t="s">
        <v>1059</v>
      </c>
      <c r="E894" s="8">
        <v>5930</v>
      </c>
      <c r="F894" s="8">
        <v>45240</v>
      </c>
      <c r="G894" s="8">
        <f t="shared" si="52"/>
        <v>268273200</v>
      </c>
      <c r="H894" s="5">
        <v>0</v>
      </c>
      <c r="I894" s="8">
        <f t="shared" si="53"/>
        <v>268273200</v>
      </c>
      <c r="J894" s="8">
        <f t="shared" si="54"/>
        <v>0</v>
      </c>
      <c r="K894" t="str">
        <f t="shared" si="55"/>
        <v>MATCHED</v>
      </c>
    </row>
    <row r="895" spans="1:11">
      <c r="A895" t="s">
        <v>104</v>
      </c>
      <c r="B895" t="s">
        <v>105</v>
      </c>
      <c r="C895" t="s">
        <v>692</v>
      </c>
      <c r="D895" t="s">
        <v>693</v>
      </c>
      <c r="E895" s="8">
        <v>20640</v>
      </c>
      <c r="F895" s="8">
        <v>45130</v>
      </c>
      <c r="G895" s="8">
        <f t="shared" si="52"/>
        <v>931483200</v>
      </c>
      <c r="H895" s="5"/>
      <c r="I895" s="8" t="str">
        <f t="shared" si="53"/>
        <v/>
      </c>
      <c r="J895" s="8" t="str">
        <f t="shared" si="54"/>
        <v/>
      </c>
      <c r="K895" t="str">
        <f t="shared" si="55"/>
        <v>MISSING WHARTON</v>
      </c>
    </row>
    <row r="896" spans="1:11">
      <c r="A896" t="s">
        <v>104</v>
      </c>
      <c r="B896" t="s">
        <v>105</v>
      </c>
      <c r="C896" t="s">
        <v>694</v>
      </c>
      <c r="D896" t="s">
        <v>695</v>
      </c>
      <c r="E896" s="8">
        <v>13780</v>
      </c>
      <c r="F896" s="8">
        <v>78260</v>
      </c>
      <c r="G896" s="8">
        <f t="shared" si="52"/>
        <v>1078422800</v>
      </c>
      <c r="H896" s="5">
        <v>0.3737</v>
      </c>
      <c r="I896" s="8">
        <f t="shared" si="53"/>
        <v>1078422800</v>
      </c>
      <c r="J896" s="8">
        <f t="shared" si="54"/>
        <v>403006600.36</v>
      </c>
      <c r="K896" t="str">
        <f t="shared" si="55"/>
        <v>MATCHED</v>
      </c>
    </row>
    <row r="897" spans="1:11">
      <c r="A897" t="s">
        <v>104</v>
      </c>
      <c r="B897" t="s">
        <v>105</v>
      </c>
      <c r="C897" t="s">
        <v>1060</v>
      </c>
      <c r="D897" t="s">
        <v>1061</v>
      </c>
      <c r="E897" s="8">
        <v>21280</v>
      </c>
      <c r="F897" s="8">
        <v>112120</v>
      </c>
      <c r="G897" s="8">
        <f t="shared" si="52"/>
        <v>2385913600</v>
      </c>
      <c r="H897" s="5">
        <v>0.0475</v>
      </c>
      <c r="I897" s="8">
        <f t="shared" si="53"/>
        <v>2385913600</v>
      </c>
      <c r="J897" s="8">
        <f t="shared" si="54"/>
        <v>113330896</v>
      </c>
      <c r="K897" t="str">
        <f t="shared" si="55"/>
        <v>MATCHED</v>
      </c>
    </row>
    <row r="898" spans="1:11">
      <c r="A898" t="s">
        <v>104</v>
      </c>
      <c r="B898" t="s">
        <v>105</v>
      </c>
      <c r="C898" t="s">
        <v>696</v>
      </c>
      <c r="D898" t="s">
        <v>697</v>
      </c>
      <c r="E898" s="8">
        <v>21770</v>
      </c>
      <c r="F898" s="8">
        <v>50910</v>
      </c>
      <c r="G898" s="8">
        <f t="shared" ref="G898:G961" si="56">IF(OR(E898="",F898=""),"",E898*F898)</f>
        <v>1108310700</v>
      </c>
      <c r="H898" s="5">
        <v>0</v>
      </c>
      <c r="I898" s="8">
        <f t="shared" ref="I898:I961" si="57">IF(G898="","",IF(ISNUMBER(H898),G898,""))</f>
        <v>1108310700</v>
      </c>
      <c r="J898" s="8">
        <f t="shared" ref="J898:J961" si="58">IF(I898="","",I898*H898)</f>
        <v>0</v>
      </c>
      <c r="K898" t="str">
        <f t="shared" ref="K898:K961" si="59">IF(G898="","MISSING OEWS",IF(ISNUMBER(H898),"MATCHED","MISSING WHARTON"))</f>
        <v>MATCHED</v>
      </c>
    </row>
    <row r="899" spans="1:11">
      <c r="A899" t="s">
        <v>104</v>
      </c>
      <c r="B899" t="s">
        <v>105</v>
      </c>
      <c r="C899" t="s">
        <v>698</v>
      </c>
      <c r="D899" t="s">
        <v>699</v>
      </c>
      <c r="E899" s="8">
        <v>2810</v>
      </c>
      <c r="F899" s="8">
        <v>53630</v>
      </c>
      <c r="G899" s="8">
        <f t="shared" si="56"/>
        <v>150700300</v>
      </c>
      <c r="H899" s="5">
        <v>0.0452</v>
      </c>
      <c r="I899" s="8">
        <f t="shared" si="57"/>
        <v>150700300</v>
      </c>
      <c r="J899" s="8">
        <f t="shared" si="58"/>
        <v>6811653.56</v>
      </c>
      <c r="K899" t="str">
        <f t="shared" si="59"/>
        <v>MATCHED</v>
      </c>
    </row>
    <row r="900" spans="1:11">
      <c r="A900" t="s">
        <v>104</v>
      </c>
      <c r="B900" t="s">
        <v>105</v>
      </c>
      <c r="C900" t="s">
        <v>1062</v>
      </c>
      <c r="D900" t="s">
        <v>1063</v>
      </c>
      <c r="E900" s="8">
        <v>4290</v>
      </c>
      <c r="F900" s="8">
        <v>56460</v>
      </c>
      <c r="G900" s="8">
        <f t="shared" si="56"/>
        <v>242213400</v>
      </c>
      <c r="H900" s="5">
        <v>0</v>
      </c>
      <c r="I900" s="8">
        <f t="shared" si="57"/>
        <v>242213400</v>
      </c>
      <c r="J900" s="8">
        <f t="shared" si="58"/>
        <v>0</v>
      </c>
      <c r="K900" t="str">
        <f t="shared" si="59"/>
        <v>MATCHED</v>
      </c>
    </row>
    <row r="901" spans="1:11">
      <c r="A901" t="s">
        <v>104</v>
      </c>
      <c r="B901" t="s">
        <v>105</v>
      </c>
      <c r="C901" t="s">
        <v>700</v>
      </c>
      <c r="D901" t="s">
        <v>701</v>
      </c>
      <c r="E901" s="8">
        <v>1390</v>
      </c>
      <c r="F901" s="8">
        <v>58740</v>
      </c>
      <c r="G901" s="8">
        <f t="shared" si="56"/>
        <v>81648600</v>
      </c>
      <c r="H901" s="5">
        <v>0</v>
      </c>
      <c r="I901" s="8">
        <f t="shared" si="57"/>
        <v>81648600</v>
      </c>
      <c r="J901" s="8">
        <f t="shared" si="58"/>
        <v>0</v>
      </c>
      <c r="K901" t="str">
        <f t="shared" si="59"/>
        <v>MATCHED</v>
      </c>
    </row>
    <row r="902" spans="1:11">
      <c r="A902" t="s">
        <v>104</v>
      </c>
      <c r="B902" t="s">
        <v>105</v>
      </c>
      <c r="C902" t="s">
        <v>896</v>
      </c>
      <c r="D902" t="s">
        <v>897</v>
      </c>
      <c r="E902" s="8">
        <v>4670</v>
      </c>
      <c r="F902" s="8">
        <v>56690</v>
      </c>
      <c r="G902" s="8">
        <f t="shared" si="56"/>
        <v>264742300</v>
      </c>
      <c r="H902" s="5">
        <v>0.0864</v>
      </c>
      <c r="I902" s="8">
        <f t="shared" si="57"/>
        <v>264742300</v>
      </c>
      <c r="J902" s="8">
        <f t="shared" si="58"/>
        <v>22873734.72</v>
      </c>
      <c r="K902" t="str">
        <f t="shared" si="59"/>
        <v>MATCHED</v>
      </c>
    </row>
    <row r="903" spans="1:11">
      <c r="A903" t="s">
        <v>104</v>
      </c>
      <c r="B903" t="s">
        <v>105</v>
      </c>
      <c r="C903" t="s">
        <v>702</v>
      </c>
      <c r="D903" t="s">
        <v>703</v>
      </c>
      <c r="E903" s="8">
        <v>18940</v>
      </c>
      <c r="F903" s="8">
        <v>54690</v>
      </c>
      <c r="G903" s="8">
        <f t="shared" si="56"/>
        <v>1035828600</v>
      </c>
      <c r="H903" s="5">
        <v>0.0825</v>
      </c>
      <c r="I903" s="8">
        <f t="shared" si="57"/>
        <v>1035828600</v>
      </c>
      <c r="J903" s="8">
        <f t="shared" si="58"/>
        <v>85455859.5</v>
      </c>
      <c r="K903" t="str">
        <f t="shared" si="59"/>
        <v>MATCHED</v>
      </c>
    </row>
    <row r="904" spans="1:11">
      <c r="A904" t="s">
        <v>104</v>
      </c>
      <c r="B904" t="s">
        <v>105</v>
      </c>
      <c r="C904" t="s">
        <v>704</v>
      </c>
      <c r="D904" t="s">
        <v>705</v>
      </c>
      <c r="E904" s="8">
        <v>80</v>
      </c>
      <c r="F904" s="8">
        <v>67990</v>
      </c>
      <c r="G904" s="8">
        <f t="shared" si="56"/>
        <v>5439200</v>
      </c>
      <c r="H904" s="5">
        <v>0</v>
      </c>
      <c r="I904" s="8">
        <f t="shared" si="57"/>
        <v>5439200</v>
      </c>
      <c r="J904" s="8">
        <f t="shared" si="58"/>
        <v>0</v>
      </c>
      <c r="K904" t="str">
        <f t="shared" si="59"/>
        <v>MATCHED</v>
      </c>
    </row>
    <row r="905" spans="1:11">
      <c r="A905" t="s">
        <v>104</v>
      </c>
      <c r="B905" t="s">
        <v>105</v>
      </c>
      <c r="C905" t="s">
        <v>706</v>
      </c>
      <c r="D905" t="s">
        <v>707</v>
      </c>
      <c r="E905" s="8">
        <v>370</v>
      </c>
      <c r="F905" s="8">
        <v>58280</v>
      </c>
      <c r="G905" s="8">
        <f t="shared" si="56"/>
        <v>21563600</v>
      </c>
      <c r="H905" s="5">
        <v>0.0432</v>
      </c>
      <c r="I905" s="8">
        <f t="shared" si="57"/>
        <v>21563600</v>
      </c>
      <c r="J905" s="8">
        <f t="shared" si="58"/>
        <v>931547.52</v>
      </c>
      <c r="K905" t="str">
        <f t="shared" si="59"/>
        <v>MATCHED</v>
      </c>
    </row>
    <row r="906" spans="1:11">
      <c r="A906" t="s">
        <v>104</v>
      </c>
      <c r="B906" t="s">
        <v>105</v>
      </c>
      <c r="C906" t="s">
        <v>708</v>
      </c>
      <c r="D906" t="s">
        <v>709</v>
      </c>
      <c r="E906" s="8"/>
      <c r="F906" s="8">
        <v>56330</v>
      </c>
      <c r="G906" s="8" t="str">
        <f t="shared" si="56"/>
        <v/>
      </c>
      <c r="H906" s="5">
        <v>0.05</v>
      </c>
      <c r="I906" s="8" t="str">
        <f t="shared" si="57"/>
        <v/>
      </c>
      <c r="J906" s="8" t="str">
        <f t="shared" si="58"/>
        <v/>
      </c>
      <c r="K906" t="str">
        <f t="shared" si="59"/>
        <v>MISSING OEWS</v>
      </c>
    </row>
    <row r="907" spans="1:11">
      <c r="A907" t="s">
        <v>104</v>
      </c>
      <c r="B907" t="s">
        <v>105</v>
      </c>
      <c r="C907" t="s">
        <v>710</v>
      </c>
      <c r="D907" t="s">
        <v>711</v>
      </c>
      <c r="E907" s="8">
        <v>7850</v>
      </c>
      <c r="F907" s="8">
        <v>60430</v>
      </c>
      <c r="G907" s="8">
        <f t="shared" si="56"/>
        <v>474375500</v>
      </c>
      <c r="H907" s="5">
        <v>0</v>
      </c>
      <c r="I907" s="8">
        <f t="shared" si="57"/>
        <v>474375500</v>
      </c>
      <c r="J907" s="8">
        <f t="shared" si="58"/>
        <v>0</v>
      </c>
      <c r="K907" t="str">
        <f t="shared" si="59"/>
        <v>MATCHED</v>
      </c>
    </row>
    <row r="908" spans="1:11">
      <c r="A908" t="s">
        <v>104</v>
      </c>
      <c r="B908" t="s">
        <v>105</v>
      </c>
      <c r="C908" t="s">
        <v>712</v>
      </c>
      <c r="D908" t="s">
        <v>713</v>
      </c>
      <c r="E908" s="8">
        <v>12980</v>
      </c>
      <c r="F908" s="8">
        <v>63320</v>
      </c>
      <c r="G908" s="8">
        <f t="shared" si="56"/>
        <v>821893600</v>
      </c>
      <c r="H908" s="5">
        <v>0.0233</v>
      </c>
      <c r="I908" s="8">
        <f t="shared" si="57"/>
        <v>821893600</v>
      </c>
      <c r="J908" s="8">
        <f t="shared" si="58"/>
        <v>19150120.88</v>
      </c>
      <c r="K908" t="str">
        <f t="shared" si="59"/>
        <v>MATCHED</v>
      </c>
    </row>
    <row r="909" spans="1:11">
      <c r="A909" t="s">
        <v>104</v>
      </c>
      <c r="B909" t="s">
        <v>105</v>
      </c>
      <c r="C909" t="s">
        <v>714</v>
      </c>
      <c r="D909" t="s">
        <v>715</v>
      </c>
      <c r="E909" s="8">
        <v>680</v>
      </c>
      <c r="F909" s="8">
        <v>71540</v>
      </c>
      <c r="G909" s="8">
        <f t="shared" si="56"/>
        <v>48647200</v>
      </c>
      <c r="H909" s="5">
        <v>0.095</v>
      </c>
      <c r="I909" s="8">
        <f t="shared" si="57"/>
        <v>48647200</v>
      </c>
      <c r="J909" s="8">
        <f t="shared" si="58"/>
        <v>4621484</v>
      </c>
      <c r="K909" t="str">
        <f t="shared" si="59"/>
        <v>MATCHED</v>
      </c>
    </row>
    <row r="910" spans="1:11">
      <c r="A910" t="s">
        <v>104</v>
      </c>
      <c r="B910" t="s">
        <v>105</v>
      </c>
      <c r="C910" t="s">
        <v>720</v>
      </c>
      <c r="D910" t="s">
        <v>721</v>
      </c>
      <c r="E910" s="8">
        <v>130</v>
      </c>
      <c r="F910" s="8">
        <v>52740</v>
      </c>
      <c r="G910" s="8">
        <f t="shared" si="56"/>
        <v>6856200</v>
      </c>
      <c r="H910" s="5">
        <v>0.0339</v>
      </c>
      <c r="I910" s="8">
        <f t="shared" si="57"/>
        <v>6856200</v>
      </c>
      <c r="J910" s="8">
        <f t="shared" si="58"/>
        <v>232425.18</v>
      </c>
      <c r="K910" t="str">
        <f t="shared" si="59"/>
        <v>MATCHED</v>
      </c>
    </row>
    <row r="911" spans="1:11">
      <c r="A911" t="s">
        <v>104</v>
      </c>
      <c r="B911" t="s">
        <v>105</v>
      </c>
      <c r="C911" t="s">
        <v>724</v>
      </c>
      <c r="D911" t="s">
        <v>725</v>
      </c>
      <c r="E911" s="8">
        <v>40</v>
      </c>
      <c r="F911" s="8">
        <v>63240</v>
      </c>
      <c r="G911" s="8">
        <f t="shared" si="56"/>
        <v>2529600</v>
      </c>
      <c r="H911" s="5">
        <v>0</v>
      </c>
      <c r="I911" s="8">
        <f t="shared" si="57"/>
        <v>2529600</v>
      </c>
      <c r="J911" s="8">
        <f t="shared" si="58"/>
        <v>0</v>
      </c>
      <c r="K911" t="str">
        <f t="shared" si="59"/>
        <v>MATCHED</v>
      </c>
    </row>
    <row r="912" spans="1:11">
      <c r="A912" t="s">
        <v>104</v>
      </c>
      <c r="B912" t="s">
        <v>105</v>
      </c>
      <c r="C912" t="s">
        <v>726</v>
      </c>
      <c r="D912" t="s">
        <v>727</v>
      </c>
      <c r="E912" s="8">
        <v>3460</v>
      </c>
      <c r="F912" s="8">
        <v>43270</v>
      </c>
      <c r="G912" s="8">
        <f t="shared" si="56"/>
        <v>149714200</v>
      </c>
      <c r="H912" s="5">
        <v>0</v>
      </c>
      <c r="I912" s="8">
        <f t="shared" si="57"/>
        <v>149714200</v>
      </c>
      <c r="J912" s="8">
        <f t="shared" si="58"/>
        <v>0</v>
      </c>
      <c r="K912" t="str">
        <f t="shared" si="59"/>
        <v>MATCHED</v>
      </c>
    </row>
    <row r="913" spans="1:11">
      <c r="A913" t="s">
        <v>104</v>
      </c>
      <c r="B913" t="s">
        <v>105</v>
      </c>
      <c r="C913" t="s">
        <v>728</v>
      </c>
      <c r="D913" t="s">
        <v>729</v>
      </c>
      <c r="E913" s="8">
        <v>3100</v>
      </c>
      <c r="F913" s="8">
        <v>49670</v>
      </c>
      <c r="G913" s="8">
        <f t="shared" si="56"/>
        <v>153977000</v>
      </c>
      <c r="H913" s="5">
        <v>0</v>
      </c>
      <c r="I913" s="8">
        <f t="shared" si="57"/>
        <v>153977000</v>
      </c>
      <c r="J913" s="8">
        <f t="shared" si="58"/>
        <v>0</v>
      </c>
      <c r="K913" t="str">
        <f t="shared" si="59"/>
        <v>MATCHED</v>
      </c>
    </row>
    <row r="914" spans="1:11">
      <c r="A914" t="s">
        <v>104</v>
      </c>
      <c r="B914" t="s">
        <v>105</v>
      </c>
      <c r="C914" t="s">
        <v>730</v>
      </c>
      <c r="D914" t="s">
        <v>731</v>
      </c>
      <c r="E914" s="8"/>
      <c r="F914" s="8">
        <v>57090</v>
      </c>
      <c r="G914" s="8" t="str">
        <f t="shared" si="56"/>
        <v/>
      </c>
      <c r="H914" s="5"/>
      <c r="I914" s="8" t="str">
        <f t="shared" si="57"/>
        <v/>
      </c>
      <c r="J914" s="8" t="str">
        <f t="shared" si="58"/>
        <v/>
      </c>
      <c r="K914" t="str">
        <f t="shared" si="59"/>
        <v>MISSING OEWS</v>
      </c>
    </row>
    <row r="915" spans="1:11">
      <c r="A915" t="s">
        <v>104</v>
      </c>
      <c r="B915" t="s">
        <v>105</v>
      </c>
      <c r="C915" t="s">
        <v>433</v>
      </c>
      <c r="D915" t="s">
        <v>434</v>
      </c>
      <c r="E915" s="8">
        <v>68510</v>
      </c>
      <c r="F915" s="8">
        <v>89150</v>
      </c>
      <c r="G915" s="8">
        <f t="shared" si="56"/>
        <v>6107666500</v>
      </c>
      <c r="H915" s="5">
        <v>0.3523</v>
      </c>
      <c r="I915" s="8">
        <f t="shared" si="57"/>
        <v>6107666500</v>
      </c>
      <c r="J915" s="8">
        <f t="shared" si="58"/>
        <v>2151730907.95</v>
      </c>
      <c r="K915" t="str">
        <f t="shared" si="59"/>
        <v>MATCHED</v>
      </c>
    </row>
    <row r="916" spans="1:11">
      <c r="A916" t="s">
        <v>104</v>
      </c>
      <c r="B916" t="s">
        <v>105</v>
      </c>
      <c r="C916" t="s">
        <v>1064</v>
      </c>
      <c r="D916" t="s">
        <v>1065</v>
      </c>
      <c r="E916" s="8">
        <v>820</v>
      </c>
      <c r="F916" s="8">
        <v>52400</v>
      </c>
      <c r="G916" s="8">
        <f t="shared" si="56"/>
        <v>42968000</v>
      </c>
      <c r="H916" s="5">
        <v>0.284</v>
      </c>
      <c r="I916" s="8">
        <f t="shared" si="57"/>
        <v>42968000</v>
      </c>
      <c r="J916" s="8">
        <f t="shared" si="58"/>
        <v>12202912</v>
      </c>
      <c r="K916" t="str">
        <f t="shared" si="59"/>
        <v>MATCHED</v>
      </c>
    </row>
    <row r="917" spans="1:11">
      <c r="A917" t="s">
        <v>104</v>
      </c>
      <c r="B917" t="s">
        <v>105</v>
      </c>
      <c r="C917" t="s">
        <v>898</v>
      </c>
      <c r="D917" t="s">
        <v>899</v>
      </c>
      <c r="E917" s="8">
        <v>2750</v>
      </c>
      <c r="F917" s="8">
        <v>60210</v>
      </c>
      <c r="G917" s="8">
        <f t="shared" si="56"/>
        <v>165577500</v>
      </c>
      <c r="H917" s="5">
        <v>0.1583</v>
      </c>
      <c r="I917" s="8">
        <f t="shared" si="57"/>
        <v>165577500</v>
      </c>
      <c r="J917" s="8">
        <f t="shared" si="58"/>
        <v>26210918.25</v>
      </c>
      <c r="K917" t="str">
        <f t="shared" si="59"/>
        <v>MATCHED</v>
      </c>
    </row>
    <row r="918" spans="1:11">
      <c r="A918" t="s">
        <v>104</v>
      </c>
      <c r="B918" t="s">
        <v>105</v>
      </c>
      <c r="C918" t="s">
        <v>900</v>
      </c>
      <c r="D918" t="s">
        <v>901</v>
      </c>
      <c r="E918" s="8">
        <v>20050</v>
      </c>
      <c r="F918" s="8">
        <v>66710</v>
      </c>
      <c r="G918" s="8">
        <f t="shared" si="56"/>
        <v>1337535500</v>
      </c>
      <c r="H918" s="5">
        <v>0.195</v>
      </c>
      <c r="I918" s="8">
        <f t="shared" si="57"/>
        <v>1337535500</v>
      </c>
      <c r="J918" s="8">
        <f t="shared" si="58"/>
        <v>260819422.5</v>
      </c>
      <c r="K918" t="str">
        <f t="shared" si="59"/>
        <v>MATCHED</v>
      </c>
    </row>
    <row r="919" spans="1:11">
      <c r="A919" t="s">
        <v>104</v>
      </c>
      <c r="B919" t="s">
        <v>105</v>
      </c>
      <c r="C919" t="s">
        <v>732</v>
      </c>
      <c r="D919" t="s">
        <v>733</v>
      </c>
      <c r="E919" s="8">
        <v>770</v>
      </c>
      <c r="F919" s="8">
        <v>62120</v>
      </c>
      <c r="G919" s="8">
        <f t="shared" si="56"/>
        <v>47832400</v>
      </c>
      <c r="H919" s="5">
        <v>0.0667</v>
      </c>
      <c r="I919" s="8">
        <f t="shared" si="57"/>
        <v>47832400</v>
      </c>
      <c r="J919" s="8">
        <f t="shared" si="58"/>
        <v>3190421.08</v>
      </c>
      <c r="K919" t="str">
        <f t="shared" si="59"/>
        <v>MATCHED</v>
      </c>
    </row>
    <row r="920" spans="1:11">
      <c r="A920" t="s">
        <v>104</v>
      </c>
      <c r="B920" t="s">
        <v>105</v>
      </c>
      <c r="C920" t="s">
        <v>902</v>
      </c>
      <c r="D920" t="s">
        <v>903</v>
      </c>
      <c r="E920" s="8">
        <v>150</v>
      </c>
      <c r="F920" s="8">
        <v>53980</v>
      </c>
      <c r="G920" s="8">
        <f t="shared" si="56"/>
        <v>8097000</v>
      </c>
      <c r="H920" s="5">
        <v>0.2033</v>
      </c>
      <c r="I920" s="8">
        <f t="shared" si="57"/>
        <v>8097000</v>
      </c>
      <c r="J920" s="8">
        <f t="shared" si="58"/>
        <v>1646120.1</v>
      </c>
      <c r="K920" t="str">
        <f t="shared" si="59"/>
        <v>MATCHED</v>
      </c>
    </row>
    <row r="921" spans="1:11">
      <c r="A921" t="s">
        <v>104</v>
      </c>
      <c r="B921" t="s">
        <v>105</v>
      </c>
      <c r="C921" t="s">
        <v>734</v>
      </c>
      <c r="D921" t="s">
        <v>735</v>
      </c>
      <c r="E921" s="8">
        <v>3960</v>
      </c>
      <c r="F921" s="8">
        <v>67550</v>
      </c>
      <c r="G921" s="8">
        <f t="shared" si="56"/>
        <v>267498000</v>
      </c>
      <c r="H921" s="5">
        <v>0.19</v>
      </c>
      <c r="I921" s="8">
        <f t="shared" si="57"/>
        <v>267498000</v>
      </c>
      <c r="J921" s="8">
        <f t="shared" si="58"/>
        <v>50824620</v>
      </c>
      <c r="K921" t="str">
        <f t="shared" si="59"/>
        <v>MATCHED</v>
      </c>
    </row>
    <row r="922" spans="1:11">
      <c r="A922" t="s">
        <v>104</v>
      </c>
      <c r="B922" t="s">
        <v>105</v>
      </c>
      <c r="C922" t="s">
        <v>904</v>
      </c>
      <c r="D922" t="s">
        <v>905</v>
      </c>
      <c r="E922" s="8">
        <v>1280</v>
      </c>
      <c r="F922" s="8">
        <v>88250</v>
      </c>
      <c r="G922" s="8">
        <f t="shared" si="56"/>
        <v>112960000</v>
      </c>
      <c r="H922" s="5">
        <v>0.2219</v>
      </c>
      <c r="I922" s="8">
        <f t="shared" si="57"/>
        <v>112960000</v>
      </c>
      <c r="J922" s="8">
        <f t="shared" si="58"/>
        <v>25065824</v>
      </c>
      <c r="K922" t="str">
        <f t="shared" si="59"/>
        <v>MATCHED</v>
      </c>
    </row>
    <row r="923" spans="1:11">
      <c r="A923" t="s">
        <v>104</v>
      </c>
      <c r="B923" t="s">
        <v>105</v>
      </c>
      <c r="C923" t="s">
        <v>1066</v>
      </c>
      <c r="D923" t="s">
        <v>1067</v>
      </c>
      <c r="E923" s="8">
        <v>5450</v>
      </c>
      <c r="F923" s="8">
        <v>62670</v>
      </c>
      <c r="G923" s="8">
        <f t="shared" si="56"/>
        <v>341551500</v>
      </c>
      <c r="H923" s="5">
        <v>0.2591</v>
      </c>
      <c r="I923" s="8">
        <f t="shared" si="57"/>
        <v>341551500</v>
      </c>
      <c r="J923" s="8">
        <f t="shared" si="58"/>
        <v>88495993.65</v>
      </c>
      <c r="K923" t="str">
        <f t="shared" si="59"/>
        <v>MATCHED</v>
      </c>
    </row>
    <row r="924" spans="1:11">
      <c r="A924" t="s">
        <v>104</v>
      </c>
      <c r="B924" t="s">
        <v>105</v>
      </c>
      <c r="C924" t="s">
        <v>1068</v>
      </c>
      <c r="D924" t="s">
        <v>1069</v>
      </c>
      <c r="E924" s="8">
        <v>21340</v>
      </c>
      <c r="F924" s="8">
        <v>62960</v>
      </c>
      <c r="G924" s="8">
        <f t="shared" si="56"/>
        <v>1343566400</v>
      </c>
      <c r="H924" s="5">
        <v>0.2219</v>
      </c>
      <c r="I924" s="8">
        <f t="shared" si="57"/>
        <v>1343566400</v>
      </c>
      <c r="J924" s="8">
        <f t="shared" si="58"/>
        <v>298137384.16</v>
      </c>
      <c r="K924" t="str">
        <f t="shared" si="59"/>
        <v>MATCHED</v>
      </c>
    </row>
    <row r="925" spans="1:11">
      <c r="A925" t="s">
        <v>104</v>
      </c>
      <c r="B925" t="s">
        <v>105</v>
      </c>
      <c r="C925" t="s">
        <v>435</v>
      </c>
      <c r="D925" t="s">
        <v>436</v>
      </c>
      <c r="E925" s="8">
        <v>70</v>
      </c>
      <c r="F925" s="8">
        <v>98040</v>
      </c>
      <c r="G925" s="8">
        <f t="shared" si="56"/>
        <v>6862800</v>
      </c>
      <c r="H925" s="5">
        <v>0.0434</v>
      </c>
      <c r="I925" s="8">
        <f t="shared" si="57"/>
        <v>6862800</v>
      </c>
      <c r="J925" s="8">
        <f t="shared" si="58"/>
        <v>297845.52</v>
      </c>
      <c r="K925" t="str">
        <f t="shared" si="59"/>
        <v>MATCHED</v>
      </c>
    </row>
    <row r="926" spans="1:11">
      <c r="A926" t="s">
        <v>104</v>
      </c>
      <c r="B926" t="s">
        <v>105</v>
      </c>
      <c r="C926" t="s">
        <v>1070</v>
      </c>
      <c r="D926" t="s">
        <v>1071</v>
      </c>
      <c r="E926" s="8">
        <v>90</v>
      </c>
      <c r="F926" s="8">
        <v>54150</v>
      </c>
      <c r="G926" s="8">
        <f t="shared" si="56"/>
        <v>4873500</v>
      </c>
      <c r="H926" s="5">
        <v>0.028</v>
      </c>
      <c r="I926" s="8">
        <f t="shared" si="57"/>
        <v>4873500</v>
      </c>
      <c r="J926" s="8">
        <f t="shared" si="58"/>
        <v>136458</v>
      </c>
      <c r="K926" t="str">
        <f t="shared" si="59"/>
        <v>MATCHED</v>
      </c>
    </row>
    <row r="927" spans="1:11">
      <c r="A927" t="s">
        <v>104</v>
      </c>
      <c r="B927" t="s">
        <v>105</v>
      </c>
      <c r="C927" t="s">
        <v>1072</v>
      </c>
      <c r="D927" t="s">
        <v>1073</v>
      </c>
      <c r="E927" s="8">
        <v>520</v>
      </c>
      <c r="F927" s="8">
        <v>47830</v>
      </c>
      <c r="G927" s="8">
        <f t="shared" si="56"/>
        <v>24871600</v>
      </c>
      <c r="H927" s="5">
        <v>0</v>
      </c>
      <c r="I927" s="8">
        <f t="shared" si="57"/>
        <v>24871600</v>
      </c>
      <c r="J927" s="8">
        <f t="shared" si="58"/>
        <v>0</v>
      </c>
      <c r="K927" t="str">
        <f t="shared" si="59"/>
        <v>MATCHED</v>
      </c>
    </row>
    <row r="928" spans="1:11">
      <c r="A928" t="s">
        <v>104</v>
      </c>
      <c r="B928" t="s">
        <v>105</v>
      </c>
      <c r="C928" t="s">
        <v>736</v>
      </c>
      <c r="D928" t="s">
        <v>737</v>
      </c>
      <c r="E928" s="8">
        <v>4170</v>
      </c>
      <c r="F928" s="8">
        <v>60770</v>
      </c>
      <c r="G928" s="8">
        <f t="shared" si="56"/>
        <v>253410900</v>
      </c>
      <c r="H928" s="5">
        <v>0.0233</v>
      </c>
      <c r="I928" s="8">
        <f t="shared" si="57"/>
        <v>253410900</v>
      </c>
      <c r="J928" s="8">
        <f t="shared" si="58"/>
        <v>5904473.97</v>
      </c>
      <c r="K928" t="str">
        <f t="shared" si="59"/>
        <v>MATCHED</v>
      </c>
    </row>
    <row r="929" spans="1:11">
      <c r="A929" t="s">
        <v>104</v>
      </c>
      <c r="B929" t="s">
        <v>105</v>
      </c>
      <c r="C929" t="s">
        <v>437</v>
      </c>
      <c r="D929" t="s">
        <v>438</v>
      </c>
      <c r="E929" s="8">
        <v>10330</v>
      </c>
      <c r="F929" s="8">
        <v>67120</v>
      </c>
      <c r="G929" s="8">
        <f t="shared" si="56"/>
        <v>693349600</v>
      </c>
      <c r="H929" s="5">
        <v>0</v>
      </c>
      <c r="I929" s="8">
        <f t="shared" si="57"/>
        <v>693349600</v>
      </c>
      <c r="J929" s="8">
        <f t="shared" si="58"/>
        <v>0</v>
      </c>
      <c r="K929" t="str">
        <f t="shared" si="59"/>
        <v>MATCHED</v>
      </c>
    </row>
    <row r="930" spans="1:11">
      <c r="A930" t="s">
        <v>104</v>
      </c>
      <c r="B930" t="s">
        <v>105</v>
      </c>
      <c r="C930" t="s">
        <v>439</v>
      </c>
      <c r="D930" t="s">
        <v>440</v>
      </c>
      <c r="E930" s="8">
        <v>80</v>
      </c>
      <c r="F930" s="8">
        <v>56890</v>
      </c>
      <c r="G930" s="8">
        <f t="shared" si="56"/>
        <v>4551200</v>
      </c>
      <c r="H930" s="5">
        <v>0.1357</v>
      </c>
      <c r="I930" s="8">
        <f t="shared" si="57"/>
        <v>4551200</v>
      </c>
      <c r="J930" s="8">
        <f t="shared" si="58"/>
        <v>617597.84</v>
      </c>
      <c r="K930" t="str">
        <f t="shared" si="59"/>
        <v>MATCHED</v>
      </c>
    </row>
    <row r="931" spans="1:11">
      <c r="A931" t="s">
        <v>104</v>
      </c>
      <c r="B931" t="s">
        <v>105</v>
      </c>
      <c r="C931" t="s">
        <v>441</v>
      </c>
      <c r="D931" t="s">
        <v>442</v>
      </c>
      <c r="E931" s="8">
        <v>44220</v>
      </c>
      <c r="F931" s="8">
        <v>67290</v>
      </c>
      <c r="G931" s="8">
        <f t="shared" si="56"/>
        <v>2975563800</v>
      </c>
      <c r="H931" s="5">
        <v>0.1425</v>
      </c>
      <c r="I931" s="8">
        <f t="shared" si="57"/>
        <v>2975563800</v>
      </c>
      <c r="J931" s="8">
        <f t="shared" si="58"/>
        <v>424017841.5</v>
      </c>
      <c r="K931" t="str">
        <f t="shared" si="59"/>
        <v>MATCHED</v>
      </c>
    </row>
    <row r="932" spans="1:11">
      <c r="A932" t="s">
        <v>104</v>
      </c>
      <c r="B932" t="s">
        <v>105</v>
      </c>
      <c r="C932" t="s">
        <v>1074</v>
      </c>
      <c r="D932" t="s">
        <v>1075</v>
      </c>
      <c r="E932" s="8">
        <v>40</v>
      </c>
      <c r="F932" s="8">
        <v>62960</v>
      </c>
      <c r="G932" s="8">
        <f t="shared" si="56"/>
        <v>2518400</v>
      </c>
      <c r="H932" s="5">
        <v>0.0731</v>
      </c>
      <c r="I932" s="8">
        <f t="shared" si="57"/>
        <v>2518400</v>
      </c>
      <c r="J932" s="8">
        <f t="shared" si="58"/>
        <v>184095.04</v>
      </c>
      <c r="K932" t="str">
        <f t="shared" si="59"/>
        <v>MATCHED</v>
      </c>
    </row>
    <row r="933" spans="1:11">
      <c r="A933" t="s">
        <v>104</v>
      </c>
      <c r="B933" t="s">
        <v>105</v>
      </c>
      <c r="C933" t="s">
        <v>1076</v>
      </c>
      <c r="D933" t="s">
        <v>1077</v>
      </c>
      <c r="E933" s="8">
        <v>330</v>
      </c>
      <c r="F933" s="8">
        <v>57460</v>
      </c>
      <c r="G933" s="8">
        <f t="shared" si="56"/>
        <v>18961800</v>
      </c>
      <c r="H933" s="5">
        <v>0.1179</v>
      </c>
      <c r="I933" s="8">
        <f t="shared" si="57"/>
        <v>18961800</v>
      </c>
      <c r="J933" s="8">
        <f t="shared" si="58"/>
        <v>2235596.22</v>
      </c>
      <c r="K933" t="str">
        <f t="shared" si="59"/>
        <v>MATCHED</v>
      </c>
    </row>
    <row r="934" spans="1:11">
      <c r="A934" t="s">
        <v>104</v>
      </c>
      <c r="B934" t="s">
        <v>105</v>
      </c>
      <c r="C934" t="s">
        <v>738</v>
      </c>
      <c r="D934" t="s">
        <v>739</v>
      </c>
      <c r="E934" s="8">
        <v>60</v>
      </c>
      <c r="F934" s="8">
        <v>53290</v>
      </c>
      <c r="G934" s="8">
        <f t="shared" si="56"/>
        <v>3197400</v>
      </c>
      <c r="H934" s="5">
        <v>0</v>
      </c>
      <c r="I934" s="8">
        <f t="shared" si="57"/>
        <v>3197400</v>
      </c>
      <c r="J934" s="8">
        <f t="shared" si="58"/>
        <v>0</v>
      </c>
      <c r="K934" t="str">
        <f t="shared" si="59"/>
        <v>MATCHED</v>
      </c>
    </row>
    <row r="935" spans="1:11">
      <c r="A935" t="s">
        <v>104</v>
      </c>
      <c r="B935" t="s">
        <v>105</v>
      </c>
      <c r="C935" t="s">
        <v>1078</v>
      </c>
      <c r="D935" t="s">
        <v>1079</v>
      </c>
      <c r="E935" s="8">
        <v>20300</v>
      </c>
      <c r="F935" s="8">
        <v>57390</v>
      </c>
      <c r="G935" s="8">
        <f t="shared" si="56"/>
        <v>1165017000</v>
      </c>
      <c r="H935" s="5">
        <v>0.076</v>
      </c>
      <c r="I935" s="8">
        <f t="shared" si="57"/>
        <v>1165017000</v>
      </c>
      <c r="J935" s="8">
        <f t="shared" si="58"/>
        <v>88541292</v>
      </c>
      <c r="K935" t="str">
        <f t="shared" si="59"/>
        <v>MATCHED</v>
      </c>
    </row>
    <row r="936" spans="1:11">
      <c r="A936" t="s">
        <v>104</v>
      </c>
      <c r="B936" t="s">
        <v>105</v>
      </c>
      <c r="C936" t="s">
        <v>740</v>
      </c>
      <c r="D936" t="s">
        <v>741</v>
      </c>
      <c r="E936" s="8">
        <v>3340</v>
      </c>
      <c r="F936" s="8">
        <v>75880</v>
      </c>
      <c r="G936" s="8">
        <f t="shared" si="56"/>
        <v>253439200</v>
      </c>
      <c r="H936" s="5">
        <v>0.0731</v>
      </c>
      <c r="I936" s="8">
        <f t="shared" si="57"/>
        <v>253439200</v>
      </c>
      <c r="J936" s="8">
        <f t="shared" si="58"/>
        <v>18526405.52</v>
      </c>
      <c r="K936" t="str">
        <f t="shared" si="59"/>
        <v>MATCHED</v>
      </c>
    </row>
    <row r="937" spans="1:11">
      <c r="A937" t="s">
        <v>104</v>
      </c>
      <c r="B937" t="s">
        <v>105</v>
      </c>
      <c r="C937" t="s">
        <v>443</v>
      </c>
      <c r="D937" t="s">
        <v>444</v>
      </c>
      <c r="E937" s="8">
        <v>310000</v>
      </c>
      <c r="F937" s="8">
        <v>63290</v>
      </c>
      <c r="G937" s="8">
        <f t="shared" si="56"/>
        <v>19619900000</v>
      </c>
      <c r="H937" s="5">
        <v>0.0867</v>
      </c>
      <c r="I937" s="8">
        <f t="shared" si="57"/>
        <v>19619900000</v>
      </c>
      <c r="J937" s="8">
        <f t="shared" si="58"/>
        <v>1701045330</v>
      </c>
      <c r="K937" t="str">
        <f t="shared" si="59"/>
        <v>MATCHED</v>
      </c>
    </row>
    <row r="938" spans="1:11">
      <c r="A938" t="s">
        <v>104</v>
      </c>
      <c r="B938" t="s">
        <v>105</v>
      </c>
      <c r="C938" t="s">
        <v>906</v>
      </c>
      <c r="D938" t="s">
        <v>907</v>
      </c>
      <c r="E938" s="8">
        <v>1030</v>
      </c>
      <c r="F938" s="8">
        <v>60500</v>
      </c>
      <c r="G938" s="8">
        <f t="shared" si="56"/>
        <v>62315000</v>
      </c>
      <c r="H938" s="5">
        <v>0.1226</v>
      </c>
      <c r="I938" s="8">
        <f t="shared" si="57"/>
        <v>62315000</v>
      </c>
      <c r="J938" s="8">
        <f t="shared" si="58"/>
        <v>7639819</v>
      </c>
      <c r="K938" t="str">
        <f t="shared" si="59"/>
        <v>MATCHED</v>
      </c>
    </row>
    <row r="939" spans="1:11">
      <c r="A939" t="s">
        <v>104</v>
      </c>
      <c r="B939" t="s">
        <v>105</v>
      </c>
      <c r="C939" t="s">
        <v>445</v>
      </c>
      <c r="D939" t="s">
        <v>446</v>
      </c>
      <c r="E939" s="8">
        <v>7390</v>
      </c>
      <c r="F939" s="8">
        <v>65660</v>
      </c>
      <c r="G939" s="8">
        <f t="shared" si="56"/>
        <v>485227400</v>
      </c>
      <c r="H939" s="5">
        <v>0.25</v>
      </c>
      <c r="I939" s="8">
        <f t="shared" si="57"/>
        <v>485227400</v>
      </c>
      <c r="J939" s="8">
        <f t="shared" si="58"/>
        <v>121306850</v>
      </c>
      <c r="K939" t="str">
        <f t="shared" si="59"/>
        <v>MATCHED</v>
      </c>
    </row>
    <row r="940" spans="1:11">
      <c r="A940" t="s">
        <v>104</v>
      </c>
      <c r="B940" t="s">
        <v>105</v>
      </c>
      <c r="C940" t="s">
        <v>447</v>
      </c>
      <c r="D940" t="s">
        <v>448</v>
      </c>
      <c r="E940" s="8">
        <v>1690</v>
      </c>
      <c r="F940" s="8">
        <v>66580</v>
      </c>
      <c r="G940" s="8">
        <f t="shared" si="56"/>
        <v>112520200</v>
      </c>
      <c r="H940" s="5">
        <v>0.0528</v>
      </c>
      <c r="I940" s="8">
        <f t="shared" si="57"/>
        <v>112520200</v>
      </c>
      <c r="J940" s="8">
        <f t="shared" si="58"/>
        <v>5941066.56</v>
      </c>
      <c r="K940" t="str">
        <f t="shared" si="59"/>
        <v>MATCHED</v>
      </c>
    </row>
    <row r="941" spans="1:11">
      <c r="A941" t="s">
        <v>104</v>
      </c>
      <c r="B941" t="s">
        <v>105</v>
      </c>
      <c r="C941" t="s">
        <v>742</v>
      </c>
      <c r="D941" t="s">
        <v>743</v>
      </c>
      <c r="E941" s="8">
        <v>17640</v>
      </c>
      <c r="F941" s="8">
        <v>68880</v>
      </c>
      <c r="G941" s="8">
        <f t="shared" si="56"/>
        <v>1215043200</v>
      </c>
      <c r="H941" s="5">
        <v>0</v>
      </c>
      <c r="I941" s="8">
        <f t="shared" si="57"/>
        <v>1215043200</v>
      </c>
      <c r="J941" s="8">
        <f t="shared" si="58"/>
        <v>0</v>
      </c>
      <c r="K941" t="str">
        <f t="shared" si="59"/>
        <v>MATCHED</v>
      </c>
    </row>
    <row r="942" spans="1:11">
      <c r="A942" t="s">
        <v>104</v>
      </c>
      <c r="B942" t="s">
        <v>105</v>
      </c>
      <c r="C942" t="s">
        <v>1080</v>
      </c>
      <c r="D942" t="s">
        <v>1081</v>
      </c>
      <c r="E942" s="8">
        <v>320</v>
      </c>
      <c r="F942" s="8">
        <v>65560</v>
      </c>
      <c r="G942" s="8">
        <f t="shared" si="56"/>
        <v>20979200</v>
      </c>
      <c r="H942" s="5">
        <v>0</v>
      </c>
      <c r="I942" s="8">
        <f t="shared" si="57"/>
        <v>20979200</v>
      </c>
      <c r="J942" s="8">
        <f t="shared" si="58"/>
        <v>0</v>
      </c>
      <c r="K942" t="str">
        <f t="shared" si="59"/>
        <v>MATCHED</v>
      </c>
    </row>
    <row r="943" spans="1:11">
      <c r="A943" t="s">
        <v>104</v>
      </c>
      <c r="B943" t="s">
        <v>105</v>
      </c>
      <c r="C943" t="s">
        <v>744</v>
      </c>
      <c r="D943" t="s">
        <v>745</v>
      </c>
      <c r="E943" s="8">
        <v>47460</v>
      </c>
      <c r="F943" s="8">
        <v>78850</v>
      </c>
      <c r="G943" s="8">
        <f t="shared" si="56"/>
        <v>3742221000</v>
      </c>
      <c r="H943" s="5">
        <v>0</v>
      </c>
      <c r="I943" s="8">
        <f t="shared" si="57"/>
        <v>3742221000</v>
      </c>
      <c r="J943" s="8">
        <f t="shared" si="58"/>
        <v>0</v>
      </c>
      <c r="K943" t="str">
        <f t="shared" si="59"/>
        <v>MATCHED</v>
      </c>
    </row>
    <row r="944" spans="1:11">
      <c r="A944" t="s">
        <v>104</v>
      </c>
      <c r="B944" t="s">
        <v>105</v>
      </c>
      <c r="C944" t="s">
        <v>908</v>
      </c>
      <c r="D944" t="s">
        <v>909</v>
      </c>
      <c r="E944" s="8">
        <v>28940</v>
      </c>
      <c r="F944" s="8">
        <v>58650</v>
      </c>
      <c r="G944" s="8">
        <f t="shared" si="56"/>
        <v>1697331000</v>
      </c>
      <c r="H944" s="5">
        <v>0.0475</v>
      </c>
      <c r="I944" s="8">
        <f t="shared" si="57"/>
        <v>1697331000</v>
      </c>
      <c r="J944" s="8">
        <f t="shared" si="58"/>
        <v>80623222.5</v>
      </c>
      <c r="K944" t="str">
        <f t="shared" si="59"/>
        <v>MATCHED</v>
      </c>
    </row>
    <row r="945" spans="1:11">
      <c r="A945" t="s">
        <v>104</v>
      </c>
      <c r="B945" t="s">
        <v>105</v>
      </c>
      <c r="C945" t="s">
        <v>746</v>
      </c>
      <c r="D945" t="s">
        <v>747</v>
      </c>
      <c r="E945" s="8">
        <v>30</v>
      </c>
      <c r="F945" s="8">
        <v>70710</v>
      </c>
      <c r="G945" s="8">
        <f t="shared" si="56"/>
        <v>2121300</v>
      </c>
      <c r="H945" s="5"/>
      <c r="I945" s="8" t="str">
        <f t="shared" si="57"/>
        <v/>
      </c>
      <c r="J945" s="8" t="str">
        <f t="shared" si="58"/>
        <v/>
      </c>
      <c r="K945" t="str">
        <f t="shared" si="59"/>
        <v>MISSING WHARTON</v>
      </c>
    </row>
    <row r="946" spans="1:11">
      <c r="A946" t="s">
        <v>104</v>
      </c>
      <c r="B946" t="s">
        <v>105</v>
      </c>
      <c r="C946" t="s">
        <v>449</v>
      </c>
      <c r="D946" t="s">
        <v>450</v>
      </c>
      <c r="E946" s="8">
        <v>34200</v>
      </c>
      <c r="F946" s="8">
        <v>54380</v>
      </c>
      <c r="G946" s="8">
        <f t="shared" si="56"/>
        <v>1859796000</v>
      </c>
      <c r="H946" s="5">
        <v>0.0867</v>
      </c>
      <c r="I946" s="8">
        <f t="shared" si="57"/>
        <v>1859796000</v>
      </c>
      <c r="J946" s="8">
        <f t="shared" si="58"/>
        <v>161244313.2</v>
      </c>
      <c r="K946" t="str">
        <f t="shared" si="59"/>
        <v>MATCHED</v>
      </c>
    </row>
    <row r="947" spans="1:11">
      <c r="A947" t="s">
        <v>104</v>
      </c>
      <c r="B947" t="s">
        <v>105</v>
      </c>
      <c r="C947" t="s">
        <v>910</v>
      </c>
      <c r="D947" t="s">
        <v>911</v>
      </c>
      <c r="E947" s="8">
        <v>2050</v>
      </c>
      <c r="F947" s="8">
        <v>65520</v>
      </c>
      <c r="G947" s="8">
        <f t="shared" si="56"/>
        <v>134316000</v>
      </c>
      <c r="H947" s="5">
        <v>0</v>
      </c>
      <c r="I947" s="8">
        <f t="shared" si="57"/>
        <v>134316000</v>
      </c>
      <c r="J947" s="8">
        <f t="shared" si="58"/>
        <v>0</v>
      </c>
      <c r="K947" t="str">
        <f t="shared" si="59"/>
        <v>MATCHED</v>
      </c>
    </row>
    <row r="948" spans="1:11">
      <c r="A948" t="s">
        <v>104</v>
      </c>
      <c r="B948" t="s">
        <v>105</v>
      </c>
      <c r="C948" t="s">
        <v>1082</v>
      </c>
      <c r="D948" t="s">
        <v>1083</v>
      </c>
      <c r="E948" s="8">
        <v>90</v>
      </c>
      <c r="F948" s="8">
        <v>49890</v>
      </c>
      <c r="G948" s="8">
        <f t="shared" si="56"/>
        <v>4490100</v>
      </c>
      <c r="H948" s="5">
        <v>0.2868</v>
      </c>
      <c r="I948" s="8">
        <f t="shared" si="57"/>
        <v>4490100</v>
      </c>
      <c r="J948" s="8">
        <f t="shared" si="58"/>
        <v>1287760.68</v>
      </c>
      <c r="K948" t="str">
        <f t="shared" si="59"/>
        <v>MATCHED</v>
      </c>
    </row>
    <row r="949" spans="1:11">
      <c r="A949" t="s">
        <v>104</v>
      </c>
      <c r="B949" t="s">
        <v>105</v>
      </c>
      <c r="C949" t="s">
        <v>1084</v>
      </c>
      <c r="D949" t="s">
        <v>1085</v>
      </c>
      <c r="E949" s="8">
        <v>1020</v>
      </c>
      <c r="F949" s="8">
        <v>105320</v>
      </c>
      <c r="G949" s="8">
        <f t="shared" si="56"/>
        <v>107426400</v>
      </c>
      <c r="H949" s="5">
        <v>0</v>
      </c>
      <c r="I949" s="8">
        <f t="shared" si="57"/>
        <v>107426400</v>
      </c>
      <c r="J949" s="8">
        <f t="shared" si="58"/>
        <v>0</v>
      </c>
      <c r="K949" t="str">
        <f t="shared" si="59"/>
        <v>MATCHED</v>
      </c>
    </row>
    <row r="950" spans="1:11">
      <c r="A950" t="s">
        <v>104</v>
      </c>
      <c r="B950" t="s">
        <v>105</v>
      </c>
      <c r="C950" t="s">
        <v>1086</v>
      </c>
      <c r="D950" t="s">
        <v>1087</v>
      </c>
      <c r="E950" s="8">
        <v>240</v>
      </c>
      <c r="F950" s="8">
        <v>47780</v>
      </c>
      <c r="G950" s="8">
        <f t="shared" si="56"/>
        <v>11467200</v>
      </c>
      <c r="H950" s="5">
        <v>0.0679</v>
      </c>
      <c r="I950" s="8">
        <f t="shared" si="57"/>
        <v>11467200</v>
      </c>
      <c r="J950" s="8">
        <f t="shared" si="58"/>
        <v>778622.88</v>
      </c>
      <c r="K950" t="str">
        <f t="shared" si="59"/>
        <v>MATCHED</v>
      </c>
    </row>
    <row r="951" spans="1:11">
      <c r="A951" t="s">
        <v>104</v>
      </c>
      <c r="B951" t="s">
        <v>105</v>
      </c>
      <c r="C951" t="s">
        <v>1088</v>
      </c>
      <c r="D951" t="s">
        <v>1089</v>
      </c>
      <c r="E951" s="8"/>
      <c r="F951" s="8">
        <v>59830</v>
      </c>
      <c r="G951" s="8" t="str">
        <f t="shared" si="56"/>
        <v/>
      </c>
      <c r="H951" s="5">
        <v>0.05</v>
      </c>
      <c r="I951" s="8" t="str">
        <f t="shared" si="57"/>
        <v/>
      </c>
      <c r="J951" s="8" t="str">
        <f t="shared" si="58"/>
        <v/>
      </c>
      <c r="K951" t="str">
        <f t="shared" si="59"/>
        <v>MISSING OEWS</v>
      </c>
    </row>
    <row r="952" spans="1:11">
      <c r="A952" t="s">
        <v>104</v>
      </c>
      <c r="B952" t="s">
        <v>105</v>
      </c>
      <c r="C952" t="s">
        <v>748</v>
      </c>
      <c r="D952" t="s">
        <v>749</v>
      </c>
      <c r="E952" s="8">
        <v>7690</v>
      </c>
      <c r="F952" s="8">
        <v>66550</v>
      </c>
      <c r="G952" s="8">
        <f t="shared" si="56"/>
        <v>511769500</v>
      </c>
      <c r="H952" s="5">
        <v>0</v>
      </c>
      <c r="I952" s="8">
        <f t="shared" si="57"/>
        <v>511769500</v>
      </c>
      <c r="J952" s="8">
        <f t="shared" si="58"/>
        <v>0</v>
      </c>
      <c r="K952" t="str">
        <f t="shared" si="59"/>
        <v>MATCHED</v>
      </c>
    </row>
    <row r="953" spans="1:11">
      <c r="A953" t="s">
        <v>104</v>
      </c>
      <c r="B953" t="s">
        <v>105</v>
      </c>
      <c r="C953" t="s">
        <v>1090</v>
      </c>
      <c r="D953" t="s">
        <v>1091</v>
      </c>
      <c r="E953" s="8"/>
      <c r="F953" s="8">
        <v>76540</v>
      </c>
      <c r="G953" s="8" t="str">
        <f t="shared" si="56"/>
        <v/>
      </c>
      <c r="H953" s="5">
        <v>0.0679</v>
      </c>
      <c r="I953" s="8" t="str">
        <f t="shared" si="57"/>
        <v/>
      </c>
      <c r="J953" s="8" t="str">
        <f t="shared" si="58"/>
        <v/>
      </c>
      <c r="K953" t="str">
        <f t="shared" si="59"/>
        <v>MISSING OEWS</v>
      </c>
    </row>
    <row r="954" spans="1:11">
      <c r="A954" t="s">
        <v>104</v>
      </c>
      <c r="B954" t="s">
        <v>105</v>
      </c>
      <c r="C954" t="s">
        <v>451</v>
      </c>
      <c r="D954" t="s">
        <v>452</v>
      </c>
      <c r="E954" s="8">
        <v>34460</v>
      </c>
      <c r="F954" s="8">
        <v>41700</v>
      </c>
      <c r="G954" s="8">
        <f t="shared" si="56"/>
        <v>1436982000</v>
      </c>
      <c r="H954" s="5">
        <v>0.0594</v>
      </c>
      <c r="I954" s="8">
        <f t="shared" si="57"/>
        <v>1436982000</v>
      </c>
      <c r="J954" s="8">
        <f t="shared" si="58"/>
        <v>85356730.8</v>
      </c>
      <c r="K954" t="str">
        <f t="shared" si="59"/>
        <v>MATCHED</v>
      </c>
    </row>
    <row r="955" spans="1:11">
      <c r="A955" t="s">
        <v>104</v>
      </c>
      <c r="B955" t="s">
        <v>105</v>
      </c>
      <c r="C955" t="s">
        <v>453</v>
      </c>
      <c r="D955" t="s">
        <v>454</v>
      </c>
      <c r="E955" s="8">
        <v>18900</v>
      </c>
      <c r="F955" s="8">
        <v>52560</v>
      </c>
      <c r="G955" s="8">
        <f t="shared" si="56"/>
        <v>993384000</v>
      </c>
      <c r="H955" s="5">
        <v>0.1667</v>
      </c>
      <c r="I955" s="8">
        <f t="shared" si="57"/>
        <v>993384000</v>
      </c>
      <c r="J955" s="8">
        <f t="shared" si="58"/>
        <v>165597112.8</v>
      </c>
      <c r="K955" t="str">
        <f t="shared" si="59"/>
        <v>MATCHED</v>
      </c>
    </row>
    <row r="956" spans="1:11">
      <c r="A956" t="s">
        <v>104</v>
      </c>
      <c r="B956" t="s">
        <v>105</v>
      </c>
      <c r="C956" t="s">
        <v>455</v>
      </c>
      <c r="D956" t="s">
        <v>456</v>
      </c>
      <c r="E956" s="8">
        <v>8370</v>
      </c>
      <c r="F956" s="8">
        <v>81520</v>
      </c>
      <c r="G956" s="8">
        <f t="shared" si="56"/>
        <v>682322400</v>
      </c>
      <c r="H956" s="5">
        <v>0.3775</v>
      </c>
      <c r="I956" s="8">
        <f t="shared" si="57"/>
        <v>682322400</v>
      </c>
      <c r="J956" s="8">
        <f t="shared" si="58"/>
        <v>257576706</v>
      </c>
      <c r="K956" t="str">
        <f t="shared" si="59"/>
        <v>MATCHED</v>
      </c>
    </row>
    <row r="957" spans="1:11">
      <c r="A957" t="s">
        <v>104</v>
      </c>
      <c r="B957" t="s">
        <v>105</v>
      </c>
      <c r="C957" t="s">
        <v>912</v>
      </c>
      <c r="D957" t="s">
        <v>913</v>
      </c>
      <c r="E957" s="8">
        <v>350</v>
      </c>
      <c r="F957" s="8">
        <v>58400</v>
      </c>
      <c r="G957" s="8">
        <f t="shared" si="56"/>
        <v>20440000</v>
      </c>
      <c r="H957" s="5">
        <v>0.0559</v>
      </c>
      <c r="I957" s="8">
        <f t="shared" si="57"/>
        <v>20440000</v>
      </c>
      <c r="J957" s="8">
        <f t="shared" si="58"/>
        <v>1142596</v>
      </c>
      <c r="K957" t="str">
        <f t="shared" si="59"/>
        <v>MATCHED</v>
      </c>
    </row>
    <row r="958" spans="1:11">
      <c r="A958" t="s">
        <v>104</v>
      </c>
      <c r="B958" t="s">
        <v>105</v>
      </c>
      <c r="C958" t="s">
        <v>1092</v>
      </c>
      <c r="D958" t="s">
        <v>1093</v>
      </c>
      <c r="E958" s="8">
        <v>5460</v>
      </c>
      <c r="F958" s="8">
        <v>54140</v>
      </c>
      <c r="G958" s="8">
        <f t="shared" si="56"/>
        <v>295604400</v>
      </c>
      <c r="H958" s="5">
        <v>0</v>
      </c>
      <c r="I958" s="8">
        <f t="shared" si="57"/>
        <v>295604400</v>
      </c>
      <c r="J958" s="8">
        <f t="shared" si="58"/>
        <v>0</v>
      </c>
      <c r="K958" t="str">
        <f t="shared" si="59"/>
        <v>MATCHED</v>
      </c>
    </row>
    <row r="959" spans="1:11">
      <c r="A959" t="s">
        <v>104</v>
      </c>
      <c r="B959" t="s">
        <v>105</v>
      </c>
      <c r="C959" t="s">
        <v>1094</v>
      </c>
      <c r="D959" t="s">
        <v>1095</v>
      </c>
      <c r="E959" s="8"/>
      <c r="F959" s="8">
        <v>59000</v>
      </c>
      <c r="G959" s="8" t="str">
        <f t="shared" si="56"/>
        <v/>
      </c>
      <c r="H959" s="5">
        <v>0</v>
      </c>
      <c r="I959" s="8" t="str">
        <f t="shared" si="57"/>
        <v/>
      </c>
      <c r="J959" s="8" t="str">
        <f t="shared" si="58"/>
        <v/>
      </c>
      <c r="K959" t="str">
        <f t="shared" si="59"/>
        <v>MISSING OEWS</v>
      </c>
    </row>
    <row r="960" spans="1:11">
      <c r="A960" t="s">
        <v>104</v>
      </c>
      <c r="B960" t="s">
        <v>105</v>
      </c>
      <c r="C960" t="s">
        <v>457</v>
      </c>
      <c r="D960" t="s">
        <v>458</v>
      </c>
      <c r="E960" s="8">
        <v>10150</v>
      </c>
      <c r="F960" s="8">
        <v>47950</v>
      </c>
      <c r="G960" s="8">
        <f t="shared" si="56"/>
        <v>486692500</v>
      </c>
      <c r="H960" s="5">
        <v>0.15</v>
      </c>
      <c r="I960" s="8">
        <f t="shared" si="57"/>
        <v>486692500</v>
      </c>
      <c r="J960" s="8">
        <f t="shared" si="58"/>
        <v>73003875</v>
      </c>
      <c r="K960" t="str">
        <f t="shared" si="59"/>
        <v>MATCHED</v>
      </c>
    </row>
    <row r="961" spans="1:11">
      <c r="A961" t="s">
        <v>104</v>
      </c>
      <c r="B961" t="s">
        <v>105</v>
      </c>
      <c r="C961" t="s">
        <v>1096</v>
      </c>
      <c r="D961" t="s">
        <v>1097</v>
      </c>
      <c r="E961" s="8">
        <v>70</v>
      </c>
      <c r="F961" s="8">
        <v>49580</v>
      </c>
      <c r="G961" s="8">
        <f t="shared" si="56"/>
        <v>3470600</v>
      </c>
      <c r="H961" s="5">
        <v>0</v>
      </c>
      <c r="I961" s="8">
        <f t="shared" si="57"/>
        <v>3470600</v>
      </c>
      <c r="J961" s="8">
        <f t="shared" si="58"/>
        <v>0</v>
      </c>
      <c r="K961" t="str">
        <f t="shared" si="59"/>
        <v>MATCHED</v>
      </c>
    </row>
    <row r="962" spans="1:11">
      <c r="A962" t="s">
        <v>104</v>
      </c>
      <c r="B962" t="s">
        <v>105</v>
      </c>
      <c r="C962" t="s">
        <v>1098</v>
      </c>
      <c r="D962" t="s">
        <v>1099</v>
      </c>
      <c r="E962" s="8"/>
      <c r="F962" s="8">
        <v>45360</v>
      </c>
      <c r="G962" s="8" t="str">
        <f t="shared" ref="G962:G1025" si="60">IF(OR(E962="",F962=""),"",E962*F962)</f>
        <v/>
      </c>
      <c r="H962" s="5">
        <v>0</v>
      </c>
      <c r="I962" s="8" t="str">
        <f t="shared" ref="I962:I1025" si="61">IF(G962="","",IF(ISNUMBER(H962),G962,""))</f>
        <v/>
      </c>
      <c r="J962" s="8" t="str">
        <f t="shared" ref="J962:J1025" si="62">IF(I962="","",I962*H962)</f>
        <v/>
      </c>
      <c r="K962" t="str">
        <f t="shared" ref="K962:K1025" si="63">IF(G962="","MISSING OEWS",IF(ISNUMBER(H962),"MATCHED","MISSING WHARTON"))</f>
        <v>MISSING OEWS</v>
      </c>
    </row>
    <row r="963" spans="1:11">
      <c r="A963" t="s">
        <v>104</v>
      </c>
      <c r="B963" t="s">
        <v>105</v>
      </c>
      <c r="C963" t="s">
        <v>750</v>
      </c>
      <c r="D963" t="s">
        <v>751</v>
      </c>
      <c r="E963" s="8">
        <v>120</v>
      </c>
      <c r="F963" s="8">
        <v>53620</v>
      </c>
      <c r="G963" s="8">
        <f t="shared" si="60"/>
        <v>6434400</v>
      </c>
      <c r="H963" s="5">
        <v>0.1</v>
      </c>
      <c r="I963" s="8">
        <f t="shared" si="61"/>
        <v>6434400</v>
      </c>
      <c r="J963" s="8">
        <f t="shared" si="62"/>
        <v>643440</v>
      </c>
      <c r="K963" t="str">
        <f t="shared" si="63"/>
        <v>MATCHED</v>
      </c>
    </row>
    <row r="964" spans="1:11">
      <c r="A964" t="s">
        <v>104</v>
      </c>
      <c r="B964" t="s">
        <v>105</v>
      </c>
      <c r="C964" t="s">
        <v>1100</v>
      </c>
      <c r="D964" t="s">
        <v>1101</v>
      </c>
      <c r="E964" s="8">
        <v>670</v>
      </c>
      <c r="F964" s="8">
        <v>54860</v>
      </c>
      <c r="G964" s="8">
        <f t="shared" si="60"/>
        <v>36756200</v>
      </c>
      <c r="H964" s="5">
        <v>0.0297</v>
      </c>
      <c r="I964" s="8">
        <f t="shared" si="61"/>
        <v>36756200</v>
      </c>
      <c r="J964" s="8">
        <f t="shared" si="62"/>
        <v>1091659.14</v>
      </c>
      <c r="K964" t="str">
        <f t="shared" si="63"/>
        <v>MATCHED</v>
      </c>
    </row>
    <row r="965" spans="1:11">
      <c r="A965" t="s">
        <v>104</v>
      </c>
      <c r="B965" t="s">
        <v>105</v>
      </c>
      <c r="C965" t="s">
        <v>752</v>
      </c>
      <c r="D965" t="s">
        <v>753</v>
      </c>
      <c r="E965" s="8">
        <v>110</v>
      </c>
      <c r="F965" s="8">
        <v>78400</v>
      </c>
      <c r="G965" s="8">
        <f t="shared" si="60"/>
        <v>8624000</v>
      </c>
      <c r="H965" s="5">
        <v>0</v>
      </c>
      <c r="I965" s="8">
        <f t="shared" si="61"/>
        <v>8624000</v>
      </c>
      <c r="J965" s="8">
        <f t="shared" si="62"/>
        <v>0</v>
      </c>
      <c r="K965" t="str">
        <f t="shared" si="63"/>
        <v>MATCHED</v>
      </c>
    </row>
    <row r="966" spans="1:11">
      <c r="A966" t="s">
        <v>104</v>
      </c>
      <c r="B966" t="s">
        <v>105</v>
      </c>
      <c r="C966" t="s">
        <v>1102</v>
      </c>
      <c r="D966" t="s">
        <v>1103</v>
      </c>
      <c r="E966" s="8">
        <v>80</v>
      </c>
      <c r="F966" s="8">
        <v>48750</v>
      </c>
      <c r="G966" s="8">
        <f t="shared" si="60"/>
        <v>3900000</v>
      </c>
      <c r="H966" s="5">
        <v>0.0917</v>
      </c>
      <c r="I966" s="8">
        <f t="shared" si="61"/>
        <v>3900000</v>
      </c>
      <c r="J966" s="8">
        <f t="shared" si="62"/>
        <v>357630</v>
      </c>
      <c r="K966" t="str">
        <f t="shared" si="63"/>
        <v>MATCHED</v>
      </c>
    </row>
    <row r="967" spans="1:11">
      <c r="A967" t="s">
        <v>104</v>
      </c>
      <c r="B967" t="s">
        <v>105</v>
      </c>
      <c r="C967" t="s">
        <v>1104</v>
      </c>
      <c r="D967" t="s">
        <v>1105</v>
      </c>
      <c r="E967" s="8"/>
      <c r="F967" s="8">
        <v>53740</v>
      </c>
      <c r="G967" s="8" t="str">
        <f t="shared" si="60"/>
        <v/>
      </c>
      <c r="H967" s="5">
        <v>0.0438</v>
      </c>
      <c r="I967" s="8" t="str">
        <f t="shared" si="61"/>
        <v/>
      </c>
      <c r="J967" s="8" t="str">
        <f t="shared" si="62"/>
        <v/>
      </c>
      <c r="K967" t="str">
        <f t="shared" si="63"/>
        <v>MISSING OEWS</v>
      </c>
    </row>
    <row r="968" spans="1:11">
      <c r="A968" t="s">
        <v>104</v>
      </c>
      <c r="B968" t="s">
        <v>105</v>
      </c>
      <c r="C968" t="s">
        <v>754</v>
      </c>
      <c r="D968" t="s">
        <v>755</v>
      </c>
      <c r="E968" s="8">
        <v>320</v>
      </c>
      <c r="F968" s="8">
        <v>53170</v>
      </c>
      <c r="G968" s="8">
        <f t="shared" si="60"/>
        <v>17014400</v>
      </c>
      <c r="H968" s="5">
        <v>0.0633</v>
      </c>
      <c r="I968" s="8">
        <f t="shared" si="61"/>
        <v>17014400</v>
      </c>
      <c r="J968" s="8">
        <f t="shared" si="62"/>
        <v>1077011.52</v>
      </c>
      <c r="K968" t="str">
        <f t="shared" si="63"/>
        <v>MATCHED</v>
      </c>
    </row>
    <row r="969" spans="1:11">
      <c r="A969" t="s">
        <v>104</v>
      </c>
      <c r="B969" t="s">
        <v>105</v>
      </c>
      <c r="C969" t="s">
        <v>756</v>
      </c>
      <c r="D969" t="s">
        <v>757</v>
      </c>
      <c r="E969" s="8">
        <v>2480</v>
      </c>
      <c r="F969" s="8">
        <v>68640</v>
      </c>
      <c r="G969" s="8">
        <f t="shared" si="60"/>
        <v>170227200</v>
      </c>
      <c r="H969" s="5">
        <v>0.0897</v>
      </c>
      <c r="I969" s="8">
        <f t="shared" si="61"/>
        <v>170227200</v>
      </c>
      <c r="J969" s="8">
        <f t="shared" si="62"/>
        <v>15269379.84</v>
      </c>
      <c r="K969" t="str">
        <f t="shared" si="63"/>
        <v>MATCHED</v>
      </c>
    </row>
    <row r="970" spans="1:11">
      <c r="A970" t="s">
        <v>104</v>
      </c>
      <c r="B970" t="s">
        <v>105</v>
      </c>
      <c r="C970" t="s">
        <v>1106</v>
      </c>
      <c r="D970" t="s">
        <v>1107</v>
      </c>
      <c r="E970" s="8">
        <v>40</v>
      </c>
      <c r="F970" s="8">
        <v>48240</v>
      </c>
      <c r="G970" s="8">
        <f t="shared" si="60"/>
        <v>1929600</v>
      </c>
      <c r="H970" s="5">
        <v>0.0288</v>
      </c>
      <c r="I970" s="8">
        <f t="shared" si="61"/>
        <v>1929600</v>
      </c>
      <c r="J970" s="8">
        <f t="shared" si="62"/>
        <v>55572.48</v>
      </c>
      <c r="K970" t="str">
        <f t="shared" si="63"/>
        <v>MATCHED</v>
      </c>
    </row>
    <row r="971" spans="1:11">
      <c r="A971" t="s">
        <v>104</v>
      </c>
      <c r="B971" t="s">
        <v>105</v>
      </c>
      <c r="C971" t="s">
        <v>1108</v>
      </c>
      <c r="D971" t="s">
        <v>1109</v>
      </c>
      <c r="E971" s="8">
        <v>170</v>
      </c>
      <c r="F971" s="8">
        <v>52800</v>
      </c>
      <c r="G971" s="8">
        <f t="shared" si="60"/>
        <v>8976000</v>
      </c>
      <c r="H971" s="5">
        <v>0.169</v>
      </c>
      <c r="I971" s="8">
        <f t="shared" si="61"/>
        <v>8976000</v>
      </c>
      <c r="J971" s="8">
        <f t="shared" si="62"/>
        <v>1516944</v>
      </c>
      <c r="K971" t="str">
        <f t="shared" si="63"/>
        <v>MATCHED</v>
      </c>
    </row>
    <row r="972" spans="1:11">
      <c r="A972" t="s">
        <v>104</v>
      </c>
      <c r="B972" t="s">
        <v>105</v>
      </c>
      <c r="C972" t="s">
        <v>760</v>
      </c>
      <c r="D972" t="s">
        <v>761</v>
      </c>
      <c r="E972" s="8">
        <v>90</v>
      </c>
      <c r="F972" s="8">
        <v>59360</v>
      </c>
      <c r="G972" s="8">
        <f t="shared" si="60"/>
        <v>5342400</v>
      </c>
      <c r="H972" s="5">
        <v>0.0559</v>
      </c>
      <c r="I972" s="8">
        <f t="shared" si="61"/>
        <v>5342400</v>
      </c>
      <c r="J972" s="8">
        <f t="shared" si="62"/>
        <v>298640.16</v>
      </c>
      <c r="K972" t="str">
        <f t="shared" si="63"/>
        <v>MATCHED</v>
      </c>
    </row>
    <row r="973" spans="1:11">
      <c r="A973" t="s">
        <v>104</v>
      </c>
      <c r="B973" t="s">
        <v>105</v>
      </c>
      <c r="C973" t="s">
        <v>465</v>
      </c>
      <c r="D973" t="s">
        <v>466</v>
      </c>
      <c r="E973" s="8">
        <v>55860</v>
      </c>
      <c r="F973" s="8">
        <v>64690</v>
      </c>
      <c r="G973" s="8">
        <f t="shared" si="60"/>
        <v>3613583400</v>
      </c>
      <c r="H973" s="5">
        <v>0.0233</v>
      </c>
      <c r="I973" s="8">
        <f t="shared" si="61"/>
        <v>3613583400</v>
      </c>
      <c r="J973" s="8">
        <f t="shared" si="62"/>
        <v>84196493.22</v>
      </c>
      <c r="K973" t="str">
        <f t="shared" si="63"/>
        <v>MATCHED</v>
      </c>
    </row>
    <row r="974" spans="1:11">
      <c r="A974" t="s">
        <v>104</v>
      </c>
      <c r="B974" t="s">
        <v>105</v>
      </c>
      <c r="C974" t="s">
        <v>762</v>
      </c>
      <c r="D974" t="s">
        <v>763</v>
      </c>
      <c r="E974" s="8">
        <v>830</v>
      </c>
      <c r="F974" s="8">
        <v>54780</v>
      </c>
      <c r="G974" s="8">
        <f t="shared" si="60"/>
        <v>45467400</v>
      </c>
      <c r="H974" s="5">
        <v>0.0983</v>
      </c>
      <c r="I974" s="8">
        <f t="shared" si="61"/>
        <v>45467400</v>
      </c>
      <c r="J974" s="8">
        <f t="shared" si="62"/>
        <v>4469445.42</v>
      </c>
      <c r="K974" t="str">
        <f t="shared" si="63"/>
        <v>MATCHED</v>
      </c>
    </row>
    <row r="975" spans="1:11">
      <c r="A975" t="s">
        <v>104</v>
      </c>
      <c r="B975" t="s">
        <v>105</v>
      </c>
      <c r="C975" t="s">
        <v>1110</v>
      </c>
      <c r="D975" t="s">
        <v>1111</v>
      </c>
      <c r="E975" s="8">
        <v>50</v>
      </c>
      <c r="F975" s="8">
        <v>81200</v>
      </c>
      <c r="G975" s="8">
        <f t="shared" si="60"/>
        <v>4060000</v>
      </c>
      <c r="H975" s="5">
        <v>0.0365</v>
      </c>
      <c r="I975" s="8">
        <f t="shared" si="61"/>
        <v>4060000</v>
      </c>
      <c r="J975" s="8">
        <f t="shared" si="62"/>
        <v>148190</v>
      </c>
      <c r="K975" t="str">
        <f t="shared" si="63"/>
        <v>MATCHED</v>
      </c>
    </row>
    <row r="976" spans="1:11">
      <c r="A976" t="s">
        <v>104</v>
      </c>
      <c r="B976" t="s">
        <v>105</v>
      </c>
      <c r="C976" t="s">
        <v>1112</v>
      </c>
      <c r="D976" t="s">
        <v>1113</v>
      </c>
      <c r="E976" s="8">
        <v>350</v>
      </c>
      <c r="F976" s="8">
        <v>83960</v>
      </c>
      <c r="G976" s="8">
        <f t="shared" si="60"/>
        <v>29386000</v>
      </c>
      <c r="H976" s="5">
        <v>0.0679</v>
      </c>
      <c r="I976" s="8">
        <f t="shared" si="61"/>
        <v>29386000</v>
      </c>
      <c r="J976" s="8">
        <f t="shared" si="62"/>
        <v>1995309.4</v>
      </c>
      <c r="K976" t="str">
        <f t="shared" si="63"/>
        <v>MATCHED</v>
      </c>
    </row>
    <row r="977" spans="1:11">
      <c r="A977" t="s">
        <v>104</v>
      </c>
      <c r="B977" t="s">
        <v>105</v>
      </c>
      <c r="C977" t="s">
        <v>1114</v>
      </c>
      <c r="D977" t="s">
        <v>1115</v>
      </c>
      <c r="E977" s="8">
        <v>50</v>
      </c>
      <c r="F977" s="8">
        <v>49500</v>
      </c>
      <c r="G977" s="8">
        <f t="shared" si="60"/>
        <v>2475000</v>
      </c>
      <c r="H977" s="5">
        <v>0</v>
      </c>
      <c r="I977" s="8">
        <f t="shared" si="61"/>
        <v>2475000</v>
      </c>
      <c r="J977" s="8">
        <f t="shared" si="62"/>
        <v>0</v>
      </c>
      <c r="K977" t="str">
        <f t="shared" si="63"/>
        <v>MATCHED</v>
      </c>
    </row>
    <row r="978" spans="1:11">
      <c r="A978" t="s">
        <v>104</v>
      </c>
      <c r="B978" t="s">
        <v>105</v>
      </c>
      <c r="C978" t="s">
        <v>764</v>
      </c>
      <c r="D978" t="s">
        <v>765</v>
      </c>
      <c r="E978" s="8">
        <v>530</v>
      </c>
      <c r="F978" s="8">
        <v>43850</v>
      </c>
      <c r="G978" s="8">
        <f t="shared" si="60"/>
        <v>23240500</v>
      </c>
      <c r="H978" s="5"/>
      <c r="I978" s="8" t="str">
        <f t="shared" si="61"/>
        <v/>
      </c>
      <c r="J978" s="8" t="str">
        <f t="shared" si="62"/>
        <v/>
      </c>
      <c r="K978" t="str">
        <f t="shared" si="63"/>
        <v>MISSING WHARTON</v>
      </c>
    </row>
    <row r="979" spans="1:11">
      <c r="A979" t="s">
        <v>104</v>
      </c>
      <c r="B979" t="s">
        <v>105</v>
      </c>
      <c r="C979" t="s">
        <v>1116</v>
      </c>
      <c r="D979" t="s">
        <v>1117</v>
      </c>
      <c r="E979" s="8">
        <v>40</v>
      </c>
      <c r="F979" s="8">
        <v>36320</v>
      </c>
      <c r="G979" s="8">
        <f t="shared" si="60"/>
        <v>1452800</v>
      </c>
      <c r="H979" s="5">
        <v>0</v>
      </c>
      <c r="I979" s="8">
        <f t="shared" si="61"/>
        <v>1452800</v>
      </c>
      <c r="J979" s="8">
        <f t="shared" si="62"/>
        <v>0</v>
      </c>
      <c r="K979" t="str">
        <f t="shared" si="63"/>
        <v>MATCHED</v>
      </c>
    </row>
    <row r="980" spans="1:11">
      <c r="A980" t="s">
        <v>104</v>
      </c>
      <c r="B980" t="s">
        <v>105</v>
      </c>
      <c r="C980" t="s">
        <v>1118</v>
      </c>
      <c r="D980" t="s">
        <v>1119</v>
      </c>
      <c r="E980" s="8">
        <v>40</v>
      </c>
      <c r="F980" s="8">
        <v>44890</v>
      </c>
      <c r="G980" s="8">
        <f t="shared" si="60"/>
        <v>1795600</v>
      </c>
      <c r="H980" s="5">
        <v>0.0365</v>
      </c>
      <c r="I980" s="8">
        <f t="shared" si="61"/>
        <v>1795600</v>
      </c>
      <c r="J980" s="8">
        <f t="shared" si="62"/>
        <v>65539.4</v>
      </c>
      <c r="K980" t="str">
        <f t="shared" si="63"/>
        <v>MATCHED</v>
      </c>
    </row>
    <row r="981" spans="1:11">
      <c r="A981" t="s">
        <v>104</v>
      </c>
      <c r="B981" t="s">
        <v>105</v>
      </c>
      <c r="C981" t="s">
        <v>1120</v>
      </c>
      <c r="D981" t="s">
        <v>1121</v>
      </c>
      <c r="E981" s="8">
        <v>40</v>
      </c>
      <c r="F981" s="8">
        <v>46410</v>
      </c>
      <c r="G981" s="8">
        <f t="shared" si="60"/>
        <v>1856400</v>
      </c>
      <c r="H981" s="5">
        <v>0.0432</v>
      </c>
      <c r="I981" s="8">
        <f t="shared" si="61"/>
        <v>1856400</v>
      </c>
      <c r="J981" s="8">
        <f t="shared" si="62"/>
        <v>80196.48</v>
      </c>
      <c r="K981" t="str">
        <f t="shared" si="63"/>
        <v>MATCHED</v>
      </c>
    </row>
    <row r="982" spans="1:11">
      <c r="A982" t="s">
        <v>104</v>
      </c>
      <c r="B982" t="s">
        <v>105</v>
      </c>
      <c r="C982" t="s">
        <v>1122</v>
      </c>
      <c r="D982" t="s">
        <v>1123</v>
      </c>
      <c r="E982" s="8">
        <v>7120</v>
      </c>
      <c r="F982" s="8">
        <v>52490</v>
      </c>
      <c r="G982" s="8">
        <f t="shared" si="60"/>
        <v>373728800</v>
      </c>
      <c r="H982" s="5">
        <v>0.13</v>
      </c>
      <c r="I982" s="8">
        <f t="shared" si="61"/>
        <v>373728800</v>
      </c>
      <c r="J982" s="8">
        <f t="shared" si="62"/>
        <v>48584744</v>
      </c>
      <c r="K982" t="str">
        <f t="shared" si="63"/>
        <v>MATCHED</v>
      </c>
    </row>
    <row r="983" spans="1:11">
      <c r="A983" t="s">
        <v>104</v>
      </c>
      <c r="B983" t="s">
        <v>105</v>
      </c>
      <c r="C983" t="s">
        <v>1124</v>
      </c>
      <c r="D983" t="s">
        <v>1125</v>
      </c>
      <c r="E983" s="8">
        <v>110</v>
      </c>
      <c r="F983" s="8">
        <v>43330</v>
      </c>
      <c r="G983" s="8">
        <f t="shared" si="60"/>
        <v>4766300</v>
      </c>
      <c r="H983" s="5">
        <v>0</v>
      </c>
      <c r="I983" s="8">
        <f t="shared" si="61"/>
        <v>4766300</v>
      </c>
      <c r="J983" s="8">
        <f t="shared" si="62"/>
        <v>0</v>
      </c>
      <c r="K983" t="str">
        <f t="shared" si="63"/>
        <v>MATCHED</v>
      </c>
    </row>
    <row r="984" spans="1:11">
      <c r="A984" t="s">
        <v>104</v>
      </c>
      <c r="B984" t="s">
        <v>105</v>
      </c>
      <c r="C984" t="s">
        <v>467</v>
      </c>
      <c r="D984" t="s">
        <v>468</v>
      </c>
      <c r="E984" s="8">
        <v>210</v>
      </c>
      <c r="F984" s="8">
        <v>52330</v>
      </c>
      <c r="G984" s="8">
        <f t="shared" si="60"/>
        <v>10989300</v>
      </c>
      <c r="H984" s="5">
        <v>0</v>
      </c>
      <c r="I984" s="8">
        <f t="shared" si="61"/>
        <v>10989300</v>
      </c>
      <c r="J984" s="8">
        <f t="shared" si="62"/>
        <v>0</v>
      </c>
      <c r="K984" t="str">
        <f t="shared" si="63"/>
        <v>MATCHED</v>
      </c>
    </row>
    <row r="985" spans="1:11">
      <c r="A985" t="s">
        <v>104</v>
      </c>
      <c r="B985" t="s">
        <v>105</v>
      </c>
      <c r="C985" t="s">
        <v>1126</v>
      </c>
      <c r="D985" t="s">
        <v>1127</v>
      </c>
      <c r="E985" s="8">
        <v>280</v>
      </c>
      <c r="F985" s="8">
        <v>50030</v>
      </c>
      <c r="G985" s="8">
        <f t="shared" si="60"/>
        <v>14008400</v>
      </c>
      <c r="H985" s="5">
        <v>0.0365</v>
      </c>
      <c r="I985" s="8">
        <f t="shared" si="61"/>
        <v>14008400</v>
      </c>
      <c r="J985" s="8">
        <f t="shared" si="62"/>
        <v>511306.6</v>
      </c>
      <c r="K985" t="str">
        <f t="shared" si="63"/>
        <v>MATCHED</v>
      </c>
    </row>
    <row r="986" spans="1:11">
      <c r="A986" t="s">
        <v>104</v>
      </c>
      <c r="B986" t="s">
        <v>105</v>
      </c>
      <c r="C986" t="s">
        <v>766</v>
      </c>
      <c r="D986" t="s">
        <v>767</v>
      </c>
      <c r="E986" s="8"/>
      <c r="F986" s="8">
        <v>80430</v>
      </c>
      <c r="G986" s="8" t="str">
        <f t="shared" si="60"/>
        <v/>
      </c>
      <c r="H986" s="5">
        <v>0.1618</v>
      </c>
      <c r="I986" s="8" t="str">
        <f t="shared" si="61"/>
        <v/>
      </c>
      <c r="J986" s="8" t="str">
        <f t="shared" si="62"/>
        <v/>
      </c>
      <c r="K986" t="str">
        <f t="shared" si="63"/>
        <v>MISSING OEWS</v>
      </c>
    </row>
    <row r="987" spans="1:11">
      <c r="A987" t="s">
        <v>104</v>
      </c>
      <c r="B987" t="s">
        <v>105</v>
      </c>
      <c r="C987" t="s">
        <v>768</v>
      </c>
      <c r="D987" t="s">
        <v>769</v>
      </c>
      <c r="E987" s="8">
        <v>800</v>
      </c>
      <c r="F987" s="8">
        <v>83870</v>
      </c>
      <c r="G987" s="8">
        <f t="shared" si="60"/>
        <v>67096000</v>
      </c>
      <c r="H987" s="5">
        <v>0.104</v>
      </c>
      <c r="I987" s="8">
        <f t="shared" si="61"/>
        <v>67096000</v>
      </c>
      <c r="J987" s="8">
        <f t="shared" si="62"/>
        <v>6977984</v>
      </c>
      <c r="K987" t="str">
        <f t="shared" si="63"/>
        <v>MATCHED</v>
      </c>
    </row>
    <row r="988" spans="1:11">
      <c r="A988" t="s">
        <v>104</v>
      </c>
      <c r="B988" t="s">
        <v>105</v>
      </c>
      <c r="C988" t="s">
        <v>770</v>
      </c>
      <c r="D988" t="s">
        <v>771</v>
      </c>
      <c r="E988" s="8">
        <v>1030</v>
      </c>
      <c r="F988" s="8">
        <v>68810</v>
      </c>
      <c r="G988" s="8">
        <f t="shared" si="60"/>
        <v>70874300</v>
      </c>
      <c r="H988" s="5">
        <v>0.1188</v>
      </c>
      <c r="I988" s="8">
        <f t="shared" si="61"/>
        <v>70874300</v>
      </c>
      <c r="J988" s="8">
        <f t="shared" si="62"/>
        <v>8419866.84</v>
      </c>
      <c r="K988" t="str">
        <f t="shared" si="63"/>
        <v>MATCHED</v>
      </c>
    </row>
    <row r="989" spans="1:11">
      <c r="A989" t="s">
        <v>104</v>
      </c>
      <c r="B989" t="s">
        <v>105</v>
      </c>
      <c r="C989" t="s">
        <v>776</v>
      </c>
      <c r="D989" t="s">
        <v>777</v>
      </c>
      <c r="E989" s="8">
        <v>110</v>
      </c>
      <c r="F989" s="8">
        <v>69870</v>
      </c>
      <c r="G989" s="8">
        <f t="shared" si="60"/>
        <v>7685700</v>
      </c>
      <c r="H989" s="5">
        <v>0.1583</v>
      </c>
      <c r="I989" s="8">
        <f t="shared" si="61"/>
        <v>7685700</v>
      </c>
      <c r="J989" s="8">
        <f t="shared" si="62"/>
        <v>1216646.31</v>
      </c>
      <c r="K989" t="str">
        <f t="shared" si="63"/>
        <v>MATCHED</v>
      </c>
    </row>
    <row r="990" spans="1:11">
      <c r="A990" t="s">
        <v>104</v>
      </c>
      <c r="B990" t="s">
        <v>105</v>
      </c>
      <c r="C990" t="s">
        <v>778</v>
      </c>
      <c r="D990" t="s">
        <v>779</v>
      </c>
      <c r="E990" s="8">
        <v>960</v>
      </c>
      <c r="F990" s="8">
        <v>62330</v>
      </c>
      <c r="G990" s="8">
        <f t="shared" si="60"/>
        <v>59836800</v>
      </c>
      <c r="H990" s="5">
        <v>0.1</v>
      </c>
      <c r="I990" s="8">
        <f t="shared" si="61"/>
        <v>59836800</v>
      </c>
      <c r="J990" s="8">
        <f t="shared" si="62"/>
        <v>5983680</v>
      </c>
      <c r="K990" t="str">
        <f t="shared" si="63"/>
        <v>MATCHED</v>
      </c>
    </row>
    <row r="991" spans="1:11">
      <c r="A991" t="s">
        <v>104</v>
      </c>
      <c r="B991" t="s">
        <v>105</v>
      </c>
      <c r="C991" t="s">
        <v>469</v>
      </c>
      <c r="D991" t="s">
        <v>470</v>
      </c>
      <c r="E991" s="8">
        <v>130</v>
      </c>
      <c r="F991" s="8">
        <v>61550</v>
      </c>
      <c r="G991" s="8">
        <f t="shared" si="60"/>
        <v>8001500</v>
      </c>
      <c r="H991" s="5">
        <v>0.0452</v>
      </c>
      <c r="I991" s="8">
        <f t="shared" si="61"/>
        <v>8001500</v>
      </c>
      <c r="J991" s="8">
        <f t="shared" si="62"/>
        <v>361667.8</v>
      </c>
      <c r="K991" t="str">
        <f t="shared" si="63"/>
        <v>MATCHED</v>
      </c>
    </row>
    <row r="992" spans="1:11">
      <c r="A992" t="s">
        <v>104</v>
      </c>
      <c r="B992" t="s">
        <v>105</v>
      </c>
      <c r="C992" t="s">
        <v>471</v>
      </c>
      <c r="D992" t="s">
        <v>472</v>
      </c>
      <c r="E992" s="8">
        <v>1080</v>
      </c>
      <c r="F992" s="8">
        <v>54480</v>
      </c>
      <c r="G992" s="8">
        <f t="shared" si="60"/>
        <v>58838400</v>
      </c>
      <c r="H992" s="5">
        <v>0.0864</v>
      </c>
      <c r="I992" s="8">
        <f t="shared" si="61"/>
        <v>58838400</v>
      </c>
      <c r="J992" s="8">
        <f t="shared" si="62"/>
        <v>5083637.76</v>
      </c>
      <c r="K992" t="str">
        <f t="shared" si="63"/>
        <v>MATCHED</v>
      </c>
    </row>
    <row r="993" spans="1:11">
      <c r="A993" t="s">
        <v>104</v>
      </c>
      <c r="B993" t="s">
        <v>105</v>
      </c>
      <c r="C993" t="s">
        <v>1128</v>
      </c>
      <c r="D993" t="s">
        <v>1129</v>
      </c>
      <c r="E993" s="8">
        <v>200</v>
      </c>
      <c r="F993" s="8">
        <v>47730</v>
      </c>
      <c r="G993" s="8">
        <f t="shared" si="60"/>
        <v>9546000</v>
      </c>
      <c r="H993" s="5">
        <v>0.0475</v>
      </c>
      <c r="I993" s="8">
        <f t="shared" si="61"/>
        <v>9546000</v>
      </c>
      <c r="J993" s="8">
        <f t="shared" si="62"/>
        <v>453435</v>
      </c>
      <c r="K993" t="str">
        <f t="shared" si="63"/>
        <v>MATCHED</v>
      </c>
    </row>
    <row r="994" spans="1:11">
      <c r="A994" t="s">
        <v>104</v>
      </c>
      <c r="B994" t="s">
        <v>105</v>
      </c>
      <c r="C994" t="s">
        <v>473</v>
      </c>
      <c r="D994" t="s">
        <v>474</v>
      </c>
      <c r="E994" s="8">
        <v>1300</v>
      </c>
      <c r="F994" s="8">
        <v>52520</v>
      </c>
      <c r="G994" s="8">
        <f t="shared" si="60"/>
        <v>68276000</v>
      </c>
      <c r="H994" s="5">
        <v>0.1026</v>
      </c>
      <c r="I994" s="8">
        <f t="shared" si="61"/>
        <v>68276000</v>
      </c>
      <c r="J994" s="8">
        <f t="shared" si="62"/>
        <v>7005117.6</v>
      </c>
      <c r="K994" t="str">
        <f t="shared" si="63"/>
        <v>MATCHED</v>
      </c>
    </row>
    <row r="995" spans="1:11">
      <c r="A995" t="s">
        <v>104</v>
      </c>
      <c r="B995" t="s">
        <v>105</v>
      </c>
      <c r="C995" t="s">
        <v>475</v>
      </c>
      <c r="D995" t="s">
        <v>476</v>
      </c>
      <c r="E995" s="8">
        <v>260</v>
      </c>
      <c r="F995" s="8">
        <v>54100</v>
      </c>
      <c r="G995" s="8">
        <f t="shared" si="60"/>
        <v>14066000</v>
      </c>
      <c r="H995" s="5">
        <v>0</v>
      </c>
      <c r="I995" s="8">
        <f t="shared" si="61"/>
        <v>14066000</v>
      </c>
      <c r="J995" s="8">
        <f t="shared" si="62"/>
        <v>0</v>
      </c>
      <c r="K995" t="str">
        <f t="shared" si="63"/>
        <v>MATCHED</v>
      </c>
    </row>
    <row r="996" spans="1:11">
      <c r="A996" t="s">
        <v>104</v>
      </c>
      <c r="B996" t="s">
        <v>105</v>
      </c>
      <c r="C996" t="s">
        <v>477</v>
      </c>
      <c r="D996" t="s">
        <v>478</v>
      </c>
      <c r="E996" s="8">
        <v>1530</v>
      </c>
      <c r="F996" s="8">
        <v>48310</v>
      </c>
      <c r="G996" s="8">
        <f t="shared" si="60"/>
        <v>73914300</v>
      </c>
      <c r="H996" s="5">
        <v>0.0339</v>
      </c>
      <c r="I996" s="8">
        <f t="shared" si="61"/>
        <v>73914300</v>
      </c>
      <c r="J996" s="8">
        <f t="shared" si="62"/>
        <v>2505694.77</v>
      </c>
      <c r="K996" t="str">
        <f t="shared" si="63"/>
        <v>MATCHED</v>
      </c>
    </row>
    <row r="997" spans="1:11">
      <c r="A997" t="s">
        <v>104</v>
      </c>
      <c r="B997" t="s">
        <v>105</v>
      </c>
      <c r="C997" t="s">
        <v>479</v>
      </c>
      <c r="D997" t="s">
        <v>480</v>
      </c>
      <c r="E997" s="8">
        <v>80</v>
      </c>
      <c r="F997" s="8">
        <v>42400</v>
      </c>
      <c r="G997" s="8">
        <f t="shared" si="60"/>
        <v>3392000</v>
      </c>
      <c r="H997" s="5">
        <v>0.0679</v>
      </c>
      <c r="I997" s="8">
        <f t="shared" si="61"/>
        <v>3392000</v>
      </c>
      <c r="J997" s="8">
        <f t="shared" si="62"/>
        <v>230316.8</v>
      </c>
      <c r="K997" t="str">
        <f t="shared" si="63"/>
        <v>MATCHED</v>
      </c>
    </row>
    <row r="998" spans="1:11">
      <c r="A998" t="s">
        <v>104</v>
      </c>
      <c r="B998" t="s">
        <v>105</v>
      </c>
      <c r="C998" t="s">
        <v>481</v>
      </c>
      <c r="D998" t="s">
        <v>482</v>
      </c>
      <c r="E998" s="8">
        <v>7410</v>
      </c>
      <c r="F998" s="8">
        <v>63510</v>
      </c>
      <c r="G998" s="8">
        <f t="shared" si="60"/>
        <v>470609100</v>
      </c>
      <c r="H998" s="5">
        <v>0.2969</v>
      </c>
      <c r="I998" s="8">
        <f t="shared" si="61"/>
        <v>470609100</v>
      </c>
      <c r="J998" s="8">
        <f t="shared" si="62"/>
        <v>139723841.79</v>
      </c>
      <c r="K998" t="str">
        <f t="shared" si="63"/>
        <v>MATCHED</v>
      </c>
    </row>
    <row r="999" spans="1:11">
      <c r="A999" t="s">
        <v>104</v>
      </c>
      <c r="B999" t="s">
        <v>105</v>
      </c>
      <c r="C999" t="s">
        <v>483</v>
      </c>
      <c r="D999" t="s">
        <v>484</v>
      </c>
      <c r="E999" s="8">
        <v>430</v>
      </c>
      <c r="F999" s="8">
        <v>43830</v>
      </c>
      <c r="G999" s="8">
        <f t="shared" si="60"/>
        <v>18846900</v>
      </c>
      <c r="H999" s="5">
        <v>0.0475</v>
      </c>
      <c r="I999" s="8">
        <f t="shared" si="61"/>
        <v>18846900</v>
      </c>
      <c r="J999" s="8">
        <f t="shared" si="62"/>
        <v>895227.75</v>
      </c>
      <c r="K999" t="str">
        <f t="shared" si="63"/>
        <v>MATCHED</v>
      </c>
    </row>
    <row r="1000" spans="1:11">
      <c r="A1000" t="s">
        <v>104</v>
      </c>
      <c r="B1000" t="s">
        <v>105</v>
      </c>
      <c r="C1000" t="s">
        <v>1130</v>
      </c>
      <c r="D1000" t="s">
        <v>1131</v>
      </c>
      <c r="E1000" s="8"/>
      <c r="F1000" s="8">
        <v>55810</v>
      </c>
      <c r="G1000" s="8" t="str">
        <f t="shared" si="60"/>
        <v/>
      </c>
      <c r="H1000" s="5">
        <v>0</v>
      </c>
      <c r="I1000" s="8" t="str">
        <f t="shared" si="61"/>
        <v/>
      </c>
      <c r="J1000" s="8" t="str">
        <f t="shared" si="62"/>
        <v/>
      </c>
      <c r="K1000" t="str">
        <f t="shared" si="63"/>
        <v>MISSING OEWS</v>
      </c>
    </row>
    <row r="1001" spans="1:11">
      <c r="A1001" t="s">
        <v>104</v>
      </c>
      <c r="B1001" t="s">
        <v>105</v>
      </c>
      <c r="C1001" t="s">
        <v>782</v>
      </c>
      <c r="D1001" t="s">
        <v>783</v>
      </c>
      <c r="E1001" s="8">
        <v>2800</v>
      </c>
      <c r="F1001" s="8">
        <v>55550</v>
      </c>
      <c r="G1001" s="8">
        <f t="shared" si="60"/>
        <v>155540000</v>
      </c>
      <c r="H1001" s="5">
        <v>0.0317</v>
      </c>
      <c r="I1001" s="8">
        <f t="shared" si="61"/>
        <v>155540000</v>
      </c>
      <c r="J1001" s="8">
        <f t="shared" si="62"/>
        <v>4930618</v>
      </c>
      <c r="K1001" t="str">
        <f t="shared" si="63"/>
        <v>MATCHED</v>
      </c>
    </row>
    <row r="1002" spans="1:11">
      <c r="A1002" t="s">
        <v>104</v>
      </c>
      <c r="B1002" t="s">
        <v>105</v>
      </c>
      <c r="C1002" t="s">
        <v>784</v>
      </c>
      <c r="D1002" t="s">
        <v>785</v>
      </c>
      <c r="E1002" s="8">
        <v>1290</v>
      </c>
      <c r="F1002" s="8">
        <v>51500</v>
      </c>
      <c r="G1002" s="8">
        <f t="shared" si="60"/>
        <v>66435000</v>
      </c>
      <c r="H1002" s="5">
        <v>0.2111</v>
      </c>
      <c r="I1002" s="8">
        <f t="shared" si="61"/>
        <v>66435000</v>
      </c>
      <c r="J1002" s="8">
        <f t="shared" si="62"/>
        <v>14024428.5</v>
      </c>
      <c r="K1002" t="str">
        <f t="shared" si="63"/>
        <v>MATCHED</v>
      </c>
    </row>
    <row r="1003" spans="1:11">
      <c r="A1003" t="s">
        <v>104</v>
      </c>
      <c r="B1003" t="s">
        <v>105</v>
      </c>
      <c r="C1003" t="s">
        <v>1132</v>
      </c>
      <c r="D1003" t="s">
        <v>1133</v>
      </c>
      <c r="E1003" s="8">
        <v>430</v>
      </c>
      <c r="F1003" s="8">
        <v>71050</v>
      </c>
      <c r="G1003" s="8">
        <f t="shared" si="60"/>
        <v>30551500</v>
      </c>
      <c r="H1003" s="5">
        <v>0.5938</v>
      </c>
      <c r="I1003" s="8">
        <f t="shared" si="61"/>
        <v>30551500</v>
      </c>
      <c r="J1003" s="8">
        <f t="shared" si="62"/>
        <v>18141480.7</v>
      </c>
      <c r="K1003" t="str">
        <f t="shared" si="63"/>
        <v>MATCHED</v>
      </c>
    </row>
    <row r="1004" spans="1:11">
      <c r="A1004" t="s">
        <v>104</v>
      </c>
      <c r="B1004" t="s">
        <v>105</v>
      </c>
      <c r="C1004" t="s">
        <v>786</v>
      </c>
      <c r="D1004" t="s">
        <v>787</v>
      </c>
      <c r="E1004" s="8">
        <v>3110</v>
      </c>
      <c r="F1004" s="8">
        <v>51720</v>
      </c>
      <c r="G1004" s="8">
        <f t="shared" si="60"/>
        <v>160849200</v>
      </c>
      <c r="H1004" s="5">
        <v>0.0125</v>
      </c>
      <c r="I1004" s="8">
        <f t="shared" si="61"/>
        <v>160849200</v>
      </c>
      <c r="J1004" s="8">
        <f t="shared" si="62"/>
        <v>2010615</v>
      </c>
      <c r="K1004" t="str">
        <f t="shared" si="63"/>
        <v>MATCHED</v>
      </c>
    </row>
    <row r="1005" spans="1:11">
      <c r="A1005" t="s">
        <v>104</v>
      </c>
      <c r="B1005" t="s">
        <v>105</v>
      </c>
      <c r="C1005" t="s">
        <v>489</v>
      </c>
      <c r="D1005" t="s">
        <v>490</v>
      </c>
      <c r="E1005" s="8">
        <v>4930</v>
      </c>
      <c r="F1005" s="8">
        <v>42440</v>
      </c>
      <c r="G1005" s="8">
        <f t="shared" si="60"/>
        <v>209229200</v>
      </c>
      <c r="H1005" s="5">
        <v>0.0838</v>
      </c>
      <c r="I1005" s="8">
        <f t="shared" si="61"/>
        <v>209229200</v>
      </c>
      <c r="J1005" s="8">
        <f t="shared" si="62"/>
        <v>17533406.96</v>
      </c>
      <c r="K1005" t="str">
        <f t="shared" si="63"/>
        <v>MATCHED</v>
      </c>
    </row>
    <row r="1006" spans="1:11">
      <c r="A1006" t="s">
        <v>104</v>
      </c>
      <c r="B1006" t="s">
        <v>105</v>
      </c>
      <c r="C1006" t="s">
        <v>491</v>
      </c>
      <c r="D1006" t="s">
        <v>492</v>
      </c>
      <c r="E1006" s="8">
        <v>2190</v>
      </c>
      <c r="F1006" s="8">
        <v>45350</v>
      </c>
      <c r="G1006" s="8">
        <f t="shared" si="60"/>
        <v>99316500</v>
      </c>
      <c r="H1006" s="5"/>
      <c r="I1006" s="8" t="str">
        <f t="shared" si="61"/>
        <v/>
      </c>
      <c r="J1006" s="8" t="str">
        <f t="shared" si="62"/>
        <v/>
      </c>
      <c r="K1006" t="str">
        <f t="shared" si="63"/>
        <v>MISSING WHARTON</v>
      </c>
    </row>
    <row r="1007" spans="1:11">
      <c r="A1007" t="s">
        <v>104</v>
      </c>
      <c r="B1007" t="s">
        <v>105</v>
      </c>
      <c r="C1007" t="s">
        <v>493</v>
      </c>
      <c r="D1007" t="s">
        <v>494</v>
      </c>
      <c r="E1007" s="8">
        <v>10680</v>
      </c>
      <c r="F1007" s="8">
        <v>73410</v>
      </c>
      <c r="G1007" s="8">
        <f t="shared" si="60"/>
        <v>784018800</v>
      </c>
      <c r="H1007" s="5">
        <v>0.3429</v>
      </c>
      <c r="I1007" s="8">
        <f t="shared" si="61"/>
        <v>784018800</v>
      </c>
      <c r="J1007" s="8">
        <f t="shared" si="62"/>
        <v>268840046.52</v>
      </c>
      <c r="K1007" t="str">
        <f t="shared" si="63"/>
        <v>MATCHED</v>
      </c>
    </row>
    <row r="1008" spans="1:11">
      <c r="A1008" t="s">
        <v>104</v>
      </c>
      <c r="B1008" t="s">
        <v>105</v>
      </c>
      <c r="C1008" t="s">
        <v>495</v>
      </c>
      <c r="D1008" t="s">
        <v>496</v>
      </c>
      <c r="E1008" s="8">
        <v>450</v>
      </c>
      <c r="F1008" s="8">
        <v>159370</v>
      </c>
      <c r="G1008" s="8">
        <f t="shared" si="60"/>
        <v>71716500</v>
      </c>
      <c r="H1008" s="5">
        <v>0.3558</v>
      </c>
      <c r="I1008" s="8">
        <f t="shared" si="61"/>
        <v>71716500</v>
      </c>
      <c r="J1008" s="8">
        <f t="shared" si="62"/>
        <v>25516730.7</v>
      </c>
      <c r="K1008" t="str">
        <f t="shared" si="63"/>
        <v>MATCHED</v>
      </c>
    </row>
    <row r="1009" spans="1:11">
      <c r="A1009" t="s">
        <v>104</v>
      </c>
      <c r="B1009" t="s">
        <v>105</v>
      </c>
      <c r="C1009" t="s">
        <v>497</v>
      </c>
      <c r="D1009" t="s">
        <v>498</v>
      </c>
      <c r="E1009" s="8">
        <v>820</v>
      </c>
      <c r="F1009" s="8">
        <v>49120</v>
      </c>
      <c r="G1009" s="8">
        <f t="shared" si="60"/>
        <v>40278400</v>
      </c>
      <c r="H1009" s="5">
        <v>0.3167</v>
      </c>
      <c r="I1009" s="8">
        <f t="shared" si="61"/>
        <v>40278400</v>
      </c>
      <c r="J1009" s="8">
        <f t="shared" si="62"/>
        <v>12756169.28</v>
      </c>
      <c r="K1009" t="str">
        <f t="shared" si="63"/>
        <v>MATCHED</v>
      </c>
    </row>
    <row r="1010" spans="1:11">
      <c r="A1010" t="s">
        <v>104</v>
      </c>
      <c r="B1010" t="s">
        <v>105</v>
      </c>
      <c r="C1010" t="s">
        <v>499</v>
      </c>
      <c r="D1010" t="s">
        <v>500</v>
      </c>
      <c r="E1010" s="8">
        <v>138590</v>
      </c>
      <c r="F1010" s="8">
        <v>57970</v>
      </c>
      <c r="G1010" s="8">
        <f t="shared" si="60"/>
        <v>8034062300</v>
      </c>
      <c r="H1010" s="5">
        <v>0.2065</v>
      </c>
      <c r="I1010" s="8">
        <f t="shared" si="61"/>
        <v>8034062300</v>
      </c>
      <c r="J1010" s="8">
        <f t="shared" si="62"/>
        <v>1659033864.95</v>
      </c>
      <c r="K1010" t="str">
        <f t="shared" si="63"/>
        <v>MATCHED</v>
      </c>
    </row>
    <row r="1011" spans="1:11">
      <c r="A1011" t="s">
        <v>104</v>
      </c>
      <c r="B1011" t="s">
        <v>105</v>
      </c>
      <c r="C1011" t="s">
        <v>501</v>
      </c>
      <c r="D1011" t="s">
        <v>502</v>
      </c>
      <c r="E1011" s="8">
        <v>18180</v>
      </c>
      <c r="F1011" s="8">
        <v>49590</v>
      </c>
      <c r="G1011" s="8">
        <f t="shared" si="60"/>
        <v>901546200</v>
      </c>
      <c r="H1011" s="5">
        <v>0.3393</v>
      </c>
      <c r="I1011" s="8">
        <f t="shared" si="61"/>
        <v>901546200</v>
      </c>
      <c r="J1011" s="8">
        <f t="shared" si="62"/>
        <v>305894625.66</v>
      </c>
      <c r="K1011" t="str">
        <f t="shared" si="63"/>
        <v>MATCHED</v>
      </c>
    </row>
    <row r="1012" spans="1:11">
      <c r="A1012" t="s">
        <v>104</v>
      </c>
      <c r="B1012" t="s">
        <v>105</v>
      </c>
      <c r="C1012" t="s">
        <v>503</v>
      </c>
      <c r="D1012" t="s">
        <v>504</v>
      </c>
      <c r="E1012" s="8">
        <v>70</v>
      </c>
      <c r="F1012" s="8">
        <v>53280</v>
      </c>
      <c r="G1012" s="8">
        <f t="shared" si="60"/>
        <v>3729600</v>
      </c>
      <c r="H1012" s="5">
        <v>0.3288</v>
      </c>
      <c r="I1012" s="8">
        <f t="shared" si="61"/>
        <v>3729600</v>
      </c>
      <c r="J1012" s="8">
        <f t="shared" si="62"/>
        <v>1226292.48</v>
      </c>
      <c r="K1012" t="str">
        <f t="shared" si="63"/>
        <v>MATCHED</v>
      </c>
    </row>
    <row r="1013" spans="1:11">
      <c r="A1013" t="s">
        <v>104</v>
      </c>
      <c r="B1013" t="s">
        <v>105</v>
      </c>
      <c r="C1013" t="s">
        <v>1134</v>
      </c>
      <c r="D1013" t="s">
        <v>1135</v>
      </c>
      <c r="E1013" s="8">
        <v>320</v>
      </c>
      <c r="F1013" s="8">
        <v>51880</v>
      </c>
      <c r="G1013" s="8">
        <f t="shared" si="60"/>
        <v>16601600</v>
      </c>
      <c r="H1013" s="5"/>
      <c r="I1013" s="8" t="str">
        <f t="shared" si="61"/>
        <v/>
      </c>
      <c r="J1013" s="8" t="str">
        <f t="shared" si="62"/>
        <v/>
      </c>
      <c r="K1013" t="str">
        <f t="shared" si="63"/>
        <v>MISSING WHARTON</v>
      </c>
    </row>
    <row r="1014" spans="1:11">
      <c r="A1014" t="s">
        <v>104</v>
      </c>
      <c r="B1014" t="s">
        <v>105</v>
      </c>
      <c r="C1014" t="s">
        <v>796</v>
      </c>
      <c r="D1014" t="s">
        <v>797</v>
      </c>
      <c r="E1014" s="8">
        <v>950</v>
      </c>
      <c r="F1014" s="8">
        <v>50080</v>
      </c>
      <c r="G1014" s="8">
        <f t="shared" si="60"/>
        <v>47576000</v>
      </c>
      <c r="H1014" s="5">
        <v>0.1018</v>
      </c>
      <c r="I1014" s="8">
        <f t="shared" si="61"/>
        <v>47576000</v>
      </c>
      <c r="J1014" s="8">
        <f t="shared" si="62"/>
        <v>4843236.8</v>
      </c>
      <c r="K1014" t="str">
        <f t="shared" si="63"/>
        <v>MATCHED</v>
      </c>
    </row>
    <row r="1015" spans="1:11">
      <c r="A1015" t="s">
        <v>104</v>
      </c>
      <c r="B1015" t="s">
        <v>105</v>
      </c>
      <c r="C1015" t="s">
        <v>798</v>
      </c>
      <c r="D1015" t="s">
        <v>799</v>
      </c>
      <c r="E1015" s="8">
        <v>1010</v>
      </c>
      <c r="F1015" s="8">
        <v>95220</v>
      </c>
      <c r="G1015" s="8">
        <f t="shared" si="60"/>
        <v>96172200</v>
      </c>
      <c r="H1015" s="5">
        <v>0.095</v>
      </c>
      <c r="I1015" s="8">
        <f t="shared" si="61"/>
        <v>96172200</v>
      </c>
      <c r="J1015" s="8">
        <f t="shared" si="62"/>
        <v>9136359</v>
      </c>
      <c r="K1015" t="str">
        <f t="shared" si="63"/>
        <v>MATCHED</v>
      </c>
    </row>
    <row r="1016" spans="1:11">
      <c r="A1016" t="s">
        <v>104</v>
      </c>
      <c r="B1016" t="s">
        <v>105</v>
      </c>
      <c r="C1016" t="s">
        <v>1136</v>
      </c>
      <c r="D1016" t="s">
        <v>1137</v>
      </c>
      <c r="E1016" s="8">
        <v>60</v>
      </c>
      <c r="F1016" s="8">
        <v>56300</v>
      </c>
      <c r="G1016" s="8">
        <f t="shared" si="60"/>
        <v>3378000</v>
      </c>
      <c r="H1016" s="5">
        <v>0.0559</v>
      </c>
      <c r="I1016" s="8">
        <f t="shared" si="61"/>
        <v>3378000</v>
      </c>
      <c r="J1016" s="8">
        <f t="shared" si="62"/>
        <v>188830.2</v>
      </c>
      <c r="K1016" t="str">
        <f t="shared" si="63"/>
        <v>MATCHED</v>
      </c>
    </row>
    <row r="1017" spans="1:11">
      <c r="A1017" t="s">
        <v>104</v>
      </c>
      <c r="B1017" t="s">
        <v>105</v>
      </c>
      <c r="C1017" t="s">
        <v>800</v>
      </c>
      <c r="D1017" t="s">
        <v>801</v>
      </c>
      <c r="E1017" s="8">
        <v>140</v>
      </c>
      <c r="F1017" s="8">
        <v>83720</v>
      </c>
      <c r="G1017" s="8">
        <f t="shared" si="60"/>
        <v>11720800</v>
      </c>
      <c r="H1017" s="5">
        <v>0.0971</v>
      </c>
      <c r="I1017" s="8">
        <f t="shared" si="61"/>
        <v>11720800</v>
      </c>
      <c r="J1017" s="8">
        <f t="shared" si="62"/>
        <v>1138089.68</v>
      </c>
      <c r="K1017" t="str">
        <f t="shared" si="63"/>
        <v>MATCHED</v>
      </c>
    </row>
    <row r="1018" spans="1:11">
      <c r="A1018" t="s">
        <v>104</v>
      </c>
      <c r="B1018" t="s">
        <v>105</v>
      </c>
      <c r="C1018" t="s">
        <v>1138</v>
      </c>
      <c r="D1018" t="s">
        <v>1139</v>
      </c>
      <c r="E1018" s="8">
        <v>160</v>
      </c>
      <c r="F1018" s="8">
        <v>53470</v>
      </c>
      <c r="G1018" s="8">
        <f t="shared" si="60"/>
        <v>8555200</v>
      </c>
      <c r="H1018" s="5">
        <v>0.2533</v>
      </c>
      <c r="I1018" s="8">
        <f t="shared" si="61"/>
        <v>8555200</v>
      </c>
      <c r="J1018" s="8">
        <f t="shared" si="62"/>
        <v>2167032.16</v>
      </c>
      <c r="K1018" t="str">
        <f t="shared" si="63"/>
        <v>MATCHED</v>
      </c>
    </row>
    <row r="1019" spans="1:11">
      <c r="A1019" t="s">
        <v>104</v>
      </c>
      <c r="B1019" t="s">
        <v>105</v>
      </c>
      <c r="C1019" t="s">
        <v>1140</v>
      </c>
      <c r="D1019" t="s">
        <v>1141</v>
      </c>
      <c r="E1019" s="8">
        <v>100</v>
      </c>
      <c r="F1019" s="8">
        <v>48160</v>
      </c>
      <c r="G1019" s="8">
        <f t="shared" si="60"/>
        <v>4816000</v>
      </c>
      <c r="H1019" s="5">
        <v>0.3938</v>
      </c>
      <c r="I1019" s="8">
        <f t="shared" si="61"/>
        <v>4816000</v>
      </c>
      <c r="J1019" s="8">
        <f t="shared" si="62"/>
        <v>1896540.8</v>
      </c>
      <c r="K1019" t="str">
        <f t="shared" si="63"/>
        <v>MATCHED</v>
      </c>
    </row>
    <row r="1020" spans="1:11">
      <c r="A1020" t="s">
        <v>104</v>
      </c>
      <c r="B1020" t="s">
        <v>105</v>
      </c>
      <c r="C1020" t="s">
        <v>1142</v>
      </c>
      <c r="D1020" t="s">
        <v>1143</v>
      </c>
      <c r="E1020" s="8">
        <v>40</v>
      </c>
      <c r="F1020" s="8">
        <v>59160</v>
      </c>
      <c r="G1020" s="8">
        <f t="shared" si="60"/>
        <v>2366400</v>
      </c>
      <c r="H1020" s="5"/>
      <c r="I1020" s="8" t="str">
        <f t="shared" si="61"/>
        <v/>
      </c>
      <c r="J1020" s="8" t="str">
        <f t="shared" si="62"/>
        <v/>
      </c>
      <c r="K1020" t="str">
        <f t="shared" si="63"/>
        <v>MISSING WHARTON</v>
      </c>
    </row>
    <row r="1021" spans="1:11">
      <c r="A1021" t="s">
        <v>104</v>
      </c>
      <c r="B1021" t="s">
        <v>105</v>
      </c>
      <c r="C1021" t="s">
        <v>802</v>
      </c>
      <c r="D1021" t="s">
        <v>803</v>
      </c>
      <c r="E1021" s="8">
        <v>30</v>
      </c>
      <c r="F1021" s="8">
        <v>53480</v>
      </c>
      <c r="G1021" s="8">
        <f t="shared" si="60"/>
        <v>1604400</v>
      </c>
      <c r="H1021" s="5">
        <v>0.1261</v>
      </c>
      <c r="I1021" s="8">
        <f t="shared" si="61"/>
        <v>1604400</v>
      </c>
      <c r="J1021" s="8">
        <f t="shared" si="62"/>
        <v>202314.84</v>
      </c>
      <c r="K1021" t="str">
        <f t="shared" si="63"/>
        <v>MATCHED</v>
      </c>
    </row>
    <row r="1022" spans="1:11">
      <c r="A1022" t="s">
        <v>104</v>
      </c>
      <c r="B1022" t="s">
        <v>105</v>
      </c>
      <c r="C1022" t="s">
        <v>804</v>
      </c>
      <c r="D1022" t="s">
        <v>805</v>
      </c>
      <c r="E1022" s="8">
        <v>17550</v>
      </c>
      <c r="F1022" s="8">
        <v>84400</v>
      </c>
      <c r="G1022" s="8">
        <f t="shared" si="60"/>
        <v>1481220000</v>
      </c>
      <c r="H1022" s="5">
        <v>0.0864</v>
      </c>
      <c r="I1022" s="8">
        <f t="shared" si="61"/>
        <v>1481220000</v>
      </c>
      <c r="J1022" s="8">
        <f t="shared" si="62"/>
        <v>127977408</v>
      </c>
      <c r="K1022" t="str">
        <f t="shared" si="63"/>
        <v>MATCHED</v>
      </c>
    </row>
    <row r="1023" spans="1:11">
      <c r="A1023" t="s">
        <v>104</v>
      </c>
      <c r="B1023" t="s">
        <v>105</v>
      </c>
      <c r="C1023" t="s">
        <v>806</v>
      </c>
      <c r="D1023" t="s">
        <v>807</v>
      </c>
      <c r="E1023" s="8">
        <v>590</v>
      </c>
      <c r="F1023" s="8">
        <v>56730</v>
      </c>
      <c r="G1023" s="8">
        <f t="shared" si="60"/>
        <v>33470700</v>
      </c>
      <c r="H1023" s="5">
        <v>0</v>
      </c>
      <c r="I1023" s="8">
        <f t="shared" si="61"/>
        <v>33470700</v>
      </c>
      <c r="J1023" s="8">
        <f t="shared" si="62"/>
        <v>0</v>
      </c>
      <c r="K1023" t="str">
        <f t="shared" si="63"/>
        <v>MATCHED</v>
      </c>
    </row>
    <row r="1024" spans="1:11">
      <c r="A1024" t="s">
        <v>104</v>
      </c>
      <c r="B1024" t="s">
        <v>105</v>
      </c>
      <c r="C1024" t="s">
        <v>505</v>
      </c>
      <c r="D1024" t="s">
        <v>506</v>
      </c>
      <c r="E1024" s="8">
        <v>320</v>
      </c>
      <c r="F1024" s="8">
        <v>72160</v>
      </c>
      <c r="G1024" s="8">
        <f t="shared" si="60"/>
        <v>23091200</v>
      </c>
      <c r="H1024" s="5">
        <v>0</v>
      </c>
      <c r="I1024" s="8">
        <f t="shared" si="61"/>
        <v>23091200</v>
      </c>
      <c r="J1024" s="8">
        <f t="shared" si="62"/>
        <v>0</v>
      </c>
      <c r="K1024" t="str">
        <f t="shared" si="63"/>
        <v>MATCHED</v>
      </c>
    </row>
    <row r="1025" spans="1:11">
      <c r="A1025" t="s">
        <v>104</v>
      </c>
      <c r="B1025" t="s">
        <v>105</v>
      </c>
      <c r="C1025" t="s">
        <v>507</v>
      </c>
      <c r="D1025" t="s">
        <v>508</v>
      </c>
      <c r="E1025" s="8">
        <v>9290</v>
      </c>
      <c r="F1025" s="8">
        <v>53140</v>
      </c>
      <c r="G1025" s="8">
        <f t="shared" si="60"/>
        <v>493670600</v>
      </c>
      <c r="H1025" s="5">
        <v>0</v>
      </c>
      <c r="I1025" s="8">
        <f t="shared" si="61"/>
        <v>493670600</v>
      </c>
      <c r="J1025" s="8">
        <f t="shared" si="62"/>
        <v>0</v>
      </c>
      <c r="K1025" t="str">
        <f t="shared" si="63"/>
        <v>MATCHED</v>
      </c>
    </row>
    <row r="1026" spans="1:11">
      <c r="A1026" t="s">
        <v>104</v>
      </c>
      <c r="B1026" t="s">
        <v>105</v>
      </c>
      <c r="C1026" t="s">
        <v>509</v>
      </c>
      <c r="D1026" t="s">
        <v>510</v>
      </c>
      <c r="E1026" s="8">
        <v>830</v>
      </c>
      <c r="F1026" s="8">
        <v>43920</v>
      </c>
      <c r="G1026" s="8">
        <f t="shared" ref="G1026:G1089" si="64">IF(OR(E1026="",F1026=""),"",E1026*F1026)</f>
        <v>36453600</v>
      </c>
      <c r="H1026" s="5">
        <v>0.0452</v>
      </c>
      <c r="I1026" s="8">
        <f t="shared" ref="I1026:I1089" si="65">IF(G1026="","",IF(ISNUMBER(H1026),G1026,""))</f>
        <v>36453600</v>
      </c>
      <c r="J1026" s="8">
        <f t="shared" ref="J1026:J1089" si="66">IF(I1026="","",I1026*H1026)</f>
        <v>1647702.72</v>
      </c>
      <c r="K1026" t="str">
        <f t="shared" ref="K1026:K1089" si="67">IF(G1026="","MISSING OEWS",IF(ISNUMBER(H1026),"MATCHED","MISSING WHARTON"))</f>
        <v>MATCHED</v>
      </c>
    </row>
    <row r="1027" spans="1:11">
      <c r="A1027" t="s">
        <v>104</v>
      </c>
      <c r="B1027" t="s">
        <v>105</v>
      </c>
      <c r="C1027" t="s">
        <v>511</v>
      </c>
      <c r="D1027" t="s">
        <v>512</v>
      </c>
      <c r="E1027" s="8">
        <v>49830</v>
      </c>
      <c r="F1027" s="8">
        <v>45890</v>
      </c>
      <c r="G1027" s="8">
        <f t="shared" si="64"/>
        <v>2286698700</v>
      </c>
      <c r="H1027" s="5">
        <v>0.049</v>
      </c>
      <c r="I1027" s="8">
        <f t="shared" si="65"/>
        <v>2286698700</v>
      </c>
      <c r="J1027" s="8">
        <f t="shared" si="66"/>
        <v>112048236.3</v>
      </c>
      <c r="K1027" t="str">
        <f t="shared" si="67"/>
        <v>MATCHED</v>
      </c>
    </row>
    <row r="1028" spans="1:11">
      <c r="A1028" t="s">
        <v>104</v>
      </c>
      <c r="B1028" t="s">
        <v>105</v>
      </c>
      <c r="C1028" t="s">
        <v>513</v>
      </c>
      <c r="D1028" t="s">
        <v>514</v>
      </c>
      <c r="E1028" s="8">
        <v>30</v>
      </c>
      <c r="F1028" s="8">
        <v>42470</v>
      </c>
      <c r="G1028" s="8">
        <f t="shared" si="64"/>
        <v>1274100</v>
      </c>
      <c r="H1028" s="5">
        <v>0.0731</v>
      </c>
      <c r="I1028" s="8">
        <f t="shared" si="65"/>
        <v>1274100</v>
      </c>
      <c r="J1028" s="8">
        <f t="shared" si="66"/>
        <v>93136.71</v>
      </c>
      <c r="K1028" t="str">
        <f t="shared" si="67"/>
        <v>MATCHED</v>
      </c>
    </row>
    <row r="1029" spans="1:11">
      <c r="A1029" t="s">
        <v>104</v>
      </c>
      <c r="B1029" t="s">
        <v>105</v>
      </c>
      <c r="C1029" t="s">
        <v>515</v>
      </c>
      <c r="D1029" t="s">
        <v>516</v>
      </c>
      <c r="E1029" s="8"/>
      <c r="F1029" s="8">
        <v>42690</v>
      </c>
      <c r="G1029" s="8" t="str">
        <f t="shared" si="64"/>
        <v/>
      </c>
      <c r="H1029" s="5">
        <v>0.0792</v>
      </c>
      <c r="I1029" s="8" t="str">
        <f t="shared" si="65"/>
        <v/>
      </c>
      <c r="J1029" s="8" t="str">
        <f t="shared" si="66"/>
        <v/>
      </c>
      <c r="K1029" t="str">
        <f t="shared" si="67"/>
        <v>MISSING OEWS</v>
      </c>
    </row>
    <row r="1030" spans="1:11">
      <c r="A1030" t="s">
        <v>104</v>
      </c>
      <c r="B1030" t="s">
        <v>105</v>
      </c>
      <c r="C1030" t="s">
        <v>517</v>
      </c>
      <c r="D1030" t="s">
        <v>518</v>
      </c>
      <c r="E1030" s="8">
        <v>10770</v>
      </c>
      <c r="F1030" s="8">
        <v>46230</v>
      </c>
      <c r="G1030" s="8">
        <f t="shared" si="64"/>
        <v>497897100</v>
      </c>
      <c r="H1030" s="5">
        <v>0.2233</v>
      </c>
      <c r="I1030" s="8">
        <f t="shared" si="65"/>
        <v>497897100</v>
      </c>
      <c r="J1030" s="8">
        <f t="shared" si="66"/>
        <v>111180422.43</v>
      </c>
      <c r="K1030" t="str">
        <f t="shared" si="67"/>
        <v>MATCHED</v>
      </c>
    </row>
    <row r="1031" spans="1:11">
      <c r="A1031" t="s">
        <v>104</v>
      </c>
      <c r="B1031" t="s">
        <v>105</v>
      </c>
      <c r="C1031" t="s">
        <v>808</v>
      </c>
      <c r="D1031" t="s">
        <v>809</v>
      </c>
      <c r="E1031" s="8">
        <v>150</v>
      </c>
      <c r="F1031" s="8">
        <v>62220</v>
      </c>
      <c r="G1031" s="8">
        <f t="shared" si="64"/>
        <v>9333000</v>
      </c>
      <c r="H1031" s="5">
        <v>0.2192</v>
      </c>
      <c r="I1031" s="8">
        <f t="shared" si="65"/>
        <v>9333000</v>
      </c>
      <c r="J1031" s="8">
        <f t="shared" si="66"/>
        <v>2045793.6</v>
      </c>
      <c r="K1031" t="str">
        <f t="shared" si="67"/>
        <v>MATCHED</v>
      </c>
    </row>
    <row r="1032" spans="1:11">
      <c r="A1032" t="s">
        <v>104</v>
      </c>
      <c r="B1032" t="s">
        <v>105</v>
      </c>
      <c r="C1032" t="s">
        <v>810</v>
      </c>
      <c r="D1032" t="s">
        <v>811</v>
      </c>
      <c r="E1032" s="8">
        <v>2700</v>
      </c>
      <c r="F1032" s="8">
        <v>61910</v>
      </c>
      <c r="G1032" s="8">
        <f t="shared" si="64"/>
        <v>167157000</v>
      </c>
      <c r="H1032" s="5">
        <v>0.0679</v>
      </c>
      <c r="I1032" s="8">
        <f t="shared" si="65"/>
        <v>167157000</v>
      </c>
      <c r="J1032" s="8">
        <f t="shared" si="66"/>
        <v>11349960.3</v>
      </c>
      <c r="K1032" t="str">
        <f t="shared" si="67"/>
        <v>MATCHED</v>
      </c>
    </row>
    <row r="1033" spans="1:11">
      <c r="A1033" t="s">
        <v>104</v>
      </c>
      <c r="B1033" t="s">
        <v>105</v>
      </c>
      <c r="C1033" t="s">
        <v>812</v>
      </c>
      <c r="D1033" t="s">
        <v>813</v>
      </c>
      <c r="E1033" s="8"/>
      <c r="F1033" s="8">
        <v>63480</v>
      </c>
      <c r="G1033" s="8" t="str">
        <f t="shared" si="64"/>
        <v/>
      </c>
      <c r="H1033" s="5">
        <v>0</v>
      </c>
      <c r="I1033" s="8" t="str">
        <f t="shared" si="65"/>
        <v/>
      </c>
      <c r="J1033" s="8" t="str">
        <f t="shared" si="66"/>
        <v/>
      </c>
      <c r="K1033" t="str">
        <f t="shared" si="67"/>
        <v>MISSING OEWS</v>
      </c>
    </row>
    <row r="1034" spans="1:11">
      <c r="A1034" t="s">
        <v>104</v>
      </c>
      <c r="B1034" t="s">
        <v>105</v>
      </c>
      <c r="C1034" t="s">
        <v>814</v>
      </c>
      <c r="D1034" t="s">
        <v>815</v>
      </c>
      <c r="E1034" s="8">
        <v>90</v>
      </c>
      <c r="F1034" s="8">
        <v>53710</v>
      </c>
      <c r="G1034" s="8">
        <f t="shared" si="64"/>
        <v>4833900</v>
      </c>
      <c r="H1034" s="5">
        <v>0.05</v>
      </c>
      <c r="I1034" s="8">
        <f t="shared" si="65"/>
        <v>4833900</v>
      </c>
      <c r="J1034" s="8">
        <f t="shared" si="66"/>
        <v>241695</v>
      </c>
      <c r="K1034" t="str">
        <f t="shared" si="67"/>
        <v>MATCHED</v>
      </c>
    </row>
    <row r="1035" spans="1:11">
      <c r="A1035" t="s">
        <v>104</v>
      </c>
      <c r="B1035" t="s">
        <v>105</v>
      </c>
      <c r="C1035" t="s">
        <v>519</v>
      </c>
      <c r="D1035" t="s">
        <v>520</v>
      </c>
      <c r="E1035" s="8">
        <v>1020</v>
      </c>
      <c r="F1035" s="8">
        <v>59270</v>
      </c>
      <c r="G1035" s="8">
        <f t="shared" si="64"/>
        <v>60455400</v>
      </c>
      <c r="H1035" s="5"/>
      <c r="I1035" s="8" t="str">
        <f t="shared" si="65"/>
        <v/>
      </c>
      <c r="J1035" s="8" t="str">
        <f t="shared" si="66"/>
        <v/>
      </c>
      <c r="K1035" t="str">
        <f t="shared" si="67"/>
        <v>MISSING WHARTON</v>
      </c>
    </row>
    <row r="1036" spans="1:11">
      <c r="A1036" t="s">
        <v>106</v>
      </c>
      <c r="B1036" t="s">
        <v>107</v>
      </c>
      <c r="C1036" t="s">
        <v>235</v>
      </c>
      <c r="D1036" t="s">
        <v>236</v>
      </c>
      <c r="E1036" s="8">
        <v>10990</v>
      </c>
      <c r="F1036" s="8">
        <v>294550</v>
      </c>
      <c r="G1036" s="8">
        <f t="shared" si="64"/>
        <v>3237104500</v>
      </c>
      <c r="H1036" s="5">
        <v>0.4775</v>
      </c>
      <c r="I1036" s="8">
        <f t="shared" si="65"/>
        <v>3237104500</v>
      </c>
      <c r="J1036" s="8">
        <f t="shared" si="66"/>
        <v>1545717398.75</v>
      </c>
      <c r="K1036" t="str">
        <f t="shared" si="67"/>
        <v>MATCHED</v>
      </c>
    </row>
    <row r="1037" spans="1:11">
      <c r="A1037" t="s">
        <v>106</v>
      </c>
      <c r="B1037" t="s">
        <v>107</v>
      </c>
      <c r="C1037" t="s">
        <v>237</v>
      </c>
      <c r="D1037" t="s">
        <v>238</v>
      </c>
      <c r="E1037" s="8">
        <v>249060</v>
      </c>
      <c r="F1037" s="8">
        <v>152860</v>
      </c>
      <c r="G1037" s="8">
        <f t="shared" si="64"/>
        <v>38071311600</v>
      </c>
      <c r="H1037" s="5">
        <v>0.5382</v>
      </c>
      <c r="I1037" s="8">
        <f t="shared" si="65"/>
        <v>38071311600</v>
      </c>
      <c r="J1037" s="8">
        <f t="shared" si="66"/>
        <v>20489979903.12</v>
      </c>
      <c r="K1037" t="str">
        <f t="shared" si="67"/>
        <v>MATCHED</v>
      </c>
    </row>
    <row r="1038" spans="1:11">
      <c r="A1038" t="s">
        <v>106</v>
      </c>
      <c r="B1038" t="s">
        <v>107</v>
      </c>
      <c r="C1038" t="s">
        <v>920</v>
      </c>
      <c r="D1038" t="s">
        <v>921</v>
      </c>
      <c r="E1038" s="8">
        <v>330</v>
      </c>
      <c r="F1038" s="8">
        <v>134610</v>
      </c>
      <c r="G1038" s="8">
        <f t="shared" si="64"/>
        <v>44421300</v>
      </c>
      <c r="H1038" s="5">
        <v>0.5583</v>
      </c>
      <c r="I1038" s="8">
        <f t="shared" si="65"/>
        <v>44421300</v>
      </c>
      <c r="J1038" s="8">
        <f t="shared" si="66"/>
        <v>24800411.79</v>
      </c>
      <c r="K1038" t="str">
        <f t="shared" si="67"/>
        <v>MATCHED</v>
      </c>
    </row>
    <row r="1039" spans="1:11">
      <c r="A1039" t="s">
        <v>106</v>
      </c>
      <c r="B1039" t="s">
        <v>107</v>
      </c>
      <c r="C1039" t="s">
        <v>239</v>
      </c>
      <c r="D1039" t="s">
        <v>240</v>
      </c>
      <c r="E1039" s="8">
        <v>31460</v>
      </c>
      <c r="F1039" s="8">
        <v>178590</v>
      </c>
      <c r="G1039" s="8">
        <f t="shared" si="64"/>
        <v>5618441400</v>
      </c>
      <c r="H1039" s="5">
        <v>0.445</v>
      </c>
      <c r="I1039" s="8">
        <f t="shared" si="65"/>
        <v>5618441400</v>
      </c>
      <c r="J1039" s="8">
        <f t="shared" si="66"/>
        <v>2500206423</v>
      </c>
      <c r="K1039" t="str">
        <f t="shared" si="67"/>
        <v>MATCHED</v>
      </c>
    </row>
    <row r="1040" spans="1:11">
      <c r="A1040" t="s">
        <v>106</v>
      </c>
      <c r="B1040" t="s">
        <v>107</v>
      </c>
      <c r="C1040" t="s">
        <v>241</v>
      </c>
      <c r="D1040" t="s">
        <v>242</v>
      </c>
      <c r="E1040" s="8">
        <v>65440</v>
      </c>
      <c r="F1040" s="8">
        <v>164990</v>
      </c>
      <c r="G1040" s="8">
        <f t="shared" si="64"/>
        <v>10796945600</v>
      </c>
      <c r="H1040" s="5">
        <v>0.3735</v>
      </c>
      <c r="I1040" s="8">
        <f t="shared" si="65"/>
        <v>10796945600</v>
      </c>
      <c r="J1040" s="8">
        <f t="shared" si="66"/>
        <v>4032659181.6</v>
      </c>
      <c r="K1040" t="str">
        <f t="shared" si="67"/>
        <v>MATCHED</v>
      </c>
    </row>
    <row r="1041" spans="1:11">
      <c r="A1041" t="s">
        <v>106</v>
      </c>
      <c r="B1041" t="s">
        <v>107</v>
      </c>
      <c r="C1041" t="s">
        <v>522</v>
      </c>
      <c r="D1041" t="s">
        <v>523</v>
      </c>
      <c r="E1041" s="8">
        <v>1770</v>
      </c>
      <c r="F1041" s="8">
        <v>185210</v>
      </c>
      <c r="G1041" s="8">
        <f t="shared" si="64"/>
        <v>327821700</v>
      </c>
      <c r="H1041" s="5">
        <v>0.53</v>
      </c>
      <c r="I1041" s="8">
        <f t="shared" si="65"/>
        <v>327821700</v>
      </c>
      <c r="J1041" s="8">
        <f t="shared" si="66"/>
        <v>173745501</v>
      </c>
      <c r="K1041" t="str">
        <f t="shared" si="67"/>
        <v>MATCHED</v>
      </c>
    </row>
    <row r="1042" spans="1:11">
      <c r="A1042" t="s">
        <v>106</v>
      </c>
      <c r="B1042" t="s">
        <v>107</v>
      </c>
      <c r="C1042" t="s">
        <v>922</v>
      </c>
      <c r="D1042" t="s">
        <v>923</v>
      </c>
      <c r="E1042" s="8">
        <v>40</v>
      </c>
      <c r="F1042" s="8">
        <v>161560</v>
      </c>
      <c r="G1042" s="8">
        <f t="shared" si="64"/>
        <v>6462400</v>
      </c>
      <c r="H1042" s="5">
        <v>0.5594</v>
      </c>
      <c r="I1042" s="8">
        <f t="shared" si="65"/>
        <v>6462400</v>
      </c>
      <c r="J1042" s="8">
        <f t="shared" si="66"/>
        <v>3615066.56</v>
      </c>
      <c r="K1042" t="str">
        <f t="shared" si="67"/>
        <v>MATCHED</v>
      </c>
    </row>
    <row r="1043" spans="1:11">
      <c r="A1043" t="s">
        <v>106</v>
      </c>
      <c r="B1043" t="s">
        <v>107</v>
      </c>
      <c r="C1043" t="s">
        <v>243</v>
      </c>
      <c r="D1043" t="s">
        <v>244</v>
      </c>
      <c r="E1043" s="8">
        <v>11570</v>
      </c>
      <c r="F1043" s="8">
        <v>143670</v>
      </c>
      <c r="G1043" s="8">
        <f t="shared" si="64"/>
        <v>1662261900</v>
      </c>
      <c r="H1043" s="5">
        <v>0.4444</v>
      </c>
      <c r="I1043" s="8">
        <f t="shared" si="65"/>
        <v>1662261900</v>
      </c>
      <c r="J1043" s="8">
        <f t="shared" si="66"/>
        <v>738709188.36</v>
      </c>
      <c r="K1043" t="str">
        <f t="shared" si="67"/>
        <v>MATCHED</v>
      </c>
    </row>
    <row r="1044" spans="1:11">
      <c r="A1044" t="s">
        <v>106</v>
      </c>
      <c r="B1044" t="s">
        <v>107</v>
      </c>
      <c r="C1044" t="s">
        <v>245</v>
      </c>
      <c r="D1044" t="s">
        <v>246</v>
      </c>
      <c r="E1044" s="8">
        <v>18590</v>
      </c>
      <c r="F1044" s="8">
        <v>133810</v>
      </c>
      <c r="G1044" s="8">
        <f t="shared" si="64"/>
        <v>2487527900</v>
      </c>
      <c r="H1044" s="5">
        <v>0.2907</v>
      </c>
      <c r="I1044" s="8">
        <f t="shared" si="65"/>
        <v>2487527900</v>
      </c>
      <c r="J1044" s="8">
        <f t="shared" si="66"/>
        <v>723124360.53</v>
      </c>
      <c r="K1044" t="str">
        <f t="shared" si="67"/>
        <v>MATCHED</v>
      </c>
    </row>
    <row r="1045" spans="1:11">
      <c r="A1045" t="s">
        <v>106</v>
      </c>
      <c r="B1045" t="s">
        <v>107</v>
      </c>
      <c r="C1045" t="s">
        <v>247</v>
      </c>
      <c r="D1045" t="s">
        <v>248</v>
      </c>
      <c r="E1045" s="8">
        <v>43350</v>
      </c>
      <c r="F1045" s="8">
        <v>191730</v>
      </c>
      <c r="G1045" s="8">
        <f t="shared" si="64"/>
        <v>8311495500</v>
      </c>
      <c r="H1045" s="5">
        <v>0.5265</v>
      </c>
      <c r="I1045" s="8">
        <f t="shared" si="65"/>
        <v>8311495500</v>
      </c>
      <c r="J1045" s="8">
        <f t="shared" si="66"/>
        <v>4376002380.75</v>
      </c>
      <c r="K1045" t="str">
        <f t="shared" si="67"/>
        <v>MATCHED</v>
      </c>
    </row>
    <row r="1046" spans="1:11">
      <c r="A1046" t="s">
        <v>106</v>
      </c>
      <c r="B1046" t="s">
        <v>107</v>
      </c>
      <c r="C1046" t="s">
        <v>249</v>
      </c>
      <c r="D1046" t="s">
        <v>250</v>
      </c>
      <c r="E1046" s="8">
        <v>46980</v>
      </c>
      <c r="F1046" s="8">
        <v>179420</v>
      </c>
      <c r="G1046" s="8">
        <f t="shared" si="64"/>
        <v>8429151600</v>
      </c>
      <c r="H1046" s="5">
        <v>0.7221</v>
      </c>
      <c r="I1046" s="8">
        <f t="shared" si="65"/>
        <v>8429151600</v>
      </c>
      <c r="J1046" s="8">
        <f t="shared" si="66"/>
        <v>6086690370.36</v>
      </c>
      <c r="K1046" t="str">
        <f t="shared" si="67"/>
        <v>MATCHED</v>
      </c>
    </row>
    <row r="1047" spans="1:11">
      <c r="A1047" t="s">
        <v>106</v>
      </c>
      <c r="B1047" t="s">
        <v>107</v>
      </c>
      <c r="C1047" t="s">
        <v>251</v>
      </c>
      <c r="D1047" t="s">
        <v>252</v>
      </c>
      <c r="E1047" s="8">
        <v>185250</v>
      </c>
      <c r="F1047" s="8">
        <v>131670</v>
      </c>
      <c r="G1047" s="8">
        <f t="shared" si="64"/>
        <v>24391867500</v>
      </c>
      <c r="H1047" s="5">
        <v>0.3636</v>
      </c>
      <c r="I1047" s="8">
        <f t="shared" si="65"/>
        <v>24391867500</v>
      </c>
      <c r="J1047" s="8">
        <f t="shared" si="66"/>
        <v>8868883023</v>
      </c>
      <c r="K1047" t="str">
        <f t="shared" si="67"/>
        <v>MATCHED</v>
      </c>
    </row>
    <row r="1048" spans="1:11">
      <c r="A1048" t="s">
        <v>106</v>
      </c>
      <c r="B1048" t="s">
        <v>107</v>
      </c>
      <c r="C1048" t="s">
        <v>253</v>
      </c>
      <c r="D1048" t="s">
        <v>254</v>
      </c>
      <c r="E1048" s="8">
        <v>20100</v>
      </c>
      <c r="F1048" s="8">
        <v>147410</v>
      </c>
      <c r="G1048" s="8">
        <f t="shared" si="64"/>
        <v>2962941000</v>
      </c>
      <c r="H1048" s="5">
        <v>0.6944</v>
      </c>
      <c r="I1048" s="8">
        <f t="shared" si="65"/>
        <v>2962941000</v>
      </c>
      <c r="J1048" s="8">
        <f t="shared" si="66"/>
        <v>2057466230.4</v>
      </c>
      <c r="K1048" t="str">
        <f t="shared" si="67"/>
        <v>MATCHED</v>
      </c>
    </row>
    <row r="1049" spans="1:11">
      <c r="A1049" t="s">
        <v>106</v>
      </c>
      <c r="B1049" t="s">
        <v>107</v>
      </c>
      <c r="C1049" t="s">
        <v>255</v>
      </c>
      <c r="D1049" t="s">
        <v>256</v>
      </c>
      <c r="E1049" s="8">
        <v>29990</v>
      </c>
      <c r="F1049" s="8">
        <v>127290</v>
      </c>
      <c r="G1049" s="8">
        <f t="shared" si="64"/>
        <v>3817427100</v>
      </c>
      <c r="H1049" s="5">
        <v>0.5783</v>
      </c>
      <c r="I1049" s="8">
        <f t="shared" si="65"/>
        <v>3817427100</v>
      </c>
      <c r="J1049" s="8">
        <f t="shared" si="66"/>
        <v>2207618091.93</v>
      </c>
      <c r="K1049" t="str">
        <f t="shared" si="67"/>
        <v>MATCHED</v>
      </c>
    </row>
    <row r="1050" spans="1:11">
      <c r="A1050" t="s">
        <v>106</v>
      </c>
      <c r="B1050" t="s">
        <v>107</v>
      </c>
      <c r="C1050" t="s">
        <v>524</v>
      </c>
      <c r="D1050" t="s">
        <v>525</v>
      </c>
      <c r="E1050" s="8">
        <v>980</v>
      </c>
      <c r="F1050" s="8">
        <v>168530</v>
      </c>
      <c r="G1050" s="8">
        <f t="shared" si="64"/>
        <v>165159400</v>
      </c>
      <c r="H1050" s="5">
        <v>0.5771</v>
      </c>
      <c r="I1050" s="8">
        <f t="shared" si="65"/>
        <v>165159400</v>
      </c>
      <c r="J1050" s="8">
        <f t="shared" si="66"/>
        <v>95313489.74</v>
      </c>
      <c r="K1050" t="str">
        <f t="shared" si="67"/>
        <v>MATCHED</v>
      </c>
    </row>
    <row r="1051" spans="1:11">
      <c r="A1051" t="s">
        <v>106</v>
      </c>
      <c r="B1051" t="s">
        <v>107</v>
      </c>
      <c r="C1051" t="s">
        <v>257</v>
      </c>
      <c r="D1051" t="s">
        <v>258</v>
      </c>
      <c r="E1051" s="8">
        <v>20320</v>
      </c>
      <c r="F1051" s="8">
        <v>159990</v>
      </c>
      <c r="G1051" s="8">
        <f t="shared" si="64"/>
        <v>3250996800</v>
      </c>
      <c r="H1051" s="5">
        <v>0.5962</v>
      </c>
      <c r="I1051" s="8">
        <f t="shared" si="65"/>
        <v>3250996800</v>
      </c>
      <c r="J1051" s="8">
        <f t="shared" si="66"/>
        <v>1938244292.16</v>
      </c>
      <c r="K1051" t="str">
        <f t="shared" si="67"/>
        <v>MATCHED</v>
      </c>
    </row>
    <row r="1052" spans="1:11">
      <c r="A1052" t="s">
        <v>106</v>
      </c>
      <c r="B1052" t="s">
        <v>107</v>
      </c>
      <c r="C1052" t="s">
        <v>526</v>
      </c>
      <c r="D1052" t="s">
        <v>527</v>
      </c>
      <c r="E1052" s="8">
        <v>2470</v>
      </c>
      <c r="F1052" s="8">
        <v>148960</v>
      </c>
      <c r="G1052" s="8">
        <f t="shared" si="64"/>
        <v>367931200</v>
      </c>
      <c r="H1052" s="5">
        <v>0.6833</v>
      </c>
      <c r="I1052" s="8">
        <f t="shared" si="65"/>
        <v>367931200</v>
      </c>
      <c r="J1052" s="8">
        <f t="shared" si="66"/>
        <v>251407388.96</v>
      </c>
      <c r="K1052" t="str">
        <f t="shared" si="67"/>
        <v>MATCHED</v>
      </c>
    </row>
    <row r="1053" spans="1:11">
      <c r="A1053" t="s">
        <v>106</v>
      </c>
      <c r="B1053" t="s">
        <v>107</v>
      </c>
      <c r="C1053" t="s">
        <v>259</v>
      </c>
      <c r="D1053" t="s">
        <v>260</v>
      </c>
      <c r="E1053" s="8">
        <v>450</v>
      </c>
      <c r="F1053" s="8">
        <v>122520</v>
      </c>
      <c r="G1053" s="8">
        <f t="shared" si="64"/>
        <v>55134000</v>
      </c>
      <c r="H1053" s="5">
        <v>0.22</v>
      </c>
      <c r="I1053" s="8">
        <f t="shared" si="65"/>
        <v>55134000</v>
      </c>
      <c r="J1053" s="8">
        <f t="shared" si="66"/>
        <v>12129480</v>
      </c>
      <c r="K1053" t="str">
        <f t="shared" si="67"/>
        <v>MATCHED</v>
      </c>
    </row>
    <row r="1054" spans="1:11">
      <c r="A1054" t="s">
        <v>106</v>
      </c>
      <c r="B1054" t="s">
        <v>107</v>
      </c>
      <c r="C1054" t="s">
        <v>528</v>
      </c>
      <c r="D1054" t="s">
        <v>529</v>
      </c>
      <c r="E1054" s="8">
        <v>3380</v>
      </c>
      <c r="F1054" s="8">
        <v>137870</v>
      </c>
      <c r="G1054" s="8">
        <f t="shared" si="64"/>
        <v>466000600</v>
      </c>
      <c r="H1054" s="5">
        <v>0.374</v>
      </c>
      <c r="I1054" s="8">
        <f t="shared" si="65"/>
        <v>466000600</v>
      </c>
      <c r="J1054" s="8">
        <f t="shared" si="66"/>
        <v>174284224.4</v>
      </c>
      <c r="K1054" t="str">
        <f t="shared" si="67"/>
        <v>MATCHED</v>
      </c>
    </row>
    <row r="1055" spans="1:11">
      <c r="A1055" t="s">
        <v>106</v>
      </c>
      <c r="B1055" t="s">
        <v>107</v>
      </c>
      <c r="C1055" t="s">
        <v>530</v>
      </c>
      <c r="D1055" t="s">
        <v>531</v>
      </c>
      <c r="E1055" s="8">
        <v>77280</v>
      </c>
      <c r="F1055" s="8">
        <v>177270</v>
      </c>
      <c r="G1055" s="8">
        <f t="shared" si="64"/>
        <v>13699425600</v>
      </c>
      <c r="H1055" s="5">
        <v>0.263</v>
      </c>
      <c r="I1055" s="8">
        <f t="shared" si="65"/>
        <v>13699425600</v>
      </c>
      <c r="J1055" s="8">
        <f t="shared" si="66"/>
        <v>3602948932.8</v>
      </c>
      <c r="K1055" t="str">
        <f t="shared" si="67"/>
        <v>MATCHED</v>
      </c>
    </row>
    <row r="1056" spans="1:11">
      <c r="A1056" t="s">
        <v>106</v>
      </c>
      <c r="B1056" t="s">
        <v>107</v>
      </c>
      <c r="C1056" t="s">
        <v>1144</v>
      </c>
      <c r="D1056" t="s">
        <v>1145</v>
      </c>
      <c r="E1056" s="8">
        <v>1030</v>
      </c>
      <c r="F1056" s="8">
        <v>82010</v>
      </c>
      <c r="G1056" s="8">
        <f t="shared" si="64"/>
        <v>84470300</v>
      </c>
      <c r="H1056" s="5">
        <v>0.3821</v>
      </c>
      <c r="I1056" s="8">
        <f t="shared" si="65"/>
        <v>84470300</v>
      </c>
      <c r="J1056" s="8">
        <f t="shared" si="66"/>
        <v>32276101.63</v>
      </c>
      <c r="K1056" t="str">
        <f t="shared" si="67"/>
        <v>MATCHED</v>
      </c>
    </row>
    <row r="1057" spans="1:11">
      <c r="A1057" t="s">
        <v>106</v>
      </c>
      <c r="B1057" t="s">
        <v>107</v>
      </c>
      <c r="C1057" t="s">
        <v>1146</v>
      </c>
      <c r="D1057" t="s">
        <v>1147</v>
      </c>
      <c r="E1057" s="8">
        <v>2320</v>
      </c>
      <c r="F1057" s="8">
        <v>227030</v>
      </c>
      <c r="G1057" s="8">
        <f t="shared" si="64"/>
        <v>526709600</v>
      </c>
      <c r="H1057" s="5">
        <v>0.4417</v>
      </c>
      <c r="I1057" s="8">
        <f t="shared" si="65"/>
        <v>526709600</v>
      </c>
      <c r="J1057" s="8">
        <f t="shared" si="66"/>
        <v>232647630.32</v>
      </c>
      <c r="K1057" t="str">
        <f t="shared" si="67"/>
        <v>MATCHED</v>
      </c>
    </row>
    <row r="1058" spans="1:11">
      <c r="A1058" t="s">
        <v>106</v>
      </c>
      <c r="B1058" t="s">
        <v>107</v>
      </c>
      <c r="C1058" t="s">
        <v>261</v>
      </c>
      <c r="D1058" t="s">
        <v>262</v>
      </c>
      <c r="E1058" s="8">
        <v>9270</v>
      </c>
      <c r="F1058" s="8">
        <v>201740</v>
      </c>
      <c r="G1058" s="8">
        <f t="shared" si="64"/>
        <v>1870129800</v>
      </c>
      <c r="H1058" s="5">
        <v>0.382</v>
      </c>
      <c r="I1058" s="8">
        <f t="shared" si="65"/>
        <v>1870129800</v>
      </c>
      <c r="J1058" s="8">
        <f t="shared" si="66"/>
        <v>714389583.6</v>
      </c>
      <c r="K1058" t="str">
        <f t="shared" si="67"/>
        <v>MATCHED</v>
      </c>
    </row>
    <row r="1059" spans="1:11">
      <c r="A1059" t="s">
        <v>106</v>
      </c>
      <c r="B1059" t="s">
        <v>107</v>
      </c>
      <c r="C1059" t="s">
        <v>532</v>
      </c>
      <c r="D1059" t="s">
        <v>533</v>
      </c>
      <c r="E1059" s="8">
        <v>390</v>
      </c>
      <c r="F1059" s="8">
        <v>145810</v>
      </c>
      <c r="G1059" s="8">
        <f t="shared" si="64"/>
        <v>56865900</v>
      </c>
      <c r="H1059" s="5">
        <v>0.3833</v>
      </c>
      <c r="I1059" s="8">
        <f t="shared" si="65"/>
        <v>56865900</v>
      </c>
      <c r="J1059" s="8">
        <f t="shared" si="66"/>
        <v>21796699.47</v>
      </c>
      <c r="K1059" t="str">
        <f t="shared" si="67"/>
        <v>MATCHED</v>
      </c>
    </row>
    <row r="1060" spans="1:11">
      <c r="A1060" t="s">
        <v>106</v>
      </c>
      <c r="B1060" t="s">
        <v>107</v>
      </c>
      <c r="C1060" t="s">
        <v>816</v>
      </c>
      <c r="D1060" t="s">
        <v>817</v>
      </c>
      <c r="E1060" s="8">
        <v>160</v>
      </c>
      <c r="F1060" s="8">
        <v>132590</v>
      </c>
      <c r="G1060" s="8">
        <f t="shared" si="64"/>
        <v>21214400</v>
      </c>
      <c r="H1060" s="5">
        <v>0.4174</v>
      </c>
      <c r="I1060" s="8">
        <f t="shared" si="65"/>
        <v>21214400</v>
      </c>
      <c r="J1060" s="8">
        <f t="shared" si="66"/>
        <v>8854890.56</v>
      </c>
      <c r="K1060" t="str">
        <f t="shared" si="67"/>
        <v>MATCHED</v>
      </c>
    </row>
    <row r="1061" spans="1:11">
      <c r="A1061" t="s">
        <v>106</v>
      </c>
      <c r="B1061" t="s">
        <v>107</v>
      </c>
      <c r="C1061" t="s">
        <v>1148</v>
      </c>
      <c r="D1061" t="s">
        <v>1149</v>
      </c>
      <c r="E1061" s="8">
        <v>40</v>
      </c>
      <c r="F1061" s="8">
        <v>76530</v>
      </c>
      <c r="G1061" s="8">
        <f t="shared" si="64"/>
        <v>3061200</v>
      </c>
      <c r="H1061" s="5">
        <v>0.4143</v>
      </c>
      <c r="I1061" s="8">
        <f t="shared" si="65"/>
        <v>3061200</v>
      </c>
      <c r="J1061" s="8">
        <f t="shared" si="66"/>
        <v>1268255.16</v>
      </c>
      <c r="K1061" t="str">
        <f t="shared" si="67"/>
        <v>MATCHED</v>
      </c>
    </row>
    <row r="1062" spans="1:11">
      <c r="A1062" t="s">
        <v>106</v>
      </c>
      <c r="B1062" t="s">
        <v>107</v>
      </c>
      <c r="C1062" t="s">
        <v>263</v>
      </c>
      <c r="D1062" t="s">
        <v>264</v>
      </c>
      <c r="E1062" s="8">
        <v>45220</v>
      </c>
      <c r="F1062" s="8">
        <v>167640</v>
      </c>
      <c r="G1062" s="8">
        <f t="shared" si="64"/>
        <v>7580680800</v>
      </c>
      <c r="H1062" s="5">
        <v>0.4896</v>
      </c>
      <c r="I1062" s="8">
        <f t="shared" si="65"/>
        <v>7580680800</v>
      </c>
      <c r="J1062" s="8">
        <f t="shared" si="66"/>
        <v>3711501319.68</v>
      </c>
      <c r="K1062" t="str">
        <f t="shared" si="67"/>
        <v>MATCHED</v>
      </c>
    </row>
    <row r="1063" spans="1:11">
      <c r="A1063" t="s">
        <v>106</v>
      </c>
      <c r="B1063" t="s">
        <v>107</v>
      </c>
      <c r="C1063" t="s">
        <v>265</v>
      </c>
      <c r="D1063" t="s">
        <v>266</v>
      </c>
      <c r="E1063" s="8">
        <v>112200</v>
      </c>
      <c r="F1063" s="8">
        <v>82180</v>
      </c>
      <c r="G1063" s="8">
        <f t="shared" si="64"/>
        <v>9220596000</v>
      </c>
      <c r="H1063" s="5">
        <v>0.5876</v>
      </c>
      <c r="I1063" s="8">
        <f t="shared" si="65"/>
        <v>9220596000</v>
      </c>
      <c r="J1063" s="8">
        <f t="shared" si="66"/>
        <v>5418022209.6</v>
      </c>
      <c r="K1063" t="str">
        <f t="shared" si="67"/>
        <v>MATCHED</v>
      </c>
    </row>
    <row r="1064" spans="1:11">
      <c r="A1064" t="s">
        <v>106</v>
      </c>
      <c r="B1064" t="s">
        <v>107</v>
      </c>
      <c r="C1064" t="s">
        <v>818</v>
      </c>
      <c r="D1064" t="s">
        <v>819</v>
      </c>
      <c r="E1064" s="8">
        <v>110</v>
      </c>
      <c r="F1064" s="8">
        <v>83270</v>
      </c>
      <c r="G1064" s="8">
        <f t="shared" si="64"/>
        <v>9159700</v>
      </c>
      <c r="H1064" s="5">
        <v>0.6983</v>
      </c>
      <c r="I1064" s="8">
        <f t="shared" si="65"/>
        <v>9159700</v>
      </c>
      <c r="J1064" s="8">
        <f t="shared" si="66"/>
        <v>6396218.51</v>
      </c>
      <c r="K1064" t="str">
        <f t="shared" si="67"/>
        <v>MATCHED</v>
      </c>
    </row>
    <row r="1065" spans="1:11">
      <c r="A1065" t="s">
        <v>106</v>
      </c>
      <c r="B1065" t="s">
        <v>107</v>
      </c>
      <c r="C1065" t="s">
        <v>267</v>
      </c>
      <c r="D1065" t="s">
        <v>268</v>
      </c>
      <c r="E1065" s="8">
        <v>19770</v>
      </c>
      <c r="F1065" s="8">
        <v>95990</v>
      </c>
      <c r="G1065" s="8">
        <f t="shared" si="64"/>
        <v>1897722300</v>
      </c>
      <c r="H1065" s="5">
        <v>0.4611</v>
      </c>
      <c r="I1065" s="8">
        <f t="shared" si="65"/>
        <v>1897722300</v>
      </c>
      <c r="J1065" s="8">
        <f t="shared" si="66"/>
        <v>875039752.53</v>
      </c>
      <c r="K1065" t="str">
        <f t="shared" si="67"/>
        <v>MATCHED</v>
      </c>
    </row>
    <row r="1066" spans="1:11">
      <c r="A1066" t="s">
        <v>106</v>
      </c>
      <c r="B1066" t="s">
        <v>107</v>
      </c>
      <c r="C1066" t="s">
        <v>534</v>
      </c>
      <c r="D1066" t="s">
        <v>535</v>
      </c>
      <c r="E1066" s="8">
        <v>26950</v>
      </c>
      <c r="F1066" s="8">
        <v>80260</v>
      </c>
      <c r="G1066" s="8">
        <f t="shared" si="64"/>
        <v>2163007000</v>
      </c>
      <c r="H1066" s="5">
        <v>0.6393</v>
      </c>
      <c r="I1066" s="8">
        <f t="shared" si="65"/>
        <v>2163007000</v>
      </c>
      <c r="J1066" s="8">
        <f t="shared" si="66"/>
        <v>1382810375.1</v>
      </c>
      <c r="K1066" t="str">
        <f t="shared" si="67"/>
        <v>MATCHED</v>
      </c>
    </row>
    <row r="1067" spans="1:11">
      <c r="A1067" t="s">
        <v>106</v>
      </c>
      <c r="B1067" t="s">
        <v>107</v>
      </c>
      <c r="C1067" t="s">
        <v>269</v>
      </c>
      <c r="D1067" t="s">
        <v>270</v>
      </c>
      <c r="E1067" s="8">
        <v>67120</v>
      </c>
      <c r="F1067" s="8">
        <v>85530</v>
      </c>
      <c r="G1067" s="8">
        <f t="shared" si="64"/>
        <v>5740773600</v>
      </c>
      <c r="H1067" s="5">
        <v>0.7808</v>
      </c>
      <c r="I1067" s="8">
        <f t="shared" si="65"/>
        <v>5740773600</v>
      </c>
      <c r="J1067" s="8">
        <f t="shared" si="66"/>
        <v>4482396026.88</v>
      </c>
      <c r="K1067" t="str">
        <f t="shared" si="67"/>
        <v>MATCHED</v>
      </c>
    </row>
    <row r="1068" spans="1:11">
      <c r="A1068" t="s">
        <v>106</v>
      </c>
      <c r="B1068" t="s">
        <v>107</v>
      </c>
      <c r="C1068" t="s">
        <v>820</v>
      </c>
      <c r="D1068" t="s">
        <v>821</v>
      </c>
      <c r="E1068" s="8">
        <v>900</v>
      </c>
      <c r="F1068" s="8">
        <v>106720</v>
      </c>
      <c r="G1068" s="8">
        <f t="shared" si="64"/>
        <v>96048000</v>
      </c>
      <c r="H1068" s="5">
        <v>0.5536</v>
      </c>
      <c r="I1068" s="8">
        <f t="shared" si="65"/>
        <v>96048000</v>
      </c>
      <c r="J1068" s="8">
        <f t="shared" si="66"/>
        <v>53172172.8</v>
      </c>
      <c r="K1068" t="str">
        <f t="shared" si="67"/>
        <v>MATCHED</v>
      </c>
    </row>
    <row r="1069" spans="1:11">
      <c r="A1069" t="s">
        <v>106</v>
      </c>
      <c r="B1069" t="s">
        <v>107</v>
      </c>
      <c r="C1069" t="s">
        <v>273</v>
      </c>
      <c r="D1069" t="s">
        <v>274</v>
      </c>
      <c r="E1069" s="8">
        <v>56330</v>
      </c>
      <c r="F1069" s="8">
        <v>90670</v>
      </c>
      <c r="G1069" s="8">
        <f t="shared" si="64"/>
        <v>5107441100</v>
      </c>
      <c r="H1069" s="5">
        <v>0.6943</v>
      </c>
      <c r="I1069" s="8">
        <f t="shared" si="65"/>
        <v>5107441100</v>
      </c>
      <c r="J1069" s="8">
        <f t="shared" si="66"/>
        <v>3546096355.73</v>
      </c>
      <c r="K1069" t="str">
        <f t="shared" si="67"/>
        <v>MATCHED</v>
      </c>
    </row>
    <row r="1070" spans="1:11">
      <c r="A1070" t="s">
        <v>106</v>
      </c>
      <c r="B1070" t="s">
        <v>107</v>
      </c>
      <c r="C1070" t="s">
        <v>275</v>
      </c>
      <c r="D1070" t="s">
        <v>276</v>
      </c>
      <c r="E1070" s="8">
        <v>79810</v>
      </c>
      <c r="F1070" s="8">
        <v>109920</v>
      </c>
      <c r="G1070" s="8">
        <f t="shared" si="64"/>
        <v>8772715200</v>
      </c>
      <c r="H1070" s="5">
        <v>0.6375</v>
      </c>
      <c r="I1070" s="8">
        <f t="shared" si="65"/>
        <v>8772715200</v>
      </c>
      <c r="J1070" s="8">
        <f t="shared" si="66"/>
        <v>5592605940</v>
      </c>
      <c r="K1070" t="str">
        <f t="shared" si="67"/>
        <v>MATCHED</v>
      </c>
    </row>
    <row r="1071" spans="1:11">
      <c r="A1071" t="s">
        <v>106</v>
      </c>
      <c r="B1071" t="s">
        <v>107</v>
      </c>
      <c r="C1071" t="s">
        <v>277</v>
      </c>
      <c r="D1071" t="s">
        <v>278</v>
      </c>
      <c r="E1071" s="8">
        <v>22140</v>
      </c>
      <c r="F1071" s="8">
        <v>116290</v>
      </c>
      <c r="G1071" s="8">
        <f t="shared" si="64"/>
        <v>2574660600</v>
      </c>
      <c r="H1071" s="5">
        <v>0.5773</v>
      </c>
      <c r="I1071" s="8">
        <f t="shared" si="65"/>
        <v>2574660600</v>
      </c>
      <c r="J1071" s="8">
        <f t="shared" si="66"/>
        <v>1486351564.38</v>
      </c>
      <c r="K1071" t="str">
        <f t="shared" si="67"/>
        <v>MATCHED</v>
      </c>
    </row>
    <row r="1072" spans="1:11">
      <c r="A1072" t="s">
        <v>106</v>
      </c>
      <c r="B1072" t="s">
        <v>107</v>
      </c>
      <c r="C1072" t="s">
        <v>279</v>
      </c>
      <c r="D1072" t="s">
        <v>280</v>
      </c>
      <c r="E1072" s="8">
        <v>3030</v>
      </c>
      <c r="F1072" s="8">
        <v>64480</v>
      </c>
      <c r="G1072" s="8">
        <f t="shared" si="64"/>
        <v>195374400</v>
      </c>
      <c r="H1072" s="5">
        <v>0.4476</v>
      </c>
      <c r="I1072" s="8">
        <f t="shared" si="65"/>
        <v>195374400</v>
      </c>
      <c r="J1072" s="8">
        <f t="shared" si="66"/>
        <v>87449581.44</v>
      </c>
      <c r="K1072" t="str">
        <f t="shared" si="67"/>
        <v>MATCHED</v>
      </c>
    </row>
    <row r="1073" spans="1:11">
      <c r="A1073" t="s">
        <v>106</v>
      </c>
      <c r="B1073" t="s">
        <v>107</v>
      </c>
      <c r="C1073" t="s">
        <v>928</v>
      </c>
      <c r="D1073" t="s">
        <v>929</v>
      </c>
      <c r="E1073" s="8">
        <v>100</v>
      </c>
      <c r="F1073" s="8">
        <v>83970</v>
      </c>
      <c r="G1073" s="8">
        <f t="shared" si="64"/>
        <v>8397000</v>
      </c>
      <c r="H1073" s="5">
        <v>0.5571</v>
      </c>
      <c r="I1073" s="8">
        <f t="shared" si="65"/>
        <v>8397000</v>
      </c>
      <c r="J1073" s="8">
        <f t="shared" si="66"/>
        <v>4677968.7</v>
      </c>
      <c r="K1073" t="str">
        <f t="shared" si="67"/>
        <v>MATCHED</v>
      </c>
    </row>
    <row r="1074" spans="1:11">
      <c r="A1074" t="s">
        <v>106</v>
      </c>
      <c r="B1074" t="s">
        <v>107</v>
      </c>
      <c r="C1074" t="s">
        <v>281</v>
      </c>
      <c r="D1074" t="s">
        <v>282</v>
      </c>
      <c r="E1074" s="8">
        <v>3900</v>
      </c>
      <c r="F1074" s="8">
        <v>92350</v>
      </c>
      <c r="G1074" s="8">
        <f t="shared" si="64"/>
        <v>360165000</v>
      </c>
      <c r="H1074" s="5">
        <v>0.6167</v>
      </c>
      <c r="I1074" s="8">
        <f t="shared" si="65"/>
        <v>360165000</v>
      </c>
      <c r="J1074" s="8">
        <f t="shared" si="66"/>
        <v>222113755.5</v>
      </c>
      <c r="K1074" t="str">
        <f t="shared" si="67"/>
        <v>MATCHED</v>
      </c>
    </row>
    <row r="1075" spans="1:11">
      <c r="A1075" t="s">
        <v>106</v>
      </c>
      <c r="B1075" t="s">
        <v>107</v>
      </c>
      <c r="C1075" t="s">
        <v>283</v>
      </c>
      <c r="D1075" t="s">
        <v>284</v>
      </c>
      <c r="E1075" s="8">
        <v>32690</v>
      </c>
      <c r="F1075" s="8">
        <v>74940</v>
      </c>
      <c r="G1075" s="8">
        <f t="shared" si="64"/>
        <v>2449788600</v>
      </c>
      <c r="H1075" s="5">
        <v>0.565</v>
      </c>
      <c r="I1075" s="8">
        <f t="shared" si="65"/>
        <v>2449788600</v>
      </c>
      <c r="J1075" s="8">
        <f t="shared" si="66"/>
        <v>1384130559</v>
      </c>
      <c r="K1075" t="str">
        <f t="shared" si="67"/>
        <v>MATCHED</v>
      </c>
    </row>
    <row r="1076" spans="1:11">
      <c r="A1076" t="s">
        <v>106</v>
      </c>
      <c r="B1076" t="s">
        <v>107</v>
      </c>
      <c r="C1076" t="s">
        <v>285</v>
      </c>
      <c r="D1076" t="s">
        <v>286</v>
      </c>
      <c r="E1076" s="8">
        <v>53160</v>
      </c>
      <c r="F1076" s="8">
        <v>95190</v>
      </c>
      <c r="G1076" s="8">
        <f t="shared" si="64"/>
        <v>5060300400</v>
      </c>
      <c r="H1076" s="5">
        <v>0.7792</v>
      </c>
      <c r="I1076" s="8">
        <f t="shared" si="65"/>
        <v>5060300400</v>
      </c>
      <c r="J1076" s="8">
        <f t="shared" si="66"/>
        <v>3942986071.68</v>
      </c>
      <c r="K1076" t="str">
        <f t="shared" si="67"/>
        <v>MATCHED</v>
      </c>
    </row>
    <row r="1077" spans="1:11">
      <c r="A1077" t="s">
        <v>106</v>
      </c>
      <c r="B1077" t="s">
        <v>107</v>
      </c>
      <c r="C1077" t="s">
        <v>287</v>
      </c>
      <c r="D1077" t="s">
        <v>288</v>
      </c>
      <c r="E1077" s="8">
        <v>66780</v>
      </c>
      <c r="F1077" s="8">
        <v>110650</v>
      </c>
      <c r="G1077" s="8">
        <f t="shared" si="64"/>
        <v>7389207000</v>
      </c>
      <c r="H1077" s="5">
        <v>0.6599</v>
      </c>
      <c r="I1077" s="8">
        <f t="shared" si="65"/>
        <v>7389207000</v>
      </c>
      <c r="J1077" s="8">
        <f t="shared" si="66"/>
        <v>4876137699.3</v>
      </c>
      <c r="K1077" t="str">
        <f t="shared" si="67"/>
        <v>MATCHED</v>
      </c>
    </row>
    <row r="1078" spans="1:11">
      <c r="A1078" t="s">
        <v>106</v>
      </c>
      <c r="B1078" t="s">
        <v>107</v>
      </c>
      <c r="C1078" t="s">
        <v>289</v>
      </c>
      <c r="D1078" t="s">
        <v>290</v>
      </c>
      <c r="E1078" s="8">
        <v>90380</v>
      </c>
      <c r="F1078" s="8">
        <v>95040</v>
      </c>
      <c r="G1078" s="8">
        <f t="shared" si="64"/>
        <v>8589715200</v>
      </c>
      <c r="H1078" s="5">
        <v>0.795</v>
      </c>
      <c r="I1078" s="8">
        <f t="shared" si="65"/>
        <v>8589715200</v>
      </c>
      <c r="J1078" s="8">
        <f t="shared" si="66"/>
        <v>6828823584</v>
      </c>
      <c r="K1078" t="str">
        <f t="shared" si="67"/>
        <v>MATCHED</v>
      </c>
    </row>
    <row r="1079" spans="1:11">
      <c r="A1079" t="s">
        <v>106</v>
      </c>
      <c r="B1079" t="s">
        <v>107</v>
      </c>
      <c r="C1079" t="s">
        <v>822</v>
      </c>
      <c r="D1079" t="s">
        <v>823</v>
      </c>
      <c r="E1079" s="8">
        <v>30</v>
      </c>
      <c r="F1079" s="8">
        <v>88100</v>
      </c>
      <c r="G1079" s="8">
        <f t="shared" si="64"/>
        <v>2643000</v>
      </c>
      <c r="H1079" s="5">
        <v>0.6102</v>
      </c>
      <c r="I1079" s="8">
        <f t="shared" si="65"/>
        <v>2643000</v>
      </c>
      <c r="J1079" s="8">
        <f t="shared" si="66"/>
        <v>1612758.6</v>
      </c>
      <c r="K1079" t="str">
        <f t="shared" si="67"/>
        <v>MATCHED</v>
      </c>
    </row>
    <row r="1080" spans="1:11">
      <c r="A1080" t="s">
        <v>106</v>
      </c>
      <c r="B1080" t="s">
        <v>107</v>
      </c>
      <c r="C1080" t="s">
        <v>824</v>
      </c>
      <c r="D1080" t="s">
        <v>825</v>
      </c>
      <c r="E1080" s="8">
        <v>1820</v>
      </c>
      <c r="F1080" s="8">
        <v>98230</v>
      </c>
      <c r="G1080" s="8">
        <f t="shared" si="64"/>
        <v>178778600</v>
      </c>
      <c r="H1080" s="5">
        <v>0.8</v>
      </c>
      <c r="I1080" s="8">
        <f t="shared" si="65"/>
        <v>178778600</v>
      </c>
      <c r="J1080" s="8">
        <f t="shared" si="66"/>
        <v>143022880</v>
      </c>
      <c r="K1080" t="str">
        <f t="shared" si="67"/>
        <v>MATCHED</v>
      </c>
    </row>
    <row r="1081" spans="1:11">
      <c r="A1081" t="s">
        <v>106</v>
      </c>
      <c r="B1081" t="s">
        <v>107</v>
      </c>
      <c r="C1081" t="s">
        <v>826</v>
      </c>
      <c r="D1081" t="s">
        <v>827</v>
      </c>
      <c r="E1081" s="8">
        <v>1120</v>
      </c>
      <c r="F1081" s="8">
        <v>73050</v>
      </c>
      <c r="G1081" s="8">
        <f t="shared" si="64"/>
        <v>81816000</v>
      </c>
      <c r="H1081" s="5">
        <v>0.8182</v>
      </c>
      <c r="I1081" s="8">
        <f t="shared" si="65"/>
        <v>81816000</v>
      </c>
      <c r="J1081" s="8">
        <f t="shared" si="66"/>
        <v>66941851.2</v>
      </c>
      <c r="K1081" t="str">
        <f t="shared" si="67"/>
        <v>MATCHED</v>
      </c>
    </row>
    <row r="1082" spans="1:11">
      <c r="A1082" t="s">
        <v>106</v>
      </c>
      <c r="B1082" t="s">
        <v>107</v>
      </c>
      <c r="C1082" t="s">
        <v>536</v>
      </c>
      <c r="D1082" t="s">
        <v>537</v>
      </c>
      <c r="E1082" s="8">
        <v>16190</v>
      </c>
      <c r="F1082" s="8">
        <v>106700</v>
      </c>
      <c r="G1082" s="8">
        <f t="shared" si="64"/>
        <v>1727473000</v>
      </c>
      <c r="H1082" s="5">
        <v>0.6904</v>
      </c>
      <c r="I1082" s="8">
        <f t="shared" si="65"/>
        <v>1727473000</v>
      </c>
      <c r="J1082" s="8">
        <f t="shared" si="66"/>
        <v>1192647359.2</v>
      </c>
      <c r="K1082" t="str">
        <f t="shared" si="67"/>
        <v>MATCHED</v>
      </c>
    </row>
    <row r="1083" spans="1:11">
      <c r="A1083" t="s">
        <v>106</v>
      </c>
      <c r="B1083" t="s">
        <v>107</v>
      </c>
      <c r="C1083" t="s">
        <v>828</v>
      </c>
      <c r="D1083" t="s">
        <v>829</v>
      </c>
      <c r="E1083" s="8">
        <v>450</v>
      </c>
      <c r="F1083" s="8">
        <v>122910</v>
      </c>
      <c r="G1083" s="8">
        <f t="shared" si="64"/>
        <v>55309500</v>
      </c>
      <c r="H1083" s="5">
        <v>0.7767</v>
      </c>
      <c r="I1083" s="8">
        <f t="shared" si="65"/>
        <v>55309500</v>
      </c>
      <c r="J1083" s="8">
        <f t="shared" si="66"/>
        <v>42958888.65</v>
      </c>
      <c r="K1083" t="str">
        <f t="shared" si="67"/>
        <v>MATCHED</v>
      </c>
    </row>
    <row r="1084" spans="1:11">
      <c r="A1084" t="s">
        <v>106</v>
      </c>
      <c r="B1084" t="s">
        <v>107</v>
      </c>
      <c r="C1084" t="s">
        <v>1150</v>
      </c>
      <c r="D1084" t="s">
        <v>1151</v>
      </c>
      <c r="E1084" s="8">
        <v>30</v>
      </c>
      <c r="F1084" s="8">
        <v>117040</v>
      </c>
      <c r="G1084" s="8">
        <f t="shared" si="64"/>
        <v>3511200</v>
      </c>
      <c r="H1084" s="5">
        <v>0.5647</v>
      </c>
      <c r="I1084" s="8">
        <f t="shared" si="65"/>
        <v>3511200</v>
      </c>
      <c r="J1084" s="8">
        <f t="shared" si="66"/>
        <v>1982774.64</v>
      </c>
      <c r="K1084" t="str">
        <f t="shared" si="67"/>
        <v>MATCHED</v>
      </c>
    </row>
    <row r="1085" spans="1:11">
      <c r="A1085" t="s">
        <v>106</v>
      </c>
      <c r="B1085" t="s">
        <v>107</v>
      </c>
      <c r="C1085" t="s">
        <v>934</v>
      </c>
      <c r="D1085" t="s">
        <v>935</v>
      </c>
      <c r="E1085" s="8"/>
      <c r="F1085" s="8">
        <v>83060</v>
      </c>
      <c r="G1085" s="8" t="str">
        <f t="shared" si="64"/>
        <v/>
      </c>
      <c r="H1085" s="5">
        <v>0.805</v>
      </c>
      <c r="I1085" s="8" t="str">
        <f t="shared" si="65"/>
        <v/>
      </c>
      <c r="J1085" s="8" t="str">
        <f t="shared" si="66"/>
        <v/>
      </c>
      <c r="K1085" t="str">
        <f t="shared" si="67"/>
        <v>MISSING OEWS</v>
      </c>
    </row>
    <row r="1086" spans="1:11">
      <c r="A1086" t="s">
        <v>106</v>
      </c>
      <c r="B1086" t="s">
        <v>107</v>
      </c>
      <c r="C1086" t="s">
        <v>538</v>
      </c>
      <c r="D1086" t="s">
        <v>539</v>
      </c>
      <c r="E1086" s="8">
        <v>2220</v>
      </c>
      <c r="F1086" s="8">
        <v>105610</v>
      </c>
      <c r="G1086" s="8">
        <f t="shared" si="64"/>
        <v>234454200</v>
      </c>
      <c r="H1086" s="5">
        <v>0.6192</v>
      </c>
      <c r="I1086" s="8">
        <f t="shared" si="65"/>
        <v>234454200</v>
      </c>
      <c r="J1086" s="8">
        <f t="shared" si="66"/>
        <v>145174040.64</v>
      </c>
      <c r="K1086" t="str">
        <f t="shared" si="67"/>
        <v>MATCHED</v>
      </c>
    </row>
    <row r="1087" spans="1:11">
      <c r="A1087" t="s">
        <v>106</v>
      </c>
      <c r="B1087" t="s">
        <v>107</v>
      </c>
      <c r="C1087" t="s">
        <v>291</v>
      </c>
      <c r="D1087" t="s">
        <v>292</v>
      </c>
      <c r="E1087" s="8">
        <v>23870</v>
      </c>
      <c r="F1087" s="8">
        <v>118200</v>
      </c>
      <c r="G1087" s="8">
        <f t="shared" si="64"/>
        <v>2821434000</v>
      </c>
      <c r="H1087" s="5">
        <v>0.6388</v>
      </c>
      <c r="I1087" s="8">
        <f t="shared" si="65"/>
        <v>2821434000</v>
      </c>
      <c r="J1087" s="8">
        <f t="shared" si="66"/>
        <v>1802332039.2</v>
      </c>
      <c r="K1087" t="str">
        <f t="shared" si="67"/>
        <v>MATCHED</v>
      </c>
    </row>
    <row r="1088" spans="1:11">
      <c r="A1088" t="s">
        <v>106</v>
      </c>
      <c r="B1088" t="s">
        <v>107</v>
      </c>
      <c r="C1088" t="s">
        <v>540</v>
      </c>
      <c r="D1088" t="s">
        <v>541</v>
      </c>
      <c r="E1088" s="8">
        <v>9870</v>
      </c>
      <c r="F1088" s="8">
        <v>132510</v>
      </c>
      <c r="G1088" s="8">
        <f t="shared" si="64"/>
        <v>1307873700</v>
      </c>
      <c r="H1088" s="5">
        <v>0.6292</v>
      </c>
      <c r="I1088" s="8">
        <f t="shared" si="65"/>
        <v>1307873700</v>
      </c>
      <c r="J1088" s="8">
        <f t="shared" si="66"/>
        <v>822914132.04</v>
      </c>
      <c r="K1088" t="str">
        <f t="shared" si="67"/>
        <v>MATCHED</v>
      </c>
    </row>
    <row r="1089" spans="1:11">
      <c r="A1089" t="s">
        <v>106</v>
      </c>
      <c r="B1089" t="s">
        <v>107</v>
      </c>
      <c r="C1089" t="s">
        <v>1152</v>
      </c>
      <c r="D1089" t="s">
        <v>1153</v>
      </c>
      <c r="E1089" s="8">
        <v>1680</v>
      </c>
      <c r="F1089" s="8">
        <v>199840</v>
      </c>
      <c r="G1089" s="8">
        <f t="shared" si="64"/>
        <v>335731200</v>
      </c>
      <c r="H1089" s="5">
        <v>0.39</v>
      </c>
      <c r="I1089" s="8">
        <f t="shared" si="65"/>
        <v>335731200</v>
      </c>
      <c r="J1089" s="8">
        <f t="shared" si="66"/>
        <v>130935168</v>
      </c>
      <c r="K1089" t="str">
        <f t="shared" si="67"/>
        <v>MATCHED</v>
      </c>
    </row>
    <row r="1090" spans="1:11">
      <c r="A1090" t="s">
        <v>106</v>
      </c>
      <c r="B1090" t="s">
        <v>107</v>
      </c>
      <c r="C1090" t="s">
        <v>542</v>
      </c>
      <c r="D1090" t="s">
        <v>543</v>
      </c>
      <c r="E1090" s="8">
        <v>6180</v>
      </c>
      <c r="F1090" s="8">
        <v>85240</v>
      </c>
      <c r="G1090" s="8">
        <f t="shared" ref="G1090:G1153" si="68">IF(OR(E1090="",F1090=""),"",E1090*F1090)</f>
        <v>526783200</v>
      </c>
      <c r="H1090" s="5">
        <v>0.7096</v>
      </c>
      <c r="I1090" s="8">
        <f t="shared" ref="I1090:I1153" si="69">IF(G1090="","",IF(ISNUMBER(H1090),G1090,""))</f>
        <v>526783200</v>
      </c>
      <c r="J1090" s="8">
        <f t="shared" ref="J1090:J1153" si="70">IF(I1090="","",I1090*H1090)</f>
        <v>373805358.72</v>
      </c>
      <c r="K1090" t="str">
        <f t="shared" ref="K1090:K1153" si="71">IF(G1090="","MISSING OEWS",IF(ISNUMBER(H1090),"MATCHED","MISSING WHARTON"))</f>
        <v>MATCHED</v>
      </c>
    </row>
    <row r="1091" spans="1:11">
      <c r="A1091" t="s">
        <v>106</v>
      </c>
      <c r="B1091" t="s">
        <v>107</v>
      </c>
      <c r="C1091" t="s">
        <v>293</v>
      </c>
      <c r="D1091" t="s">
        <v>294</v>
      </c>
      <c r="E1091" s="8">
        <v>31700</v>
      </c>
      <c r="F1091" s="8">
        <v>72210</v>
      </c>
      <c r="G1091" s="8">
        <f t="shared" si="68"/>
        <v>2289057000</v>
      </c>
      <c r="H1091" s="5">
        <v>0.6062</v>
      </c>
      <c r="I1091" s="8">
        <f t="shared" si="69"/>
        <v>2289057000</v>
      </c>
      <c r="J1091" s="8">
        <f t="shared" si="70"/>
        <v>1387626353.4</v>
      </c>
      <c r="K1091" t="str">
        <f t="shared" si="71"/>
        <v>MATCHED</v>
      </c>
    </row>
    <row r="1092" spans="1:11">
      <c r="A1092" t="s">
        <v>106</v>
      </c>
      <c r="B1092" t="s">
        <v>107</v>
      </c>
      <c r="C1092" t="s">
        <v>544</v>
      </c>
      <c r="D1092" t="s">
        <v>545</v>
      </c>
      <c r="E1092" s="8">
        <v>7480</v>
      </c>
      <c r="F1092" s="8">
        <v>142540</v>
      </c>
      <c r="G1092" s="8">
        <f t="shared" si="68"/>
        <v>1066199200</v>
      </c>
      <c r="H1092" s="5">
        <v>0.6278</v>
      </c>
      <c r="I1092" s="8">
        <f t="shared" si="69"/>
        <v>1066199200</v>
      </c>
      <c r="J1092" s="8">
        <f t="shared" si="70"/>
        <v>669359857.76</v>
      </c>
      <c r="K1092" t="str">
        <f t="shared" si="71"/>
        <v>MATCHED</v>
      </c>
    </row>
    <row r="1093" spans="1:11">
      <c r="A1093" t="s">
        <v>106</v>
      </c>
      <c r="B1093" t="s">
        <v>107</v>
      </c>
      <c r="C1093" t="s">
        <v>546</v>
      </c>
      <c r="D1093" t="s">
        <v>547</v>
      </c>
      <c r="E1093" s="8">
        <v>2920</v>
      </c>
      <c r="F1093" s="8">
        <v>105760</v>
      </c>
      <c r="G1093" s="8">
        <f t="shared" si="68"/>
        <v>308819200</v>
      </c>
      <c r="H1093" s="5">
        <v>0.8389</v>
      </c>
      <c r="I1093" s="8">
        <f t="shared" si="69"/>
        <v>308819200</v>
      </c>
      <c r="J1093" s="8">
        <f t="shared" si="70"/>
        <v>259068426.88</v>
      </c>
      <c r="K1093" t="str">
        <f t="shared" si="71"/>
        <v>MATCHED</v>
      </c>
    </row>
    <row r="1094" spans="1:11">
      <c r="A1094" t="s">
        <v>106</v>
      </c>
      <c r="B1094" t="s">
        <v>107</v>
      </c>
      <c r="C1094" t="s">
        <v>548</v>
      </c>
      <c r="D1094" t="s">
        <v>549</v>
      </c>
      <c r="E1094" s="8">
        <v>1630</v>
      </c>
      <c r="F1094" s="8">
        <v>139720</v>
      </c>
      <c r="G1094" s="8">
        <f t="shared" si="68"/>
        <v>227743600</v>
      </c>
      <c r="H1094" s="5">
        <v>0.8502</v>
      </c>
      <c r="I1094" s="8">
        <f t="shared" si="69"/>
        <v>227743600</v>
      </c>
      <c r="J1094" s="8">
        <f t="shared" si="70"/>
        <v>193627608.72</v>
      </c>
      <c r="K1094" t="str">
        <f t="shared" si="71"/>
        <v>MATCHED</v>
      </c>
    </row>
    <row r="1095" spans="1:11">
      <c r="A1095" t="s">
        <v>106</v>
      </c>
      <c r="B1095" t="s">
        <v>107</v>
      </c>
      <c r="C1095" t="s">
        <v>295</v>
      </c>
      <c r="D1095" t="s">
        <v>296</v>
      </c>
      <c r="E1095" s="8">
        <v>21100</v>
      </c>
      <c r="F1095" s="8">
        <v>105220</v>
      </c>
      <c r="G1095" s="8">
        <f t="shared" si="68"/>
        <v>2220142000</v>
      </c>
      <c r="H1095" s="5">
        <v>0.695</v>
      </c>
      <c r="I1095" s="8">
        <f t="shared" si="69"/>
        <v>2220142000</v>
      </c>
      <c r="J1095" s="8">
        <f t="shared" si="70"/>
        <v>1542998690</v>
      </c>
      <c r="K1095" t="str">
        <f t="shared" si="71"/>
        <v>MATCHED</v>
      </c>
    </row>
    <row r="1096" spans="1:11">
      <c r="A1096" t="s">
        <v>106</v>
      </c>
      <c r="B1096" t="s">
        <v>107</v>
      </c>
      <c r="C1096" t="s">
        <v>550</v>
      </c>
      <c r="D1096" t="s">
        <v>551</v>
      </c>
      <c r="E1096" s="8">
        <v>7360</v>
      </c>
      <c r="F1096" s="8">
        <v>105260</v>
      </c>
      <c r="G1096" s="8">
        <f t="shared" si="68"/>
        <v>774713600</v>
      </c>
      <c r="H1096" s="5">
        <v>0.6824</v>
      </c>
      <c r="I1096" s="8">
        <f t="shared" si="69"/>
        <v>774713600</v>
      </c>
      <c r="J1096" s="8">
        <f t="shared" si="70"/>
        <v>528664560.64</v>
      </c>
      <c r="K1096" t="str">
        <f t="shared" si="71"/>
        <v>MATCHED</v>
      </c>
    </row>
    <row r="1097" spans="1:11">
      <c r="A1097" t="s">
        <v>106</v>
      </c>
      <c r="B1097" t="s">
        <v>107</v>
      </c>
      <c r="C1097" t="s">
        <v>297</v>
      </c>
      <c r="D1097" t="s">
        <v>298</v>
      </c>
      <c r="E1097" s="8">
        <v>136390</v>
      </c>
      <c r="F1097" s="8">
        <v>147420</v>
      </c>
      <c r="G1097" s="8">
        <f t="shared" si="68"/>
        <v>20106613800</v>
      </c>
      <c r="H1097" s="5">
        <v>0.5211</v>
      </c>
      <c r="I1097" s="8">
        <f t="shared" si="69"/>
        <v>20106613800</v>
      </c>
      <c r="J1097" s="8">
        <f t="shared" si="70"/>
        <v>10477556451.18</v>
      </c>
      <c r="K1097" t="str">
        <f t="shared" si="71"/>
        <v>MATCHED</v>
      </c>
    </row>
    <row r="1098" spans="1:11">
      <c r="A1098" t="s">
        <v>106</v>
      </c>
      <c r="B1098" t="s">
        <v>107</v>
      </c>
      <c r="C1098" t="s">
        <v>552</v>
      </c>
      <c r="D1098" t="s">
        <v>553</v>
      </c>
      <c r="E1098" s="8">
        <v>16230</v>
      </c>
      <c r="F1098" s="8">
        <v>130710</v>
      </c>
      <c r="G1098" s="8">
        <f t="shared" si="68"/>
        <v>2121423300</v>
      </c>
      <c r="H1098" s="5">
        <v>0.8117</v>
      </c>
      <c r="I1098" s="8">
        <f t="shared" si="69"/>
        <v>2121423300</v>
      </c>
      <c r="J1098" s="8">
        <f t="shared" si="70"/>
        <v>1721959292.61</v>
      </c>
      <c r="K1098" t="str">
        <f t="shared" si="71"/>
        <v>MATCHED</v>
      </c>
    </row>
    <row r="1099" spans="1:11">
      <c r="A1099" t="s">
        <v>106</v>
      </c>
      <c r="B1099" t="s">
        <v>107</v>
      </c>
      <c r="C1099" t="s">
        <v>830</v>
      </c>
      <c r="D1099" t="s">
        <v>831</v>
      </c>
      <c r="E1099" s="8">
        <v>2550</v>
      </c>
      <c r="F1099" s="8">
        <v>97490</v>
      </c>
      <c r="G1099" s="8">
        <f t="shared" si="68"/>
        <v>248599500</v>
      </c>
      <c r="H1099" s="5">
        <v>0.8276</v>
      </c>
      <c r="I1099" s="8">
        <f t="shared" si="69"/>
        <v>248599500</v>
      </c>
      <c r="J1099" s="8">
        <f t="shared" si="70"/>
        <v>205740946.2</v>
      </c>
      <c r="K1099" t="str">
        <f t="shared" si="71"/>
        <v>MATCHED</v>
      </c>
    </row>
    <row r="1100" spans="1:11">
      <c r="A1100" t="s">
        <v>106</v>
      </c>
      <c r="B1100" t="s">
        <v>107</v>
      </c>
      <c r="C1100" t="s">
        <v>832</v>
      </c>
      <c r="D1100" t="s">
        <v>833</v>
      </c>
      <c r="E1100" s="8">
        <v>3640</v>
      </c>
      <c r="F1100" s="8">
        <v>116840</v>
      </c>
      <c r="G1100" s="8">
        <f t="shared" si="68"/>
        <v>425297600</v>
      </c>
      <c r="H1100" s="5">
        <v>0.6827</v>
      </c>
      <c r="I1100" s="8">
        <f t="shared" si="69"/>
        <v>425297600</v>
      </c>
      <c r="J1100" s="8">
        <f t="shared" si="70"/>
        <v>290350671.52</v>
      </c>
      <c r="K1100" t="str">
        <f t="shared" si="71"/>
        <v>MATCHED</v>
      </c>
    </row>
    <row r="1101" spans="1:11">
      <c r="A1101" t="s">
        <v>106</v>
      </c>
      <c r="B1101" t="s">
        <v>107</v>
      </c>
      <c r="C1101" t="s">
        <v>299</v>
      </c>
      <c r="D1101" t="s">
        <v>300</v>
      </c>
      <c r="E1101" s="8">
        <v>23360</v>
      </c>
      <c r="F1101" s="8">
        <v>117330</v>
      </c>
      <c r="G1101" s="8">
        <f t="shared" si="68"/>
        <v>2740828800</v>
      </c>
      <c r="H1101" s="5">
        <v>0.7425</v>
      </c>
      <c r="I1101" s="8">
        <f t="shared" si="69"/>
        <v>2740828800</v>
      </c>
      <c r="J1101" s="8">
        <f t="shared" si="70"/>
        <v>2035065384</v>
      </c>
      <c r="K1101" t="str">
        <f t="shared" si="71"/>
        <v>MATCHED</v>
      </c>
    </row>
    <row r="1102" spans="1:11">
      <c r="A1102" t="s">
        <v>106</v>
      </c>
      <c r="B1102" t="s">
        <v>107</v>
      </c>
      <c r="C1102" t="s">
        <v>1154</v>
      </c>
      <c r="D1102" t="s">
        <v>1155</v>
      </c>
      <c r="E1102" s="8">
        <v>130</v>
      </c>
      <c r="F1102" s="8">
        <v>147800</v>
      </c>
      <c r="G1102" s="8">
        <f t="shared" si="68"/>
        <v>19214000</v>
      </c>
      <c r="H1102" s="5">
        <v>0.5318</v>
      </c>
      <c r="I1102" s="8">
        <f t="shared" si="69"/>
        <v>19214000</v>
      </c>
      <c r="J1102" s="8">
        <f t="shared" si="70"/>
        <v>10218005.2</v>
      </c>
      <c r="K1102" t="str">
        <f t="shared" si="71"/>
        <v>MATCHED</v>
      </c>
    </row>
    <row r="1103" spans="1:11">
      <c r="A1103" t="s">
        <v>106</v>
      </c>
      <c r="B1103" t="s">
        <v>107</v>
      </c>
      <c r="C1103" t="s">
        <v>554</v>
      </c>
      <c r="D1103" t="s">
        <v>555</v>
      </c>
      <c r="E1103" s="8">
        <v>4230</v>
      </c>
      <c r="F1103" s="8">
        <v>115270</v>
      </c>
      <c r="G1103" s="8">
        <f t="shared" si="68"/>
        <v>487592100</v>
      </c>
      <c r="H1103" s="5">
        <v>0.6031</v>
      </c>
      <c r="I1103" s="8">
        <f t="shared" si="69"/>
        <v>487592100</v>
      </c>
      <c r="J1103" s="8">
        <f t="shared" si="70"/>
        <v>294066795.51</v>
      </c>
      <c r="K1103" t="str">
        <f t="shared" si="71"/>
        <v>MATCHED</v>
      </c>
    </row>
    <row r="1104" spans="1:11">
      <c r="A1104" t="s">
        <v>106</v>
      </c>
      <c r="B1104" t="s">
        <v>107</v>
      </c>
      <c r="C1104" t="s">
        <v>1156</v>
      </c>
      <c r="D1104" t="s">
        <v>1157</v>
      </c>
      <c r="E1104" s="8">
        <v>570</v>
      </c>
      <c r="F1104" s="8">
        <v>132830</v>
      </c>
      <c r="G1104" s="8">
        <f t="shared" si="68"/>
        <v>75713100</v>
      </c>
      <c r="H1104" s="5">
        <v>0.7282</v>
      </c>
      <c r="I1104" s="8">
        <f t="shared" si="69"/>
        <v>75713100</v>
      </c>
      <c r="J1104" s="8">
        <f t="shared" si="70"/>
        <v>55134279.42</v>
      </c>
      <c r="K1104" t="str">
        <f t="shared" si="71"/>
        <v>MATCHED</v>
      </c>
    </row>
    <row r="1105" spans="1:11">
      <c r="A1105" t="s">
        <v>106</v>
      </c>
      <c r="B1105" t="s">
        <v>107</v>
      </c>
      <c r="C1105" t="s">
        <v>556</v>
      </c>
      <c r="D1105" t="s">
        <v>557</v>
      </c>
      <c r="E1105" s="8">
        <v>10400</v>
      </c>
      <c r="F1105" s="8">
        <v>125990</v>
      </c>
      <c r="G1105" s="8">
        <f t="shared" si="68"/>
        <v>1310296000</v>
      </c>
      <c r="H1105" s="5">
        <v>0.8228</v>
      </c>
      <c r="I1105" s="8">
        <f t="shared" si="69"/>
        <v>1310296000</v>
      </c>
      <c r="J1105" s="8">
        <f t="shared" si="70"/>
        <v>1078111548.8</v>
      </c>
      <c r="K1105" t="str">
        <f t="shared" si="71"/>
        <v>MATCHED</v>
      </c>
    </row>
    <row r="1106" spans="1:11">
      <c r="A1106" t="s">
        <v>106</v>
      </c>
      <c r="B1106" t="s">
        <v>107</v>
      </c>
      <c r="C1106" t="s">
        <v>1158</v>
      </c>
      <c r="D1106" t="s">
        <v>1159</v>
      </c>
      <c r="E1106" s="8">
        <v>100</v>
      </c>
      <c r="F1106" s="8">
        <v>74550</v>
      </c>
      <c r="G1106" s="8">
        <f t="shared" si="68"/>
        <v>7455000</v>
      </c>
      <c r="H1106" s="5">
        <v>0.7711</v>
      </c>
      <c r="I1106" s="8">
        <f t="shared" si="69"/>
        <v>7455000</v>
      </c>
      <c r="J1106" s="8">
        <f t="shared" si="70"/>
        <v>5748550.5</v>
      </c>
      <c r="K1106" t="str">
        <f t="shared" si="71"/>
        <v>MATCHED</v>
      </c>
    </row>
    <row r="1107" spans="1:11">
      <c r="A1107" t="s">
        <v>106</v>
      </c>
      <c r="B1107" t="s">
        <v>107</v>
      </c>
      <c r="C1107" t="s">
        <v>834</v>
      </c>
      <c r="D1107" t="s">
        <v>835</v>
      </c>
      <c r="E1107" s="8">
        <v>350</v>
      </c>
      <c r="F1107" s="8"/>
      <c r="G1107" s="8" t="str">
        <f t="shared" si="68"/>
        <v/>
      </c>
      <c r="H1107" s="5">
        <v>0.5375</v>
      </c>
      <c r="I1107" s="8" t="str">
        <f t="shared" si="69"/>
        <v/>
      </c>
      <c r="J1107" s="8" t="str">
        <f t="shared" si="70"/>
        <v/>
      </c>
      <c r="K1107" t="str">
        <f t="shared" si="71"/>
        <v>MISSING OEWS</v>
      </c>
    </row>
    <row r="1108" spans="1:11">
      <c r="A1108" t="s">
        <v>106</v>
      </c>
      <c r="B1108" t="s">
        <v>107</v>
      </c>
      <c r="C1108" t="s">
        <v>558</v>
      </c>
      <c r="D1108" t="s">
        <v>559</v>
      </c>
      <c r="E1108" s="8">
        <v>70</v>
      </c>
      <c r="F1108" s="8"/>
      <c r="G1108" s="8" t="str">
        <f t="shared" si="68"/>
        <v/>
      </c>
      <c r="H1108" s="5">
        <v>0.7929</v>
      </c>
      <c r="I1108" s="8" t="str">
        <f t="shared" si="69"/>
        <v/>
      </c>
      <c r="J1108" s="8" t="str">
        <f t="shared" si="70"/>
        <v/>
      </c>
      <c r="K1108" t="str">
        <f t="shared" si="71"/>
        <v>MISSING OEWS</v>
      </c>
    </row>
    <row r="1109" spans="1:11">
      <c r="A1109" t="s">
        <v>106</v>
      </c>
      <c r="B1109" t="s">
        <v>107</v>
      </c>
      <c r="C1109" t="s">
        <v>560</v>
      </c>
      <c r="D1109" t="s">
        <v>561</v>
      </c>
      <c r="E1109" s="8">
        <v>90</v>
      </c>
      <c r="F1109" s="8">
        <v>69990</v>
      </c>
      <c r="G1109" s="8">
        <f t="shared" si="68"/>
        <v>6299100</v>
      </c>
      <c r="H1109" s="5">
        <v>0.3682</v>
      </c>
      <c r="I1109" s="8">
        <f t="shared" si="69"/>
        <v>6299100</v>
      </c>
      <c r="J1109" s="8">
        <f t="shared" si="70"/>
        <v>2319328.62</v>
      </c>
      <c r="K1109" t="str">
        <f t="shared" si="71"/>
        <v>MATCHED</v>
      </c>
    </row>
    <row r="1110" spans="1:11">
      <c r="A1110" t="s">
        <v>106</v>
      </c>
      <c r="B1110" t="s">
        <v>107</v>
      </c>
      <c r="C1110" t="s">
        <v>1160</v>
      </c>
      <c r="D1110" t="s">
        <v>1161</v>
      </c>
      <c r="E1110" s="8">
        <v>32750</v>
      </c>
      <c r="F1110" s="8">
        <v>141790</v>
      </c>
      <c r="G1110" s="8">
        <f t="shared" si="68"/>
        <v>4643622500</v>
      </c>
      <c r="H1110" s="5">
        <v>0.5333</v>
      </c>
      <c r="I1110" s="8">
        <f t="shared" si="69"/>
        <v>4643622500</v>
      </c>
      <c r="J1110" s="8">
        <f t="shared" si="70"/>
        <v>2476443879.25</v>
      </c>
      <c r="K1110" t="str">
        <f t="shared" si="71"/>
        <v>MATCHED</v>
      </c>
    </row>
    <row r="1111" spans="1:11">
      <c r="A1111" t="s">
        <v>106</v>
      </c>
      <c r="B1111" t="s">
        <v>107</v>
      </c>
      <c r="C1111" t="s">
        <v>836</v>
      </c>
      <c r="D1111" t="s">
        <v>837</v>
      </c>
      <c r="E1111" s="8">
        <v>170</v>
      </c>
      <c r="F1111" s="8">
        <v>105340</v>
      </c>
      <c r="G1111" s="8">
        <f t="shared" si="68"/>
        <v>17907800</v>
      </c>
      <c r="H1111" s="5">
        <v>0.1</v>
      </c>
      <c r="I1111" s="8">
        <f t="shared" si="69"/>
        <v>17907800</v>
      </c>
      <c r="J1111" s="8">
        <f t="shared" si="70"/>
        <v>1790780</v>
      </c>
      <c r="K1111" t="str">
        <f t="shared" si="71"/>
        <v>MATCHED</v>
      </c>
    </row>
    <row r="1112" spans="1:11">
      <c r="A1112" t="s">
        <v>106</v>
      </c>
      <c r="B1112" t="s">
        <v>107</v>
      </c>
      <c r="C1112" t="s">
        <v>1162</v>
      </c>
      <c r="D1112" t="s">
        <v>1163</v>
      </c>
      <c r="E1112" s="8">
        <v>6520</v>
      </c>
      <c r="F1112" s="8">
        <v>122640</v>
      </c>
      <c r="G1112" s="8">
        <f t="shared" si="68"/>
        <v>799612800</v>
      </c>
      <c r="H1112" s="5">
        <v>0.4067</v>
      </c>
      <c r="I1112" s="8">
        <f t="shared" si="69"/>
        <v>799612800</v>
      </c>
      <c r="J1112" s="8">
        <f t="shared" si="70"/>
        <v>325202525.76</v>
      </c>
      <c r="K1112" t="str">
        <f t="shared" si="71"/>
        <v>MATCHED</v>
      </c>
    </row>
    <row r="1113" spans="1:11">
      <c r="A1113" t="s">
        <v>106</v>
      </c>
      <c r="B1113" t="s">
        <v>107</v>
      </c>
      <c r="C1113" t="s">
        <v>562</v>
      </c>
      <c r="D1113" t="s">
        <v>563</v>
      </c>
      <c r="E1113" s="8">
        <v>10860</v>
      </c>
      <c r="F1113" s="8">
        <v>126110</v>
      </c>
      <c r="G1113" s="8">
        <f t="shared" si="68"/>
        <v>1369554600</v>
      </c>
      <c r="H1113" s="5">
        <v>0.3615</v>
      </c>
      <c r="I1113" s="8">
        <f t="shared" si="69"/>
        <v>1369554600</v>
      </c>
      <c r="J1113" s="8">
        <f t="shared" si="70"/>
        <v>495093987.9</v>
      </c>
      <c r="K1113" t="str">
        <f t="shared" si="71"/>
        <v>MATCHED</v>
      </c>
    </row>
    <row r="1114" spans="1:11">
      <c r="A1114" t="s">
        <v>106</v>
      </c>
      <c r="B1114" t="s">
        <v>107</v>
      </c>
      <c r="C1114" t="s">
        <v>564</v>
      </c>
      <c r="D1114" t="s">
        <v>565</v>
      </c>
      <c r="E1114" s="8">
        <v>4440</v>
      </c>
      <c r="F1114" s="8">
        <v>116430</v>
      </c>
      <c r="G1114" s="8">
        <f t="shared" si="68"/>
        <v>516949200</v>
      </c>
      <c r="H1114" s="5">
        <v>0.4218</v>
      </c>
      <c r="I1114" s="8">
        <f t="shared" si="69"/>
        <v>516949200</v>
      </c>
      <c r="J1114" s="8">
        <f t="shared" si="70"/>
        <v>218049172.56</v>
      </c>
      <c r="K1114" t="str">
        <f t="shared" si="71"/>
        <v>MATCHED</v>
      </c>
    </row>
    <row r="1115" spans="1:11">
      <c r="A1115" t="s">
        <v>106</v>
      </c>
      <c r="B1115" t="s">
        <v>107</v>
      </c>
      <c r="C1115" t="s">
        <v>838</v>
      </c>
      <c r="D1115" t="s">
        <v>839</v>
      </c>
      <c r="E1115" s="8">
        <v>26270</v>
      </c>
      <c r="F1115" s="8">
        <v>160980</v>
      </c>
      <c r="G1115" s="8">
        <f t="shared" si="68"/>
        <v>4228944600</v>
      </c>
      <c r="H1115" s="5">
        <v>0.3639</v>
      </c>
      <c r="I1115" s="8">
        <f t="shared" si="69"/>
        <v>4228944600</v>
      </c>
      <c r="J1115" s="8">
        <f t="shared" si="70"/>
        <v>1538912939.94</v>
      </c>
      <c r="K1115" t="str">
        <f t="shared" si="71"/>
        <v>MATCHED</v>
      </c>
    </row>
    <row r="1116" spans="1:11">
      <c r="A1116" t="s">
        <v>106</v>
      </c>
      <c r="B1116" t="s">
        <v>107</v>
      </c>
      <c r="C1116" t="s">
        <v>566</v>
      </c>
      <c r="D1116" t="s">
        <v>567</v>
      </c>
      <c r="E1116" s="8">
        <v>57140</v>
      </c>
      <c r="F1116" s="8">
        <v>124440</v>
      </c>
      <c r="G1116" s="8">
        <f t="shared" si="68"/>
        <v>7110501600</v>
      </c>
      <c r="H1116" s="5">
        <v>0.3523</v>
      </c>
      <c r="I1116" s="8">
        <f t="shared" si="69"/>
        <v>7110501600</v>
      </c>
      <c r="J1116" s="8">
        <f t="shared" si="70"/>
        <v>2505029713.68</v>
      </c>
      <c r="K1116" t="str">
        <f t="shared" si="71"/>
        <v>MATCHED</v>
      </c>
    </row>
    <row r="1117" spans="1:11">
      <c r="A1117" t="s">
        <v>106</v>
      </c>
      <c r="B1117" t="s">
        <v>107</v>
      </c>
      <c r="C1117" t="s">
        <v>568</v>
      </c>
      <c r="D1117" t="s">
        <v>569</v>
      </c>
      <c r="E1117" s="8">
        <v>34710</v>
      </c>
      <c r="F1117" s="8">
        <v>143110</v>
      </c>
      <c r="G1117" s="8">
        <f t="shared" si="68"/>
        <v>4967348100</v>
      </c>
      <c r="H1117" s="5">
        <v>0.4536</v>
      </c>
      <c r="I1117" s="8">
        <f t="shared" si="69"/>
        <v>4967348100</v>
      </c>
      <c r="J1117" s="8">
        <f t="shared" si="70"/>
        <v>2253189098.16</v>
      </c>
      <c r="K1117" t="str">
        <f t="shared" si="71"/>
        <v>MATCHED</v>
      </c>
    </row>
    <row r="1118" spans="1:11">
      <c r="A1118" t="s">
        <v>106</v>
      </c>
      <c r="B1118" t="s">
        <v>107</v>
      </c>
      <c r="C1118" t="s">
        <v>570</v>
      </c>
      <c r="D1118" t="s">
        <v>571</v>
      </c>
      <c r="E1118" s="8">
        <v>2670</v>
      </c>
      <c r="F1118" s="8">
        <v>119580</v>
      </c>
      <c r="G1118" s="8">
        <f t="shared" si="68"/>
        <v>319278600</v>
      </c>
      <c r="H1118" s="5">
        <v>0.5196</v>
      </c>
      <c r="I1118" s="8">
        <f t="shared" si="69"/>
        <v>319278600</v>
      </c>
      <c r="J1118" s="8">
        <f t="shared" si="70"/>
        <v>165897160.56</v>
      </c>
      <c r="K1118" t="str">
        <f t="shared" si="71"/>
        <v>MATCHED</v>
      </c>
    </row>
    <row r="1119" spans="1:11">
      <c r="A1119" t="s">
        <v>106</v>
      </c>
      <c r="B1119" t="s">
        <v>107</v>
      </c>
      <c r="C1119" t="s">
        <v>572</v>
      </c>
      <c r="D1119" t="s">
        <v>573</v>
      </c>
      <c r="E1119" s="8">
        <v>4840</v>
      </c>
      <c r="F1119" s="8">
        <v>120780</v>
      </c>
      <c r="G1119" s="8">
        <f t="shared" si="68"/>
        <v>584575200</v>
      </c>
      <c r="H1119" s="5">
        <v>0.2672</v>
      </c>
      <c r="I1119" s="8">
        <f t="shared" si="69"/>
        <v>584575200</v>
      </c>
      <c r="J1119" s="8">
        <f t="shared" si="70"/>
        <v>156198493.44</v>
      </c>
      <c r="K1119" t="str">
        <f t="shared" si="71"/>
        <v>MATCHED</v>
      </c>
    </row>
    <row r="1120" spans="1:11">
      <c r="A1120" t="s">
        <v>106</v>
      </c>
      <c r="B1120" t="s">
        <v>107</v>
      </c>
      <c r="C1120" t="s">
        <v>301</v>
      </c>
      <c r="D1120" t="s">
        <v>302</v>
      </c>
      <c r="E1120" s="8">
        <v>248860</v>
      </c>
      <c r="F1120" s="8">
        <v>106390</v>
      </c>
      <c r="G1120" s="8">
        <f t="shared" si="68"/>
        <v>26476215400</v>
      </c>
      <c r="H1120" s="5">
        <v>0.4786</v>
      </c>
      <c r="I1120" s="8">
        <f t="shared" si="69"/>
        <v>26476215400</v>
      </c>
      <c r="J1120" s="8">
        <f t="shared" si="70"/>
        <v>12671516690.44</v>
      </c>
      <c r="K1120" t="str">
        <f t="shared" si="71"/>
        <v>MATCHED</v>
      </c>
    </row>
    <row r="1121" spans="1:11">
      <c r="A1121" t="s">
        <v>106</v>
      </c>
      <c r="B1121" t="s">
        <v>107</v>
      </c>
      <c r="C1121" t="s">
        <v>938</v>
      </c>
      <c r="D1121" t="s">
        <v>939</v>
      </c>
      <c r="E1121" s="8">
        <v>4230</v>
      </c>
      <c r="F1121" s="8">
        <v>114500</v>
      </c>
      <c r="G1121" s="8">
        <f t="shared" si="68"/>
        <v>484335000</v>
      </c>
      <c r="H1121" s="5">
        <v>0.2417</v>
      </c>
      <c r="I1121" s="8">
        <f t="shared" si="69"/>
        <v>484335000</v>
      </c>
      <c r="J1121" s="8">
        <f t="shared" si="70"/>
        <v>117063769.5</v>
      </c>
      <c r="K1121" t="str">
        <f t="shared" si="71"/>
        <v>MATCHED</v>
      </c>
    </row>
    <row r="1122" spans="1:11">
      <c r="A1122" t="s">
        <v>106</v>
      </c>
      <c r="B1122" t="s">
        <v>107</v>
      </c>
      <c r="C1122" t="s">
        <v>574</v>
      </c>
      <c r="D1122" t="s">
        <v>575</v>
      </c>
      <c r="E1122" s="8">
        <v>11400</v>
      </c>
      <c r="F1122" s="8">
        <v>115800</v>
      </c>
      <c r="G1122" s="8">
        <f t="shared" si="68"/>
        <v>1320120000</v>
      </c>
      <c r="H1122" s="5">
        <v>0.269</v>
      </c>
      <c r="I1122" s="8">
        <f t="shared" si="69"/>
        <v>1320120000</v>
      </c>
      <c r="J1122" s="8">
        <f t="shared" si="70"/>
        <v>355112280</v>
      </c>
      <c r="K1122" t="str">
        <f t="shared" si="71"/>
        <v>MATCHED</v>
      </c>
    </row>
    <row r="1123" spans="1:11">
      <c r="A1123" t="s">
        <v>106</v>
      </c>
      <c r="B1123" t="s">
        <v>107</v>
      </c>
      <c r="C1123" t="s">
        <v>576</v>
      </c>
      <c r="D1123" t="s">
        <v>577</v>
      </c>
      <c r="E1123" s="8">
        <v>130930</v>
      </c>
      <c r="F1123" s="8">
        <v>107840</v>
      </c>
      <c r="G1123" s="8">
        <f t="shared" si="68"/>
        <v>14119491200</v>
      </c>
      <c r="H1123" s="5">
        <v>0.3008</v>
      </c>
      <c r="I1123" s="8">
        <f t="shared" si="69"/>
        <v>14119491200</v>
      </c>
      <c r="J1123" s="8">
        <f t="shared" si="70"/>
        <v>4247142952.96</v>
      </c>
      <c r="K1123" t="str">
        <f t="shared" si="71"/>
        <v>MATCHED</v>
      </c>
    </row>
    <row r="1124" spans="1:11">
      <c r="A1124" t="s">
        <v>106</v>
      </c>
      <c r="B1124" t="s">
        <v>107</v>
      </c>
      <c r="C1124" t="s">
        <v>578</v>
      </c>
      <c r="D1124" t="s">
        <v>579</v>
      </c>
      <c r="E1124" s="8">
        <v>60</v>
      </c>
      <c r="F1124" s="8">
        <v>105490</v>
      </c>
      <c r="G1124" s="8">
        <f t="shared" si="68"/>
        <v>6329400</v>
      </c>
      <c r="H1124" s="5">
        <v>0.2861</v>
      </c>
      <c r="I1124" s="8">
        <f t="shared" si="69"/>
        <v>6329400</v>
      </c>
      <c r="J1124" s="8">
        <f t="shared" si="70"/>
        <v>1810841.34</v>
      </c>
      <c r="K1124" t="str">
        <f t="shared" si="71"/>
        <v>MATCHED</v>
      </c>
    </row>
    <row r="1125" spans="1:11">
      <c r="A1125" t="s">
        <v>106</v>
      </c>
      <c r="B1125" t="s">
        <v>107</v>
      </c>
      <c r="C1125" t="s">
        <v>840</v>
      </c>
      <c r="D1125" t="s">
        <v>841</v>
      </c>
      <c r="E1125" s="8">
        <v>780</v>
      </c>
      <c r="F1125" s="8">
        <v>117900</v>
      </c>
      <c r="G1125" s="8">
        <f t="shared" si="68"/>
        <v>91962000</v>
      </c>
      <c r="H1125" s="5">
        <v>0.2825</v>
      </c>
      <c r="I1125" s="8">
        <f t="shared" si="69"/>
        <v>91962000</v>
      </c>
      <c r="J1125" s="8">
        <f t="shared" si="70"/>
        <v>25979265</v>
      </c>
      <c r="K1125" t="str">
        <f t="shared" si="71"/>
        <v>MATCHED</v>
      </c>
    </row>
    <row r="1126" spans="1:11">
      <c r="A1126" t="s">
        <v>106</v>
      </c>
      <c r="B1126" t="s">
        <v>107</v>
      </c>
      <c r="C1126" t="s">
        <v>580</v>
      </c>
      <c r="D1126" t="s">
        <v>581</v>
      </c>
      <c r="E1126" s="8">
        <v>1380</v>
      </c>
      <c r="F1126" s="8">
        <v>160440</v>
      </c>
      <c r="G1126" s="8">
        <f t="shared" si="68"/>
        <v>221407200</v>
      </c>
      <c r="H1126" s="5">
        <v>0.3065</v>
      </c>
      <c r="I1126" s="8">
        <f t="shared" si="69"/>
        <v>221407200</v>
      </c>
      <c r="J1126" s="8">
        <f t="shared" si="70"/>
        <v>67861306.8</v>
      </c>
      <c r="K1126" t="str">
        <f t="shared" si="71"/>
        <v>MATCHED</v>
      </c>
    </row>
    <row r="1127" spans="1:11">
      <c r="A1127" t="s">
        <v>106</v>
      </c>
      <c r="B1127" t="s">
        <v>107</v>
      </c>
      <c r="C1127" t="s">
        <v>582</v>
      </c>
      <c r="D1127" t="s">
        <v>583</v>
      </c>
      <c r="E1127" s="8">
        <v>34400</v>
      </c>
      <c r="F1127" s="8">
        <v>117080</v>
      </c>
      <c r="G1127" s="8">
        <f t="shared" si="68"/>
        <v>4027552000</v>
      </c>
      <c r="H1127" s="5">
        <v>0.315</v>
      </c>
      <c r="I1127" s="8">
        <f t="shared" si="69"/>
        <v>4027552000</v>
      </c>
      <c r="J1127" s="8">
        <f t="shared" si="70"/>
        <v>1268678880</v>
      </c>
      <c r="K1127" t="str">
        <f t="shared" si="71"/>
        <v>MATCHED</v>
      </c>
    </row>
    <row r="1128" spans="1:11">
      <c r="A1128" t="s">
        <v>106</v>
      </c>
      <c r="B1128" t="s">
        <v>107</v>
      </c>
      <c r="C1128" t="s">
        <v>584</v>
      </c>
      <c r="D1128" t="s">
        <v>585</v>
      </c>
      <c r="E1128" s="8">
        <v>6810</v>
      </c>
      <c r="F1128" s="8">
        <v>66260</v>
      </c>
      <c r="G1128" s="8">
        <f t="shared" si="68"/>
        <v>451230600</v>
      </c>
      <c r="H1128" s="5">
        <v>0.7</v>
      </c>
      <c r="I1128" s="8">
        <f t="shared" si="69"/>
        <v>451230600</v>
      </c>
      <c r="J1128" s="8">
        <f t="shared" si="70"/>
        <v>315861420</v>
      </c>
      <c r="K1128" t="str">
        <f t="shared" si="71"/>
        <v>MATCHED</v>
      </c>
    </row>
    <row r="1129" spans="1:11">
      <c r="A1129" t="s">
        <v>106</v>
      </c>
      <c r="B1129" t="s">
        <v>107</v>
      </c>
      <c r="C1129" t="s">
        <v>842</v>
      </c>
      <c r="D1129" t="s">
        <v>843</v>
      </c>
      <c r="E1129" s="8">
        <v>4100</v>
      </c>
      <c r="F1129" s="8">
        <v>83850</v>
      </c>
      <c r="G1129" s="8">
        <f t="shared" si="68"/>
        <v>343785000</v>
      </c>
      <c r="H1129" s="5">
        <v>0.5217</v>
      </c>
      <c r="I1129" s="8">
        <f t="shared" si="69"/>
        <v>343785000</v>
      </c>
      <c r="J1129" s="8">
        <f t="shared" si="70"/>
        <v>179352634.5</v>
      </c>
      <c r="K1129" t="str">
        <f t="shared" si="71"/>
        <v>MATCHED</v>
      </c>
    </row>
    <row r="1130" spans="1:11">
      <c r="A1130" t="s">
        <v>106</v>
      </c>
      <c r="B1130" t="s">
        <v>107</v>
      </c>
      <c r="C1130" t="s">
        <v>586</v>
      </c>
      <c r="D1130" t="s">
        <v>587</v>
      </c>
      <c r="E1130" s="8">
        <v>21160</v>
      </c>
      <c r="F1130" s="8">
        <v>71120</v>
      </c>
      <c r="G1130" s="8">
        <f t="shared" si="68"/>
        <v>1504899200</v>
      </c>
      <c r="H1130" s="5">
        <v>0.71</v>
      </c>
      <c r="I1130" s="8">
        <f t="shared" si="69"/>
        <v>1504899200</v>
      </c>
      <c r="J1130" s="8">
        <f t="shared" si="70"/>
        <v>1068478432</v>
      </c>
      <c r="K1130" t="str">
        <f t="shared" si="71"/>
        <v>MATCHED</v>
      </c>
    </row>
    <row r="1131" spans="1:11">
      <c r="A1131" t="s">
        <v>106</v>
      </c>
      <c r="B1131" t="s">
        <v>107</v>
      </c>
      <c r="C1131" t="s">
        <v>588</v>
      </c>
      <c r="D1131" t="s">
        <v>589</v>
      </c>
      <c r="E1131" s="8">
        <v>6390</v>
      </c>
      <c r="F1131" s="8">
        <v>65660</v>
      </c>
      <c r="G1131" s="8">
        <f t="shared" si="68"/>
        <v>419567400</v>
      </c>
      <c r="H1131" s="5"/>
      <c r="I1131" s="8" t="str">
        <f t="shared" si="69"/>
        <v/>
      </c>
      <c r="J1131" s="8" t="str">
        <f t="shared" si="70"/>
        <v/>
      </c>
      <c r="K1131" t="str">
        <f t="shared" si="71"/>
        <v>MISSING WHARTON</v>
      </c>
    </row>
    <row r="1132" spans="1:11">
      <c r="A1132" t="s">
        <v>106</v>
      </c>
      <c r="B1132" t="s">
        <v>107</v>
      </c>
      <c r="C1132" t="s">
        <v>1164</v>
      </c>
      <c r="D1132" t="s">
        <v>1165</v>
      </c>
      <c r="E1132" s="8">
        <v>6310</v>
      </c>
      <c r="F1132" s="8">
        <v>93090</v>
      </c>
      <c r="G1132" s="8">
        <f t="shared" si="68"/>
        <v>587397900</v>
      </c>
      <c r="H1132" s="5">
        <v>0.175</v>
      </c>
      <c r="I1132" s="8">
        <f t="shared" si="69"/>
        <v>587397900</v>
      </c>
      <c r="J1132" s="8">
        <f t="shared" si="70"/>
        <v>102794632.5</v>
      </c>
      <c r="K1132" t="str">
        <f t="shared" si="71"/>
        <v>MATCHED</v>
      </c>
    </row>
    <row r="1133" spans="1:11">
      <c r="A1133" t="s">
        <v>106</v>
      </c>
      <c r="B1133" t="s">
        <v>107</v>
      </c>
      <c r="C1133" t="s">
        <v>590</v>
      </c>
      <c r="D1133" t="s">
        <v>591</v>
      </c>
      <c r="E1133" s="8">
        <v>360</v>
      </c>
      <c r="F1133" s="8">
        <v>72490</v>
      </c>
      <c r="G1133" s="8">
        <f t="shared" si="68"/>
        <v>26096400</v>
      </c>
      <c r="H1133" s="5">
        <v>0.4567</v>
      </c>
      <c r="I1133" s="8">
        <f t="shared" si="69"/>
        <v>26096400</v>
      </c>
      <c r="J1133" s="8">
        <f t="shared" si="70"/>
        <v>11918225.88</v>
      </c>
      <c r="K1133" t="str">
        <f t="shared" si="71"/>
        <v>MATCHED</v>
      </c>
    </row>
    <row r="1134" spans="1:11">
      <c r="A1134" t="s">
        <v>106</v>
      </c>
      <c r="B1134" t="s">
        <v>107</v>
      </c>
      <c r="C1134" t="s">
        <v>592</v>
      </c>
      <c r="D1134" t="s">
        <v>593</v>
      </c>
      <c r="E1134" s="8">
        <v>38090</v>
      </c>
      <c r="F1134" s="8">
        <v>74560</v>
      </c>
      <c r="G1134" s="8">
        <f t="shared" si="68"/>
        <v>2839990400</v>
      </c>
      <c r="H1134" s="5">
        <v>0.4</v>
      </c>
      <c r="I1134" s="8">
        <f t="shared" si="69"/>
        <v>2839990400</v>
      </c>
      <c r="J1134" s="8">
        <f t="shared" si="70"/>
        <v>1135996160</v>
      </c>
      <c r="K1134" t="str">
        <f t="shared" si="71"/>
        <v>MATCHED</v>
      </c>
    </row>
    <row r="1135" spans="1:11">
      <c r="A1135" t="s">
        <v>106</v>
      </c>
      <c r="B1135" t="s">
        <v>107</v>
      </c>
      <c r="C1135" t="s">
        <v>594</v>
      </c>
      <c r="D1135" t="s">
        <v>595</v>
      </c>
      <c r="E1135" s="8">
        <v>7830</v>
      </c>
      <c r="F1135" s="8">
        <v>73300</v>
      </c>
      <c r="G1135" s="8">
        <f t="shared" si="68"/>
        <v>573939000</v>
      </c>
      <c r="H1135" s="5">
        <v>0.1781</v>
      </c>
      <c r="I1135" s="8">
        <f t="shared" si="69"/>
        <v>573939000</v>
      </c>
      <c r="J1135" s="8">
        <f t="shared" si="70"/>
        <v>102218535.9</v>
      </c>
      <c r="K1135" t="str">
        <f t="shared" si="71"/>
        <v>MATCHED</v>
      </c>
    </row>
    <row r="1136" spans="1:11">
      <c r="A1136" t="s">
        <v>106</v>
      </c>
      <c r="B1136" t="s">
        <v>107</v>
      </c>
      <c r="C1136" t="s">
        <v>596</v>
      </c>
      <c r="D1136" t="s">
        <v>597</v>
      </c>
      <c r="E1136" s="8">
        <v>980</v>
      </c>
      <c r="F1136" s="8">
        <v>80670</v>
      </c>
      <c r="G1136" s="8">
        <f t="shared" si="68"/>
        <v>79056600</v>
      </c>
      <c r="H1136" s="5">
        <v>0.4615</v>
      </c>
      <c r="I1136" s="8">
        <f t="shared" si="69"/>
        <v>79056600</v>
      </c>
      <c r="J1136" s="8">
        <f t="shared" si="70"/>
        <v>36484620.9</v>
      </c>
      <c r="K1136" t="str">
        <f t="shared" si="71"/>
        <v>MATCHED</v>
      </c>
    </row>
    <row r="1137" spans="1:11">
      <c r="A1137" t="s">
        <v>106</v>
      </c>
      <c r="B1137" t="s">
        <v>107</v>
      </c>
      <c r="C1137" t="s">
        <v>598</v>
      </c>
      <c r="D1137" t="s">
        <v>599</v>
      </c>
      <c r="E1137" s="8">
        <v>58250</v>
      </c>
      <c r="F1137" s="8">
        <v>69100</v>
      </c>
      <c r="G1137" s="8">
        <f t="shared" si="68"/>
        <v>4025075000</v>
      </c>
      <c r="H1137" s="5">
        <v>0.2855</v>
      </c>
      <c r="I1137" s="8">
        <f t="shared" si="69"/>
        <v>4025075000</v>
      </c>
      <c r="J1137" s="8">
        <f t="shared" si="70"/>
        <v>1149158912.5</v>
      </c>
      <c r="K1137" t="str">
        <f t="shared" si="71"/>
        <v>MATCHED</v>
      </c>
    </row>
    <row r="1138" spans="1:11">
      <c r="A1138" t="s">
        <v>106</v>
      </c>
      <c r="B1138" t="s">
        <v>107</v>
      </c>
      <c r="C1138" t="s">
        <v>600</v>
      </c>
      <c r="D1138" t="s">
        <v>601</v>
      </c>
      <c r="E1138" s="8">
        <v>18720</v>
      </c>
      <c r="F1138" s="8">
        <v>73420</v>
      </c>
      <c r="G1138" s="8">
        <f t="shared" si="68"/>
        <v>1374422400</v>
      </c>
      <c r="H1138" s="5">
        <v>0.3125</v>
      </c>
      <c r="I1138" s="8">
        <f t="shared" si="69"/>
        <v>1374422400</v>
      </c>
      <c r="J1138" s="8">
        <f t="shared" si="70"/>
        <v>429507000</v>
      </c>
      <c r="K1138" t="str">
        <f t="shared" si="71"/>
        <v>MATCHED</v>
      </c>
    </row>
    <row r="1139" spans="1:11">
      <c r="A1139" t="s">
        <v>106</v>
      </c>
      <c r="B1139" t="s">
        <v>107</v>
      </c>
      <c r="C1139" t="s">
        <v>602</v>
      </c>
      <c r="D1139" t="s">
        <v>603</v>
      </c>
      <c r="E1139" s="8">
        <v>5950</v>
      </c>
      <c r="F1139" s="8">
        <v>76750</v>
      </c>
      <c r="G1139" s="8">
        <f t="shared" si="68"/>
        <v>456662500</v>
      </c>
      <c r="H1139" s="5">
        <v>0.1733</v>
      </c>
      <c r="I1139" s="8">
        <f t="shared" si="69"/>
        <v>456662500</v>
      </c>
      <c r="J1139" s="8">
        <f t="shared" si="70"/>
        <v>79139611.25</v>
      </c>
      <c r="K1139" t="str">
        <f t="shared" si="71"/>
        <v>MATCHED</v>
      </c>
    </row>
    <row r="1140" spans="1:11">
      <c r="A1140" t="s">
        <v>106</v>
      </c>
      <c r="B1140" t="s">
        <v>107</v>
      </c>
      <c r="C1140" t="s">
        <v>604</v>
      </c>
      <c r="D1140" t="s">
        <v>605</v>
      </c>
      <c r="E1140" s="8">
        <v>16490</v>
      </c>
      <c r="F1140" s="8">
        <v>71720</v>
      </c>
      <c r="G1140" s="8">
        <f t="shared" si="68"/>
        <v>1182662800</v>
      </c>
      <c r="H1140" s="5">
        <v>0.1404</v>
      </c>
      <c r="I1140" s="8">
        <f t="shared" si="69"/>
        <v>1182662800</v>
      </c>
      <c r="J1140" s="8">
        <f t="shared" si="70"/>
        <v>166045857.12</v>
      </c>
      <c r="K1140" t="str">
        <f t="shared" si="71"/>
        <v>MATCHED</v>
      </c>
    </row>
    <row r="1141" spans="1:11">
      <c r="A1141" t="s">
        <v>106</v>
      </c>
      <c r="B1141" t="s">
        <v>107</v>
      </c>
      <c r="C1141" t="s">
        <v>606</v>
      </c>
      <c r="D1141" t="s">
        <v>607</v>
      </c>
      <c r="E1141" s="8">
        <v>160</v>
      </c>
      <c r="F1141" s="8">
        <v>56410</v>
      </c>
      <c r="G1141" s="8">
        <f t="shared" si="68"/>
        <v>9025600</v>
      </c>
      <c r="H1141" s="5">
        <v>0.6783</v>
      </c>
      <c r="I1141" s="8">
        <f t="shared" si="69"/>
        <v>9025600</v>
      </c>
      <c r="J1141" s="8">
        <f t="shared" si="70"/>
        <v>6122064.48</v>
      </c>
      <c r="K1141" t="str">
        <f t="shared" si="71"/>
        <v>MATCHED</v>
      </c>
    </row>
    <row r="1142" spans="1:11">
      <c r="A1142" t="s">
        <v>106</v>
      </c>
      <c r="B1142" t="s">
        <v>107</v>
      </c>
      <c r="C1142" t="s">
        <v>303</v>
      </c>
      <c r="D1142" t="s">
        <v>304</v>
      </c>
      <c r="E1142" s="8">
        <v>320</v>
      </c>
      <c r="F1142" s="8">
        <v>114180</v>
      </c>
      <c r="G1142" s="8">
        <f t="shared" si="68"/>
        <v>36537600</v>
      </c>
      <c r="H1142" s="5">
        <v>0.2333</v>
      </c>
      <c r="I1142" s="8">
        <f t="shared" si="69"/>
        <v>36537600</v>
      </c>
      <c r="J1142" s="8">
        <f t="shared" si="70"/>
        <v>8524222.08</v>
      </c>
      <c r="K1142" t="str">
        <f t="shared" si="71"/>
        <v>MATCHED</v>
      </c>
    </row>
    <row r="1143" spans="1:11">
      <c r="A1143" t="s">
        <v>106</v>
      </c>
      <c r="B1143" t="s">
        <v>107</v>
      </c>
      <c r="C1143" t="s">
        <v>305</v>
      </c>
      <c r="D1143" t="s">
        <v>306</v>
      </c>
      <c r="E1143" s="8">
        <v>7400</v>
      </c>
      <c r="F1143" s="8">
        <v>91230</v>
      </c>
      <c r="G1143" s="8">
        <f t="shared" si="68"/>
        <v>675102000</v>
      </c>
      <c r="H1143" s="5">
        <v>0.1269</v>
      </c>
      <c r="I1143" s="8">
        <f t="shared" si="69"/>
        <v>675102000</v>
      </c>
      <c r="J1143" s="8">
        <f t="shared" si="70"/>
        <v>85670443.8</v>
      </c>
      <c r="K1143" t="str">
        <f t="shared" si="71"/>
        <v>MATCHED</v>
      </c>
    </row>
    <row r="1144" spans="1:11">
      <c r="A1144" t="s">
        <v>106</v>
      </c>
      <c r="B1144" t="s">
        <v>107</v>
      </c>
      <c r="C1144" t="s">
        <v>307</v>
      </c>
      <c r="D1144" t="s">
        <v>308</v>
      </c>
      <c r="E1144" s="8">
        <v>670</v>
      </c>
      <c r="F1144" s="8">
        <v>110380</v>
      </c>
      <c r="G1144" s="8">
        <f t="shared" si="68"/>
        <v>73954600</v>
      </c>
      <c r="H1144" s="5">
        <v>0.0519</v>
      </c>
      <c r="I1144" s="8">
        <f t="shared" si="69"/>
        <v>73954600</v>
      </c>
      <c r="J1144" s="8">
        <f t="shared" si="70"/>
        <v>3838243.74</v>
      </c>
      <c r="K1144" t="str">
        <f t="shared" si="71"/>
        <v>MATCHED</v>
      </c>
    </row>
    <row r="1145" spans="1:11">
      <c r="A1145" t="s">
        <v>106</v>
      </c>
      <c r="B1145" t="s">
        <v>107</v>
      </c>
      <c r="C1145" t="s">
        <v>1166</v>
      </c>
      <c r="D1145" t="s">
        <v>1167</v>
      </c>
      <c r="E1145" s="8">
        <v>6930</v>
      </c>
      <c r="F1145" s="8">
        <v>121900</v>
      </c>
      <c r="G1145" s="8">
        <f t="shared" si="68"/>
        <v>844767000</v>
      </c>
      <c r="H1145" s="5">
        <v>0.1667</v>
      </c>
      <c r="I1145" s="8">
        <f t="shared" si="69"/>
        <v>844767000</v>
      </c>
      <c r="J1145" s="8">
        <f t="shared" si="70"/>
        <v>140822658.9</v>
      </c>
      <c r="K1145" t="str">
        <f t="shared" si="71"/>
        <v>MATCHED</v>
      </c>
    </row>
    <row r="1146" spans="1:11">
      <c r="A1146" t="s">
        <v>106</v>
      </c>
      <c r="B1146" t="s">
        <v>107</v>
      </c>
      <c r="C1146" t="s">
        <v>1168</v>
      </c>
      <c r="D1146" t="s">
        <v>1169</v>
      </c>
      <c r="E1146" s="8">
        <v>4770</v>
      </c>
      <c r="F1146" s="8">
        <v>95740</v>
      </c>
      <c r="G1146" s="8">
        <f t="shared" si="68"/>
        <v>456679800</v>
      </c>
      <c r="H1146" s="5">
        <v>0.05</v>
      </c>
      <c r="I1146" s="8">
        <f t="shared" si="69"/>
        <v>456679800</v>
      </c>
      <c r="J1146" s="8">
        <f t="shared" si="70"/>
        <v>22833990</v>
      </c>
      <c r="K1146" t="str">
        <f t="shared" si="71"/>
        <v>MATCHED</v>
      </c>
    </row>
    <row r="1147" spans="1:11">
      <c r="A1147" t="s">
        <v>106</v>
      </c>
      <c r="B1147" t="s">
        <v>107</v>
      </c>
      <c r="C1147" t="s">
        <v>309</v>
      </c>
      <c r="D1147" t="s">
        <v>310</v>
      </c>
      <c r="E1147" s="8">
        <v>3430</v>
      </c>
      <c r="F1147" s="8">
        <v>130930</v>
      </c>
      <c r="G1147" s="8">
        <f t="shared" si="68"/>
        <v>449089900</v>
      </c>
      <c r="H1147" s="5">
        <v>0.4037</v>
      </c>
      <c r="I1147" s="8">
        <f t="shared" si="69"/>
        <v>449089900</v>
      </c>
      <c r="J1147" s="8">
        <f t="shared" si="70"/>
        <v>181297592.63</v>
      </c>
      <c r="K1147" t="str">
        <f t="shared" si="71"/>
        <v>MATCHED</v>
      </c>
    </row>
    <row r="1148" spans="1:11">
      <c r="A1148" t="s">
        <v>106</v>
      </c>
      <c r="B1148" t="s">
        <v>107</v>
      </c>
      <c r="C1148" t="s">
        <v>311</v>
      </c>
      <c r="D1148" t="s">
        <v>312</v>
      </c>
      <c r="E1148" s="8">
        <v>600</v>
      </c>
      <c r="F1148" s="8">
        <v>84720</v>
      </c>
      <c r="G1148" s="8">
        <f t="shared" si="68"/>
        <v>50832000</v>
      </c>
      <c r="H1148" s="5">
        <v>0.056</v>
      </c>
      <c r="I1148" s="8">
        <f t="shared" si="69"/>
        <v>50832000</v>
      </c>
      <c r="J1148" s="8">
        <f t="shared" si="70"/>
        <v>2846592</v>
      </c>
      <c r="K1148" t="str">
        <f t="shared" si="71"/>
        <v>MATCHED</v>
      </c>
    </row>
    <row r="1149" spans="1:11">
      <c r="A1149" t="s">
        <v>106</v>
      </c>
      <c r="B1149" t="s">
        <v>107</v>
      </c>
      <c r="C1149" t="s">
        <v>1170</v>
      </c>
      <c r="D1149" t="s">
        <v>1171</v>
      </c>
      <c r="E1149" s="8">
        <v>40</v>
      </c>
      <c r="F1149" s="8">
        <v>118080</v>
      </c>
      <c r="G1149" s="8">
        <f t="shared" si="68"/>
        <v>4723200</v>
      </c>
      <c r="H1149" s="5">
        <v>0.3433</v>
      </c>
      <c r="I1149" s="8">
        <f t="shared" si="69"/>
        <v>4723200</v>
      </c>
      <c r="J1149" s="8">
        <f t="shared" si="70"/>
        <v>1621474.56</v>
      </c>
      <c r="K1149" t="str">
        <f t="shared" si="71"/>
        <v>MATCHED</v>
      </c>
    </row>
    <row r="1150" spans="1:11">
      <c r="A1150" t="s">
        <v>106</v>
      </c>
      <c r="B1150" t="s">
        <v>107</v>
      </c>
      <c r="C1150" t="s">
        <v>1172</v>
      </c>
      <c r="D1150" t="s">
        <v>1173</v>
      </c>
      <c r="E1150" s="8">
        <v>8270</v>
      </c>
      <c r="F1150" s="8">
        <v>128530</v>
      </c>
      <c r="G1150" s="8">
        <f t="shared" si="68"/>
        <v>1062943100</v>
      </c>
      <c r="H1150" s="5">
        <v>0.1857</v>
      </c>
      <c r="I1150" s="8">
        <f t="shared" si="69"/>
        <v>1062943100</v>
      </c>
      <c r="J1150" s="8">
        <f t="shared" si="70"/>
        <v>197388533.67</v>
      </c>
      <c r="K1150" t="str">
        <f t="shared" si="71"/>
        <v>MATCHED</v>
      </c>
    </row>
    <row r="1151" spans="1:11">
      <c r="A1151" t="s">
        <v>106</v>
      </c>
      <c r="B1151" t="s">
        <v>107</v>
      </c>
      <c r="C1151" t="s">
        <v>1174</v>
      </c>
      <c r="D1151" t="s">
        <v>1175</v>
      </c>
      <c r="E1151" s="8">
        <v>530</v>
      </c>
      <c r="F1151" s="8">
        <v>104160</v>
      </c>
      <c r="G1151" s="8">
        <f t="shared" si="68"/>
        <v>55204800</v>
      </c>
      <c r="H1151" s="5"/>
      <c r="I1151" s="8" t="str">
        <f t="shared" si="69"/>
        <v/>
      </c>
      <c r="J1151" s="8" t="str">
        <f t="shared" si="70"/>
        <v/>
      </c>
      <c r="K1151" t="str">
        <f t="shared" si="71"/>
        <v>MISSING WHARTON</v>
      </c>
    </row>
    <row r="1152" spans="1:11">
      <c r="A1152" t="s">
        <v>106</v>
      </c>
      <c r="B1152" t="s">
        <v>107</v>
      </c>
      <c r="C1152" t="s">
        <v>846</v>
      </c>
      <c r="D1152" t="s">
        <v>847</v>
      </c>
      <c r="E1152" s="8">
        <v>800</v>
      </c>
      <c r="F1152" s="8">
        <v>161870</v>
      </c>
      <c r="G1152" s="8">
        <f t="shared" si="68"/>
        <v>129496000</v>
      </c>
      <c r="H1152" s="5">
        <v>0.44</v>
      </c>
      <c r="I1152" s="8">
        <f t="shared" si="69"/>
        <v>129496000</v>
      </c>
      <c r="J1152" s="8">
        <f t="shared" si="70"/>
        <v>56978240</v>
      </c>
      <c r="K1152" t="str">
        <f t="shared" si="71"/>
        <v>MATCHED</v>
      </c>
    </row>
    <row r="1153" spans="1:11">
      <c r="A1153" t="s">
        <v>106</v>
      </c>
      <c r="B1153" t="s">
        <v>107</v>
      </c>
      <c r="C1153" t="s">
        <v>608</v>
      </c>
      <c r="D1153" t="s">
        <v>609</v>
      </c>
      <c r="E1153" s="8">
        <v>34670</v>
      </c>
      <c r="F1153" s="8">
        <v>97630</v>
      </c>
      <c r="G1153" s="8">
        <f t="shared" si="68"/>
        <v>3384832100</v>
      </c>
      <c r="H1153" s="5">
        <v>0.1808</v>
      </c>
      <c r="I1153" s="8">
        <f t="shared" si="69"/>
        <v>3384832100</v>
      </c>
      <c r="J1153" s="8">
        <f t="shared" si="70"/>
        <v>611977643.68</v>
      </c>
      <c r="K1153" t="str">
        <f t="shared" si="71"/>
        <v>MATCHED</v>
      </c>
    </row>
    <row r="1154" spans="1:11">
      <c r="A1154" t="s">
        <v>106</v>
      </c>
      <c r="B1154" t="s">
        <v>107</v>
      </c>
      <c r="C1154" t="s">
        <v>1176</v>
      </c>
      <c r="D1154" t="s">
        <v>1177</v>
      </c>
      <c r="E1154" s="8">
        <v>2970</v>
      </c>
      <c r="F1154" s="8">
        <v>118500</v>
      </c>
      <c r="G1154" s="8">
        <f t="shared" ref="G1154:G1217" si="72">IF(OR(E1154="",F1154=""),"",E1154*F1154)</f>
        <v>351945000</v>
      </c>
      <c r="H1154" s="5">
        <v>0.2062</v>
      </c>
      <c r="I1154" s="8">
        <f t="shared" ref="I1154:I1217" si="73">IF(G1154="","",IF(ISNUMBER(H1154),G1154,""))</f>
        <v>351945000</v>
      </c>
      <c r="J1154" s="8">
        <f t="shared" ref="J1154:J1217" si="74">IF(I1154="","",I1154*H1154)</f>
        <v>72571059</v>
      </c>
      <c r="K1154" t="str">
        <f t="shared" ref="K1154:K1217" si="75">IF(G1154="","MISSING OEWS",IF(ISNUMBER(H1154),"MATCHED","MISSING WHARTON"))</f>
        <v>MATCHED</v>
      </c>
    </row>
    <row r="1155" spans="1:11">
      <c r="A1155" t="s">
        <v>106</v>
      </c>
      <c r="B1155" t="s">
        <v>107</v>
      </c>
      <c r="C1155" t="s">
        <v>610</v>
      </c>
      <c r="D1155" t="s">
        <v>611</v>
      </c>
      <c r="E1155" s="8">
        <v>1110</v>
      </c>
      <c r="F1155" s="8">
        <v>122610</v>
      </c>
      <c r="G1155" s="8">
        <f t="shared" si="72"/>
        <v>136097100</v>
      </c>
      <c r="H1155" s="5">
        <v>0.4662</v>
      </c>
      <c r="I1155" s="8">
        <f t="shared" si="73"/>
        <v>136097100</v>
      </c>
      <c r="J1155" s="8">
        <f t="shared" si="74"/>
        <v>63448468.02</v>
      </c>
      <c r="K1155" t="str">
        <f t="shared" si="75"/>
        <v>MATCHED</v>
      </c>
    </row>
    <row r="1156" spans="1:11">
      <c r="A1156" t="s">
        <v>106</v>
      </c>
      <c r="B1156" t="s">
        <v>107</v>
      </c>
      <c r="C1156" t="s">
        <v>612</v>
      </c>
      <c r="D1156" t="s">
        <v>613</v>
      </c>
      <c r="E1156" s="8">
        <v>110</v>
      </c>
      <c r="F1156" s="8">
        <v>127610</v>
      </c>
      <c r="G1156" s="8">
        <f t="shared" si="72"/>
        <v>14037100</v>
      </c>
      <c r="H1156" s="5">
        <v>0.2937</v>
      </c>
      <c r="I1156" s="8">
        <f t="shared" si="73"/>
        <v>14037100</v>
      </c>
      <c r="J1156" s="8">
        <f t="shared" si="74"/>
        <v>4122696.27</v>
      </c>
      <c r="K1156" t="str">
        <f t="shared" si="75"/>
        <v>MATCHED</v>
      </c>
    </row>
    <row r="1157" spans="1:11">
      <c r="A1157" t="s">
        <v>106</v>
      </c>
      <c r="B1157" t="s">
        <v>107</v>
      </c>
      <c r="C1157" t="s">
        <v>850</v>
      </c>
      <c r="D1157" t="s">
        <v>851</v>
      </c>
      <c r="E1157" s="8">
        <v>1380</v>
      </c>
      <c r="F1157" s="8">
        <v>191320</v>
      </c>
      <c r="G1157" s="8">
        <f t="shared" si="72"/>
        <v>264021600</v>
      </c>
      <c r="H1157" s="5">
        <v>0.5312</v>
      </c>
      <c r="I1157" s="8">
        <f t="shared" si="73"/>
        <v>264021600</v>
      </c>
      <c r="J1157" s="8">
        <f t="shared" si="74"/>
        <v>140248273.92</v>
      </c>
      <c r="K1157" t="str">
        <f t="shared" si="75"/>
        <v>MATCHED</v>
      </c>
    </row>
    <row r="1158" spans="1:11">
      <c r="A1158" t="s">
        <v>106</v>
      </c>
      <c r="B1158" t="s">
        <v>107</v>
      </c>
      <c r="C1158" t="s">
        <v>614</v>
      </c>
      <c r="D1158" t="s">
        <v>615</v>
      </c>
      <c r="E1158" s="8">
        <v>90</v>
      </c>
      <c r="F1158" s="8">
        <v>170690</v>
      </c>
      <c r="G1158" s="8">
        <f t="shared" si="72"/>
        <v>15362100</v>
      </c>
      <c r="H1158" s="5">
        <v>0.5271</v>
      </c>
      <c r="I1158" s="8">
        <f t="shared" si="73"/>
        <v>15362100</v>
      </c>
      <c r="J1158" s="8">
        <f t="shared" si="74"/>
        <v>8097362.91</v>
      </c>
      <c r="K1158" t="str">
        <f t="shared" si="75"/>
        <v>MATCHED</v>
      </c>
    </row>
    <row r="1159" spans="1:11">
      <c r="A1159" t="s">
        <v>106</v>
      </c>
      <c r="B1159" t="s">
        <v>107</v>
      </c>
      <c r="C1159" t="s">
        <v>1178</v>
      </c>
      <c r="D1159" t="s">
        <v>1179</v>
      </c>
      <c r="E1159" s="8">
        <v>40</v>
      </c>
      <c r="F1159" s="8">
        <v>90160</v>
      </c>
      <c r="G1159" s="8">
        <f t="shared" si="72"/>
        <v>3606400</v>
      </c>
      <c r="H1159" s="5">
        <v>0.5545</v>
      </c>
      <c r="I1159" s="8">
        <f t="shared" si="73"/>
        <v>3606400</v>
      </c>
      <c r="J1159" s="8">
        <f t="shared" si="74"/>
        <v>1999748.8</v>
      </c>
      <c r="K1159" t="str">
        <f t="shared" si="75"/>
        <v>MATCHED</v>
      </c>
    </row>
    <row r="1160" spans="1:11">
      <c r="A1160" t="s">
        <v>106</v>
      </c>
      <c r="B1160" t="s">
        <v>107</v>
      </c>
      <c r="C1160" t="s">
        <v>313</v>
      </c>
      <c r="D1160" t="s">
        <v>314</v>
      </c>
      <c r="E1160" s="8">
        <v>710</v>
      </c>
      <c r="F1160" s="8">
        <v>59710</v>
      </c>
      <c r="G1160" s="8">
        <f t="shared" si="72"/>
        <v>42394100</v>
      </c>
      <c r="H1160" s="5">
        <v>0.374</v>
      </c>
      <c r="I1160" s="8">
        <f t="shared" si="73"/>
        <v>42394100</v>
      </c>
      <c r="J1160" s="8">
        <f t="shared" si="74"/>
        <v>15855393.4</v>
      </c>
      <c r="K1160" t="str">
        <f t="shared" si="75"/>
        <v>MATCHED</v>
      </c>
    </row>
    <row r="1161" spans="1:11">
      <c r="A1161" t="s">
        <v>106</v>
      </c>
      <c r="B1161" t="s">
        <v>107</v>
      </c>
      <c r="C1161" t="s">
        <v>315</v>
      </c>
      <c r="D1161" t="s">
        <v>316</v>
      </c>
      <c r="E1161" s="8">
        <v>10890</v>
      </c>
      <c r="F1161" s="8">
        <v>55070</v>
      </c>
      <c r="G1161" s="8">
        <f t="shared" si="72"/>
        <v>599712300</v>
      </c>
      <c r="H1161" s="5">
        <v>0.2969</v>
      </c>
      <c r="I1161" s="8">
        <f t="shared" si="73"/>
        <v>599712300</v>
      </c>
      <c r="J1161" s="8">
        <f t="shared" si="74"/>
        <v>178054581.87</v>
      </c>
      <c r="K1161" t="str">
        <f t="shared" si="75"/>
        <v>MATCHED</v>
      </c>
    </row>
    <row r="1162" spans="1:11">
      <c r="A1162" t="s">
        <v>106</v>
      </c>
      <c r="B1162" t="s">
        <v>107</v>
      </c>
      <c r="C1162" t="s">
        <v>317</v>
      </c>
      <c r="D1162" t="s">
        <v>318</v>
      </c>
      <c r="E1162" s="8">
        <v>6990</v>
      </c>
      <c r="F1162" s="8">
        <v>71920</v>
      </c>
      <c r="G1162" s="8">
        <f t="shared" si="72"/>
        <v>502720800</v>
      </c>
      <c r="H1162" s="5">
        <v>0.2778</v>
      </c>
      <c r="I1162" s="8">
        <f t="shared" si="73"/>
        <v>502720800</v>
      </c>
      <c r="J1162" s="8">
        <f t="shared" si="74"/>
        <v>139655838.24</v>
      </c>
      <c r="K1162" t="str">
        <f t="shared" si="75"/>
        <v>MATCHED</v>
      </c>
    </row>
    <row r="1163" spans="1:11">
      <c r="A1163" t="s">
        <v>106</v>
      </c>
      <c r="B1163" t="s">
        <v>107</v>
      </c>
      <c r="C1163" t="s">
        <v>616</v>
      </c>
      <c r="D1163" t="s">
        <v>617</v>
      </c>
      <c r="E1163" s="8">
        <v>25710</v>
      </c>
      <c r="F1163" s="8">
        <v>66740</v>
      </c>
      <c r="G1163" s="8">
        <f t="shared" si="72"/>
        <v>1715885400</v>
      </c>
      <c r="H1163" s="5">
        <v>0.25</v>
      </c>
      <c r="I1163" s="8">
        <f t="shared" si="73"/>
        <v>1715885400</v>
      </c>
      <c r="J1163" s="8">
        <f t="shared" si="74"/>
        <v>428971350</v>
      </c>
      <c r="K1163" t="str">
        <f t="shared" si="75"/>
        <v>MATCHED</v>
      </c>
    </row>
    <row r="1164" spans="1:11">
      <c r="A1164" t="s">
        <v>106</v>
      </c>
      <c r="B1164" t="s">
        <v>107</v>
      </c>
      <c r="C1164" t="s">
        <v>618</v>
      </c>
      <c r="D1164" t="s">
        <v>619</v>
      </c>
      <c r="E1164" s="8">
        <v>940</v>
      </c>
      <c r="F1164" s="8">
        <v>73160</v>
      </c>
      <c r="G1164" s="8">
        <f t="shared" si="72"/>
        <v>68770400</v>
      </c>
      <c r="H1164" s="5">
        <v>0.2635</v>
      </c>
      <c r="I1164" s="8">
        <f t="shared" si="73"/>
        <v>68770400</v>
      </c>
      <c r="J1164" s="8">
        <f t="shared" si="74"/>
        <v>18121000.4</v>
      </c>
      <c r="K1164" t="str">
        <f t="shared" si="75"/>
        <v>MATCHED</v>
      </c>
    </row>
    <row r="1165" spans="1:11">
      <c r="A1165" t="s">
        <v>106</v>
      </c>
      <c r="B1165" t="s">
        <v>107</v>
      </c>
      <c r="C1165" t="s">
        <v>620</v>
      </c>
      <c r="D1165" t="s">
        <v>621</v>
      </c>
      <c r="E1165" s="8">
        <v>140</v>
      </c>
      <c r="F1165" s="8">
        <v>91980</v>
      </c>
      <c r="G1165" s="8">
        <f t="shared" si="72"/>
        <v>12877200</v>
      </c>
      <c r="H1165" s="5">
        <v>0.3617</v>
      </c>
      <c r="I1165" s="8">
        <f t="shared" si="73"/>
        <v>12877200</v>
      </c>
      <c r="J1165" s="8">
        <f t="shared" si="74"/>
        <v>4657683.24</v>
      </c>
      <c r="K1165" t="str">
        <f t="shared" si="75"/>
        <v>MATCHED</v>
      </c>
    </row>
    <row r="1166" spans="1:11">
      <c r="A1166" t="s">
        <v>106</v>
      </c>
      <c r="B1166" t="s">
        <v>107</v>
      </c>
      <c r="C1166" t="s">
        <v>1180</v>
      </c>
      <c r="D1166" t="s">
        <v>1181</v>
      </c>
      <c r="E1166" s="8">
        <v>150</v>
      </c>
      <c r="F1166" s="8">
        <v>92260</v>
      </c>
      <c r="G1166" s="8">
        <f t="shared" si="72"/>
        <v>13839000</v>
      </c>
      <c r="H1166" s="5">
        <v>0.7087</v>
      </c>
      <c r="I1166" s="8">
        <f t="shared" si="73"/>
        <v>13839000</v>
      </c>
      <c r="J1166" s="8">
        <f t="shared" si="74"/>
        <v>9807699.3</v>
      </c>
      <c r="K1166" t="str">
        <f t="shared" si="75"/>
        <v>MATCHED</v>
      </c>
    </row>
    <row r="1167" spans="1:11">
      <c r="A1167" t="s">
        <v>106</v>
      </c>
      <c r="B1167" t="s">
        <v>107</v>
      </c>
      <c r="C1167" t="s">
        <v>624</v>
      </c>
      <c r="D1167" t="s">
        <v>625</v>
      </c>
      <c r="E1167" s="8">
        <v>8410</v>
      </c>
      <c r="F1167" s="8">
        <v>73470</v>
      </c>
      <c r="G1167" s="8">
        <f t="shared" si="72"/>
        <v>617882700</v>
      </c>
      <c r="H1167" s="5">
        <v>0.5519</v>
      </c>
      <c r="I1167" s="8">
        <f t="shared" si="73"/>
        <v>617882700</v>
      </c>
      <c r="J1167" s="8">
        <f t="shared" si="74"/>
        <v>341009462.13</v>
      </c>
      <c r="K1167" t="str">
        <f t="shared" si="75"/>
        <v>MATCHED</v>
      </c>
    </row>
    <row r="1168" spans="1:11">
      <c r="A1168" t="s">
        <v>106</v>
      </c>
      <c r="B1168" t="s">
        <v>107</v>
      </c>
      <c r="C1168" t="s">
        <v>319</v>
      </c>
      <c r="D1168" t="s">
        <v>320</v>
      </c>
      <c r="E1168" s="8">
        <v>24780</v>
      </c>
      <c r="F1168" s="8">
        <v>95270</v>
      </c>
      <c r="G1168" s="8">
        <f t="shared" si="72"/>
        <v>2360790600</v>
      </c>
      <c r="H1168" s="5">
        <v>0.2786</v>
      </c>
      <c r="I1168" s="8">
        <f t="shared" si="73"/>
        <v>2360790600</v>
      </c>
      <c r="J1168" s="8">
        <f t="shared" si="74"/>
        <v>657716261.16</v>
      </c>
      <c r="K1168" t="str">
        <f t="shared" si="75"/>
        <v>MATCHED</v>
      </c>
    </row>
    <row r="1169" spans="1:11">
      <c r="A1169" t="s">
        <v>106</v>
      </c>
      <c r="B1169" t="s">
        <v>107</v>
      </c>
      <c r="C1169" t="s">
        <v>626</v>
      </c>
      <c r="D1169" t="s">
        <v>627</v>
      </c>
      <c r="E1169" s="8">
        <v>5410</v>
      </c>
      <c r="F1169" s="8">
        <v>72750</v>
      </c>
      <c r="G1169" s="8">
        <f t="shared" si="72"/>
        <v>393577500</v>
      </c>
      <c r="H1169" s="5">
        <v>0.2712</v>
      </c>
      <c r="I1169" s="8">
        <f t="shared" si="73"/>
        <v>393577500</v>
      </c>
      <c r="J1169" s="8">
        <f t="shared" si="74"/>
        <v>106738218</v>
      </c>
      <c r="K1169" t="str">
        <f t="shared" si="75"/>
        <v>MATCHED</v>
      </c>
    </row>
    <row r="1170" spans="1:11">
      <c r="A1170" t="s">
        <v>106</v>
      </c>
      <c r="B1170" t="s">
        <v>107</v>
      </c>
      <c r="C1170" t="s">
        <v>1182</v>
      </c>
      <c r="D1170" t="s">
        <v>1183</v>
      </c>
      <c r="E1170" s="8">
        <v>170</v>
      </c>
      <c r="F1170" s="8">
        <v>68540</v>
      </c>
      <c r="G1170" s="8">
        <f t="shared" si="72"/>
        <v>11651800</v>
      </c>
      <c r="H1170" s="5">
        <v>0.1786</v>
      </c>
      <c r="I1170" s="8">
        <f t="shared" si="73"/>
        <v>11651800</v>
      </c>
      <c r="J1170" s="8">
        <f t="shared" si="74"/>
        <v>2081011.48</v>
      </c>
      <c r="K1170" t="str">
        <f t="shared" si="75"/>
        <v>MATCHED</v>
      </c>
    </row>
    <row r="1171" spans="1:11">
      <c r="A1171" t="s">
        <v>106</v>
      </c>
      <c r="B1171" t="s">
        <v>107</v>
      </c>
      <c r="C1171" t="s">
        <v>628</v>
      </c>
      <c r="D1171" t="s">
        <v>629</v>
      </c>
      <c r="E1171" s="8">
        <v>5090</v>
      </c>
      <c r="F1171" s="8">
        <v>242960</v>
      </c>
      <c r="G1171" s="8">
        <f t="shared" si="72"/>
        <v>1236666400</v>
      </c>
      <c r="H1171" s="5">
        <v>0.45</v>
      </c>
      <c r="I1171" s="8">
        <f t="shared" si="73"/>
        <v>1236666400</v>
      </c>
      <c r="J1171" s="8">
        <f t="shared" si="74"/>
        <v>556499880</v>
      </c>
      <c r="K1171" t="str">
        <f t="shared" si="75"/>
        <v>MATCHED</v>
      </c>
    </row>
    <row r="1172" spans="1:11">
      <c r="A1172" t="s">
        <v>106</v>
      </c>
      <c r="B1172" t="s">
        <v>107</v>
      </c>
      <c r="C1172" t="s">
        <v>630</v>
      </c>
      <c r="D1172" t="s">
        <v>631</v>
      </c>
      <c r="E1172" s="8">
        <v>1020</v>
      </c>
      <c r="F1172" s="8">
        <v>100020</v>
      </c>
      <c r="G1172" s="8">
        <f t="shared" si="72"/>
        <v>102020400</v>
      </c>
      <c r="H1172" s="5">
        <v>0.5917</v>
      </c>
      <c r="I1172" s="8">
        <f t="shared" si="73"/>
        <v>102020400</v>
      </c>
      <c r="J1172" s="8">
        <f t="shared" si="74"/>
        <v>60365470.68</v>
      </c>
      <c r="K1172" t="str">
        <f t="shared" si="75"/>
        <v>MATCHED</v>
      </c>
    </row>
    <row r="1173" spans="1:11">
      <c r="A1173" t="s">
        <v>106</v>
      </c>
      <c r="B1173" t="s">
        <v>107</v>
      </c>
      <c r="C1173" t="s">
        <v>634</v>
      </c>
      <c r="D1173" t="s">
        <v>635</v>
      </c>
      <c r="E1173" s="8">
        <v>260</v>
      </c>
      <c r="F1173" s="8">
        <v>109470</v>
      </c>
      <c r="G1173" s="8">
        <f t="shared" si="72"/>
        <v>28462200</v>
      </c>
      <c r="H1173" s="5"/>
      <c r="I1173" s="8" t="str">
        <f t="shared" si="73"/>
        <v/>
      </c>
      <c r="J1173" s="8" t="str">
        <f t="shared" si="74"/>
        <v/>
      </c>
      <c r="K1173" t="str">
        <f t="shared" si="75"/>
        <v>MISSING WHARTON</v>
      </c>
    </row>
    <row r="1174" spans="1:11">
      <c r="A1174" t="s">
        <v>106</v>
      </c>
      <c r="B1174" t="s">
        <v>107</v>
      </c>
      <c r="C1174" t="s">
        <v>321</v>
      </c>
      <c r="D1174" t="s">
        <v>322</v>
      </c>
      <c r="E1174" s="8">
        <v>100</v>
      </c>
      <c r="F1174" s="8">
        <v>54740</v>
      </c>
      <c r="G1174" s="8">
        <f t="shared" si="72"/>
        <v>5474000</v>
      </c>
      <c r="H1174" s="5">
        <v>0.33</v>
      </c>
      <c r="I1174" s="8">
        <f t="shared" si="73"/>
        <v>5474000</v>
      </c>
      <c r="J1174" s="8">
        <f t="shared" si="74"/>
        <v>1806420</v>
      </c>
      <c r="K1174" t="str">
        <f t="shared" si="75"/>
        <v>MATCHED</v>
      </c>
    </row>
    <row r="1175" spans="1:11">
      <c r="A1175" t="s">
        <v>106</v>
      </c>
      <c r="B1175" t="s">
        <v>107</v>
      </c>
      <c r="C1175" t="s">
        <v>1184</v>
      </c>
      <c r="D1175" t="s">
        <v>1185</v>
      </c>
      <c r="E1175" s="8">
        <v>40</v>
      </c>
      <c r="F1175" s="8">
        <v>77600</v>
      </c>
      <c r="G1175" s="8">
        <f t="shared" si="72"/>
        <v>3104000</v>
      </c>
      <c r="H1175" s="5">
        <v>0.4167</v>
      </c>
      <c r="I1175" s="8">
        <f t="shared" si="73"/>
        <v>3104000</v>
      </c>
      <c r="J1175" s="8">
        <f t="shared" si="74"/>
        <v>1293436.8</v>
      </c>
      <c r="K1175" t="str">
        <f t="shared" si="75"/>
        <v>MATCHED</v>
      </c>
    </row>
    <row r="1176" spans="1:11">
      <c r="A1176" t="s">
        <v>106</v>
      </c>
      <c r="B1176" t="s">
        <v>107</v>
      </c>
      <c r="C1176" t="s">
        <v>944</v>
      </c>
      <c r="D1176" t="s">
        <v>945</v>
      </c>
      <c r="E1176" s="8">
        <v>100</v>
      </c>
      <c r="F1176" s="8">
        <v>93350</v>
      </c>
      <c r="G1176" s="8">
        <f t="shared" si="72"/>
        <v>9335000</v>
      </c>
      <c r="H1176" s="5">
        <v>0.5783</v>
      </c>
      <c r="I1176" s="8">
        <f t="shared" si="73"/>
        <v>9335000</v>
      </c>
      <c r="J1176" s="8">
        <f t="shared" si="74"/>
        <v>5398430.5</v>
      </c>
      <c r="K1176" t="str">
        <f t="shared" si="75"/>
        <v>MATCHED</v>
      </c>
    </row>
    <row r="1177" spans="1:11">
      <c r="A1177" t="s">
        <v>106</v>
      </c>
      <c r="B1177" t="s">
        <v>107</v>
      </c>
      <c r="C1177" t="s">
        <v>946</v>
      </c>
      <c r="D1177" t="s">
        <v>947</v>
      </c>
      <c r="E1177" s="8">
        <v>1770</v>
      </c>
      <c r="F1177" s="8">
        <v>122170</v>
      </c>
      <c r="G1177" s="8">
        <f t="shared" si="72"/>
        <v>216240900</v>
      </c>
      <c r="H1177" s="5">
        <v>0.3688</v>
      </c>
      <c r="I1177" s="8">
        <f t="shared" si="73"/>
        <v>216240900</v>
      </c>
      <c r="J1177" s="8">
        <f t="shared" si="74"/>
        <v>79749643.92</v>
      </c>
      <c r="K1177" t="str">
        <f t="shared" si="75"/>
        <v>MATCHED</v>
      </c>
    </row>
    <row r="1178" spans="1:11">
      <c r="A1178" t="s">
        <v>106</v>
      </c>
      <c r="B1178" t="s">
        <v>107</v>
      </c>
      <c r="C1178" t="s">
        <v>1186</v>
      </c>
      <c r="D1178" t="s">
        <v>1187</v>
      </c>
      <c r="E1178" s="8">
        <v>640</v>
      </c>
      <c r="F1178" s="8">
        <v>49680</v>
      </c>
      <c r="G1178" s="8">
        <f t="shared" si="72"/>
        <v>31795200</v>
      </c>
      <c r="H1178" s="5">
        <v>0.22</v>
      </c>
      <c r="I1178" s="8">
        <f t="shared" si="73"/>
        <v>31795200</v>
      </c>
      <c r="J1178" s="8">
        <f t="shared" si="74"/>
        <v>6994944</v>
      </c>
      <c r="K1178" t="str">
        <f t="shared" si="75"/>
        <v>MATCHED</v>
      </c>
    </row>
    <row r="1179" spans="1:11">
      <c r="A1179" t="s">
        <v>106</v>
      </c>
      <c r="B1179" t="s">
        <v>107</v>
      </c>
      <c r="C1179" t="s">
        <v>948</v>
      </c>
      <c r="D1179" t="s">
        <v>949</v>
      </c>
      <c r="E1179" s="8">
        <v>540</v>
      </c>
      <c r="F1179" s="8">
        <v>55210</v>
      </c>
      <c r="G1179" s="8">
        <f t="shared" si="72"/>
        <v>29813400</v>
      </c>
      <c r="H1179" s="5">
        <v>0.2281</v>
      </c>
      <c r="I1179" s="8">
        <f t="shared" si="73"/>
        <v>29813400</v>
      </c>
      <c r="J1179" s="8">
        <f t="shared" si="74"/>
        <v>6800436.54</v>
      </c>
      <c r="K1179" t="str">
        <f t="shared" si="75"/>
        <v>MATCHED</v>
      </c>
    </row>
    <row r="1180" spans="1:11">
      <c r="A1180" t="s">
        <v>106</v>
      </c>
      <c r="B1180" t="s">
        <v>107</v>
      </c>
      <c r="C1180" t="s">
        <v>1188</v>
      </c>
      <c r="D1180" t="s">
        <v>1189</v>
      </c>
      <c r="E1180" s="8">
        <v>580</v>
      </c>
      <c r="F1180" s="8">
        <v>96690</v>
      </c>
      <c r="G1180" s="8">
        <f t="shared" si="72"/>
        <v>56080200</v>
      </c>
      <c r="H1180" s="5">
        <v>0.7071</v>
      </c>
      <c r="I1180" s="8">
        <f t="shared" si="73"/>
        <v>56080200</v>
      </c>
      <c r="J1180" s="8">
        <f t="shared" si="74"/>
        <v>39654309.42</v>
      </c>
      <c r="K1180" t="str">
        <f t="shared" si="75"/>
        <v>MATCHED</v>
      </c>
    </row>
    <row r="1181" spans="1:11">
      <c r="A1181" t="s">
        <v>106</v>
      </c>
      <c r="B1181" t="s">
        <v>107</v>
      </c>
      <c r="C1181" t="s">
        <v>950</v>
      </c>
      <c r="D1181" t="s">
        <v>951</v>
      </c>
      <c r="E1181" s="8">
        <v>40</v>
      </c>
      <c r="F1181" s="8">
        <v>74130</v>
      </c>
      <c r="G1181" s="8">
        <f t="shared" si="72"/>
        <v>2965200</v>
      </c>
      <c r="H1181" s="5"/>
      <c r="I1181" s="8" t="str">
        <f t="shared" si="73"/>
        <v/>
      </c>
      <c r="J1181" s="8" t="str">
        <f t="shared" si="74"/>
        <v/>
      </c>
      <c r="K1181" t="str">
        <f t="shared" si="75"/>
        <v>MISSING WHARTON</v>
      </c>
    </row>
    <row r="1182" spans="1:11">
      <c r="A1182" t="s">
        <v>106</v>
      </c>
      <c r="B1182" t="s">
        <v>107</v>
      </c>
      <c r="C1182" t="s">
        <v>952</v>
      </c>
      <c r="D1182" t="s">
        <v>953</v>
      </c>
      <c r="E1182" s="8">
        <v>11870</v>
      </c>
      <c r="F1182" s="8">
        <v>85340</v>
      </c>
      <c r="G1182" s="8">
        <f t="shared" si="72"/>
        <v>1012985800</v>
      </c>
      <c r="H1182" s="5">
        <v>0.3029</v>
      </c>
      <c r="I1182" s="8">
        <f t="shared" si="73"/>
        <v>1012985800</v>
      </c>
      <c r="J1182" s="8">
        <f t="shared" si="74"/>
        <v>306833398.82</v>
      </c>
      <c r="K1182" t="str">
        <f t="shared" si="75"/>
        <v>MATCHED</v>
      </c>
    </row>
    <row r="1183" spans="1:11">
      <c r="A1183" t="s">
        <v>106</v>
      </c>
      <c r="B1183" t="s">
        <v>107</v>
      </c>
      <c r="C1183" t="s">
        <v>1190</v>
      </c>
      <c r="D1183" t="s">
        <v>1191</v>
      </c>
      <c r="E1183" s="8">
        <v>2570</v>
      </c>
      <c r="F1183" s="8">
        <v>88600</v>
      </c>
      <c r="G1183" s="8">
        <f t="shared" si="72"/>
        <v>227702000</v>
      </c>
      <c r="H1183" s="5">
        <v>0.1875</v>
      </c>
      <c r="I1183" s="8">
        <f t="shared" si="73"/>
        <v>227702000</v>
      </c>
      <c r="J1183" s="8">
        <f t="shared" si="74"/>
        <v>42694125</v>
      </c>
      <c r="K1183" t="str">
        <f t="shared" si="75"/>
        <v>MATCHED</v>
      </c>
    </row>
    <row r="1184" spans="1:11">
      <c r="A1184" t="s">
        <v>106</v>
      </c>
      <c r="B1184" t="s">
        <v>107</v>
      </c>
      <c r="C1184" t="s">
        <v>1192</v>
      </c>
      <c r="D1184" t="s">
        <v>1193</v>
      </c>
      <c r="E1184" s="8">
        <v>190</v>
      </c>
      <c r="F1184" s="8">
        <v>37570</v>
      </c>
      <c r="G1184" s="8">
        <f t="shared" si="72"/>
        <v>7138300</v>
      </c>
      <c r="H1184" s="5">
        <v>0.1188</v>
      </c>
      <c r="I1184" s="8">
        <f t="shared" si="73"/>
        <v>7138300</v>
      </c>
      <c r="J1184" s="8">
        <f t="shared" si="74"/>
        <v>848030.04</v>
      </c>
      <c r="K1184" t="str">
        <f t="shared" si="75"/>
        <v>MATCHED</v>
      </c>
    </row>
    <row r="1185" spans="1:11">
      <c r="A1185" t="s">
        <v>106</v>
      </c>
      <c r="B1185" t="s">
        <v>107</v>
      </c>
      <c r="C1185" t="s">
        <v>858</v>
      </c>
      <c r="D1185" t="s">
        <v>859</v>
      </c>
      <c r="E1185" s="8">
        <v>37220</v>
      </c>
      <c r="F1185" s="8">
        <v>57490</v>
      </c>
      <c r="G1185" s="8">
        <f t="shared" si="72"/>
        <v>2139777800</v>
      </c>
      <c r="H1185" s="5">
        <v>0.7375</v>
      </c>
      <c r="I1185" s="8">
        <f t="shared" si="73"/>
        <v>2139777800</v>
      </c>
      <c r="J1185" s="8">
        <f t="shared" si="74"/>
        <v>1578086127.5</v>
      </c>
      <c r="K1185" t="str">
        <f t="shared" si="75"/>
        <v>MATCHED</v>
      </c>
    </row>
    <row r="1186" spans="1:11">
      <c r="A1186" t="s">
        <v>106</v>
      </c>
      <c r="B1186" t="s">
        <v>107</v>
      </c>
      <c r="C1186" t="s">
        <v>954</v>
      </c>
      <c r="D1186" t="s">
        <v>955</v>
      </c>
      <c r="E1186" s="8">
        <v>780</v>
      </c>
      <c r="F1186" s="8">
        <v>65760</v>
      </c>
      <c r="G1186" s="8">
        <f t="shared" si="72"/>
        <v>51292800</v>
      </c>
      <c r="H1186" s="5">
        <v>0.3133</v>
      </c>
      <c r="I1186" s="8">
        <f t="shared" si="73"/>
        <v>51292800</v>
      </c>
      <c r="J1186" s="8">
        <f t="shared" si="74"/>
        <v>16070034.24</v>
      </c>
      <c r="K1186" t="str">
        <f t="shared" si="75"/>
        <v>MATCHED</v>
      </c>
    </row>
    <row r="1187" spans="1:11">
      <c r="A1187" t="s">
        <v>106</v>
      </c>
      <c r="B1187" t="s">
        <v>107</v>
      </c>
      <c r="C1187" t="s">
        <v>956</v>
      </c>
      <c r="D1187" t="s">
        <v>957</v>
      </c>
      <c r="E1187" s="8">
        <v>8540</v>
      </c>
      <c r="F1187" s="8">
        <v>44440</v>
      </c>
      <c r="G1187" s="8">
        <f t="shared" si="72"/>
        <v>379517600</v>
      </c>
      <c r="H1187" s="5">
        <v>0.038</v>
      </c>
      <c r="I1187" s="8">
        <f t="shared" si="73"/>
        <v>379517600</v>
      </c>
      <c r="J1187" s="8">
        <f t="shared" si="74"/>
        <v>14421668.8</v>
      </c>
      <c r="K1187" t="str">
        <f t="shared" si="75"/>
        <v>MATCHED</v>
      </c>
    </row>
    <row r="1188" spans="1:11">
      <c r="A1188" t="s">
        <v>106</v>
      </c>
      <c r="B1188" t="s">
        <v>107</v>
      </c>
      <c r="C1188" t="s">
        <v>1194</v>
      </c>
      <c r="D1188" t="s">
        <v>1195</v>
      </c>
      <c r="E1188" s="8"/>
      <c r="F1188" s="8">
        <v>87270</v>
      </c>
      <c r="G1188" s="8" t="str">
        <f t="shared" si="72"/>
        <v/>
      </c>
      <c r="H1188" s="5">
        <v>0.2167</v>
      </c>
      <c r="I1188" s="8" t="str">
        <f t="shared" si="73"/>
        <v/>
      </c>
      <c r="J1188" s="8" t="str">
        <f t="shared" si="74"/>
        <v/>
      </c>
      <c r="K1188" t="str">
        <f t="shared" si="75"/>
        <v>MISSING OEWS</v>
      </c>
    </row>
    <row r="1189" spans="1:11">
      <c r="A1189" t="s">
        <v>106</v>
      </c>
      <c r="B1189" t="s">
        <v>107</v>
      </c>
      <c r="C1189" t="s">
        <v>958</v>
      </c>
      <c r="D1189" t="s">
        <v>959</v>
      </c>
      <c r="E1189" s="8">
        <v>1600</v>
      </c>
      <c r="F1189" s="8">
        <v>66900</v>
      </c>
      <c r="G1189" s="8">
        <f t="shared" si="72"/>
        <v>107040000</v>
      </c>
      <c r="H1189" s="5"/>
      <c r="I1189" s="8" t="str">
        <f t="shared" si="73"/>
        <v/>
      </c>
      <c r="J1189" s="8" t="str">
        <f t="shared" si="74"/>
        <v/>
      </c>
      <c r="K1189" t="str">
        <f t="shared" si="75"/>
        <v>MISSING WHARTON</v>
      </c>
    </row>
    <row r="1190" spans="1:11">
      <c r="A1190" t="s">
        <v>106</v>
      </c>
      <c r="B1190" t="s">
        <v>107</v>
      </c>
      <c r="C1190" t="s">
        <v>960</v>
      </c>
      <c r="D1190" t="s">
        <v>961</v>
      </c>
      <c r="E1190" s="8">
        <v>200</v>
      </c>
      <c r="F1190" s="8">
        <v>101330</v>
      </c>
      <c r="G1190" s="8">
        <f t="shared" si="72"/>
        <v>20266000</v>
      </c>
      <c r="H1190" s="5">
        <v>0.3463</v>
      </c>
      <c r="I1190" s="8">
        <f t="shared" si="73"/>
        <v>20266000</v>
      </c>
      <c r="J1190" s="8">
        <f t="shared" si="74"/>
        <v>7018115.8</v>
      </c>
      <c r="K1190" t="str">
        <f t="shared" si="75"/>
        <v>MATCHED</v>
      </c>
    </row>
    <row r="1191" spans="1:11">
      <c r="A1191" t="s">
        <v>106</v>
      </c>
      <c r="B1191" t="s">
        <v>107</v>
      </c>
      <c r="C1191" t="s">
        <v>1196</v>
      </c>
      <c r="D1191" t="s">
        <v>1197</v>
      </c>
      <c r="E1191" s="8">
        <v>40</v>
      </c>
      <c r="F1191" s="8"/>
      <c r="G1191" s="8" t="str">
        <f t="shared" si="72"/>
        <v/>
      </c>
      <c r="H1191" s="5"/>
      <c r="I1191" s="8" t="str">
        <f t="shared" si="73"/>
        <v/>
      </c>
      <c r="J1191" s="8" t="str">
        <f t="shared" si="74"/>
        <v/>
      </c>
      <c r="K1191" t="str">
        <f t="shared" si="75"/>
        <v>MISSING OEWS</v>
      </c>
    </row>
    <row r="1192" spans="1:11">
      <c r="A1192" t="s">
        <v>106</v>
      </c>
      <c r="B1192" t="s">
        <v>107</v>
      </c>
      <c r="C1192" t="s">
        <v>1198</v>
      </c>
      <c r="D1192" t="s">
        <v>1199</v>
      </c>
      <c r="E1192" s="8">
        <v>60</v>
      </c>
      <c r="F1192" s="8">
        <v>41690</v>
      </c>
      <c r="G1192" s="8">
        <f t="shared" si="72"/>
        <v>2501400</v>
      </c>
      <c r="H1192" s="5">
        <v>0.71</v>
      </c>
      <c r="I1192" s="8">
        <f t="shared" si="73"/>
        <v>2501400</v>
      </c>
      <c r="J1192" s="8">
        <f t="shared" si="74"/>
        <v>1775994</v>
      </c>
      <c r="K1192" t="str">
        <f t="shared" si="75"/>
        <v>MATCHED</v>
      </c>
    </row>
    <row r="1193" spans="1:11">
      <c r="A1193" t="s">
        <v>106</v>
      </c>
      <c r="B1193" t="s">
        <v>107</v>
      </c>
      <c r="C1193" t="s">
        <v>323</v>
      </c>
      <c r="D1193" t="s">
        <v>324</v>
      </c>
      <c r="E1193" s="8">
        <v>5640</v>
      </c>
      <c r="F1193" s="8">
        <v>81110</v>
      </c>
      <c r="G1193" s="8">
        <f t="shared" si="72"/>
        <v>457460400</v>
      </c>
      <c r="H1193" s="5">
        <v>0.575</v>
      </c>
      <c r="I1193" s="8">
        <f t="shared" si="73"/>
        <v>457460400</v>
      </c>
      <c r="J1193" s="8">
        <f t="shared" si="74"/>
        <v>263039730</v>
      </c>
      <c r="K1193" t="str">
        <f t="shared" si="75"/>
        <v>MATCHED</v>
      </c>
    </row>
    <row r="1194" spans="1:11">
      <c r="A1194" t="s">
        <v>106</v>
      </c>
      <c r="B1194" t="s">
        <v>107</v>
      </c>
      <c r="C1194" t="s">
        <v>1200</v>
      </c>
      <c r="D1194" t="s">
        <v>1201</v>
      </c>
      <c r="E1194" s="8">
        <v>480</v>
      </c>
      <c r="F1194" s="8">
        <v>82490</v>
      </c>
      <c r="G1194" s="8">
        <f t="shared" si="72"/>
        <v>39595200</v>
      </c>
      <c r="H1194" s="5">
        <v>0.6643</v>
      </c>
      <c r="I1194" s="8">
        <f t="shared" si="73"/>
        <v>39595200</v>
      </c>
      <c r="J1194" s="8">
        <f t="shared" si="74"/>
        <v>26303091.36</v>
      </c>
      <c r="K1194" t="str">
        <f t="shared" si="75"/>
        <v>MATCHED</v>
      </c>
    </row>
    <row r="1195" spans="1:11">
      <c r="A1195" t="s">
        <v>106</v>
      </c>
      <c r="B1195" t="s">
        <v>107</v>
      </c>
      <c r="C1195" t="s">
        <v>636</v>
      </c>
      <c r="D1195" t="s">
        <v>637</v>
      </c>
      <c r="E1195" s="8">
        <v>5920</v>
      </c>
      <c r="F1195" s="8">
        <v>88560</v>
      </c>
      <c r="G1195" s="8">
        <f t="shared" si="72"/>
        <v>524275200</v>
      </c>
      <c r="H1195" s="5">
        <v>0.71</v>
      </c>
      <c r="I1195" s="8">
        <f t="shared" si="73"/>
        <v>524275200</v>
      </c>
      <c r="J1195" s="8">
        <f t="shared" si="74"/>
        <v>372235392</v>
      </c>
      <c r="K1195" t="str">
        <f t="shared" si="75"/>
        <v>MATCHED</v>
      </c>
    </row>
    <row r="1196" spans="1:11">
      <c r="A1196" t="s">
        <v>106</v>
      </c>
      <c r="B1196" t="s">
        <v>107</v>
      </c>
      <c r="C1196" t="s">
        <v>860</v>
      </c>
      <c r="D1196" t="s">
        <v>861</v>
      </c>
      <c r="E1196" s="8">
        <v>370</v>
      </c>
      <c r="F1196" s="8">
        <v>91380</v>
      </c>
      <c r="G1196" s="8">
        <f t="shared" si="72"/>
        <v>33810600</v>
      </c>
      <c r="H1196" s="5">
        <v>0.7744</v>
      </c>
      <c r="I1196" s="8">
        <f t="shared" si="73"/>
        <v>33810600</v>
      </c>
      <c r="J1196" s="8">
        <f t="shared" si="74"/>
        <v>26182928.64</v>
      </c>
      <c r="K1196" t="str">
        <f t="shared" si="75"/>
        <v>MATCHED</v>
      </c>
    </row>
    <row r="1197" spans="1:11">
      <c r="A1197" t="s">
        <v>106</v>
      </c>
      <c r="B1197" t="s">
        <v>107</v>
      </c>
      <c r="C1197" t="s">
        <v>1202</v>
      </c>
      <c r="D1197" t="s">
        <v>1203</v>
      </c>
      <c r="E1197" s="8">
        <v>660</v>
      </c>
      <c r="F1197" s="8">
        <v>55550</v>
      </c>
      <c r="G1197" s="8">
        <f t="shared" si="72"/>
        <v>36663000</v>
      </c>
      <c r="H1197" s="5">
        <v>0.6294</v>
      </c>
      <c r="I1197" s="8">
        <f t="shared" si="73"/>
        <v>36663000</v>
      </c>
      <c r="J1197" s="8">
        <f t="shared" si="74"/>
        <v>23075692.2</v>
      </c>
      <c r="K1197" t="str">
        <f t="shared" si="75"/>
        <v>MATCHED</v>
      </c>
    </row>
    <row r="1198" spans="1:11">
      <c r="A1198" t="s">
        <v>106</v>
      </c>
      <c r="B1198" t="s">
        <v>107</v>
      </c>
      <c r="C1198" t="s">
        <v>1204</v>
      </c>
      <c r="D1198" t="s">
        <v>1205</v>
      </c>
      <c r="E1198" s="8">
        <v>130</v>
      </c>
      <c r="F1198" s="8">
        <v>67150</v>
      </c>
      <c r="G1198" s="8">
        <f t="shared" si="72"/>
        <v>8729500</v>
      </c>
      <c r="H1198" s="5"/>
      <c r="I1198" s="8" t="str">
        <f t="shared" si="73"/>
        <v/>
      </c>
      <c r="J1198" s="8" t="str">
        <f t="shared" si="74"/>
        <v/>
      </c>
      <c r="K1198" t="str">
        <f t="shared" si="75"/>
        <v>MISSING WHARTON</v>
      </c>
    </row>
    <row r="1199" spans="1:11">
      <c r="A1199" t="s">
        <v>106</v>
      </c>
      <c r="B1199" t="s">
        <v>107</v>
      </c>
      <c r="C1199" t="s">
        <v>962</v>
      </c>
      <c r="D1199" t="s">
        <v>963</v>
      </c>
      <c r="E1199" s="8">
        <v>950</v>
      </c>
      <c r="F1199" s="8">
        <v>61360</v>
      </c>
      <c r="G1199" s="8">
        <f t="shared" si="72"/>
        <v>58292000</v>
      </c>
      <c r="H1199" s="5">
        <v>0.5483</v>
      </c>
      <c r="I1199" s="8">
        <f t="shared" si="73"/>
        <v>58292000</v>
      </c>
      <c r="J1199" s="8">
        <f t="shared" si="74"/>
        <v>31961503.6</v>
      </c>
      <c r="K1199" t="str">
        <f t="shared" si="75"/>
        <v>MATCHED</v>
      </c>
    </row>
    <row r="1200" spans="1:11">
      <c r="A1200" t="s">
        <v>106</v>
      </c>
      <c r="B1200" t="s">
        <v>107</v>
      </c>
      <c r="C1200" t="s">
        <v>964</v>
      </c>
      <c r="D1200" t="s">
        <v>965</v>
      </c>
      <c r="E1200" s="8">
        <v>70</v>
      </c>
      <c r="F1200" s="8">
        <v>72540</v>
      </c>
      <c r="G1200" s="8">
        <f t="shared" si="72"/>
        <v>5077800</v>
      </c>
      <c r="H1200" s="5">
        <v>0.5607</v>
      </c>
      <c r="I1200" s="8">
        <f t="shared" si="73"/>
        <v>5077800</v>
      </c>
      <c r="J1200" s="8">
        <f t="shared" si="74"/>
        <v>2847122.46</v>
      </c>
      <c r="K1200" t="str">
        <f t="shared" si="75"/>
        <v>MATCHED</v>
      </c>
    </row>
    <row r="1201" spans="1:11">
      <c r="A1201" t="s">
        <v>106</v>
      </c>
      <c r="B1201" t="s">
        <v>107</v>
      </c>
      <c r="C1201" t="s">
        <v>966</v>
      </c>
      <c r="D1201" t="s">
        <v>967</v>
      </c>
      <c r="E1201" s="8">
        <v>250</v>
      </c>
      <c r="F1201" s="8">
        <v>62240</v>
      </c>
      <c r="G1201" s="8">
        <f t="shared" si="72"/>
        <v>15560000</v>
      </c>
      <c r="H1201" s="5">
        <v>0.0594</v>
      </c>
      <c r="I1201" s="8">
        <f t="shared" si="73"/>
        <v>15560000</v>
      </c>
      <c r="J1201" s="8">
        <f t="shared" si="74"/>
        <v>924264</v>
      </c>
      <c r="K1201" t="str">
        <f t="shared" si="75"/>
        <v>MATCHED</v>
      </c>
    </row>
    <row r="1202" spans="1:11">
      <c r="A1202" t="s">
        <v>106</v>
      </c>
      <c r="B1202" t="s">
        <v>107</v>
      </c>
      <c r="C1202" t="s">
        <v>968</v>
      </c>
      <c r="D1202" t="s">
        <v>969</v>
      </c>
      <c r="E1202" s="8">
        <v>630</v>
      </c>
      <c r="F1202" s="8">
        <v>58620</v>
      </c>
      <c r="G1202" s="8">
        <f t="shared" si="72"/>
        <v>36930600</v>
      </c>
      <c r="H1202" s="5">
        <v>0.3207</v>
      </c>
      <c r="I1202" s="8">
        <f t="shared" si="73"/>
        <v>36930600</v>
      </c>
      <c r="J1202" s="8">
        <f t="shared" si="74"/>
        <v>11843643.42</v>
      </c>
      <c r="K1202" t="str">
        <f t="shared" si="75"/>
        <v>MATCHED</v>
      </c>
    </row>
    <row r="1203" spans="1:11">
      <c r="A1203" t="s">
        <v>106</v>
      </c>
      <c r="B1203" t="s">
        <v>107</v>
      </c>
      <c r="C1203" t="s">
        <v>970</v>
      </c>
      <c r="D1203" t="s">
        <v>971</v>
      </c>
      <c r="E1203" s="8">
        <v>240</v>
      </c>
      <c r="F1203" s="8">
        <v>70330</v>
      </c>
      <c r="G1203" s="8">
        <f t="shared" si="72"/>
        <v>16879200</v>
      </c>
      <c r="H1203" s="5">
        <v>0.3458</v>
      </c>
      <c r="I1203" s="8">
        <f t="shared" si="73"/>
        <v>16879200</v>
      </c>
      <c r="J1203" s="8">
        <f t="shared" si="74"/>
        <v>5836827.36</v>
      </c>
      <c r="K1203" t="str">
        <f t="shared" si="75"/>
        <v>MATCHED</v>
      </c>
    </row>
    <row r="1204" spans="1:11">
      <c r="A1204" t="s">
        <v>106</v>
      </c>
      <c r="B1204" t="s">
        <v>107</v>
      </c>
      <c r="C1204" t="s">
        <v>1206</v>
      </c>
      <c r="D1204" t="s">
        <v>1207</v>
      </c>
      <c r="E1204" s="8">
        <v>170</v>
      </c>
      <c r="F1204" s="8">
        <v>76430</v>
      </c>
      <c r="G1204" s="8">
        <f t="shared" si="72"/>
        <v>12993100</v>
      </c>
      <c r="H1204" s="5">
        <v>0.6065</v>
      </c>
      <c r="I1204" s="8">
        <f t="shared" si="73"/>
        <v>12993100</v>
      </c>
      <c r="J1204" s="8">
        <f t="shared" si="74"/>
        <v>7880315.15</v>
      </c>
      <c r="K1204" t="str">
        <f t="shared" si="75"/>
        <v>MATCHED</v>
      </c>
    </row>
    <row r="1205" spans="1:11">
      <c r="A1205" t="s">
        <v>106</v>
      </c>
      <c r="B1205" t="s">
        <v>107</v>
      </c>
      <c r="C1205" t="s">
        <v>1208</v>
      </c>
      <c r="D1205" t="s">
        <v>1209</v>
      </c>
      <c r="E1205" s="8">
        <v>90</v>
      </c>
      <c r="F1205" s="8">
        <v>199370</v>
      </c>
      <c r="G1205" s="8">
        <f t="shared" si="72"/>
        <v>17943300</v>
      </c>
      <c r="H1205" s="5">
        <v>0.07</v>
      </c>
      <c r="I1205" s="8">
        <f t="shared" si="73"/>
        <v>17943300</v>
      </c>
      <c r="J1205" s="8">
        <f t="shared" si="74"/>
        <v>1256031</v>
      </c>
      <c r="K1205" t="str">
        <f t="shared" si="75"/>
        <v>MATCHED</v>
      </c>
    </row>
    <row r="1206" spans="1:11">
      <c r="A1206" t="s">
        <v>106</v>
      </c>
      <c r="B1206" t="s">
        <v>107</v>
      </c>
      <c r="C1206" t="s">
        <v>1210</v>
      </c>
      <c r="D1206" t="s">
        <v>1211</v>
      </c>
      <c r="E1206" s="8">
        <v>40</v>
      </c>
      <c r="F1206" s="8">
        <v>169300</v>
      </c>
      <c r="G1206" s="8">
        <f t="shared" si="72"/>
        <v>6772000</v>
      </c>
      <c r="H1206" s="5">
        <v>0</v>
      </c>
      <c r="I1206" s="8">
        <f t="shared" si="73"/>
        <v>6772000</v>
      </c>
      <c r="J1206" s="8">
        <f t="shared" si="74"/>
        <v>0</v>
      </c>
      <c r="K1206" t="str">
        <f t="shared" si="75"/>
        <v>MATCHED</v>
      </c>
    </row>
    <row r="1207" spans="1:11">
      <c r="A1207" t="s">
        <v>106</v>
      </c>
      <c r="B1207" t="s">
        <v>107</v>
      </c>
      <c r="C1207" t="s">
        <v>1212</v>
      </c>
      <c r="D1207" t="s">
        <v>1213</v>
      </c>
      <c r="E1207" s="8">
        <v>120</v>
      </c>
      <c r="F1207" s="8">
        <v>87600</v>
      </c>
      <c r="G1207" s="8">
        <f t="shared" si="72"/>
        <v>10512000</v>
      </c>
      <c r="H1207" s="5">
        <v>0.4679</v>
      </c>
      <c r="I1207" s="8">
        <f t="shared" si="73"/>
        <v>10512000</v>
      </c>
      <c r="J1207" s="8">
        <f t="shared" si="74"/>
        <v>4918564.8</v>
      </c>
      <c r="K1207" t="str">
        <f t="shared" si="75"/>
        <v>MATCHED</v>
      </c>
    </row>
    <row r="1208" spans="1:11">
      <c r="A1208" t="s">
        <v>106</v>
      </c>
      <c r="B1208" t="s">
        <v>107</v>
      </c>
      <c r="C1208" t="s">
        <v>1214</v>
      </c>
      <c r="D1208" t="s">
        <v>1215</v>
      </c>
      <c r="E1208" s="8">
        <v>1420</v>
      </c>
      <c r="F1208" s="8">
        <v>142540</v>
      </c>
      <c r="G1208" s="8">
        <f t="shared" si="72"/>
        <v>202406800</v>
      </c>
      <c r="H1208" s="5">
        <v>0.4381</v>
      </c>
      <c r="I1208" s="8">
        <f t="shared" si="73"/>
        <v>202406800</v>
      </c>
      <c r="J1208" s="8">
        <f t="shared" si="74"/>
        <v>88674419.08</v>
      </c>
      <c r="K1208" t="str">
        <f t="shared" si="75"/>
        <v>MATCHED</v>
      </c>
    </row>
    <row r="1209" spans="1:11">
      <c r="A1209" t="s">
        <v>106</v>
      </c>
      <c r="B1209" t="s">
        <v>107</v>
      </c>
      <c r="C1209" t="s">
        <v>325</v>
      </c>
      <c r="D1209" t="s">
        <v>326</v>
      </c>
      <c r="E1209" s="8">
        <v>140</v>
      </c>
      <c r="F1209" s="8">
        <v>173630</v>
      </c>
      <c r="G1209" s="8">
        <f t="shared" si="72"/>
        <v>24308200</v>
      </c>
      <c r="H1209" s="5">
        <v>0.163</v>
      </c>
      <c r="I1209" s="8">
        <f t="shared" si="73"/>
        <v>24308200</v>
      </c>
      <c r="J1209" s="8">
        <f t="shared" si="74"/>
        <v>3962236.6</v>
      </c>
      <c r="K1209" t="str">
        <f t="shared" si="75"/>
        <v>MATCHED</v>
      </c>
    </row>
    <row r="1210" spans="1:11">
      <c r="A1210" t="s">
        <v>106</v>
      </c>
      <c r="B1210" t="s">
        <v>107</v>
      </c>
      <c r="C1210" t="s">
        <v>862</v>
      </c>
      <c r="D1210" t="s">
        <v>863</v>
      </c>
      <c r="E1210" s="8">
        <v>2000</v>
      </c>
      <c r="F1210" s="8">
        <v>93950</v>
      </c>
      <c r="G1210" s="8">
        <f t="shared" si="72"/>
        <v>187900000</v>
      </c>
      <c r="H1210" s="5">
        <v>0.1958</v>
      </c>
      <c r="I1210" s="8">
        <f t="shared" si="73"/>
        <v>187900000</v>
      </c>
      <c r="J1210" s="8">
        <f t="shared" si="74"/>
        <v>36790820</v>
      </c>
      <c r="K1210" t="str">
        <f t="shared" si="75"/>
        <v>MATCHED</v>
      </c>
    </row>
    <row r="1211" spans="1:11">
      <c r="A1211" t="s">
        <v>106</v>
      </c>
      <c r="B1211" t="s">
        <v>107</v>
      </c>
      <c r="C1211" t="s">
        <v>1216</v>
      </c>
      <c r="D1211" t="s">
        <v>1217</v>
      </c>
      <c r="E1211" s="8"/>
      <c r="F1211" s="8">
        <v>245580</v>
      </c>
      <c r="G1211" s="8" t="str">
        <f t="shared" si="72"/>
        <v/>
      </c>
      <c r="H1211" s="5">
        <v>0.1167</v>
      </c>
      <c r="I1211" s="8" t="str">
        <f t="shared" si="73"/>
        <v/>
      </c>
      <c r="J1211" s="8" t="str">
        <f t="shared" si="74"/>
        <v/>
      </c>
      <c r="K1211" t="str">
        <f t="shared" si="75"/>
        <v>MISSING OEWS</v>
      </c>
    </row>
    <row r="1212" spans="1:11">
      <c r="A1212" t="s">
        <v>106</v>
      </c>
      <c r="B1212" t="s">
        <v>107</v>
      </c>
      <c r="C1212" t="s">
        <v>1218</v>
      </c>
      <c r="D1212" t="s">
        <v>1219</v>
      </c>
      <c r="E1212" s="8">
        <v>90</v>
      </c>
      <c r="F1212" s="8">
        <v>122900</v>
      </c>
      <c r="G1212" s="8">
        <f t="shared" si="72"/>
        <v>11061000</v>
      </c>
      <c r="H1212" s="5">
        <v>0.313</v>
      </c>
      <c r="I1212" s="8">
        <f t="shared" si="73"/>
        <v>11061000</v>
      </c>
      <c r="J1212" s="8">
        <f t="shared" si="74"/>
        <v>3462093</v>
      </c>
      <c r="K1212" t="str">
        <f t="shared" si="75"/>
        <v>MATCHED</v>
      </c>
    </row>
    <row r="1213" spans="1:11">
      <c r="A1213" t="s">
        <v>106</v>
      </c>
      <c r="B1213" t="s">
        <v>107</v>
      </c>
      <c r="C1213" t="s">
        <v>1220</v>
      </c>
      <c r="D1213" t="s">
        <v>1221</v>
      </c>
      <c r="E1213" s="8">
        <v>190</v>
      </c>
      <c r="F1213" s="8">
        <v>150410</v>
      </c>
      <c r="G1213" s="8">
        <f t="shared" si="72"/>
        <v>28577900</v>
      </c>
      <c r="H1213" s="5">
        <v>0.2008</v>
      </c>
      <c r="I1213" s="8">
        <f t="shared" si="73"/>
        <v>28577900</v>
      </c>
      <c r="J1213" s="8">
        <f t="shared" si="74"/>
        <v>5738442.32</v>
      </c>
      <c r="K1213" t="str">
        <f t="shared" si="75"/>
        <v>MATCHED</v>
      </c>
    </row>
    <row r="1214" spans="1:11">
      <c r="A1214" t="s">
        <v>106</v>
      </c>
      <c r="B1214" t="s">
        <v>107</v>
      </c>
      <c r="C1214" t="s">
        <v>1222</v>
      </c>
      <c r="D1214" t="s">
        <v>1223</v>
      </c>
      <c r="E1214" s="8">
        <v>40</v>
      </c>
      <c r="F1214" s="8">
        <v>101340</v>
      </c>
      <c r="G1214" s="8">
        <f t="shared" si="72"/>
        <v>4053600</v>
      </c>
      <c r="H1214" s="5">
        <v>0.1583</v>
      </c>
      <c r="I1214" s="8">
        <f t="shared" si="73"/>
        <v>4053600</v>
      </c>
      <c r="J1214" s="8">
        <f t="shared" si="74"/>
        <v>641684.88</v>
      </c>
      <c r="K1214" t="str">
        <f t="shared" si="75"/>
        <v>MATCHED</v>
      </c>
    </row>
    <row r="1215" spans="1:11">
      <c r="A1215" t="s">
        <v>106</v>
      </c>
      <c r="B1215" t="s">
        <v>107</v>
      </c>
      <c r="C1215" t="s">
        <v>1224</v>
      </c>
      <c r="D1215" t="s">
        <v>1225</v>
      </c>
      <c r="E1215" s="8">
        <v>930</v>
      </c>
      <c r="F1215" s="8">
        <v>67660</v>
      </c>
      <c r="G1215" s="8">
        <f t="shared" si="72"/>
        <v>62923800</v>
      </c>
      <c r="H1215" s="5">
        <v>0.1612</v>
      </c>
      <c r="I1215" s="8">
        <f t="shared" si="73"/>
        <v>62923800</v>
      </c>
      <c r="J1215" s="8">
        <f t="shared" si="74"/>
        <v>10143316.56</v>
      </c>
      <c r="K1215" t="str">
        <f t="shared" si="75"/>
        <v>MATCHED</v>
      </c>
    </row>
    <row r="1216" spans="1:11">
      <c r="A1216" t="s">
        <v>106</v>
      </c>
      <c r="B1216" t="s">
        <v>107</v>
      </c>
      <c r="C1216" t="s">
        <v>1226</v>
      </c>
      <c r="D1216" t="s">
        <v>1227</v>
      </c>
      <c r="E1216" s="8">
        <v>50</v>
      </c>
      <c r="F1216" s="8">
        <v>72100</v>
      </c>
      <c r="G1216" s="8">
        <f t="shared" si="72"/>
        <v>3605000</v>
      </c>
      <c r="H1216" s="5">
        <v>0.315</v>
      </c>
      <c r="I1216" s="8">
        <f t="shared" si="73"/>
        <v>3605000</v>
      </c>
      <c r="J1216" s="8">
        <f t="shared" si="74"/>
        <v>1135575</v>
      </c>
      <c r="K1216" t="str">
        <f t="shared" si="75"/>
        <v>MATCHED</v>
      </c>
    </row>
    <row r="1217" spans="1:11">
      <c r="A1217" t="s">
        <v>106</v>
      </c>
      <c r="B1217" t="s">
        <v>107</v>
      </c>
      <c r="C1217" t="s">
        <v>640</v>
      </c>
      <c r="D1217" t="s">
        <v>641</v>
      </c>
      <c r="E1217" s="8">
        <v>160</v>
      </c>
      <c r="F1217" s="8">
        <v>62360</v>
      </c>
      <c r="G1217" s="8">
        <f t="shared" si="72"/>
        <v>9977600</v>
      </c>
      <c r="H1217" s="5">
        <v>0.0792</v>
      </c>
      <c r="I1217" s="8">
        <f t="shared" si="73"/>
        <v>9977600</v>
      </c>
      <c r="J1217" s="8">
        <f t="shared" si="74"/>
        <v>790225.92</v>
      </c>
      <c r="K1217" t="str">
        <f t="shared" si="75"/>
        <v>MATCHED</v>
      </c>
    </row>
    <row r="1218" spans="1:11">
      <c r="A1218" t="s">
        <v>106</v>
      </c>
      <c r="B1218" t="s">
        <v>107</v>
      </c>
      <c r="C1218" t="s">
        <v>642</v>
      </c>
      <c r="D1218" t="s">
        <v>643</v>
      </c>
      <c r="E1218" s="8">
        <v>50</v>
      </c>
      <c r="F1218" s="8">
        <v>88120</v>
      </c>
      <c r="G1218" s="8">
        <f t="shared" ref="G1218:G1281" si="76">IF(OR(E1218="",F1218=""),"",E1218*F1218)</f>
        <v>4406000</v>
      </c>
      <c r="H1218" s="5">
        <v>0</v>
      </c>
      <c r="I1218" s="8">
        <f t="shared" ref="I1218:I1281" si="77">IF(G1218="","",IF(ISNUMBER(H1218),G1218,""))</f>
        <v>4406000</v>
      </c>
      <c r="J1218" s="8">
        <f t="shared" ref="J1218:J1281" si="78">IF(I1218="","",I1218*H1218)</f>
        <v>0</v>
      </c>
      <c r="K1218" t="str">
        <f t="shared" ref="K1218:K1281" si="79">IF(G1218="","MISSING OEWS",IF(ISNUMBER(H1218),"MATCHED","MISSING WHARTON"))</f>
        <v>MATCHED</v>
      </c>
    </row>
    <row r="1219" spans="1:11">
      <c r="A1219" t="s">
        <v>106</v>
      </c>
      <c r="B1219" t="s">
        <v>107</v>
      </c>
      <c r="C1219" t="s">
        <v>1228</v>
      </c>
      <c r="D1219" t="s">
        <v>1229</v>
      </c>
      <c r="E1219" s="8">
        <v>2050</v>
      </c>
      <c r="F1219" s="8">
        <v>49700</v>
      </c>
      <c r="G1219" s="8">
        <f t="shared" si="76"/>
        <v>101885000</v>
      </c>
      <c r="H1219" s="5">
        <v>0.6357</v>
      </c>
      <c r="I1219" s="8">
        <f t="shared" si="77"/>
        <v>101885000</v>
      </c>
      <c r="J1219" s="8">
        <f t="shared" si="78"/>
        <v>64768294.5</v>
      </c>
      <c r="K1219" t="str">
        <f t="shared" si="79"/>
        <v>MATCHED</v>
      </c>
    </row>
    <row r="1220" spans="1:11">
      <c r="A1220" t="s">
        <v>106</v>
      </c>
      <c r="B1220" t="s">
        <v>107</v>
      </c>
      <c r="C1220" t="s">
        <v>327</v>
      </c>
      <c r="D1220" t="s">
        <v>328</v>
      </c>
      <c r="E1220" s="8">
        <v>220</v>
      </c>
      <c r="F1220" s="8">
        <v>69370</v>
      </c>
      <c r="G1220" s="8">
        <f t="shared" si="76"/>
        <v>15261400</v>
      </c>
      <c r="H1220" s="5">
        <v>0.2065</v>
      </c>
      <c r="I1220" s="8">
        <f t="shared" si="77"/>
        <v>15261400</v>
      </c>
      <c r="J1220" s="8">
        <f t="shared" si="78"/>
        <v>3151479.1</v>
      </c>
      <c r="K1220" t="str">
        <f t="shared" si="79"/>
        <v>MATCHED</v>
      </c>
    </row>
    <row r="1221" spans="1:11">
      <c r="A1221" t="s">
        <v>106</v>
      </c>
      <c r="B1221" t="s">
        <v>107</v>
      </c>
      <c r="C1221" t="s">
        <v>1230</v>
      </c>
      <c r="D1221" t="s">
        <v>1231</v>
      </c>
      <c r="E1221" s="8">
        <v>280</v>
      </c>
      <c r="F1221" s="8">
        <v>64480</v>
      </c>
      <c r="G1221" s="8">
        <f t="shared" si="76"/>
        <v>18054400</v>
      </c>
      <c r="H1221" s="5">
        <v>0.1239</v>
      </c>
      <c r="I1221" s="8">
        <f t="shared" si="77"/>
        <v>18054400</v>
      </c>
      <c r="J1221" s="8">
        <f t="shared" si="78"/>
        <v>2236940.16</v>
      </c>
      <c r="K1221" t="str">
        <f t="shared" si="79"/>
        <v>MATCHED</v>
      </c>
    </row>
    <row r="1222" spans="1:11">
      <c r="A1222" t="s">
        <v>106</v>
      </c>
      <c r="B1222" t="s">
        <v>107</v>
      </c>
      <c r="C1222" t="s">
        <v>1232</v>
      </c>
      <c r="D1222" t="s">
        <v>1233</v>
      </c>
      <c r="E1222" s="8">
        <v>120</v>
      </c>
      <c r="F1222" s="8">
        <v>57470</v>
      </c>
      <c r="G1222" s="8">
        <f t="shared" si="76"/>
        <v>6896400</v>
      </c>
      <c r="H1222" s="5">
        <v>0.9353</v>
      </c>
      <c r="I1222" s="8">
        <f t="shared" si="77"/>
        <v>6896400</v>
      </c>
      <c r="J1222" s="8">
        <f t="shared" si="78"/>
        <v>6450202.92</v>
      </c>
      <c r="K1222" t="str">
        <f t="shared" si="79"/>
        <v>MATCHED</v>
      </c>
    </row>
    <row r="1223" spans="1:11">
      <c r="A1223" t="s">
        <v>106</v>
      </c>
      <c r="B1223" t="s">
        <v>107</v>
      </c>
      <c r="C1223" t="s">
        <v>1234</v>
      </c>
      <c r="D1223" t="s">
        <v>1235</v>
      </c>
      <c r="E1223" s="8">
        <v>30</v>
      </c>
      <c r="F1223" s="8">
        <v>50950</v>
      </c>
      <c r="G1223" s="8">
        <f t="shared" si="76"/>
        <v>1528500</v>
      </c>
      <c r="H1223" s="5">
        <v>0.2143</v>
      </c>
      <c r="I1223" s="8">
        <f t="shared" si="77"/>
        <v>1528500</v>
      </c>
      <c r="J1223" s="8">
        <f t="shared" si="78"/>
        <v>327557.55</v>
      </c>
      <c r="K1223" t="str">
        <f t="shared" si="79"/>
        <v>MATCHED</v>
      </c>
    </row>
    <row r="1224" spans="1:11">
      <c r="A1224" t="s">
        <v>106</v>
      </c>
      <c r="B1224" t="s">
        <v>107</v>
      </c>
      <c r="C1224" t="s">
        <v>1236</v>
      </c>
      <c r="D1224" t="s">
        <v>1237</v>
      </c>
      <c r="E1224" s="8">
        <v>2390</v>
      </c>
      <c r="F1224" s="8">
        <v>87660</v>
      </c>
      <c r="G1224" s="8">
        <f t="shared" si="76"/>
        <v>209507400</v>
      </c>
      <c r="H1224" s="5">
        <v>0.1267</v>
      </c>
      <c r="I1224" s="8">
        <f t="shared" si="77"/>
        <v>209507400</v>
      </c>
      <c r="J1224" s="8">
        <f t="shared" si="78"/>
        <v>26544587.58</v>
      </c>
      <c r="K1224" t="str">
        <f t="shared" si="79"/>
        <v>MATCHED</v>
      </c>
    </row>
    <row r="1225" spans="1:11">
      <c r="A1225" t="s">
        <v>106</v>
      </c>
      <c r="B1225" t="s">
        <v>107</v>
      </c>
      <c r="C1225" t="s">
        <v>1238</v>
      </c>
      <c r="D1225" t="s">
        <v>1239</v>
      </c>
      <c r="E1225" s="8">
        <v>40</v>
      </c>
      <c r="F1225" s="8">
        <v>83270</v>
      </c>
      <c r="G1225" s="8">
        <f t="shared" si="76"/>
        <v>3330800</v>
      </c>
      <c r="H1225" s="5">
        <v>0.0864</v>
      </c>
      <c r="I1225" s="8">
        <f t="shared" si="77"/>
        <v>3330800</v>
      </c>
      <c r="J1225" s="8">
        <f t="shared" si="78"/>
        <v>287781.12</v>
      </c>
      <c r="K1225" t="str">
        <f t="shared" si="79"/>
        <v>MATCHED</v>
      </c>
    </row>
    <row r="1226" spans="1:11">
      <c r="A1226" t="s">
        <v>106</v>
      </c>
      <c r="B1226" t="s">
        <v>107</v>
      </c>
      <c r="C1226" t="s">
        <v>1240</v>
      </c>
      <c r="D1226" t="s">
        <v>1241</v>
      </c>
      <c r="E1226" s="8">
        <v>40</v>
      </c>
      <c r="F1226" s="8">
        <v>66410</v>
      </c>
      <c r="G1226" s="8">
        <f t="shared" si="76"/>
        <v>2656400</v>
      </c>
      <c r="H1226" s="5">
        <v>0.2977</v>
      </c>
      <c r="I1226" s="8">
        <f t="shared" si="77"/>
        <v>2656400</v>
      </c>
      <c r="J1226" s="8">
        <f t="shared" si="78"/>
        <v>790810.28</v>
      </c>
      <c r="K1226" t="str">
        <f t="shared" si="79"/>
        <v>MATCHED</v>
      </c>
    </row>
    <row r="1227" spans="1:11">
      <c r="A1227" t="s">
        <v>106</v>
      </c>
      <c r="B1227" t="s">
        <v>107</v>
      </c>
      <c r="C1227" t="s">
        <v>1242</v>
      </c>
      <c r="D1227" t="s">
        <v>1243</v>
      </c>
      <c r="E1227" s="8">
        <v>30</v>
      </c>
      <c r="F1227" s="8">
        <v>127730</v>
      </c>
      <c r="G1227" s="8">
        <f t="shared" si="76"/>
        <v>3831900</v>
      </c>
      <c r="H1227" s="5">
        <v>0.7969</v>
      </c>
      <c r="I1227" s="8">
        <f t="shared" si="77"/>
        <v>3831900</v>
      </c>
      <c r="J1227" s="8">
        <f t="shared" si="78"/>
        <v>3053641.11</v>
      </c>
      <c r="K1227" t="str">
        <f t="shared" si="79"/>
        <v>MATCHED</v>
      </c>
    </row>
    <row r="1228" spans="1:11">
      <c r="A1228" t="s">
        <v>106</v>
      </c>
      <c r="B1228" t="s">
        <v>107</v>
      </c>
      <c r="C1228" t="s">
        <v>1244</v>
      </c>
      <c r="D1228" t="s">
        <v>1245</v>
      </c>
      <c r="E1228" s="8"/>
      <c r="F1228" s="8">
        <v>89610</v>
      </c>
      <c r="G1228" s="8" t="str">
        <f t="shared" si="76"/>
        <v/>
      </c>
      <c r="H1228" s="5">
        <v>0.5421</v>
      </c>
      <c r="I1228" s="8" t="str">
        <f t="shared" si="77"/>
        <v/>
      </c>
      <c r="J1228" s="8" t="str">
        <f t="shared" si="78"/>
        <v/>
      </c>
      <c r="K1228" t="str">
        <f t="shared" si="79"/>
        <v>MISSING OEWS</v>
      </c>
    </row>
    <row r="1229" spans="1:11">
      <c r="A1229" t="s">
        <v>106</v>
      </c>
      <c r="B1229" t="s">
        <v>107</v>
      </c>
      <c r="C1229" t="s">
        <v>1246</v>
      </c>
      <c r="D1229" t="s">
        <v>1247</v>
      </c>
      <c r="E1229" s="8">
        <v>130</v>
      </c>
      <c r="F1229" s="8">
        <v>77330</v>
      </c>
      <c r="G1229" s="8">
        <f t="shared" si="76"/>
        <v>10052900</v>
      </c>
      <c r="H1229" s="5">
        <v>0.2347</v>
      </c>
      <c r="I1229" s="8">
        <f t="shared" si="77"/>
        <v>10052900</v>
      </c>
      <c r="J1229" s="8">
        <f t="shared" si="78"/>
        <v>2359415.63</v>
      </c>
      <c r="K1229" t="str">
        <f t="shared" si="79"/>
        <v>MATCHED</v>
      </c>
    </row>
    <row r="1230" spans="1:11">
      <c r="A1230" t="s">
        <v>106</v>
      </c>
      <c r="B1230" t="s">
        <v>107</v>
      </c>
      <c r="C1230" t="s">
        <v>1248</v>
      </c>
      <c r="D1230" t="s">
        <v>1249</v>
      </c>
      <c r="E1230" s="8">
        <v>130</v>
      </c>
      <c r="F1230" s="8">
        <v>52990</v>
      </c>
      <c r="G1230" s="8">
        <f t="shared" si="76"/>
        <v>6888700</v>
      </c>
      <c r="H1230" s="5">
        <v>0.2219</v>
      </c>
      <c r="I1230" s="8">
        <f t="shared" si="77"/>
        <v>6888700</v>
      </c>
      <c r="J1230" s="8">
        <f t="shared" si="78"/>
        <v>1528602.53</v>
      </c>
      <c r="K1230" t="str">
        <f t="shared" si="79"/>
        <v>MATCHED</v>
      </c>
    </row>
    <row r="1231" spans="1:11">
      <c r="A1231" t="s">
        <v>106</v>
      </c>
      <c r="B1231" t="s">
        <v>107</v>
      </c>
      <c r="C1231" t="s">
        <v>1250</v>
      </c>
      <c r="D1231" t="s">
        <v>1251</v>
      </c>
      <c r="E1231" s="8">
        <v>220</v>
      </c>
      <c r="F1231" s="8">
        <v>46520</v>
      </c>
      <c r="G1231" s="8">
        <f t="shared" si="76"/>
        <v>10234400</v>
      </c>
      <c r="H1231" s="5">
        <v>0.4025</v>
      </c>
      <c r="I1231" s="8">
        <f t="shared" si="77"/>
        <v>10234400</v>
      </c>
      <c r="J1231" s="8">
        <f t="shared" si="78"/>
        <v>4119346</v>
      </c>
      <c r="K1231" t="str">
        <f t="shared" si="79"/>
        <v>MATCHED</v>
      </c>
    </row>
    <row r="1232" spans="1:11">
      <c r="A1232" t="s">
        <v>106</v>
      </c>
      <c r="B1232" t="s">
        <v>107</v>
      </c>
      <c r="C1232" t="s">
        <v>1252</v>
      </c>
      <c r="D1232" t="s">
        <v>1253</v>
      </c>
      <c r="E1232" s="8">
        <v>190</v>
      </c>
      <c r="F1232" s="8">
        <v>59490</v>
      </c>
      <c r="G1232" s="8">
        <f t="shared" si="76"/>
        <v>11303100</v>
      </c>
      <c r="H1232" s="5">
        <v>0.1188</v>
      </c>
      <c r="I1232" s="8">
        <f t="shared" si="77"/>
        <v>11303100</v>
      </c>
      <c r="J1232" s="8">
        <f t="shared" si="78"/>
        <v>1342808.28</v>
      </c>
      <c r="K1232" t="str">
        <f t="shared" si="79"/>
        <v>MATCHED</v>
      </c>
    </row>
    <row r="1233" spans="1:11">
      <c r="A1233" t="s">
        <v>106</v>
      </c>
      <c r="B1233" t="s">
        <v>107</v>
      </c>
      <c r="C1233" t="s">
        <v>1254</v>
      </c>
      <c r="D1233" t="s">
        <v>1255</v>
      </c>
      <c r="E1233" s="8">
        <v>230</v>
      </c>
      <c r="F1233" s="8">
        <v>44640</v>
      </c>
      <c r="G1233" s="8">
        <f t="shared" si="76"/>
        <v>10267200</v>
      </c>
      <c r="H1233" s="5">
        <v>0.1696</v>
      </c>
      <c r="I1233" s="8">
        <f t="shared" si="77"/>
        <v>10267200</v>
      </c>
      <c r="J1233" s="8">
        <f t="shared" si="78"/>
        <v>1741317.12</v>
      </c>
      <c r="K1233" t="str">
        <f t="shared" si="79"/>
        <v>MATCHED</v>
      </c>
    </row>
    <row r="1234" spans="1:11">
      <c r="A1234" t="s">
        <v>106</v>
      </c>
      <c r="B1234" t="s">
        <v>107</v>
      </c>
      <c r="C1234" t="s">
        <v>1256</v>
      </c>
      <c r="D1234" t="s">
        <v>1257</v>
      </c>
      <c r="E1234" s="8">
        <v>370</v>
      </c>
      <c r="F1234" s="8">
        <v>61040</v>
      </c>
      <c r="G1234" s="8">
        <f t="shared" si="76"/>
        <v>22584800</v>
      </c>
      <c r="H1234" s="5">
        <v>0.2542</v>
      </c>
      <c r="I1234" s="8">
        <f t="shared" si="77"/>
        <v>22584800</v>
      </c>
      <c r="J1234" s="8">
        <f t="shared" si="78"/>
        <v>5741056.16</v>
      </c>
      <c r="K1234" t="str">
        <f t="shared" si="79"/>
        <v>MATCHED</v>
      </c>
    </row>
    <row r="1235" spans="1:11">
      <c r="A1235" t="s">
        <v>106</v>
      </c>
      <c r="B1235" t="s">
        <v>107</v>
      </c>
      <c r="C1235" t="s">
        <v>864</v>
      </c>
      <c r="D1235" t="s">
        <v>865</v>
      </c>
      <c r="E1235" s="8">
        <v>100</v>
      </c>
      <c r="F1235" s="8">
        <v>88280</v>
      </c>
      <c r="G1235" s="8">
        <f t="shared" si="76"/>
        <v>8828000</v>
      </c>
      <c r="H1235" s="5">
        <v>0.2267</v>
      </c>
      <c r="I1235" s="8">
        <f t="shared" si="77"/>
        <v>8828000</v>
      </c>
      <c r="J1235" s="8">
        <f t="shared" si="78"/>
        <v>2001307.6</v>
      </c>
      <c r="K1235" t="str">
        <f t="shared" si="79"/>
        <v>MATCHED</v>
      </c>
    </row>
    <row r="1236" spans="1:11">
      <c r="A1236" t="s">
        <v>106</v>
      </c>
      <c r="B1236" t="s">
        <v>107</v>
      </c>
      <c r="C1236" t="s">
        <v>644</v>
      </c>
      <c r="D1236" t="s">
        <v>645</v>
      </c>
      <c r="E1236" s="8">
        <v>570</v>
      </c>
      <c r="F1236" s="8">
        <v>77440</v>
      </c>
      <c r="G1236" s="8">
        <f t="shared" si="76"/>
        <v>44140800</v>
      </c>
      <c r="H1236" s="5">
        <v>0.3929</v>
      </c>
      <c r="I1236" s="8">
        <f t="shared" si="77"/>
        <v>44140800</v>
      </c>
      <c r="J1236" s="8">
        <f t="shared" si="78"/>
        <v>17342920.32</v>
      </c>
      <c r="K1236" t="str">
        <f t="shared" si="79"/>
        <v>MATCHED</v>
      </c>
    </row>
    <row r="1237" spans="1:11">
      <c r="A1237" t="s">
        <v>106</v>
      </c>
      <c r="B1237" t="s">
        <v>107</v>
      </c>
      <c r="C1237" t="s">
        <v>866</v>
      </c>
      <c r="D1237" t="s">
        <v>867</v>
      </c>
      <c r="E1237" s="8">
        <v>150</v>
      </c>
      <c r="F1237" s="8">
        <v>85630</v>
      </c>
      <c r="G1237" s="8">
        <f t="shared" si="76"/>
        <v>12844500</v>
      </c>
      <c r="H1237" s="5"/>
      <c r="I1237" s="8" t="str">
        <f t="shared" si="77"/>
        <v/>
      </c>
      <c r="J1237" s="8" t="str">
        <f t="shared" si="78"/>
        <v/>
      </c>
      <c r="K1237" t="str">
        <f t="shared" si="79"/>
        <v>MISSING WHARTON</v>
      </c>
    </row>
    <row r="1238" spans="1:11">
      <c r="A1238" t="s">
        <v>106</v>
      </c>
      <c r="B1238" t="s">
        <v>107</v>
      </c>
      <c r="C1238" t="s">
        <v>868</v>
      </c>
      <c r="D1238" t="s">
        <v>869</v>
      </c>
      <c r="E1238" s="8">
        <v>590</v>
      </c>
      <c r="F1238" s="8">
        <v>71330</v>
      </c>
      <c r="G1238" s="8">
        <f t="shared" si="76"/>
        <v>42084700</v>
      </c>
      <c r="H1238" s="5">
        <v>0.0317</v>
      </c>
      <c r="I1238" s="8">
        <f t="shared" si="77"/>
        <v>42084700</v>
      </c>
      <c r="J1238" s="8">
        <f t="shared" si="78"/>
        <v>1334084.99</v>
      </c>
      <c r="K1238" t="str">
        <f t="shared" si="79"/>
        <v>MATCHED</v>
      </c>
    </row>
    <row r="1239" spans="1:11">
      <c r="A1239" t="s">
        <v>106</v>
      </c>
      <c r="B1239" t="s">
        <v>107</v>
      </c>
      <c r="C1239" t="s">
        <v>974</v>
      </c>
      <c r="D1239" t="s">
        <v>975</v>
      </c>
      <c r="E1239" s="8">
        <v>110</v>
      </c>
      <c r="F1239" s="8">
        <v>91010</v>
      </c>
      <c r="G1239" s="8">
        <f t="shared" si="76"/>
        <v>10011100</v>
      </c>
      <c r="H1239" s="5">
        <v>0.125</v>
      </c>
      <c r="I1239" s="8">
        <f t="shared" si="77"/>
        <v>10011100</v>
      </c>
      <c r="J1239" s="8">
        <f t="shared" si="78"/>
        <v>1251387.5</v>
      </c>
      <c r="K1239" t="str">
        <f t="shared" si="79"/>
        <v>MATCHED</v>
      </c>
    </row>
    <row r="1240" spans="1:11">
      <c r="A1240" t="s">
        <v>106</v>
      </c>
      <c r="B1240" t="s">
        <v>107</v>
      </c>
      <c r="C1240" t="s">
        <v>870</v>
      </c>
      <c r="D1240" t="s">
        <v>871</v>
      </c>
      <c r="E1240" s="8">
        <v>100</v>
      </c>
      <c r="F1240" s="8">
        <v>100010</v>
      </c>
      <c r="G1240" s="8">
        <f t="shared" si="76"/>
        <v>10001000</v>
      </c>
      <c r="H1240" s="5">
        <v>0.3324</v>
      </c>
      <c r="I1240" s="8">
        <f t="shared" si="77"/>
        <v>10001000</v>
      </c>
      <c r="J1240" s="8">
        <f t="shared" si="78"/>
        <v>3324332.4</v>
      </c>
      <c r="K1240" t="str">
        <f t="shared" si="79"/>
        <v>MATCHED</v>
      </c>
    </row>
    <row r="1241" spans="1:11">
      <c r="A1241" t="s">
        <v>106</v>
      </c>
      <c r="B1241" t="s">
        <v>107</v>
      </c>
      <c r="C1241" t="s">
        <v>329</v>
      </c>
      <c r="D1241" t="s">
        <v>330</v>
      </c>
      <c r="E1241" s="8">
        <v>10350</v>
      </c>
      <c r="F1241" s="8">
        <v>48530</v>
      </c>
      <c r="G1241" s="8">
        <f t="shared" si="76"/>
        <v>502285500</v>
      </c>
      <c r="H1241" s="5">
        <v>0.1357</v>
      </c>
      <c r="I1241" s="8">
        <f t="shared" si="77"/>
        <v>502285500</v>
      </c>
      <c r="J1241" s="8">
        <f t="shared" si="78"/>
        <v>68160142.35</v>
      </c>
      <c r="K1241" t="str">
        <f t="shared" si="79"/>
        <v>MATCHED</v>
      </c>
    </row>
    <row r="1242" spans="1:11">
      <c r="A1242" t="s">
        <v>106</v>
      </c>
      <c r="B1242" t="s">
        <v>107</v>
      </c>
      <c r="C1242" t="s">
        <v>976</v>
      </c>
      <c r="D1242" t="s">
        <v>977</v>
      </c>
      <c r="E1242" s="8">
        <v>230</v>
      </c>
      <c r="F1242" s="8">
        <v>40540</v>
      </c>
      <c r="G1242" s="8">
        <f t="shared" si="76"/>
        <v>9324200</v>
      </c>
      <c r="H1242" s="5">
        <v>0</v>
      </c>
      <c r="I1242" s="8">
        <f t="shared" si="77"/>
        <v>9324200</v>
      </c>
      <c r="J1242" s="8">
        <f t="shared" si="78"/>
        <v>0</v>
      </c>
      <c r="K1242" t="str">
        <f t="shared" si="79"/>
        <v>MATCHED</v>
      </c>
    </row>
    <row r="1243" spans="1:11">
      <c r="A1243" t="s">
        <v>106</v>
      </c>
      <c r="B1243" t="s">
        <v>107</v>
      </c>
      <c r="C1243" t="s">
        <v>872</v>
      </c>
      <c r="D1243" t="s">
        <v>873</v>
      </c>
      <c r="E1243" s="8">
        <v>220</v>
      </c>
      <c r="F1243" s="8">
        <v>79200</v>
      </c>
      <c r="G1243" s="8">
        <f t="shared" si="76"/>
        <v>17424000</v>
      </c>
      <c r="H1243" s="5">
        <v>0.3357</v>
      </c>
      <c r="I1243" s="8">
        <f t="shared" si="77"/>
        <v>17424000</v>
      </c>
      <c r="J1243" s="8">
        <f t="shared" si="78"/>
        <v>5849236.8</v>
      </c>
      <c r="K1243" t="str">
        <f t="shared" si="79"/>
        <v>MATCHED</v>
      </c>
    </row>
    <row r="1244" spans="1:11">
      <c r="A1244" t="s">
        <v>106</v>
      </c>
      <c r="B1244" t="s">
        <v>107</v>
      </c>
      <c r="C1244" t="s">
        <v>978</v>
      </c>
      <c r="D1244" t="s">
        <v>979</v>
      </c>
      <c r="E1244" s="8">
        <v>1970</v>
      </c>
      <c r="F1244" s="8">
        <v>67750</v>
      </c>
      <c r="G1244" s="8">
        <f t="shared" si="76"/>
        <v>133467500</v>
      </c>
      <c r="H1244" s="5">
        <v>0.281</v>
      </c>
      <c r="I1244" s="8">
        <f t="shared" si="77"/>
        <v>133467500</v>
      </c>
      <c r="J1244" s="8">
        <f t="shared" si="78"/>
        <v>37504367.5</v>
      </c>
      <c r="K1244" t="str">
        <f t="shared" si="79"/>
        <v>MATCHED</v>
      </c>
    </row>
    <row r="1245" spans="1:11">
      <c r="A1245" t="s">
        <v>106</v>
      </c>
      <c r="B1245" t="s">
        <v>107</v>
      </c>
      <c r="C1245" t="s">
        <v>980</v>
      </c>
      <c r="D1245" t="s">
        <v>981</v>
      </c>
      <c r="E1245" s="8">
        <v>8440</v>
      </c>
      <c r="F1245" s="8">
        <v>52020</v>
      </c>
      <c r="G1245" s="8">
        <f t="shared" si="76"/>
        <v>439048800</v>
      </c>
      <c r="H1245" s="5">
        <v>0.4173</v>
      </c>
      <c r="I1245" s="8">
        <f t="shared" si="77"/>
        <v>439048800</v>
      </c>
      <c r="J1245" s="8">
        <f t="shared" si="78"/>
        <v>183215064.24</v>
      </c>
      <c r="K1245" t="str">
        <f t="shared" si="79"/>
        <v>MATCHED</v>
      </c>
    </row>
    <row r="1246" spans="1:11">
      <c r="A1246" t="s">
        <v>106</v>
      </c>
      <c r="B1246" t="s">
        <v>107</v>
      </c>
      <c r="C1246" t="s">
        <v>1258</v>
      </c>
      <c r="D1246" t="s">
        <v>1259</v>
      </c>
      <c r="E1246" s="8">
        <v>820</v>
      </c>
      <c r="F1246" s="8">
        <v>37000</v>
      </c>
      <c r="G1246" s="8">
        <f t="shared" si="76"/>
        <v>30340000</v>
      </c>
      <c r="H1246" s="5">
        <v>0.05</v>
      </c>
      <c r="I1246" s="8">
        <f t="shared" si="77"/>
        <v>30340000</v>
      </c>
      <c r="J1246" s="8">
        <f t="shared" si="78"/>
        <v>1517000</v>
      </c>
      <c r="K1246" t="str">
        <f t="shared" si="79"/>
        <v>MATCHED</v>
      </c>
    </row>
    <row r="1247" spans="1:11">
      <c r="A1247" t="s">
        <v>106</v>
      </c>
      <c r="B1247" t="s">
        <v>107</v>
      </c>
      <c r="C1247" t="s">
        <v>982</v>
      </c>
      <c r="D1247" t="s">
        <v>983</v>
      </c>
      <c r="E1247" s="8">
        <v>850</v>
      </c>
      <c r="F1247" s="8">
        <v>43170</v>
      </c>
      <c r="G1247" s="8">
        <f t="shared" si="76"/>
        <v>36694500</v>
      </c>
      <c r="H1247" s="5">
        <v>0.25</v>
      </c>
      <c r="I1247" s="8">
        <f t="shared" si="77"/>
        <v>36694500</v>
      </c>
      <c r="J1247" s="8">
        <f t="shared" si="78"/>
        <v>9173625</v>
      </c>
      <c r="K1247" t="str">
        <f t="shared" si="79"/>
        <v>MATCHED</v>
      </c>
    </row>
    <row r="1248" spans="1:11">
      <c r="A1248" t="s">
        <v>106</v>
      </c>
      <c r="B1248" t="s">
        <v>107</v>
      </c>
      <c r="C1248" t="s">
        <v>984</v>
      </c>
      <c r="D1248" t="s">
        <v>985</v>
      </c>
      <c r="E1248" s="8">
        <v>10130</v>
      </c>
      <c r="F1248" s="8">
        <v>39460</v>
      </c>
      <c r="G1248" s="8">
        <f t="shared" si="76"/>
        <v>399729800</v>
      </c>
      <c r="H1248" s="5">
        <v>0.1175</v>
      </c>
      <c r="I1248" s="8">
        <f t="shared" si="77"/>
        <v>399729800</v>
      </c>
      <c r="J1248" s="8">
        <f t="shared" si="78"/>
        <v>46968251.5</v>
      </c>
      <c r="K1248" t="str">
        <f t="shared" si="79"/>
        <v>MATCHED</v>
      </c>
    </row>
    <row r="1249" spans="1:11">
      <c r="A1249" t="s">
        <v>106</v>
      </c>
      <c r="B1249" t="s">
        <v>107</v>
      </c>
      <c r="C1249" t="s">
        <v>1260</v>
      </c>
      <c r="D1249" t="s">
        <v>1261</v>
      </c>
      <c r="E1249" s="8">
        <v>1300</v>
      </c>
      <c r="F1249" s="8">
        <v>40750</v>
      </c>
      <c r="G1249" s="8">
        <f t="shared" si="76"/>
        <v>52975000</v>
      </c>
      <c r="H1249" s="5">
        <v>0.0864</v>
      </c>
      <c r="I1249" s="8">
        <f t="shared" si="77"/>
        <v>52975000</v>
      </c>
      <c r="J1249" s="8">
        <f t="shared" si="78"/>
        <v>4577040</v>
      </c>
      <c r="K1249" t="str">
        <f t="shared" si="79"/>
        <v>MATCHED</v>
      </c>
    </row>
    <row r="1250" spans="1:11">
      <c r="A1250" t="s">
        <v>106</v>
      </c>
      <c r="B1250" t="s">
        <v>107</v>
      </c>
      <c r="C1250" t="s">
        <v>1262</v>
      </c>
      <c r="D1250" t="s">
        <v>1263</v>
      </c>
      <c r="E1250" s="8">
        <v>1820</v>
      </c>
      <c r="F1250" s="8">
        <v>38330</v>
      </c>
      <c r="G1250" s="8">
        <f t="shared" si="76"/>
        <v>69760600</v>
      </c>
      <c r="H1250" s="5"/>
      <c r="I1250" s="8" t="str">
        <f t="shared" si="77"/>
        <v/>
      </c>
      <c r="J1250" s="8" t="str">
        <f t="shared" si="78"/>
        <v/>
      </c>
      <c r="K1250" t="str">
        <f t="shared" si="79"/>
        <v>MISSING WHARTON</v>
      </c>
    </row>
    <row r="1251" spans="1:11">
      <c r="A1251" t="s">
        <v>106</v>
      </c>
      <c r="B1251" t="s">
        <v>107</v>
      </c>
      <c r="C1251" t="s">
        <v>986</v>
      </c>
      <c r="D1251" t="s">
        <v>987</v>
      </c>
      <c r="E1251" s="8">
        <v>16590</v>
      </c>
      <c r="F1251" s="8">
        <v>36260</v>
      </c>
      <c r="G1251" s="8">
        <f t="shared" si="76"/>
        <v>601553400</v>
      </c>
      <c r="H1251" s="5">
        <v>0.0613</v>
      </c>
      <c r="I1251" s="8">
        <f t="shared" si="77"/>
        <v>601553400</v>
      </c>
      <c r="J1251" s="8">
        <f t="shared" si="78"/>
        <v>36875223.42</v>
      </c>
      <c r="K1251" t="str">
        <f t="shared" si="79"/>
        <v>MATCHED</v>
      </c>
    </row>
    <row r="1252" spans="1:11">
      <c r="A1252" t="s">
        <v>106</v>
      </c>
      <c r="B1252" t="s">
        <v>107</v>
      </c>
      <c r="C1252" t="s">
        <v>1264</v>
      </c>
      <c r="D1252" t="s">
        <v>1265</v>
      </c>
      <c r="E1252" s="8">
        <v>38000</v>
      </c>
      <c r="F1252" s="8">
        <v>42650</v>
      </c>
      <c r="G1252" s="8">
        <f t="shared" si="76"/>
        <v>1620700000</v>
      </c>
      <c r="H1252" s="5">
        <v>0.1425</v>
      </c>
      <c r="I1252" s="8">
        <f t="shared" si="77"/>
        <v>1620700000</v>
      </c>
      <c r="J1252" s="8">
        <f t="shared" si="78"/>
        <v>230949750</v>
      </c>
      <c r="K1252" t="str">
        <f t="shared" si="79"/>
        <v>MATCHED</v>
      </c>
    </row>
    <row r="1253" spans="1:11">
      <c r="A1253" t="s">
        <v>106</v>
      </c>
      <c r="B1253" t="s">
        <v>107</v>
      </c>
      <c r="C1253" t="s">
        <v>988</v>
      </c>
      <c r="D1253" t="s">
        <v>989</v>
      </c>
      <c r="E1253" s="8">
        <v>26910</v>
      </c>
      <c r="F1253" s="8">
        <v>34360</v>
      </c>
      <c r="G1253" s="8">
        <f t="shared" si="76"/>
        <v>924627600</v>
      </c>
      <c r="H1253" s="5">
        <v>0.2031</v>
      </c>
      <c r="I1253" s="8">
        <f t="shared" si="77"/>
        <v>924627600</v>
      </c>
      <c r="J1253" s="8">
        <f t="shared" si="78"/>
        <v>187791865.56</v>
      </c>
      <c r="K1253" t="str">
        <f t="shared" si="79"/>
        <v>MATCHED</v>
      </c>
    </row>
    <row r="1254" spans="1:11">
      <c r="A1254" t="s">
        <v>106</v>
      </c>
      <c r="B1254" t="s">
        <v>107</v>
      </c>
      <c r="C1254" t="s">
        <v>990</v>
      </c>
      <c r="D1254" t="s">
        <v>991</v>
      </c>
      <c r="E1254" s="8">
        <v>17890</v>
      </c>
      <c r="F1254" s="8">
        <v>41620</v>
      </c>
      <c r="G1254" s="8">
        <f t="shared" si="76"/>
        <v>744581800</v>
      </c>
      <c r="H1254" s="5">
        <v>0.152</v>
      </c>
      <c r="I1254" s="8">
        <f t="shared" si="77"/>
        <v>744581800</v>
      </c>
      <c r="J1254" s="8">
        <f t="shared" si="78"/>
        <v>113176433.6</v>
      </c>
      <c r="K1254" t="str">
        <f t="shared" si="79"/>
        <v>MATCHED</v>
      </c>
    </row>
    <row r="1255" spans="1:11">
      <c r="A1255" t="s">
        <v>106</v>
      </c>
      <c r="B1255" t="s">
        <v>107</v>
      </c>
      <c r="C1255" t="s">
        <v>1266</v>
      </c>
      <c r="D1255" t="s">
        <v>1267</v>
      </c>
      <c r="E1255" s="8">
        <v>1120</v>
      </c>
      <c r="F1255" s="8">
        <v>38060</v>
      </c>
      <c r="G1255" s="8">
        <f t="shared" si="76"/>
        <v>42627200</v>
      </c>
      <c r="H1255" s="5">
        <v>0.1357</v>
      </c>
      <c r="I1255" s="8">
        <f t="shared" si="77"/>
        <v>42627200</v>
      </c>
      <c r="J1255" s="8">
        <f t="shared" si="78"/>
        <v>5784511.04</v>
      </c>
      <c r="K1255" t="str">
        <f t="shared" si="79"/>
        <v>MATCHED</v>
      </c>
    </row>
    <row r="1256" spans="1:11">
      <c r="A1256" t="s">
        <v>106</v>
      </c>
      <c r="B1256" t="s">
        <v>107</v>
      </c>
      <c r="C1256" t="s">
        <v>1268</v>
      </c>
      <c r="D1256" t="s">
        <v>1269</v>
      </c>
      <c r="E1256" s="8">
        <v>3370</v>
      </c>
      <c r="F1256" s="8">
        <v>35240</v>
      </c>
      <c r="G1256" s="8">
        <f t="shared" si="76"/>
        <v>118758800</v>
      </c>
      <c r="H1256" s="5">
        <v>0.0417</v>
      </c>
      <c r="I1256" s="8">
        <f t="shared" si="77"/>
        <v>118758800</v>
      </c>
      <c r="J1256" s="8">
        <f t="shared" si="78"/>
        <v>4952241.96</v>
      </c>
      <c r="K1256" t="str">
        <f t="shared" si="79"/>
        <v>MATCHED</v>
      </c>
    </row>
    <row r="1257" spans="1:11">
      <c r="A1257" t="s">
        <v>106</v>
      </c>
      <c r="B1257" t="s">
        <v>107</v>
      </c>
      <c r="C1257" t="s">
        <v>1270</v>
      </c>
      <c r="D1257" t="s">
        <v>1271</v>
      </c>
      <c r="E1257" s="8">
        <v>6150</v>
      </c>
      <c r="F1257" s="8">
        <v>35230</v>
      </c>
      <c r="G1257" s="8">
        <f t="shared" si="76"/>
        <v>216664500</v>
      </c>
      <c r="H1257" s="5">
        <v>0</v>
      </c>
      <c r="I1257" s="8">
        <f t="shared" si="77"/>
        <v>216664500</v>
      </c>
      <c r="J1257" s="8">
        <f t="shared" si="78"/>
        <v>0</v>
      </c>
      <c r="K1257" t="str">
        <f t="shared" si="79"/>
        <v>MATCHED</v>
      </c>
    </row>
    <row r="1258" spans="1:11">
      <c r="A1258" t="s">
        <v>106</v>
      </c>
      <c r="B1258" t="s">
        <v>107</v>
      </c>
      <c r="C1258" t="s">
        <v>1272</v>
      </c>
      <c r="D1258" t="s">
        <v>1273</v>
      </c>
      <c r="E1258" s="8">
        <v>2520</v>
      </c>
      <c r="F1258" s="8">
        <v>34990</v>
      </c>
      <c r="G1258" s="8">
        <f t="shared" si="76"/>
        <v>88174800</v>
      </c>
      <c r="H1258" s="5">
        <v>0.3023</v>
      </c>
      <c r="I1258" s="8">
        <f t="shared" si="77"/>
        <v>88174800</v>
      </c>
      <c r="J1258" s="8">
        <f t="shared" si="78"/>
        <v>26655242.04</v>
      </c>
      <c r="K1258" t="str">
        <f t="shared" si="79"/>
        <v>MATCHED</v>
      </c>
    </row>
    <row r="1259" spans="1:11">
      <c r="A1259" t="s">
        <v>106</v>
      </c>
      <c r="B1259" t="s">
        <v>107</v>
      </c>
      <c r="C1259" t="s">
        <v>1274</v>
      </c>
      <c r="D1259" t="s">
        <v>1275</v>
      </c>
      <c r="E1259" s="8">
        <v>1110</v>
      </c>
      <c r="F1259" s="8">
        <v>38860</v>
      </c>
      <c r="G1259" s="8">
        <f t="shared" si="76"/>
        <v>43134600</v>
      </c>
      <c r="H1259" s="5"/>
      <c r="I1259" s="8" t="str">
        <f t="shared" si="77"/>
        <v/>
      </c>
      <c r="J1259" s="8" t="str">
        <f t="shared" si="78"/>
        <v/>
      </c>
      <c r="K1259" t="str">
        <f t="shared" si="79"/>
        <v>MISSING WHARTON</v>
      </c>
    </row>
    <row r="1260" spans="1:11">
      <c r="A1260" t="s">
        <v>106</v>
      </c>
      <c r="B1260" t="s">
        <v>107</v>
      </c>
      <c r="C1260" t="s">
        <v>331</v>
      </c>
      <c r="D1260" t="s">
        <v>332</v>
      </c>
      <c r="E1260" s="8">
        <v>1730</v>
      </c>
      <c r="F1260" s="8">
        <v>65300</v>
      </c>
      <c r="G1260" s="8">
        <f t="shared" si="76"/>
        <v>112969000</v>
      </c>
      <c r="H1260" s="5">
        <v>0.2269</v>
      </c>
      <c r="I1260" s="8">
        <f t="shared" si="77"/>
        <v>112969000</v>
      </c>
      <c r="J1260" s="8">
        <f t="shared" si="78"/>
        <v>25632666.1</v>
      </c>
      <c r="K1260" t="str">
        <f t="shared" si="79"/>
        <v>MATCHED</v>
      </c>
    </row>
    <row r="1261" spans="1:11">
      <c r="A1261" t="s">
        <v>106</v>
      </c>
      <c r="B1261" t="s">
        <v>107</v>
      </c>
      <c r="C1261" t="s">
        <v>333</v>
      </c>
      <c r="D1261" t="s">
        <v>334</v>
      </c>
      <c r="E1261" s="8">
        <v>130</v>
      </c>
      <c r="F1261" s="8">
        <v>59980</v>
      </c>
      <c r="G1261" s="8">
        <f t="shared" si="76"/>
        <v>7797400</v>
      </c>
      <c r="H1261" s="5">
        <v>0.2357</v>
      </c>
      <c r="I1261" s="8">
        <f t="shared" si="77"/>
        <v>7797400</v>
      </c>
      <c r="J1261" s="8">
        <f t="shared" si="78"/>
        <v>1837847.18</v>
      </c>
      <c r="K1261" t="str">
        <f t="shared" si="79"/>
        <v>MATCHED</v>
      </c>
    </row>
    <row r="1262" spans="1:11">
      <c r="A1262" t="s">
        <v>106</v>
      </c>
      <c r="B1262" t="s">
        <v>107</v>
      </c>
      <c r="C1262" t="s">
        <v>335</v>
      </c>
      <c r="D1262" t="s">
        <v>336</v>
      </c>
      <c r="E1262" s="8">
        <v>66400</v>
      </c>
      <c r="F1262" s="8">
        <v>40500</v>
      </c>
      <c r="G1262" s="8">
        <f t="shared" si="76"/>
        <v>2689200000</v>
      </c>
      <c r="H1262" s="5">
        <v>0</v>
      </c>
      <c r="I1262" s="8">
        <f t="shared" si="77"/>
        <v>2689200000</v>
      </c>
      <c r="J1262" s="8">
        <f t="shared" si="78"/>
        <v>0</v>
      </c>
      <c r="K1262" t="str">
        <f t="shared" si="79"/>
        <v>MATCHED</v>
      </c>
    </row>
    <row r="1263" spans="1:11">
      <c r="A1263" t="s">
        <v>106</v>
      </c>
      <c r="B1263" t="s">
        <v>107</v>
      </c>
      <c r="C1263" t="s">
        <v>337</v>
      </c>
      <c r="D1263" t="s">
        <v>338</v>
      </c>
      <c r="E1263" s="8">
        <v>400</v>
      </c>
      <c r="F1263" s="8">
        <v>38520</v>
      </c>
      <c r="G1263" s="8">
        <f t="shared" si="76"/>
        <v>15408000</v>
      </c>
      <c r="H1263" s="5">
        <v>0</v>
      </c>
      <c r="I1263" s="8">
        <f t="shared" si="77"/>
        <v>15408000</v>
      </c>
      <c r="J1263" s="8">
        <f t="shared" si="78"/>
        <v>0</v>
      </c>
      <c r="K1263" t="str">
        <f t="shared" si="79"/>
        <v>MATCHED</v>
      </c>
    </row>
    <row r="1264" spans="1:11">
      <c r="A1264" t="s">
        <v>106</v>
      </c>
      <c r="B1264" t="s">
        <v>107</v>
      </c>
      <c r="C1264" t="s">
        <v>646</v>
      </c>
      <c r="D1264" t="s">
        <v>647</v>
      </c>
      <c r="E1264" s="8">
        <v>70</v>
      </c>
      <c r="F1264" s="8">
        <v>45980</v>
      </c>
      <c r="G1264" s="8">
        <f t="shared" si="76"/>
        <v>3218600</v>
      </c>
      <c r="H1264" s="5"/>
      <c r="I1264" s="8" t="str">
        <f t="shared" si="77"/>
        <v/>
      </c>
      <c r="J1264" s="8" t="str">
        <f t="shared" si="78"/>
        <v/>
      </c>
      <c r="K1264" t="str">
        <f t="shared" si="79"/>
        <v>MISSING WHARTON</v>
      </c>
    </row>
    <row r="1265" spans="1:11">
      <c r="A1265" t="s">
        <v>106</v>
      </c>
      <c r="B1265" t="s">
        <v>107</v>
      </c>
      <c r="C1265" t="s">
        <v>339</v>
      </c>
      <c r="D1265" t="s">
        <v>340</v>
      </c>
      <c r="E1265" s="8">
        <v>130</v>
      </c>
      <c r="F1265" s="8">
        <v>54200</v>
      </c>
      <c r="G1265" s="8">
        <f t="shared" si="76"/>
        <v>7046000</v>
      </c>
      <c r="H1265" s="5">
        <v>0.1567</v>
      </c>
      <c r="I1265" s="8">
        <f t="shared" si="77"/>
        <v>7046000</v>
      </c>
      <c r="J1265" s="8">
        <f t="shared" si="78"/>
        <v>1104108.2</v>
      </c>
      <c r="K1265" t="str">
        <f t="shared" si="79"/>
        <v>MATCHED</v>
      </c>
    </row>
    <row r="1266" spans="1:11">
      <c r="A1266" t="s">
        <v>106</v>
      </c>
      <c r="B1266" t="s">
        <v>107</v>
      </c>
      <c r="C1266" t="s">
        <v>341</v>
      </c>
      <c r="D1266" t="s">
        <v>342</v>
      </c>
      <c r="E1266" s="8">
        <v>2960</v>
      </c>
      <c r="F1266" s="8">
        <v>42680</v>
      </c>
      <c r="G1266" s="8">
        <f t="shared" si="76"/>
        <v>126332800</v>
      </c>
      <c r="H1266" s="5">
        <v>0</v>
      </c>
      <c r="I1266" s="8">
        <f t="shared" si="77"/>
        <v>126332800</v>
      </c>
      <c r="J1266" s="8">
        <f t="shared" si="78"/>
        <v>0</v>
      </c>
      <c r="K1266" t="str">
        <f t="shared" si="79"/>
        <v>MATCHED</v>
      </c>
    </row>
    <row r="1267" spans="1:11">
      <c r="A1267" t="s">
        <v>106</v>
      </c>
      <c r="B1267" t="s">
        <v>107</v>
      </c>
      <c r="C1267" t="s">
        <v>343</v>
      </c>
      <c r="D1267" t="s">
        <v>344</v>
      </c>
      <c r="E1267" s="8"/>
      <c r="F1267" s="8">
        <v>44130</v>
      </c>
      <c r="G1267" s="8" t="str">
        <f t="shared" si="76"/>
        <v/>
      </c>
      <c r="H1267" s="5">
        <v>0</v>
      </c>
      <c r="I1267" s="8" t="str">
        <f t="shared" si="77"/>
        <v/>
      </c>
      <c r="J1267" s="8" t="str">
        <f t="shared" si="78"/>
        <v/>
      </c>
      <c r="K1267" t="str">
        <f t="shared" si="79"/>
        <v>MISSING OEWS</v>
      </c>
    </row>
    <row r="1268" spans="1:11">
      <c r="A1268" t="s">
        <v>106</v>
      </c>
      <c r="B1268" t="s">
        <v>107</v>
      </c>
      <c r="C1268" t="s">
        <v>874</v>
      </c>
      <c r="D1268" t="s">
        <v>875</v>
      </c>
      <c r="E1268" s="8">
        <v>250</v>
      </c>
      <c r="F1268" s="8">
        <v>43070</v>
      </c>
      <c r="G1268" s="8">
        <f t="shared" si="76"/>
        <v>10767500</v>
      </c>
      <c r="H1268" s="5"/>
      <c r="I1268" s="8" t="str">
        <f t="shared" si="77"/>
        <v/>
      </c>
      <c r="J1268" s="8" t="str">
        <f t="shared" si="78"/>
        <v/>
      </c>
      <c r="K1268" t="str">
        <f t="shared" si="79"/>
        <v>MISSING WHARTON</v>
      </c>
    </row>
    <row r="1269" spans="1:11">
      <c r="A1269" t="s">
        <v>106</v>
      </c>
      <c r="B1269" t="s">
        <v>107</v>
      </c>
      <c r="C1269" t="s">
        <v>347</v>
      </c>
      <c r="D1269" t="s">
        <v>348</v>
      </c>
      <c r="E1269" s="8">
        <v>70</v>
      </c>
      <c r="F1269" s="8">
        <v>59230</v>
      </c>
      <c r="G1269" s="8">
        <f t="shared" si="76"/>
        <v>4146100</v>
      </c>
      <c r="H1269" s="5">
        <v>0.2974</v>
      </c>
      <c r="I1269" s="8">
        <f t="shared" si="77"/>
        <v>4146100</v>
      </c>
      <c r="J1269" s="8">
        <f t="shared" si="78"/>
        <v>1233050.14</v>
      </c>
      <c r="K1269" t="str">
        <f t="shared" si="79"/>
        <v>MATCHED</v>
      </c>
    </row>
    <row r="1270" spans="1:11">
      <c r="A1270" t="s">
        <v>106</v>
      </c>
      <c r="B1270" t="s">
        <v>107</v>
      </c>
      <c r="C1270" t="s">
        <v>349</v>
      </c>
      <c r="D1270" t="s">
        <v>350</v>
      </c>
      <c r="E1270" s="8">
        <v>30</v>
      </c>
      <c r="F1270" s="8">
        <v>60520</v>
      </c>
      <c r="G1270" s="8">
        <f t="shared" si="76"/>
        <v>1815600</v>
      </c>
      <c r="H1270" s="5">
        <v>0.2765</v>
      </c>
      <c r="I1270" s="8">
        <f t="shared" si="77"/>
        <v>1815600</v>
      </c>
      <c r="J1270" s="8">
        <f t="shared" si="78"/>
        <v>502013.4</v>
      </c>
      <c r="K1270" t="str">
        <f t="shared" si="79"/>
        <v>MATCHED</v>
      </c>
    </row>
    <row r="1271" spans="1:11">
      <c r="A1271" t="s">
        <v>106</v>
      </c>
      <c r="B1271" t="s">
        <v>107</v>
      </c>
      <c r="C1271" t="s">
        <v>353</v>
      </c>
      <c r="D1271" t="s">
        <v>354</v>
      </c>
      <c r="E1271" s="8">
        <v>310</v>
      </c>
      <c r="F1271" s="8">
        <v>49280</v>
      </c>
      <c r="G1271" s="8">
        <f t="shared" si="76"/>
        <v>15276800</v>
      </c>
      <c r="H1271" s="5">
        <v>0.1614</v>
      </c>
      <c r="I1271" s="8">
        <f t="shared" si="77"/>
        <v>15276800</v>
      </c>
      <c r="J1271" s="8">
        <f t="shared" si="78"/>
        <v>2465675.52</v>
      </c>
      <c r="K1271" t="str">
        <f t="shared" si="79"/>
        <v>MATCHED</v>
      </c>
    </row>
    <row r="1272" spans="1:11">
      <c r="A1272" t="s">
        <v>106</v>
      </c>
      <c r="B1272" t="s">
        <v>107</v>
      </c>
      <c r="C1272" t="s">
        <v>1276</v>
      </c>
      <c r="D1272" t="s">
        <v>1277</v>
      </c>
      <c r="E1272" s="8"/>
      <c r="F1272" s="8">
        <v>42500</v>
      </c>
      <c r="G1272" s="8" t="str">
        <f t="shared" si="76"/>
        <v/>
      </c>
      <c r="H1272" s="5">
        <v>0.2109</v>
      </c>
      <c r="I1272" s="8" t="str">
        <f t="shared" si="77"/>
        <v/>
      </c>
      <c r="J1272" s="8" t="str">
        <f t="shared" si="78"/>
        <v/>
      </c>
      <c r="K1272" t="str">
        <f t="shared" si="79"/>
        <v>MISSING OEWS</v>
      </c>
    </row>
    <row r="1273" spans="1:11">
      <c r="A1273" t="s">
        <v>106</v>
      </c>
      <c r="B1273" t="s">
        <v>107</v>
      </c>
      <c r="C1273" t="s">
        <v>876</v>
      </c>
      <c r="D1273" t="s">
        <v>877</v>
      </c>
      <c r="E1273" s="8">
        <v>180</v>
      </c>
      <c r="F1273" s="8">
        <v>33320</v>
      </c>
      <c r="G1273" s="8">
        <f t="shared" si="76"/>
        <v>5997600</v>
      </c>
      <c r="H1273" s="5">
        <v>0.25</v>
      </c>
      <c r="I1273" s="8">
        <f t="shared" si="77"/>
        <v>5997600</v>
      </c>
      <c r="J1273" s="8">
        <f t="shared" si="78"/>
        <v>1499400</v>
      </c>
      <c r="K1273" t="str">
        <f t="shared" si="79"/>
        <v>MATCHED</v>
      </c>
    </row>
    <row r="1274" spans="1:11">
      <c r="A1274" t="s">
        <v>106</v>
      </c>
      <c r="B1274" t="s">
        <v>107</v>
      </c>
      <c r="C1274" t="s">
        <v>992</v>
      </c>
      <c r="D1274" t="s">
        <v>993</v>
      </c>
      <c r="E1274" s="8">
        <v>80</v>
      </c>
      <c r="F1274" s="8">
        <v>59520</v>
      </c>
      <c r="G1274" s="8">
        <f t="shared" si="76"/>
        <v>4761600</v>
      </c>
      <c r="H1274" s="5">
        <v>0.1239</v>
      </c>
      <c r="I1274" s="8">
        <f t="shared" si="77"/>
        <v>4761600</v>
      </c>
      <c r="J1274" s="8">
        <f t="shared" si="78"/>
        <v>589962.24</v>
      </c>
      <c r="K1274" t="str">
        <f t="shared" si="79"/>
        <v>MATCHED</v>
      </c>
    </row>
    <row r="1275" spans="1:11">
      <c r="A1275" t="s">
        <v>106</v>
      </c>
      <c r="B1275" t="s">
        <v>107</v>
      </c>
      <c r="C1275" t="s">
        <v>994</v>
      </c>
      <c r="D1275" t="s">
        <v>995</v>
      </c>
      <c r="E1275" s="8">
        <v>140</v>
      </c>
      <c r="F1275" s="8">
        <v>52120</v>
      </c>
      <c r="G1275" s="8">
        <f t="shared" si="76"/>
        <v>7296800</v>
      </c>
      <c r="H1275" s="5">
        <v>0.65</v>
      </c>
      <c r="I1275" s="8">
        <f t="shared" si="77"/>
        <v>7296800</v>
      </c>
      <c r="J1275" s="8">
        <f t="shared" si="78"/>
        <v>4742920</v>
      </c>
      <c r="K1275" t="str">
        <f t="shared" si="79"/>
        <v>MATCHED</v>
      </c>
    </row>
    <row r="1276" spans="1:11">
      <c r="A1276" t="s">
        <v>106</v>
      </c>
      <c r="B1276" t="s">
        <v>107</v>
      </c>
      <c r="C1276" t="s">
        <v>1278</v>
      </c>
      <c r="D1276" t="s">
        <v>1279</v>
      </c>
      <c r="E1276" s="8">
        <v>930</v>
      </c>
      <c r="F1276" s="8">
        <v>41170</v>
      </c>
      <c r="G1276" s="8">
        <f t="shared" si="76"/>
        <v>38288100</v>
      </c>
      <c r="H1276" s="5">
        <v>0.3177</v>
      </c>
      <c r="I1276" s="8">
        <f t="shared" si="77"/>
        <v>38288100</v>
      </c>
      <c r="J1276" s="8">
        <f t="shared" si="78"/>
        <v>12164129.37</v>
      </c>
      <c r="K1276" t="str">
        <f t="shared" si="79"/>
        <v>MATCHED</v>
      </c>
    </row>
    <row r="1277" spans="1:11">
      <c r="A1277" t="s">
        <v>106</v>
      </c>
      <c r="B1277" t="s">
        <v>107</v>
      </c>
      <c r="C1277" t="s">
        <v>996</v>
      </c>
      <c r="D1277" t="s">
        <v>997</v>
      </c>
      <c r="E1277" s="8">
        <v>180</v>
      </c>
      <c r="F1277" s="8">
        <v>37850</v>
      </c>
      <c r="G1277" s="8">
        <f t="shared" si="76"/>
        <v>6813000</v>
      </c>
      <c r="H1277" s="5">
        <v>0.105</v>
      </c>
      <c r="I1277" s="8">
        <f t="shared" si="77"/>
        <v>6813000</v>
      </c>
      <c r="J1277" s="8">
        <f t="shared" si="78"/>
        <v>715365</v>
      </c>
      <c r="K1277" t="str">
        <f t="shared" si="79"/>
        <v>MATCHED</v>
      </c>
    </row>
    <row r="1278" spans="1:11">
      <c r="A1278" t="s">
        <v>106</v>
      </c>
      <c r="B1278" t="s">
        <v>107</v>
      </c>
      <c r="C1278" t="s">
        <v>1280</v>
      </c>
      <c r="D1278" t="s">
        <v>1281</v>
      </c>
      <c r="E1278" s="8">
        <v>80</v>
      </c>
      <c r="F1278" s="8">
        <v>32600</v>
      </c>
      <c r="G1278" s="8">
        <f t="shared" si="76"/>
        <v>2608000</v>
      </c>
      <c r="H1278" s="5">
        <v>0.1667</v>
      </c>
      <c r="I1278" s="8">
        <f t="shared" si="77"/>
        <v>2608000</v>
      </c>
      <c r="J1278" s="8">
        <f t="shared" si="78"/>
        <v>434753.6</v>
      </c>
      <c r="K1278" t="str">
        <f t="shared" si="79"/>
        <v>MATCHED</v>
      </c>
    </row>
    <row r="1279" spans="1:11">
      <c r="A1279" t="s">
        <v>106</v>
      </c>
      <c r="B1279" t="s">
        <v>107</v>
      </c>
      <c r="C1279" t="s">
        <v>1282</v>
      </c>
      <c r="D1279" t="s">
        <v>1283</v>
      </c>
      <c r="E1279" s="8">
        <v>40</v>
      </c>
      <c r="F1279" s="8">
        <v>52570</v>
      </c>
      <c r="G1279" s="8">
        <f t="shared" si="76"/>
        <v>2102800</v>
      </c>
      <c r="H1279" s="5">
        <v>0.2917</v>
      </c>
      <c r="I1279" s="8">
        <f t="shared" si="77"/>
        <v>2102800</v>
      </c>
      <c r="J1279" s="8">
        <f t="shared" si="78"/>
        <v>613386.76</v>
      </c>
      <c r="K1279" t="str">
        <f t="shared" si="79"/>
        <v>MATCHED</v>
      </c>
    </row>
    <row r="1280" spans="1:11">
      <c r="A1280" t="s">
        <v>106</v>
      </c>
      <c r="B1280" t="s">
        <v>107</v>
      </c>
      <c r="C1280" t="s">
        <v>355</v>
      </c>
      <c r="D1280" t="s">
        <v>356</v>
      </c>
      <c r="E1280" s="8">
        <v>5780</v>
      </c>
      <c r="F1280" s="8">
        <v>57000</v>
      </c>
      <c r="G1280" s="8">
        <f t="shared" si="76"/>
        <v>329460000</v>
      </c>
      <c r="H1280" s="5">
        <v>0.4476</v>
      </c>
      <c r="I1280" s="8">
        <f t="shared" si="77"/>
        <v>329460000</v>
      </c>
      <c r="J1280" s="8">
        <f t="shared" si="78"/>
        <v>147466296</v>
      </c>
      <c r="K1280" t="str">
        <f t="shared" si="79"/>
        <v>MATCHED</v>
      </c>
    </row>
    <row r="1281" spans="1:11">
      <c r="A1281" t="s">
        <v>106</v>
      </c>
      <c r="B1281" t="s">
        <v>107</v>
      </c>
      <c r="C1281" t="s">
        <v>357</v>
      </c>
      <c r="D1281" t="s">
        <v>358</v>
      </c>
      <c r="E1281" s="8">
        <v>11180</v>
      </c>
      <c r="F1281" s="8">
        <v>113000</v>
      </c>
      <c r="G1281" s="8">
        <f t="shared" si="76"/>
        <v>1263340000</v>
      </c>
      <c r="H1281" s="5">
        <v>0.4833</v>
      </c>
      <c r="I1281" s="8">
        <f t="shared" si="77"/>
        <v>1263340000</v>
      </c>
      <c r="J1281" s="8">
        <f t="shared" si="78"/>
        <v>610572222</v>
      </c>
      <c r="K1281" t="str">
        <f t="shared" si="79"/>
        <v>MATCHED</v>
      </c>
    </row>
    <row r="1282" spans="1:11">
      <c r="A1282" t="s">
        <v>106</v>
      </c>
      <c r="B1282" t="s">
        <v>107</v>
      </c>
      <c r="C1282" t="s">
        <v>648</v>
      </c>
      <c r="D1282" t="s">
        <v>649</v>
      </c>
      <c r="E1282" s="8">
        <v>26780</v>
      </c>
      <c r="F1282" s="8">
        <v>33630</v>
      </c>
      <c r="G1282" s="8">
        <f t="shared" ref="G1282:G1345" si="80">IF(OR(E1282="",F1282=""),"",E1282*F1282)</f>
        <v>900611400</v>
      </c>
      <c r="H1282" s="5">
        <v>0.6672</v>
      </c>
      <c r="I1282" s="8">
        <f t="shared" ref="I1282:I1345" si="81">IF(G1282="","",IF(ISNUMBER(H1282),G1282,""))</f>
        <v>900611400</v>
      </c>
      <c r="J1282" s="8">
        <f t="shared" ref="J1282:J1345" si="82">IF(I1282="","",I1282*H1282)</f>
        <v>600887926.08</v>
      </c>
      <c r="K1282" t="str">
        <f t="shared" ref="K1282:K1345" si="83">IF(G1282="","MISSING OEWS",IF(ISNUMBER(H1282),"MATCHED","MISSING WHARTON"))</f>
        <v>MATCHED</v>
      </c>
    </row>
    <row r="1283" spans="1:11">
      <c r="A1283" t="s">
        <v>106</v>
      </c>
      <c r="B1283" t="s">
        <v>107</v>
      </c>
      <c r="C1283" t="s">
        <v>878</v>
      </c>
      <c r="D1283" t="s">
        <v>879</v>
      </c>
      <c r="E1283" s="8">
        <v>1400</v>
      </c>
      <c r="F1283" s="8">
        <v>41250</v>
      </c>
      <c r="G1283" s="8">
        <f t="shared" si="80"/>
        <v>57750000</v>
      </c>
      <c r="H1283" s="5">
        <v>0.7719</v>
      </c>
      <c r="I1283" s="8">
        <f t="shared" si="81"/>
        <v>57750000</v>
      </c>
      <c r="J1283" s="8">
        <f t="shared" si="82"/>
        <v>44577225</v>
      </c>
      <c r="K1283" t="str">
        <f t="shared" si="83"/>
        <v>MATCHED</v>
      </c>
    </row>
    <row r="1284" spans="1:11">
      <c r="A1284" t="s">
        <v>106</v>
      </c>
      <c r="B1284" t="s">
        <v>107</v>
      </c>
      <c r="C1284" t="s">
        <v>1000</v>
      </c>
      <c r="D1284" t="s">
        <v>1001</v>
      </c>
      <c r="E1284" s="8">
        <v>2400</v>
      </c>
      <c r="F1284" s="8">
        <v>55750</v>
      </c>
      <c r="G1284" s="8">
        <f t="shared" si="80"/>
        <v>133800000</v>
      </c>
      <c r="H1284" s="5">
        <v>0.3737</v>
      </c>
      <c r="I1284" s="8">
        <f t="shared" si="81"/>
        <v>133800000</v>
      </c>
      <c r="J1284" s="8">
        <f t="shared" si="82"/>
        <v>50001060</v>
      </c>
      <c r="K1284" t="str">
        <f t="shared" si="83"/>
        <v>MATCHED</v>
      </c>
    </row>
    <row r="1285" spans="1:11">
      <c r="A1285" t="s">
        <v>106</v>
      </c>
      <c r="B1285" t="s">
        <v>107</v>
      </c>
      <c r="C1285" t="s">
        <v>359</v>
      </c>
      <c r="D1285" t="s">
        <v>360</v>
      </c>
      <c r="E1285" s="8">
        <v>41600</v>
      </c>
      <c r="F1285" s="8">
        <v>37710</v>
      </c>
      <c r="G1285" s="8">
        <f t="shared" si="80"/>
        <v>1568736000</v>
      </c>
      <c r="H1285" s="5">
        <v>0.4938</v>
      </c>
      <c r="I1285" s="8">
        <f t="shared" si="81"/>
        <v>1568736000</v>
      </c>
      <c r="J1285" s="8">
        <f t="shared" si="82"/>
        <v>774641836.8</v>
      </c>
      <c r="K1285" t="str">
        <f t="shared" si="83"/>
        <v>MATCHED</v>
      </c>
    </row>
    <row r="1286" spans="1:11">
      <c r="A1286" t="s">
        <v>106</v>
      </c>
      <c r="B1286" t="s">
        <v>107</v>
      </c>
      <c r="C1286" t="s">
        <v>1002</v>
      </c>
      <c r="D1286" t="s">
        <v>1003</v>
      </c>
      <c r="E1286" s="8">
        <v>290</v>
      </c>
      <c r="F1286" s="8">
        <v>61650</v>
      </c>
      <c r="G1286" s="8">
        <f t="shared" si="80"/>
        <v>17878500</v>
      </c>
      <c r="H1286" s="5">
        <v>0.6725</v>
      </c>
      <c r="I1286" s="8">
        <f t="shared" si="81"/>
        <v>17878500</v>
      </c>
      <c r="J1286" s="8">
        <f t="shared" si="82"/>
        <v>12023291.25</v>
      </c>
      <c r="K1286" t="str">
        <f t="shared" si="83"/>
        <v>MATCHED</v>
      </c>
    </row>
    <row r="1287" spans="1:11">
      <c r="A1287" t="s">
        <v>106</v>
      </c>
      <c r="B1287" t="s">
        <v>107</v>
      </c>
      <c r="C1287" t="s">
        <v>650</v>
      </c>
      <c r="D1287" t="s">
        <v>651</v>
      </c>
      <c r="E1287" s="8">
        <v>100</v>
      </c>
      <c r="F1287" s="8">
        <v>71210</v>
      </c>
      <c r="G1287" s="8">
        <f t="shared" si="80"/>
        <v>7121000</v>
      </c>
      <c r="H1287" s="5">
        <v>0.845</v>
      </c>
      <c r="I1287" s="8">
        <f t="shared" si="81"/>
        <v>7121000</v>
      </c>
      <c r="J1287" s="8">
        <f t="shared" si="82"/>
        <v>6017245</v>
      </c>
      <c r="K1287" t="str">
        <f t="shared" si="83"/>
        <v>MATCHED</v>
      </c>
    </row>
    <row r="1288" spans="1:11">
      <c r="A1288" t="s">
        <v>106</v>
      </c>
      <c r="B1288" t="s">
        <v>107</v>
      </c>
      <c r="C1288" t="s">
        <v>361</v>
      </c>
      <c r="D1288" t="s">
        <v>362</v>
      </c>
      <c r="E1288" s="8">
        <v>15920</v>
      </c>
      <c r="F1288" s="8">
        <v>87980</v>
      </c>
      <c r="G1288" s="8">
        <f t="shared" si="80"/>
        <v>1400641600</v>
      </c>
      <c r="H1288" s="5">
        <v>0.73</v>
      </c>
      <c r="I1288" s="8">
        <f t="shared" si="81"/>
        <v>1400641600</v>
      </c>
      <c r="J1288" s="8">
        <f t="shared" si="82"/>
        <v>1022468368</v>
      </c>
      <c r="K1288" t="str">
        <f t="shared" si="83"/>
        <v>MATCHED</v>
      </c>
    </row>
    <row r="1289" spans="1:11">
      <c r="A1289" t="s">
        <v>106</v>
      </c>
      <c r="B1289" t="s">
        <v>107</v>
      </c>
      <c r="C1289" t="s">
        <v>652</v>
      </c>
      <c r="D1289" t="s">
        <v>653</v>
      </c>
      <c r="E1289" s="8">
        <v>31280</v>
      </c>
      <c r="F1289" s="8">
        <v>116530</v>
      </c>
      <c r="G1289" s="8">
        <f t="shared" si="80"/>
        <v>3645058400</v>
      </c>
      <c r="H1289" s="5">
        <v>0.6463</v>
      </c>
      <c r="I1289" s="8">
        <f t="shared" si="81"/>
        <v>3645058400</v>
      </c>
      <c r="J1289" s="8">
        <f t="shared" si="82"/>
        <v>2355801243.92</v>
      </c>
      <c r="K1289" t="str">
        <f t="shared" si="83"/>
        <v>MATCHED</v>
      </c>
    </row>
    <row r="1290" spans="1:11">
      <c r="A1290" t="s">
        <v>106</v>
      </c>
      <c r="B1290" t="s">
        <v>107</v>
      </c>
      <c r="C1290" t="s">
        <v>363</v>
      </c>
      <c r="D1290" t="s">
        <v>364</v>
      </c>
      <c r="E1290" s="8">
        <v>228570</v>
      </c>
      <c r="F1290" s="8">
        <v>86910</v>
      </c>
      <c r="G1290" s="8">
        <f t="shared" si="80"/>
        <v>19865018700</v>
      </c>
      <c r="H1290" s="5">
        <v>0.5105</v>
      </c>
      <c r="I1290" s="8">
        <f t="shared" si="81"/>
        <v>19865018700</v>
      </c>
      <c r="J1290" s="8">
        <f t="shared" si="82"/>
        <v>10141092046.35</v>
      </c>
      <c r="K1290" t="str">
        <f t="shared" si="83"/>
        <v>MATCHED</v>
      </c>
    </row>
    <row r="1291" spans="1:11">
      <c r="A1291" t="s">
        <v>106</v>
      </c>
      <c r="B1291" t="s">
        <v>107</v>
      </c>
      <c r="C1291" t="s">
        <v>1006</v>
      </c>
      <c r="D1291" t="s">
        <v>1007</v>
      </c>
      <c r="E1291" s="8">
        <v>12160</v>
      </c>
      <c r="F1291" s="8">
        <v>45210</v>
      </c>
      <c r="G1291" s="8">
        <f t="shared" si="80"/>
        <v>549753600</v>
      </c>
      <c r="H1291" s="5">
        <v>0.3062</v>
      </c>
      <c r="I1291" s="8">
        <f t="shared" si="81"/>
        <v>549753600</v>
      </c>
      <c r="J1291" s="8">
        <f t="shared" si="82"/>
        <v>168334552.32</v>
      </c>
      <c r="K1291" t="str">
        <f t="shared" si="83"/>
        <v>MATCHED</v>
      </c>
    </row>
    <row r="1292" spans="1:11">
      <c r="A1292" t="s">
        <v>106</v>
      </c>
      <c r="B1292" t="s">
        <v>107</v>
      </c>
      <c r="C1292" t="s">
        <v>656</v>
      </c>
      <c r="D1292" t="s">
        <v>657</v>
      </c>
      <c r="E1292" s="8">
        <v>10860</v>
      </c>
      <c r="F1292" s="8">
        <v>115160</v>
      </c>
      <c r="G1292" s="8">
        <f t="shared" si="80"/>
        <v>1250637600</v>
      </c>
      <c r="H1292" s="5">
        <v>0.518</v>
      </c>
      <c r="I1292" s="8">
        <f t="shared" si="81"/>
        <v>1250637600</v>
      </c>
      <c r="J1292" s="8">
        <f t="shared" si="82"/>
        <v>647830276.8</v>
      </c>
      <c r="K1292" t="str">
        <f t="shared" si="83"/>
        <v>MATCHED</v>
      </c>
    </row>
    <row r="1293" spans="1:11">
      <c r="A1293" t="s">
        <v>106</v>
      </c>
      <c r="B1293" t="s">
        <v>107</v>
      </c>
      <c r="C1293" t="s">
        <v>1010</v>
      </c>
      <c r="D1293" t="s">
        <v>1011</v>
      </c>
      <c r="E1293" s="8">
        <v>200</v>
      </c>
      <c r="F1293" s="8">
        <v>44720</v>
      </c>
      <c r="G1293" s="8">
        <f t="shared" si="80"/>
        <v>8944000</v>
      </c>
      <c r="H1293" s="5">
        <v>0.9625</v>
      </c>
      <c r="I1293" s="8">
        <f t="shared" si="81"/>
        <v>8944000</v>
      </c>
      <c r="J1293" s="8">
        <f t="shared" si="82"/>
        <v>8608600</v>
      </c>
      <c r="K1293" t="str">
        <f t="shared" si="83"/>
        <v>MATCHED</v>
      </c>
    </row>
    <row r="1294" spans="1:11">
      <c r="A1294" t="s">
        <v>106</v>
      </c>
      <c r="B1294" t="s">
        <v>107</v>
      </c>
      <c r="C1294" t="s">
        <v>365</v>
      </c>
      <c r="D1294" t="s">
        <v>366</v>
      </c>
      <c r="E1294" s="8">
        <v>4530</v>
      </c>
      <c r="F1294" s="8">
        <v>76170</v>
      </c>
      <c r="G1294" s="8">
        <f t="shared" si="80"/>
        <v>345050100</v>
      </c>
      <c r="H1294" s="5"/>
      <c r="I1294" s="8" t="str">
        <f t="shared" si="81"/>
        <v/>
      </c>
      <c r="J1294" s="8" t="str">
        <f t="shared" si="82"/>
        <v/>
      </c>
      <c r="K1294" t="str">
        <f t="shared" si="83"/>
        <v>MISSING WHARTON</v>
      </c>
    </row>
    <row r="1295" spans="1:11">
      <c r="A1295" t="s">
        <v>106</v>
      </c>
      <c r="B1295" t="s">
        <v>107</v>
      </c>
      <c r="C1295" t="s">
        <v>367</v>
      </c>
      <c r="D1295" t="s">
        <v>368</v>
      </c>
      <c r="E1295" s="8">
        <v>69750</v>
      </c>
      <c r="F1295" s="8">
        <v>79240</v>
      </c>
      <c r="G1295" s="8">
        <f t="shared" si="80"/>
        <v>5526990000</v>
      </c>
      <c r="H1295" s="5">
        <v>0.5034</v>
      </c>
      <c r="I1295" s="8">
        <f t="shared" si="81"/>
        <v>5526990000</v>
      </c>
      <c r="J1295" s="8">
        <f t="shared" si="82"/>
        <v>2782286766</v>
      </c>
      <c r="K1295" t="str">
        <f t="shared" si="83"/>
        <v>MATCHED</v>
      </c>
    </row>
    <row r="1296" spans="1:11">
      <c r="A1296" t="s">
        <v>106</v>
      </c>
      <c r="B1296" t="s">
        <v>107</v>
      </c>
      <c r="C1296" t="s">
        <v>1014</v>
      </c>
      <c r="D1296" t="s">
        <v>1015</v>
      </c>
      <c r="E1296" s="8">
        <v>80</v>
      </c>
      <c r="F1296" s="8">
        <v>54110</v>
      </c>
      <c r="G1296" s="8">
        <f t="shared" si="80"/>
        <v>4328800</v>
      </c>
      <c r="H1296" s="5">
        <v>0.7579</v>
      </c>
      <c r="I1296" s="8">
        <f t="shared" si="81"/>
        <v>4328800</v>
      </c>
      <c r="J1296" s="8">
        <f t="shared" si="82"/>
        <v>3280797.52</v>
      </c>
      <c r="K1296" t="str">
        <f t="shared" si="83"/>
        <v>MATCHED</v>
      </c>
    </row>
    <row r="1297" spans="1:11">
      <c r="A1297" t="s">
        <v>106</v>
      </c>
      <c r="B1297" t="s">
        <v>107</v>
      </c>
      <c r="C1297" t="s">
        <v>880</v>
      </c>
      <c r="D1297" t="s">
        <v>881</v>
      </c>
      <c r="E1297" s="8">
        <v>3020</v>
      </c>
      <c r="F1297" s="8">
        <v>54330</v>
      </c>
      <c r="G1297" s="8">
        <f t="shared" si="80"/>
        <v>164076600</v>
      </c>
      <c r="H1297" s="5">
        <v>0.9</v>
      </c>
      <c r="I1297" s="8">
        <f t="shared" si="81"/>
        <v>164076600</v>
      </c>
      <c r="J1297" s="8">
        <f t="shared" si="82"/>
        <v>147668940</v>
      </c>
      <c r="K1297" t="str">
        <f t="shared" si="83"/>
        <v>MATCHED</v>
      </c>
    </row>
    <row r="1298" spans="1:11">
      <c r="A1298" t="s">
        <v>106</v>
      </c>
      <c r="B1298" t="s">
        <v>107</v>
      </c>
      <c r="C1298" t="s">
        <v>369</v>
      </c>
      <c r="D1298" t="s">
        <v>370</v>
      </c>
      <c r="E1298" s="8">
        <v>7450</v>
      </c>
      <c r="F1298" s="8">
        <v>52010</v>
      </c>
      <c r="G1298" s="8">
        <f t="shared" si="80"/>
        <v>387474500</v>
      </c>
      <c r="H1298" s="5">
        <v>0.8617</v>
      </c>
      <c r="I1298" s="8">
        <f t="shared" si="81"/>
        <v>387474500</v>
      </c>
      <c r="J1298" s="8">
        <f t="shared" si="82"/>
        <v>333886776.65</v>
      </c>
      <c r="K1298" t="str">
        <f t="shared" si="83"/>
        <v>MATCHED</v>
      </c>
    </row>
    <row r="1299" spans="1:11">
      <c r="A1299" t="s">
        <v>106</v>
      </c>
      <c r="B1299" t="s">
        <v>107</v>
      </c>
      <c r="C1299" t="s">
        <v>371</v>
      </c>
      <c r="D1299" t="s">
        <v>372</v>
      </c>
      <c r="E1299" s="8">
        <v>91710</v>
      </c>
      <c r="F1299" s="8">
        <v>54660</v>
      </c>
      <c r="G1299" s="8">
        <f t="shared" si="80"/>
        <v>5012868600</v>
      </c>
      <c r="H1299" s="5">
        <v>0.9517</v>
      </c>
      <c r="I1299" s="8">
        <f t="shared" si="81"/>
        <v>5012868600</v>
      </c>
      <c r="J1299" s="8">
        <f t="shared" si="82"/>
        <v>4770747046.62</v>
      </c>
      <c r="K1299" t="str">
        <f t="shared" si="83"/>
        <v>MATCHED</v>
      </c>
    </row>
    <row r="1300" spans="1:11">
      <c r="A1300" t="s">
        <v>106</v>
      </c>
      <c r="B1300" t="s">
        <v>107</v>
      </c>
      <c r="C1300" t="s">
        <v>373</v>
      </c>
      <c r="D1300" t="s">
        <v>374</v>
      </c>
      <c r="E1300" s="8">
        <v>7760</v>
      </c>
      <c r="F1300" s="8">
        <v>62370</v>
      </c>
      <c r="G1300" s="8">
        <f t="shared" si="80"/>
        <v>483991200</v>
      </c>
      <c r="H1300" s="5">
        <v>0.9409</v>
      </c>
      <c r="I1300" s="8">
        <f t="shared" si="81"/>
        <v>483991200</v>
      </c>
      <c r="J1300" s="8">
        <f t="shared" si="82"/>
        <v>455387320.08</v>
      </c>
      <c r="K1300" t="str">
        <f t="shared" si="83"/>
        <v>MATCHED</v>
      </c>
    </row>
    <row r="1301" spans="1:11">
      <c r="A1301" t="s">
        <v>106</v>
      </c>
      <c r="B1301" t="s">
        <v>107</v>
      </c>
      <c r="C1301" t="s">
        <v>375</v>
      </c>
      <c r="D1301" t="s">
        <v>376</v>
      </c>
      <c r="E1301" s="8">
        <v>7780</v>
      </c>
      <c r="F1301" s="8">
        <v>52420</v>
      </c>
      <c r="G1301" s="8">
        <f t="shared" si="80"/>
        <v>407827600</v>
      </c>
      <c r="H1301" s="5">
        <v>0.8237</v>
      </c>
      <c r="I1301" s="8">
        <f t="shared" si="81"/>
        <v>407827600</v>
      </c>
      <c r="J1301" s="8">
        <f t="shared" si="82"/>
        <v>335927594.12</v>
      </c>
      <c r="K1301" t="str">
        <f t="shared" si="83"/>
        <v>MATCHED</v>
      </c>
    </row>
    <row r="1302" spans="1:11">
      <c r="A1302" t="s">
        <v>106</v>
      </c>
      <c r="B1302" t="s">
        <v>107</v>
      </c>
      <c r="C1302" t="s">
        <v>882</v>
      </c>
      <c r="D1302" t="s">
        <v>883</v>
      </c>
      <c r="E1302" s="8"/>
      <c r="F1302" s="8">
        <v>52610</v>
      </c>
      <c r="G1302" s="8" t="str">
        <f t="shared" si="80"/>
        <v/>
      </c>
      <c r="H1302" s="5">
        <v>0.9138</v>
      </c>
      <c r="I1302" s="8" t="str">
        <f t="shared" si="81"/>
        <v/>
      </c>
      <c r="J1302" s="8" t="str">
        <f t="shared" si="82"/>
        <v/>
      </c>
      <c r="K1302" t="str">
        <f t="shared" si="83"/>
        <v>MISSING OEWS</v>
      </c>
    </row>
    <row r="1303" spans="1:11">
      <c r="A1303" t="s">
        <v>106</v>
      </c>
      <c r="B1303" t="s">
        <v>107</v>
      </c>
      <c r="C1303" t="s">
        <v>884</v>
      </c>
      <c r="D1303" t="s">
        <v>885</v>
      </c>
      <c r="E1303" s="8">
        <v>170</v>
      </c>
      <c r="F1303" s="8">
        <v>44350</v>
      </c>
      <c r="G1303" s="8">
        <f t="shared" si="80"/>
        <v>7539500</v>
      </c>
      <c r="H1303" s="5"/>
      <c r="I1303" s="8" t="str">
        <f t="shared" si="81"/>
        <v/>
      </c>
      <c r="J1303" s="8" t="str">
        <f t="shared" si="82"/>
        <v/>
      </c>
      <c r="K1303" t="str">
        <f t="shared" si="83"/>
        <v>MISSING WHARTON</v>
      </c>
    </row>
    <row r="1304" spans="1:11">
      <c r="A1304" t="s">
        <v>106</v>
      </c>
      <c r="B1304" t="s">
        <v>107</v>
      </c>
      <c r="C1304" t="s">
        <v>1284</v>
      </c>
      <c r="D1304" t="s">
        <v>1285</v>
      </c>
      <c r="E1304" s="8">
        <v>130</v>
      </c>
      <c r="F1304" s="8">
        <v>48280</v>
      </c>
      <c r="G1304" s="8">
        <f t="shared" si="80"/>
        <v>6276400</v>
      </c>
      <c r="H1304" s="5">
        <v>0.85</v>
      </c>
      <c r="I1304" s="8">
        <f t="shared" si="81"/>
        <v>6276400</v>
      </c>
      <c r="J1304" s="8">
        <f t="shared" si="82"/>
        <v>5334940</v>
      </c>
      <c r="K1304" t="str">
        <f t="shared" si="83"/>
        <v>MATCHED</v>
      </c>
    </row>
    <row r="1305" spans="1:11">
      <c r="A1305" t="s">
        <v>106</v>
      </c>
      <c r="B1305" t="s">
        <v>107</v>
      </c>
      <c r="C1305" t="s">
        <v>1016</v>
      </c>
      <c r="D1305" t="s">
        <v>1017</v>
      </c>
      <c r="E1305" s="8">
        <v>290</v>
      </c>
      <c r="F1305" s="8">
        <v>55570</v>
      </c>
      <c r="G1305" s="8">
        <f t="shared" si="80"/>
        <v>16115300</v>
      </c>
      <c r="H1305" s="5">
        <v>0.9469</v>
      </c>
      <c r="I1305" s="8">
        <f t="shared" si="81"/>
        <v>16115300</v>
      </c>
      <c r="J1305" s="8">
        <f t="shared" si="82"/>
        <v>15259577.57</v>
      </c>
      <c r="K1305" t="str">
        <f t="shared" si="83"/>
        <v>MATCHED</v>
      </c>
    </row>
    <row r="1306" spans="1:11">
      <c r="A1306" t="s">
        <v>106</v>
      </c>
      <c r="B1306" t="s">
        <v>107</v>
      </c>
      <c r="C1306" t="s">
        <v>377</v>
      </c>
      <c r="D1306" t="s">
        <v>378</v>
      </c>
      <c r="E1306" s="8">
        <v>127940</v>
      </c>
      <c r="F1306" s="8">
        <v>53870</v>
      </c>
      <c r="G1306" s="8">
        <f t="shared" si="80"/>
        <v>6892127800</v>
      </c>
      <c r="H1306" s="5">
        <v>0.82</v>
      </c>
      <c r="I1306" s="8">
        <f t="shared" si="81"/>
        <v>6892127800</v>
      </c>
      <c r="J1306" s="8">
        <f t="shared" si="82"/>
        <v>5651544796</v>
      </c>
      <c r="K1306" t="str">
        <f t="shared" si="83"/>
        <v>MATCHED</v>
      </c>
    </row>
    <row r="1307" spans="1:11">
      <c r="A1307" t="s">
        <v>106</v>
      </c>
      <c r="B1307" t="s">
        <v>107</v>
      </c>
      <c r="C1307" t="s">
        <v>379</v>
      </c>
      <c r="D1307" t="s">
        <v>380</v>
      </c>
      <c r="E1307" s="8">
        <v>2810</v>
      </c>
      <c r="F1307" s="8">
        <v>50890</v>
      </c>
      <c r="G1307" s="8">
        <f t="shared" si="80"/>
        <v>143000900</v>
      </c>
      <c r="H1307" s="5">
        <v>0.7526</v>
      </c>
      <c r="I1307" s="8">
        <f t="shared" si="81"/>
        <v>143000900</v>
      </c>
      <c r="J1307" s="8">
        <f t="shared" si="82"/>
        <v>107622477.34</v>
      </c>
      <c r="K1307" t="str">
        <f t="shared" si="83"/>
        <v>MATCHED</v>
      </c>
    </row>
    <row r="1308" spans="1:11">
      <c r="A1308" t="s">
        <v>106</v>
      </c>
      <c r="B1308" t="s">
        <v>107</v>
      </c>
      <c r="C1308" t="s">
        <v>1286</v>
      </c>
      <c r="D1308" t="s">
        <v>1287</v>
      </c>
      <c r="E1308" s="8">
        <v>90</v>
      </c>
      <c r="F1308" s="8">
        <v>44070</v>
      </c>
      <c r="G1308" s="8">
        <f t="shared" si="80"/>
        <v>3966300</v>
      </c>
      <c r="H1308" s="5">
        <v>0.7088</v>
      </c>
      <c r="I1308" s="8">
        <f t="shared" si="81"/>
        <v>3966300</v>
      </c>
      <c r="J1308" s="8">
        <f t="shared" si="82"/>
        <v>2811313.44</v>
      </c>
      <c r="K1308" t="str">
        <f t="shared" si="83"/>
        <v>MATCHED</v>
      </c>
    </row>
    <row r="1309" spans="1:11">
      <c r="A1309" t="s">
        <v>106</v>
      </c>
      <c r="B1309" t="s">
        <v>107</v>
      </c>
      <c r="C1309" t="s">
        <v>1018</v>
      </c>
      <c r="D1309" t="s">
        <v>1019</v>
      </c>
      <c r="E1309" s="8"/>
      <c r="F1309" s="8">
        <v>57610</v>
      </c>
      <c r="G1309" s="8" t="str">
        <f t="shared" si="80"/>
        <v/>
      </c>
      <c r="H1309" s="5">
        <v>0.9111</v>
      </c>
      <c r="I1309" s="8" t="str">
        <f t="shared" si="81"/>
        <v/>
      </c>
      <c r="J1309" s="8" t="str">
        <f t="shared" si="82"/>
        <v/>
      </c>
      <c r="K1309" t="str">
        <f t="shared" si="83"/>
        <v>MISSING OEWS</v>
      </c>
    </row>
    <row r="1310" spans="1:11">
      <c r="A1310" t="s">
        <v>106</v>
      </c>
      <c r="B1310" t="s">
        <v>107</v>
      </c>
      <c r="C1310" t="s">
        <v>381</v>
      </c>
      <c r="D1310" t="s">
        <v>382</v>
      </c>
      <c r="E1310" s="8">
        <v>11930</v>
      </c>
      <c r="F1310" s="8">
        <v>49580</v>
      </c>
      <c r="G1310" s="8">
        <f t="shared" si="80"/>
        <v>591489400</v>
      </c>
      <c r="H1310" s="5">
        <v>0.9553</v>
      </c>
      <c r="I1310" s="8">
        <f t="shared" si="81"/>
        <v>591489400</v>
      </c>
      <c r="J1310" s="8">
        <f t="shared" si="82"/>
        <v>565049823.82</v>
      </c>
      <c r="K1310" t="str">
        <f t="shared" si="83"/>
        <v>MATCHED</v>
      </c>
    </row>
    <row r="1311" spans="1:11">
      <c r="A1311" t="s">
        <v>106</v>
      </c>
      <c r="B1311" t="s">
        <v>107</v>
      </c>
      <c r="C1311" t="s">
        <v>383</v>
      </c>
      <c r="D1311" t="s">
        <v>384</v>
      </c>
      <c r="E1311" s="8">
        <v>6410</v>
      </c>
      <c r="F1311" s="8">
        <v>53080</v>
      </c>
      <c r="G1311" s="8">
        <f t="shared" si="80"/>
        <v>340242800</v>
      </c>
      <c r="H1311" s="5">
        <v>0.8342</v>
      </c>
      <c r="I1311" s="8">
        <f t="shared" si="81"/>
        <v>340242800</v>
      </c>
      <c r="J1311" s="8">
        <f t="shared" si="82"/>
        <v>283830543.76</v>
      </c>
      <c r="K1311" t="str">
        <f t="shared" si="83"/>
        <v>MATCHED</v>
      </c>
    </row>
    <row r="1312" spans="1:11">
      <c r="A1312" t="s">
        <v>106</v>
      </c>
      <c r="B1312" t="s">
        <v>107</v>
      </c>
      <c r="C1312" t="s">
        <v>385</v>
      </c>
      <c r="D1312" t="s">
        <v>386</v>
      </c>
      <c r="E1312" s="8">
        <v>12480</v>
      </c>
      <c r="F1312" s="8">
        <v>42010</v>
      </c>
      <c r="G1312" s="8">
        <f t="shared" si="80"/>
        <v>524284800</v>
      </c>
      <c r="H1312" s="5">
        <v>0.7368</v>
      </c>
      <c r="I1312" s="8">
        <f t="shared" si="81"/>
        <v>524284800</v>
      </c>
      <c r="J1312" s="8">
        <f t="shared" si="82"/>
        <v>386293040.64</v>
      </c>
      <c r="K1312" t="str">
        <f t="shared" si="83"/>
        <v>MATCHED</v>
      </c>
    </row>
    <row r="1313" spans="1:11">
      <c r="A1313" t="s">
        <v>106</v>
      </c>
      <c r="B1313" t="s">
        <v>107</v>
      </c>
      <c r="C1313" t="s">
        <v>658</v>
      </c>
      <c r="D1313" t="s">
        <v>659</v>
      </c>
      <c r="E1313" s="8">
        <v>600</v>
      </c>
      <c r="F1313" s="8">
        <v>59020</v>
      </c>
      <c r="G1313" s="8">
        <f t="shared" si="80"/>
        <v>35412000</v>
      </c>
      <c r="H1313" s="5"/>
      <c r="I1313" s="8" t="str">
        <f t="shared" si="81"/>
        <v/>
      </c>
      <c r="J1313" s="8" t="str">
        <f t="shared" si="82"/>
        <v/>
      </c>
      <c r="K1313" t="str">
        <f t="shared" si="83"/>
        <v>MISSING WHARTON</v>
      </c>
    </row>
    <row r="1314" spans="1:11">
      <c r="A1314" t="s">
        <v>106</v>
      </c>
      <c r="B1314" t="s">
        <v>107</v>
      </c>
      <c r="C1314" t="s">
        <v>1288</v>
      </c>
      <c r="D1314" t="s">
        <v>1289</v>
      </c>
      <c r="E1314" s="8">
        <v>160</v>
      </c>
      <c r="F1314" s="8">
        <v>58190</v>
      </c>
      <c r="G1314" s="8">
        <f t="shared" si="80"/>
        <v>9310400</v>
      </c>
      <c r="H1314" s="5">
        <v>0.6384</v>
      </c>
      <c r="I1314" s="8">
        <f t="shared" si="81"/>
        <v>9310400</v>
      </c>
      <c r="J1314" s="8">
        <f t="shared" si="82"/>
        <v>5943759.36</v>
      </c>
      <c r="K1314" t="str">
        <f t="shared" si="83"/>
        <v>MATCHED</v>
      </c>
    </row>
    <row r="1315" spans="1:11">
      <c r="A1315" t="s">
        <v>106</v>
      </c>
      <c r="B1315" t="s">
        <v>107</v>
      </c>
      <c r="C1315" t="s">
        <v>886</v>
      </c>
      <c r="D1315" t="s">
        <v>887</v>
      </c>
      <c r="E1315" s="8">
        <v>780</v>
      </c>
      <c r="F1315" s="8">
        <v>38770</v>
      </c>
      <c r="G1315" s="8">
        <f t="shared" si="80"/>
        <v>30240600</v>
      </c>
      <c r="H1315" s="5">
        <v>0.2235</v>
      </c>
      <c r="I1315" s="8">
        <f t="shared" si="81"/>
        <v>30240600</v>
      </c>
      <c r="J1315" s="8">
        <f t="shared" si="82"/>
        <v>6758774.1</v>
      </c>
      <c r="K1315" t="str">
        <f t="shared" si="83"/>
        <v>MATCHED</v>
      </c>
    </row>
    <row r="1316" spans="1:11">
      <c r="A1316" t="s">
        <v>106</v>
      </c>
      <c r="B1316" t="s">
        <v>107</v>
      </c>
      <c r="C1316" t="s">
        <v>387</v>
      </c>
      <c r="D1316" t="s">
        <v>388</v>
      </c>
      <c r="E1316" s="8">
        <v>7560</v>
      </c>
      <c r="F1316" s="8">
        <v>62250</v>
      </c>
      <c r="G1316" s="8">
        <f t="shared" si="80"/>
        <v>470610000</v>
      </c>
      <c r="H1316" s="5">
        <v>0.8192</v>
      </c>
      <c r="I1316" s="8">
        <f t="shared" si="81"/>
        <v>470610000</v>
      </c>
      <c r="J1316" s="8">
        <f t="shared" si="82"/>
        <v>385523712</v>
      </c>
      <c r="K1316" t="str">
        <f t="shared" si="83"/>
        <v>MATCHED</v>
      </c>
    </row>
    <row r="1317" spans="1:11">
      <c r="A1317" t="s">
        <v>106</v>
      </c>
      <c r="B1317" t="s">
        <v>107</v>
      </c>
      <c r="C1317" t="s">
        <v>389</v>
      </c>
      <c r="D1317" t="s">
        <v>390</v>
      </c>
      <c r="E1317" s="8">
        <v>123160</v>
      </c>
      <c r="F1317" s="8">
        <v>63480</v>
      </c>
      <c r="G1317" s="8">
        <f t="shared" si="80"/>
        <v>7818196800</v>
      </c>
      <c r="H1317" s="5">
        <v>0.7794</v>
      </c>
      <c r="I1317" s="8">
        <f t="shared" si="81"/>
        <v>7818196800</v>
      </c>
      <c r="J1317" s="8">
        <f t="shared" si="82"/>
        <v>6093502585.92</v>
      </c>
      <c r="K1317" t="str">
        <f t="shared" si="83"/>
        <v>MATCHED</v>
      </c>
    </row>
    <row r="1318" spans="1:11">
      <c r="A1318" t="s">
        <v>106</v>
      </c>
      <c r="B1318" t="s">
        <v>107</v>
      </c>
      <c r="C1318" t="s">
        <v>391</v>
      </c>
      <c r="D1318" t="s">
        <v>392</v>
      </c>
      <c r="E1318" s="8">
        <v>230110</v>
      </c>
      <c r="F1318" s="8">
        <v>48650</v>
      </c>
      <c r="G1318" s="8">
        <f t="shared" si="80"/>
        <v>11194851500</v>
      </c>
      <c r="H1318" s="5">
        <v>0.6455</v>
      </c>
      <c r="I1318" s="8">
        <f t="shared" si="81"/>
        <v>11194851500</v>
      </c>
      <c r="J1318" s="8">
        <f t="shared" si="82"/>
        <v>7226276643.25</v>
      </c>
      <c r="K1318" t="str">
        <f t="shared" si="83"/>
        <v>MATCHED</v>
      </c>
    </row>
    <row r="1319" spans="1:11">
      <c r="A1319" t="s">
        <v>106</v>
      </c>
      <c r="B1319" t="s">
        <v>107</v>
      </c>
      <c r="C1319" t="s">
        <v>393</v>
      </c>
      <c r="D1319" t="s">
        <v>394</v>
      </c>
      <c r="E1319" s="8">
        <v>8020</v>
      </c>
      <c r="F1319" s="8">
        <v>46310</v>
      </c>
      <c r="G1319" s="8">
        <f t="shared" si="80"/>
        <v>371406200</v>
      </c>
      <c r="H1319" s="5">
        <v>0.2932</v>
      </c>
      <c r="I1319" s="8">
        <f t="shared" si="81"/>
        <v>371406200</v>
      </c>
      <c r="J1319" s="8">
        <f t="shared" si="82"/>
        <v>108896297.84</v>
      </c>
      <c r="K1319" t="str">
        <f t="shared" si="83"/>
        <v>MATCHED</v>
      </c>
    </row>
    <row r="1320" spans="1:11">
      <c r="A1320" t="s">
        <v>106</v>
      </c>
      <c r="B1320" t="s">
        <v>107</v>
      </c>
      <c r="C1320" t="s">
        <v>395</v>
      </c>
      <c r="D1320" t="s">
        <v>396</v>
      </c>
      <c r="E1320" s="8">
        <v>15570</v>
      </c>
      <c r="F1320" s="8">
        <v>84640</v>
      </c>
      <c r="G1320" s="8">
        <f t="shared" si="80"/>
        <v>1317844800</v>
      </c>
      <c r="H1320" s="5">
        <v>0.7955</v>
      </c>
      <c r="I1320" s="8">
        <f t="shared" si="81"/>
        <v>1317844800</v>
      </c>
      <c r="J1320" s="8">
        <f t="shared" si="82"/>
        <v>1048345538.4</v>
      </c>
      <c r="K1320" t="str">
        <f t="shared" si="83"/>
        <v>MATCHED</v>
      </c>
    </row>
    <row r="1321" spans="1:11">
      <c r="A1321" t="s">
        <v>106</v>
      </c>
      <c r="B1321" t="s">
        <v>107</v>
      </c>
      <c r="C1321" t="s">
        <v>890</v>
      </c>
      <c r="D1321" t="s">
        <v>891</v>
      </c>
      <c r="E1321" s="8">
        <v>130</v>
      </c>
      <c r="F1321" s="8"/>
      <c r="G1321" s="8" t="str">
        <f t="shared" si="80"/>
        <v/>
      </c>
      <c r="H1321" s="5">
        <v>0.8679</v>
      </c>
      <c r="I1321" s="8" t="str">
        <f t="shared" si="81"/>
        <v/>
      </c>
      <c r="J1321" s="8" t="str">
        <f t="shared" si="82"/>
        <v/>
      </c>
      <c r="K1321" t="str">
        <f t="shared" si="83"/>
        <v>MISSING OEWS</v>
      </c>
    </row>
    <row r="1322" spans="1:11">
      <c r="A1322" t="s">
        <v>106</v>
      </c>
      <c r="B1322" t="s">
        <v>107</v>
      </c>
      <c r="C1322" t="s">
        <v>1290</v>
      </c>
      <c r="D1322" t="s">
        <v>1291</v>
      </c>
      <c r="E1322" s="8">
        <v>510</v>
      </c>
      <c r="F1322" s="8">
        <v>49140</v>
      </c>
      <c r="G1322" s="8">
        <f t="shared" si="80"/>
        <v>25061400</v>
      </c>
      <c r="H1322" s="5">
        <v>0.9031</v>
      </c>
      <c r="I1322" s="8">
        <f t="shared" si="81"/>
        <v>25061400</v>
      </c>
      <c r="J1322" s="8">
        <f t="shared" si="82"/>
        <v>22632950.34</v>
      </c>
      <c r="K1322" t="str">
        <f t="shared" si="83"/>
        <v>MATCHED</v>
      </c>
    </row>
    <row r="1323" spans="1:11">
      <c r="A1323" t="s">
        <v>106</v>
      </c>
      <c r="B1323" t="s">
        <v>107</v>
      </c>
      <c r="C1323" t="s">
        <v>397</v>
      </c>
      <c r="D1323" t="s">
        <v>398</v>
      </c>
      <c r="E1323" s="8">
        <v>67790</v>
      </c>
      <c r="F1323" s="8">
        <v>51090</v>
      </c>
      <c r="G1323" s="8">
        <f t="shared" si="80"/>
        <v>3463391100</v>
      </c>
      <c r="H1323" s="5">
        <v>0.8031</v>
      </c>
      <c r="I1323" s="8">
        <f t="shared" si="81"/>
        <v>3463391100</v>
      </c>
      <c r="J1323" s="8">
        <f t="shared" si="82"/>
        <v>2781449392.41</v>
      </c>
      <c r="K1323" t="str">
        <f t="shared" si="83"/>
        <v>MATCHED</v>
      </c>
    </row>
    <row r="1324" spans="1:11">
      <c r="A1324" t="s">
        <v>106</v>
      </c>
      <c r="B1324" t="s">
        <v>107</v>
      </c>
      <c r="C1324" t="s">
        <v>399</v>
      </c>
      <c r="D1324" t="s">
        <v>400</v>
      </c>
      <c r="E1324" s="8">
        <v>6480</v>
      </c>
      <c r="F1324" s="8">
        <v>44700</v>
      </c>
      <c r="G1324" s="8">
        <f t="shared" si="80"/>
        <v>289656000</v>
      </c>
      <c r="H1324" s="5">
        <v>0.75</v>
      </c>
      <c r="I1324" s="8">
        <f t="shared" si="81"/>
        <v>289656000</v>
      </c>
      <c r="J1324" s="8">
        <f t="shared" si="82"/>
        <v>217242000</v>
      </c>
      <c r="K1324" t="str">
        <f t="shared" si="83"/>
        <v>MATCHED</v>
      </c>
    </row>
    <row r="1325" spans="1:11">
      <c r="A1325" t="s">
        <v>106</v>
      </c>
      <c r="B1325" t="s">
        <v>107</v>
      </c>
      <c r="C1325" t="s">
        <v>1292</v>
      </c>
      <c r="D1325" t="s">
        <v>1293</v>
      </c>
      <c r="E1325" s="8">
        <v>140</v>
      </c>
      <c r="F1325" s="8">
        <v>58510</v>
      </c>
      <c r="G1325" s="8">
        <f t="shared" si="80"/>
        <v>8191400</v>
      </c>
      <c r="H1325" s="5">
        <v>0.9417</v>
      </c>
      <c r="I1325" s="8">
        <f t="shared" si="81"/>
        <v>8191400</v>
      </c>
      <c r="J1325" s="8">
        <f t="shared" si="82"/>
        <v>7713841.38</v>
      </c>
      <c r="K1325" t="str">
        <f t="shared" si="83"/>
        <v>MATCHED</v>
      </c>
    </row>
    <row r="1326" spans="1:11">
      <c r="A1326" t="s">
        <v>106</v>
      </c>
      <c r="B1326" t="s">
        <v>107</v>
      </c>
      <c r="C1326" t="s">
        <v>1020</v>
      </c>
      <c r="D1326" t="s">
        <v>1021</v>
      </c>
      <c r="E1326" s="8">
        <v>160</v>
      </c>
      <c r="F1326" s="8">
        <v>53090</v>
      </c>
      <c r="G1326" s="8">
        <f t="shared" si="80"/>
        <v>8494400</v>
      </c>
      <c r="H1326" s="5">
        <v>0.9519</v>
      </c>
      <c r="I1326" s="8">
        <f t="shared" si="81"/>
        <v>8494400</v>
      </c>
      <c r="J1326" s="8">
        <f t="shared" si="82"/>
        <v>8085819.36</v>
      </c>
      <c r="K1326" t="str">
        <f t="shared" si="83"/>
        <v>MATCHED</v>
      </c>
    </row>
    <row r="1327" spans="1:11">
      <c r="A1327" t="s">
        <v>106</v>
      </c>
      <c r="B1327" t="s">
        <v>107</v>
      </c>
      <c r="C1327" t="s">
        <v>892</v>
      </c>
      <c r="D1327" t="s">
        <v>893</v>
      </c>
      <c r="E1327" s="8">
        <v>4840</v>
      </c>
      <c r="F1327" s="8">
        <v>42860</v>
      </c>
      <c r="G1327" s="8">
        <f t="shared" si="80"/>
        <v>207442400</v>
      </c>
      <c r="H1327" s="5">
        <v>0.231</v>
      </c>
      <c r="I1327" s="8">
        <f t="shared" si="81"/>
        <v>207442400</v>
      </c>
      <c r="J1327" s="8">
        <f t="shared" si="82"/>
        <v>47919194.4</v>
      </c>
      <c r="K1327" t="str">
        <f t="shared" si="83"/>
        <v>MATCHED</v>
      </c>
    </row>
    <row r="1328" spans="1:11">
      <c r="A1328" t="s">
        <v>106</v>
      </c>
      <c r="B1328" t="s">
        <v>107</v>
      </c>
      <c r="C1328" t="s">
        <v>401</v>
      </c>
      <c r="D1328" t="s">
        <v>402</v>
      </c>
      <c r="E1328" s="8">
        <v>122750</v>
      </c>
      <c r="F1328" s="8">
        <v>48680</v>
      </c>
      <c r="G1328" s="8">
        <f t="shared" si="80"/>
        <v>5975470000</v>
      </c>
      <c r="H1328" s="5">
        <v>0.7452</v>
      </c>
      <c r="I1328" s="8">
        <f t="shared" si="81"/>
        <v>5975470000</v>
      </c>
      <c r="J1328" s="8">
        <f t="shared" si="82"/>
        <v>4452920244</v>
      </c>
      <c r="K1328" t="str">
        <f t="shared" si="83"/>
        <v>MATCHED</v>
      </c>
    </row>
    <row r="1329" spans="1:11">
      <c r="A1329" t="s">
        <v>106</v>
      </c>
      <c r="B1329" t="s">
        <v>107</v>
      </c>
      <c r="C1329" t="s">
        <v>660</v>
      </c>
      <c r="D1329" t="s">
        <v>661</v>
      </c>
      <c r="E1329" s="8">
        <v>1220</v>
      </c>
      <c r="F1329" s="8">
        <v>44010</v>
      </c>
      <c r="G1329" s="8">
        <f t="shared" si="80"/>
        <v>53692200</v>
      </c>
      <c r="H1329" s="5">
        <v>0.2639</v>
      </c>
      <c r="I1329" s="8">
        <f t="shared" si="81"/>
        <v>53692200</v>
      </c>
      <c r="J1329" s="8">
        <f t="shared" si="82"/>
        <v>14169371.58</v>
      </c>
      <c r="K1329" t="str">
        <f t="shared" si="83"/>
        <v>MATCHED</v>
      </c>
    </row>
    <row r="1330" spans="1:11">
      <c r="A1330" t="s">
        <v>106</v>
      </c>
      <c r="B1330" t="s">
        <v>107</v>
      </c>
      <c r="C1330" t="s">
        <v>1294</v>
      </c>
      <c r="D1330" t="s">
        <v>1295</v>
      </c>
      <c r="E1330" s="8">
        <v>190</v>
      </c>
      <c r="F1330" s="8">
        <v>44100</v>
      </c>
      <c r="G1330" s="8">
        <f t="shared" si="80"/>
        <v>8379000</v>
      </c>
      <c r="H1330" s="5">
        <v>0.9273</v>
      </c>
      <c r="I1330" s="8">
        <f t="shared" si="81"/>
        <v>8379000</v>
      </c>
      <c r="J1330" s="8">
        <f t="shared" si="82"/>
        <v>7769846.7</v>
      </c>
      <c r="K1330" t="str">
        <f t="shared" si="83"/>
        <v>MATCHED</v>
      </c>
    </row>
    <row r="1331" spans="1:11">
      <c r="A1331" t="s">
        <v>106</v>
      </c>
      <c r="B1331" t="s">
        <v>107</v>
      </c>
      <c r="C1331" t="s">
        <v>662</v>
      </c>
      <c r="D1331" t="s">
        <v>663</v>
      </c>
      <c r="E1331" s="8">
        <v>3290</v>
      </c>
      <c r="F1331" s="8">
        <v>51640</v>
      </c>
      <c r="G1331" s="8">
        <f t="shared" si="80"/>
        <v>169895600</v>
      </c>
      <c r="H1331" s="5"/>
      <c r="I1331" s="8" t="str">
        <f t="shared" si="81"/>
        <v/>
      </c>
      <c r="J1331" s="8" t="str">
        <f t="shared" si="82"/>
        <v/>
      </c>
      <c r="K1331" t="str">
        <f t="shared" si="83"/>
        <v>MISSING WHARTON</v>
      </c>
    </row>
    <row r="1332" spans="1:11">
      <c r="A1332" t="s">
        <v>106</v>
      </c>
      <c r="B1332" t="s">
        <v>107</v>
      </c>
      <c r="C1332" t="s">
        <v>403</v>
      </c>
      <c r="D1332" t="s">
        <v>404</v>
      </c>
      <c r="E1332" s="8">
        <v>1640</v>
      </c>
      <c r="F1332" s="8">
        <v>70470</v>
      </c>
      <c r="G1332" s="8">
        <f t="shared" si="80"/>
        <v>115570800</v>
      </c>
      <c r="H1332" s="5">
        <v>0.22</v>
      </c>
      <c r="I1332" s="8">
        <f t="shared" si="81"/>
        <v>115570800</v>
      </c>
      <c r="J1332" s="8">
        <f t="shared" si="82"/>
        <v>25425576</v>
      </c>
      <c r="K1332" t="str">
        <f t="shared" si="83"/>
        <v>MATCHED</v>
      </c>
    </row>
    <row r="1333" spans="1:11">
      <c r="A1333" t="s">
        <v>106</v>
      </c>
      <c r="B1333" t="s">
        <v>107</v>
      </c>
      <c r="C1333" t="s">
        <v>405</v>
      </c>
      <c r="D1333" t="s">
        <v>406</v>
      </c>
      <c r="E1333" s="8">
        <v>3510</v>
      </c>
      <c r="F1333" s="8">
        <v>46130</v>
      </c>
      <c r="G1333" s="8">
        <f t="shared" si="80"/>
        <v>161916300</v>
      </c>
      <c r="H1333" s="5">
        <v>0.15</v>
      </c>
      <c r="I1333" s="8">
        <f t="shared" si="81"/>
        <v>161916300</v>
      </c>
      <c r="J1333" s="8">
        <f t="shared" si="82"/>
        <v>24287445</v>
      </c>
      <c r="K1333" t="str">
        <f t="shared" si="83"/>
        <v>MATCHED</v>
      </c>
    </row>
    <row r="1334" spans="1:11">
      <c r="A1334" t="s">
        <v>106</v>
      </c>
      <c r="B1334" t="s">
        <v>107</v>
      </c>
      <c r="C1334" t="s">
        <v>407</v>
      </c>
      <c r="D1334" t="s">
        <v>408</v>
      </c>
      <c r="E1334" s="8">
        <v>110</v>
      </c>
      <c r="F1334" s="8">
        <v>55970</v>
      </c>
      <c r="G1334" s="8">
        <f t="shared" si="80"/>
        <v>6156700</v>
      </c>
      <c r="H1334" s="5">
        <v>0.0396</v>
      </c>
      <c r="I1334" s="8">
        <f t="shared" si="81"/>
        <v>6156700</v>
      </c>
      <c r="J1334" s="8">
        <f t="shared" si="82"/>
        <v>243805.32</v>
      </c>
      <c r="K1334" t="str">
        <f t="shared" si="83"/>
        <v>MATCHED</v>
      </c>
    </row>
    <row r="1335" spans="1:11">
      <c r="A1335" t="s">
        <v>106</v>
      </c>
      <c r="B1335" t="s">
        <v>107</v>
      </c>
      <c r="C1335" t="s">
        <v>409</v>
      </c>
      <c r="D1335" t="s">
        <v>410</v>
      </c>
      <c r="E1335" s="8">
        <v>11740</v>
      </c>
      <c r="F1335" s="8">
        <v>36470</v>
      </c>
      <c r="G1335" s="8">
        <f t="shared" si="80"/>
        <v>428157800</v>
      </c>
      <c r="H1335" s="5">
        <v>0.1583</v>
      </c>
      <c r="I1335" s="8">
        <f t="shared" si="81"/>
        <v>428157800</v>
      </c>
      <c r="J1335" s="8">
        <f t="shared" si="82"/>
        <v>67777379.74</v>
      </c>
      <c r="K1335" t="str">
        <f t="shared" si="83"/>
        <v>MATCHED</v>
      </c>
    </row>
    <row r="1336" spans="1:11">
      <c r="A1336" t="s">
        <v>106</v>
      </c>
      <c r="B1336" t="s">
        <v>107</v>
      </c>
      <c r="C1336" t="s">
        <v>411</v>
      </c>
      <c r="D1336" t="s">
        <v>412</v>
      </c>
      <c r="E1336" s="8">
        <v>1770</v>
      </c>
      <c r="F1336" s="8">
        <v>46650</v>
      </c>
      <c r="G1336" s="8">
        <f t="shared" si="80"/>
        <v>82570500</v>
      </c>
      <c r="H1336" s="5">
        <v>0.0559</v>
      </c>
      <c r="I1336" s="8">
        <f t="shared" si="81"/>
        <v>82570500</v>
      </c>
      <c r="J1336" s="8">
        <f t="shared" si="82"/>
        <v>4615690.95</v>
      </c>
      <c r="K1336" t="str">
        <f t="shared" si="83"/>
        <v>MATCHED</v>
      </c>
    </row>
    <row r="1337" spans="1:11">
      <c r="A1337" t="s">
        <v>106</v>
      </c>
      <c r="B1337" t="s">
        <v>107</v>
      </c>
      <c r="C1337" t="s">
        <v>413</v>
      </c>
      <c r="D1337" t="s">
        <v>414</v>
      </c>
      <c r="E1337" s="8">
        <v>6980</v>
      </c>
      <c r="F1337" s="8">
        <v>40680</v>
      </c>
      <c r="G1337" s="8">
        <f t="shared" si="80"/>
        <v>283946400</v>
      </c>
      <c r="H1337" s="5">
        <v>0.0633</v>
      </c>
      <c r="I1337" s="8">
        <f t="shared" si="81"/>
        <v>283946400</v>
      </c>
      <c r="J1337" s="8">
        <f t="shared" si="82"/>
        <v>17973807.12</v>
      </c>
      <c r="K1337" t="str">
        <f t="shared" si="83"/>
        <v>MATCHED</v>
      </c>
    </row>
    <row r="1338" spans="1:11">
      <c r="A1338" t="s">
        <v>106</v>
      </c>
      <c r="B1338" t="s">
        <v>107</v>
      </c>
      <c r="C1338" t="s">
        <v>415</v>
      </c>
      <c r="D1338" t="s">
        <v>416</v>
      </c>
      <c r="E1338" s="8">
        <v>2300</v>
      </c>
      <c r="F1338" s="8">
        <v>42850</v>
      </c>
      <c r="G1338" s="8">
        <f t="shared" si="80"/>
        <v>98555000</v>
      </c>
      <c r="H1338" s="5">
        <v>0.0864</v>
      </c>
      <c r="I1338" s="8">
        <f t="shared" si="81"/>
        <v>98555000</v>
      </c>
      <c r="J1338" s="8">
        <f t="shared" si="82"/>
        <v>8515152</v>
      </c>
      <c r="K1338" t="str">
        <f t="shared" si="83"/>
        <v>MATCHED</v>
      </c>
    </row>
    <row r="1339" spans="1:11">
      <c r="A1339" t="s">
        <v>106</v>
      </c>
      <c r="B1339" t="s">
        <v>107</v>
      </c>
      <c r="C1339" t="s">
        <v>417</v>
      </c>
      <c r="D1339" t="s">
        <v>418</v>
      </c>
      <c r="E1339" s="8">
        <v>250</v>
      </c>
      <c r="F1339" s="8">
        <v>39670</v>
      </c>
      <c r="G1339" s="8">
        <f t="shared" si="80"/>
        <v>9917500</v>
      </c>
      <c r="H1339" s="5"/>
      <c r="I1339" s="8" t="str">
        <f t="shared" si="81"/>
        <v/>
      </c>
      <c r="J1339" s="8" t="str">
        <f t="shared" si="82"/>
        <v/>
      </c>
      <c r="K1339" t="str">
        <f t="shared" si="83"/>
        <v>MISSING WHARTON</v>
      </c>
    </row>
    <row r="1340" spans="1:11">
      <c r="A1340" t="s">
        <v>106</v>
      </c>
      <c r="B1340" t="s">
        <v>107</v>
      </c>
      <c r="C1340" t="s">
        <v>421</v>
      </c>
      <c r="D1340" t="s">
        <v>422</v>
      </c>
      <c r="E1340" s="8">
        <v>2960</v>
      </c>
      <c r="F1340" s="8">
        <v>44020</v>
      </c>
      <c r="G1340" s="8">
        <f t="shared" si="80"/>
        <v>130299200</v>
      </c>
      <c r="H1340" s="5">
        <v>0.2111</v>
      </c>
      <c r="I1340" s="8">
        <f t="shared" si="81"/>
        <v>130299200</v>
      </c>
      <c r="J1340" s="8">
        <f t="shared" si="82"/>
        <v>27506161.12</v>
      </c>
      <c r="K1340" t="str">
        <f t="shared" si="83"/>
        <v>MATCHED</v>
      </c>
    </row>
    <row r="1341" spans="1:11">
      <c r="A1341" t="s">
        <v>106</v>
      </c>
      <c r="B1341" t="s">
        <v>107</v>
      </c>
      <c r="C1341" t="s">
        <v>423</v>
      </c>
      <c r="D1341" t="s">
        <v>424</v>
      </c>
      <c r="E1341" s="8">
        <v>2610</v>
      </c>
      <c r="F1341" s="8">
        <v>46330</v>
      </c>
      <c r="G1341" s="8">
        <f t="shared" si="80"/>
        <v>120921300</v>
      </c>
      <c r="H1341" s="5">
        <v>0.1462</v>
      </c>
      <c r="I1341" s="8">
        <f t="shared" si="81"/>
        <v>120921300</v>
      </c>
      <c r="J1341" s="8">
        <f t="shared" si="82"/>
        <v>17678694.06</v>
      </c>
      <c r="K1341" t="str">
        <f t="shared" si="83"/>
        <v>MATCHED</v>
      </c>
    </row>
    <row r="1342" spans="1:11">
      <c r="A1342" t="s">
        <v>106</v>
      </c>
      <c r="B1342" t="s">
        <v>107</v>
      </c>
      <c r="C1342" t="s">
        <v>425</v>
      </c>
      <c r="D1342" t="s">
        <v>426</v>
      </c>
      <c r="E1342" s="8">
        <v>160</v>
      </c>
      <c r="F1342" s="8">
        <v>49090</v>
      </c>
      <c r="G1342" s="8">
        <f t="shared" si="80"/>
        <v>7854400</v>
      </c>
      <c r="H1342" s="5"/>
      <c r="I1342" s="8" t="str">
        <f t="shared" si="81"/>
        <v/>
      </c>
      <c r="J1342" s="8" t="str">
        <f t="shared" si="82"/>
        <v/>
      </c>
      <c r="K1342" t="str">
        <f t="shared" si="83"/>
        <v>MISSING WHARTON</v>
      </c>
    </row>
    <row r="1343" spans="1:11">
      <c r="A1343" t="s">
        <v>106</v>
      </c>
      <c r="B1343" t="s">
        <v>107</v>
      </c>
      <c r="C1343" t="s">
        <v>664</v>
      </c>
      <c r="D1343" t="s">
        <v>665</v>
      </c>
      <c r="E1343" s="8">
        <v>16110</v>
      </c>
      <c r="F1343" s="8">
        <v>83580</v>
      </c>
      <c r="G1343" s="8">
        <f t="shared" si="80"/>
        <v>1346473800</v>
      </c>
      <c r="H1343" s="5">
        <v>0.265</v>
      </c>
      <c r="I1343" s="8">
        <f t="shared" si="81"/>
        <v>1346473800</v>
      </c>
      <c r="J1343" s="8">
        <f t="shared" si="82"/>
        <v>356815557</v>
      </c>
      <c r="K1343" t="str">
        <f t="shared" si="83"/>
        <v>MATCHED</v>
      </c>
    </row>
    <row r="1344" spans="1:11">
      <c r="A1344" t="s">
        <v>106</v>
      </c>
      <c r="B1344" t="s">
        <v>107</v>
      </c>
      <c r="C1344" t="s">
        <v>666</v>
      </c>
      <c r="D1344" t="s">
        <v>667</v>
      </c>
      <c r="E1344" s="8">
        <v>1450</v>
      </c>
      <c r="F1344" s="8">
        <v>78140</v>
      </c>
      <c r="G1344" s="8">
        <f t="shared" si="80"/>
        <v>113303000</v>
      </c>
      <c r="H1344" s="5">
        <v>0</v>
      </c>
      <c r="I1344" s="8">
        <f t="shared" si="81"/>
        <v>113303000</v>
      </c>
      <c r="J1344" s="8">
        <f t="shared" si="82"/>
        <v>0</v>
      </c>
      <c r="K1344" t="str">
        <f t="shared" si="83"/>
        <v>MATCHED</v>
      </c>
    </row>
    <row r="1345" spans="1:11">
      <c r="A1345" t="s">
        <v>106</v>
      </c>
      <c r="B1345" t="s">
        <v>107</v>
      </c>
      <c r="C1345" t="s">
        <v>1022</v>
      </c>
      <c r="D1345" t="s">
        <v>1023</v>
      </c>
      <c r="E1345" s="8">
        <v>560</v>
      </c>
      <c r="F1345" s="8">
        <v>55130</v>
      </c>
      <c r="G1345" s="8">
        <f t="shared" si="80"/>
        <v>30872800</v>
      </c>
      <c r="H1345" s="5">
        <v>0.05</v>
      </c>
      <c r="I1345" s="8">
        <f t="shared" si="81"/>
        <v>30872800</v>
      </c>
      <c r="J1345" s="8">
        <f t="shared" si="82"/>
        <v>1543640</v>
      </c>
      <c r="K1345" t="str">
        <f t="shared" si="83"/>
        <v>MATCHED</v>
      </c>
    </row>
    <row r="1346" spans="1:11">
      <c r="A1346" t="s">
        <v>106</v>
      </c>
      <c r="B1346" t="s">
        <v>107</v>
      </c>
      <c r="C1346" t="s">
        <v>1024</v>
      </c>
      <c r="D1346" t="s">
        <v>1025</v>
      </c>
      <c r="E1346" s="8">
        <v>540</v>
      </c>
      <c r="F1346" s="8">
        <v>50590</v>
      </c>
      <c r="G1346" s="8">
        <f t="shared" ref="G1346:G1409" si="84">IF(OR(E1346="",F1346=""),"",E1346*F1346)</f>
        <v>27318600</v>
      </c>
      <c r="H1346" s="5">
        <v>0</v>
      </c>
      <c r="I1346" s="8">
        <f t="shared" ref="I1346:I1409" si="85">IF(G1346="","",IF(ISNUMBER(H1346),G1346,""))</f>
        <v>27318600</v>
      </c>
      <c r="J1346" s="8">
        <f t="shared" ref="J1346:J1409" si="86">IF(I1346="","",I1346*H1346)</f>
        <v>0</v>
      </c>
      <c r="K1346" t="str">
        <f t="shared" ref="K1346:K1409" si="87">IF(G1346="","MISSING OEWS",IF(ISNUMBER(H1346),"MATCHED","MISSING WHARTON"))</f>
        <v>MATCHED</v>
      </c>
    </row>
    <row r="1347" spans="1:11">
      <c r="A1347" t="s">
        <v>106</v>
      </c>
      <c r="B1347" t="s">
        <v>107</v>
      </c>
      <c r="C1347" t="s">
        <v>427</v>
      </c>
      <c r="D1347" t="s">
        <v>428</v>
      </c>
      <c r="E1347" s="8">
        <v>29180</v>
      </c>
      <c r="F1347" s="8">
        <v>54910</v>
      </c>
      <c r="G1347" s="8">
        <f t="shared" si="84"/>
        <v>1602273800</v>
      </c>
      <c r="H1347" s="5">
        <v>0.081</v>
      </c>
      <c r="I1347" s="8">
        <f t="shared" si="85"/>
        <v>1602273800</v>
      </c>
      <c r="J1347" s="8">
        <f t="shared" si="86"/>
        <v>129784177.8</v>
      </c>
      <c r="K1347" t="str">
        <f t="shared" si="87"/>
        <v>MATCHED</v>
      </c>
    </row>
    <row r="1348" spans="1:11">
      <c r="A1348" t="s">
        <v>106</v>
      </c>
      <c r="B1348" t="s">
        <v>107</v>
      </c>
      <c r="C1348" t="s">
        <v>1026</v>
      </c>
      <c r="D1348" t="s">
        <v>1027</v>
      </c>
      <c r="E1348" s="8">
        <v>90</v>
      </c>
      <c r="F1348" s="8">
        <v>48440</v>
      </c>
      <c r="G1348" s="8">
        <f t="shared" si="84"/>
        <v>4359600</v>
      </c>
      <c r="H1348" s="5">
        <v>0.0438</v>
      </c>
      <c r="I1348" s="8">
        <f t="shared" si="85"/>
        <v>4359600</v>
      </c>
      <c r="J1348" s="8">
        <f t="shared" si="86"/>
        <v>190950.48</v>
      </c>
      <c r="K1348" t="str">
        <f t="shared" si="87"/>
        <v>MATCHED</v>
      </c>
    </row>
    <row r="1349" spans="1:11">
      <c r="A1349" t="s">
        <v>106</v>
      </c>
      <c r="B1349" t="s">
        <v>107</v>
      </c>
      <c r="C1349" t="s">
        <v>1028</v>
      </c>
      <c r="D1349" t="s">
        <v>1029</v>
      </c>
      <c r="E1349" s="8">
        <v>800</v>
      </c>
      <c r="F1349" s="8">
        <v>47460</v>
      </c>
      <c r="G1349" s="8">
        <f t="shared" si="84"/>
        <v>37968000</v>
      </c>
      <c r="H1349" s="5">
        <v>0</v>
      </c>
      <c r="I1349" s="8">
        <f t="shared" si="85"/>
        <v>37968000</v>
      </c>
      <c r="J1349" s="8">
        <f t="shared" si="86"/>
        <v>0</v>
      </c>
      <c r="K1349" t="str">
        <f t="shared" si="87"/>
        <v>MATCHED</v>
      </c>
    </row>
    <row r="1350" spans="1:11">
      <c r="A1350" t="s">
        <v>106</v>
      </c>
      <c r="B1350" t="s">
        <v>107</v>
      </c>
      <c r="C1350" t="s">
        <v>1030</v>
      </c>
      <c r="D1350" t="s">
        <v>1031</v>
      </c>
      <c r="E1350" s="8">
        <v>60</v>
      </c>
      <c r="F1350" s="8">
        <v>40670</v>
      </c>
      <c r="G1350" s="8">
        <f t="shared" si="84"/>
        <v>2440200</v>
      </c>
      <c r="H1350" s="5">
        <v>0</v>
      </c>
      <c r="I1350" s="8">
        <f t="shared" si="85"/>
        <v>2440200</v>
      </c>
      <c r="J1350" s="8">
        <f t="shared" si="86"/>
        <v>0</v>
      </c>
      <c r="K1350" t="str">
        <f t="shared" si="87"/>
        <v>MATCHED</v>
      </c>
    </row>
    <row r="1351" spans="1:11">
      <c r="A1351" t="s">
        <v>106</v>
      </c>
      <c r="B1351" t="s">
        <v>107</v>
      </c>
      <c r="C1351" t="s">
        <v>1032</v>
      </c>
      <c r="D1351" t="s">
        <v>1033</v>
      </c>
      <c r="E1351" s="8">
        <v>4840</v>
      </c>
      <c r="F1351" s="8">
        <v>50300</v>
      </c>
      <c r="G1351" s="8">
        <f t="shared" si="84"/>
        <v>243452000</v>
      </c>
      <c r="H1351" s="5">
        <v>0.028</v>
      </c>
      <c r="I1351" s="8">
        <f t="shared" si="85"/>
        <v>243452000</v>
      </c>
      <c r="J1351" s="8">
        <f t="shared" si="86"/>
        <v>6816656</v>
      </c>
      <c r="K1351" t="str">
        <f t="shared" si="87"/>
        <v>MATCHED</v>
      </c>
    </row>
    <row r="1352" spans="1:11">
      <c r="A1352" t="s">
        <v>106</v>
      </c>
      <c r="B1352" t="s">
        <v>107</v>
      </c>
      <c r="C1352" t="s">
        <v>668</v>
      </c>
      <c r="D1352" t="s">
        <v>669</v>
      </c>
      <c r="E1352" s="8">
        <v>3580</v>
      </c>
      <c r="F1352" s="8">
        <v>51030</v>
      </c>
      <c r="G1352" s="8">
        <f t="shared" si="84"/>
        <v>182687400</v>
      </c>
      <c r="H1352" s="5">
        <v>0</v>
      </c>
      <c r="I1352" s="8">
        <f t="shared" si="85"/>
        <v>182687400</v>
      </c>
      <c r="J1352" s="8">
        <f t="shared" si="86"/>
        <v>0</v>
      </c>
      <c r="K1352" t="str">
        <f t="shared" si="87"/>
        <v>MATCHED</v>
      </c>
    </row>
    <row r="1353" spans="1:11">
      <c r="A1353" t="s">
        <v>106</v>
      </c>
      <c r="B1353" t="s">
        <v>107</v>
      </c>
      <c r="C1353" t="s">
        <v>670</v>
      </c>
      <c r="D1353" t="s">
        <v>671</v>
      </c>
      <c r="E1353" s="8">
        <v>16430</v>
      </c>
      <c r="F1353" s="8">
        <v>46840</v>
      </c>
      <c r="G1353" s="8">
        <f t="shared" si="84"/>
        <v>769581200</v>
      </c>
      <c r="H1353" s="5">
        <v>0.0297</v>
      </c>
      <c r="I1353" s="8">
        <f t="shared" si="85"/>
        <v>769581200</v>
      </c>
      <c r="J1353" s="8">
        <f t="shared" si="86"/>
        <v>22856561.64</v>
      </c>
      <c r="K1353" t="str">
        <f t="shared" si="87"/>
        <v>MATCHED</v>
      </c>
    </row>
    <row r="1354" spans="1:11">
      <c r="A1354" t="s">
        <v>106</v>
      </c>
      <c r="B1354" t="s">
        <v>107</v>
      </c>
      <c r="C1354" t="s">
        <v>672</v>
      </c>
      <c r="D1354" t="s">
        <v>673</v>
      </c>
      <c r="E1354" s="8">
        <v>2300</v>
      </c>
      <c r="F1354" s="8">
        <v>60510</v>
      </c>
      <c r="G1354" s="8">
        <f t="shared" si="84"/>
        <v>139173000</v>
      </c>
      <c r="H1354" s="5">
        <v>0</v>
      </c>
      <c r="I1354" s="8">
        <f t="shared" si="85"/>
        <v>139173000</v>
      </c>
      <c r="J1354" s="8">
        <f t="shared" si="86"/>
        <v>0</v>
      </c>
      <c r="K1354" t="str">
        <f t="shared" si="87"/>
        <v>MATCHED</v>
      </c>
    </row>
    <row r="1355" spans="1:11">
      <c r="A1355" t="s">
        <v>106</v>
      </c>
      <c r="B1355" t="s">
        <v>107</v>
      </c>
      <c r="C1355" t="s">
        <v>429</v>
      </c>
      <c r="D1355" t="s">
        <v>430</v>
      </c>
      <c r="E1355" s="8">
        <v>9540</v>
      </c>
      <c r="F1355" s="8">
        <v>60180</v>
      </c>
      <c r="G1355" s="8">
        <f t="shared" si="84"/>
        <v>574117200</v>
      </c>
      <c r="H1355" s="5">
        <v>0.0589</v>
      </c>
      <c r="I1355" s="8">
        <f t="shared" si="85"/>
        <v>574117200</v>
      </c>
      <c r="J1355" s="8">
        <f t="shared" si="86"/>
        <v>33815503.08</v>
      </c>
      <c r="K1355" t="str">
        <f t="shared" si="87"/>
        <v>MATCHED</v>
      </c>
    </row>
    <row r="1356" spans="1:11">
      <c r="A1356" t="s">
        <v>106</v>
      </c>
      <c r="B1356" t="s">
        <v>107</v>
      </c>
      <c r="C1356" t="s">
        <v>1038</v>
      </c>
      <c r="D1356" t="s">
        <v>1039</v>
      </c>
      <c r="E1356" s="8">
        <v>790</v>
      </c>
      <c r="F1356" s="8">
        <v>46520</v>
      </c>
      <c r="G1356" s="8">
        <f t="shared" si="84"/>
        <v>36750800</v>
      </c>
      <c r="H1356" s="5">
        <v>0</v>
      </c>
      <c r="I1356" s="8">
        <f t="shared" si="85"/>
        <v>36750800</v>
      </c>
      <c r="J1356" s="8">
        <f t="shared" si="86"/>
        <v>0</v>
      </c>
      <c r="K1356" t="str">
        <f t="shared" si="87"/>
        <v>MATCHED</v>
      </c>
    </row>
    <row r="1357" spans="1:11">
      <c r="A1357" t="s">
        <v>106</v>
      </c>
      <c r="B1357" t="s">
        <v>107</v>
      </c>
      <c r="C1357" t="s">
        <v>1040</v>
      </c>
      <c r="D1357" t="s">
        <v>1041</v>
      </c>
      <c r="E1357" s="8">
        <v>70</v>
      </c>
      <c r="F1357" s="8">
        <v>45080</v>
      </c>
      <c r="G1357" s="8">
        <f t="shared" si="84"/>
        <v>3155600</v>
      </c>
      <c r="H1357" s="5">
        <v>0</v>
      </c>
      <c r="I1357" s="8">
        <f t="shared" si="85"/>
        <v>3155600</v>
      </c>
      <c r="J1357" s="8">
        <f t="shared" si="86"/>
        <v>0</v>
      </c>
      <c r="K1357" t="str">
        <f t="shared" si="87"/>
        <v>MATCHED</v>
      </c>
    </row>
    <row r="1358" spans="1:11">
      <c r="A1358" t="s">
        <v>106</v>
      </c>
      <c r="B1358" t="s">
        <v>107</v>
      </c>
      <c r="C1358" t="s">
        <v>431</v>
      </c>
      <c r="D1358" t="s">
        <v>432</v>
      </c>
      <c r="E1358" s="8">
        <v>52590</v>
      </c>
      <c r="F1358" s="8">
        <v>73160</v>
      </c>
      <c r="G1358" s="8">
        <f t="shared" si="84"/>
        <v>3847484400</v>
      </c>
      <c r="H1358" s="5">
        <v>0.0786</v>
      </c>
      <c r="I1358" s="8">
        <f t="shared" si="85"/>
        <v>3847484400</v>
      </c>
      <c r="J1358" s="8">
        <f t="shared" si="86"/>
        <v>302412273.84</v>
      </c>
      <c r="K1358" t="str">
        <f t="shared" si="87"/>
        <v>MATCHED</v>
      </c>
    </row>
    <row r="1359" spans="1:11">
      <c r="A1359" t="s">
        <v>106</v>
      </c>
      <c r="B1359" t="s">
        <v>107</v>
      </c>
      <c r="C1359" t="s">
        <v>1042</v>
      </c>
      <c r="D1359" t="s">
        <v>1043</v>
      </c>
      <c r="E1359" s="8">
        <v>1680</v>
      </c>
      <c r="F1359" s="8">
        <v>53560</v>
      </c>
      <c r="G1359" s="8">
        <f t="shared" si="84"/>
        <v>89980800</v>
      </c>
      <c r="H1359" s="5">
        <v>0</v>
      </c>
      <c r="I1359" s="8">
        <f t="shared" si="85"/>
        <v>89980800</v>
      </c>
      <c r="J1359" s="8">
        <f t="shared" si="86"/>
        <v>0</v>
      </c>
      <c r="K1359" t="str">
        <f t="shared" si="87"/>
        <v>MATCHED</v>
      </c>
    </row>
    <row r="1360" spans="1:11">
      <c r="A1360" t="s">
        <v>106</v>
      </c>
      <c r="B1360" t="s">
        <v>107</v>
      </c>
      <c r="C1360" t="s">
        <v>676</v>
      </c>
      <c r="D1360" t="s">
        <v>677</v>
      </c>
      <c r="E1360" s="8">
        <v>810</v>
      </c>
      <c r="F1360" s="8">
        <v>59420</v>
      </c>
      <c r="G1360" s="8">
        <f t="shared" si="84"/>
        <v>48130200</v>
      </c>
      <c r="H1360" s="5">
        <v>0.0731</v>
      </c>
      <c r="I1360" s="8">
        <f t="shared" si="85"/>
        <v>48130200</v>
      </c>
      <c r="J1360" s="8">
        <f t="shared" si="86"/>
        <v>3518317.62</v>
      </c>
      <c r="K1360" t="str">
        <f t="shared" si="87"/>
        <v>MATCHED</v>
      </c>
    </row>
    <row r="1361" spans="1:11">
      <c r="A1361" t="s">
        <v>106</v>
      </c>
      <c r="B1361" t="s">
        <v>107</v>
      </c>
      <c r="C1361" t="s">
        <v>678</v>
      </c>
      <c r="D1361" t="s">
        <v>679</v>
      </c>
      <c r="E1361" s="8">
        <v>5150</v>
      </c>
      <c r="F1361" s="8">
        <v>53610</v>
      </c>
      <c r="G1361" s="8">
        <f t="shared" si="84"/>
        <v>276091500</v>
      </c>
      <c r="H1361" s="5">
        <v>0.0368</v>
      </c>
      <c r="I1361" s="8">
        <f t="shared" si="85"/>
        <v>276091500</v>
      </c>
      <c r="J1361" s="8">
        <f t="shared" si="86"/>
        <v>10160167.2</v>
      </c>
      <c r="K1361" t="str">
        <f t="shared" si="87"/>
        <v>MATCHED</v>
      </c>
    </row>
    <row r="1362" spans="1:11">
      <c r="A1362" t="s">
        <v>106</v>
      </c>
      <c r="B1362" t="s">
        <v>107</v>
      </c>
      <c r="C1362" t="s">
        <v>1044</v>
      </c>
      <c r="D1362" t="s">
        <v>1045</v>
      </c>
      <c r="E1362" s="8">
        <v>70</v>
      </c>
      <c r="F1362" s="8">
        <v>55600</v>
      </c>
      <c r="G1362" s="8">
        <f t="shared" si="84"/>
        <v>3892000</v>
      </c>
      <c r="H1362" s="5">
        <v>0</v>
      </c>
      <c r="I1362" s="8">
        <f t="shared" si="85"/>
        <v>3892000</v>
      </c>
      <c r="J1362" s="8">
        <f t="shared" si="86"/>
        <v>0</v>
      </c>
      <c r="K1362" t="str">
        <f t="shared" si="87"/>
        <v>MATCHED</v>
      </c>
    </row>
    <row r="1363" spans="1:11">
      <c r="A1363" t="s">
        <v>106</v>
      </c>
      <c r="B1363" t="s">
        <v>107</v>
      </c>
      <c r="C1363" t="s">
        <v>680</v>
      </c>
      <c r="D1363" t="s">
        <v>681</v>
      </c>
      <c r="E1363" s="8">
        <v>50</v>
      </c>
      <c r="F1363" s="8">
        <v>74710</v>
      </c>
      <c r="G1363" s="8">
        <f t="shared" si="84"/>
        <v>3735500</v>
      </c>
      <c r="H1363" s="5">
        <v>0</v>
      </c>
      <c r="I1363" s="8">
        <f t="shared" si="85"/>
        <v>3735500</v>
      </c>
      <c r="J1363" s="8">
        <f t="shared" si="86"/>
        <v>0</v>
      </c>
      <c r="K1363" t="str">
        <f t="shared" si="87"/>
        <v>MATCHED</v>
      </c>
    </row>
    <row r="1364" spans="1:11">
      <c r="A1364" t="s">
        <v>106</v>
      </c>
      <c r="B1364" t="s">
        <v>107</v>
      </c>
      <c r="C1364" t="s">
        <v>682</v>
      </c>
      <c r="D1364" t="s">
        <v>683</v>
      </c>
      <c r="E1364" s="8">
        <v>16010</v>
      </c>
      <c r="F1364" s="8">
        <v>70600</v>
      </c>
      <c r="G1364" s="8">
        <f t="shared" si="84"/>
        <v>1130306000</v>
      </c>
      <c r="H1364" s="5">
        <v>0.04</v>
      </c>
      <c r="I1364" s="8">
        <f t="shared" si="85"/>
        <v>1130306000</v>
      </c>
      <c r="J1364" s="8">
        <f t="shared" si="86"/>
        <v>45212240</v>
      </c>
      <c r="K1364" t="str">
        <f t="shared" si="87"/>
        <v>MATCHED</v>
      </c>
    </row>
    <row r="1365" spans="1:11">
      <c r="A1365" t="s">
        <v>106</v>
      </c>
      <c r="B1365" t="s">
        <v>107</v>
      </c>
      <c r="C1365" t="s">
        <v>1048</v>
      </c>
      <c r="D1365" t="s">
        <v>1049</v>
      </c>
      <c r="E1365" s="8">
        <v>770</v>
      </c>
      <c r="F1365" s="8">
        <v>78980</v>
      </c>
      <c r="G1365" s="8">
        <f t="shared" si="84"/>
        <v>60814600</v>
      </c>
      <c r="H1365" s="5">
        <v>0</v>
      </c>
      <c r="I1365" s="8">
        <f t="shared" si="85"/>
        <v>60814600</v>
      </c>
      <c r="J1365" s="8">
        <f t="shared" si="86"/>
        <v>0</v>
      </c>
      <c r="K1365" t="str">
        <f t="shared" si="87"/>
        <v>MATCHED</v>
      </c>
    </row>
    <row r="1366" spans="1:11">
      <c r="A1366" t="s">
        <v>106</v>
      </c>
      <c r="B1366" t="s">
        <v>107</v>
      </c>
      <c r="C1366" t="s">
        <v>1050</v>
      </c>
      <c r="D1366" t="s">
        <v>1051</v>
      </c>
      <c r="E1366" s="8">
        <v>1330</v>
      </c>
      <c r="F1366" s="8">
        <v>49530</v>
      </c>
      <c r="G1366" s="8">
        <f t="shared" si="84"/>
        <v>65874900</v>
      </c>
      <c r="H1366" s="5">
        <v>0</v>
      </c>
      <c r="I1366" s="8">
        <f t="shared" si="85"/>
        <v>65874900</v>
      </c>
      <c r="J1366" s="8">
        <f t="shared" si="86"/>
        <v>0</v>
      </c>
      <c r="K1366" t="str">
        <f t="shared" si="87"/>
        <v>MATCHED</v>
      </c>
    </row>
    <row r="1367" spans="1:11">
      <c r="A1367" t="s">
        <v>106</v>
      </c>
      <c r="B1367" t="s">
        <v>107</v>
      </c>
      <c r="C1367" t="s">
        <v>684</v>
      </c>
      <c r="D1367" t="s">
        <v>685</v>
      </c>
      <c r="E1367" s="8">
        <v>29970</v>
      </c>
      <c r="F1367" s="8">
        <v>59100</v>
      </c>
      <c r="G1367" s="8">
        <f t="shared" si="84"/>
        <v>1771227000</v>
      </c>
      <c r="H1367" s="5">
        <v>0.0687</v>
      </c>
      <c r="I1367" s="8">
        <f t="shared" si="85"/>
        <v>1771227000</v>
      </c>
      <c r="J1367" s="8">
        <f t="shared" si="86"/>
        <v>121683294.9</v>
      </c>
      <c r="K1367" t="str">
        <f t="shared" si="87"/>
        <v>MATCHED</v>
      </c>
    </row>
    <row r="1368" spans="1:11">
      <c r="A1368" t="s">
        <v>106</v>
      </c>
      <c r="B1368" t="s">
        <v>107</v>
      </c>
      <c r="C1368" t="s">
        <v>686</v>
      </c>
      <c r="D1368" t="s">
        <v>687</v>
      </c>
      <c r="E1368" s="8">
        <v>7080</v>
      </c>
      <c r="F1368" s="8">
        <v>65940</v>
      </c>
      <c r="G1368" s="8">
        <f t="shared" si="84"/>
        <v>466855200</v>
      </c>
      <c r="H1368" s="5">
        <v>0</v>
      </c>
      <c r="I1368" s="8">
        <f t="shared" si="85"/>
        <v>466855200</v>
      </c>
      <c r="J1368" s="8">
        <f t="shared" si="86"/>
        <v>0</v>
      </c>
      <c r="K1368" t="str">
        <f t="shared" si="87"/>
        <v>MATCHED</v>
      </c>
    </row>
    <row r="1369" spans="1:11">
      <c r="A1369" t="s">
        <v>106</v>
      </c>
      <c r="B1369" t="s">
        <v>107</v>
      </c>
      <c r="C1369" t="s">
        <v>894</v>
      </c>
      <c r="D1369" t="s">
        <v>895</v>
      </c>
      <c r="E1369" s="8">
        <v>40</v>
      </c>
      <c r="F1369" s="8">
        <v>80240</v>
      </c>
      <c r="G1369" s="8">
        <f t="shared" si="84"/>
        <v>3209600</v>
      </c>
      <c r="H1369" s="5">
        <v>0.0635</v>
      </c>
      <c r="I1369" s="8">
        <f t="shared" si="85"/>
        <v>3209600</v>
      </c>
      <c r="J1369" s="8">
        <f t="shared" si="86"/>
        <v>203809.6</v>
      </c>
      <c r="K1369" t="str">
        <f t="shared" si="87"/>
        <v>MATCHED</v>
      </c>
    </row>
    <row r="1370" spans="1:11">
      <c r="A1370" t="s">
        <v>106</v>
      </c>
      <c r="B1370" t="s">
        <v>107</v>
      </c>
      <c r="C1370" t="s">
        <v>1052</v>
      </c>
      <c r="D1370" t="s">
        <v>1053</v>
      </c>
      <c r="E1370" s="8">
        <v>220</v>
      </c>
      <c r="F1370" s="8">
        <v>43320</v>
      </c>
      <c r="G1370" s="8">
        <f t="shared" si="84"/>
        <v>9530400</v>
      </c>
      <c r="H1370" s="5">
        <v>0</v>
      </c>
      <c r="I1370" s="8">
        <f t="shared" si="85"/>
        <v>9530400</v>
      </c>
      <c r="J1370" s="8">
        <f t="shared" si="86"/>
        <v>0</v>
      </c>
      <c r="K1370" t="str">
        <f t="shared" si="87"/>
        <v>MATCHED</v>
      </c>
    </row>
    <row r="1371" spans="1:11">
      <c r="A1371" t="s">
        <v>106</v>
      </c>
      <c r="B1371" t="s">
        <v>107</v>
      </c>
      <c r="C1371" t="s">
        <v>1054</v>
      </c>
      <c r="D1371" t="s">
        <v>1055</v>
      </c>
      <c r="E1371" s="8">
        <v>710</v>
      </c>
      <c r="F1371" s="8">
        <v>39500</v>
      </c>
      <c r="G1371" s="8">
        <f t="shared" si="84"/>
        <v>28045000</v>
      </c>
      <c r="H1371" s="5">
        <v>0</v>
      </c>
      <c r="I1371" s="8">
        <f t="shared" si="85"/>
        <v>28045000</v>
      </c>
      <c r="J1371" s="8">
        <f t="shared" si="86"/>
        <v>0</v>
      </c>
      <c r="K1371" t="str">
        <f t="shared" si="87"/>
        <v>MATCHED</v>
      </c>
    </row>
    <row r="1372" spans="1:11">
      <c r="A1372" t="s">
        <v>106</v>
      </c>
      <c r="B1372" t="s">
        <v>107</v>
      </c>
      <c r="C1372" t="s">
        <v>688</v>
      </c>
      <c r="D1372" t="s">
        <v>689</v>
      </c>
      <c r="E1372" s="8">
        <v>560</v>
      </c>
      <c r="F1372" s="8">
        <v>50180</v>
      </c>
      <c r="G1372" s="8">
        <f t="shared" si="84"/>
        <v>28100800</v>
      </c>
      <c r="H1372" s="5">
        <v>0.0396</v>
      </c>
      <c r="I1372" s="8">
        <f t="shared" si="85"/>
        <v>28100800</v>
      </c>
      <c r="J1372" s="8">
        <f t="shared" si="86"/>
        <v>1112791.68</v>
      </c>
      <c r="K1372" t="str">
        <f t="shared" si="87"/>
        <v>MATCHED</v>
      </c>
    </row>
    <row r="1373" spans="1:11">
      <c r="A1373" t="s">
        <v>106</v>
      </c>
      <c r="B1373" t="s">
        <v>107</v>
      </c>
      <c r="C1373" t="s">
        <v>1056</v>
      </c>
      <c r="D1373" t="s">
        <v>1057</v>
      </c>
      <c r="E1373" s="8">
        <v>40</v>
      </c>
      <c r="F1373" s="8">
        <v>41880</v>
      </c>
      <c r="G1373" s="8">
        <f t="shared" si="84"/>
        <v>1675200</v>
      </c>
      <c r="H1373" s="5">
        <v>0</v>
      </c>
      <c r="I1373" s="8">
        <f t="shared" si="85"/>
        <v>1675200</v>
      </c>
      <c r="J1373" s="8">
        <f t="shared" si="86"/>
        <v>0</v>
      </c>
      <c r="K1373" t="str">
        <f t="shared" si="87"/>
        <v>MATCHED</v>
      </c>
    </row>
    <row r="1374" spans="1:11">
      <c r="A1374" t="s">
        <v>106</v>
      </c>
      <c r="B1374" t="s">
        <v>107</v>
      </c>
      <c r="C1374" t="s">
        <v>690</v>
      </c>
      <c r="D1374" t="s">
        <v>691</v>
      </c>
      <c r="E1374" s="8">
        <v>140</v>
      </c>
      <c r="F1374" s="8">
        <v>41510</v>
      </c>
      <c r="G1374" s="8">
        <f t="shared" si="84"/>
        <v>5811400</v>
      </c>
      <c r="H1374" s="5">
        <v>0</v>
      </c>
      <c r="I1374" s="8">
        <f t="shared" si="85"/>
        <v>5811400</v>
      </c>
      <c r="J1374" s="8">
        <f t="shared" si="86"/>
        <v>0</v>
      </c>
      <c r="K1374" t="str">
        <f t="shared" si="87"/>
        <v>MATCHED</v>
      </c>
    </row>
    <row r="1375" spans="1:11">
      <c r="A1375" t="s">
        <v>106</v>
      </c>
      <c r="B1375" t="s">
        <v>107</v>
      </c>
      <c r="C1375" t="s">
        <v>692</v>
      </c>
      <c r="D1375" t="s">
        <v>693</v>
      </c>
      <c r="E1375" s="8">
        <v>730</v>
      </c>
      <c r="F1375" s="8">
        <v>39660</v>
      </c>
      <c r="G1375" s="8">
        <f t="shared" si="84"/>
        <v>28951800</v>
      </c>
      <c r="H1375" s="5"/>
      <c r="I1375" s="8" t="str">
        <f t="shared" si="85"/>
        <v/>
      </c>
      <c r="J1375" s="8" t="str">
        <f t="shared" si="86"/>
        <v/>
      </c>
      <c r="K1375" t="str">
        <f t="shared" si="87"/>
        <v>MISSING WHARTON</v>
      </c>
    </row>
    <row r="1376" spans="1:11">
      <c r="A1376" t="s">
        <v>106</v>
      </c>
      <c r="B1376" t="s">
        <v>107</v>
      </c>
      <c r="C1376" t="s">
        <v>694</v>
      </c>
      <c r="D1376" t="s">
        <v>695</v>
      </c>
      <c r="E1376" s="8">
        <v>240</v>
      </c>
      <c r="F1376" s="8">
        <v>68090</v>
      </c>
      <c r="G1376" s="8">
        <f t="shared" si="84"/>
        <v>16341600</v>
      </c>
      <c r="H1376" s="5">
        <v>0.3737</v>
      </c>
      <c r="I1376" s="8">
        <f t="shared" si="85"/>
        <v>16341600</v>
      </c>
      <c r="J1376" s="8">
        <f t="shared" si="86"/>
        <v>6106855.92</v>
      </c>
      <c r="K1376" t="str">
        <f t="shared" si="87"/>
        <v>MATCHED</v>
      </c>
    </row>
    <row r="1377" spans="1:11">
      <c r="A1377" t="s">
        <v>106</v>
      </c>
      <c r="B1377" t="s">
        <v>107</v>
      </c>
      <c r="C1377" t="s">
        <v>1060</v>
      </c>
      <c r="D1377" t="s">
        <v>1061</v>
      </c>
      <c r="E1377" s="8">
        <v>1050</v>
      </c>
      <c r="F1377" s="8">
        <v>106560</v>
      </c>
      <c r="G1377" s="8">
        <f t="shared" si="84"/>
        <v>111888000</v>
      </c>
      <c r="H1377" s="5">
        <v>0.0475</v>
      </c>
      <c r="I1377" s="8">
        <f t="shared" si="85"/>
        <v>111888000</v>
      </c>
      <c r="J1377" s="8">
        <f t="shared" si="86"/>
        <v>5314680</v>
      </c>
      <c r="K1377" t="str">
        <f t="shared" si="87"/>
        <v>MATCHED</v>
      </c>
    </row>
    <row r="1378" spans="1:11">
      <c r="A1378" t="s">
        <v>106</v>
      </c>
      <c r="B1378" t="s">
        <v>107</v>
      </c>
      <c r="C1378" t="s">
        <v>696</v>
      </c>
      <c r="D1378" t="s">
        <v>697</v>
      </c>
      <c r="E1378" s="8">
        <v>250</v>
      </c>
      <c r="F1378" s="8">
        <v>50120</v>
      </c>
      <c r="G1378" s="8">
        <f t="shared" si="84"/>
        <v>12530000</v>
      </c>
      <c r="H1378" s="5">
        <v>0</v>
      </c>
      <c r="I1378" s="8">
        <f t="shared" si="85"/>
        <v>12530000</v>
      </c>
      <c r="J1378" s="8">
        <f t="shared" si="86"/>
        <v>0</v>
      </c>
      <c r="K1378" t="str">
        <f t="shared" si="87"/>
        <v>MATCHED</v>
      </c>
    </row>
    <row r="1379" spans="1:11">
      <c r="A1379" t="s">
        <v>106</v>
      </c>
      <c r="B1379" t="s">
        <v>107</v>
      </c>
      <c r="C1379" t="s">
        <v>698</v>
      </c>
      <c r="D1379" t="s">
        <v>699</v>
      </c>
      <c r="E1379" s="8">
        <v>290</v>
      </c>
      <c r="F1379" s="8">
        <v>63280</v>
      </c>
      <c r="G1379" s="8">
        <f t="shared" si="84"/>
        <v>18351200</v>
      </c>
      <c r="H1379" s="5">
        <v>0.0452</v>
      </c>
      <c r="I1379" s="8">
        <f t="shared" si="85"/>
        <v>18351200</v>
      </c>
      <c r="J1379" s="8">
        <f t="shared" si="86"/>
        <v>829474.24</v>
      </c>
      <c r="K1379" t="str">
        <f t="shared" si="87"/>
        <v>MATCHED</v>
      </c>
    </row>
    <row r="1380" spans="1:11">
      <c r="A1380" t="s">
        <v>106</v>
      </c>
      <c r="B1380" t="s">
        <v>107</v>
      </c>
      <c r="C1380" t="s">
        <v>896</v>
      </c>
      <c r="D1380" t="s">
        <v>897</v>
      </c>
      <c r="E1380" s="8">
        <v>100</v>
      </c>
      <c r="F1380" s="8">
        <v>54690</v>
      </c>
      <c r="G1380" s="8">
        <f t="shared" si="84"/>
        <v>5469000</v>
      </c>
      <c r="H1380" s="5">
        <v>0.0864</v>
      </c>
      <c r="I1380" s="8">
        <f t="shared" si="85"/>
        <v>5469000</v>
      </c>
      <c r="J1380" s="8">
        <f t="shared" si="86"/>
        <v>472521.6</v>
      </c>
      <c r="K1380" t="str">
        <f t="shared" si="87"/>
        <v>MATCHED</v>
      </c>
    </row>
    <row r="1381" spans="1:11">
      <c r="A1381" t="s">
        <v>106</v>
      </c>
      <c r="B1381" t="s">
        <v>107</v>
      </c>
      <c r="C1381" t="s">
        <v>702</v>
      </c>
      <c r="D1381" t="s">
        <v>703</v>
      </c>
      <c r="E1381" s="8">
        <v>1020</v>
      </c>
      <c r="F1381" s="8">
        <v>51290</v>
      </c>
      <c r="G1381" s="8">
        <f t="shared" si="84"/>
        <v>52315800</v>
      </c>
      <c r="H1381" s="5">
        <v>0.0825</v>
      </c>
      <c r="I1381" s="8">
        <f t="shared" si="85"/>
        <v>52315800</v>
      </c>
      <c r="J1381" s="8">
        <f t="shared" si="86"/>
        <v>4316053.5</v>
      </c>
      <c r="K1381" t="str">
        <f t="shared" si="87"/>
        <v>MATCHED</v>
      </c>
    </row>
    <row r="1382" spans="1:11">
      <c r="A1382" t="s">
        <v>106</v>
      </c>
      <c r="B1382" t="s">
        <v>107</v>
      </c>
      <c r="C1382" t="s">
        <v>704</v>
      </c>
      <c r="D1382" t="s">
        <v>705</v>
      </c>
      <c r="E1382" s="8"/>
      <c r="F1382" s="8">
        <v>50810</v>
      </c>
      <c r="G1382" s="8" t="str">
        <f t="shared" si="84"/>
        <v/>
      </c>
      <c r="H1382" s="5">
        <v>0</v>
      </c>
      <c r="I1382" s="8" t="str">
        <f t="shared" si="85"/>
        <v/>
      </c>
      <c r="J1382" s="8" t="str">
        <f t="shared" si="86"/>
        <v/>
      </c>
      <c r="K1382" t="str">
        <f t="shared" si="87"/>
        <v>MISSING OEWS</v>
      </c>
    </row>
    <row r="1383" spans="1:11">
      <c r="A1383" t="s">
        <v>106</v>
      </c>
      <c r="B1383" t="s">
        <v>107</v>
      </c>
      <c r="C1383" t="s">
        <v>708</v>
      </c>
      <c r="D1383" t="s">
        <v>709</v>
      </c>
      <c r="E1383" s="8">
        <v>620</v>
      </c>
      <c r="F1383" s="8">
        <v>55910</v>
      </c>
      <c r="G1383" s="8">
        <f t="shared" si="84"/>
        <v>34664200</v>
      </c>
      <c r="H1383" s="5">
        <v>0.05</v>
      </c>
      <c r="I1383" s="8">
        <f t="shared" si="85"/>
        <v>34664200</v>
      </c>
      <c r="J1383" s="8">
        <f t="shared" si="86"/>
        <v>1733210</v>
      </c>
      <c r="K1383" t="str">
        <f t="shared" si="87"/>
        <v>MATCHED</v>
      </c>
    </row>
    <row r="1384" spans="1:11">
      <c r="A1384" t="s">
        <v>106</v>
      </c>
      <c r="B1384" t="s">
        <v>107</v>
      </c>
      <c r="C1384" t="s">
        <v>710</v>
      </c>
      <c r="D1384" t="s">
        <v>711</v>
      </c>
      <c r="E1384" s="8">
        <v>1680</v>
      </c>
      <c r="F1384" s="8">
        <v>57820</v>
      </c>
      <c r="G1384" s="8">
        <f t="shared" si="84"/>
        <v>97137600</v>
      </c>
      <c r="H1384" s="5">
        <v>0</v>
      </c>
      <c r="I1384" s="8">
        <f t="shared" si="85"/>
        <v>97137600</v>
      </c>
      <c r="J1384" s="8">
        <f t="shared" si="86"/>
        <v>0</v>
      </c>
      <c r="K1384" t="str">
        <f t="shared" si="87"/>
        <v>MATCHED</v>
      </c>
    </row>
    <row r="1385" spans="1:11">
      <c r="A1385" t="s">
        <v>106</v>
      </c>
      <c r="B1385" t="s">
        <v>107</v>
      </c>
      <c r="C1385" t="s">
        <v>712</v>
      </c>
      <c r="D1385" t="s">
        <v>713</v>
      </c>
      <c r="E1385" s="8">
        <v>60</v>
      </c>
      <c r="F1385" s="8">
        <v>55520</v>
      </c>
      <c r="G1385" s="8">
        <f t="shared" si="84"/>
        <v>3331200</v>
      </c>
      <c r="H1385" s="5">
        <v>0.0233</v>
      </c>
      <c r="I1385" s="8">
        <f t="shared" si="85"/>
        <v>3331200</v>
      </c>
      <c r="J1385" s="8">
        <f t="shared" si="86"/>
        <v>77616.96</v>
      </c>
      <c r="K1385" t="str">
        <f t="shared" si="87"/>
        <v>MATCHED</v>
      </c>
    </row>
    <row r="1386" spans="1:11">
      <c r="A1386" t="s">
        <v>106</v>
      </c>
      <c r="B1386" t="s">
        <v>107</v>
      </c>
      <c r="C1386" t="s">
        <v>714</v>
      </c>
      <c r="D1386" t="s">
        <v>715</v>
      </c>
      <c r="E1386" s="8">
        <v>480</v>
      </c>
      <c r="F1386" s="8">
        <v>65920</v>
      </c>
      <c r="G1386" s="8">
        <f t="shared" si="84"/>
        <v>31641600</v>
      </c>
      <c r="H1386" s="5">
        <v>0.095</v>
      </c>
      <c r="I1386" s="8">
        <f t="shared" si="85"/>
        <v>31641600</v>
      </c>
      <c r="J1386" s="8">
        <f t="shared" si="86"/>
        <v>3005952</v>
      </c>
      <c r="K1386" t="str">
        <f t="shared" si="87"/>
        <v>MATCHED</v>
      </c>
    </row>
    <row r="1387" spans="1:11">
      <c r="A1387" t="s">
        <v>106</v>
      </c>
      <c r="B1387" t="s">
        <v>107</v>
      </c>
      <c r="C1387" t="s">
        <v>716</v>
      </c>
      <c r="D1387" t="s">
        <v>717</v>
      </c>
      <c r="E1387" s="8">
        <v>90</v>
      </c>
      <c r="F1387" s="8">
        <v>62940</v>
      </c>
      <c r="G1387" s="8">
        <f t="shared" si="84"/>
        <v>5664600</v>
      </c>
      <c r="H1387" s="5">
        <v>0</v>
      </c>
      <c r="I1387" s="8">
        <f t="shared" si="85"/>
        <v>5664600</v>
      </c>
      <c r="J1387" s="8">
        <f t="shared" si="86"/>
        <v>0</v>
      </c>
      <c r="K1387" t="str">
        <f t="shared" si="87"/>
        <v>MATCHED</v>
      </c>
    </row>
    <row r="1388" spans="1:11">
      <c r="A1388" t="s">
        <v>106</v>
      </c>
      <c r="B1388" t="s">
        <v>107</v>
      </c>
      <c r="C1388" t="s">
        <v>720</v>
      </c>
      <c r="D1388" t="s">
        <v>721</v>
      </c>
      <c r="E1388" s="8">
        <v>100</v>
      </c>
      <c r="F1388" s="8">
        <v>55960</v>
      </c>
      <c r="G1388" s="8">
        <f t="shared" si="84"/>
        <v>5596000</v>
      </c>
      <c r="H1388" s="5">
        <v>0.0339</v>
      </c>
      <c r="I1388" s="8">
        <f t="shared" si="85"/>
        <v>5596000</v>
      </c>
      <c r="J1388" s="8">
        <f t="shared" si="86"/>
        <v>189704.4</v>
      </c>
      <c r="K1388" t="str">
        <f t="shared" si="87"/>
        <v>MATCHED</v>
      </c>
    </row>
    <row r="1389" spans="1:11">
      <c r="A1389" t="s">
        <v>106</v>
      </c>
      <c r="B1389" t="s">
        <v>107</v>
      </c>
      <c r="C1389" t="s">
        <v>724</v>
      </c>
      <c r="D1389" t="s">
        <v>725</v>
      </c>
      <c r="E1389" s="8">
        <v>300</v>
      </c>
      <c r="F1389" s="8">
        <v>54080</v>
      </c>
      <c r="G1389" s="8">
        <f t="shared" si="84"/>
        <v>16224000</v>
      </c>
      <c r="H1389" s="5">
        <v>0</v>
      </c>
      <c r="I1389" s="8">
        <f t="shared" si="85"/>
        <v>16224000</v>
      </c>
      <c r="J1389" s="8">
        <f t="shared" si="86"/>
        <v>0</v>
      </c>
      <c r="K1389" t="str">
        <f t="shared" si="87"/>
        <v>MATCHED</v>
      </c>
    </row>
    <row r="1390" spans="1:11">
      <c r="A1390" t="s">
        <v>106</v>
      </c>
      <c r="B1390" t="s">
        <v>107</v>
      </c>
      <c r="C1390" t="s">
        <v>726</v>
      </c>
      <c r="D1390" t="s">
        <v>727</v>
      </c>
      <c r="E1390" s="8">
        <v>370</v>
      </c>
      <c r="F1390" s="8">
        <v>53130</v>
      </c>
      <c r="G1390" s="8">
        <f t="shared" si="84"/>
        <v>19658100</v>
      </c>
      <c r="H1390" s="5">
        <v>0</v>
      </c>
      <c r="I1390" s="8">
        <f t="shared" si="85"/>
        <v>19658100</v>
      </c>
      <c r="J1390" s="8">
        <f t="shared" si="86"/>
        <v>0</v>
      </c>
      <c r="K1390" t="str">
        <f t="shared" si="87"/>
        <v>MATCHED</v>
      </c>
    </row>
    <row r="1391" spans="1:11">
      <c r="A1391" t="s">
        <v>106</v>
      </c>
      <c r="B1391" t="s">
        <v>107</v>
      </c>
      <c r="C1391" t="s">
        <v>433</v>
      </c>
      <c r="D1391" t="s">
        <v>434</v>
      </c>
      <c r="E1391" s="8">
        <v>63900</v>
      </c>
      <c r="F1391" s="8">
        <v>94970</v>
      </c>
      <c r="G1391" s="8">
        <f t="shared" si="84"/>
        <v>6068583000</v>
      </c>
      <c r="H1391" s="5">
        <v>0.3523</v>
      </c>
      <c r="I1391" s="8">
        <f t="shared" si="85"/>
        <v>6068583000</v>
      </c>
      <c r="J1391" s="8">
        <f t="shared" si="86"/>
        <v>2137961790.9</v>
      </c>
      <c r="K1391" t="str">
        <f t="shared" si="87"/>
        <v>MATCHED</v>
      </c>
    </row>
    <row r="1392" spans="1:11">
      <c r="A1392" t="s">
        <v>106</v>
      </c>
      <c r="B1392" t="s">
        <v>107</v>
      </c>
      <c r="C1392" t="s">
        <v>1064</v>
      </c>
      <c r="D1392" t="s">
        <v>1065</v>
      </c>
      <c r="E1392" s="8">
        <v>1240</v>
      </c>
      <c r="F1392" s="8">
        <v>59040</v>
      </c>
      <c r="G1392" s="8">
        <f t="shared" si="84"/>
        <v>73209600</v>
      </c>
      <c r="H1392" s="5">
        <v>0.284</v>
      </c>
      <c r="I1392" s="8">
        <f t="shared" si="85"/>
        <v>73209600</v>
      </c>
      <c r="J1392" s="8">
        <f t="shared" si="86"/>
        <v>20791526.4</v>
      </c>
      <c r="K1392" t="str">
        <f t="shared" si="87"/>
        <v>MATCHED</v>
      </c>
    </row>
    <row r="1393" spans="1:11">
      <c r="A1393" t="s">
        <v>106</v>
      </c>
      <c r="B1393" t="s">
        <v>107</v>
      </c>
      <c r="C1393" t="s">
        <v>898</v>
      </c>
      <c r="D1393" t="s">
        <v>899</v>
      </c>
      <c r="E1393" s="8">
        <v>340</v>
      </c>
      <c r="F1393" s="8">
        <v>70400</v>
      </c>
      <c r="G1393" s="8">
        <f t="shared" si="84"/>
        <v>23936000</v>
      </c>
      <c r="H1393" s="5">
        <v>0.1583</v>
      </c>
      <c r="I1393" s="8">
        <f t="shared" si="85"/>
        <v>23936000</v>
      </c>
      <c r="J1393" s="8">
        <f t="shared" si="86"/>
        <v>3789068.8</v>
      </c>
      <c r="K1393" t="str">
        <f t="shared" si="87"/>
        <v>MATCHED</v>
      </c>
    </row>
    <row r="1394" spans="1:11">
      <c r="A1394" t="s">
        <v>106</v>
      </c>
      <c r="B1394" t="s">
        <v>107</v>
      </c>
      <c r="C1394" t="s">
        <v>900</v>
      </c>
      <c r="D1394" t="s">
        <v>901</v>
      </c>
      <c r="E1394" s="8">
        <v>170</v>
      </c>
      <c r="F1394" s="8">
        <v>62690</v>
      </c>
      <c r="G1394" s="8">
        <f t="shared" si="84"/>
        <v>10657300</v>
      </c>
      <c r="H1394" s="5">
        <v>0.195</v>
      </c>
      <c r="I1394" s="8">
        <f t="shared" si="85"/>
        <v>10657300</v>
      </c>
      <c r="J1394" s="8">
        <f t="shared" si="86"/>
        <v>2078173.5</v>
      </c>
      <c r="K1394" t="str">
        <f t="shared" si="87"/>
        <v>MATCHED</v>
      </c>
    </row>
    <row r="1395" spans="1:11">
      <c r="A1395" t="s">
        <v>106</v>
      </c>
      <c r="B1395" t="s">
        <v>107</v>
      </c>
      <c r="C1395" t="s">
        <v>1296</v>
      </c>
      <c r="D1395" t="s">
        <v>1297</v>
      </c>
      <c r="E1395" s="8">
        <v>7420</v>
      </c>
      <c r="F1395" s="8">
        <v>91260</v>
      </c>
      <c r="G1395" s="8">
        <f t="shared" si="84"/>
        <v>677149200</v>
      </c>
      <c r="H1395" s="5">
        <v>0.2</v>
      </c>
      <c r="I1395" s="8">
        <f t="shared" si="85"/>
        <v>677149200</v>
      </c>
      <c r="J1395" s="8">
        <f t="shared" si="86"/>
        <v>135429840</v>
      </c>
      <c r="K1395" t="str">
        <f t="shared" si="87"/>
        <v>MATCHED</v>
      </c>
    </row>
    <row r="1396" spans="1:11">
      <c r="A1396" t="s">
        <v>106</v>
      </c>
      <c r="B1396" t="s">
        <v>107</v>
      </c>
      <c r="C1396" t="s">
        <v>732</v>
      </c>
      <c r="D1396" t="s">
        <v>733</v>
      </c>
      <c r="E1396" s="8">
        <v>2150</v>
      </c>
      <c r="F1396" s="8">
        <v>55790</v>
      </c>
      <c r="G1396" s="8">
        <f t="shared" si="84"/>
        <v>119948500</v>
      </c>
      <c r="H1396" s="5">
        <v>0.0667</v>
      </c>
      <c r="I1396" s="8">
        <f t="shared" si="85"/>
        <v>119948500</v>
      </c>
      <c r="J1396" s="8">
        <f t="shared" si="86"/>
        <v>8000564.95</v>
      </c>
      <c r="K1396" t="str">
        <f t="shared" si="87"/>
        <v>MATCHED</v>
      </c>
    </row>
    <row r="1397" spans="1:11">
      <c r="A1397" t="s">
        <v>106</v>
      </c>
      <c r="B1397" t="s">
        <v>107</v>
      </c>
      <c r="C1397" t="s">
        <v>902</v>
      </c>
      <c r="D1397" t="s">
        <v>903</v>
      </c>
      <c r="E1397" s="8">
        <v>550</v>
      </c>
      <c r="F1397" s="8">
        <v>63560</v>
      </c>
      <c r="G1397" s="8">
        <f t="shared" si="84"/>
        <v>34958000</v>
      </c>
      <c r="H1397" s="5">
        <v>0.2033</v>
      </c>
      <c r="I1397" s="8">
        <f t="shared" si="85"/>
        <v>34958000</v>
      </c>
      <c r="J1397" s="8">
        <f t="shared" si="86"/>
        <v>7106961.4</v>
      </c>
      <c r="K1397" t="str">
        <f t="shared" si="87"/>
        <v>MATCHED</v>
      </c>
    </row>
    <row r="1398" spans="1:11">
      <c r="A1398" t="s">
        <v>106</v>
      </c>
      <c r="B1398" t="s">
        <v>107</v>
      </c>
      <c r="C1398" t="s">
        <v>734</v>
      </c>
      <c r="D1398" t="s">
        <v>735</v>
      </c>
      <c r="E1398" s="8">
        <v>15560</v>
      </c>
      <c r="F1398" s="8">
        <v>79910</v>
      </c>
      <c r="G1398" s="8">
        <f t="shared" si="84"/>
        <v>1243399600</v>
      </c>
      <c r="H1398" s="5">
        <v>0.19</v>
      </c>
      <c r="I1398" s="8">
        <f t="shared" si="85"/>
        <v>1243399600</v>
      </c>
      <c r="J1398" s="8">
        <f t="shared" si="86"/>
        <v>236245924</v>
      </c>
      <c r="K1398" t="str">
        <f t="shared" si="87"/>
        <v>MATCHED</v>
      </c>
    </row>
    <row r="1399" spans="1:11">
      <c r="A1399" t="s">
        <v>106</v>
      </c>
      <c r="B1399" t="s">
        <v>107</v>
      </c>
      <c r="C1399" t="s">
        <v>904</v>
      </c>
      <c r="D1399" t="s">
        <v>905</v>
      </c>
      <c r="E1399" s="8">
        <v>180</v>
      </c>
      <c r="F1399" s="8">
        <v>73930</v>
      </c>
      <c r="G1399" s="8">
        <f t="shared" si="84"/>
        <v>13307400</v>
      </c>
      <c r="H1399" s="5">
        <v>0.2219</v>
      </c>
      <c r="I1399" s="8">
        <f t="shared" si="85"/>
        <v>13307400</v>
      </c>
      <c r="J1399" s="8">
        <f t="shared" si="86"/>
        <v>2952912.06</v>
      </c>
      <c r="K1399" t="str">
        <f t="shared" si="87"/>
        <v>MATCHED</v>
      </c>
    </row>
    <row r="1400" spans="1:11">
      <c r="A1400" t="s">
        <v>106</v>
      </c>
      <c r="B1400" t="s">
        <v>107</v>
      </c>
      <c r="C1400" t="s">
        <v>1298</v>
      </c>
      <c r="D1400" t="s">
        <v>1299</v>
      </c>
      <c r="E1400" s="8">
        <v>1300</v>
      </c>
      <c r="F1400" s="8">
        <v>57710</v>
      </c>
      <c r="G1400" s="8">
        <f t="shared" si="84"/>
        <v>75023000</v>
      </c>
      <c r="H1400" s="5">
        <v>0.1583</v>
      </c>
      <c r="I1400" s="8">
        <f t="shared" si="85"/>
        <v>75023000</v>
      </c>
      <c r="J1400" s="8">
        <f t="shared" si="86"/>
        <v>11876140.9</v>
      </c>
      <c r="K1400" t="str">
        <f t="shared" si="87"/>
        <v>MATCHED</v>
      </c>
    </row>
    <row r="1401" spans="1:11">
      <c r="A1401" t="s">
        <v>106</v>
      </c>
      <c r="B1401" t="s">
        <v>107</v>
      </c>
      <c r="C1401" t="s">
        <v>1066</v>
      </c>
      <c r="D1401" t="s">
        <v>1067</v>
      </c>
      <c r="E1401" s="8">
        <v>400</v>
      </c>
      <c r="F1401" s="8">
        <v>59760</v>
      </c>
      <c r="G1401" s="8">
        <f t="shared" si="84"/>
        <v>23904000</v>
      </c>
      <c r="H1401" s="5">
        <v>0.2591</v>
      </c>
      <c r="I1401" s="8">
        <f t="shared" si="85"/>
        <v>23904000</v>
      </c>
      <c r="J1401" s="8">
        <f t="shared" si="86"/>
        <v>6193526.4</v>
      </c>
      <c r="K1401" t="str">
        <f t="shared" si="87"/>
        <v>MATCHED</v>
      </c>
    </row>
    <row r="1402" spans="1:11">
      <c r="A1402" t="s">
        <v>106</v>
      </c>
      <c r="B1402" t="s">
        <v>107</v>
      </c>
      <c r="C1402" t="s">
        <v>1068</v>
      </c>
      <c r="D1402" t="s">
        <v>1069</v>
      </c>
      <c r="E1402" s="8">
        <v>210</v>
      </c>
      <c r="F1402" s="8">
        <v>77580</v>
      </c>
      <c r="G1402" s="8">
        <f t="shared" si="84"/>
        <v>16291800</v>
      </c>
      <c r="H1402" s="5">
        <v>0.2219</v>
      </c>
      <c r="I1402" s="8">
        <f t="shared" si="85"/>
        <v>16291800</v>
      </c>
      <c r="J1402" s="8">
        <f t="shared" si="86"/>
        <v>3615150.42</v>
      </c>
      <c r="K1402" t="str">
        <f t="shared" si="87"/>
        <v>MATCHED</v>
      </c>
    </row>
    <row r="1403" spans="1:11">
      <c r="A1403" t="s">
        <v>106</v>
      </c>
      <c r="B1403" t="s">
        <v>107</v>
      </c>
      <c r="C1403" t="s">
        <v>435</v>
      </c>
      <c r="D1403" t="s">
        <v>436</v>
      </c>
      <c r="E1403" s="8">
        <v>25990</v>
      </c>
      <c r="F1403" s="8">
        <v>82620</v>
      </c>
      <c r="G1403" s="8">
        <f t="shared" si="84"/>
        <v>2147293800</v>
      </c>
      <c r="H1403" s="5">
        <v>0.0434</v>
      </c>
      <c r="I1403" s="8">
        <f t="shared" si="85"/>
        <v>2147293800</v>
      </c>
      <c r="J1403" s="8">
        <f t="shared" si="86"/>
        <v>93192550.92</v>
      </c>
      <c r="K1403" t="str">
        <f t="shared" si="87"/>
        <v>MATCHED</v>
      </c>
    </row>
    <row r="1404" spans="1:11">
      <c r="A1404" t="s">
        <v>106</v>
      </c>
      <c r="B1404" t="s">
        <v>107</v>
      </c>
      <c r="C1404" t="s">
        <v>1070</v>
      </c>
      <c r="D1404" t="s">
        <v>1071</v>
      </c>
      <c r="E1404" s="8">
        <v>4240</v>
      </c>
      <c r="F1404" s="8">
        <v>64690</v>
      </c>
      <c r="G1404" s="8">
        <f t="shared" si="84"/>
        <v>274285600</v>
      </c>
      <c r="H1404" s="5">
        <v>0.028</v>
      </c>
      <c r="I1404" s="8">
        <f t="shared" si="85"/>
        <v>274285600</v>
      </c>
      <c r="J1404" s="8">
        <f t="shared" si="86"/>
        <v>7679996.8</v>
      </c>
      <c r="K1404" t="str">
        <f t="shared" si="87"/>
        <v>MATCHED</v>
      </c>
    </row>
    <row r="1405" spans="1:11">
      <c r="A1405" t="s">
        <v>106</v>
      </c>
      <c r="B1405" t="s">
        <v>107</v>
      </c>
      <c r="C1405" t="s">
        <v>736</v>
      </c>
      <c r="D1405" t="s">
        <v>737</v>
      </c>
      <c r="E1405" s="8">
        <v>4320</v>
      </c>
      <c r="F1405" s="8">
        <v>57510</v>
      </c>
      <c r="G1405" s="8">
        <f t="shared" si="84"/>
        <v>248443200</v>
      </c>
      <c r="H1405" s="5">
        <v>0.0233</v>
      </c>
      <c r="I1405" s="8">
        <f t="shared" si="85"/>
        <v>248443200</v>
      </c>
      <c r="J1405" s="8">
        <f t="shared" si="86"/>
        <v>5788726.56</v>
      </c>
      <c r="K1405" t="str">
        <f t="shared" si="87"/>
        <v>MATCHED</v>
      </c>
    </row>
    <row r="1406" spans="1:11">
      <c r="A1406" t="s">
        <v>106</v>
      </c>
      <c r="B1406" t="s">
        <v>107</v>
      </c>
      <c r="C1406" t="s">
        <v>437</v>
      </c>
      <c r="D1406" t="s">
        <v>438</v>
      </c>
      <c r="E1406" s="8">
        <v>15390</v>
      </c>
      <c r="F1406" s="8">
        <v>65270</v>
      </c>
      <c r="G1406" s="8">
        <f t="shared" si="84"/>
        <v>1004505300</v>
      </c>
      <c r="H1406" s="5">
        <v>0</v>
      </c>
      <c r="I1406" s="8">
        <f t="shared" si="85"/>
        <v>1004505300</v>
      </c>
      <c r="J1406" s="8">
        <f t="shared" si="86"/>
        <v>0</v>
      </c>
      <c r="K1406" t="str">
        <f t="shared" si="87"/>
        <v>MATCHED</v>
      </c>
    </row>
    <row r="1407" spans="1:11">
      <c r="A1407" t="s">
        <v>106</v>
      </c>
      <c r="B1407" t="s">
        <v>107</v>
      </c>
      <c r="C1407" t="s">
        <v>439</v>
      </c>
      <c r="D1407" t="s">
        <v>440</v>
      </c>
      <c r="E1407" s="8">
        <v>1470</v>
      </c>
      <c r="F1407" s="8">
        <v>57640</v>
      </c>
      <c r="G1407" s="8">
        <f t="shared" si="84"/>
        <v>84730800</v>
      </c>
      <c r="H1407" s="5">
        <v>0.1357</v>
      </c>
      <c r="I1407" s="8">
        <f t="shared" si="85"/>
        <v>84730800</v>
      </c>
      <c r="J1407" s="8">
        <f t="shared" si="86"/>
        <v>11497969.56</v>
      </c>
      <c r="K1407" t="str">
        <f t="shared" si="87"/>
        <v>MATCHED</v>
      </c>
    </row>
    <row r="1408" spans="1:11">
      <c r="A1408" t="s">
        <v>106</v>
      </c>
      <c r="B1408" t="s">
        <v>107</v>
      </c>
      <c r="C1408" t="s">
        <v>441</v>
      </c>
      <c r="D1408" t="s">
        <v>442</v>
      </c>
      <c r="E1408" s="8">
        <v>6690</v>
      </c>
      <c r="F1408" s="8">
        <v>68080</v>
      </c>
      <c r="G1408" s="8">
        <f t="shared" si="84"/>
        <v>455455200</v>
      </c>
      <c r="H1408" s="5">
        <v>0.1425</v>
      </c>
      <c r="I1408" s="8">
        <f t="shared" si="85"/>
        <v>455455200</v>
      </c>
      <c r="J1408" s="8">
        <f t="shared" si="86"/>
        <v>64902366</v>
      </c>
      <c r="K1408" t="str">
        <f t="shared" si="87"/>
        <v>MATCHED</v>
      </c>
    </row>
    <row r="1409" spans="1:11">
      <c r="A1409" t="s">
        <v>106</v>
      </c>
      <c r="B1409" t="s">
        <v>107</v>
      </c>
      <c r="C1409" t="s">
        <v>1300</v>
      </c>
      <c r="D1409" t="s">
        <v>1301</v>
      </c>
      <c r="E1409" s="8">
        <v>720</v>
      </c>
      <c r="F1409" s="8">
        <v>53540</v>
      </c>
      <c r="G1409" s="8">
        <f t="shared" si="84"/>
        <v>38548800</v>
      </c>
      <c r="H1409" s="5">
        <v>0.0475</v>
      </c>
      <c r="I1409" s="8">
        <f t="shared" si="85"/>
        <v>38548800</v>
      </c>
      <c r="J1409" s="8">
        <f t="shared" si="86"/>
        <v>1831068</v>
      </c>
      <c r="K1409" t="str">
        <f t="shared" si="87"/>
        <v>MATCHED</v>
      </c>
    </row>
    <row r="1410" spans="1:11">
      <c r="A1410" t="s">
        <v>106</v>
      </c>
      <c r="B1410" t="s">
        <v>107</v>
      </c>
      <c r="C1410" t="s">
        <v>1074</v>
      </c>
      <c r="D1410" t="s">
        <v>1075</v>
      </c>
      <c r="E1410" s="8">
        <v>1450</v>
      </c>
      <c r="F1410" s="8">
        <v>54590</v>
      </c>
      <c r="G1410" s="8">
        <f t="shared" ref="G1410:G1473" si="88">IF(OR(E1410="",F1410=""),"",E1410*F1410)</f>
        <v>79155500</v>
      </c>
      <c r="H1410" s="5">
        <v>0.0731</v>
      </c>
      <c r="I1410" s="8">
        <f t="shared" ref="I1410:I1473" si="89">IF(G1410="","",IF(ISNUMBER(H1410),G1410,""))</f>
        <v>79155500</v>
      </c>
      <c r="J1410" s="8">
        <f t="shared" ref="J1410:J1473" si="90">IF(I1410="","",I1410*H1410)</f>
        <v>5786267.05</v>
      </c>
      <c r="K1410" t="str">
        <f t="shared" ref="K1410:K1473" si="91">IF(G1410="","MISSING OEWS",IF(ISNUMBER(H1410),"MATCHED","MISSING WHARTON"))</f>
        <v>MATCHED</v>
      </c>
    </row>
    <row r="1411" spans="1:11">
      <c r="A1411" t="s">
        <v>106</v>
      </c>
      <c r="B1411" t="s">
        <v>107</v>
      </c>
      <c r="C1411" t="s">
        <v>1302</v>
      </c>
      <c r="D1411" t="s">
        <v>1303</v>
      </c>
      <c r="E1411" s="8">
        <v>220</v>
      </c>
      <c r="F1411" s="8">
        <v>45900</v>
      </c>
      <c r="G1411" s="8">
        <f t="shared" si="88"/>
        <v>10098000</v>
      </c>
      <c r="H1411" s="5">
        <v>0</v>
      </c>
      <c r="I1411" s="8">
        <f t="shared" si="89"/>
        <v>10098000</v>
      </c>
      <c r="J1411" s="8">
        <f t="shared" si="90"/>
        <v>0</v>
      </c>
      <c r="K1411" t="str">
        <f t="shared" si="91"/>
        <v>MATCHED</v>
      </c>
    </row>
    <row r="1412" spans="1:11">
      <c r="A1412" t="s">
        <v>106</v>
      </c>
      <c r="B1412" t="s">
        <v>107</v>
      </c>
      <c r="C1412" t="s">
        <v>1076</v>
      </c>
      <c r="D1412" t="s">
        <v>1077</v>
      </c>
      <c r="E1412" s="8">
        <v>240</v>
      </c>
      <c r="F1412" s="8">
        <v>45940</v>
      </c>
      <c r="G1412" s="8">
        <f t="shared" si="88"/>
        <v>11025600</v>
      </c>
      <c r="H1412" s="5">
        <v>0.1179</v>
      </c>
      <c r="I1412" s="8">
        <f t="shared" si="89"/>
        <v>11025600</v>
      </c>
      <c r="J1412" s="8">
        <f t="shared" si="90"/>
        <v>1299918.24</v>
      </c>
      <c r="K1412" t="str">
        <f t="shared" si="91"/>
        <v>MATCHED</v>
      </c>
    </row>
    <row r="1413" spans="1:11">
      <c r="A1413" t="s">
        <v>106</v>
      </c>
      <c r="B1413" t="s">
        <v>107</v>
      </c>
      <c r="C1413" t="s">
        <v>1304</v>
      </c>
      <c r="D1413" t="s">
        <v>1305</v>
      </c>
      <c r="E1413" s="8">
        <v>70</v>
      </c>
      <c r="F1413" s="8">
        <v>45620</v>
      </c>
      <c r="G1413" s="8">
        <f t="shared" si="88"/>
        <v>3193400</v>
      </c>
      <c r="H1413" s="5">
        <v>0.0594</v>
      </c>
      <c r="I1413" s="8">
        <f t="shared" si="89"/>
        <v>3193400</v>
      </c>
      <c r="J1413" s="8">
        <f t="shared" si="90"/>
        <v>189687.96</v>
      </c>
      <c r="K1413" t="str">
        <f t="shared" si="91"/>
        <v>MATCHED</v>
      </c>
    </row>
    <row r="1414" spans="1:11">
      <c r="A1414" t="s">
        <v>106</v>
      </c>
      <c r="B1414" t="s">
        <v>107</v>
      </c>
      <c r="C1414" t="s">
        <v>1306</v>
      </c>
      <c r="D1414" t="s">
        <v>1307</v>
      </c>
      <c r="E1414" s="8">
        <v>1020</v>
      </c>
      <c r="F1414" s="8">
        <v>53830</v>
      </c>
      <c r="G1414" s="8">
        <f t="shared" si="88"/>
        <v>54906600</v>
      </c>
      <c r="H1414" s="5">
        <v>0</v>
      </c>
      <c r="I1414" s="8">
        <f t="shared" si="89"/>
        <v>54906600</v>
      </c>
      <c r="J1414" s="8">
        <f t="shared" si="90"/>
        <v>0</v>
      </c>
      <c r="K1414" t="str">
        <f t="shared" si="91"/>
        <v>MATCHED</v>
      </c>
    </row>
    <row r="1415" spans="1:11">
      <c r="A1415" t="s">
        <v>106</v>
      </c>
      <c r="B1415" t="s">
        <v>107</v>
      </c>
      <c r="C1415" t="s">
        <v>738</v>
      </c>
      <c r="D1415" t="s">
        <v>739</v>
      </c>
      <c r="E1415" s="8">
        <v>1210</v>
      </c>
      <c r="F1415" s="8">
        <v>50220</v>
      </c>
      <c r="G1415" s="8">
        <f t="shared" si="88"/>
        <v>60766200</v>
      </c>
      <c r="H1415" s="5">
        <v>0</v>
      </c>
      <c r="I1415" s="8">
        <f t="shared" si="89"/>
        <v>60766200</v>
      </c>
      <c r="J1415" s="8">
        <f t="shared" si="90"/>
        <v>0</v>
      </c>
      <c r="K1415" t="str">
        <f t="shared" si="91"/>
        <v>MATCHED</v>
      </c>
    </row>
    <row r="1416" spans="1:11">
      <c r="A1416" t="s">
        <v>106</v>
      </c>
      <c r="B1416" t="s">
        <v>107</v>
      </c>
      <c r="C1416" t="s">
        <v>1078</v>
      </c>
      <c r="D1416" t="s">
        <v>1079</v>
      </c>
      <c r="E1416" s="8">
        <v>450</v>
      </c>
      <c r="F1416" s="8">
        <v>55110</v>
      </c>
      <c r="G1416" s="8">
        <f t="shared" si="88"/>
        <v>24799500</v>
      </c>
      <c r="H1416" s="5">
        <v>0.076</v>
      </c>
      <c r="I1416" s="8">
        <f t="shared" si="89"/>
        <v>24799500</v>
      </c>
      <c r="J1416" s="8">
        <f t="shared" si="90"/>
        <v>1884762</v>
      </c>
      <c r="K1416" t="str">
        <f t="shared" si="91"/>
        <v>MATCHED</v>
      </c>
    </row>
    <row r="1417" spans="1:11">
      <c r="A1417" t="s">
        <v>106</v>
      </c>
      <c r="B1417" t="s">
        <v>107</v>
      </c>
      <c r="C1417" t="s">
        <v>740</v>
      </c>
      <c r="D1417" t="s">
        <v>741</v>
      </c>
      <c r="E1417" s="8">
        <v>2280</v>
      </c>
      <c r="F1417" s="8">
        <v>59060</v>
      </c>
      <c r="G1417" s="8">
        <f t="shared" si="88"/>
        <v>134656800</v>
      </c>
      <c r="H1417" s="5">
        <v>0.0731</v>
      </c>
      <c r="I1417" s="8">
        <f t="shared" si="89"/>
        <v>134656800</v>
      </c>
      <c r="J1417" s="8">
        <f t="shared" si="90"/>
        <v>9843412.08</v>
      </c>
      <c r="K1417" t="str">
        <f t="shared" si="91"/>
        <v>MATCHED</v>
      </c>
    </row>
    <row r="1418" spans="1:11">
      <c r="A1418" t="s">
        <v>106</v>
      </c>
      <c r="B1418" t="s">
        <v>107</v>
      </c>
      <c r="C1418" t="s">
        <v>443</v>
      </c>
      <c r="D1418" t="s">
        <v>444</v>
      </c>
      <c r="E1418" s="8">
        <v>10350</v>
      </c>
      <c r="F1418" s="8">
        <v>68940</v>
      </c>
      <c r="G1418" s="8">
        <f t="shared" si="88"/>
        <v>713529000</v>
      </c>
      <c r="H1418" s="5">
        <v>0.0867</v>
      </c>
      <c r="I1418" s="8">
        <f t="shared" si="89"/>
        <v>713529000</v>
      </c>
      <c r="J1418" s="8">
        <f t="shared" si="90"/>
        <v>61862964.3</v>
      </c>
      <c r="K1418" t="str">
        <f t="shared" si="91"/>
        <v>MATCHED</v>
      </c>
    </row>
    <row r="1419" spans="1:11">
      <c r="A1419" t="s">
        <v>106</v>
      </c>
      <c r="B1419" t="s">
        <v>107</v>
      </c>
      <c r="C1419" t="s">
        <v>906</v>
      </c>
      <c r="D1419" t="s">
        <v>907</v>
      </c>
      <c r="E1419" s="8">
        <v>350</v>
      </c>
      <c r="F1419" s="8">
        <v>68810</v>
      </c>
      <c r="G1419" s="8">
        <f t="shared" si="88"/>
        <v>24083500</v>
      </c>
      <c r="H1419" s="5">
        <v>0.1226</v>
      </c>
      <c r="I1419" s="8">
        <f t="shared" si="89"/>
        <v>24083500</v>
      </c>
      <c r="J1419" s="8">
        <f t="shared" si="90"/>
        <v>2952637.1</v>
      </c>
      <c r="K1419" t="str">
        <f t="shared" si="91"/>
        <v>MATCHED</v>
      </c>
    </row>
    <row r="1420" spans="1:11">
      <c r="A1420" t="s">
        <v>106</v>
      </c>
      <c r="B1420" t="s">
        <v>107</v>
      </c>
      <c r="C1420" t="s">
        <v>445</v>
      </c>
      <c r="D1420" t="s">
        <v>446</v>
      </c>
      <c r="E1420" s="8">
        <v>232500</v>
      </c>
      <c r="F1420" s="8">
        <v>68760</v>
      </c>
      <c r="G1420" s="8">
        <f t="shared" si="88"/>
        <v>15986700000</v>
      </c>
      <c r="H1420" s="5">
        <v>0.25</v>
      </c>
      <c r="I1420" s="8">
        <f t="shared" si="89"/>
        <v>15986700000</v>
      </c>
      <c r="J1420" s="8">
        <f t="shared" si="90"/>
        <v>3996675000</v>
      </c>
      <c r="K1420" t="str">
        <f t="shared" si="91"/>
        <v>MATCHED</v>
      </c>
    </row>
    <row r="1421" spans="1:11">
      <c r="A1421" t="s">
        <v>106</v>
      </c>
      <c r="B1421" t="s">
        <v>107</v>
      </c>
      <c r="C1421" t="s">
        <v>447</v>
      </c>
      <c r="D1421" t="s">
        <v>448</v>
      </c>
      <c r="E1421" s="8">
        <v>32470</v>
      </c>
      <c r="F1421" s="8">
        <v>63580</v>
      </c>
      <c r="G1421" s="8">
        <f t="shared" si="88"/>
        <v>2064442600</v>
      </c>
      <c r="H1421" s="5">
        <v>0.0528</v>
      </c>
      <c r="I1421" s="8">
        <f t="shared" si="89"/>
        <v>2064442600</v>
      </c>
      <c r="J1421" s="8">
        <f t="shared" si="90"/>
        <v>109002569.28</v>
      </c>
      <c r="K1421" t="str">
        <f t="shared" si="91"/>
        <v>MATCHED</v>
      </c>
    </row>
    <row r="1422" spans="1:11">
      <c r="A1422" t="s">
        <v>106</v>
      </c>
      <c r="B1422" t="s">
        <v>107</v>
      </c>
      <c r="C1422" t="s">
        <v>742</v>
      </c>
      <c r="D1422" t="s">
        <v>743</v>
      </c>
      <c r="E1422" s="8">
        <v>14590</v>
      </c>
      <c r="F1422" s="8">
        <v>71670</v>
      </c>
      <c r="G1422" s="8">
        <f t="shared" si="88"/>
        <v>1045665300</v>
      </c>
      <c r="H1422" s="5">
        <v>0</v>
      </c>
      <c r="I1422" s="8">
        <f t="shared" si="89"/>
        <v>1045665300</v>
      </c>
      <c r="J1422" s="8">
        <f t="shared" si="90"/>
        <v>0</v>
      </c>
      <c r="K1422" t="str">
        <f t="shared" si="91"/>
        <v>MATCHED</v>
      </c>
    </row>
    <row r="1423" spans="1:11">
      <c r="A1423" t="s">
        <v>106</v>
      </c>
      <c r="B1423" t="s">
        <v>107</v>
      </c>
      <c r="C1423" t="s">
        <v>1080</v>
      </c>
      <c r="D1423" t="s">
        <v>1081</v>
      </c>
      <c r="E1423" s="8">
        <v>560</v>
      </c>
      <c r="F1423" s="8">
        <v>57110</v>
      </c>
      <c r="G1423" s="8">
        <f t="shared" si="88"/>
        <v>31981600</v>
      </c>
      <c r="H1423" s="5">
        <v>0</v>
      </c>
      <c r="I1423" s="8">
        <f t="shared" si="89"/>
        <v>31981600</v>
      </c>
      <c r="J1423" s="8">
        <f t="shared" si="90"/>
        <v>0</v>
      </c>
      <c r="K1423" t="str">
        <f t="shared" si="91"/>
        <v>MATCHED</v>
      </c>
    </row>
    <row r="1424" spans="1:11">
      <c r="A1424" t="s">
        <v>106</v>
      </c>
      <c r="B1424" t="s">
        <v>107</v>
      </c>
      <c r="C1424" t="s">
        <v>908</v>
      </c>
      <c r="D1424" t="s">
        <v>909</v>
      </c>
      <c r="E1424" s="8">
        <v>290</v>
      </c>
      <c r="F1424" s="8">
        <v>58540</v>
      </c>
      <c r="G1424" s="8">
        <f t="shared" si="88"/>
        <v>16976600</v>
      </c>
      <c r="H1424" s="5">
        <v>0.0475</v>
      </c>
      <c r="I1424" s="8">
        <f t="shared" si="89"/>
        <v>16976600</v>
      </c>
      <c r="J1424" s="8">
        <f t="shared" si="90"/>
        <v>806388.5</v>
      </c>
      <c r="K1424" t="str">
        <f t="shared" si="91"/>
        <v>MATCHED</v>
      </c>
    </row>
    <row r="1425" spans="1:11">
      <c r="A1425" t="s">
        <v>106</v>
      </c>
      <c r="B1425" t="s">
        <v>107</v>
      </c>
      <c r="C1425" t="s">
        <v>1308</v>
      </c>
      <c r="D1425" t="s">
        <v>1309</v>
      </c>
      <c r="E1425" s="8">
        <v>130</v>
      </c>
      <c r="F1425" s="8">
        <v>71530</v>
      </c>
      <c r="G1425" s="8">
        <f t="shared" si="88"/>
        <v>9298900</v>
      </c>
      <c r="H1425" s="5">
        <v>0.1733</v>
      </c>
      <c r="I1425" s="8">
        <f t="shared" si="89"/>
        <v>9298900</v>
      </c>
      <c r="J1425" s="8">
        <f t="shared" si="90"/>
        <v>1611499.37</v>
      </c>
      <c r="K1425" t="str">
        <f t="shared" si="91"/>
        <v>MATCHED</v>
      </c>
    </row>
    <row r="1426" spans="1:11">
      <c r="A1426" t="s">
        <v>106</v>
      </c>
      <c r="B1426" t="s">
        <v>107</v>
      </c>
      <c r="C1426" t="s">
        <v>1310</v>
      </c>
      <c r="D1426" t="s">
        <v>1311</v>
      </c>
      <c r="E1426" s="8">
        <v>3720</v>
      </c>
      <c r="F1426" s="8">
        <v>66650</v>
      </c>
      <c r="G1426" s="8">
        <f t="shared" si="88"/>
        <v>247938000</v>
      </c>
      <c r="H1426" s="5">
        <v>0.2368</v>
      </c>
      <c r="I1426" s="8">
        <f t="shared" si="89"/>
        <v>247938000</v>
      </c>
      <c r="J1426" s="8">
        <f t="shared" si="90"/>
        <v>58711718.4</v>
      </c>
      <c r="K1426" t="str">
        <f t="shared" si="91"/>
        <v>MATCHED</v>
      </c>
    </row>
    <row r="1427" spans="1:11">
      <c r="A1427" t="s">
        <v>106</v>
      </c>
      <c r="B1427" t="s">
        <v>107</v>
      </c>
      <c r="C1427" t="s">
        <v>1312</v>
      </c>
      <c r="D1427" t="s">
        <v>1313</v>
      </c>
      <c r="E1427" s="8">
        <v>450</v>
      </c>
      <c r="F1427" s="8">
        <v>51760</v>
      </c>
      <c r="G1427" s="8">
        <f t="shared" si="88"/>
        <v>23292000</v>
      </c>
      <c r="H1427" s="5">
        <v>0</v>
      </c>
      <c r="I1427" s="8">
        <f t="shared" si="89"/>
        <v>23292000</v>
      </c>
      <c r="J1427" s="8">
        <f t="shared" si="90"/>
        <v>0</v>
      </c>
      <c r="K1427" t="str">
        <f t="shared" si="91"/>
        <v>MATCHED</v>
      </c>
    </row>
    <row r="1428" spans="1:11">
      <c r="A1428" t="s">
        <v>106</v>
      </c>
      <c r="B1428" t="s">
        <v>107</v>
      </c>
      <c r="C1428" t="s">
        <v>746</v>
      </c>
      <c r="D1428" t="s">
        <v>747</v>
      </c>
      <c r="E1428" s="8">
        <v>940</v>
      </c>
      <c r="F1428" s="8">
        <v>82510</v>
      </c>
      <c r="G1428" s="8">
        <f t="shared" si="88"/>
        <v>77559400</v>
      </c>
      <c r="H1428" s="5"/>
      <c r="I1428" s="8" t="str">
        <f t="shared" si="89"/>
        <v/>
      </c>
      <c r="J1428" s="8" t="str">
        <f t="shared" si="90"/>
        <v/>
      </c>
      <c r="K1428" t="str">
        <f t="shared" si="91"/>
        <v>MISSING WHARTON</v>
      </c>
    </row>
    <row r="1429" spans="1:11">
      <c r="A1429" t="s">
        <v>106</v>
      </c>
      <c r="B1429" t="s">
        <v>107</v>
      </c>
      <c r="C1429" t="s">
        <v>449</v>
      </c>
      <c r="D1429" t="s">
        <v>450</v>
      </c>
      <c r="E1429" s="8">
        <v>206760</v>
      </c>
      <c r="F1429" s="8">
        <v>62570</v>
      </c>
      <c r="G1429" s="8">
        <f t="shared" si="88"/>
        <v>12936973200</v>
      </c>
      <c r="H1429" s="5">
        <v>0.0867</v>
      </c>
      <c r="I1429" s="8">
        <f t="shared" si="89"/>
        <v>12936973200</v>
      </c>
      <c r="J1429" s="8">
        <f t="shared" si="90"/>
        <v>1121635576.44</v>
      </c>
      <c r="K1429" t="str">
        <f t="shared" si="91"/>
        <v>MATCHED</v>
      </c>
    </row>
    <row r="1430" spans="1:11">
      <c r="A1430" t="s">
        <v>106</v>
      </c>
      <c r="B1430" t="s">
        <v>107</v>
      </c>
      <c r="C1430" t="s">
        <v>910</v>
      </c>
      <c r="D1430" t="s">
        <v>911</v>
      </c>
      <c r="E1430" s="8">
        <v>430</v>
      </c>
      <c r="F1430" s="8">
        <v>77280</v>
      </c>
      <c r="G1430" s="8">
        <f t="shared" si="88"/>
        <v>33230400</v>
      </c>
      <c r="H1430" s="5">
        <v>0</v>
      </c>
      <c r="I1430" s="8">
        <f t="shared" si="89"/>
        <v>33230400</v>
      </c>
      <c r="J1430" s="8">
        <f t="shared" si="90"/>
        <v>0</v>
      </c>
      <c r="K1430" t="str">
        <f t="shared" si="91"/>
        <v>MATCHED</v>
      </c>
    </row>
    <row r="1431" spans="1:11">
      <c r="A1431" t="s">
        <v>106</v>
      </c>
      <c r="B1431" t="s">
        <v>107</v>
      </c>
      <c r="C1431" t="s">
        <v>1082</v>
      </c>
      <c r="D1431" t="s">
        <v>1083</v>
      </c>
      <c r="E1431" s="8">
        <v>1290</v>
      </c>
      <c r="F1431" s="8">
        <v>55980</v>
      </c>
      <c r="G1431" s="8">
        <f t="shared" si="88"/>
        <v>72214200</v>
      </c>
      <c r="H1431" s="5">
        <v>0.2868</v>
      </c>
      <c r="I1431" s="8">
        <f t="shared" si="89"/>
        <v>72214200</v>
      </c>
      <c r="J1431" s="8">
        <f t="shared" si="90"/>
        <v>20711032.56</v>
      </c>
      <c r="K1431" t="str">
        <f t="shared" si="91"/>
        <v>MATCHED</v>
      </c>
    </row>
    <row r="1432" spans="1:11">
      <c r="A1432" t="s">
        <v>106</v>
      </c>
      <c r="B1432" t="s">
        <v>107</v>
      </c>
      <c r="C1432" t="s">
        <v>1086</v>
      </c>
      <c r="D1432" t="s">
        <v>1087</v>
      </c>
      <c r="E1432" s="8">
        <v>120</v>
      </c>
      <c r="F1432" s="8">
        <v>65170</v>
      </c>
      <c r="G1432" s="8">
        <f t="shared" si="88"/>
        <v>7820400</v>
      </c>
      <c r="H1432" s="5">
        <v>0.0679</v>
      </c>
      <c r="I1432" s="8">
        <f t="shared" si="89"/>
        <v>7820400</v>
      </c>
      <c r="J1432" s="8">
        <f t="shared" si="90"/>
        <v>531005.16</v>
      </c>
      <c r="K1432" t="str">
        <f t="shared" si="91"/>
        <v>MATCHED</v>
      </c>
    </row>
    <row r="1433" spans="1:11">
      <c r="A1433" t="s">
        <v>106</v>
      </c>
      <c r="B1433" t="s">
        <v>107</v>
      </c>
      <c r="C1433" t="s">
        <v>1088</v>
      </c>
      <c r="D1433" t="s">
        <v>1089</v>
      </c>
      <c r="E1433" s="8">
        <v>640</v>
      </c>
      <c r="F1433" s="8">
        <v>39610</v>
      </c>
      <c r="G1433" s="8">
        <f t="shared" si="88"/>
        <v>25350400</v>
      </c>
      <c r="H1433" s="5">
        <v>0.05</v>
      </c>
      <c r="I1433" s="8">
        <f t="shared" si="89"/>
        <v>25350400</v>
      </c>
      <c r="J1433" s="8">
        <f t="shared" si="90"/>
        <v>1267520</v>
      </c>
      <c r="K1433" t="str">
        <f t="shared" si="91"/>
        <v>MATCHED</v>
      </c>
    </row>
    <row r="1434" spans="1:11">
      <c r="A1434" t="s">
        <v>106</v>
      </c>
      <c r="B1434" t="s">
        <v>107</v>
      </c>
      <c r="C1434" t="s">
        <v>748</v>
      </c>
      <c r="D1434" t="s">
        <v>749</v>
      </c>
      <c r="E1434" s="8">
        <v>3980</v>
      </c>
      <c r="F1434" s="8">
        <v>56720</v>
      </c>
      <c r="G1434" s="8">
        <f t="shared" si="88"/>
        <v>225745600</v>
      </c>
      <c r="H1434" s="5">
        <v>0</v>
      </c>
      <c r="I1434" s="8">
        <f t="shared" si="89"/>
        <v>225745600</v>
      </c>
      <c r="J1434" s="8">
        <f t="shared" si="90"/>
        <v>0</v>
      </c>
      <c r="K1434" t="str">
        <f t="shared" si="91"/>
        <v>MATCHED</v>
      </c>
    </row>
    <row r="1435" spans="1:11">
      <c r="A1435" t="s">
        <v>106</v>
      </c>
      <c r="B1435" t="s">
        <v>107</v>
      </c>
      <c r="C1435" t="s">
        <v>451</v>
      </c>
      <c r="D1435" t="s">
        <v>452</v>
      </c>
      <c r="E1435" s="8">
        <v>6310</v>
      </c>
      <c r="F1435" s="8">
        <v>44600</v>
      </c>
      <c r="G1435" s="8">
        <f t="shared" si="88"/>
        <v>281426000</v>
      </c>
      <c r="H1435" s="5">
        <v>0.0594</v>
      </c>
      <c r="I1435" s="8">
        <f t="shared" si="89"/>
        <v>281426000</v>
      </c>
      <c r="J1435" s="8">
        <f t="shared" si="90"/>
        <v>16716704.4</v>
      </c>
      <c r="K1435" t="str">
        <f t="shared" si="91"/>
        <v>MATCHED</v>
      </c>
    </row>
    <row r="1436" spans="1:11">
      <c r="A1436" t="s">
        <v>106</v>
      </c>
      <c r="B1436" t="s">
        <v>107</v>
      </c>
      <c r="C1436" t="s">
        <v>453</v>
      </c>
      <c r="D1436" t="s">
        <v>454</v>
      </c>
      <c r="E1436" s="8">
        <v>24130</v>
      </c>
      <c r="F1436" s="8">
        <v>55850</v>
      </c>
      <c r="G1436" s="8">
        <f t="shared" si="88"/>
        <v>1347660500</v>
      </c>
      <c r="H1436" s="5">
        <v>0.1667</v>
      </c>
      <c r="I1436" s="8">
        <f t="shared" si="89"/>
        <v>1347660500</v>
      </c>
      <c r="J1436" s="8">
        <f t="shared" si="90"/>
        <v>224655005.35</v>
      </c>
      <c r="K1436" t="str">
        <f t="shared" si="91"/>
        <v>MATCHED</v>
      </c>
    </row>
    <row r="1437" spans="1:11">
      <c r="A1437" t="s">
        <v>106</v>
      </c>
      <c r="B1437" t="s">
        <v>107</v>
      </c>
      <c r="C1437" t="s">
        <v>455</v>
      </c>
      <c r="D1437" t="s">
        <v>456</v>
      </c>
      <c r="E1437" s="8">
        <v>491210</v>
      </c>
      <c r="F1437" s="8">
        <v>76650</v>
      </c>
      <c r="G1437" s="8">
        <f t="shared" si="88"/>
        <v>37651246500</v>
      </c>
      <c r="H1437" s="5">
        <v>0.3775</v>
      </c>
      <c r="I1437" s="8">
        <f t="shared" si="89"/>
        <v>37651246500</v>
      </c>
      <c r="J1437" s="8">
        <f t="shared" si="90"/>
        <v>14213345553.75</v>
      </c>
      <c r="K1437" t="str">
        <f t="shared" si="91"/>
        <v>MATCHED</v>
      </c>
    </row>
    <row r="1438" spans="1:11">
      <c r="A1438" t="s">
        <v>106</v>
      </c>
      <c r="B1438" t="s">
        <v>107</v>
      </c>
      <c r="C1438" t="s">
        <v>1314</v>
      </c>
      <c r="D1438" t="s">
        <v>1315</v>
      </c>
      <c r="E1438" s="8">
        <v>31200</v>
      </c>
      <c r="F1438" s="8">
        <v>72340</v>
      </c>
      <c r="G1438" s="8">
        <f t="shared" si="88"/>
        <v>2257008000</v>
      </c>
      <c r="H1438" s="5">
        <v>0.0317</v>
      </c>
      <c r="I1438" s="8">
        <f t="shared" si="89"/>
        <v>2257008000</v>
      </c>
      <c r="J1438" s="8">
        <f t="shared" si="90"/>
        <v>71547153.6</v>
      </c>
      <c r="K1438" t="str">
        <f t="shared" si="91"/>
        <v>MATCHED</v>
      </c>
    </row>
    <row r="1439" spans="1:11">
      <c r="A1439" t="s">
        <v>106</v>
      </c>
      <c r="B1439" t="s">
        <v>107</v>
      </c>
      <c r="C1439" t="s">
        <v>1316</v>
      </c>
      <c r="D1439" t="s">
        <v>1317</v>
      </c>
      <c r="E1439" s="8">
        <v>11850</v>
      </c>
      <c r="F1439" s="8">
        <v>49910</v>
      </c>
      <c r="G1439" s="8">
        <f t="shared" si="88"/>
        <v>591433500</v>
      </c>
      <c r="H1439" s="5">
        <v>0.0864</v>
      </c>
      <c r="I1439" s="8">
        <f t="shared" si="89"/>
        <v>591433500</v>
      </c>
      <c r="J1439" s="8">
        <f t="shared" si="90"/>
        <v>51099854.4</v>
      </c>
      <c r="K1439" t="str">
        <f t="shared" si="91"/>
        <v>MATCHED</v>
      </c>
    </row>
    <row r="1440" spans="1:11">
      <c r="A1440" t="s">
        <v>106</v>
      </c>
      <c r="B1440" t="s">
        <v>107</v>
      </c>
      <c r="C1440" t="s">
        <v>912</v>
      </c>
      <c r="D1440" t="s">
        <v>913</v>
      </c>
      <c r="E1440" s="8">
        <v>218840</v>
      </c>
      <c r="F1440" s="8">
        <v>47640</v>
      </c>
      <c r="G1440" s="8">
        <f t="shared" si="88"/>
        <v>10425537600</v>
      </c>
      <c r="H1440" s="5">
        <v>0.0559</v>
      </c>
      <c r="I1440" s="8">
        <f t="shared" si="89"/>
        <v>10425537600</v>
      </c>
      <c r="J1440" s="8">
        <f t="shared" si="90"/>
        <v>582787551.84</v>
      </c>
      <c r="K1440" t="str">
        <f t="shared" si="91"/>
        <v>MATCHED</v>
      </c>
    </row>
    <row r="1441" spans="1:11">
      <c r="A1441" t="s">
        <v>106</v>
      </c>
      <c r="B1441" t="s">
        <v>107</v>
      </c>
      <c r="C1441" t="s">
        <v>1318</v>
      </c>
      <c r="D1441" t="s">
        <v>1319</v>
      </c>
      <c r="E1441" s="8">
        <v>31810</v>
      </c>
      <c r="F1441" s="8">
        <v>58080</v>
      </c>
      <c r="G1441" s="8">
        <f t="shared" si="88"/>
        <v>1847524800</v>
      </c>
      <c r="H1441" s="5">
        <v>0.0583</v>
      </c>
      <c r="I1441" s="8">
        <f t="shared" si="89"/>
        <v>1847524800</v>
      </c>
      <c r="J1441" s="8">
        <f t="shared" si="90"/>
        <v>107710695.84</v>
      </c>
      <c r="K1441" t="str">
        <f t="shared" si="91"/>
        <v>MATCHED</v>
      </c>
    </row>
    <row r="1442" spans="1:11">
      <c r="A1442" t="s">
        <v>106</v>
      </c>
      <c r="B1442" t="s">
        <v>107</v>
      </c>
      <c r="C1442" t="s">
        <v>1092</v>
      </c>
      <c r="D1442" t="s">
        <v>1093</v>
      </c>
      <c r="E1442" s="8">
        <v>41590</v>
      </c>
      <c r="F1442" s="8">
        <v>54360</v>
      </c>
      <c r="G1442" s="8">
        <f t="shared" si="88"/>
        <v>2260832400</v>
      </c>
      <c r="H1442" s="5">
        <v>0</v>
      </c>
      <c r="I1442" s="8">
        <f t="shared" si="89"/>
        <v>2260832400</v>
      </c>
      <c r="J1442" s="8">
        <f t="shared" si="90"/>
        <v>0</v>
      </c>
      <c r="K1442" t="str">
        <f t="shared" si="91"/>
        <v>MATCHED</v>
      </c>
    </row>
    <row r="1443" spans="1:11">
      <c r="A1443" t="s">
        <v>106</v>
      </c>
      <c r="B1443" t="s">
        <v>107</v>
      </c>
      <c r="C1443" t="s">
        <v>1094</v>
      </c>
      <c r="D1443" t="s">
        <v>1095</v>
      </c>
      <c r="E1443" s="8">
        <v>14940</v>
      </c>
      <c r="F1443" s="8">
        <v>49420</v>
      </c>
      <c r="G1443" s="8">
        <f t="shared" si="88"/>
        <v>738334800</v>
      </c>
      <c r="H1443" s="5">
        <v>0</v>
      </c>
      <c r="I1443" s="8">
        <f t="shared" si="89"/>
        <v>738334800</v>
      </c>
      <c r="J1443" s="8">
        <f t="shared" si="90"/>
        <v>0</v>
      </c>
      <c r="K1443" t="str">
        <f t="shared" si="91"/>
        <v>MATCHED</v>
      </c>
    </row>
    <row r="1444" spans="1:11">
      <c r="A1444" t="s">
        <v>106</v>
      </c>
      <c r="B1444" t="s">
        <v>107</v>
      </c>
      <c r="C1444" t="s">
        <v>1320</v>
      </c>
      <c r="D1444" t="s">
        <v>1321</v>
      </c>
      <c r="E1444" s="8">
        <v>240</v>
      </c>
      <c r="F1444" s="8">
        <v>54810</v>
      </c>
      <c r="G1444" s="8">
        <f t="shared" si="88"/>
        <v>13154400</v>
      </c>
      <c r="H1444" s="5">
        <v>0.0559</v>
      </c>
      <c r="I1444" s="8">
        <f t="shared" si="89"/>
        <v>13154400</v>
      </c>
      <c r="J1444" s="8">
        <f t="shared" si="90"/>
        <v>735330.96</v>
      </c>
      <c r="K1444" t="str">
        <f t="shared" si="91"/>
        <v>MATCHED</v>
      </c>
    </row>
    <row r="1445" spans="1:11">
      <c r="A1445" t="s">
        <v>106</v>
      </c>
      <c r="B1445" t="s">
        <v>107</v>
      </c>
      <c r="C1445" t="s">
        <v>457</v>
      </c>
      <c r="D1445" t="s">
        <v>458</v>
      </c>
      <c r="E1445" s="8">
        <v>1074240</v>
      </c>
      <c r="F1445" s="8">
        <v>48460</v>
      </c>
      <c r="G1445" s="8">
        <f t="shared" si="88"/>
        <v>52057670400</v>
      </c>
      <c r="H1445" s="5">
        <v>0.15</v>
      </c>
      <c r="I1445" s="8">
        <f t="shared" si="89"/>
        <v>52057670400</v>
      </c>
      <c r="J1445" s="8">
        <f t="shared" si="90"/>
        <v>7808650560</v>
      </c>
      <c r="K1445" t="str">
        <f t="shared" si="91"/>
        <v>MATCHED</v>
      </c>
    </row>
    <row r="1446" spans="1:11">
      <c r="A1446" t="s">
        <v>106</v>
      </c>
      <c r="B1446" t="s">
        <v>107</v>
      </c>
      <c r="C1446" t="s">
        <v>1322</v>
      </c>
      <c r="D1446" t="s">
        <v>1323</v>
      </c>
      <c r="E1446" s="8">
        <v>81960</v>
      </c>
      <c r="F1446" s="8">
        <v>38590</v>
      </c>
      <c r="G1446" s="8">
        <f t="shared" si="88"/>
        <v>3162836400</v>
      </c>
      <c r="H1446" s="5">
        <v>0.1444</v>
      </c>
      <c r="I1446" s="8">
        <f t="shared" si="89"/>
        <v>3162836400</v>
      </c>
      <c r="J1446" s="8">
        <f t="shared" si="90"/>
        <v>456713576.16</v>
      </c>
      <c r="K1446" t="str">
        <f t="shared" si="91"/>
        <v>MATCHED</v>
      </c>
    </row>
    <row r="1447" spans="1:11">
      <c r="A1447" t="s">
        <v>106</v>
      </c>
      <c r="B1447" t="s">
        <v>107</v>
      </c>
      <c r="C1447" t="s">
        <v>1324</v>
      </c>
      <c r="D1447" t="s">
        <v>1325</v>
      </c>
      <c r="E1447" s="8">
        <v>12620</v>
      </c>
      <c r="F1447" s="8">
        <v>42460</v>
      </c>
      <c r="G1447" s="8">
        <f t="shared" si="88"/>
        <v>535845200</v>
      </c>
      <c r="H1447" s="5">
        <v>0.1583</v>
      </c>
      <c r="I1447" s="8">
        <f t="shared" si="89"/>
        <v>535845200</v>
      </c>
      <c r="J1447" s="8">
        <f t="shared" si="90"/>
        <v>84824295.16</v>
      </c>
      <c r="K1447" t="str">
        <f t="shared" si="91"/>
        <v>MATCHED</v>
      </c>
    </row>
    <row r="1448" spans="1:11">
      <c r="A1448" t="s">
        <v>106</v>
      </c>
      <c r="B1448" t="s">
        <v>107</v>
      </c>
      <c r="C1448" t="s">
        <v>1326</v>
      </c>
      <c r="D1448" t="s">
        <v>1327</v>
      </c>
      <c r="E1448" s="8">
        <v>113700</v>
      </c>
      <c r="F1448" s="8">
        <v>39850</v>
      </c>
      <c r="G1448" s="8">
        <f t="shared" si="88"/>
        <v>4530945000</v>
      </c>
      <c r="H1448" s="5">
        <v>0</v>
      </c>
      <c r="I1448" s="8">
        <f t="shared" si="89"/>
        <v>4530945000</v>
      </c>
      <c r="J1448" s="8">
        <f t="shared" si="90"/>
        <v>0</v>
      </c>
      <c r="K1448" t="str">
        <f t="shared" si="91"/>
        <v>MATCHED</v>
      </c>
    </row>
    <row r="1449" spans="1:11">
      <c r="A1449" t="s">
        <v>106</v>
      </c>
      <c r="B1449" t="s">
        <v>107</v>
      </c>
      <c r="C1449" t="s">
        <v>1328</v>
      </c>
      <c r="D1449" t="s">
        <v>1329</v>
      </c>
      <c r="E1449" s="8">
        <v>63400</v>
      </c>
      <c r="F1449" s="8">
        <v>42170</v>
      </c>
      <c r="G1449" s="8">
        <f t="shared" si="88"/>
        <v>2673578000</v>
      </c>
      <c r="H1449" s="5">
        <v>0</v>
      </c>
      <c r="I1449" s="8">
        <f t="shared" si="89"/>
        <v>2673578000</v>
      </c>
      <c r="J1449" s="8">
        <f t="shared" si="90"/>
        <v>0</v>
      </c>
      <c r="K1449" t="str">
        <f t="shared" si="91"/>
        <v>MATCHED</v>
      </c>
    </row>
    <row r="1450" spans="1:11">
      <c r="A1450" t="s">
        <v>106</v>
      </c>
      <c r="B1450" t="s">
        <v>107</v>
      </c>
      <c r="C1450" t="s">
        <v>459</v>
      </c>
      <c r="D1450" t="s">
        <v>460</v>
      </c>
      <c r="E1450" s="8">
        <v>15990</v>
      </c>
      <c r="F1450" s="8">
        <v>46300</v>
      </c>
      <c r="G1450" s="8">
        <f t="shared" si="88"/>
        <v>740337000</v>
      </c>
      <c r="H1450" s="5">
        <v>0.0475</v>
      </c>
      <c r="I1450" s="8">
        <f t="shared" si="89"/>
        <v>740337000</v>
      </c>
      <c r="J1450" s="8">
        <f t="shared" si="90"/>
        <v>35166007.5</v>
      </c>
      <c r="K1450" t="str">
        <f t="shared" si="91"/>
        <v>MATCHED</v>
      </c>
    </row>
    <row r="1451" spans="1:11">
      <c r="A1451" t="s">
        <v>106</v>
      </c>
      <c r="B1451" t="s">
        <v>107</v>
      </c>
      <c r="C1451" t="s">
        <v>461</v>
      </c>
      <c r="D1451" t="s">
        <v>462</v>
      </c>
      <c r="E1451" s="8">
        <v>147920</v>
      </c>
      <c r="F1451" s="8">
        <v>44850</v>
      </c>
      <c r="G1451" s="8">
        <f t="shared" si="88"/>
        <v>6634212000</v>
      </c>
      <c r="H1451" s="5">
        <v>0.038</v>
      </c>
      <c r="I1451" s="8">
        <f t="shared" si="89"/>
        <v>6634212000</v>
      </c>
      <c r="J1451" s="8">
        <f t="shared" si="90"/>
        <v>252100056</v>
      </c>
      <c r="K1451" t="str">
        <f t="shared" si="91"/>
        <v>MATCHED</v>
      </c>
    </row>
    <row r="1452" spans="1:11">
      <c r="A1452" t="s">
        <v>106</v>
      </c>
      <c r="B1452" t="s">
        <v>107</v>
      </c>
      <c r="C1452" t="s">
        <v>1330</v>
      </c>
      <c r="D1452" t="s">
        <v>1331</v>
      </c>
      <c r="E1452" s="8">
        <v>25130</v>
      </c>
      <c r="F1452" s="8">
        <v>43420</v>
      </c>
      <c r="G1452" s="8">
        <f t="shared" si="88"/>
        <v>1091144600</v>
      </c>
      <c r="H1452" s="5">
        <v>0.1118</v>
      </c>
      <c r="I1452" s="8">
        <f t="shared" si="89"/>
        <v>1091144600</v>
      </c>
      <c r="J1452" s="8">
        <f t="shared" si="90"/>
        <v>121989966.28</v>
      </c>
      <c r="K1452" t="str">
        <f t="shared" si="91"/>
        <v>MATCHED</v>
      </c>
    </row>
    <row r="1453" spans="1:11">
      <c r="A1453" t="s">
        <v>106</v>
      </c>
      <c r="B1453" t="s">
        <v>107</v>
      </c>
      <c r="C1453" t="s">
        <v>463</v>
      </c>
      <c r="D1453" t="s">
        <v>464</v>
      </c>
      <c r="E1453" s="8">
        <v>48020</v>
      </c>
      <c r="F1453" s="8">
        <v>40770</v>
      </c>
      <c r="G1453" s="8">
        <f t="shared" si="88"/>
        <v>1957775400</v>
      </c>
      <c r="H1453" s="5"/>
      <c r="I1453" s="8" t="str">
        <f t="shared" si="89"/>
        <v/>
      </c>
      <c r="J1453" s="8" t="str">
        <f t="shared" si="90"/>
        <v/>
      </c>
      <c r="K1453" t="str">
        <f t="shared" si="91"/>
        <v>MISSING WHARTON</v>
      </c>
    </row>
    <row r="1454" spans="1:11">
      <c r="A1454" t="s">
        <v>106</v>
      </c>
      <c r="B1454" t="s">
        <v>107</v>
      </c>
      <c r="C1454" t="s">
        <v>1096</v>
      </c>
      <c r="D1454" t="s">
        <v>1097</v>
      </c>
      <c r="E1454" s="8">
        <v>58050</v>
      </c>
      <c r="F1454" s="8">
        <v>49640</v>
      </c>
      <c r="G1454" s="8">
        <f t="shared" si="88"/>
        <v>2881602000</v>
      </c>
      <c r="H1454" s="5">
        <v>0</v>
      </c>
      <c r="I1454" s="8">
        <f t="shared" si="89"/>
        <v>2881602000</v>
      </c>
      <c r="J1454" s="8">
        <f t="shared" si="90"/>
        <v>0</v>
      </c>
      <c r="K1454" t="str">
        <f t="shared" si="91"/>
        <v>MATCHED</v>
      </c>
    </row>
    <row r="1455" spans="1:11">
      <c r="A1455" t="s">
        <v>106</v>
      </c>
      <c r="B1455" t="s">
        <v>107</v>
      </c>
      <c r="C1455" t="s">
        <v>1098</v>
      </c>
      <c r="D1455" t="s">
        <v>1099</v>
      </c>
      <c r="E1455" s="8">
        <v>8080</v>
      </c>
      <c r="F1455" s="8">
        <v>51540</v>
      </c>
      <c r="G1455" s="8">
        <f t="shared" si="88"/>
        <v>416443200</v>
      </c>
      <c r="H1455" s="5">
        <v>0</v>
      </c>
      <c r="I1455" s="8">
        <f t="shared" si="89"/>
        <v>416443200</v>
      </c>
      <c r="J1455" s="8">
        <f t="shared" si="90"/>
        <v>0</v>
      </c>
      <c r="K1455" t="str">
        <f t="shared" si="91"/>
        <v>MATCHED</v>
      </c>
    </row>
    <row r="1456" spans="1:11">
      <c r="A1456" t="s">
        <v>106</v>
      </c>
      <c r="B1456" t="s">
        <v>107</v>
      </c>
      <c r="C1456" t="s">
        <v>750</v>
      </c>
      <c r="D1456" t="s">
        <v>751</v>
      </c>
      <c r="E1456" s="8">
        <v>23020</v>
      </c>
      <c r="F1456" s="8">
        <v>53410</v>
      </c>
      <c r="G1456" s="8">
        <f t="shared" si="88"/>
        <v>1229498200</v>
      </c>
      <c r="H1456" s="5">
        <v>0.1</v>
      </c>
      <c r="I1456" s="8">
        <f t="shared" si="89"/>
        <v>1229498200</v>
      </c>
      <c r="J1456" s="8">
        <f t="shared" si="90"/>
        <v>122949820</v>
      </c>
      <c r="K1456" t="str">
        <f t="shared" si="91"/>
        <v>MATCHED</v>
      </c>
    </row>
    <row r="1457" spans="1:11">
      <c r="A1457" t="s">
        <v>106</v>
      </c>
      <c r="B1457" t="s">
        <v>107</v>
      </c>
      <c r="C1457" t="s">
        <v>1100</v>
      </c>
      <c r="D1457" t="s">
        <v>1101</v>
      </c>
      <c r="E1457" s="8">
        <v>150750</v>
      </c>
      <c r="F1457" s="8">
        <v>48930</v>
      </c>
      <c r="G1457" s="8">
        <f t="shared" si="88"/>
        <v>7376197500</v>
      </c>
      <c r="H1457" s="5">
        <v>0.0297</v>
      </c>
      <c r="I1457" s="8">
        <f t="shared" si="89"/>
        <v>7376197500</v>
      </c>
      <c r="J1457" s="8">
        <f t="shared" si="90"/>
        <v>219073065.75</v>
      </c>
      <c r="K1457" t="str">
        <f t="shared" si="91"/>
        <v>MATCHED</v>
      </c>
    </row>
    <row r="1458" spans="1:11">
      <c r="A1458" t="s">
        <v>106</v>
      </c>
      <c r="B1458" t="s">
        <v>107</v>
      </c>
      <c r="C1458" t="s">
        <v>752</v>
      </c>
      <c r="D1458" t="s">
        <v>753</v>
      </c>
      <c r="E1458" s="8">
        <v>4080</v>
      </c>
      <c r="F1458" s="8">
        <v>51000</v>
      </c>
      <c r="G1458" s="8">
        <f t="shared" si="88"/>
        <v>208080000</v>
      </c>
      <c r="H1458" s="5">
        <v>0</v>
      </c>
      <c r="I1458" s="8">
        <f t="shared" si="89"/>
        <v>208080000</v>
      </c>
      <c r="J1458" s="8">
        <f t="shared" si="90"/>
        <v>0</v>
      </c>
      <c r="K1458" t="str">
        <f t="shared" si="91"/>
        <v>MATCHED</v>
      </c>
    </row>
    <row r="1459" spans="1:11">
      <c r="A1459" t="s">
        <v>106</v>
      </c>
      <c r="B1459" t="s">
        <v>107</v>
      </c>
      <c r="C1459" t="s">
        <v>1102</v>
      </c>
      <c r="D1459" t="s">
        <v>1103</v>
      </c>
      <c r="E1459" s="8">
        <v>64320</v>
      </c>
      <c r="F1459" s="8">
        <v>48430</v>
      </c>
      <c r="G1459" s="8">
        <f t="shared" si="88"/>
        <v>3115017600</v>
      </c>
      <c r="H1459" s="5">
        <v>0.0917</v>
      </c>
      <c r="I1459" s="8">
        <f t="shared" si="89"/>
        <v>3115017600</v>
      </c>
      <c r="J1459" s="8">
        <f t="shared" si="90"/>
        <v>285647113.92</v>
      </c>
      <c r="K1459" t="str">
        <f t="shared" si="91"/>
        <v>MATCHED</v>
      </c>
    </row>
    <row r="1460" spans="1:11">
      <c r="A1460" t="s">
        <v>106</v>
      </c>
      <c r="B1460" t="s">
        <v>107</v>
      </c>
      <c r="C1460" t="s">
        <v>1104</v>
      </c>
      <c r="D1460" t="s">
        <v>1105</v>
      </c>
      <c r="E1460" s="8">
        <v>16190</v>
      </c>
      <c r="F1460" s="8">
        <v>52630</v>
      </c>
      <c r="G1460" s="8">
        <f t="shared" si="88"/>
        <v>852079700</v>
      </c>
      <c r="H1460" s="5">
        <v>0.0438</v>
      </c>
      <c r="I1460" s="8">
        <f t="shared" si="89"/>
        <v>852079700</v>
      </c>
      <c r="J1460" s="8">
        <f t="shared" si="90"/>
        <v>37321090.86</v>
      </c>
      <c r="K1460" t="str">
        <f t="shared" si="91"/>
        <v>MATCHED</v>
      </c>
    </row>
    <row r="1461" spans="1:11">
      <c r="A1461" t="s">
        <v>106</v>
      </c>
      <c r="B1461" t="s">
        <v>107</v>
      </c>
      <c r="C1461" t="s">
        <v>754</v>
      </c>
      <c r="D1461" t="s">
        <v>755</v>
      </c>
      <c r="E1461" s="8">
        <v>10950</v>
      </c>
      <c r="F1461" s="8">
        <v>57640</v>
      </c>
      <c r="G1461" s="8">
        <f t="shared" si="88"/>
        <v>631158000</v>
      </c>
      <c r="H1461" s="5">
        <v>0.0633</v>
      </c>
      <c r="I1461" s="8">
        <f t="shared" si="89"/>
        <v>631158000</v>
      </c>
      <c r="J1461" s="8">
        <f t="shared" si="90"/>
        <v>39952301.4</v>
      </c>
      <c r="K1461" t="str">
        <f t="shared" si="91"/>
        <v>MATCHED</v>
      </c>
    </row>
    <row r="1462" spans="1:11">
      <c r="A1462" t="s">
        <v>106</v>
      </c>
      <c r="B1462" t="s">
        <v>107</v>
      </c>
      <c r="C1462" t="s">
        <v>756</v>
      </c>
      <c r="D1462" t="s">
        <v>757</v>
      </c>
      <c r="E1462" s="8">
        <v>241490</v>
      </c>
      <c r="F1462" s="8">
        <v>58550</v>
      </c>
      <c r="G1462" s="8">
        <f t="shared" si="88"/>
        <v>14139239500</v>
      </c>
      <c r="H1462" s="5">
        <v>0.0897</v>
      </c>
      <c r="I1462" s="8">
        <f t="shared" si="89"/>
        <v>14139239500</v>
      </c>
      <c r="J1462" s="8">
        <f t="shared" si="90"/>
        <v>1268289783.15</v>
      </c>
      <c r="K1462" t="str">
        <f t="shared" si="91"/>
        <v>MATCHED</v>
      </c>
    </row>
    <row r="1463" spans="1:11">
      <c r="A1463" t="s">
        <v>106</v>
      </c>
      <c r="B1463" t="s">
        <v>107</v>
      </c>
      <c r="C1463" t="s">
        <v>758</v>
      </c>
      <c r="D1463" t="s">
        <v>759</v>
      </c>
      <c r="E1463" s="8">
        <v>16340</v>
      </c>
      <c r="F1463" s="8">
        <v>55510</v>
      </c>
      <c r="G1463" s="8">
        <f t="shared" si="88"/>
        <v>907033400</v>
      </c>
      <c r="H1463" s="5">
        <v>0.1267</v>
      </c>
      <c r="I1463" s="8">
        <f t="shared" si="89"/>
        <v>907033400</v>
      </c>
      <c r="J1463" s="8">
        <f t="shared" si="90"/>
        <v>114921131.78</v>
      </c>
      <c r="K1463" t="str">
        <f t="shared" si="91"/>
        <v>MATCHED</v>
      </c>
    </row>
    <row r="1464" spans="1:11">
      <c r="A1464" t="s">
        <v>106</v>
      </c>
      <c r="B1464" t="s">
        <v>107</v>
      </c>
      <c r="C1464" t="s">
        <v>1332</v>
      </c>
      <c r="D1464" t="s">
        <v>1333</v>
      </c>
      <c r="E1464" s="8">
        <v>4500</v>
      </c>
      <c r="F1464" s="8">
        <v>54430</v>
      </c>
      <c r="G1464" s="8">
        <f t="shared" si="88"/>
        <v>244935000</v>
      </c>
      <c r="H1464" s="5">
        <v>0</v>
      </c>
      <c r="I1464" s="8">
        <f t="shared" si="89"/>
        <v>244935000</v>
      </c>
      <c r="J1464" s="8">
        <f t="shared" si="90"/>
        <v>0</v>
      </c>
      <c r="K1464" t="str">
        <f t="shared" si="91"/>
        <v>MATCHED</v>
      </c>
    </row>
    <row r="1465" spans="1:11">
      <c r="A1465" t="s">
        <v>106</v>
      </c>
      <c r="B1465" t="s">
        <v>107</v>
      </c>
      <c r="C1465" t="s">
        <v>1334</v>
      </c>
      <c r="D1465" t="s">
        <v>1335</v>
      </c>
      <c r="E1465" s="8">
        <v>1600</v>
      </c>
      <c r="F1465" s="8">
        <v>66130</v>
      </c>
      <c r="G1465" s="8">
        <f t="shared" si="88"/>
        <v>105808000</v>
      </c>
      <c r="H1465" s="5">
        <v>0.0594</v>
      </c>
      <c r="I1465" s="8">
        <f t="shared" si="89"/>
        <v>105808000</v>
      </c>
      <c r="J1465" s="8">
        <f t="shared" si="90"/>
        <v>6284995.2</v>
      </c>
      <c r="K1465" t="str">
        <f t="shared" si="91"/>
        <v>MATCHED</v>
      </c>
    </row>
    <row r="1466" spans="1:11">
      <c r="A1466" t="s">
        <v>106</v>
      </c>
      <c r="B1466" t="s">
        <v>107</v>
      </c>
      <c r="C1466" t="s">
        <v>1336</v>
      </c>
      <c r="D1466" t="s">
        <v>1337</v>
      </c>
      <c r="E1466" s="8">
        <v>1440</v>
      </c>
      <c r="F1466" s="8">
        <v>61040</v>
      </c>
      <c r="G1466" s="8">
        <f t="shared" si="88"/>
        <v>87897600</v>
      </c>
      <c r="H1466" s="5">
        <v>0.1267</v>
      </c>
      <c r="I1466" s="8">
        <f t="shared" si="89"/>
        <v>87897600</v>
      </c>
      <c r="J1466" s="8">
        <f t="shared" si="90"/>
        <v>11136625.92</v>
      </c>
      <c r="K1466" t="str">
        <f t="shared" si="91"/>
        <v>MATCHED</v>
      </c>
    </row>
    <row r="1467" spans="1:11">
      <c r="A1467" t="s">
        <v>106</v>
      </c>
      <c r="B1467" t="s">
        <v>107</v>
      </c>
      <c r="C1467" t="s">
        <v>1338</v>
      </c>
      <c r="D1467" t="s">
        <v>1339</v>
      </c>
      <c r="E1467" s="8">
        <v>12430</v>
      </c>
      <c r="F1467" s="8">
        <v>49990</v>
      </c>
      <c r="G1467" s="8">
        <f t="shared" si="88"/>
        <v>621375700</v>
      </c>
      <c r="H1467" s="5">
        <v>0</v>
      </c>
      <c r="I1467" s="8">
        <f t="shared" si="89"/>
        <v>621375700</v>
      </c>
      <c r="J1467" s="8">
        <f t="shared" si="90"/>
        <v>0</v>
      </c>
      <c r="K1467" t="str">
        <f t="shared" si="91"/>
        <v>MATCHED</v>
      </c>
    </row>
    <row r="1468" spans="1:11">
      <c r="A1468" t="s">
        <v>106</v>
      </c>
      <c r="B1468" t="s">
        <v>107</v>
      </c>
      <c r="C1468" t="s">
        <v>1106</v>
      </c>
      <c r="D1468" t="s">
        <v>1107</v>
      </c>
      <c r="E1468" s="8">
        <v>138510</v>
      </c>
      <c r="F1468" s="8">
        <v>46300</v>
      </c>
      <c r="G1468" s="8">
        <f t="shared" si="88"/>
        <v>6413013000</v>
      </c>
      <c r="H1468" s="5">
        <v>0.0288</v>
      </c>
      <c r="I1468" s="8">
        <f t="shared" si="89"/>
        <v>6413013000</v>
      </c>
      <c r="J1468" s="8">
        <f t="shared" si="90"/>
        <v>184694774.4</v>
      </c>
      <c r="K1468" t="str">
        <f t="shared" si="91"/>
        <v>MATCHED</v>
      </c>
    </row>
    <row r="1469" spans="1:11">
      <c r="A1469" t="s">
        <v>106</v>
      </c>
      <c r="B1469" t="s">
        <v>107</v>
      </c>
      <c r="C1469" t="s">
        <v>1108</v>
      </c>
      <c r="D1469" t="s">
        <v>1109</v>
      </c>
      <c r="E1469" s="8">
        <v>102540</v>
      </c>
      <c r="F1469" s="8">
        <v>51800</v>
      </c>
      <c r="G1469" s="8">
        <f t="shared" si="88"/>
        <v>5311572000</v>
      </c>
      <c r="H1469" s="5">
        <v>0.169</v>
      </c>
      <c r="I1469" s="8">
        <f t="shared" si="89"/>
        <v>5311572000</v>
      </c>
      <c r="J1469" s="8">
        <f t="shared" si="90"/>
        <v>897655668</v>
      </c>
      <c r="K1469" t="str">
        <f t="shared" si="91"/>
        <v>MATCHED</v>
      </c>
    </row>
    <row r="1470" spans="1:11">
      <c r="A1470" t="s">
        <v>106</v>
      </c>
      <c r="B1470" t="s">
        <v>107</v>
      </c>
      <c r="C1470" t="s">
        <v>760</v>
      </c>
      <c r="D1470" t="s">
        <v>761</v>
      </c>
      <c r="E1470" s="8">
        <v>53680</v>
      </c>
      <c r="F1470" s="8">
        <v>67200</v>
      </c>
      <c r="G1470" s="8">
        <f t="shared" si="88"/>
        <v>3607296000</v>
      </c>
      <c r="H1470" s="5">
        <v>0.0559</v>
      </c>
      <c r="I1470" s="8">
        <f t="shared" si="89"/>
        <v>3607296000</v>
      </c>
      <c r="J1470" s="8">
        <f t="shared" si="90"/>
        <v>201647846.4</v>
      </c>
      <c r="K1470" t="str">
        <f t="shared" si="91"/>
        <v>MATCHED</v>
      </c>
    </row>
    <row r="1471" spans="1:11">
      <c r="A1471" t="s">
        <v>106</v>
      </c>
      <c r="B1471" t="s">
        <v>107</v>
      </c>
      <c r="C1471" t="s">
        <v>465</v>
      </c>
      <c r="D1471" t="s">
        <v>466</v>
      </c>
      <c r="E1471" s="8">
        <v>274710</v>
      </c>
      <c r="F1471" s="8">
        <v>54390</v>
      </c>
      <c r="G1471" s="8">
        <f t="shared" si="88"/>
        <v>14941476900</v>
      </c>
      <c r="H1471" s="5">
        <v>0.0233</v>
      </c>
      <c r="I1471" s="8">
        <f t="shared" si="89"/>
        <v>14941476900</v>
      </c>
      <c r="J1471" s="8">
        <f t="shared" si="90"/>
        <v>348136411.77</v>
      </c>
      <c r="K1471" t="str">
        <f t="shared" si="91"/>
        <v>MATCHED</v>
      </c>
    </row>
    <row r="1472" spans="1:11">
      <c r="A1472" t="s">
        <v>106</v>
      </c>
      <c r="B1472" t="s">
        <v>107</v>
      </c>
      <c r="C1472" t="s">
        <v>762</v>
      </c>
      <c r="D1472" t="s">
        <v>763</v>
      </c>
      <c r="E1472" s="8">
        <v>26980</v>
      </c>
      <c r="F1472" s="8">
        <v>50070</v>
      </c>
      <c r="G1472" s="8">
        <f t="shared" si="88"/>
        <v>1350888600</v>
      </c>
      <c r="H1472" s="5">
        <v>0.0983</v>
      </c>
      <c r="I1472" s="8">
        <f t="shared" si="89"/>
        <v>1350888600</v>
      </c>
      <c r="J1472" s="8">
        <f t="shared" si="90"/>
        <v>132792349.38</v>
      </c>
      <c r="K1472" t="str">
        <f t="shared" si="91"/>
        <v>MATCHED</v>
      </c>
    </row>
    <row r="1473" spans="1:11">
      <c r="A1473" t="s">
        <v>106</v>
      </c>
      <c r="B1473" t="s">
        <v>107</v>
      </c>
      <c r="C1473" t="s">
        <v>1110</v>
      </c>
      <c r="D1473" t="s">
        <v>1111</v>
      </c>
      <c r="E1473" s="8">
        <v>12860</v>
      </c>
      <c r="F1473" s="8">
        <v>50390</v>
      </c>
      <c r="G1473" s="8">
        <f t="shared" si="88"/>
        <v>648015400</v>
      </c>
      <c r="H1473" s="5">
        <v>0.0365</v>
      </c>
      <c r="I1473" s="8">
        <f t="shared" si="89"/>
        <v>648015400</v>
      </c>
      <c r="J1473" s="8">
        <f t="shared" si="90"/>
        <v>23652562.1</v>
      </c>
      <c r="K1473" t="str">
        <f t="shared" si="91"/>
        <v>MATCHED</v>
      </c>
    </row>
    <row r="1474" spans="1:11">
      <c r="A1474" t="s">
        <v>106</v>
      </c>
      <c r="B1474" t="s">
        <v>107</v>
      </c>
      <c r="C1474" t="s">
        <v>1112</v>
      </c>
      <c r="D1474" t="s">
        <v>1113</v>
      </c>
      <c r="E1474" s="8">
        <v>3870</v>
      </c>
      <c r="F1474" s="8">
        <v>61790</v>
      </c>
      <c r="G1474" s="8">
        <f t="shared" ref="G1474:G1537" si="92">IF(OR(E1474="",F1474=""),"",E1474*F1474)</f>
        <v>239127300</v>
      </c>
      <c r="H1474" s="5">
        <v>0.0679</v>
      </c>
      <c r="I1474" s="8">
        <f t="shared" ref="I1474:I1537" si="93">IF(G1474="","",IF(ISNUMBER(H1474),G1474,""))</f>
        <v>239127300</v>
      </c>
      <c r="J1474" s="8">
        <f t="shared" ref="J1474:J1537" si="94">IF(I1474="","",I1474*H1474)</f>
        <v>16236743.67</v>
      </c>
      <c r="K1474" t="str">
        <f t="shared" ref="K1474:K1537" si="95">IF(G1474="","MISSING OEWS",IF(ISNUMBER(H1474),"MATCHED","MISSING WHARTON"))</f>
        <v>MATCHED</v>
      </c>
    </row>
    <row r="1475" spans="1:11">
      <c r="A1475" t="s">
        <v>106</v>
      </c>
      <c r="B1475" t="s">
        <v>107</v>
      </c>
      <c r="C1475" t="s">
        <v>1340</v>
      </c>
      <c r="D1475" t="s">
        <v>1341</v>
      </c>
      <c r="E1475" s="8">
        <v>30940</v>
      </c>
      <c r="F1475" s="8">
        <v>45020</v>
      </c>
      <c r="G1475" s="8">
        <f t="shared" si="92"/>
        <v>1392918800</v>
      </c>
      <c r="H1475" s="5">
        <v>0.025</v>
      </c>
      <c r="I1475" s="8">
        <f t="shared" si="93"/>
        <v>1392918800</v>
      </c>
      <c r="J1475" s="8">
        <f t="shared" si="94"/>
        <v>34822970</v>
      </c>
      <c r="K1475" t="str">
        <f t="shared" si="95"/>
        <v>MATCHED</v>
      </c>
    </row>
    <row r="1476" spans="1:11">
      <c r="A1476" t="s">
        <v>106</v>
      </c>
      <c r="B1476" t="s">
        <v>107</v>
      </c>
      <c r="C1476" t="s">
        <v>1114</v>
      </c>
      <c r="D1476" t="s">
        <v>1115</v>
      </c>
      <c r="E1476" s="8">
        <v>4230</v>
      </c>
      <c r="F1476" s="8">
        <v>55240</v>
      </c>
      <c r="G1476" s="8">
        <f t="shared" si="92"/>
        <v>233665200</v>
      </c>
      <c r="H1476" s="5">
        <v>0</v>
      </c>
      <c r="I1476" s="8">
        <f t="shared" si="93"/>
        <v>233665200</v>
      </c>
      <c r="J1476" s="8">
        <f t="shared" si="94"/>
        <v>0</v>
      </c>
      <c r="K1476" t="str">
        <f t="shared" si="95"/>
        <v>MATCHED</v>
      </c>
    </row>
    <row r="1477" spans="1:11">
      <c r="A1477" t="s">
        <v>106</v>
      </c>
      <c r="B1477" t="s">
        <v>107</v>
      </c>
      <c r="C1477" t="s">
        <v>764</v>
      </c>
      <c r="D1477" t="s">
        <v>765</v>
      </c>
      <c r="E1477" s="8">
        <v>10620</v>
      </c>
      <c r="F1477" s="8">
        <v>48990</v>
      </c>
      <c r="G1477" s="8">
        <f t="shared" si="92"/>
        <v>520273800</v>
      </c>
      <c r="H1477" s="5"/>
      <c r="I1477" s="8" t="str">
        <f t="shared" si="93"/>
        <v/>
      </c>
      <c r="J1477" s="8" t="str">
        <f t="shared" si="94"/>
        <v/>
      </c>
      <c r="K1477" t="str">
        <f t="shared" si="95"/>
        <v>MISSING WHARTON</v>
      </c>
    </row>
    <row r="1478" spans="1:11">
      <c r="A1478" t="s">
        <v>106</v>
      </c>
      <c r="B1478" t="s">
        <v>107</v>
      </c>
      <c r="C1478" t="s">
        <v>1342</v>
      </c>
      <c r="D1478" t="s">
        <v>1343</v>
      </c>
      <c r="E1478" s="8">
        <v>17670</v>
      </c>
      <c r="F1478" s="8">
        <v>50180</v>
      </c>
      <c r="G1478" s="8">
        <f t="shared" si="92"/>
        <v>886680600</v>
      </c>
      <c r="H1478" s="5">
        <v>0.42</v>
      </c>
      <c r="I1478" s="8">
        <f t="shared" si="93"/>
        <v>886680600</v>
      </c>
      <c r="J1478" s="8">
        <f t="shared" si="94"/>
        <v>372405852</v>
      </c>
      <c r="K1478" t="str">
        <f t="shared" si="95"/>
        <v>MATCHED</v>
      </c>
    </row>
    <row r="1479" spans="1:11">
      <c r="A1479" t="s">
        <v>106</v>
      </c>
      <c r="B1479" t="s">
        <v>107</v>
      </c>
      <c r="C1479" t="s">
        <v>1344</v>
      </c>
      <c r="D1479" t="s">
        <v>1345</v>
      </c>
      <c r="E1479" s="8">
        <v>108320</v>
      </c>
      <c r="F1479" s="8">
        <v>47680</v>
      </c>
      <c r="G1479" s="8">
        <f t="shared" si="92"/>
        <v>5164697600</v>
      </c>
      <c r="H1479" s="5">
        <v>0.3348</v>
      </c>
      <c r="I1479" s="8">
        <f t="shared" si="93"/>
        <v>5164697600</v>
      </c>
      <c r="J1479" s="8">
        <f t="shared" si="94"/>
        <v>1729140756.48</v>
      </c>
      <c r="K1479" t="str">
        <f t="shared" si="95"/>
        <v>MATCHED</v>
      </c>
    </row>
    <row r="1480" spans="1:11">
      <c r="A1480" t="s">
        <v>106</v>
      </c>
      <c r="B1480" t="s">
        <v>107</v>
      </c>
      <c r="C1480" t="s">
        <v>1346</v>
      </c>
      <c r="D1480" t="s">
        <v>1347</v>
      </c>
      <c r="E1480" s="8">
        <v>29250</v>
      </c>
      <c r="F1480" s="8">
        <v>44260</v>
      </c>
      <c r="G1480" s="8">
        <f t="shared" si="92"/>
        <v>1294605000</v>
      </c>
      <c r="H1480" s="5">
        <v>0.0385</v>
      </c>
      <c r="I1480" s="8">
        <f t="shared" si="93"/>
        <v>1294605000</v>
      </c>
      <c r="J1480" s="8">
        <f t="shared" si="94"/>
        <v>49842292.5</v>
      </c>
      <c r="K1480" t="str">
        <f t="shared" si="95"/>
        <v>MATCHED</v>
      </c>
    </row>
    <row r="1481" spans="1:11">
      <c r="A1481" t="s">
        <v>106</v>
      </c>
      <c r="B1481" t="s">
        <v>107</v>
      </c>
      <c r="C1481" t="s">
        <v>1116</v>
      </c>
      <c r="D1481" t="s">
        <v>1117</v>
      </c>
      <c r="E1481" s="8">
        <v>710</v>
      </c>
      <c r="F1481" s="8">
        <v>38900</v>
      </c>
      <c r="G1481" s="8">
        <f t="shared" si="92"/>
        <v>27619000</v>
      </c>
      <c r="H1481" s="5">
        <v>0</v>
      </c>
      <c r="I1481" s="8">
        <f t="shared" si="93"/>
        <v>27619000</v>
      </c>
      <c r="J1481" s="8">
        <f t="shared" si="94"/>
        <v>0</v>
      </c>
      <c r="K1481" t="str">
        <f t="shared" si="95"/>
        <v>MATCHED</v>
      </c>
    </row>
    <row r="1482" spans="1:11">
      <c r="A1482" t="s">
        <v>106</v>
      </c>
      <c r="B1482" t="s">
        <v>107</v>
      </c>
      <c r="C1482" t="s">
        <v>1348</v>
      </c>
      <c r="D1482" t="s">
        <v>1349</v>
      </c>
      <c r="E1482" s="8">
        <v>1650</v>
      </c>
      <c r="F1482" s="8">
        <v>37290</v>
      </c>
      <c r="G1482" s="8">
        <f t="shared" si="92"/>
        <v>61528500</v>
      </c>
      <c r="H1482" s="5">
        <v>0</v>
      </c>
      <c r="I1482" s="8">
        <f t="shared" si="93"/>
        <v>61528500</v>
      </c>
      <c r="J1482" s="8">
        <f t="shared" si="94"/>
        <v>0</v>
      </c>
      <c r="K1482" t="str">
        <f t="shared" si="95"/>
        <v>MATCHED</v>
      </c>
    </row>
    <row r="1483" spans="1:11">
      <c r="A1483" t="s">
        <v>106</v>
      </c>
      <c r="B1483" t="s">
        <v>107</v>
      </c>
      <c r="C1483" t="s">
        <v>1118</v>
      </c>
      <c r="D1483" t="s">
        <v>1119</v>
      </c>
      <c r="E1483" s="8">
        <v>76760</v>
      </c>
      <c r="F1483" s="8">
        <v>37670</v>
      </c>
      <c r="G1483" s="8">
        <f t="shared" si="92"/>
        <v>2891549200</v>
      </c>
      <c r="H1483" s="5">
        <v>0.0365</v>
      </c>
      <c r="I1483" s="8">
        <f t="shared" si="93"/>
        <v>2891549200</v>
      </c>
      <c r="J1483" s="8">
        <f t="shared" si="94"/>
        <v>105541545.8</v>
      </c>
      <c r="K1483" t="str">
        <f t="shared" si="95"/>
        <v>MATCHED</v>
      </c>
    </row>
    <row r="1484" spans="1:11">
      <c r="A1484" t="s">
        <v>106</v>
      </c>
      <c r="B1484" t="s">
        <v>107</v>
      </c>
      <c r="C1484" t="s">
        <v>1350</v>
      </c>
      <c r="D1484" t="s">
        <v>1351</v>
      </c>
      <c r="E1484" s="8">
        <v>5810</v>
      </c>
      <c r="F1484" s="8">
        <v>37850</v>
      </c>
      <c r="G1484" s="8">
        <f t="shared" si="92"/>
        <v>219908500</v>
      </c>
      <c r="H1484" s="5">
        <v>0</v>
      </c>
      <c r="I1484" s="8">
        <f t="shared" si="93"/>
        <v>219908500</v>
      </c>
      <c r="J1484" s="8">
        <f t="shared" si="94"/>
        <v>0</v>
      </c>
      <c r="K1484" t="str">
        <f t="shared" si="95"/>
        <v>MATCHED</v>
      </c>
    </row>
    <row r="1485" spans="1:11">
      <c r="A1485" t="s">
        <v>106</v>
      </c>
      <c r="B1485" t="s">
        <v>107</v>
      </c>
      <c r="C1485" t="s">
        <v>1352</v>
      </c>
      <c r="D1485" t="s">
        <v>1353</v>
      </c>
      <c r="E1485" s="8">
        <v>3270</v>
      </c>
      <c r="F1485" s="8">
        <v>36290</v>
      </c>
      <c r="G1485" s="8">
        <f t="shared" si="92"/>
        <v>118668300</v>
      </c>
      <c r="H1485" s="5">
        <v>0</v>
      </c>
      <c r="I1485" s="8">
        <f t="shared" si="93"/>
        <v>118668300</v>
      </c>
      <c r="J1485" s="8">
        <f t="shared" si="94"/>
        <v>0</v>
      </c>
      <c r="K1485" t="str">
        <f t="shared" si="95"/>
        <v>MATCHED</v>
      </c>
    </row>
    <row r="1486" spans="1:11">
      <c r="A1486" t="s">
        <v>106</v>
      </c>
      <c r="B1486" t="s">
        <v>107</v>
      </c>
      <c r="C1486" t="s">
        <v>1354</v>
      </c>
      <c r="D1486" t="s">
        <v>1355</v>
      </c>
      <c r="E1486" s="8">
        <v>1180</v>
      </c>
      <c r="F1486" s="8">
        <v>35540</v>
      </c>
      <c r="G1486" s="8">
        <f t="shared" si="92"/>
        <v>41937200</v>
      </c>
      <c r="H1486" s="5">
        <v>0</v>
      </c>
      <c r="I1486" s="8">
        <f t="shared" si="93"/>
        <v>41937200</v>
      </c>
      <c r="J1486" s="8">
        <f t="shared" si="94"/>
        <v>0</v>
      </c>
      <c r="K1486" t="str">
        <f t="shared" si="95"/>
        <v>MATCHED</v>
      </c>
    </row>
    <row r="1487" spans="1:11">
      <c r="A1487" t="s">
        <v>106</v>
      </c>
      <c r="B1487" t="s">
        <v>107</v>
      </c>
      <c r="C1487" t="s">
        <v>1356</v>
      </c>
      <c r="D1487" t="s">
        <v>1357</v>
      </c>
      <c r="E1487" s="8">
        <v>1740</v>
      </c>
      <c r="F1487" s="8">
        <v>44160</v>
      </c>
      <c r="G1487" s="8">
        <f t="shared" si="92"/>
        <v>76838400</v>
      </c>
      <c r="H1487" s="5">
        <v>0.0432</v>
      </c>
      <c r="I1487" s="8">
        <f t="shared" si="93"/>
        <v>76838400</v>
      </c>
      <c r="J1487" s="8">
        <f t="shared" si="94"/>
        <v>3319418.88</v>
      </c>
      <c r="K1487" t="str">
        <f t="shared" si="95"/>
        <v>MATCHED</v>
      </c>
    </row>
    <row r="1488" spans="1:11">
      <c r="A1488" t="s">
        <v>106</v>
      </c>
      <c r="B1488" t="s">
        <v>107</v>
      </c>
      <c r="C1488" t="s">
        <v>1358</v>
      </c>
      <c r="D1488" t="s">
        <v>1359</v>
      </c>
      <c r="E1488" s="8">
        <v>5110</v>
      </c>
      <c r="F1488" s="8">
        <v>40580</v>
      </c>
      <c r="G1488" s="8">
        <f t="shared" si="92"/>
        <v>207363800</v>
      </c>
      <c r="H1488" s="5">
        <v>0.1187</v>
      </c>
      <c r="I1488" s="8">
        <f t="shared" si="93"/>
        <v>207363800</v>
      </c>
      <c r="J1488" s="8">
        <f t="shared" si="94"/>
        <v>24614083.06</v>
      </c>
      <c r="K1488" t="str">
        <f t="shared" si="95"/>
        <v>MATCHED</v>
      </c>
    </row>
    <row r="1489" spans="1:11">
      <c r="A1489" t="s">
        <v>106</v>
      </c>
      <c r="B1489" t="s">
        <v>107</v>
      </c>
      <c r="C1489" t="s">
        <v>1360</v>
      </c>
      <c r="D1489" t="s">
        <v>1361</v>
      </c>
      <c r="E1489" s="8">
        <v>7660</v>
      </c>
      <c r="F1489" s="8">
        <v>39500</v>
      </c>
      <c r="G1489" s="8">
        <f t="shared" si="92"/>
        <v>302570000</v>
      </c>
      <c r="H1489" s="5">
        <v>0.1056</v>
      </c>
      <c r="I1489" s="8">
        <f t="shared" si="93"/>
        <v>302570000</v>
      </c>
      <c r="J1489" s="8">
        <f t="shared" si="94"/>
        <v>31951392</v>
      </c>
      <c r="K1489" t="str">
        <f t="shared" si="95"/>
        <v>MATCHED</v>
      </c>
    </row>
    <row r="1490" spans="1:11">
      <c r="A1490" t="s">
        <v>106</v>
      </c>
      <c r="B1490" t="s">
        <v>107</v>
      </c>
      <c r="C1490" t="s">
        <v>1362</v>
      </c>
      <c r="D1490" t="s">
        <v>1363</v>
      </c>
      <c r="E1490" s="8">
        <v>12540</v>
      </c>
      <c r="F1490" s="8">
        <v>40830</v>
      </c>
      <c r="G1490" s="8">
        <f t="shared" si="92"/>
        <v>512008200</v>
      </c>
      <c r="H1490" s="5">
        <v>0.13</v>
      </c>
      <c r="I1490" s="8">
        <f t="shared" si="93"/>
        <v>512008200</v>
      </c>
      <c r="J1490" s="8">
        <f t="shared" si="94"/>
        <v>66561066</v>
      </c>
      <c r="K1490" t="str">
        <f t="shared" si="95"/>
        <v>MATCHED</v>
      </c>
    </row>
    <row r="1491" spans="1:11">
      <c r="A1491" t="s">
        <v>106</v>
      </c>
      <c r="B1491" t="s">
        <v>107</v>
      </c>
      <c r="C1491" t="s">
        <v>1364</v>
      </c>
      <c r="D1491" t="s">
        <v>1365</v>
      </c>
      <c r="E1491" s="8">
        <v>21490</v>
      </c>
      <c r="F1491" s="8">
        <v>40140</v>
      </c>
      <c r="G1491" s="8">
        <f t="shared" si="92"/>
        <v>862608600</v>
      </c>
      <c r="H1491" s="5">
        <v>0.0396</v>
      </c>
      <c r="I1491" s="8">
        <f t="shared" si="93"/>
        <v>862608600</v>
      </c>
      <c r="J1491" s="8">
        <f t="shared" si="94"/>
        <v>34159300.56</v>
      </c>
      <c r="K1491" t="str">
        <f t="shared" si="95"/>
        <v>MATCHED</v>
      </c>
    </row>
    <row r="1492" spans="1:11">
      <c r="A1492" t="s">
        <v>106</v>
      </c>
      <c r="B1492" t="s">
        <v>107</v>
      </c>
      <c r="C1492" t="s">
        <v>1366</v>
      </c>
      <c r="D1492" t="s">
        <v>1367</v>
      </c>
      <c r="E1492" s="8">
        <v>12530</v>
      </c>
      <c r="F1492" s="8">
        <v>48780</v>
      </c>
      <c r="G1492" s="8">
        <f t="shared" si="92"/>
        <v>611213400</v>
      </c>
      <c r="H1492" s="5">
        <v>0.0905</v>
      </c>
      <c r="I1492" s="8">
        <f t="shared" si="93"/>
        <v>611213400</v>
      </c>
      <c r="J1492" s="8">
        <f t="shared" si="94"/>
        <v>55314812.7</v>
      </c>
      <c r="K1492" t="str">
        <f t="shared" si="95"/>
        <v>MATCHED</v>
      </c>
    </row>
    <row r="1493" spans="1:11">
      <c r="A1493" t="s">
        <v>106</v>
      </c>
      <c r="B1493" t="s">
        <v>107</v>
      </c>
      <c r="C1493" t="s">
        <v>1368</v>
      </c>
      <c r="D1493" t="s">
        <v>1369</v>
      </c>
      <c r="E1493" s="8">
        <v>1640</v>
      </c>
      <c r="F1493" s="8">
        <v>64080</v>
      </c>
      <c r="G1493" s="8">
        <f t="shared" si="92"/>
        <v>105091200</v>
      </c>
      <c r="H1493" s="5">
        <v>0.1625</v>
      </c>
      <c r="I1493" s="8">
        <f t="shared" si="93"/>
        <v>105091200</v>
      </c>
      <c r="J1493" s="8">
        <f t="shared" si="94"/>
        <v>17077320</v>
      </c>
      <c r="K1493" t="str">
        <f t="shared" si="95"/>
        <v>MATCHED</v>
      </c>
    </row>
    <row r="1494" spans="1:11">
      <c r="A1494" t="s">
        <v>106</v>
      </c>
      <c r="B1494" t="s">
        <v>107</v>
      </c>
      <c r="C1494" t="s">
        <v>1120</v>
      </c>
      <c r="D1494" t="s">
        <v>1121</v>
      </c>
      <c r="E1494" s="8">
        <v>12540</v>
      </c>
      <c r="F1494" s="8">
        <v>46900</v>
      </c>
      <c r="G1494" s="8">
        <f t="shared" si="92"/>
        <v>588126000</v>
      </c>
      <c r="H1494" s="5">
        <v>0.0432</v>
      </c>
      <c r="I1494" s="8">
        <f t="shared" si="93"/>
        <v>588126000</v>
      </c>
      <c r="J1494" s="8">
        <f t="shared" si="94"/>
        <v>25407043.2</v>
      </c>
      <c r="K1494" t="str">
        <f t="shared" si="95"/>
        <v>MATCHED</v>
      </c>
    </row>
    <row r="1495" spans="1:11">
      <c r="A1495" t="s">
        <v>106</v>
      </c>
      <c r="B1495" t="s">
        <v>107</v>
      </c>
      <c r="C1495" t="s">
        <v>1370</v>
      </c>
      <c r="D1495" t="s">
        <v>1371</v>
      </c>
      <c r="E1495" s="8">
        <v>9950</v>
      </c>
      <c r="F1495" s="8">
        <v>39720</v>
      </c>
      <c r="G1495" s="8">
        <f t="shared" si="92"/>
        <v>395214000</v>
      </c>
      <c r="H1495" s="5"/>
      <c r="I1495" s="8" t="str">
        <f t="shared" si="93"/>
        <v/>
      </c>
      <c r="J1495" s="8" t="str">
        <f t="shared" si="94"/>
        <v/>
      </c>
      <c r="K1495" t="str">
        <f t="shared" si="95"/>
        <v>MISSING WHARTON</v>
      </c>
    </row>
    <row r="1496" spans="1:11">
      <c r="A1496" t="s">
        <v>106</v>
      </c>
      <c r="B1496" t="s">
        <v>107</v>
      </c>
      <c r="C1496" t="s">
        <v>1122</v>
      </c>
      <c r="D1496" t="s">
        <v>1123</v>
      </c>
      <c r="E1496" s="8">
        <v>64370</v>
      </c>
      <c r="F1496" s="8">
        <v>47360</v>
      </c>
      <c r="G1496" s="8">
        <f t="shared" si="92"/>
        <v>3048563200</v>
      </c>
      <c r="H1496" s="5">
        <v>0.13</v>
      </c>
      <c r="I1496" s="8">
        <f t="shared" si="93"/>
        <v>3048563200</v>
      </c>
      <c r="J1496" s="8">
        <f t="shared" si="94"/>
        <v>396313216</v>
      </c>
      <c r="K1496" t="str">
        <f t="shared" si="95"/>
        <v>MATCHED</v>
      </c>
    </row>
    <row r="1497" spans="1:11">
      <c r="A1497" t="s">
        <v>106</v>
      </c>
      <c r="B1497" t="s">
        <v>107</v>
      </c>
      <c r="C1497" t="s">
        <v>1124</v>
      </c>
      <c r="D1497" t="s">
        <v>1125</v>
      </c>
      <c r="E1497" s="8">
        <v>10360</v>
      </c>
      <c r="F1497" s="8">
        <v>44110</v>
      </c>
      <c r="G1497" s="8">
        <f t="shared" si="92"/>
        <v>456979600</v>
      </c>
      <c r="H1497" s="5">
        <v>0</v>
      </c>
      <c r="I1497" s="8">
        <f t="shared" si="93"/>
        <v>456979600</v>
      </c>
      <c r="J1497" s="8">
        <f t="shared" si="94"/>
        <v>0</v>
      </c>
      <c r="K1497" t="str">
        <f t="shared" si="95"/>
        <v>MATCHED</v>
      </c>
    </row>
    <row r="1498" spans="1:11">
      <c r="A1498" t="s">
        <v>106</v>
      </c>
      <c r="B1498" t="s">
        <v>107</v>
      </c>
      <c r="C1498" t="s">
        <v>1372</v>
      </c>
      <c r="D1498" t="s">
        <v>1373</v>
      </c>
      <c r="E1498" s="8">
        <v>190</v>
      </c>
      <c r="F1498" s="8">
        <v>48700</v>
      </c>
      <c r="G1498" s="8">
        <f t="shared" si="92"/>
        <v>9253000</v>
      </c>
      <c r="H1498" s="5">
        <v>0.0679</v>
      </c>
      <c r="I1498" s="8">
        <f t="shared" si="93"/>
        <v>9253000</v>
      </c>
      <c r="J1498" s="8">
        <f t="shared" si="94"/>
        <v>628278.7</v>
      </c>
      <c r="K1498" t="str">
        <f t="shared" si="95"/>
        <v>MATCHED</v>
      </c>
    </row>
    <row r="1499" spans="1:11">
      <c r="A1499" t="s">
        <v>106</v>
      </c>
      <c r="B1499" t="s">
        <v>107</v>
      </c>
      <c r="C1499" t="s">
        <v>1374</v>
      </c>
      <c r="D1499" t="s">
        <v>1375</v>
      </c>
      <c r="E1499" s="8">
        <v>190</v>
      </c>
      <c r="F1499" s="8">
        <v>51130</v>
      </c>
      <c r="G1499" s="8">
        <f t="shared" si="92"/>
        <v>9714700</v>
      </c>
      <c r="H1499" s="5">
        <v>0.13</v>
      </c>
      <c r="I1499" s="8">
        <f t="shared" si="93"/>
        <v>9714700</v>
      </c>
      <c r="J1499" s="8">
        <f t="shared" si="94"/>
        <v>1262911</v>
      </c>
      <c r="K1499" t="str">
        <f t="shared" si="95"/>
        <v>MATCHED</v>
      </c>
    </row>
    <row r="1500" spans="1:11">
      <c r="A1500" t="s">
        <v>106</v>
      </c>
      <c r="B1500" t="s">
        <v>107</v>
      </c>
      <c r="C1500" t="s">
        <v>467</v>
      </c>
      <c r="D1500" t="s">
        <v>468</v>
      </c>
      <c r="E1500" s="8">
        <v>34430</v>
      </c>
      <c r="F1500" s="8">
        <v>43270</v>
      </c>
      <c r="G1500" s="8">
        <f t="shared" si="92"/>
        <v>1489786100</v>
      </c>
      <c r="H1500" s="5">
        <v>0</v>
      </c>
      <c r="I1500" s="8">
        <f t="shared" si="93"/>
        <v>1489786100</v>
      </c>
      <c r="J1500" s="8">
        <f t="shared" si="94"/>
        <v>0</v>
      </c>
      <c r="K1500" t="str">
        <f t="shared" si="95"/>
        <v>MATCHED</v>
      </c>
    </row>
    <row r="1501" spans="1:11">
      <c r="A1501" t="s">
        <v>106</v>
      </c>
      <c r="B1501" t="s">
        <v>107</v>
      </c>
      <c r="C1501" t="s">
        <v>1126</v>
      </c>
      <c r="D1501" t="s">
        <v>1127</v>
      </c>
      <c r="E1501" s="8">
        <v>55540</v>
      </c>
      <c r="F1501" s="8">
        <v>43870</v>
      </c>
      <c r="G1501" s="8">
        <f t="shared" si="92"/>
        <v>2436539800</v>
      </c>
      <c r="H1501" s="5">
        <v>0.0365</v>
      </c>
      <c r="I1501" s="8">
        <f t="shared" si="93"/>
        <v>2436539800</v>
      </c>
      <c r="J1501" s="8">
        <f t="shared" si="94"/>
        <v>88933702.7</v>
      </c>
      <c r="K1501" t="str">
        <f t="shared" si="95"/>
        <v>MATCHED</v>
      </c>
    </row>
    <row r="1502" spans="1:11">
      <c r="A1502" t="s">
        <v>106</v>
      </c>
      <c r="B1502" t="s">
        <v>107</v>
      </c>
      <c r="C1502" t="s">
        <v>1376</v>
      </c>
      <c r="D1502" t="s">
        <v>1377</v>
      </c>
      <c r="E1502" s="8">
        <v>4010</v>
      </c>
      <c r="F1502" s="8">
        <v>44180</v>
      </c>
      <c r="G1502" s="8">
        <f t="shared" si="92"/>
        <v>177161800</v>
      </c>
      <c r="H1502" s="5"/>
      <c r="I1502" s="8" t="str">
        <f t="shared" si="93"/>
        <v/>
      </c>
      <c r="J1502" s="8" t="str">
        <f t="shared" si="94"/>
        <v/>
      </c>
      <c r="K1502" t="str">
        <f t="shared" si="95"/>
        <v>MISSING WHARTON</v>
      </c>
    </row>
    <row r="1503" spans="1:11">
      <c r="A1503" t="s">
        <v>106</v>
      </c>
      <c r="B1503" t="s">
        <v>107</v>
      </c>
      <c r="C1503" t="s">
        <v>916</v>
      </c>
      <c r="D1503" t="s">
        <v>917</v>
      </c>
      <c r="E1503" s="8">
        <v>170</v>
      </c>
      <c r="F1503" s="8">
        <v>66630</v>
      </c>
      <c r="G1503" s="8">
        <f t="shared" si="92"/>
        <v>11327100</v>
      </c>
      <c r="H1503" s="5">
        <v>0.4267</v>
      </c>
      <c r="I1503" s="8">
        <f t="shared" si="93"/>
        <v>11327100</v>
      </c>
      <c r="J1503" s="8">
        <f t="shared" si="94"/>
        <v>4833273.57</v>
      </c>
      <c r="K1503" t="str">
        <f t="shared" si="95"/>
        <v>MATCHED</v>
      </c>
    </row>
    <row r="1504" spans="1:11">
      <c r="A1504" t="s">
        <v>106</v>
      </c>
      <c r="B1504" t="s">
        <v>107</v>
      </c>
      <c r="C1504" t="s">
        <v>766</v>
      </c>
      <c r="D1504" t="s">
        <v>767</v>
      </c>
      <c r="E1504" s="8">
        <v>680</v>
      </c>
      <c r="F1504" s="8">
        <v>73300</v>
      </c>
      <c r="G1504" s="8">
        <f t="shared" si="92"/>
        <v>49844000</v>
      </c>
      <c r="H1504" s="5">
        <v>0.1618</v>
      </c>
      <c r="I1504" s="8">
        <f t="shared" si="93"/>
        <v>49844000</v>
      </c>
      <c r="J1504" s="8">
        <f t="shared" si="94"/>
        <v>8064759.2</v>
      </c>
      <c r="K1504" t="str">
        <f t="shared" si="95"/>
        <v>MATCHED</v>
      </c>
    </row>
    <row r="1505" spans="1:11">
      <c r="A1505" t="s">
        <v>106</v>
      </c>
      <c r="B1505" t="s">
        <v>107</v>
      </c>
      <c r="C1505" t="s">
        <v>768</v>
      </c>
      <c r="D1505" t="s">
        <v>769</v>
      </c>
      <c r="E1505" s="8">
        <v>4890</v>
      </c>
      <c r="F1505" s="8">
        <v>73750</v>
      </c>
      <c r="G1505" s="8">
        <f t="shared" si="92"/>
        <v>360637500</v>
      </c>
      <c r="H1505" s="5">
        <v>0.104</v>
      </c>
      <c r="I1505" s="8">
        <f t="shared" si="93"/>
        <v>360637500</v>
      </c>
      <c r="J1505" s="8">
        <f t="shared" si="94"/>
        <v>37506300</v>
      </c>
      <c r="K1505" t="str">
        <f t="shared" si="95"/>
        <v>MATCHED</v>
      </c>
    </row>
    <row r="1506" spans="1:11">
      <c r="A1506" t="s">
        <v>106</v>
      </c>
      <c r="B1506" t="s">
        <v>107</v>
      </c>
      <c r="C1506" t="s">
        <v>770</v>
      </c>
      <c r="D1506" t="s">
        <v>771</v>
      </c>
      <c r="E1506" s="8">
        <v>5440</v>
      </c>
      <c r="F1506" s="8">
        <v>61380</v>
      </c>
      <c r="G1506" s="8">
        <f t="shared" si="92"/>
        <v>333907200</v>
      </c>
      <c r="H1506" s="5">
        <v>0.1188</v>
      </c>
      <c r="I1506" s="8">
        <f t="shared" si="93"/>
        <v>333907200</v>
      </c>
      <c r="J1506" s="8">
        <f t="shared" si="94"/>
        <v>39668175.36</v>
      </c>
      <c r="K1506" t="str">
        <f t="shared" si="95"/>
        <v>MATCHED</v>
      </c>
    </row>
    <row r="1507" spans="1:11">
      <c r="A1507" t="s">
        <v>106</v>
      </c>
      <c r="B1507" t="s">
        <v>107</v>
      </c>
      <c r="C1507" t="s">
        <v>772</v>
      </c>
      <c r="D1507" t="s">
        <v>773</v>
      </c>
      <c r="E1507" s="8">
        <v>14510</v>
      </c>
      <c r="F1507" s="8">
        <v>81530</v>
      </c>
      <c r="G1507" s="8">
        <f t="shared" si="92"/>
        <v>1183000300</v>
      </c>
      <c r="H1507" s="5">
        <v>0.1</v>
      </c>
      <c r="I1507" s="8">
        <f t="shared" si="93"/>
        <v>1183000300</v>
      </c>
      <c r="J1507" s="8">
        <f t="shared" si="94"/>
        <v>118300030</v>
      </c>
      <c r="K1507" t="str">
        <f t="shared" si="95"/>
        <v>MATCHED</v>
      </c>
    </row>
    <row r="1508" spans="1:11">
      <c r="A1508" t="s">
        <v>106</v>
      </c>
      <c r="B1508" t="s">
        <v>107</v>
      </c>
      <c r="C1508" t="s">
        <v>774</v>
      </c>
      <c r="D1508" t="s">
        <v>775</v>
      </c>
      <c r="E1508" s="8">
        <v>900</v>
      </c>
      <c r="F1508" s="8">
        <v>100590</v>
      </c>
      <c r="G1508" s="8">
        <f t="shared" si="92"/>
        <v>90531000</v>
      </c>
      <c r="H1508" s="5">
        <v>0.15</v>
      </c>
      <c r="I1508" s="8">
        <f t="shared" si="93"/>
        <v>90531000</v>
      </c>
      <c r="J1508" s="8">
        <f t="shared" si="94"/>
        <v>13579650</v>
      </c>
      <c r="K1508" t="str">
        <f t="shared" si="95"/>
        <v>MATCHED</v>
      </c>
    </row>
    <row r="1509" spans="1:11">
      <c r="A1509" t="s">
        <v>106</v>
      </c>
      <c r="B1509" t="s">
        <v>107</v>
      </c>
      <c r="C1509" t="s">
        <v>776</v>
      </c>
      <c r="D1509" t="s">
        <v>777</v>
      </c>
      <c r="E1509" s="8">
        <v>19790</v>
      </c>
      <c r="F1509" s="8">
        <v>97070</v>
      </c>
      <c r="G1509" s="8">
        <f t="shared" si="92"/>
        <v>1921015300</v>
      </c>
      <c r="H1509" s="5">
        <v>0.1583</v>
      </c>
      <c r="I1509" s="8">
        <f t="shared" si="93"/>
        <v>1921015300</v>
      </c>
      <c r="J1509" s="8">
        <f t="shared" si="94"/>
        <v>304096721.99</v>
      </c>
      <c r="K1509" t="str">
        <f t="shared" si="95"/>
        <v>MATCHED</v>
      </c>
    </row>
    <row r="1510" spans="1:11">
      <c r="A1510" t="s">
        <v>106</v>
      </c>
      <c r="B1510" t="s">
        <v>107</v>
      </c>
      <c r="C1510" t="s">
        <v>778</v>
      </c>
      <c r="D1510" t="s">
        <v>779</v>
      </c>
      <c r="E1510" s="8">
        <v>6060</v>
      </c>
      <c r="F1510" s="8">
        <v>61970</v>
      </c>
      <c r="G1510" s="8">
        <f t="shared" si="92"/>
        <v>375538200</v>
      </c>
      <c r="H1510" s="5">
        <v>0.1</v>
      </c>
      <c r="I1510" s="8">
        <f t="shared" si="93"/>
        <v>375538200</v>
      </c>
      <c r="J1510" s="8">
        <f t="shared" si="94"/>
        <v>37553820</v>
      </c>
      <c r="K1510" t="str">
        <f t="shared" si="95"/>
        <v>MATCHED</v>
      </c>
    </row>
    <row r="1511" spans="1:11">
      <c r="A1511" t="s">
        <v>106</v>
      </c>
      <c r="B1511" t="s">
        <v>107</v>
      </c>
      <c r="C1511" t="s">
        <v>1378</v>
      </c>
      <c r="D1511" t="s">
        <v>1379</v>
      </c>
      <c r="E1511" s="8">
        <v>134210</v>
      </c>
      <c r="F1511" s="8">
        <v>60990</v>
      </c>
      <c r="G1511" s="8">
        <f t="shared" si="92"/>
        <v>8185467900</v>
      </c>
      <c r="H1511" s="5">
        <v>0.113</v>
      </c>
      <c r="I1511" s="8">
        <f t="shared" si="93"/>
        <v>8185467900</v>
      </c>
      <c r="J1511" s="8">
        <f t="shared" si="94"/>
        <v>924957872.7</v>
      </c>
      <c r="K1511" t="str">
        <f t="shared" si="95"/>
        <v>MATCHED</v>
      </c>
    </row>
    <row r="1512" spans="1:11">
      <c r="A1512" t="s">
        <v>106</v>
      </c>
      <c r="B1512" t="s">
        <v>107</v>
      </c>
      <c r="C1512" t="s">
        <v>469</v>
      </c>
      <c r="D1512" t="s">
        <v>470</v>
      </c>
      <c r="E1512" s="8">
        <v>48100</v>
      </c>
      <c r="F1512" s="8">
        <v>57400</v>
      </c>
      <c r="G1512" s="8">
        <f t="shared" si="92"/>
        <v>2760940000</v>
      </c>
      <c r="H1512" s="5">
        <v>0.0452</v>
      </c>
      <c r="I1512" s="8">
        <f t="shared" si="93"/>
        <v>2760940000</v>
      </c>
      <c r="J1512" s="8">
        <f t="shared" si="94"/>
        <v>124794488</v>
      </c>
      <c r="K1512" t="str">
        <f t="shared" si="95"/>
        <v>MATCHED</v>
      </c>
    </row>
    <row r="1513" spans="1:11">
      <c r="A1513" t="s">
        <v>106</v>
      </c>
      <c r="B1513" t="s">
        <v>107</v>
      </c>
      <c r="C1513" t="s">
        <v>471</v>
      </c>
      <c r="D1513" t="s">
        <v>472</v>
      </c>
      <c r="E1513" s="8">
        <v>17300</v>
      </c>
      <c r="F1513" s="8">
        <v>50390</v>
      </c>
      <c r="G1513" s="8">
        <f t="shared" si="92"/>
        <v>871747000</v>
      </c>
      <c r="H1513" s="5">
        <v>0.0864</v>
      </c>
      <c r="I1513" s="8">
        <f t="shared" si="93"/>
        <v>871747000</v>
      </c>
      <c r="J1513" s="8">
        <f t="shared" si="94"/>
        <v>75318940.8</v>
      </c>
      <c r="K1513" t="str">
        <f t="shared" si="95"/>
        <v>MATCHED</v>
      </c>
    </row>
    <row r="1514" spans="1:11">
      <c r="A1514" t="s">
        <v>106</v>
      </c>
      <c r="B1514" t="s">
        <v>107</v>
      </c>
      <c r="C1514" t="s">
        <v>1128</v>
      </c>
      <c r="D1514" t="s">
        <v>1129</v>
      </c>
      <c r="E1514" s="8">
        <v>8620</v>
      </c>
      <c r="F1514" s="8">
        <v>44790</v>
      </c>
      <c r="G1514" s="8">
        <f t="shared" si="92"/>
        <v>386089800</v>
      </c>
      <c r="H1514" s="5">
        <v>0.0475</v>
      </c>
      <c r="I1514" s="8">
        <f t="shared" si="93"/>
        <v>386089800</v>
      </c>
      <c r="J1514" s="8">
        <f t="shared" si="94"/>
        <v>18339265.5</v>
      </c>
      <c r="K1514" t="str">
        <f t="shared" si="95"/>
        <v>MATCHED</v>
      </c>
    </row>
    <row r="1515" spans="1:11">
      <c r="A1515" t="s">
        <v>106</v>
      </c>
      <c r="B1515" t="s">
        <v>107</v>
      </c>
      <c r="C1515" t="s">
        <v>473</v>
      </c>
      <c r="D1515" t="s">
        <v>474</v>
      </c>
      <c r="E1515" s="8">
        <v>78070</v>
      </c>
      <c r="F1515" s="8">
        <v>52850</v>
      </c>
      <c r="G1515" s="8">
        <f t="shared" si="92"/>
        <v>4125999500</v>
      </c>
      <c r="H1515" s="5">
        <v>0.1026</v>
      </c>
      <c r="I1515" s="8">
        <f t="shared" si="93"/>
        <v>4125999500</v>
      </c>
      <c r="J1515" s="8">
        <f t="shared" si="94"/>
        <v>423327548.7</v>
      </c>
      <c r="K1515" t="str">
        <f t="shared" si="95"/>
        <v>MATCHED</v>
      </c>
    </row>
    <row r="1516" spans="1:11">
      <c r="A1516" t="s">
        <v>106</v>
      </c>
      <c r="B1516" t="s">
        <v>107</v>
      </c>
      <c r="C1516" t="s">
        <v>475</v>
      </c>
      <c r="D1516" t="s">
        <v>476</v>
      </c>
      <c r="E1516" s="8">
        <v>3900</v>
      </c>
      <c r="F1516" s="8">
        <v>42330</v>
      </c>
      <c r="G1516" s="8">
        <f t="shared" si="92"/>
        <v>165087000</v>
      </c>
      <c r="H1516" s="5">
        <v>0</v>
      </c>
      <c r="I1516" s="8">
        <f t="shared" si="93"/>
        <v>165087000</v>
      </c>
      <c r="J1516" s="8">
        <f t="shared" si="94"/>
        <v>0</v>
      </c>
      <c r="K1516" t="str">
        <f t="shared" si="95"/>
        <v>MATCHED</v>
      </c>
    </row>
    <row r="1517" spans="1:11">
      <c r="A1517" t="s">
        <v>106</v>
      </c>
      <c r="B1517" t="s">
        <v>107</v>
      </c>
      <c r="C1517" t="s">
        <v>477</v>
      </c>
      <c r="D1517" t="s">
        <v>478</v>
      </c>
      <c r="E1517" s="8">
        <v>37410</v>
      </c>
      <c r="F1517" s="8">
        <v>47780</v>
      </c>
      <c r="G1517" s="8">
        <f t="shared" si="92"/>
        <v>1787449800</v>
      </c>
      <c r="H1517" s="5">
        <v>0.0339</v>
      </c>
      <c r="I1517" s="8">
        <f t="shared" si="93"/>
        <v>1787449800</v>
      </c>
      <c r="J1517" s="8">
        <f t="shared" si="94"/>
        <v>60594548.22</v>
      </c>
      <c r="K1517" t="str">
        <f t="shared" si="95"/>
        <v>MATCHED</v>
      </c>
    </row>
    <row r="1518" spans="1:11">
      <c r="A1518" t="s">
        <v>106</v>
      </c>
      <c r="B1518" t="s">
        <v>107</v>
      </c>
      <c r="C1518" t="s">
        <v>479</v>
      </c>
      <c r="D1518" t="s">
        <v>480</v>
      </c>
      <c r="E1518" s="8">
        <v>54340</v>
      </c>
      <c r="F1518" s="8">
        <v>47970</v>
      </c>
      <c r="G1518" s="8">
        <f t="shared" si="92"/>
        <v>2606689800</v>
      </c>
      <c r="H1518" s="5">
        <v>0.0679</v>
      </c>
      <c r="I1518" s="8">
        <f t="shared" si="93"/>
        <v>2606689800</v>
      </c>
      <c r="J1518" s="8">
        <f t="shared" si="94"/>
        <v>176994237.42</v>
      </c>
      <c r="K1518" t="str">
        <f t="shared" si="95"/>
        <v>MATCHED</v>
      </c>
    </row>
    <row r="1519" spans="1:11">
      <c r="A1519" t="s">
        <v>106</v>
      </c>
      <c r="B1519" t="s">
        <v>107</v>
      </c>
      <c r="C1519" t="s">
        <v>780</v>
      </c>
      <c r="D1519" t="s">
        <v>781</v>
      </c>
      <c r="E1519" s="8">
        <v>12680</v>
      </c>
      <c r="F1519" s="8">
        <v>51030</v>
      </c>
      <c r="G1519" s="8">
        <f t="shared" si="92"/>
        <v>647060400</v>
      </c>
      <c r="H1519" s="5">
        <v>0.1056</v>
      </c>
      <c r="I1519" s="8">
        <f t="shared" si="93"/>
        <v>647060400</v>
      </c>
      <c r="J1519" s="8">
        <f t="shared" si="94"/>
        <v>68329578.24</v>
      </c>
      <c r="K1519" t="str">
        <f t="shared" si="95"/>
        <v>MATCHED</v>
      </c>
    </row>
    <row r="1520" spans="1:11">
      <c r="A1520" t="s">
        <v>106</v>
      </c>
      <c r="B1520" t="s">
        <v>107</v>
      </c>
      <c r="C1520" t="s">
        <v>481</v>
      </c>
      <c r="D1520" t="s">
        <v>482</v>
      </c>
      <c r="E1520" s="8">
        <v>382920</v>
      </c>
      <c r="F1520" s="8">
        <v>53990</v>
      </c>
      <c r="G1520" s="8">
        <f t="shared" si="92"/>
        <v>20673850800</v>
      </c>
      <c r="H1520" s="5">
        <v>0.2969</v>
      </c>
      <c r="I1520" s="8">
        <f t="shared" si="93"/>
        <v>20673850800</v>
      </c>
      <c r="J1520" s="8">
        <f t="shared" si="94"/>
        <v>6138066302.52</v>
      </c>
      <c r="K1520" t="str">
        <f t="shared" si="95"/>
        <v>MATCHED</v>
      </c>
    </row>
    <row r="1521" spans="1:11">
      <c r="A1521" t="s">
        <v>106</v>
      </c>
      <c r="B1521" t="s">
        <v>107</v>
      </c>
      <c r="C1521" t="s">
        <v>1380</v>
      </c>
      <c r="D1521" t="s">
        <v>1381</v>
      </c>
      <c r="E1521" s="8">
        <v>5200</v>
      </c>
      <c r="F1521" s="8">
        <v>53280</v>
      </c>
      <c r="G1521" s="8">
        <f t="shared" si="92"/>
        <v>277056000</v>
      </c>
      <c r="H1521" s="5">
        <v>0.0924</v>
      </c>
      <c r="I1521" s="8">
        <f t="shared" si="93"/>
        <v>277056000</v>
      </c>
      <c r="J1521" s="8">
        <f t="shared" si="94"/>
        <v>25599974.4</v>
      </c>
      <c r="K1521" t="str">
        <f t="shared" si="95"/>
        <v>MATCHED</v>
      </c>
    </row>
    <row r="1522" spans="1:11">
      <c r="A1522" t="s">
        <v>106</v>
      </c>
      <c r="B1522" t="s">
        <v>107</v>
      </c>
      <c r="C1522" t="s">
        <v>1382</v>
      </c>
      <c r="D1522" t="s">
        <v>1383</v>
      </c>
      <c r="E1522" s="8">
        <v>27810</v>
      </c>
      <c r="F1522" s="8">
        <v>53900</v>
      </c>
      <c r="G1522" s="8">
        <f t="shared" si="92"/>
        <v>1498959000</v>
      </c>
      <c r="H1522" s="5">
        <v>0</v>
      </c>
      <c r="I1522" s="8">
        <f t="shared" si="93"/>
        <v>1498959000</v>
      </c>
      <c r="J1522" s="8">
        <f t="shared" si="94"/>
        <v>0</v>
      </c>
      <c r="K1522" t="str">
        <f t="shared" si="95"/>
        <v>MATCHED</v>
      </c>
    </row>
    <row r="1523" spans="1:11">
      <c r="A1523" t="s">
        <v>106</v>
      </c>
      <c r="B1523" t="s">
        <v>107</v>
      </c>
      <c r="C1523" t="s">
        <v>1384</v>
      </c>
      <c r="D1523" t="s">
        <v>1385</v>
      </c>
      <c r="E1523" s="8">
        <v>5980</v>
      </c>
      <c r="F1523" s="8">
        <v>50890</v>
      </c>
      <c r="G1523" s="8">
        <f t="shared" si="92"/>
        <v>304322200</v>
      </c>
      <c r="H1523" s="5">
        <v>0</v>
      </c>
      <c r="I1523" s="8">
        <f t="shared" si="93"/>
        <v>304322200</v>
      </c>
      <c r="J1523" s="8">
        <f t="shared" si="94"/>
        <v>0</v>
      </c>
      <c r="K1523" t="str">
        <f t="shared" si="95"/>
        <v>MATCHED</v>
      </c>
    </row>
    <row r="1524" spans="1:11">
      <c r="A1524" t="s">
        <v>106</v>
      </c>
      <c r="B1524" t="s">
        <v>107</v>
      </c>
      <c r="C1524" t="s">
        <v>1386</v>
      </c>
      <c r="D1524" t="s">
        <v>1387</v>
      </c>
      <c r="E1524" s="8">
        <v>7590</v>
      </c>
      <c r="F1524" s="8">
        <v>45660</v>
      </c>
      <c r="G1524" s="8">
        <f t="shared" si="92"/>
        <v>346559400</v>
      </c>
      <c r="H1524" s="5">
        <v>0</v>
      </c>
      <c r="I1524" s="8">
        <f t="shared" si="93"/>
        <v>346559400</v>
      </c>
      <c r="J1524" s="8">
        <f t="shared" si="94"/>
        <v>0</v>
      </c>
      <c r="K1524" t="str">
        <f t="shared" si="95"/>
        <v>MATCHED</v>
      </c>
    </row>
    <row r="1525" spans="1:11">
      <c r="A1525" t="s">
        <v>106</v>
      </c>
      <c r="B1525" t="s">
        <v>107</v>
      </c>
      <c r="C1525" t="s">
        <v>483</v>
      </c>
      <c r="D1525" t="s">
        <v>484</v>
      </c>
      <c r="E1525" s="8">
        <v>298640</v>
      </c>
      <c r="F1525" s="8">
        <v>45620</v>
      </c>
      <c r="G1525" s="8">
        <f t="shared" si="92"/>
        <v>13623956800</v>
      </c>
      <c r="H1525" s="5">
        <v>0.0475</v>
      </c>
      <c r="I1525" s="8">
        <f t="shared" si="93"/>
        <v>13623956800</v>
      </c>
      <c r="J1525" s="8">
        <f t="shared" si="94"/>
        <v>647137948</v>
      </c>
      <c r="K1525" t="str">
        <f t="shared" si="95"/>
        <v>MATCHED</v>
      </c>
    </row>
    <row r="1526" spans="1:11">
      <c r="A1526" t="s">
        <v>106</v>
      </c>
      <c r="B1526" t="s">
        <v>107</v>
      </c>
      <c r="C1526" t="s">
        <v>1130</v>
      </c>
      <c r="D1526" t="s">
        <v>1131</v>
      </c>
      <c r="E1526" s="8">
        <v>4640</v>
      </c>
      <c r="F1526" s="8">
        <v>44970</v>
      </c>
      <c r="G1526" s="8">
        <f t="shared" si="92"/>
        <v>208660800</v>
      </c>
      <c r="H1526" s="5">
        <v>0</v>
      </c>
      <c r="I1526" s="8">
        <f t="shared" si="93"/>
        <v>208660800</v>
      </c>
      <c r="J1526" s="8">
        <f t="shared" si="94"/>
        <v>0</v>
      </c>
      <c r="K1526" t="str">
        <f t="shared" si="95"/>
        <v>MATCHED</v>
      </c>
    </row>
    <row r="1527" spans="1:11">
      <c r="A1527" t="s">
        <v>106</v>
      </c>
      <c r="B1527" t="s">
        <v>107</v>
      </c>
      <c r="C1527" t="s">
        <v>782</v>
      </c>
      <c r="D1527" t="s">
        <v>783</v>
      </c>
      <c r="E1527" s="8">
        <v>107160</v>
      </c>
      <c r="F1527" s="8">
        <v>50480</v>
      </c>
      <c r="G1527" s="8">
        <f t="shared" si="92"/>
        <v>5409436800</v>
      </c>
      <c r="H1527" s="5">
        <v>0.0317</v>
      </c>
      <c r="I1527" s="8">
        <f t="shared" si="93"/>
        <v>5409436800</v>
      </c>
      <c r="J1527" s="8">
        <f t="shared" si="94"/>
        <v>171479146.56</v>
      </c>
      <c r="K1527" t="str">
        <f t="shared" si="95"/>
        <v>MATCHED</v>
      </c>
    </row>
    <row r="1528" spans="1:11">
      <c r="A1528" t="s">
        <v>106</v>
      </c>
      <c r="B1528" t="s">
        <v>107</v>
      </c>
      <c r="C1528" t="s">
        <v>1388</v>
      </c>
      <c r="D1528" t="s">
        <v>1389</v>
      </c>
      <c r="E1528" s="8">
        <v>30810</v>
      </c>
      <c r="F1528" s="8">
        <v>60190</v>
      </c>
      <c r="G1528" s="8">
        <f t="shared" si="92"/>
        <v>1854453900</v>
      </c>
      <c r="H1528" s="5">
        <v>0.1875</v>
      </c>
      <c r="I1528" s="8">
        <f t="shared" si="93"/>
        <v>1854453900</v>
      </c>
      <c r="J1528" s="8">
        <f t="shared" si="94"/>
        <v>347710106.25</v>
      </c>
      <c r="K1528" t="str">
        <f t="shared" si="95"/>
        <v>MATCHED</v>
      </c>
    </row>
    <row r="1529" spans="1:11">
      <c r="A1529" t="s">
        <v>106</v>
      </c>
      <c r="B1529" t="s">
        <v>107</v>
      </c>
      <c r="C1529" t="s">
        <v>1390</v>
      </c>
      <c r="D1529" t="s">
        <v>1391</v>
      </c>
      <c r="E1529" s="8">
        <v>440</v>
      </c>
      <c r="F1529" s="8">
        <v>48030</v>
      </c>
      <c r="G1529" s="8">
        <f t="shared" si="92"/>
        <v>21133200</v>
      </c>
      <c r="H1529" s="5">
        <v>0.5391</v>
      </c>
      <c r="I1529" s="8">
        <f t="shared" si="93"/>
        <v>21133200</v>
      </c>
      <c r="J1529" s="8">
        <f t="shared" si="94"/>
        <v>11392908.12</v>
      </c>
      <c r="K1529" t="str">
        <f t="shared" si="95"/>
        <v>MATCHED</v>
      </c>
    </row>
    <row r="1530" spans="1:11">
      <c r="A1530" t="s">
        <v>106</v>
      </c>
      <c r="B1530" t="s">
        <v>107</v>
      </c>
      <c r="C1530" t="s">
        <v>784</v>
      </c>
      <c r="D1530" t="s">
        <v>785</v>
      </c>
      <c r="E1530" s="8">
        <v>154890</v>
      </c>
      <c r="F1530" s="8">
        <v>54550</v>
      </c>
      <c r="G1530" s="8">
        <f t="shared" si="92"/>
        <v>8449249500</v>
      </c>
      <c r="H1530" s="5">
        <v>0.2111</v>
      </c>
      <c r="I1530" s="8">
        <f t="shared" si="93"/>
        <v>8449249500</v>
      </c>
      <c r="J1530" s="8">
        <f t="shared" si="94"/>
        <v>1783636569.45</v>
      </c>
      <c r="K1530" t="str">
        <f t="shared" si="95"/>
        <v>MATCHED</v>
      </c>
    </row>
    <row r="1531" spans="1:11">
      <c r="A1531" t="s">
        <v>106</v>
      </c>
      <c r="B1531" t="s">
        <v>107</v>
      </c>
      <c r="C1531" t="s">
        <v>1132</v>
      </c>
      <c r="D1531" t="s">
        <v>1133</v>
      </c>
      <c r="E1531" s="8">
        <v>24950</v>
      </c>
      <c r="F1531" s="8">
        <v>72630</v>
      </c>
      <c r="G1531" s="8">
        <f t="shared" si="92"/>
        <v>1812118500</v>
      </c>
      <c r="H1531" s="5">
        <v>0.5938</v>
      </c>
      <c r="I1531" s="8">
        <f t="shared" si="93"/>
        <v>1812118500</v>
      </c>
      <c r="J1531" s="8">
        <f t="shared" si="94"/>
        <v>1076035965.3</v>
      </c>
      <c r="K1531" t="str">
        <f t="shared" si="95"/>
        <v>MATCHED</v>
      </c>
    </row>
    <row r="1532" spans="1:11">
      <c r="A1532" t="s">
        <v>106</v>
      </c>
      <c r="B1532" t="s">
        <v>107</v>
      </c>
      <c r="C1532" t="s">
        <v>1392</v>
      </c>
      <c r="D1532" t="s">
        <v>1393</v>
      </c>
      <c r="E1532" s="8">
        <v>10620</v>
      </c>
      <c r="F1532" s="8">
        <v>47560</v>
      </c>
      <c r="G1532" s="8">
        <f t="shared" si="92"/>
        <v>505087200</v>
      </c>
      <c r="H1532" s="5">
        <v>0.0559</v>
      </c>
      <c r="I1532" s="8">
        <f t="shared" si="93"/>
        <v>505087200</v>
      </c>
      <c r="J1532" s="8">
        <f t="shared" si="94"/>
        <v>28234374.48</v>
      </c>
      <c r="K1532" t="str">
        <f t="shared" si="95"/>
        <v>MATCHED</v>
      </c>
    </row>
    <row r="1533" spans="1:11">
      <c r="A1533" t="s">
        <v>106</v>
      </c>
      <c r="B1533" t="s">
        <v>107</v>
      </c>
      <c r="C1533" t="s">
        <v>485</v>
      </c>
      <c r="D1533" t="s">
        <v>486</v>
      </c>
      <c r="E1533" s="8">
        <v>12380</v>
      </c>
      <c r="F1533" s="8">
        <v>44790</v>
      </c>
      <c r="G1533" s="8">
        <f t="shared" si="92"/>
        <v>554500200</v>
      </c>
      <c r="H1533" s="5">
        <v>0.0864</v>
      </c>
      <c r="I1533" s="8">
        <f t="shared" si="93"/>
        <v>554500200</v>
      </c>
      <c r="J1533" s="8">
        <f t="shared" si="94"/>
        <v>47908817.28</v>
      </c>
      <c r="K1533" t="str">
        <f t="shared" si="95"/>
        <v>MATCHED</v>
      </c>
    </row>
    <row r="1534" spans="1:11">
      <c r="A1534" t="s">
        <v>106</v>
      </c>
      <c r="B1534" t="s">
        <v>107</v>
      </c>
      <c r="C1534" t="s">
        <v>1394</v>
      </c>
      <c r="D1534" t="s">
        <v>1395</v>
      </c>
      <c r="E1534" s="8">
        <v>6100</v>
      </c>
      <c r="F1534" s="8">
        <v>44740</v>
      </c>
      <c r="G1534" s="8">
        <f t="shared" si="92"/>
        <v>272914000</v>
      </c>
      <c r="H1534" s="5">
        <v>0.05</v>
      </c>
      <c r="I1534" s="8">
        <f t="shared" si="93"/>
        <v>272914000</v>
      </c>
      <c r="J1534" s="8">
        <f t="shared" si="94"/>
        <v>13645700</v>
      </c>
      <c r="K1534" t="str">
        <f t="shared" si="95"/>
        <v>MATCHED</v>
      </c>
    </row>
    <row r="1535" spans="1:11">
      <c r="A1535" t="s">
        <v>106</v>
      </c>
      <c r="B1535" t="s">
        <v>107</v>
      </c>
      <c r="C1535" t="s">
        <v>1396</v>
      </c>
      <c r="D1535" t="s">
        <v>1397</v>
      </c>
      <c r="E1535" s="8">
        <v>4720</v>
      </c>
      <c r="F1535" s="8">
        <v>48180</v>
      </c>
      <c r="G1535" s="8">
        <f t="shared" si="92"/>
        <v>227409600</v>
      </c>
      <c r="H1535" s="5">
        <v>0.0633</v>
      </c>
      <c r="I1535" s="8">
        <f t="shared" si="93"/>
        <v>227409600</v>
      </c>
      <c r="J1535" s="8">
        <f t="shared" si="94"/>
        <v>14395027.68</v>
      </c>
      <c r="K1535" t="str">
        <f t="shared" si="95"/>
        <v>MATCHED</v>
      </c>
    </row>
    <row r="1536" spans="1:11">
      <c r="A1536" t="s">
        <v>106</v>
      </c>
      <c r="B1536" t="s">
        <v>107</v>
      </c>
      <c r="C1536" t="s">
        <v>786</v>
      </c>
      <c r="D1536" t="s">
        <v>787</v>
      </c>
      <c r="E1536" s="8">
        <v>27390</v>
      </c>
      <c r="F1536" s="8">
        <v>47290</v>
      </c>
      <c r="G1536" s="8">
        <f t="shared" si="92"/>
        <v>1295273100</v>
      </c>
      <c r="H1536" s="5">
        <v>0.0125</v>
      </c>
      <c r="I1536" s="8">
        <f t="shared" si="93"/>
        <v>1295273100</v>
      </c>
      <c r="J1536" s="8">
        <f t="shared" si="94"/>
        <v>16190913.75</v>
      </c>
      <c r="K1536" t="str">
        <f t="shared" si="95"/>
        <v>MATCHED</v>
      </c>
    </row>
    <row r="1537" spans="1:11">
      <c r="A1537" t="s">
        <v>106</v>
      </c>
      <c r="B1537" t="s">
        <v>107</v>
      </c>
      <c r="C1537" t="s">
        <v>487</v>
      </c>
      <c r="D1537" t="s">
        <v>488</v>
      </c>
      <c r="E1537" s="8">
        <v>90760</v>
      </c>
      <c r="F1537" s="8">
        <v>53500</v>
      </c>
      <c r="G1537" s="8">
        <f t="shared" si="92"/>
        <v>4855660000</v>
      </c>
      <c r="H1537" s="5">
        <v>0</v>
      </c>
      <c r="I1537" s="8">
        <f t="shared" si="93"/>
        <v>4855660000</v>
      </c>
      <c r="J1537" s="8">
        <f t="shared" si="94"/>
        <v>0</v>
      </c>
      <c r="K1537" t="str">
        <f t="shared" si="95"/>
        <v>MATCHED</v>
      </c>
    </row>
    <row r="1538" spans="1:11">
      <c r="A1538" t="s">
        <v>106</v>
      </c>
      <c r="B1538" t="s">
        <v>107</v>
      </c>
      <c r="C1538" t="s">
        <v>1398</v>
      </c>
      <c r="D1538" t="s">
        <v>1399</v>
      </c>
      <c r="E1538" s="8">
        <v>19730</v>
      </c>
      <c r="F1538" s="8">
        <v>57960</v>
      </c>
      <c r="G1538" s="8">
        <f t="shared" ref="G1538:G1601" si="96">IF(OR(E1538="",F1538=""),"",E1538*F1538)</f>
        <v>1143550800</v>
      </c>
      <c r="H1538" s="5">
        <v>0</v>
      </c>
      <c r="I1538" s="8">
        <f t="shared" ref="I1538:I1601" si="97">IF(G1538="","",IF(ISNUMBER(H1538),G1538,""))</f>
        <v>1143550800</v>
      </c>
      <c r="J1538" s="8">
        <f t="shared" ref="J1538:J1601" si="98">IF(I1538="","",I1538*H1538)</f>
        <v>0</v>
      </c>
      <c r="K1538" t="str">
        <f t="shared" ref="K1538:K1601" si="99">IF(G1538="","MISSING OEWS",IF(ISNUMBER(H1538),"MATCHED","MISSING WHARTON"))</f>
        <v>MATCHED</v>
      </c>
    </row>
    <row r="1539" spans="1:11">
      <c r="A1539" t="s">
        <v>106</v>
      </c>
      <c r="B1539" t="s">
        <v>107</v>
      </c>
      <c r="C1539" t="s">
        <v>489</v>
      </c>
      <c r="D1539" t="s">
        <v>490</v>
      </c>
      <c r="E1539" s="8">
        <v>117470</v>
      </c>
      <c r="F1539" s="8">
        <v>41460</v>
      </c>
      <c r="G1539" s="8">
        <f t="shared" si="96"/>
        <v>4870306200</v>
      </c>
      <c r="H1539" s="5">
        <v>0.0838</v>
      </c>
      <c r="I1539" s="8">
        <f t="shared" si="97"/>
        <v>4870306200</v>
      </c>
      <c r="J1539" s="8">
        <f t="shared" si="98"/>
        <v>408131659.56</v>
      </c>
      <c r="K1539" t="str">
        <f t="shared" si="99"/>
        <v>MATCHED</v>
      </c>
    </row>
    <row r="1540" spans="1:11">
      <c r="A1540" t="s">
        <v>106</v>
      </c>
      <c r="B1540" t="s">
        <v>107</v>
      </c>
      <c r="C1540" t="s">
        <v>491</v>
      </c>
      <c r="D1540" t="s">
        <v>492</v>
      </c>
      <c r="E1540" s="8">
        <v>121680</v>
      </c>
      <c r="F1540" s="8">
        <v>47290</v>
      </c>
      <c r="G1540" s="8">
        <f t="shared" si="96"/>
        <v>5754247200</v>
      </c>
      <c r="H1540" s="5"/>
      <c r="I1540" s="8" t="str">
        <f t="shared" si="97"/>
        <v/>
      </c>
      <c r="J1540" s="8" t="str">
        <f t="shared" si="98"/>
        <v/>
      </c>
      <c r="K1540" t="str">
        <f t="shared" si="99"/>
        <v>MISSING WHARTON</v>
      </c>
    </row>
    <row r="1541" spans="1:11">
      <c r="A1541" t="s">
        <v>106</v>
      </c>
      <c r="B1541" t="s">
        <v>107</v>
      </c>
      <c r="C1541" t="s">
        <v>1400</v>
      </c>
      <c r="D1541" t="s">
        <v>1401</v>
      </c>
      <c r="E1541" s="8">
        <v>50</v>
      </c>
      <c r="F1541" s="8">
        <v>136310</v>
      </c>
      <c r="G1541" s="8">
        <f t="shared" si="96"/>
        <v>6815500</v>
      </c>
      <c r="H1541" s="5">
        <v>0.3167</v>
      </c>
      <c r="I1541" s="8">
        <f t="shared" si="97"/>
        <v>6815500</v>
      </c>
      <c r="J1541" s="8">
        <f t="shared" si="98"/>
        <v>2158468.85</v>
      </c>
      <c r="K1541" t="str">
        <f t="shared" si="99"/>
        <v>MATCHED</v>
      </c>
    </row>
    <row r="1542" spans="1:11">
      <c r="A1542" t="s">
        <v>106</v>
      </c>
      <c r="B1542" t="s">
        <v>107</v>
      </c>
      <c r="C1542" t="s">
        <v>493</v>
      </c>
      <c r="D1542" t="s">
        <v>494</v>
      </c>
      <c r="E1542" s="8">
        <v>46250</v>
      </c>
      <c r="F1542" s="8">
        <v>70980</v>
      </c>
      <c r="G1542" s="8">
        <f t="shared" si="96"/>
        <v>3282825000</v>
      </c>
      <c r="H1542" s="5">
        <v>0.3429</v>
      </c>
      <c r="I1542" s="8">
        <f t="shared" si="97"/>
        <v>3282825000</v>
      </c>
      <c r="J1542" s="8">
        <f t="shared" si="98"/>
        <v>1125680692.5</v>
      </c>
      <c r="K1542" t="str">
        <f t="shared" si="99"/>
        <v>MATCHED</v>
      </c>
    </row>
    <row r="1543" spans="1:11">
      <c r="A1543" t="s">
        <v>106</v>
      </c>
      <c r="B1543" t="s">
        <v>107</v>
      </c>
      <c r="C1543" t="s">
        <v>1402</v>
      </c>
      <c r="D1543" t="s">
        <v>1403</v>
      </c>
      <c r="E1543" s="8">
        <v>230</v>
      </c>
      <c r="F1543" s="8">
        <v>139590</v>
      </c>
      <c r="G1543" s="8">
        <f t="shared" si="96"/>
        <v>32105700</v>
      </c>
      <c r="H1543" s="5">
        <v>0.5423</v>
      </c>
      <c r="I1543" s="8">
        <f t="shared" si="97"/>
        <v>32105700</v>
      </c>
      <c r="J1543" s="8">
        <f t="shared" si="98"/>
        <v>17410921.11</v>
      </c>
      <c r="K1543" t="str">
        <f t="shared" si="99"/>
        <v>MATCHED</v>
      </c>
    </row>
    <row r="1544" spans="1:11">
      <c r="A1544" t="s">
        <v>106</v>
      </c>
      <c r="B1544" t="s">
        <v>107</v>
      </c>
      <c r="C1544" t="s">
        <v>495</v>
      </c>
      <c r="D1544" t="s">
        <v>496</v>
      </c>
      <c r="E1544" s="8">
        <v>1290</v>
      </c>
      <c r="F1544" s="8">
        <v>179220</v>
      </c>
      <c r="G1544" s="8">
        <f t="shared" si="96"/>
        <v>231193800</v>
      </c>
      <c r="H1544" s="5">
        <v>0.3558</v>
      </c>
      <c r="I1544" s="8">
        <f t="shared" si="97"/>
        <v>231193800</v>
      </c>
      <c r="J1544" s="8">
        <f t="shared" si="98"/>
        <v>82258754.04</v>
      </c>
      <c r="K1544" t="str">
        <f t="shared" si="99"/>
        <v>MATCHED</v>
      </c>
    </row>
    <row r="1545" spans="1:11">
      <c r="A1545" t="s">
        <v>106</v>
      </c>
      <c r="B1545" t="s">
        <v>107</v>
      </c>
      <c r="C1545" t="s">
        <v>1404</v>
      </c>
      <c r="D1545" t="s">
        <v>1405</v>
      </c>
      <c r="E1545" s="8">
        <v>150</v>
      </c>
      <c r="F1545" s="8">
        <v>95300</v>
      </c>
      <c r="G1545" s="8">
        <f t="shared" si="96"/>
        <v>14295000</v>
      </c>
      <c r="H1545" s="5">
        <v>0.35</v>
      </c>
      <c r="I1545" s="8">
        <f t="shared" si="97"/>
        <v>14295000</v>
      </c>
      <c r="J1545" s="8">
        <f t="shared" si="98"/>
        <v>5003250</v>
      </c>
      <c r="K1545" t="str">
        <f t="shared" si="99"/>
        <v>MATCHED</v>
      </c>
    </row>
    <row r="1546" spans="1:11">
      <c r="A1546" t="s">
        <v>106</v>
      </c>
      <c r="B1546" t="s">
        <v>107</v>
      </c>
      <c r="C1546" t="s">
        <v>497</v>
      </c>
      <c r="D1546" t="s">
        <v>498</v>
      </c>
      <c r="E1546" s="8">
        <v>16250</v>
      </c>
      <c r="F1546" s="8">
        <v>47840</v>
      </c>
      <c r="G1546" s="8">
        <f t="shared" si="96"/>
        <v>777400000</v>
      </c>
      <c r="H1546" s="5">
        <v>0.3167</v>
      </c>
      <c r="I1546" s="8">
        <f t="shared" si="97"/>
        <v>777400000</v>
      </c>
      <c r="J1546" s="8">
        <f t="shared" si="98"/>
        <v>246202580</v>
      </c>
      <c r="K1546" t="str">
        <f t="shared" si="99"/>
        <v>MATCHED</v>
      </c>
    </row>
    <row r="1547" spans="1:11">
      <c r="A1547" t="s">
        <v>106</v>
      </c>
      <c r="B1547" t="s">
        <v>107</v>
      </c>
      <c r="C1547" t="s">
        <v>499</v>
      </c>
      <c r="D1547" t="s">
        <v>500</v>
      </c>
      <c r="E1547" s="8">
        <v>153100</v>
      </c>
      <c r="F1547" s="8">
        <v>57050</v>
      </c>
      <c r="G1547" s="8">
        <f t="shared" si="96"/>
        <v>8734355000</v>
      </c>
      <c r="H1547" s="5">
        <v>0.2065</v>
      </c>
      <c r="I1547" s="8">
        <f t="shared" si="97"/>
        <v>8734355000</v>
      </c>
      <c r="J1547" s="8">
        <f t="shared" si="98"/>
        <v>1803644307.5</v>
      </c>
      <c r="K1547" t="str">
        <f t="shared" si="99"/>
        <v>MATCHED</v>
      </c>
    </row>
    <row r="1548" spans="1:11">
      <c r="A1548" t="s">
        <v>106</v>
      </c>
      <c r="B1548" t="s">
        <v>107</v>
      </c>
      <c r="C1548" t="s">
        <v>501</v>
      </c>
      <c r="D1548" t="s">
        <v>502</v>
      </c>
      <c r="E1548" s="8">
        <v>35970</v>
      </c>
      <c r="F1548" s="8">
        <v>46150</v>
      </c>
      <c r="G1548" s="8">
        <f t="shared" si="96"/>
        <v>1660015500</v>
      </c>
      <c r="H1548" s="5">
        <v>0.3393</v>
      </c>
      <c r="I1548" s="8">
        <f t="shared" si="97"/>
        <v>1660015500</v>
      </c>
      <c r="J1548" s="8">
        <f t="shared" si="98"/>
        <v>563243259.15</v>
      </c>
      <c r="K1548" t="str">
        <f t="shared" si="99"/>
        <v>MATCHED</v>
      </c>
    </row>
    <row r="1549" spans="1:11">
      <c r="A1549" t="s">
        <v>106</v>
      </c>
      <c r="B1549" t="s">
        <v>107</v>
      </c>
      <c r="C1549" t="s">
        <v>503</v>
      </c>
      <c r="D1549" t="s">
        <v>504</v>
      </c>
      <c r="E1549" s="8">
        <v>550</v>
      </c>
      <c r="F1549" s="8">
        <v>55900</v>
      </c>
      <c r="G1549" s="8">
        <f t="shared" si="96"/>
        <v>30745000</v>
      </c>
      <c r="H1549" s="5">
        <v>0.3288</v>
      </c>
      <c r="I1549" s="8">
        <f t="shared" si="97"/>
        <v>30745000</v>
      </c>
      <c r="J1549" s="8">
        <f t="shared" si="98"/>
        <v>10108956</v>
      </c>
      <c r="K1549" t="str">
        <f t="shared" si="99"/>
        <v>MATCHED</v>
      </c>
    </row>
    <row r="1550" spans="1:11">
      <c r="A1550" t="s">
        <v>106</v>
      </c>
      <c r="B1550" t="s">
        <v>107</v>
      </c>
      <c r="C1550" t="s">
        <v>1134</v>
      </c>
      <c r="D1550" t="s">
        <v>1135</v>
      </c>
      <c r="E1550" s="8">
        <v>750</v>
      </c>
      <c r="F1550" s="8">
        <v>57340</v>
      </c>
      <c r="G1550" s="8">
        <f t="shared" si="96"/>
        <v>43005000</v>
      </c>
      <c r="H1550" s="5"/>
      <c r="I1550" s="8" t="str">
        <f t="shared" si="97"/>
        <v/>
      </c>
      <c r="J1550" s="8" t="str">
        <f t="shared" si="98"/>
        <v/>
      </c>
      <c r="K1550" t="str">
        <f t="shared" si="99"/>
        <v>MISSING WHARTON</v>
      </c>
    </row>
    <row r="1551" spans="1:11">
      <c r="A1551" t="s">
        <v>106</v>
      </c>
      <c r="B1551" t="s">
        <v>107</v>
      </c>
      <c r="C1551" t="s">
        <v>788</v>
      </c>
      <c r="D1551" t="s">
        <v>789</v>
      </c>
      <c r="E1551" s="8">
        <v>80</v>
      </c>
      <c r="F1551" s="8">
        <v>58330</v>
      </c>
      <c r="G1551" s="8">
        <f t="shared" si="96"/>
        <v>4666400</v>
      </c>
      <c r="H1551" s="5">
        <v>0.19</v>
      </c>
      <c r="I1551" s="8">
        <f t="shared" si="97"/>
        <v>4666400</v>
      </c>
      <c r="J1551" s="8">
        <f t="shared" si="98"/>
        <v>886616</v>
      </c>
      <c r="K1551" t="str">
        <f t="shared" si="99"/>
        <v>MATCHED</v>
      </c>
    </row>
    <row r="1552" spans="1:11">
      <c r="A1552" t="s">
        <v>106</v>
      </c>
      <c r="B1552" t="s">
        <v>107</v>
      </c>
      <c r="C1552" t="s">
        <v>790</v>
      </c>
      <c r="D1552" t="s">
        <v>791</v>
      </c>
      <c r="E1552" s="8">
        <v>70</v>
      </c>
      <c r="F1552" s="8">
        <v>56850</v>
      </c>
      <c r="G1552" s="8">
        <f t="shared" si="96"/>
        <v>3979500</v>
      </c>
      <c r="H1552" s="5">
        <v>0.152</v>
      </c>
      <c r="I1552" s="8">
        <f t="shared" si="97"/>
        <v>3979500</v>
      </c>
      <c r="J1552" s="8">
        <f t="shared" si="98"/>
        <v>604884</v>
      </c>
      <c r="K1552" t="str">
        <f t="shared" si="99"/>
        <v>MATCHED</v>
      </c>
    </row>
    <row r="1553" spans="1:11">
      <c r="A1553" t="s">
        <v>106</v>
      </c>
      <c r="B1553" t="s">
        <v>107</v>
      </c>
      <c r="C1553" t="s">
        <v>1406</v>
      </c>
      <c r="D1553" t="s">
        <v>1407</v>
      </c>
      <c r="E1553" s="8">
        <v>40</v>
      </c>
      <c r="F1553" s="8">
        <v>52190</v>
      </c>
      <c r="G1553" s="8">
        <f t="shared" si="96"/>
        <v>2087600</v>
      </c>
      <c r="H1553" s="5">
        <v>0.1357</v>
      </c>
      <c r="I1553" s="8">
        <f t="shared" si="97"/>
        <v>2087600</v>
      </c>
      <c r="J1553" s="8">
        <f t="shared" si="98"/>
        <v>283287.32</v>
      </c>
      <c r="K1553" t="str">
        <f t="shared" si="99"/>
        <v>MATCHED</v>
      </c>
    </row>
    <row r="1554" spans="1:11">
      <c r="A1554" t="s">
        <v>106</v>
      </c>
      <c r="B1554" t="s">
        <v>107</v>
      </c>
      <c r="C1554" t="s">
        <v>796</v>
      </c>
      <c r="D1554" t="s">
        <v>797</v>
      </c>
      <c r="E1554" s="8">
        <v>210</v>
      </c>
      <c r="F1554" s="8">
        <v>54030</v>
      </c>
      <c r="G1554" s="8">
        <f t="shared" si="96"/>
        <v>11346300</v>
      </c>
      <c r="H1554" s="5">
        <v>0.1018</v>
      </c>
      <c r="I1554" s="8">
        <f t="shared" si="97"/>
        <v>11346300</v>
      </c>
      <c r="J1554" s="8">
        <f t="shared" si="98"/>
        <v>1155053.34</v>
      </c>
      <c r="K1554" t="str">
        <f t="shared" si="99"/>
        <v>MATCHED</v>
      </c>
    </row>
    <row r="1555" spans="1:11">
      <c r="A1555" t="s">
        <v>106</v>
      </c>
      <c r="B1555" t="s">
        <v>107</v>
      </c>
      <c r="C1555" t="s">
        <v>798</v>
      </c>
      <c r="D1555" t="s">
        <v>799</v>
      </c>
      <c r="E1555" s="8">
        <v>220</v>
      </c>
      <c r="F1555" s="8">
        <v>98580</v>
      </c>
      <c r="G1555" s="8">
        <f t="shared" si="96"/>
        <v>21687600</v>
      </c>
      <c r="H1555" s="5">
        <v>0.095</v>
      </c>
      <c r="I1555" s="8">
        <f t="shared" si="97"/>
        <v>21687600</v>
      </c>
      <c r="J1555" s="8">
        <f t="shared" si="98"/>
        <v>2060322</v>
      </c>
      <c r="K1555" t="str">
        <f t="shared" si="99"/>
        <v>MATCHED</v>
      </c>
    </row>
    <row r="1556" spans="1:11">
      <c r="A1556" t="s">
        <v>106</v>
      </c>
      <c r="B1556" t="s">
        <v>107</v>
      </c>
      <c r="C1556" t="s">
        <v>800</v>
      </c>
      <c r="D1556" t="s">
        <v>801</v>
      </c>
      <c r="E1556" s="8">
        <v>80</v>
      </c>
      <c r="F1556" s="8">
        <v>111050</v>
      </c>
      <c r="G1556" s="8">
        <f t="shared" si="96"/>
        <v>8884000</v>
      </c>
      <c r="H1556" s="5">
        <v>0.0971</v>
      </c>
      <c r="I1556" s="8">
        <f t="shared" si="97"/>
        <v>8884000</v>
      </c>
      <c r="J1556" s="8">
        <f t="shared" si="98"/>
        <v>862636.4</v>
      </c>
      <c r="K1556" t="str">
        <f t="shared" si="99"/>
        <v>MATCHED</v>
      </c>
    </row>
    <row r="1557" spans="1:11">
      <c r="A1557" t="s">
        <v>106</v>
      </c>
      <c r="B1557" t="s">
        <v>107</v>
      </c>
      <c r="C1557" t="s">
        <v>1408</v>
      </c>
      <c r="D1557" t="s">
        <v>1409</v>
      </c>
      <c r="E1557" s="8">
        <v>140</v>
      </c>
      <c r="F1557" s="8">
        <v>41530</v>
      </c>
      <c r="G1557" s="8">
        <f t="shared" si="96"/>
        <v>5814200</v>
      </c>
      <c r="H1557" s="5">
        <v>0.1972</v>
      </c>
      <c r="I1557" s="8">
        <f t="shared" si="97"/>
        <v>5814200</v>
      </c>
      <c r="J1557" s="8">
        <f t="shared" si="98"/>
        <v>1146560.24</v>
      </c>
      <c r="K1557" t="str">
        <f t="shared" si="99"/>
        <v>MATCHED</v>
      </c>
    </row>
    <row r="1558" spans="1:11">
      <c r="A1558" t="s">
        <v>106</v>
      </c>
      <c r="B1558" t="s">
        <v>107</v>
      </c>
      <c r="C1558" t="s">
        <v>1410</v>
      </c>
      <c r="D1558" t="s">
        <v>1411</v>
      </c>
      <c r="E1558" s="8">
        <v>190</v>
      </c>
      <c r="F1558" s="8">
        <v>50320</v>
      </c>
      <c r="G1558" s="8">
        <f t="shared" si="96"/>
        <v>9560800</v>
      </c>
      <c r="H1558" s="5">
        <v>0.0528</v>
      </c>
      <c r="I1558" s="8">
        <f t="shared" si="97"/>
        <v>9560800</v>
      </c>
      <c r="J1558" s="8">
        <f t="shared" si="98"/>
        <v>504810.24</v>
      </c>
      <c r="K1558" t="str">
        <f t="shared" si="99"/>
        <v>MATCHED</v>
      </c>
    </row>
    <row r="1559" spans="1:11">
      <c r="A1559" t="s">
        <v>106</v>
      </c>
      <c r="B1559" t="s">
        <v>107</v>
      </c>
      <c r="C1559" t="s">
        <v>1412</v>
      </c>
      <c r="D1559" t="s">
        <v>1413</v>
      </c>
      <c r="E1559" s="8">
        <v>2030</v>
      </c>
      <c r="F1559" s="8">
        <v>96730</v>
      </c>
      <c r="G1559" s="8">
        <f t="shared" si="96"/>
        <v>196361900</v>
      </c>
      <c r="H1559" s="5">
        <v>0.2192</v>
      </c>
      <c r="I1559" s="8">
        <f t="shared" si="97"/>
        <v>196361900</v>
      </c>
      <c r="J1559" s="8">
        <f t="shared" si="98"/>
        <v>43042528.48</v>
      </c>
      <c r="K1559" t="str">
        <f t="shared" si="99"/>
        <v>MATCHED</v>
      </c>
    </row>
    <row r="1560" spans="1:11">
      <c r="A1560" t="s">
        <v>106</v>
      </c>
      <c r="B1560" t="s">
        <v>107</v>
      </c>
      <c r="C1560" t="s">
        <v>1142</v>
      </c>
      <c r="D1560" t="s">
        <v>1143</v>
      </c>
      <c r="E1560" s="8">
        <v>250</v>
      </c>
      <c r="F1560" s="8">
        <v>57710</v>
      </c>
      <c r="G1560" s="8">
        <f t="shared" si="96"/>
        <v>14427500</v>
      </c>
      <c r="H1560" s="5"/>
      <c r="I1560" s="8" t="str">
        <f t="shared" si="97"/>
        <v/>
      </c>
      <c r="J1560" s="8" t="str">
        <f t="shared" si="98"/>
        <v/>
      </c>
      <c r="K1560" t="str">
        <f t="shared" si="99"/>
        <v>MISSING WHARTON</v>
      </c>
    </row>
    <row r="1561" spans="1:11">
      <c r="A1561" t="s">
        <v>106</v>
      </c>
      <c r="B1561" t="s">
        <v>107</v>
      </c>
      <c r="C1561" t="s">
        <v>802</v>
      </c>
      <c r="D1561" t="s">
        <v>803</v>
      </c>
      <c r="E1561" s="8">
        <v>4980</v>
      </c>
      <c r="F1561" s="8">
        <v>49730</v>
      </c>
      <c r="G1561" s="8">
        <f t="shared" si="96"/>
        <v>247655400</v>
      </c>
      <c r="H1561" s="5">
        <v>0.1261</v>
      </c>
      <c r="I1561" s="8">
        <f t="shared" si="97"/>
        <v>247655400</v>
      </c>
      <c r="J1561" s="8">
        <f t="shared" si="98"/>
        <v>31229345.94</v>
      </c>
      <c r="K1561" t="str">
        <f t="shared" si="99"/>
        <v>MATCHED</v>
      </c>
    </row>
    <row r="1562" spans="1:11">
      <c r="A1562" t="s">
        <v>106</v>
      </c>
      <c r="B1562" t="s">
        <v>107</v>
      </c>
      <c r="C1562" t="s">
        <v>804</v>
      </c>
      <c r="D1562" t="s">
        <v>805</v>
      </c>
      <c r="E1562" s="8">
        <v>10480</v>
      </c>
      <c r="F1562" s="8">
        <v>56450</v>
      </c>
      <c r="G1562" s="8">
        <f t="shared" si="96"/>
        <v>591596000</v>
      </c>
      <c r="H1562" s="5">
        <v>0.0864</v>
      </c>
      <c r="I1562" s="8">
        <f t="shared" si="97"/>
        <v>591596000</v>
      </c>
      <c r="J1562" s="8">
        <f t="shared" si="98"/>
        <v>51113894.4</v>
      </c>
      <c r="K1562" t="str">
        <f t="shared" si="99"/>
        <v>MATCHED</v>
      </c>
    </row>
    <row r="1563" spans="1:11">
      <c r="A1563" t="s">
        <v>106</v>
      </c>
      <c r="B1563" t="s">
        <v>107</v>
      </c>
      <c r="C1563" t="s">
        <v>505</v>
      </c>
      <c r="D1563" t="s">
        <v>506</v>
      </c>
      <c r="E1563" s="8">
        <v>630</v>
      </c>
      <c r="F1563" s="8">
        <v>45420</v>
      </c>
      <c r="G1563" s="8">
        <f t="shared" si="96"/>
        <v>28614600</v>
      </c>
      <c r="H1563" s="5">
        <v>0</v>
      </c>
      <c r="I1563" s="8">
        <f t="shared" si="97"/>
        <v>28614600</v>
      </c>
      <c r="J1563" s="8">
        <f t="shared" si="98"/>
        <v>0</v>
      </c>
      <c r="K1563" t="str">
        <f t="shared" si="99"/>
        <v>MATCHED</v>
      </c>
    </row>
    <row r="1564" spans="1:11">
      <c r="A1564" t="s">
        <v>106</v>
      </c>
      <c r="B1564" t="s">
        <v>107</v>
      </c>
      <c r="C1564" t="s">
        <v>507</v>
      </c>
      <c r="D1564" t="s">
        <v>508</v>
      </c>
      <c r="E1564" s="8">
        <v>174010</v>
      </c>
      <c r="F1564" s="8">
        <v>46970</v>
      </c>
      <c r="G1564" s="8">
        <f t="shared" si="96"/>
        <v>8173249700</v>
      </c>
      <c r="H1564" s="5">
        <v>0</v>
      </c>
      <c r="I1564" s="8">
        <f t="shared" si="97"/>
        <v>8173249700</v>
      </c>
      <c r="J1564" s="8">
        <f t="shared" si="98"/>
        <v>0</v>
      </c>
      <c r="K1564" t="str">
        <f t="shared" si="99"/>
        <v>MATCHED</v>
      </c>
    </row>
    <row r="1565" spans="1:11">
      <c r="A1565" t="s">
        <v>106</v>
      </c>
      <c r="B1565" t="s">
        <v>107</v>
      </c>
      <c r="C1565" t="s">
        <v>509</v>
      </c>
      <c r="D1565" t="s">
        <v>510</v>
      </c>
      <c r="E1565" s="8">
        <v>36440</v>
      </c>
      <c r="F1565" s="8">
        <v>43150</v>
      </c>
      <c r="G1565" s="8">
        <f t="shared" si="96"/>
        <v>1572386000</v>
      </c>
      <c r="H1565" s="5">
        <v>0.0452</v>
      </c>
      <c r="I1565" s="8">
        <f t="shared" si="97"/>
        <v>1572386000</v>
      </c>
      <c r="J1565" s="8">
        <f t="shared" si="98"/>
        <v>71071847.2</v>
      </c>
      <c r="K1565" t="str">
        <f t="shared" si="99"/>
        <v>MATCHED</v>
      </c>
    </row>
    <row r="1566" spans="1:11">
      <c r="A1566" t="s">
        <v>106</v>
      </c>
      <c r="B1566" t="s">
        <v>107</v>
      </c>
      <c r="C1566" t="s">
        <v>511</v>
      </c>
      <c r="D1566" t="s">
        <v>512</v>
      </c>
      <c r="E1566" s="8">
        <v>400040</v>
      </c>
      <c r="F1566" s="8">
        <v>43420</v>
      </c>
      <c r="G1566" s="8">
        <f t="shared" si="96"/>
        <v>17369736800</v>
      </c>
      <c r="H1566" s="5">
        <v>0.049</v>
      </c>
      <c r="I1566" s="8">
        <f t="shared" si="97"/>
        <v>17369736800</v>
      </c>
      <c r="J1566" s="8">
        <f t="shared" si="98"/>
        <v>851117103.2</v>
      </c>
      <c r="K1566" t="str">
        <f t="shared" si="99"/>
        <v>MATCHED</v>
      </c>
    </row>
    <row r="1567" spans="1:11">
      <c r="A1567" t="s">
        <v>106</v>
      </c>
      <c r="B1567" t="s">
        <v>107</v>
      </c>
      <c r="C1567" t="s">
        <v>513</v>
      </c>
      <c r="D1567" t="s">
        <v>514</v>
      </c>
      <c r="E1567" s="8">
        <v>29140</v>
      </c>
      <c r="F1567" s="8">
        <v>43630</v>
      </c>
      <c r="G1567" s="8">
        <f t="shared" si="96"/>
        <v>1271378200</v>
      </c>
      <c r="H1567" s="5">
        <v>0.0731</v>
      </c>
      <c r="I1567" s="8">
        <f t="shared" si="97"/>
        <v>1271378200</v>
      </c>
      <c r="J1567" s="8">
        <f t="shared" si="98"/>
        <v>92937746.42</v>
      </c>
      <c r="K1567" t="str">
        <f t="shared" si="99"/>
        <v>MATCHED</v>
      </c>
    </row>
    <row r="1568" spans="1:11">
      <c r="A1568" t="s">
        <v>106</v>
      </c>
      <c r="B1568" t="s">
        <v>107</v>
      </c>
      <c r="C1568" t="s">
        <v>515</v>
      </c>
      <c r="D1568" t="s">
        <v>516</v>
      </c>
      <c r="E1568" s="8">
        <v>132540</v>
      </c>
      <c r="F1568" s="8">
        <v>38300</v>
      </c>
      <c r="G1568" s="8">
        <f t="shared" si="96"/>
        <v>5076282000</v>
      </c>
      <c r="H1568" s="5">
        <v>0.0792</v>
      </c>
      <c r="I1568" s="8">
        <f t="shared" si="97"/>
        <v>5076282000</v>
      </c>
      <c r="J1568" s="8">
        <f t="shared" si="98"/>
        <v>402041534.4</v>
      </c>
      <c r="K1568" t="str">
        <f t="shared" si="99"/>
        <v>MATCHED</v>
      </c>
    </row>
    <row r="1569" spans="1:11">
      <c r="A1569" t="s">
        <v>106</v>
      </c>
      <c r="B1569" t="s">
        <v>107</v>
      </c>
      <c r="C1569" t="s">
        <v>517</v>
      </c>
      <c r="D1569" t="s">
        <v>518</v>
      </c>
      <c r="E1569" s="8">
        <v>78850</v>
      </c>
      <c r="F1569" s="8">
        <v>45500</v>
      </c>
      <c r="G1569" s="8">
        <f t="shared" si="96"/>
        <v>3587675000</v>
      </c>
      <c r="H1569" s="5">
        <v>0.2233</v>
      </c>
      <c r="I1569" s="8">
        <f t="shared" si="97"/>
        <v>3587675000</v>
      </c>
      <c r="J1569" s="8">
        <f t="shared" si="98"/>
        <v>801127827.5</v>
      </c>
      <c r="K1569" t="str">
        <f t="shared" si="99"/>
        <v>MATCHED</v>
      </c>
    </row>
    <row r="1570" spans="1:11">
      <c r="A1570" t="s">
        <v>106</v>
      </c>
      <c r="B1570" t="s">
        <v>107</v>
      </c>
      <c r="C1570" t="s">
        <v>808</v>
      </c>
      <c r="D1570" t="s">
        <v>809</v>
      </c>
      <c r="E1570" s="8">
        <v>80</v>
      </c>
      <c r="F1570" s="8">
        <v>70710</v>
      </c>
      <c r="G1570" s="8">
        <f t="shared" si="96"/>
        <v>5656800</v>
      </c>
      <c r="H1570" s="5">
        <v>0.2192</v>
      </c>
      <c r="I1570" s="8">
        <f t="shared" si="97"/>
        <v>5656800</v>
      </c>
      <c r="J1570" s="8">
        <f t="shared" si="98"/>
        <v>1239970.56</v>
      </c>
      <c r="K1570" t="str">
        <f t="shared" si="99"/>
        <v>MATCHED</v>
      </c>
    </row>
    <row r="1571" spans="1:11">
      <c r="A1571" t="s">
        <v>106</v>
      </c>
      <c r="B1571" t="s">
        <v>107</v>
      </c>
      <c r="C1571" t="s">
        <v>810</v>
      </c>
      <c r="D1571" t="s">
        <v>811</v>
      </c>
      <c r="E1571" s="8">
        <v>360</v>
      </c>
      <c r="F1571" s="8">
        <v>63080</v>
      </c>
      <c r="G1571" s="8">
        <f t="shared" si="96"/>
        <v>22708800</v>
      </c>
      <c r="H1571" s="5">
        <v>0.0679</v>
      </c>
      <c r="I1571" s="8">
        <f t="shared" si="97"/>
        <v>22708800</v>
      </c>
      <c r="J1571" s="8">
        <f t="shared" si="98"/>
        <v>1541927.52</v>
      </c>
      <c r="K1571" t="str">
        <f t="shared" si="99"/>
        <v>MATCHED</v>
      </c>
    </row>
    <row r="1572" spans="1:11">
      <c r="A1572" t="s">
        <v>106</v>
      </c>
      <c r="B1572" t="s">
        <v>107</v>
      </c>
      <c r="C1572" t="s">
        <v>918</v>
      </c>
      <c r="D1572" t="s">
        <v>919</v>
      </c>
      <c r="E1572" s="8">
        <v>110</v>
      </c>
      <c r="F1572" s="8">
        <v>50530</v>
      </c>
      <c r="G1572" s="8">
        <f t="shared" si="96"/>
        <v>5558300</v>
      </c>
      <c r="H1572" s="5">
        <v>0.2375</v>
      </c>
      <c r="I1572" s="8">
        <f t="shared" si="97"/>
        <v>5558300</v>
      </c>
      <c r="J1572" s="8">
        <f t="shared" si="98"/>
        <v>1320096.25</v>
      </c>
      <c r="K1572" t="str">
        <f t="shared" si="99"/>
        <v>MATCHED</v>
      </c>
    </row>
    <row r="1573" spans="1:11">
      <c r="A1573" t="s">
        <v>106</v>
      </c>
      <c r="B1573" t="s">
        <v>107</v>
      </c>
      <c r="C1573" t="s">
        <v>814</v>
      </c>
      <c r="D1573" t="s">
        <v>815</v>
      </c>
      <c r="E1573" s="8">
        <v>1870</v>
      </c>
      <c r="F1573" s="8">
        <v>60610</v>
      </c>
      <c r="G1573" s="8">
        <f t="shared" si="96"/>
        <v>113340700</v>
      </c>
      <c r="H1573" s="5">
        <v>0.05</v>
      </c>
      <c r="I1573" s="8">
        <f t="shared" si="97"/>
        <v>113340700</v>
      </c>
      <c r="J1573" s="8">
        <f t="shared" si="98"/>
        <v>5667035</v>
      </c>
      <c r="K1573" t="str">
        <f t="shared" si="99"/>
        <v>MATCHED</v>
      </c>
    </row>
    <row r="1574" spans="1:11">
      <c r="A1574" t="s">
        <v>106</v>
      </c>
      <c r="B1574" t="s">
        <v>107</v>
      </c>
      <c r="C1574" t="s">
        <v>519</v>
      </c>
      <c r="D1574" t="s">
        <v>520</v>
      </c>
      <c r="E1574" s="8">
        <v>2390</v>
      </c>
      <c r="F1574" s="8">
        <v>50600</v>
      </c>
      <c r="G1574" s="8">
        <f t="shared" si="96"/>
        <v>120934000</v>
      </c>
      <c r="H1574" s="5"/>
      <c r="I1574" s="8" t="str">
        <f t="shared" si="97"/>
        <v/>
      </c>
      <c r="J1574" s="8" t="str">
        <f t="shared" si="98"/>
        <v/>
      </c>
      <c r="K1574" t="str">
        <f t="shared" si="99"/>
        <v>MISSING WHARTON</v>
      </c>
    </row>
    <row r="1575" spans="1:11">
      <c r="A1575" t="s">
        <v>108</v>
      </c>
      <c r="B1575" t="s">
        <v>1414</v>
      </c>
      <c r="C1575" t="s">
        <v>235</v>
      </c>
      <c r="D1575" t="s">
        <v>236</v>
      </c>
      <c r="E1575" s="8">
        <v>9620</v>
      </c>
      <c r="F1575" s="8">
        <v>300590</v>
      </c>
      <c r="G1575" s="8">
        <f t="shared" si="96"/>
        <v>2891675800</v>
      </c>
      <c r="H1575" s="5">
        <v>0.4775</v>
      </c>
      <c r="I1575" s="8">
        <f t="shared" si="97"/>
        <v>2891675800</v>
      </c>
      <c r="J1575" s="8">
        <f t="shared" si="98"/>
        <v>1380775194.5</v>
      </c>
      <c r="K1575" t="str">
        <f t="shared" si="99"/>
        <v>MATCHED</v>
      </c>
    </row>
    <row r="1576" spans="1:11">
      <c r="A1576" t="s">
        <v>108</v>
      </c>
      <c r="B1576" t="s">
        <v>1414</v>
      </c>
      <c r="C1576" t="s">
        <v>237</v>
      </c>
      <c r="D1576" t="s">
        <v>238</v>
      </c>
      <c r="E1576" s="8">
        <v>253660</v>
      </c>
      <c r="F1576" s="8">
        <v>144420</v>
      </c>
      <c r="G1576" s="8">
        <f t="shared" si="96"/>
        <v>36633577200</v>
      </c>
      <c r="H1576" s="5">
        <v>0.5382</v>
      </c>
      <c r="I1576" s="8">
        <f t="shared" si="97"/>
        <v>36633577200</v>
      </c>
      <c r="J1576" s="8">
        <f t="shared" si="98"/>
        <v>19716191249.04</v>
      </c>
      <c r="K1576" t="str">
        <f t="shared" si="99"/>
        <v>MATCHED</v>
      </c>
    </row>
    <row r="1577" spans="1:11">
      <c r="A1577" t="s">
        <v>108</v>
      </c>
      <c r="B1577" t="s">
        <v>1414</v>
      </c>
      <c r="C1577" t="s">
        <v>920</v>
      </c>
      <c r="D1577" t="s">
        <v>921</v>
      </c>
      <c r="E1577" s="8">
        <v>1250</v>
      </c>
      <c r="F1577" s="8">
        <v>205130</v>
      </c>
      <c r="G1577" s="8">
        <f t="shared" si="96"/>
        <v>256412500</v>
      </c>
      <c r="H1577" s="5">
        <v>0.5583</v>
      </c>
      <c r="I1577" s="8">
        <f t="shared" si="97"/>
        <v>256412500</v>
      </c>
      <c r="J1577" s="8">
        <f t="shared" si="98"/>
        <v>143155098.75</v>
      </c>
      <c r="K1577" t="str">
        <f t="shared" si="99"/>
        <v>MATCHED</v>
      </c>
    </row>
    <row r="1578" spans="1:11">
      <c r="A1578" t="s">
        <v>108</v>
      </c>
      <c r="B1578" t="s">
        <v>1414</v>
      </c>
      <c r="C1578" t="s">
        <v>239</v>
      </c>
      <c r="D1578" t="s">
        <v>240</v>
      </c>
      <c r="E1578" s="8">
        <v>41150</v>
      </c>
      <c r="F1578" s="8">
        <v>174410</v>
      </c>
      <c r="G1578" s="8">
        <f t="shared" si="96"/>
        <v>7176971500</v>
      </c>
      <c r="H1578" s="5">
        <v>0.445</v>
      </c>
      <c r="I1578" s="8">
        <f t="shared" si="97"/>
        <v>7176971500</v>
      </c>
      <c r="J1578" s="8">
        <f t="shared" si="98"/>
        <v>3193752317.5</v>
      </c>
      <c r="K1578" t="str">
        <f t="shared" si="99"/>
        <v>MATCHED</v>
      </c>
    </row>
    <row r="1579" spans="1:11">
      <c r="A1579" t="s">
        <v>108</v>
      </c>
      <c r="B1579" t="s">
        <v>1414</v>
      </c>
      <c r="C1579" t="s">
        <v>241</v>
      </c>
      <c r="D1579" t="s">
        <v>242</v>
      </c>
      <c r="E1579" s="8">
        <v>133070</v>
      </c>
      <c r="F1579" s="8">
        <v>163700</v>
      </c>
      <c r="G1579" s="8">
        <f t="shared" si="96"/>
        <v>21783559000</v>
      </c>
      <c r="H1579" s="5">
        <v>0.3735</v>
      </c>
      <c r="I1579" s="8">
        <f t="shared" si="97"/>
        <v>21783559000</v>
      </c>
      <c r="J1579" s="8">
        <f t="shared" si="98"/>
        <v>8136159286.5</v>
      </c>
      <c r="K1579" t="str">
        <f t="shared" si="99"/>
        <v>MATCHED</v>
      </c>
    </row>
    <row r="1580" spans="1:11">
      <c r="A1580" t="s">
        <v>108</v>
      </c>
      <c r="B1580" t="s">
        <v>1414</v>
      </c>
      <c r="C1580" t="s">
        <v>522</v>
      </c>
      <c r="D1580" t="s">
        <v>523</v>
      </c>
      <c r="E1580" s="8">
        <v>2140</v>
      </c>
      <c r="F1580" s="8">
        <v>183340</v>
      </c>
      <c r="G1580" s="8">
        <f t="shared" si="96"/>
        <v>392347600</v>
      </c>
      <c r="H1580" s="5">
        <v>0.53</v>
      </c>
      <c r="I1580" s="8">
        <f t="shared" si="97"/>
        <v>392347600</v>
      </c>
      <c r="J1580" s="8">
        <f t="shared" si="98"/>
        <v>207944228</v>
      </c>
      <c r="K1580" t="str">
        <f t="shared" si="99"/>
        <v>MATCHED</v>
      </c>
    </row>
    <row r="1581" spans="1:11">
      <c r="A1581" t="s">
        <v>108</v>
      </c>
      <c r="B1581" t="s">
        <v>1414</v>
      </c>
      <c r="C1581" t="s">
        <v>243</v>
      </c>
      <c r="D1581" t="s">
        <v>244</v>
      </c>
      <c r="E1581" s="8">
        <v>13310</v>
      </c>
      <c r="F1581" s="8">
        <v>140730</v>
      </c>
      <c r="G1581" s="8">
        <f t="shared" si="96"/>
        <v>1873116300</v>
      </c>
      <c r="H1581" s="5">
        <v>0.4444</v>
      </c>
      <c r="I1581" s="8">
        <f t="shared" si="97"/>
        <v>1873116300</v>
      </c>
      <c r="J1581" s="8">
        <f t="shared" si="98"/>
        <v>832412883.72</v>
      </c>
      <c r="K1581" t="str">
        <f t="shared" si="99"/>
        <v>MATCHED</v>
      </c>
    </row>
    <row r="1582" spans="1:11">
      <c r="A1582" t="s">
        <v>108</v>
      </c>
      <c r="B1582" t="s">
        <v>1414</v>
      </c>
      <c r="C1582" t="s">
        <v>245</v>
      </c>
      <c r="D1582" t="s">
        <v>246</v>
      </c>
      <c r="E1582" s="8">
        <v>5780</v>
      </c>
      <c r="F1582" s="8">
        <v>113320</v>
      </c>
      <c r="G1582" s="8">
        <f t="shared" si="96"/>
        <v>654989600</v>
      </c>
      <c r="H1582" s="5">
        <v>0.2907</v>
      </c>
      <c r="I1582" s="8">
        <f t="shared" si="97"/>
        <v>654989600</v>
      </c>
      <c r="J1582" s="8">
        <f t="shared" si="98"/>
        <v>190405476.72</v>
      </c>
      <c r="K1582" t="str">
        <f t="shared" si="99"/>
        <v>MATCHED</v>
      </c>
    </row>
    <row r="1583" spans="1:11">
      <c r="A1583" t="s">
        <v>108</v>
      </c>
      <c r="B1583" t="s">
        <v>1414</v>
      </c>
      <c r="C1583" t="s">
        <v>247</v>
      </c>
      <c r="D1583" t="s">
        <v>248</v>
      </c>
      <c r="E1583" s="8">
        <v>28040</v>
      </c>
      <c r="F1583" s="8">
        <v>189300</v>
      </c>
      <c r="G1583" s="8">
        <f t="shared" si="96"/>
        <v>5307972000</v>
      </c>
      <c r="H1583" s="5">
        <v>0.5265</v>
      </c>
      <c r="I1583" s="8">
        <f t="shared" si="97"/>
        <v>5307972000</v>
      </c>
      <c r="J1583" s="8">
        <f t="shared" si="98"/>
        <v>2794647258</v>
      </c>
      <c r="K1583" t="str">
        <f t="shared" si="99"/>
        <v>MATCHED</v>
      </c>
    </row>
    <row r="1584" spans="1:11">
      <c r="A1584" t="s">
        <v>108</v>
      </c>
      <c r="B1584" t="s">
        <v>1414</v>
      </c>
      <c r="C1584" t="s">
        <v>249</v>
      </c>
      <c r="D1584" t="s">
        <v>250</v>
      </c>
      <c r="E1584" s="8">
        <v>34070</v>
      </c>
      <c r="F1584" s="8">
        <v>183970</v>
      </c>
      <c r="G1584" s="8">
        <f t="shared" si="96"/>
        <v>6267857900</v>
      </c>
      <c r="H1584" s="5">
        <v>0.7221</v>
      </c>
      <c r="I1584" s="8">
        <f t="shared" si="97"/>
        <v>6267857900</v>
      </c>
      <c r="J1584" s="8">
        <f t="shared" si="98"/>
        <v>4526020189.59</v>
      </c>
      <c r="K1584" t="str">
        <f t="shared" si="99"/>
        <v>MATCHED</v>
      </c>
    </row>
    <row r="1585" spans="1:11">
      <c r="A1585" t="s">
        <v>108</v>
      </c>
      <c r="B1585" t="s">
        <v>1414</v>
      </c>
      <c r="C1585" t="s">
        <v>251</v>
      </c>
      <c r="D1585" t="s">
        <v>252</v>
      </c>
      <c r="E1585" s="8">
        <v>16700</v>
      </c>
      <c r="F1585" s="8">
        <v>132400</v>
      </c>
      <c r="G1585" s="8">
        <f t="shared" si="96"/>
        <v>2211080000</v>
      </c>
      <c r="H1585" s="5">
        <v>0.3636</v>
      </c>
      <c r="I1585" s="8">
        <f t="shared" si="97"/>
        <v>2211080000</v>
      </c>
      <c r="J1585" s="8">
        <f t="shared" si="98"/>
        <v>803948688</v>
      </c>
      <c r="K1585" t="str">
        <f t="shared" si="99"/>
        <v>MATCHED</v>
      </c>
    </row>
    <row r="1586" spans="1:11">
      <c r="A1586" t="s">
        <v>108</v>
      </c>
      <c r="B1586" t="s">
        <v>1414</v>
      </c>
      <c r="C1586" t="s">
        <v>253</v>
      </c>
      <c r="D1586" t="s">
        <v>254</v>
      </c>
      <c r="E1586" s="8">
        <v>10070</v>
      </c>
      <c r="F1586" s="8">
        <v>150760</v>
      </c>
      <c r="G1586" s="8">
        <f t="shared" si="96"/>
        <v>1518153200</v>
      </c>
      <c r="H1586" s="5">
        <v>0.6944</v>
      </c>
      <c r="I1586" s="8">
        <f t="shared" si="97"/>
        <v>1518153200</v>
      </c>
      <c r="J1586" s="8">
        <f t="shared" si="98"/>
        <v>1054205582.08</v>
      </c>
      <c r="K1586" t="str">
        <f t="shared" si="99"/>
        <v>MATCHED</v>
      </c>
    </row>
    <row r="1587" spans="1:11">
      <c r="A1587" t="s">
        <v>108</v>
      </c>
      <c r="B1587" t="s">
        <v>1414</v>
      </c>
      <c r="C1587" t="s">
        <v>255</v>
      </c>
      <c r="D1587" t="s">
        <v>256</v>
      </c>
      <c r="E1587" s="8">
        <v>34350</v>
      </c>
      <c r="F1587" s="8">
        <v>113970</v>
      </c>
      <c r="G1587" s="8">
        <f t="shared" si="96"/>
        <v>3914869500</v>
      </c>
      <c r="H1587" s="5">
        <v>0.5783</v>
      </c>
      <c r="I1587" s="8">
        <f t="shared" si="97"/>
        <v>3914869500</v>
      </c>
      <c r="J1587" s="8">
        <f t="shared" si="98"/>
        <v>2263969031.85</v>
      </c>
      <c r="K1587" t="str">
        <f t="shared" si="99"/>
        <v>MATCHED</v>
      </c>
    </row>
    <row r="1588" spans="1:11">
      <c r="A1588" t="s">
        <v>108</v>
      </c>
      <c r="B1588" t="s">
        <v>1414</v>
      </c>
      <c r="C1588" t="s">
        <v>524</v>
      </c>
      <c r="D1588" t="s">
        <v>525</v>
      </c>
      <c r="E1588" s="8">
        <v>730</v>
      </c>
      <c r="F1588" s="8">
        <v>169180</v>
      </c>
      <c r="G1588" s="8">
        <f t="shared" si="96"/>
        <v>123501400</v>
      </c>
      <c r="H1588" s="5">
        <v>0.5771</v>
      </c>
      <c r="I1588" s="8">
        <f t="shared" si="97"/>
        <v>123501400</v>
      </c>
      <c r="J1588" s="8">
        <f t="shared" si="98"/>
        <v>71272657.94</v>
      </c>
      <c r="K1588" t="str">
        <f t="shared" si="99"/>
        <v>MATCHED</v>
      </c>
    </row>
    <row r="1589" spans="1:11">
      <c r="A1589" t="s">
        <v>108</v>
      </c>
      <c r="B1589" t="s">
        <v>1414</v>
      </c>
      <c r="C1589" t="s">
        <v>257</v>
      </c>
      <c r="D1589" t="s">
        <v>258</v>
      </c>
      <c r="E1589" s="8">
        <v>9930</v>
      </c>
      <c r="F1589" s="8">
        <v>175540</v>
      </c>
      <c r="G1589" s="8">
        <f t="shared" si="96"/>
        <v>1743112200</v>
      </c>
      <c r="H1589" s="5">
        <v>0.5962</v>
      </c>
      <c r="I1589" s="8">
        <f t="shared" si="97"/>
        <v>1743112200</v>
      </c>
      <c r="J1589" s="8">
        <f t="shared" si="98"/>
        <v>1039243493.64</v>
      </c>
      <c r="K1589" t="str">
        <f t="shared" si="99"/>
        <v>MATCHED</v>
      </c>
    </row>
    <row r="1590" spans="1:11">
      <c r="A1590" t="s">
        <v>108</v>
      </c>
      <c r="B1590" t="s">
        <v>1414</v>
      </c>
      <c r="C1590" t="s">
        <v>526</v>
      </c>
      <c r="D1590" t="s">
        <v>527</v>
      </c>
      <c r="E1590" s="8">
        <v>3080</v>
      </c>
      <c r="F1590" s="8">
        <v>166860</v>
      </c>
      <c r="G1590" s="8">
        <f t="shared" si="96"/>
        <v>513928800</v>
      </c>
      <c r="H1590" s="5">
        <v>0.6833</v>
      </c>
      <c r="I1590" s="8">
        <f t="shared" si="97"/>
        <v>513928800</v>
      </c>
      <c r="J1590" s="8">
        <f t="shared" si="98"/>
        <v>351167549.04</v>
      </c>
      <c r="K1590" t="str">
        <f t="shared" si="99"/>
        <v>MATCHED</v>
      </c>
    </row>
    <row r="1591" spans="1:11">
      <c r="A1591" t="s">
        <v>108</v>
      </c>
      <c r="B1591" t="s">
        <v>1414</v>
      </c>
      <c r="C1591" t="s">
        <v>259</v>
      </c>
      <c r="D1591" t="s">
        <v>260</v>
      </c>
      <c r="E1591" s="8">
        <v>540</v>
      </c>
      <c r="F1591" s="8">
        <v>99560</v>
      </c>
      <c r="G1591" s="8">
        <f t="shared" si="96"/>
        <v>53762400</v>
      </c>
      <c r="H1591" s="5">
        <v>0.22</v>
      </c>
      <c r="I1591" s="8">
        <f t="shared" si="97"/>
        <v>53762400</v>
      </c>
      <c r="J1591" s="8">
        <f t="shared" si="98"/>
        <v>11827728</v>
      </c>
      <c r="K1591" t="str">
        <f t="shared" si="99"/>
        <v>MATCHED</v>
      </c>
    </row>
    <row r="1592" spans="1:11">
      <c r="A1592" t="s">
        <v>108</v>
      </c>
      <c r="B1592" t="s">
        <v>1414</v>
      </c>
      <c r="C1592" t="s">
        <v>528</v>
      </c>
      <c r="D1592" t="s">
        <v>529</v>
      </c>
      <c r="E1592" s="8">
        <v>1660</v>
      </c>
      <c r="F1592" s="8">
        <v>117760</v>
      </c>
      <c r="G1592" s="8">
        <f t="shared" si="96"/>
        <v>195481600</v>
      </c>
      <c r="H1592" s="5">
        <v>0.374</v>
      </c>
      <c r="I1592" s="8">
        <f t="shared" si="97"/>
        <v>195481600</v>
      </c>
      <c r="J1592" s="8">
        <f t="shared" si="98"/>
        <v>73110118.4</v>
      </c>
      <c r="K1592" t="str">
        <f t="shared" si="99"/>
        <v>MATCHED</v>
      </c>
    </row>
    <row r="1593" spans="1:11">
      <c r="A1593" t="s">
        <v>108</v>
      </c>
      <c r="B1593" t="s">
        <v>1414</v>
      </c>
      <c r="C1593" t="s">
        <v>530</v>
      </c>
      <c r="D1593" t="s">
        <v>531</v>
      </c>
      <c r="E1593" s="8">
        <v>8410</v>
      </c>
      <c r="F1593" s="8">
        <v>181800</v>
      </c>
      <c r="G1593" s="8">
        <f t="shared" si="96"/>
        <v>1528938000</v>
      </c>
      <c r="H1593" s="5">
        <v>0.263</v>
      </c>
      <c r="I1593" s="8">
        <f t="shared" si="97"/>
        <v>1528938000</v>
      </c>
      <c r="J1593" s="8">
        <f t="shared" si="98"/>
        <v>402110694</v>
      </c>
      <c r="K1593" t="str">
        <f t="shared" si="99"/>
        <v>MATCHED</v>
      </c>
    </row>
    <row r="1594" spans="1:11">
      <c r="A1594" t="s">
        <v>108</v>
      </c>
      <c r="B1594" t="s">
        <v>1414</v>
      </c>
      <c r="C1594" t="s">
        <v>1144</v>
      </c>
      <c r="D1594" t="s">
        <v>1145</v>
      </c>
      <c r="E1594" s="8">
        <v>160</v>
      </c>
      <c r="F1594" s="8">
        <v>82890</v>
      </c>
      <c r="G1594" s="8">
        <f t="shared" si="96"/>
        <v>13262400</v>
      </c>
      <c r="H1594" s="5">
        <v>0.3821</v>
      </c>
      <c r="I1594" s="8">
        <f t="shared" si="97"/>
        <v>13262400</v>
      </c>
      <c r="J1594" s="8">
        <f t="shared" si="98"/>
        <v>5067563.04</v>
      </c>
      <c r="K1594" t="str">
        <f t="shared" si="99"/>
        <v>MATCHED</v>
      </c>
    </row>
    <row r="1595" spans="1:11">
      <c r="A1595" t="s">
        <v>108</v>
      </c>
      <c r="B1595" t="s">
        <v>1414</v>
      </c>
      <c r="C1595" t="s">
        <v>1146</v>
      </c>
      <c r="D1595" t="s">
        <v>1147</v>
      </c>
      <c r="E1595" s="8">
        <v>3930</v>
      </c>
      <c r="F1595" s="8">
        <v>215570</v>
      </c>
      <c r="G1595" s="8">
        <f t="shared" si="96"/>
        <v>847190100</v>
      </c>
      <c r="H1595" s="5">
        <v>0.4417</v>
      </c>
      <c r="I1595" s="8">
        <f t="shared" si="97"/>
        <v>847190100</v>
      </c>
      <c r="J1595" s="8">
        <f t="shared" si="98"/>
        <v>374203867.17</v>
      </c>
      <c r="K1595" t="str">
        <f t="shared" si="99"/>
        <v>MATCHED</v>
      </c>
    </row>
    <row r="1596" spans="1:11">
      <c r="A1596" t="s">
        <v>108</v>
      </c>
      <c r="B1596" t="s">
        <v>1414</v>
      </c>
      <c r="C1596" t="s">
        <v>261</v>
      </c>
      <c r="D1596" t="s">
        <v>262</v>
      </c>
      <c r="E1596" s="8">
        <v>4840</v>
      </c>
      <c r="F1596" s="8">
        <v>223610</v>
      </c>
      <c r="G1596" s="8">
        <f t="shared" si="96"/>
        <v>1082272400</v>
      </c>
      <c r="H1596" s="5">
        <v>0.382</v>
      </c>
      <c r="I1596" s="8">
        <f t="shared" si="97"/>
        <v>1082272400</v>
      </c>
      <c r="J1596" s="8">
        <f t="shared" si="98"/>
        <v>413428056.8</v>
      </c>
      <c r="K1596" t="str">
        <f t="shared" si="99"/>
        <v>MATCHED</v>
      </c>
    </row>
    <row r="1597" spans="1:11">
      <c r="A1597" t="s">
        <v>108</v>
      </c>
      <c r="B1597" t="s">
        <v>1414</v>
      </c>
      <c r="C1597" t="s">
        <v>532</v>
      </c>
      <c r="D1597" t="s">
        <v>533</v>
      </c>
      <c r="E1597" s="8">
        <v>260</v>
      </c>
      <c r="F1597" s="8">
        <v>117190</v>
      </c>
      <c r="G1597" s="8">
        <f t="shared" si="96"/>
        <v>30469400</v>
      </c>
      <c r="H1597" s="5">
        <v>0.3833</v>
      </c>
      <c r="I1597" s="8">
        <f t="shared" si="97"/>
        <v>30469400</v>
      </c>
      <c r="J1597" s="8">
        <f t="shared" si="98"/>
        <v>11678921.02</v>
      </c>
      <c r="K1597" t="str">
        <f t="shared" si="99"/>
        <v>MATCHED</v>
      </c>
    </row>
    <row r="1598" spans="1:11">
      <c r="A1598" t="s">
        <v>108</v>
      </c>
      <c r="B1598" t="s">
        <v>1414</v>
      </c>
      <c r="C1598" t="s">
        <v>1148</v>
      </c>
      <c r="D1598" t="s">
        <v>1149</v>
      </c>
      <c r="E1598" s="8">
        <v>260</v>
      </c>
      <c r="F1598" s="8">
        <v>111760</v>
      </c>
      <c r="G1598" s="8">
        <f t="shared" si="96"/>
        <v>29057600</v>
      </c>
      <c r="H1598" s="5">
        <v>0.4143</v>
      </c>
      <c r="I1598" s="8">
        <f t="shared" si="97"/>
        <v>29057600</v>
      </c>
      <c r="J1598" s="8">
        <f t="shared" si="98"/>
        <v>12038563.68</v>
      </c>
      <c r="K1598" t="str">
        <f t="shared" si="99"/>
        <v>MATCHED</v>
      </c>
    </row>
    <row r="1599" spans="1:11">
      <c r="A1599" t="s">
        <v>108</v>
      </c>
      <c r="B1599" t="s">
        <v>1414</v>
      </c>
      <c r="C1599" t="s">
        <v>263</v>
      </c>
      <c r="D1599" t="s">
        <v>264</v>
      </c>
      <c r="E1599" s="8">
        <v>26530</v>
      </c>
      <c r="F1599" s="8">
        <v>159130</v>
      </c>
      <c r="G1599" s="8">
        <f t="shared" si="96"/>
        <v>4221718900</v>
      </c>
      <c r="H1599" s="5">
        <v>0.4896</v>
      </c>
      <c r="I1599" s="8">
        <f t="shared" si="97"/>
        <v>4221718900</v>
      </c>
      <c r="J1599" s="8">
        <f t="shared" si="98"/>
        <v>2066953573.44</v>
      </c>
      <c r="K1599" t="str">
        <f t="shared" si="99"/>
        <v>MATCHED</v>
      </c>
    </row>
    <row r="1600" spans="1:11">
      <c r="A1600" t="s">
        <v>108</v>
      </c>
      <c r="B1600" t="s">
        <v>1414</v>
      </c>
      <c r="C1600" t="s">
        <v>265</v>
      </c>
      <c r="D1600" t="s">
        <v>266</v>
      </c>
      <c r="E1600" s="8">
        <v>70490</v>
      </c>
      <c r="F1600" s="8">
        <v>77210</v>
      </c>
      <c r="G1600" s="8">
        <f t="shared" si="96"/>
        <v>5442532900</v>
      </c>
      <c r="H1600" s="5">
        <v>0.5876</v>
      </c>
      <c r="I1600" s="8">
        <f t="shared" si="97"/>
        <v>5442532900</v>
      </c>
      <c r="J1600" s="8">
        <f t="shared" si="98"/>
        <v>3198032332.04</v>
      </c>
      <c r="K1600" t="str">
        <f t="shared" si="99"/>
        <v>MATCHED</v>
      </c>
    </row>
    <row r="1601" spans="1:11">
      <c r="A1601" t="s">
        <v>108</v>
      </c>
      <c r="B1601" t="s">
        <v>1414</v>
      </c>
      <c r="C1601" t="s">
        <v>818</v>
      </c>
      <c r="D1601" t="s">
        <v>819</v>
      </c>
      <c r="E1601" s="8"/>
      <c r="F1601" s="8">
        <v>55910</v>
      </c>
      <c r="G1601" s="8" t="str">
        <f t="shared" si="96"/>
        <v/>
      </c>
      <c r="H1601" s="5">
        <v>0.6983</v>
      </c>
      <c r="I1601" s="8" t="str">
        <f t="shared" si="97"/>
        <v/>
      </c>
      <c r="J1601" s="8" t="str">
        <f t="shared" si="98"/>
        <v/>
      </c>
      <c r="K1601" t="str">
        <f t="shared" si="99"/>
        <v>MISSING OEWS</v>
      </c>
    </row>
    <row r="1602" spans="1:11">
      <c r="A1602" t="s">
        <v>108</v>
      </c>
      <c r="B1602" t="s">
        <v>1414</v>
      </c>
      <c r="C1602" t="s">
        <v>267</v>
      </c>
      <c r="D1602" t="s">
        <v>268</v>
      </c>
      <c r="E1602" s="8"/>
      <c r="F1602" s="8">
        <v>107480</v>
      </c>
      <c r="G1602" s="8" t="str">
        <f t="shared" ref="G1602:G1665" si="100">IF(OR(E1602="",F1602=""),"",E1602*F1602)</f>
        <v/>
      </c>
      <c r="H1602" s="5">
        <v>0.4611</v>
      </c>
      <c r="I1602" s="8" t="str">
        <f t="shared" ref="I1602:I1665" si="101">IF(G1602="","",IF(ISNUMBER(H1602),G1602,""))</f>
        <v/>
      </c>
      <c r="J1602" s="8" t="str">
        <f t="shared" ref="J1602:J1665" si="102">IF(I1602="","",I1602*H1602)</f>
        <v/>
      </c>
      <c r="K1602" t="str">
        <f t="shared" ref="K1602:K1665" si="103">IF(G1602="","MISSING OEWS",IF(ISNUMBER(H1602),"MATCHED","MISSING WHARTON"))</f>
        <v>MISSING OEWS</v>
      </c>
    </row>
    <row r="1603" spans="1:11">
      <c r="A1603" t="s">
        <v>108</v>
      </c>
      <c r="B1603" t="s">
        <v>1414</v>
      </c>
      <c r="C1603" t="s">
        <v>534</v>
      </c>
      <c r="D1603" t="s">
        <v>535</v>
      </c>
      <c r="E1603" s="8">
        <v>11610</v>
      </c>
      <c r="F1603" s="8">
        <v>74390</v>
      </c>
      <c r="G1603" s="8">
        <f t="shared" si="100"/>
        <v>863667900</v>
      </c>
      <c r="H1603" s="5">
        <v>0.6393</v>
      </c>
      <c r="I1603" s="8">
        <f t="shared" si="101"/>
        <v>863667900</v>
      </c>
      <c r="J1603" s="8">
        <f t="shared" si="102"/>
        <v>552142888.47</v>
      </c>
      <c r="K1603" t="str">
        <f t="shared" si="103"/>
        <v>MATCHED</v>
      </c>
    </row>
    <row r="1604" spans="1:11">
      <c r="A1604" t="s">
        <v>108</v>
      </c>
      <c r="B1604" t="s">
        <v>1414</v>
      </c>
      <c r="C1604" t="s">
        <v>269</v>
      </c>
      <c r="D1604" t="s">
        <v>270</v>
      </c>
      <c r="E1604" s="8">
        <v>30710</v>
      </c>
      <c r="F1604" s="8">
        <v>88780</v>
      </c>
      <c r="G1604" s="8">
        <f t="shared" si="100"/>
        <v>2726433800</v>
      </c>
      <c r="H1604" s="5">
        <v>0.7808</v>
      </c>
      <c r="I1604" s="8">
        <f t="shared" si="101"/>
        <v>2726433800</v>
      </c>
      <c r="J1604" s="8">
        <f t="shared" si="102"/>
        <v>2128799511.04</v>
      </c>
      <c r="K1604" t="str">
        <f t="shared" si="103"/>
        <v>MATCHED</v>
      </c>
    </row>
    <row r="1605" spans="1:11">
      <c r="A1605" t="s">
        <v>108</v>
      </c>
      <c r="B1605" t="s">
        <v>1414</v>
      </c>
      <c r="C1605" t="s">
        <v>820</v>
      </c>
      <c r="D1605" t="s">
        <v>821</v>
      </c>
      <c r="E1605" s="8">
        <v>270</v>
      </c>
      <c r="F1605" s="8">
        <v>107360</v>
      </c>
      <c r="G1605" s="8">
        <f t="shared" si="100"/>
        <v>28987200</v>
      </c>
      <c r="H1605" s="5">
        <v>0.5536</v>
      </c>
      <c r="I1605" s="8">
        <f t="shared" si="101"/>
        <v>28987200</v>
      </c>
      <c r="J1605" s="8">
        <f t="shared" si="102"/>
        <v>16047313.92</v>
      </c>
      <c r="K1605" t="str">
        <f t="shared" si="103"/>
        <v>MATCHED</v>
      </c>
    </row>
    <row r="1606" spans="1:11">
      <c r="A1606" t="s">
        <v>108</v>
      </c>
      <c r="B1606" t="s">
        <v>1414</v>
      </c>
      <c r="C1606" t="s">
        <v>273</v>
      </c>
      <c r="D1606" t="s">
        <v>274</v>
      </c>
      <c r="E1606" s="8">
        <v>27360</v>
      </c>
      <c r="F1606" s="8">
        <v>79830</v>
      </c>
      <c r="G1606" s="8">
        <f t="shared" si="100"/>
        <v>2184148800</v>
      </c>
      <c r="H1606" s="5">
        <v>0.6943</v>
      </c>
      <c r="I1606" s="8">
        <f t="shared" si="101"/>
        <v>2184148800</v>
      </c>
      <c r="J1606" s="8">
        <f t="shared" si="102"/>
        <v>1516454511.84</v>
      </c>
      <c r="K1606" t="str">
        <f t="shared" si="103"/>
        <v>MATCHED</v>
      </c>
    </row>
    <row r="1607" spans="1:11">
      <c r="A1607" t="s">
        <v>108</v>
      </c>
      <c r="B1607" t="s">
        <v>1414</v>
      </c>
      <c r="C1607" t="s">
        <v>275</v>
      </c>
      <c r="D1607" t="s">
        <v>276</v>
      </c>
      <c r="E1607" s="8">
        <v>47690</v>
      </c>
      <c r="F1607" s="8">
        <v>105790</v>
      </c>
      <c r="G1607" s="8">
        <f t="shared" si="100"/>
        <v>5045125100</v>
      </c>
      <c r="H1607" s="5">
        <v>0.6375</v>
      </c>
      <c r="I1607" s="8">
        <f t="shared" si="101"/>
        <v>5045125100</v>
      </c>
      <c r="J1607" s="8">
        <f t="shared" si="102"/>
        <v>3216267251.25</v>
      </c>
      <c r="K1607" t="str">
        <f t="shared" si="103"/>
        <v>MATCHED</v>
      </c>
    </row>
    <row r="1608" spans="1:11">
      <c r="A1608" t="s">
        <v>108</v>
      </c>
      <c r="B1608" t="s">
        <v>1414</v>
      </c>
      <c r="C1608" t="s">
        <v>277</v>
      </c>
      <c r="D1608" t="s">
        <v>278</v>
      </c>
      <c r="E1608" s="8">
        <v>21030</v>
      </c>
      <c r="F1608" s="8">
        <v>123010</v>
      </c>
      <c r="G1608" s="8">
        <f t="shared" si="100"/>
        <v>2586900300</v>
      </c>
      <c r="H1608" s="5">
        <v>0.5773</v>
      </c>
      <c r="I1608" s="8">
        <f t="shared" si="101"/>
        <v>2586900300</v>
      </c>
      <c r="J1608" s="8">
        <f t="shared" si="102"/>
        <v>1493417543.19</v>
      </c>
      <c r="K1608" t="str">
        <f t="shared" si="103"/>
        <v>MATCHED</v>
      </c>
    </row>
    <row r="1609" spans="1:11">
      <c r="A1609" t="s">
        <v>108</v>
      </c>
      <c r="B1609" t="s">
        <v>1414</v>
      </c>
      <c r="C1609" t="s">
        <v>279</v>
      </c>
      <c r="D1609" t="s">
        <v>280</v>
      </c>
      <c r="E1609" s="8">
        <v>2300</v>
      </c>
      <c r="F1609" s="8">
        <v>79180</v>
      </c>
      <c r="G1609" s="8">
        <f t="shared" si="100"/>
        <v>182114000</v>
      </c>
      <c r="H1609" s="5">
        <v>0.4476</v>
      </c>
      <c r="I1609" s="8">
        <f t="shared" si="101"/>
        <v>182114000</v>
      </c>
      <c r="J1609" s="8">
        <f t="shared" si="102"/>
        <v>81514226.4</v>
      </c>
      <c r="K1609" t="str">
        <f t="shared" si="103"/>
        <v>MATCHED</v>
      </c>
    </row>
    <row r="1610" spans="1:11">
      <c r="A1610" t="s">
        <v>108</v>
      </c>
      <c r="B1610" t="s">
        <v>1414</v>
      </c>
      <c r="C1610" t="s">
        <v>928</v>
      </c>
      <c r="D1610" t="s">
        <v>929</v>
      </c>
      <c r="E1610" s="8">
        <v>130</v>
      </c>
      <c r="F1610" s="8">
        <v>80230</v>
      </c>
      <c r="G1610" s="8">
        <f t="shared" si="100"/>
        <v>10429900</v>
      </c>
      <c r="H1610" s="5">
        <v>0.5571</v>
      </c>
      <c r="I1610" s="8">
        <f t="shared" si="101"/>
        <v>10429900</v>
      </c>
      <c r="J1610" s="8">
        <f t="shared" si="102"/>
        <v>5810497.29</v>
      </c>
      <c r="K1610" t="str">
        <f t="shared" si="103"/>
        <v>MATCHED</v>
      </c>
    </row>
    <row r="1611" spans="1:11">
      <c r="A1611" t="s">
        <v>108</v>
      </c>
      <c r="B1611" t="s">
        <v>1414</v>
      </c>
      <c r="C1611" t="s">
        <v>281</v>
      </c>
      <c r="D1611" t="s">
        <v>282</v>
      </c>
      <c r="E1611" s="8">
        <v>2250</v>
      </c>
      <c r="F1611" s="8">
        <v>96380</v>
      </c>
      <c r="G1611" s="8">
        <f t="shared" si="100"/>
        <v>216855000</v>
      </c>
      <c r="H1611" s="5">
        <v>0.6167</v>
      </c>
      <c r="I1611" s="8">
        <f t="shared" si="101"/>
        <v>216855000</v>
      </c>
      <c r="J1611" s="8">
        <f t="shared" si="102"/>
        <v>133734478.5</v>
      </c>
      <c r="K1611" t="str">
        <f t="shared" si="103"/>
        <v>MATCHED</v>
      </c>
    </row>
    <row r="1612" spans="1:11">
      <c r="A1612" t="s">
        <v>108</v>
      </c>
      <c r="B1612" t="s">
        <v>1414</v>
      </c>
      <c r="C1612" t="s">
        <v>283</v>
      </c>
      <c r="D1612" t="s">
        <v>284</v>
      </c>
      <c r="E1612" s="8">
        <v>17880</v>
      </c>
      <c r="F1612" s="8">
        <v>88880</v>
      </c>
      <c r="G1612" s="8">
        <f t="shared" si="100"/>
        <v>1589174400</v>
      </c>
      <c r="H1612" s="5">
        <v>0.565</v>
      </c>
      <c r="I1612" s="8">
        <f t="shared" si="101"/>
        <v>1589174400</v>
      </c>
      <c r="J1612" s="8">
        <f t="shared" si="102"/>
        <v>897883536</v>
      </c>
      <c r="K1612" t="str">
        <f t="shared" si="103"/>
        <v>MATCHED</v>
      </c>
    </row>
    <row r="1613" spans="1:11">
      <c r="A1613" t="s">
        <v>108</v>
      </c>
      <c r="B1613" t="s">
        <v>1414</v>
      </c>
      <c r="C1613" t="s">
        <v>285</v>
      </c>
      <c r="D1613" t="s">
        <v>286</v>
      </c>
      <c r="E1613" s="8">
        <v>66670</v>
      </c>
      <c r="F1613" s="8">
        <v>90290</v>
      </c>
      <c r="G1613" s="8">
        <f t="shared" si="100"/>
        <v>6019634300</v>
      </c>
      <c r="H1613" s="5">
        <v>0.7792</v>
      </c>
      <c r="I1613" s="8">
        <f t="shared" si="101"/>
        <v>6019634300</v>
      </c>
      <c r="J1613" s="8">
        <f t="shared" si="102"/>
        <v>4690499046.56</v>
      </c>
      <c r="K1613" t="str">
        <f t="shared" si="103"/>
        <v>MATCHED</v>
      </c>
    </row>
    <row r="1614" spans="1:11">
      <c r="A1614" t="s">
        <v>108</v>
      </c>
      <c r="B1614" t="s">
        <v>1414</v>
      </c>
      <c r="C1614" t="s">
        <v>287</v>
      </c>
      <c r="D1614" t="s">
        <v>288</v>
      </c>
      <c r="E1614" s="8">
        <v>38270</v>
      </c>
      <c r="F1614" s="8">
        <v>92550</v>
      </c>
      <c r="G1614" s="8">
        <f t="shared" si="100"/>
        <v>3541888500</v>
      </c>
      <c r="H1614" s="5">
        <v>0.6599</v>
      </c>
      <c r="I1614" s="8">
        <f t="shared" si="101"/>
        <v>3541888500</v>
      </c>
      <c r="J1614" s="8">
        <f t="shared" si="102"/>
        <v>2337292221.15</v>
      </c>
      <c r="K1614" t="str">
        <f t="shared" si="103"/>
        <v>MATCHED</v>
      </c>
    </row>
    <row r="1615" spans="1:11">
      <c r="A1615" t="s">
        <v>108</v>
      </c>
      <c r="B1615" t="s">
        <v>1414</v>
      </c>
      <c r="C1615" t="s">
        <v>289</v>
      </c>
      <c r="D1615" t="s">
        <v>290</v>
      </c>
      <c r="E1615" s="8">
        <v>68780</v>
      </c>
      <c r="F1615" s="8">
        <v>92400</v>
      </c>
      <c r="G1615" s="8">
        <f t="shared" si="100"/>
        <v>6355272000</v>
      </c>
      <c r="H1615" s="5">
        <v>0.795</v>
      </c>
      <c r="I1615" s="8">
        <f t="shared" si="101"/>
        <v>6355272000</v>
      </c>
      <c r="J1615" s="8">
        <f t="shared" si="102"/>
        <v>5052441240</v>
      </c>
      <c r="K1615" t="str">
        <f t="shared" si="103"/>
        <v>MATCHED</v>
      </c>
    </row>
    <row r="1616" spans="1:11">
      <c r="A1616" t="s">
        <v>108</v>
      </c>
      <c r="B1616" t="s">
        <v>1414</v>
      </c>
      <c r="C1616" t="s">
        <v>822</v>
      </c>
      <c r="D1616" t="s">
        <v>823</v>
      </c>
      <c r="E1616" s="8"/>
      <c r="F1616" s="8">
        <v>57780</v>
      </c>
      <c r="G1616" s="8" t="str">
        <f t="shared" si="100"/>
        <v/>
      </c>
      <c r="H1616" s="5">
        <v>0.6102</v>
      </c>
      <c r="I1616" s="8" t="str">
        <f t="shared" si="101"/>
        <v/>
      </c>
      <c r="J1616" s="8" t="str">
        <f t="shared" si="102"/>
        <v/>
      </c>
      <c r="K1616" t="str">
        <f t="shared" si="103"/>
        <v>MISSING OEWS</v>
      </c>
    </row>
    <row r="1617" spans="1:11">
      <c r="A1617" t="s">
        <v>108</v>
      </c>
      <c r="B1617" t="s">
        <v>1414</v>
      </c>
      <c r="C1617" t="s">
        <v>824</v>
      </c>
      <c r="D1617" t="s">
        <v>825</v>
      </c>
      <c r="E1617" s="8">
        <v>470</v>
      </c>
      <c r="F1617" s="8">
        <v>108110</v>
      </c>
      <c r="G1617" s="8">
        <f t="shared" si="100"/>
        <v>50811700</v>
      </c>
      <c r="H1617" s="5">
        <v>0.8</v>
      </c>
      <c r="I1617" s="8">
        <f t="shared" si="101"/>
        <v>50811700</v>
      </c>
      <c r="J1617" s="8">
        <f t="shared" si="102"/>
        <v>40649360</v>
      </c>
      <c r="K1617" t="str">
        <f t="shared" si="103"/>
        <v>MATCHED</v>
      </c>
    </row>
    <row r="1618" spans="1:11">
      <c r="A1618" t="s">
        <v>108</v>
      </c>
      <c r="B1618" t="s">
        <v>1414</v>
      </c>
      <c r="C1618" t="s">
        <v>826</v>
      </c>
      <c r="D1618" t="s">
        <v>827</v>
      </c>
      <c r="E1618" s="8">
        <v>2950</v>
      </c>
      <c r="F1618" s="8">
        <v>77580</v>
      </c>
      <c r="G1618" s="8">
        <f t="shared" si="100"/>
        <v>228861000</v>
      </c>
      <c r="H1618" s="5">
        <v>0.8182</v>
      </c>
      <c r="I1618" s="8">
        <f t="shared" si="101"/>
        <v>228861000</v>
      </c>
      <c r="J1618" s="8">
        <f t="shared" si="102"/>
        <v>187254070.2</v>
      </c>
      <c r="K1618" t="str">
        <f t="shared" si="103"/>
        <v>MATCHED</v>
      </c>
    </row>
    <row r="1619" spans="1:11">
      <c r="A1619" t="s">
        <v>108</v>
      </c>
      <c r="B1619" t="s">
        <v>1414</v>
      </c>
      <c r="C1619" t="s">
        <v>536</v>
      </c>
      <c r="D1619" t="s">
        <v>537</v>
      </c>
      <c r="E1619" s="8">
        <v>8460</v>
      </c>
      <c r="F1619" s="8">
        <v>108390</v>
      </c>
      <c r="G1619" s="8">
        <f t="shared" si="100"/>
        <v>916979400</v>
      </c>
      <c r="H1619" s="5">
        <v>0.6904</v>
      </c>
      <c r="I1619" s="8">
        <f t="shared" si="101"/>
        <v>916979400</v>
      </c>
      <c r="J1619" s="8">
        <f t="shared" si="102"/>
        <v>633082577.76</v>
      </c>
      <c r="K1619" t="str">
        <f t="shared" si="103"/>
        <v>MATCHED</v>
      </c>
    </row>
    <row r="1620" spans="1:11">
      <c r="A1620" t="s">
        <v>108</v>
      </c>
      <c r="B1620" t="s">
        <v>1414</v>
      </c>
      <c r="C1620" t="s">
        <v>828</v>
      </c>
      <c r="D1620" t="s">
        <v>829</v>
      </c>
      <c r="E1620" s="8">
        <v>960</v>
      </c>
      <c r="F1620" s="8">
        <v>108680</v>
      </c>
      <c r="G1620" s="8">
        <f t="shared" si="100"/>
        <v>104332800</v>
      </c>
      <c r="H1620" s="5">
        <v>0.7767</v>
      </c>
      <c r="I1620" s="8">
        <f t="shared" si="101"/>
        <v>104332800</v>
      </c>
      <c r="J1620" s="8">
        <f t="shared" si="102"/>
        <v>81035285.76</v>
      </c>
      <c r="K1620" t="str">
        <f t="shared" si="103"/>
        <v>MATCHED</v>
      </c>
    </row>
    <row r="1621" spans="1:11">
      <c r="A1621" t="s">
        <v>108</v>
      </c>
      <c r="B1621" t="s">
        <v>1414</v>
      </c>
      <c r="C1621" t="s">
        <v>1150</v>
      </c>
      <c r="D1621" t="s">
        <v>1151</v>
      </c>
      <c r="E1621" s="8">
        <v>40</v>
      </c>
      <c r="F1621" s="8">
        <v>121210</v>
      </c>
      <c r="G1621" s="8">
        <f t="shared" si="100"/>
        <v>4848400</v>
      </c>
      <c r="H1621" s="5">
        <v>0.5647</v>
      </c>
      <c r="I1621" s="8">
        <f t="shared" si="101"/>
        <v>4848400</v>
      </c>
      <c r="J1621" s="8">
        <f t="shared" si="102"/>
        <v>2737891.48</v>
      </c>
      <c r="K1621" t="str">
        <f t="shared" si="103"/>
        <v>MATCHED</v>
      </c>
    </row>
    <row r="1622" spans="1:11">
      <c r="A1622" t="s">
        <v>108</v>
      </c>
      <c r="B1622" t="s">
        <v>1414</v>
      </c>
      <c r="C1622" t="s">
        <v>934</v>
      </c>
      <c r="D1622" t="s">
        <v>935</v>
      </c>
      <c r="E1622" s="8">
        <v>280</v>
      </c>
      <c r="F1622" s="8"/>
      <c r="G1622" s="8" t="str">
        <f t="shared" si="100"/>
        <v/>
      </c>
      <c r="H1622" s="5">
        <v>0.805</v>
      </c>
      <c r="I1622" s="8" t="str">
        <f t="shared" si="101"/>
        <v/>
      </c>
      <c r="J1622" s="8" t="str">
        <f t="shared" si="102"/>
        <v/>
      </c>
      <c r="K1622" t="str">
        <f t="shared" si="103"/>
        <v>MISSING OEWS</v>
      </c>
    </row>
    <row r="1623" spans="1:11">
      <c r="A1623" t="s">
        <v>108</v>
      </c>
      <c r="B1623" t="s">
        <v>1414</v>
      </c>
      <c r="C1623" t="s">
        <v>1415</v>
      </c>
      <c r="D1623" t="s">
        <v>1416</v>
      </c>
      <c r="E1623" s="8"/>
      <c r="F1623" s="8">
        <v>110300</v>
      </c>
      <c r="G1623" s="8" t="str">
        <f t="shared" si="100"/>
        <v/>
      </c>
      <c r="H1623" s="5">
        <v>0.9083</v>
      </c>
      <c r="I1623" s="8" t="str">
        <f t="shared" si="101"/>
        <v/>
      </c>
      <c r="J1623" s="8" t="str">
        <f t="shared" si="102"/>
        <v/>
      </c>
      <c r="K1623" t="str">
        <f t="shared" si="103"/>
        <v>MISSING OEWS</v>
      </c>
    </row>
    <row r="1624" spans="1:11">
      <c r="A1624" t="s">
        <v>108</v>
      </c>
      <c r="B1624" t="s">
        <v>1414</v>
      </c>
      <c r="C1624" t="s">
        <v>538</v>
      </c>
      <c r="D1624" t="s">
        <v>539</v>
      </c>
      <c r="E1624" s="8">
        <v>2070</v>
      </c>
      <c r="F1624" s="8">
        <v>92180</v>
      </c>
      <c r="G1624" s="8">
        <f t="shared" si="100"/>
        <v>190812600</v>
      </c>
      <c r="H1624" s="5">
        <v>0.6192</v>
      </c>
      <c r="I1624" s="8">
        <f t="shared" si="101"/>
        <v>190812600</v>
      </c>
      <c r="J1624" s="8">
        <f t="shared" si="102"/>
        <v>118151161.92</v>
      </c>
      <c r="K1624" t="str">
        <f t="shared" si="103"/>
        <v>MATCHED</v>
      </c>
    </row>
    <row r="1625" spans="1:11">
      <c r="A1625" t="s">
        <v>108</v>
      </c>
      <c r="B1625" t="s">
        <v>1414</v>
      </c>
      <c r="C1625" t="s">
        <v>291</v>
      </c>
      <c r="D1625" t="s">
        <v>292</v>
      </c>
      <c r="E1625" s="8">
        <v>14100</v>
      </c>
      <c r="F1625" s="8">
        <v>120010</v>
      </c>
      <c r="G1625" s="8">
        <f t="shared" si="100"/>
        <v>1692141000</v>
      </c>
      <c r="H1625" s="5">
        <v>0.6388</v>
      </c>
      <c r="I1625" s="8">
        <f t="shared" si="101"/>
        <v>1692141000</v>
      </c>
      <c r="J1625" s="8">
        <f t="shared" si="102"/>
        <v>1080939670.8</v>
      </c>
      <c r="K1625" t="str">
        <f t="shared" si="103"/>
        <v>MATCHED</v>
      </c>
    </row>
    <row r="1626" spans="1:11">
      <c r="A1626" t="s">
        <v>108</v>
      </c>
      <c r="B1626" t="s">
        <v>1414</v>
      </c>
      <c r="C1626" t="s">
        <v>540</v>
      </c>
      <c r="D1626" t="s">
        <v>541</v>
      </c>
      <c r="E1626" s="8">
        <v>4310</v>
      </c>
      <c r="F1626" s="8">
        <v>136900</v>
      </c>
      <c r="G1626" s="8">
        <f t="shared" si="100"/>
        <v>590039000</v>
      </c>
      <c r="H1626" s="5">
        <v>0.6292</v>
      </c>
      <c r="I1626" s="8">
        <f t="shared" si="101"/>
        <v>590039000</v>
      </c>
      <c r="J1626" s="8">
        <f t="shared" si="102"/>
        <v>371252538.8</v>
      </c>
      <c r="K1626" t="str">
        <f t="shared" si="103"/>
        <v>MATCHED</v>
      </c>
    </row>
    <row r="1627" spans="1:11">
      <c r="A1627" t="s">
        <v>108</v>
      </c>
      <c r="B1627" t="s">
        <v>1414</v>
      </c>
      <c r="C1627" t="s">
        <v>1152</v>
      </c>
      <c r="D1627" t="s">
        <v>1153</v>
      </c>
      <c r="E1627" s="8">
        <v>810</v>
      </c>
      <c r="F1627" s="8">
        <v>195690</v>
      </c>
      <c r="G1627" s="8">
        <f t="shared" si="100"/>
        <v>158508900</v>
      </c>
      <c r="H1627" s="5">
        <v>0.39</v>
      </c>
      <c r="I1627" s="8">
        <f t="shared" si="101"/>
        <v>158508900</v>
      </c>
      <c r="J1627" s="8">
        <f t="shared" si="102"/>
        <v>61818471</v>
      </c>
      <c r="K1627" t="str">
        <f t="shared" si="103"/>
        <v>MATCHED</v>
      </c>
    </row>
    <row r="1628" spans="1:11">
      <c r="A1628" t="s">
        <v>108</v>
      </c>
      <c r="B1628" t="s">
        <v>1414</v>
      </c>
      <c r="C1628" t="s">
        <v>542</v>
      </c>
      <c r="D1628" t="s">
        <v>543</v>
      </c>
      <c r="E1628" s="8">
        <v>6630</v>
      </c>
      <c r="F1628" s="8">
        <v>80240</v>
      </c>
      <c r="G1628" s="8">
        <f t="shared" si="100"/>
        <v>531991200</v>
      </c>
      <c r="H1628" s="5">
        <v>0.7096</v>
      </c>
      <c r="I1628" s="8">
        <f t="shared" si="101"/>
        <v>531991200</v>
      </c>
      <c r="J1628" s="8">
        <f t="shared" si="102"/>
        <v>377500955.52</v>
      </c>
      <c r="K1628" t="str">
        <f t="shared" si="103"/>
        <v>MATCHED</v>
      </c>
    </row>
    <row r="1629" spans="1:11">
      <c r="A1629" t="s">
        <v>108</v>
      </c>
      <c r="B1629" t="s">
        <v>1414</v>
      </c>
      <c r="C1629" t="s">
        <v>293</v>
      </c>
      <c r="D1629" t="s">
        <v>294</v>
      </c>
      <c r="E1629" s="8">
        <v>42950</v>
      </c>
      <c r="F1629" s="8">
        <v>69370</v>
      </c>
      <c r="G1629" s="8">
        <f t="shared" si="100"/>
        <v>2979441500</v>
      </c>
      <c r="H1629" s="5">
        <v>0.6062</v>
      </c>
      <c r="I1629" s="8">
        <f t="shared" si="101"/>
        <v>2979441500</v>
      </c>
      <c r="J1629" s="8">
        <f t="shared" si="102"/>
        <v>1806137437.3</v>
      </c>
      <c r="K1629" t="str">
        <f t="shared" si="103"/>
        <v>MATCHED</v>
      </c>
    </row>
    <row r="1630" spans="1:11">
      <c r="A1630" t="s">
        <v>108</v>
      </c>
      <c r="B1630" t="s">
        <v>1414</v>
      </c>
      <c r="C1630" t="s">
        <v>544</v>
      </c>
      <c r="D1630" t="s">
        <v>545</v>
      </c>
      <c r="E1630" s="8">
        <v>7140</v>
      </c>
      <c r="F1630" s="8">
        <v>151150</v>
      </c>
      <c r="G1630" s="8">
        <f t="shared" si="100"/>
        <v>1079211000</v>
      </c>
      <c r="H1630" s="5">
        <v>0.6278</v>
      </c>
      <c r="I1630" s="8">
        <f t="shared" si="101"/>
        <v>1079211000</v>
      </c>
      <c r="J1630" s="8">
        <f t="shared" si="102"/>
        <v>677528665.8</v>
      </c>
      <c r="K1630" t="str">
        <f t="shared" si="103"/>
        <v>MATCHED</v>
      </c>
    </row>
    <row r="1631" spans="1:11">
      <c r="A1631" t="s">
        <v>108</v>
      </c>
      <c r="B1631" t="s">
        <v>1414</v>
      </c>
      <c r="C1631" t="s">
        <v>546</v>
      </c>
      <c r="D1631" t="s">
        <v>547</v>
      </c>
      <c r="E1631" s="8">
        <v>1900</v>
      </c>
      <c r="F1631" s="8">
        <v>114390</v>
      </c>
      <c r="G1631" s="8">
        <f t="shared" si="100"/>
        <v>217341000</v>
      </c>
      <c r="H1631" s="5">
        <v>0.8389</v>
      </c>
      <c r="I1631" s="8">
        <f t="shared" si="101"/>
        <v>217341000</v>
      </c>
      <c r="J1631" s="8">
        <f t="shared" si="102"/>
        <v>182327364.9</v>
      </c>
      <c r="K1631" t="str">
        <f t="shared" si="103"/>
        <v>MATCHED</v>
      </c>
    </row>
    <row r="1632" spans="1:11">
      <c r="A1632" t="s">
        <v>108</v>
      </c>
      <c r="B1632" t="s">
        <v>1414</v>
      </c>
      <c r="C1632" t="s">
        <v>548</v>
      </c>
      <c r="D1632" t="s">
        <v>549</v>
      </c>
      <c r="E1632" s="8">
        <v>2290</v>
      </c>
      <c r="F1632" s="8">
        <v>138690</v>
      </c>
      <c r="G1632" s="8">
        <f t="shared" si="100"/>
        <v>317600100</v>
      </c>
      <c r="H1632" s="5">
        <v>0.8502</v>
      </c>
      <c r="I1632" s="8">
        <f t="shared" si="101"/>
        <v>317600100</v>
      </c>
      <c r="J1632" s="8">
        <f t="shared" si="102"/>
        <v>270023605.02</v>
      </c>
      <c r="K1632" t="str">
        <f t="shared" si="103"/>
        <v>MATCHED</v>
      </c>
    </row>
    <row r="1633" spans="1:11">
      <c r="A1633" t="s">
        <v>108</v>
      </c>
      <c r="B1633" t="s">
        <v>1414</v>
      </c>
      <c r="C1633" t="s">
        <v>295</v>
      </c>
      <c r="D1633" t="s">
        <v>296</v>
      </c>
      <c r="E1633" s="8">
        <v>14500</v>
      </c>
      <c r="F1633" s="8">
        <v>100290</v>
      </c>
      <c r="G1633" s="8">
        <f t="shared" si="100"/>
        <v>1454205000</v>
      </c>
      <c r="H1633" s="5">
        <v>0.695</v>
      </c>
      <c r="I1633" s="8">
        <f t="shared" si="101"/>
        <v>1454205000</v>
      </c>
      <c r="J1633" s="8">
        <f t="shared" si="102"/>
        <v>1010672475</v>
      </c>
      <c r="K1633" t="str">
        <f t="shared" si="103"/>
        <v>MATCHED</v>
      </c>
    </row>
    <row r="1634" spans="1:11">
      <c r="A1634" t="s">
        <v>108</v>
      </c>
      <c r="B1634" t="s">
        <v>1414</v>
      </c>
      <c r="C1634" t="s">
        <v>550</v>
      </c>
      <c r="D1634" t="s">
        <v>551</v>
      </c>
      <c r="E1634" s="8">
        <v>2940</v>
      </c>
      <c r="F1634" s="8">
        <v>93480</v>
      </c>
      <c r="G1634" s="8">
        <f t="shared" si="100"/>
        <v>274831200</v>
      </c>
      <c r="H1634" s="5">
        <v>0.6824</v>
      </c>
      <c r="I1634" s="8">
        <f t="shared" si="101"/>
        <v>274831200</v>
      </c>
      <c r="J1634" s="8">
        <f t="shared" si="102"/>
        <v>187544810.88</v>
      </c>
      <c r="K1634" t="str">
        <f t="shared" si="103"/>
        <v>MATCHED</v>
      </c>
    </row>
    <row r="1635" spans="1:11">
      <c r="A1635" t="s">
        <v>108</v>
      </c>
      <c r="B1635" t="s">
        <v>1414</v>
      </c>
      <c r="C1635" t="s">
        <v>297</v>
      </c>
      <c r="D1635" t="s">
        <v>298</v>
      </c>
      <c r="E1635" s="8">
        <v>60620</v>
      </c>
      <c r="F1635" s="8">
        <v>139970</v>
      </c>
      <c r="G1635" s="8">
        <f t="shared" si="100"/>
        <v>8484981400</v>
      </c>
      <c r="H1635" s="5">
        <v>0.5211</v>
      </c>
      <c r="I1635" s="8">
        <f t="shared" si="101"/>
        <v>8484981400</v>
      </c>
      <c r="J1635" s="8">
        <f t="shared" si="102"/>
        <v>4421523807.54</v>
      </c>
      <c r="K1635" t="str">
        <f t="shared" si="103"/>
        <v>MATCHED</v>
      </c>
    </row>
    <row r="1636" spans="1:11">
      <c r="A1636" t="s">
        <v>108</v>
      </c>
      <c r="B1636" t="s">
        <v>1414</v>
      </c>
      <c r="C1636" t="s">
        <v>552</v>
      </c>
      <c r="D1636" t="s">
        <v>553</v>
      </c>
      <c r="E1636" s="8">
        <v>6000</v>
      </c>
      <c r="F1636" s="8">
        <v>116400</v>
      </c>
      <c r="G1636" s="8">
        <f t="shared" si="100"/>
        <v>698400000</v>
      </c>
      <c r="H1636" s="5">
        <v>0.8117</v>
      </c>
      <c r="I1636" s="8">
        <f t="shared" si="101"/>
        <v>698400000</v>
      </c>
      <c r="J1636" s="8">
        <f t="shared" si="102"/>
        <v>566891280</v>
      </c>
      <c r="K1636" t="str">
        <f t="shared" si="103"/>
        <v>MATCHED</v>
      </c>
    </row>
    <row r="1637" spans="1:11">
      <c r="A1637" t="s">
        <v>108</v>
      </c>
      <c r="B1637" t="s">
        <v>1414</v>
      </c>
      <c r="C1637" t="s">
        <v>830</v>
      </c>
      <c r="D1637" t="s">
        <v>831</v>
      </c>
      <c r="E1637" s="8">
        <v>3180</v>
      </c>
      <c r="F1637" s="8">
        <v>86230</v>
      </c>
      <c r="G1637" s="8">
        <f t="shared" si="100"/>
        <v>274211400</v>
      </c>
      <c r="H1637" s="5">
        <v>0.8276</v>
      </c>
      <c r="I1637" s="8">
        <f t="shared" si="101"/>
        <v>274211400</v>
      </c>
      <c r="J1637" s="8">
        <f t="shared" si="102"/>
        <v>226937354.64</v>
      </c>
      <c r="K1637" t="str">
        <f t="shared" si="103"/>
        <v>MATCHED</v>
      </c>
    </row>
    <row r="1638" spans="1:11">
      <c r="A1638" t="s">
        <v>108</v>
      </c>
      <c r="B1638" t="s">
        <v>1414</v>
      </c>
      <c r="C1638" t="s">
        <v>832</v>
      </c>
      <c r="D1638" t="s">
        <v>833</v>
      </c>
      <c r="E1638" s="8">
        <v>6150</v>
      </c>
      <c r="F1638" s="8">
        <v>102030</v>
      </c>
      <c r="G1638" s="8">
        <f t="shared" si="100"/>
        <v>627484500</v>
      </c>
      <c r="H1638" s="5">
        <v>0.6827</v>
      </c>
      <c r="I1638" s="8">
        <f t="shared" si="101"/>
        <v>627484500</v>
      </c>
      <c r="J1638" s="8">
        <f t="shared" si="102"/>
        <v>428383668.15</v>
      </c>
      <c r="K1638" t="str">
        <f t="shared" si="103"/>
        <v>MATCHED</v>
      </c>
    </row>
    <row r="1639" spans="1:11">
      <c r="A1639" t="s">
        <v>108</v>
      </c>
      <c r="B1639" t="s">
        <v>1414</v>
      </c>
      <c r="C1639" t="s">
        <v>299</v>
      </c>
      <c r="D1639" t="s">
        <v>300</v>
      </c>
      <c r="E1639" s="8">
        <v>12810</v>
      </c>
      <c r="F1639" s="8">
        <v>121250</v>
      </c>
      <c r="G1639" s="8">
        <f t="shared" si="100"/>
        <v>1553212500</v>
      </c>
      <c r="H1639" s="5">
        <v>0.7425</v>
      </c>
      <c r="I1639" s="8">
        <f t="shared" si="101"/>
        <v>1553212500</v>
      </c>
      <c r="J1639" s="8">
        <f t="shared" si="102"/>
        <v>1153260281.25</v>
      </c>
      <c r="K1639" t="str">
        <f t="shared" si="103"/>
        <v>MATCHED</v>
      </c>
    </row>
    <row r="1640" spans="1:11">
      <c r="A1640" t="s">
        <v>108</v>
      </c>
      <c r="B1640" t="s">
        <v>1414</v>
      </c>
      <c r="C1640" t="s">
        <v>554</v>
      </c>
      <c r="D1640" t="s">
        <v>555</v>
      </c>
      <c r="E1640" s="8">
        <v>2970</v>
      </c>
      <c r="F1640" s="8">
        <v>111450</v>
      </c>
      <c r="G1640" s="8">
        <f t="shared" si="100"/>
        <v>331006500</v>
      </c>
      <c r="H1640" s="5">
        <v>0.6031</v>
      </c>
      <c r="I1640" s="8">
        <f t="shared" si="101"/>
        <v>331006500</v>
      </c>
      <c r="J1640" s="8">
        <f t="shared" si="102"/>
        <v>199630020.15</v>
      </c>
      <c r="K1640" t="str">
        <f t="shared" si="103"/>
        <v>MATCHED</v>
      </c>
    </row>
    <row r="1641" spans="1:11">
      <c r="A1641" t="s">
        <v>108</v>
      </c>
      <c r="B1641" t="s">
        <v>1414</v>
      </c>
      <c r="C1641" t="s">
        <v>1156</v>
      </c>
      <c r="D1641" t="s">
        <v>1157</v>
      </c>
      <c r="E1641" s="8">
        <v>780</v>
      </c>
      <c r="F1641" s="8">
        <v>142340</v>
      </c>
      <c r="G1641" s="8">
        <f t="shared" si="100"/>
        <v>111025200</v>
      </c>
      <c r="H1641" s="5">
        <v>0.7282</v>
      </c>
      <c r="I1641" s="8">
        <f t="shared" si="101"/>
        <v>111025200</v>
      </c>
      <c r="J1641" s="8">
        <f t="shared" si="102"/>
        <v>80848550.64</v>
      </c>
      <c r="K1641" t="str">
        <f t="shared" si="103"/>
        <v>MATCHED</v>
      </c>
    </row>
    <row r="1642" spans="1:11">
      <c r="A1642" t="s">
        <v>108</v>
      </c>
      <c r="B1642" t="s">
        <v>1414</v>
      </c>
      <c r="C1642" t="s">
        <v>556</v>
      </c>
      <c r="D1642" t="s">
        <v>557</v>
      </c>
      <c r="E1642" s="8">
        <v>11710</v>
      </c>
      <c r="F1642" s="8">
        <v>123530</v>
      </c>
      <c r="G1642" s="8">
        <f t="shared" si="100"/>
        <v>1446536300</v>
      </c>
      <c r="H1642" s="5">
        <v>0.8228</v>
      </c>
      <c r="I1642" s="8">
        <f t="shared" si="101"/>
        <v>1446536300</v>
      </c>
      <c r="J1642" s="8">
        <f t="shared" si="102"/>
        <v>1190210067.64</v>
      </c>
      <c r="K1642" t="str">
        <f t="shared" si="103"/>
        <v>MATCHED</v>
      </c>
    </row>
    <row r="1643" spans="1:11">
      <c r="A1643" t="s">
        <v>108</v>
      </c>
      <c r="B1643" t="s">
        <v>1414</v>
      </c>
      <c r="C1643" t="s">
        <v>1158</v>
      </c>
      <c r="D1643" t="s">
        <v>1159</v>
      </c>
      <c r="E1643" s="8">
        <v>90</v>
      </c>
      <c r="F1643" s="8">
        <v>118930</v>
      </c>
      <c r="G1643" s="8">
        <f t="shared" si="100"/>
        <v>10703700</v>
      </c>
      <c r="H1643" s="5">
        <v>0.7711</v>
      </c>
      <c r="I1643" s="8">
        <f t="shared" si="101"/>
        <v>10703700</v>
      </c>
      <c r="J1643" s="8">
        <f t="shared" si="102"/>
        <v>8253623.07</v>
      </c>
      <c r="K1643" t="str">
        <f t="shared" si="103"/>
        <v>MATCHED</v>
      </c>
    </row>
    <row r="1644" spans="1:11">
      <c r="A1644" t="s">
        <v>108</v>
      </c>
      <c r="B1644" t="s">
        <v>1414</v>
      </c>
      <c r="C1644" t="s">
        <v>834</v>
      </c>
      <c r="D1644" t="s">
        <v>835</v>
      </c>
      <c r="E1644" s="8">
        <v>130</v>
      </c>
      <c r="F1644" s="8">
        <v>98870</v>
      </c>
      <c r="G1644" s="8">
        <f t="shared" si="100"/>
        <v>12853100</v>
      </c>
      <c r="H1644" s="5">
        <v>0.5375</v>
      </c>
      <c r="I1644" s="8">
        <f t="shared" si="101"/>
        <v>12853100</v>
      </c>
      <c r="J1644" s="8">
        <f t="shared" si="102"/>
        <v>6908541.25</v>
      </c>
      <c r="K1644" t="str">
        <f t="shared" si="103"/>
        <v>MATCHED</v>
      </c>
    </row>
    <row r="1645" spans="1:11">
      <c r="A1645" t="s">
        <v>108</v>
      </c>
      <c r="B1645" t="s">
        <v>1414</v>
      </c>
      <c r="C1645" t="s">
        <v>936</v>
      </c>
      <c r="D1645" t="s">
        <v>937</v>
      </c>
      <c r="E1645" s="8">
        <v>40</v>
      </c>
      <c r="F1645" s="8">
        <v>73870</v>
      </c>
      <c r="G1645" s="8">
        <f t="shared" si="100"/>
        <v>2954800</v>
      </c>
      <c r="H1645" s="5">
        <v>0.3342</v>
      </c>
      <c r="I1645" s="8">
        <f t="shared" si="101"/>
        <v>2954800</v>
      </c>
      <c r="J1645" s="8">
        <f t="shared" si="102"/>
        <v>987494.16</v>
      </c>
      <c r="K1645" t="str">
        <f t="shared" si="103"/>
        <v>MATCHED</v>
      </c>
    </row>
    <row r="1646" spans="1:11">
      <c r="A1646" t="s">
        <v>108</v>
      </c>
      <c r="B1646" t="s">
        <v>1414</v>
      </c>
      <c r="C1646" t="s">
        <v>560</v>
      </c>
      <c r="D1646" t="s">
        <v>561</v>
      </c>
      <c r="E1646" s="8">
        <v>30</v>
      </c>
      <c r="F1646" s="8">
        <v>66900</v>
      </c>
      <c r="G1646" s="8">
        <f t="shared" si="100"/>
        <v>2007000</v>
      </c>
      <c r="H1646" s="5">
        <v>0.3682</v>
      </c>
      <c r="I1646" s="8">
        <f t="shared" si="101"/>
        <v>2007000</v>
      </c>
      <c r="J1646" s="8">
        <f t="shared" si="102"/>
        <v>738977.4</v>
      </c>
      <c r="K1646" t="str">
        <f t="shared" si="103"/>
        <v>MATCHED</v>
      </c>
    </row>
    <row r="1647" spans="1:11">
      <c r="A1647" t="s">
        <v>108</v>
      </c>
      <c r="B1647" t="s">
        <v>1414</v>
      </c>
      <c r="C1647" t="s">
        <v>1160</v>
      </c>
      <c r="D1647" t="s">
        <v>1161</v>
      </c>
      <c r="E1647" s="8"/>
      <c r="F1647" s="8">
        <v>143960</v>
      </c>
      <c r="G1647" s="8" t="str">
        <f t="shared" si="100"/>
        <v/>
      </c>
      <c r="H1647" s="5">
        <v>0.5333</v>
      </c>
      <c r="I1647" s="8" t="str">
        <f t="shared" si="101"/>
        <v/>
      </c>
      <c r="J1647" s="8" t="str">
        <f t="shared" si="102"/>
        <v/>
      </c>
      <c r="K1647" t="str">
        <f t="shared" si="103"/>
        <v>MISSING OEWS</v>
      </c>
    </row>
    <row r="1648" spans="1:11">
      <c r="A1648" t="s">
        <v>108</v>
      </c>
      <c r="B1648" t="s">
        <v>1414</v>
      </c>
      <c r="C1648" t="s">
        <v>836</v>
      </c>
      <c r="D1648" t="s">
        <v>837</v>
      </c>
      <c r="E1648" s="8">
        <v>80</v>
      </c>
      <c r="F1648" s="8">
        <v>107480</v>
      </c>
      <c r="G1648" s="8">
        <f t="shared" si="100"/>
        <v>8598400</v>
      </c>
      <c r="H1648" s="5">
        <v>0.1</v>
      </c>
      <c r="I1648" s="8">
        <f t="shared" si="101"/>
        <v>8598400</v>
      </c>
      <c r="J1648" s="8">
        <f t="shared" si="102"/>
        <v>859840</v>
      </c>
      <c r="K1648" t="str">
        <f t="shared" si="103"/>
        <v>MATCHED</v>
      </c>
    </row>
    <row r="1649" spans="1:11">
      <c r="A1649" t="s">
        <v>108</v>
      </c>
      <c r="B1649" t="s">
        <v>1414</v>
      </c>
      <c r="C1649" t="s">
        <v>1162</v>
      </c>
      <c r="D1649" t="s">
        <v>1163</v>
      </c>
      <c r="E1649" s="8"/>
      <c r="F1649" s="8">
        <v>117140</v>
      </c>
      <c r="G1649" s="8" t="str">
        <f t="shared" si="100"/>
        <v/>
      </c>
      <c r="H1649" s="5">
        <v>0.4067</v>
      </c>
      <c r="I1649" s="8" t="str">
        <f t="shared" si="101"/>
        <v/>
      </c>
      <c r="J1649" s="8" t="str">
        <f t="shared" si="102"/>
        <v/>
      </c>
      <c r="K1649" t="str">
        <f t="shared" si="103"/>
        <v>MISSING OEWS</v>
      </c>
    </row>
    <row r="1650" spans="1:11">
      <c r="A1650" t="s">
        <v>108</v>
      </c>
      <c r="B1650" t="s">
        <v>1414</v>
      </c>
      <c r="C1650" t="s">
        <v>562</v>
      </c>
      <c r="D1650" t="s">
        <v>563</v>
      </c>
      <c r="E1650" s="8">
        <v>570</v>
      </c>
      <c r="F1650" s="8">
        <v>118650</v>
      </c>
      <c r="G1650" s="8">
        <f t="shared" si="100"/>
        <v>67630500</v>
      </c>
      <c r="H1650" s="5">
        <v>0.3615</v>
      </c>
      <c r="I1650" s="8">
        <f t="shared" si="101"/>
        <v>67630500</v>
      </c>
      <c r="J1650" s="8">
        <f t="shared" si="102"/>
        <v>24448425.75</v>
      </c>
      <c r="K1650" t="str">
        <f t="shared" si="103"/>
        <v>MATCHED</v>
      </c>
    </row>
    <row r="1651" spans="1:11">
      <c r="A1651" t="s">
        <v>108</v>
      </c>
      <c r="B1651" t="s">
        <v>1414</v>
      </c>
      <c r="C1651" t="s">
        <v>564</v>
      </c>
      <c r="D1651" t="s">
        <v>565</v>
      </c>
      <c r="E1651" s="8">
        <v>1350</v>
      </c>
      <c r="F1651" s="8">
        <v>104610</v>
      </c>
      <c r="G1651" s="8">
        <f t="shared" si="100"/>
        <v>141223500</v>
      </c>
      <c r="H1651" s="5">
        <v>0.4218</v>
      </c>
      <c r="I1651" s="8">
        <f t="shared" si="101"/>
        <v>141223500</v>
      </c>
      <c r="J1651" s="8">
        <f t="shared" si="102"/>
        <v>59568072.3</v>
      </c>
      <c r="K1651" t="str">
        <f t="shared" si="103"/>
        <v>MATCHED</v>
      </c>
    </row>
    <row r="1652" spans="1:11">
      <c r="A1652" t="s">
        <v>108</v>
      </c>
      <c r="B1652" t="s">
        <v>1414</v>
      </c>
      <c r="C1652" t="s">
        <v>838</v>
      </c>
      <c r="D1652" t="s">
        <v>839</v>
      </c>
      <c r="E1652" s="8">
        <v>3580</v>
      </c>
      <c r="F1652" s="8">
        <v>152470</v>
      </c>
      <c r="G1652" s="8">
        <f t="shared" si="100"/>
        <v>545842600</v>
      </c>
      <c r="H1652" s="5">
        <v>0.3639</v>
      </c>
      <c r="I1652" s="8">
        <f t="shared" si="101"/>
        <v>545842600</v>
      </c>
      <c r="J1652" s="8">
        <f t="shared" si="102"/>
        <v>198632122.14</v>
      </c>
      <c r="K1652" t="str">
        <f t="shared" si="103"/>
        <v>MATCHED</v>
      </c>
    </row>
    <row r="1653" spans="1:11">
      <c r="A1653" t="s">
        <v>108</v>
      </c>
      <c r="B1653" t="s">
        <v>1414</v>
      </c>
      <c r="C1653" t="s">
        <v>566</v>
      </c>
      <c r="D1653" t="s">
        <v>567</v>
      </c>
      <c r="E1653" s="8">
        <v>6200</v>
      </c>
      <c r="F1653" s="8">
        <v>121200</v>
      </c>
      <c r="G1653" s="8">
        <f t="shared" si="100"/>
        <v>751440000</v>
      </c>
      <c r="H1653" s="5">
        <v>0.3523</v>
      </c>
      <c r="I1653" s="8">
        <f t="shared" si="101"/>
        <v>751440000</v>
      </c>
      <c r="J1653" s="8">
        <f t="shared" si="102"/>
        <v>264732312</v>
      </c>
      <c r="K1653" t="str">
        <f t="shared" si="103"/>
        <v>MATCHED</v>
      </c>
    </row>
    <row r="1654" spans="1:11">
      <c r="A1654" t="s">
        <v>108</v>
      </c>
      <c r="B1654" t="s">
        <v>1414</v>
      </c>
      <c r="C1654" t="s">
        <v>568</v>
      </c>
      <c r="D1654" t="s">
        <v>569</v>
      </c>
      <c r="E1654" s="8">
        <v>3250</v>
      </c>
      <c r="F1654" s="8">
        <v>118620</v>
      </c>
      <c r="G1654" s="8">
        <f t="shared" si="100"/>
        <v>385515000</v>
      </c>
      <c r="H1654" s="5">
        <v>0.4536</v>
      </c>
      <c r="I1654" s="8">
        <f t="shared" si="101"/>
        <v>385515000</v>
      </c>
      <c r="J1654" s="8">
        <f t="shared" si="102"/>
        <v>174869604</v>
      </c>
      <c r="K1654" t="str">
        <f t="shared" si="103"/>
        <v>MATCHED</v>
      </c>
    </row>
    <row r="1655" spans="1:11">
      <c r="A1655" t="s">
        <v>108</v>
      </c>
      <c r="B1655" t="s">
        <v>1414</v>
      </c>
      <c r="C1655" t="s">
        <v>570</v>
      </c>
      <c r="D1655" t="s">
        <v>571</v>
      </c>
      <c r="E1655" s="8"/>
      <c r="F1655" s="8">
        <v>111540</v>
      </c>
      <c r="G1655" s="8" t="str">
        <f t="shared" si="100"/>
        <v/>
      </c>
      <c r="H1655" s="5">
        <v>0.5196</v>
      </c>
      <c r="I1655" s="8" t="str">
        <f t="shared" si="101"/>
        <v/>
      </c>
      <c r="J1655" s="8" t="str">
        <f t="shared" si="102"/>
        <v/>
      </c>
      <c r="K1655" t="str">
        <f t="shared" si="103"/>
        <v>MISSING OEWS</v>
      </c>
    </row>
    <row r="1656" spans="1:11">
      <c r="A1656" t="s">
        <v>108</v>
      </c>
      <c r="B1656" t="s">
        <v>1414</v>
      </c>
      <c r="C1656" t="s">
        <v>572</v>
      </c>
      <c r="D1656" t="s">
        <v>573</v>
      </c>
      <c r="E1656" s="8">
        <v>640</v>
      </c>
      <c r="F1656" s="8">
        <v>112210</v>
      </c>
      <c r="G1656" s="8">
        <f t="shared" si="100"/>
        <v>71814400</v>
      </c>
      <c r="H1656" s="5">
        <v>0.2672</v>
      </c>
      <c r="I1656" s="8">
        <f t="shared" si="101"/>
        <v>71814400</v>
      </c>
      <c r="J1656" s="8">
        <f t="shared" si="102"/>
        <v>19188807.68</v>
      </c>
      <c r="K1656" t="str">
        <f t="shared" si="103"/>
        <v>MATCHED</v>
      </c>
    </row>
    <row r="1657" spans="1:11">
      <c r="A1657" t="s">
        <v>108</v>
      </c>
      <c r="B1657" t="s">
        <v>1414</v>
      </c>
      <c r="C1657" t="s">
        <v>301</v>
      </c>
      <c r="D1657" t="s">
        <v>302</v>
      </c>
      <c r="E1657" s="8">
        <v>19900</v>
      </c>
      <c r="F1657" s="8">
        <v>112470</v>
      </c>
      <c r="G1657" s="8">
        <f t="shared" si="100"/>
        <v>2238153000</v>
      </c>
      <c r="H1657" s="5">
        <v>0.4786</v>
      </c>
      <c r="I1657" s="8">
        <f t="shared" si="101"/>
        <v>2238153000</v>
      </c>
      <c r="J1657" s="8">
        <f t="shared" si="102"/>
        <v>1071180025.8</v>
      </c>
      <c r="K1657" t="str">
        <f t="shared" si="103"/>
        <v>MATCHED</v>
      </c>
    </row>
    <row r="1658" spans="1:11">
      <c r="A1658" t="s">
        <v>108</v>
      </c>
      <c r="B1658" t="s">
        <v>1414</v>
      </c>
      <c r="C1658" t="s">
        <v>938</v>
      </c>
      <c r="D1658" t="s">
        <v>939</v>
      </c>
      <c r="E1658" s="8">
        <v>60</v>
      </c>
      <c r="F1658" s="8">
        <v>122530</v>
      </c>
      <c r="G1658" s="8">
        <f t="shared" si="100"/>
        <v>7351800</v>
      </c>
      <c r="H1658" s="5">
        <v>0.2417</v>
      </c>
      <c r="I1658" s="8">
        <f t="shared" si="101"/>
        <v>7351800</v>
      </c>
      <c r="J1658" s="8">
        <f t="shared" si="102"/>
        <v>1776930.06</v>
      </c>
      <c r="K1658" t="str">
        <f t="shared" si="103"/>
        <v>MATCHED</v>
      </c>
    </row>
    <row r="1659" spans="1:11">
      <c r="A1659" t="s">
        <v>108</v>
      </c>
      <c r="B1659" t="s">
        <v>1414</v>
      </c>
      <c r="C1659" t="s">
        <v>574</v>
      </c>
      <c r="D1659" t="s">
        <v>575</v>
      </c>
      <c r="E1659" s="8">
        <v>600</v>
      </c>
      <c r="F1659" s="8">
        <v>108530</v>
      </c>
      <c r="G1659" s="8">
        <f t="shared" si="100"/>
        <v>65118000</v>
      </c>
      <c r="H1659" s="5">
        <v>0.269</v>
      </c>
      <c r="I1659" s="8">
        <f t="shared" si="101"/>
        <v>65118000</v>
      </c>
      <c r="J1659" s="8">
        <f t="shared" si="102"/>
        <v>17516742</v>
      </c>
      <c r="K1659" t="str">
        <f t="shared" si="103"/>
        <v>MATCHED</v>
      </c>
    </row>
    <row r="1660" spans="1:11">
      <c r="A1660" t="s">
        <v>108</v>
      </c>
      <c r="B1660" t="s">
        <v>1414</v>
      </c>
      <c r="C1660" t="s">
        <v>576</v>
      </c>
      <c r="D1660" t="s">
        <v>577</v>
      </c>
      <c r="E1660" s="8">
        <v>16640</v>
      </c>
      <c r="F1660" s="8">
        <v>107070</v>
      </c>
      <c r="G1660" s="8">
        <f t="shared" si="100"/>
        <v>1781644800</v>
      </c>
      <c r="H1660" s="5">
        <v>0.3008</v>
      </c>
      <c r="I1660" s="8">
        <f t="shared" si="101"/>
        <v>1781644800</v>
      </c>
      <c r="J1660" s="8">
        <f t="shared" si="102"/>
        <v>535918755.84</v>
      </c>
      <c r="K1660" t="str">
        <f t="shared" si="103"/>
        <v>MATCHED</v>
      </c>
    </row>
    <row r="1661" spans="1:11">
      <c r="A1661" t="s">
        <v>108</v>
      </c>
      <c r="B1661" t="s">
        <v>1414</v>
      </c>
      <c r="C1661" t="s">
        <v>580</v>
      </c>
      <c r="D1661" t="s">
        <v>581</v>
      </c>
      <c r="E1661" s="8"/>
      <c r="F1661" s="8">
        <v>140640</v>
      </c>
      <c r="G1661" s="8" t="str">
        <f t="shared" si="100"/>
        <v/>
      </c>
      <c r="H1661" s="5">
        <v>0.3065</v>
      </c>
      <c r="I1661" s="8" t="str">
        <f t="shared" si="101"/>
        <v/>
      </c>
      <c r="J1661" s="8" t="str">
        <f t="shared" si="102"/>
        <v/>
      </c>
      <c r="K1661" t="str">
        <f t="shared" si="103"/>
        <v>MISSING OEWS</v>
      </c>
    </row>
    <row r="1662" spans="1:11">
      <c r="A1662" t="s">
        <v>108</v>
      </c>
      <c r="B1662" t="s">
        <v>1414</v>
      </c>
      <c r="C1662" t="s">
        <v>582</v>
      </c>
      <c r="D1662" t="s">
        <v>583</v>
      </c>
      <c r="E1662" s="8">
        <v>6220</v>
      </c>
      <c r="F1662" s="8">
        <v>105250</v>
      </c>
      <c r="G1662" s="8">
        <f t="shared" si="100"/>
        <v>654655000</v>
      </c>
      <c r="H1662" s="5">
        <v>0.315</v>
      </c>
      <c r="I1662" s="8">
        <f t="shared" si="101"/>
        <v>654655000</v>
      </c>
      <c r="J1662" s="8">
        <f t="shared" si="102"/>
        <v>206216325</v>
      </c>
      <c r="K1662" t="str">
        <f t="shared" si="103"/>
        <v>MATCHED</v>
      </c>
    </row>
    <row r="1663" spans="1:11">
      <c r="A1663" t="s">
        <v>108</v>
      </c>
      <c r="B1663" t="s">
        <v>1414</v>
      </c>
      <c r="C1663" t="s">
        <v>584</v>
      </c>
      <c r="D1663" t="s">
        <v>585</v>
      </c>
      <c r="E1663" s="8">
        <v>1720</v>
      </c>
      <c r="F1663" s="8">
        <v>70850</v>
      </c>
      <c r="G1663" s="8">
        <f t="shared" si="100"/>
        <v>121862000</v>
      </c>
      <c r="H1663" s="5">
        <v>0.7</v>
      </c>
      <c r="I1663" s="8">
        <f t="shared" si="101"/>
        <v>121862000</v>
      </c>
      <c r="J1663" s="8">
        <f t="shared" si="102"/>
        <v>85303400</v>
      </c>
      <c r="K1663" t="str">
        <f t="shared" si="103"/>
        <v>MATCHED</v>
      </c>
    </row>
    <row r="1664" spans="1:11">
      <c r="A1664" t="s">
        <v>108</v>
      </c>
      <c r="B1664" t="s">
        <v>1414</v>
      </c>
      <c r="C1664" t="s">
        <v>842</v>
      </c>
      <c r="D1664" t="s">
        <v>843</v>
      </c>
      <c r="E1664" s="8">
        <v>250</v>
      </c>
      <c r="F1664" s="8">
        <v>69020</v>
      </c>
      <c r="G1664" s="8">
        <f t="shared" si="100"/>
        <v>17255000</v>
      </c>
      <c r="H1664" s="5">
        <v>0.5217</v>
      </c>
      <c r="I1664" s="8">
        <f t="shared" si="101"/>
        <v>17255000</v>
      </c>
      <c r="J1664" s="8">
        <f t="shared" si="102"/>
        <v>9001933.5</v>
      </c>
      <c r="K1664" t="str">
        <f t="shared" si="103"/>
        <v>MATCHED</v>
      </c>
    </row>
    <row r="1665" spans="1:11">
      <c r="A1665" t="s">
        <v>108</v>
      </c>
      <c r="B1665" t="s">
        <v>1414</v>
      </c>
      <c r="C1665" t="s">
        <v>586</v>
      </c>
      <c r="D1665" t="s">
        <v>587</v>
      </c>
      <c r="E1665" s="8">
        <v>2480</v>
      </c>
      <c r="F1665" s="8">
        <v>69160</v>
      </c>
      <c r="G1665" s="8">
        <f t="shared" si="100"/>
        <v>171516800</v>
      </c>
      <c r="H1665" s="5">
        <v>0.71</v>
      </c>
      <c r="I1665" s="8">
        <f t="shared" si="101"/>
        <v>171516800</v>
      </c>
      <c r="J1665" s="8">
        <f t="shared" si="102"/>
        <v>121776928</v>
      </c>
      <c r="K1665" t="str">
        <f t="shared" si="103"/>
        <v>MATCHED</v>
      </c>
    </row>
    <row r="1666" spans="1:11">
      <c r="A1666" t="s">
        <v>108</v>
      </c>
      <c r="B1666" t="s">
        <v>1414</v>
      </c>
      <c r="C1666" t="s">
        <v>588</v>
      </c>
      <c r="D1666" t="s">
        <v>589</v>
      </c>
      <c r="E1666" s="8">
        <v>670</v>
      </c>
      <c r="F1666" s="8">
        <v>71610</v>
      </c>
      <c r="G1666" s="8">
        <f t="shared" ref="G1666:G1729" si="104">IF(OR(E1666="",F1666=""),"",E1666*F1666)</f>
        <v>47978700</v>
      </c>
      <c r="H1666" s="5"/>
      <c r="I1666" s="8" t="str">
        <f t="shared" ref="I1666:I1729" si="105">IF(G1666="","",IF(ISNUMBER(H1666),G1666,""))</f>
        <v/>
      </c>
      <c r="J1666" s="8" t="str">
        <f t="shared" ref="J1666:J1729" si="106">IF(I1666="","",I1666*H1666)</f>
        <v/>
      </c>
      <c r="K1666" t="str">
        <f t="shared" ref="K1666:K1729" si="107">IF(G1666="","MISSING OEWS",IF(ISNUMBER(H1666),"MATCHED","MISSING WHARTON"))</f>
        <v>MISSING WHARTON</v>
      </c>
    </row>
    <row r="1667" spans="1:11">
      <c r="A1667" t="s">
        <v>108</v>
      </c>
      <c r="B1667" t="s">
        <v>1414</v>
      </c>
      <c r="C1667" t="s">
        <v>590</v>
      </c>
      <c r="D1667" t="s">
        <v>591</v>
      </c>
      <c r="E1667" s="8">
        <v>40</v>
      </c>
      <c r="F1667" s="8">
        <v>79270</v>
      </c>
      <c r="G1667" s="8">
        <f t="shared" si="104"/>
        <v>3170800</v>
      </c>
      <c r="H1667" s="5">
        <v>0.4567</v>
      </c>
      <c r="I1667" s="8">
        <f t="shared" si="105"/>
        <v>3170800</v>
      </c>
      <c r="J1667" s="8">
        <f t="shared" si="106"/>
        <v>1448104.36</v>
      </c>
      <c r="K1667" t="str">
        <f t="shared" si="107"/>
        <v>MATCHED</v>
      </c>
    </row>
    <row r="1668" spans="1:11">
      <c r="A1668" t="s">
        <v>108</v>
      </c>
      <c r="B1668" t="s">
        <v>1414</v>
      </c>
      <c r="C1668" t="s">
        <v>592</v>
      </c>
      <c r="D1668" t="s">
        <v>593</v>
      </c>
      <c r="E1668" s="8">
        <v>2950</v>
      </c>
      <c r="F1668" s="8">
        <v>69950</v>
      </c>
      <c r="G1668" s="8">
        <f t="shared" si="104"/>
        <v>206352500</v>
      </c>
      <c r="H1668" s="5">
        <v>0.4</v>
      </c>
      <c r="I1668" s="8">
        <f t="shared" si="105"/>
        <v>206352500</v>
      </c>
      <c r="J1668" s="8">
        <f t="shared" si="106"/>
        <v>82541000</v>
      </c>
      <c r="K1668" t="str">
        <f t="shared" si="107"/>
        <v>MATCHED</v>
      </c>
    </row>
    <row r="1669" spans="1:11">
      <c r="A1669" t="s">
        <v>108</v>
      </c>
      <c r="B1669" t="s">
        <v>1414</v>
      </c>
      <c r="C1669" t="s">
        <v>594</v>
      </c>
      <c r="D1669" t="s">
        <v>595</v>
      </c>
      <c r="E1669" s="8">
        <v>750</v>
      </c>
      <c r="F1669" s="8">
        <v>76990</v>
      </c>
      <c r="G1669" s="8">
        <f t="shared" si="104"/>
        <v>57742500</v>
      </c>
      <c r="H1669" s="5">
        <v>0.1781</v>
      </c>
      <c r="I1669" s="8">
        <f t="shared" si="105"/>
        <v>57742500</v>
      </c>
      <c r="J1669" s="8">
        <f t="shared" si="106"/>
        <v>10283939.25</v>
      </c>
      <c r="K1669" t="str">
        <f t="shared" si="107"/>
        <v>MATCHED</v>
      </c>
    </row>
    <row r="1670" spans="1:11">
      <c r="A1670" t="s">
        <v>108</v>
      </c>
      <c r="B1670" t="s">
        <v>1414</v>
      </c>
      <c r="C1670" t="s">
        <v>596</v>
      </c>
      <c r="D1670" t="s">
        <v>597</v>
      </c>
      <c r="E1670" s="8"/>
      <c r="F1670" s="8">
        <v>57140</v>
      </c>
      <c r="G1670" s="8" t="str">
        <f t="shared" si="104"/>
        <v/>
      </c>
      <c r="H1670" s="5">
        <v>0.4615</v>
      </c>
      <c r="I1670" s="8" t="str">
        <f t="shared" si="105"/>
        <v/>
      </c>
      <c r="J1670" s="8" t="str">
        <f t="shared" si="106"/>
        <v/>
      </c>
      <c r="K1670" t="str">
        <f t="shared" si="107"/>
        <v>MISSING OEWS</v>
      </c>
    </row>
    <row r="1671" spans="1:11">
      <c r="A1671" t="s">
        <v>108</v>
      </c>
      <c r="B1671" t="s">
        <v>1414</v>
      </c>
      <c r="C1671" t="s">
        <v>598</v>
      </c>
      <c r="D1671" t="s">
        <v>599</v>
      </c>
      <c r="E1671" s="8">
        <v>2040</v>
      </c>
      <c r="F1671" s="8">
        <v>73210</v>
      </c>
      <c r="G1671" s="8">
        <f t="shared" si="104"/>
        <v>149348400</v>
      </c>
      <c r="H1671" s="5">
        <v>0.2855</v>
      </c>
      <c r="I1671" s="8">
        <f t="shared" si="105"/>
        <v>149348400</v>
      </c>
      <c r="J1671" s="8">
        <f t="shared" si="106"/>
        <v>42638968.2</v>
      </c>
      <c r="K1671" t="str">
        <f t="shared" si="107"/>
        <v>MATCHED</v>
      </c>
    </row>
    <row r="1672" spans="1:11">
      <c r="A1672" t="s">
        <v>108</v>
      </c>
      <c r="B1672" t="s">
        <v>1414</v>
      </c>
      <c r="C1672" t="s">
        <v>600</v>
      </c>
      <c r="D1672" t="s">
        <v>601</v>
      </c>
      <c r="E1672" s="8">
        <v>1420</v>
      </c>
      <c r="F1672" s="8">
        <v>67820</v>
      </c>
      <c r="G1672" s="8">
        <f t="shared" si="104"/>
        <v>96304400</v>
      </c>
      <c r="H1672" s="5">
        <v>0.3125</v>
      </c>
      <c r="I1672" s="8">
        <f t="shared" si="105"/>
        <v>96304400</v>
      </c>
      <c r="J1672" s="8">
        <f t="shared" si="106"/>
        <v>30095125</v>
      </c>
      <c r="K1672" t="str">
        <f t="shared" si="107"/>
        <v>MATCHED</v>
      </c>
    </row>
    <row r="1673" spans="1:11">
      <c r="A1673" t="s">
        <v>108</v>
      </c>
      <c r="B1673" t="s">
        <v>1414</v>
      </c>
      <c r="C1673" t="s">
        <v>602</v>
      </c>
      <c r="D1673" t="s">
        <v>603</v>
      </c>
      <c r="E1673" s="8">
        <v>1460</v>
      </c>
      <c r="F1673" s="8">
        <v>64340</v>
      </c>
      <c r="G1673" s="8">
        <f t="shared" si="104"/>
        <v>93936400</v>
      </c>
      <c r="H1673" s="5">
        <v>0.1733</v>
      </c>
      <c r="I1673" s="8">
        <f t="shared" si="105"/>
        <v>93936400</v>
      </c>
      <c r="J1673" s="8">
        <f t="shared" si="106"/>
        <v>16279178.12</v>
      </c>
      <c r="K1673" t="str">
        <f t="shared" si="107"/>
        <v>MATCHED</v>
      </c>
    </row>
    <row r="1674" spans="1:11">
      <c r="A1674" t="s">
        <v>108</v>
      </c>
      <c r="B1674" t="s">
        <v>1414</v>
      </c>
      <c r="C1674" t="s">
        <v>604</v>
      </c>
      <c r="D1674" t="s">
        <v>605</v>
      </c>
      <c r="E1674" s="8">
        <v>840</v>
      </c>
      <c r="F1674" s="8">
        <v>67170</v>
      </c>
      <c r="G1674" s="8">
        <f t="shared" si="104"/>
        <v>56422800</v>
      </c>
      <c r="H1674" s="5">
        <v>0.1404</v>
      </c>
      <c r="I1674" s="8">
        <f t="shared" si="105"/>
        <v>56422800</v>
      </c>
      <c r="J1674" s="8">
        <f t="shared" si="106"/>
        <v>7921761.12</v>
      </c>
      <c r="K1674" t="str">
        <f t="shared" si="107"/>
        <v>MATCHED</v>
      </c>
    </row>
    <row r="1675" spans="1:11">
      <c r="A1675" t="s">
        <v>108</v>
      </c>
      <c r="B1675" t="s">
        <v>1414</v>
      </c>
      <c r="C1675" t="s">
        <v>303</v>
      </c>
      <c r="D1675" t="s">
        <v>304</v>
      </c>
      <c r="E1675" s="8">
        <v>230</v>
      </c>
      <c r="F1675" s="8">
        <v>135180</v>
      </c>
      <c r="G1675" s="8">
        <f t="shared" si="104"/>
        <v>31091400</v>
      </c>
      <c r="H1675" s="5">
        <v>0.2333</v>
      </c>
      <c r="I1675" s="8">
        <f t="shared" si="105"/>
        <v>31091400</v>
      </c>
      <c r="J1675" s="8">
        <f t="shared" si="106"/>
        <v>7253623.62</v>
      </c>
      <c r="K1675" t="str">
        <f t="shared" si="107"/>
        <v>MATCHED</v>
      </c>
    </row>
    <row r="1676" spans="1:11">
      <c r="A1676" t="s">
        <v>108</v>
      </c>
      <c r="B1676" t="s">
        <v>1414</v>
      </c>
      <c r="C1676" t="s">
        <v>305</v>
      </c>
      <c r="D1676" t="s">
        <v>306</v>
      </c>
      <c r="E1676" s="8">
        <v>980</v>
      </c>
      <c r="F1676" s="8">
        <v>104780</v>
      </c>
      <c r="G1676" s="8">
        <f t="shared" si="104"/>
        <v>102684400</v>
      </c>
      <c r="H1676" s="5">
        <v>0.1269</v>
      </c>
      <c r="I1676" s="8">
        <f t="shared" si="105"/>
        <v>102684400</v>
      </c>
      <c r="J1676" s="8">
        <f t="shared" si="106"/>
        <v>13030650.36</v>
      </c>
      <c r="K1676" t="str">
        <f t="shared" si="107"/>
        <v>MATCHED</v>
      </c>
    </row>
    <row r="1677" spans="1:11">
      <c r="A1677" t="s">
        <v>108</v>
      </c>
      <c r="B1677" t="s">
        <v>1414</v>
      </c>
      <c r="C1677" t="s">
        <v>307</v>
      </c>
      <c r="D1677" t="s">
        <v>308</v>
      </c>
      <c r="E1677" s="8">
        <v>2240</v>
      </c>
      <c r="F1677" s="8">
        <v>98300</v>
      </c>
      <c r="G1677" s="8">
        <f t="shared" si="104"/>
        <v>220192000</v>
      </c>
      <c r="H1677" s="5">
        <v>0.0519</v>
      </c>
      <c r="I1677" s="8">
        <f t="shared" si="105"/>
        <v>220192000</v>
      </c>
      <c r="J1677" s="8">
        <f t="shared" si="106"/>
        <v>11427964.8</v>
      </c>
      <c r="K1677" t="str">
        <f t="shared" si="107"/>
        <v>MATCHED</v>
      </c>
    </row>
    <row r="1678" spans="1:11">
      <c r="A1678" t="s">
        <v>108</v>
      </c>
      <c r="B1678" t="s">
        <v>1414</v>
      </c>
      <c r="C1678" t="s">
        <v>1166</v>
      </c>
      <c r="D1678" t="s">
        <v>1167</v>
      </c>
      <c r="E1678" s="8">
        <v>730</v>
      </c>
      <c r="F1678" s="8">
        <v>151080</v>
      </c>
      <c r="G1678" s="8">
        <f t="shared" si="104"/>
        <v>110288400</v>
      </c>
      <c r="H1678" s="5">
        <v>0.1667</v>
      </c>
      <c r="I1678" s="8">
        <f t="shared" si="105"/>
        <v>110288400</v>
      </c>
      <c r="J1678" s="8">
        <f t="shared" si="106"/>
        <v>18385076.28</v>
      </c>
      <c r="K1678" t="str">
        <f t="shared" si="107"/>
        <v>MATCHED</v>
      </c>
    </row>
    <row r="1679" spans="1:11">
      <c r="A1679" t="s">
        <v>108</v>
      </c>
      <c r="B1679" t="s">
        <v>1414</v>
      </c>
      <c r="C1679" t="s">
        <v>1168</v>
      </c>
      <c r="D1679" t="s">
        <v>1169</v>
      </c>
      <c r="E1679" s="8">
        <v>290</v>
      </c>
      <c r="F1679" s="8">
        <v>94710</v>
      </c>
      <c r="G1679" s="8">
        <f t="shared" si="104"/>
        <v>27465900</v>
      </c>
      <c r="H1679" s="5">
        <v>0.05</v>
      </c>
      <c r="I1679" s="8">
        <f t="shared" si="105"/>
        <v>27465900</v>
      </c>
      <c r="J1679" s="8">
        <f t="shared" si="106"/>
        <v>1373295</v>
      </c>
      <c r="K1679" t="str">
        <f t="shared" si="107"/>
        <v>MATCHED</v>
      </c>
    </row>
    <row r="1680" spans="1:11">
      <c r="A1680" t="s">
        <v>108</v>
      </c>
      <c r="B1680" t="s">
        <v>1414</v>
      </c>
      <c r="C1680" t="s">
        <v>309</v>
      </c>
      <c r="D1680" t="s">
        <v>310</v>
      </c>
      <c r="E1680" s="8">
        <v>610</v>
      </c>
      <c r="F1680" s="8">
        <v>134020</v>
      </c>
      <c r="G1680" s="8">
        <f t="shared" si="104"/>
        <v>81752200</v>
      </c>
      <c r="H1680" s="5">
        <v>0.4037</v>
      </c>
      <c r="I1680" s="8">
        <f t="shared" si="105"/>
        <v>81752200</v>
      </c>
      <c r="J1680" s="8">
        <f t="shared" si="106"/>
        <v>33003363.14</v>
      </c>
      <c r="K1680" t="str">
        <f t="shared" si="107"/>
        <v>MATCHED</v>
      </c>
    </row>
    <row r="1681" spans="1:11">
      <c r="A1681" t="s">
        <v>108</v>
      </c>
      <c r="B1681" t="s">
        <v>1414</v>
      </c>
      <c r="C1681" t="s">
        <v>311</v>
      </c>
      <c r="D1681" t="s">
        <v>312</v>
      </c>
      <c r="E1681" s="8">
        <v>260</v>
      </c>
      <c r="F1681" s="8">
        <v>81740</v>
      </c>
      <c r="G1681" s="8">
        <f t="shared" si="104"/>
        <v>21252400</v>
      </c>
      <c r="H1681" s="5">
        <v>0.056</v>
      </c>
      <c r="I1681" s="8">
        <f t="shared" si="105"/>
        <v>21252400</v>
      </c>
      <c r="J1681" s="8">
        <f t="shared" si="106"/>
        <v>1190134.4</v>
      </c>
      <c r="K1681" t="str">
        <f t="shared" si="107"/>
        <v>MATCHED</v>
      </c>
    </row>
    <row r="1682" spans="1:11">
      <c r="A1682" t="s">
        <v>108</v>
      </c>
      <c r="B1682" t="s">
        <v>1414</v>
      </c>
      <c r="C1682" t="s">
        <v>1170</v>
      </c>
      <c r="D1682" t="s">
        <v>1171</v>
      </c>
      <c r="E1682" s="8">
        <v>70</v>
      </c>
      <c r="F1682" s="8">
        <v>143480</v>
      </c>
      <c r="G1682" s="8">
        <f t="shared" si="104"/>
        <v>10043600</v>
      </c>
      <c r="H1682" s="5">
        <v>0.3433</v>
      </c>
      <c r="I1682" s="8">
        <f t="shared" si="105"/>
        <v>10043600</v>
      </c>
      <c r="J1682" s="8">
        <f t="shared" si="106"/>
        <v>3447967.88</v>
      </c>
      <c r="K1682" t="str">
        <f t="shared" si="107"/>
        <v>MATCHED</v>
      </c>
    </row>
    <row r="1683" spans="1:11">
      <c r="A1683" t="s">
        <v>108</v>
      </c>
      <c r="B1683" t="s">
        <v>1414</v>
      </c>
      <c r="C1683" t="s">
        <v>1172</v>
      </c>
      <c r="D1683" t="s">
        <v>1173</v>
      </c>
      <c r="E1683" s="8">
        <v>6480</v>
      </c>
      <c r="F1683" s="8">
        <v>162150</v>
      </c>
      <c r="G1683" s="8">
        <f t="shared" si="104"/>
        <v>1050732000</v>
      </c>
      <c r="H1683" s="5">
        <v>0.1857</v>
      </c>
      <c r="I1683" s="8">
        <f t="shared" si="105"/>
        <v>1050732000</v>
      </c>
      <c r="J1683" s="8">
        <f t="shared" si="106"/>
        <v>195120932.4</v>
      </c>
      <c r="K1683" t="str">
        <f t="shared" si="107"/>
        <v>MATCHED</v>
      </c>
    </row>
    <row r="1684" spans="1:11">
      <c r="A1684" t="s">
        <v>108</v>
      </c>
      <c r="B1684" t="s">
        <v>1414</v>
      </c>
      <c r="C1684" t="s">
        <v>1174</v>
      </c>
      <c r="D1684" t="s">
        <v>1175</v>
      </c>
      <c r="E1684" s="8">
        <v>240</v>
      </c>
      <c r="F1684" s="8">
        <v>117470</v>
      </c>
      <c r="G1684" s="8">
        <f t="shared" si="104"/>
        <v>28192800</v>
      </c>
      <c r="H1684" s="5"/>
      <c r="I1684" s="8" t="str">
        <f t="shared" si="105"/>
        <v/>
      </c>
      <c r="J1684" s="8" t="str">
        <f t="shared" si="106"/>
        <v/>
      </c>
      <c r="K1684" t="str">
        <f t="shared" si="107"/>
        <v>MISSING WHARTON</v>
      </c>
    </row>
    <row r="1685" spans="1:11">
      <c r="A1685" t="s">
        <v>108</v>
      </c>
      <c r="B1685" t="s">
        <v>1414</v>
      </c>
      <c r="C1685" t="s">
        <v>846</v>
      </c>
      <c r="D1685" t="s">
        <v>847</v>
      </c>
      <c r="E1685" s="8"/>
      <c r="F1685" s="8">
        <v>214710</v>
      </c>
      <c r="G1685" s="8" t="str">
        <f t="shared" si="104"/>
        <v/>
      </c>
      <c r="H1685" s="5">
        <v>0.44</v>
      </c>
      <c r="I1685" s="8" t="str">
        <f t="shared" si="105"/>
        <v/>
      </c>
      <c r="J1685" s="8" t="str">
        <f t="shared" si="106"/>
        <v/>
      </c>
      <c r="K1685" t="str">
        <f t="shared" si="107"/>
        <v>MISSING OEWS</v>
      </c>
    </row>
    <row r="1686" spans="1:11">
      <c r="A1686" t="s">
        <v>108</v>
      </c>
      <c r="B1686" t="s">
        <v>1414</v>
      </c>
      <c r="C1686" t="s">
        <v>608</v>
      </c>
      <c r="D1686" t="s">
        <v>609</v>
      </c>
      <c r="E1686" s="8">
        <v>3460</v>
      </c>
      <c r="F1686" s="8">
        <v>104940</v>
      </c>
      <c r="G1686" s="8">
        <f t="shared" si="104"/>
        <v>363092400</v>
      </c>
      <c r="H1686" s="5">
        <v>0.1808</v>
      </c>
      <c r="I1686" s="8">
        <f t="shared" si="105"/>
        <v>363092400</v>
      </c>
      <c r="J1686" s="8">
        <f t="shared" si="106"/>
        <v>65647105.92</v>
      </c>
      <c r="K1686" t="str">
        <f t="shared" si="107"/>
        <v>MATCHED</v>
      </c>
    </row>
    <row r="1687" spans="1:11">
      <c r="A1687" t="s">
        <v>108</v>
      </c>
      <c r="B1687" t="s">
        <v>1414</v>
      </c>
      <c r="C1687" t="s">
        <v>1176</v>
      </c>
      <c r="D1687" t="s">
        <v>1177</v>
      </c>
      <c r="E1687" s="8">
        <v>260</v>
      </c>
      <c r="F1687" s="8">
        <v>114630</v>
      </c>
      <c r="G1687" s="8">
        <f t="shared" si="104"/>
        <v>29803800</v>
      </c>
      <c r="H1687" s="5">
        <v>0.2062</v>
      </c>
      <c r="I1687" s="8">
        <f t="shared" si="105"/>
        <v>29803800</v>
      </c>
      <c r="J1687" s="8">
        <f t="shared" si="106"/>
        <v>6145543.56</v>
      </c>
      <c r="K1687" t="str">
        <f t="shared" si="107"/>
        <v>MATCHED</v>
      </c>
    </row>
    <row r="1688" spans="1:11">
      <c r="A1688" t="s">
        <v>108</v>
      </c>
      <c r="B1688" t="s">
        <v>1414</v>
      </c>
      <c r="C1688" t="s">
        <v>610</v>
      </c>
      <c r="D1688" t="s">
        <v>611</v>
      </c>
      <c r="E1688" s="8">
        <v>190</v>
      </c>
      <c r="F1688" s="8">
        <v>119270</v>
      </c>
      <c r="G1688" s="8">
        <f t="shared" si="104"/>
        <v>22661300</v>
      </c>
      <c r="H1688" s="5">
        <v>0.4662</v>
      </c>
      <c r="I1688" s="8">
        <f t="shared" si="105"/>
        <v>22661300</v>
      </c>
      <c r="J1688" s="8">
        <f t="shared" si="106"/>
        <v>10564698.06</v>
      </c>
      <c r="K1688" t="str">
        <f t="shared" si="107"/>
        <v>MATCHED</v>
      </c>
    </row>
    <row r="1689" spans="1:11">
      <c r="A1689" t="s">
        <v>108</v>
      </c>
      <c r="B1689" t="s">
        <v>1414</v>
      </c>
      <c r="C1689" t="s">
        <v>612</v>
      </c>
      <c r="D1689" t="s">
        <v>613</v>
      </c>
      <c r="E1689" s="8">
        <v>30</v>
      </c>
      <c r="F1689" s="8">
        <v>118070</v>
      </c>
      <c r="G1689" s="8">
        <f t="shared" si="104"/>
        <v>3542100</v>
      </c>
      <c r="H1689" s="5">
        <v>0.2937</v>
      </c>
      <c r="I1689" s="8">
        <f t="shared" si="105"/>
        <v>3542100</v>
      </c>
      <c r="J1689" s="8">
        <f t="shared" si="106"/>
        <v>1040314.77</v>
      </c>
      <c r="K1689" t="str">
        <f t="shared" si="107"/>
        <v>MATCHED</v>
      </c>
    </row>
    <row r="1690" spans="1:11">
      <c r="A1690" t="s">
        <v>108</v>
      </c>
      <c r="B1690" t="s">
        <v>1414</v>
      </c>
      <c r="C1690" t="s">
        <v>850</v>
      </c>
      <c r="D1690" t="s">
        <v>851</v>
      </c>
      <c r="E1690" s="8">
        <v>90</v>
      </c>
      <c r="F1690" s="8">
        <v>136190</v>
      </c>
      <c r="G1690" s="8">
        <f t="shared" si="104"/>
        <v>12257100</v>
      </c>
      <c r="H1690" s="5">
        <v>0.5312</v>
      </c>
      <c r="I1690" s="8">
        <f t="shared" si="105"/>
        <v>12257100</v>
      </c>
      <c r="J1690" s="8">
        <f t="shared" si="106"/>
        <v>6510971.52</v>
      </c>
      <c r="K1690" t="str">
        <f t="shared" si="107"/>
        <v>MATCHED</v>
      </c>
    </row>
    <row r="1691" spans="1:11">
      <c r="A1691" t="s">
        <v>108</v>
      </c>
      <c r="B1691" t="s">
        <v>1414</v>
      </c>
      <c r="C1691" t="s">
        <v>614</v>
      </c>
      <c r="D1691" t="s">
        <v>615</v>
      </c>
      <c r="E1691" s="8">
        <v>40</v>
      </c>
      <c r="F1691" s="8">
        <v>190140</v>
      </c>
      <c r="G1691" s="8">
        <f t="shared" si="104"/>
        <v>7605600</v>
      </c>
      <c r="H1691" s="5">
        <v>0.5271</v>
      </c>
      <c r="I1691" s="8">
        <f t="shared" si="105"/>
        <v>7605600</v>
      </c>
      <c r="J1691" s="8">
        <f t="shared" si="106"/>
        <v>4008911.76</v>
      </c>
      <c r="K1691" t="str">
        <f t="shared" si="107"/>
        <v>MATCHED</v>
      </c>
    </row>
    <row r="1692" spans="1:11">
      <c r="A1692" t="s">
        <v>108</v>
      </c>
      <c r="B1692" t="s">
        <v>1414</v>
      </c>
      <c r="C1692" t="s">
        <v>1178</v>
      </c>
      <c r="D1692" t="s">
        <v>1179</v>
      </c>
      <c r="E1692" s="8">
        <v>60</v>
      </c>
      <c r="F1692" s="8">
        <v>89970</v>
      </c>
      <c r="G1692" s="8">
        <f t="shared" si="104"/>
        <v>5398200</v>
      </c>
      <c r="H1692" s="5">
        <v>0.5545</v>
      </c>
      <c r="I1692" s="8">
        <f t="shared" si="105"/>
        <v>5398200</v>
      </c>
      <c r="J1692" s="8">
        <f t="shared" si="106"/>
        <v>2993301.9</v>
      </c>
      <c r="K1692" t="str">
        <f t="shared" si="107"/>
        <v>MATCHED</v>
      </c>
    </row>
    <row r="1693" spans="1:11">
      <c r="A1693" t="s">
        <v>108</v>
      </c>
      <c r="B1693" t="s">
        <v>1414</v>
      </c>
      <c r="C1693" t="s">
        <v>313</v>
      </c>
      <c r="D1693" t="s">
        <v>314</v>
      </c>
      <c r="E1693" s="8">
        <v>2640</v>
      </c>
      <c r="F1693" s="8">
        <v>59060</v>
      </c>
      <c r="G1693" s="8">
        <f t="shared" si="104"/>
        <v>155918400</v>
      </c>
      <c r="H1693" s="5">
        <v>0.374</v>
      </c>
      <c r="I1693" s="8">
        <f t="shared" si="105"/>
        <v>155918400</v>
      </c>
      <c r="J1693" s="8">
        <f t="shared" si="106"/>
        <v>58313481.6</v>
      </c>
      <c r="K1693" t="str">
        <f t="shared" si="107"/>
        <v>MATCHED</v>
      </c>
    </row>
    <row r="1694" spans="1:11">
      <c r="A1694" t="s">
        <v>108</v>
      </c>
      <c r="B1694" t="s">
        <v>1414</v>
      </c>
      <c r="C1694" t="s">
        <v>315</v>
      </c>
      <c r="D1694" t="s">
        <v>316</v>
      </c>
      <c r="E1694" s="8">
        <v>820</v>
      </c>
      <c r="F1694" s="8">
        <v>63330</v>
      </c>
      <c r="G1694" s="8">
        <f t="shared" si="104"/>
        <v>51930600</v>
      </c>
      <c r="H1694" s="5">
        <v>0.2969</v>
      </c>
      <c r="I1694" s="8">
        <f t="shared" si="105"/>
        <v>51930600</v>
      </c>
      <c r="J1694" s="8">
        <f t="shared" si="106"/>
        <v>15418195.14</v>
      </c>
      <c r="K1694" t="str">
        <f t="shared" si="107"/>
        <v>MATCHED</v>
      </c>
    </row>
    <row r="1695" spans="1:11">
      <c r="A1695" t="s">
        <v>108</v>
      </c>
      <c r="B1695" t="s">
        <v>1414</v>
      </c>
      <c r="C1695" t="s">
        <v>317</v>
      </c>
      <c r="D1695" t="s">
        <v>318</v>
      </c>
      <c r="E1695" s="8">
        <v>230</v>
      </c>
      <c r="F1695" s="8">
        <v>53310</v>
      </c>
      <c r="G1695" s="8">
        <f t="shared" si="104"/>
        <v>12261300</v>
      </c>
      <c r="H1695" s="5">
        <v>0.2778</v>
      </c>
      <c r="I1695" s="8">
        <f t="shared" si="105"/>
        <v>12261300</v>
      </c>
      <c r="J1695" s="8">
        <f t="shared" si="106"/>
        <v>3406189.14</v>
      </c>
      <c r="K1695" t="str">
        <f t="shared" si="107"/>
        <v>MATCHED</v>
      </c>
    </row>
    <row r="1696" spans="1:11">
      <c r="A1696" t="s">
        <v>108</v>
      </c>
      <c r="B1696" t="s">
        <v>1414</v>
      </c>
      <c r="C1696" t="s">
        <v>616</v>
      </c>
      <c r="D1696" t="s">
        <v>617</v>
      </c>
      <c r="E1696" s="8">
        <v>3650</v>
      </c>
      <c r="F1696" s="8">
        <v>66170</v>
      </c>
      <c r="G1696" s="8">
        <f t="shared" si="104"/>
        <v>241520500</v>
      </c>
      <c r="H1696" s="5">
        <v>0.25</v>
      </c>
      <c r="I1696" s="8">
        <f t="shared" si="105"/>
        <v>241520500</v>
      </c>
      <c r="J1696" s="8">
        <f t="shared" si="106"/>
        <v>60380125</v>
      </c>
      <c r="K1696" t="str">
        <f t="shared" si="107"/>
        <v>MATCHED</v>
      </c>
    </row>
    <row r="1697" spans="1:11">
      <c r="A1697" t="s">
        <v>108</v>
      </c>
      <c r="B1697" t="s">
        <v>1414</v>
      </c>
      <c r="C1697" t="s">
        <v>618</v>
      </c>
      <c r="D1697" t="s">
        <v>619</v>
      </c>
      <c r="E1697" s="8"/>
      <c r="F1697" s="8">
        <v>66260</v>
      </c>
      <c r="G1697" s="8" t="str">
        <f t="shared" si="104"/>
        <v/>
      </c>
      <c r="H1697" s="5">
        <v>0.2635</v>
      </c>
      <c r="I1697" s="8" t="str">
        <f t="shared" si="105"/>
        <v/>
      </c>
      <c r="J1697" s="8" t="str">
        <f t="shared" si="106"/>
        <v/>
      </c>
      <c r="K1697" t="str">
        <f t="shared" si="107"/>
        <v>MISSING OEWS</v>
      </c>
    </row>
    <row r="1698" spans="1:11">
      <c r="A1698" t="s">
        <v>108</v>
      </c>
      <c r="B1698" t="s">
        <v>1414</v>
      </c>
      <c r="C1698" t="s">
        <v>620</v>
      </c>
      <c r="D1698" t="s">
        <v>621</v>
      </c>
      <c r="E1698" s="8">
        <v>70</v>
      </c>
      <c r="F1698" s="8">
        <v>48530</v>
      </c>
      <c r="G1698" s="8">
        <f t="shared" si="104"/>
        <v>3397100</v>
      </c>
      <c r="H1698" s="5">
        <v>0.3617</v>
      </c>
      <c r="I1698" s="8">
        <f t="shared" si="105"/>
        <v>3397100</v>
      </c>
      <c r="J1698" s="8">
        <f t="shared" si="106"/>
        <v>1228731.07</v>
      </c>
      <c r="K1698" t="str">
        <f t="shared" si="107"/>
        <v>MATCHED</v>
      </c>
    </row>
    <row r="1699" spans="1:11">
      <c r="A1699" t="s">
        <v>108</v>
      </c>
      <c r="B1699" t="s">
        <v>1414</v>
      </c>
      <c r="C1699" t="s">
        <v>622</v>
      </c>
      <c r="D1699" t="s">
        <v>623</v>
      </c>
      <c r="E1699" s="8"/>
      <c r="F1699" s="8">
        <v>29690</v>
      </c>
      <c r="G1699" s="8" t="str">
        <f t="shared" si="104"/>
        <v/>
      </c>
      <c r="H1699" s="5">
        <v>0.4562</v>
      </c>
      <c r="I1699" s="8" t="str">
        <f t="shared" si="105"/>
        <v/>
      </c>
      <c r="J1699" s="8" t="str">
        <f t="shared" si="106"/>
        <v/>
      </c>
      <c r="K1699" t="str">
        <f t="shared" si="107"/>
        <v>MISSING OEWS</v>
      </c>
    </row>
    <row r="1700" spans="1:11">
      <c r="A1700" t="s">
        <v>108</v>
      </c>
      <c r="B1700" t="s">
        <v>1414</v>
      </c>
      <c r="C1700" t="s">
        <v>624</v>
      </c>
      <c r="D1700" t="s">
        <v>625</v>
      </c>
      <c r="E1700" s="8">
        <v>1240</v>
      </c>
      <c r="F1700" s="8">
        <v>66900</v>
      </c>
      <c r="G1700" s="8">
        <f t="shared" si="104"/>
        <v>82956000</v>
      </c>
      <c r="H1700" s="5">
        <v>0.5519</v>
      </c>
      <c r="I1700" s="8">
        <f t="shared" si="105"/>
        <v>82956000</v>
      </c>
      <c r="J1700" s="8">
        <f t="shared" si="106"/>
        <v>45783416.4</v>
      </c>
      <c r="K1700" t="str">
        <f t="shared" si="107"/>
        <v>MATCHED</v>
      </c>
    </row>
    <row r="1701" spans="1:11">
      <c r="A1701" t="s">
        <v>108</v>
      </c>
      <c r="B1701" t="s">
        <v>1414</v>
      </c>
      <c r="C1701" t="s">
        <v>319</v>
      </c>
      <c r="D1701" t="s">
        <v>320</v>
      </c>
      <c r="E1701" s="8">
        <v>4720</v>
      </c>
      <c r="F1701" s="8">
        <v>92300</v>
      </c>
      <c r="G1701" s="8">
        <f t="shared" si="104"/>
        <v>435656000</v>
      </c>
      <c r="H1701" s="5">
        <v>0.2786</v>
      </c>
      <c r="I1701" s="8">
        <f t="shared" si="105"/>
        <v>435656000</v>
      </c>
      <c r="J1701" s="8">
        <f t="shared" si="106"/>
        <v>121373761.6</v>
      </c>
      <c r="K1701" t="str">
        <f t="shared" si="107"/>
        <v>MATCHED</v>
      </c>
    </row>
    <row r="1702" spans="1:11">
      <c r="A1702" t="s">
        <v>108</v>
      </c>
      <c r="B1702" t="s">
        <v>1414</v>
      </c>
      <c r="C1702" t="s">
        <v>626</v>
      </c>
      <c r="D1702" t="s">
        <v>627</v>
      </c>
      <c r="E1702" s="8">
        <v>720</v>
      </c>
      <c r="F1702" s="8">
        <v>66140</v>
      </c>
      <c r="G1702" s="8">
        <f t="shared" si="104"/>
        <v>47620800</v>
      </c>
      <c r="H1702" s="5">
        <v>0.2712</v>
      </c>
      <c r="I1702" s="8">
        <f t="shared" si="105"/>
        <v>47620800</v>
      </c>
      <c r="J1702" s="8">
        <f t="shared" si="106"/>
        <v>12914760.96</v>
      </c>
      <c r="K1702" t="str">
        <f t="shared" si="107"/>
        <v>MATCHED</v>
      </c>
    </row>
    <row r="1703" spans="1:11">
      <c r="A1703" t="s">
        <v>108</v>
      </c>
      <c r="B1703" t="s">
        <v>1414</v>
      </c>
      <c r="C1703" t="s">
        <v>1417</v>
      </c>
      <c r="D1703" t="s">
        <v>1418</v>
      </c>
      <c r="E1703" s="8"/>
      <c r="F1703" s="8">
        <v>63090</v>
      </c>
      <c r="G1703" s="8" t="str">
        <f t="shared" si="104"/>
        <v/>
      </c>
      <c r="H1703" s="5">
        <v>0.2206</v>
      </c>
      <c r="I1703" s="8" t="str">
        <f t="shared" si="105"/>
        <v/>
      </c>
      <c r="J1703" s="8" t="str">
        <f t="shared" si="106"/>
        <v/>
      </c>
      <c r="K1703" t="str">
        <f t="shared" si="107"/>
        <v>MISSING OEWS</v>
      </c>
    </row>
    <row r="1704" spans="1:11">
      <c r="A1704" t="s">
        <v>108</v>
      </c>
      <c r="B1704" t="s">
        <v>1414</v>
      </c>
      <c r="C1704" t="s">
        <v>1419</v>
      </c>
      <c r="D1704" t="s">
        <v>1420</v>
      </c>
      <c r="E1704" s="8">
        <v>1190</v>
      </c>
      <c r="F1704" s="8">
        <v>82270</v>
      </c>
      <c r="G1704" s="8">
        <f t="shared" si="104"/>
        <v>97901300</v>
      </c>
      <c r="H1704" s="5">
        <v>0.5875</v>
      </c>
      <c r="I1704" s="8">
        <f t="shared" si="105"/>
        <v>97901300</v>
      </c>
      <c r="J1704" s="8">
        <f t="shared" si="106"/>
        <v>57517013.75</v>
      </c>
      <c r="K1704" t="str">
        <f t="shared" si="107"/>
        <v>MATCHED</v>
      </c>
    </row>
    <row r="1705" spans="1:11">
      <c r="A1705" t="s">
        <v>108</v>
      </c>
      <c r="B1705" t="s">
        <v>1414</v>
      </c>
      <c r="C1705" t="s">
        <v>942</v>
      </c>
      <c r="D1705" t="s">
        <v>943</v>
      </c>
      <c r="E1705" s="8"/>
      <c r="F1705" s="8">
        <v>55510</v>
      </c>
      <c r="G1705" s="8" t="str">
        <f t="shared" si="104"/>
        <v/>
      </c>
      <c r="H1705" s="5"/>
      <c r="I1705" s="8" t="str">
        <f t="shared" si="105"/>
        <v/>
      </c>
      <c r="J1705" s="8" t="str">
        <f t="shared" si="106"/>
        <v/>
      </c>
      <c r="K1705" t="str">
        <f t="shared" si="107"/>
        <v>MISSING OEWS</v>
      </c>
    </row>
    <row r="1706" spans="1:11">
      <c r="A1706" t="s">
        <v>108</v>
      </c>
      <c r="B1706" t="s">
        <v>1414</v>
      </c>
      <c r="C1706" t="s">
        <v>628</v>
      </c>
      <c r="D1706" t="s">
        <v>629</v>
      </c>
      <c r="E1706" s="8">
        <v>5290</v>
      </c>
      <c r="F1706" s="8">
        <v>230950</v>
      </c>
      <c r="G1706" s="8">
        <f t="shared" si="104"/>
        <v>1221725500</v>
      </c>
      <c r="H1706" s="5">
        <v>0.45</v>
      </c>
      <c r="I1706" s="8">
        <f t="shared" si="105"/>
        <v>1221725500</v>
      </c>
      <c r="J1706" s="8">
        <f t="shared" si="106"/>
        <v>549776475</v>
      </c>
      <c r="K1706" t="str">
        <f t="shared" si="107"/>
        <v>MATCHED</v>
      </c>
    </row>
    <row r="1707" spans="1:11">
      <c r="A1707" t="s">
        <v>108</v>
      </c>
      <c r="B1707" t="s">
        <v>1414</v>
      </c>
      <c r="C1707" t="s">
        <v>1421</v>
      </c>
      <c r="D1707" t="s">
        <v>1422</v>
      </c>
      <c r="E1707" s="8">
        <v>240</v>
      </c>
      <c r="F1707" s="8">
        <v>59760</v>
      </c>
      <c r="G1707" s="8">
        <f t="shared" si="104"/>
        <v>14342400</v>
      </c>
      <c r="H1707" s="5">
        <v>0.4375</v>
      </c>
      <c r="I1707" s="8">
        <f t="shared" si="105"/>
        <v>14342400</v>
      </c>
      <c r="J1707" s="8">
        <f t="shared" si="106"/>
        <v>6274800</v>
      </c>
      <c r="K1707" t="str">
        <f t="shared" si="107"/>
        <v>MATCHED</v>
      </c>
    </row>
    <row r="1708" spans="1:11">
      <c r="A1708" t="s">
        <v>108</v>
      </c>
      <c r="B1708" t="s">
        <v>1414</v>
      </c>
      <c r="C1708" t="s">
        <v>630</v>
      </c>
      <c r="D1708" t="s">
        <v>631</v>
      </c>
      <c r="E1708" s="8">
        <v>710</v>
      </c>
      <c r="F1708" s="8">
        <v>97620</v>
      </c>
      <c r="G1708" s="8">
        <f t="shared" si="104"/>
        <v>69310200</v>
      </c>
      <c r="H1708" s="5">
        <v>0.5917</v>
      </c>
      <c r="I1708" s="8">
        <f t="shared" si="105"/>
        <v>69310200</v>
      </c>
      <c r="J1708" s="8">
        <f t="shared" si="106"/>
        <v>41010845.34</v>
      </c>
      <c r="K1708" t="str">
        <f t="shared" si="107"/>
        <v>MATCHED</v>
      </c>
    </row>
    <row r="1709" spans="1:11">
      <c r="A1709" t="s">
        <v>108</v>
      </c>
      <c r="B1709" t="s">
        <v>1414</v>
      </c>
      <c r="C1709" t="s">
        <v>632</v>
      </c>
      <c r="D1709" t="s">
        <v>633</v>
      </c>
      <c r="E1709" s="8">
        <v>530</v>
      </c>
      <c r="F1709" s="8">
        <v>48330</v>
      </c>
      <c r="G1709" s="8">
        <f t="shared" si="104"/>
        <v>25614900</v>
      </c>
      <c r="H1709" s="5">
        <v>0.8794</v>
      </c>
      <c r="I1709" s="8">
        <f t="shared" si="105"/>
        <v>25614900</v>
      </c>
      <c r="J1709" s="8">
        <f t="shared" si="106"/>
        <v>22525743.06</v>
      </c>
      <c r="K1709" t="str">
        <f t="shared" si="107"/>
        <v>MATCHED</v>
      </c>
    </row>
    <row r="1710" spans="1:11">
      <c r="A1710" t="s">
        <v>108</v>
      </c>
      <c r="B1710" t="s">
        <v>1414</v>
      </c>
      <c r="C1710" t="s">
        <v>634</v>
      </c>
      <c r="D1710" t="s">
        <v>635</v>
      </c>
      <c r="E1710" s="8">
        <v>190</v>
      </c>
      <c r="F1710" s="8">
        <v>80370</v>
      </c>
      <c r="G1710" s="8">
        <f t="shared" si="104"/>
        <v>15270300</v>
      </c>
      <c r="H1710" s="5"/>
      <c r="I1710" s="8" t="str">
        <f t="shared" si="105"/>
        <v/>
      </c>
      <c r="J1710" s="8" t="str">
        <f t="shared" si="106"/>
        <v/>
      </c>
      <c r="K1710" t="str">
        <f t="shared" si="107"/>
        <v>MISSING WHARTON</v>
      </c>
    </row>
    <row r="1711" spans="1:11">
      <c r="A1711" t="s">
        <v>108</v>
      </c>
      <c r="B1711" t="s">
        <v>1414</v>
      </c>
      <c r="C1711" t="s">
        <v>321</v>
      </c>
      <c r="D1711" t="s">
        <v>322</v>
      </c>
      <c r="E1711" s="8"/>
      <c r="F1711" s="8">
        <v>55590</v>
      </c>
      <c r="G1711" s="8" t="str">
        <f t="shared" si="104"/>
        <v/>
      </c>
      <c r="H1711" s="5">
        <v>0.33</v>
      </c>
      <c r="I1711" s="8" t="str">
        <f t="shared" si="105"/>
        <v/>
      </c>
      <c r="J1711" s="8" t="str">
        <f t="shared" si="106"/>
        <v/>
      </c>
      <c r="K1711" t="str">
        <f t="shared" si="107"/>
        <v>MISSING OEWS</v>
      </c>
    </row>
    <row r="1712" spans="1:11">
      <c r="A1712" t="s">
        <v>108</v>
      </c>
      <c r="B1712" t="s">
        <v>1414</v>
      </c>
      <c r="C1712" t="s">
        <v>1423</v>
      </c>
      <c r="D1712" t="s">
        <v>1424</v>
      </c>
      <c r="E1712" s="8"/>
      <c r="F1712" s="8">
        <v>46290</v>
      </c>
      <c r="G1712" s="8" t="str">
        <f t="shared" si="104"/>
        <v/>
      </c>
      <c r="H1712" s="5">
        <v>0.3974</v>
      </c>
      <c r="I1712" s="8" t="str">
        <f t="shared" si="105"/>
        <v/>
      </c>
      <c r="J1712" s="8" t="str">
        <f t="shared" si="106"/>
        <v/>
      </c>
      <c r="K1712" t="str">
        <f t="shared" si="107"/>
        <v>MISSING OEWS</v>
      </c>
    </row>
    <row r="1713" spans="1:11">
      <c r="A1713" t="s">
        <v>108</v>
      </c>
      <c r="B1713" t="s">
        <v>1414</v>
      </c>
      <c r="C1713" t="s">
        <v>1425</v>
      </c>
      <c r="D1713" t="s">
        <v>1426</v>
      </c>
      <c r="E1713" s="8">
        <v>30</v>
      </c>
      <c r="F1713" s="8">
        <v>101890</v>
      </c>
      <c r="G1713" s="8">
        <f t="shared" si="104"/>
        <v>3056700</v>
      </c>
      <c r="H1713" s="5">
        <v>0.2833</v>
      </c>
      <c r="I1713" s="8">
        <f t="shared" si="105"/>
        <v>3056700</v>
      </c>
      <c r="J1713" s="8">
        <f t="shared" si="106"/>
        <v>865963.11</v>
      </c>
      <c r="K1713" t="str">
        <f t="shared" si="107"/>
        <v>MATCHED</v>
      </c>
    </row>
    <row r="1714" spans="1:11">
      <c r="A1714" t="s">
        <v>108</v>
      </c>
      <c r="B1714" t="s">
        <v>1414</v>
      </c>
      <c r="C1714" t="s">
        <v>1184</v>
      </c>
      <c r="D1714" t="s">
        <v>1185</v>
      </c>
      <c r="E1714" s="8">
        <v>130</v>
      </c>
      <c r="F1714" s="8">
        <v>58080</v>
      </c>
      <c r="G1714" s="8">
        <f t="shared" si="104"/>
        <v>7550400</v>
      </c>
      <c r="H1714" s="5">
        <v>0.4167</v>
      </c>
      <c r="I1714" s="8">
        <f t="shared" si="105"/>
        <v>7550400</v>
      </c>
      <c r="J1714" s="8">
        <f t="shared" si="106"/>
        <v>3146251.68</v>
      </c>
      <c r="K1714" t="str">
        <f t="shared" si="107"/>
        <v>MATCHED</v>
      </c>
    </row>
    <row r="1715" spans="1:11">
      <c r="A1715" t="s">
        <v>108</v>
      </c>
      <c r="B1715" t="s">
        <v>1414</v>
      </c>
      <c r="C1715" t="s">
        <v>944</v>
      </c>
      <c r="D1715" t="s">
        <v>945</v>
      </c>
      <c r="E1715" s="8">
        <v>400</v>
      </c>
      <c r="F1715" s="8">
        <v>88340</v>
      </c>
      <c r="G1715" s="8">
        <f t="shared" si="104"/>
        <v>35336000</v>
      </c>
      <c r="H1715" s="5">
        <v>0.5783</v>
      </c>
      <c r="I1715" s="8">
        <f t="shared" si="105"/>
        <v>35336000</v>
      </c>
      <c r="J1715" s="8">
        <f t="shared" si="106"/>
        <v>20434808.8</v>
      </c>
      <c r="K1715" t="str">
        <f t="shared" si="107"/>
        <v>MATCHED</v>
      </c>
    </row>
    <row r="1716" spans="1:11">
      <c r="A1716" t="s">
        <v>108</v>
      </c>
      <c r="B1716" t="s">
        <v>1414</v>
      </c>
      <c r="C1716" t="s">
        <v>1427</v>
      </c>
      <c r="D1716" t="s">
        <v>1428</v>
      </c>
      <c r="E1716" s="8"/>
      <c r="F1716" s="8">
        <v>39950</v>
      </c>
      <c r="G1716" s="8" t="str">
        <f t="shared" si="104"/>
        <v/>
      </c>
      <c r="H1716" s="5"/>
      <c r="I1716" s="8" t="str">
        <f t="shared" si="105"/>
        <v/>
      </c>
      <c r="J1716" s="8" t="str">
        <f t="shared" si="106"/>
        <v/>
      </c>
      <c r="K1716" t="str">
        <f t="shared" si="107"/>
        <v>MISSING OEWS</v>
      </c>
    </row>
    <row r="1717" spans="1:11">
      <c r="A1717" t="s">
        <v>108</v>
      </c>
      <c r="B1717" t="s">
        <v>1414</v>
      </c>
      <c r="C1717" t="s">
        <v>946</v>
      </c>
      <c r="D1717" t="s">
        <v>947</v>
      </c>
      <c r="E1717" s="8">
        <v>2080</v>
      </c>
      <c r="F1717" s="8">
        <v>136110</v>
      </c>
      <c r="G1717" s="8">
        <f t="shared" si="104"/>
        <v>283108800</v>
      </c>
      <c r="H1717" s="5">
        <v>0.3688</v>
      </c>
      <c r="I1717" s="8">
        <f t="shared" si="105"/>
        <v>283108800</v>
      </c>
      <c r="J1717" s="8">
        <f t="shared" si="106"/>
        <v>104410525.44</v>
      </c>
      <c r="K1717" t="str">
        <f t="shared" si="107"/>
        <v>MATCHED</v>
      </c>
    </row>
    <row r="1718" spans="1:11">
      <c r="A1718" t="s">
        <v>108</v>
      </c>
      <c r="B1718" t="s">
        <v>1414</v>
      </c>
      <c r="C1718" t="s">
        <v>1186</v>
      </c>
      <c r="D1718" t="s">
        <v>1187</v>
      </c>
      <c r="E1718" s="8">
        <v>50</v>
      </c>
      <c r="F1718" s="8">
        <v>53020</v>
      </c>
      <c r="G1718" s="8">
        <f t="shared" si="104"/>
        <v>2651000</v>
      </c>
      <c r="H1718" s="5">
        <v>0.22</v>
      </c>
      <c r="I1718" s="8">
        <f t="shared" si="105"/>
        <v>2651000</v>
      </c>
      <c r="J1718" s="8">
        <f t="shared" si="106"/>
        <v>583220</v>
      </c>
      <c r="K1718" t="str">
        <f t="shared" si="107"/>
        <v>MATCHED</v>
      </c>
    </row>
    <row r="1719" spans="1:11">
      <c r="A1719" t="s">
        <v>108</v>
      </c>
      <c r="B1719" t="s">
        <v>1414</v>
      </c>
      <c r="C1719" t="s">
        <v>948</v>
      </c>
      <c r="D1719" t="s">
        <v>949</v>
      </c>
      <c r="E1719" s="8">
        <v>440</v>
      </c>
      <c r="F1719" s="8">
        <v>46490</v>
      </c>
      <c r="G1719" s="8">
        <f t="shared" si="104"/>
        <v>20455600</v>
      </c>
      <c r="H1719" s="5">
        <v>0.2281</v>
      </c>
      <c r="I1719" s="8">
        <f t="shared" si="105"/>
        <v>20455600</v>
      </c>
      <c r="J1719" s="8">
        <f t="shared" si="106"/>
        <v>4665922.36</v>
      </c>
      <c r="K1719" t="str">
        <f t="shared" si="107"/>
        <v>MATCHED</v>
      </c>
    </row>
    <row r="1720" spans="1:11">
      <c r="A1720" t="s">
        <v>108</v>
      </c>
      <c r="B1720" t="s">
        <v>1414</v>
      </c>
      <c r="C1720" t="s">
        <v>1188</v>
      </c>
      <c r="D1720" t="s">
        <v>1189</v>
      </c>
      <c r="E1720" s="8">
        <v>310</v>
      </c>
      <c r="F1720" s="8">
        <v>79300</v>
      </c>
      <c r="G1720" s="8">
        <f t="shared" si="104"/>
        <v>24583000</v>
      </c>
      <c r="H1720" s="5">
        <v>0.7071</v>
      </c>
      <c r="I1720" s="8">
        <f t="shared" si="105"/>
        <v>24583000</v>
      </c>
      <c r="J1720" s="8">
        <f t="shared" si="106"/>
        <v>17382639.3</v>
      </c>
      <c r="K1720" t="str">
        <f t="shared" si="107"/>
        <v>MATCHED</v>
      </c>
    </row>
    <row r="1721" spans="1:11">
      <c r="A1721" t="s">
        <v>108</v>
      </c>
      <c r="B1721" t="s">
        <v>1414</v>
      </c>
      <c r="C1721" t="s">
        <v>950</v>
      </c>
      <c r="D1721" t="s">
        <v>951</v>
      </c>
      <c r="E1721" s="8">
        <v>40</v>
      </c>
      <c r="F1721" s="8">
        <v>85970</v>
      </c>
      <c r="G1721" s="8">
        <f t="shared" si="104"/>
        <v>3438800</v>
      </c>
      <c r="H1721" s="5"/>
      <c r="I1721" s="8" t="str">
        <f t="shared" si="105"/>
        <v/>
      </c>
      <c r="J1721" s="8" t="str">
        <f t="shared" si="106"/>
        <v/>
      </c>
      <c r="K1721" t="str">
        <f t="shared" si="107"/>
        <v>MISSING WHARTON</v>
      </c>
    </row>
    <row r="1722" spans="1:11">
      <c r="A1722" t="s">
        <v>108</v>
      </c>
      <c r="B1722" t="s">
        <v>1414</v>
      </c>
      <c r="C1722" t="s">
        <v>952</v>
      </c>
      <c r="D1722" t="s">
        <v>953</v>
      </c>
      <c r="E1722" s="8">
        <v>4580</v>
      </c>
      <c r="F1722" s="8">
        <v>91470</v>
      </c>
      <c r="G1722" s="8">
        <f t="shared" si="104"/>
        <v>418932600</v>
      </c>
      <c r="H1722" s="5">
        <v>0.3029</v>
      </c>
      <c r="I1722" s="8">
        <f t="shared" si="105"/>
        <v>418932600</v>
      </c>
      <c r="J1722" s="8">
        <f t="shared" si="106"/>
        <v>126894684.54</v>
      </c>
      <c r="K1722" t="str">
        <f t="shared" si="107"/>
        <v>MATCHED</v>
      </c>
    </row>
    <row r="1723" spans="1:11">
      <c r="A1723" t="s">
        <v>108</v>
      </c>
      <c r="B1723" t="s">
        <v>1414</v>
      </c>
      <c r="C1723" t="s">
        <v>1190</v>
      </c>
      <c r="D1723" t="s">
        <v>1191</v>
      </c>
      <c r="E1723" s="8">
        <v>5510</v>
      </c>
      <c r="F1723" s="8">
        <v>107840</v>
      </c>
      <c r="G1723" s="8">
        <f t="shared" si="104"/>
        <v>594198400</v>
      </c>
      <c r="H1723" s="5">
        <v>0.1875</v>
      </c>
      <c r="I1723" s="8">
        <f t="shared" si="105"/>
        <v>594198400</v>
      </c>
      <c r="J1723" s="8">
        <f t="shared" si="106"/>
        <v>111412200</v>
      </c>
      <c r="K1723" t="str">
        <f t="shared" si="107"/>
        <v>MATCHED</v>
      </c>
    </row>
    <row r="1724" spans="1:11">
      <c r="A1724" t="s">
        <v>108</v>
      </c>
      <c r="B1724" t="s">
        <v>1414</v>
      </c>
      <c r="C1724" t="s">
        <v>1192</v>
      </c>
      <c r="D1724" t="s">
        <v>1193</v>
      </c>
      <c r="E1724" s="8">
        <v>1690</v>
      </c>
      <c r="F1724" s="8">
        <v>41810</v>
      </c>
      <c r="G1724" s="8">
        <f t="shared" si="104"/>
        <v>70658900</v>
      </c>
      <c r="H1724" s="5">
        <v>0.1188</v>
      </c>
      <c r="I1724" s="8">
        <f t="shared" si="105"/>
        <v>70658900</v>
      </c>
      <c r="J1724" s="8">
        <f t="shared" si="106"/>
        <v>8394277.32</v>
      </c>
      <c r="K1724" t="str">
        <f t="shared" si="107"/>
        <v>MATCHED</v>
      </c>
    </row>
    <row r="1725" spans="1:11">
      <c r="A1725" t="s">
        <v>108</v>
      </c>
      <c r="B1725" t="s">
        <v>1414</v>
      </c>
      <c r="C1725" t="s">
        <v>858</v>
      </c>
      <c r="D1725" t="s">
        <v>859</v>
      </c>
      <c r="E1725" s="8">
        <v>15330</v>
      </c>
      <c r="F1725" s="8">
        <v>67380</v>
      </c>
      <c r="G1725" s="8">
        <f t="shared" si="104"/>
        <v>1032935400</v>
      </c>
      <c r="H1725" s="5">
        <v>0.7375</v>
      </c>
      <c r="I1725" s="8">
        <f t="shared" si="105"/>
        <v>1032935400</v>
      </c>
      <c r="J1725" s="8">
        <f t="shared" si="106"/>
        <v>761789857.5</v>
      </c>
      <c r="K1725" t="str">
        <f t="shared" si="107"/>
        <v>MATCHED</v>
      </c>
    </row>
    <row r="1726" spans="1:11">
      <c r="A1726" t="s">
        <v>108</v>
      </c>
      <c r="B1726" t="s">
        <v>1414</v>
      </c>
      <c r="C1726" t="s">
        <v>954</v>
      </c>
      <c r="D1726" t="s">
        <v>955</v>
      </c>
      <c r="E1726" s="8">
        <v>3100</v>
      </c>
      <c r="F1726" s="8">
        <v>75650</v>
      </c>
      <c r="G1726" s="8">
        <f t="shared" si="104"/>
        <v>234515000</v>
      </c>
      <c r="H1726" s="5">
        <v>0.3133</v>
      </c>
      <c r="I1726" s="8">
        <f t="shared" si="105"/>
        <v>234515000</v>
      </c>
      <c r="J1726" s="8">
        <f t="shared" si="106"/>
        <v>73473549.5</v>
      </c>
      <c r="K1726" t="str">
        <f t="shared" si="107"/>
        <v>MATCHED</v>
      </c>
    </row>
    <row r="1727" spans="1:11">
      <c r="A1727" t="s">
        <v>108</v>
      </c>
      <c r="B1727" t="s">
        <v>1414</v>
      </c>
      <c r="C1727" t="s">
        <v>956</v>
      </c>
      <c r="D1727" t="s">
        <v>957</v>
      </c>
      <c r="E1727" s="8">
        <v>56770</v>
      </c>
      <c r="F1727" s="8">
        <v>43900</v>
      </c>
      <c r="G1727" s="8">
        <f t="shared" si="104"/>
        <v>2492203000</v>
      </c>
      <c r="H1727" s="5">
        <v>0.038</v>
      </c>
      <c r="I1727" s="8">
        <f t="shared" si="105"/>
        <v>2492203000</v>
      </c>
      <c r="J1727" s="8">
        <f t="shared" si="106"/>
        <v>94703714</v>
      </c>
      <c r="K1727" t="str">
        <f t="shared" si="107"/>
        <v>MATCHED</v>
      </c>
    </row>
    <row r="1728" spans="1:11">
      <c r="A1728" t="s">
        <v>108</v>
      </c>
      <c r="B1728" t="s">
        <v>1414</v>
      </c>
      <c r="C1728" t="s">
        <v>958</v>
      </c>
      <c r="D1728" t="s">
        <v>959</v>
      </c>
      <c r="E1728" s="8">
        <v>960</v>
      </c>
      <c r="F1728" s="8">
        <v>85940</v>
      </c>
      <c r="G1728" s="8">
        <f t="shared" si="104"/>
        <v>82502400</v>
      </c>
      <c r="H1728" s="5"/>
      <c r="I1728" s="8" t="str">
        <f t="shared" si="105"/>
        <v/>
      </c>
      <c r="J1728" s="8" t="str">
        <f t="shared" si="106"/>
        <v/>
      </c>
      <c r="K1728" t="str">
        <f t="shared" si="107"/>
        <v>MISSING WHARTON</v>
      </c>
    </row>
    <row r="1729" spans="1:11">
      <c r="A1729" t="s">
        <v>108</v>
      </c>
      <c r="B1729" t="s">
        <v>1414</v>
      </c>
      <c r="C1729" t="s">
        <v>960</v>
      </c>
      <c r="D1729" t="s">
        <v>961</v>
      </c>
      <c r="E1729" s="8">
        <v>530</v>
      </c>
      <c r="F1729" s="8">
        <v>115500</v>
      </c>
      <c r="G1729" s="8">
        <f t="shared" si="104"/>
        <v>61215000</v>
      </c>
      <c r="H1729" s="5">
        <v>0.3463</v>
      </c>
      <c r="I1729" s="8">
        <f t="shared" si="105"/>
        <v>61215000</v>
      </c>
      <c r="J1729" s="8">
        <f t="shared" si="106"/>
        <v>21198754.5</v>
      </c>
      <c r="K1729" t="str">
        <f t="shared" si="107"/>
        <v>MATCHED</v>
      </c>
    </row>
    <row r="1730" spans="1:11">
      <c r="A1730" t="s">
        <v>108</v>
      </c>
      <c r="B1730" t="s">
        <v>1414</v>
      </c>
      <c r="C1730" t="s">
        <v>323</v>
      </c>
      <c r="D1730" t="s">
        <v>324</v>
      </c>
      <c r="E1730" s="8">
        <v>5580</v>
      </c>
      <c r="F1730" s="8">
        <v>96310</v>
      </c>
      <c r="G1730" s="8">
        <f t="shared" ref="G1730:G1793" si="108">IF(OR(E1730="",F1730=""),"",E1730*F1730)</f>
        <v>537409800</v>
      </c>
      <c r="H1730" s="5">
        <v>0.575</v>
      </c>
      <c r="I1730" s="8">
        <f t="shared" ref="I1730:I1793" si="109">IF(G1730="","",IF(ISNUMBER(H1730),G1730,""))</f>
        <v>537409800</v>
      </c>
      <c r="J1730" s="8">
        <f t="shared" ref="J1730:J1793" si="110">IF(I1730="","",I1730*H1730)</f>
        <v>309010635</v>
      </c>
      <c r="K1730" t="str">
        <f t="shared" ref="K1730:K1793" si="111">IF(G1730="","MISSING OEWS",IF(ISNUMBER(H1730),"MATCHED","MISSING WHARTON"))</f>
        <v>MATCHED</v>
      </c>
    </row>
    <row r="1731" spans="1:11">
      <c r="A1731" t="s">
        <v>108</v>
      </c>
      <c r="B1731" t="s">
        <v>1414</v>
      </c>
      <c r="C1731" t="s">
        <v>1200</v>
      </c>
      <c r="D1731" t="s">
        <v>1201</v>
      </c>
      <c r="E1731" s="8">
        <v>970</v>
      </c>
      <c r="F1731" s="8">
        <v>83370</v>
      </c>
      <c r="G1731" s="8">
        <f t="shared" si="108"/>
        <v>80868900</v>
      </c>
      <c r="H1731" s="5">
        <v>0.6643</v>
      </c>
      <c r="I1731" s="8">
        <f t="shared" si="109"/>
        <v>80868900</v>
      </c>
      <c r="J1731" s="8">
        <f t="shared" si="110"/>
        <v>53721210.27</v>
      </c>
      <c r="K1731" t="str">
        <f t="shared" si="111"/>
        <v>MATCHED</v>
      </c>
    </row>
    <row r="1732" spans="1:11">
      <c r="A1732" t="s">
        <v>108</v>
      </c>
      <c r="B1732" t="s">
        <v>1414</v>
      </c>
      <c r="C1732" t="s">
        <v>636</v>
      </c>
      <c r="D1732" t="s">
        <v>637</v>
      </c>
      <c r="E1732" s="8">
        <v>1950</v>
      </c>
      <c r="F1732" s="8">
        <v>99300</v>
      </c>
      <c r="G1732" s="8">
        <f t="shared" si="108"/>
        <v>193635000</v>
      </c>
      <c r="H1732" s="5">
        <v>0.71</v>
      </c>
      <c r="I1732" s="8">
        <f t="shared" si="109"/>
        <v>193635000</v>
      </c>
      <c r="J1732" s="8">
        <f t="shared" si="110"/>
        <v>137480850</v>
      </c>
      <c r="K1732" t="str">
        <f t="shared" si="111"/>
        <v>MATCHED</v>
      </c>
    </row>
    <row r="1733" spans="1:11">
      <c r="A1733" t="s">
        <v>108</v>
      </c>
      <c r="B1733" t="s">
        <v>1414</v>
      </c>
      <c r="C1733" t="s">
        <v>860</v>
      </c>
      <c r="D1733" t="s">
        <v>861</v>
      </c>
      <c r="E1733" s="8">
        <v>1250</v>
      </c>
      <c r="F1733" s="8">
        <v>82400</v>
      </c>
      <c r="G1733" s="8">
        <f t="shared" si="108"/>
        <v>103000000</v>
      </c>
      <c r="H1733" s="5">
        <v>0.7744</v>
      </c>
      <c r="I1733" s="8">
        <f t="shared" si="109"/>
        <v>103000000</v>
      </c>
      <c r="J1733" s="8">
        <f t="shared" si="110"/>
        <v>79763200</v>
      </c>
      <c r="K1733" t="str">
        <f t="shared" si="111"/>
        <v>MATCHED</v>
      </c>
    </row>
    <row r="1734" spans="1:11">
      <c r="A1734" t="s">
        <v>108</v>
      </c>
      <c r="B1734" t="s">
        <v>1414</v>
      </c>
      <c r="C1734" t="s">
        <v>1204</v>
      </c>
      <c r="D1734" t="s">
        <v>1205</v>
      </c>
      <c r="E1734" s="8">
        <v>60</v>
      </c>
      <c r="F1734" s="8">
        <v>61560</v>
      </c>
      <c r="G1734" s="8">
        <f t="shared" si="108"/>
        <v>3693600</v>
      </c>
      <c r="H1734" s="5"/>
      <c r="I1734" s="8" t="str">
        <f t="shared" si="109"/>
        <v/>
      </c>
      <c r="J1734" s="8" t="str">
        <f t="shared" si="110"/>
        <v/>
      </c>
      <c r="K1734" t="str">
        <f t="shared" si="111"/>
        <v>MISSING WHARTON</v>
      </c>
    </row>
    <row r="1735" spans="1:11">
      <c r="A1735" t="s">
        <v>108</v>
      </c>
      <c r="B1735" t="s">
        <v>1414</v>
      </c>
      <c r="C1735" t="s">
        <v>962</v>
      </c>
      <c r="D1735" t="s">
        <v>963</v>
      </c>
      <c r="E1735" s="8">
        <v>630</v>
      </c>
      <c r="F1735" s="8">
        <v>62340</v>
      </c>
      <c r="G1735" s="8">
        <f t="shared" si="108"/>
        <v>39274200</v>
      </c>
      <c r="H1735" s="5">
        <v>0.5483</v>
      </c>
      <c r="I1735" s="8">
        <f t="shared" si="109"/>
        <v>39274200</v>
      </c>
      <c r="J1735" s="8">
        <f t="shared" si="110"/>
        <v>21534043.86</v>
      </c>
      <c r="K1735" t="str">
        <f t="shared" si="111"/>
        <v>MATCHED</v>
      </c>
    </row>
    <row r="1736" spans="1:11">
      <c r="A1736" t="s">
        <v>108</v>
      </c>
      <c r="B1736" t="s">
        <v>1414</v>
      </c>
      <c r="C1736" t="s">
        <v>1429</v>
      </c>
      <c r="D1736" t="s">
        <v>1430</v>
      </c>
      <c r="E1736" s="8">
        <v>50</v>
      </c>
      <c r="F1736" s="8">
        <v>75930</v>
      </c>
      <c r="G1736" s="8">
        <f t="shared" si="108"/>
        <v>3796500</v>
      </c>
      <c r="H1736" s="5">
        <v>0.6138</v>
      </c>
      <c r="I1736" s="8">
        <f t="shared" si="109"/>
        <v>3796500</v>
      </c>
      <c r="J1736" s="8">
        <f t="shared" si="110"/>
        <v>2330291.7</v>
      </c>
      <c r="K1736" t="str">
        <f t="shared" si="111"/>
        <v>MATCHED</v>
      </c>
    </row>
    <row r="1737" spans="1:11">
      <c r="A1737" t="s">
        <v>108</v>
      </c>
      <c r="B1737" t="s">
        <v>1414</v>
      </c>
      <c r="C1737" t="s">
        <v>964</v>
      </c>
      <c r="D1737" t="s">
        <v>965</v>
      </c>
      <c r="E1737" s="8">
        <v>90</v>
      </c>
      <c r="F1737" s="8">
        <v>71600</v>
      </c>
      <c r="G1737" s="8">
        <f t="shared" si="108"/>
        <v>6444000</v>
      </c>
      <c r="H1737" s="5">
        <v>0.5607</v>
      </c>
      <c r="I1737" s="8">
        <f t="shared" si="109"/>
        <v>6444000</v>
      </c>
      <c r="J1737" s="8">
        <f t="shared" si="110"/>
        <v>3613150.8</v>
      </c>
      <c r="K1737" t="str">
        <f t="shared" si="111"/>
        <v>MATCHED</v>
      </c>
    </row>
    <row r="1738" spans="1:11">
      <c r="A1738" t="s">
        <v>108</v>
      </c>
      <c r="B1738" t="s">
        <v>1414</v>
      </c>
      <c r="C1738" t="s">
        <v>966</v>
      </c>
      <c r="D1738" t="s">
        <v>967</v>
      </c>
      <c r="E1738" s="8">
        <v>110</v>
      </c>
      <c r="F1738" s="8">
        <v>67000</v>
      </c>
      <c r="G1738" s="8">
        <f t="shared" si="108"/>
        <v>7370000</v>
      </c>
      <c r="H1738" s="5">
        <v>0.0594</v>
      </c>
      <c r="I1738" s="8">
        <f t="shared" si="109"/>
        <v>7370000</v>
      </c>
      <c r="J1738" s="8">
        <f t="shared" si="110"/>
        <v>437778</v>
      </c>
      <c r="K1738" t="str">
        <f t="shared" si="111"/>
        <v>MATCHED</v>
      </c>
    </row>
    <row r="1739" spans="1:11">
      <c r="A1739" t="s">
        <v>108</v>
      </c>
      <c r="B1739" t="s">
        <v>1414</v>
      </c>
      <c r="C1739" t="s">
        <v>968</v>
      </c>
      <c r="D1739" t="s">
        <v>969</v>
      </c>
      <c r="E1739" s="8">
        <v>1520</v>
      </c>
      <c r="F1739" s="8">
        <v>58160</v>
      </c>
      <c r="G1739" s="8">
        <f t="shared" si="108"/>
        <v>88403200</v>
      </c>
      <c r="H1739" s="5">
        <v>0.3207</v>
      </c>
      <c r="I1739" s="8">
        <f t="shared" si="109"/>
        <v>88403200</v>
      </c>
      <c r="J1739" s="8">
        <f t="shared" si="110"/>
        <v>28350906.24</v>
      </c>
      <c r="K1739" t="str">
        <f t="shared" si="111"/>
        <v>MATCHED</v>
      </c>
    </row>
    <row r="1740" spans="1:11">
      <c r="A1740" t="s">
        <v>108</v>
      </c>
      <c r="B1740" t="s">
        <v>1414</v>
      </c>
      <c r="C1740" t="s">
        <v>970</v>
      </c>
      <c r="D1740" t="s">
        <v>971</v>
      </c>
      <c r="E1740" s="8">
        <v>270</v>
      </c>
      <c r="F1740" s="8">
        <v>74500</v>
      </c>
      <c r="G1740" s="8">
        <f t="shared" si="108"/>
        <v>20115000</v>
      </c>
      <c r="H1740" s="5">
        <v>0.3458</v>
      </c>
      <c r="I1740" s="8">
        <f t="shared" si="109"/>
        <v>20115000</v>
      </c>
      <c r="J1740" s="8">
        <f t="shared" si="110"/>
        <v>6955767</v>
      </c>
      <c r="K1740" t="str">
        <f t="shared" si="111"/>
        <v>MATCHED</v>
      </c>
    </row>
    <row r="1741" spans="1:11">
      <c r="A1741" t="s">
        <v>108</v>
      </c>
      <c r="B1741" t="s">
        <v>1414</v>
      </c>
      <c r="C1741" t="s">
        <v>1206</v>
      </c>
      <c r="D1741" t="s">
        <v>1207</v>
      </c>
      <c r="E1741" s="8">
        <v>450</v>
      </c>
      <c r="F1741" s="8">
        <v>78430</v>
      </c>
      <c r="G1741" s="8">
        <f t="shared" si="108"/>
        <v>35293500</v>
      </c>
      <c r="H1741" s="5">
        <v>0.6065</v>
      </c>
      <c r="I1741" s="8">
        <f t="shared" si="109"/>
        <v>35293500</v>
      </c>
      <c r="J1741" s="8">
        <f t="shared" si="110"/>
        <v>21405507.75</v>
      </c>
      <c r="K1741" t="str">
        <f t="shared" si="111"/>
        <v>MATCHED</v>
      </c>
    </row>
    <row r="1742" spans="1:11">
      <c r="A1742" t="s">
        <v>108</v>
      </c>
      <c r="B1742" t="s">
        <v>1414</v>
      </c>
      <c r="C1742" t="s">
        <v>1212</v>
      </c>
      <c r="D1742" t="s">
        <v>1213</v>
      </c>
      <c r="E1742" s="8">
        <v>90</v>
      </c>
      <c r="F1742" s="8">
        <v>83340</v>
      </c>
      <c r="G1742" s="8">
        <f t="shared" si="108"/>
        <v>7500600</v>
      </c>
      <c r="H1742" s="5">
        <v>0.4679</v>
      </c>
      <c r="I1742" s="8">
        <f t="shared" si="109"/>
        <v>7500600</v>
      </c>
      <c r="J1742" s="8">
        <f t="shared" si="110"/>
        <v>3509530.74</v>
      </c>
      <c r="K1742" t="str">
        <f t="shared" si="111"/>
        <v>MATCHED</v>
      </c>
    </row>
    <row r="1743" spans="1:11">
      <c r="A1743" t="s">
        <v>108</v>
      </c>
      <c r="B1743" t="s">
        <v>1414</v>
      </c>
      <c r="C1743" t="s">
        <v>1214</v>
      </c>
      <c r="D1743" t="s">
        <v>1215</v>
      </c>
      <c r="E1743" s="8">
        <v>6510</v>
      </c>
      <c r="F1743" s="8">
        <v>139370</v>
      </c>
      <c r="G1743" s="8">
        <f t="shared" si="108"/>
        <v>907298700</v>
      </c>
      <c r="H1743" s="5">
        <v>0.4381</v>
      </c>
      <c r="I1743" s="8">
        <f t="shared" si="109"/>
        <v>907298700</v>
      </c>
      <c r="J1743" s="8">
        <f t="shared" si="110"/>
        <v>397487560.47</v>
      </c>
      <c r="K1743" t="str">
        <f t="shared" si="111"/>
        <v>MATCHED</v>
      </c>
    </row>
    <row r="1744" spans="1:11">
      <c r="A1744" t="s">
        <v>108</v>
      </c>
      <c r="B1744" t="s">
        <v>1414</v>
      </c>
      <c r="C1744" t="s">
        <v>1431</v>
      </c>
      <c r="D1744" t="s">
        <v>1432</v>
      </c>
      <c r="E1744" s="8"/>
      <c r="F1744" s="8">
        <v>129840</v>
      </c>
      <c r="G1744" s="8" t="str">
        <f t="shared" si="108"/>
        <v/>
      </c>
      <c r="H1744" s="5">
        <v>0.3227</v>
      </c>
      <c r="I1744" s="8" t="str">
        <f t="shared" si="109"/>
        <v/>
      </c>
      <c r="J1744" s="8" t="str">
        <f t="shared" si="110"/>
        <v/>
      </c>
      <c r="K1744" t="str">
        <f t="shared" si="111"/>
        <v>MISSING OEWS</v>
      </c>
    </row>
    <row r="1745" spans="1:11">
      <c r="A1745" t="s">
        <v>108</v>
      </c>
      <c r="B1745" t="s">
        <v>1414</v>
      </c>
      <c r="C1745" t="s">
        <v>1433</v>
      </c>
      <c r="D1745" t="s">
        <v>1434</v>
      </c>
      <c r="E1745" s="8">
        <v>1930</v>
      </c>
      <c r="F1745" s="8">
        <v>74960</v>
      </c>
      <c r="G1745" s="8">
        <f t="shared" si="108"/>
        <v>144672800</v>
      </c>
      <c r="H1745" s="5">
        <v>0.0864</v>
      </c>
      <c r="I1745" s="8">
        <f t="shared" si="109"/>
        <v>144672800</v>
      </c>
      <c r="J1745" s="8">
        <f t="shared" si="110"/>
        <v>12499729.92</v>
      </c>
      <c r="K1745" t="str">
        <f t="shared" si="111"/>
        <v>MATCHED</v>
      </c>
    </row>
    <row r="1746" spans="1:11">
      <c r="A1746" t="s">
        <v>108</v>
      </c>
      <c r="B1746" t="s">
        <v>1414</v>
      </c>
      <c r="C1746" t="s">
        <v>325</v>
      </c>
      <c r="D1746" t="s">
        <v>326</v>
      </c>
      <c r="E1746" s="8">
        <v>490</v>
      </c>
      <c r="F1746" s="8">
        <v>141840</v>
      </c>
      <c r="G1746" s="8">
        <f t="shared" si="108"/>
        <v>69501600</v>
      </c>
      <c r="H1746" s="5">
        <v>0.163</v>
      </c>
      <c r="I1746" s="8">
        <f t="shared" si="109"/>
        <v>69501600</v>
      </c>
      <c r="J1746" s="8">
        <f t="shared" si="110"/>
        <v>11328760.8</v>
      </c>
      <c r="K1746" t="str">
        <f t="shared" si="111"/>
        <v>MATCHED</v>
      </c>
    </row>
    <row r="1747" spans="1:11">
      <c r="A1747" t="s">
        <v>108</v>
      </c>
      <c r="B1747" t="s">
        <v>1414</v>
      </c>
      <c r="C1747" t="s">
        <v>862</v>
      </c>
      <c r="D1747" t="s">
        <v>863</v>
      </c>
      <c r="E1747" s="8">
        <v>1560</v>
      </c>
      <c r="F1747" s="8">
        <v>98900</v>
      </c>
      <c r="G1747" s="8">
        <f t="shared" si="108"/>
        <v>154284000</v>
      </c>
      <c r="H1747" s="5">
        <v>0.1958</v>
      </c>
      <c r="I1747" s="8">
        <f t="shared" si="109"/>
        <v>154284000</v>
      </c>
      <c r="J1747" s="8">
        <f t="shared" si="110"/>
        <v>30208807.2</v>
      </c>
      <c r="K1747" t="str">
        <f t="shared" si="111"/>
        <v>MATCHED</v>
      </c>
    </row>
    <row r="1748" spans="1:11">
      <c r="A1748" t="s">
        <v>108</v>
      </c>
      <c r="B1748" t="s">
        <v>1414</v>
      </c>
      <c r="C1748" t="s">
        <v>1218</v>
      </c>
      <c r="D1748" t="s">
        <v>1219</v>
      </c>
      <c r="E1748" s="8">
        <v>110</v>
      </c>
      <c r="F1748" s="8">
        <v>99040</v>
      </c>
      <c r="G1748" s="8">
        <f t="shared" si="108"/>
        <v>10894400</v>
      </c>
      <c r="H1748" s="5">
        <v>0.313</v>
      </c>
      <c r="I1748" s="8">
        <f t="shared" si="109"/>
        <v>10894400</v>
      </c>
      <c r="J1748" s="8">
        <f t="shared" si="110"/>
        <v>3409947.2</v>
      </c>
      <c r="K1748" t="str">
        <f t="shared" si="111"/>
        <v>MATCHED</v>
      </c>
    </row>
    <row r="1749" spans="1:11">
      <c r="A1749" t="s">
        <v>108</v>
      </c>
      <c r="B1749" t="s">
        <v>1414</v>
      </c>
      <c r="C1749" t="s">
        <v>1435</v>
      </c>
      <c r="D1749" t="s">
        <v>1436</v>
      </c>
      <c r="E1749" s="8"/>
      <c r="F1749" s="8">
        <v>98650</v>
      </c>
      <c r="G1749" s="8" t="str">
        <f t="shared" si="108"/>
        <v/>
      </c>
      <c r="H1749" s="5">
        <v>0.2568</v>
      </c>
      <c r="I1749" s="8" t="str">
        <f t="shared" si="109"/>
        <v/>
      </c>
      <c r="J1749" s="8" t="str">
        <f t="shared" si="110"/>
        <v/>
      </c>
      <c r="K1749" t="str">
        <f t="shared" si="111"/>
        <v>MISSING OEWS</v>
      </c>
    </row>
    <row r="1750" spans="1:11">
      <c r="A1750" t="s">
        <v>108</v>
      </c>
      <c r="B1750" t="s">
        <v>1414</v>
      </c>
      <c r="C1750" t="s">
        <v>1437</v>
      </c>
      <c r="D1750" t="s">
        <v>1438</v>
      </c>
      <c r="E1750" s="8">
        <v>40</v>
      </c>
      <c r="F1750" s="8"/>
      <c r="G1750" s="8" t="str">
        <f t="shared" si="108"/>
        <v/>
      </c>
      <c r="H1750" s="5">
        <v>0.2625</v>
      </c>
      <c r="I1750" s="8" t="str">
        <f t="shared" si="109"/>
        <v/>
      </c>
      <c r="J1750" s="8" t="str">
        <f t="shared" si="110"/>
        <v/>
      </c>
      <c r="K1750" t="str">
        <f t="shared" si="111"/>
        <v>MISSING OEWS</v>
      </c>
    </row>
    <row r="1751" spans="1:11">
      <c r="A1751" t="s">
        <v>108</v>
      </c>
      <c r="B1751" t="s">
        <v>1414</v>
      </c>
      <c r="C1751" t="s">
        <v>1439</v>
      </c>
      <c r="D1751" t="s">
        <v>1440</v>
      </c>
      <c r="E1751" s="8">
        <v>40</v>
      </c>
      <c r="F1751" s="8">
        <v>321970</v>
      </c>
      <c r="G1751" s="8">
        <f t="shared" si="108"/>
        <v>12878800</v>
      </c>
      <c r="H1751" s="5">
        <v>0.2711</v>
      </c>
      <c r="I1751" s="8">
        <f t="shared" si="109"/>
        <v>12878800</v>
      </c>
      <c r="J1751" s="8">
        <f t="shared" si="110"/>
        <v>3491442.68</v>
      </c>
      <c r="K1751" t="str">
        <f t="shared" si="111"/>
        <v>MATCHED</v>
      </c>
    </row>
    <row r="1752" spans="1:11">
      <c r="A1752" t="s">
        <v>108</v>
      </c>
      <c r="B1752" t="s">
        <v>1414</v>
      </c>
      <c r="C1752" t="s">
        <v>1220</v>
      </c>
      <c r="D1752" t="s">
        <v>1221</v>
      </c>
      <c r="E1752" s="8">
        <v>230</v>
      </c>
      <c r="F1752" s="8">
        <v>234510</v>
      </c>
      <c r="G1752" s="8">
        <f t="shared" si="108"/>
        <v>53937300</v>
      </c>
      <c r="H1752" s="5">
        <v>0.2008</v>
      </c>
      <c r="I1752" s="8">
        <f t="shared" si="109"/>
        <v>53937300</v>
      </c>
      <c r="J1752" s="8">
        <f t="shared" si="110"/>
        <v>10830609.84</v>
      </c>
      <c r="K1752" t="str">
        <f t="shared" si="111"/>
        <v>MATCHED</v>
      </c>
    </row>
    <row r="1753" spans="1:11">
      <c r="A1753" t="s">
        <v>108</v>
      </c>
      <c r="B1753" t="s">
        <v>1414</v>
      </c>
      <c r="C1753" t="s">
        <v>1224</v>
      </c>
      <c r="D1753" t="s">
        <v>1225</v>
      </c>
      <c r="E1753" s="8">
        <v>310</v>
      </c>
      <c r="F1753" s="8">
        <v>89410</v>
      </c>
      <c r="G1753" s="8">
        <f t="shared" si="108"/>
        <v>27717100</v>
      </c>
      <c r="H1753" s="5">
        <v>0.1612</v>
      </c>
      <c r="I1753" s="8">
        <f t="shared" si="109"/>
        <v>27717100</v>
      </c>
      <c r="J1753" s="8">
        <f t="shared" si="110"/>
        <v>4467996.52</v>
      </c>
      <c r="K1753" t="str">
        <f t="shared" si="111"/>
        <v>MATCHED</v>
      </c>
    </row>
    <row r="1754" spans="1:11">
      <c r="A1754" t="s">
        <v>108</v>
      </c>
      <c r="B1754" t="s">
        <v>1414</v>
      </c>
      <c r="C1754" t="s">
        <v>1441</v>
      </c>
      <c r="D1754" t="s">
        <v>1442</v>
      </c>
      <c r="E1754" s="8">
        <v>170</v>
      </c>
      <c r="F1754" s="8">
        <v>84860</v>
      </c>
      <c r="G1754" s="8">
        <f t="shared" si="108"/>
        <v>14426200</v>
      </c>
      <c r="H1754" s="5">
        <v>0.304</v>
      </c>
      <c r="I1754" s="8">
        <f t="shared" si="109"/>
        <v>14426200</v>
      </c>
      <c r="J1754" s="8">
        <f t="shared" si="110"/>
        <v>4385564.8</v>
      </c>
      <c r="K1754" t="str">
        <f t="shared" si="111"/>
        <v>MATCHED</v>
      </c>
    </row>
    <row r="1755" spans="1:11">
      <c r="A1755" t="s">
        <v>108</v>
      </c>
      <c r="B1755" t="s">
        <v>1414</v>
      </c>
      <c r="C1755" t="s">
        <v>1226</v>
      </c>
      <c r="D1755" t="s">
        <v>1227</v>
      </c>
      <c r="E1755" s="8"/>
      <c r="F1755" s="8">
        <v>96470</v>
      </c>
      <c r="G1755" s="8" t="str">
        <f t="shared" si="108"/>
        <v/>
      </c>
      <c r="H1755" s="5">
        <v>0.315</v>
      </c>
      <c r="I1755" s="8" t="str">
        <f t="shared" si="109"/>
        <v/>
      </c>
      <c r="J1755" s="8" t="str">
        <f t="shared" si="110"/>
        <v/>
      </c>
      <c r="K1755" t="str">
        <f t="shared" si="111"/>
        <v>MISSING OEWS</v>
      </c>
    </row>
    <row r="1756" spans="1:11">
      <c r="A1756" t="s">
        <v>108</v>
      </c>
      <c r="B1756" t="s">
        <v>1414</v>
      </c>
      <c r="C1756" t="s">
        <v>1228</v>
      </c>
      <c r="D1756" t="s">
        <v>1229</v>
      </c>
      <c r="E1756" s="8">
        <v>9080</v>
      </c>
      <c r="F1756" s="8">
        <v>46640</v>
      </c>
      <c r="G1756" s="8">
        <f t="shared" si="108"/>
        <v>423491200</v>
      </c>
      <c r="H1756" s="5">
        <v>0.6357</v>
      </c>
      <c r="I1756" s="8">
        <f t="shared" si="109"/>
        <v>423491200</v>
      </c>
      <c r="J1756" s="8">
        <f t="shared" si="110"/>
        <v>269213355.84</v>
      </c>
      <c r="K1756" t="str">
        <f t="shared" si="111"/>
        <v>MATCHED</v>
      </c>
    </row>
    <row r="1757" spans="1:11">
      <c r="A1757" t="s">
        <v>108</v>
      </c>
      <c r="B1757" t="s">
        <v>1414</v>
      </c>
      <c r="C1757" t="s">
        <v>327</v>
      </c>
      <c r="D1757" t="s">
        <v>328</v>
      </c>
      <c r="E1757" s="8"/>
      <c r="F1757" s="8">
        <v>77200</v>
      </c>
      <c r="G1757" s="8" t="str">
        <f t="shared" si="108"/>
        <v/>
      </c>
      <c r="H1757" s="5">
        <v>0.2065</v>
      </c>
      <c r="I1757" s="8" t="str">
        <f t="shared" si="109"/>
        <v/>
      </c>
      <c r="J1757" s="8" t="str">
        <f t="shared" si="110"/>
        <v/>
      </c>
      <c r="K1757" t="str">
        <f t="shared" si="111"/>
        <v>MISSING OEWS</v>
      </c>
    </row>
    <row r="1758" spans="1:11">
      <c r="A1758" t="s">
        <v>108</v>
      </c>
      <c r="B1758" t="s">
        <v>1414</v>
      </c>
      <c r="C1758" t="s">
        <v>1230</v>
      </c>
      <c r="D1758" t="s">
        <v>1231</v>
      </c>
      <c r="E1758" s="8">
        <v>150</v>
      </c>
      <c r="F1758" s="8">
        <v>52030</v>
      </c>
      <c r="G1758" s="8">
        <f t="shared" si="108"/>
        <v>7804500</v>
      </c>
      <c r="H1758" s="5">
        <v>0.1239</v>
      </c>
      <c r="I1758" s="8">
        <f t="shared" si="109"/>
        <v>7804500</v>
      </c>
      <c r="J1758" s="8">
        <f t="shared" si="110"/>
        <v>966977.55</v>
      </c>
      <c r="K1758" t="str">
        <f t="shared" si="111"/>
        <v>MATCHED</v>
      </c>
    </row>
    <row r="1759" spans="1:11">
      <c r="A1759" t="s">
        <v>108</v>
      </c>
      <c r="B1759" t="s">
        <v>1414</v>
      </c>
      <c r="C1759" t="s">
        <v>1232</v>
      </c>
      <c r="D1759" t="s">
        <v>1233</v>
      </c>
      <c r="E1759" s="8">
        <v>780</v>
      </c>
      <c r="F1759" s="8">
        <v>51400</v>
      </c>
      <c r="G1759" s="8">
        <f t="shared" si="108"/>
        <v>40092000</v>
      </c>
      <c r="H1759" s="5">
        <v>0.9353</v>
      </c>
      <c r="I1759" s="8">
        <f t="shared" si="109"/>
        <v>40092000</v>
      </c>
      <c r="J1759" s="8">
        <f t="shared" si="110"/>
        <v>37498047.6</v>
      </c>
      <c r="K1759" t="str">
        <f t="shared" si="111"/>
        <v>MATCHED</v>
      </c>
    </row>
    <row r="1760" spans="1:11">
      <c r="A1760" t="s">
        <v>108</v>
      </c>
      <c r="B1760" t="s">
        <v>1414</v>
      </c>
      <c r="C1760" t="s">
        <v>1234</v>
      </c>
      <c r="D1760" t="s">
        <v>1235</v>
      </c>
      <c r="E1760" s="8">
        <v>270</v>
      </c>
      <c r="F1760" s="8">
        <v>52140</v>
      </c>
      <c r="G1760" s="8">
        <f t="shared" si="108"/>
        <v>14077800</v>
      </c>
      <c r="H1760" s="5">
        <v>0.2143</v>
      </c>
      <c r="I1760" s="8">
        <f t="shared" si="109"/>
        <v>14077800</v>
      </c>
      <c r="J1760" s="8">
        <f t="shared" si="110"/>
        <v>3016872.54</v>
      </c>
      <c r="K1760" t="str">
        <f t="shared" si="111"/>
        <v>MATCHED</v>
      </c>
    </row>
    <row r="1761" spans="1:11">
      <c r="A1761" t="s">
        <v>108</v>
      </c>
      <c r="B1761" t="s">
        <v>1414</v>
      </c>
      <c r="C1761" t="s">
        <v>1236</v>
      </c>
      <c r="D1761" t="s">
        <v>1237</v>
      </c>
      <c r="E1761" s="8">
        <v>300</v>
      </c>
      <c r="F1761" s="8">
        <v>78840</v>
      </c>
      <c r="G1761" s="8">
        <f t="shared" si="108"/>
        <v>23652000</v>
      </c>
      <c r="H1761" s="5">
        <v>0.1267</v>
      </c>
      <c r="I1761" s="8">
        <f t="shared" si="109"/>
        <v>23652000</v>
      </c>
      <c r="J1761" s="8">
        <f t="shared" si="110"/>
        <v>2996708.4</v>
      </c>
      <c r="K1761" t="str">
        <f t="shared" si="111"/>
        <v>MATCHED</v>
      </c>
    </row>
    <row r="1762" spans="1:11">
      <c r="A1762" t="s">
        <v>108</v>
      </c>
      <c r="B1762" t="s">
        <v>1414</v>
      </c>
      <c r="C1762" t="s">
        <v>1240</v>
      </c>
      <c r="D1762" t="s">
        <v>1241</v>
      </c>
      <c r="E1762" s="8">
        <v>590</v>
      </c>
      <c r="F1762" s="8">
        <v>70300</v>
      </c>
      <c r="G1762" s="8">
        <f t="shared" si="108"/>
        <v>41477000</v>
      </c>
      <c r="H1762" s="5">
        <v>0.2977</v>
      </c>
      <c r="I1762" s="8">
        <f t="shared" si="109"/>
        <v>41477000</v>
      </c>
      <c r="J1762" s="8">
        <f t="shared" si="110"/>
        <v>12347702.9</v>
      </c>
      <c r="K1762" t="str">
        <f t="shared" si="111"/>
        <v>MATCHED</v>
      </c>
    </row>
    <row r="1763" spans="1:11">
      <c r="A1763" t="s">
        <v>108</v>
      </c>
      <c r="B1763" t="s">
        <v>1414</v>
      </c>
      <c r="C1763" t="s">
        <v>1242</v>
      </c>
      <c r="D1763" t="s">
        <v>1243</v>
      </c>
      <c r="E1763" s="8">
        <v>60</v>
      </c>
      <c r="F1763" s="8">
        <v>63870</v>
      </c>
      <c r="G1763" s="8">
        <f t="shared" si="108"/>
        <v>3832200</v>
      </c>
      <c r="H1763" s="5">
        <v>0.7969</v>
      </c>
      <c r="I1763" s="8">
        <f t="shared" si="109"/>
        <v>3832200</v>
      </c>
      <c r="J1763" s="8">
        <f t="shared" si="110"/>
        <v>3053880.18</v>
      </c>
      <c r="K1763" t="str">
        <f t="shared" si="111"/>
        <v>MATCHED</v>
      </c>
    </row>
    <row r="1764" spans="1:11">
      <c r="A1764" t="s">
        <v>108</v>
      </c>
      <c r="B1764" t="s">
        <v>1414</v>
      </c>
      <c r="C1764" t="s">
        <v>1246</v>
      </c>
      <c r="D1764" t="s">
        <v>1247</v>
      </c>
      <c r="E1764" s="8">
        <v>370</v>
      </c>
      <c r="F1764" s="8">
        <v>89650</v>
      </c>
      <c r="G1764" s="8">
        <f t="shared" si="108"/>
        <v>33170500</v>
      </c>
      <c r="H1764" s="5">
        <v>0.2347</v>
      </c>
      <c r="I1764" s="8">
        <f t="shared" si="109"/>
        <v>33170500</v>
      </c>
      <c r="J1764" s="8">
        <f t="shared" si="110"/>
        <v>7785116.35</v>
      </c>
      <c r="K1764" t="str">
        <f t="shared" si="111"/>
        <v>MATCHED</v>
      </c>
    </row>
    <row r="1765" spans="1:11">
      <c r="A1765" t="s">
        <v>108</v>
      </c>
      <c r="B1765" t="s">
        <v>1414</v>
      </c>
      <c r="C1765" t="s">
        <v>972</v>
      </c>
      <c r="D1765" t="s">
        <v>973</v>
      </c>
      <c r="E1765" s="8">
        <v>60</v>
      </c>
      <c r="F1765" s="8">
        <v>38980</v>
      </c>
      <c r="G1765" s="8">
        <f t="shared" si="108"/>
        <v>2338800</v>
      </c>
      <c r="H1765" s="5">
        <v>0.118</v>
      </c>
      <c r="I1765" s="8">
        <f t="shared" si="109"/>
        <v>2338800</v>
      </c>
      <c r="J1765" s="8">
        <f t="shared" si="110"/>
        <v>275978.4</v>
      </c>
      <c r="K1765" t="str">
        <f t="shared" si="111"/>
        <v>MATCHED</v>
      </c>
    </row>
    <row r="1766" spans="1:11">
      <c r="A1766" t="s">
        <v>108</v>
      </c>
      <c r="B1766" t="s">
        <v>1414</v>
      </c>
      <c r="C1766" t="s">
        <v>1443</v>
      </c>
      <c r="D1766" t="s">
        <v>1444</v>
      </c>
      <c r="E1766" s="8"/>
      <c r="F1766" s="8">
        <v>49310</v>
      </c>
      <c r="G1766" s="8" t="str">
        <f t="shared" si="108"/>
        <v/>
      </c>
      <c r="H1766" s="5">
        <v>0.05</v>
      </c>
      <c r="I1766" s="8" t="str">
        <f t="shared" si="109"/>
        <v/>
      </c>
      <c r="J1766" s="8" t="str">
        <f t="shared" si="110"/>
        <v/>
      </c>
      <c r="K1766" t="str">
        <f t="shared" si="111"/>
        <v>MISSING OEWS</v>
      </c>
    </row>
    <row r="1767" spans="1:11">
      <c r="A1767" t="s">
        <v>108</v>
      </c>
      <c r="B1767" t="s">
        <v>1414</v>
      </c>
      <c r="C1767" t="s">
        <v>1250</v>
      </c>
      <c r="D1767" t="s">
        <v>1251</v>
      </c>
      <c r="E1767" s="8">
        <v>260</v>
      </c>
      <c r="F1767" s="8">
        <v>47610</v>
      </c>
      <c r="G1767" s="8">
        <f t="shared" si="108"/>
        <v>12378600</v>
      </c>
      <c r="H1767" s="5">
        <v>0.4025</v>
      </c>
      <c r="I1767" s="8">
        <f t="shared" si="109"/>
        <v>12378600</v>
      </c>
      <c r="J1767" s="8">
        <f t="shared" si="110"/>
        <v>4982386.5</v>
      </c>
      <c r="K1767" t="str">
        <f t="shared" si="111"/>
        <v>MATCHED</v>
      </c>
    </row>
    <row r="1768" spans="1:11">
      <c r="A1768" t="s">
        <v>108</v>
      </c>
      <c r="B1768" t="s">
        <v>1414</v>
      </c>
      <c r="C1768" t="s">
        <v>1252</v>
      </c>
      <c r="D1768" t="s">
        <v>1253</v>
      </c>
      <c r="E1768" s="8">
        <v>640</v>
      </c>
      <c r="F1768" s="8">
        <v>47050</v>
      </c>
      <c r="G1768" s="8">
        <f t="shared" si="108"/>
        <v>30112000</v>
      </c>
      <c r="H1768" s="5">
        <v>0.1188</v>
      </c>
      <c r="I1768" s="8">
        <f t="shared" si="109"/>
        <v>30112000</v>
      </c>
      <c r="J1768" s="8">
        <f t="shared" si="110"/>
        <v>3577305.6</v>
      </c>
      <c r="K1768" t="str">
        <f t="shared" si="111"/>
        <v>MATCHED</v>
      </c>
    </row>
    <row r="1769" spans="1:11">
      <c r="A1769" t="s">
        <v>108</v>
      </c>
      <c r="B1769" t="s">
        <v>1414</v>
      </c>
      <c r="C1769" t="s">
        <v>1445</v>
      </c>
      <c r="D1769" t="s">
        <v>1446</v>
      </c>
      <c r="E1769" s="8">
        <v>1290</v>
      </c>
      <c r="F1769" s="8">
        <v>45320</v>
      </c>
      <c r="G1769" s="8">
        <f t="shared" si="108"/>
        <v>58462800</v>
      </c>
      <c r="H1769" s="5">
        <v>0.5088</v>
      </c>
      <c r="I1769" s="8">
        <f t="shared" si="109"/>
        <v>58462800</v>
      </c>
      <c r="J1769" s="8">
        <f t="shared" si="110"/>
        <v>29745872.64</v>
      </c>
      <c r="K1769" t="str">
        <f t="shared" si="111"/>
        <v>MATCHED</v>
      </c>
    </row>
    <row r="1770" spans="1:11">
      <c r="A1770" t="s">
        <v>108</v>
      </c>
      <c r="B1770" t="s">
        <v>1414</v>
      </c>
      <c r="C1770" t="s">
        <v>1447</v>
      </c>
      <c r="D1770" t="s">
        <v>1448</v>
      </c>
      <c r="E1770" s="8"/>
      <c r="F1770" s="8">
        <v>39030</v>
      </c>
      <c r="G1770" s="8" t="str">
        <f t="shared" si="108"/>
        <v/>
      </c>
      <c r="H1770" s="5">
        <v>0.0792</v>
      </c>
      <c r="I1770" s="8" t="str">
        <f t="shared" si="109"/>
        <v/>
      </c>
      <c r="J1770" s="8" t="str">
        <f t="shared" si="110"/>
        <v/>
      </c>
      <c r="K1770" t="str">
        <f t="shared" si="111"/>
        <v>MISSING OEWS</v>
      </c>
    </row>
    <row r="1771" spans="1:11">
      <c r="A1771" t="s">
        <v>108</v>
      </c>
      <c r="B1771" t="s">
        <v>1414</v>
      </c>
      <c r="C1771" t="s">
        <v>1256</v>
      </c>
      <c r="D1771" t="s">
        <v>1257</v>
      </c>
      <c r="E1771" s="8">
        <v>90</v>
      </c>
      <c r="F1771" s="8">
        <v>57340</v>
      </c>
      <c r="G1771" s="8">
        <f t="shared" si="108"/>
        <v>5160600</v>
      </c>
      <c r="H1771" s="5">
        <v>0.2542</v>
      </c>
      <c r="I1771" s="8">
        <f t="shared" si="109"/>
        <v>5160600</v>
      </c>
      <c r="J1771" s="8">
        <f t="shared" si="110"/>
        <v>1311824.52</v>
      </c>
      <c r="K1771" t="str">
        <f t="shared" si="111"/>
        <v>MATCHED</v>
      </c>
    </row>
    <row r="1772" spans="1:11">
      <c r="A1772" t="s">
        <v>108</v>
      </c>
      <c r="B1772" t="s">
        <v>1414</v>
      </c>
      <c r="C1772" t="s">
        <v>644</v>
      </c>
      <c r="D1772" t="s">
        <v>645</v>
      </c>
      <c r="E1772" s="8">
        <v>160</v>
      </c>
      <c r="F1772" s="8">
        <v>75250</v>
      </c>
      <c r="G1772" s="8">
        <f t="shared" si="108"/>
        <v>12040000</v>
      </c>
      <c r="H1772" s="5">
        <v>0.3929</v>
      </c>
      <c r="I1772" s="8">
        <f t="shared" si="109"/>
        <v>12040000</v>
      </c>
      <c r="J1772" s="8">
        <f t="shared" si="110"/>
        <v>4730516</v>
      </c>
      <c r="K1772" t="str">
        <f t="shared" si="111"/>
        <v>MATCHED</v>
      </c>
    </row>
    <row r="1773" spans="1:11">
      <c r="A1773" t="s">
        <v>108</v>
      </c>
      <c r="B1773" t="s">
        <v>1414</v>
      </c>
      <c r="C1773" t="s">
        <v>870</v>
      </c>
      <c r="D1773" t="s">
        <v>871</v>
      </c>
      <c r="E1773" s="8">
        <v>30</v>
      </c>
      <c r="F1773" s="8">
        <v>102700</v>
      </c>
      <c r="G1773" s="8">
        <f t="shared" si="108"/>
        <v>3081000</v>
      </c>
      <c r="H1773" s="5">
        <v>0.3324</v>
      </c>
      <c r="I1773" s="8">
        <f t="shared" si="109"/>
        <v>3081000</v>
      </c>
      <c r="J1773" s="8">
        <f t="shared" si="110"/>
        <v>1024124.4</v>
      </c>
      <c r="K1773" t="str">
        <f t="shared" si="111"/>
        <v>MATCHED</v>
      </c>
    </row>
    <row r="1774" spans="1:11">
      <c r="A1774" t="s">
        <v>108</v>
      </c>
      <c r="B1774" t="s">
        <v>1414</v>
      </c>
      <c r="C1774" t="s">
        <v>329</v>
      </c>
      <c r="D1774" t="s">
        <v>330</v>
      </c>
      <c r="E1774" s="8">
        <v>3270</v>
      </c>
      <c r="F1774" s="8">
        <v>42960</v>
      </c>
      <c r="G1774" s="8">
        <f t="shared" si="108"/>
        <v>140479200</v>
      </c>
      <c r="H1774" s="5">
        <v>0.1357</v>
      </c>
      <c r="I1774" s="8">
        <f t="shared" si="109"/>
        <v>140479200</v>
      </c>
      <c r="J1774" s="8">
        <f t="shared" si="110"/>
        <v>19063027.44</v>
      </c>
      <c r="K1774" t="str">
        <f t="shared" si="111"/>
        <v>MATCHED</v>
      </c>
    </row>
    <row r="1775" spans="1:11">
      <c r="A1775" t="s">
        <v>108</v>
      </c>
      <c r="B1775" t="s">
        <v>1414</v>
      </c>
      <c r="C1775" t="s">
        <v>976</v>
      </c>
      <c r="D1775" t="s">
        <v>977</v>
      </c>
      <c r="E1775" s="8"/>
      <c r="F1775" s="8">
        <v>69970</v>
      </c>
      <c r="G1775" s="8" t="str">
        <f t="shared" si="108"/>
        <v/>
      </c>
      <c r="H1775" s="5">
        <v>0</v>
      </c>
      <c r="I1775" s="8" t="str">
        <f t="shared" si="109"/>
        <v/>
      </c>
      <c r="J1775" s="8" t="str">
        <f t="shared" si="110"/>
        <v/>
      </c>
      <c r="K1775" t="str">
        <f t="shared" si="111"/>
        <v>MISSING OEWS</v>
      </c>
    </row>
    <row r="1776" spans="1:11">
      <c r="A1776" t="s">
        <v>108</v>
      </c>
      <c r="B1776" t="s">
        <v>1414</v>
      </c>
      <c r="C1776" t="s">
        <v>872</v>
      </c>
      <c r="D1776" t="s">
        <v>873</v>
      </c>
      <c r="E1776" s="8">
        <v>110</v>
      </c>
      <c r="F1776" s="8">
        <v>59290</v>
      </c>
      <c r="G1776" s="8">
        <f t="shared" si="108"/>
        <v>6521900</v>
      </c>
      <c r="H1776" s="5">
        <v>0.3357</v>
      </c>
      <c r="I1776" s="8">
        <f t="shared" si="109"/>
        <v>6521900</v>
      </c>
      <c r="J1776" s="8">
        <f t="shared" si="110"/>
        <v>2189401.83</v>
      </c>
      <c r="K1776" t="str">
        <f t="shared" si="111"/>
        <v>MATCHED</v>
      </c>
    </row>
    <row r="1777" spans="1:11">
      <c r="A1777" t="s">
        <v>108</v>
      </c>
      <c r="B1777" t="s">
        <v>1414</v>
      </c>
      <c r="C1777" t="s">
        <v>978</v>
      </c>
      <c r="D1777" t="s">
        <v>979</v>
      </c>
      <c r="E1777" s="8">
        <v>460</v>
      </c>
      <c r="F1777" s="8">
        <v>78080</v>
      </c>
      <c r="G1777" s="8">
        <f t="shared" si="108"/>
        <v>35916800</v>
      </c>
      <c r="H1777" s="5">
        <v>0.281</v>
      </c>
      <c r="I1777" s="8">
        <f t="shared" si="109"/>
        <v>35916800</v>
      </c>
      <c r="J1777" s="8">
        <f t="shared" si="110"/>
        <v>10092620.8</v>
      </c>
      <c r="K1777" t="str">
        <f t="shared" si="111"/>
        <v>MATCHED</v>
      </c>
    </row>
    <row r="1778" spans="1:11">
      <c r="A1778" t="s">
        <v>108</v>
      </c>
      <c r="B1778" t="s">
        <v>1414</v>
      </c>
      <c r="C1778" t="s">
        <v>980</v>
      </c>
      <c r="D1778" t="s">
        <v>981</v>
      </c>
      <c r="E1778" s="8">
        <v>880</v>
      </c>
      <c r="F1778" s="8">
        <v>50510</v>
      </c>
      <c r="G1778" s="8">
        <f t="shared" si="108"/>
        <v>44448800</v>
      </c>
      <c r="H1778" s="5">
        <v>0.4173</v>
      </c>
      <c r="I1778" s="8">
        <f t="shared" si="109"/>
        <v>44448800</v>
      </c>
      <c r="J1778" s="8">
        <f t="shared" si="110"/>
        <v>18548484.24</v>
      </c>
      <c r="K1778" t="str">
        <f t="shared" si="111"/>
        <v>MATCHED</v>
      </c>
    </row>
    <row r="1779" spans="1:11">
      <c r="A1779" t="s">
        <v>108</v>
      </c>
      <c r="B1779" t="s">
        <v>1414</v>
      </c>
      <c r="C1779" t="s">
        <v>1258</v>
      </c>
      <c r="D1779" t="s">
        <v>1259</v>
      </c>
      <c r="E1779" s="8">
        <v>330</v>
      </c>
      <c r="F1779" s="8">
        <v>37510</v>
      </c>
      <c r="G1779" s="8">
        <f t="shared" si="108"/>
        <v>12378300</v>
      </c>
      <c r="H1779" s="5">
        <v>0.05</v>
      </c>
      <c r="I1779" s="8">
        <f t="shared" si="109"/>
        <v>12378300</v>
      </c>
      <c r="J1779" s="8">
        <f t="shared" si="110"/>
        <v>618915</v>
      </c>
      <c r="K1779" t="str">
        <f t="shared" si="111"/>
        <v>MATCHED</v>
      </c>
    </row>
    <row r="1780" spans="1:11">
      <c r="A1780" t="s">
        <v>108</v>
      </c>
      <c r="B1780" t="s">
        <v>1414</v>
      </c>
      <c r="C1780" t="s">
        <v>982</v>
      </c>
      <c r="D1780" t="s">
        <v>983</v>
      </c>
      <c r="E1780" s="8">
        <v>360</v>
      </c>
      <c r="F1780" s="8">
        <v>37460</v>
      </c>
      <c r="G1780" s="8">
        <f t="shared" si="108"/>
        <v>13485600</v>
      </c>
      <c r="H1780" s="5">
        <v>0.25</v>
      </c>
      <c r="I1780" s="8">
        <f t="shared" si="109"/>
        <v>13485600</v>
      </c>
      <c r="J1780" s="8">
        <f t="shared" si="110"/>
        <v>3371400</v>
      </c>
      <c r="K1780" t="str">
        <f t="shared" si="111"/>
        <v>MATCHED</v>
      </c>
    </row>
    <row r="1781" spans="1:11">
      <c r="A1781" t="s">
        <v>108</v>
      </c>
      <c r="B1781" t="s">
        <v>1414</v>
      </c>
      <c r="C1781" t="s">
        <v>984</v>
      </c>
      <c r="D1781" t="s">
        <v>985</v>
      </c>
      <c r="E1781" s="8"/>
      <c r="F1781" s="8">
        <v>39190</v>
      </c>
      <c r="G1781" s="8" t="str">
        <f t="shared" si="108"/>
        <v/>
      </c>
      <c r="H1781" s="5">
        <v>0.1175</v>
      </c>
      <c r="I1781" s="8" t="str">
        <f t="shared" si="109"/>
        <v/>
      </c>
      <c r="J1781" s="8" t="str">
        <f t="shared" si="110"/>
        <v/>
      </c>
      <c r="K1781" t="str">
        <f t="shared" si="111"/>
        <v>MISSING OEWS</v>
      </c>
    </row>
    <row r="1782" spans="1:11">
      <c r="A1782" t="s">
        <v>108</v>
      </c>
      <c r="B1782" t="s">
        <v>1414</v>
      </c>
      <c r="C1782" t="s">
        <v>1260</v>
      </c>
      <c r="D1782" t="s">
        <v>1261</v>
      </c>
      <c r="E1782" s="8">
        <v>340</v>
      </c>
      <c r="F1782" s="8">
        <v>41580</v>
      </c>
      <c r="G1782" s="8">
        <f t="shared" si="108"/>
        <v>14137200</v>
      </c>
      <c r="H1782" s="5">
        <v>0.0864</v>
      </c>
      <c r="I1782" s="8">
        <f t="shared" si="109"/>
        <v>14137200</v>
      </c>
      <c r="J1782" s="8">
        <f t="shared" si="110"/>
        <v>1221454.08</v>
      </c>
      <c r="K1782" t="str">
        <f t="shared" si="111"/>
        <v>MATCHED</v>
      </c>
    </row>
    <row r="1783" spans="1:11">
      <c r="A1783" t="s">
        <v>108</v>
      </c>
      <c r="B1783" t="s">
        <v>1414</v>
      </c>
      <c r="C1783" t="s">
        <v>1262</v>
      </c>
      <c r="D1783" t="s">
        <v>1263</v>
      </c>
      <c r="E1783" s="8">
        <v>280</v>
      </c>
      <c r="F1783" s="8">
        <v>40850</v>
      </c>
      <c r="G1783" s="8">
        <f t="shared" si="108"/>
        <v>11438000</v>
      </c>
      <c r="H1783" s="5"/>
      <c r="I1783" s="8" t="str">
        <f t="shared" si="109"/>
        <v/>
      </c>
      <c r="J1783" s="8" t="str">
        <f t="shared" si="110"/>
        <v/>
      </c>
      <c r="K1783" t="str">
        <f t="shared" si="111"/>
        <v>MISSING WHARTON</v>
      </c>
    </row>
    <row r="1784" spans="1:11">
      <c r="A1784" t="s">
        <v>108</v>
      </c>
      <c r="B1784" t="s">
        <v>1414</v>
      </c>
      <c r="C1784" t="s">
        <v>986</v>
      </c>
      <c r="D1784" t="s">
        <v>987</v>
      </c>
      <c r="E1784" s="8">
        <v>2080</v>
      </c>
      <c r="F1784" s="8">
        <v>35740</v>
      </c>
      <c r="G1784" s="8">
        <f t="shared" si="108"/>
        <v>74339200</v>
      </c>
      <c r="H1784" s="5">
        <v>0.0613</v>
      </c>
      <c r="I1784" s="8">
        <f t="shared" si="109"/>
        <v>74339200</v>
      </c>
      <c r="J1784" s="8">
        <f t="shared" si="110"/>
        <v>4556992.96</v>
      </c>
      <c r="K1784" t="str">
        <f t="shared" si="111"/>
        <v>MATCHED</v>
      </c>
    </row>
    <row r="1785" spans="1:11">
      <c r="A1785" t="s">
        <v>108</v>
      </c>
      <c r="B1785" t="s">
        <v>1414</v>
      </c>
      <c r="C1785" t="s">
        <v>1264</v>
      </c>
      <c r="D1785" t="s">
        <v>1265</v>
      </c>
      <c r="E1785" s="8"/>
      <c r="F1785" s="8">
        <v>39050</v>
      </c>
      <c r="G1785" s="8" t="str">
        <f t="shared" si="108"/>
        <v/>
      </c>
      <c r="H1785" s="5">
        <v>0.1425</v>
      </c>
      <c r="I1785" s="8" t="str">
        <f t="shared" si="109"/>
        <v/>
      </c>
      <c r="J1785" s="8" t="str">
        <f t="shared" si="110"/>
        <v/>
      </c>
      <c r="K1785" t="str">
        <f t="shared" si="111"/>
        <v>MISSING OEWS</v>
      </c>
    </row>
    <row r="1786" spans="1:11">
      <c r="A1786" t="s">
        <v>108</v>
      </c>
      <c r="B1786" t="s">
        <v>1414</v>
      </c>
      <c r="C1786" t="s">
        <v>988</v>
      </c>
      <c r="D1786" t="s">
        <v>989</v>
      </c>
      <c r="E1786" s="8">
        <v>4260</v>
      </c>
      <c r="F1786" s="8">
        <v>36220</v>
      </c>
      <c r="G1786" s="8">
        <f t="shared" si="108"/>
        <v>154297200</v>
      </c>
      <c r="H1786" s="5">
        <v>0.2031</v>
      </c>
      <c r="I1786" s="8">
        <f t="shared" si="109"/>
        <v>154297200</v>
      </c>
      <c r="J1786" s="8">
        <f t="shared" si="110"/>
        <v>31337761.32</v>
      </c>
      <c r="K1786" t="str">
        <f t="shared" si="111"/>
        <v>MATCHED</v>
      </c>
    </row>
    <row r="1787" spans="1:11">
      <c r="A1787" t="s">
        <v>108</v>
      </c>
      <c r="B1787" t="s">
        <v>1414</v>
      </c>
      <c r="C1787" t="s">
        <v>990</v>
      </c>
      <c r="D1787" t="s">
        <v>991</v>
      </c>
      <c r="E1787" s="8">
        <v>520</v>
      </c>
      <c r="F1787" s="8">
        <v>33770</v>
      </c>
      <c r="G1787" s="8">
        <f t="shared" si="108"/>
        <v>17560400</v>
      </c>
      <c r="H1787" s="5">
        <v>0.152</v>
      </c>
      <c r="I1787" s="8">
        <f t="shared" si="109"/>
        <v>17560400</v>
      </c>
      <c r="J1787" s="8">
        <f t="shared" si="110"/>
        <v>2669180.8</v>
      </c>
      <c r="K1787" t="str">
        <f t="shared" si="111"/>
        <v>MATCHED</v>
      </c>
    </row>
    <row r="1788" spans="1:11">
      <c r="A1788" t="s">
        <v>108</v>
      </c>
      <c r="B1788" t="s">
        <v>1414</v>
      </c>
      <c r="C1788" t="s">
        <v>1268</v>
      </c>
      <c r="D1788" t="s">
        <v>1269</v>
      </c>
      <c r="E1788" s="8">
        <v>80</v>
      </c>
      <c r="F1788" s="8">
        <v>27360</v>
      </c>
      <c r="G1788" s="8">
        <f t="shared" si="108"/>
        <v>2188800</v>
      </c>
      <c r="H1788" s="5">
        <v>0.0417</v>
      </c>
      <c r="I1788" s="8">
        <f t="shared" si="109"/>
        <v>2188800</v>
      </c>
      <c r="J1788" s="8">
        <f t="shared" si="110"/>
        <v>91272.96</v>
      </c>
      <c r="K1788" t="str">
        <f t="shared" si="111"/>
        <v>MATCHED</v>
      </c>
    </row>
    <row r="1789" spans="1:11">
      <c r="A1789" t="s">
        <v>108</v>
      </c>
      <c r="B1789" t="s">
        <v>1414</v>
      </c>
      <c r="C1789" t="s">
        <v>1270</v>
      </c>
      <c r="D1789" t="s">
        <v>1271</v>
      </c>
      <c r="E1789" s="8">
        <v>290</v>
      </c>
      <c r="F1789" s="8">
        <v>33760</v>
      </c>
      <c r="G1789" s="8">
        <f t="shared" si="108"/>
        <v>9790400</v>
      </c>
      <c r="H1789" s="5">
        <v>0</v>
      </c>
      <c r="I1789" s="8">
        <f t="shared" si="109"/>
        <v>9790400</v>
      </c>
      <c r="J1789" s="8">
        <f t="shared" si="110"/>
        <v>0</v>
      </c>
      <c r="K1789" t="str">
        <f t="shared" si="111"/>
        <v>MATCHED</v>
      </c>
    </row>
    <row r="1790" spans="1:11">
      <c r="A1790" t="s">
        <v>108</v>
      </c>
      <c r="B1790" t="s">
        <v>1414</v>
      </c>
      <c r="C1790" t="s">
        <v>1272</v>
      </c>
      <c r="D1790" t="s">
        <v>1273</v>
      </c>
      <c r="E1790" s="8">
        <v>60</v>
      </c>
      <c r="F1790" s="8">
        <v>38300</v>
      </c>
      <c r="G1790" s="8">
        <f t="shared" si="108"/>
        <v>2298000</v>
      </c>
      <c r="H1790" s="5">
        <v>0.3023</v>
      </c>
      <c r="I1790" s="8">
        <f t="shared" si="109"/>
        <v>2298000</v>
      </c>
      <c r="J1790" s="8">
        <f t="shared" si="110"/>
        <v>694685.4</v>
      </c>
      <c r="K1790" t="str">
        <f t="shared" si="111"/>
        <v>MATCHED</v>
      </c>
    </row>
    <row r="1791" spans="1:11">
      <c r="A1791" t="s">
        <v>108</v>
      </c>
      <c r="B1791" t="s">
        <v>1414</v>
      </c>
      <c r="C1791" t="s">
        <v>1274</v>
      </c>
      <c r="D1791" t="s">
        <v>1275</v>
      </c>
      <c r="E1791" s="8">
        <v>210</v>
      </c>
      <c r="F1791" s="8">
        <v>36400</v>
      </c>
      <c r="G1791" s="8">
        <f t="shared" si="108"/>
        <v>7644000</v>
      </c>
      <c r="H1791" s="5"/>
      <c r="I1791" s="8" t="str">
        <f t="shared" si="109"/>
        <v/>
      </c>
      <c r="J1791" s="8" t="str">
        <f t="shared" si="110"/>
        <v/>
      </c>
      <c r="K1791" t="str">
        <f t="shared" si="111"/>
        <v>MISSING WHARTON</v>
      </c>
    </row>
    <row r="1792" spans="1:11">
      <c r="A1792" t="s">
        <v>108</v>
      </c>
      <c r="B1792" t="s">
        <v>1414</v>
      </c>
      <c r="C1792" t="s">
        <v>331</v>
      </c>
      <c r="D1792" t="s">
        <v>332</v>
      </c>
      <c r="E1792" s="8">
        <v>290</v>
      </c>
      <c r="F1792" s="8">
        <v>60870</v>
      </c>
      <c r="G1792" s="8">
        <f t="shared" si="108"/>
        <v>17652300</v>
      </c>
      <c r="H1792" s="5">
        <v>0.2269</v>
      </c>
      <c r="I1792" s="8">
        <f t="shared" si="109"/>
        <v>17652300</v>
      </c>
      <c r="J1792" s="8">
        <f t="shared" si="110"/>
        <v>4005306.87</v>
      </c>
      <c r="K1792" t="str">
        <f t="shared" si="111"/>
        <v>MATCHED</v>
      </c>
    </row>
    <row r="1793" spans="1:11">
      <c r="A1793" t="s">
        <v>108</v>
      </c>
      <c r="B1793" t="s">
        <v>1414</v>
      </c>
      <c r="C1793" t="s">
        <v>333</v>
      </c>
      <c r="D1793" t="s">
        <v>334</v>
      </c>
      <c r="E1793" s="8">
        <v>370</v>
      </c>
      <c r="F1793" s="8">
        <v>69600</v>
      </c>
      <c r="G1793" s="8">
        <f t="shared" si="108"/>
        <v>25752000</v>
      </c>
      <c r="H1793" s="5">
        <v>0.2357</v>
      </c>
      <c r="I1793" s="8">
        <f t="shared" si="109"/>
        <v>25752000</v>
      </c>
      <c r="J1793" s="8">
        <f t="shared" si="110"/>
        <v>6069746.4</v>
      </c>
      <c r="K1793" t="str">
        <f t="shared" si="111"/>
        <v>MATCHED</v>
      </c>
    </row>
    <row r="1794" spans="1:11">
      <c r="A1794" t="s">
        <v>108</v>
      </c>
      <c r="B1794" t="s">
        <v>1414</v>
      </c>
      <c r="C1794" t="s">
        <v>335</v>
      </c>
      <c r="D1794" t="s">
        <v>336</v>
      </c>
      <c r="E1794" s="8">
        <v>19220</v>
      </c>
      <c r="F1794" s="8">
        <v>38810</v>
      </c>
      <c r="G1794" s="8">
        <f t="shared" ref="G1794:G1857" si="112">IF(OR(E1794="",F1794=""),"",E1794*F1794)</f>
        <v>745928200</v>
      </c>
      <c r="H1794" s="5">
        <v>0</v>
      </c>
      <c r="I1794" s="8">
        <f t="shared" ref="I1794:I1857" si="113">IF(G1794="","",IF(ISNUMBER(H1794),G1794,""))</f>
        <v>745928200</v>
      </c>
      <c r="J1794" s="8">
        <f t="shared" ref="J1794:J1857" si="114">IF(I1794="","",I1794*H1794)</f>
        <v>0</v>
      </c>
      <c r="K1794" t="str">
        <f t="shared" ref="K1794:K1857" si="115">IF(G1794="","MISSING OEWS",IF(ISNUMBER(H1794),"MATCHED","MISSING WHARTON"))</f>
        <v>MATCHED</v>
      </c>
    </row>
    <row r="1795" spans="1:11">
      <c r="A1795" t="s">
        <v>108</v>
      </c>
      <c r="B1795" t="s">
        <v>1414</v>
      </c>
      <c r="C1795" t="s">
        <v>337</v>
      </c>
      <c r="D1795" t="s">
        <v>338</v>
      </c>
      <c r="E1795" s="8">
        <v>200</v>
      </c>
      <c r="F1795" s="8">
        <v>36950</v>
      </c>
      <c r="G1795" s="8">
        <f t="shared" si="112"/>
        <v>7390000</v>
      </c>
      <c r="H1795" s="5">
        <v>0</v>
      </c>
      <c r="I1795" s="8">
        <f t="shared" si="113"/>
        <v>7390000</v>
      </c>
      <c r="J1795" s="8">
        <f t="shared" si="114"/>
        <v>0</v>
      </c>
      <c r="K1795" t="str">
        <f t="shared" si="115"/>
        <v>MATCHED</v>
      </c>
    </row>
    <row r="1796" spans="1:11">
      <c r="A1796" t="s">
        <v>108</v>
      </c>
      <c r="B1796" t="s">
        <v>1414</v>
      </c>
      <c r="C1796" t="s">
        <v>646</v>
      </c>
      <c r="D1796" t="s">
        <v>647</v>
      </c>
      <c r="E1796" s="8"/>
      <c r="F1796" s="8">
        <v>29130</v>
      </c>
      <c r="G1796" s="8" t="str">
        <f t="shared" si="112"/>
        <v/>
      </c>
      <c r="H1796" s="5"/>
      <c r="I1796" s="8" t="str">
        <f t="shared" si="113"/>
        <v/>
      </c>
      <c r="J1796" s="8" t="str">
        <f t="shared" si="114"/>
        <v/>
      </c>
      <c r="K1796" t="str">
        <f t="shared" si="115"/>
        <v>MISSING OEWS</v>
      </c>
    </row>
    <row r="1797" spans="1:11">
      <c r="A1797" t="s">
        <v>108</v>
      </c>
      <c r="B1797" t="s">
        <v>1414</v>
      </c>
      <c r="C1797" t="s">
        <v>339</v>
      </c>
      <c r="D1797" t="s">
        <v>340</v>
      </c>
      <c r="E1797" s="8">
        <v>150</v>
      </c>
      <c r="F1797" s="8">
        <v>50520</v>
      </c>
      <c r="G1797" s="8">
        <f t="shared" si="112"/>
        <v>7578000</v>
      </c>
      <c r="H1797" s="5">
        <v>0.1567</v>
      </c>
      <c r="I1797" s="8">
        <f t="shared" si="113"/>
        <v>7578000</v>
      </c>
      <c r="J1797" s="8">
        <f t="shared" si="114"/>
        <v>1187472.6</v>
      </c>
      <c r="K1797" t="str">
        <f t="shared" si="115"/>
        <v>MATCHED</v>
      </c>
    </row>
    <row r="1798" spans="1:11">
      <c r="A1798" t="s">
        <v>108</v>
      </c>
      <c r="B1798" t="s">
        <v>1414</v>
      </c>
      <c r="C1798" t="s">
        <v>341</v>
      </c>
      <c r="D1798" t="s">
        <v>342</v>
      </c>
      <c r="E1798" s="8">
        <v>2780</v>
      </c>
      <c r="F1798" s="8">
        <v>41000</v>
      </c>
      <c r="G1798" s="8">
        <f t="shared" si="112"/>
        <v>113980000</v>
      </c>
      <c r="H1798" s="5">
        <v>0</v>
      </c>
      <c r="I1798" s="8">
        <f t="shared" si="113"/>
        <v>113980000</v>
      </c>
      <c r="J1798" s="8">
        <f t="shared" si="114"/>
        <v>0</v>
      </c>
      <c r="K1798" t="str">
        <f t="shared" si="115"/>
        <v>MATCHED</v>
      </c>
    </row>
    <row r="1799" spans="1:11">
      <c r="A1799" t="s">
        <v>108</v>
      </c>
      <c r="B1799" t="s">
        <v>1414</v>
      </c>
      <c r="C1799" t="s">
        <v>343</v>
      </c>
      <c r="D1799" t="s">
        <v>344</v>
      </c>
      <c r="E1799" s="8">
        <v>5030</v>
      </c>
      <c r="F1799" s="8">
        <v>49180</v>
      </c>
      <c r="G1799" s="8">
        <f t="shared" si="112"/>
        <v>247375400</v>
      </c>
      <c r="H1799" s="5">
        <v>0</v>
      </c>
      <c r="I1799" s="8">
        <f t="shared" si="113"/>
        <v>247375400</v>
      </c>
      <c r="J1799" s="8">
        <f t="shared" si="114"/>
        <v>0</v>
      </c>
      <c r="K1799" t="str">
        <f t="shared" si="115"/>
        <v>MATCHED</v>
      </c>
    </row>
    <row r="1800" spans="1:11">
      <c r="A1800" t="s">
        <v>108</v>
      </c>
      <c r="B1800" t="s">
        <v>1414</v>
      </c>
      <c r="C1800" t="s">
        <v>874</v>
      </c>
      <c r="D1800" t="s">
        <v>875</v>
      </c>
      <c r="E1800" s="8">
        <v>30</v>
      </c>
      <c r="F1800" s="8">
        <v>38310</v>
      </c>
      <c r="G1800" s="8">
        <f t="shared" si="112"/>
        <v>1149300</v>
      </c>
      <c r="H1800" s="5"/>
      <c r="I1800" s="8" t="str">
        <f t="shared" si="113"/>
        <v/>
      </c>
      <c r="J1800" s="8" t="str">
        <f t="shared" si="114"/>
        <v/>
      </c>
      <c r="K1800" t="str">
        <f t="shared" si="115"/>
        <v>MISSING WHARTON</v>
      </c>
    </row>
    <row r="1801" spans="1:11">
      <c r="A1801" t="s">
        <v>108</v>
      </c>
      <c r="B1801" t="s">
        <v>1414</v>
      </c>
      <c r="C1801" t="s">
        <v>349</v>
      </c>
      <c r="D1801" t="s">
        <v>350</v>
      </c>
      <c r="E1801" s="8">
        <v>70</v>
      </c>
      <c r="F1801" s="8">
        <v>68570</v>
      </c>
      <c r="G1801" s="8">
        <f t="shared" si="112"/>
        <v>4799900</v>
      </c>
      <c r="H1801" s="5">
        <v>0.2765</v>
      </c>
      <c r="I1801" s="8">
        <f t="shared" si="113"/>
        <v>4799900</v>
      </c>
      <c r="J1801" s="8">
        <f t="shared" si="114"/>
        <v>1327172.35</v>
      </c>
      <c r="K1801" t="str">
        <f t="shared" si="115"/>
        <v>MATCHED</v>
      </c>
    </row>
    <row r="1802" spans="1:11">
      <c r="A1802" t="s">
        <v>108</v>
      </c>
      <c r="B1802" t="s">
        <v>1414</v>
      </c>
      <c r="C1802" t="s">
        <v>353</v>
      </c>
      <c r="D1802" t="s">
        <v>354</v>
      </c>
      <c r="E1802" s="8">
        <v>1190</v>
      </c>
      <c r="F1802" s="8">
        <v>38000</v>
      </c>
      <c r="G1802" s="8">
        <f t="shared" si="112"/>
        <v>45220000</v>
      </c>
      <c r="H1802" s="5">
        <v>0.1614</v>
      </c>
      <c r="I1802" s="8">
        <f t="shared" si="113"/>
        <v>45220000</v>
      </c>
      <c r="J1802" s="8">
        <f t="shared" si="114"/>
        <v>7298508</v>
      </c>
      <c r="K1802" t="str">
        <f t="shared" si="115"/>
        <v>MATCHED</v>
      </c>
    </row>
    <row r="1803" spans="1:11">
      <c r="A1803" t="s">
        <v>108</v>
      </c>
      <c r="B1803" t="s">
        <v>1414</v>
      </c>
      <c r="C1803" t="s">
        <v>1449</v>
      </c>
      <c r="D1803" t="s">
        <v>1450</v>
      </c>
      <c r="E1803" s="8">
        <v>250</v>
      </c>
      <c r="F1803" s="8">
        <v>62500</v>
      </c>
      <c r="G1803" s="8">
        <f t="shared" si="112"/>
        <v>15625000</v>
      </c>
      <c r="H1803" s="5">
        <v>0.1056</v>
      </c>
      <c r="I1803" s="8">
        <f t="shared" si="113"/>
        <v>15625000</v>
      </c>
      <c r="J1803" s="8">
        <f t="shared" si="114"/>
        <v>1650000</v>
      </c>
      <c r="K1803" t="str">
        <f t="shared" si="115"/>
        <v>MATCHED</v>
      </c>
    </row>
    <row r="1804" spans="1:11">
      <c r="A1804" t="s">
        <v>108</v>
      </c>
      <c r="B1804" t="s">
        <v>1414</v>
      </c>
      <c r="C1804" t="s">
        <v>994</v>
      </c>
      <c r="D1804" t="s">
        <v>995</v>
      </c>
      <c r="E1804" s="8">
        <v>70</v>
      </c>
      <c r="F1804" s="8">
        <v>41430</v>
      </c>
      <c r="G1804" s="8">
        <f t="shared" si="112"/>
        <v>2900100</v>
      </c>
      <c r="H1804" s="5">
        <v>0.65</v>
      </c>
      <c r="I1804" s="8">
        <f t="shared" si="113"/>
        <v>2900100</v>
      </c>
      <c r="J1804" s="8">
        <f t="shared" si="114"/>
        <v>1885065</v>
      </c>
      <c r="K1804" t="str">
        <f t="shared" si="115"/>
        <v>MATCHED</v>
      </c>
    </row>
    <row r="1805" spans="1:11">
      <c r="A1805" t="s">
        <v>108</v>
      </c>
      <c r="B1805" t="s">
        <v>1414</v>
      </c>
      <c r="C1805" t="s">
        <v>1278</v>
      </c>
      <c r="D1805" t="s">
        <v>1279</v>
      </c>
      <c r="E1805" s="8">
        <v>60</v>
      </c>
      <c r="F1805" s="8">
        <v>41240</v>
      </c>
      <c r="G1805" s="8">
        <f t="shared" si="112"/>
        <v>2474400</v>
      </c>
      <c r="H1805" s="5">
        <v>0.3177</v>
      </c>
      <c r="I1805" s="8">
        <f t="shared" si="113"/>
        <v>2474400</v>
      </c>
      <c r="J1805" s="8">
        <f t="shared" si="114"/>
        <v>786116.88</v>
      </c>
      <c r="K1805" t="str">
        <f t="shared" si="115"/>
        <v>MATCHED</v>
      </c>
    </row>
    <row r="1806" spans="1:11">
      <c r="A1806" t="s">
        <v>108</v>
      </c>
      <c r="B1806" t="s">
        <v>1414</v>
      </c>
      <c r="C1806" t="s">
        <v>355</v>
      </c>
      <c r="D1806" t="s">
        <v>356</v>
      </c>
      <c r="E1806" s="8">
        <v>25150</v>
      </c>
      <c r="F1806" s="8">
        <v>66380</v>
      </c>
      <c r="G1806" s="8">
        <f t="shared" si="112"/>
        <v>1669457000</v>
      </c>
      <c r="H1806" s="5">
        <v>0.4476</v>
      </c>
      <c r="I1806" s="8">
        <f t="shared" si="113"/>
        <v>1669457000</v>
      </c>
      <c r="J1806" s="8">
        <f t="shared" si="114"/>
        <v>747248953.2</v>
      </c>
      <c r="K1806" t="str">
        <f t="shared" si="115"/>
        <v>MATCHED</v>
      </c>
    </row>
    <row r="1807" spans="1:11">
      <c r="A1807" t="s">
        <v>108</v>
      </c>
      <c r="B1807" t="s">
        <v>1414</v>
      </c>
      <c r="C1807" t="s">
        <v>357</v>
      </c>
      <c r="D1807" t="s">
        <v>358</v>
      </c>
      <c r="E1807" s="8">
        <v>60090</v>
      </c>
      <c r="F1807" s="8">
        <v>103670</v>
      </c>
      <c r="G1807" s="8">
        <f t="shared" si="112"/>
        <v>6229530300</v>
      </c>
      <c r="H1807" s="5">
        <v>0.4833</v>
      </c>
      <c r="I1807" s="8">
        <f t="shared" si="113"/>
        <v>6229530300</v>
      </c>
      <c r="J1807" s="8">
        <f t="shared" si="114"/>
        <v>3010731993.99</v>
      </c>
      <c r="K1807" t="str">
        <f t="shared" si="115"/>
        <v>MATCHED</v>
      </c>
    </row>
    <row r="1808" spans="1:11">
      <c r="A1808" t="s">
        <v>108</v>
      </c>
      <c r="B1808" t="s">
        <v>1414</v>
      </c>
      <c r="C1808" t="s">
        <v>648</v>
      </c>
      <c r="D1808" t="s">
        <v>649</v>
      </c>
      <c r="E1808" s="8">
        <v>19070</v>
      </c>
      <c r="F1808" s="8">
        <v>34360</v>
      </c>
      <c r="G1808" s="8">
        <f t="shared" si="112"/>
        <v>655245200</v>
      </c>
      <c r="H1808" s="5">
        <v>0.6672</v>
      </c>
      <c r="I1808" s="8">
        <f t="shared" si="113"/>
        <v>655245200</v>
      </c>
      <c r="J1808" s="8">
        <f t="shared" si="114"/>
        <v>437179597.44</v>
      </c>
      <c r="K1808" t="str">
        <f t="shared" si="115"/>
        <v>MATCHED</v>
      </c>
    </row>
    <row r="1809" spans="1:11">
      <c r="A1809" t="s">
        <v>108</v>
      </c>
      <c r="B1809" t="s">
        <v>1414</v>
      </c>
      <c r="C1809" t="s">
        <v>878</v>
      </c>
      <c r="D1809" t="s">
        <v>879</v>
      </c>
      <c r="E1809" s="8">
        <v>31180</v>
      </c>
      <c r="F1809" s="8">
        <v>52110</v>
      </c>
      <c r="G1809" s="8">
        <f t="shared" si="112"/>
        <v>1624789800</v>
      </c>
      <c r="H1809" s="5">
        <v>0.7719</v>
      </c>
      <c r="I1809" s="8">
        <f t="shared" si="113"/>
        <v>1624789800</v>
      </c>
      <c r="J1809" s="8">
        <f t="shared" si="114"/>
        <v>1254175246.62</v>
      </c>
      <c r="K1809" t="str">
        <f t="shared" si="115"/>
        <v>MATCHED</v>
      </c>
    </row>
    <row r="1810" spans="1:11">
      <c r="A1810" t="s">
        <v>108</v>
      </c>
      <c r="B1810" t="s">
        <v>1414</v>
      </c>
      <c r="C1810" t="s">
        <v>1000</v>
      </c>
      <c r="D1810" t="s">
        <v>1001</v>
      </c>
      <c r="E1810" s="8">
        <v>50700</v>
      </c>
      <c r="F1810" s="8">
        <v>52360</v>
      </c>
      <c r="G1810" s="8">
        <f t="shared" si="112"/>
        <v>2654652000</v>
      </c>
      <c r="H1810" s="5">
        <v>0.3737</v>
      </c>
      <c r="I1810" s="8">
        <f t="shared" si="113"/>
        <v>2654652000</v>
      </c>
      <c r="J1810" s="8">
        <f t="shared" si="114"/>
        <v>992043452.4</v>
      </c>
      <c r="K1810" t="str">
        <f t="shared" si="115"/>
        <v>MATCHED</v>
      </c>
    </row>
    <row r="1811" spans="1:11">
      <c r="A1811" t="s">
        <v>108</v>
      </c>
      <c r="B1811" t="s">
        <v>1414</v>
      </c>
      <c r="C1811" t="s">
        <v>359</v>
      </c>
      <c r="D1811" t="s">
        <v>360</v>
      </c>
      <c r="E1811" s="8">
        <v>60990</v>
      </c>
      <c r="F1811" s="8">
        <v>44180</v>
      </c>
      <c r="G1811" s="8">
        <f t="shared" si="112"/>
        <v>2694538200</v>
      </c>
      <c r="H1811" s="5">
        <v>0.4938</v>
      </c>
      <c r="I1811" s="8">
        <f t="shared" si="113"/>
        <v>2694538200</v>
      </c>
      <c r="J1811" s="8">
        <f t="shared" si="114"/>
        <v>1330562963.16</v>
      </c>
      <c r="K1811" t="str">
        <f t="shared" si="115"/>
        <v>MATCHED</v>
      </c>
    </row>
    <row r="1812" spans="1:11">
      <c r="A1812" t="s">
        <v>108</v>
      </c>
      <c r="B1812" t="s">
        <v>1414</v>
      </c>
      <c r="C1812" t="s">
        <v>1002</v>
      </c>
      <c r="D1812" t="s">
        <v>1003</v>
      </c>
      <c r="E1812" s="8">
        <v>740</v>
      </c>
      <c r="F1812" s="8">
        <v>79800</v>
      </c>
      <c r="G1812" s="8">
        <f t="shared" si="112"/>
        <v>59052000</v>
      </c>
      <c r="H1812" s="5">
        <v>0.6725</v>
      </c>
      <c r="I1812" s="8">
        <f t="shared" si="113"/>
        <v>59052000</v>
      </c>
      <c r="J1812" s="8">
        <f t="shared" si="114"/>
        <v>39712470</v>
      </c>
      <c r="K1812" t="str">
        <f t="shared" si="115"/>
        <v>MATCHED</v>
      </c>
    </row>
    <row r="1813" spans="1:11">
      <c r="A1813" t="s">
        <v>108</v>
      </c>
      <c r="B1813" t="s">
        <v>1414</v>
      </c>
      <c r="C1813" t="s">
        <v>1004</v>
      </c>
      <c r="D1813" t="s">
        <v>1005</v>
      </c>
      <c r="E1813" s="8"/>
      <c r="F1813" s="8">
        <v>110610</v>
      </c>
      <c r="G1813" s="8" t="str">
        <f t="shared" si="112"/>
        <v/>
      </c>
      <c r="H1813" s="5">
        <v>0.6684</v>
      </c>
      <c r="I1813" s="8" t="str">
        <f t="shared" si="113"/>
        <v/>
      </c>
      <c r="J1813" s="8" t="str">
        <f t="shared" si="114"/>
        <v/>
      </c>
      <c r="K1813" t="str">
        <f t="shared" si="115"/>
        <v>MISSING OEWS</v>
      </c>
    </row>
    <row r="1814" spans="1:11">
      <c r="A1814" t="s">
        <v>108</v>
      </c>
      <c r="B1814" t="s">
        <v>1414</v>
      </c>
      <c r="C1814" t="s">
        <v>650</v>
      </c>
      <c r="D1814" t="s">
        <v>651</v>
      </c>
      <c r="E1814" s="8">
        <v>1260</v>
      </c>
      <c r="F1814" s="8">
        <v>92620</v>
      </c>
      <c r="G1814" s="8">
        <f t="shared" si="112"/>
        <v>116701200</v>
      </c>
      <c r="H1814" s="5">
        <v>0.845</v>
      </c>
      <c r="I1814" s="8">
        <f t="shared" si="113"/>
        <v>116701200</v>
      </c>
      <c r="J1814" s="8">
        <f t="shared" si="114"/>
        <v>98612514</v>
      </c>
      <c r="K1814" t="str">
        <f t="shared" si="115"/>
        <v>MATCHED</v>
      </c>
    </row>
    <row r="1815" spans="1:11">
      <c r="A1815" t="s">
        <v>108</v>
      </c>
      <c r="B1815" t="s">
        <v>1414</v>
      </c>
      <c r="C1815" t="s">
        <v>361</v>
      </c>
      <c r="D1815" t="s">
        <v>362</v>
      </c>
      <c r="E1815" s="8">
        <v>41020</v>
      </c>
      <c r="F1815" s="8">
        <v>95970</v>
      </c>
      <c r="G1815" s="8">
        <f t="shared" si="112"/>
        <v>3936689400</v>
      </c>
      <c r="H1815" s="5">
        <v>0.73</v>
      </c>
      <c r="I1815" s="8">
        <f t="shared" si="113"/>
        <v>3936689400</v>
      </c>
      <c r="J1815" s="8">
        <f t="shared" si="114"/>
        <v>2873783262</v>
      </c>
      <c r="K1815" t="str">
        <f t="shared" si="115"/>
        <v>MATCHED</v>
      </c>
    </row>
    <row r="1816" spans="1:11">
      <c r="A1816" t="s">
        <v>108</v>
      </c>
      <c r="B1816" t="s">
        <v>1414</v>
      </c>
      <c r="C1816" t="s">
        <v>652</v>
      </c>
      <c r="D1816" t="s">
        <v>653</v>
      </c>
      <c r="E1816" s="8">
        <v>175530</v>
      </c>
      <c r="F1816" s="8">
        <v>120960</v>
      </c>
      <c r="G1816" s="8">
        <f t="shared" si="112"/>
        <v>21232108800</v>
      </c>
      <c r="H1816" s="5">
        <v>0.6463</v>
      </c>
      <c r="I1816" s="8">
        <f t="shared" si="113"/>
        <v>21232108800</v>
      </c>
      <c r="J1816" s="8">
        <f t="shared" si="114"/>
        <v>13722311917.44</v>
      </c>
      <c r="K1816" t="str">
        <f t="shared" si="115"/>
        <v>MATCHED</v>
      </c>
    </row>
    <row r="1817" spans="1:11">
      <c r="A1817" t="s">
        <v>108</v>
      </c>
      <c r="B1817" t="s">
        <v>1414</v>
      </c>
      <c r="C1817" t="s">
        <v>363</v>
      </c>
      <c r="D1817" t="s">
        <v>364</v>
      </c>
      <c r="E1817" s="8">
        <v>799760</v>
      </c>
      <c r="F1817" s="8">
        <v>81990</v>
      </c>
      <c r="G1817" s="8">
        <f t="shared" si="112"/>
        <v>65572322400</v>
      </c>
      <c r="H1817" s="5">
        <v>0.5105</v>
      </c>
      <c r="I1817" s="8">
        <f t="shared" si="113"/>
        <v>65572322400</v>
      </c>
      <c r="J1817" s="8">
        <f t="shared" si="114"/>
        <v>33474670585.2</v>
      </c>
      <c r="K1817" t="str">
        <f t="shared" si="115"/>
        <v>MATCHED</v>
      </c>
    </row>
    <row r="1818" spans="1:11">
      <c r="A1818" t="s">
        <v>108</v>
      </c>
      <c r="B1818" t="s">
        <v>1414</v>
      </c>
      <c r="C1818" t="s">
        <v>1006</v>
      </c>
      <c r="D1818" t="s">
        <v>1007</v>
      </c>
      <c r="E1818" s="8">
        <v>3500</v>
      </c>
      <c r="F1818" s="8">
        <v>51270</v>
      </c>
      <c r="G1818" s="8">
        <f t="shared" si="112"/>
        <v>179445000</v>
      </c>
      <c r="H1818" s="5">
        <v>0.3062</v>
      </c>
      <c r="I1818" s="8">
        <f t="shared" si="113"/>
        <v>179445000</v>
      </c>
      <c r="J1818" s="8">
        <f t="shared" si="114"/>
        <v>54946059</v>
      </c>
      <c r="K1818" t="str">
        <f t="shared" si="115"/>
        <v>MATCHED</v>
      </c>
    </row>
    <row r="1819" spans="1:11">
      <c r="A1819" t="s">
        <v>108</v>
      </c>
      <c r="B1819" t="s">
        <v>1414</v>
      </c>
      <c r="C1819" t="s">
        <v>1451</v>
      </c>
      <c r="D1819" t="s">
        <v>1452</v>
      </c>
      <c r="E1819" s="8"/>
      <c r="F1819" s="8">
        <v>35590</v>
      </c>
      <c r="G1819" s="8" t="str">
        <f t="shared" si="112"/>
        <v/>
      </c>
      <c r="H1819" s="5">
        <v>0.2071</v>
      </c>
      <c r="I1819" s="8" t="str">
        <f t="shared" si="113"/>
        <v/>
      </c>
      <c r="J1819" s="8" t="str">
        <f t="shared" si="114"/>
        <v/>
      </c>
      <c r="K1819" t="str">
        <f t="shared" si="115"/>
        <v>MISSING OEWS</v>
      </c>
    </row>
    <row r="1820" spans="1:11">
      <c r="A1820" t="s">
        <v>108</v>
      </c>
      <c r="B1820" t="s">
        <v>1414</v>
      </c>
      <c r="C1820" t="s">
        <v>654</v>
      </c>
      <c r="D1820" t="s">
        <v>655</v>
      </c>
      <c r="E1820" s="8">
        <v>40</v>
      </c>
      <c r="F1820" s="8">
        <v>94020</v>
      </c>
      <c r="G1820" s="8">
        <f t="shared" si="112"/>
        <v>3760800</v>
      </c>
      <c r="H1820" s="5">
        <v>0.5939</v>
      </c>
      <c r="I1820" s="8">
        <f t="shared" si="113"/>
        <v>3760800</v>
      </c>
      <c r="J1820" s="8">
        <f t="shared" si="114"/>
        <v>2233539.12</v>
      </c>
      <c r="K1820" t="str">
        <f t="shared" si="115"/>
        <v>MATCHED</v>
      </c>
    </row>
    <row r="1821" spans="1:11">
      <c r="A1821" t="s">
        <v>108</v>
      </c>
      <c r="B1821" t="s">
        <v>1414</v>
      </c>
      <c r="C1821" t="s">
        <v>656</v>
      </c>
      <c r="D1821" t="s">
        <v>657</v>
      </c>
      <c r="E1821" s="8">
        <v>14130</v>
      </c>
      <c r="F1821" s="8">
        <v>123690</v>
      </c>
      <c r="G1821" s="8">
        <f t="shared" si="112"/>
        <v>1747739700</v>
      </c>
      <c r="H1821" s="5">
        <v>0.518</v>
      </c>
      <c r="I1821" s="8">
        <f t="shared" si="113"/>
        <v>1747739700</v>
      </c>
      <c r="J1821" s="8">
        <f t="shared" si="114"/>
        <v>905329164.6</v>
      </c>
      <c r="K1821" t="str">
        <f t="shared" si="115"/>
        <v>MATCHED</v>
      </c>
    </row>
    <row r="1822" spans="1:11">
      <c r="A1822" t="s">
        <v>108</v>
      </c>
      <c r="B1822" t="s">
        <v>1414</v>
      </c>
      <c r="C1822" t="s">
        <v>1010</v>
      </c>
      <c r="D1822" t="s">
        <v>1011</v>
      </c>
      <c r="E1822" s="8">
        <v>2320</v>
      </c>
      <c r="F1822" s="8">
        <v>53000</v>
      </c>
      <c r="G1822" s="8">
        <f t="shared" si="112"/>
        <v>122960000</v>
      </c>
      <c r="H1822" s="5">
        <v>0.9625</v>
      </c>
      <c r="I1822" s="8">
        <f t="shared" si="113"/>
        <v>122960000</v>
      </c>
      <c r="J1822" s="8">
        <f t="shared" si="114"/>
        <v>118349000</v>
      </c>
      <c r="K1822" t="str">
        <f t="shared" si="115"/>
        <v>MATCHED</v>
      </c>
    </row>
    <row r="1823" spans="1:11">
      <c r="A1823" t="s">
        <v>108</v>
      </c>
      <c r="B1823" t="s">
        <v>1414</v>
      </c>
      <c r="C1823" t="s">
        <v>1012</v>
      </c>
      <c r="D1823" t="s">
        <v>1013</v>
      </c>
      <c r="E1823" s="8">
        <v>80</v>
      </c>
      <c r="F1823" s="8"/>
      <c r="G1823" s="8" t="str">
        <f t="shared" si="112"/>
        <v/>
      </c>
      <c r="H1823" s="5">
        <v>0.3167</v>
      </c>
      <c r="I1823" s="8" t="str">
        <f t="shared" si="113"/>
        <v/>
      </c>
      <c r="J1823" s="8" t="str">
        <f t="shared" si="114"/>
        <v/>
      </c>
      <c r="K1823" t="str">
        <f t="shared" si="115"/>
        <v>MISSING OEWS</v>
      </c>
    </row>
    <row r="1824" spans="1:11">
      <c r="A1824" t="s">
        <v>108</v>
      </c>
      <c r="B1824" t="s">
        <v>1414</v>
      </c>
      <c r="C1824" t="s">
        <v>365</v>
      </c>
      <c r="D1824" t="s">
        <v>366</v>
      </c>
      <c r="E1824" s="8">
        <v>14060</v>
      </c>
      <c r="F1824" s="8">
        <v>65780</v>
      </c>
      <c r="G1824" s="8">
        <f t="shared" si="112"/>
        <v>924866800</v>
      </c>
      <c r="H1824" s="5"/>
      <c r="I1824" s="8" t="str">
        <f t="shared" si="113"/>
        <v/>
      </c>
      <c r="J1824" s="8" t="str">
        <f t="shared" si="114"/>
        <v/>
      </c>
      <c r="K1824" t="str">
        <f t="shared" si="115"/>
        <v>MISSING WHARTON</v>
      </c>
    </row>
    <row r="1825" spans="1:11">
      <c r="A1825" t="s">
        <v>108</v>
      </c>
      <c r="B1825" t="s">
        <v>1414</v>
      </c>
      <c r="C1825" t="s">
        <v>367</v>
      </c>
      <c r="D1825" t="s">
        <v>368</v>
      </c>
      <c r="E1825" s="8">
        <v>67130</v>
      </c>
      <c r="F1825" s="8">
        <v>77360</v>
      </c>
      <c r="G1825" s="8">
        <f t="shared" si="112"/>
        <v>5193176800</v>
      </c>
      <c r="H1825" s="5">
        <v>0.5034</v>
      </c>
      <c r="I1825" s="8">
        <f t="shared" si="113"/>
        <v>5193176800</v>
      </c>
      <c r="J1825" s="8">
        <f t="shared" si="114"/>
        <v>2614245201.12</v>
      </c>
      <c r="K1825" t="str">
        <f t="shared" si="115"/>
        <v>MATCHED</v>
      </c>
    </row>
    <row r="1826" spans="1:11">
      <c r="A1826" t="s">
        <v>108</v>
      </c>
      <c r="B1826" t="s">
        <v>1414</v>
      </c>
      <c r="C1826" t="s">
        <v>1014</v>
      </c>
      <c r="D1826" t="s">
        <v>1015</v>
      </c>
      <c r="E1826" s="8"/>
      <c r="F1826" s="8">
        <v>47600</v>
      </c>
      <c r="G1826" s="8" t="str">
        <f t="shared" si="112"/>
        <v/>
      </c>
      <c r="H1826" s="5">
        <v>0.7579</v>
      </c>
      <c r="I1826" s="8" t="str">
        <f t="shared" si="113"/>
        <v/>
      </c>
      <c r="J1826" s="8" t="str">
        <f t="shared" si="114"/>
        <v/>
      </c>
      <c r="K1826" t="str">
        <f t="shared" si="115"/>
        <v>MISSING OEWS</v>
      </c>
    </row>
    <row r="1827" spans="1:11">
      <c r="A1827" t="s">
        <v>108</v>
      </c>
      <c r="B1827" t="s">
        <v>1414</v>
      </c>
      <c r="C1827" t="s">
        <v>880</v>
      </c>
      <c r="D1827" t="s">
        <v>881</v>
      </c>
      <c r="E1827" s="8">
        <v>5270</v>
      </c>
      <c r="F1827" s="8">
        <v>56020</v>
      </c>
      <c r="G1827" s="8">
        <f t="shared" si="112"/>
        <v>295225400</v>
      </c>
      <c r="H1827" s="5">
        <v>0.9</v>
      </c>
      <c r="I1827" s="8">
        <f t="shared" si="113"/>
        <v>295225400</v>
      </c>
      <c r="J1827" s="8">
        <f t="shared" si="114"/>
        <v>265702860</v>
      </c>
      <c r="K1827" t="str">
        <f t="shared" si="115"/>
        <v>MATCHED</v>
      </c>
    </row>
    <row r="1828" spans="1:11">
      <c r="A1828" t="s">
        <v>108</v>
      </c>
      <c r="B1828" t="s">
        <v>1414</v>
      </c>
      <c r="C1828" t="s">
        <v>369</v>
      </c>
      <c r="D1828" t="s">
        <v>370</v>
      </c>
      <c r="E1828" s="8">
        <v>15670</v>
      </c>
      <c r="F1828" s="8">
        <v>51160</v>
      </c>
      <c r="G1828" s="8">
        <f t="shared" si="112"/>
        <v>801677200</v>
      </c>
      <c r="H1828" s="5">
        <v>0.8617</v>
      </c>
      <c r="I1828" s="8">
        <f t="shared" si="113"/>
        <v>801677200</v>
      </c>
      <c r="J1828" s="8">
        <f t="shared" si="114"/>
        <v>690805243.24</v>
      </c>
      <c r="K1828" t="str">
        <f t="shared" si="115"/>
        <v>MATCHED</v>
      </c>
    </row>
    <row r="1829" spans="1:11">
      <c r="A1829" t="s">
        <v>108</v>
      </c>
      <c r="B1829" t="s">
        <v>1414</v>
      </c>
      <c r="C1829" t="s">
        <v>371</v>
      </c>
      <c r="D1829" t="s">
        <v>372</v>
      </c>
      <c r="E1829" s="8">
        <v>100750</v>
      </c>
      <c r="F1829" s="8">
        <v>53610</v>
      </c>
      <c r="G1829" s="8">
        <f t="shared" si="112"/>
        <v>5401207500</v>
      </c>
      <c r="H1829" s="5">
        <v>0.9517</v>
      </c>
      <c r="I1829" s="8">
        <f t="shared" si="113"/>
        <v>5401207500</v>
      </c>
      <c r="J1829" s="8">
        <f t="shared" si="114"/>
        <v>5140329177.75</v>
      </c>
      <c r="K1829" t="str">
        <f t="shared" si="115"/>
        <v>MATCHED</v>
      </c>
    </row>
    <row r="1830" spans="1:11">
      <c r="A1830" t="s">
        <v>108</v>
      </c>
      <c r="B1830" t="s">
        <v>1414</v>
      </c>
      <c r="C1830" t="s">
        <v>373</v>
      </c>
      <c r="D1830" t="s">
        <v>374</v>
      </c>
      <c r="E1830" s="8">
        <v>4200</v>
      </c>
      <c r="F1830" s="8">
        <v>59610</v>
      </c>
      <c r="G1830" s="8">
        <f t="shared" si="112"/>
        <v>250362000</v>
      </c>
      <c r="H1830" s="5">
        <v>0.9409</v>
      </c>
      <c r="I1830" s="8">
        <f t="shared" si="113"/>
        <v>250362000</v>
      </c>
      <c r="J1830" s="8">
        <f t="shared" si="114"/>
        <v>235565605.8</v>
      </c>
      <c r="K1830" t="str">
        <f t="shared" si="115"/>
        <v>MATCHED</v>
      </c>
    </row>
    <row r="1831" spans="1:11">
      <c r="A1831" t="s">
        <v>108</v>
      </c>
      <c r="B1831" t="s">
        <v>1414</v>
      </c>
      <c r="C1831" t="s">
        <v>375</v>
      </c>
      <c r="D1831" t="s">
        <v>376</v>
      </c>
      <c r="E1831" s="8">
        <v>8210</v>
      </c>
      <c r="F1831" s="8">
        <v>49240</v>
      </c>
      <c r="G1831" s="8">
        <f t="shared" si="112"/>
        <v>404260400</v>
      </c>
      <c r="H1831" s="5">
        <v>0.8237</v>
      </c>
      <c r="I1831" s="8">
        <f t="shared" si="113"/>
        <v>404260400</v>
      </c>
      <c r="J1831" s="8">
        <f t="shared" si="114"/>
        <v>332989291.48</v>
      </c>
      <c r="K1831" t="str">
        <f t="shared" si="115"/>
        <v>MATCHED</v>
      </c>
    </row>
    <row r="1832" spans="1:11">
      <c r="A1832" t="s">
        <v>108</v>
      </c>
      <c r="B1832" t="s">
        <v>1414</v>
      </c>
      <c r="C1832" t="s">
        <v>884</v>
      </c>
      <c r="D1832" t="s">
        <v>885</v>
      </c>
      <c r="E1832" s="8">
        <v>330</v>
      </c>
      <c r="F1832" s="8">
        <v>48640</v>
      </c>
      <c r="G1832" s="8">
        <f t="shared" si="112"/>
        <v>16051200</v>
      </c>
      <c r="H1832" s="5"/>
      <c r="I1832" s="8" t="str">
        <f t="shared" si="113"/>
        <v/>
      </c>
      <c r="J1832" s="8" t="str">
        <f t="shared" si="114"/>
        <v/>
      </c>
      <c r="K1832" t="str">
        <f t="shared" si="115"/>
        <v>MISSING WHARTON</v>
      </c>
    </row>
    <row r="1833" spans="1:11">
      <c r="A1833" t="s">
        <v>108</v>
      </c>
      <c r="B1833" t="s">
        <v>1414</v>
      </c>
      <c r="C1833" t="s">
        <v>1453</v>
      </c>
      <c r="D1833" t="s">
        <v>1454</v>
      </c>
      <c r="E1833" s="8"/>
      <c r="F1833" s="8">
        <v>46330</v>
      </c>
      <c r="G1833" s="8" t="str">
        <f t="shared" si="112"/>
        <v/>
      </c>
      <c r="H1833" s="5">
        <v>0.95</v>
      </c>
      <c r="I1833" s="8" t="str">
        <f t="shared" si="113"/>
        <v/>
      </c>
      <c r="J1833" s="8" t="str">
        <f t="shared" si="114"/>
        <v/>
      </c>
      <c r="K1833" t="str">
        <f t="shared" si="115"/>
        <v>MISSING OEWS</v>
      </c>
    </row>
    <row r="1834" spans="1:11">
      <c r="A1834" t="s">
        <v>108</v>
      </c>
      <c r="B1834" t="s">
        <v>1414</v>
      </c>
      <c r="C1834" t="s">
        <v>1284</v>
      </c>
      <c r="D1834" t="s">
        <v>1285</v>
      </c>
      <c r="E1834" s="8">
        <v>250</v>
      </c>
      <c r="F1834" s="8">
        <v>55270</v>
      </c>
      <c r="G1834" s="8">
        <f t="shared" si="112"/>
        <v>13817500</v>
      </c>
      <c r="H1834" s="5">
        <v>0.85</v>
      </c>
      <c r="I1834" s="8">
        <f t="shared" si="113"/>
        <v>13817500</v>
      </c>
      <c r="J1834" s="8">
        <f t="shared" si="114"/>
        <v>11744875</v>
      </c>
      <c r="K1834" t="str">
        <f t="shared" si="115"/>
        <v>MATCHED</v>
      </c>
    </row>
    <row r="1835" spans="1:11">
      <c r="A1835" t="s">
        <v>108</v>
      </c>
      <c r="B1835" t="s">
        <v>1414</v>
      </c>
      <c r="C1835" t="s">
        <v>1016</v>
      </c>
      <c r="D1835" t="s">
        <v>1017</v>
      </c>
      <c r="E1835" s="8">
        <v>1740</v>
      </c>
      <c r="F1835" s="8">
        <v>56980</v>
      </c>
      <c r="G1835" s="8">
        <f t="shared" si="112"/>
        <v>99145200</v>
      </c>
      <c r="H1835" s="5">
        <v>0.9469</v>
      </c>
      <c r="I1835" s="8">
        <f t="shared" si="113"/>
        <v>99145200</v>
      </c>
      <c r="J1835" s="8">
        <f t="shared" si="114"/>
        <v>93880589.88</v>
      </c>
      <c r="K1835" t="str">
        <f t="shared" si="115"/>
        <v>MATCHED</v>
      </c>
    </row>
    <row r="1836" spans="1:11">
      <c r="A1836" t="s">
        <v>108</v>
      </c>
      <c r="B1836" t="s">
        <v>1414</v>
      </c>
      <c r="C1836" t="s">
        <v>377</v>
      </c>
      <c r="D1836" t="s">
        <v>378</v>
      </c>
      <c r="E1836" s="8">
        <v>164220</v>
      </c>
      <c r="F1836" s="8">
        <v>52220</v>
      </c>
      <c r="G1836" s="8">
        <f t="shared" si="112"/>
        <v>8575568400</v>
      </c>
      <c r="H1836" s="5">
        <v>0.82</v>
      </c>
      <c r="I1836" s="8">
        <f t="shared" si="113"/>
        <v>8575568400</v>
      </c>
      <c r="J1836" s="8">
        <f t="shared" si="114"/>
        <v>7031966088</v>
      </c>
      <c r="K1836" t="str">
        <f t="shared" si="115"/>
        <v>MATCHED</v>
      </c>
    </row>
    <row r="1837" spans="1:11">
      <c r="A1837" t="s">
        <v>108</v>
      </c>
      <c r="B1837" t="s">
        <v>1414</v>
      </c>
      <c r="C1837" t="s">
        <v>379</v>
      </c>
      <c r="D1837" t="s">
        <v>380</v>
      </c>
      <c r="E1837" s="8">
        <v>1510</v>
      </c>
      <c r="F1837" s="8">
        <v>44760</v>
      </c>
      <c r="G1837" s="8">
        <f t="shared" si="112"/>
        <v>67587600</v>
      </c>
      <c r="H1837" s="5">
        <v>0.7526</v>
      </c>
      <c r="I1837" s="8">
        <f t="shared" si="113"/>
        <v>67587600</v>
      </c>
      <c r="J1837" s="8">
        <f t="shared" si="114"/>
        <v>50866427.76</v>
      </c>
      <c r="K1837" t="str">
        <f t="shared" si="115"/>
        <v>MATCHED</v>
      </c>
    </row>
    <row r="1838" spans="1:11">
      <c r="A1838" t="s">
        <v>108</v>
      </c>
      <c r="B1838" t="s">
        <v>1414</v>
      </c>
      <c r="C1838" t="s">
        <v>1286</v>
      </c>
      <c r="D1838" t="s">
        <v>1287</v>
      </c>
      <c r="E1838" s="8">
        <v>130</v>
      </c>
      <c r="F1838" s="8">
        <v>54640</v>
      </c>
      <c r="G1838" s="8">
        <f t="shared" si="112"/>
        <v>7103200</v>
      </c>
      <c r="H1838" s="5">
        <v>0.7088</v>
      </c>
      <c r="I1838" s="8">
        <f t="shared" si="113"/>
        <v>7103200</v>
      </c>
      <c r="J1838" s="8">
        <f t="shared" si="114"/>
        <v>5034748.16</v>
      </c>
      <c r="K1838" t="str">
        <f t="shared" si="115"/>
        <v>MATCHED</v>
      </c>
    </row>
    <row r="1839" spans="1:11">
      <c r="A1839" t="s">
        <v>108</v>
      </c>
      <c r="B1839" t="s">
        <v>1414</v>
      </c>
      <c r="C1839" t="s">
        <v>381</v>
      </c>
      <c r="D1839" t="s">
        <v>382</v>
      </c>
      <c r="E1839" s="8">
        <v>22230</v>
      </c>
      <c r="F1839" s="8">
        <v>49860</v>
      </c>
      <c r="G1839" s="8">
        <f t="shared" si="112"/>
        <v>1108387800</v>
      </c>
      <c r="H1839" s="5">
        <v>0.9553</v>
      </c>
      <c r="I1839" s="8">
        <f t="shared" si="113"/>
        <v>1108387800</v>
      </c>
      <c r="J1839" s="8">
        <f t="shared" si="114"/>
        <v>1058842865.34</v>
      </c>
      <c r="K1839" t="str">
        <f t="shared" si="115"/>
        <v>MATCHED</v>
      </c>
    </row>
    <row r="1840" spans="1:11">
      <c r="A1840" t="s">
        <v>108</v>
      </c>
      <c r="B1840" t="s">
        <v>1414</v>
      </c>
      <c r="C1840" t="s">
        <v>383</v>
      </c>
      <c r="D1840" t="s">
        <v>384</v>
      </c>
      <c r="E1840" s="8">
        <v>2440</v>
      </c>
      <c r="F1840" s="8">
        <v>51800</v>
      </c>
      <c r="G1840" s="8">
        <f t="shared" si="112"/>
        <v>126392000</v>
      </c>
      <c r="H1840" s="5">
        <v>0.8342</v>
      </c>
      <c r="I1840" s="8">
        <f t="shared" si="113"/>
        <v>126392000</v>
      </c>
      <c r="J1840" s="8">
        <f t="shared" si="114"/>
        <v>105436206.4</v>
      </c>
      <c r="K1840" t="str">
        <f t="shared" si="115"/>
        <v>MATCHED</v>
      </c>
    </row>
    <row r="1841" spans="1:11">
      <c r="A1841" t="s">
        <v>108</v>
      </c>
      <c r="B1841" t="s">
        <v>1414</v>
      </c>
      <c r="C1841" t="s">
        <v>385</v>
      </c>
      <c r="D1841" t="s">
        <v>386</v>
      </c>
      <c r="E1841" s="8">
        <v>12240</v>
      </c>
      <c r="F1841" s="8">
        <v>41620</v>
      </c>
      <c r="G1841" s="8">
        <f t="shared" si="112"/>
        <v>509428800</v>
      </c>
      <c r="H1841" s="5">
        <v>0.7368</v>
      </c>
      <c r="I1841" s="8">
        <f t="shared" si="113"/>
        <v>509428800</v>
      </c>
      <c r="J1841" s="8">
        <f t="shared" si="114"/>
        <v>375347139.84</v>
      </c>
      <c r="K1841" t="str">
        <f t="shared" si="115"/>
        <v>MATCHED</v>
      </c>
    </row>
    <row r="1842" spans="1:11">
      <c r="A1842" t="s">
        <v>108</v>
      </c>
      <c r="B1842" t="s">
        <v>1414</v>
      </c>
      <c r="C1842" t="s">
        <v>658</v>
      </c>
      <c r="D1842" t="s">
        <v>659</v>
      </c>
      <c r="E1842" s="8">
        <v>1030</v>
      </c>
      <c r="F1842" s="8">
        <v>49490</v>
      </c>
      <c r="G1842" s="8">
        <f t="shared" si="112"/>
        <v>50974700</v>
      </c>
      <c r="H1842" s="5"/>
      <c r="I1842" s="8" t="str">
        <f t="shared" si="113"/>
        <v/>
      </c>
      <c r="J1842" s="8" t="str">
        <f t="shared" si="114"/>
        <v/>
      </c>
      <c r="K1842" t="str">
        <f t="shared" si="115"/>
        <v>MISSING WHARTON</v>
      </c>
    </row>
    <row r="1843" spans="1:11">
      <c r="A1843" t="s">
        <v>108</v>
      </c>
      <c r="B1843" t="s">
        <v>1414</v>
      </c>
      <c r="C1843" t="s">
        <v>1288</v>
      </c>
      <c r="D1843" t="s">
        <v>1289</v>
      </c>
      <c r="E1843" s="8">
        <v>780</v>
      </c>
      <c r="F1843" s="8">
        <v>60460</v>
      </c>
      <c r="G1843" s="8">
        <f t="shared" si="112"/>
        <v>47158800</v>
      </c>
      <c r="H1843" s="5">
        <v>0.6384</v>
      </c>
      <c r="I1843" s="8">
        <f t="shared" si="113"/>
        <v>47158800</v>
      </c>
      <c r="J1843" s="8">
        <f t="shared" si="114"/>
        <v>30106177.92</v>
      </c>
      <c r="K1843" t="str">
        <f t="shared" si="115"/>
        <v>MATCHED</v>
      </c>
    </row>
    <row r="1844" spans="1:11">
      <c r="A1844" t="s">
        <v>108</v>
      </c>
      <c r="B1844" t="s">
        <v>1414</v>
      </c>
      <c r="C1844" t="s">
        <v>886</v>
      </c>
      <c r="D1844" t="s">
        <v>887</v>
      </c>
      <c r="E1844" s="8"/>
      <c r="F1844" s="8">
        <v>38030</v>
      </c>
      <c r="G1844" s="8" t="str">
        <f t="shared" si="112"/>
        <v/>
      </c>
      <c r="H1844" s="5">
        <v>0.2235</v>
      </c>
      <c r="I1844" s="8" t="str">
        <f t="shared" si="113"/>
        <v/>
      </c>
      <c r="J1844" s="8" t="str">
        <f t="shared" si="114"/>
        <v/>
      </c>
      <c r="K1844" t="str">
        <f t="shared" si="115"/>
        <v>MISSING OEWS</v>
      </c>
    </row>
    <row r="1845" spans="1:11">
      <c r="A1845" t="s">
        <v>108</v>
      </c>
      <c r="B1845" t="s">
        <v>1414</v>
      </c>
      <c r="C1845" t="s">
        <v>387</v>
      </c>
      <c r="D1845" t="s">
        <v>388</v>
      </c>
      <c r="E1845" s="8">
        <v>12170</v>
      </c>
      <c r="F1845" s="8">
        <v>57870</v>
      </c>
      <c r="G1845" s="8">
        <f t="shared" si="112"/>
        <v>704277900</v>
      </c>
      <c r="H1845" s="5">
        <v>0.8192</v>
      </c>
      <c r="I1845" s="8">
        <f t="shared" si="113"/>
        <v>704277900</v>
      </c>
      <c r="J1845" s="8">
        <f t="shared" si="114"/>
        <v>576944455.68</v>
      </c>
      <c r="K1845" t="str">
        <f t="shared" si="115"/>
        <v>MATCHED</v>
      </c>
    </row>
    <row r="1846" spans="1:11">
      <c r="A1846" t="s">
        <v>108</v>
      </c>
      <c r="B1846" t="s">
        <v>1414</v>
      </c>
      <c r="C1846" t="s">
        <v>389</v>
      </c>
      <c r="D1846" t="s">
        <v>390</v>
      </c>
      <c r="E1846" s="8">
        <v>28420</v>
      </c>
      <c r="F1846" s="8">
        <v>59640</v>
      </c>
      <c r="G1846" s="8">
        <f t="shared" si="112"/>
        <v>1694968800</v>
      </c>
      <c r="H1846" s="5">
        <v>0.7794</v>
      </c>
      <c r="I1846" s="8">
        <f t="shared" si="113"/>
        <v>1694968800</v>
      </c>
      <c r="J1846" s="8">
        <f t="shared" si="114"/>
        <v>1321058682.72</v>
      </c>
      <c r="K1846" t="str">
        <f t="shared" si="115"/>
        <v>MATCHED</v>
      </c>
    </row>
    <row r="1847" spans="1:11">
      <c r="A1847" t="s">
        <v>108</v>
      </c>
      <c r="B1847" t="s">
        <v>1414</v>
      </c>
      <c r="C1847" t="s">
        <v>391</v>
      </c>
      <c r="D1847" t="s">
        <v>392</v>
      </c>
      <c r="E1847" s="8">
        <v>124950</v>
      </c>
      <c r="F1847" s="8">
        <v>46710</v>
      </c>
      <c r="G1847" s="8">
        <f t="shared" si="112"/>
        <v>5836414500</v>
      </c>
      <c r="H1847" s="5">
        <v>0.6455</v>
      </c>
      <c r="I1847" s="8">
        <f t="shared" si="113"/>
        <v>5836414500</v>
      </c>
      <c r="J1847" s="8">
        <f t="shared" si="114"/>
        <v>3767405559.75</v>
      </c>
      <c r="K1847" t="str">
        <f t="shared" si="115"/>
        <v>MATCHED</v>
      </c>
    </row>
    <row r="1848" spans="1:11">
      <c r="A1848" t="s">
        <v>108</v>
      </c>
      <c r="B1848" t="s">
        <v>1414</v>
      </c>
      <c r="C1848" t="s">
        <v>393</v>
      </c>
      <c r="D1848" t="s">
        <v>394</v>
      </c>
      <c r="E1848" s="8">
        <v>7550</v>
      </c>
      <c r="F1848" s="8">
        <v>45800</v>
      </c>
      <c r="G1848" s="8">
        <f t="shared" si="112"/>
        <v>345790000</v>
      </c>
      <c r="H1848" s="5">
        <v>0.2932</v>
      </c>
      <c r="I1848" s="8">
        <f t="shared" si="113"/>
        <v>345790000</v>
      </c>
      <c r="J1848" s="8">
        <f t="shared" si="114"/>
        <v>101385628</v>
      </c>
      <c r="K1848" t="str">
        <f t="shared" si="115"/>
        <v>MATCHED</v>
      </c>
    </row>
    <row r="1849" spans="1:11">
      <c r="A1849" t="s">
        <v>108</v>
      </c>
      <c r="B1849" t="s">
        <v>1414</v>
      </c>
      <c r="C1849" t="s">
        <v>395</v>
      </c>
      <c r="D1849" t="s">
        <v>396</v>
      </c>
      <c r="E1849" s="8">
        <v>13520</v>
      </c>
      <c r="F1849" s="8">
        <v>80320</v>
      </c>
      <c r="G1849" s="8">
        <f t="shared" si="112"/>
        <v>1085926400</v>
      </c>
      <c r="H1849" s="5">
        <v>0.7955</v>
      </c>
      <c r="I1849" s="8">
        <f t="shared" si="113"/>
        <v>1085926400</v>
      </c>
      <c r="J1849" s="8">
        <f t="shared" si="114"/>
        <v>863854451.2</v>
      </c>
      <c r="K1849" t="str">
        <f t="shared" si="115"/>
        <v>MATCHED</v>
      </c>
    </row>
    <row r="1850" spans="1:11">
      <c r="A1850" t="s">
        <v>108</v>
      </c>
      <c r="B1850" t="s">
        <v>1414</v>
      </c>
      <c r="C1850" t="s">
        <v>890</v>
      </c>
      <c r="D1850" t="s">
        <v>891</v>
      </c>
      <c r="E1850" s="8">
        <v>70</v>
      </c>
      <c r="F1850" s="8">
        <v>70210</v>
      </c>
      <c r="G1850" s="8">
        <f t="shared" si="112"/>
        <v>4914700</v>
      </c>
      <c r="H1850" s="5">
        <v>0.8679</v>
      </c>
      <c r="I1850" s="8">
        <f t="shared" si="113"/>
        <v>4914700</v>
      </c>
      <c r="J1850" s="8">
        <f t="shared" si="114"/>
        <v>4265468.13</v>
      </c>
      <c r="K1850" t="str">
        <f t="shared" si="115"/>
        <v>MATCHED</v>
      </c>
    </row>
    <row r="1851" spans="1:11">
      <c r="A1851" t="s">
        <v>108</v>
      </c>
      <c r="B1851" t="s">
        <v>1414</v>
      </c>
      <c r="C1851" t="s">
        <v>1290</v>
      </c>
      <c r="D1851" t="s">
        <v>1291</v>
      </c>
      <c r="E1851" s="8">
        <v>1140</v>
      </c>
      <c r="F1851" s="8">
        <v>42020</v>
      </c>
      <c r="G1851" s="8">
        <f t="shared" si="112"/>
        <v>47902800</v>
      </c>
      <c r="H1851" s="5">
        <v>0.9031</v>
      </c>
      <c r="I1851" s="8">
        <f t="shared" si="113"/>
        <v>47902800</v>
      </c>
      <c r="J1851" s="8">
        <f t="shared" si="114"/>
        <v>43261018.68</v>
      </c>
      <c r="K1851" t="str">
        <f t="shared" si="115"/>
        <v>MATCHED</v>
      </c>
    </row>
    <row r="1852" spans="1:11">
      <c r="A1852" t="s">
        <v>108</v>
      </c>
      <c r="B1852" t="s">
        <v>1414</v>
      </c>
      <c r="C1852" t="s">
        <v>397</v>
      </c>
      <c r="D1852" t="s">
        <v>398</v>
      </c>
      <c r="E1852" s="8">
        <v>60420</v>
      </c>
      <c r="F1852" s="8">
        <v>49120</v>
      </c>
      <c r="G1852" s="8">
        <f t="shared" si="112"/>
        <v>2967830400</v>
      </c>
      <c r="H1852" s="5">
        <v>0.8031</v>
      </c>
      <c r="I1852" s="8">
        <f t="shared" si="113"/>
        <v>2967830400</v>
      </c>
      <c r="J1852" s="8">
        <f t="shared" si="114"/>
        <v>2383464594.24</v>
      </c>
      <c r="K1852" t="str">
        <f t="shared" si="115"/>
        <v>MATCHED</v>
      </c>
    </row>
    <row r="1853" spans="1:11">
      <c r="A1853" t="s">
        <v>108</v>
      </c>
      <c r="B1853" t="s">
        <v>1414</v>
      </c>
      <c r="C1853" t="s">
        <v>399</v>
      </c>
      <c r="D1853" t="s">
        <v>400</v>
      </c>
      <c r="E1853" s="8">
        <v>7180</v>
      </c>
      <c r="F1853" s="8">
        <v>45120</v>
      </c>
      <c r="G1853" s="8">
        <f t="shared" si="112"/>
        <v>323961600</v>
      </c>
      <c r="H1853" s="5">
        <v>0.75</v>
      </c>
      <c r="I1853" s="8">
        <f t="shared" si="113"/>
        <v>323961600</v>
      </c>
      <c r="J1853" s="8">
        <f t="shared" si="114"/>
        <v>242971200</v>
      </c>
      <c r="K1853" t="str">
        <f t="shared" si="115"/>
        <v>MATCHED</v>
      </c>
    </row>
    <row r="1854" spans="1:11">
      <c r="A1854" t="s">
        <v>108</v>
      </c>
      <c r="B1854" t="s">
        <v>1414</v>
      </c>
      <c r="C1854" t="s">
        <v>1455</v>
      </c>
      <c r="D1854" t="s">
        <v>1456</v>
      </c>
      <c r="E1854" s="8">
        <v>100</v>
      </c>
      <c r="F1854" s="8">
        <v>47880</v>
      </c>
      <c r="G1854" s="8">
        <f t="shared" si="112"/>
        <v>4788000</v>
      </c>
      <c r="H1854" s="5">
        <v>0.835</v>
      </c>
      <c r="I1854" s="8">
        <f t="shared" si="113"/>
        <v>4788000</v>
      </c>
      <c r="J1854" s="8">
        <f t="shared" si="114"/>
        <v>3997980</v>
      </c>
      <c r="K1854" t="str">
        <f t="shared" si="115"/>
        <v>MATCHED</v>
      </c>
    </row>
    <row r="1855" spans="1:11">
      <c r="A1855" t="s">
        <v>108</v>
      </c>
      <c r="B1855" t="s">
        <v>1414</v>
      </c>
      <c r="C1855" t="s">
        <v>1292</v>
      </c>
      <c r="D1855" t="s">
        <v>1293</v>
      </c>
      <c r="E1855" s="8">
        <v>130</v>
      </c>
      <c r="F1855" s="8">
        <v>55880</v>
      </c>
      <c r="G1855" s="8">
        <f t="shared" si="112"/>
        <v>7264400</v>
      </c>
      <c r="H1855" s="5">
        <v>0.9417</v>
      </c>
      <c r="I1855" s="8">
        <f t="shared" si="113"/>
        <v>7264400</v>
      </c>
      <c r="J1855" s="8">
        <f t="shared" si="114"/>
        <v>6840885.48</v>
      </c>
      <c r="K1855" t="str">
        <f t="shared" si="115"/>
        <v>MATCHED</v>
      </c>
    </row>
    <row r="1856" spans="1:11">
      <c r="A1856" t="s">
        <v>108</v>
      </c>
      <c r="B1856" t="s">
        <v>1414</v>
      </c>
      <c r="C1856" t="s">
        <v>1020</v>
      </c>
      <c r="D1856" t="s">
        <v>1021</v>
      </c>
      <c r="E1856" s="8">
        <v>720</v>
      </c>
      <c r="F1856" s="8">
        <v>46660</v>
      </c>
      <c r="G1856" s="8">
        <f t="shared" si="112"/>
        <v>33595200</v>
      </c>
      <c r="H1856" s="5">
        <v>0.9519</v>
      </c>
      <c r="I1856" s="8">
        <f t="shared" si="113"/>
        <v>33595200</v>
      </c>
      <c r="J1856" s="8">
        <f t="shared" si="114"/>
        <v>31979270.88</v>
      </c>
      <c r="K1856" t="str">
        <f t="shared" si="115"/>
        <v>MATCHED</v>
      </c>
    </row>
    <row r="1857" spans="1:11">
      <c r="A1857" t="s">
        <v>108</v>
      </c>
      <c r="B1857" t="s">
        <v>1414</v>
      </c>
      <c r="C1857" t="s">
        <v>892</v>
      </c>
      <c r="D1857" t="s">
        <v>893</v>
      </c>
      <c r="E1857" s="8">
        <v>680</v>
      </c>
      <c r="F1857" s="8">
        <v>40600</v>
      </c>
      <c r="G1857" s="8">
        <f t="shared" si="112"/>
        <v>27608000</v>
      </c>
      <c r="H1857" s="5">
        <v>0.231</v>
      </c>
      <c r="I1857" s="8">
        <f t="shared" si="113"/>
        <v>27608000</v>
      </c>
      <c r="J1857" s="8">
        <f t="shared" si="114"/>
        <v>6377448</v>
      </c>
      <c r="K1857" t="str">
        <f t="shared" si="115"/>
        <v>MATCHED</v>
      </c>
    </row>
    <row r="1858" spans="1:11">
      <c r="A1858" t="s">
        <v>108</v>
      </c>
      <c r="B1858" t="s">
        <v>1414</v>
      </c>
      <c r="C1858" t="s">
        <v>401</v>
      </c>
      <c r="D1858" t="s">
        <v>402</v>
      </c>
      <c r="E1858" s="8">
        <v>131260</v>
      </c>
      <c r="F1858" s="8">
        <v>47170</v>
      </c>
      <c r="G1858" s="8">
        <f t="shared" ref="G1858:G1921" si="116">IF(OR(E1858="",F1858=""),"",E1858*F1858)</f>
        <v>6191534200</v>
      </c>
      <c r="H1858" s="5">
        <v>0.7452</v>
      </c>
      <c r="I1858" s="8">
        <f t="shared" ref="I1858:I1921" si="117">IF(G1858="","",IF(ISNUMBER(H1858),G1858,""))</f>
        <v>6191534200</v>
      </c>
      <c r="J1858" s="8">
        <f t="shared" ref="J1858:J1921" si="118">IF(I1858="","",I1858*H1858)</f>
        <v>4613931285.84</v>
      </c>
      <c r="K1858" t="str">
        <f t="shared" ref="K1858:K1921" si="119">IF(G1858="","MISSING OEWS",IF(ISNUMBER(H1858),"MATCHED","MISSING WHARTON"))</f>
        <v>MATCHED</v>
      </c>
    </row>
    <row r="1859" spans="1:11">
      <c r="A1859" t="s">
        <v>108</v>
      </c>
      <c r="B1859" t="s">
        <v>1414</v>
      </c>
      <c r="C1859" t="s">
        <v>660</v>
      </c>
      <c r="D1859" t="s">
        <v>661</v>
      </c>
      <c r="E1859" s="8">
        <v>2510</v>
      </c>
      <c r="F1859" s="8">
        <v>42610</v>
      </c>
      <c r="G1859" s="8">
        <f t="shared" si="116"/>
        <v>106951100</v>
      </c>
      <c r="H1859" s="5">
        <v>0.2639</v>
      </c>
      <c r="I1859" s="8">
        <f t="shared" si="117"/>
        <v>106951100</v>
      </c>
      <c r="J1859" s="8">
        <f t="shared" si="118"/>
        <v>28224395.29</v>
      </c>
      <c r="K1859" t="str">
        <f t="shared" si="119"/>
        <v>MATCHED</v>
      </c>
    </row>
    <row r="1860" spans="1:11">
      <c r="A1860" t="s">
        <v>108</v>
      </c>
      <c r="B1860" t="s">
        <v>1414</v>
      </c>
      <c r="C1860" t="s">
        <v>1294</v>
      </c>
      <c r="D1860" t="s">
        <v>1295</v>
      </c>
      <c r="E1860" s="8">
        <v>130</v>
      </c>
      <c r="F1860" s="8">
        <v>56290</v>
      </c>
      <c r="G1860" s="8">
        <f t="shared" si="116"/>
        <v>7317700</v>
      </c>
      <c r="H1860" s="5">
        <v>0.9273</v>
      </c>
      <c r="I1860" s="8">
        <f t="shared" si="117"/>
        <v>7317700</v>
      </c>
      <c r="J1860" s="8">
        <f t="shared" si="118"/>
        <v>6785703.21</v>
      </c>
      <c r="K1860" t="str">
        <f t="shared" si="119"/>
        <v>MATCHED</v>
      </c>
    </row>
    <row r="1861" spans="1:11">
      <c r="A1861" t="s">
        <v>108</v>
      </c>
      <c r="B1861" t="s">
        <v>1414</v>
      </c>
      <c r="C1861" t="s">
        <v>662</v>
      </c>
      <c r="D1861" t="s">
        <v>663</v>
      </c>
      <c r="E1861" s="8">
        <v>3250</v>
      </c>
      <c r="F1861" s="8">
        <v>48910</v>
      </c>
      <c r="G1861" s="8">
        <f t="shared" si="116"/>
        <v>158957500</v>
      </c>
      <c r="H1861" s="5"/>
      <c r="I1861" s="8" t="str">
        <f t="shared" si="117"/>
        <v/>
      </c>
      <c r="J1861" s="8" t="str">
        <f t="shared" si="118"/>
        <v/>
      </c>
      <c r="K1861" t="str">
        <f t="shared" si="119"/>
        <v>MISSING WHARTON</v>
      </c>
    </row>
    <row r="1862" spans="1:11">
      <c r="A1862" t="s">
        <v>108</v>
      </c>
      <c r="B1862" t="s">
        <v>1414</v>
      </c>
      <c r="C1862" t="s">
        <v>403</v>
      </c>
      <c r="D1862" t="s">
        <v>404</v>
      </c>
      <c r="E1862" s="8">
        <v>3320</v>
      </c>
      <c r="F1862" s="8">
        <v>63710</v>
      </c>
      <c r="G1862" s="8">
        <f t="shared" si="116"/>
        <v>211517200</v>
      </c>
      <c r="H1862" s="5">
        <v>0.22</v>
      </c>
      <c r="I1862" s="8">
        <f t="shared" si="117"/>
        <v>211517200</v>
      </c>
      <c r="J1862" s="8">
        <f t="shared" si="118"/>
        <v>46533784</v>
      </c>
      <c r="K1862" t="str">
        <f t="shared" si="119"/>
        <v>MATCHED</v>
      </c>
    </row>
    <row r="1863" spans="1:11">
      <c r="A1863" t="s">
        <v>108</v>
      </c>
      <c r="B1863" t="s">
        <v>1414</v>
      </c>
      <c r="C1863" t="s">
        <v>405</v>
      </c>
      <c r="D1863" t="s">
        <v>406</v>
      </c>
      <c r="E1863" s="8">
        <v>630</v>
      </c>
      <c r="F1863" s="8">
        <v>56590</v>
      </c>
      <c r="G1863" s="8">
        <f t="shared" si="116"/>
        <v>35651700</v>
      </c>
      <c r="H1863" s="5">
        <v>0.15</v>
      </c>
      <c r="I1863" s="8">
        <f t="shared" si="117"/>
        <v>35651700</v>
      </c>
      <c r="J1863" s="8">
        <f t="shared" si="118"/>
        <v>5347755</v>
      </c>
      <c r="K1863" t="str">
        <f t="shared" si="119"/>
        <v>MATCHED</v>
      </c>
    </row>
    <row r="1864" spans="1:11">
      <c r="A1864" t="s">
        <v>108</v>
      </c>
      <c r="B1864" t="s">
        <v>1414</v>
      </c>
      <c r="C1864" t="s">
        <v>407</v>
      </c>
      <c r="D1864" t="s">
        <v>408</v>
      </c>
      <c r="E1864" s="8">
        <v>30</v>
      </c>
      <c r="F1864" s="8">
        <v>44770</v>
      </c>
      <c r="G1864" s="8">
        <f t="shared" si="116"/>
        <v>1343100</v>
      </c>
      <c r="H1864" s="5">
        <v>0.0396</v>
      </c>
      <c r="I1864" s="8">
        <f t="shared" si="117"/>
        <v>1343100</v>
      </c>
      <c r="J1864" s="8">
        <f t="shared" si="118"/>
        <v>53186.76</v>
      </c>
      <c r="K1864" t="str">
        <f t="shared" si="119"/>
        <v>MATCHED</v>
      </c>
    </row>
    <row r="1865" spans="1:11">
      <c r="A1865" t="s">
        <v>108</v>
      </c>
      <c r="B1865" t="s">
        <v>1414</v>
      </c>
      <c r="C1865" t="s">
        <v>409</v>
      </c>
      <c r="D1865" t="s">
        <v>410</v>
      </c>
      <c r="E1865" s="8">
        <v>2540</v>
      </c>
      <c r="F1865" s="8">
        <v>38740</v>
      </c>
      <c r="G1865" s="8">
        <f t="shared" si="116"/>
        <v>98399600</v>
      </c>
      <c r="H1865" s="5">
        <v>0.1583</v>
      </c>
      <c r="I1865" s="8">
        <f t="shared" si="117"/>
        <v>98399600</v>
      </c>
      <c r="J1865" s="8">
        <f t="shared" si="118"/>
        <v>15576656.68</v>
      </c>
      <c r="K1865" t="str">
        <f t="shared" si="119"/>
        <v>MATCHED</v>
      </c>
    </row>
    <row r="1866" spans="1:11">
      <c r="A1866" t="s">
        <v>108</v>
      </c>
      <c r="B1866" t="s">
        <v>1414</v>
      </c>
      <c r="C1866" t="s">
        <v>411</v>
      </c>
      <c r="D1866" t="s">
        <v>412</v>
      </c>
      <c r="E1866" s="8">
        <v>8760</v>
      </c>
      <c r="F1866" s="8">
        <v>47140</v>
      </c>
      <c r="G1866" s="8">
        <f t="shared" si="116"/>
        <v>412946400</v>
      </c>
      <c r="H1866" s="5">
        <v>0.0559</v>
      </c>
      <c r="I1866" s="8">
        <f t="shared" si="117"/>
        <v>412946400</v>
      </c>
      <c r="J1866" s="8">
        <f t="shared" si="118"/>
        <v>23083703.76</v>
      </c>
      <c r="K1866" t="str">
        <f t="shared" si="119"/>
        <v>MATCHED</v>
      </c>
    </row>
    <row r="1867" spans="1:11">
      <c r="A1867" t="s">
        <v>108</v>
      </c>
      <c r="B1867" t="s">
        <v>1414</v>
      </c>
      <c r="C1867" t="s">
        <v>413</v>
      </c>
      <c r="D1867" t="s">
        <v>414</v>
      </c>
      <c r="E1867" s="8">
        <v>19690</v>
      </c>
      <c r="F1867" s="8">
        <v>37640</v>
      </c>
      <c r="G1867" s="8">
        <f t="shared" si="116"/>
        <v>741131600</v>
      </c>
      <c r="H1867" s="5">
        <v>0.0633</v>
      </c>
      <c r="I1867" s="8">
        <f t="shared" si="117"/>
        <v>741131600</v>
      </c>
      <c r="J1867" s="8">
        <f t="shared" si="118"/>
        <v>46913630.28</v>
      </c>
      <c r="K1867" t="str">
        <f t="shared" si="119"/>
        <v>MATCHED</v>
      </c>
    </row>
    <row r="1868" spans="1:11">
      <c r="A1868" t="s">
        <v>108</v>
      </c>
      <c r="B1868" t="s">
        <v>1414</v>
      </c>
      <c r="C1868" t="s">
        <v>415</v>
      </c>
      <c r="D1868" t="s">
        <v>416</v>
      </c>
      <c r="E1868" s="8">
        <v>6570</v>
      </c>
      <c r="F1868" s="8">
        <v>36590</v>
      </c>
      <c r="G1868" s="8">
        <f t="shared" si="116"/>
        <v>240396300</v>
      </c>
      <c r="H1868" s="5">
        <v>0.0864</v>
      </c>
      <c r="I1868" s="8">
        <f t="shared" si="117"/>
        <v>240396300</v>
      </c>
      <c r="J1868" s="8">
        <f t="shared" si="118"/>
        <v>20770240.32</v>
      </c>
      <c r="K1868" t="str">
        <f t="shared" si="119"/>
        <v>MATCHED</v>
      </c>
    </row>
    <row r="1869" spans="1:11">
      <c r="A1869" t="s">
        <v>108</v>
      </c>
      <c r="B1869" t="s">
        <v>1414</v>
      </c>
      <c r="C1869" t="s">
        <v>417</v>
      </c>
      <c r="D1869" t="s">
        <v>418</v>
      </c>
      <c r="E1869" s="8">
        <v>620</v>
      </c>
      <c r="F1869" s="8">
        <v>45150</v>
      </c>
      <c r="G1869" s="8">
        <f t="shared" si="116"/>
        <v>27993000</v>
      </c>
      <c r="H1869" s="5"/>
      <c r="I1869" s="8" t="str">
        <f t="shared" si="117"/>
        <v/>
      </c>
      <c r="J1869" s="8" t="str">
        <f t="shared" si="118"/>
        <v/>
      </c>
      <c r="K1869" t="str">
        <f t="shared" si="119"/>
        <v>MISSING WHARTON</v>
      </c>
    </row>
    <row r="1870" spans="1:11">
      <c r="A1870" t="s">
        <v>108</v>
      </c>
      <c r="B1870" t="s">
        <v>1414</v>
      </c>
      <c r="C1870" t="s">
        <v>423</v>
      </c>
      <c r="D1870" t="s">
        <v>424</v>
      </c>
      <c r="E1870" s="8">
        <v>150</v>
      </c>
      <c r="F1870" s="8">
        <v>54820</v>
      </c>
      <c r="G1870" s="8">
        <f t="shared" si="116"/>
        <v>8223000</v>
      </c>
      <c r="H1870" s="5">
        <v>0.1462</v>
      </c>
      <c r="I1870" s="8">
        <f t="shared" si="117"/>
        <v>8223000</v>
      </c>
      <c r="J1870" s="8">
        <f t="shared" si="118"/>
        <v>1202202.6</v>
      </c>
      <c r="K1870" t="str">
        <f t="shared" si="119"/>
        <v>MATCHED</v>
      </c>
    </row>
    <row r="1871" spans="1:11">
      <c r="A1871" t="s">
        <v>108</v>
      </c>
      <c r="B1871" t="s">
        <v>1414</v>
      </c>
      <c r="C1871" t="s">
        <v>664</v>
      </c>
      <c r="D1871" t="s">
        <v>665</v>
      </c>
      <c r="E1871" s="8">
        <v>4000</v>
      </c>
      <c r="F1871" s="8">
        <v>81440</v>
      </c>
      <c r="G1871" s="8">
        <f t="shared" si="116"/>
        <v>325760000</v>
      </c>
      <c r="H1871" s="5">
        <v>0.265</v>
      </c>
      <c r="I1871" s="8">
        <f t="shared" si="117"/>
        <v>325760000</v>
      </c>
      <c r="J1871" s="8">
        <f t="shared" si="118"/>
        <v>86326400</v>
      </c>
      <c r="K1871" t="str">
        <f t="shared" si="119"/>
        <v>MATCHED</v>
      </c>
    </row>
    <row r="1872" spans="1:11">
      <c r="A1872" t="s">
        <v>108</v>
      </c>
      <c r="B1872" t="s">
        <v>1414</v>
      </c>
      <c r="C1872" t="s">
        <v>666</v>
      </c>
      <c r="D1872" t="s">
        <v>667</v>
      </c>
      <c r="E1872" s="8"/>
      <c r="F1872" s="8">
        <v>100610</v>
      </c>
      <c r="G1872" s="8" t="str">
        <f t="shared" si="116"/>
        <v/>
      </c>
      <c r="H1872" s="5">
        <v>0</v>
      </c>
      <c r="I1872" s="8" t="str">
        <f t="shared" si="117"/>
        <v/>
      </c>
      <c r="J1872" s="8" t="str">
        <f t="shared" si="118"/>
        <v/>
      </c>
      <c r="K1872" t="str">
        <f t="shared" si="119"/>
        <v>MISSING OEWS</v>
      </c>
    </row>
    <row r="1873" spans="1:11">
      <c r="A1873" t="s">
        <v>108</v>
      </c>
      <c r="B1873" t="s">
        <v>1414</v>
      </c>
      <c r="C1873" t="s">
        <v>1022</v>
      </c>
      <c r="D1873" t="s">
        <v>1023</v>
      </c>
      <c r="E1873" s="8">
        <v>90</v>
      </c>
      <c r="F1873" s="8">
        <v>59120</v>
      </c>
      <c r="G1873" s="8">
        <f t="shared" si="116"/>
        <v>5320800</v>
      </c>
      <c r="H1873" s="5">
        <v>0.05</v>
      </c>
      <c r="I1873" s="8">
        <f t="shared" si="117"/>
        <v>5320800</v>
      </c>
      <c r="J1873" s="8">
        <f t="shared" si="118"/>
        <v>266040</v>
      </c>
      <c r="K1873" t="str">
        <f t="shared" si="119"/>
        <v>MATCHED</v>
      </c>
    </row>
    <row r="1874" spans="1:11">
      <c r="A1874" t="s">
        <v>108</v>
      </c>
      <c r="B1874" t="s">
        <v>1414</v>
      </c>
      <c r="C1874" t="s">
        <v>1024</v>
      </c>
      <c r="D1874" t="s">
        <v>1025</v>
      </c>
      <c r="E1874" s="8"/>
      <c r="F1874" s="8">
        <v>53290</v>
      </c>
      <c r="G1874" s="8" t="str">
        <f t="shared" si="116"/>
        <v/>
      </c>
      <c r="H1874" s="5">
        <v>0</v>
      </c>
      <c r="I1874" s="8" t="str">
        <f t="shared" si="117"/>
        <v/>
      </c>
      <c r="J1874" s="8" t="str">
        <f t="shared" si="118"/>
        <v/>
      </c>
      <c r="K1874" t="str">
        <f t="shared" si="119"/>
        <v>MISSING OEWS</v>
      </c>
    </row>
    <row r="1875" spans="1:11">
      <c r="A1875" t="s">
        <v>108</v>
      </c>
      <c r="B1875" t="s">
        <v>1414</v>
      </c>
      <c r="C1875" t="s">
        <v>427</v>
      </c>
      <c r="D1875" t="s">
        <v>428</v>
      </c>
      <c r="E1875" s="8">
        <v>6410</v>
      </c>
      <c r="F1875" s="8">
        <v>56020</v>
      </c>
      <c r="G1875" s="8">
        <f t="shared" si="116"/>
        <v>359088200</v>
      </c>
      <c r="H1875" s="5">
        <v>0.081</v>
      </c>
      <c r="I1875" s="8">
        <f t="shared" si="117"/>
        <v>359088200</v>
      </c>
      <c r="J1875" s="8">
        <f t="shared" si="118"/>
        <v>29086144.2</v>
      </c>
      <c r="K1875" t="str">
        <f t="shared" si="119"/>
        <v>MATCHED</v>
      </c>
    </row>
    <row r="1876" spans="1:11">
      <c r="A1876" t="s">
        <v>108</v>
      </c>
      <c r="B1876" t="s">
        <v>1414</v>
      </c>
      <c r="C1876" t="s">
        <v>1026</v>
      </c>
      <c r="D1876" t="s">
        <v>1027</v>
      </c>
      <c r="E1876" s="8"/>
      <c r="F1876" s="8">
        <v>44570</v>
      </c>
      <c r="G1876" s="8" t="str">
        <f t="shared" si="116"/>
        <v/>
      </c>
      <c r="H1876" s="5">
        <v>0.0438</v>
      </c>
      <c r="I1876" s="8" t="str">
        <f t="shared" si="117"/>
        <v/>
      </c>
      <c r="J1876" s="8" t="str">
        <f t="shared" si="118"/>
        <v/>
      </c>
      <c r="K1876" t="str">
        <f t="shared" si="119"/>
        <v>MISSING OEWS</v>
      </c>
    </row>
    <row r="1877" spans="1:11">
      <c r="A1877" t="s">
        <v>108</v>
      </c>
      <c r="B1877" t="s">
        <v>1414</v>
      </c>
      <c r="C1877" t="s">
        <v>1028</v>
      </c>
      <c r="D1877" t="s">
        <v>1029</v>
      </c>
      <c r="E1877" s="8"/>
      <c r="F1877" s="8">
        <v>62970</v>
      </c>
      <c r="G1877" s="8" t="str">
        <f t="shared" si="116"/>
        <v/>
      </c>
      <c r="H1877" s="5">
        <v>0</v>
      </c>
      <c r="I1877" s="8" t="str">
        <f t="shared" si="117"/>
        <v/>
      </c>
      <c r="J1877" s="8" t="str">
        <f t="shared" si="118"/>
        <v/>
      </c>
      <c r="K1877" t="str">
        <f t="shared" si="119"/>
        <v>MISSING OEWS</v>
      </c>
    </row>
    <row r="1878" spans="1:11">
      <c r="A1878" t="s">
        <v>108</v>
      </c>
      <c r="B1878" t="s">
        <v>1414</v>
      </c>
      <c r="C1878" t="s">
        <v>1032</v>
      </c>
      <c r="D1878" t="s">
        <v>1033</v>
      </c>
      <c r="E1878" s="8"/>
      <c r="F1878" s="8">
        <v>59320</v>
      </c>
      <c r="G1878" s="8" t="str">
        <f t="shared" si="116"/>
        <v/>
      </c>
      <c r="H1878" s="5">
        <v>0.028</v>
      </c>
      <c r="I1878" s="8" t="str">
        <f t="shared" si="117"/>
        <v/>
      </c>
      <c r="J1878" s="8" t="str">
        <f t="shared" si="118"/>
        <v/>
      </c>
      <c r="K1878" t="str">
        <f t="shared" si="119"/>
        <v>MISSING OEWS</v>
      </c>
    </row>
    <row r="1879" spans="1:11">
      <c r="A1879" t="s">
        <v>108</v>
      </c>
      <c r="B1879" t="s">
        <v>1414</v>
      </c>
      <c r="C1879" t="s">
        <v>668</v>
      </c>
      <c r="D1879" t="s">
        <v>669</v>
      </c>
      <c r="E1879" s="8">
        <v>110</v>
      </c>
      <c r="F1879" s="8">
        <v>43200</v>
      </c>
      <c r="G1879" s="8">
        <f t="shared" si="116"/>
        <v>4752000</v>
      </c>
      <c r="H1879" s="5">
        <v>0</v>
      </c>
      <c r="I1879" s="8">
        <f t="shared" si="117"/>
        <v>4752000</v>
      </c>
      <c r="J1879" s="8">
        <f t="shared" si="118"/>
        <v>0</v>
      </c>
      <c r="K1879" t="str">
        <f t="shared" si="119"/>
        <v>MATCHED</v>
      </c>
    </row>
    <row r="1880" spans="1:11">
      <c r="A1880" t="s">
        <v>108</v>
      </c>
      <c r="B1880" t="s">
        <v>1414</v>
      </c>
      <c r="C1880" t="s">
        <v>670</v>
      </c>
      <c r="D1880" t="s">
        <v>671</v>
      </c>
      <c r="E1880" s="8">
        <v>4200</v>
      </c>
      <c r="F1880" s="8">
        <v>51070</v>
      </c>
      <c r="G1880" s="8">
        <f t="shared" si="116"/>
        <v>214494000</v>
      </c>
      <c r="H1880" s="5">
        <v>0.0297</v>
      </c>
      <c r="I1880" s="8">
        <f t="shared" si="117"/>
        <v>214494000</v>
      </c>
      <c r="J1880" s="8">
        <f t="shared" si="118"/>
        <v>6370471.8</v>
      </c>
      <c r="K1880" t="str">
        <f t="shared" si="119"/>
        <v>MATCHED</v>
      </c>
    </row>
    <row r="1881" spans="1:11">
      <c r="A1881" t="s">
        <v>108</v>
      </c>
      <c r="B1881" t="s">
        <v>1414</v>
      </c>
      <c r="C1881" t="s">
        <v>672</v>
      </c>
      <c r="D1881" t="s">
        <v>673</v>
      </c>
      <c r="E1881" s="8">
        <v>150</v>
      </c>
      <c r="F1881" s="8">
        <v>49150</v>
      </c>
      <c r="G1881" s="8">
        <f t="shared" si="116"/>
        <v>7372500</v>
      </c>
      <c r="H1881" s="5">
        <v>0</v>
      </c>
      <c r="I1881" s="8">
        <f t="shared" si="117"/>
        <v>7372500</v>
      </c>
      <c r="J1881" s="8">
        <f t="shared" si="118"/>
        <v>0</v>
      </c>
      <c r="K1881" t="str">
        <f t="shared" si="119"/>
        <v>MATCHED</v>
      </c>
    </row>
    <row r="1882" spans="1:11">
      <c r="A1882" t="s">
        <v>108</v>
      </c>
      <c r="B1882" t="s">
        <v>1414</v>
      </c>
      <c r="C1882" t="s">
        <v>429</v>
      </c>
      <c r="D1882" t="s">
        <v>430</v>
      </c>
      <c r="E1882" s="8">
        <v>7670</v>
      </c>
      <c r="F1882" s="8">
        <v>53510</v>
      </c>
      <c r="G1882" s="8">
        <f t="shared" si="116"/>
        <v>410421700</v>
      </c>
      <c r="H1882" s="5">
        <v>0.0589</v>
      </c>
      <c r="I1882" s="8">
        <f t="shared" si="117"/>
        <v>410421700</v>
      </c>
      <c r="J1882" s="8">
        <f t="shared" si="118"/>
        <v>24173838.13</v>
      </c>
      <c r="K1882" t="str">
        <f t="shared" si="119"/>
        <v>MATCHED</v>
      </c>
    </row>
    <row r="1883" spans="1:11">
      <c r="A1883" t="s">
        <v>108</v>
      </c>
      <c r="B1883" t="s">
        <v>1414</v>
      </c>
      <c r="C1883" t="s">
        <v>431</v>
      </c>
      <c r="D1883" t="s">
        <v>432</v>
      </c>
      <c r="E1883" s="8">
        <v>4470</v>
      </c>
      <c r="F1883" s="8">
        <v>73160</v>
      </c>
      <c r="G1883" s="8">
        <f t="shared" si="116"/>
        <v>327025200</v>
      </c>
      <c r="H1883" s="5">
        <v>0.0786</v>
      </c>
      <c r="I1883" s="8">
        <f t="shared" si="117"/>
        <v>327025200</v>
      </c>
      <c r="J1883" s="8">
        <f t="shared" si="118"/>
        <v>25704180.72</v>
      </c>
      <c r="K1883" t="str">
        <f t="shared" si="119"/>
        <v>MATCHED</v>
      </c>
    </row>
    <row r="1884" spans="1:11">
      <c r="A1884" t="s">
        <v>108</v>
      </c>
      <c r="B1884" t="s">
        <v>1414</v>
      </c>
      <c r="C1884" t="s">
        <v>1042</v>
      </c>
      <c r="D1884" t="s">
        <v>1043</v>
      </c>
      <c r="E1884" s="8">
        <v>730</v>
      </c>
      <c r="F1884" s="8">
        <v>62840</v>
      </c>
      <c r="G1884" s="8">
        <f t="shared" si="116"/>
        <v>45873200</v>
      </c>
      <c r="H1884" s="5">
        <v>0</v>
      </c>
      <c r="I1884" s="8">
        <f t="shared" si="117"/>
        <v>45873200</v>
      </c>
      <c r="J1884" s="8">
        <f t="shared" si="118"/>
        <v>0</v>
      </c>
      <c r="K1884" t="str">
        <f t="shared" si="119"/>
        <v>MATCHED</v>
      </c>
    </row>
    <row r="1885" spans="1:11">
      <c r="A1885" t="s">
        <v>108</v>
      </c>
      <c r="B1885" t="s">
        <v>1414</v>
      </c>
      <c r="C1885" t="s">
        <v>674</v>
      </c>
      <c r="D1885" t="s">
        <v>675</v>
      </c>
      <c r="E1885" s="8"/>
      <c r="F1885" s="8">
        <v>38060</v>
      </c>
      <c r="G1885" s="8" t="str">
        <f t="shared" si="116"/>
        <v/>
      </c>
      <c r="H1885" s="5">
        <v>0</v>
      </c>
      <c r="I1885" s="8" t="str">
        <f t="shared" si="117"/>
        <v/>
      </c>
      <c r="J1885" s="8" t="str">
        <f t="shared" si="118"/>
        <v/>
      </c>
      <c r="K1885" t="str">
        <f t="shared" si="119"/>
        <v>MISSING OEWS</v>
      </c>
    </row>
    <row r="1886" spans="1:11">
      <c r="A1886" t="s">
        <v>108</v>
      </c>
      <c r="B1886" t="s">
        <v>1414</v>
      </c>
      <c r="C1886" t="s">
        <v>678</v>
      </c>
      <c r="D1886" t="s">
        <v>679</v>
      </c>
      <c r="E1886" s="8">
        <v>740</v>
      </c>
      <c r="F1886" s="8">
        <v>44040</v>
      </c>
      <c r="G1886" s="8">
        <f t="shared" si="116"/>
        <v>32589600</v>
      </c>
      <c r="H1886" s="5">
        <v>0.0368</v>
      </c>
      <c r="I1886" s="8">
        <f t="shared" si="117"/>
        <v>32589600</v>
      </c>
      <c r="J1886" s="8">
        <f t="shared" si="118"/>
        <v>1199297.28</v>
      </c>
      <c r="K1886" t="str">
        <f t="shared" si="119"/>
        <v>MATCHED</v>
      </c>
    </row>
    <row r="1887" spans="1:11">
      <c r="A1887" t="s">
        <v>108</v>
      </c>
      <c r="B1887" t="s">
        <v>1414</v>
      </c>
      <c r="C1887" t="s">
        <v>680</v>
      </c>
      <c r="D1887" t="s">
        <v>681</v>
      </c>
      <c r="E1887" s="8">
        <v>60</v>
      </c>
      <c r="F1887" s="8">
        <v>57460</v>
      </c>
      <c r="G1887" s="8">
        <f t="shared" si="116"/>
        <v>3447600</v>
      </c>
      <c r="H1887" s="5">
        <v>0</v>
      </c>
      <c r="I1887" s="8">
        <f t="shared" si="117"/>
        <v>3447600</v>
      </c>
      <c r="J1887" s="8">
        <f t="shared" si="118"/>
        <v>0</v>
      </c>
      <c r="K1887" t="str">
        <f t="shared" si="119"/>
        <v>MATCHED</v>
      </c>
    </row>
    <row r="1888" spans="1:11">
      <c r="A1888" t="s">
        <v>108</v>
      </c>
      <c r="B1888" t="s">
        <v>1414</v>
      </c>
      <c r="C1888" t="s">
        <v>682</v>
      </c>
      <c r="D1888" t="s">
        <v>683</v>
      </c>
      <c r="E1888" s="8">
        <v>3520</v>
      </c>
      <c r="F1888" s="8">
        <v>61450</v>
      </c>
      <c r="G1888" s="8">
        <f t="shared" si="116"/>
        <v>216304000</v>
      </c>
      <c r="H1888" s="5">
        <v>0.04</v>
      </c>
      <c r="I1888" s="8">
        <f t="shared" si="117"/>
        <v>216304000</v>
      </c>
      <c r="J1888" s="8">
        <f t="shared" si="118"/>
        <v>8652160</v>
      </c>
      <c r="K1888" t="str">
        <f t="shared" si="119"/>
        <v>MATCHED</v>
      </c>
    </row>
    <row r="1889" spans="1:11">
      <c r="A1889" t="s">
        <v>108</v>
      </c>
      <c r="B1889" t="s">
        <v>1414</v>
      </c>
      <c r="C1889" t="s">
        <v>1048</v>
      </c>
      <c r="D1889" t="s">
        <v>1049</v>
      </c>
      <c r="E1889" s="8"/>
      <c r="F1889" s="8">
        <v>92720</v>
      </c>
      <c r="G1889" s="8" t="str">
        <f t="shared" si="116"/>
        <v/>
      </c>
      <c r="H1889" s="5">
        <v>0</v>
      </c>
      <c r="I1889" s="8" t="str">
        <f t="shared" si="117"/>
        <v/>
      </c>
      <c r="J1889" s="8" t="str">
        <f t="shared" si="118"/>
        <v/>
      </c>
      <c r="K1889" t="str">
        <f t="shared" si="119"/>
        <v>MISSING OEWS</v>
      </c>
    </row>
    <row r="1890" spans="1:11">
      <c r="A1890" t="s">
        <v>108</v>
      </c>
      <c r="B1890" t="s">
        <v>1414</v>
      </c>
      <c r="C1890" t="s">
        <v>684</v>
      </c>
      <c r="D1890" t="s">
        <v>685</v>
      </c>
      <c r="E1890" s="8">
        <v>730</v>
      </c>
      <c r="F1890" s="8">
        <v>48200</v>
      </c>
      <c r="G1890" s="8">
        <f t="shared" si="116"/>
        <v>35186000</v>
      </c>
      <c r="H1890" s="5">
        <v>0.0687</v>
      </c>
      <c r="I1890" s="8">
        <f t="shared" si="117"/>
        <v>35186000</v>
      </c>
      <c r="J1890" s="8">
        <f t="shared" si="118"/>
        <v>2417278.2</v>
      </c>
      <c r="K1890" t="str">
        <f t="shared" si="119"/>
        <v>MATCHED</v>
      </c>
    </row>
    <row r="1891" spans="1:11">
      <c r="A1891" t="s">
        <v>108</v>
      </c>
      <c r="B1891" t="s">
        <v>1414</v>
      </c>
      <c r="C1891" t="s">
        <v>686</v>
      </c>
      <c r="D1891" t="s">
        <v>687</v>
      </c>
      <c r="E1891" s="8"/>
      <c r="F1891" s="8">
        <v>51120</v>
      </c>
      <c r="G1891" s="8" t="str">
        <f t="shared" si="116"/>
        <v/>
      </c>
      <c r="H1891" s="5">
        <v>0</v>
      </c>
      <c r="I1891" s="8" t="str">
        <f t="shared" si="117"/>
        <v/>
      </c>
      <c r="J1891" s="8" t="str">
        <f t="shared" si="118"/>
        <v/>
      </c>
      <c r="K1891" t="str">
        <f t="shared" si="119"/>
        <v>MISSING OEWS</v>
      </c>
    </row>
    <row r="1892" spans="1:11">
      <c r="A1892" t="s">
        <v>108</v>
      </c>
      <c r="B1892" t="s">
        <v>1414</v>
      </c>
      <c r="C1892" t="s">
        <v>894</v>
      </c>
      <c r="D1892" t="s">
        <v>895</v>
      </c>
      <c r="E1892" s="8"/>
      <c r="F1892" s="8">
        <v>44030</v>
      </c>
      <c r="G1892" s="8" t="str">
        <f t="shared" si="116"/>
        <v/>
      </c>
      <c r="H1892" s="5">
        <v>0.0635</v>
      </c>
      <c r="I1892" s="8" t="str">
        <f t="shared" si="117"/>
        <v/>
      </c>
      <c r="J1892" s="8" t="str">
        <f t="shared" si="118"/>
        <v/>
      </c>
      <c r="K1892" t="str">
        <f t="shared" si="119"/>
        <v>MISSING OEWS</v>
      </c>
    </row>
    <row r="1893" spans="1:11">
      <c r="A1893" t="s">
        <v>108</v>
      </c>
      <c r="B1893" t="s">
        <v>1414</v>
      </c>
      <c r="C1893" t="s">
        <v>1054</v>
      </c>
      <c r="D1893" t="s">
        <v>1055</v>
      </c>
      <c r="E1893" s="8"/>
      <c r="F1893" s="8">
        <v>36570</v>
      </c>
      <c r="G1893" s="8" t="str">
        <f t="shared" si="116"/>
        <v/>
      </c>
      <c r="H1893" s="5">
        <v>0</v>
      </c>
      <c r="I1893" s="8" t="str">
        <f t="shared" si="117"/>
        <v/>
      </c>
      <c r="J1893" s="8" t="str">
        <f t="shared" si="118"/>
        <v/>
      </c>
      <c r="K1893" t="str">
        <f t="shared" si="119"/>
        <v>MISSING OEWS</v>
      </c>
    </row>
    <row r="1894" spans="1:11">
      <c r="A1894" t="s">
        <v>108</v>
      </c>
      <c r="B1894" t="s">
        <v>1414</v>
      </c>
      <c r="C1894" t="s">
        <v>688</v>
      </c>
      <c r="D1894" t="s">
        <v>689</v>
      </c>
      <c r="E1894" s="8">
        <v>90</v>
      </c>
      <c r="F1894" s="8">
        <v>45310</v>
      </c>
      <c r="G1894" s="8">
        <f t="shared" si="116"/>
        <v>4077900</v>
      </c>
      <c r="H1894" s="5">
        <v>0.0396</v>
      </c>
      <c r="I1894" s="8">
        <f t="shared" si="117"/>
        <v>4077900</v>
      </c>
      <c r="J1894" s="8">
        <f t="shared" si="118"/>
        <v>161484.84</v>
      </c>
      <c r="K1894" t="str">
        <f t="shared" si="119"/>
        <v>MATCHED</v>
      </c>
    </row>
    <row r="1895" spans="1:11">
      <c r="A1895" t="s">
        <v>108</v>
      </c>
      <c r="B1895" t="s">
        <v>1414</v>
      </c>
      <c r="C1895" t="s">
        <v>692</v>
      </c>
      <c r="D1895" t="s">
        <v>693</v>
      </c>
      <c r="E1895" s="8"/>
      <c r="F1895" s="8">
        <v>45000</v>
      </c>
      <c r="G1895" s="8" t="str">
        <f t="shared" si="116"/>
        <v/>
      </c>
      <c r="H1895" s="5"/>
      <c r="I1895" s="8" t="str">
        <f t="shared" si="117"/>
        <v/>
      </c>
      <c r="J1895" s="8" t="str">
        <f t="shared" si="118"/>
        <v/>
      </c>
      <c r="K1895" t="str">
        <f t="shared" si="119"/>
        <v>MISSING OEWS</v>
      </c>
    </row>
    <row r="1896" spans="1:11">
      <c r="A1896" t="s">
        <v>108</v>
      </c>
      <c r="B1896" t="s">
        <v>1414</v>
      </c>
      <c r="C1896" t="s">
        <v>694</v>
      </c>
      <c r="D1896" t="s">
        <v>695</v>
      </c>
      <c r="E1896" s="8"/>
      <c r="F1896" s="8">
        <v>57400</v>
      </c>
      <c r="G1896" s="8" t="str">
        <f t="shared" si="116"/>
        <v/>
      </c>
      <c r="H1896" s="5">
        <v>0.3737</v>
      </c>
      <c r="I1896" s="8" t="str">
        <f t="shared" si="117"/>
        <v/>
      </c>
      <c r="J1896" s="8" t="str">
        <f t="shared" si="118"/>
        <v/>
      </c>
      <c r="K1896" t="str">
        <f t="shared" si="119"/>
        <v>MISSING OEWS</v>
      </c>
    </row>
    <row r="1897" spans="1:11">
      <c r="A1897" t="s">
        <v>108</v>
      </c>
      <c r="B1897" t="s">
        <v>1414</v>
      </c>
      <c r="C1897" t="s">
        <v>1060</v>
      </c>
      <c r="D1897" t="s">
        <v>1061</v>
      </c>
      <c r="E1897" s="8">
        <v>230</v>
      </c>
      <c r="F1897" s="8">
        <v>62310</v>
      </c>
      <c r="G1897" s="8">
        <f t="shared" si="116"/>
        <v>14331300</v>
      </c>
      <c r="H1897" s="5">
        <v>0.0475</v>
      </c>
      <c r="I1897" s="8">
        <f t="shared" si="117"/>
        <v>14331300</v>
      </c>
      <c r="J1897" s="8">
        <f t="shared" si="118"/>
        <v>680736.75</v>
      </c>
      <c r="K1897" t="str">
        <f t="shared" si="119"/>
        <v>MATCHED</v>
      </c>
    </row>
    <row r="1898" spans="1:11">
      <c r="A1898" t="s">
        <v>108</v>
      </c>
      <c r="B1898" t="s">
        <v>1414</v>
      </c>
      <c r="C1898" t="s">
        <v>696</v>
      </c>
      <c r="D1898" t="s">
        <v>697</v>
      </c>
      <c r="E1898" s="8"/>
      <c r="F1898" s="8">
        <v>40240</v>
      </c>
      <c r="G1898" s="8" t="str">
        <f t="shared" si="116"/>
        <v/>
      </c>
      <c r="H1898" s="5">
        <v>0</v>
      </c>
      <c r="I1898" s="8" t="str">
        <f t="shared" si="117"/>
        <v/>
      </c>
      <c r="J1898" s="8" t="str">
        <f t="shared" si="118"/>
        <v/>
      </c>
      <c r="K1898" t="str">
        <f t="shared" si="119"/>
        <v>MISSING OEWS</v>
      </c>
    </row>
    <row r="1899" spans="1:11">
      <c r="A1899" t="s">
        <v>108</v>
      </c>
      <c r="B1899" t="s">
        <v>1414</v>
      </c>
      <c r="C1899" t="s">
        <v>698</v>
      </c>
      <c r="D1899" t="s">
        <v>699</v>
      </c>
      <c r="E1899" s="8">
        <v>420</v>
      </c>
      <c r="F1899" s="8">
        <v>56890</v>
      </c>
      <c r="G1899" s="8">
        <f t="shared" si="116"/>
        <v>23893800</v>
      </c>
      <c r="H1899" s="5">
        <v>0.0452</v>
      </c>
      <c r="I1899" s="8">
        <f t="shared" si="117"/>
        <v>23893800</v>
      </c>
      <c r="J1899" s="8">
        <f t="shared" si="118"/>
        <v>1079999.76</v>
      </c>
      <c r="K1899" t="str">
        <f t="shared" si="119"/>
        <v>MATCHED</v>
      </c>
    </row>
    <row r="1900" spans="1:11">
      <c r="A1900" t="s">
        <v>108</v>
      </c>
      <c r="B1900" t="s">
        <v>1414</v>
      </c>
      <c r="C1900" t="s">
        <v>702</v>
      </c>
      <c r="D1900" t="s">
        <v>703</v>
      </c>
      <c r="E1900" s="8">
        <v>350</v>
      </c>
      <c r="F1900" s="8">
        <v>51860</v>
      </c>
      <c r="G1900" s="8">
        <f t="shared" si="116"/>
        <v>18151000</v>
      </c>
      <c r="H1900" s="5">
        <v>0.0825</v>
      </c>
      <c r="I1900" s="8">
        <f t="shared" si="117"/>
        <v>18151000</v>
      </c>
      <c r="J1900" s="8">
        <f t="shared" si="118"/>
        <v>1497457.5</v>
      </c>
      <c r="K1900" t="str">
        <f t="shared" si="119"/>
        <v>MATCHED</v>
      </c>
    </row>
    <row r="1901" spans="1:11">
      <c r="A1901" t="s">
        <v>108</v>
      </c>
      <c r="B1901" t="s">
        <v>1414</v>
      </c>
      <c r="C1901" t="s">
        <v>708</v>
      </c>
      <c r="D1901" t="s">
        <v>709</v>
      </c>
      <c r="E1901" s="8">
        <v>240</v>
      </c>
      <c r="F1901" s="8">
        <v>68230</v>
      </c>
      <c r="G1901" s="8">
        <f t="shared" si="116"/>
        <v>16375200</v>
      </c>
      <c r="H1901" s="5">
        <v>0.05</v>
      </c>
      <c r="I1901" s="8">
        <f t="shared" si="117"/>
        <v>16375200</v>
      </c>
      <c r="J1901" s="8">
        <f t="shared" si="118"/>
        <v>818760</v>
      </c>
      <c r="K1901" t="str">
        <f t="shared" si="119"/>
        <v>MATCHED</v>
      </c>
    </row>
    <row r="1902" spans="1:11">
      <c r="A1902" t="s">
        <v>108</v>
      </c>
      <c r="B1902" t="s">
        <v>1414</v>
      </c>
      <c r="C1902" t="s">
        <v>710</v>
      </c>
      <c r="D1902" t="s">
        <v>711</v>
      </c>
      <c r="E1902" s="8">
        <v>150</v>
      </c>
      <c r="F1902" s="8">
        <v>62770</v>
      </c>
      <c r="G1902" s="8">
        <f t="shared" si="116"/>
        <v>9415500</v>
      </c>
      <c r="H1902" s="5">
        <v>0</v>
      </c>
      <c r="I1902" s="8">
        <f t="shared" si="117"/>
        <v>9415500</v>
      </c>
      <c r="J1902" s="8">
        <f t="shared" si="118"/>
        <v>0</v>
      </c>
      <c r="K1902" t="str">
        <f t="shared" si="119"/>
        <v>MATCHED</v>
      </c>
    </row>
    <row r="1903" spans="1:11">
      <c r="A1903" t="s">
        <v>108</v>
      </c>
      <c r="B1903" t="s">
        <v>1414</v>
      </c>
      <c r="C1903" t="s">
        <v>712</v>
      </c>
      <c r="D1903" t="s">
        <v>713</v>
      </c>
      <c r="E1903" s="8"/>
      <c r="F1903" s="8">
        <v>59810</v>
      </c>
      <c r="G1903" s="8" t="str">
        <f t="shared" si="116"/>
        <v/>
      </c>
      <c r="H1903" s="5">
        <v>0.0233</v>
      </c>
      <c r="I1903" s="8" t="str">
        <f t="shared" si="117"/>
        <v/>
      </c>
      <c r="J1903" s="8" t="str">
        <f t="shared" si="118"/>
        <v/>
      </c>
      <c r="K1903" t="str">
        <f t="shared" si="119"/>
        <v>MISSING OEWS</v>
      </c>
    </row>
    <row r="1904" spans="1:11">
      <c r="A1904" t="s">
        <v>108</v>
      </c>
      <c r="B1904" t="s">
        <v>1414</v>
      </c>
      <c r="C1904" t="s">
        <v>714</v>
      </c>
      <c r="D1904" t="s">
        <v>715</v>
      </c>
      <c r="E1904" s="8">
        <v>580</v>
      </c>
      <c r="F1904" s="8">
        <v>75050</v>
      </c>
      <c r="G1904" s="8">
        <f t="shared" si="116"/>
        <v>43529000</v>
      </c>
      <c r="H1904" s="5">
        <v>0.095</v>
      </c>
      <c r="I1904" s="8">
        <f t="shared" si="117"/>
        <v>43529000</v>
      </c>
      <c r="J1904" s="8">
        <f t="shared" si="118"/>
        <v>4135255</v>
      </c>
      <c r="K1904" t="str">
        <f t="shared" si="119"/>
        <v>MATCHED</v>
      </c>
    </row>
    <row r="1905" spans="1:11">
      <c r="A1905" t="s">
        <v>108</v>
      </c>
      <c r="B1905" t="s">
        <v>1414</v>
      </c>
      <c r="C1905" t="s">
        <v>726</v>
      </c>
      <c r="D1905" t="s">
        <v>727</v>
      </c>
      <c r="E1905" s="8"/>
      <c r="F1905" s="8">
        <v>49140</v>
      </c>
      <c r="G1905" s="8" t="str">
        <f t="shared" si="116"/>
        <v/>
      </c>
      <c r="H1905" s="5">
        <v>0</v>
      </c>
      <c r="I1905" s="8" t="str">
        <f t="shared" si="117"/>
        <v/>
      </c>
      <c r="J1905" s="8" t="str">
        <f t="shared" si="118"/>
        <v/>
      </c>
      <c r="K1905" t="str">
        <f t="shared" si="119"/>
        <v>MISSING OEWS</v>
      </c>
    </row>
    <row r="1906" spans="1:11">
      <c r="A1906" t="s">
        <v>108</v>
      </c>
      <c r="B1906" t="s">
        <v>1414</v>
      </c>
      <c r="C1906" t="s">
        <v>728</v>
      </c>
      <c r="D1906" t="s">
        <v>729</v>
      </c>
      <c r="E1906" s="8"/>
      <c r="F1906" s="8">
        <v>39110</v>
      </c>
      <c r="G1906" s="8" t="str">
        <f t="shared" si="116"/>
        <v/>
      </c>
      <c r="H1906" s="5">
        <v>0</v>
      </c>
      <c r="I1906" s="8" t="str">
        <f t="shared" si="117"/>
        <v/>
      </c>
      <c r="J1906" s="8" t="str">
        <f t="shared" si="118"/>
        <v/>
      </c>
      <c r="K1906" t="str">
        <f t="shared" si="119"/>
        <v>MISSING OEWS</v>
      </c>
    </row>
    <row r="1907" spans="1:11">
      <c r="A1907" t="s">
        <v>108</v>
      </c>
      <c r="B1907" t="s">
        <v>1414</v>
      </c>
      <c r="C1907" t="s">
        <v>433</v>
      </c>
      <c r="D1907" t="s">
        <v>434</v>
      </c>
      <c r="E1907" s="8">
        <v>41040</v>
      </c>
      <c r="F1907" s="8">
        <v>86190</v>
      </c>
      <c r="G1907" s="8">
        <f t="shared" si="116"/>
        <v>3537237600</v>
      </c>
      <c r="H1907" s="5">
        <v>0.3523</v>
      </c>
      <c r="I1907" s="8">
        <f t="shared" si="117"/>
        <v>3537237600</v>
      </c>
      <c r="J1907" s="8">
        <f t="shared" si="118"/>
        <v>1246168806.48</v>
      </c>
      <c r="K1907" t="str">
        <f t="shared" si="119"/>
        <v>MATCHED</v>
      </c>
    </row>
    <row r="1908" spans="1:11">
      <c r="A1908" t="s">
        <v>108</v>
      </c>
      <c r="B1908" t="s">
        <v>1414</v>
      </c>
      <c r="C1908" t="s">
        <v>1064</v>
      </c>
      <c r="D1908" t="s">
        <v>1065</v>
      </c>
      <c r="E1908" s="8">
        <v>21060</v>
      </c>
      <c r="F1908" s="8">
        <v>55250</v>
      </c>
      <c r="G1908" s="8">
        <f t="shared" si="116"/>
        <v>1163565000</v>
      </c>
      <c r="H1908" s="5">
        <v>0.284</v>
      </c>
      <c r="I1908" s="8">
        <f t="shared" si="117"/>
        <v>1163565000</v>
      </c>
      <c r="J1908" s="8">
        <f t="shared" si="118"/>
        <v>330452460</v>
      </c>
      <c r="K1908" t="str">
        <f t="shared" si="119"/>
        <v>MATCHED</v>
      </c>
    </row>
    <row r="1909" spans="1:11">
      <c r="A1909" t="s">
        <v>108</v>
      </c>
      <c r="B1909" t="s">
        <v>1414</v>
      </c>
      <c r="C1909" t="s">
        <v>898</v>
      </c>
      <c r="D1909" t="s">
        <v>899</v>
      </c>
      <c r="E1909" s="8">
        <v>780</v>
      </c>
      <c r="F1909" s="8">
        <v>54870</v>
      </c>
      <c r="G1909" s="8">
        <f t="shared" si="116"/>
        <v>42798600</v>
      </c>
      <c r="H1909" s="5">
        <v>0.1583</v>
      </c>
      <c r="I1909" s="8">
        <f t="shared" si="117"/>
        <v>42798600</v>
      </c>
      <c r="J1909" s="8">
        <f t="shared" si="118"/>
        <v>6775018.38</v>
      </c>
      <c r="K1909" t="str">
        <f t="shared" si="119"/>
        <v>MATCHED</v>
      </c>
    </row>
    <row r="1910" spans="1:11">
      <c r="A1910" t="s">
        <v>108</v>
      </c>
      <c r="B1910" t="s">
        <v>1414</v>
      </c>
      <c r="C1910" t="s">
        <v>900</v>
      </c>
      <c r="D1910" t="s">
        <v>901</v>
      </c>
      <c r="E1910" s="8">
        <v>5720</v>
      </c>
      <c r="F1910" s="8">
        <v>57690</v>
      </c>
      <c r="G1910" s="8">
        <f t="shared" si="116"/>
        <v>329986800</v>
      </c>
      <c r="H1910" s="5">
        <v>0.195</v>
      </c>
      <c r="I1910" s="8">
        <f t="shared" si="117"/>
        <v>329986800</v>
      </c>
      <c r="J1910" s="8">
        <f t="shared" si="118"/>
        <v>64347426</v>
      </c>
      <c r="K1910" t="str">
        <f t="shared" si="119"/>
        <v>MATCHED</v>
      </c>
    </row>
    <row r="1911" spans="1:11">
      <c r="A1911" t="s">
        <v>108</v>
      </c>
      <c r="B1911" t="s">
        <v>1414</v>
      </c>
      <c r="C1911" t="s">
        <v>1296</v>
      </c>
      <c r="D1911" t="s">
        <v>1297</v>
      </c>
      <c r="E1911" s="8"/>
      <c r="F1911" s="8">
        <v>61050</v>
      </c>
      <c r="G1911" s="8" t="str">
        <f t="shared" si="116"/>
        <v/>
      </c>
      <c r="H1911" s="5">
        <v>0.2</v>
      </c>
      <c r="I1911" s="8" t="str">
        <f t="shared" si="117"/>
        <v/>
      </c>
      <c r="J1911" s="8" t="str">
        <f t="shared" si="118"/>
        <v/>
      </c>
      <c r="K1911" t="str">
        <f t="shared" si="119"/>
        <v>MISSING OEWS</v>
      </c>
    </row>
    <row r="1912" spans="1:11">
      <c r="A1912" t="s">
        <v>108</v>
      </c>
      <c r="B1912" t="s">
        <v>1414</v>
      </c>
      <c r="C1912" t="s">
        <v>732</v>
      </c>
      <c r="D1912" t="s">
        <v>733</v>
      </c>
      <c r="E1912" s="8">
        <v>5390</v>
      </c>
      <c r="F1912" s="8">
        <v>60000</v>
      </c>
      <c r="G1912" s="8">
        <f t="shared" si="116"/>
        <v>323400000</v>
      </c>
      <c r="H1912" s="5">
        <v>0.0667</v>
      </c>
      <c r="I1912" s="8">
        <f t="shared" si="117"/>
        <v>323400000</v>
      </c>
      <c r="J1912" s="8">
        <f t="shared" si="118"/>
        <v>21570780</v>
      </c>
      <c r="K1912" t="str">
        <f t="shared" si="119"/>
        <v>MATCHED</v>
      </c>
    </row>
    <row r="1913" spans="1:11">
      <c r="A1913" t="s">
        <v>108</v>
      </c>
      <c r="B1913" t="s">
        <v>1414</v>
      </c>
      <c r="C1913" t="s">
        <v>902</v>
      </c>
      <c r="D1913" t="s">
        <v>903</v>
      </c>
      <c r="E1913" s="8">
        <v>220</v>
      </c>
      <c r="F1913" s="8">
        <v>75510</v>
      </c>
      <c r="G1913" s="8">
        <f t="shared" si="116"/>
        <v>16612200</v>
      </c>
      <c r="H1913" s="5">
        <v>0.2033</v>
      </c>
      <c r="I1913" s="8">
        <f t="shared" si="117"/>
        <v>16612200</v>
      </c>
      <c r="J1913" s="8">
        <f t="shared" si="118"/>
        <v>3377260.26</v>
      </c>
      <c r="K1913" t="str">
        <f t="shared" si="119"/>
        <v>MATCHED</v>
      </c>
    </row>
    <row r="1914" spans="1:11">
      <c r="A1914" t="s">
        <v>108</v>
      </c>
      <c r="B1914" t="s">
        <v>1414</v>
      </c>
      <c r="C1914" t="s">
        <v>734</v>
      </c>
      <c r="D1914" t="s">
        <v>735</v>
      </c>
      <c r="E1914" s="8">
        <v>6510</v>
      </c>
      <c r="F1914" s="8">
        <v>67770</v>
      </c>
      <c r="G1914" s="8">
        <f t="shared" si="116"/>
        <v>441182700</v>
      </c>
      <c r="H1914" s="5">
        <v>0.19</v>
      </c>
      <c r="I1914" s="8">
        <f t="shared" si="117"/>
        <v>441182700</v>
      </c>
      <c r="J1914" s="8">
        <f t="shared" si="118"/>
        <v>83824713</v>
      </c>
      <c r="K1914" t="str">
        <f t="shared" si="119"/>
        <v>MATCHED</v>
      </c>
    </row>
    <row r="1915" spans="1:11">
      <c r="A1915" t="s">
        <v>108</v>
      </c>
      <c r="B1915" t="s">
        <v>1414</v>
      </c>
      <c r="C1915" t="s">
        <v>904</v>
      </c>
      <c r="D1915" t="s">
        <v>905</v>
      </c>
      <c r="E1915" s="8">
        <v>150</v>
      </c>
      <c r="F1915" s="8">
        <v>57790</v>
      </c>
      <c r="G1915" s="8">
        <f t="shared" si="116"/>
        <v>8668500</v>
      </c>
      <c r="H1915" s="5">
        <v>0.2219</v>
      </c>
      <c r="I1915" s="8">
        <f t="shared" si="117"/>
        <v>8668500</v>
      </c>
      <c r="J1915" s="8">
        <f t="shared" si="118"/>
        <v>1923540.15</v>
      </c>
      <c r="K1915" t="str">
        <f t="shared" si="119"/>
        <v>MATCHED</v>
      </c>
    </row>
    <row r="1916" spans="1:11">
      <c r="A1916" t="s">
        <v>108</v>
      </c>
      <c r="B1916" t="s">
        <v>1414</v>
      </c>
      <c r="C1916" t="s">
        <v>1298</v>
      </c>
      <c r="D1916" t="s">
        <v>1299</v>
      </c>
      <c r="E1916" s="8">
        <v>530</v>
      </c>
      <c r="F1916" s="8">
        <v>48850</v>
      </c>
      <c r="G1916" s="8">
        <f t="shared" si="116"/>
        <v>25890500</v>
      </c>
      <c r="H1916" s="5">
        <v>0.1583</v>
      </c>
      <c r="I1916" s="8">
        <f t="shared" si="117"/>
        <v>25890500</v>
      </c>
      <c r="J1916" s="8">
        <f t="shared" si="118"/>
        <v>4098466.15</v>
      </c>
      <c r="K1916" t="str">
        <f t="shared" si="119"/>
        <v>MATCHED</v>
      </c>
    </row>
    <row r="1917" spans="1:11">
      <c r="A1917" t="s">
        <v>108</v>
      </c>
      <c r="B1917" t="s">
        <v>1414</v>
      </c>
      <c r="C1917" t="s">
        <v>1066</v>
      </c>
      <c r="D1917" t="s">
        <v>1067</v>
      </c>
      <c r="E1917" s="8">
        <v>1360</v>
      </c>
      <c r="F1917" s="8">
        <v>58360</v>
      </c>
      <c r="G1917" s="8">
        <f t="shared" si="116"/>
        <v>79369600</v>
      </c>
      <c r="H1917" s="5">
        <v>0.2591</v>
      </c>
      <c r="I1917" s="8">
        <f t="shared" si="117"/>
        <v>79369600</v>
      </c>
      <c r="J1917" s="8">
        <f t="shared" si="118"/>
        <v>20564663.36</v>
      </c>
      <c r="K1917" t="str">
        <f t="shared" si="119"/>
        <v>MATCHED</v>
      </c>
    </row>
    <row r="1918" spans="1:11">
      <c r="A1918" t="s">
        <v>108</v>
      </c>
      <c r="B1918" t="s">
        <v>1414</v>
      </c>
      <c r="C1918" t="s">
        <v>1068</v>
      </c>
      <c r="D1918" t="s">
        <v>1069</v>
      </c>
      <c r="E1918" s="8">
        <v>4980</v>
      </c>
      <c r="F1918" s="8">
        <v>58090</v>
      </c>
      <c r="G1918" s="8">
        <f t="shared" si="116"/>
        <v>289288200</v>
      </c>
      <c r="H1918" s="5">
        <v>0.2219</v>
      </c>
      <c r="I1918" s="8">
        <f t="shared" si="117"/>
        <v>289288200</v>
      </c>
      <c r="J1918" s="8">
        <f t="shared" si="118"/>
        <v>64193051.58</v>
      </c>
      <c r="K1918" t="str">
        <f t="shared" si="119"/>
        <v>MATCHED</v>
      </c>
    </row>
    <row r="1919" spans="1:11">
      <c r="A1919" t="s">
        <v>108</v>
      </c>
      <c r="B1919" t="s">
        <v>1414</v>
      </c>
      <c r="C1919" t="s">
        <v>435</v>
      </c>
      <c r="D1919" t="s">
        <v>436</v>
      </c>
      <c r="E1919" s="8">
        <v>1670</v>
      </c>
      <c r="F1919" s="8">
        <v>68010</v>
      </c>
      <c r="G1919" s="8">
        <f t="shared" si="116"/>
        <v>113576700</v>
      </c>
      <c r="H1919" s="5">
        <v>0.0434</v>
      </c>
      <c r="I1919" s="8">
        <f t="shared" si="117"/>
        <v>113576700</v>
      </c>
      <c r="J1919" s="8">
        <f t="shared" si="118"/>
        <v>4929228.78</v>
      </c>
      <c r="K1919" t="str">
        <f t="shared" si="119"/>
        <v>MATCHED</v>
      </c>
    </row>
    <row r="1920" spans="1:11">
      <c r="A1920" t="s">
        <v>108</v>
      </c>
      <c r="B1920" t="s">
        <v>1414</v>
      </c>
      <c r="C1920" t="s">
        <v>1070</v>
      </c>
      <c r="D1920" t="s">
        <v>1071</v>
      </c>
      <c r="E1920" s="8">
        <v>3260</v>
      </c>
      <c r="F1920" s="8">
        <v>56910</v>
      </c>
      <c r="G1920" s="8">
        <f t="shared" si="116"/>
        <v>185526600</v>
      </c>
      <c r="H1920" s="5">
        <v>0.028</v>
      </c>
      <c r="I1920" s="8">
        <f t="shared" si="117"/>
        <v>185526600</v>
      </c>
      <c r="J1920" s="8">
        <f t="shared" si="118"/>
        <v>5194744.8</v>
      </c>
      <c r="K1920" t="str">
        <f t="shared" si="119"/>
        <v>MATCHED</v>
      </c>
    </row>
    <row r="1921" spans="1:11">
      <c r="A1921" t="s">
        <v>108</v>
      </c>
      <c r="B1921" t="s">
        <v>1414</v>
      </c>
      <c r="C1921" t="s">
        <v>1072</v>
      </c>
      <c r="D1921" t="s">
        <v>1073</v>
      </c>
      <c r="E1921" s="8">
        <v>610</v>
      </c>
      <c r="F1921" s="8">
        <v>51130</v>
      </c>
      <c r="G1921" s="8">
        <f t="shared" si="116"/>
        <v>31189300</v>
      </c>
      <c r="H1921" s="5">
        <v>0</v>
      </c>
      <c r="I1921" s="8">
        <f t="shared" si="117"/>
        <v>31189300</v>
      </c>
      <c r="J1921" s="8">
        <f t="shared" si="118"/>
        <v>0</v>
      </c>
      <c r="K1921" t="str">
        <f t="shared" si="119"/>
        <v>MATCHED</v>
      </c>
    </row>
    <row r="1922" spans="1:11">
      <c r="A1922" t="s">
        <v>108</v>
      </c>
      <c r="B1922" t="s">
        <v>1414</v>
      </c>
      <c r="C1922" t="s">
        <v>736</v>
      </c>
      <c r="D1922" t="s">
        <v>737</v>
      </c>
      <c r="E1922" s="8">
        <v>17510</v>
      </c>
      <c r="F1922" s="8">
        <v>58110</v>
      </c>
      <c r="G1922" s="8">
        <f t="shared" ref="G1922:G1985" si="120">IF(OR(E1922="",F1922=""),"",E1922*F1922)</f>
        <v>1017506100</v>
      </c>
      <c r="H1922" s="5">
        <v>0.0233</v>
      </c>
      <c r="I1922" s="8">
        <f t="shared" ref="I1922:I1985" si="121">IF(G1922="","",IF(ISNUMBER(H1922),G1922,""))</f>
        <v>1017506100</v>
      </c>
      <c r="J1922" s="8">
        <f t="shared" ref="J1922:J1985" si="122">IF(I1922="","",I1922*H1922)</f>
        <v>23707892.13</v>
      </c>
      <c r="K1922" t="str">
        <f t="shared" ref="K1922:K1985" si="123">IF(G1922="","MISSING OEWS",IF(ISNUMBER(H1922),"MATCHED","MISSING WHARTON"))</f>
        <v>MATCHED</v>
      </c>
    </row>
    <row r="1923" spans="1:11">
      <c r="A1923" t="s">
        <v>108</v>
      </c>
      <c r="B1923" t="s">
        <v>1414</v>
      </c>
      <c r="C1923" t="s">
        <v>437</v>
      </c>
      <c r="D1923" t="s">
        <v>438</v>
      </c>
      <c r="E1923" s="8">
        <v>40720</v>
      </c>
      <c r="F1923" s="8">
        <v>65870</v>
      </c>
      <c r="G1923" s="8">
        <f t="shared" si="120"/>
        <v>2682226400</v>
      </c>
      <c r="H1923" s="5">
        <v>0</v>
      </c>
      <c r="I1923" s="8">
        <f t="shared" si="121"/>
        <v>2682226400</v>
      </c>
      <c r="J1923" s="8">
        <f t="shared" si="122"/>
        <v>0</v>
      </c>
      <c r="K1923" t="str">
        <f t="shared" si="123"/>
        <v>MATCHED</v>
      </c>
    </row>
    <row r="1924" spans="1:11">
      <c r="A1924" t="s">
        <v>108</v>
      </c>
      <c r="B1924" t="s">
        <v>1414</v>
      </c>
      <c r="C1924" t="s">
        <v>439</v>
      </c>
      <c r="D1924" t="s">
        <v>440</v>
      </c>
      <c r="E1924" s="8">
        <v>28490</v>
      </c>
      <c r="F1924" s="8">
        <v>58800</v>
      </c>
      <c r="G1924" s="8">
        <f t="shared" si="120"/>
        <v>1675212000</v>
      </c>
      <c r="H1924" s="5">
        <v>0.1357</v>
      </c>
      <c r="I1924" s="8">
        <f t="shared" si="121"/>
        <v>1675212000</v>
      </c>
      <c r="J1924" s="8">
        <f t="shared" si="122"/>
        <v>227326268.4</v>
      </c>
      <c r="K1924" t="str">
        <f t="shared" si="123"/>
        <v>MATCHED</v>
      </c>
    </row>
    <row r="1925" spans="1:11">
      <c r="A1925" t="s">
        <v>108</v>
      </c>
      <c r="B1925" t="s">
        <v>1414</v>
      </c>
      <c r="C1925" t="s">
        <v>441</v>
      </c>
      <c r="D1925" t="s">
        <v>442</v>
      </c>
      <c r="E1925" s="8">
        <v>49650</v>
      </c>
      <c r="F1925" s="8">
        <v>70850</v>
      </c>
      <c r="G1925" s="8">
        <f t="shared" si="120"/>
        <v>3517702500</v>
      </c>
      <c r="H1925" s="5">
        <v>0.1425</v>
      </c>
      <c r="I1925" s="8">
        <f t="shared" si="121"/>
        <v>3517702500</v>
      </c>
      <c r="J1925" s="8">
        <f t="shared" si="122"/>
        <v>501272606.25</v>
      </c>
      <c r="K1925" t="str">
        <f t="shared" si="123"/>
        <v>MATCHED</v>
      </c>
    </row>
    <row r="1926" spans="1:11">
      <c r="A1926" t="s">
        <v>108</v>
      </c>
      <c r="B1926" t="s">
        <v>1414</v>
      </c>
      <c r="C1926" t="s">
        <v>1074</v>
      </c>
      <c r="D1926" t="s">
        <v>1075</v>
      </c>
      <c r="E1926" s="8">
        <v>640</v>
      </c>
      <c r="F1926" s="8">
        <v>64890</v>
      </c>
      <c r="G1926" s="8">
        <f t="shared" si="120"/>
        <v>41529600</v>
      </c>
      <c r="H1926" s="5">
        <v>0.0731</v>
      </c>
      <c r="I1926" s="8">
        <f t="shared" si="121"/>
        <v>41529600</v>
      </c>
      <c r="J1926" s="8">
        <f t="shared" si="122"/>
        <v>3035813.76</v>
      </c>
      <c r="K1926" t="str">
        <f t="shared" si="123"/>
        <v>MATCHED</v>
      </c>
    </row>
    <row r="1927" spans="1:11">
      <c r="A1927" t="s">
        <v>108</v>
      </c>
      <c r="B1927" t="s">
        <v>1414</v>
      </c>
      <c r="C1927" t="s">
        <v>1076</v>
      </c>
      <c r="D1927" t="s">
        <v>1077</v>
      </c>
      <c r="E1927" s="8">
        <v>2400</v>
      </c>
      <c r="F1927" s="8">
        <v>51170</v>
      </c>
      <c r="G1927" s="8">
        <f t="shared" si="120"/>
        <v>122808000</v>
      </c>
      <c r="H1927" s="5">
        <v>0.1179</v>
      </c>
      <c r="I1927" s="8">
        <f t="shared" si="121"/>
        <v>122808000</v>
      </c>
      <c r="J1927" s="8">
        <f t="shared" si="122"/>
        <v>14479063.2</v>
      </c>
      <c r="K1927" t="str">
        <f t="shared" si="123"/>
        <v>MATCHED</v>
      </c>
    </row>
    <row r="1928" spans="1:11">
      <c r="A1928" t="s">
        <v>108</v>
      </c>
      <c r="B1928" t="s">
        <v>1414</v>
      </c>
      <c r="C1928" t="s">
        <v>1304</v>
      </c>
      <c r="D1928" t="s">
        <v>1305</v>
      </c>
      <c r="E1928" s="8">
        <v>210</v>
      </c>
      <c r="F1928" s="8">
        <v>41410</v>
      </c>
      <c r="G1928" s="8">
        <f t="shared" si="120"/>
        <v>8696100</v>
      </c>
      <c r="H1928" s="5">
        <v>0.0594</v>
      </c>
      <c r="I1928" s="8">
        <f t="shared" si="121"/>
        <v>8696100</v>
      </c>
      <c r="J1928" s="8">
        <f t="shared" si="122"/>
        <v>516548.34</v>
      </c>
      <c r="K1928" t="str">
        <f t="shared" si="123"/>
        <v>MATCHED</v>
      </c>
    </row>
    <row r="1929" spans="1:11">
      <c r="A1929" t="s">
        <v>108</v>
      </c>
      <c r="B1929" t="s">
        <v>1414</v>
      </c>
      <c r="C1929" t="s">
        <v>1306</v>
      </c>
      <c r="D1929" t="s">
        <v>1307</v>
      </c>
      <c r="E1929" s="8">
        <v>520</v>
      </c>
      <c r="F1929" s="8">
        <v>53210</v>
      </c>
      <c r="G1929" s="8">
        <f t="shared" si="120"/>
        <v>27669200</v>
      </c>
      <c r="H1929" s="5">
        <v>0</v>
      </c>
      <c r="I1929" s="8">
        <f t="shared" si="121"/>
        <v>27669200</v>
      </c>
      <c r="J1929" s="8">
        <f t="shared" si="122"/>
        <v>0</v>
      </c>
      <c r="K1929" t="str">
        <f t="shared" si="123"/>
        <v>MATCHED</v>
      </c>
    </row>
    <row r="1930" spans="1:11">
      <c r="A1930" t="s">
        <v>108</v>
      </c>
      <c r="B1930" t="s">
        <v>1414</v>
      </c>
      <c r="C1930" t="s">
        <v>738</v>
      </c>
      <c r="D1930" t="s">
        <v>739</v>
      </c>
      <c r="E1930" s="8">
        <v>5160</v>
      </c>
      <c r="F1930" s="8">
        <v>42190</v>
      </c>
      <c r="G1930" s="8">
        <f t="shared" si="120"/>
        <v>217700400</v>
      </c>
      <c r="H1930" s="5">
        <v>0</v>
      </c>
      <c r="I1930" s="8">
        <f t="shared" si="121"/>
        <v>217700400</v>
      </c>
      <c r="J1930" s="8">
        <f t="shared" si="122"/>
        <v>0</v>
      </c>
      <c r="K1930" t="str">
        <f t="shared" si="123"/>
        <v>MATCHED</v>
      </c>
    </row>
    <row r="1931" spans="1:11">
      <c r="A1931" t="s">
        <v>108</v>
      </c>
      <c r="B1931" t="s">
        <v>1414</v>
      </c>
      <c r="C1931" t="s">
        <v>1078</v>
      </c>
      <c r="D1931" t="s">
        <v>1079</v>
      </c>
      <c r="E1931" s="8">
        <v>750</v>
      </c>
      <c r="F1931" s="8">
        <v>61370</v>
      </c>
      <c r="G1931" s="8">
        <f t="shared" si="120"/>
        <v>46027500</v>
      </c>
      <c r="H1931" s="5">
        <v>0.076</v>
      </c>
      <c r="I1931" s="8">
        <f t="shared" si="121"/>
        <v>46027500</v>
      </c>
      <c r="J1931" s="8">
        <f t="shared" si="122"/>
        <v>3498090</v>
      </c>
      <c r="K1931" t="str">
        <f t="shared" si="123"/>
        <v>MATCHED</v>
      </c>
    </row>
    <row r="1932" spans="1:11">
      <c r="A1932" t="s">
        <v>108</v>
      </c>
      <c r="B1932" t="s">
        <v>1414</v>
      </c>
      <c r="C1932" t="s">
        <v>740</v>
      </c>
      <c r="D1932" t="s">
        <v>741</v>
      </c>
      <c r="E1932" s="8">
        <v>2890</v>
      </c>
      <c r="F1932" s="8">
        <v>62160</v>
      </c>
      <c r="G1932" s="8">
        <f t="shared" si="120"/>
        <v>179642400</v>
      </c>
      <c r="H1932" s="5">
        <v>0.0731</v>
      </c>
      <c r="I1932" s="8">
        <f t="shared" si="121"/>
        <v>179642400</v>
      </c>
      <c r="J1932" s="8">
        <f t="shared" si="122"/>
        <v>13131859.44</v>
      </c>
      <c r="K1932" t="str">
        <f t="shared" si="123"/>
        <v>MATCHED</v>
      </c>
    </row>
    <row r="1933" spans="1:11">
      <c r="A1933" t="s">
        <v>108</v>
      </c>
      <c r="B1933" t="s">
        <v>1414</v>
      </c>
      <c r="C1933" t="s">
        <v>443</v>
      </c>
      <c r="D1933" t="s">
        <v>444</v>
      </c>
      <c r="E1933" s="8">
        <v>14990</v>
      </c>
      <c r="F1933" s="8">
        <v>73550</v>
      </c>
      <c r="G1933" s="8">
        <f t="shared" si="120"/>
        <v>1102514500</v>
      </c>
      <c r="H1933" s="5">
        <v>0.0867</v>
      </c>
      <c r="I1933" s="8">
        <f t="shared" si="121"/>
        <v>1102514500</v>
      </c>
      <c r="J1933" s="8">
        <f t="shared" si="122"/>
        <v>95588007.15</v>
      </c>
      <c r="K1933" t="str">
        <f t="shared" si="123"/>
        <v>MATCHED</v>
      </c>
    </row>
    <row r="1934" spans="1:11">
      <c r="A1934" t="s">
        <v>108</v>
      </c>
      <c r="B1934" t="s">
        <v>1414</v>
      </c>
      <c r="C1934" t="s">
        <v>906</v>
      </c>
      <c r="D1934" t="s">
        <v>907</v>
      </c>
      <c r="E1934" s="8">
        <v>3490</v>
      </c>
      <c r="F1934" s="8">
        <v>61380</v>
      </c>
      <c r="G1934" s="8">
        <f t="shared" si="120"/>
        <v>214216200</v>
      </c>
      <c r="H1934" s="5">
        <v>0.1226</v>
      </c>
      <c r="I1934" s="8">
        <f t="shared" si="121"/>
        <v>214216200</v>
      </c>
      <c r="J1934" s="8">
        <f t="shared" si="122"/>
        <v>26262906.12</v>
      </c>
      <c r="K1934" t="str">
        <f t="shared" si="123"/>
        <v>MATCHED</v>
      </c>
    </row>
    <row r="1935" spans="1:11">
      <c r="A1935" t="s">
        <v>108</v>
      </c>
      <c r="B1935" t="s">
        <v>1414</v>
      </c>
      <c r="C1935" t="s">
        <v>445</v>
      </c>
      <c r="D1935" t="s">
        <v>446</v>
      </c>
      <c r="E1935" s="8">
        <v>63820</v>
      </c>
      <c r="F1935" s="8">
        <v>66550</v>
      </c>
      <c r="G1935" s="8">
        <f t="shared" si="120"/>
        <v>4247221000</v>
      </c>
      <c r="H1935" s="5">
        <v>0.25</v>
      </c>
      <c r="I1935" s="8">
        <f t="shared" si="121"/>
        <v>4247221000</v>
      </c>
      <c r="J1935" s="8">
        <f t="shared" si="122"/>
        <v>1061805250</v>
      </c>
      <c r="K1935" t="str">
        <f t="shared" si="123"/>
        <v>MATCHED</v>
      </c>
    </row>
    <row r="1936" spans="1:11">
      <c r="A1936" t="s">
        <v>108</v>
      </c>
      <c r="B1936" t="s">
        <v>1414</v>
      </c>
      <c r="C1936" t="s">
        <v>447</v>
      </c>
      <c r="D1936" t="s">
        <v>448</v>
      </c>
      <c r="E1936" s="8">
        <v>5730</v>
      </c>
      <c r="F1936" s="8">
        <v>58930</v>
      </c>
      <c r="G1936" s="8">
        <f t="shared" si="120"/>
        <v>337668900</v>
      </c>
      <c r="H1936" s="5">
        <v>0.0528</v>
      </c>
      <c r="I1936" s="8">
        <f t="shared" si="121"/>
        <v>337668900</v>
      </c>
      <c r="J1936" s="8">
        <f t="shared" si="122"/>
        <v>17828917.92</v>
      </c>
      <c r="K1936" t="str">
        <f t="shared" si="123"/>
        <v>MATCHED</v>
      </c>
    </row>
    <row r="1937" spans="1:11">
      <c r="A1937" t="s">
        <v>108</v>
      </c>
      <c r="B1937" t="s">
        <v>1414</v>
      </c>
      <c r="C1937" t="s">
        <v>742</v>
      </c>
      <c r="D1937" t="s">
        <v>743</v>
      </c>
      <c r="E1937" s="8">
        <v>1200</v>
      </c>
      <c r="F1937" s="8">
        <v>57190</v>
      </c>
      <c r="G1937" s="8">
        <f t="shared" si="120"/>
        <v>68628000</v>
      </c>
      <c r="H1937" s="5">
        <v>0</v>
      </c>
      <c r="I1937" s="8">
        <f t="shared" si="121"/>
        <v>68628000</v>
      </c>
      <c r="J1937" s="8">
        <f t="shared" si="122"/>
        <v>0</v>
      </c>
      <c r="K1937" t="str">
        <f t="shared" si="123"/>
        <v>MATCHED</v>
      </c>
    </row>
    <row r="1938" spans="1:11">
      <c r="A1938" t="s">
        <v>108</v>
      </c>
      <c r="B1938" t="s">
        <v>1414</v>
      </c>
      <c r="C1938" t="s">
        <v>908</v>
      </c>
      <c r="D1938" t="s">
        <v>909</v>
      </c>
      <c r="E1938" s="8"/>
      <c r="F1938" s="8">
        <v>67910</v>
      </c>
      <c r="G1938" s="8" t="str">
        <f t="shared" si="120"/>
        <v/>
      </c>
      <c r="H1938" s="5">
        <v>0.0475</v>
      </c>
      <c r="I1938" s="8" t="str">
        <f t="shared" si="121"/>
        <v/>
      </c>
      <c r="J1938" s="8" t="str">
        <f t="shared" si="122"/>
        <v/>
      </c>
      <c r="K1938" t="str">
        <f t="shared" si="123"/>
        <v>MISSING OEWS</v>
      </c>
    </row>
    <row r="1939" spans="1:11">
      <c r="A1939" t="s">
        <v>108</v>
      </c>
      <c r="B1939" t="s">
        <v>1414</v>
      </c>
      <c r="C1939" t="s">
        <v>1308</v>
      </c>
      <c r="D1939" t="s">
        <v>1309</v>
      </c>
      <c r="E1939" s="8">
        <v>240</v>
      </c>
      <c r="F1939" s="8">
        <v>61740</v>
      </c>
      <c r="G1939" s="8">
        <f t="shared" si="120"/>
        <v>14817600</v>
      </c>
      <c r="H1939" s="5">
        <v>0.1733</v>
      </c>
      <c r="I1939" s="8">
        <f t="shared" si="121"/>
        <v>14817600</v>
      </c>
      <c r="J1939" s="8">
        <f t="shared" si="122"/>
        <v>2567890.08</v>
      </c>
      <c r="K1939" t="str">
        <f t="shared" si="123"/>
        <v>MATCHED</v>
      </c>
    </row>
    <row r="1940" spans="1:11">
      <c r="A1940" t="s">
        <v>108</v>
      </c>
      <c r="B1940" t="s">
        <v>1414</v>
      </c>
      <c r="C1940" t="s">
        <v>1310</v>
      </c>
      <c r="D1940" t="s">
        <v>1311</v>
      </c>
      <c r="E1940" s="8">
        <v>24430</v>
      </c>
      <c r="F1940" s="8">
        <v>67380</v>
      </c>
      <c r="G1940" s="8">
        <f t="shared" si="120"/>
        <v>1646093400</v>
      </c>
      <c r="H1940" s="5">
        <v>0.2368</v>
      </c>
      <c r="I1940" s="8">
        <f t="shared" si="121"/>
        <v>1646093400</v>
      </c>
      <c r="J1940" s="8">
        <f t="shared" si="122"/>
        <v>389794917.12</v>
      </c>
      <c r="K1940" t="str">
        <f t="shared" si="123"/>
        <v>MATCHED</v>
      </c>
    </row>
    <row r="1941" spans="1:11">
      <c r="A1941" t="s">
        <v>108</v>
      </c>
      <c r="B1941" t="s">
        <v>1414</v>
      </c>
      <c r="C1941" t="s">
        <v>1312</v>
      </c>
      <c r="D1941" t="s">
        <v>1313</v>
      </c>
      <c r="E1941" s="8"/>
      <c r="F1941" s="8">
        <v>36760</v>
      </c>
      <c r="G1941" s="8" t="str">
        <f t="shared" si="120"/>
        <v/>
      </c>
      <c r="H1941" s="5">
        <v>0</v>
      </c>
      <c r="I1941" s="8" t="str">
        <f t="shared" si="121"/>
        <v/>
      </c>
      <c r="J1941" s="8" t="str">
        <f t="shared" si="122"/>
        <v/>
      </c>
      <c r="K1941" t="str">
        <f t="shared" si="123"/>
        <v>MISSING OEWS</v>
      </c>
    </row>
    <row r="1942" spans="1:11">
      <c r="A1942" t="s">
        <v>108</v>
      </c>
      <c r="B1942" t="s">
        <v>1414</v>
      </c>
      <c r="C1942" t="s">
        <v>746</v>
      </c>
      <c r="D1942" t="s">
        <v>747</v>
      </c>
      <c r="E1942" s="8">
        <v>1970</v>
      </c>
      <c r="F1942" s="8">
        <v>76860</v>
      </c>
      <c r="G1942" s="8">
        <f t="shared" si="120"/>
        <v>151414200</v>
      </c>
      <c r="H1942" s="5"/>
      <c r="I1942" s="8" t="str">
        <f t="shared" si="121"/>
        <v/>
      </c>
      <c r="J1942" s="8" t="str">
        <f t="shared" si="122"/>
        <v/>
      </c>
      <c r="K1942" t="str">
        <f t="shared" si="123"/>
        <v>MISSING WHARTON</v>
      </c>
    </row>
    <row r="1943" spans="1:11">
      <c r="A1943" t="s">
        <v>108</v>
      </c>
      <c r="B1943" t="s">
        <v>1414</v>
      </c>
      <c r="C1943" t="s">
        <v>449</v>
      </c>
      <c r="D1943" t="s">
        <v>450</v>
      </c>
      <c r="E1943" s="8">
        <v>41820</v>
      </c>
      <c r="F1943" s="8">
        <v>55550</v>
      </c>
      <c r="G1943" s="8">
        <f t="shared" si="120"/>
        <v>2323101000</v>
      </c>
      <c r="H1943" s="5">
        <v>0.0867</v>
      </c>
      <c r="I1943" s="8">
        <f t="shared" si="121"/>
        <v>2323101000</v>
      </c>
      <c r="J1943" s="8">
        <f t="shared" si="122"/>
        <v>201412856.7</v>
      </c>
      <c r="K1943" t="str">
        <f t="shared" si="123"/>
        <v>MATCHED</v>
      </c>
    </row>
    <row r="1944" spans="1:11">
      <c r="A1944" t="s">
        <v>108</v>
      </c>
      <c r="B1944" t="s">
        <v>1414</v>
      </c>
      <c r="C1944" t="s">
        <v>910</v>
      </c>
      <c r="D1944" t="s">
        <v>911</v>
      </c>
      <c r="E1944" s="8">
        <v>90</v>
      </c>
      <c r="F1944" s="8">
        <v>76890</v>
      </c>
      <c r="G1944" s="8">
        <f t="shared" si="120"/>
        <v>6920100</v>
      </c>
      <c r="H1944" s="5">
        <v>0</v>
      </c>
      <c r="I1944" s="8">
        <f t="shared" si="121"/>
        <v>6920100</v>
      </c>
      <c r="J1944" s="8">
        <f t="shared" si="122"/>
        <v>0</v>
      </c>
      <c r="K1944" t="str">
        <f t="shared" si="123"/>
        <v>MATCHED</v>
      </c>
    </row>
    <row r="1945" spans="1:11">
      <c r="A1945" t="s">
        <v>108</v>
      </c>
      <c r="B1945" t="s">
        <v>1414</v>
      </c>
      <c r="C1945" t="s">
        <v>1082</v>
      </c>
      <c r="D1945" t="s">
        <v>1083</v>
      </c>
      <c r="E1945" s="8">
        <v>4240</v>
      </c>
      <c r="F1945" s="8">
        <v>53290</v>
      </c>
      <c r="G1945" s="8">
        <f t="shared" si="120"/>
        <v>225949600</v>
      </c>
      <c r="H1945" s="5">
        <v>0.2868</v>
      </c>
      <c r="I1945" s="8">
        <f t="shared" si="121"/>
        <v>225949600</v>
      </c>
      <c r="J1945" s="8">
        <f t="shared" si="122"/>
        <v>64802345.28</v>
      </c>
      <c r="K1945" t="str">
        <f t="shared" si="123"/>
        <v>MATCHED</v>
      </c>
    </row>
    <row r="1946" spans="1:11">
      <c r="A1946" t="s">
        <v>108</v>
      </c>
      <c r="B1946" t="s">
        <v>1414</v>
      </c>
      <c r="C1946" t="s">
        <v>1086</v>
      </c>
      <c r="D1946" t="s">
        <v>1087</v>
      </c>
      <c r="E1946" s="8">
        <v>320</v>
      </c>
      <c r="F1946" s="8">
        <v>48330</v>
      </c>
      <c r="G1946" s="8">
        <f t="shared" si="120"/>
        <v>15465600</v>
      </c>
      <c r="H1946" s="5">
        <v>0.0679</v>
      </c>
      <c r="I1946" s="8">
        <f t="shared" si="121"/>
        <v>15465600</v>
      </c>
      <c r="J1946" s="8">
        <f t="shared" si="122"/>
        <v>1050114.24</v>
      </c>
      <c r="K1946" t="str">
        <f t="shared" si="123"/>
        <v>MATCHED</v>
      </c>
    </row>
    <row r="1947" spans="1:11">
      <c r="A1947" t="s">
        <v>108</v>
      </c>
      <c r="B1947" t="s">
        <v>1414</v>
      </c>
      <c r="C1947" t="s">
        <v>748</v>
      </c>
      <c r="D1947" t="s">
        <v>749</v>
      </c>
      <c r="E1947" s="8">
        <v>180</v>
      </c>
      <c r="F1947" s="8">
        <v>55700</v>
      </c>
      <c r="G1947" s="8">
        <f t="shared" si="120"/>
        <v>10026000</v>
      </c>
      <c r="H1947" s="5">
        <v>0</v>
      </c>
      <c r="I1947" s="8">
        <f t="shared" si="121"/>
        <v>10026000</v>
      </c>
      <c r="J1947" s="8">
        <f t="shared" si="122"/>
        <v>0</v>
      </c>
      <c r="K1947" t="str">
        <f t="shared" si="123"/>
        <v>MATCHED</v>
      </c>
    </row>
    <row r="1948" spans="1:11">
      <c r="A1948" t="s">
        <v>108</v>
      </c>
      <c r="B1948" t="s">
        <v>1414</v>
      </c>
      <c r="C1948" t="s">
        <v>451</v>
      </c>
      <c r="D1948" t="s">
        <v>452</v>
      </c>
      <c r="E1948" s="8">
        <v>4300</v>
      </c>
      <c r="F1948" s="8">
        <v>43110</v>
      </c>
      <c r="G1948" s="8">
        <f t="shared" si="120"/>
        <v>185373000</v>
      </c>
      <c r="H1948" s="5">
        <v>0.0594</v>
      </c>
      <c r="I1948" s="8">
        <f t="shared" si="121"/>
        <v>185373000</v>
      </c>
      <c r="J1948" s="8">
        <f t="shared" si="122"/>
        <v>11011156.2</v>
      </c>
      <c r="K1948" t="str">
        <f t="shared" si="123"/>
        <v>MATCHED</v>
      </c>
    </row>
    <row r="1949" spans="1:11">
      <c r="A1949" t="s">
        <v>108</v>
      </c>
      <c r="B1949" t="s">
        <v>1414</v>
      </c>
      <c r="C1949" t="s">
        <v>453</v>
      </c>
      <c r="D1949" t="s">
        <v>454</v>
      </c>
      <c r="E1949" s="8">
        <v>20880</v>
      </c>
      <c r="F1949" s="8">
        <v>54460</v>
      </c>
      <c r="G1949" s="8">
        <f t="shared" si="120"/>
        <v>1137124800</v>
      </c>
      <c r="H1949" s="5">
        <v>0.1667</v>
      </c>
      <c r="I1949" s="8">
        <f t="shared" si="121"/>
        <v>1137124800</v>
      </c>
      <c r="J1949" s="8">
        <f t="shared" si="122"/>
        <v>189558704.16</v>
      </c>
      <c r="K1949" t="str">
        <f t="shared" si="123"/>
        <v>MATCHED</v>
      </c>
    </row>
    <row r="1950" spans="1:11">
      <c r="A1950" t="s">
        <v>108</v>
      </c>
      <c r="B1950" t="s">
        <v>1414</v>
      </c>
      <c r="C1950" t="s">
        <v>455</v>
      </c>
      <c r="D1950" t="s">
        <v>456</v>
      </c>
      <c r="E1950" s="8">
        <v>33220</v>
      </c>
      <c r="F1950" s="8">
        <v>74240</v>
      </c>
      <c r="G1950" s="8">
        <f t="shared" si="120"/>
        <v>2466252800</v>
      </c>
      <c r="H1950" s="5">
        <v>0.3775</v>
      </c>
      <c r="I1950" s="8">
        <f t="shared" si="121"/>
        <v>2466252800</v>
      </c>
      <c r="J1950" s="8">
        <f t="shared" si="122"/>
        <v>931010432</v>
      </c>
      <c r="K1950" t="str">
        <f t="shared" si="123"/>
        <v>MATCHED</v>
      </c>
    </row>
    <row r="1951" spans="1:11">
      <c r="A1951" t="s">
        <v>108</v>
      </c>
      <c r="B1951" t="s">
        <v>1414</v>
      </c>
      <c r="C1951" t="s">
        <v>1316</v>
      </c>
      <c r="D1951" t="s">
        <v>1317</v>
      </c>
      <c r="E1951" s="8">
        <v>140</v>
      </c>
      <c r="F1951" s="8">
        <v>49060</v>
      </c>
      <c r="G1951" s="8">
        <f t="shared" si="120"/>
        <v>6868400</v>
      </c>
      <c r="H1951" s="5">
        <v>0.0864</v>
      </c>
      <c r="I1951" s="8">
        <f t="shared" si="121"/>
        <v>6868400</v>
      </c>
      <c r="J1951" s="8">
        <f t="shared" si="122"/>
        <v>593429.76</v>
      </c>
      <c r="K1951" t="str">
        <f t="shared" si="123"/>
        <v>MATCHED</v>
      </c>
    </row>
    <row r="1952" spans="1:11">
      <c r="A1952" t="s">
        <v>108</v>
      </c>
      <c r="B1952" t="s">
        <v>1414</v>
      </c>
      <c r="C1952" t="s">
        <v>912</v>
      </c>
      <c r="D1952" t="s">
        <v>913</v>
      </c>
      <c r="E1952" s="8">
        <v>7980</v>
      </c>
      <c r="F1952" s="8">
        <v>49510</v>
      </c>
      <c r="G1952" s="8">
        <f t="shared" si="120"/>
        <v>395089800</v>
      </c>
      <c r="H1952" s="5">
        <v>0.0559</v>
      </c>
      <c r="I1952" s="8">
        <f t="shared" si="121"/>
        <v>395089800</v>
      </c>
      <c r="J1952" s="8">
        <f t="shared" si="122"/>
        <v>22085519.82</v>
      </c>
      <c r="K1952" t="str">
        <f t="shared" si="123"/>
        <v>MATCHED</v>
      </c>
    </row>
    <row r="1953" spans="1:11">
      <c r="A1953" t="s">
        <v>108</v>
      </c>
      <c r="B1953" t="s">
        <v>1414</v>
      </c>
      <c r="C1953" t="s">
        <v>1318</v>
      </c>
      <c r="D1953" t="s">
        <v>1319</v>
      </c>
      <c r="E1953" s="8">
        <v>520</v>
      </c>
      <c r="F1953" s="8">
        <v>59450</v>
      </c>
      <c r="G1953" s="8">
        <f t="shared" si="120"/>
        <v>30914000</v>
      </c>
      <c r="H1953" s="5">
        <v>0.0583</v>
      </c>
      <c r="I1953" s="8">
        <f t="shared" si="121"/>
        <v>30914000</v>
      </c>
      <c r="J1953" s="8">
        <f t="shared" si="122"/>
        <v>1802286.2</v>
      </c>
      <c r="K1953" t="str">
        <f t="shared" si="123"/>
        <v>MATCHED</v>
      </c>
    </row>
    <row r="1954" spans="1:11">
      <c r="A1954" t="s">
        <v>108</v>
      </c>
      <c r="B1954" t="s">
        <v>1414</v>
      </c>
      <c r="C1954" t="s">
        <v>1092</v>
      </c>
      <c r="D1954" t="s">
        <v>1093</v>
      </c>
      <c r="E1954" s="8">
        <v>1850</v>
      </c>
      <c r="F1954" s="8">
        <v>51500</v>
      </c>
      <c r="G1954" s="8">
        <f t="shared" si="120"/>
        <v>95275000</v>
      </c>
      <c r="H1954" s="5">
        <v>0</v>
      </c>
      <c r="I1954" s="8">
        <f t="shared" si="121"/>
        <v>95275000</v>
      </c>
      <c r="J1954" s="8">
        <f t="shared" si="122"/>
        <v>0</v>
      </c>
      <c r="K1954" t="str">
        <f t="shared" si="123"/>
        <v>MATCHED</v>
      </c>
    </row>
    <row r="1955" spans="1:11">
      <c r="A1955" t="s">
        <v>108</v>
      </c>
      <c r="B1955" t="s">
        <v>1414</v>
      </c>
      <c r="C1955" t="s">
        <v>1094</v>
      </c>
      <c r="D1955" t="s">
        <v>1095</v>
      </c>
      <c r="E1955" s="8">
        <v>70</v>
      </c>
      <c r="F1955" s="8">
        <v>43280</v>
      </c>
      <c r="G1955" s="8">
        <f t="shared" si="120"/>
        <v>3029600</v>
      </c>
      <c r="H1955" s="5">
        <v>0</v>
      </c>
      <c r="I1955" s="8">
        <f t="shared" si="121"/>
        <v>3029600</v>
      </c>
      <c r="J1955" s="8">
        <f t="shared" si="122"/>
        <v>0</v>
      </c>
      <c r="K1955" t="str">
        <f t="shared" si="123"/>
        <v>MATCHED</v>
      </c>
    </row>
    <row r="1956" spans="1:11">
      <c r="A1956" t="s">
        <v>108</v>
      </c>
      <c r="B1956" t="s">
        <v>1414</v>
      </c>
      <c r="C1956" t="s">
        <v>457</v>
      </c>
      <c r="D1956" t="s">
        <v>458</v>
      </c>
      <c r="E1956" s="8">
        <v>74840</v>
      </c>
      <c r="F1956" s="8">
        <v>44650</v>
      </c>
      <c r="G1956" s="8">
        <f t="shared" si="120"/>
        <v>3341606000</v>
      </c>
      <c r="H1956" s="5">
        <v>0.15</v>
      </c>
      <c r="I1956" s="8">
        <f t="shared" si="121"/>
        <v>3341606000</v>
      </c>
      <c r="J1956" s="8">
        <f t="shared" si="122"/>
        <v>501240900</v>
      </c>
      <c r="K1956" t="str">
        <f t="shared" si="123"/>
        <v>MATCHED</v>
      </c>
    </row>
    <row r="1957" spans="1:11">
      <c r="A1957" t="s">
        <v>108</v>
      </c>
      <c r="B1957" t="s">
        <v>1414</v>
      </c>
      <c r="C1957" t="s">
        <v>1322</v>
      </c>
      <c r="D1957" t="s">
        <v>1323</v>
      </c>
      <c r="E1957" s="8">
        <v>1880</v>
      </c>
      <c r="F1957" s="8">
        <v>39500</v>
      </c>
      <c r="G1957" s="8">
        <f t="shared" si="120"/>
        <v>74260000</v>
      </c>
      <c r="H1957" s="5">
        <v>0.1444</v>
      </c>
      <c r="I1957" s="8">
        <f t="shared" si="121"/>
        <v>74260000</v>
      </c>
      <c r="J1957" s="8">
        <f t="shared" si="122"/>
        <v>10723144</v>
      </c>
      <c r="K1957" t="str">
        <f t="shared" si="123"/>
        <v>MATCHED</v>
      </c>
    </row>
    <row r="1958" spans="1:11">
      <c r="A1958" t="s">
        <v>108</v>
      </c>
      <c r="B1958" t="s">
        <v>1414</v>
      </c>
      <c r="C1958" t="s">
        <v>1324</v>
      </c>
      <c r="D1958" t="s">
        <v>1325</v>
      </c>
      <c r="E1958" s="8">
        <v>3840</v>
      </c>
      <c r="F1958" s="8">
        <v>44650</v>
      </c>
      <c r="G1958" s="8">
        <f t="shared" si="120"/>
        <v>171456000</v>
      </c>
      <c r="H1958" s="5">
        <v>0.1583</v>
      </c>
      <c r="I1958" s="8">
        <f t="shared" si="121"/>
        <v>171456000</v>
      </c>
      <c r="J1958" s="8">
        <f t="shared" si="122"/>
        <v>27141484.8</v>
      </c>
      <c r="K1958" t="str">
        <f t="shared" si="123"/>
        <v>MATCHED</v>
      </c>
    </row>
    <row r="1959" spans="1:11">
      <c r="A1959" t="s">
        <v>108</v>
      </c>
      <c r="B1959" t="s">
        <v>1414</v>
      </c>
      <c r="C1959" t="s">
        <v>1326</v>
      </c>
      <c r="D1959" t="s">
        <v>1327</v>
      </c>
      <c r="E1959" s="8">
        <v>6350</v>
      </c>
      <c r="F1959" s="8">
        <v>41210</v>
      </c>
      <c r="G1959" s="8">
        <f t="shared" si="120"/>
        <v>261683500</v>
      </c>
      <c r="H1959" s="5">
        <v>0</v>
      </c>
      <c r="I1959" s="8">
        <f t="shared" si="121"/>
        <v>261683500</v>
      </c>
      <c r="J1959" s="8">
        <f t="shared" si="122"/>
        <v>0</v>
      </c>
      <c r="K1959" t="str">
        <f t="shared" si="123"/>
        <v>MATCHED</v>
      </c>
    </row>
    <row r="1960" spans="1:11">
      <c r="A1960" t="s">
        <v>108</v>
      </c>
      <c r="B1960" t="s">
        <v>1414</v>
      </c>
      <c r="C1960" t="s">
        <v>1328</v>
      </c>
      <c r="D1960" t="s">
        <v>1329</v>
      </c>
      <c r="E1960" s="8">
        <v>1590</v>
      </c>
      <c r="F1960" s="8">
        <v>41460</v>
      </c>
      <c r="G1960" s="8">
        <f t="shared" si="120"/>
        <v>65921400</v>
      </c>
      <c r="H1960" s="5">
        <v>0</v>
      </c>
      <c r="I1960" s="8">
        <f t="shared" si="121"/>
        <v>65921400</v>
      </c>
      <c r="J1960" s="8">
        <f t="shared" si="122"/>
        <v>0</v>
      </c>
      <c r="K1960" t="str">
        <f t="shared" si="123"/>
        <v>MATCHED</v>
      </c>
    </row>
    <row r="1961" spans="1:11">
      <c r="A1961" t="s">
        <v>108</v>
      </c>
      <c r="B1961" t="s">
        <v>1414</v>
      </c>
      <c r="C1961" t="s">
        <v>459</v>
      </c>
      <c r="D1961" t="s">
        <v>460</v>
      </c>
      <c r="E1961" s="8">
        <v>1330</v>
      </c>
      <c r="F1961" s="8">
        <v>45770</v>
      </c>
      <c r="G1961" s="8">
        <f t="shared" si="120"/>
        <v>60874100</v>
      </c>
      <c r="H1961" s="5">
        <v>0.0475</v>
      </c>
      <c r="I1961" s="8">
        <f t="shared" si="121"/>
        <v>60874100</v>
      </c>
      <c r="J1961" s="8">
        <f t="shared" si="122"/>
        <v>2891519.75</v>
      </c>
      <c r="K1961" t="str">
        <f t="shared" si="123"/>
        <v>MATCHED</v>
      </c>
    </row>
    <row r="1962" spans="1:11">
      <c r="A1962" t="s">
        <v>108</v>
      </c>
      <c r="B1962" t="s">
        <v>1414</v>
      </c>
      <c r="C1962" t="s">
        <v>461</v>
      </c>
      <c r="D1962" t="s">
        <v>462</v>
      </c>
      <c r="E1962" s="8">
        <v>5540</v>
      </c>
      <c r="F1962" s="8">
        <v>41850</v>
      </c>
      <c r="G1962" s="8">
        <f t="shared" si="120"/>
        <v>231849000</v>
      </c>
      <c r="H1962" s="5">
        <v>0.038</v>
      </c>
      <c r="I1962" s="8">
        <f t="shared" si="121"/>
        <v>231849000</v>
      </c>
      <c r="J1962" s="8">
        <f t="shared" si="122"/>
        <v>8810262</v>
      </c>
      <c r="K1962" t="str">
        <f t="shared" si="123"/>
        <v>MATCHED</v>
      </c>
    </row>
    <row r="1963" spans="1:11">
      <c r="A1963" t="s">
        <v>108</v>
      </c>
      <c r="B1963" t="s">
        <v>1414</v>
      </c>
      <c r="C1963" t="s">
        <v>1330</v>
      </c>
      <c r="D1963" t="s">
        <v>1331</v>
      </c>
      <c r="E1963" s="8">
        <v>1600</v>
      </c>
      <c r="F1963" s="8">
        <v>40160</v>
      </c>
      <c r="G1963" s="8">
        <f t="shared" si="120"/>
        <v>64256000</v>
      </c>
      <c r="H1963" s="5">
        <v>0.1118</v>
      </c>
      <c r="I1963" s="8">
        <f t="shared" si="121"/>
        <v>64256000</v>
      </c>
      <c r="J1963" s="8">
        <f t="shared" si="122"/>
        <v>7183820.8</v>
      </c>
      <c r="K1963" t="str">
        <f t="shared" si="123"/>
        <v>MATCHED</v>
      </c>
    </row>
    <row r="1964" spans="1:11">
      <c r="A1964" t="s">
        <v>108</v>
      </c>
      <c r="B1964" t="s">
        <v>1414</v>
      </c>
      <c r="C1964" t="s">
        <v>463</v>
      </c>
      <c r="D1964" t="s">
        <v>464</v>
      </c>
      <c r="E1964" s="8">
        <v>3140</v>
      </c>
      <c r="F1964" s="8">
        <v>35830</v>
      </c>
      <c r="G1964" s="8">
        <f t="shared" si="120"/>
        <v>112506200</v>
      </c>
      <c r="H1964" s="5"/>
      <c r="I1964" s="8" t="str">
        <f t="shared" si="121"/>
        <v/>
      </c>
      <c r="J1964" s="8" t="str">
        <f t="shared" si="122"/>
        <v/>
      </c>
      <c r="K1964" t="str">
        <f t="shared" si="123"/>
        <v>MISSING WHARTON</v>
      </c>
    </row>
    <row r="1965" spans="1:11">
      <c r="A1965" t="s">
        <v>108</v>
      </c>
      <c r="B1965" t="s">
        <v>1414</v>
      </c>
      <c r="C1965" t="s">
        <v>1096</v>
      </c>
      <c r="D1965" t="s">
        <v>1097</v>
      </c>
      <c r="E1965" s="8">
        <v>1290</v>
      </c>
      <c r="F1965" s="8">
        <v>46920</v>
      </c>
      <c r="G1965" s="8">
        <f t="shared" si="120"/>
        <v>60526800</v>
      </c>
      <c r="H1965" s="5">
        <v>0</v>
      </c>
      <c r="I1965" s="8">
        <f t="shared" si="121"/>
        <v>60526800</v>
      </c>
      <c r="J1965" s="8">
        <f t="shared" si="122"/>
        <v>0</v>
      </c>
      <c r="K1965" t="str">
        <f t="shared" si="123"/>
        <v>MATCHED</v>
      </c>
    </row>
    <row r="1966" spans="1:11">
      <c r="A1966" t="s">
        <v>108</v>
      </c>
      <c r="B1966" t="s">
        <v>1414</v>
      </c>
      <c r="C1966" t="s">
        <v>1098</v>
      </c>
      <c r="D1966" t="s">
        <v>1099</v>
      </c>
      <c r="E1966" s="8"/>
      <c r="F1966" s="8">
        <v>45730</v>
      </c>
      <c r="G1966" s="8" t="str">
        <f t="shared" si="120"/>
        <v/>
      </c>
      <c r="H1966" s="5">
        <v>0</v>
      </c>
      <c r="I1966" s="8" t="str">
        <f t="shared" si="121"/>
        <v/>
      </c>
      <c r="J1966" s="8" t="str">
        <f t="shared" si="122"/>
        <v/>
      </c>
      <c r="K1966" t="str">
        <f t="shared" si="123"/>
        <v>MISSING OEWS</v>
      </c>
    </row>
    <row r="1967" spans="1:11">
      <c r="A1967" t="s">
        <v>108</v>
      </c>
      <c r="B1967" t="s">
        <v>1414</v>
      </c>
      <c r="C1967" t="s">
        <v>750</v>
      </c>
      <c r="D1967" t="s">
        <v>751</v>
      </c>
      <c r="E1967" s="8">
        <v>1570</v>
      </c>
      <c r="F1967" s="8">
        <v>52940</v>
      </c>
      <c r="G1967" s="8">
        <f t="shared" si="120"/>
        <v>83115800</v>
      </c>
      <c r="H1967" s="5">
        <v>0.1</v>
      </c>
      <c r="I1967" s="8">
        <f t="shared" si="121"/>
        <v>83115800</v>
      </c>
      <c r="J1967" s="8">
        <f t="shared" si="122"/>
        <v>8311580</v>
      </c>
      <c r="K1967" t="str">
        <f t="shared" si="123"/>
        <v>MATCHED</v>
      </c>
    </row>
    <row r="1968" spans="1:11">
      <c r="A1968" t="s">
        <v>108</v>
      </c>
      <c r="B1968" t="s">
        <v>1414</v>
      </c>
      <c r="C1968" t="s">
        <v>1100</v>
      </c>
      <c r="D1968" t="s">
        <v>1101</v>
      </c>
      <c r="E1968" s="8">
        <v>11930</v>
      </c>
      <c r="F1968" s="8">
        <v>47560</v>
      </c>
      <c r="G1968" s="8">
        <f t="shared" si="120"/>
        <v>567390800</v>
      </c>
      <c r="H1968" s="5">
        <v>0.0297</v>
      </c>
      <c r="I1968" s="8">
        <f t="shared" si="121"/>
        <v>567390800</v>
      </c>
      <c r="J1968" s="8">
        <f t="shared" si="122"/>
        <v>16851506.76</v>
      </c>
      <c r="K1968" t="str">
        <f t="shared" si="123"/>
        <v>MATCHED</v>
      </c>
    </row>
    <row r="1969" spans="1:11">
      <c r="A1969" t="s">
        <v>108</v>
      </c>
      <c r="B1969" t="s">
        <v>1414</v>
      </c>
      <c r="C1969" t="s">
        <v>752</v>
      </c>
      <c r="D1969" t="s">
        <v>753</v>
      </c>
      <c r="E1969" s="8"/>
      <c r="F1969" s="8">
        <v>63750</v>
      </c>
      <c r="G1969" s="8" t="str">
        <f t="shared" si="120"/>
        <v/>
      </c>
      <c r="H1969" s="5">
        <v>0</v>
      </c>
      <c r="I1969" s="8" t="str">
        <f t="shared" si="121"/>
        <v/>
      </c>
      <c r="J1969" s="8" t="str">
        <f t="shared" si="122"/>
        <v/>
      </c>
      <c r="K1969" t="str">
        <f t="shared" si="123"/>
        <v>MISSING OEWS</v>
      </c>
    </row>
    <row r="1970" spans="1:11">
      <c r="A1970" t="s">
        <v>108</v>
      </c>
      <c r="B1970" t="s">
        <v>1414</v>
      </c>
      <c r="C1970" t="s">
        <v>1102</v>
      </c>
      <c r="D1970" t="s">
        <v>1103</v>
      </c>
      <c r="E1970" s="8">
        <v>720</v>
      </c>
      <c r="F1970" s="8">
        <v>44680</v>
      </c>
      <c r="G1970" s="8">
        <f t="shared" si="120"/>
        <v>32169600</v>
      </c>
      <c r="H1970" s="5">
        <v>0.0917</v>
      </c>
      <c r="I1970" s="8">
        <f t="shared" si="121"/>
        <v>32169600</v>
      </c>
      <c r="J1970" s="8">
        <f t="shared" si="122"/>
        <v>2949952.32</v>
      </c>
      <c r="K1970" t="str">
        <f t="shared" si="123"/>
        <v>MATCHED</v>
      </c>
    </row>
    <row r="1971" spans="1:11">
      <c r="A1971" t="s">
        <v>108</v>
      </c>
      <c r="B1971" t="s">
        <v>1414</v>
      </c>
      <c r="C1971" t="s">
        <v>1104</v>
      </c>
      <c r="D1971" t="s">
        <v>1105</v>
      </c>
      <c r="E1971" s="8">
        <v>170</v>
      </c>
      <c r="F1971" s="8">
        <v>44150</v>
      </c>
      <c r="G1971" s="8">
        <f t="shared" si="120"/>
        <v>7505500</v>
      </c>
      <c r="H1971" s="5">
        <v>0.0438</v>
      </c>
      <c r="I1971" s="8">
        <f t="shared" si="121"/>
        <v>7505500</v>
      </c>
      <c r="J1971" s="8">
        <f t="shared" si="122"/>
        <v>328740.9</v>
      </c>
      <c r="K1971" t="str">
        <f t="shared" si="123"/>
        <v>MATCHED</v>
      </c>
    </row>
    <row r="1972" spans="1:11">
      <c r="A1972" t="s">
        <v>108</v>
      </c>
      <c r="B1972" t="s">
        <v>1414</v>
      </c>
      <c r="C1972" t="s">
        <v>754</v>
      </c>
      <c r="D1972" t="s">
        <v>755</v>
      </c>
      <c r="E1972" s="8">
        <v>460</v>
      </c>
      <c r="F1972" s="8">
        <v>51550</v>
      </c>
      <c r="G1972" s="8">
        <f t="shared" si="120"/>
        <v>23713000</v>
      </c>
      <c r="H1972" s="5">
        <v>0.0633</v>
      </c>
      <c r="I1972" s="8">
        <f t="shared" si="121"/>
        <v>23713000</v>
      </c>
      <c r="J1972" s="8">
        <f t="shared" si="122"/>
        <v>1501032.9</v>
      </c>
      <c r="K1972" t="str">
        <f t="shared" si="123"/>
        <v>MATCHED</v>
      </c>
    </row>
    <row r="1973" spans="1:11">
      <c r="A1973" t="s">
        <v>108</v>
      </c>
      <c r="B1973" t="s">
        <v>1414</v>
      </c>
      <c r="C1973" t="s">
        <v>756</v>
      </c>
      <c r="D1973" t="s">
        <v>757</v>
      </c>
      <c r="E1973" s="8">
        <v>10830</v>
      </c>
      <c r="F1973" s="8">
        <v>56010</v>
      </c>
      <c r="G1973" s="8">
        <f t="shared" si="120"/>
        <v>606588300</v>
      </c>
      <c r="H1973" s="5">
        <v>0.0897</v>
      </c>
      <c r="I1973" s="8">
        <f t="shared" si="121"/>
        <v>606588300</v>
      </c>
      <c r="J1973" s="8">
        <f t="shared" si="122"/>
        <v>54410970.51</v>
      </c>
      <c r="K1973" t="str">
        <f t="shared" si="123"/>
        <v>MATCHED</v>
      </c>
    </row>
    <row r="1974" spans="1:11">
      <c r="A1974" t="s">
        <v>108</v>
      </c>
      <c r="B1974" t="s">
        <v>1414</v>
      </c>
      <c r="C1974" t="s">
        <v>758</v>
      </c>
      <c r="D1974" t="s">
        <v>759</v>
      </c>
      <c r="E1974" s="8">
        <v>210</v>
      </c>
      <c r="F1974" s="8">
        <v>49080</v>
      </c>
      <c r="G1974" s="8">
        <f t="shared" si="120"/>
        <v>10306800</v>
      </c>
      <c r="H1974" s="5">
        <v>0.1267</v>
      </c>
      <c r="I1974" s="8">
        <f t="shared" si="121"/>
        <v>10306800</v>
      </c>
      <c r="J1974" s="8">
        <f t="shared" si="122"/>
        <v>1305871.56</v>
      </c>
      <c r="K1974" t="str">
        <f t="shared" si="123"/>
        <v>MATCHED</v>
      </c>
    </row>
    <row r="1975" spans="1:11">
      <c r="A1975" t="s">
        <v>108</v>
      </c>
      <c r="B1975" t="s">
        <v>1414</v>
      </c>
      <c r="C1975" t="s">
        <v>1334</v>
      </c>
      <c r="D1975" t="s">
        <v>1335</v>
      </c>
      <c r="E1975" s="8">
        <v>70</v>
      </c>
      <c r="F1975" s="8">
        <v>91310</v>
      </c>
      <c r="G1975" s="8">
        <f t="shared" si="120"/>
        <v>6391700</v>
      </c>
      <c r="H1975" s="5">
        <v>0.0594</v>
      </c>
      <c r="I1975" s="8">
        <f t="shared" si="121"/>
        <v>6391700</v>
      </c>
      <c r="J1975" s="8">
        <f t="shared" si="122"/>
        <v>379666.98</v>
      </c>
      <c r="K1975" t="str">
        <f t="shared" si="123"/>
        <v>MATCHED</v>
      </c>
    </row>
    <row r="1976" spans="1:11">
      <c r="A1976" t="s">
        <v>108</v>
      </c>
      <c r="B1976" t="s">
        <v>1414</v>
      </c>
      <c r="C1976" t="s">
        <v>1106</v>
      </c>
      <c r="D1976" t="s">
        <v>1107</v>
      </c>
      <c r="E1976" s="8">
        <v>1250</v>
      </c>
      <c r="F1976" s="8">
        <v>46200</v>
      </c>
      <c r="G1976" s="8">
        <f t="shared" si="120"/>
        <v>57750000</v>
      </c>
      <c r="H1976" s="5">
        <v>0.0288</v>
      </c>
      <c r="I1976" s="8">
        <f t="shared" si="121"/>
        <v>57750000</v>
      </c>
      <c r="J1976" s="8">
        <f t="shared" si="122"/>
        <v>1663200</v>
      </c>
      <c r="K1976" t="str">
        <f t="shared" si="123"/>
        <v>MATCHED</v>
      </c>
    </row>
    <row r="1977" spans="1:11">
      <c r="A1977" t="s">
        <v>108</v>
      </c>
      <c r="B1977" t="s">
        <v>1414</v>
      </c>
      <c r="C1977" t="s">
        <v>1108</v>
      </c>
      <c r="D1977" t="s">
        <v>1109</v>
      </c>
      <c r="E1977" s="8">
        <v>5820</v>
      </c>
      <c r="F1977" s="8">
        <v>47660</v>
      </c>
      <c r="G1977" s="8">
        <f t="shared" si="120"/>
        <v>277381200</v>
      </c>
      <c r="H1977" s="5">
        <v>0.169</v>
      </c>
      <c r="I1977" s="8">
        <f t="shared" si="121"/>
        <v>277381200</v>
      </c>
      <c r="J1977" s="8">
        <f t="shared" si="122"/>
        <v>46877422.8</v>
      </c>
      <c r="K1977" t="str">
        <f t="shared" si="123"/>
        <v>MATCHED</v>
      </c>
    </row>
    <row r="1978" spans="1:11">
      <c r="A1978" t="s">
        <v>108</v>
      </c>
      <c r="B1978" t="s">
        <v>1414</v>
      </c>
      <c r="C1978" t="s">
        <v>760</v>
      </c>
      <c r="D1978" t="s">
        <v>761</v>
      </c>
      <c r="E1978" s="8">
        <v>770</v>
      </c>
      <c r="F1978" s="8">
        <v>57050</v>
      </c>
      <c r="G1978" s="8">
        <f t="shared" si="120"/>
        <v>43928500</v>
      </c>
      <c r="H1978" s="5">
        <v>0.0559</v>
      </c>
      <c r="I1978" s="8">
        <f t="shared" si="121"/>
        <v>43928500</v>
      </c>
      <c r="J1978" s="8">
        <f t="shared" si="122"/>
        <v>2455603.15</v>
      </c>
      <c r="K1978" t="str">
        <f t="shared" si="123"/>
        <v>MATCHED</v>
      </c>
    </row>
    <row r="1979" spans="1:11">
      <c r="A1979" t="s">
        <v>108</v>
      </c>
      <c r="B1979" t="s">
        <v>1414</v>
      </c>
      <c r="C1979" t="s">
        <v>465</v>
      </c>
      <c r="D1979" t="s">
        <v>466</v>
      </c>
      <c r="E1979" s="8">
        <v>21450</v>
      </c>
      <c r="F1979" s="8">
        <v>53030</v>
      </c>
      <c r="G1979" s="8">
        <f t="shared" si="120"/>
        <v>1137493500</v>
      </c>
      <c r="H1979" s="5">
        <v>0.0233</v>
      </c>
      <c r="I1979" s="8">
        <f t="shared" si="121"/>
        <v>1137493500</v>
      </c>
      <c r="J1979" s="8">
        <f t="shared" si="122"/>
        <v>26503598.55</v>
      </c>
      <c r="K1979" t="str">
        <f t="shared" si="123"/>
        <v>MATCHED</v>
      </c>
    </row>
    <row r="1980" spans="1:11">
      <c r="A1980" t="s">
        <v>108</v>
      </c>
      <c r="B1980" t="s">
        <v>1414</v>
      </c>
      <c r="C1980" t="s">
        <v>762</v>
      </c>
      <c r="D1980" t="s">
        <v>763</v>
      </c>
      <c r="E1980" s="8">
        <v>1650</v>
      </c>
      <c r="F1980" s="8">
        <v>47240</v>
      </c>
      <c r="G1980" s="8">
        <f t="shared" si="120"/>
        <v>77946000</v>
      </c>
      <c r="H1980" s="5">
        <v>0.0983</v>
      </c>
      <c r="I1980" s="8">
        <f t="shared" si="121"/>
        <v>77946000</v>
      </c>
      <c r="J1980" s="8">
        <f t="shared" si="122"/>
        <v>7662091.8</v>
      </c>
      <c r="K1980" t="str">
        <f t="shared" si="123"/>
        <v>MATCHED</v>
      </c>
    </row>
    <row r="1981" spans="1:11">
      <c r="A1981" t="s">
        <v>108</v>
      </c>
      <c r="B1981" t="s">
        <v>1414</v>
      </c>
      <c r="C1981" t="s">
        <v>1110</v>
      </c>
      <c r="D1981" t="s">
        <v>1111</v>
      </c>
      <c r="E1981" s="8">
        <v>590</v>
      </c>
      <c r="F1981" s="8">
        <v>50290</v>
      </c>
      <c r="G1981" s="8">
        <f t="shared" si="120"/>
        <v>29671100</v>
      </c>
      <c r="H1981" s="5">
        <v>0.0365</v>
      </c>
      <c r="I1981" s="8">
        <f t="shared" si="121"/>
        <v>29671100</v>
      </c>
      <c r="J1981" s="8">
        <f t="shared" si="122"/>
        <v>1082995.15</v>
      </c>
      <c r="K1981" t="str">
        <f t="shared" si="123"/>
        <v>MATCHED</v>
      </c>
    </row>
    <row r="1982" spans="1:11">
      <c r="A1982" t="s">
        <v>108</v>
      </c>
      <c r="B1982" t="s">
        <v>1414</v>
      </c>
      <c r="C1982" t="s">
        <v>1340</v>
      </c>
      <c r="D1982" t="s">
        <v>1341</v>
      </c>
      <c r="E1982" s="8">
        <v>80</v>
      </c>
      <c r="F1982" s="8">
        <v>43940</v>
      </c>
      <c r="G1982" s="8">
        <f t="shared" si="120"/>
        <v>3515200</v>
      </c>
      <c r="H1982" s="5">
        <v>0.025</v>
      </c>
      <c r="I1982" s="8">
        <f t="shared" si="121"/>
        <v>3515200</v>
      </c>
      <c r="J1982" s="8">
        <f t="shared" si="122"/>
        <v>87880</v>
      </c>
      <c r="K1982" t="str">
        <f t="shared" si="123"/>
        <v>MATCHED</v>
      </c>
    </row>
    <row r="1983" spans="1:11">
      <c r="A1983" t="s">
        <v>108</v>
      </c>
      <c r="B1983" t="s">
        <v>1414</v>
      </c>
      <c r="C1983" t="s">
        <v>1114</v>
      </c>
      <c r="D1983" t="s">
        <v>1115</v>
      </c>
      <c r="E1983" s="8">
        <v>260</v>
      </c>
      <c r="F1983" s="8">
        <v>41710</v>
      </c>
      <c r="G1983" s="8">
        <f t="shared" si="120"/>
        <v>10844600</v>
      </c>
      <c r="H1983" s="5">
        <v>0</v>
      </c>
      <c r="I1983" s="8">
        <f t="shared" si="121"/>
        <v>10844600</v>
      </c>
      <c r="J1983" s="8">
        <f t="shared" si="122"/>
        <v>0</v>
      </c>
      <c r="K1983" t="str">
        <f t="shared" si="123"/>
        <v>MATCHED</v>
      </c>
    </row>
    <row r="1984" spans="1:11">
      <c r="A1984" t="s">
        <v>108</v>
      </c>
      <c r="B1984" t="s">
        <v>1414</v>
      </c>
      <c r="C1984" t="s">
        <v>764</v>
      </c>
      <c r="D1984" t="s">
        <v>765</v>
      </c>
      <c r="E1984" s="8">
        <v>1050</v>
      </c>
      <c r="F1984" s="8">
        <v>45690</v>
      </c>
      <c r="G1984" s="8">
        <f t="shared" si="120"/>
        <v>47974500</v>
      </c>
      <c r="H1984" s="5"/>
      <c r="I1984" s="8" t="str">
        <f t="shared" si="121"/>
        <v/>
      </c>
      <c r="J1984" s="8" t="str">
        <f t="shared" si="122"/>
        <v/>
      </c>
      <c r="K1984" t="str">
        <f t="shared" si="123"/>
        <v>MISSING WHARTON</v>
      </c>
    </row>
    <row r="1985" spans="1:11">
      <c r="A1985" t="s">
        <v>108</v>
      </c>
      <c r="B1985" t="s">
        <v>1414</v>
      </c>
      <c r="C1985" t="s">
        <v>1342</v>
      </c>
      <c r="D1985" t="s">
        <v>1343</v>
      </c>
      <c r="E1985" s="8">
        <v>390</v>
      </c>
      <c r="F1985" s="8">
        <v>50160</v>
      </c>
      <c r="G1985" s="8">
        <f t="shared" si="120"/>
        <v>19562400</v>
      </c>
      <c r="H1985" s="5">
        <v>0.42</v>
      </c>
      <c r="I1985" s="8">
        <f t="shared" si="121"/>
        <v>19562400</v>
      </c>
      <c r="J1985" s="8">
        <f t="shared" si="122"/>
        <v>8216208</v>
      </c>
      <c r="K1985" t="str">
        <f t="shared" si="123"/>
        <v>MATCHED</v>
      </c>
    </row>
    <row r="1986" spans="1:11">
      <c r="A1986" t="s">
        <v>108</v>
      </c>
      <c r="B1986" t="s">
        <v>1414</v>
      </c>
      <c r="C1986" t="s">
        <v>1344</v>
      </c>
      <c r="D1986" t="s">
        <v>1345</v>
      </c>
      <c r="E1986" s="8">
        <v>4190</v>
      </c>
      <c r="F1986" s="8">
        <v>44310</v>
      </c>
      <c r="G1986" s="8">
        <f t="shared" ref="G1986:G2049" si="124">IF(OR(E1986="",F1986=""),"",E1986*F1986)</f>
        <v>185658900</v>
      </c>
      <c r="H1986" s="5">
        <v>0.3348</v>
      </c>
      <c r="I1986" s="8">
        <f t="shared" ref="I1986:I2049" si="125">IF(G1986="","",IF(ISNUMBER(H1986),G1986,""))</f>
        <v>185658900</v>
      </c>
      <c r="J1986" s="8">
        <f t="shared" ref="J1986:J2049" si="126">IF(I1986="","",I1986*H1986)</f>
        <v>62158599.72</v>
      </c>
      <c r="K1986" t="str">
        <f t="shared" ref="K1986:K2049" si="127">IF(G1986="","MISSING OEWS",IF(ISNUMBER(H1986),"MATCHED","MISSING WHARTON"))</f>
        <v>MATCHED</v>
      </c>
    </row>
    <row r="1987" spans="1:11">
      <c r="A1987" t="s">
        <v>108</v>
      </c>
      <c r="B1987" t="s">
        <v>1414</v>
      </c>
      <c r="C1987" t="s">
        <v>1346</v>
      </c>
      <c r="D1987" t="s">
        <v>1347</v>
      </c>
      <c r="E1987" s="8">
        <v>80</v>
      </c>
      <c r="F1987" s="8">
        <v>38980</v>
      </c>
      <c r="G1987" s="8">
        <f t="shared" si="124"/>
        <v>3118400</v>
      </c>
      <c r="H1987" s="5">
        <v>0.0385</v>
      </c>
      <c r="I1987" s="8">
        <f t="shared" si="125"/>
        <v>3118400</v>
      </c>
      <c r="J1987" s="8">
        <f t="shared" si="126"/>
        <v>120058.4</v>
      </c>
      <c r="K1987" t="str">
        <f t="shared" si="127"/>
        <v>MATCHED</v>
      </c>
    </row>
    <row r="1988" spans="1:11">
      <c r="A1988" t="s">
        <v>108</v>
      </c>
      <c r="B1988" t="s">
        <v>1414</v>
      </c>
      <c r="C1988" t="s">
        <v>1116</v>
      </c>
      <c r="D1988" t="s">
        <v>1117</v>
      </c>
      <c r="E1988" s="8">
        <v>230</v>
      </c>
      <c r="F1988" s="8">
        <v>33450</v>
      </c>
      <c r="G1988" s="8">
        <f t="shared" si="124"/>
        <v>7693500</v>
      </c>
      <c r="H1988" s="5">
        <v>0</v>
      </c>
      <c r="I1988" s="8">
        <f t="shared" si="125"/>
        <v>7693500</v>
      </c>
      <c r="J1988" s="8">
        <f t="shared" si="126"/>
        <v>0</v>
      </c>
      <c r="K1988" t="str">
        <f t="shared" si="127"/>
        <v>MATCHED</v>
      </c>
    </row>
    <row r="1989" spans="1:11">
      <c r="A1989" t="s">
        <v>108</v>
      </c>
      <c r="B1989" t="s">
        <v>1414</v>
      </c>
      <c r="C1989" t="s">
        <v>1348</v>
      </c>
      <c r="D1989" t="s">
        <v>1349</v>
      </c>
      <c r="E1989" s="8">
        <v>180</v>
      </c>
      <c r="F1989" s="8">
        <v>35430</v>
      </c>
      <c r="G1989" s="8">
        <f t="shared" si="124"/>
        <v>6377400</v>
      </c>
      <c r="H1989" s="5">
        <v>0</v>
      </c>
      <c r="I1989" s="8">
        <f t="shared" si="125"/>
        <v>6377400</v>
      </c>
      <c r="J1989" s="8">
        <f t="shared" si="126"/>
        <v>0</v>
      </c>
      <c r="K1989" t="str">
        <f t="shared" si="127"/>
        <v>MATCHED</v>
      </c>
    </row>
    <row r="1990" spans="1:11">
      <c r="A1990" t="s">
        <v>108</v>
      </c>
      <c r="B1990" t="s">
        <v>1414</v>
      </c>
      <c r="C1990" t="s">
        <v>1118</v>
      </c>
      <c r="D1990" t="s">
        <v>1119</v>
      </c>
      <c r="E1990" s="8">
        <v>5620</v>
      </c>
      <c r="F1990" s="8">
        <v>39300</v>
      </c>
      <c r="G1990" s="8">
        <f t="shared" si="124"/>
        <v>220866000</v>
      </c>
      <c r="H1990" s="5">
        <v>0.0365</v>
      </c>
      <c r="I1990" s="8">
        <f t="shared" si="125"/>
        <v>220866000</v>
      </c>
      <c r="J1990" s="8">
        <f t="shared" si="126"/>
        <v>8061609</v>
      </c>
      <c r="K1990" t="str">
        <f t="shared" si="127"/>
        <v>MATCHED</v>
      </c>
    </row>
    <row r="1991" spans="1:11">
      <c r="A1991" t="s">
        <v>108</v>
      </c>
      <c r="B1991" t="s">
        <v>1414</v>
      </c>
      <c r="C1991" t="s">
        <v>1350</v>
      </c>
      <c r="D1991" t="s">
        <v>1351</v>
      </c>
      <c r="E1991" s="8">
        <v>350</v>
      </c>
      <c r="F1991" s="8">
        <v>48290</v>
      </c>
      <c r="G1991" s="8">
        <f t="shared" si="124"/>
        <v>16901500</v>
      </c>
      <c r="H1991" s="5">
        <v>0</v>
      </c>
      <c r="I1991" s="8">
        <f t="shared" si="125"/>
        <v>16901500</v>
      </c>
      <c r="J1991" s="8">
        <f t="shared" si="126"/>
        <v>0</v>
      </c>
      <c r="K1991" t="str">
        <f t="shared" si="127"/>
        <v>MATCHED</v>
      </c>
    </row>
    <row r="1992" spans="1:11">
      <c r="A1992" t="s">
        <v>108</v>
      </c>
      <c r="B1992" t="s">
        <v>1414</v>
      </c>
      <c r="C1992" t="s">
        <v>1354</v>
      </c>
      <c r="D1992" t="s">
        <v>1355</v>
      </c>
      <c r="E1992" s="8"/>
      <c r="F1992" s="8">
        <v>40500</v>
      </c>
      <c r="G1992" s="8" t="str">
        <f t="shared" si="124"/>
        <v/>
      </c>
      <c r="H1992" s="5">
        <v>0</v>
      </c>
      <c r="I1992" s="8" t="str">
        <f t="shared" si="125"/>
        <v/>
      </c>
      <c r="J1992" s="8" t="str">
        <f t="shared" si="126"/>
        <v/>
      </c>
      <c r="K1992" t="str">
        <f t="shared" si="127"/>
        <v>MISSING OEWS</v>
      </c>
    </row>
    <row r="1993" spans="1:11">
      <c r="A1993" t="s">
        <v>108</v>
      </c>
      <c r="B1993" t="s">
        <v>1414</v>
      </c>
      <c r="C1993" t="s">
        <v>1356</v>
      </c>
      <c r="D1993" t="s">
        <v>1357</v>
      </c>
      <c r="E1993" s="8">
        <v>1120</v>
      </c>
      <c r="F1993" s="8">
        <v>41030</v>
      </c>
      <c r="G1993" s="8">
        <f t="shared" si="124"/>
        <v>45953600</v>
      </c>
      <c r="H1993" s="5">
        <v>0.0432</v>
      </c>
      <c r="I1993" s="8">
        <f t="shared" si="125"/>
        <v>45953600</v>
      </c>
      <c r="J1993" s="8">
        <f t="shared" si="126"/>
        <v>1985195.52</v>
      </c>
      <c r="K1993" t="str">
        <f t="shared" si="127"/>
        <v>MATCHED</v>
      </c>
    </row>
    <row r="1994" spans="1:11">
      <c r="A1994" t="s">
        <v>108</v>
      </c>
      <c r="B1994" t="s">
        <v>1414</v>
      </c>
      <c r="C1994" t="s">
        <v>1358</v>
      </c>
      <c r="D1994" t="s">
        <v>1359</v>
      </c>
      <c r="E1994" s="8">
        <v>130</v>
      </c>
      <c r="F1994" s="8">
        <v>35830</v>
      </c>
      <c r="G1994" s="8">
        <f t="shared" si="124"/>
        <v>4657900</v>
      </c>
      <c r="H1994" s="5">
        <v>0.1187</v>
      </c>
      <c r="I1994" s="8">
        <f t="shared" si="125"/>
        <v>4657900</v>
      </c>
      <c r="J1994" s="8">
        <f t="shared" si="126"/>
        <v>552892.73</v>
      </c>
      <c r="K1994" t="str">
        <f t="shared" si="127"/>
        <v>MATCHED</v>
      </c>
    </row>
    <row r="1995" spans="1:11">
      <c r="A1995" t="s">
        <v>108</v>
      </c>
      <c r="B1995" t="s">
        <v>1414</v>
      </c>
      <c r="C1995" t="s">
        <v>1360</v>
      </c>
      <c r="D1995" t="s">
        <v>1361</v>
      </c>
      <c r="E1995" s="8">
        <v>500</v>
      </c>
      <c r="F1995" s="8">
        <v>39380</v>
      </c>
      <c r="G1995" s="8">
        <f t="shared" si="124"/>
        <v>19690000</v>
      </c>
      <c r="H1995" s="5">
        <v>0.1056</v>
      </c>
      <c r="I1995" s="8">
        <f t="shared" si="125"/>
        <v>19690000</v>
      </c>
      <c r="J1995" s="8">
        <f t="shared" si="126"/>
        <v>2079264</v>
      </c>
      <c r="K1995" t="str">
        <f t="shared" si="127"/>
        <v>MATCHED</v>
      </c>
    </row>
    <row r="1996" spans="1:11">
      <c r="A1996" t="s">
        <v>108</v>
      </c>
      <c r="B1996" t="s">
        <v>1414</v>
      </c>
      <c r="C1996" t="s">
        <v>1362</v>
      </c>
      <c r="D1996" t="s">
        <v>1363</v>
      </c>
      <c r="E1996" s="8">
        <v>170</v>
      </c>
      <c r="F1996" s="8">
        <v>37650</v>
      </c>
      <c r="G1996" s="8">
        <f t="shared" si="124"/>
        <v>6400500</v>
      </c>
      <c r="H1996" s="5">
        <v>0.13</v>
      </c>
      <c r="I1996" s="8">
        <f t="shared" si="125"/>
        <v>6400500</v>
      </c>
      <c r="J1996" s="8">
        <f t="shared" si="126"/>
        <v>832065</v>
      </c>
      <c r="K1996" t="str">
        <f t="shared" si="127"/>
        <v>MATCHED</v>
      </c>
    </row>
    <row r="1997" spans="1:11">
      <c r="A1997" t="s">
        <v>108</v>
      </c>
      <c r="B1997" t="s">
        <v>1414</v>
      </c>
      <c r="C1997" t="s">
        <v>1364</v>
      </c>
      <c r="D1997" t="s">
        <v>1365</v>
      </c>
      <c r="E1997" s="8">
        <v>210</v>
      </c>
      <c r="F1997" s="8">
        <v>38530</v>
      </c>
      <c r="G1997" s="8">
        <f t="shared" si="124"/>
        <v>8091300</v>
      </c>
      <c r="H1997" s="5">
        <v>0.0396</v>
      </c>
      <c r="I1997" s="8">
        <f t="shared" si="125"/>
        <v>8091300</v>
      </c>
      <c r="J1997" s="8">
        <f t="shared" si="126"/>
        <v>320415.48</v>
      </c>
      <c r="K1997" t="str">
        <f t="shared" si="127"/>
        <v>MATCHED</v>
      </c>
    </row>
    <row r="1998" spans="1:11">
      <c r="A1998" t="s">
        <v>108</v>
      </c>
      <c r="B1998" t="s">
        <v>1414</v>
      </c>
      <c r="C1998" t="s">
        <v>1368</v>
      </c>
      <c r="D1998" t="s">
        <v>1369</v>
      </c>
      <c r="E1998" s="8">
        <v>380</v>
      </c>
      <c r="F1998" s="8">
        <v>89040</v>
      </c>
      <c r="G1998" s="8">
        <f t="shared" si="124"/>
        <v>33835200</v>
      </c>
      <c r="H1998" s="5">
        <v>0.1625</v>
      </c>
      <c r="I1998" s="8">
        <f t="shared" si="125"/>
        <v>33835200</v>
      </c>
      <c r="J1998" s="8">
        <f t="shared" si="126"/>
        <v>5498220</v>
      </c>
      <c r="K1998" t="str">
        <f t="shared" si="127"/>
        <v>MATCHED</v>
      </c>
    </row>
    <row r="1999" spans="1:11">
      <c r="A1999" t="s">
        <v>108</v>
      </c>
      <c r="B1999" t="s">
        <v>1414</v>
      </c>
      <c r="C1999" t="s">
        <v>1120</v>
      </c>
      <c r="D1999" t="s">
        <v>1121</v>
      </c>
      <c r="E1999" s="8">
        <v>450</v>
      </c>
      <c r="F1999" s="8">
        <v>42160</v>
      </c>
      <c r="G1999" s="8">
        <f t="shared" si="124"/>
        <v>18972000</v>
      </c>
      <c r="H1999" s="5">
        <v>0.0432</v>
      </c>
      <c r="I1999" s="8">
        <f t="shared" si="125"/>
        <v>18972000</v>
      </c>
      <c r="J1999" s="8">
        <f t="shared" si="126"/>
        <v>819590.4</v>
      </c>
      <c r="K1999" t="str">
        <f t="shared" si="127"/>
        <v>MATCHED</v>
      </c>
    </row>
    <row r="2000" spans="1:11">
      <c r="A2000" t="s">
        <v>108</v>
      </c>
      <c r="B2000" t="s">
        <v>1414</v>
      </c>
      <c r="C2000" t="s">
        <v>1370</v>
      </c>
      <c r="D2000" t="s">
        <v>1371</v>
      </c>
      <c r="E2000" s="8">
        <v>1170</v>
      </c>
      <c r="F2000" s="8">
        <v>42820</v>
      </c>
      <c r="G2000" s="8">
        <f t="shared" si="124"/>
        <v>50099400</v>
      </c>
      <c r="H2000" s="5"/>
      <c r="I2000" s="8" t="str">
        <f t="shared" si="125"/>
        <v/>
      </c>
      <c r="J2000" s="8" t="str">
        <f t="shared" si="126"/>
        <v/>
      </c>
      <c r="K2000" t="str">
        <f t="shared" si="127"/>
        <v>MISSING WHARTON</v>
      </c>
    </row>
    <row r="2001" spans="1:11">
      <c r="A2001" t="s">
        <v>108</v>
      </c>
      <c r="B2001" t="s">
        <v>1414</v>
      </c>
      <c r="C2001" t="s">
        <v>1122</v>
      </c>
      <c r="D2001" t="s">
        <v>1123</v>
      </c>
      <c r="E2001" s="8">
        <v>1080</v>
      </c>
      <c r="F2001" s="8">
        <v>53110</v>
      </c>
      <c r="G2001" s="8">
        <f t="shared" si="124"/>
        <v>57358800</v>
      </c>
      <c r="H2001" s="5">
        <v>0.13</v>
      </c>
      <c r="I2001" s="8">
        <f t="shared" si="125"/>
        <v>57358800</v>
      </c>
      <c r="J2001" s="8">
        <f t="shared" si="126"/>
        <v>7456644</v>
      </c>
      <c r="K2001" t="str">
        <f t="shared" si="127"/>
        <v>MATCHED</v>
      </c>
    </row>
    <row r="2002" spans="1:11">
      <c r="A2002" t="s">
        <v>108</v>
      </c>
      <c r="B2002" t="s">
        <v>1414</v>
      </c>
      <c r="C2002" t="s">
        <v>1124</v>
      </c>
      <c r="D2002" t="s">
        <v>1125</v>
      </c>
      <c r="E2002" s="8">
        <v>290</v>
      </c>
      <c r="F2002" s="8">
        <v>47540</v>
      </c>
      <c r="G2002" s="8">
        <f t="shared" si="124"/>
        <v>13786600</v>
      </c>
      <c r="H2002" s="5">
        <v>0</v>
      </c>
      <c r="I2002" s="8">
        <f t="shared" si="125"/>
        <v>13786600</v>
      </c>
      <c r="J2002" s="8">
        <f t="shared" si="126"/>
        <v>0</v>
      </c>
      <c r="K2002" t="str">
        <f t="shared" si="127"/>
        <v>MATCHED</v>
      </c>
    </row>
    <row r="2003" spans="1:11">
      <c r="A2003" t="s">
        <v>108</v>
      </c>
      <c r="B2003" t="s">
        <v>1414</v>
      </c>
      <c r="C2003" t="s">
        <v>467</v>
      </c>
      <c r="D2003" t="s">
        <v>468</v>
      </c>
      <c r="E2003" s="8">
        <v>3330</v>
      </c>
      <c r="F2003" s="8">
        <v>43960</v>
      </c>
      <c r="G2003" s="8">
        <f t="shared" si="124"/>
        <v>146386800</v>
      </c>
      <c r="H2003" s="5">
        <v>0</v>
      </c>
      <c r="I2003" s="8">
        <f t="shared" si="125"/>
        <v>146386800</v>
      </c>
      <c r="J2003" s="8">
        <f t="shared" si="126"/>
        <v>0</v>
      </c>
      <c r="K2003" t="str">
        <f t="shared" si="127"/>
        <v>MATCHED</v>
      </c>
    </row>
    <row r="2004" spans="1:11">
      <c r="A2004" t="s">
        <v>108</v>
      </c>
      <c r="B2004" t="s">
        <v>1414</v>
      </c>
      <c r="C2004" t="s">
        <v>1126</v>
      </c>
      <c r="D2004" t="s">
        <v>1127</v>
      </c>
      <c r="E2004" s="8">
        <v>2280</v>
      </c>
      <c r="F2004" s="8">
        <v>42920</v>
      </c>
      <c r="G2004" s="8">
        <f t="shared" si="124"/>
        <v>97857600</v>
      </c>
      <c r="H2004" s="5">
        <v>0.0365</v>
      </c>
      <c r="I2004" s="8">
        <f t="shared" si="125"/>
        <v>97857600</v>
      </c>
      <c r="J2004" s="8">
        <f t="shared" si="126"/>
        <v>3571802.4</v>
      </c>
      <c r="K2004" t="str">
        <f t="shared" si="127"/>
        <v>MATCHED</v>
      </c>
    </row>
    <row r="2005" spans="1:11">
      <c r="A2005" t="s">
        <v>108</v>
      </c>
      <c r="B2005" t="s">
        <v>1414</v>
      </c>
      <c r="C2005" t="s">
        <v>1376</v>
      </c>
      <c r="D2005" t="s">
        <v>1377</v>
      </c>
      <c r="E2005" s="8">
        <v>310</v>
      </c>
      <c r="F2005" s="8">
        <v>43900</v>
      </c>
      <c r="G2005" s="8">
        <f t="shared" si="124"/>
        <v>13609000</v>
      </c>
      <c r="H2005" s="5"/>
      <c r="I2005" s="8" t="str">
        <f t="shared" si="125"/>
        <v/>
      </c>
      <c r="J2005" s="8" t="str">
        <f t="shared" si="126"/>
        <v/>
      </c>
      <c r="K2005" t="str">
        <f t="shared" si="127"/>
        <v>MISSING WHARTON</v>
      </c>
    </row>
    <row r="2006" spans="1:11">
      <c r="A2006" t="s">
        <v>108</v>
      </c>
      <c r="B2006" t="s">
        <v>1414</v>
      </c>
      <c r="C2006" t="s">
        <v>768</v>
      </c>
      <c r="D2006" t="s">
        <v>769</v>
      </c>
      <c r="E2006" s="8">
        <v>70</v>
      </c>
      <c r="F2006" s="8">
        <v>77740</v>
      </c>
      <c r="G2006" s="8">
        <f t="shared" si="124"/>
        <v>5441800</v>
      </c>
      <c r="H2006" s="5">
        <v>0.104</v>
      </c>
      <c r="I2006" s="8">
        <f t="shared" si="125"/>
        <v>5441800</v>
      </c>
      <c r="J2006" s="8">
        <f t="shared" si="126"/>
        <v>565947.2</v>
      </c>
      <c r="K2006" t="str">
        <f t="shared" si="127"/>
        <v>MATCHED</v>
      </c>
    </row>
    <row r="2007" spans="1:11">
      <c r="A2007" t="s">
        <v>108</v>
      </c>
      <c r="B2007" t="s">
        <v>1414</v>
      </c>
      <c r="C2007" t="s">
        <v>770</v>
      </c>
      <c r="D2007" t="s">
        <v>771</v>
      </c>
      <c r="E2007" s="8"/>
      <c r="F2007" s="8">
        <v>53370</v>
      </c>
      <c r="G2007" s="8" t="str">
        <f t="shared" si="124"/>
        <v/>
      </c>
      <c r="H2007" s="5">
        <v>0.1188</v>
      </c>
      <c r="I2007" s="8" t="str">
        <f t="shared" si="125"/>
        <v/>
      </c>
      <c r="J2007" s="8" t="str">
        <f t="shared" si="126"/>
        <v/>
      </c>
      <c r="K2007" t="str">
        <f t="shared" si="127"/>
        <v>MISSING OEWS</v>
      </c>
    </row>
    <row r="2008" spans="1:11">
      <c r="A2008" t="s">
        <v>108</v>
      </c>
      <c r="B2008" t="s">
        <v>1414</v>
      </c>
      <c r="C2008" t="s">
        <v>772</v>
      </c>
      <c r="D2008" t="s">
        <v>773</v>
      </c>
      <c r="E2008" s="8">
        <v>740</v>
      </c>
      <c r="F2008" s="8">
        <v>63440</v>
      </c>
      <c r="G2008" s="8">
        <f t="shared" si="124"/>
        <v>46945600</v>
      </c>
      <c r="H2008" s="5">
        <v>0.1</v>
      </c>
      <c r="I2008" s="8">
        <f t="shared" si="125"/>
        <v>46945600</v>
      </c>
      <c r="J2008" s="8">
        <f t="shared" si="126"/>
        <v>4694560</v>
      </c>
      <c r="K2008" t="str">
        <f t="shared" si="127"/>
        <v>MATCHED</v>
      </c>
    </row>
    <row r="2009" spans="1:11">
      <c r="A2009" t="s">
        <v>108</v>
      </c>
      <c r="B2009" t="s">
        <v>1414</v>
      </c>
      <c r="C2009" t="s">
        <v>774</v>
      </c>
      <c r="D2009" t="s">
        <v>775</v>
      </c>
      <c r="E2009" s="8">
        <v>190</v>
      </c>
      <c r="F2009" s="8">
        <v>69980</v>
      </c>
      <c r="G2009" s="8">
        <f t="shared" si="124"/>
        <v>13296200</v>
      </c>
      <c r="H2009" s="5">
        <v>0.15</v>
      </c>
      <c r="I2009" s="8">
        <f t="shared" si="125"/>
        <v>13296200</v>
      </c>
      <c r="J2009" s="8">
        <f t="shared" si="126"/>
        <v>1994430</v>
      </c>
      <c r="K2009" t="str">
        <f t="shared" si="127"/>
        <v>MATCHED</v>
      </c>
    </row>
    <row r="2010" spans="1:11">
      <c r="A2010" t="s">
        <v>108</v>
      </c>
      <c r="B2010" t="s">
        <v>1414</v>
      </c>
      <c r="C2010" t="s">
        <v>776</v>
      </c>
      <c r="D2010" t="s">
        <v>777</v>
      </c>
      <c r="E2010" s="8">
        <v>3260</v>
      </c>
      <c r="F2010" s="8">
        <v>60210</v>
      </c>
      <c r="G2010" s="8">
        <f t="shared" si="124"/>
        <v>196284600</v>
      </c>
      <c r="H2010" s="5">
        <v>0.1583</v>
      </c>
      <c r="I2010" s="8">
        <f t="shared" si="125"/>
        <v>196284600</v>
      </c>
      <c r="J2010" s="8">
        <f t="shared" si="126"/>
        <v>31071852.18</v>
      </c>
      <c r="K2010" t="str">
        <f t="shared" si="127"/>
        <v>MATCHED</v>
      </c>
    </row>
    <row r="2011" spans="1:11">
      <c r="A2011" t="s">
        <v>108</v>
      </c>
      <c r="B2011" t="s">
        <v>1414</v>
      </c>
      <c r="C2011" t="s">
        <v>778</v>
      </c>
      <c r="D2011" t="s">
        <v>779</v>
      </c>
      <c r="E2011" s="8">
        <v>920</v>
      </c>
      <c r="F2011" s="8">
        <v>61870</v>
      </c>
      <c r="G2011" s="8">
        <f t="shared" si="124"/>
        <v>56920400</v>
      </c>
      <c r="H2011" s="5">
        <v>0.1</v>
      </c>
      <c r="I2011" s="8">
        <f t="shared" si="125"/>
        <v>56920400</v>
      </c>
      <c r="J2011" s="8">
        <f t="shared" si="126"/>
        <v>5692040</v>
      </c>
      <c r="K2011" t="str">
        <f t="shared" si="127"/>
        <v>MATCHED</v>
      </c>
    </row>
    <row r="2012" spans="1:11">
      <c r="A2012" t="s">
        <v>108</v>
      </c>
      <c r="B2012" t="s">
        <v>1414</v>
      </c>
      <c r="C2012" t="s">
        <v>1378</v>
      </c>
      <c r="D2012" t="s">
        <v>1379</v>
      </c>
      <c r="E2012" s="8">
        <v>1750</v>
      </c>
      <c r="F2012" s="8">
        <v>58850</v>
      </c>
      <c r="G2012" s="8">
        <f t="shared" si="124"/>
        <v>102987500</v>
      </c>
      <c r="H2012" s="5">
        <v>0.113</v>
      </c>
      <c r="I2012" s="8">
        <f t="shared" si="125"/>
        <v>102987500</v>
      </c>
      <c r="J2012" s="8">
        <f t="shared" si="126"/>
        <v>11637587.5</v>
      </c>
      <c r="K2012" t="str">
        <f t="shared" si="127"/>
        <v>MATCHED</v>
      </c>
    </row>
    <row r="2013" spans="1:11">
      <c r="A2013" t="s">
        <v>108</v>
      </c>
      <c r="B2013" t="s">
        <v>1414</v>
      </c>
      <c r="C2013" t="s">
        <v>469</v>
      </c>
      <c r="D2013" t="s">
        <v>470</v>
      </c>
      <c r="E2013" s="8">
        <v>1630</v>
      </c>
      <c r="F2013" s="8">
        <v>51320</v>
      </c>
      <c r="G2013" s="8">
        <f t="shared" si="124"/>
        <v>83651600</v>
      </c>
      <c r="H2013" s="5">
        <v>0.0452</v>
      </c>
      <c r="I2013" s="8">
        <f t="shared" si="125"/>
        <v>83651600</v>
      </c>
      <c r="J2013" s="8">
        <f t="shared" si="126"/>
        <v>3781052.32</v>
      </c>
      <c r="K2013" t="str">
        <f t="shared" si="127"/>
        <v>MATCHED</v>
      </c>
    </row>
    <row r="2014" spans="1:11">
      <c r="A2014" t="s">
        <v>108</v>
      </c>
      <c r="B2014" t="s">
        <v>1414</v>
      </c>
      <c r="C2014" t="s">
        <v>471</v>
      </c>
      <c r="D2014" t="s">
        <v>472</v>
      </c>
      <c r="E2014" s="8">
        <v>2220</v>
      </c>
      <c r="F2014" s="8">
        <v>44270</v>
      </c>
      <c r="G2014" s="8">
        <f t="shared" si="124"/>
        <v>98279400</v>
      </c>
      <c r="H2014" s="5">
        <v>0.0864</v>
      </c>
      <c r="I2014" s="8">
        <f t="shared" si="125"/>
        <v>98279400</v>
      </c>
      <c r="J2014" s="8">
        <f t="shared" si="126"/>
        <v>8491340.16</v>
      </c>
      <c r="K2014" t="str">
        <f t="shared" si="127"/>
        <v>MATCHED</v>
      </c>
    </row>
    <row r="2015" spans="1:11">
      <c r="A2015" t="s">
        <v>108</v>
      </c>
      <c r="B2015" t="s">
        <v>1414</v>
      </c>
      <c r="C2015" t="s">
        <v>1128</v>
      </c>
      <c r="D2015" t="s">
        <v>1129</v>
      </c>
      <c r="E2015" s="8"/>
      <c r="F2015" s="8">
        <v>45640</v>
      </c>
      <c r="G2015" s="8" t="str">
        <f t="shared" si="124"/>
        <v/>
      </c>
      <c r="H2015" s="5">
        <v>0.0475</v>
      </c>
      <c r="I2015" s="8" t="str">
        <f t="shared" si="125"/>
        <v/>
      </c>
      <c r="J2015" s="8" t="str">
        <f t="shared" si="126"/>
        <v/>
      </c>
      <c r="K2015" t="str">
        <f t="shared" si="127"/>
        <v>MISSING OEWS</v>
      </c>
    </row>
    <row r="2016" spans="1:11">
      <c r="A2016" t="s">
        <v>108</v>
      </c>
      <c r="B2016" t="s">
        <v>1414</v>
      </c>
      <c r="C2016" t="s">
        <v>473</v>
      </c>
      <c r="D2016" t="s">
        <v>474</v>
      </c>
      <c r="E2016" s="8">
        <v>8690</v>
      </c>
      <c r="F2016" s="8">
        <v>49810</v>
      </c>
      <c r="G2016" s="8">
        <f t="shared" si="124"/>
        <v>432848900</v>
      </c>
      <c r="H2016" s="5">
        <v>0.1026</v>
      </c>
      <c r="I2016" s="8">
        <f t="shared" si="125"/>
        <v>432848900</v>
      </c>
      <c r="J2016" s="8">
        <f t="shared" si="126"/>
        <v>44410297.14</v>
      </c>
      <c r="K2016" t="str">
        <f t="shared" si="127"/>
        <v>MATCHED</v>
      </c>
    </row>
    <row r="2017" spans="1:11">
      <c r="A2017" t="s">
        <v>108</v>
      </c>
      <c r="B2017" t="s">
        <v>1414</v>
      </c>
      <c r="C2017" t="s">
        <v>475</v>
      </c>
      <c r="D2017" t="s">
        <v>476</v>
      </c>
      <c r="E2017" s="8">
        <v>450</v>
      </c>
      <c r="F2017" s="8">
        <v>38700</v>
      </c>
      <c r="G2017" s="8">
        <f t="shared" si="124"/>
        <v>17415000</v>
      </c>
      <c r="H2017" s="5">
        <v>0</v>
      </c>
      <c r="I2017" s="8">
        <f t="shared" si="125"/>
        <v>17415000</v>
      </c>
      <c r="J2017" s="8">
        <f t="shared" si="126"/>
        <v>0</v>
      </c>
      <c r="K2017" t="str">
        <f t="shared" si="127"/>
        <v>MATCHED</v>
      </c>
    </row>
    <row r="2018" spans="1:11">
      <c r="A2018" t="s">
        <v>108</v>
      </c>
      <c r="B2018" t="s">
        <v>1414</v>
      </c>
      <c r="C2018" t="s">
        <v>477</v>
      </c>
      <c r="D2018" t="s">
        <v>478</v>
      </c>
      <c r="E2018" s="8">
        <v>3250</v>
      </c>
      <c r="F2018" s="8">
        <v>47170</v>
      </c>
      <c r="G2018" s="8">
        <f t="shared" si="124"/>
        <v>153302500</v>
      </c>
      <c r="H2018" s="5">
        <v>0.0339</v>
      </c>
      <c r="I2018" s="8">
        <f t="shared" si="125"/>
        <v>153302500</v>
      </c>
      <c r="J2018" s="8">
        <f t="shared" si="126"/>
        <v>5196954.75</v>
      </c>
      <c r="K2018" t="str">
        <f t="shared" si="127"/>
        <v>MATCHED</v>
      </c>
    </row>
    <row r="2019" spans="1:11">
      <c r="A2019" t="s">
        <v>108</v>
      </c>
      <c r="B2019" t="s">
        <v>1414</v>
      </c>
      <c r="C2019" t="s">
        <v>479</v>
      </c>
      <c r="D2019" t="s">
        <v>480</v>
      </c>
      <c r="E2019" s="8">
        <v>1350</v>
      </c>
      <c r="F2019" s="8">
        <v>44090</v>
      </c>
      <c r="G2019" s="8">
        <f t="shared" si="124"/>
        <v>59521500</v>
      </c>
      <c r="H2019" s="5">
        <v>0.0679</v>
      </c>
      <c r="I2019" s="8">
        <f t="shared" si="125"/>
        <v>59521500</v>
      </c>
      <c r="J2019" s="8">
        <f t="shared" si="126"/>
        <v>4041509.85</v>
      </c>
      <c r="K2019" t="str">
        <f t="shared" si="127"/>
        <v>MATCHED</v>
      </c>
    </row>
    <row r="2020" spans="1:11">
      <c r="A2020" t="s">
        <v>108</v>
      </c>
      <c r="B2020" t="s">
        <v>1414</v>
      </c>
      <c r="C2020" t="s">
        <v>780</v>
      </c>
      <c r="D2020" t="s">
        <v>781</v>
      </c>
      <c r="E2020" s="8">
        <v>350</v>
      </c>
      <c r="F2020" s="8">
        <v>48300</v>
      </c>
      <c r="G2020" s="8">
        <f t="shared" si="124"/>
        <v>16905000</v>
      </c>
      <c r="H2020" s="5">
        <v>0.1056</v>
      </c>
      <c r="I2020" s="8">
        <f t="shared" si="125"/>
        <v>16905000</v>
      </c>
      <c r="J2020" s="8">
        <f t="shared" si="126"/>
        <v>1785168</v>
      </c>
      <c r="K2020" t="str">
        <f t="shared" si="127"/>
        <v>MATCHED</v>
      </c>
    </row>
    <row r="2021" spans="1:11">
      <c r="A2021" t="s">
        <v>108</v>
      </c>
      <c r="B2021" t="s">
        <v>1414</v>
      </c>
      <c r="C2021" t="s">
        <v>481</v>
      </c>
      <c r="D2021" t="s">
        <v>482</v>
      </c>
      <c r="E2021" s="8">
        <v>35470</v>
      </c>
      <c r="F2021" s="8">
        <v>50720</v>
      </c>
      <c r="G2021" s="8">
        <f t="shared" si="124"/>
        <v>1799038400</v>
      </c>
      <c r="H2021" s="5">
        <v>0.2969</v>
      </c>
      <c r="I2021" s="8">
        <f t="shared" si="125"/>
        <v>1799038400</v>
      </c>
      <c r="J2021" s="8">
        <f t="shared" si="126"/>
        <v>534134500.96</v>
      </c>
      <c r="K2021" t="str">
        <f t="shared" si="127"/>
        <v>MATCHED</v>
      </c>
    </row>
    <row r="2022" spans="1:11">
      <c r="A2022" t="s">
        <v>108</v>
      </c>
      <c r="B2022" t="s">
        <v>1414</v>
      </c>
      <c r="C2022" t="s">
        <v>1380</v>
      </c>
      <c r="D2022" t="s">
        <v>1381</v>
      </c>
      <c r="E2022" s="8">
        <v>2120</v>
      </c>
      <c r="F2022" s="8">
        <v>65280</v>
      </c>
      <c r="G2022" s="8">
        <f t="shared" si="124"/>
        <v>138393600</v>
      </c>
      <c r="H2022" s="5">
        <v>0.0924</v>
      </c>
      <c r="I2022" s="8">
        <f t="shared" si="125"/>
        <v>138393600</v>
      </c>
      <c r="J2022" s="8">
        <f t="shared" si="126"/>
        <v>12787568.64</v>
      </c>
      <c r="K2022" t="str">
        <f t="shared" si="127"/>
        <v>MATCHED</v>
      </c>
    </row>
    <row r="2023" spans="1:11">
      <c r="A2023" t="s">
        <v>108</v>
      </c>
      <c r="B2023" t="s">
        <v>1414</v>
      </c>
      <c r="C2023" t="s">
        <v>1384</v>
      </c>
      <c r="D2023" t="s">
        <v>1385</v>
      </c>
      <c r="E2023" s="8">
        <v>1390</v>
      </c>
      <c r="F2023" s="8">
        <v>58140</v>
      </c>
      <c r="G2023" s="8">
        <f t="shared" si="124"/>
        <v>80814600</v>
      </c>
      <c r="H2023" s="5">
        <v>0</v>
      </c>
      <c r="I2023" s="8">
        <f t="shared" si="125"/>
        <v>80814600</v>
      </c>
      <c r="J2023" s="8">
        <f t="shared" si="126"/>
        <v>0</v>
      </c>
      <c r="K2023" t="str">
        <f t="shared" si="127"/>
        <v>MATCHED</v>
      </c>
    </row>
    <row r="2024" spans="1:11">
      <c r="A2024" t="s">
        <v>108</v>
      </c>
      <c r="B2024" t="s">
        <v>1414</v>
      </c>
      <c r="C2024" t="s">
        <v>1386</v>
      </c>
      <c r="D2024" t="s">
        <v>1387</v>
      </c>
      <c r="E2024" s="8">
        <v>1490</v>
      </c>
      <c r="F2024" s="8">
        <v>42160</v>
      </c>
      <c r="G2024" s="8">
        <f t="shared" si="124"/>
        <v>62818400</v>
      </c>
      <c r="H2024" s="5">
        <v>0</v>
      </c>
      <c r="I2024" s="8">
        <f t="shared" si="125"/>
        <v>62818400</v>
      </c>
      <c r="J2024" s="8">
        <f t="shared" si="126"/>
        <v>0</v>
      </c>
      <c r="K2024" t="str">
        <f t="shared" si="127"/>
        <v>MATCHED</v>
      </c>
    </row>
    <row r="2025" spans="1:11">
      <c r="A2025" t="s">
        <v>108</v>
      </c>
      <c r="B2025" t="s">
        <v>1414</v>
      </c>
      <c r="C2025" t="s">
        <v>483</v>
      </c>
      <c r="D2025" t="s">
        <v>484</v>
      </c>
      <c r="E2025" s="8">
        <v>23690</v>
      </c>
      <c r="F2025" s="8">
        <v>43800</v>
      </c>
      <c r="G2025" s="8">
        <f t="shared" si="124"/>
        <v>1037622000</v>
      </c>
      <c r="H2025" s="5">
        <v>0.0475</v>
      </c>
      <c r="I2025" s="8">
        <f t="shared" si="125"/>
        <v>1037622000</v>
      </c>
      <c r="J2025" s="8">
        <f t="shared" si="126"/>
        <v>49287045</v>
      </c>
      <c r="K2025" t="str">
        <f t="shared" si="127"/>
        <v>MATCHED</v>
      </c>
    </row>
    <row r="2026" spans="1:11">
      <c r="A2026" t="s">
        <v>108</v>
      </c>
      <c r="B2026" t="s">
        <v>1414</v>
      </c>
      <c r="C2026" t="s">
        <v>1130</v>
      </c>
      <c r="D2026" t="s">
        <v>1131</v>
      </c>
      <c r="E2026" s="8"/>
      <c r="F2026" s="8">
        <v>41780</v>
      </c>
      <c r="G2026" s="8" t="str">
        <f t="shared" si="124"/>
        <v/>
      </c>
      <c r="H2026" s="5">
        <v>0</v>
      </c>
      <c r="I2026" s="8" t="str">
        <f t="shared" si="125"/>
        <v/>
      </c>
      <c r="J2026" s="8" t="str">
        <f t="shared" si="126"/>
        <v/>
      </c>
      <c r="K2026" t="str">
        <f t="shared" si="127"/>
        <v>MISSING OEWS</v>
      </c>
    </row>
    <row r="2027" spans="1:11">
      <c r="A2027" t="s">
        <v>108</v>
      </c>
      <c r="B2027" t="s">
        <v>1414</v>
      </c>
      <c r="C2027" t="s">
        <v>782</v>
      </c>
      <c r="D2027" t="s">
        <v>783</v>
      </c>
      <c r="E2027" s="8">
        <v>3960</v>
      </c>
      <c r="F2027" s="8">
        <v>47240</v>
      </c>
      <c r="G2027" s="8">
        <f t="shared" si="124"/>
        <v>187070400</v>
      </c>
      <c r="H2027" s="5">
        <v>0.0317</v>
      </c>
      <c r="I2027" s="8">
        <f t="shared" si="125"/>
        <v>187070400</v>
      </c>
      <c r="J2027" s="8">
        <f t="shared" si="126"/>
        <v>5930131.68</v>
      </c>
      <c r="K2027" t="str">
        <f t="shared" si="127"/>
        <v>MATCHED</v>
      </c>
    </row>
    <row r="2028" spans="1:11">
      <c r="A2028" t="s">
        <v>108</v>
      </c>
      <c r="B2028" t="s">
        <v>1414</v>
      </c>
      <c r="C2028" t="s">
        <v>1388</v>
      </c>
      <c r="D2028" t="s">
        <v>1389</v>
      </c>
      <c r="E2028" s="8"/>
      <c r="F2028" s="8">
        <v>57110</v>
      </c>
      <c r="G2028" s="8" t="str">
        <f t="shared" si="124"/>
        <v/>
      </c>
      <c r="H2028" s="5">
        <v>0.1875</v>
      </c>
      <c r="I2028" s="8" t="str">
        <f t="shared" si="125"/>
        <v/>
      </c>
      <c r="J2028" s="8" t="str">
        <f t="shared" si="126"/>
        <v/>
      </c>
      <c r="K2028" t="str">
        <f t="shared" si="127"/>
        <v>MISSING OEWS</v>
      </c>
    </row>
    <row r="2029" spans="1:11">
      <c r="A2029" t="s">
        <v>108</v>
      </c>
      <c r="B2029" t="s">
        <v>1414</v>
      </c>
      <c r="C2029" t="s">
        <v>1390</v>
      </c>
      <c r="D2029" t="s">
        <v>1391</v>
      </c>
      <c r="E2029" s="8">
        <v>100</v>
      </c>
      <c r="F2029" s="8">
        <v>49330</v>
      </c>
      <c r="G2029" s="8">
        <f t="shared" si="124"/>
        <v>4933000</v>
      </c>
      <c r="H2029" s="5">
        <v>0.5391</v>
      </c>
      <c r="I2029" s="8">
        <f t="shared" si="125"/>
        <v>4933000</v>
      </c>
      <c r="J2029" s="8">
        <f t="shared" si="126"/>
        <v>2659380.3</v>
      </c>
      <c r="K2029" t="str">
        <f t="shared" si="127"/>
        <v>MATCHED</v>
      </c>
    </row>
    <row r="2030" spans="1:11">
      <c r="A2030" t="s">
        <v>108</v>
      </c>
      <c r="B2030" t="s">
        <v>1414</v>
      </c>
      <c r="C2030" t="s">
        <v>784</v>
      </c>
      <c r="D2030" t="s">
        <v>785</v>
      </c>
      <c r="E2030" s="8">
        <v>5670</v>
      </c>
      <c r="F2030" s="8">
        <v>52760</v>
      </c>
      <c r="G2030" s="8">
        <f t="shared" si="124"/>
        <v>299149200</v>
      </c>
      <c r="H2030" s="5">
        <v>0.2111</v>
      </c>
      <c r="I2030" s="8">
        <f t="shared" si="125"/>
        <v>299149200</v>
      </c>
      <c r="J2030" s="8">
        <f t="shared" si="126"/>
        <v>63150396.12</v>
      </c>
      <c r="K2030" t="str">
        <f t="shared" si="127"/>
        <v>MATCHED</v>
      </c>
    </row>
    <row r="2031" spans="1:11">
      <c r="A2031" t="s">
        <v>108</v>
      </c>
      <c r="B2031" t="s">
        <v>1414</v>
      </c>
      <c r="C2031" t="s">
        <v>1132</v>
      </c>
      <c r="D2031" t="s">
        <v>1133</v>
      </c>
      <c r="E2031" s="8">
        <v>1460</v>
      </c>
      <c r="F2031" s="8">
        <v>65240</v>
      </c>
      <c r="G2031" s="8">
        <f t="shared" si="124"/>
        <v>95250400</v>
      </c>
      <c r="H2031" s="5">
        <v>0.5938</v>
      </c>
      <c r="I2031" s="8">
        <f t="shared" si="125"/>
        <v>95250400</v>
      </c>
      <c r="J2031" s="8">
        <f t="shared" si="126"/>
        <v>56559687.52</v>
      </c>
      <c r="K2031" t="str">
        <f t="shared" si="127"/>
        <v>MATCHED</v>
      </c>
    </row>
    <row r="2032" spans="1:11">
      <c r="A2032" t="s">
        <v>108</v>
      </c>
      <c r="B2032" t="s">
        <v>1414</v>
      </c>
      <c r="C2032" t="s">
        <v>1392</v>
      </c>
      <c r="D2032" t="s">
        <v>1393</v>
      </c>
      <c r="E2032" s="8">
        <v>150</v>
      </c>
      <c r="F2032" s="8">
        <v>43750</v>
      </c>
      <c r="G2032" s="8">
        <f t="shared" si="124"/>
        <v>6562500</v>
      </c>
      <c r="H2032" s="5">
        <v>0.0559</v>
      </c>
      <c r="I2032" s="8">
        <f t="shared" si="125"/>
        <v>6562500</v>
      </c>
      <c r="J2032" s="8">
        <f t="shared" si="126"/>
        <v>366843.75</v>
      </c>
      <c r="K2032" t="str">
        <f t="shared" si="127"/>
        <v>MATCHED</v>
      </c>
    </row>
    <row r="2033" spans="1:11">
      <c r="A2033" t="s">
        <v>108</v>
      </c>
      <c r="B2033" t="s">
        <v>1414</v>
      </c>
      <c r="C2033" t="s">
        <v>485</v>
      </c>
      <c r="D2033" t="s">
        <v>486</v>
      </c>
      <c r="E2033" s="8">
        <v>550</v>
      </c>
      <c r="F2033" s="8">
        <v>42600</v>
      </c>
      <c r="G2033" s="8">
        <f t="shared" si="124"/>
        <v>23430000</v>
      </c>
      <c r="H2033" s="5">
        <v>0.0864</v>
      </c>
      <c r="I2033" s="8">
        <f t="shared" si="125"/>
        <v>23430000</v>
      </c>
      <c r="J2033" s="8">
        <f t="shared" si="126"/>
        <v>2024352</v>
      </c>
      <c r="K2033" t="str">
        <f t="shared" si="127"/>
        <v>MATCHED</v>
      </c>
    </row>
    <row r="2034" spans="1:11">
      <c r="A2034" t="s">
        <v>108</v>
      </c>
      <c r="B2034" t="s">
        <v>1414</v>
      </c>
      <c r="C2034" t="s">
        <v>1394</v>
      </c>
      <c r="D2034" t="s">
        <v>1395</v>
      </c>
      <c r="E2034" s="8">
        <v>220</v>
      </c>
      <c r="F2034" s="8">
        <v>43050</v>
      </c>
      <c r="G2034" s="8">
        <f t="shared" si="124"/>
        <v>9471000</v>
      </c>
      <c r="H2034" s="5">
        <v>0.05</v>
      </c>
      <c r="I2034" s="8">
        <f t="shared" si="125"/>
        <v>9471000</v>
      </c>
      <c r="J2034" s="8">
        <f t="shared" si="126"/>
        <v>473550</v>
      </c>
      <c r="K2034" t="str">
        <f t="shared" si="127"/>
        <v>MATCHED</v>
      </c>
    </row>
    <row r="2035" spans="1:11">
      <c r="A2035" t="s">
        <v>108</v>
      </c>
      <c r="B2035" t="s">
        <v>1414</v>
      </c>
      <c r="C2035" t="s">
        <v>1396</v>
      </c>
      <c r="D2035" t="s">
        <v>1397</v>
      </c>
      <c r="E2035" s="8">
        <v>540</v>
      </c>
      <c r="F2035" s="8">
        <v>54010</v>
      </c>
      <c r="G2035" s="8">
        <f t="shared" si="124"/>
        <v>29165400</v>
      </c>
      <c r="H2035" s="5">
        <v>0.0633</v>
      </c>
      <c r="I2035" s="8">
        <f t="shared" si="125"/>
        <v>29165400</v>
      </c>
      <c r="J2035" s="8">
        <f t="shared" si="126"/>
        <v>1846169.82</v>
      </c>
      <c r="K2035" t="str">
        <f t="shared" si="127"/>
        <v>MATCHED</v>
      </c>
    </row>
    <row r="2036" spans="1:11">
      <c r="A2036" t="s">
        <v>108</v>
      </c>
      <c r="B2036" t="s">
        <v>1414</v>
      </c>
      <c r="C2036" t="s">
        <v>786</v>
      </c>
      <c r="D2036" t="s">
        <v>787</v>
      </c>
      <c r="E2036" s="8">
        <v>390</v>
      </c>
      <c r="F2036" s="8">
        <v>52410</v>
      </c>
      <c r="G2036" s="8">
        <f t="shared" si="124"/>
        <v>20439900</v>
      </c>
      <c r="H2036" s="5">
        <v>0.0125</v>
      </c>
      <c r="I2036" s="8">
        <f t="shared" si="125"/>
        <v>20439900</v>
      </c>
      <c r="J2036" s="8">
        <f t="shared" si="126"/>
        <v>255498.75</v>
      </c>
      <c r="K2036" t="str">
        <f t="shared" si="127"/>
        <v>MATCHED</v>
      </c>
    </row>
    <row r="2037" spans="1:11">
      <c r="A2037" t="s">
        <v>108</v>
      </c>
      <c r="B2037" t="s">
        <v>1414</v>
      </c>
      <c r="C2037" t="s">
        <v>487</v>
      </c>
      <c r="D2037" t="s">
        <v>488</v>
      </c>
      <c r="E2037" s="8">
        <v>2660</v>
      </c>
      <c r="F2037" s="8">
        <v>43070</v>
      </c>
      <c r="G2037" s="8">
        <f t="shared" si="124"/>
        <v>114566200</v>
      </c>
      <c r="H2037" s="5">
        <v>0</v>
      </c>
      <c r="I2037" s="8">
        <f t="shared" si="125"/>
        <v>114566200</v>
      </c>
      <c r="J2037" s="8">
        <f t="shared" si="126"/>
        <v>0</v>
      </c>
      <c r="K2037" t="str">
        <f t="shared" si="127"/>
        <v>MATCHED</v>
      </c>
    </row>
    <row r="2038" spans="1:11">
      <c r="A2038" t="s">
        <v>108</v>
      </c>
      <c r="B2038" t="s">
        <v>1414</v>
      </c>
      <c r="C2038" t="s">
        <v>1398</v>
      </c>
      <c r="D2038" t="s">
        <v>1399</v>
      </c>
      <c r="E2038" s="8">
        <v>120</v>
      </c>
      <c r="F2038" s="8">
        <v>42340</v>
      </c>
      <c r="G2038" s="8">
        <f t="shared" si="124"/>
        <v>5080800</v>
      </c>
      <c r="H2038" s="5">
        <v>0</v>
      </c>
      <c r="I2038" s="8">
        <f t="shared" si="125"/>
        <v>5080800</v>
      </c>
      <c r="J2038" s="8">
        <f t="shared" si="126"/>
        <v>0</v>
      </c>
      <c r="K2038" t="str">
        <f t="shared" si="127"/>
        <v>MATCHED</v>
      </c>
    </row>
    <row r="2039" spans="1:11">
      <c r="A2039" t="s">
        <v>108</v>
      </c>
      <c r="B2039" t="s">
        <v>1414</v>
      </c>
      <c r="C2039" t="s">
        <v>489</v>
      </c>
      <c r="D2039" t="s">
        <v>490</v>
      </c>
      <c r="E2039" s="8">
        <v>5060</v>
      </c>
      <c r="F2039" s="8">
        <v>40000</v>
      </c>
      <c r="G2039" s="8">
        <f t="shared" si="124"/>
        <v>202400000</v>
      </c>
      <c r="H2039" s="5">
        <v>0.0838</v>
      </c>
      <c r="I2039" s="8">
        <f t="shared" si="125"/>
        <v>202400000</v>
      </c>
      <c r="J2039" s="8">
        <f t="shared" si="126"/>
        <v>16961120</v>
      </c>
      <c r="K2039" t="str">
        <f t="shared" si="127"/>
        <v>MATCHED</v>
      </c>
    </row>
    <row r="2040" spans="1:11">
      <c r="A2040" t="s">
        <v>108</v>
      </c>
      <c r="B2040" t="s">
        <v>1414</v>
      </c>
      <c r="C2040" t="s">
        <v>491</v>
      </c>
      <c r="D2040" t="s">
        <v>492</v>
      </c>
      <c r="E2040" s="8">
        <v>16410</v>
      </c>
      <c r="F2040" s="8">
        <v>43870</v>
      </c>
      <c r="G2040" s="8">
        <f t="shared" si="124"/>
        <v>719906700</v>
      </c>
      <c r="H2040" s="5"/>
      <c r="I2040" s="8" t="str">
        <f t="shared" si="125"/>
        <v/>
      </c>
      <c r="J2040" s="8" t="str">
        <f t="shared" si="126"/>
        <v/>
      </c>
      <c r="K2040" t="str">
        <f t="shared" si="127"/>
        <v>MISSING WHARTON</v>
      </c>
    </row>
    <row r="2041" spans="1:11">
      <c r="A2041" t="s">
        <v>108</v>
      </c>
      <c r="B2041" t="s">
        <v>1414</v>
      </c>
      <c r="C2041" t="s">
        <v>493</v>
      </c>
      <c r="D2041" t="s">
        <v>494</v>
      </c>
      <c r="E2041" s="8">
        <v>104920</v>
      </c>
      <c r="F2041" s="8">
        <v>68280</v>
      </c>
      <c r="G2041" s="8">
        <f t="shared" si="124"/>
        <v>7163937600</v>
      </c>
      <c r="H2041" s="5">
        <v>0.3429</v>
      </c>
      <c r="I2041" s="8">
        <f t="shared" si="125"/>
        <v>7163937600</v>
      </c>
      <c r="J2041" s="8">
        <f t="shared" si="126"/>
        <v>2456514203.04</v>
      </c>
      <c r="K2041" t="str">
        <f t="shared" si="127"/>
        <v>MATCHED</v>
      </c>
    </row>
    <row r="2042" spans="1:11">
      <c r="A2042" t="s">
        <v>108</v>
      </c>
      <c r="B2042" t="s">
        <v>1414</v>
      </c>
      <c r="C2042" t="s">
        <v>1402</v>
      </c>
      <c r="D2042" t="s">
        <v>1403</v>
      </c>
      <c r="E2042" s="8">
        <v>40</v>
      </c>
      <c r="F2042" s="8">
        <v>173580</v>
      </c>
      <c r="G2042" s="8">
        <f t="shared" si="124"/>
        <v>6943200</v>
      </c>
      <c r="H2042" s="5">
        <v>0.5423</v>
      </c>
      <c r="I2042" s="8">
        <f t="shared" si="125"/>
        <v>6943200</v>
      </c>
      <c r="J2042" s="8">
        <f t="shared" si="126"/>
        <v>3765297.36</v>
      </c>
      <c r="K2042" t="str">
        <f t="shared" si="127"/>
        <v>MATCHED</v>
      </c>
    </row>
    <row r="2043" spans="1:11">
      <c r="A2043" t="s">
        <v>108</v>
      </c>
      <c r="B2043" t="s">
        <v>1414</v>
      </c>
      <c r="C2043" t="s">
        <v>495</v>
      </c>
      <c r="D2043" t="s">
        <v>496</v>
      </c>
      <c r="E2043" s="8">
        <v>460</v>
      </c>
      <c r="F2043" s="8">
        <v>126750</v>
      </c>
      <c r="G2043" s="8">
        <f t="shared" si="124"/>
        <v>58305000</v>
      </c>
      <c r="H2043" s="5">
        <v>0.3558</v>
      </c>
      <c r="I2043" s="8">
        <f t="shared" si="125"/>
        <v>58305000</v>
      </c>
      <c r="J2043" s="8">
        <f t="shared" si="126"/>
        <v>20744919</v>
      </c>
      <c r="K2043" t="str">
        <f t="shared" si="127"/>
        <v>MATCHED</v>
      </c>
    </row>
    <row r="2044" spans="1:11">
      <c r="A2044" t="s">
        <v>108</v>
      </c>
      <c r="B2044" t="s">
        <v>1414</v>
      </c>
      <c r="C2044" t="s">
        <v>1404</v>
      </c>
      <c r="D2044" t="s">
        <v>1405</v>
      </c>
      <c r="E2044" s="8"/>
      <c r="F2044" s="8">
        <v>40170</v>
      </c>
      <c r="G2044" s="8" t="str">
        <f t="shared" si="124"/>
        <v/>
      </c>
      <c r="H2044" s="5">
        <v>0.35</v>
      </c>
      <c r="I2044" s="8" t="str">
        <f t="shared" si="125"/>
        <v/>
      </c>
      <c r="J2044" s="8" t="str">
        <f t="shared" si="126"/>
        <v/>
      </c>
      <c r="K2044" t="str">
        <f t="shared" si="127"/>
        <v>MISSING OEWS</v>
      </c>
    </row>
    <row r="2045" spans="1:11">
      <c r="A2045" t="s">
        <v>108</v>
      </c>
      <c r="B2045" t="s">
        <v>1414</v>
      </c>
      <c r="C2045" t="s">
        <v>497</v>
      </c>
      <c r="D2045" t="s">
        <v>498</v>
      </c>
      <c r="E2045" s="8">
        <v>108480</v>
      </c>
      <c r="F2045" s="8">
        <v>50750</v>
      </c>
      <c r="G2045" s="8">
        <f t="shared" si="124"/>
        <v>5505360000</v>
      </c>
      <c r="H2045" s="5">
        <v>0.3167</v>
      </c>
      <c r="I2045" s="8">
        <f t="shared" si="125"/>
        <v>5505360000</v>
      </c>
      <c r="J2045" s="8">
        <f t="shared" si="126"/>
        <v>1743547512</v>
      </c>
      <c r="K2045" t="str">
        <f t="shared" si="127"/>
        <v>MATCHED</v>
      </c>
    </row>
    <row r="2046" spans="1:11">
      <c r="A2046" t="s">
        <v>108</v>
      </c>
      <c r="B2046" t="s">
        <v>1414</v>
      </c>
      <c r="C2046" t="s">
        <v>499</v>
      </c>
      <c r="D2046" t="s">
        <v>500</v>
      </c>
      <c r="E2046" s="8">
        <v>269380</v>
      </c>
      <c r="F2046" s="8">
        <v>59200</v>
      </c>
      <c r="G2046" s="8">
        <f t="shared" si="124"/>
        <v>15947296000</v>
      </c>
      <c r="H2046" s="5">
        <v>0.2065</v>
      </c>
      <c r="I2046" s="8">
        <f t="shared" si="125"/>
        <v>15947296000</v>
      </c>
      <c r="J2046" s="8">
        <f t="shared" si="126"/>
        <v>3293116624</v>
      </c>
      <c r="K2046" t="str">
        <f t="shared" si="127"/>
        <v>MATCHED</v>
      </c>
    </row>
    <row r="2047" spans="1:11">
      <c r="A2047" t="s">
        <v>108</v>
      </c>
      <c r="B2047" t="s">
        <v>1414</v>
      </c>
      <c r="C2047" t="s">
        <v>501</v>
      </c>
      <c r="D2047" t="s">
        <v>502</v>
      </c>
      <c r="E2047" s="8">
        <v>145580</v>
      </c>
      <c r="F2047" s="8">
        <v>45470</v>
      </c>
      <c r="G2047" s="8">
        <f t="shared" si="124"/>
        <v>6619522600</v>
      </c>
      <c r="H2047" s="5">
        <v>0.3393</v>
      </c>
      <c r="I2047" s="8">
        <f t="shared" si="125"/>
        <v>6619522600</v>
      </c>
      <c r="J2047" s="8">
        <f t="shared" si="126"/>
        <v>2246004018.18</v>
      </c>
      <c r="K2047" t="str">
        <f t="shared" si="127"/>
        <v>MATCHED</v>
      </c>
    </row>
    <row r="2048" spans="1:11">
      <c r="A2048" t="s">
        <v>108</v>
      </c>
      <c r="B2048" t="s">
        <v>1414</v>
      </c>
      <c r="C2048" t="s">
        <v>1457</v>
      </c>
      <c r="D2048" t="s">
        <v>1458</v>
      </c>
      <c r="E2048" s="8">
        <v>130</v>
      </c>
      <c r="F2048" s="8">
        <v>56540</v>
      </c>
      <c r="G2048" s="8">
        <f t="shared" si="124"/>
        <v>7350200</v>
      </c>
      <c r="H2048" s="5">
        <v>0.2567</v>
      </c>
      <c r="I2048" s="8">
        <f t="shared" si="125"/>
        <v>7350200</v>
      </c>
      <c r="J2048" s="8">
        <f t="shared" si="126"/>
        <v>1886796.34</v>
      </c>
      <c r="K2048" t="str">
        <f t="shared" si="127"/>
        <v>MATCHED</v>
      </c>
    </row>
    <row r="2049" spans="1:11">
      <c r="A2049" t="s">
        <v>108</v>
      </c>
      <c r="B2049" t="s">
        <v>1414</v>
      </c>
      <c r="C2049" t="s">
        <v>503</v>
      </c>
      <c r="D2049" t="s">
        <v>504</v>
      </c>
      <c r="E2049" s="8">
        <v>1960</v>
      </c>
      <c r="F2049" s="8">
        <v>47180</v>
      </c>
      <c r="G2049" s="8">
        <f t="shared" si="124"/>
        <v>92472800</v>
      </c>
      <c r="H2049" s="5">
        <v>0.3288</v>
      </c>
      <c r="I2049" s="8">
        <f t="shared" si="125"/>
        <v>92472800</v>
      </c>
      <c r="J2049" s="8">
        <f t="shared" si="126"/>
        <v>30405056.64</v>
      </c>
      <c r="K2049" t="str">
        <f t="shared" si="127"/>
        <v>MATCHED</v>
      </c>
    </row>
    <row r="2050" spans="1:11">
      <c r="A2050" t="s">
        <v>108</v>
      </c>
      <c r="B2050" t="s">
        <v>1414</v>
      </c>
      <c r="C2050" t="s">
        <v>1134</v>
      </c>
      <c r="D2050" t="s">
        <v>1135</v>
      </c>
      <c r="E2050" s="8">
        <v>3740</v>
      </c>
      <c r="F2050" s="8">
        <v>34840</v>
      </c>
      <c r="G2050" s="8">
        <f t="shared" ref="G2050:G2113" si="128">IF(OR(E2050="",F2050=""),"",E2050*F2050)</f>
        <v>130301600</v>
      </c>
      <c r="H2050" s="5"/>
      <c r="I2050" s="8" t="str">
        <f t="shared" ref="I2050:I2113" si="129">IF(G2050="","",IF(ISNUMBER(H2050),G2050,""))</f>
        <v/>
      </c>
      <c r="J2050" s="8" t="str">
        <f t="shared" ref="J2050:J2113" si="130">IF(I2050="","",I2050*H2050)</f>
        <v/>
      </c>
      <c r="K2050" t="str">
        <f t="shared" ref="K2050:K2113" si="131">IF(G2050="","MISSING OEWS",IF(ISNUMBER(H2050),"MATCHED","MISSING WHARTON"))</f>
        <v>MISSING WHARTON</v>
      </c>
    </row>
    <row r="2051" spans="1:11">
      <c r="A2051" t="s">
        <v>108</v>
      </c>
      <c r="B2051" t="s">
        <v>1414</v>
      </c>
      <c r="C2051" t="s">
        <v>790</v>
      </c>
      <c r="D2051" t="s">
        <v>791</v>
      </c>
      <c r="E2051" s="8">
        <v>100</v>
      </c>
      <c r="F2051" s="8">
        <v>48580</v>
      </c>
      <c r="G2051" s="8">
        <f t="shared" si="128"/>
        <v>4858000</v>
      </c>
      <c r="H2051" s="5">
        <v>0.152</v>
      </c>
      <c r="I2051" s="8">
        <f t="shared" si="129"/>
        <v>4858000</v>
      </c>
      <c r="J2051" s="8">
        <f t="shared" si="130"/>
        <v>738416</v>
      </c>
      <c r="K2051" t="str">
        <f t="shared" si="131"/>
        <v>MATCHED</v>
      </c>
    </row>
    <row r="2052" spans="1:11">
      <c r="A2052" t="s">
        <v>108</v>
      </c>
      <c r="B2052" t="s">
        <v>1414</v>
      </c>
      <c r="C2052" t="s">
        <v>796</v>
      </c>
      <c r="D2052" t="s">
        <v>797</v>
      </c>
      <c r="E2052" s="8">
        <v>270</v>
      </c>
      <c r="F2052" s="8">
        <v>91910</v>
      </c>
      <c r="G2052" s="8">
        <f t="shared" si="128"/>
        <v>24815700</v>
      </c>
      <c r="H2052" s="5">
        <v>0.1018</v>
      </c>
      <c r="I2052" s="8">
        <f t="shared" si="129"/>
        <v>24815700</v>
      </c>
      <c r="J2052" s="8">
        <f t="shared" si="130"/>
        <v>2526238.26</v>
      </c>
      <c r="K2052" t="str">
        <f t="shared" si="131"/>
        <v>MATCHED</v>
      </c>
    </row>
    <row r="2053" spans="1:11">
      <c r="A2053" t="s">
        <v>108</v>
      </c>
      <c r="B2053" t="s">
        <v>1414</v>
      </c>
      <c r="C2053" t="s">
        <v>798</v>
      </c>
      <c r="D2053" t="s">
        <v>799</v>
      </c>
      <c r="E2053" s="8">
        <v>290</v>
      </c>
      <c r="F2053" s="8">
        <v>144210</v>
      </c>
      <c r="G2053" s="8">
        <f t="shared" si="128"/>
        <v>41820900</v>
      </c>
      <c r="H2053" s="5">
        <v>0.095</v>
      </c>
      <c r="I2053" s="8">
        <f t="shared" si="129"/>
        <v>41820900</v>
      </c>
      <c r="J2053" s="8">
        <f t="shared" si="130"/>
        <v>3972985.5</v>
      </c>
      <c r="K2053" t="str">
        <f t="shared" si="131"/>
        <v>MATCHED</v>
      </c>
    </row>
    <row r="2054" spans="1:11">
      <c r="A2054" t="s">
        <v>108</v>
      </c>
      <c r="B2054" t="s">
        <v>1414</v>
      </c>
      <c r="C2054" t="s">
        <v>1408</v>
      </c>
      <c r="D2054" t="s">
        <v>1409</v>
      </c>
      <c r="E2054" s="8">
        <v>2340</v>
      </c>
      <c r="F2054" s="8">
        <v>33110</v>
      </c>
      <c r="G2054" s="8">
        <f t="shared" si="128"/>
        <v>77477400</v>
      </c>
      <c r="H2054" s="5">
        <v>0.1972</v>
      </c>
      <c r="I2054" s="8">
        <f t="shared" si="129"/>
        <v>77477400</v>
      </c>
      <c r="J2054" s="8">
        <f t="shared" si="130"/>
        <v>15278543.28</v>
      </c>
      <c r="K2054" t="str">
        <f t="shared" si="131"/>
        <v>MATCHED</v>
      </c>
    </row>
    <row r="2055" spans="1:11">
      <c r="A2055" t="s">
        <v>108</v>
      </c>
      <c r="B2055" t="s">
        <v>1414</v>
      </c>
      <c r="C2055" t="s">
        <v>1138</v>
      </c>
      <c r="D2055" t="s">
        <v>1139</v>
      </c>
      <c r="E2055" s="8">
        <v>900</v>
      </c>
      <c r="F2055" s="8">
        <v>39740</v>
      </c>
      <c r="G2055" s="8">
        <f t="shared" si="128"/>
        <v>35766000</v>
      </c>
      <c r="H2055" s="5">
        <v>0.2533</v>
      </c>
      <c r="I2055" s="8">
        <f t="shared" si="129"/>
        <v>35766000</v>
      </c>
      <c r="J2055" s="8">
        <f t="shared" si="130"/>
        <v>9059527.8</v>
      </c>
      <c r="K2055" t="str">
        <f t="shared" si="131"/>
        <v>MATCHED</v>
      </c>
    </row>
    <row r="2056" spans="1:11">
      <c r="A2056" t="s">
        <v>108</v>
      </c>
      <c r="B2056" t="s">
        <v>1414</v>
      </c>
      <c r="C2056" t="s">
        <v>1410</v>
      </c>
      <c r="D2056" t="s">
        <v>1411</v>
      </c>
      <c r="E2056" s="8">
        <v>1130</v>
      </c>
      <c r="F2056" s="8">
        <v>45250</v>
      </c>
      <c r="G2056" s="8">
        <f t="shared" si="128"/>
        <v>51132500</v>
      </c>
      <c r="H2056" s="5">
        <v>0.0528</v>
      </c>
      <c r="I2056" s="8">
        <f t="shared" si="129"/>
        <v>51132500</v>
      </c>
      <c r="J2056" s="8">
        <f t="shared" si="130"/>
        <v>2699796</v>
      </c>
      <c r="K2056" t="str">
        <f t="shared" si="131"/>
        <v>MATCHED</v>
      </c>
    </row>
    <row r="2057" spans="1:11">
      <c r="A2057" t="s">
        <v>108</v>
      </c>
      <c r="B2057" t="s">
        <v>1414</v>
      </c>
      <c r="C2057" t="s">
        <v>1412</v>
      </c>
      <c r="D2057" t="s">
        <v>1413</v>
      </c>
      <c r="E2057" s="8">
        <v>440</v>
      </c>
      <c r="F2057" s="8">
        <v>52080</v>
      </c>
      <c r="G2057" s="8">
        <f t="shared" si="128"/>
        <v>22915200</v>
      </c>
      <c r="H2057" s="5">
        <v>0.2192</v>
      </c>
      <c r="I2057" s="8">
        <f t="shared" si="129"/>
        <v>22915200</v>
      </c>
      <c r="J2057" s="8">
        <f t="shared" si="130"/>
        <v>5023011.84</v>
      </c>
      <c r="K2057" t="str">
        <f t="shared" si="131"/>
        <v>MATCHED</v>
      </c>
    </row>
    <row r="2058" spans="1:11">
      <c r="A2058" t="s">
        <v>108</v>
      </c>
      <c r="B2058" t="s">
        <v>1414</v>
      </c>
      <c r="C2058" t="s">
        <v>1142</v>
      </c>
      <c r="D2058" t="s">
        <v>1143</v>
      </c>
      <c r="E2058" s="8">
        <v>470</v>
      </c>
      <c r="F2058" s="8">
        <v>47810</v>
      </c>
      <c r="G2058" s="8">
        <f t="shared" si="128"/>
        <v>22470700</v>
      </c>
      <c r="H2058" s="5"/>
      <c r="I2058" s="8" t="str">
        <f t="shared" si="129"/>
        <v/>
      </c>
      <c r="J2058" s="8" t="str">
        <f t="shared" si="130"/>
        <v/>
      </c>
      <c r="K2058" t="str">
        <f t="shared" si="131"/>
        <v>MISSING WHARTON</v>
      </c>
    </row>
    <row r="2059" spans="1:11">
      <c r="A2059" t="s">
        <v>108</v>
      </c>
      <c r="B2059" t="s">
        <v>1414</v>
      </c>
      <c r="C2059" t="s">
        <v>802</v>
      </c>
      <c r="D2059" t="s">
        <v>803</v>
      </c>
      <c r="E2059" s="8">
        <v>4580</v>
      </c>
      <c r="F2059" s="8">
        <v>43610</v>
      </c>
      <c r="G2059" s="8">
        <f t="shared" si="128"/>
        <v>199733800</v>
      </c>
      <c r="H2059" s="5">
        <v>0.1261</v>
      </c>
      <c r="I2059" s="8">
        <f t="shared" si="129"/>
        <v>199733800</v>
      </c>
      <c r="J2059" s="8">
        <f t="shared" si="130"/>
        <v>25186432.18</v>
      </c>
      <c r="K2059" t="str">
        <f t="shared" si="131"/>
        <v>MATCHED</v>
      </c>
    </row>
    <row r="2060" spans="1:11">
      <c r="A2060" t="s">
        <v>108</v>
      </c>
      <c r="B2060" t="s">
        <v>1414</v>
      </c>
      <c r="C2060" t="s">
        <v>804</v>
      </c>
      <c r="D2060" t="s">
        <v>805</v>
      </c>
      <c r="E2060" s="8">
        <v>4490</v>
      </c>
      <c r="F2060" s="8">
        <v>51410</v>
      </c>
      <c r="G2060" s="8">
        <f t="shared" si="128"/>
        <v>230830900</v>
      </c>
      <c r="H2060" s="5">
        <v>0.0864</v>
      </c>
      <c r="I2060" s="8">
        <f t="shared" si="129"/>
        <v>230830900</v>
      </c>
      <c r="J2060" s="8">
        <f t="shared" si="130"/>
        <v>19943789.76</v>
      </c>
      <c r="K2060" t="str">
        <f t="shared" si="131"/>
        <v>MATCHED</v>
      </c>
    </row>
    <row r="2061" spans="1:11">
      <c r="A2061" t="s">
        <v>108</v>
      </c>
      <c r="B2061" t="s">
        <v>1414</v>
      </c>
      <c r="C2061" t="s">
        <v>505</v>
      </c>
      <c r="D2061" t="s">
        <v>506</v>
      </c>
      <c r="E2061" s="8">
        <v>230</v>
      </c>
      <c r="F2061" s="8">
        <v>45760</v>
      </c>
      <c r="G2061" s="8">
        <f t="shared" si="128"/>
        <v>10524800</v>
      </c>
      <c r="H2061" s="5">
        <v>0</v>
      </c>
      <c r="I2061" s="8">
        <f t="shared" si="129"/>
        <v>10524800</v>
      </c>
      <c r="J2061" s="8">
        <f t="shared" si="130"/>
        <v>0</v>
      </c>
      <c r="K2061" t="str">
        <f t="shared" si="131"/>
        <v>MATCHED</v>
      </c>
    </row>
    <row r="2062" spans="1:11">
      <c r="A2062" t="s">
        <v>108</v>
      </c>
      <c r="B2062" t="s">
        <v>1414</v>
      </c>
      <c r="C2062" t="s">
        <v>507</v>
      </c>
      <c r="D2062" t="s">
        <v>508</v>
      </c>
      <c r="E2062" s="8">
        <v>92610</v>
      </c>
      <c r="F2062" s="8">
        <v>47450</v>
      </c>
      <c r="G2062" s="8">
        <f t="shared" si="128"/>
        <v>4394344500</v>
      </c>
      <c r="H2062" s="5">
        <v>0</v>
      </c>
      <c r="I2062" s="8">
        <f t="shared" si="129"/>
        <v>4394344500</v>
      </c>
      <c r="J2062" s="8">
        <f t="shared" si="130"/>
        <v>0</v>
      </c>
      <c r="K2062" t="str">
        <f t="shared" si="131"/>
        <v>MATCHED</v>
      </c>
    </row>
    <row r="2063" spans="1:11">
      <c r="A2063" t="s">
        <v>108</v>
      </c>
      <c r="B2063" t="s">
        <v>1414</v>
      </c>
      <c r="C2063" t="s">
        <v>509</v>
      </c>
      <c r="D2063" t="s">
        <v>510</v>
      </c>
      <c r="E2063" s="8">
        <v>7940</v>
      </c>
      <c r="F2063" s="8">
        <v>40030</v>
      </c>
      <c r="G2063" s="8">
        <f t="shared" si="128"/>
        <v>317838200</v>
      </c>
      <c r="H2063" s="5">
        <v>0.0452</v>
      </c>
      <c r="I2063" s="8">
        <f t="shared" si="129"/>
        <v>317838200</v>
      </c>
      <c r="J2063" s="8">
        <f t="shared" si="130"/>
        <v>14366286.64</v>
      </c>
      <c r="K2063" t="str">
        <f t="shared" si="131"/>
        <v>MATCHED</v>
      </c>
    </row>
    <row r="2064" spans="1:11">
      <c r="A2064" t="s">
        <v>108</v>
      </c>
      <c r="B2064" t="s">
        <v>1414</v>
      </c>
      <c r="C2064" t="s">
        <v>511</v>
      </c>
      <c r="D2064" t="s">
        <v>512</v>
      </c>
      <c r="E2064" s="8">
        <v>397800</v>
      </c>
      <c r="F2064" s="8">
        <v>42930</v>
      </c>
      <c r="G2064" s="8">
        <f t="shared" si="128"/>
        <v>17077554000</v>
      </c>
      <c r="H2064" s="5">
        <v>0.049</v>
      </c>
      <c r="I2064" s="8">
        <f t="shared" si="129"/>
        <v>17077554000</v>
      </c>
      <c r="J2064" s="8">
        <f t="shared" si="130"/>
        <v>836800146</v>
      </c>
      <c r="K2064" t="str">
        <f t="shared" si="131"/>
        <v>MATCHED</v>
      </c>
    </row>
    <row r="2065" spans="1:11">
      <c r="A2065" t="s">
        <v>108</v>
      </c>
      <c r="B2065" t="s">
        <v>1414</v>
      </c>
      <c r="C2065" t="s">
        <v>513</v>
      </c>
      <c r="D2065" t="s">
        <v>514</v>
      </c>
      <c r="E2065" s="8">
        <v>970</v>
      </c>
      <c r="F2065" s="8">
        <v>43990</v>
      </c>
      <c r="G2065" s="8">
        <f t="shared" si="128"/>
        <v>42670300</v>
      </c>
      <c r="H2065" s="5">
        <v>0.0731</v>
      </c>
      <c r="I2065" s="8">
        <f t="shared" si="129"/>
        <v>42670300</v>
      </c>
      <c r="J2065" s="8">
        <f t="shared" si="130"/>
        <v>3119198.93</v>
      </c>
      <c r="K2065" t="str">
        <f t="shared" si="131"/>
        <v>MATCHED</v>
      </c>
    </row>
    <row r="2066" spans="1:11">
      <c r="A2066" t="s">
        <v>108</v>
      </c>
      <c r="B2066" t="s">
        <v>1414</v>
      </c>
      <c r="C2066" t="s">
        <v>515</v>
      </c>
      <c r="D2066" t="s">
        <v>516</v>
      </c>
      <c r="E2066" s="8">
        <v>49500</v>
      </c>
      <c r="F2066" s="8">
        <v>38730</v>
      </c>
      <c r="G2066" s="8">
        <f t="shared" si="128"/>
        <v>1917135000</v>
      </c>
      <c r="H2066" s="5">
        <v>0.0792</v>
      </c>
      <c r="I2066" s="8">
        <f t="shared" si="129"/>
        <v>1917135000</v>
      </c>
      <c r="J2066" s="8">
        <f t="shared" si="130"/>
        <v>151837092</v>
      </c>
      <c r="K2066" t="str">
        <f t="shared" si="131"/>
        <v>MATCHED</v>
      </c>
    </row>
    <row r="2067" spans="1:11">
      <c r="A2067" t="s">
        <v>108</v>
      </c>
      <c r="B2067" t="s">
        <v>1414</v>
      </c>
      <c r="C2067" t="s">
        <v>517</v>
      </c>
      <c r="D2067" t="s">
        <v>518</v>
      </c>
      <c r="E2067" s="8">
        <v>264790</v>
      </c>
      <c r="F2067" s="8">
        <v>43110</v>
      </c>
      <c r="G2067" s="8">
        <f t="shared" si="128"/>
        <v>11415096900</v>
      </c>
      <c r="H2067" s="5">
        <v>0.2233</v>
      </c>
      <c r="I2067" s="8">
        <f t="shared" si="129"/>
        <v>11415096900</v>
      </c>
      <c r="J2067" s="8">
        <f t="shared" si="130"/>
        <v>2548991137.77</v>
      </c>
      <c r="K2067" t="str">
        <f t="shared" si="131"/>
        <v>MATCHED</v>
      </c>
    </row>
    <row r="2068" spans="1:11">
      <c r="A2068" t="s">
        <v>108</v>
      </c>
      <c r="B2068" t="s">
        <v>1414</v>
      </c>
      <c r="C2068" t="s">
        <v>808</v>
      </c>
      <c r="D2068" t="s">
        <v>809</v>
      </c>
      <c r="E2068" s="8">
        <v>460</v>
      </c>
      <c r="F2068" s="8">
        <v>53980</v>
      </c>
      <c r="G2068" s="8">
        <f t="shared" si="128"/>
        <v>24830800</v>
      </c>
      <c r="H2068" s="5">
        <v>0.2192</v>
      </c>
      <c r="I2068" s="8">
        <f t="shared" si="129"/>
        <v>24830800</v>
      </c>
      <c r="J2068" s="8">
        <f t="shared" si="130"/>
        <v>5442911.36</v>
      </c>
      <c r="K2068" t="str">
        <f t="shared" si="131"/>
        <v>MATCHED</v>
      </c>
    </row>
    <row r="2069" spans="1:11">
      <c r="A2069" t="s">
        <v>108</v>
      </c>
      <c r="B2069" t="s">
        <v>1414</v>
      </c>
      <c r="C2069" t="s">
        <v>810</v>
      </c>
      <c r="D2069" t="s">
        <v>811</v>
      </c>
      <c r="E2069" s="8">
        <v>1190</v>
      </c>
      <c r="F2069" s="8">
        <v>56730</v>
      </c>
      <c r="G2069" s="8">
        <f t="shared" si="128"/>
        <v>67508700</v>
      </c>
      <c r="H2069" s="5">
        <v>0.0679</v>
      </c>
      <c r="I2069" s="8">
        <f t="shared" si="129"/>
        <v>67508700</v>
      </c>
      <c r="J2069" s="8">
        <f t="shared" si="130"/>
        <v>4583840.73</v>
      </c>
      <c r="K2069" t="str">
        <f t="shared" si="131"/>
        <v>MATCHED</v>
      </c>
    </row>
    <row r="2070" spans="1:11">
      <c r="A2070" t="s">
        <v>108</v>
      </c>
      <c r="B2070" t="s">
        <v>1414</v>
      </c>
      <c r="C2070" t="s">
        <v>918</v>
      </c>
      <c r="D2070" t="s">
        <v>919</v>
      </c>
      <c r="E2070" s="8">
        <v>1280</v>
      </c>
      <c r="F2070" s="8">
        <v>50260</v>
      </c>
      <c r="G2070" s="8">
        <f t="shared" si="128"/>
        <v>64332800</v>
      </c>
      <c r="H2070" s="5">
        <v>0.2375</v>
      </c>
      <c r="I2070" s="8">
        <f t="shared" si="129"/>
        <v>64332800</v>
      </c>
      <c r="J2070" s="8">
        <f t="shared" si="130"/>
        <v>15279040</v>
      </c>
      <c r="K2070" t="str">
        <f t="shared" si="131"/>
        <v>MATCHED</v>
      </c>
    </row>
    <row r="2071" spans="1:11">
      <c r="A2071" t="s">
        <v>108</v>
      </c>
      <c r="B2071" t="s">
        <v>1414</v>
      </c>
      <c r="C2071" t="s">
        <v>814</v>
      </c>
      <c r="D2071" t="s">
        <v>815</v>
      </c>
      <c r="E2071" s="8">
        <v>1570</v>
      </c>
      <c r="F2071" s="8">
        <v>52180</v>
      </c>
      <c r="G2071" s="8">
        <f t="shared" si="128"/>
        <v>81922600</v>
      </c>
      <c r="H2071" s="5">
        <v>0.05</v>
      </c>
      <c r="I2071" s="8">
        <f t="shared" si="129"/>
        <v>81922600</v>
      </c>
      <c r="J2071" s="8">
        <f t="shared" si="130"/>
        <v>4096130</v>
      </c>
      <c r="K2071" t="str">
        <f t="shared" si="131"/>
        <v>MATCHED</v>
      </c>
    </row>
    <row r="2072" spans="1:11">
      <c r="A2072" t="s">
        <v>108</v>
      </c>
      <c r="B2072" t="s">
        <v>1414</v>
      </c>
      <c r="C2072" t="s">
        <v>519</v>
      </c>
      <c r="D2072" t="s">
        <v>520</v>
      </c>
      <c r="E2072" s="8">
        <v>3450</v>
      </c>
      <c r="F2072" s="8">
        <v>43820</v>
      </c>
      <c r="G2072" s="8">
        <f t="shared" si="128"/>
        <v>151179000</v>
      </c>
      <c r="H2072" s="5"/>
      <c r="I2072" s="8" t="str">
        <f t="shared" si="129"/>
        <v/>
      </c>
      <c r="J2072" s="8" t="str">
        <f t="shared" si="130"/>
        <v/>
      </c>
      <c r="K2072" t="str">
        <f t="shared" si="131"/>
        <v>MISSING WHARTON</v>
      </c>
    </row>
    <row r="2073" spans="1:11">
      <c r="A2073" t="s">
        <v>110</v>
      </c>
      <c r="B2073" t="s">
        <v>1459</v>
      </c>
      <c r="C2073" t="s">
        <v>235</v>
      </c>
      <c r="D2073" t="s">
        <v>236</v>
      </c>
      <c r="E2073" s="8">
        <v>4190</v>
      </c>
      <c r="F2073" s="8">
        <v>208400</v>
      </c>
      <c r="G2073" s="8">
        <f t="shared" si="128"/>
        <v>873196000</v>
      </c>
      <c r="H2073" s="5">
        <v>0.4775</v>
      </c>
      <c r="I2073" s="8">
        <f t="shared" si="129"/>
        <v>873196000</v>
      </c>
      <c r="J2073" s="8">
        <f t="shared" si="130"/>
        <v>416951090</v>
      </c>
      <c r="K2073" t="str">
        <f t="shared" si="131"/>
        <v>MATCHED</v>
      </c>
    </row>
    <row r="2074" spans="1:11">
      <c r="A2074" t="s">
        <v>110</v>
      </c>
      <c r="B2074" t="s">
        <v>1459</v>
      </c>
      <c r="C2074" t="s">
        <v>237</v>
      </c>
      <c r="D2074" t="s">
        <v>238</v>
      </c>
      <c r="E2074" s="8">
        <v>443920</v>
      </c>
      <c r="F2074" s="8">
        <v>93710</v>
      </c>
      <c r="G2074" s="8">
        <f t="shared" si="128"/>
        <v>41599743200</v>
      </c>
      <c r="H2074" s="5">
        <v>0.5382</v>
      </c>
      <c r="I2074" s="8">
        <f t="shared" si="129"/>
        <v>41599743200</v>
      </c>
      <c r="J2074" s="8">
        <f t="shared" si="130"/>
        <v>22388981790.24</v>
      </c>
      <c r="K2074" t="str">
        <f t="shared" si="131"/>
        <v>MATCHED</v>
      </c>
    </row>
    <row r="2075" spans="1:11">
      <c r="A2075" t="s">
        <v>110</v>
      </c>
      <c r="B2075" t="s">
        <v>1459</v>
      </c>
      <c r="C2075" t="s">
        <v>920</v>
      </c>
      <c r="D2075" t="s">
        <v>921</v>
      </c>
      <c r="E2075" s="8">
        <v>660</v>
      </c>
      <c r="F2075" s="8">
        <v>114220</v>
      </c>
      <c r="G2075" s="8">
        <f t="shared" si="128"/>
        <v>75385200</v>
      </c>
      <c r="H2075" s="5">
        <v>0.5583</v>
      </c>
      <c r="I2075" s="8">
        <f t="shared" si="129"/>
        <v>75385200</v>
      </c>
      <c r="J2075" s="8">
        <f t="shared" si="130"/>
        <v>42087557.16</v>
      </c>
      <c r="K2075" t="str">
        <f t="shared" si="131"/>
        <v>MATCHED</v>
      </c>
    </row>
    <row r="2076" spans="1:11">
      <c r="A2076" t="s">
        <v>110</v>
      </c>
      <c r="B2076" t="s">
        <v>1459</v>
      </c>
      <c r="C2076" t="s">
        <v>239</v>
      </c>
      <c r="D2076" t="s">
        <v>240</v>
      </c>
      <c r="E2076" s="8">
        <v>10230</v>
      </c>
      <c r="F2076" s="8">
        <v>150940</v>
      </c>
      <c r="G2076" s="8">
        <f t="shared" si="128"/>
        <v>1544116200</v>
      </c>
      <c r="H2076" s="5">
        <v>0.445</v>
      </c>
      <c r="I2076" s="8">
        <f t="shared" si="129"/>
        <v>1544116200</v>
      </c>
      <c r="J2076" s="8">
        <f t="shared" si="130"/>
        <v>687131709</v>
      </c>
      <c r="K2076" t="str">
        <f t="shared" si="131"/>
        <v>MATCHED</v>
      </c>
    </row>
    <row r="2077" spans="1:11">
      <c r="A2077" t="s">
        <v>110</v>
      </c>
      <c r="B2077" t="s">
        <v>1459</v>
      </c>
      <c r="C2077" t="s">
        <v>241</v>
      </c>
      <c r="D2077" t="s">
        <v>242</v>
      </c>
      <c r="E2077" s="8">
        <v>106760</v>
      </c>
      <c r="F2077" s="8">
        <v>126300</v>
      </c>
      <c r="G2077" s="8">
        <f t="shared" si="128"/>
        <v>13483788000</v>
      </c>
      <c r="H2077" s="5">
        <v>0.3735</v>
      </c>
      <c r="I2077" s="8">
        <f t="shared" si="129"/>
        <v>13483788000</v>
      </c>
      <c r="J2077" s="8">
        <f t="shared" si="130"/>
        <v>5036194818</v>
      </c>
      <c r="K2077" t="str">
        <f t="shared" si="131"/>
        <v>MATCHED</v>
      </c>
    </row>
    <row r="2078" spans="1:11">
      <c r="A2078" t="s">
        <v>110</v>
      </c>
      <c r="B2078" t="s">
        <v>1459</v>
      </c>
      <c r="C2078" t="s">
        <v>522</v>
      </c>
      <c r="D2078" t="s">
        <v>523</v>
      </c>
      <c r="E2078" s="8">
        <v>530</v>
      </c>
      <c r="F2078" s="8">
        <v>148490</v>
      </c>
      <c r="G2078" s="8">
        <f t="shared" si="128"/>
        <v>78699700</v>
      </c>
      <c r="H2078" s="5">
        <v>0.53</v>
      </c>
      <c r="I2078" s="8">
        <f t="shared" si="129"/>
        <v>78699700</v>
      </c>
      <c r="J2078" s="8">
        <f t="shared" si="130"/>
        <v>41710841</v>
      </c>
      <c r="K2078" t="str">
        <f t="shared" si="131"/>
        <v>MATCHED</v>
      </c>
    </row>
    <row r="2079" spans="1:11">
      <c r="A2079" t="s">
        <v>110</v>
      </c>
      <c r="B2079" t="s">
        <v>1459</v>
      </c>
      <c r="C2079" t="s">
        <v>922</v>
      </c>
      <c r="D2079" t="s">
        <v>923</v>
      </c>
      <c r="E2079" s="8">
        <v>60</v>
      </c>
      <c r="F2079" s="8">
        <v>138200</v>
      </c>
      <c r="G2079" s="8">
        <f t="shared" si="128"/>
        <v>8292000</v>
      </c>
      <c r="H2079" s="5">
        <v>0.5594</v>
      </c>
      <c r="I2079" s="8">
        <f t="shared" si="129"/>
        <v>8292000</v>
      </c>
      <c r="J2079" s="8">
        <f t="shared" si="130"/>
        <v>4638544.8</v>
      </c>
      <c r="K2079" t="str">
        <f t="shared" si="131"/>
        <v>MATCHED</v>
      </c>
    </row>
    <row r="2080" spans="1:11">
      <c r="A2080" t="s">
        <v>110</v>
      </c>
      <c r="B2080" t="s">
        <v>1459</v>
      </c>
      <c r="C2080" t="s">
        <v>243</v>
      </c>
      <c r="D2080" t="s">
        <v>244</v>
      </c>
      <c r="E2080" s="8">
        <v>5110</v>
      </c>
      <c r="F2080" s="8">
        <v>101310</v>
      </c>
      <c r="G2080" s="8">
        <f t="shared" si="128"/>
        <v>517694100</v>
      </c>
      <c r="H2080" s="5">
        <v>0.4444</v>
      </c>
      <c r="I2080" s="8">
        <f t="shared" si="129"/>
        <v>517694100</v>
      </c>
      <c r="J2080" s="8">
        <f t="shared" si="130"/>
        <v>230063258.04</v>
      </c>
      <c r="K2080" t="str">
        <f t="shared" si="131"/>
        <v>MATCHED</v>
      </c>
    </row>
    <row r="2081" spans="1:11">
      <c r="A2081" t="s">
        <v>110</v>
      </c>
      <c r="B2081" t="s">
        <v>1459</v>
      </c>
      <c r="C2081" t="s">
        <v>245</v>
      </c>
      <c r="D2081" t="s">
        <v>246</v>
      </c>
      <c r="E2081" s="8">
        <v>3010</v>
      </c>
      <c r="F2081" s="8">
        <v>117340</v>
      </c>
      <c r="G2081" s="8">
        <f t="shared" si="128"/>
        <v>353193400</v>
      </c>
      <c r="H2081" s="5">
        <v>0.2907</v>
      </c>
      <c r="I2081" s="8">
        <f t="shared" si="129"/>
        <v>353193400</v>
      </c>
      <c r="J2081" s="8">
        <f t="shared" si="130"/>
        <v>102673321.38</v>
      </c>
      <c r="K2081" t="str">
        <f t="shared" si="131"/>
        <v>MATCHED</v>
      </c>
    </row>
    <row r="2082" spans="1:11">
      <c r="A2082" t="s">
        <v>110</v>
      </c>
      <c r="B2082" t="s">
        <v>1459</v>
      </c>
      <c r="C2082" t="s">
        <v>247</v>
      </c>
      <c r="D2082" t="s">
        <v>248</v>
      </c>
      <c r="E2082" s="8">
        <v>4600</v>
      </c>
      <c r="F2082" s="8">
        <v>169260</v>
      </c>
      <c r="G2082" s="8">
        <f t="shared" si="128"/>
        <v>778596000</v>
      </c>
      <c r="H2082" s="5">
        <v>0.5265</v>
      </c>
      <c r="I2082" s="8">
        <f t="shared" si="129"/>
        <v>778596000</v>
      </c>
      <c r="J2082" s="8">
        <f t="shared" si="130"/>
        <v>409930794</v>
      </c>
      <c r="K2082" t="str">
        <f t="shared" si="131"/>
        <v>MATCHED</v>
      </c>
    </row>
    <row r="2083" spans="1:11">
      <c r="A2083" t="s">
        <v>110</v>
      </c>
      <c r="B2083" t="s">
        <v>1459</v>
      </c>
      <c r="C2083" t="s">
        <v>249</v>
      </c>
      <c r="D2083" t="s">
        <v>250</v>
      </c>
      <c r="E2083" s="8">
        <v>18810</v>
      </c>
      <c r="F2083" s="8">
        <v>167380</v>
      </c>
      <c r="G2083" s="8">
        <f t="shared" si="128"/>
        <v>3148417800</v>
      </c>
      <c r="H2083" s="5">
        <v>0.7221</v>
      </c>
      <c r="I2083" s="8">
        <f t="shared" si="129"/>
        <v>3148417800</v>
      </c>
      <c r="J2083" s="8">
        <f t="shared" si="130"/>
        <v>2273472493.38</v>
      </c>
      <c r="K2083" t="str">
        <f t="shared" si="131"/>
        <v>MATCHED</v>
      </c>
    </row>
    <row r="2084" spans="1:11">
      <c r="A2084" t="s">
        <v>110</v>
      </c>
      <c r="B2084" t="s">
        <v>1459</v>
      </c>
      <c r="C2084" t="s">
        <v>251</v>
      </c>
      <c r="D2084" t="s">
        <v>252</v>
      </c>
      <c r="E2084" s="8">
        <v>2360</v>
      </c>
      <c r="F2084" s="8">
        <v>107060</v>
      </c>
      <c r="G2084" s="8">
        <f t="shared" si="128"/>
        <v>252661600</v>
      </c>
      <c r="H2084" s="5">
        <v>0.3636</v>
      </c>
      <c r="I2084" s="8">
        <f t="shared" si="129"/>
        <v>252661600</v>
      </c>
      <c r="J2084" s="8">
        <f t="shared" si="130"/>
        <v>91867757.76</v>
      </c>
      <c r="K2084" t="str">
        <f t="shared" si="131"/>
        <v>MATCHED</v>
      </c>
    </row>
    <row r="2085" spans="1:11">
      <c r="A2085" t="s">
        <v>110</v>
      </c>
      <c r="B2085" t="s">
        <v>1459</v>
      </c>
      <c r="C2085" t="s">
        <v>253</v>
      </c>
      <c r="D2085" t="s">
        <v>254</v>
      </c>
      <c r="E2085" s="8">
        <v>2600</v>
      </c>
      <c r="F2085" s="8">
        <v>145920</v>
      </c>
      <c r="G2085" s="8">
        <f t="shared" si="128"/>
        <v>379392000</v>
      </c>
      <c r="H2085" s="5">
        <v>0.6944</v>
      </c>
      <c r="I2085" s="8">
        <f t="shared" si="129"/>
        <v>379392000</v>
      </c>
      <c r="J2085" s="8">
        <f t="shared" si="130"/>
        <v>263449804.8</v>
      </c>
      <c r="K2085" t="str">
        <f t="shared" si="131"/>
        <v>MATCHED</v>
      </c>
    </row>
    <row r="2086" spans="1:11">
      <c r="A2086" t="s">
        <v>110</v>
      </c>
      <c r="B2086" t="s">
        <v>1459</v>
      </c>
      <c r="C2086" t="s">
        <v>255</v>
      </c>
      <c r="D2086" t="s">
        <v>256</v>
      </c>
      <c r="E2086" s="8">
        <v>11370</v>
      </c>
      <c r="F2086" s="8">
        <v>101260</v>
      </c>
      <c r="G2086" s="8">
        <f t="shared" si="128"/>
        <v>1151326200</v>
      </c>
      <c r="H2086" s="5">
        <v>0.5783</v>
      </c>
      <c r="I2086" s="8">
        <f t="shared" si="129"/>
        <v>1151326200</v>
      </c>
      <c r="J2086" s="8">
        <f t="shared" si="130"/>
        <v>665811941.46</v>
      </c>
      <c r="K2086" t="str">
        <f t="shared" si="131"/>
        <v>MATCHED</v>
      </c>
    </row>
    <row r="2087" spans="1:11">
      <c r="A2087" t="s">
        <v>110</v>
      </c>
      <c r="B2087" t="s">
        <v>1459</v>
      </c>
      <c r="C2087" t="s">
        <v>524</v>
      </c>
      <c r="D2087" t="s">
        <v>525</v>
      </c>
      <c r="E2087" s="8">
        <v>150</v>
      </c>
      <c r="F2087" s="8">
        <v>144730</v>
      </c>
      <c r="G2087" s="8">
        <f t="shared" si="128"/>
        <v>21709500</v>
      </c>
      <c r="H2087" s="5">
        <v>0.5771</v>
      </c>
      <c r="I2087" s="8">
        <f t="shared" si="129"/>
        <v>21709500</v>
      </c>
      <c r="J2087" s="8">
        <f t="shared" si="130"/>
        <v>12528552.45</v>
      </c>
      <c r="K2087" t="str">
        <f t="shared" si="131"/>
        <v>MATCHED</v>
      </c>
    </row>
    <row r="2088" spans="1:11">
      <c r="A2088" t="s">
        <v>110</v>
      </c>
      <c r="B2088" t="s">
        <v>1459</v>
      </c>
      <c r="C2088" t="s">
        <v>257</v>
      </c>
      <c r="D2088" t="s">
        <v>258</v>
      </c>
      <c r="E2088" s="8">
        <v>2580</v>
      </c>
      <c r="F2088" s="8">
        <v>148620</v>
      </c>
      <c r="G2088" s="8">
        <f t="shared" si="128"/>
        <v>383439600</v>
      </c>
      <c r="H2088" s="5">
        <v>0.5962</v>
      </c>
      <c r="I2088" s="8">
        <f t="shared" si="129"/>
        <v>383439600</v>
      </c>
      <c r="J2088" s="8">
        <f t="shared" si="130"/>
        <v>228606689.52</v>
      </c>
      <c r="K2088" t="str">
        <f t="shared" si="131"/>
        <v>MATCHED</v>
      </c>
    </row>
    <row r="2089" spans="1:11">
      <c r="A2089" t="s">
        <v>110</v>
      </c>
      <c r="B2089" t="s">
        <v>1459</v>
      </c>
      <c r="C2089" t="s">
        <v>526</v>
      </c>
      <c r="D2089" t="s">
        <v>527</v>
      </c>
      <c r="E2089" s="8">
        <v>590</v>
      </c>
      <c r="F2089" s="8">
        <v>119160</v>
      </c>
      <c r="G2089" s="8">
        <f t="shared" si="128"/>
        <v>70304400</v>
      </c>
      <c r="H2089" s="5">
        <v>0.6833</v>
      </c>
      <c r="I2089" s="8">
        <f t="shared" si="129"/>
        <v>70304400</v>
      </c>
      <c r="J2089" s="8">
        <f t="shared" si="130"/>
        <v>48038996.52</v>
      </c>
      <c r="K2089" t="str">
        <f t="shared" si="131"/>
        <v>MATCHED</v>
      </c>
    </row>
    <row r="2090" spans="1:11">
      <c r="A2090" t="s">
        <v>110</v>
      </c>
      <c r="B2090" t="s">
        <v>1459</v>
      </c>
      <c r="C2090" t="s">
        <v>259</v>
      </c>
      <c r="D2090" t="s">
        <v>260</v>
      </c>
      <c r="E2090" s="8">
        <v>90</v>
      </c>
      <c r="F2090" s="8">
        <v>92500</v>
      </c>
      <c r="G2090" s="8">
        <f t="shared" si="128"/>
        <v>8325000</v>
      </c>
      <c r="H2090" s="5">
        <v>0.22</v>
      </c>
      <c r="I2090" s="8">
        <f t="shared" si="129"/>
        <v>8325000</v>
      </c>
      <c r="J2090" s="8">
        <f t="shared" si="130"/>
        <v>1831500</v>
      </c>
      <c r="K2090" t="str">
        <f t="shared" si="131"/>
        <v>MATCHED</v>
      </c>
    </row>
    <row r="2091" spans="1:11">
      <c r="A2091" t="s">
        <v>110</v>
      </c>
      <c r="B2091" t="s">
        <v>1459</v>
      </c>
      <c r="C2091" t="s">
        <v>528</v>
      </c>
      <c r="D2091" t="s">
        <v>529</v>
      </c>
      <c r="E2091" s="8">
        <v>690</v>
      </c>
      <c r="F2091" s="8">
        <v>107950</v>
      </c>
      <c r="G2091" s="8">
        <f t="shared" si="128"/>
        <v>74485500</v>
      </c>
      <c r="H2091" s="5">
        <v>0.374</v>
      </c>
      <c r="I2091" s="8">
        <f t="shared" si="129"/>
        <v>74485500</v>
      </c>
      <c r="J2091" s="8">
        <f t="shared" si="130"/>
        <v>27857577</v>
      </c>
      <c r="K2091" t="str">
        <f t="shared" si="131"/>
        <v>MATCHED</v>
      </c>
    </row>
    <row r="2092" spans="1:11">
      <c r="A2092" t="s">
        <v>110</v>
      </c>
      <c r="B2092" t="s">
        <v>1459</v>
      </c>
      <c r="C2092" t="s">
        <v>530</v>
      </c>
      <c r="D2092" t="s">
        <v>531</v>
      </c>
      <c r="E2092" s="8">
        <v>160</v>
      </c>
      <c r="F2092" s="8">
        <v>194240</v>
      </c>
      <c r="G2092" s="8">
        <f t="shared" si="128"/>
        <v>31078400</v>
      </c>
      <c r="H2092" s="5">
        <v>0.263</v>
      </c>
      <c r="I2092" s="8">
        <f t="shared" si="129"/>
        <v>31078400</v>
      </c>
      <c r="J2092" s="8">
        <f t="shared" si="130"/>
        <v>8173619.2</v>
      </c>
      <c r="K2092" t="str">
        <f t="shared" si="131"/>
        <v>MATCHED</v>
      </c>
    </row>
    <row r="2093" spans="1:11">
      <c r="A2093" t="s">
        <v>110</v>
      </c>
      <c r="B2093" t="s">
        <v>1459</v>
      </c>
      <c r="C2093" t="s">
        <v>1144</v>
      </c>
      <c r="D2093" t="s">
        <v>1145</v>
      </c>
      <c r="E2093" s="8">
        <v>1770</v>
      </c>
      <c r="F2093" s="8">
        <v>75420</v>
      </c>
      <c r="G2093" s="8">
        <f t="shared" si="128"/>
        <v>133493400</v>
      </c>
      <c r="H2093" s="5">
        <v>0.3821</v>
      </c>
      <c r="I2093" s="8">
        <f t="shared" si="129"/>
        <v>133493400</v>
      </c>
      <c r="J2093" s="8">
        <f t="shared" si="130"/>
        <v>51007828.14</v>
      </c>
      <c r="K2093" t="str">
        <f t="shared" si="131"/>
        <v>MATCHED</v>
      </c>
    </row>
    <row r="2094" spans="1:11">
      <c r="A2094" t="s">
        <v>110</v>
      </c>
      <c r="B2094" t="s">
        <v>1459</v>
      </c>
      <c r="C2094" t="s">
        <v>1460</v>
      </c>
      <c r="D2094" t="s">
        <v>1461</v>
      </c>
      <c r="E2094" s="8">
        <v>100</v>
      </c>
      <c r="F2094" s="8">
        <v>65010</v>
      </c>
      <c r="G2094" s="8">
        <f t="shared" si="128"/>
        <v>6501000</v>
      </c>
      <c r="H2094" s="5">
        <v>0.3176</v>
      </c>
      <c r="I2094" s="8">
        <f t="shared" si="129"/>
        <v>6501000</v>
      </c>
      <c r="J2094" s="8">
        <f t="shared" si="130"/>
        <v>2064717.6</v>
      </c>
      <c r="K2094" t="str">
        <f t="shared" si="131"/>
        <v>MATCHED</v>
      </c>
    </row>
    <row r="2095" spans="1:11">
      <c r="A2095" t="s">
        <v>110</v>
      </c>
      <c r="B2095" t="s">
        <v>1459</v>
      </c>
      <c r="C2095" t="s">
        <v>1146</v>
      </c>
      <c r="D2095" t="s">
        <v>1147</v>
      </c>
      <c r="E2095" s="8">
        <v>6390</v>
      </c>
      <c r="F2095" s="8">
        <v>159760</v>
      </c>
      <c r="G2095" s="8">
        <f t="shared" si="128"/>
        <v>1020866400</v>
      </c>
      <c r="H2095" s="5">
        <v>0.4417</v>
      </c>
      <c r="I2095" s="8">
        <f t="shared" si="129"/>
        <v>1020866400</v>
      </c>
      <c r="J2095" s="8">
        <f t="shared" si="130"/>
        <v>450916688.88</v>
      </c>
      <c r="K2095" t="str">
        <f t="shared" si="131"/>
        <v>MATCHED</v>
      </c>
    </row>
    <row r="2096" spans="1:11">
      <c r="A2096" t="s">
        <v>110</v>
      </c>
      <c r="B2096" t="s">
        <v>1459</v>
      </c>
      <c r="C2096" t="s">
        <v>261</v>
      </c>
      <c r="D2096" t="s">
        <v>262</v>
      </c>
      <c r="E2096" s="8">
        <v>30</v>
      </c>
      <c r="F2096" s="8">
        <v>201450</v>
      </c>
      <c r="G2096" s="8">
        <f t="shared" si="128"/>
        <v>6043500</v>
      </c>
      <c r="H2096" s="5">
        <v>0.382</v>
      </c>
      <c r="I2096" s="8">
        <f t="shared" si="129"/>
        <v>6043500</v>
      </c>
      <c r="J2096" s="8">
        <f t="shared" si="130"/>
        <v>2308617</v>
      </c>
      <c r="K2096" t="str">
        <f t="shared" si="131"/>
        <v>MATCHED</v>
      </c>
    </row>
    <row r="2097" spans="1:11">
      <c r="A2097" t="s">
        <v>110</v>
      </c>
      <c r="B2097" t="s">
        <v>1459</v>
      </c>
      <c r="C2097" t="s">
        <v>532</v>
      </c>
      <c r="D2097" t="s">
        <v>533</v>
      </c>
      <c r="E2097" s="8">
        <v>240</v>
      </c>
      <c r="F2097" s="8">
        <v>145170</v>
      </c>
      <c r="G2097" s="8">
        <f t="shared" si="128"/>
        <v>34840800</v>
      </c>
      <c r="H2097" s="5">
        <v>0.3833</v>
      </c>
      <c r="I2097" s="8">
        <f t="shared" si="129"/>
        <v>34840800</v>
      </c>
      <c r="J2097" s="8">
        <f t="shared" si="130"/>
        <v>13354478.64</v>
      </c>
      <c r="K2097" t="str">
        <f t="shared" si="131"/>
        <v>MATCHED</v>
      </c>
    </row>
    <row r="2098" spans="1:11">
      <c r="A2098" t="s">
        <v>110</v>
      </c>
      <c r="B2098" t="s">
        <v>1459</v>
      </c>
      <c r="C2098" t="s">
        <v>926</v>
      </c>
      <c r="D2098" t="s">
        <v>927</v>
      </c>
      <c r="E2098" s="8">
        <v>110</v>
      </c>
      <c r="F2098" s="8">
        <v>79880</v>
      </c>
      <c r="G2098" s="8">
        <f t="shared" si="128"/>
        <v>8786800</v>
      </c>
      <c r="H2098" s="5">
        <v>0.3656</v>
      </c>
      <c r="I2098" s="8">
        <f t="shared" si="129"/>
        <v>8786800</v>
      </c>
      <c r="J2098" s="8">
        <f t="shared" si="130"/>
        <v>3212454.08</v>
      </c>
      <c r="K2098" t="str">
        <f t="shared" si="131"/>
        <v>MATCHED</v>
      </c>
    </row>
    <row r="2099" spans="1:11">
      <c r="A2099" t="s">
        <v>110</v>
      </c>
      <c r="B2099" t="s">
        <v>1459</v>
      </c>
      <c r="C2099" t="s">
        <v>1148</v>
      </c>
      <c r="D2099" t="s">
        <v>1149</v>
      </c>
      <c r="E2099" s="8">
        <v>280</v>
      </c>
      <c r="F2099" s="8">
        <v>58580</v>
      </c>
      <c r="G2099" s="8">
        <f t="shared" si="128"/>
        <v>16402400</v>
      </c>
      <c r="H2099" s="5">
        <v>0.4143</v>
      </c>
      <c r="I2099" s="8">
        <f t="shared" si="129"/>
        <v>16402400</v>
      </c>
      <c r="J2099" s="8">
        <f t="shared" si="130"/>
        <v>6795514.32</v>
      </c>
      <c r="K2099" t="str">
        <f t="shared" si="131"/>
        <v>MATCHED</v>
      </c>
    </row>
    <row r="2100" spans="1:11">
      <c r="A2100" t="s">
        <v>110</v>
      </c>
      <c r="B2100" t="s">
        <v>1459</v>
      </c>
      <c r="C2100" t="s">
        <v>263</v>
      </c>
      <c r="D2100" t="s">
        <v>264</v>
      </c>
      <c r="E2100" s="8">
        <v>13360</v>
      </c>
      <c r="F2100" s="8">
        <v>113010</v>
      </c>
      <c r="G2100" s="8">
        <f t="shared" si="128"/>
        <v>1509813600</v>
      </c>
      <c r="H2100" s="5">
        <v>0.4896</v>
      </c>
      <c r="I2100" s="8">
        <f t="shared" si="129"/>
        <v>1509813600</v>
      </c>
      <c r="J2100" s="8">
        <f t="shared" si="130"/>
        <v>739204738.56</v>
      </c>
      <c r="K2100" t="str">
        <f t="shared" si="131"/>
        <v>MATCHED</v>
      </c>
    </row>
    <row r="2101" spans="1:11">
      <c r="A2101" t="s">
        <v>110</v>
      </c>
      <c r="B2101" t="s">
        <v>1459</v>
      </c>
      <c r="C2101" t="s">
        <v>265</v>
      </c>
      <c r="D2101" t="s">
        <v>266</v>
      </c>
      <c r="E2101" s="8">
        <v>38460</v>
      </c>
      <c r="F2101" s="8">
        <v>65420</v>
      </c>
      <c r="G2101" s="8">
        <f t="shared" si="128"/>
        <v>2516053200</v>
      </c>
      <c r="H2101" s="5">
        <v>0.5876</v>
      </c>
      <c r="I2101" s="8">
        <f t="shared" si="129"/>
        <v>2516053200</v>
      </c>
      <c r="J2101" s="8">
        <f t="shared" si="130"/>
        <v>1478432860.32</v>
      </c>
      <c r="K2101" t="str">
        <f t="shared" si="131"/>
        <v>MATCHED</v>
      </c>
    </row>
    <row r="2102" spans="1:11">
      <c r="A2102" t="s">
        <v>110</v>
      </c>
      <c r="B2102" t="s">
        <v>1459</v>
      </c>
      <c r="C2102" t="s">
        <v>1462</v>
      </c>
      <c r="D2102" t="s">
        <v>1463</v>
      </c>
      <c r="E2102" s="8">
        <v>110</v>
      </c>
      <c r="F2102" s="8"/>
      <c r="G2102" s="8" t="str">
        <f t="shared" si="128"/>
        <v/>
      </c>
      <c r="H2102" s="5">
        <v>0.4714</v>
      </c>
      <c r="I2102" s="8" t="str">
        <f t="shared" si="129"/>
        <v/>
      </c>
      <c r="J2102" s="8" t="str">
        <f t="shared" si="130"/>
        <v/>
      </c>
      <c r="K2102" t="str">
        <f t="shared" si="131"/>
        <v>MISSING OEWS</v>
      </c>
    </row>
    <row r="2103" spans="1:11">
      <c r="A2103" t="s">
        <v>110</v>
      </c>
      <c r="B2103" t="s">
        <v>1459</v>
      </c>
      <c r="C2103" t="s">
        <v>267</v>
      </c>
      <c r="D2103" t="s">
        <v>268</v>
      </c>
      <c r="E2103" s="8">
        <v>3450</v>
      </c>
      <c r="F2103" s="8">
        <v>74880</v>
      </c>
      <c r="G2103" s="8">
        <f t="shared" si="128"/>
        <v>258336000</v>
      </c>
      <c r="H2103" s="5">
        <v>0.4611</v>
      </c>
      <c r="I2103" s="8">
        <f t="shared" si="129"/>
        <v>258336000</v>
      </c>
      <c r="J2103" s="8">
        <f t="shared" si="130"/>
        <v>119118729.6</v>
      </c>
      <c r="K2103" t="str">
        <f t="shared" si="131"/>
        <v>MATCHED</v>
      </c>
    </row>
    <row r="2104" spans="1:11">
      <c r="A2104" t="s">
        <v>110</v>
      </c>
      <c r="B2104" t="s">
        <v>1459</v>
      </c>
      <c r="C2104" t="s">
        <v>534</v>
      </c>
      <c r="D2104" t="s">
        <v>535</v>
      </c>
      <c r="E2104" s="8">
        <v>11150</v>
      </c>
      <c r="F2104" s="8">
        <v>72790</v>
      </c>
      <c r="G2104" s="8">
        <f t="shared" si="128"/>
        <v>811608500</v>
      </c>
      <c r="H2104" s="5">
        <v>0.6393</v>
      </c>
      <c r="I2104" s="8">
        <f t="shared" si="129"/>
        <v>811608500</v>
      </c>
      <c r="J2104" s="8">
        <f t="shared" si="130"/>
        <v>518861314.05</v>
      </c>
      <c r="K2104" t="str">
        <f t="shared" si="131"/>
        <v>MATCHED</v>
      </c>
    </row>
    <row r="2105" spans="1:11">
      <c r="A2105" t="s">
        <v>110</v>
      </c>
      <c r="B2105" t="s">
        <v>1459</v>
      </c>
      <c r="C2105" t="s">
        <v>269</v>
      </c>
      <c r="D2105" t="s">
        <v>270</v>
      </c>
      <c r="E2105" s="8">
        <v>28180</v>
      </c>
      <c r="F2105" s="8">
        <v>68050</v>
      </c>
      <c r="G2105" s="8">
        <f t="shared" si="128"/>
        <v>1917649000</v>
      </c>
      <c r="H2105" s="5">
        <v>0.7808</v>
      </c>
      <c r="I2105" s="8">
        <f t="shared" si="129"/>
        <v>1917649000</v>
      </c>
      <c r="J2105" s="8">
        <f t="shared" si="130"/>
        <v>1497300339.2</v>
      </c>
      <c r="K2105" t="str">
        <f t="shared" si="131"/>
        <v>MATCHED</v>
      </c>
    </row>
    <row r="2106" spans="1:11">
      <c r="A2106" t="s">
        <v>110</v>
      </c>
      <c r="B2106" t="s">
        <v>1459</v>
      </c>
      <c r="C2106" t="s">
        <v>820</v>
      </c>
      <c r="D2106" t="s">
        <v>821</v>
      </c>
      <c r="E2106" s="8">
        <v>230</v>
      </c>
      <c r="F2106" s="8">
        <v>92090</v>
      </c>
      <c r="G2106" s="8">
        <f t="shared" si="128"/>
        <v>21180700</v>
      </c>
      <c r="H2106" s="5">
        <v>0.5536</v>
      </c>
      <c r="I2106" s="8">
        <f t="shared" si="129"/>
        <v>21180700</v>
      </c>
      <c r="J2106" s="8">
        <f t="shared" si="130"/>
        <v>11725635.52</v>
      </c>
      <c r="K2106" t="str">
        <f t="shared" si="131"/>
        <v>MATCHED</v>
      </c>
    </row>
    <row r="2107" spans="1:11">
      <c r="A2107" t="s">
        <v>110</v>
      </c>
      <c r="B2107" t="s">
        <v>1459</v>
      </c>
      <c r="C2107" t="s">
        <v>273</v>
      </c>
      <c r="D2107" t="s">
        <v>274</v>
      </c>
      <c r="E2107" s="8">
        <v>3370</v>
      </c>
      <c r="F2107" s="8">
        <v>78720</v>
      </c>
      <c r="G2107" s="8">
        <f t="shared" si="128"/>
        <v>265286400</v>
      </c>
      <c r="H2107" s="5">
        <v>0.6943</v>
      </c>
      <c r="I2107" s="8">
        <f t="shared" si="129"/>
        <v>265286400</v>
      </c>
      <c r="J2107" s="8">
        <f t="shared" si="130"/>
        <v>184188347.52</v>
      </c>
      <c r="K2107" t="str">
        <f t="shared" si="131"/>
        <v>MATCHED</v>
      </c>
    </row>
    <row r="2108" spans="1:11">
      <c r="A2108" t="s">
        <v>110</v>
      </c>
      <c r="B2108" t="s">
        <v>1459</v>
      </c>
      <c r="C2108" t="s">
        <v>275</v>
      </c>
      <c r="D2108" t="s">
        <v>276</v>
      </c>
      <c r="E2108" s="8">
        <v>10010</v>
      </c>
      <c r="F2108" s="8">
        <v>83360</v>
      </c>
      <c r="G2108" s="8">
        <f t="shared" si="128"/>
        <v>834433600</v>
      </c>
      <c r="H2108" s="5">
        <v>0.6375</v>
      </c>
      <c r="I2108" s="8">
        <f t="shared" si="129"/>
        <v>834433600</v>
      </c>
      <c r="J2108" s="8">
        <f t="shared" si="130"/>
        <v>531951420</v>
      </c>
      <c r="K2108" t="str">
        <f t="shared" si="131"/>
        <v>MATCHED</v>
      </c>
    </row>
    <row r="2109" spans="1:11">
      <c r="A2109" t="s">
        <v>110</v>
      </c>
      <c r="B2109" t="s">
        <v>1459</v>
      </c>
      <c r="C2109" t="s">
        <v>277</v>
      </c>
      <c r="D2109" t="s">
        <v>278</v>
      </c>
      <c r="E2109" s="8">
        <v>3120</v>
      </c>
      <c r="F2109" s="8">
        <v>100870</v>
      </c>
      <c r="G2109" s="8">
        <f t="shared" si="128"/>
        <v>314714400</v>
      </c>
      <c r="H2109" s="5">
        <v>0.5773</v>
      </c>
      <c r="I2109" s="8">
        <f t="shared" si="129"/>
        <v>314714400</v>
      </c>
      <c r="J2109" s="8">
        <f t="shared" si="130"/>
        <v>181684623.12</v>
      </c>
      <c r="K2109" t="str">
        <f t="shared" si="131"/>
        <v>MATCHED</v>
      </c>
    </row>
    <row r="2110" spans="1:11">
      <c r="A2110" t="s">
        <v>110</v>
      </c>
      <c r="B2110" t="s">
        <v>1459</v>
      </c>
      <c r="C2110" t="s">
        <v>279</v>
      </c>
      <c r="D2110" t="s">
        <v>280</v>
      </c>
      <c r="E2110" s="8">
        <v>1900</v>
      </c>
      <c r="F2110" s="8">
        <v>53960</v>
      </c>
      <c r="G2110" s="8">
        <f t="shared" si="128"/>
        <v>102524000</v>
      </c>
      <c r="H2110" s="5">
        <v>0.4476</v>
      </c>
      <c r="I2110" s="8">
        <f t="shared" si="129"/>
        <v>102524000</v>
      </c>
      <c r="J2110" s="8">
        <f t="shared" si="130"/>
        <v>45889742.4</v>
      </c>
      <c r="K2110" t="str">
        <f t="shared" si="131"/>
        <v>MATCHED</v>
      </c>
    </row>
    <row r="2111" spans="1:11">
      <c r="A2111" t="s">
        <v>110</v>
      </c>
      <c r="B2111" t="s">
        <v>1459</v>
      </c>
      <c r="C2111" t="s">
        <v>928</v>
      </c>
      <c r="D2111" t="s">
        <v>929</v>
      </c>
      <c r="E2111" s="8">
        <v>630</v>
      </c>
      <c r="F2111" s="8">
        <v>50330</v>
      </c>
      <c r="G2111" s="8">
        <f t="shared" si="128"/>
        <v>31707900</v>
      </c>
      <c r="H2111" s="5">
        <v>0.5571</v>
      </c>
      <c r="I2111" s="8">
        <f t="shared" si="129"/>
        <v>31707900</v>
      </c>
      <c r="J2111" s="8">
        <f t="shared" si="130"/>
        <v>17664471.09</v>
      </c>
      <c r="K2111" t="str">
        <f t="shared" si="131"/>
        <v>MATCHED</v>
      </c>
    </row>
    <row r="2112" spans="1:11">
      <c r="A2112" t="s">
        <v>110</v>
      </c>
      <c r="B2112" t="s">
        <v>1459</v>
      </c>
      <c r="C2112" t="s">
        <v>281</v>
      </c>
      <c r="D2112" t="s">
        <v>282</v>
      </c>
      <c r="E2112" s="8">
        <v>1390</v>
      </c>
      <c r="F2112" s="8">
        <v>81050</v>
      </c>
      <c r="G2112" s="8">
        <f t="shared" si="128"/>
        <v>112659500</v>
      </c>
      <c r="H2112" s="5">
        <v>0.6167</v>
      </c>
      <c r="I2112" s="8">
        <f t="shared" si="129"/>
        <v>112659500</v>
      </c>
      <c r="J2112" s="8">
        <f t="shared" si="130"/>
        <v>69477113.65</v>
      </c>
      <c r="K2112" t="str">
        <f t="shared" si="131"/>
        <v>MATCHED</v>
      </c>
    </row>
    <row r="2113" spans="1:11">
      <c r="A2113" t="s">
        <v>110</v>
      </c>
      <c r="B2113" t="s">
        <v>1459</v>
      </c>
      <c r="C2113" t="s">
        <v>283</v>
      </c>
      <c r="D2113" t="s">
        <v>284</v>
      </c>
      <c r="E2113" s="8">
        <v>20520</v>
      </c>
      <c r="F2113" s="8">
        <v>54570</v>
      </c>
      <c r="G2113" s="8">
        <f t="shared" si="128"/>
        <v>1119776400</v>
      </c>
      <c r="H2113" s="5">
        <v>0.565</v>
      </c>
      <c r="I2113" s="8">
        <f t="shared" si="129"/>
        <v>1119776400</v>
      </c>
      <c r="J2113" s="8">
        <f t="shared" si="130"/>
        <v>632673666</v>
      </c>
      <c r="K2113" t="str">
        <f t="shared" si="131"/>
        <v>MATCHED</v>
      </c>
    </row>
    <row r="2114" spans="1:11">
      <c r="A2114" t="s">
        <v>110</v>
      </c>
      <c r="B2114" t="s">
        <v>1459</v>
      </c>
      <c r="C2114" t="s">
        <v>285</v>
      </c>
      <c r="D2114" t="s">
        <v>286</v>
      </c>
      <c r="E2114" s="8">
        <v>46460</v>
      </c>
      <c r="F2114" s="8">
        <v>59690</v>
      </c>
      <c r="G2114" s="8">
        <f t="shared" ref="G2114:G2177" si="132">IF(OR(E2114="",F2114=""),"",E2114*F2114)</f>
        <v>2773197400</v>
      </c>
      <c r="H2114" s="5">
        <v>0.7792</v>
      </c>
      <c r="I2114" s="8">
        <f t="shared" ref="I2114:I2177" si="133">IF(G2114="","",IF(ISNUMBER(H2114),G2114,""))</f>
        <v>2773197400</v>
      </c>
      <c r="J2114" s="8">
        <f t="shared" ref="J2114:J2177" si="134">IF(I2114="","",I2114*H2114)</f>
        <v>2160875414.08</v>
      </c>
      <c r="K2114" t="str">
        <f t="shared" ref="K2114:K2177" si="135">IF(G2114="","MISSING OEWS",IF(ISNUMBER(H2114),"MATCHED","MISSING WHARTON"))</f>
        <v>MATCHED</v>
      </c>
    </row>
    <row r="2115" spans="1:11">
      <c r="A2115" t="s">
        <v>110</v>
      </c>
      <c r="B2115" t="s">
        <v>1459</v>
      </c>
      <c r="C2115" t="s">
        <v>287</v>
      </c>
      <c r="D2115" t="s">
        <v>288</v>
      </c>
      <c r="E2115" s="8">
        <v>21150</v>
      </c>
      <c r="F2115" s="8">
        <v>66430</v>
      </c>
      <c r="G2115" s="8">
        <f t="shared" si="132"/>
        <v>1404994500</v>
      </c>
      <c r="H2115" s="5">
        <v>0.6599</v>
      </c>
      <c r="I2115" s="8">
        <f t="shared" si="133"/>
        <v>1404994500</v>
      </c>
      <c r="J2115" s="8">
        <f t="shared" si="134"/>
        <v>927155870.55</v>
      </c>
      <c r="K2115" t="str">
        <f t="shared" si="135"/>
        <v>MATCHED</v>
      </c>
    </row>
    <row r="2116" spans="1:11">
      <c r="A2116" t="s">
        <v>110</v>
      </c>
      <c r="B2116" t="s">
        <v>1459</v>
      </c>
      <c r="C2116" t="s">
        <v>289</v>
      </c>
      <c r="D2116" t="s">
        <v>290</v>
      </c>
      <c r="E2116" s="8">
        <v>28430</v>
      </c>
      <c r="F2116" s="8">
        <v>89580</v>
      </c>
      <c r="G2116" s="8">
        <f t="shared" si="132"/>
        <v>2546759400</v>
      </c>
      <c r="H2116" s="5">
        <v>0.795</v>
      </c>
      <c r="I2116" s="8">
        <f t="shared" si="133"/>
        <v>2546759400</v>
      </c>
      <c r="J2116" s="8">
        <f t="shared" si="134"/>
        <v>2024673723</v>
      </c>
      <c r="K2116" t="str">
        <f t="shared" si="135"/>
        <v>MATCHED</v>
      </c>
    </row>
    <row r="2117" spans="1:11">
      <c r="A2117" t="s">
        <v>110</v>
      </c>
      <c r="B2117" t="s">
        <v>1459</v>
      </c>
      <c r="C2117" t="s">
        <v>822</v>
      </c>
      <c r="D2117" t="s">
        <v>823</v>
      </c>
      <c r="E2117" s="8">
        <v>860</v>
      </c>
      <c r="F2117" s="8">
        <v>64290</v>
      </c>
      <c r="G2117" s="8">
        <f t="shared" si="132"/>
        <v>55289400</v>
      </c>
      <c r="H2117" s="5">
        <v>0.6102</v>
      </c>
      <c r="I2117" s="8">
        <f t="shared" si="133"/>
        <v>55289400</v>
      </c>
      <c r="J2117" s="8">
        <f t="shared" si="134"/>
        <v>33737591.88</v>
      </c>
      <c r="K2117" t="str">
        <f t="shared" si="135"/>
        <v>MATCHED</v>
      </c>
    </row>
    <row r="2118" spans="1:11">
      <c r="A2118" t="s">
        <v>110</v>
      </c>
      <c r="B2118" t="s">
        <v>1459</v>
      </c>
      <c r="C2118" t="s">
        <v>824</v>
      </c>
      <c r="D2118" t="s">
        <v>825</v>
      </c>
      <c r="E2118" s="8">
        <v>40</v>
      </c>
      <c r="F2118" s="8">
        <v>95720</v>
      </c>
      <c r="G2118" s="8">
        <f t="shared" si="132"/>
        <v>3828800</v>
      </c>
      <c r="H2118" s="5">
        <v>0.8</v>
      </c>
      <c r="I2118" s="8">
        <f t="shared" si="133"/>
        <v>3828800</v>
      </c>
      <c r="J2118" s="8">
        <f t="shared" si="134"/>
        <v>3063040</v>
      </c>
      <c r="K2118" t="str">
        <f t="shared" si="135"/>
        <v>MATCHED</v>
      </c>
    </row>
    <row r="2119" spans="1:11">
      <c r="A2119" t="s">
        <v>110</v>
      </c>
      <c r="B2119" t="s">
        <v>1459</v>
      </c>
      <c r="C2119" t="s">
        <v>826</v>
      </c>
      <c r="D2119" t="s">
        <v>827</v>
      </c>
      <c r="E2119" s="8">
        <v>900</v>
      </c>
      <c r="F2119" s="8">
        <v>91740</v>
      </c>
      <c r="G2119" s="8">
        <f t="shared" si="132"/>
        <v>82566000</v>
      </c>
      <c r="H2119" s="5">
        <v>0.8182</v>
      </c>
      <c r="I2119" s="8">
        <f t="shared" si="133"/>
        <v>82566000</v>
      </c>
      <c r="J2119" s="8">
        <f t="shared" si="134"/>
        <v>67555501.2</v>
      </c>
      <c r="K2119" t="str">
        <f t="shared" si="135"/>
        <v>MATCHED</v>
      </c>
    </row>
    <row r="2120" spans="1:11">
      <c r="A2120" t="s">
        <v>110</v>
      </c>
      <c r="B2120" t="s">
        <v>1459</v>
      </c>
      <c r="C2120" t="s">
        <v>536</v>
      </c>
      <c r="D2120" t="s">
        <v>537</v>
      </c>
      <c r="E2120" s="8">
        <v>1290</v>
      </c>
      <c r="F2120" s="8">
        <v>100640</v>
      </c>
      <c r="G2120" s="8">
        <f t="shared" si="132"/>
        <v>129825600</v>
      </c>
      <c r="H2120" s="5">
        <v>0.6904</v>
      </c>
      <c r="I2120" s="8">
        <f t="shared" si="133"/>
        <v>129825600</v>
      </c>
      <c r="J2120" s="8">
        <f t="shared" si="134"/>
        <v>89631594.24</v>
      </c>
      <c r="K2120" t="str">
        <f t="shared" si="135"/>
        <v>MATCHED</v>
      </c>
    </row>
    <row r="2121" spans="1:11">
      <c r="A2121" t="s">
        <v>110</v>
      </c>
      <c r="B2121" t="s">
        <v>1459</v>
      </c>
      <c r="C2121" t="s">
        <v>930</v>
      </c>
      <c r="D2121" t="s">
        <v>931</v>
      </c>
      <c r="E2121" s="8"/>
      <c r="F2121" s="8">
        <v>83930</v>
      </c>
      <c r="G2121" s="8" t="str">
        <f t="shared" si="132"/>
        <v/>
      </c>
      <c r="H2121" s="5">
        <v>0.6857</v>
      </c>
      <c r="I2121" s="8" t="str">
        <f t="shared" si="133"/>
        <v/>
      </c>
      <c r="J2121" s="8" t="str">
        <f t="shared" si="134"/>
        <v/>
      </c>
      <c r="K2121" t="str">
        <f t="shared" si="135"/>
        <v>MISSING OEWS</v>
      </c>
    </row>
    <row r="2122" spans="1:11">
      <c r="A2122" t="s">
        <v>110</v>
      </c>
      <c r="B2122" t="s">
        <v>1459</v>
      </c>
      <c r="C2122" t="s">
        <v>828</v>
      </c>
      <c r="D2122" t="s">
        <v>829</v>
      </c>
      <c r="E2122" s="8">
        <v>140</v>
      </c>
      <c r="F2122" s="8">
        <v>106170</v>
      </c>
      <c r="G2122" s="8">
        <f t="shared" si="132"/>
        <v>14863800</v>
      </c>
      <c r="H2122" s="5">
        <v>0.7767</v>
      </c>
      <c r="I2122" s="8">
        <f t="shared" si="133"/>
        <v>14863800</v>
      </c>
      <c r="J2122" s="8">
        <f t="shared" si="134"/>
        <v>11544713.46</v>
      </c>
      <c r="K2122" t="str">
        <f t="shared" si="135"/>
        <v>MATCHED</v>
      </c>
    </row>
    <row r="2123" spans="1:11">
      <c r="A2123" t="s">
        <v>110</v>
      </c>
      <c r="B2123" t="s">
        <v>1459</v>
      </c>
      <c r="C2123" t="s">
        <v>1150</v>
      </c>
      <c r="D2123" t="s">
        <v>1151</v>
      </c>
      <c r="E2123" s="8"/>
      <c r="F2123" s="8">
        <v>73850</v>
      </c>
      <c r="G2123" s="8" t="str">
        <f t="shared" si="132"/>
        <v/>
      </c>
      <c r="H2123" s="5">
        <v>0.5647</v>
      </c>
      <c r="I2123" s="8" t="str">
        <f t="shared" si="133"/>
        <v/>
      </c>
      <c r="J2123" s="8" t="str">
        <f t="shared" si="134"/>
        <v/>
      </c>
      <c r="K2123" t="str">
        <f t="shared" si="135"/>
        <v>MISSING OEWS</v>
      </c>
    </row>
    <row r="2124" spans="1:11">
      <c r="A2124" t="s">
        <v>110</v>
      </c>
      <c r="B2124" t="s">
        <v>1459</v>
      </c>
      <c r="C2124" t="s">
        <v>932</v>
      </c>
      <c r="D2124" t="s">
        <v>933</v>
      </c>
      <c r="E2124" s="8">
        <v>280</v>
      </c>
      <c r="F2124" s="8">
        <v>70340</v>
      </c>
      <c r="G2124" s="8">
        <f t="shared" si="132"/>
        <v>19695200</v>
      </c>
      <c r="H2124" s="5">
        <v>0.7587</v>
      </c>
      <c r="I2124" s="8">
        <f t="shared" si="133"/>
        <v>19695200</v>
      </c>
      <c r="J2124" s="8">
        <f t="shared" si="134"/>
        <v>14942748.24</v>
      </c>
      <c r="K2124" t="str">
        <f t="shared" si="135"/>
        <v>MATCHED</v>
      </c>
    </row>
    <row r="2125" spans="1:11">
      <c r="A2125" t="s">
        <v>110</v>
      </c>
      <c r="B2125" t="s">
        <v>1459</v>
      </c>
      <c r="C2125" t="s">
        <v>934</v>
      </c>
      <c r="D2125" t="s">
        <v>935</v>
      </c>
      <c r="E2125" s="8">
        <v>12290</v>
      </c>
      <c r="F2125" s="8">
        <v>124270</v>
      </c>
      <c r="G2125" s="8">
        <f t="shared" si="132"/>
        <v>1527278300</v>
      </c>
      <c r="H2125" s="5">
        <v>0.805</v>
      </c>
      <c r="I2125" s="8">
        <f t="shared" si="133"/>
        <v>1527278300</v>
      </c>
      <c r="J2125" s="8">
        <f t="shared" si="134"/>
        <v>1229459031.5</v>
      </c>
      <c r="K2125" t="str">
        <f t="shared" si="135"/>
        <v>MATCHED</v>
      </c>
    </row>
    <row r="2126" spans="1:11">
      <c r="A2126" t="s">
        <v>110</v>
      </c>
      <c r="B2126" t="s">
        <v>1459</v>
      </c>
      <c r="C2126" t="s">
        <v>538</v>
      </c>
      <c r="D2126" t="s">
        <v>539</v>
      </c>
      <c r="E2126" s="8">
        <v>1530</v>
      </c>
      <c r="F2126" s="8">
        <v>83830</v>
      </c>
      <c r="G2126" s="8">
        <f t="shared" si="132"/>
        <v>128259900</v>
      </c>
      <c r="H2126" s="5">
        <v>0.6192</v>
      </c>
      <c r="I2126" s="8">
        <f t="shared" si="133"/>
        <v>128259900</v>
      </c>
      <c r="J2126" s="8">
        <f t="shared" si="134"/>
        <v>79418530.08</v>
      </c>
      <c r="K2126" t="str">
        <f t="shared" si="135"/>
        <v>MATCHED</v>
      </c>
    </row>
    <row r="2127" spans="1:11">
      <c r="A2127" t="s">
        <v>110</v>
      </c>
      <c r="B2127" t="s">
        <v>1459</v>
      </c>
      <c r="C2127" t="s">
        <v>291</v>
      </c>
      <c r="D2127" t="s">
        <v>292</v>
      </c>
      <c r="E2127" s="8">
        <v>1580</v>
      </c>
      <c r="F2127" s="8">
        <v>107320</v>
      </c>
      <c r="G2127" s="8">
        <f t="shared" si="132"/>
        <v>169565600</v>
      </c>
      <c r="H2127" s="5">
        <v>0.6388</v>
      </c>
      <c r="I2127" s="8">
        <f t="shared" si="133"/>
        <v>169565600</v>
      </c>
      <c r="J2127" s="8">
        <f t="shared" si="134"/>
        <v>108318505.28</v>
      </c>
      <c r="K2127" t="str">
        <f t="shared" si="135"/>
        <v>MATCHED</v>
      </c>
    </row>
    <row r="2128" spans="1:11">
      <c r="A2128" t="s">
        <v>110</v>
      </c>
      <c r="B2128" t="s">
        <v>1459</v>
      </c>
      <c r="C2128" t="s">
        <v>540</v>
      </c>
      <c r="D2128" t="s">
        <v>541</v>
      </c>
      <c r="E2128" s="8">
        <v>780</v>
      </c>
      <c r="F2128" s="8">
        <v>122630</v>
      </c>
      <c r="G2128" s="8">
        <f t="shared" si="132"/>
        <v>95651400</v>
      </c>
      <c r="H2128" s="5">
        <v>0.6292</v>
      </c>
      <c r="I2128" s="8">
        <f t="shared" si="133"/>
        <v>95651400</v>
      </c>
      <c r="J2128" s="8">
        <f t="shared" si="134"/>
        <v>60183860.88</v>
      </c>
      <c r="K2128" t="str">
        <f t="shared" si="135"/>
        <v>MATCHED</v>
      </c>
    </row>
    <row r="2129" spans="1:11">
      <c r="A2129" t="s">
        <v>110</v>
      </c>
      <c r="B2129" t="s">
        <v>1459</v>
      </c>
      <c r="C2129" t="s">
        <v>542</v>
      </c>
      <c r="D2129" t="s">
        <v>543</v>
      </c>
      <c r="E2129" s="8">
        <v>2030</v>
      </c>
      <c r="F2129" s="8">
        <v>63330</v>
      </c>
      <c r="G2129" s="8">
        <f t="shared" si="132"/>
        <v>128559900</v>
      </c>
      <c r="H2129" s="5">
        <v>0.7096</v>
      </c>
      <c r="I2129" s="8">
        <f t="shared" si="133"/>
        <v>128559900</v>
      </c>
      <c r="J2129" s="8">
        <f t="shared" si="134"/>
        <v>91226105.04</v>
      </c>
      <c r="K2129" t="str">
        <f t="shared" si="135"/>
        <v>MATCHED</v>
      </c>
    </row>
    <row r="2130" spans="1:11">
      <c r="A2130" t="s">
        <v>110</v>
      </c>
      <c r="B2130" t="s">
        <v>1459</v>
      </c>
      <c r="C2130" t="s">
        <v>293</v>
      </c>
      <c r="D2130" t="s">
        <v>294</v>
      </c>
      <c r="E2130" s="8">
        <v>13500</v>
      </c>
      <c r="F2130" s="8">
        <v>58240</v>
      </c>
      <c r="G2130" s="8">
        <f t="shared" si="132"/>
        <v>786240000</v>
      </c>
      <c r="H2130" s="5">
        <v>0.6062</v>
      </c>
      <c r="I2130" s="8">
        <f t="shared" si="133"/>
        <v>786240000</v>
      </c>
      <c r="J2130" s="8">
        <f t="shared" si="134"/>
        <v>476618688</v>
      </c>
      <c r="K2130" t="str">
        <f t="shared" si="135"/>
        <v>MATCHED</v>
      </c>
    </row>
    <row r="2131" spans="1:11">
      <c r="A2131" t="s">
        <v>110</v>
      </c>
      <c r="B2131" t="s">
        <v>1459</v>
      </c>
      <c r="C2131" t="s">
        <v>544</v>
      </c>
      <c r="D2131" t="s">
        <v>545</v>
      </c>
      <c r="E2131" s="8">
        <v>790</v>
      </c>
      <c r="F2131" s="8">
        <v>128640</v>
      </c>
      <c r="G2131" s="8">
        <f t="shared" si="132"/>
        <v>101625600</v>
      </c>
      <c r="H2131" s="5">
        <v>0.6278</v>
      </c>
      <c r="I2131" s="8">
        <f t="shared" si="133"/>
        <v>101625600</v>
      </c>
      <c r="J2131" s="8">
        <f t="shared" si="134"/>
        <v>63800551.68</v>
      </c>
      <c r="K2131" t="str">
        <f t="shared" si="135"/>
        <v>MATCHED</v>
      </c>
    </row>
    <row r="2132" spans="1:11">
      <c r="A2132" t="s">
        <v>110</v>
      </c>
      <c r="B2132" t="s">
        <v>1459</v>
      </c>
      <c r="C2132" t="s">
        <v>546</v>
      </c>
      <c r="D2132" t="s">
        <v>547</v>
      </c>
      <c r="E2132" s="8">
        <v>780</v>
      </c>
      <c r="F2132" s="8">
        <v>81080</v>
      </c>
      <c r="G2132" s="8">
        <f t="shared" si="132"/>
        <v>63242400</v>
      </c>
      <c r="H2132" s="5">
        <v>0.8389</v>
      </c>
      <c r="I2132" s="8">
        <f t="shared" si="133"/>
        <v>63242400</v>
      </c>
      <c r="J2132" s="8">
        <f t="shared" si="134"/>
        <v>53054049.36</v>
      </c>
      <c r="K2132" t="str">
        <f t="shared" si="135"/>
        <v>MATCHED</v>
      </c>
    </row>
    <row r="2133" spans="1:11">
      <c r="A2133" t="s">
        <v>110</v>
      </c>
      <c r="B2133" t="s">
        <v>1459</v>
      </c>
      <c r="C2133" t="s">
        <v>548</v>
      </c>
      <c r="D2133" t="s">
        <v>549</v>
      </c>
      <c r="E2133" s="8">
        <v>750</v>
      </c>
      <c r="F2133" s="8">
        <v>124130</v>
      </c>
      <c r="G2133" s="8">
        <f t="shared" si="132"/>
        <v>93097500</v>
      </c>
      <c r="H2133" s="5">
        <v>0.8502</v>
      </c>
      <c r="I2133" s="8">
        <f t="shared" si="133"/>
        <v>93097500</v>
      </c>
      <c r="J2133" s="8">
        <f t="shared" si="134"/>
        <v>79151494.5</v>
      </c>
      <c r="K2133" t="str">
        <f t="shared" si="135"/>
        <v>MATCHED</v>
      </c>
    </row>
    <row r="2134" spans="1:11">
      <c r="A2134" t="s">
        <v>110</v>
      </c>
      <c r="B2134" t="s">
        <v>1459</v>
      </c>
      <c r="C2134" t="s">
        <v>295</v>
      </c>
      <c r="D2134" t="s">
        <v>296</v>
      </c>
      <c r="E2134" s="8">
        <v>4220</v>
      </c>
      <c r="F2134" s="8">
        <v>94830</v>
      </c>
      <c r="G2134" s="8">
        <f t="shared" si="132"/>
        <v>400182600</v>
      </c>
      <c r="H2134" s="5">
        <v>0.695</v>
      </c>
      <c r="I2134" s="8">
        <f t="shared" si="133"/>
        <v>400182600</v>
      </c>
      <c r="J2134" s="8">
        <f t="shared" si="134"/>
        <v>278126907</v>
      </c>
      <c r="K2134" t="str">
        <f t="shared" si="135"/>
        <v>MATCHED</v>
      </c>
    </row>
    <row r="2135" spans="1:11">
      <c r="A2135" t="s">
        <v>110</v>
      </c>
      <c r="B2135" t="s">
        <v>1459</v>
      </c>
      <c r="C2135" t="s">
        <v>550</v>
      </c>
      <c r="D2135" t="s">
        <v>551</v>
      </c>
      <c r="E2135" s="8">
        <v>530</v>
      </c>
      <c r="F2135" s="8">
        <v>88450</v>
      </c>
      <c r="G2135" s="8">
        <f t="shared" si="132"/>
        <v>46878500</v>
      </c>
      <c r="H2135" s="5">
        <v>0.6824</v>
      </c>
      <c r="I2135" s="8">
        <f t="shared" si="133"/>
        <v>46878500</v>
      </c>
      <c r="J2135" s="8">
        <f t="shared" si="134"/>
        <v>31989888.4</v>
      </c>
      <c r="K2135" t="str">
        <f t="shared" si="135"/>
        <v>MATCHED</v>
      </c>
    </row>
    <row r="2136" spans="1:11">
      <c r="A2136" t="s">
        <v>110</v>
      </c>
      <c r="B2136" t="s">
        <v>1459</v>
      </c>
      <c r="C2136" t="s">
        <v>297</v>
      </c>
      <c r="D2136" t="s">
        <v>298</v>
      </c>
      <c r="E2136" s="8">
        <v>7610</v>
      </c>
      <c r="F2136" s="8">
        <v>137040</v>
      </c>
      <c r="G2136" s="8">
        <f t="shared" si="132"/>
        <v>1042874400</v>
      </c>
      <c r="H2136" s="5">
        <v>0.5211</v>
      </c>
      <c r="I2136" s="8">
        <f t="shared" si="133"/>
        <v>1042874400</v>
      </c>
      <c r="J2136" s="8">
        <f t="shared" si="134"/>
        <v>543441849.84</v>
      </c>
      <c r="K2136" t="str">
        <f t="shared" si="135"/>
        <v>MATCHED</v>
      </c>
    </row>
    <row r="2137" spans="1:11">
      <c r="A2137" t="s">
        <v>110</v>
      </c>
      <c r="B2137" t="s">
        <v>1459</v>
      </c>
      <c r="C2137" t="s">
        <v>552</v>
      </c>
      <c r="D2137" t="s">
        <v>553</v>
      </c>
      <c r="E2137" s="8">
        <v>1100</v>
      </c>
      <c r="F2137" s="8">
        <v>100580</v>
      </c>
      <c r="G2137" s="8">
        <f t="shared" si="132"/>
        <v>110638000</v>
      </c>
      <c r="H2137" s="5">
        <v>0.8117</v>
      </c>
      <c r="I2137" s="8">
        <f t="shared" si="133"/>
        <v>110638000</v>
      </c>
      <c r="J2137" s="8">
        <f t="shared" si="134"/>
        <v>89804864.6</v>
      </c>
      <c r="K2137" t="str">
        <f t="shared" si="135"/>
        <v>MATCHED</v>
      </c>
    </row>
    <row r="2138" spans="1:11">
      <c r="A2138" t="s">
        <v>110</v>
      </c>
      <c r="B2138" t="s">
        <v>1459</v>
      </c>
      <c r="C2138" t="s">
        <v>830</v>
      </c>
      <c r="D2138" t="s">
        <v>831</v>
      </c>
      <c r="E2138" s="8">
        <v>1760</v>
      </c>
      <c r="F2138" s="8">
        <v>76110</v>
      </c>
      <c r="G2138" s="8">
        <f t="shared" si="132"/>
        <v>133953600</v>
      </c>
      <c r="H2138" s="5">
        <v>0.8276</v>
      </c>
      <c r="I2138" s="8">
        <f t="shared" si="133"/>
        <v>133953600</v>
      </c>
      <c r="J2138" s="8">
        <f t="shared" si="134"/>
        <v>110859999.36</v>
      </c>
      <c r="K2138" t="str">
        <f t="shared" si="135"/>
        <v>MATCHED</v>
      </c>
    </row>
    <row r="2139" spans="1:11">
      <c r="A2139" t="s">
        <v>110</v>
      </c>
      <c r="B2139" t="s">
        <v>1459</v>
      </c>
      <c r="C2139" t="s">
        <v>832</v>
      </c>
      <c r="D2139" t="s">
        <v>833</v>
      </c>
      <c r="E2139" s="8">
        <v>3350</v>
      </c>
      <c r="F2139" s="8">
        <v>84220</v>
      </c>
      <c r="G2139" s="8">
        <f t="shared" si="132"/>
        <v>282137000</v>
      </c>
      <c r="H2139" s="5">
        <v>0.6827</v>
      </c>
      <c r="I2139" s="8">
        <f t="shared" si="133"/>
        <v>282137000</v>
      </c>
      <c r="J2139" s="8">
        <f t="shared" si="134"/>
        <v>192614929.9</v>
      </c>
      <c r="K2139" t="str">
        <f t="shared" si="135"/>
        <v>MATCHED</v>
      </c>
    </row>
    <row r="2140" spans="1:11">
      <c r="A2140" t="s">
        <v>110</v>
      </c>
      <c r="B2140" t="s">
        <v>1459</v>
      </c>
      <c r="C2140" t="s">
        <v>299</v>
      </c>
      <c r="D2140" t="s">
        <v>300</v>
      </c>
      <c r="E2140" s="8">
        <v>3500</v>
      </c>
      <c r="F2140" s="8">
        <v>84260</v>
      </c>
      <c r="G2140" s="8">
        <f t="shared" si="132"/>
        <v>294910000</v>
      </c>
      <c r="H2140" s="5">
        <v>0.7425</v>
      </c>
      <c r="I2140" s="8">
        <f t="shared" si="133"/>
        <v>294910000</v>
      </c>
      <c r="J2140" s="8">
        <f t="shared" si="134"/>
        <v>218970675</v>
      </c>
      <c r="K2140" t="str">
        <f t="shared" si="135"/>
        <v>MATCHED</v>
      </c>
    </row>
    <row r="2141" spans="1:11">
      <c r="A2141" t="s">
        <v>110</v>
      </c>
      <c r="B2141" t="s">
        <v>1459</v>
      </c>
      <c r="C2141" t="s">
        <v>554</v>
      </c>
      <c r="D2141" t="s">
        <v>555</v>
      </c>
      <c r="E2141" s="8">
        <v>420</v>
      </c>
      <c r="F2141" s="8">
        <v>83870</v>
      </c>
      <c r="G2141" s="8">
        <f t="shared" si="132"/>
        <v>35225400</v>
      </c>
      <c r="H2141" s="5">
        <v>0.6031</v>
      </c>
      <c r="I2141" s="8">
        <f t="shared" si="133"/>
        <v>35225400</v>
      </c>
      <c r="J2141" s="8">
        <f t="shared" si="134"/>
        <v>21244438.74</v>
      </c>
      <c r="K2141" t="str">
        <f t="shared" si="135"/>
        <v>MATCHED</v>
      </c>
    </row>
    <row r="2142" spans="1:11">
      <c r="A2142" t="s">
        <v>110</v>
      </c>
      <c r="B2142" t="s">
        <v>1459</v>
      </c>
      <c r="C2142" t="s">
        <v>1156</v>
      </c>
      <c r="D2142" t="s">
        <v>1157</v>
      </c>
      <c r="E2142" s="8">
        <v>110</v>
      </c>
      <c r="F2142" s="8">
        <v>152020</v>
      </c>
      <c r="G2142" s="8">
        <f t="shared" si="132"/>
        <v>16722200</v>
      </c>
      <c r="H2142" s="5">
        <v>0.7282</v>
      </c>
      <c r="I2142" s="8">
        <f t="shared" si="133"/>
        <v>16722200</v>
      </c>
      <c r="J2142" s="8">
        <f t="shared" si="134"/>
        <v>12177106.04</v>
      </c>
      <c r="K2142" t="str">
        <f t="shared" si="135"/>
        <v>MATCHED</v>
      </c>
    </row>
    <row r="2143" spans="1:11">
      <c r="A2143" t="s">
        <v>110</v>
      </c>
      <c r="B2143" t="s">
        <v>1459</v>
      </c>
      <c r="C2143" t="s">
        <v>556</v>
      </c>
      <c r="D2143" t="s">
        <v>557</v>
      </c>
      <c r="E2143" s="8">
        <v>1850</v>
      </c>
      <c r="F2143" s="8">
        <v>118770</v>
      </c>
      <c r="G2143" s="8">
        <f t="shared" si="132"/>
        <v>219724500</v>
      </c>
      <c r="H2143" s="5">
        <v>0.8228</v>
      </c>
      <c r="I2143" s="8">
        <f t="shared" si="133"/>
        <v>219724500</v>
      </c>
      <c r="J2143" s="8">
        <f t="shared" si="134"/>
        <v>180789318.6</v>
      </c>
      <c r="K2143" t="str">
        <f t="shared" si="135"/>
        <v>MATCHED</v>
      </c>
    </row>
    <row r="2144" spans="1:11">
      <c r="A2144" t="s">
        <v>110</v>
      </c>
      <c r="B2144" t="s">
        <v>1459</v>
      </c>
      <c r="C2144" t="s">
        <v>834</v>
      </c>
      <c r="D2144" t="s">
        <v>835</v>
      </c>
      <c r="E2144" s="8">
        <v>120</v>
      </c>
      <c r="F2144" s="8">
        <v>78630</v>
      </c>
      <c r="G2144" s="8">
        <f t="shared" si="132"/>
        <v>9435600</v>
      </c>
      <c r="H2144" s="5">
        <v>0.5375</v>
      </c>
      <c r="I2144" s="8">
        <f t="shared" si="133"/>
        <v>9435600</v>
      </c>
      <c r="J2144" s="8">
        <f t="shared" si="134"/>
        <v>5071635</v>
      </c>
      <c r="K2144" t="str">
        <f t="shared" si="135"/>
        <v>MATCHED</v>
      </c>
    </row>
    <row r="2145" spans="1:11">
      <c r="A2145" t="s">
        <v>110</v>
      </c>
      <c r="B2145" t="s">
        <v>1459</v>
      </c>
      <c r="C2145" t="s">
        <v>936</v>
      </c>
      <c r="D2145" t="s">
        <v>937</v>
      </c>
      <c r="E2145" s="8">
        <v>180</v>
      </c>
      <c r="F2145" s="8">
        <v>68390</v>
      </c>
      <c r="G2145" s="8">
        <f t="shared" si="132"/>
        <v>12310200</v>
      </c>
      <c r="H2145" s="5">
        <v>0.3342</v>
      </c>
      <c r="I2145" s="8">
        <f t="shared" si="133"/>
        <v>12310200</v>
      </c>
      <c r="J2145" s="8">
        <f t="shared" si="134"/>
        <v>4114068.84</v>
      </c>
      <c r="K2145" t="str">
        <f t="shared" si="135"/>
        <v>MATCHED</v>
      </c>
    </row>
    <row r="2146" spans="1:11">
      <c r="A2146" t="s">
        <v>110</v>
      </c>
      <c r="B2146" t="s">
        <v>1459</v>
      </c>
      <c r="C2146" t="s">
        <v>568</v>
      </c>
      <c r="D2146" t="s">
        <v>569</v>
      </c>
      <c r="E2146" s="8"/>
      <c r="F2146" s="8">
        <v>108620</v>
      </c>
      <c r="G2146" s="8" t="str">
        <f t="shared" si="132"/>
        <v/>
      </c>
      <c r="H2146" s="5">
        <v>0.4536</v>
      </c>
      <c r="I2146" s="8" t="str">
        <f t="shared" si="133"/>
        <v/>
      </c>
      <c r="J2146" s="8" t="str">
        <f t="shared" si="134"/>
        <v/>
      </c>
      <c r="K2146" t="str">
        <f t="shared" si="135"/>
        <v>MISSING OEWS</v>
      </c>
    </row>
    <row r="2147" spans="1:11">
      <c r="A2147" t="s">
        <v>110</v>
      </c>
      <c r="B2147" t="s">
        <v>1459</v>
      </c>
      <c r="C2147" t="s">
        <v>301</v>
      </c>
      <c r="D2147" t="s">
        <v>302</v>
      </c>
      <c r="E2147" s="8">
        <v>830</v>
      </c>
      <c r="F2147" s="8">
        <v>99900</v>
      </c>
      <c r="G2147" s="8">
        <f t="shared" si="132"/>
        <v>82917000</v>
      </c>
      <c r="H2147" s="5">
        <v>0.4786</v>
      </c>
      <c r="I2147" s="8">
        <f t="shared" si="133"/>
        <v>82917000</v>
      </c>
      <c r="J2147" s="8">
        <f t="shared" si="134"/>
        <v>39684076.2</v>
      </c>
      <c r="K2147" t="str">
        <f t="shared" si="135"/>
        <v>MATCHED</v>
      </c>
    </row>
    <row r="2148" spans="1:11">
      <c r="A2148" t="s">
        <v>110</v>
      </c>
      <c r="B2148" t="s">
        <v>1459</v>
      </c>
      <c r="C2148" t="s">
        <v>576</v>
      </c>
      <c r="D2148" t="s">
        <v>577</v>
      </c>
      <c r="E2148" s="8">
        <v>150</v>
      </c>
      <c r="F2148" s="8">
        <v>111970</v>
      </c>
      <c r="G2148" s="8">
        <f t="shared" si="132"/>
        <v>16795500</v>
      </c>
      <c r="H2148" s="5">
        <v>0.3008</v>
      </c>
      <c r="I2148" s="8">
        <f t="shared" si="133"/>
        <v>16795500</v>
      </c>
      <c r="J2148" s="8">
        <f t="shared" si="134"/>
        <v>5052086.4</v>
      </c>
      <c r="K2148" t="str">
        <f t="shared" si="135"/>
        <v>MATCHED</v>
      </c>
    </row>
    <row r="2149" spans="1:11">
      <c r="A2149" t="s">
        <v>110</v>
      </c>
      <c r="B2149" t="s">
        <v>1459</v>
      </c>
      <c r="C2149" t="s">
        <v>582</v>
      </c>
      <c r="D2149" t="s">
        <v>583</v>
      </c>
      <c r="E2149" s="8">
        <v>400</v>
      </c>
      <c r="F2149" s="8">
        <v>110170</v>
      </c>
      <c r="G2149" s="8">
        <f t="shared" si="132"/>
        <v>44068000</v>
      </c>
      <c r="H2149" s="5">
        <v>0.315</v>
      </c>
      <c r="I2149" s="8">
        <f t="shared" si="133"/>
        <v>44068000</v>
      </c>
      <c r="J2149" s="8">
        <f t="shared" si="134"/>
        <v>13881420</v>
      </c>
      <c r="K2149" t="str">
        <f t="shared" si="135"/>
        <v>MATCHED</v>
      </c>
    </row>
    <row r="2150" spans="1:11">
      <c r="A2150" t="s">
        <v>110</v>
      </c>
      <c r="B2150" t="s">
        <v>1459</v>
      </c>
      <c r="C2150" t="s">
        <v>584</v>
      </c>
      <c r="D2150" t="s">
        <v>585</v>
      </c>
      <c r="E2150" s="8">
        <v>750</v>
      </c>
      <c r="F2150" s="8">
        <v>59870</v>
      </c>
      <c r="G2150" s="8">
        <f t="shared" si="132"/>
        <v>44902500</v>
      </c>
      <c r="H2150" s="5">
        <v>0.7</v>
      </c>
      <c r="I2150" s="8">
        <f t="shared" si="133"/>
        <v>44902500</v>
      </c>
      <c r="J2150" s="8">
        <f t="shared" si="134"/>
        <v>31431750</v>
      </c>
      <c r="K2150" t="str">
        <f t="shared" si="135"/>
        <v>MATCHED</v>
      </c>
    </row>
    <row r="2151" spans="1:11">
      <c r="A2151" t="s">
        <v>110</v>
      </c>
      <c r="B2151" t="s">
        <v>1459</v>
      </c>
      <c r="C2151" t="s">
        <v>586</v>
      </c>
      <c r="D2151" t="s">
        <v>587</v>
      </c>
      <c r="E2151" s="8">
        <v>200</v>
      </c>
      <c r="F2151" s="8">
        <v>56520</v>
      </c>
      <c r="G2151" s="8">
        <f t="shared" si="132"/>
        <v>11304000</v>
      </c>
      <c r="H2151" s="5">
        <v>0.71</v>
      </c>
      <c r="I2151" s="8">
        <f t="shared" si="133"/>
        <v>11304000</v>
      </c>
      <c r="J2151" s="8">
        <f t="shared" si="134"/>
        <v>8025840</v>
      </c>
      <c r="K2151" t="str">
        <f t="shared" si="135"/>
        <v>MATCHED</v>
      </c>
    </row>
    <row r="2152" spans="1:11">
      <c r="A2152" t="s">
        <v>110</v>
      </c>
      <c r="B2152" t="s">
        <v>1459</v>
      </c>
      <c r="C2152" t="s">
        <v>588</v>
      </c>
      <c r="D2152" t="s">
        <v>589</v>
      </c>
      <c r="E2152" s="8">
        <v>140</v>
      </c>
      <c r="F2152" s="8">
        <v>66750</v>
      </c>
      <c r="G2152" s="8">
        <f t="shared" si="132"/>
        <v>9345000</v>
      </c>
      <c r="H2152" s="5"/>
      <c r="I2152" s="8" t="str">
        <f t="shared" si="133"/>
        <v/>
      </c>
      <c r="J2152" s="8" t="str">
        <f t="shared" si="134"/>
        <v/>
      </c>
      <c r="K2152" t="str">
        <f t="shared" si="135"/>
        <v>MISSING WHARTON</v>
      </c>
    </row>
    <row r="2153" spans="1:11">
      <c r="A2153" t="s">
        <v>110</v>
      </c>
      <c r="B2153" t="s">
        <v>1459</v>
      </c>
      <c r="C2153" t="s">
        <v>307</v>
      </c>
      <c r="D2153" t="s">
        <v>308</v>
      </c>
      <c r="E2153" s="8">
        <v>250</v>
      </c>
      <c r="F2153" s="8">
        <v>72160</v>
      </c>
      <c r="G2153" s="8">
        <f t="shared" si="132"/>
        <v>18040000</v>
      </c>
      <c r="H2153" s="5">
        <v>0.0519</v>
      </c>
      <c r="I2153" s="8">
        <f t="shared" si="133"/>
        <v>18040000</v>
      </c>
      <c r="J2153" s="8">
        <f t="shared" si="134"/>
        <v>936276</v>
      </c>
      <c r="K2153" t="str">
        <f t="shared" si="135"/>
        <v>MATCHED</v>
      </c>
    </row>
    <row r="2154" spans="1:11">
      <c r="A2154" t="s">
        <v>110</v>
      </c>
      <c r="B2154" t="s">
        <v>1459</v>
      </c>
      <c r="C2154" t="s">
        <v>608</v>
      </c>
      <c r="D2154" t="s">
        <v>609</v>
      </c>
      <c r="E2154" s="8">
        <v>170</v>
      </c>
      <c r="F2154" s="8">
        <v>92960</v>
      </c>
      <c r="G2154" s="8">
        <f t="shared" si="132"/>
        <v>15803200</v>
      </c>
      <c r="H2154" s="5">
        <v>0.1808</v>
      </c>
      <c r="I2154" s="8">
        <f t="shared" si="133"/>
        <v>15803200</v>
      </c>
      <c r="J2154" s="8">
        <f t="shared" si="134"/>
        <v>2857218.56</v>
      </c>
      <c r="K2154" t="str">
        <f t="shared" si="135"/>
        <v>MATCHED</v>
      </c>
    </row>
    <row r="2155" spans="1:11">
      <c r="A2155" t="s">
        <v>110</v>
      </c>
      <c r="B2155" t="s">
        <v>1459</v>
      </c>
      <c r="C2155" t="s">
        <v>313</v>
      </c>
      <c r="D2155" t="s">
        <v>314</v>
      </c>
      <c r="E2155" s="8">
        <v>300</v>
      </c>
      <c r="F2155" s="8">
        <v>50750</v>
      </c>
      <c r="G2155" s="8">
        <f t="shared" si="132"/>
        <v>15225000</v>
      </c>
      <c r="H2155" s="5">
        <v>0.374</v>
      </c>
      <c r="I2155" s="8">
        <f t="shared" si="133"/>
        <v>15225000</v>
      </c>
      <c r="J2155" s="8">
        <f t="shared" si="134"/>
        <v>5694150</v>
      </c>
      <c r="K2155" t="str">
        <f t="shared" si="135"/>
        <v>MATCHED</v>
      </c>
    </row>
    <row r="2156" spans="1:11">
      <c r="A2156" t="s">
        <v>110</v>
      </c>
      <c r="B2156" t="s">
        <v>1459</v>
      </c>
      <c r="C2156" t="s">
        <v>315</v>
      </c>
      <c r="D2156" t="s">
        <v>316</v>
      </c>
      <c r="E2156" s="8">
        <v>30</v>
      </c>
      <c r="F2156" s="8">
        <v>65720</v>
      </c>
      <c r="G2156" s="8">
        <f t="shared" si="132"/>
        <v>1971600</v>
      </c>
      <c r="H2156" s="5">
        <v>0.2969</v>
      </c>
      <c r="I2156" s="8">
        <f t="shared" si="133"/>
        <v>1971600</v>
      </c>
      <c r="J2156" s="8">
        <f t="shared" si="134"/>
        <v>585368.04</v>
      </c>
      <c r="K2156" t="str">
        <f t="shared" si="135"/>
        <v>MATCHED</v>
      </c>
    </row>
    <row r="2157" spans="1:11">
      <c r="A2157" t="s">
        <v>110</v>
      </c>
      <c r="B2157" t="s">
        <v>1459</v>
      </c>
      <c r="C2157" t="s">
        <v>624</v>
      </c>
      <c r="D2157" t="s">
        <v>625</v>
      </c>
      <c r="E2157" s="8"/>
      <c r="F2157" s="8">
        <v>57370</v>
      </c>
      <c r="G2157" s="8" t="str">
        <f t="shared" si="132"/>
        <v/>
      </c>
      <c r="H2157" s="5">
        <v>0.5519</v>
      </c>
      <c r="I2157" s="8" t="str">
        <f t="shared" si="133"/>
        <v/>
      </c>
      <c r="J2157" s="8" t="str">
        <f t="shared" si="134"/>
        <v/>
      </c>
      <c r="K2157" t="str">
        <f t="shared" si="135"/>
        <v>MISSING OEWS</v>
      </c>
    </row>
    <row r="2158" spans="1:11">
      <c r="A2158" t="s">
        <v>110</v>
      </c>
      <c r="B2158" t="s">
        <v>1459</v>
      </c>
      <c r="C2158" t="s">
        <v>319</v>
      </c>
      <c r="D2158" t="s">
        <v>320</v>
      </c>
      <c r="E2158" s="8">
        <v>560</v>
      </c>
      <c r="F2158" s="8">
        <v>71560</v>
      </c>
      <c r="G2158" s="8">
        <f t="shared" si="132"/>
        <v>40073600</v>
      </c>
      <c r="H2158" s="5">
        <v>0.2786</v>
      </c>
      <c r="I2158" s="8">
        <f t="shared" si="133"/>
        <v>40073600</v>
      </c>
      <c r="J2158" s="8">
        <f t="shared" si="134"/>
        <v>11164504.96</v>
      </c>
      <c r="K2158" t="str">
        <f t="shared" si="135"/>
        <v>MATCHED</v>
      </c>
    </row>
    <row r="2159" spans="1:11">
      <c r="A2159" t="s">
        <v>110</v>
      </c>
      <c r="B2159" t="s">
        <v>1459</v>
      </c>
      <c r="C2159" t="s">
        <v>626</v>
      </c>
      <c r="D2159" t="s">
        <v>627</v>
      </c>
      <c r="E2159" s="8">
        <v>340</v>
      </c>
      <c r="F2159" s="8">
        <v>57170</v>
      </c>
      <c r="G2159" s="8">
        <f t="shared" si="132"/>
        <v>19437800</v>
      </c>
      <c r="H2159" s="5">
        <v>0.2712</v>
      </c>
      <c r="I2159" s="8">
        <f t="shared" si="133"/>
        <v>19437800</v>
      </c>
      <c r="J2159" s="8">
        <f t="shared" si="134"/>
        <v>5271531.36</v>
      </c>
      <c r="K2159" t="str">
        <f t="shared" si="135"/>
        <v>MATCHED</v>
      </c>
    </row>
    <row r="2160" spans="1:11">
      <c r="A2160" t="s">
        <v>110</v>
      </c>
      <c r="B2160" t="s">
        <v>1459</v>
      </c>
      <c r="C2160" t="s">
        <v>1464</v>
      </c>
      <c r="D2160" t="s">
        <v>1465</v>
      </c>
      <c r="E2160" s="8">
        <v>60</v>
      </c>
      <c r="F2160" s="8">
        <v>50610</v>
      </c>
      <c r="G2160" s="8">
        <f t="shared" si="132"/>
        <v>3036600</v>
      </c>
      <c r="H2160" s="5">
        <v>0.3176</v>
      </c>
      <c r="I2160" s="8">
        <f t="shared" si="133"/>
        <v>3036600</v>
      </c>
      <c r="J2160" s="8">
        <f t="shared" si="134"/>
        <v>964424.16</v>
      </c>
      <c r="K2160" t="str">
        <f t="shared" si="135"/>
        <v>MATCHED</v>
      </c>
    </row>
    <row r="2161" spans="1:11">
      <c r="A2161" t="s">
        <v>110</v>
      </c>
      <c r="B2161" t="s">
        <v>1459</v>
      </c>
      <c r="C2161" t="s">
        <v>1466</v>
      </c>
      <c r="D2161" t="s">
        <v>1467</v>
      </c>
      <c r="E2161" s="8">
        <v>260</v>
      </c>
      <c r="F2161" s="8">
        <v>52940</v>
      </c>
      <c r="G2161" s="8">
        <f t="shared" si="132"/>
        <v>13764400</v>
      </c>
      <c r="H2161" s="5">
        <v>0.2618</v>
      </c>
      <c r="I2161" s="8">
        <f t="shared" si="133"/>
        <v>13764400</v>
      </c>
      <c r="J2161" s="8">
        <f t="shared" si="134"/>
        <v>3603519.92</v>
      </c>
      <c r="K2161" t="str">
        <f t="shared" si="135"/>
        <v>MATCHED</v>
      </c>
    </row>
    <row r="2162" spans="1:11">
      <c r="A2162" t="s">
        <v>110</v>
      </c>
      <c r="B2162" t="s">
        <v>1459</v>
      </c>
      <c r="C2162" t="s">
        <v>1468</v>
      </c>
      <c r="D2162" t="s">
        <v>1469</v>
      </c>
      <c r="E2162" s="8"/>
      <c r="F2162" s="8">
        <v>61160</v>
      </c>
      <c r="G2162" s="8" t="str">
        <f t="shared" si="132"/>
        <v/>
      </c>
      <c r="H2162" s="5"/>
      <c r="I2162" s="8" t="str">
        <f t="shared" si="133"/>
        <v/>
      </c>
      <c r="J2162" s="8" t="str">
        <f t="shared" si="134"/>
        <v/>
      </c>
      <c r="K2162" t="str">
        <f t="shared" si="135"/>
        <v>MISSING OEWS</v>
      </c>
    </row>
    <row r="2163" spans="1:11">
      <c r="A2163" t="s">
        <v>110</v>
      </c>
      <c r="B2163" t="s">
        <v>1459</v>
      </c>
      <c r="C2163" t="s">
        <v>1417</v>
      </c>
      <c r="D2163" t="s">
        <v>1418</v>
      </c>
      <c r="E2163" s="8">
        <v>210</v>
      </c>
      <c r="F2163" s="8">
        <v>60380</v>
      </c>
      <c r="G2163" s="8">
        <f t="shared" si="132"/>
        <v>12679800</v>
      </c>
      <c r="H2163" s="5">
        <v>0.2206</v>
      </c>
      <c r="I2163" s="8">
        <f t="shared" si="133"/>
        <v>12679800</v>
      </c>
      <c r="J2163" s="8">
        <f t="shared" si="134"/>
        <v>2797163.88</v>
      </c>
      <c r="K2163" t="str">
        <f t="shared" si="135"/>
        <v>MATCHED</v>
      </c>
    </row>
    <row r="2164" spans="1:11">
      <c r="A2164" t="s">
        <v>110</v>
      </c>
      <c r="B2164" t="s">
        <v>1459</v>
      </c>
      <c r="C2164" t="s">
        <v>1419</v>
      </c>
      <c r="D2164" t="s">
        <v>1420</v>
      </c>
      <c r="E2164" s="8"/>
      <c r="F2164" s="8">
        <v>88050</v>
      </c>
      <c r="G2164" s="8" t="str">
        <f t="shared" si="132"/>
        <v/>
      </c>
      <c r="H2164" s="5">
        <v>0.5875</v>
      </c>
      <c r="I2164" s="8" t="str">
        <f t="shared" si="133"/>
        <v/>
      </c>
      <c r="J2164" s="8" t="str">
        <f t="shared" si="134"/>
        <v/>
      </c>
      <c r="K2164" t="str">
        <f t="shared" si="135"/>
        <v>MISSING OEWS</v>
      </c>
    </row>
    <row r="2165" spans="1:11">
      <c r="A2165" t="s">
        <v>110</v>
      </c>
      <c r="B2165" t="s">
        <v>1459</v>
      </c>
      <c r="C2165" t="s">
        <v>940</v>
      </c>
      <c r="D2165" t="s">
        <v>941</v>
      </c>
      <c r="E2165" s="8">
        <v>570</v>
      </c>
      <c r="F2165" s="8">
        <v>52770</v>
      </c>
      <c r="G2165" s="8">
        <f t="shared" si="132"/>
        <v>30078900</v>
      </c>
      <c r="H2165" s="5">
        <v>0.4</v>
      </c>
      <c r="I2165" s="8">
        <f t="shared" si="133"/>
        <v>30078900</v>
      </c>
      <c r="J2165" s="8">
        <f t="shared" si="134"/>
        <v>12031560</v>
      </c>
      <c r="K2165" t="str">
        <f t="shared" si="135"/>
        <v>MATCHED</v>
      </c>
    </row>
    <row r="2166" spans="1:11">
      <c r="A2166" t="s">
        <v>110</v>
      </c>
      <c r="B2166" t="s">
        <v>1459</v>
      </c>
      <c r="C2166" t="s">
        <v>942</v>
      </c>
      <c r="D2166" t="s">
        <v>943</v>
      </c>
      <c r="E2166" s="8">
        <v>150</v>
      </c>
      <c r="F2166" s="8">
        <v>45300</v>
      </c>
      <c r="G2166" s="8">
        <f t="shared" si="132"/>
        <v>6795000</v>
      </c>
      <c r="H2166" s="5"/>
      <c r="I2166" s="8" t="str">
        <f t="shared" si="133"/>
        <v/>
      </c>
      <c r="J2166" s="8" t="str">
        <f t="shared" si="134"/>
        <v/>
      </c>
      <c r="K2166" t="str">
        <f t="shared" si="135"/>
        <v>MISSING WHARTON</v>
      </c>
    </row>
    <row r="2167" spans="1:11">
      <c r="A2167" t="s">
        <v>110</v>
      </c>
      <c r="B2167" t="s">
        <v>1459</v>
      </c>
      <c r="C2167" t="s">
        <v>628</v>
      </c>
      <c r="D2167" t="s">
        <v>629</v>
      </c>
      <c r="E2167" s="8">
        <v>840</v>
      </c>
      <c r="F2167" s="8">
        <v>228940</v>
      </c>
      <c r="G2167" s="8">
        <f t="shared" si="132"/>
        <v>192309600</v>
      </c>
      <c r="H2167" s="5">
        <v>0.45</v>
      </c>
      <c r="I2167" s="8">
        <f t="shared" si="133"/>
        <v>192309600</v>
      </c>
      <c r="J2167" s="8">
        <f t="shared" si="134"/>
        <v>86539320</v>
      </c>
      <c r="K2167" t="str">
        <f t="shared" si="135"/>
        <v>MATCHED</v>
      </c>
    </row>
    <row r="2168" spans="1:11">
      <c r="A2168" t="s">
        <v>110</v>
      </c>
      <c r="B2168" t="s">
        <v>1459</v>
      </c>
      <c r="C2168" t="s">
        <v>630</v>
      </c>
      <c r="D2168" t="s">
        <v>631</v>
      </c>
      <c r="E2168" s="8">
        <v>170</v>
      </c>
      <c r="F2168" s="8">
        <v>81770</v>
      </c>
      <c r="G2168" s="8">
        <f t="shared" si="132"/>
        <v>13900900</v>
      </c>
      <c r="H2168" s="5">
        <v>0.5917</v>
      </c>
      <c r="I2168" s="8">
        <f t="shared" si="133"/>
        <v>13900900</v>
      </c>
      <c r="J2168" s="8">
        <f t="shared" si="134"/>
        <v>8225162.53</v>
      </c>
      <c r="K2168" t="str">
        <f t="shared" si="135"/>
        <v>MATCHED</v>
      </c>
    </row>
    <row r="2169" spans="1:11">
      <c r="A2169" t="s">
        <v>110</v>
      </c>
      <c r="B2169" t="s">
        <v>1459</v>
      </c>
      <c r="C2169" t="s">
        <v>632</v>
      </c>
      <c r="D2169" t="s">
        <v>633</v>
      </c>
      <c r="E2169" s="8">
        <v>1510</v>
      </c>
      <c r="F2169" s="8">
        <v>46470</v>
      </c>
      <c r="G2169" s="8">
        <f t="shared" si="132"/>
        <v>70169700</v>
      </c>
      <c r="H2169" s="5">
        <v>0.8794</v>
      </c>
      <c r="I2169" s="8">
        <f t="shared" si="133"/>
        <v>70169700</v>
      </c>
      <c r="J2169" s="8">
        <f t="shared" si="134"/>
        <v>61707234.18</v>
      </c>
      <c r="K2169" t="str">
        <f t="shared" si="135"/>
        <v>MATCHED</v>
      </c>
    </row>
    <row r="2170" spans="1:11">
      <c r="A2170" t="s">
        <v>110</v>
      </c>
      <c r="B2170" t="s">
        <v>1459</v>
      </c>
      <c r="C2170" t="s">
        <v>634</v>
      </c>
      <c r="D2170" t="s">
        <v>635</v>
      </c>
      <c r="E2170" s="8">
        <v>290</v>
      </c>
      <c r="F2170" s="8">
        <v>51760</v>
      </c>
      <c r="G2170" s="8">
        <f t="shared" si="132"/>
        <v>15010400</v>
      </c>
      <c r="H2170" s="5"/>
      <c r="I2170" s="8" t="str">
        <f t="shared" si="133"/>
        <v/>
      </c>
      <c r="J2170" s="8" t="str">
        <f t="shared" si="134"/>
        <v/>
      </c>
      <c r="K2170" t="str">
        <f t="shared" si="135"/>
        <v>MISSING WHARTON</v>
      </c>
    </row>
    <row r="2171" spans="1:11">
      <c r="A2171" t="s">
        <v>110</v>
      </c>
      <c r="B2171" t="s">
        <v>1459</v>
      </c>
      <c r="C2171" t="s">
        <v>321</v>
      </c>
      <c r="D2171" t="s">
        <v>322</v>
      </c>
      <c r="E2171" s="8">
        <v>10310</v>
      </c>
      <c r="F2171" s="8">
        <v>54220</v>
      </c>
      <c r="G2171" s="8">
        <f t="shared" si="132"/>
        <v>559008200</v>
      </c>
      <c r="H2171" s="5">
        <v>0.33</v>
      </c>
      <c r="I2171" s="8">
        <f t="shared" si="133"/>
        <v>559008200</v>
      </c>
      <c r="J2171" s="8">
        <f t="shared" si="134"/>
        <v>184472706</v>
      </c>
      <c r="K2171" t="str">
        <f t="shared" si="135"/>
        <v>MATCHED</v>
      </c>
    </row>
    <row r="2172" spans="1:11">
      <c r="A2172" t="s">
        <v>110</v>
      </c>
      <c r="B2172" t="s">
        <v>1459</v>
      </c>
      <c r="C2172" t="s">
        <v>1423</v>
      </c>
      <c r="D2172" t="s">
        <v>1424</v>
      </c>
      <c r="E2172" s="8"/>
      <c r="F2172" s="8">
        <v>31880</v>
      </c>
      <c r="G2172" s="8" t="str">
        <f t="shared" si="132"/>
        <v/>
      </c>
      <c r="H2172" s="5">
        <v>0.3974</v>
      </c>
      <c r="I2172" s="8" t="str">
        <f t="shared" si="133"/>
        <v/>
      </c>
      <c r="J2172" s="8" t="str">
        <f t="shared" si="134"/>
        <v/>
      </c>
      <c r="K2172" t="str">
        <f t="shared" si="135"/>
        <v>MISSING OEWS</v>
      </c>
    </row>
    <row r="2173" spans="1:11">
      <c r="A2173" t="s">
        <v>110</v>
      </c>
      <c r="B2173" t="s">
        <v>1459</v>
      </c>
      <c r="C2173" t="s">
        <v>1470</v>
      </c>
      <c r="D2173" t="s">
        <v>1471</v>
      </c>
      <c r="E2173" s="8">
        <v>160</v>
      </c>
      <c r="F2173" s="8">
        <v>96530</v>
      </c>
      <c r="G2173" s="8">
        <f t="shared" si="132"/>
        <v>15444800</v>
      </c>
      <c r="H2173" s="5">
        <v>0.4154</v>
      </c>
      <c r="I2173" s="8">
        <f t="shared" si="133"/>
        <v>15444800</v>
      </c>
      <c r="J2173" s="8">
        <f t="shared" si="134"/>
        <v>6415769.92</v>
      </c>
      <c r="K2173" t="str">
        <f t="shared" si="135"/>
        <v>MATCHED</v>
      </c>
    </row>
    <row r="2174" spans="1:11">
      <c r="A2174" t="s">
        <v>110</v>
      </c>
      <c r="B2174" t="s">
        <v>1459</v>
      </c>
      <c r="C2174" t="s">
        <v>1425</v>
      </c>
      <c r="D2174" t="s">
        <v>1426</v>
      </c>
      <c r="E2174" s="8">
        <v>80</v>
      </c>
      <c r="F2174" s="8">
        <v>57020</v>
      </c>
      <c r="G2174" s="8">
        <f t="shared" si="132"/>
        <v>4561600</v>
      </c>
      <c r="H2174" s="5">
        <v>0.2833</v>
      </c>
      <c r="I2174" s="8">
        <f t="shared" si="133"/>
        <v>4561600</v>
      </c>
      <c r="J2174" s="8">
        <f t="shared" si="134"/>
        <v>1292301.28</v>
      </c>
      <c r="K2174" t="str">
        <f t="shared" si="135"/>
        <v>MATCHED</v>
      </c>
    </row>
    <row r="2175" spans="1:11">
      <c r="A2175" t="s">
        <v>110</v>
      </c>
      <c r="B2175" t="s">
        <v>1459</v>
      </c>
      <c r="C2175" t="s">
        <v>1472</v>
      </c>
      <c r="D2175" t="s">
        <v>1473</v>
      </c>
      <c r="E2175" s="8"/>
      <c r="F2175" s="8">
        <v>66270</v>
      </c>
      <c r="G2175" s="8" t="str">
        <f t="shared" si="132"/>
        <v/>
      </c>
      <c r="H2175" s="5">
        <v>0.1808</v>
      </c>
      <c r="I2175" s="8" t="str">
        <f t="shared" si="133"/>
        <v/>
      </c>
      <c r="J2175" s="8" t="str">
        <f t="shared" si="134"/>
        <v/>
      </c>
      <c r="K2175" t="str">
        <f t="shared" si="135"/>
        <v>MISSING OEWS</v>
      </c>
    </row>
    <row r="2176" spans="1:11">
      <c r="A2176" t="s">
        <v>110</v>
      </c>
      <c r="B2176" t="s">
        <v>1459</v>
      </c>
      <c r="C2176" t="s">
        <v>1184</v>
      </c>
      <c r="D2176" t="s">
        <v>1185</v>
      </c>
      <c r="E2176" s="8">
        <v>30</v>
      </c>
      <c r="F2176" s="8">
        <v>63940</v>
      </c>
      <c r="G2176" s="8">
        <f t="shared" si="132"/>
        <v>1918200</v>
      </c>
      <c r="H2176" s="5">
        <v>0.4167</v>
      </c>
      <c r="I2176" s="8">
        <f t="shared" si="133"/>
        <v>1918200</v>
      </c>
      <c r="J2176" s="8">
        <f t="shared" si="134"/>
        <v>799313.94</v>
      </c>
      <c r="K2176" t="str">
        <f t="shared" si="135"/>
        <v>MATCHED</v>
      </c>
    </row>
    <row r="2177" spans="1:11">
      <c r="A2177" t="s">
        <v>110</v>
      </c>
      <c r="B2177" t="s">
        <v>1459</v>
      </c>
      <c r="C2177" t="s">
        <v>946</v>
      </c>
      <c r="D2177" t="s">
        <v>947</v>
      </c>
      <c r="E2177" s="8">
        <v>1650</v>
      </c>
      <c r="F2177" s="8">
        <v>140100</v>
      </c>
      <c r="G2177" s="8">
        <f t="shared" si="132"/>
        <v>231165000</v>
      </c>
      <c r="H2177" s="5">
        <v>0.3688</v>
      </c>
      <c r="I2177" s="8">
        <f t="shared" si="133"/>
        <v>231165000</v>
      </c>
      <c r="J2177" s="8">
        <f t="shared" si="134"/>
        <v>85253652</v>
      </c>
      <c r="K2177" t="str">
        <f t="shared" si="135"/>
        <v>MATCHED</v>
      </c>
    </row>
    <row r="2178" spans="1:11">
      <c r="A2178" t="s">
        <v>110</v>
      </c>
      <c r="B2178" t="s">
        <v>1459</v>
      </c>
      <c r="C2178" t="s">
        <v>1186</v>
      </c>
      <c r="D2178" t="s">
        <v>1187</v>
      </c>
      <c r="E2178" s="8">
        <v>1060</v>
      </c>
      <c r="F2178" s="8">
        <v>45800</v>
      </c>
      <c r="G2178" s="8">
        <f t="shared" ref="G2178:G2241" si="136">IF(OR(E2178="",F2178=""),"",E2178*F2178)</f>
        <v>48548000</v>
      </c>
      <c r="H2178" s="5">
        <v>0.22</v>
      </c>
      <c r="I2178" s="8">
        <f t="shared" ref="I2178:I2241" si="137">IF(G2178="","",IF(ISNUMBER(H2178),G2178,""))</f>
        <v>48548000</v>
      </c>
      <c r="J2178" s="8">
        <f t="shared" ref="J2178:J2241" si="138">IF(I2178="","",I2178*H2178)</f>
        <v>10680560</v>
      </c>
      <c r="K2178" t="str">
        <f t="shared" ref="K2178:K2241" si="139">IF(G2178="","MISSING OEWS",IF(ISNUMBER(H2178),"MATCHED","MISSING WHARTON"))</f>
        <v>MATCHED</v>
      </c>
    </row>
    <row r="2179" spans="1:11">
      <c r="A2179" t="s">
        <v>110</v>
      </c>
      <c r="B2179" t="s">
        <v>1459</v>
      </c>
      <c r="C2179" t="s">
        <v>948</v>
      </c>
      <c r="D2179" t="s">
        <v>949</v>
      </c>
      <c r="E2179" s="8">
        <v>880</v>
      </c>
      <c r="F2179" s="8">
        <v>63620</v>
      </c>
      <c r="G2179" s="8">
        <f t="shared" si="136"/>
        <v>55985600</v>
      </c>
      <c r="H2179" s="5">
        <v>0.2281</v>
      </c>
      <c r="I2179" s="8">
        <f t="shared" si="137"/>
        <v>55985600</v>
      </c>
      <c r="J2179" s="8">
        <f t="shared" si="138"/>
        <v>12770315.36</v>
      </c>
      <c r="K2179" t="str">
        <f t="shared" si="139"/>
        <v>MATCHED</v>
      </c>
    </row>
    <row r="2180" spans="1:11">
      <c r="A2180" t="s">
        <v>110</v>
      </c>
      <c r="B2180" t="s">
        <v>1459</v>
      </c>
      <c r="C2180" t="s">
        <v>1188</v>
      </c>
      <c r="D2180" t="s">
        <v>1189</v>
      </c>
      <c r="E2180" s="8"/>
      <c r="F2180" s="8">
        <v>62880</v>
      </c>
      <c r="G2180" s="8" t="str">
        <f t="shared" si="136"/>
        <v/>
      </c>
      <c r="H2180" s="5">
        <v>0.7071</v>
      </c>
      <c r="I2180" s="8" t="str">
        <f t="shared" si="137"/>
        <v/>
      </c>
      <c r="J2180" s="8" t="str">
        <f t="shared" si="138"/>
        <v/>
      </c>
      <c r="K2180" t="str">
        <f t="shared" si="139"/>
        <v>MISSING OEWS</v>
      </c>
    </row>
    <row r="2181" spans="1:11">
      <c r="A2181" t="s">
        <v>110</v>
      </c>
      <c r="B2181" t="s">
        <v>1459</v>
      </c>
      <c r="C2181" t="s">
        <v>950</v>
      </c>
      <c r="D2181" t="s">
        <v>951</v>
      </c>
      <c r="E2181" s="8">
        <v>310</v>
      </c>
      <c r="F2181" s="8">
        <v>39730</v>
      </c>
      <c r="G2181" s="8">
        <f t="shared" si="136"/>
        <v>12316300</v>
      </c>
      <c r="H2181" s="5"/>
      <c r="I2181" s="8" t="str">
        <f t="shared" si="137"/>
        <v/>
      </c>
      <c r="J2181" s="8" t="str">
        <f t="shared" si="138"/>
        <v/>
      </c>
      <c r="K2181" t="str">
        <f t="shared" si="139"/>
        <v>MISSING WHARTON</v>
      </c>
    </row>
    <row r="2182" spans="1:11">
      <c r="A2182" t="s">
        <v>110</v>
      </c>
      <c r="B2182" t="s">
        <v>1459</v>
      </c>
      <c r="C2182" t="s">
        <v>952</v>
      </c>
      <c r="D2182" t="s">
        <v>953</v>
      </c>
      <c r="E2182" s="8">
        <v>1610</v>
      </c>
      <c r="F2182" s="8">
        <v>72400</v>
      </c>
      <c r="G2182" s="8">
        <f t="shared" si="136"/>
        <v>116564000</v>
      </c>
      <c r="H2182" s="5">
        <v>0.3029</v>
      </c>
      <c r="I2182" s="8">
        <f t="shared" si="137"/>
        <v>116564000</v>
      </c>
      <c r="J2182" s="8">
        <f t="shared" si="138"/>
        <v>35307235.6</v>
      </c>
      <c r="K2182" t="str">
        <f t="shared" si="139"/>
        <v>MATCHED</v>
      </c>
    </row>
    <row r="2183" spans="1:11">
      <c r="A2183" t="s">
        <v>110</v>
      </c>
      <c r="B2183" t="s">
        <v>1459</v>
      </c>
      <c r="C2183" t="s">
        <v>1190</v>
      </c>
      <c r="D2183" t="s">
        <v>1191</v>
      </c>
      <c r="E2183" s="8">
        <v>6500</v>
      </c>
      <c r="F2183" s="8">
        <v>65140</v>
      </c>
      <c r="G2183" s="8">
        <f t="shared" si="136"/>
        <v>423410000</v>
      </c>
      <c r="H2183" s="5">
        <v>0.1875</v>
      </c>
      <c r="I2183" s="8">
        <f t="shared" si="137"/>
        <v>423410000</v>
      </c>
      <c r="J2183" s="8">
        <f t="shared" si="138"/>
        <v>79389375</v>
      </c>
      <c r="K2183" t="str">
        <f t="shared" si="139"/>
        <v>MATCHED</v>
      </c>
    </row>
    <row r="2184" spans="1:11">
      <c r="A2184" t="s">
        <v>110</v>
      </c>
      <c r="B2184" t="s">
        <v>1459</v>
      </c>
      <c r="C2184" t="s">
        <v>1192</v>
      </c>
      <c r="D2184" t="s">
        <v>1193</v>
      </c>
      <c r="E2184" s="8">
        <v>36330</v>
      </c>
      <c r="F2184" s="8">
        <v>39240</v>
      </c>
      <c r="G2184" s="8">
        <f t="shared" si="136"/>
        <v>1425589200</v>
      </c>
      <c r="H2184" s="5">
        <v>0.1188</v>
      </c>
      <c r="I2184" s="8">
        <f t="shared" si="137"/>
        <v>1425589200</v>
      </c>
      <c r="J2184" s="8">
        <f t="shared" si="138"/>
        <v>169359996.96</v>
      </c>
      <c r="K2184" t="str">
        <f t="shared" si="139"/>
        <v>MATCHED</v>
      </c>
    </row>
    <row r="2185" spans="1:11">
      <c r="A2185" t="s">
        <v>110</v>
      </c>
      <c r="B2185" t="s">
        <v>1459</v>
      </c>
      <c r="C2185" t="s">
        <v>858</v>
      </c>
      <c r="D2185" t="s">
        <v>859</v>
      </c>
      <c r="E2185" s="8">
        <v>8360</v>
      </c>
      <c r="F2185" s="8">
        <v>59230</v>
      </c>
      <c r="G2185" s="8">
        <f t="shared" si="136"/>
        <v>495162800</v>
      </c>
      <c r="H2185" s="5">
        <v>0.7375</v>
      </c>
      <c r="I2185" s="8">
        <f t="shared" si="137"/>
        <v>495162800</v>
      </c>
      <c r="J2185" s="8">
        <f t="shared" si="138"/>
        <v>365182565</v>
      </c>
      <c r="K2185" t="str">
        <f t="shared" si="139"/>
        <v>MATCHED</v>
      </c>
    </row>
    <row r="2186" spans="1:11">
      <c r="A2186" t="s">
        <v>110</v>
      </c>
      <c r="B2186" t="s">
        <v>1459</v>
      </c>
      <c r="C2186" t="s">
        <v>954</v>
      </c>
      <c r="D2186" t="s">
        <v>955</v>
      </c>
      <c r="E2186" s="8">
        <v>11920</v>
      </c>
      <c r="F2186" s="8">
        <v>58260</v>
      </c>
      <c r="G2186" s="8">
        <f t="shared" si="136"/>
        <v>694459200</v>
      </c>
      <c r="H2186" s="5">
        <v>0.3133</v>
      </c>
      <c r="I2186" s="8">
        <f t="shared" si="137"/>
        <v>694459200</v>
      </c>
      <c r="J2186" s="8">
        <f t="shared" si="138"/>
        <v>217574067.36</v>
      </c>
      <c r="K2186" t="str">
        <f t="shared" si="139"/>
        <v>MATCHED</v>
      </c>
    </row>
    <row r="2187" spans="1:11">
      <c r="A2187" t="s">
        <v>110</v>
      </c>
      <c r="B2187" t="s">
        <v>1459</v>
      </c>
      <c r="C2187" t="s">
        <v>956</v>
      </c>
      <c r="D2187" t="s">
        <v>957</v>
      </c>
      <c r="E2187" s="8">
        <v>57770</v>
      </c>
      <c r="F2187" s="8">
        <v>43180</v>
      </c>
      <c r="G2187" s="8">
        <f t="shared" si="136"/>
        <v>2494508600</v>
      </c>
      <c r="H2187" s="5">
        <v>0.038</v>
      </c>
      <c r="I2187" s="8">
        <f t="shared" si="137"/>
        <v>2494508600</v>
      </c>
      <c r="J2187" s="8">
        <f t="shared" si="138"/>
        <v>94791326.8</v>
      </c>
      <c r="K2187" t="str">
        <f t="shared" si="139"/>
        <v>MATCHED</v>
      </c>
    </row>
    <row r="2188" spans="1:11">
      <c r="A2188" t="s">
        <v>110</v>
      </c>
      <c r="B2188" t="s">
        <v>1459</v>
      </c>
      <c r="C2188" t="s">
        <v>958</v>
      </c>
      <c r="D2188" t="s">
        <v>959</v>
      </c>
      <c r="E2188" s="8">
        <v>760</v>
      </c>
      <c r="F2188" s="8">
        <v>64930</v>
      </c>
      <c r="G2188" s="8">
        <f t="shared" si="136"/>
        <v>49346800</v>
      </c>
      <c r="H2188" s="5"/>
      <c r="I2188" s="8" t="str">
        <f t="shared" si="137"/>
        <v/>
      </c>
      <c r="J2188" s="8" t="str">
        <f t="shared" si="138"/>
        <v/>
      </c>
      <c r="K2188" t="str">
        <f t="shared" si="139"/>
        <v>MISSING WHARTON</v>
      </c>
    </row>
    <row r="2189" spans="1:11">
      <c r="A2189" t="s">
        <v>110</v>
      </c>
      <c r="B2189" t="s">
        <v>1459</v>
      </c>
      <c r="C2189" t="s">
        <v>1474</v>
      </c>
      <c r="D2189" t="s">
        <v>1475</v>
      </c>
      <c r="E2189" s="8"/>
      <c r="F2189" s="8"/>
      <c r="G2189" s="8" t="str">
        <f t="shared" si="136"/>
        <v/>
      </c>
      <c r="H2189" s="5">
        <v>0.1</v>
      </c>
      <c r="I2189" s="8" t="str">
        <f t="shared" si="137"/>
        <v/>
      </c>
      <c r="J2189" s="8" t="str">
        <f t="shared" si="138"/>
        <v/>
      </c>
      <c r="K2189" t="str">
        <f t="shared" si="139"/>
        <v>MISSING OEWS</v>
      </c>
    </row>
    <row r="2190" spans="1:11">
      <c r="A2190" t="s">
        <v>110</v>
      </c>
      <c r="B2190" t="s">
        <v>1459</v>
      </c>
      <c r="C2190" t="s">
        <v>960</v>
      </c>
      <c r="D2190" t="s">
        <v>961</v>
      </c>
      <c r="E2190" s="8">
        <v>270</v>
      </c>
      <c r="F2190" s="8">
        <v>110990</v>
      </c>
      <c r="G2190" s="8">
        <f t="shared" si="136"/>
        <v>29967300</v>
      </c>
      <c r="H2190" s="5">
        <v>0.3463</v>
      </c>
      <c r="I2190" s="8">
        <f t="shared" si="137"/>
        <v>29967300</v>
      </c>
      <c r="J2190" s="8">
        <f t="shared" si="138"/>
        <v>10377675.99</v>
      </c>
      <c r="K2190" t="str">
        <f t="shared" si="139"/>
        <v>MATCHED</v>
      </c>
    </row>
    <row r="2191" spans="1:11">
      <c r="A2191" t="s">
        <v>110</v>
      </c>
      <c r="B2191" t="s">
        <v>1459</v>
      </c>
      <c r="C2191" t="s">
        <v>1476</v>
      </c>
      <c r="D2191" t="s">
        <v>1477</v>
      </c>
      <c r="E2191" s="8">
        <v>100</v>
      </c>
      <c r="F2191" s="8"/>
      <c r="G2191" s="8" t="str">
        <f t="shared" si="136"/>
        <v/>
      </c>
      <c r="H2191" s="5">
        <v>0.2018</v>
      </c>
      <c r="I2191" s="8" t="str">
        <f t="shared" si="137"/>
        <v/>
      </c>
      <c r="J2191" s="8" t="str">
        <f t="shared" si="138"/>
        <v/>
      </c>
      <c r="K2191" t="str">
        <f t="shared" si="139"/>
        <v>MISSING OEWS</v>
      </c>
    </row>
    <row r="2192" spans="1:11">
      <c r="A2192" t="s">
        <v>110</v>
      </c>
      <c r="B2192" t="s">
        <v>1459</v>
      </c>
      <c r="C2192" t="s">
        <v>1478</v>
      </c>
      <c r="D2192" t="s">
        <v>1479</v>
      </c>
      <c r="E2192" s="8">
        <v>150</v>
      </c>
      <c r="F2192" s="8"/>
      <c r="G2192" s="8" t="str">
        <f t="shared" si="136"/>
        <v/>
      </c>
      <c r="H2192" s="5">
        <v>0.1733</v>
      </c>
      <c r="I2192" s="8" t="str">
        <f t="shared" si="137"/>
        <v/>
      </c>
      <c r="J2192" s="8" t="str">
        <f t="shared" si="138"/>
        <v/>
      </c>
      <c r="K2192" t="str">
        <f t="shared" si="139"/>
        <v>MISSING OEWS</v>
      </c>
    </row>
    <row r="2193" spans="1:11">
      <c r="A2193" t="s">
        <v>110</v>
      </c>
      <c r="B2193" t="s">
        <v>1459</v>
      </c>
      <c r="C2193" t="s">
        <v>1480</v>
      </c>
      <c r="D2193" t="s">
        <v>1481</v>
      </c>
      <c r="E2193" s="8"/>
      <c r="F2193" s="8">
        <v>110550</v>
      </c>
      <c r="G2193" s="8" t="str">
        <f t="shared" si="136"/>
        <v/>
      </c>
      <c r="H2193" s="5">
        <v>0.7021</v>
      </c>
      <c r="I2193" s="8" t="str">
        <f t="shared" si="137"/>
        <v/>
      </c>
      <c r="J2193" s="8" t="str">
        <f t="shared" si="138"/>
        <v/>
      </c>
      <c r="K2193" t="str">
        <f t="shared" si="139"/>
        <v>MISSING OEWS</v>
      </c>
    </row>
    <row r="2194" spans="1:11">
      <c r="A2194" t="s">
        <v>110</v>
      </c>
      <c r="B2194" t="s">
        <v>1459</v>
      </c>
      <c r="C2194" t="s">
        <v>323</v>
      </c>
      <c r="D2194" t="s">
        <v>324</v>
      </c>
      <c r="E2194" s="8">
        <v>6880</v>
      </c>
      <c r="F2194" s="8">
        <v>57580</v>
      </c>
      <c r="G2194" s="8">
        <f t="shared" si="136"/>
        <v>396150400</v>
      </c>
      <c r="H2194" s="5">
        <v>0.575</v>
      </c>
      <c r="I2194" s="8">
        <f t="shared" si="137"/>
        <v>396150400</v>
      </c>
      <c r="J2194" s="8">
        <f t="shared" si="138"/>
        <v>227786480</v>
      </c>
      <c r="K2194" t="str">
        <f t="shared" si="139"/>
        <v>MATCHED</v>
      </c>
    </row>
    <row r="2195" spans="1:11">
      <c r="A2195" t="s">
        <v>110</v>
      </c>
      <c r="B2195" t="s">
        <v>1459</v>
      </c>
      <c r="C2195" t="s">
        <v>1200</v>
      </c>
      <c r="D2195" t="s">
        <v>1201</v>
      </c>
      <c r="E2195" s="8">
        <v>370</v>
      </c>
      <c r="F2195" s="8">
        <v>83800</v>
      </c>
      <c r="G2195" s="8">
        <f t="shared" si="136"/>
        <v>31006000</v>
      </c>
      <c r="H2195" s="5">
        <v>0.6643</v>
      </c>
      <c r="I2195" s="8">
        <f t="shared" si="137"/>
        <v>31006000</v>
      </c>
      <c r="J2195" s="8">
        <f t="shared" si="138"/>
        <v>20597285.8</v>
      </c>
      <c r="K2195" t="str">
        <f t="shared" si="139"/>
        <v>MATCHED</v>
      </c>
    </row>
    <row r="2196" spans="1:11">
      <c r="A2196" t="s">
        <v>110</v>
      </c>
      <c r="B2196" t="s">
        <v>1459</v>
      </c>
      <c r="C2196" t="s">
        <v>636</v>
      </c>
      <c r="D2196" t="s">
        <v>637</v>
      </c>
      <c r="E2196" s="8">
        <v>160</v>
      </c>
      <c r="F2196" s="8">
        <v>84240</v>
      </c>
      <c r="G2196" s="8">
        <f t="shared" si="136"/>
        <v>13478400</v>
      </c>
      <c r="H2196" s="5">
        <v>0.71</v>
      </c>
      <c r="I2196" s="8">
        <f t="shared" si="137"/>
        <v>13478400</v>
      </c>
      <c r="J2196" s="8">
        <f t="shared" si="138"/>
        <v>9569664</v>
      </c>
      <c r="K2196" t="str">
        <f t="shared" si="139"/>
        <v>MATCHED</v>
      </c>
    </row>
    <row r="2197" spans="1:11">
      <c r="A2197" t="s">
        <v>110</v>
      </c>
      <c r="B2197" t="s">
        <v>1459</v>
      </c>
      <c r="C2197" t="s">
        <v>860</v>
      </c>
      <c r="D2197" t="s">
        <v>861</v>
      </c>
      <c r="E2197" s="8">
        <v>910</v>
      </c>
      <c r="F2197" s="8">
        <v>77590</v>
      </c>
      <c r="G2197" s="8">
        <f t="shared" si="136"/>
        <v>70606900</v>
      </c>
      <c r="H2197" s="5">
        <v>0.7744</v>
      </c>
      <c r="I2197" s="8">
        <f t="shared" si="137"/>
        <v>70606900</v>
      </c>
      <c r="J2197" s="8">
        <f t="shared" si="138"/>
        <v>54677983.36</v>
      </c>
      <c r="K2197" t="str">
        <f t="shared" si="139"/>
        <v>MATCHED</v>
      </c>
    </row>
    <row r="2198" spans="1:11">
      <c r="A2198" t="s">
        <v>110</v>
      </c>
      <c r="B2198" t="s">
        <v>1459</v>
      </c>
      <c r="C2198" t="s">
        <v>1204</v>
      </c>
      <c r="D2198" t="s">
        <v>1205</v>
      </c>
      <c r="E2198" s="8">
        <v>100</v>
      </c>
      <c r="F2198" s="8">
        <v>57700</v>
      </c>
      <c r="G2198" s="8">
        <f t="shared" si="136"/>
        <v>5770000</v>
      </c>
      <c r="H2198" s="5"/>
      <c r="I2198" s="8" t="str">
        <f t="shared" si="137"/>
        <v/>
      </c>
      <c r="J2198" s="8" t="str">
        <f t="shared" si="138"/>
        <v/>
      </c>
      <c r="K2198" t="str">
        <f t="shared" si="139"/>
        <v>MISSING WHARTON</v>
      </c>
    </row>
    <row r="2199" spans="1:11">
      <c r="A2199" t="s">
        <v>110</v>
      </c>
      <c r="B2199" t="s">
        <v>1459</v>
      </c>
      <c r="C2199" t="s">
        <v>962</v>
      </c>
      <c r="D2199" t="s">
        <v>963</v>
      </c>
      <c r="E2199" s="8">
        <v>400</v>
      </c>
      <c r="F2199" s="8">
        <v>55350</v>
      </c>
      <c r="G2199" s="8">
        <f t="shared" si="136"/>
        <v>22140000</v>
      </c>
      <c r="H2199" s="5">
        <v>0.5483</v>
      </c>
      <c r="I2199" s="8">
        <f t="shared" si="137"/>
        <v>22140000</v>
      </c>
      <c r="J2199" s="8">
        <f t="shared" si="138"/>
        <v>12139362</v>
      </c>
      <c r="K2199" t="str">
        <f t="shared" si="139"/>
        <v>MATCHED</v>
      </c>
    </row>
    <row r="2200" spans="1:11">
      <c r="A2200" t="s">
        <v>110</v>
      </c>
      <c r="B2200" t="s">
        <v>1459</v>
      </c>
      <c r="C2200" t="s">
        <v>966</v>
      </c>
      <c r="D2200" t="s">
        <v>967</v>
      </c>
      <c r="E2200" s="8">
        <v>60</v>
      </c>
      <c r="F2200" s="8">
        <v>65700</v>
      </c>
      <c r="G2200" s="8">
        <f t="shared" si="136"/>
        <v>3942000</v>
      </c>
      <c r="H2200" s="5">
        <v>0.0594</v>
      </c>
      <c r="I2200" s="8">
        <f t="shared" si="137"/>
        <v>3942000</v>
      </c>
      <c r="J2200" s="8">
        <f t="shared" si="138"/>
        <v>234154.8</v>
      </c>
      <c r="K2200" t="str">
        <f t="shared" si="139"/>
        <v>MATCHED</v>
      </c>
    </row>
    <row r="2201" spans="1:11">
      <c r="A2201" t="s">
        <v>110</v>
      </c>
      <c r="B2201" t="s">
        <v>1459</v>
      </c>
      <c r="C2201" t="s">
        <v>968</v>
      </c>
      <c r="D2201" t="s">
        <v>969</v>
      </c>
      <c r="E2201" s="8">
        <v>3520</v>
      </c>
      <c r="F2201" s="8">
        <v>44970</v>
      </c>
      <c r="G2201" s="8">
        <f t="shared" si="136"/>
        <v>158294400</v>
      </c>
      <c r="H2201" s="5">
        <v>0.3207</v>
      </c>
      <c r="I2201" s="8">
        <f t="shared" si="137"/>
        <v>158294400</v>
      </c>
      <c r="J2201" s="8">
        <f t="shared" si="138"/>
        <v>50765014.08</v>
      </c>
      <c r="K2201" t="str">
        <f t="shared" si="139"/>
        <v>MATCHED</v>
      </c>
    </row>
    <row r="2202" spans="1:11">
      <c r="A2202" t="s">
        <v>110</v>
      </c>
      <c r="B2202" t="s">
        <v>1459</v>
      </c>
      <c r="C2202" t="s">
        <v>970</v>
      </c>
      <c r="D2202" t="s">
        <v>971</v>
      </c>
      <c r="E2202" s="8">
        <v>230</v>
      </c>
      <c r="F2202" s="8">
        <v>61690</v>
      </c>
      <c r="G2202" s="8">
        <f t="shared" si="136"/>
        <v>14188700</v>
      </c>
      <c r="H2202" s="5">
        <v>0.3458</v>
      </c>
      <c r="I2202" s="8">
        <f t="shared" si="137"/>
        <v>14188700</v>
      </c>
      <c r="J2202" s="8">
        <f t="shared" si="138"/>
        <v>4906452.46</v>
      </c>
      <c r="K2202" t="str">
        <f t="shared" si="139"/>
        <v>MATCHED</v>
      </c>
    </row>
    <row r="2203" spans="1:11">
      <c r="A2203" t="s">
        <v>110</v>
      </c>
      <c r="B2203" t="s">
        <v>1459</v>
      </c>
      <c r="C2203" t="s">
        <v>1206</v>
      </c>
      <c r="D2203" t="s">
        <v>1207</v>
      </c>
      <c r="E2203" s="8">
        <v>240</v>
      </c>
      <c r="F2203" s="8">
        <v>69670</v>
      </c>
      <c r="G2203" s="8">
        <f t="shared" si="136"/>
        <v>16720800</v>
      </c>
      <c r="H2203" s="5">
        <v>0.6065</v>
      </c>
      <c r="I2203" s="8">
        <f t="shared" si="137"/>
        <v>16720800</v>
      </c>
      <c r="J2203" s="8">
        <f t="shared" si="138"/>
        <v>10141165.2</v>
      </c>
      <c r="K2203" t="str">
        <f t="shared" si="139"/>
        <v>MATCHED</v>
      </c>
    </row>
    <row r="2204" spans="1:11">
      <c r="A2204" t="s">
        <v>110</v>
      </c>
      <c r="B2204" t="s">
        <v>1459</v>
      </c>
      <c r="C2204" t="s">
        <v>1212</v>
      </c>
      <c r="D2204" t="s">
        <v>1213</v>
      </c>
      <c r="E2204" s="8">
        <v>540</v>
      </c>
      <c r="F2204" s="8">
        <v>71910</v>
      </c>
      <c r="G2204" s="8">
        <f t="shared" si="136"/>
        <v>38831400</v>
      </c>
      <c r="H2204" s="5">
        <v>0.4679</v>
      </c>
      <c r="I2204" s="8">
        <f t="shared" si="137"/>
        <v>38831400</v>
      </c>
      <c r="J2204" s="8">
        <f t="shared" si="138"/>
        <v>18169212.06</v>
      </c>
      <c r="K2204" t="str">
        <f t="shared" si="139"/>
        <v>MATCHED</v>
      </c>
    </row>
    <row r="2205" spans="1:11">
      <c r="A2205" t="s">
        <v>110</v>
      </c>
      <c r="B2205" t="s">
        <v>1459</v>
      </c>
      <c r="C2205" t="s">
        <v>1482</v>
      </c>
      <c r="D2205" t="s">
        <v>1483</v>
      </c>
      <c r="E2205" s="8">
        <v>6020</v>
      </c>
      <c r="F2205" s="8">
        <v>151190</v>
      </c>
      <c r="G2205" s="8">
        <f t="shared" si="136"/>
        <v>910163800</v>
      </c>
      <c r="H2205" s="5">
        <v>0.07</v>
      </c>
      <c r="I2205" s="8">
        <f t="shared" si="137"/>
        <v>910163800</v>
      </c>
      <c r="J2205" s="8">
        <f t="shared" si="138"/>
        <v>63711466</v>
      </c>
      <c r="K2205" t="str">
        <f t="shared" si="139"/>
        <v>MATCHED</v>
      </c>
    </row>
    <row r="2206" spans="1:11">
      <c r="A2206" t="s">
        <v>110</v>
      </c>
      <c r="B2206" t="s">
        <v>1459</v>
      </c>
      <c r="C2206" t="s">
        <v>1214</v>
      </c>
      <c r="D2206" t="s">
        <v>1215</v>
      </c>
      <c r="E2206" s="8">
        <v>163000</v>
      </c>
      <c r="F2206" s="8">
        <v>133300</v>
      </c>
      <c r="G2206" s="8">
        <f t="shared" si="136"/>
        <v>21727900000</v>
      </c>
      <c r="H2206" s="5">
        <v>0.4381</v>
      </c>
      <c r="I2206" s="8">
        <f t="shared" si="137"/>
        <v>21727900000</v>
      </c>
      <c r="J2206" s="8">
        <f t="shared" si="138"/>
        <v>9518992990</v>
      </c>
      <c r="K2206" t="str">
        <f t="shared" si="139"/>
        <v>MATCHED</v>
      </c>
    </row>
    <row r="2207" spans="1:11">
      <c r="A2207" t="s">
        <v>110</v>
      </c>
      <c r="B2207" t="s">
        <v>1459</v>
      </c>
      <c r="C2207" t="s">
        <v>1433</v>
      </c>
      <c r="D2207" t="s">
        <v>1434</v>
      </c>
      <c r="E2207" s="8">
        <v>1440</v>
      </c>
      <c r="F2207" s="8">
        <v>73430</v>
      </c>
      <c r="G2207" s="8">
        <f t="shared" si="136"/>
        <v>105739200</v>
      </c>
      <c r="H2207" s="5">
        <v>0.0864</v>
      </c>
      <c r="I2207" s="8">
        <f t="shared" si="137"/>
        <v>105739200</v>
      </c>
      <c r="J2207" s="8">
        <f t="shared" si="138"/>
        <v>9135866.88</v>
      </c>
      <c r="K2207" t="str">
        <f t="shared" si="139"/>
        <v>MATCHED</v>
      </c>
    </row>
    <row r="2208" spans="1:11">
      <c r="A2208" t="s">
        <v>110</v>
      </c>
      <c r="B2208" t="s">
        <v>1459</v>
      </c>
      <c r="C2208" t="s">
        <v>325</v>
      </c>
      <c r="D2208" t="s">
        <v>326</v>
      </c>
      <c r="E2208" s="8">
        <v>640</v>
      </c>
      <c r="F2208" s="8">
        <v>152710</v>
      </c>
      <c r="G2208" s="8">
        <f t="shared" si="136"/>
        <v>97734400</v>
      </c>
      <c r="H2208" s="5">
        <v>0.163</v>
      </c>
      <c r="I2208" s="8">
        <f t="shared" si="137"/>
        <v>97734400</v>
      </c>
      <c r="J2208" s="8">
        <f t="shared" si="138"/>
        <v>15930707.2</v>
      </c>
      <c r="K2208" t="str">
        <f t="shared" si="139"/>
        <v>MATCHED</v>
      </c>
    </row>
    <row r="2209" spans="1:11">
      <c r="A2209" t="s">
        <v>110</v>
      </c>
      <c r="B2209" t="s">
        <v>1459</v>
      </c>
      <c r="C2209" t="s">
        <v>862</v>
      </c>
      <c r="D2209" t="s">
        <v>863</v>
      </c>
      <c r="E2209" s="8">
        <v>4330</v>
      </c>
      <c r="F2209" s="8">
        <v>94140</v>
      </c>
      <c r="G2209" s="8">
        <f t="shared" si="136"/>
        <v>407626200</v>
      </c>
      <c r="H2209" s="5">
        <v>0.1958</v>
      </c>
      <c r="I2209" s="8">
        <f t="shared" si="137"/>
        <v>407626200</v>
      </c>
      <c r="J2209" s="8">
        <f t="shared" si="138"/>
        <v>79813209.96</v>
      </c>
      <c r="K2209" t="str">
        <f t="shared" si="139"/>
        <v>MATCHED</v>
      </c>
    </row>
    <row r="2210" spans="1:11">
      <c r="A2210" t="s">
        <v>110</v>
      </c>
      <c r="B2210" t="s">
        <v>1459</v>
      </c>
      <c r="C2210" t="s">
        <v>1218</v>
      </c>
      <c r="D2210" t="s">
        <v>1219</v>
      </c>
      <c r="E2210" s="8">
        <v>410</v>
      </c>
      <c r="F2210" s="8">
        <v>114740</v>
      </c>
      <c r="G2210" s="8">
        <f t="shared" si="136"/>
        <v>47043400</v>
      </c>
      <c r="H2210" s="5">
        <v>0.313</v>
      </c>
      <c r="I2210" s="8">
        <f t="shared" si="137"/>
        <v>47043400</v>
      </c>
      <c r="J2210" s="8">
        <f t="shared" si="138"/>
        <v>14724584.2</v>
      </c>
      <c r="K2210" t="str">
        <f t="shared" si="139"/>
        <v>MATCHED</v>
      </c>
    </row>
    <row r="2211" spans="1:11">
      <c r="A2211" t="s">
        <v>110</v>
      </c>
      <c r="B2211" t="s">
        <v>1459</v>
      </c>
      <c r="C2211" t="s">
        <v>1435</v>
      </c>
      <c r="D2211" t="s">
        <v>1436</v>
      </c>
      <c r="E2211" s="8">
        <v>1370</v>
      </c>
      <c r="F2211" s="8">
        <v>94000</v>
      </c>
      <c r="G2211" s="8">
        <f t="shared" si="136"/>
        <v>128780000</v>
      </c>
      <c r="H2211" s="5">
        <v>0.2568</v>
      </c>
      <c r="I2211" s="8">
        <f t="shared" si="137"/>
        <v>128780000</v>
      </c>
      <c r="J2211" s="8">
        <f t="shared" si="138"/>
        <v>33070704</v>
      </c>
      <c r="K2211" t="str">
        <f t="shared" si="139"/>
        <v>MATCHED</v>
      </c>
    </row>
    <row r="2212" spans="1:11">
      <c r="A2212" t="s">
        <v>110</v>
      </c>
      <c r="B2212" t="s">
        <v>1459</v>
      </c>
      <c r="C2212" t="s">
        <v>1220</v>
      </c>
      <c r="D2212" t="s">
        <v>1221</v>
      </c>
      <c r="E2212" s="8"/>
      <c r="F2212" s="8">
        <v>362700</v>
      </c>
      <c r="G2212" s="8" t="str">
        <f t="shared" si="136"/>
        <v/>
      </c>
      <c r="H2212" s="5">
        <v>0.2008</v>
      </c>
      <c r="I2212" s="8" t="str">
        <f t="shared" si="137"/>
        <v/>
      </c>
      <c r="J2212" s="8" t="str">
        <f t="shared" si="138"/>
        <v/>
      </c>
      <c r="K2212" t="str">
        <f t="shared" si="139"/>
        <v>MISSING OEWS</v>
      </c>
    </row>
    <row r="2213" spans="1:11">
      <c r="A2213" t="s">
        <v>110</v>
      </c>
      <c r="B2213" t="s">
        <v>1459</v>
      </c>
      <c r="C2213" t="s">
        <v>1484</v>
      </c>
      <c r="D2213" t="s">
        <v>1485</v>
      </c>
      <c r="E2213" s="8">
        <v>110</v>
      </c>
      <c r="F2213" s="8">
        <v>175040</v>
      </c>
      <c r="G2213" s="8">
        <f t="shared" si="136"/>
        <v>19254400</v>
      </c>
      <c r="H2213" s="5">
        <v>0.0778</v>
      </c>
      <c r="I2213" s="8">
        <f t="shared" si="137"/>
        <v>19254400</v>
      </c>
      <c r="J2213" s="8">
        <f t="shared" si="138"/>
        <v>1497992.32</v>
      </c>
      <c r="K2213" t="str">
        <f t="shared" si="139"/>
        <v>MATCHED</v>
      </c>
    </row>
    <row r="2214" spans="1:11">
      <c r="A2214" t="s">
        <v>110</v>
      </c>
      <c r="B2214" t="s">
        <v>1459</v>
      </c>
      <c r="C2214" t="s">
        <v>1486</v>
      </c>
      <c r="D2214" t="s">
        <v>1487</v>
      </c>
      <c r="E2214" s="8">
        <v>120</v>
      </c>
      <c r="F2214" s="8">
        <v>79950</v>
      </c>
      <c r="G2214" s="8">
        <f t="shared" si="136"/>
        <v>9594000</v>
      </c>
      <c r="H2214" s="5">
        <v>0.1875</v>
      </c>
      <c r="I2214" s="8">
        <f t="shared" si="137"/>
        <v>9594000</v>
      </c>
      <c r="J2214" s="8">
        <f t="shared" si="138"/>
        <v>1798875</v>
      </c>
      <c r="K2214" t="str">
        <f t="shared" si="139"/>
        <v>MATCHED</v>
      </c>
    </row>
    <row r="2215" spans="1:11">
      <c r="A2215" t="s">
        <v>110</v>
      </c>
      <c r="B2215" t="s">
        <v>1459</v>
      </c>
      <c r="C2215" t="s">
        <v>1224</v>
      </c>
      <c r="D2215" t="s">
        <v>1225</v>
      </c>
      <c r="E2215" s="8"/>
      <c r="F2215" s="8">
        <v>59040</v>
      </c>
      <c r="G2215" s="8" t="str">
        <f t="shared" si="136"/>
        <v/>
      </c>
      <c r="H2215" s="5">
        <v>0.1612</v>
      </c>
      <c r="I2215" s="8" t="str">
        <f t="shared" si="137"/>
        <v/>
      </c>
      <c r="J2215" s="8" t="str">
        <f t="shared" si="138"/>
        <v/>
      </c>
      <c r="K2215" t="str">
        <f t="shared" si="139"/>
        <v>MISSING OEWS</v>
      </c>
    </row>
    <row r="2216" spans="1:11">
      <c r="A2216" t="s">
        <v>110</v>
      </c>
      <c r="B2216" t="s">
        <v>1459</v>
      </c>
      <c r="C2216" t="s">
        <v>1228</v>
      </c>
      <c r="D2216" t="s">
        <v>1229</v>
      </c>
      <c r="E2216" s="8">
        <v>327560</v>
      </c>
      <c r="F2216" s="8">
        <v>43420</v>
      </c>
      <c r="G2216" s="8">
        <f t="shared" si="136"/>
        <v>14222655200</v>
      </c>
      <c r="H2216" s="5">
        <v>0.6357</v>
      </c>
      <c r="I2216" s="8">
        <f t="shared" si="137"/>
        <v>14222655200</v>
      </c>
      <c r="J2216" s="8">
        <f t="shared" si="138"/>
        <v>9041341910.64</v>
      </c>
      <c r="K2216" t="str">
        <f t="shared" si="139"/>
        <v>MATCHED</v>
      </c>
    </row>
    <row r="2217" spans="1:11">
      <c r="A2217" t="s">
        <v>110</v>
      </c>
      <c r="B2217" t="s">
        <v>1459</v>
      </c>
      <c r="C2217" t="s">
        <v>327</v>
      </c>
      <c r="D2217" t="s">
        <v>328</v>
      </c>
      <c r="E2217" s="8">
        <v>200</v>
      </c>
      <c r="F2217" s="8">
        <v>54750</v>
      </c>
      <c r="G2217" s="8">
        <f t="shared" si="136"/>
        <v>10950000</v>
      </c>
      <c r="H2217" s="5">
        <v>0.2065</v>
      </c>
      <c r="I2217" s="8">
        <f t="shared" si="137"/>
        <v>10950000</v>
      </c>
      <c r="J2217" s="8">
        <f t="shared" si="138"/>
        <v>2261175</v>
      </c>
      <c r="K2217" t="str">
        <f t="shared" si="139"/>
        <v>MATCHED</v>
      </c>
    </row>
    <row r="2218" spans="1:11">
      <c r="A2218" t="s">
        <v>110</v>
      </c>
      <c r="B2218" t="s">
        <v>1459</v>
      </c>
      <c r="C2218" t="s">
        <v>1488</v>
      </c>
      <c r="D2218" t="s">
        <v>1489</v>
      </c>
      <c r="E2218" s="8">
        <v>2630</v>
      </c>
      <c r="F2218" s="8">
        <v>40320</v>
      </c>
      <c r="G2218" s="8">
        <f t="shared" si="136"/>
        <v>106041600</v>
      </c>
      <c r="H2218" s="5">
        <v>0.19</v>
      </c>
      <c r="I2218" s="8">
        <f t="shared" si="137"/>
        <v>106041600</v>
      </c>
      <c r="J2218" s="8">
        <f t="shared" si="138"/>
        <v>20147904</v>
      </c>
      <c r="K2218" t="str">
        <f t="shared" si="139"/>
        <v>MATCHED</v>
      </c>
    </row>
    <row r="2219" spans="1:11">
      <c r="A2219" t="s">
        <v>110</v>
      </c>
      <c r="B2219" t="s">
        <v>1459</v>
      </c>
      <c r="C2219" t="s">
        <v>1230</v>
      </c>
      <c r="D2219" t="s">
        <v>1231</v>
      </c>
      <c r="E2219" s="8">
        <v>770</v>
      </c>
      <c r="F2219" s="8">
        <v>58070</v>
      </c>
      <c r="G2219" s="8">
        <f t="shared" si="136"/>
        <v>44713900</v>
      </c>
      <c r="H2219" s="5">
        <v>0.1239</v>
      </c>
      <c r="I2219" s="8">
        <f t="shared" si="137"/>
        <v>44713900</v>
      </c>
      <c r="J2219" s="8">
        <f t="shared" si="138"/>
        <v>5540052.21</v>
      </c>
      <c r="K2219" t="str">
        <f t="shared" si="139"/>
        <v>MATCHED</v>
      </c>
    </row>
    <row r="2220" spans="1:11">
      <c r="A2220" t="s">
        <v>110</v>
      </c>
      <c r="B2220" t="s">
        <v>1459</v>
      </c>
      <c r="C2220" t="s">
        <v>1232</v>
      </c>
      <c r="D2220" t="s">
        <v>1233</v>
      </c>
      <c r="E2220" s="8">
        <v>480</v>
      </c>
      <c r="F2220" s="8">
        <v>51690</v>
      </c>
      <c r="G2220" s="8">
        <f t="shared" si="136"/>
        <v>24811200</v>
      </c>
      <c r="H2220" s="5">
        <v>0.9353</v>
      </c>
      <c r="I2220" s="8">
        <f t="shared" si="137"/>
        <v>24811200</v>
      </c>
      <c r="J2220" s="8">
        <f t="shared" si="138"/>
        <v>23205915.36</v>
      </c>
      <c r="K2220" t="str">
        <f t="shared" si="139"/>
        <v>MATCHED</v>
      </c>
    </row>
    <row r="2221" spans="1:11">
      <c r="A2221" t="s">
        <v>110</v>
      </c>
      <c r="B2221" t="s">
        <v>1459</v>
      </c>
      <c r="C2221" t="s">
        <v>1234</v>
      </c>
      <c r="D2221" t="s">
        <v>1235</v>
      </c>
      <c r="E2221" s="8">
        <v>32950</v>
      </c>
      <c r="F2221" s="8">
        <v>56010</v>
      </c>
      <c r="G2221" s="8">
        <f t="shared" si="136"/>
        <v>1845529500</v>
      </c>
      <c r="H2221" s="5">
        <v>0.2143</v>
      </c>
      <c r="I2221" s="8">
        <f t="shared" si="137"/>
        <v>1845529500</v>
      </c>
      <c r="J2221" s="8">
        <f t="shared" si="138"/>
        <v>395496971.85</v>
      </c>
      <c r="K2221" t="str">
        <f t="shared" si="139"/>
        <v>MATCHED</v>
      </c>
    </row>
    <row r="2222" spans="1:11">
      <c r="A2222" t="s">
        <v>110</v>
      </c>
      <c r="B2222" t="s">
        <v>1459</v>
      </c>
      <c r="C2222" t="s">
        <v>1236</v>
      </c>
      <c r="D2222" t="s">
        <v>1237</v>
      </c>
      <c r="E2222" s="8">
        <v>1260</v>
      </c>
      <c r="F2222" s="8">
        <v>84570</v>
      </c>
      <c r="G2222" s="8">
        <f t="shared" si="136"/>
        <v>106558200</v>
      </c>
      <c r="H2222" s="5">
        <v>0.1267</v>
      </c>
      <c r="I2222" s="8">
        <f t="shared" si="137"/>
        <v>106558200</v>
      </c>
      <c r="J2222" s="8">
        <f t="shared" si="138"/>
        <v>13500923.94</v>
      </c>
      <c r="K2222" t="str">
        <f t="shared" si="139"/>
        <v>MATCHED</v>
      </c>
    </row>
    <row r="2223" spans="1:11">
      <c r="A2223" t="s">
        <v>110</v>
      </c>
      <c r="B2223" t="s">
        <v>1459</v>
      </c>
      <c r="C2223" t="s">
        <v>1238</v>
      </c>
      <c r="D2223" t="s">
        <v>1239</v>
      </c>
      <c r="E2223" s="8">
        <v>7470</v>
      </c>
      <c r="F2223" s="8">
        <v>71450</v>
      </c>
      <c r="G2223" s="8">
        <f t="shared" si="136"/>
        <v>533731500</v>
      </c>
      <c r="H2223" s="5">
        <v>0.0864</v>
      </c>
      <c r="I2223" s="8">
        <f t="shared" si="137"/>
        <v>533731500</v>
      </c>
      <c r="J2223" s="8">
        <f t="shared" si="138"/>
        <v>46114401.6</v>
      </c>
      <c r="K2223" t="str">
        <f t="shared" si="139"/>
        <v>MATCHED</v>
      </c>
    </row>
    <row r="2224" spans="1:11">
      <c r="A2224" t="s">
        <v>110</v>
      </c>
      <c r="B2224" t="s">
        <v>1459</v>
      </c>
      <c r="C2224" t="s">
        <v>1240</v>
      </c>
      <c r="D2224" t="s">
        <v>1241</v>
      </c>
      <c r="E2224" s="8">
        <v>1060</v>
      </c>
      <c r="F2224" s="8">
        <v>52650</v>
      </c>
      <c r="G2224" s="8">
        <f t="shared" si="136"/>
        <v>55809000</v>
      </c>
      <c r="H2224" s="5">
        <v>0.2977</v>
      </c>
      <c r="I2224" s="8">
        <f t="shared" si="137"/>
        <v>55809000</v>
      </c>
      <c r="J2224" s="8">
        <f t="shared" si="138"/>
        <v>16614339.3</v>
      </c>
      <c r="K2224" t="str">
        <f t="shared" si="139"/>
        <v>MATCHED</v>
      </c>
    </row>
    <row r="2225" spans="1:11">
      <c r="A2225" t="s">
        <v>110</v>
      </c>
      <c r="B2225" t="s">
        <v>1459</v>
      </c>
      <c r="C2225" t="s">
        <v>1242</v>
      </c>
      <c r="D2225" t="s">
        <v>1243</v>
      </c>
      <c r="E2225" s="8"/>
      <c r="F2225" s="8">
        <v>57660</v>
      </c>
      <c r="G2225" s="8" t="str">
        <f t="shared" si="136"/>
        <v/>
      </c>
      <c r="H2225" s="5">
        <v>0.7969</v>
      </c>
      <c r="I2225" s="8" t="str">
        <f t="shared" si="137"/>
        <v/>
      </c>
      <c r="J2225" s="8" t="str">
        <f t="shared" si="138"/>
        <v/>
      </c>
      <c r="K2225" t="str">
        <f t="shared" si="139"/>
        <v>MISSING OEWS</v>
      </c>
    </row>
    <row r="2226" spans="1:11">
      <c r="A2226" t="s">
        <v>110</v>
      </c>
      <c r="B2226" t="s">
        <v>1459</v>
      </c>
      <c r="C2226" t="s">
        <v>1246</v>
      </c>
      <c r="D2226" t="s">
        <v>1247</v>
      </c>
      <c r="E2226" s="8">
        <v>340</v>
      </c>
      <c r="F2226" s="8">
        <v>56960</v>
      </c>
      <c r="G2226" s="8">
        <f t="shared" si="136"/>
        <v>19366400</v>
      </c>
      <c r="H2226" s="5">
        <v>0.2347</v>
      </c>
      <c r="I2226" s="8">
        <f t="shared" si="137"/>
        <v>19366400</v>
      </c>
      <c r="J2226" s="8">
        <f t="shared" si="138"/>
        <v>4545294.08</v>
      </c>
      <c r="K2226" t="str">
        <f t="shared" si="139"/>
        <v>MATCHED</v>
      </c>
    </row>
    <row r="2227" spans="1:11">
      <c r="A2227" t="s">
        <v>110</v>
      </c>
      <c r="B2227" t="s">
        <v>1459</v>
      </c>
      <c r="C2227" t="s">
        <v>972</v>
      </c>
      <c r="D2227" t="s">
        <v>973</v>
      </c>
      <c r="E2227" s="8"/>
      <c r="F2227" s="8">
        <v>37010</v>
      </c>
      <c r="G2227" s="8" t="str">
        <f t="shared" si="136"/>
        <v/>
      </c>
      <c r="H2227" s="5">
        <v>0.118</v>
      </c>
      <c r="I2227" s="8" t="str">
        <f t="shared" si="137"/>
        <v/>
      </c>
      <c r="J2227" s="8" t="str">
        <f t="shared" si="138"/>
        <v/>
      </c>
      <c r="K2227" t="str">
        <f t="shared" si="139"/>
        <v>MISSING OEWS</v>
      </c>
    </row>
    <row r="2228" spans="1:11">
      <c r="A2228" t="s">
        <v>110</v>
      </c>
      <c r="B2228" t="s">
        <v>1459</v>
      </c>
      <c r="C2228" t="s">
        <v>1443</v>
      </c>
      <c r="D2228" t="s">
        <v>1444</v>
      </c>
      <c r="E2228" s="8">
        <v>120</v>
      </c>
      <c r="F2228" s="8">
        <v>37400</v>
      </c>
      <c r="G2228" s="8">
        <f t="shared" si="136"/>
        <v>4488000</v>
      </c>
      <c r="H2228" s="5">
        <v>0.05</v>
      </c>
      <c r="I2228" s="8">
        <f t="shared" si="137"/>
        <v>4488000</v>
      </c>
      <c r="J2228" s="8">
        <f t="shared" si="138"/>
        <v>224400</v>
      </c>
      <c r="K2228" t="str">
        <f t="shared" si="139"/>
        <v>MATCHED</v>
      </c>
    </row>
    <row r="2229" spans="1:11">
      <c r="A2229" t="s">
        <v>110</v>
      </c>
      <c r="B2229" t="s">
        <v>1459</v>
      </c>
      <c r="C2229" t="s">
        <v>1490</v>
      </c>
      <c r="D2229" t="s">
        <v>1491</v>
      </c>
      <c r="E2229" s="8">
        <v>560</v>
      </c>
      <c r="F2229" s="8">
        <v>54140</v>
      </c>
      <c r="G2229" s="8">
        <f t="shared" si="136"/>
        <v>30318400</v>
      </c>
      <c r="H2229" s="5">
        <v>0.0679</v>
      </c>
      <c r="I2229" s="8">
        <f t="shared" si="137"/>
        <v>30318400</v>
      </c>
      <c r="J2229" s="8">
        <f t="shared" si="138"/>
        <v>2058619.36</v>
      </c>
      <c r="K2229" t="str">
        <f t="shared" si="139"/>
        <v>MATCHED</v>
      </c>
    </row>
    <row r="2230" spans="1:11">
      <c r="A2230" t="s">
        <v>110</v>
      </c>
      <c r="B2230" t="s">
        <v>1459</v>
      </c>
      <c r="C2230" t="s">
        <v>1250</v>
      </c>
      <c r="D2230" t="s">
        <v>1251</v>
      </c>
      <c r="E2230" s="8">
        <v>1220</v>
      </c>
      <c r="F2230" s="8">
        <v>47320</v>
      </c>
      <c r="G2230" s="8">
        <f t="shared" si="136"/>
        <v>57730400</v>
      </c>
      <c r="H2230" s="5">
        <v>0.4025</v>
      </c>
      <c r="I2230" s="8">
        <f t="shared" si="137"/>
        <v>57730400</v>
      </c>
      <c r="J2230" s="8">
        <f t="shared" si="138"/>
        <v>23236486</v>
      </c>
      <c r="K2230" t="str">
        <f t="shared" si="139"/>
        <v>MATCHED</v>
      </c>
    </row>
    <row r="2231" spans="1:11">
      <c r="A2231" t="s">
        <v>110</v>
      </c>
      <c r="B2231" t="s">
        <v>1459</v>
      </c>
      <c r="C2231" t="s">
        <v>1252</v>
      </c>
      <c r="D2231" t="s">
        <v>1253</v>
      </c>
      <c r="E2231" s="8">
        <v>410</v>
      </c>
      <c r="F2231" s="8">
        <v>46150</v>
      </c>
      <c r="G2231" s="8">
        <f t="shared" si="136"/>
        <v>18921500</v>
      </c>
      <c r="H2231" s="5">
        <v>0.1188</v>
      </c>
      <c r="I2231" s="8">
        <f t="shared" si="137"/>
        <v>18921500</v>
      </c>
      <c r="J2231" s="8">
        <f t="shared" si="138"/>
        <v>2247874.2</v>
      </c>
      <c r="K2231" t="str">
        <f t="shared" si="139"/>
        <v>MATCHED</v>
      </c>
    </row>
    <row r="2232" spans="1:11">
      <c r="A2232" t="s">
        <v>110</v>
      </c>
      <c r="B2232" t="s">
        <v>1459</v>
      </c>
      <c r="C2232" t="s">
        <v>1445</v>
      </c>
      <c r="D2232" t="s">
        <v>1446</v>
      </c>
      <c r="E2232" s="8">
        <v>33130</v>
      </c>
      <c r="F2232" s="8">
        <v>38320</v>
      </c>
      <c r="G2232" s="8">
        <f t="shared" si="136"/>
        <v>1269541600</v>
      </c>
      <c r="H2232" s="5">
        <v>0.5088</v>
      </c>
      <c r="I2232" s="8">
        <f t="shared" si="137"/>
        <v>1269541600</v>
      </c>
      <c r="J2232" s="8">
        <f t="shared" si="138"/>
        <v>645942766.08</v>
      </c>
      <c r="K2232" t="str">
        <f t="shared" si="139"/>
        <v>MATCHED</v>
      </c>
    </row>
    <row r="2233" spans="1:11">
      <c r="A2233" t="s">
        <v>110</v>
      </c>
      <c r="B2233" t="s">
        <v>1459</v>
      </c>
      <c r="C2233" t="s">
        <v>1254</v>
      </c>
      <c r="D2233" t="s">
        <v>1255</v>
      </c>
      <c r="E2233" s="8">
        <v>2670</v>
      </c>
      <c r="F2233" s="8">
        <v>41650</v>
      </c>
      <c r="G2233" s="8">
        <f t="shared" si="136"/>
        <v>111205500</v>
      </c>
      <c r="H2233" s="5">
        <v>0.1696</v>
      </c>
      <c r="I2233" s="8">
        <f t="shared" si="137"/>
        <v>111205500</v>
      </c>
      <c r="J2233" s="8">
        <f t="shared" si="138"/>
        <v>18860452.8</v>
      </c>
      <c r="K2233" t="str">
        <f t="shared" si="139"/>
        <v>MATCHED</v>
      </c>
    </row>
    <row r="2234" spans="1:11">
      <c r="A2234" t="s">
        <v>110</v>
      </c>
      <c r="B2234" t="s">
        <v>1459</v>
      </c>
      <c r="C2234" t="s">
        <v>1447</v>
      </c>
      <c r="D2234" t="s">
        <v>1448</v>
      </c>
      <c r="E2234" s="8">
        <v>50</v>
      </c>
      <c r="F2234" s="8">
        <v>47230</v>
      </c>
      <c r="G2234" s="8">
        <f t="shared" si="136"/>
        <v>2361500</v>
      </c>
      <c r="H2234" s="5">
        <v>0.0792</v>
      </c>
      <c r="I2234" s="8">
        <f t="shared" si="137"/>
        <v>2361500</v>
      </c>
      <c r="J2234" s="8">
        <f t="shared" si="138"/>
        <v>187030.8</v>
      </c>
      <c r="K2234" t="str">
        <f t="shared" si="139"/>
        <v>MATCHED</v>
      </c>
    </row>
    <row r="2235" spans="1:11">
      <c r="A2235" t="s">
        <v>110</v>
      </c>
      <c r="B2235" t="s">
        <v>1459</v>
      </c>
      <c r="C2235" t="s">
        <v>1256</v>
      </c>
      <c r="D2235" t="s">
        <v>1257</v>
      </c>
      <c r="E2235" s="8">
        <v>1400</v>
      </c>
      <c r="F2235" s="8">
        <v>52400</v>
      </c>
      <c r="G2235" s="8">
        <f t="shared" si="136"/>
        <v>73360000</v>
      </c>
      <c r="H2235" s="5">
        <v>0.2542</v>
      </c>
      <c r="I2235" s="8">
        <f t="shared" si="137"/>
        <v>73360000</v>
      </c>
      <c r="J2235" s="8">
        <f t="shared" si="138"/>
        <v>18648112</v>
      </c>
      <c r="K2235" t="str">
        <f t="shared" si="139"/>
        <v>MATCHED</v>
      </c>
    </row>
    <row r="2236" spans="1:11">
      <c r="A2236" t="s">
        <v>110</v>
      </c>
      <c r="B2236" t="s">
        <v>1459</v>
      </c>
      <c r="C2236" t="s">
        <v>644</v>
      </c>
      <c r="D2236" t="s">
        <v>645</v>
      </c>
      <c r="E2236" s="8">
        <v>2900</v>
      </c>
      <c r="F2236" s="8">
        <v>67780</v>
      </c>
      <c r="G2236" s="8">
        <f t="shared" si="136"/>
        <v>196562000</v>
      </c>
      <c r="H2236" s="5">
        <v>0.3929</v>
      </c>
      <c r="I2236" s="8">
        <f t="shared" si="137"/>
        <v>196562000</v>
      </c>
      <c r="J2236" s="8">
        <f t="shared" si="138"/>
        <v>77229209.8</v>
      </c>
      <c r="K2236" t="str">
        <f t="shared" si="139"/>
        <v>MATCHED</v>
      </c>
    </row>
    <row r="2237" spans="1:11">
      <c r="A2237" t="s">
        <v>110</v>
      </c>
      <c r="B2237" t="s">
        <v>1459</v>
      </c>
      <c r="C2237" t="s">
        <v>866</v>
      </c>
      <c r="D2237" t="s">
        <v>867</v>
      </c>
      <c r="E2237" s="8">
        <v>270</v>
      </c>
      <c r="F2237" s="8">
        <v>78970</v>
      </c>
      <c r="G2237" s="8">
        <f t="shared" si="136"/>
        <v>21321900</v>
      </c>
      <c r="H2237" s="5"/>
      <c r="I2237" s="8" t="str">
        <f t="shared" si="137"/>
        <v/>
      </c>
      <c r="J2237" s="8" t="str">
        <f t="shared" si="138"/>
        <v/>
      </c>
      <c r="K2237" t="str">
        <f t="shared" si="139"/>
        <v>MISSING WHARTON</v>
      </c>
    </row>
    <row r="2238" spans="1:11">
      <c r="A2238" t="s">
        <v>110</v>
      </c>
      <c r="B2238" t="s">
        <v>1459</v>
      </c>
      <c r="C2238" t="s">
        <v>870</v>
      </c>
      <c r="D2238" t="s">
        <v>871</v>
      </c>
      <c r="E2238" s="8">
        <v>13580</v>
      </c>
      <c r="F2238" s="8">
        <v>45120</v>
      </c>
      <c r="G2238" s="8">
        <f t="shared" si="136"/>
        <v>612729600</v>
      </c>
      <c r="H2238" s="5">
        <v>0.3324</v>
      </c>
      <c r="I2238" s="8">
        <f t="shared" si="137"/>
        <v>612729600</v>
      </c>
      <c r="J2238" s="8">
        <f t="shared" si="138"/>
        <v>203671319.04</v>
      </c>
      <c r="K2238" t="str">
        <f t="shared" si="139"/>
        <v>MATCHED</v>
      </c>
    </row>
    <row r="2239" spans="1:11">
      <c r="A2239" t="s">
        <v>110</v>
      </c>
      <c r="B2239" t="s">
        <v>1459</v>
      </c>
      <c r="C2239" t="s">
        <v>329</v>
      </c>
      <c r="D2239" t="s">
        <v>330</v>
      </c>
      <c r="E2239" s="8">
        <v>70300</v>
      </c>
      <c r="F2239" s="8">
        <v>37430</v>
      </c>
      <c r="G2239" s="8">
        <f t="shared" si="136"/>
        <v>2631329000</v>
      </c>
      <c r="H2239" s="5">
        <v>0.1357</v>
      </c>
      <c r="I2239" s="8">
        <f t="shared" si="137"/>
        <v>2631329000</v>
      </c>
      <c r="J2239" s="8">
        <f t="shared" si="138"/>
        <v>357071345.3</v>
      </c>
      <c r="K2239" t="str">
        <f t="shared" si="139"/>
        <v>MATCHED</v>
      </c>
    </row>
    <row r="2240" spans="1:11">
      <c r="A2240" t="s">
        <v>110</v>
      </c>
      <c r="B2240" t="s">
        <v>1459</v>
      </c>
      <c r="C2240" t="s">
        <v>1492</v>
      </c>
      <c r="D2240" t="s">
        <v>1493</v>
      </c>
      <c r="E2240" s="8"/>
      <c r="F2240" s="8">
        <v>44870</v>
      </c>
      <c r="G2240" s="8" t="str">
        <f t="shared" si="136"/>
        <v/>
      </c>
      <c r="H2240" s="5">
        <v>0.0633</v>
      </c>
      <c r="I2240" s="8" t="str">
        <f t="shared" si="137"/>
        <v/>
      </c>
      <c r="J2240" s="8" t="str">
        <f t="shared" si="138"/>
        <v/>
      </c>
      <c r="K2240" t="str">
        <f t="shared" si="139"/>
        <v>MISSING OEWS</v>
      </c>
    </row>
    <row r="2241" spans="1:11">
      <c r="A2241" t="s">
        <v>110</v>
      </c>
      <c r="B2241" t="s">
        <v>1459</v>
      </c>
      <c r="C2241" t="s">
        <v>872</v>
      </c>
      <c r="D2241" t="s">
        <v>873</v>
      </c>
      <c r="E2241" s="8">
        <v>3260</v>
      </c>
      <c r="F2241" s="8">
        <v>48950</v>
      </c>
      <c r="G2241" s="8">
        <f t="shared" si="136"/>
        <v>159577000</v>
      </c>
      <c r="H2241" s="5">
        <v>0.3357</v>
      </c>
      <c r="I2241" s="8">
        <f t="shared" si="137"/>
        <v>159577000</v>
      </c>
      <c r="J2241" s="8">
        <f t="shared" si="138"/>
        <v>53569998.9</v>
      </c>
      <c r="K2241" t="str">
        <f t="shared" si="139"/>
        <v>MATCHED</v>
      </c>
    </row>
    <row r="2242" spans="1:11">
      <c r="A2242" t="s">
        <v>110</v>
      </c>
      <c r="B2242" t="s">
        <v>1459</v>
      </c>
      <c r="C2242" t="s">
        <v>978</v>
      </c>
      <c r="D2242" t="s">
        <v>979</v>
      </c>
      <c r="E2242" s="8">
        <v>2880</v>
      </c>
      <c r="F2242" s="8">
        <v>58350</v>
      </c>
      <c r="G2242" s="8">
        <f t="shared" ref="G2242:G2305" si="140">IF(OR(E2242="",F2242=""),"",E2242*F2242)</f>
        <v>168048000</v>
      </c>
      <c r="H2242" s="5">
        <v>0.281</v>
      </c>
      <c r="I2242" s="8">
        <f t="shared" ref="I2242:I2305" si="141">IF(G2242="","",IF(ISNUMBER(H2242),G2242,""))</f>
        <v>168048000</v>
      </c>
      <c r="J2242" s="8">
        <f t="shared" ref="J2242:J2305" si="142">IF(I2242="","",I2242*H2242)</f>
        <v>47221488</v>
      </c>
      <c r="K2242" t="str">
        <f t="shared" ref="K2242:K2305" si="143">IF(G2242="","MISSING OEWS",IF(ISNUMBER(H2242),"MATCHED","MISSING WHARTON"))</f>
        <v>MATCHED</v>
      </c>
    </row>
    <row r="2243" spans="1:11">
      <c r="A2243" t="s">
        <v>110</v>
      </c>
      <c r="B2243" t="s">
        <v>1459</v>
      </c>
      <c r="C2243" t="s">
        <v>980</v>
      </c>
      <c r="D2243" t="s">
        <v>981</v>
      </c>
      <c r="E2243" s="8">
        <v>47150</v>
      </c>
      <c r="F2243" s="8">
        <v>47630</v>
      </c>
      <c r="G2243" s="8">
        <f t="shared" si="140"/>
        <v>2245754500</v>
      </c>
      <c r="H2243" s="5">
        <v>0.4173</v>
      </c>
      <c r="I2243" s="8">
        <f t="shared" si="141"/>
        <v>2245754500</v>
      </c>
      <c r="J2243" s="8">
        <f t="shared" si="142"/>
        <v>937153352.85</v>
      </c>
      <c r="K2243" t="str">
        <f t="shared" si="143"/>
        <v>MATCHED</v>
      </c>
    </row>
    <row r="2244" spans="1:11">
      <c r="A2244" t="s">
        <v>110</v>
      </c>
      <c r="B2244" t="s">
        <v>1459</v>
      </c>
      <c r="C2244" t="s">
        <v>1258</v>
      </c>
      <c r="D2244" t="s">
        <v>1259</v>
      </c>
      <c r="E2244" s="8">
        <v>15060</v>
      </c>
      <c r="F2244" s="8">
        <v>33940</v>
      </c>
      <c r="G2244" s="8">
        <f t="shared" si="140"/>
        <v>511136400</v>
      </c>
      <c r="H2244" s="5">
        <v>0.05</v>
      </c>
      <c r="I2244" s="8">
        <f t="shared" si="141"/>
        <v>511136400</v>
      </c>
      <c r="J2244" s="8">
        <f t="shared" si="142"/>
        <v>25556820</v>
      </c>
      <c r="K2244" t="str">
        <f t="shared" si="143"/>
        <v>MATCHED</v>
      </c>
    </row>
    <row r="2245" spans="1:11">
      <c r="A2245" t="s">
        <v>110</v>
      </c>
      <c r="B2245" t="s">
        <v>1459</v>
      </c>
      <c r="C2245" t="s">
        <v>982</v>
      </c>
      <c r="D2245" t="s">
        <v>983</v>
      </c>
      <c r="E2245" s="8">
        <v>3280</v>
      </c>
      <c r="F2245" s="8">
        <v>34620</v>
      </c>
      <c r="G2245" s="8">
        <f t="shared" si="140"/>
        <v>113553600</v>
      </c>
      <c r="H2245" s="5">
        <v>0.25</v>
      </c>
      <c r="I2245" s="8">
        <f t="shared" si="141"/>
        <v>113553600</v>
      </c>
      <c r="J2245" s="8">
        <f t="shared" si="142"/>
        <v>28388400</v>
      </c>
      <c r="K2245" t="str">
        <f t="shared" si="143"/>
        <v>MATCHED</v>
      </c>
    </row>
    <row r="2246" spans="1:11">
      <c r="A2246" t="s">
        <v>110</v>
      </c>
      <c r="B2246" t="s">
        <v>1459</v>
      </c>
      <c r="C2246" t="s">
        <v>984</v>
      </c>
      <c r="D2246" t="s">
        <v>985</v>
      </c>
      <c r="E2246" s="8">
        <v>12300</v>
      </c>
      <c r="F2246" s="8">
        <v>37410</v>
      </c>
      <c r="G2246" s="8">
        <f t="shared" si="140"/>
        <v>460143000</v>
      </c>
      <c r="H2246" s="5">
        <v>0.1175</v>
      </c>
      <c r="I2246" s="8">
        <f t="shared" si="141"/>
        <v>460143000</v>
      </c>
      <c r="J2246" s="8">
        <f t="shared" si="142"/>
        <v>54066802.5</v>
      </c>
      <c r="K2246" t="str">
        <f t="shared" si="143"/>
        <v>MATCHED</v>
      </c>
    </row>
    <row r="2247" spans="1:11">
      <c r="A2247" t="s">
        <v>110</v>
      </c>
      <c r="B2247" t="s">
        <v>1459</v>
      </c>
      <c r="C2247" t="s">
        <v>1260</v>
      </c>
      <c r="D2247" t="s">
        <v>1261</v>
      </c>
      <c r="E2247" s="8">
        <v>18810</v>
      </c>
      <c r="F2247" s="8">
        <v>33960</v>
      </c>
      <c r="G2247" s="8">
        <f t="shared" si="140"/>
        <v>638787600</v>
      </c>
      <c r="H2247" s="5">
        <v>0.0864</v>
      </c>
      <c r="I2247" s="8">
        <f t="shared" si="141"/>
        <v>638787600</v>
      </c>
      <c r="J2247" s="8">
        <f t="shared" si="142"/>
        <v>55191248.64</v>
      </c>
      <c r="K2247" t="str">
        <f t="shared" si="143"/>
        <v>MATCHED</v>
      </c>
    </row>
    <row r="2248" spans="1:11">
      <c r="A2248" t="s">
        <v>110</v>
      </c>
      <c r="B2248" t="s">
        <v>1459</v>
      </c>
      <c r="C2248" t="s">
        <v>1262</v>
      </c>
      <c r="D2248" t="s">
        <v>1263</v>
      </c>
      <c r="E2248" s="8">
        <v>4000</v>
      </c>
      <c r="F2248" s="8">
        <v>36420</v>
      </c>
      <c r="G2248" s="8">
        <f t="shared" si="140"/>
        <v>145680000</v>
      </c>
      <c r="H2248" s="5"/>
      <c r="I2248" s="8" t="str">
        <f t="shared" si="141"/>
        <v/>
      </c>
      <c r="J2248" s="8" t="str">
        <f t="shared" si="142"/>
        <v/>
      </c>
      <c r="K2248" t="str">
        <f t="shared" si="143"/>
        <v>MISSING WHARTON</v>
      </c>
    </row>
    <row r="2249" spans="1:11">
      <c r="A2249" t="s">
        <v>110</v>
      </c>
      <c r="B2249" t="s">
        <v>1459</v>
      </c>
      <c r="C2249" t="s">
        <v>986</v>
      </c>
      <c r="D2249" t="s">
        <v>987</v>
      </c>
      <c r="E2249" s="8">
        <v>236130</v>
      </c>
      <c r="F2249" s="8">
        <v>36140</v>
      </c>
      <c r="G2249" s="8">
        <f t="shared" si="140"/>
        <v>8533738200</v>
      </c>
      <c r="H2249" s="5">
        <v>0.0613</v>
      </c>
      <c r="I2249" s="8">
        <f t="shared" si="141"/>
        <v>8533738200</v>
      </c>
      <c r="J2249" s="8">
        <f t="shared" si="142"/>
        <v>523118151.66</v>
      </c>
      <c r="K2249" t="str">
        <f t="shared" si="143"/>
        <v>MATCHED</v>
      </c>
    </row>
    <row r="2250" spans="1:11">
      <c r="A2250" t="s">
        <v>110</v>
      </c>
      <c r="B2250" t="s">
        <v>1459</v>
      </c>
      <c r="C2250" t="s">
        <v>1264</v>
      </c>
      <c r="D2250" t="s">
        <v>1265</v>
      </c>
      <c r="E2250" s="8">
        <v>6080</v>
      </c>
      <c r="F2250" s="8">
        <v>34580</v>
      </c>
      <c r="G2250" s="8">
        <f t="shared" si="140"/>
        <v>210246400</v>
      </c>
      <c r="H2250" s="5">
        <v>0.1425</v>
      </c>
      <c r="I2250" s="8">
        <f t="shared" si="141"/>
        <v>210246400</v>
      </c>
      <c r="J2250" s="8">
        <f t="shared" si="142"/>
        <v>29960112</v>
      </c>
      <c r="K2250" t="str">
        <f t="shared" si="143"/>
        <v>MATCHED</v>
      </c>
    </row>
    <row r="2251" spans="1:11">
      <c r="A2251" t="s">
        <v>110</v>
      </c>
      <c r="B2251" t="s">
        <v>1459</v>
      </c>
      <c r="C2251" t="s">
        <v>988</v>
      </c>
      <c r="D2251" t="s">
        <v>989</v>
      </c>
      <c r="E2251" s="8">
        <v>220820</v>
      </c>
      <c r="F2251" s="8">
        <v>34660</v>
      </c>
      <c r="G2251" s="8">
        <f t="shared" si="140"/>
        <v>7653621200</v>
      </c>
      <c r="H2251" s="5">
        <v>0.2031</v>
      </c>
      <c r="I2251" s="8">
        <f t="shared" si="141"/>
        <v>7653621200</v>
      </c>
      <c r="J2251" s="8">
        <f t="shared" si="142"/>
        <v>1554450465.72</v>
      </c>
      <c r="K2251" t="str">
        <f t="shared" si="143"/>
        <v>MATCHED</v>
      </c>
    </row>
    <row r="2252" spans="1:11">
      <c r="A2252" t="s">
        <v>110</v>
      </c>
      <c r="B2252" t="s">
        <v>1459</v>
      </c>
      <c r="C2252" t="s">
        <v>990</v>
      </c>
      <c r="D2252" t="s">
        <v>991</v>
      </c>
      <c r="E2252" s="8">
        <v>6810</v>
      </c>
      <c r="F2252" s="8">
        <v>33860</v>
      </c>
      <c r="G2252" s="8">
        <f t="shared" si="140"/>
        <v>230586600</v>
      </c>
      <c r="H2252" s="5">
        <v>0.152</v>
      </c>
      <c r="I2252" s="8">
        <f t="shared" si="141"/>
        <v>230586600</v>
      </c>
      <c r="J2252" s="8">
        <f t="shared" si="142"/>
        <v>35049163.2</v>
      </c>
      <c r="K2252" t="str">
        <f t="shared" si="143"/>
        <v>MATCHED</v>
      </c>
    </row>
    <row r="2253" spans="1:11">
      <c r="A2253" t="s">
        <v>110</v>
      </c>
      <c r="B2253" t="s">
        <v>1459</v>
      </c>
      <c r="C2253" t="s">
        <v>1266</v>
      </c>
      <c r="D2253" t="s">
        <v>1267</v>
      </c>
      <c r="E2253" s="8">
        <v>1620</v>
      </c>
      <c r="F2253" s="8">
        <v>37720</v>
      </c>
      <c r="G2253" s="8">
        <f t="shared" si="140"/>
        <v>61106400</v>
      </c>
      <c r="H2253" s="5">
        <v>0.1357</v>
      </c>
      <c r="I2253" s="8">
        <f t="shared" si="141"/>
        <v>61106400</v>
      </c>
      <c r="J2253" s="8">
        <f t="shared" si="142"/>
        <v>8292138.48</v>
      </c>
      <c r="K2253" t="str">
        <f t="shared" si="143"/>
        <v>MATCHED</v>
      </c>
    </row>
    <row r="2254" spans="1:11">
      <c r="A2254" t="s">
        <v>110</v>
      </c>
      <c r="B2254" t="s">
        <v>1459</v>
      </c>
      <c r="C2254" t="s">
        <v>1268</v>
      </c>
      <c r="D2254" t="s">
        <v>1269</v>
      </c>
      <c r="E2254" s="8">
        <v>3220</v>
      </c>
      <c r="F2254" s="8">
        <v>32580</v>
      </c>
      <c r="G2254" s="8">
        <f t="shared" si="140"/>
        <v>104907600</v>
      </c>
      <c r="H2254" s="5">
        <v>0.0417</v>
      </c>
      <c r="I2254" s="8">
        <f t="shared" si="141"/>
        <v>104907600</v>
      </c>
      <c r="J2254" s="8">
        <f t="shared" si="142"/>
        <v>4374646.92</v>
      </c>
      <c r="K2254" t="str">
        <f t="shared" si="143"/>
        <v>MATCHED</v>
      </c>
    </row>
    <row r="2255" spans="1:11">
      <c r="A2255" t="s">
        <v>110</v>
      </c>
      <c r="B2255" t="s">
        <v>1459</v>
      </c>
      <c r="C2255" t="s">
        <v>1270</v>
      </c>
      <c r="D2255" t="s">
        <v>1271</v>
      </c>
      <c r="E2255" s="8">
        <v>8090</v>
      </c>
      <c r="F2255" s="8">
        <v>35570</v>
      </c>
      <c r="G2255" s="8">
        <f t="shared" si="140"/>
        <v>287761300</v>
      </c>
      <c r="H2255" s="5">
        <v>0</v>
      </c>
      <c r="I2255" s="8">
        <f t="shared" si="141"/>
        <v>287761300</v>
      </c>
      <c r="J2255" s="8">
        <f t="shared" si="142"/>
        <v>0</v>
      </c>
      <c r="K2255" t="str">
        <f t="shared" si="143"/>
        <v>MATCHED</v>
      </c>
    </row>
    <row r="2256" spans="1:11">
      <c r="A2256" t="s">
        <v>110</v>
      </c>
      <c r="B2256" t="s">
        <v>1459</v>
      </c>
      <c r="C2256" t="s">
        <v>1272</v>
      </c>
      <c r="D2256" t="s">
        <v>1273</v>
      </c>
      <c r="E2256" s="8">
        <v>840</v>
      </c>
      <c r="F2256" s="8">
        <v>31330</v>
      </c>
      <c r="G2256" s="8">
        <f t="shared" si="140"/>
        <v>26317200</v>
      </c>
      <c r="H2256" s="5">
        <v>0.3023</v>
      </c>
      <c r="I2256" s="8">
        <f t="shared" si="141"/>
        <v>26317200</v>
      </c>
      <c r="J2256" s="8">
        <f t="shared" si="142"/>
        <v>7955689.56</v>
      </c>
      <c r="K2256" t="str">
        <f t="shared" si="143"/>
        <v>MATCHED</v>
      </c>
    </row>
    <row r="2257" spans="1:11">
      <c r="A2257" t="s">
        <v>110</v>
      </c>
      <c r="B2257" t="s">
        <v>1459</v>
      </c>
      <c r="C2257" t="s">
        <v>1274</v>
      </c>
      <c r="D2257" t="s">
        <v>1275</v>
      </c>
      <c r="E2257" s="8">
        <v>1330</v>
      </c>
      <c r="F2257" s="8">
        <v>28440</v>
      </c>
      <c r="G2257" s="8">
        <f t="shared" si="140"/>
        <v>37825200</v>
      </c>
      <c r="H2257" s="5"/>
      <c r="I2257" s="8" t="str">
        <f t="shared" si="141"/>
        <v/>
      </c>
      <c r="J2257" s="8" t="str">
        <f t="shared" si="142"/>
        <v/>
      </c>
      <c r="K2257" t="str">
        <f t="shared" si="143"/>
        <v>MISSING WHARTON</v>
      </c>
    </row>
    <row r="2258" spans="1:11">
      <c r="A2258" t="s">
        <v>110</v>
      </c>
      <c r="B2258" t="s">
        <v>1459</v>
      </c>
      <c r="C2258" t="s">
        <v>331</v>
      </c>
      <c r="D2258" t="s">
        <v>332</v>
      </c>
      <c r="E2258" s="8">
        <v>660</v>
      </c>
      <c r="F2258" s="8">
        <v>51870</v>
      </c>
      <c r="G2258" s="8">
        <f t="shared" si="140"/>
        <v>34234200</v>
      </c>
      <c r="H2258" s="5">
        <v>0.2269</v>
      </c>
      <c r="I2258" s="8">
        <f t="shared" si="141"/>
        <v>34234200</v>
      </c>
      <c r="J2258" s="8">
        <f t="shared" si="142"/>
        <v>7767739.98</v>
      </c>
      <c r="K2258" t="str">
        <f t="shared" si="143"/>
        <v>MATCHED</v>
      </c>
    </row>
    <row r="2259" spans="1:11">
      <c r="A2259" t="s">
        <v>110</v>
      </c>
      <c r="B2259" t="s">
        <v>1459</v>
      </c>
      <c r="C2259" t="s">
        <v>333</v>
      </c>
      <c r="D2259" t="s">
        <v>334</v>
      </c>
      <c r="E2259" s="8">
        <v>960</v>
      </c>
      <c r="F2259" s="8">
        <v>55460</v>
      </c>
      <c r="G2259" s="8">
        <f t="shared" si="140"/>
        <v>53241600</v>
      </c>
      <c r="H2259" s="5">
        <v>0.2357</v>
      </c>
      <c r="I2259" s="8">
        <f t="shared" si="141"/>
        <v>53241600</v>
      </c>
      <c r="J2259" s="8">
        <f t="shared" si="142"/>
        <v>12549045.12</v>
      </c>
      <c r="K2259" t="str">
        <f t="shared" si="143"/>
        <v>MATCHED</v>
      </c>
    </row>
    <row r="2260" spans="1:11">
      <c r="A2260" t="s">
        <v>110</v>
      </c>
      <c r="B2260" t="s">
        <v>1459</v>
      </c>
      <c r="C2260" t="s">
        <v>335</v>
      </c>
      <c r="D2260" t="s">
        <v>336</v>
      </c>
      <c r="E2260" s="8">
        <v>113100</v>
      </c>
      <c r="F2260" s="8">
        <v>36060</v>
      </c>
      <c r="G2260" s="8">
        <f t="shared" si="140"/>
        <v>4078386000</v>
      </c>
      <c r="H2260" s="5">
        <v>0</v>
      </c>
      <c r="I2260" s="8">
        <f t="shared" si="141"/>
        <v>4078386000</v>
      </c>
      <c r="J2260" s="8">
        <f t="shared" si="142"/>
        <v>0</v>
      </c>
      <c r="K2260" t="str">
        <f t="shared" si="143"/>
        <v>MATCHED</v>
      </c>
    </row>
    <row r="2261" spans="1:11">
      <c r="A2261" t="s">
        <v>110</v>
      </c>
      <c r="B2261" t="s">
        <v>1459</v>
      </c>
      <c r="C2261" t="s">
        <v>337</v>
      </c>
      <c r="D2261" t="s">
        <v>338</v>
      </c>
      <c r="E2261" s="8">
        <v>950</v>
      </c>
      <c r="F2261" s="8">
        <v>37740</v>
      </c>
      <c r="G2261" s="8">
        <f t="shared" si="140"/>
        <v>35853000</v>
      </c>
      <c r="H2261" s="5">
        <v>0</v>
      </c>
      <c r="I2261" s="8">
        <f t="shared" si="141"/>
        <v>35853000</v>
      </c>
      <c r="J2261" s="8">
        <f t="shared" si="142"/>
        <v>0</v>
      </c>
      <c r="K2261" t="str">
        <f t="shared" si="143"/>
        <v>MATCHED</v>
      </c>
    </row>
    <row r="2262" spans="1:11">
      <c r="A2262" t="s">
        <v>110</v>
      </c>
      <c r="B2262" t="s">
        <v>1459</v>
      </c>
      <c r="C2262" t="s">
        <v>646</v>
      </c>
      <c r="D2262" t="s">
        <v>647</v>
      </c>
      <c r="E2262" s="8">
        <v>200</v>
      </c>
      <c r="F2262" s="8">
        <v>45580</v>
      </c>
      <c r="G2262" s="8">
        <f t="shared" si="140"/>
        <v>9116000</v>
      </c>
      <c r="H2262" s="5"/>
      <c r="I2262" s="8" t="str">
        <f t="shared" si="141"/>
        <v/>
      </c>
      <c r="J2262" s="8" t="str">
        <f t="shared" si="142"/>
        <v/>
      </c>
      <c r="K2262" t="str">
        <f t="shared" si="143"/>
        <v>MISSING WHARTON</v>
      </c>
    </row>
    <row r="2263" spans="1:11">
      <c r="A2263" t="s">
        <v>110</v>
      </c>
      <c r="B2263" t="s">
        <v>1459</v>
      </c>
      <c r="C2263" t="s">
        <v>341</v>
      </c>
      <c r="D2263" t="s">
        <v>342</v>
      </c>
      <c r="E2263" s="8">
        <v>7950</v>
      </c>
      <c r="F2263" s="8">
        <v>40570</v>
      </c>
      <c r="G2263" s="8">
        <f t="shared" si="140"/>
        <v>322531500</v>
      </c>
      <c r="H2263" s="5">
        <v>0</v>
      </c>
      <c r="I2263" s="8">
        <f t="shared" si="141"/>
        <v>322531500</v>
      </c>
      <c r="J2263" s="8">
        <f t="shared" si="142"/>
        <v>0</v>
      </c>
      <c r="K2263" t="str">
        <f t="shared" si="143"/>
        <v>MATCHED</v>
      </c>
    </row>
    <row r="2264" spans="1:11">
      <c r="A2264" t="s">
        <v>110</v>
      </c>
      <c r="B2264" t="s">
        <v>1459</v>
      </c>
      <c r="C2264" t="s">
        <v>343</v>
      </c>
      <c r="D2264" t="s">
        <v>344</v>
      </c>
      <c r="E2264" s="8">
        <v>550</v>
      </c>
      <c r="F2264" s="8">
        <v>46710</v>
      </c>
      <c r="G2264" s="8">
        <f t="shared" si="140"/>
        <v>25690500</v>
      </c>
      <c r="H2264" s="5">
        <v>0</v>
      </c>
      <c r="I2264" s="8">
        <f t="shared" si="141"/>
        <v>25690500</v>
      </c>
      <c r="J2264" s="8">
        <f t="shared" si="142"/>
        <v>0</v>
      </c>
      <c r="K2264" t="str">
        <f t="shared" si="143"/>
        <v>MATCHED</v>
      </c>
    </row>
    <row r="2265" spans="1:11">
      <c r="A2265" t="s">
        <v>110</v>
      </c>
      <c r="B2265" t="s">
        <v>1459</v>
      </c>
      <c r="C2265" t="s">
        <v>874</v>
      </c>
      <c r="D2265" t="s">
        <v>875</v>
      </c>
      <c r="E2265" s="8">
        <v>90</v>
      </c>
      <c r="F2265" s="8">
        <v>38590</v>
      </c>
      <c r="G2265" s="8">
        <f t="shared" si="140"/>
        <v>3473100</v>
      </c>
      <c r="H2265" s="5"/>
      <c r="I2265" s="8" t="str">
        <f t="shared" si="141"/>
        <v/>
      </c>
      <c r="J2265" s="8" t="str">
        <f t="shared" si="142"/>
        <v/>
      </c>
      <c r="K2265" t="str">
        <f t="shared" si="143"/>
        <v>MISSING WHARTON</v>
      </c>
    </row>
    <row r="2266" spans="1:11">
      <c r="A2266" t="s">
        <v>110</v>
      </c>
      <c r="B2266" t="s">
        <v>1459</v>
      </c>
      <c r="C2266" t="s">
        <v>347</v>
      </c>
      <c r="D2266" t="s">
        <v>348</v>
      </c>
      <c r="E2266" s="8">
        <v>130</v>
      </c>
      <c r="F2266" s="8">
        <v>59130</v>
      </c>
      <c r="G2266" s="8">
        <f t="shared" si="140"/>
        <v>7686900</v>
      </c>
      <c r="H2266" s="5">
        <v>0.2974</v>
      </c>
      <c r="I2266" s="8">
        <f t="shared" si="141"/>
        <v>7686900</v>
      </c>
      <c r="J2266" s="8">
        <f t="shared" si="142"/>
        <v>2286084.06</v>
      </c>
      <c r="K2266" t="str">
        <f t="shared" si="143"/>
        <v>MATCHED</v>
      </c>
    </row>
    <row r="2267" spans="1:11">
      <c r="A2267" t="s">
        <v>110</v>
      </c>
      <c r="B2267" t="s">
        <v>1459</v>
      </c>
      <c r="C2267" t="s">
        <v>349</v>
      </c>
      <c r="D2267" t="s">
        <v>350</v>
      </c>
      <c r="E2267" s="8">
        <v>4230</v>
      </c>
      <c r="F2267" s="8">
        <v>55840</v>
      </c>
      <c r="G2267" s="8">
        <f t="shared" si="140"/>
        <v>236203200</v>
      </c>
      <c r="H2267" s="5">
        <v>0.2765</v>
      </c>
      <c r="I2267" s="8">
        <f t="shared" si="141"/>
        <v>236203200</v>
      </c>
      <c r="J2267" s="8">
        <f t="shared" si="142"/>
        <v>65310184.8</v>
      </c>
      <c r="K2267" t="str">
        <f t="shared" si="143"/>
        <v>MATCHED</v>
      </c>
    </row>
    <row r="2268" spans="1:11">
      <c r="A2268" t="s">
        <v>110</v>
      </c>
      <c r="B2268" t="s">
        <v>1459</v>
      </c>
      <c r="C2268" t="s">
        <v>351</v>
      </c>
      <c r="D2268" t="s">
        <v>352</v>
      </c>
      <c r="E2268" s="8">
        <v>3330</v>
      </c>
      <c r="F2268" s="8">
        <v>36880</v>
      </c>
      <c r="G2268" s="8">
        <f t="shared" si="140"/>
        <v>122810400</v>
      </c>
      <c r="H2268" s="5">
        <v>0.05</v>
      </c>
      <c r="I2268" s="8">
        <f t="shared" si="141"/>
        <v>122810400</v>
      </c>
      <c r="J2268" s="8">
        <f t="shared" si="142"/>
        <v>6140520</v>
      </c>
      <c r="K2268" t="str">
        <f t="shared" si="143"/>
        <v>MATCHED</v>
      </c>
    </row>
    <row r="2269" spans="1:11">
      <c r="A2269" t="s">
        <v>110</v>
      </c>
      <c r="B2269" t="s">
        <v>1459</v>
      </c>
      <c r="C2269" t="s">
        <v>353</v>
      </c>
      <c r="D2269" t="s">
        <v>354</v>
      </c>
      <c r="E2269" s="8">
        <v>32670</v>
      </c>
      <c r="F2269" s="8">
        <v>39300</v>
      </c>
      <c r="G2269" s="8">
        <f t="shared" si="140"/>
        <v>1283931000</v>
      </c>
      <c r="H2269" s="5">
        <v>0.1614</v>
      </c>
      <c r="I2269" s="8">
        <f t="shared" si="141"/>
        <v>1283931000</v>
      </c>
      <c r="J2269" s="8">
        <f t="shared" si="142"/>
        <v>207226463.4</v>
      </c>
      <c r="K2269" t="str">
        <f t="shared" si="143"/>
        <v>MATCHED</v>
      </c>
    </row>
    <row r="2270" spans="1:11">
      <c r="A2270" t="s">
        <v>110</v>
      </c>
      <c r="B2270" t="s">
        <v>1459</v>
      </c>
      <c r="C2270" t="s">
        <v>1276</v>
      </c>
      <c r="D2270" t="s">
        <v>1277</v>
      </c>
      <c r="E2270" s="8">
        <v>40</v>
      </c>
      <c r="F2270" s="8">
        <v>34040</v>
      </c>
      <c r="G2270" s="8">
        <f t="shared" si="140"/>
        <v>1361600</v>
      </c>
      <c r="H2270" s="5">
        <v>0.2109</v>
      </c>
      <c r="I2270" s="8">
        <f t="shared" si="141"/>
        <v>1361600</v>
      </c>
      <c r="J2270" s="8">
        <f t="shared" si="142"/>
        <v>287161.44</v>
      </c>
      <c r="K2270" t="str">
        <f t="shared" si="143"/>
        <v>MATCHED</v>
      </c>
    </row>
    <row r="2271" spans="1:11">
      <c r="A2271" t="s">
        <v>110</v>
      </c>
      <c r="B2271" t="s">
        <v>1459</v>
      </c>
      <c r="C2271" t="s">
        <v>876</v>
      </c>
      <c r="D2271" t="s">
        <v>877</v>
      </c>
      <c r="E2271" s="8">
        <v>1080</v>
      </c>
      <c r="F2271" s="8">
        <v>34430</v>
      </c>
      <c r="G2271" s="8">
        <f t="shared" si="140"/>
        <v>37184400</v>
      </c>
      <c r="H2271" s="5">
        <v>0.25</v>
      </c>
      <c r="I2271" s="8">
        <f t="shared" si="141"/>
        <v>37184400</v>
      </c>
      <c r="J2271" s="8">
        <f t="shared" si="142"/>
        <v>9296100</v>
      </c>
      <c r="K2271" t="str">
        <f t="shared" si="143"/>
        <v>MATCHED</v>
      </c>
    </row>
    <row r="2272" spans="1:11">
      <c r="A2272" t="s">
        <v>110</v>
      </c>
      <c r="B2272" t="s">
        <v>1459</v>
      </c>
      <c r="C2272" t="s">
        <v>1494</v>
      </c>
      <c r="D2272" t="s">
        <v>1495</v>
      </c>
      <c r="E2272" s="8">
        <v>190</v>
      </c>
      <c r="F2272" s="8">
        <v>34490</v>
      </c>
      <c r="G2272" s="8">
        <f t="shared" si="140"/>
        <v>6553100</v>
      </c>
      <c r="H2272" s="5">
        <v>0.0413</v>
      </c>
      <c r="I2272" s="8">
        <f t="shared" si="141"/>
        <v>6553100</v>
      </c>
      <c r="J2272" s="8">
        <f t="shared" si="142"/>
        <v>270643.03</v>
      </c>
      <c r="K2272" t="str">
        <f t="shared" si="143"/>
        <v>MATCHED</v>
      </c>
    </row>
    <row r="2273" spans="1:11">
      <c r="A2273" t="s">
        <v>110</v>
      </c>
      <c r="B2273" t="s">
        <v>1459</v>
      </c>
      <c r="C2273" t="s">
        <v>992</v>
      </c>
      <c r="D2273" t="s">
        <v>993</v>
      </c>
      <c r="E2273" s="8">
        <v>31950</v>
      </c>
      <c r="F2273" s="8">
        <v>33170</v>
      </c>
      <c r="G2273" s="8">
        <f t="shared" si="140"/>
        <v>1059781500</v>
      </c>
      <c r="H2273" s="5">
        <v>0.1239</v>
      </c>
      <c r="I2273" s="8">
        <f t="shared" si="141"/>
        <v>1059781500</v>
      </c>
      <c r="J2273" s="8">
        <f t="shared" si="142"/>
        <v>131306927.85</v>
      </c>
      <c r="K2273" t="str">
        <f t="shared" si="143"/>
        <v>MATCHED</v>
      </c>
    </row>
    <row r="2274" spans="1:11">
      <c r="A2274" t="s">
        <v>110</v>
      </c>
      <c r="B2274" t="s">
        <v>1459</v>
      </c>
      <c r="C2274" t="s">
        <v>1496</v>
      </c>
      <c r="D2274" t="s">
        <v>1497</v>
      </c>
      <c r="E2274" s="8">
        <v>140</v>
      </c>
      <c r="F2274" s="8">
        <v>39760</v>
      </c>
      <c r="G2274" s="8">
        <f t="shared" si="140"/>
        <v>5566400</v>
      </c>
      <c r="H2274" s="5">
        <v>0.1056</v>
      </c>
      <c r="I2274" s="8">
        <f t="shared" si="141"/>
        <v>5566400</v>
      </c>
      <c r="J2274" s="8">
        <f t="shared" si="142"/>
        <v>587811.84</v>
      </c>
      <c r="K2274" t="str">
        <f t="shared" si="143"/>
        <v>MATCHED</v>
      </c>
    </row>
    <row r="2275" spans="1:11">
      <c r="A2275" t="s">
        <v>110</v>
      </c>
      <c r="B2275" t="s">
        <v>1459</v>
      </c>
      <c r="C2275" t="s">
        <v>1449</v>
      </c>
      <c r="D2275" t="s">
        <v>1450</v>
      </c>
      <c r="E2275" s="8">
        <v>3610</v>
      </c>
      <c r="F2275" s="8">
        <v>46810</v>
      </c>
      <c r="G2275" s="8">
        <f t="shared" si="140"/>
        <v>168984100</v>
      </c>
      <c r="H2275" s="5">
        <v>0.1056</v>
      </c>
      <c r="I2275" s="8">
        <f t="shared" si="141"/>
        <v>168984100</v>
      </c>
      <c r="J2275" s="8">
        <f t="shared" si="142"/>
        <v>17844720.96</v>
      </c>
      <c r="K2275" t="str">
        <f t="shared" si="143"/>
        <v>MATCHED</v>
      </c>
    </row>
    <row r="2276" spans="1:11">
      <c r="A2276" t="s">
        <v>110</v>
      </c>
      <c r="B2276" t="s">
        <v>1459</v>
      </c>
      <c r="C2276" t="s">
        <v>1498</v>
      </c>
      <c r="D2276" t="s">
        <v>1499</v>
      </c>
      <c r="E2276" s="8">
        <v>90</v>
      </c>
      <c r="F2276" s="8">
        <v>33510</v>
      </c>
      <c r="G2276" s="8">
        <f t="shared" si="140"/>
        <v>3015900</v>
      </c>
      <c r="H2276" s="5">
        <v>0.3353</v>
      </c>
      <c r="I2276" s="8">
        <f t="shared" si="141"/>
        <v>3015900</v>
      </c>
      <c r="J2276" s="8">
        <f t="shared" si="142"/>
        <v>1011231.27</v>
      </c>
      <c r="K2276" t="str">
        <f t="shared" si="143"/>
        <v>MATCHED</v>
      </c>
    </row>
    <row r="2277" spans="1:11">
      <c r="A2277" t="s">
        <v>110</v>
      </c>
      <c r="B2277" t="s">
        <v>1459</v>
      </c>
      <c r="C2277" t="s">
        <v>994</v>
      </c>
      <c r="D2277" t="s">
        <v>995</v>
      </c>
      <c r="E2277" s="8">
        <v>100</v>
      </c>
      <c r="F2277" s="8">
        <v>40470</v>
      </c>
      <c r="G2277" s="8">
        <f t="shared" si="140"/>
        <v>4047000</v>
      </c>
      <c r="H2277" s="5">
        <v>0.65</v>
      </c>
      <c r="I2277" s="8">
        <f t="shared" si="141"/>
        <v>4047000</v>
      </c>
      <c r="J2277" s="8">
        <f t="shared" si="142"/>
        <v>2630550</v>
      </c>
      <c r="K2277" t="str">
        <f t="shared" si="143"/>
        <v>MATCHED</v>
      </c>
    </row>
    <row r="2278" spans="1:11">
      <c r="A2278" t="s">
        <v>110</v>
      </c>
      <c r="B2278" t="s">
        <v>1459</v>
      </c>
      <c r="C2278" t="s">
        <v>1278</v>
      </c>
      <c r="D2278" t="s">
        <v>1279</v>
      </c>
      <c r="E2278" s="8">
        <v>550</v>
      </c>
      <c r="F2278" s="8">
        <v>45540</v>
      </c>
      <c r="G2278" s="8">
        <f t="shared" si="140"/>
        <v>25047000</v>
      </c>
      <c r="H2278" s="5">
        <v>0.3177</v>
      </c>
      <c r="I2278" s="8">
        <f t="shared" si="141"/>
        <v>25047000</v>
      </c>
      <c r="J2278" s="8">
        <f t="shared" si="142"/>
        <v>7957431.9</v>
      </c>
      <c r="K2278" t="str">
        <f t="shared" si="143"/>
        <v>MATCHED</v>
      </c>
    </row>
    <row r="2279" spans="1:11">
      <c r="A2279" t="s">
        <v>110</v>
      </c>
      <c r="B2279" t="s">
        <v>1459</v>
      </c>
      <c r="C2279" t="s">
        <v>996</v>
      </c>
      <c r="D2279" t="s">
        <v>997</v>
      </c>
      <c r="E2279" s="8">
        <v>220</v>
      </c>
      <c r="F2279" s="8">
        <v>46490</v>
      </c>
      <c r="G2279" s="8">
        <f t="shared" si="140"/>
        <v>10227800</v>
      </c>
      <c r="H2279" s="5">
        <v>0.105</v>
      </c>
      <c r="I2279" s="8">
        <f t="shared" si="141"/>
        <v>10227800</v>
      </c>
      <c r="J2279" s="8">
        <f t="shared" si="142"/>
        <v>1073919</v>
      </c>
      <c r="K2279" t="str">
        <f t="shared" si="143"/>
        <v>MATCHED</v>
      </c>
    </row>
    <row r="2280" spans="1:11">
      <c r="A2280" t="s">
        <v>110</v>
      </c>
      <c r="B2280" t="s">
        <v>1459</v>
      </c>
      <c r="C2280" t="s">
        <v>998</v>
      </c>
      <c r="D2280" t="s">
        <v>999</v>
      </c>
      <c r="E2280" s="8">
        <v>80</v>
      </c>
      <c r="F2280" s="8">
        <v>81140</v>
      </c>
      <c r="G2280" s="8">
        <f t="shared" si="140"/>
        <v>6491200</v>
      </c>
      <c r="H2280" s="5">
        <v>0.0636</v>
      </c>
      <c r="I2280" s="8">
        <f t="shared" si="141"/>
        <v>6491200</v>
      </c>
      <c r="J2280" s="8">
        <f t="shared" si="142"/>
        <v>412840.32</v>
      </c>
      <c r="K2280" t="str">
        <f t="shared" si="143"/>
        <v>MATCHED</v>
      </c>
    </row>
    <row r="2281" spans="1:11">
      <c r="A2281" t="s">
        <v>110</v>
      </c>
      <c r="B2281" t="s">
        <v>1459</v>
      </c>
      <c r="C2281" t="s">
        <v>1280</v>
      </c>
      <c r="D2281" t="s">
        <v>1281</v>
      </c>
      <c r="E2281" s="8">
        <v>1220</v>
      </c>
      <c r="F2281" s="8">
        <v>31410</v>
      </c>
      <c r="G2281" s="8">
        <f t="shared" si="140"/>
        <v>38320200</v>
      </c>
      <c r="H2281" s="5">
        <v>0.1667</v>
      </c>
      <c r="I2281" s="8">
        <f t="shared" si="141"/>
        <v>38320200</v>
      </c>
      <c r="J2281" s="8">
        <f t="shared" si="142"/>
        <v>6387977.34</v>
      </c>
      <c r="K2281" t="str">
        <f t="shared" si="143"/>
        <v>MATCHED</v>
      </c>
    </row>
    <row r="2282" spans="1:11">
      <c r="A2282" t="s">
        <v>110</v>
      </c>
      <c r="B2282" t="s">
        <v>1459</v>
      </c>
      <c r="C2282" t="s">
        <v>1500</v>
      </c>
      <c r="D2282" t="s">
        <v>1501</v>
      </c>
      <c r="E2282" s="8">
        <v>1810</v>
      </c>
      <c r="F2282" s="8">
        <v>35510</v>
      </c>
      <c r="G2282" s="8">
        <f t="shared" si="140"/>
        <v>64273100</v>
      </c>
      <c r="H2282" s="5"/>
      <c r="I2282" s="8" t="str">
        <f t="shared" si="141"/>
        <v/>
      </c>
      <c r="J2282" s="8" t="str">
        <f t="shared" si="142"/>
        <v/>
      </c>
      <c r="K2282" t="str">
        <f t="shared" si="143"/>
        <v>MISSING WHARTON</v>
      </c>
    </row>
    <row r="2283" spans="1:11">
      <c r="A2283" t="s">
        <v>110</v>
      </c>
      <c r="B2283" t="s">
        <v>1459</v>
      </c>
      <c r="C2283" t="s">
        <v>355</v>
      </c>
      <c r="D2283" t="s">
        <v>356</v>
      </c>
      <c r="E2283" s="8">
        <v>997650</v>
      </c>
      <c r="F2283" s="8">
        <v>52830</v>
      </c>
      <c r="G2283" s="8">
        <f t="shared" si="140"/>
        <v>52705849500</v>
      </c>
      <c r="H2283" s="5">
        <v>0.4476</v>
      </c>
      <c r="I2283" s="8">
        <f t="shared" si="141"/>
        <v>52705849500</v>
      </c>
      <c r="J2283" s="8">
        <f t="shared" si="142"/>
        <v>23591138236.2</v>
      </c>
      <c r="K2283" t="str">
        <f t="shared" si="143"/>
        <v>MATCHED</v>
      </c>
    </row>
    <row r="2284" spans="1:11">
      <c r="A2284" t="s">
        <v>110</v>
      </c>
      <c r="B2284" t="s">
        <v>1459</v>
      </c>
      <c r="C2284" t="s">
        <v>357</v>
      </c>
      <c r="D2284" t="s">
        <v>358</v>
      </c>
      <c r="E2284" s="8">
        <v>25090</v>
      </c>
      <c r="F2284" s="8">
        <v>72840</v>
      </c>
      <c r="G2284" s="8">
        <f t="shared" si="140"/>
        <v>1827555600</v>
      </c>
      <c r="H2284" s="5">
        <v>0.4833</v>
      </c>
      <c r="I2284" s="8">
        <f t="shared" si="141"/>
        <v>1827555600</v>
      </c>
      <c r="J2284" s="8">
        <f t="shared" si="142"/>
        <v>883257621.48</v>
      </c>
      <c r="K2284" t="str">
        <f t="shared" si="143"/>
        <v>MATCHED</v>
      </c>
    </row>
    <row r="2285" spans="1:11">
      <c r="A2285" t="s">
        <v>110</v>
      </c>
      <c r="B2285" t="s">
        <v>1459</v>
      </c>
      <c r="C2285" t="s">
        <v>648</v>
      </c>
      <c r="D2285" t="s">
        <v>649</v>
      </c>
      <c r="E2285" s="8">
        <v>2552720</v>
      </c>
      <c r="F2285" s="8">
        <v>33190</v>
      </c>
      <c r="G2285" s="8">
        <f t="shared" si="140"/>
        <v>84724776800</v>
      </c>
      <c r="H2285" s="5">
        <v>0.6672</v>
      </c>
      <c r="I2285" s="8">
        <f t="shared" si="141"/>
        <v>84724776800</v>
      </c>
      <c r="J2285" s="8">
        <f t="shared" si="142"/>
        <v>56528371080.96</v>
      </c>
      <c r="K2285" t="str">
        <f t="shared" si="143"/>
        <v>MATCHED</v>
      </c>
    </row>
    <row r="2286" spans="1:11">
      <c r="A2286" t="s">
        <v>110</v>
      </c>
      <c r="B2286" t="s">
        <v>1459</v>
      </c>
      <c r="C2286" t="s">
        <v>878</v>
      </c>
      <c r="D2286" t="s">
        <v>879</v>
      </c>
      <c r="E2286" s="8">
        <v>89510</v>
      </c>
      <c r="F2286" s="8">
        <v>52430</v>
      </c>
      <c r="G2286" s="8">
        <f t="shared" si="140"/>
        <v>4693009300</v>
      </c>
      <c r="H2286" s="5">
        <v>0.7719</v>
      </c>
      <c r="I2286" s="8">
        <f t="shared" si="141"/>
        <v>4693009300</v>
      </c>
      <c r="J2286" s="8">
        <f t="shared" si="142"/>
        <v>3622533878.67</v>
      </c>
      <c r="K2286" t="str">
        <f t="shared" si="143"/>
        <v>MATCHED</v>
      </c>
    </row>
    <row r="2287" spans="1:11">
      <c r="A2287" t="s">
        <v>110</v>
      </c>
      <c r="B2287" t="s">
        <v>1459</v>
      </c>
      <c r="C2287" t="s">
        <v>1000</v>
      </c>
      <c r="D2287" t="s">
        <v>1001</v>
      </c>
      <c r="E2287" s="8">
        <v>200960</v>
      </c>
      <c r="F2287" s="8">
        <v>40920</v>
      </c>
      <c r="G2287" s="8">
        <f t="shared" si="140"/>
        <v>8223283200</v>
      </c>
      <c r="H2287" s="5">
        <v>0.3737</v>
      </c>
      <c r="I2287" s="8">
        <f t="shared" si="141"/>
        <v>8223283200</v>
      </c>
      <c r="J2287" s="8">
        <f t="shared" si="142"/>
        <v>3073040931.84</v>
      </c>
      <c r="K2287" t="str">
        <f t="shared" si="143"/>
        <v>MATCHED</v>
      </c>
    </row>
    <row r="2288" spans="1:11">
      <c r="A2288" t="s">
        <v>110</v>
      </c>
      <c r="B2288" t="s">
        <v>1459</v>
      </c>
      <c r="C2288" t="s">
        <v>359</v>
      </c>
      <c r="D2288" t="s">
        <v>360</v>
      </c>
      <c r="E2288" s="8">
        <v>3550380</v>
      </c>
      <c r="F2288" s="8">
        <v>37170</v>
      </c>
      <c r="G2288" s="8">
        <f t="shared" si="140"/>
        <v>131967624600</v>
      </c>
      <c r="H2288" s="5">
        <v>0.4938</v>
      </c>
      <c r="I2288" s="8">
        <f t="shared" si="141"/>
        <v>131967624600</v>
      </c>
      <c r="J2288" s="8">
        <f t="shared" si="142"/>
        <v>65165613027.48</v>
      </c>
      <c r="K2288" t="str">
        <f t="shared" si="143"/>
        <v>MATCHED</v>
      </c>
    </row>
    <row r="2289" spans="1:11">
      <c r="A2289" t="s">
        <v>110</v>
      </c>
      <c r="B2289" t="s">
        <v>1459</v>
      </c>
      <c r="C2289" t="s">
        <v>1002</v>
      </c>
      <c r="D2289" t="s">
        <v>1003</v>
      </c>
      <c r="E2289" s="8">
        <v>150</v>
      </c>
      <c r="F2289" s="8">
        <v>46200</v>
      </c>
      <c r="G2289" s="8">
        <f t="shared" si="140"/>
        <v>6930000</v>
      </c>
      <c r="H2289" s="5">
        <v>0.6725</v>
      </c>
      <c r="I2289" s="8">
        <f t="shared" si="141"/>
        <v>6930000</v>
      </c>
      <c r="J2289" s="8">
        <f t="shared" si="142"/>
        <v>4660425</v>
      </c>
      <c r="K2289" t="str">
        <f t="shared" si="143"/>
        <v>MATCHED</v>
      </c>
    </row>
    <row r="2290" spans="1:11">
      <c r="A2290" t="s">
        <v>110</v>
      </c>
      <c r="B2290" t="s">
        <v>1459</v>
      </c>
      <c r="C2290" t="s">
        <v>650</v>
      </c>
      <c r="D2290" t="s">
        <v>651</v>
      </c>
      <c r="E2290" s="8">
        <v>2100</v>
      </c>
      <c r="F2290" s="8">
        <v>128570</v>
      </c>
      <c r="G2290" s="8">
        <f t="shared" si="140"/>
        <v>269997000</v>
      </c>
      <c r="H2290" s="5">
        <v>0.845</v>
      </c>
      <c r="I2290" s="8">
        <f t="shared" si="141"/>
        <v>269997000</v>
      </c>
      <c r="J2290" s="8">
        <f t="shared" si="142"/>
        <v>228147465</v>
      </c>
      <c r="K2290" t="str">
        <f t="shared" si="143"/>
        <v>MATCHED</v>
      </c>
    </row>
    <row r="2291" spans="1:11">
      <c r="A2291" t="s">
        <v>110</v>
      </c>
      <c r="B2291" t="s">
        <v>1459</v>
      </c>
      <c r="C2291" t="s">
        <v>361</v>
      </c>
      <c r="D2291" t="s">
        <v>362</v>
      </c>
      <c r="E2291" s="8">
        <v>120260</v>
      </c>
      <c r="F2291" s="8">
        <v>55000</v>
      </c>
      <c r="G2291" s="8">
        <f t="shared" si="140"/>
        <v>6614300000</v>
      </c>
      <c r="H2291" s="5">
        <v>0.73</v>
      </c>
      <c r="I2291" s="8">
        <f t="shared" si="141"/>
        <v>6614300000</v>
      </c>
      <c r="J2291" s="8">
        <f t="shared" si="142"/>
        <v>4828439000</v>
      </c>
      <c r="K2291" t="str">
        <f t="shared" si="143"/>
        <v>MATCHED</v>
      </c>
    </row>
    <row r="2292" spans="1:11">
      <c r="A2292" t="s">
        <v>110</v>
      </c>
      <c r="B2292" t="s">
        <v>1459</v>
      </c>
      <c r="C2292" t="s">
        <v>652</v>
      </c>
      <c r="D2292" t="s">
        <v>653</v>
      </c>
      <c r="E2292" s="8">
        <v>5070</v>
      </c>
      <c r="F2292" s="8">
        <v>78010</v>
      </c>
      <c r="G2292" s="8">
        <f t="shared" si="140"/>
        <v>395510700</v>
      </c>
      <c r="H2292" s="5">
        <v>0.6463</v>
      </c>
      <c r="I2292" s="8">
        <f t="shared" si="141"/>
        <v>395510700</v>
      </c>
      <c r="J2292" s="8">
        <f t="shared" si="142"/>
        <v>255618565.41</v>
      </c>
      <c r="K2292" t="str">
        <f t="shared" si="143"/>
        <v>MATCHED</v>
      </c>
    </row>
    <row r="2293" spans="1:11">
      <c r="A2293" t="s">
        <v>110</v>
      </c>
      <c r="B2293" t="s">
        <v>1459</v>
      </c>
      <c r="C2293" t="s">
        <v>363</v>
      </c>
      <c r="D2293" t="s">
        <v>364</v>
      </c>
      <c r="E2293" s="8">
        <v>72990</v>
      </c>
      <c r="F2293" s="8">
        <v>68740</v>
      </c>
      <c r="G2293" s="8">
        <f t="shared" si="140"/>
        <v>5017332600</v>
      </c>
      <c r="H2293" s="5">
        <v>0.5105</v>
      </c>
      <c r="I2293" s="8">
        <f t="shared" si="141"/>
        <v>5017332600</v>
      </c>
      <c r="J2293" s="8">
        <f t="shared" si="142"/>
        <v>2561348292.3</v>
      </c>
      <c r="K2293" t="str">
        <f t="shared" si="143"/>
        <v>MATCHED</v>
      </c>
    </row>
    <row r="2294" spans="1:11">
      <c r="A2294" t="s">
        <v>110</v>
      </c>
      <c r="B2294" t="s">
        <v>1459</v>
      </c>
      <c r="C2294" t="s">
        <v>1006</v>
      </c>
      <c r="D2294" t="s">
        <v>1007</v>
      </c>
      <c r="E2294" s="8">
        <v>10240</v>
      </c>
      <c r="F2294" s="8">
        <v>40810</v>
      </c>
      <c r="G2294" s="8">
        <f t="shared" si="140"/>
        <v>417894400</v>
      </c>
      <c r="H2294" s="5">
        <v>0.3062</v>
      </c>
      <c r="I2294" s="8">
        <f t="shared" si="141"/>
        <v>417894400</v>
      </c>
      <c r="J2294" s="8">
        <f t="shared" si="142"/>
        <v>127959265.28</v>
      </c>
      <c r="K2294" t="str">
        <f t="shared" si="143"/>
        <v>MATCHED</v>
      </c>
    </row>
    <row r="2295" spans="1:11">
      <c r="A2295" t="s">
        <v>110</v>
      </c>
      <c r="B2295" t="s">
        <v>1459</v>
      </c>
      <c r="C2295" t="s">
        <v>1451</v>
      </c>
      <c r="D2295" t="s">
        <v>1452</v>
      </c>
      <c r="E2295" s="8"/>
      <c r="F2295" s="8">
        <v>68600</v>
      </c>
      <c r="G2295" s="8" t="str">
        <f t="shared" si="140"/>
        <v/>
      </c>
      <c r="H2295" s="5">
        <v>0.2071</v>
      </c>
      <c r="I2295" s="8" t="str">
        <f t="shared" si="141"/>
        <v/>
      </c>
      <c r="J2295" s="8" t="str">
        <f t="shared" si="142"/>
        <v/>
      </c>
      <c r="K2295" t="str">
        <f t="shared" si="143"/>
        <v>MISSING OEWS</v>
      </c>
    </row>
    <row r="2296" spans="1:11">
      <c r="A2296" t="s">
        <v>110</v>
      </c>
      <c r="B2296" t="s">
        <v>1459</v>
      </c>
      <c r="C2296" t="s">
        <v>654</v>
      </c>
      <c r="D2296" t="s">
        <v>655</v>
      </c>
      <c r="E2296" s="8">
        <v>400</v>
      </c>
      <c r="F2296" s="8">
        <v>76840</v>
      </c>
      <c r="G2296" s="8">
        <f t="shared" si="140"/>
        <v>30736000</v>
      </c>
      <c r="H2296" s="5">
        <v>0.5939</v>
      </c>
      <c r="I2296" s="8">
        <f t="shared" si="141"/>
        <v>30736000</v>
      </c>
      <c r="J2296" s="8">
        <f t="shared" si="142"/>
        <v>18254110.4</v>
      </c>
      <c r="K2296" t="str">
        <f t="shared" si="143"/>
        <v>MATCHED</v>
      </c>
    </row>
    <row r="2297" spans="1:11">
      <c r="A2297" t="s">
        <v>110</v>
      </c>
      <c r="B2297" t="s">
        <v>1459</v>
      </c>
      <c r="C2297" t="s">
        <v>656</v>
      </c>
      <c r="D2297" t="s">
        <v>657</v>
      </c>
      <c r="E2297" s="8">
        <v>730</v>
      </c>
      <c r="F2297" s="8">
        <v>77750</v>
      </c>
      <c r="G2297" s="8">
        <f t="shared" si="140"/>
        <v>56757500</v>
      </c>
      <c r="H2297" s="5">
        <v>0.518</v>
      </c>
      <c r="I2297" s="8">
        <f t="shared" si="141"/>
        <v>56757500</v>
      </c>
      <c r="J2297" s="8">
        <f t="shared" si="142"/>
        <v>29400385</v>
      </c>
      <c r="K2297" t="str">
        <f t="shared" si="143"/>
        <v>MATCHED</v>
      </c>
    </row>
    <row r="2298" spans="1:11">
      <c r="A2298" t="s">
        <v>110</v>
      </c>
      <c r="B2298" t="s">
        <v>1459</v>
      </c>
      <c r="C2298" t="s">
        <v>1010</v>
      </c>
      <c r="D2298" t="s">
        <v>1011</v>
      </c>
      <c r="E2298" s="8">
        <v>900</v>
      </c>
      <c r="F2298" s="8">
        <v>41690</v>
      </c>
      <c r="G2298" s="8">
        <f t="shared" si="140"/>
        <v>37521000</v>
      </c>
      <c r="H2298" s="5">
        <v>0.9625</v>
      </c>
      <c r="I2298" s="8">
        <f t="shared" si="141"/>
        <v>37521000</v>
      </c>
      <c r="J2298" s="8">
        <f t="shared" si="142"/>
        <v>36113962.5</v>
      </c>
      <c r="K2298" t="str">
        <f t="shared" si="143"/>
        <v>MATCHED</v>
      </c>
    </row>
    <row r="2299" spans="1:11">
      <c r="A2299" t="s">
        <v>110</v>
      </c>
      <c r="B2299" t="s">
        <v>1459</v>
      </c>
      <c r="C2299" t="s">
        <v>365</v>
      </c>
      <c r="D2299" t="s">
        <v>366</v>
      </c>
      <c r="E2299" s="8">
        <v>27500</v>
      </c>
      <c r="F2299" s="8">
        <v>49390</v>
      </c>
      <c r="G2299" s="8">
        <f t="shared" si="140"/>
        <v>1358225000</v>
      </c>
      <c r="H2299" s="5"/>
      <c r="I2299" s="8" t="str">
        <f t="shared" si="141"/>
        <v/>
      </c>
      <c r="J2299" s="8" t="str">
        <f t="shared" si="142"/>
        <v/>
      </c>
      <c r="K2299" t="str">
        <f t="shared" si="143"/>
        <v>MISSING WHARTON</v>
      </c>
    </row>
    <row r="2300" spans="1:11">
      <c r="A2300" t="s">
        <v>110</v>
      </c>
      <c r="B2300" t="s">
        <v>1459</v>
      </c>
      <c r="C2300" t="s">
        <v>367</v>
      </c>
      <c r="D2300" t="s">
        <v>368</v>
      </c>
      <c r="E2300" s="8">
        <v>96600</v>
      </c>
      <c r="F2300" s="8">
        <v>62610</v>
      </c>
      <c r="G2300" s="8">
        <f t="shared" si="140"/>
        <v>6048126000</v>
      </c>
      <c r="H2300" s="5">
        <v>0.5034</v>
      </c>
      <c r="I2300" s="8">
        <f t="shared" si="141"/>
        <v>6048126000</v>
      </c>
      <c r="J2300" s="8">
        <f t="shared" si="142"/>
        <v>3044626628.4</v>
      </c>
      <c r="K2300" t="str">
        <f t="shared" si="143"/>
        <v>MATCHED</v>
      </c>
    </row>
    <row r="2301" spans="1:11">
      <c r="A2301" t="s">
        <v>110</v>
      </c>
      <c r="B2301" t="s">
        <v>1459</v>
      </c>
      <c r="C2301" t="s">
        <v>1014</v>
      </c>
      <c r="D2301" t="s">
        <v>1015</v>
      </c>
      <c r="E2301" s="8">
        <v>790</v>
      </c>
      <c r="F2301" s="8">
        <v>33840</v>
      </c>
      <c r="G2301" s="8">
        <f t="shared" si="140"/>
        <v>26733600</v>
      </c>
      <c r="H2301" s="5">
        <v>0.7579</v>
      </c>
      <c r="I2301" s="8">
        <f t="shared" si="141"/>
        <v>26733600</v>
      </c>
      <c r="J2301" s="8">
        <f t="shared" si="142"/>
        <v>20261395.44</v>
      </c>
      <c r="K2301" t="str">
        <f t="shared" si="143"/>
        <v>MATCHED</v>
      </c>
    </row>
    <row r="2302" spans="1:11">
      <c r="A2302" t="s">
        <v>110</v>
      </c>
      <c r="B2302" t="s">
        <v>1459</v>
      </c>
      <c r="C2302" t="s">
        <v>1502</v>
      </c>
      <c r="D2302" t="s">
        <v>1503</v>
      </c>
      <c r="E2302" s="8">
        <v>70</v>
      </c>
      <c r="F2302" s="8">
        <v>37450</v>
      </c>
      <c r="G2302" s="8">
        <f t="shared" si="140"/>
        <v>2621500</v>
      </c>
      <c r="H2302" s="5">
        <v>0.9156</v>
      </c>
      <c r="I2302" s="8">
        <f t="shared" si="141"/>
        <v>2621500</v>
      </c>
      <c r="J2302" s="8">
        <f t="shared" si="142"/>
        <v>2400245.4</v>
      </c>
      <c r="K2302" t="str">
        <f t="shared" si="143"/>
        <v>MATCHED</v>
      </c>
    </row>
    <row r="2303" spans="1:11">
      <c r="A2303" t="s">
        <v>110</v>
      </c>
      <c r="B2303" t="s">
        <v>1459</v>
      </c>
      <c r="C2303" t="s">
        <v>880</v>
      </c>
      <c r="D2303" t="s">
        <v>881</v>
      </c>
      <c r="E2303" s="8">
        <v>4380</v>
      </c>
      <c r="F2303" s="8">
        <v>41290</v>
      </c>
      <c r="G2303" s="8">
        <f t="shared" si="140"/>
        <v>180850200</v>
      </c>
      <c r="H2303" s="5">
        <v>0.9</v>
      </c>
      <c r="I2303" s="8">
        <f t="shared" si="141"/>
        <v>180850200</v>
      </c>
      <c r="J2303" s="8">
        <f t="shared" si="142"/>
        <v>162765180</v>
      </c>
      <c r="K2303" t="str">
        <f t="shared" si="143"/>
        <v>MATCHED</v>
      </c>
    </row>
    <row r="2304" spans="1:11">
      <c r="A2304" t="s">
        <v>110</v>
      </c>
      <c r="B2304" t="s">
        <v>1459</v>
      </c>
      <c r="C2304" t="s">
        <v>369</v>
      </c>
      <c r="D2304" t="s">
        <v>370</v>
      </c>
      <c r="E2304" s="8">
        <v>12450</v>
      </c>
      <c r="F2304" s="8">
        <v>47080</v>
      </c>
      <c r="G2304" s="8">
        <f t="shared" si="140"/>
        <v>586146000</v>
      </c>
      <c r="H2304" s="5">
        <v>0.8617</v>
      </c>
      <c r="I2304" s="8">
        <f t="shared" si="141"/>
        <v>586146000</v>
      </c>
      <c r="J2304" s="8">
        <f t="shared" si="142"/>
        <v>505082008.2</v>
      </c>
      <c r="K2304" t="str">
        <f t="shared" si="143"/>
        <v>MATCHED</v>
      </c>
    </row>
    <row r="2305" spans="1:11">
      <c r="A2305" t="s">
        <v>110</v>
      </c>
      <c r="B2305" t="s">
        <v>1459</v>
      </c>
      <c r="C2305" t="s">
        <v>371</v>
      </c>
      <c r="D2305" t="s">
        <v>372</v>
      </c>
      <c r="E2305" s="8">
        <v>103330</v>
      </c>
      <c r="F2305" s="8">
        <v>48010</v>
      </c>
      <c r="G2305" s="8">
        <f t="shared" si="140"/>
        <v>4960873300</v>
      </c>
      <c r="H2305" s="5">
        <v>0.9517</v>
      </c>
      <c r="I2305" s="8">
        <f t="shared" si="141"/>
        <v>4960873300</v>
      </c>
      <c r="J2305" s="8">
        <f t="shared" si="142"/>
        <v>4721263119.61</v>
      </c>
      <c r="K2305" t="str">
        <f t="shared" si="143"/>
        <v>MATCHED</v>
      </c>
    </row>
    <row r="2306" spans="1:11">
      <c r="A2306" t="s">
        <v>110</v>
      </c>
      <c r="B2306" t="s">
        <v>1459</v>
      </c>
      <c r="C2306" t="s">
        <v>373</v>
      </c>
      <c r="D2306" t="s">
        <v>374</v>
      </c>
      <c r="E2306" s="8">
        <v>6100</v>
      </c>
      <c r="F2306" s="8">
        <v>55230</v>
      </c>
      <c r="G2306" s="8">
        <f t="shared" ref="G2306:G2369" si="144">IF(OR(E2306="",F2306=""),"",E2306*F2306)</f>
        <v>336903000</v>
      </c>
      <c r="H2306" s="5">
        <v>0.9409</v>
      </c>
      <c r="I2306" s="8">
        <f t="shared" ref="I2306:I2369" si="145">IF(G2306="","",IF(ISNUMBER(H2306),G2306,""))</f>
        <v>336903000</v>
      </c>
      <c r="J2306" s="8">
        <f t="shared" ref="J2306:J2369" si="146">IF(I2306="","",I2306*H2306)</f>
        <v>316992032.7</v>
      </c>
      <c r="K2306" t="str">
        <f t="shared" ref="K2306:K2369" si="147">IF(G2306="","MISSING OEWS",IF(ISNUMBER(H2306),"MATCHED","MISSING WHARTON"))</f>
        <v>MATCHED</v>
      </c>
    </row>
    <row r="2307" spans="1:11">
      <c r="A2307" t="s">
        <v>110</v>
      </c>
      <c r="B2307" t="s">
        <v>1459</v>
      </c>
      <c r="C2307" t="s">
        <v>375</v>
      </c>
      <c r="D2307" t="s">
        <v>376</v>
      </c>
      <c r="E2307" s="8">
        <v>4050</v>
      </c>
      <c r="F2307" s="8">
        <v>45500</v>
      </c>
      <c r="G2307" s="8">
        <f t="shared" si="144"/>
        <v>184275000</v>
      </c>
      <c r="H2307" s="5">
        <v>0.8237</v>
      </c>
      <c r="I2307" s="8">
        <f t="shared" si="145"/>
        <v>184275000</v>
      </c>
      <c r="J2307" s="8">
        <f t="shared" si="146"/>
        <v>151787317.5</v>
      </c>
      <c r="K2307" t="str">
        <f t="shared" si="147"/>
        <v>MATCHED</v>
      </c>
    </row>
    <row r="2308" spans="1:11">
      <c r="A2308" t="s">
        <v>110</v>
      </c>
      <c r="B2308" t="s">
        <v>1459</v>
      </c>
      <c r="C2308" t="s">
        <v>884</v>
      </c>
      <c r="D2308" t="s">
        <v>885</v>
      </c>
      <c r="E2308" s="8">
        <v>630</v>
      </c>
      <c r="F2308" s="8">
        <v>50260</v>
      </c>
      <c r="G2308" s="8">
        <f t="shared" si="144"/>
        <v>31663800</v>
      </c>
      <c r="H2308" s="5"/>
      <c r="I2308" s="8" t="str">
        <f t="shared" si="145"/>
        <v/>
      </c>
      <c r="J2308" s="8" t="str">
        <f t="shared" si="146"/>
        <v/>
      </c>
      <c r="K2308" t="str">
        <f t="shared" si="147"/>
        <v>MISSING WHARTON</v>
      </c>
    </row>
    <row r="2309" spans="1:11">
      <c r="A2309" t="s">
        <v>110</v>
      </c>
      <c r="B2309" t="s">
        <v>1459</v>
      </c>
      <c r="C2309" t="s">
        <v>1284</v>
      </c>
      <c r="D2309" t="s">
        <v>1285</v>
      </c>
      <c r="E2309" s="8">
        <v>430</v>
      </c>
      <c r="F2309" s="8">
        <v>41890</v>
      </c>
      <c r="G2309" s="8">
        <f t="shared" si="144"/>
        <v>18012700</v>
      </c>
      <c r="H2309" s="5">
        <v>0.85</v>
      </c>
      <c r="I2309" s="8">
        <f t="shared" si="145"/>
        <v>18012700</v>
      </c>
      <c r="J2309" s="8">
        <f t="shared" si="146"/>
        <v>15310795</v>
      </c>
      <c r="K2309" t="str">
        <f t="shared" si="147"/>
        <v>MATCHED</v>
      </c>
    </row>
    <row r="2310" spans="1:11">
      <c r="A2310" t="s">
        <v>110</v>
      </c>
      <c r="B2310" t="s">
        <v>1459</v>
      </c>
      <c r="C2310" t="s">
        <v>1504</v>
      </c>
      <c r="D2310" t="s">
        <v>1505</v>
      </c>
      <c r="E2310" s="8">
        <v>170</v>
      </c>
      <c r="F2310" s="8">
        <v>45670</v>
      </c>
      <c r="G2310" s="8">
        <f t="shared" si="144"/>
        <v>7763900</v>
      </c>
      <c r="H2310" s="5">
        <v>0.8867</v>
      </c>
      <c r="I2310" s="8">
        <f t="shared" si="145"/>
        <v>7763900</v>
      </c>
      <c r="J2310" s="8">
        <f t="shared" si="146"/>
        <v>6884250.13</v>
      </c>
      <c r="K2310" t="str">
        <f t="shared" si="147"/>
        <v>MATCHED</v>
      </c>
    </row>
    <row r="2311" spans="1:11">
      <c r="A2311" t="s">
        <v>110</v>
      </c>
      <c r="B2311" t="s">
        <v>1459</v>
      </c>
      <c r="C2311" t="s">
        <v>1016</v>
      </c>
      <c r="D2311" t="s">
        <v>1017</v>
      </c>
      <c r="E2311" s="8">
        <v>2100</v>
      </c>
      <c r="F2311" s="8">
        <v>39020</v>
      </c>
      <c r="G2311" s="8">
        <f t="shared" si="144"/>
        <v>81942000</v>
      </c>
      <c r="H2311" s="5">
        <v>0.9469</v>
      </c>
      <c r="I2311" s="8">
        <f t="shared" si="145"/>
        <v>81942000</v>
      </c>
      <c r="J2311" s="8">
        <f t="shared" si="146"/>
        <v>77590879.8</v>
      </c>
      <c r="K2311" t="str">
        <f t="shared" si="147"/>
        <v>MATCHED</v>
      </c>
    </row>
    <row r="2312" spans="1:11">
      <c r="A2312" t="s">
        <v>110</v>
      </c>
      <c r="B2312" t="s">
        <v>1459</v>
      </c>
      <c r="C2312" t="s">
        <v>377</v>
      </c>
      <c r="D2312" t="s">
        <v>378</v>
      </c>
      <c r="E2312" s="8">
        <v>411850</v>
      </c>
      <c r="F2312" s="8">
        <v>39620</v>
      </c>
      <c r="G2312" s="8">
        <f t="shared" si="144"/>
        <v>16317497000</v>
      </c>
      <c r="H2312" s="5">
        <v>0.82</v>
      </c>
      <c r="I2312" s="8">
        <f t="shared" si="145"/>
        <v>16317497000</v>
      </c>
      <c r="J2312" s="8">
        <f t="shared" si="146"/>
        <v>13380347540</v>
      </c>
      <c r="K2312" t="str">
        <f t="shared" si="147"/>
        <v>MATCHED</v>
      </c>
    </row>
    <row r="2313" spans="1:11">
      <c r="A2313" t="s">
        <v>110</v>
      </c>
      <c r="B2313" t="s">
        <v>1459</v>
      </c>
      <c r="C2313" t="s">
        <v>379</v>
      </c>
      <c r="D2313" t="s">
        <v>380</v>
      </c>
      <c r="E2313" s="8">
        <v>2990</v>
      </c>
      <c r="F2313" s="8">
        <v>38160</v>
      </c>
      <c r="G2313" s="8">
        <f t="shared" si="144"/>
        <v>114098400</v>
      </c>
      <c r="H2313" s="5">
        <v>0.7526</v>
      </c>
      <c r="I2313" s="8">
        <f t="shared" si="145"/>
        <v>114098400</v>
      </c>
      <c r="J2313" s="8">
        <f t="shared" si="146"/>
        <v>85870455.84</v>
      </c>
      <c r="K2313" t="str">
        <f t="shared" si="147"/>
        <v>MATCHED</v>
      </c>
    </row>
    <row r="2314" spans="1:11">
      <c r="A2314" t="s">
        <v>110</v>
      </c>
      <c r="B2314" t="s">
        <v>1459</v>
      </c>
      <c r="C2314" t="s">
        <v>1506</v>
      </c>
      <c r="D2314" t="s">
        <v>1507</v>
      </c>
      <c r="E2314" s="8"/>
      <c r="F2314" s="8">
        <v>28250</v>
      </c>
      <c r="G2314" s="8" t="str">
        <f t="shared" si="144"/>
        <v/>
      </c>
      <c r="H2314" s="5">
        <v>0.665</v>
      </c>
      <c r="I2314" s="8" t="str">
        <f t="shared" si="145"/>
        <v/>
      </c>
      <c r="J2314" s="8" t="str">
        <f t="shared" si="146"/>
        <v/>
      </c>
      <c r="K2314" t="str">
        <f t="shared" si="147"/>
        <v>MISSING OEWS</v>
      </c>
    </row>
    <row r="2315" spans="1:11">
      <c r="A2315" t="s">
        <v>110</v>
      </c>
      <c r="B2315" t="s">
        <v>1459</v>
      </c>
      <c r="C2315" t="s">
        <v>1286</v>
      </c>
      <c r="D2315" t="s">
        <v>1287</v>
      </c>
      <c r="E2315" s="8">
        <v>290</v>
      </c>
      <c r="F2315" s="8">
        <v>46840</v>
      </c>
      <c r="G2315" s="8">
        <f t="shared" si="144"/>
        <v>13583600</v>
      </c>
      <c r="H2315" s="5">
        <v>0.7088</v>
      </c>
      <c r="I2315" s="8">
        <f t="shared" si="145"/>
        <v>13583600</v>
      </c>
      <c r="J2315" s="8">
        <f t="shared" si="146"/>
        <v>9628055.68</v>
      </c>
      <c r="K2315" t="str">
        <f t="shared" si="147"/>
        <v>MATCHED</v>
      </c>
    </row>
    <row r="2316" spans="1:11">
      <c r="A2316" t="s">
        <v>110</v>
      </c>
      <c r="B2316" t="s">
        <v>1459</v>
      </c>
      <c r="C2316" t="s">
        <v>1018</v>
      </c>
      <c r="D2316" t="s">
        <v>1019</v>
      </c>
      <c r="E2316" s="8">
        <v>420</v>
      </c>
      <c r="F2316" s="8">
        <v>49070</v>
      </c>
      <c r="G2316" s="8">
        <f t="shared" si="144"/>
        <v>20609400</v>
      </c>
      <c r="H2316" s="5">
        <v>0.9111</v>
      </c>
      <c r="I2316" s="8">
        <f t="shared" si="145"/>
        <v>20609400</v>
      </c>
      <c r="J2316" s="8">
        <f t="shared" si="146"/>
        <v>18777224.34</v>
      </c>
      <c r="K2316" t="str">
        <f t="shared" si="147"/>
        <v>MATCHED</v>
      </c>
    </row>
    <row r="2317" spans="1:11">
      <c r="A2317" t="s">
        <v>110</v>
      </c>
      <c r="B2317" t="s">
        <v>1459</v>
      </c>
      <c r="C2317" t="s">
        <v>381</v>
      </c>
      <c r="D2317" t="s">
        <v>382</v>
      </c>
      <c r="E2317" s="8">
        <v>15860</v>
      </c>
      <c r="F2317" s="8">
        <v>44870</v>
      </c>
      <c r="G2317" s="8">
        <f t="shared" si="144"/>
        <v>711638200</v>
      </c>
      <c r="H2317" s="5">
        <v>0.9553</v>
      </c>
      <c r="I2317" s="8">
        <f t="shared" si="145"/>
        <v>711638200</v>
      </c>
      <c r="J2317" s="8">
        <f t="shared" si="146"/>
        <v>679827972.46</v>
      </c>
      <c r="K2317" t="str">
        <f t="shared" si="147"/>
        <v>MATCHED</v>
      </c>
    </row>
    <row r="2318" spans="1:11">
      <c r="A2318" t="s">
        <v>110</v>
      </c>
      <c r="B2318" t="s">
        <v>1459</v>
      </c>
      <c r="C2318" t="s">
        <v>383</v>
      </c>
      <c r="D2318" t="s">
        <v>384</v>
      </c>
      <c r="E2318" s="8">
        <v>2630</v>
      </c>
      <c r="F2318" s="8">
        <v>47960</v>
      </c>
      <c r="G2318" s="8">
        <f t="shared" si="144"/>
        <v>126134800</v>
      </c>
      <c r="H2318" s="5">
        <v>0.8342</v>
      </c>
      <c r="I2318" s="8">
        <f t="shared" si="145"/>
        <v>126134800</v>
      </c>
      <c r="J2318" s="8">
        <f t="shared" si="146"/>
        <v>105221650.16</v>
      </c>
      <c r="K2318" t="str">
        <f t="shared" si="147"/>
        <v>MATCHED</v>
      </c>
    </row>
    <row r="2319" spans="1:11">
      <c r="A2319" t="s">
        <v>110</v>
      </c>
      <c r="B2319" t="s">
        <v>1459</v>
      </c>
      <c r="C2319" t="s">
        <v>385</v>
      </c>
      <c r="D2319" t="s">
        <v>386</v>
      </c>
      <c r="E2319" s="8">
        <v>40770</v>
      </c>
      <c r="F2319" s="8">
        <v>36400</v>
      </c>
      <c r="G2319" s="8">
        <f t="shared" si="144"/>
        <v>1484028000</v>
      </c>
      <c r="H2319" s="5">
        <v>0.7368</v>
      </c>
      <c r="I2319" s="8">
        <f t="shared" si="145"/>
        <v>1484028000</v>
      </c>
      <c r="J2319" s="8">
        <f t="shared" si="146"/>
        <v>1093431830.4</v>
      </c>
      <c r="K2319" t="str">
        <f t="shared" si="147"/>
        <v>MATCHED</v>
      </c>
    </row>
    <row r="2320" spans="1:11">
      <c r="A2320" t="s">
        <v>110</v>
      </c>
      <c r="B2320" t="s">
        <v>1459</v>
      </c>
      <c r="C2320" t="s">
        <v>658</v>
      </c>
      <c r="D2320" t="s">
        <v>659</v>
      </c>
      <c r="E2320" s="8">
        <v>4800</v>
      </c>
      <c r="F2320" s="8">
        <v>46690</v>
      </c>
      <c r="G2320" s="8">
        <f t="shared" si="144"/>
        <v>224112000</v>
      </c>
      <c r="H2320" s="5"/>
      <c r="I2320" s="8" t="str">
        <f t="shared" si="145"/>
        <v/>
      </c>
      <c r="J2320" s="8" t="str">
        <f t="shared" si="146"/>
        <v/>
      </c>
      <c r="K2320" t="str">
        <f t="shared" si="147"/>
        <v>MISSING WHARTON</v>
      </c>
    </row>
    <row r="2321" spans="1:11">
      <c r="A2321" t="s">
        <v>110</v>
      </c>
      <c r="B2321" t="s">
        <v>1459</v>
      </c>
      <c r="C2321" t="s">
        <v>1288</v>
      </c>
      <c r="D2321" t="s">
        <v>1289</v>
      </c>
      <c r="E2321" s="8">
        <v>80</v>
      </c>
      <c r="F2321" s="8">
        <v>52020</v>
      </c>
      <c r="G2321" s="8">
        <f t="shared" si="144"/>
        <v>4161600</v>
      </c>
      <c r="H2321" s="5">
        <v>0.6384</v>
      </c>
      <c r="I2321" s="8">
        <f t="shared" si="145"/>
        <v>4161600</v>
      </c>
      <c r="J2321" s="8">
        <f t="shared" si="146"/>
        <v>2656765.44</v>
      </c>
      <c r="K2321" t="str">
        <f t="shared" si="147"/>
        <v>MATCHED</v>
      </c>
    </row>
    <row r="2322" spans="1:11">
      <c r="A2322" t="s">
        <v>110</v>
      </c>
      <c r="B2322" t="s">
        <v>1459</v>
      </c>
      <c r="C2322" t="s">
        <v>886</v>
      </c>
      <c r="D2322" t="s">
        <v>887</v>
      </c>
      <c r="E2322" s="8">
        <v>2740</v>
      </c>
      <c r="F2322" s="8">
        <v>37040</v>
      </c>
      <c r="G2322" s="8">
        <f t="shared" si="144"/>
        <v>101489600</v>
      </c>
      <c r="H2322" s="5">
        <v>0.2235</v>
      </c>
      <c r="I2322" s="8">
        <f t="shared" si="145"/>
        <v>101489600</v>
      </c>
      <c r="J2322" s="8">
        <f t="shared" si="146"/>
        <v>22682925.6</v>
      </c>
      <c r="K2322" t="str">
        <f t="shared" si="147"/>
        <v>MATCHED</v>
      </c>
    </row>
    <row r="2323" spans="1:11">
      <c r="A2323" t="s">
        <v>110</v>
      </c>
      <c r="B2323" t="s">
        <v>1459</v>
      </c>
      <c r="C2323" t="s">
        <v>387</v>
      </c>
      <c r="D2323" t="s">
        <v>388</v>
      </c>
      <c r="E2323" s="8">
        <v>7310</v>
      </c>
      <c r="F2323" s="8">
        <v>51790</v>
      </c>
      <c r="G2323" s="8">
        <f t="shared" si="144"/>
        <v>378584900</v>
      </c>
      <c r="H2323" s="5">
        <v>0.8192</v>
      </c>
      <c r="I2323" s="8">
        <f t="shared" si="145"/>
        <v>378584900</v>
      </c>
      <c r="J2323" s="8">
        <f t="shared" si="146"/>
        <v>310136750.08</v>
      </c>
      <c r="K2323" t="str">
        <f t="shared" si="147"/>
        <v>MATCHED</v>
      </c>
    </row>
    <row r="2324" spans="1:11">
      <c r="A2324" t="s">
        <v>110</v>
      </c>
      <c r="B2324" t="s">
        <v>1459</v>
      </c>
      <c r="C2324" t="s">
        <v>389</v>
      </c>
      <c r="D2324" t="s">
        <v>390</v>
      </c>
      <c r="E2324" s="8">
        <v>14350</v>
      </c>
      <c r="F2324" s="8">
        <v>47440</v>
      </c>
      <c r="G2324" s="8">
        <f t="shared" si="144"/>
        <v>680764000</v>
      </c>
      <c r="H2324" s="5">
        <v>0.7794</v>
      </c>
      <c r="I2324" s="8">
        <f t="shared" si="145"/>
        <v>680764000</v>
      </c>
      <c r="J2324" s="8">
        <f t="shared" si="146"/>
        <v>530587461.6</v>
      </c>
      <c r="K2324" t="str">
        <f t="shared" si="147"/>
        <v>MATCHED</v>
      </c>
    </row>
    <row r="2325" spans="1:11">
      <c r="A2325" t="s">
        <v>110</v>
      </c>
      <c r="B2325" t="s">
        <v>1459</v>
      </c>
      <c r="C2325" t="s">
        <v>391</v>
      </c>
      <c r="D2325" t="s">
        <v>392</v>
      </c>
      <c r="E2325" s="8">
        <v>154730</v>
      </c>
      <c r="F2325" s="8">
        <v>41800</v>
      </c>
      <c r="G2325" s="8">
        <f t="shared" si="144"/>
        <v>6467714000</v>
      </c>
      <c r="H2325" s="5">
        <v>0.6455</v>
      </c>
      <c r="I2325" s="8">
        <f t="shared" si="145"/>
        <v>6467714000</v>
      </c>
      <c r="J2325" s="8">
        <f t="shared" si="146"/>
        <v>4174909387</v>
      </c>
      <c r="K2325" t="str">
        <f t="shared" si="147"/>
        <v>MATCHED</v>
      </c>
    </row>
    <row r="2326" spans="1:11">
      <c r="A2326" t="s">
        <v>110</v>
      </c>
      <c r="B2326" t="s">
        <v>1459</v>
      </c>
      <c r="C2326" t="s">
        <v>393</v>
      </c>
      <c r="D2326" t="s">
        <v>394</v>
      </c>
      <c r="E2326" s="8">
        <v>4680</v>
      </c>
      <c r="F2326" s="8">
        <v>44280</v>
      </c>
      <c r="G2326" s="8">
        <f t="shared" si="144"/>
        <v>207230400</v>
      </c>
      <c r="H2326" s="5">
        <v>0.2932</v>
      </c>
      <c r="I2326" s="8">
        <f t="shared" si="145"/>
        <v>207230400</v>
      </c>
      <c r="J2326" s="8">
        <f t="shared" si="146"/>
        <v>60759953.28</v>
      </c>
      <c r="K2326" t="str">
        <f t="shared" si="147"/>
        <v>MATCHED</v>
      </c>
    </row>
    <row r="2327" spans="1:11">
      <c r="A2327" t="s">
        <v>110</v>
      </c>
      <c r="B2327" t="s">
        <v>1459</v>
      </c>
      <c r="C2327" t="s">
        <v>395</v>
      </c>
      <c r="D2327" t="s">
        <v>396</v>
      </c>
      <c r="E2327" s="8">
        <v>5540</v>
      </c>
      <c r="F2327" s="8">
        <v>71170</v>
      </c>
      <c r="G2327" s="8">
        <f t="shared" si="144"/>
        <v>394281800</v>
      </c>
      <c r="H2327" s="5">
        <v>0.7955</v>
      </c>
      <c r="I2327" s="8">
        <f t="shared" si="145"/>
        <v>394281800</v>
      </c>
      <c r="J2327" s="8">
        <f t="shared" si="146"/>
        <v>313651171.9</v>
      </c>
      <c r="K2327" t="str">
        <f t="shared" si="147"/>
        <v>MATCHED</v>
      </c>
    </row>
    <row r="2328" spans="1:11">
      <c r="A2328" t="s">
        <v>110</v>
      </c>
      <c r="B2328" t="s">
        <v>1459</v>
      </c>
      <c r="C2328" t="s">
        <v>1290</v>
      </c>
      <c r="D2328" t="s">
        <v>1291</v>
      </c>
      <c r="E2328" s="8">
        <v>2020</v>
      </c>
      <c r="F2328" s="8">
        <v>43020</v>
      </c>
      <c r="G2328" s="8">
        <f t="shared" si="144"/>
        <v>86900400</v>
      </c>
      <c r="H2328" s="5">
        <v>0.9031</v>
      </c>
      <c r="I2328" s="8">
        <f t="shared" si="145"/>
        <v>86900400</v>
      </c>
      <c r="J2328" s="8">
        <f t="shared" si="146"/>
        <v>78479751.24</v>
      </c>
      <c r="K2328" t="str">
        <f t="shared" si="147"/>
        <v>MATCHED</v>
      </c>
    </row>
    <row r="2329" spans="1:11">
      <c r="A2329" t="s">
        <v>110</v>
      </c>
      <c r="B2329" t="s">
        <v>1459</v>
      </c>
      <c r="C2329" t="s">
        <v>397</v>
      </c>
      <c r="D2329" t="s">
        <v>398</v>
      </c>
      <c r="E2329" s="8">
        <v>52550</v>
      </c>
      <c r="F2329" s="8">
        <v>44430</v>
      </c>
      <c r="G2329" s="8">
        <f t="shared" si="144"/>
        <v>2334796500</v>
      </c>
      <c r="H2329" s="5">
        <v>0.8031</v>
      </c>
      <c r="I2329" s="8">
        <f t="shared" si="145"/>
        <v>2334796500</v>
      </c>
      <c r="J2329" s="8">
        <f t="shared" si="146"/>
        <v>1875075069.15</v>
      </c>
      <c r="K2329" t="str">
        <f t="shared" si="147"/>
        <v>MATCHED</v>
      </c>
    </row>
    <row r="2330" spans="1:11">
      <c r="A2330" t="s">
        <v>110</v>
      </c>
      <c r="B2330" t="s">
        <v>1459</v>
      </c>
      <c r="C2330" t="s">
        <v>399</v>
      </c>
      <c r="D2330" t="s">
        <v>400</v>
      </c>
      <c r="E2330" s="8">
        <v>6550</v>
      </c>
      <c r="F2330" s="8">
        <v>41720</v>
      </c>
      <c r="G2330" s="8">
        <f t="shared" si="144"/>
        <v>273266000</v>
      </c>
      <c r="H2330" s="5">
        <v>0.75</v>
      </c>
      <c r="I2330" s="8">
        <f t="shared" si="145"/>
        <v>273266000</v>
      </c>
      <c r="J2330" s="8">
        <f t="shared" si="146"/>
        <v>204949500</v>
      </c>
      <c r="K2330" t="str">
        <f t="shared" si="147"/>
        <v>MATCHED</v>
      </c>
    </row>
    <row r="2331" spans="1:11">
      <c r="A2331" t="s">
        <v>110</v>
      </c>
      <c r="B2331" t="s">
        <v>1459</v>
      </c>
      <c r="C2331" t="s">
        <v>1455</v>
      </c>
      <c r="D2331" t="s">
        <v>1456</v>
      </c>
      <c r="E2331" s="8">
        <v>40</v>
      </c>
      <c r="F2331" s="8">
        <v>42920</v>
      </c>
      <c r="G2331" s="8">
        <f t="shared" si="144"/>
        <v>1716800</v>
      </c>
      <c r="H2331" s="5">
        <v>0.835</v>
      </c>
      <c r="I2331" s="8">
        <f t="shared" si="145"/>
        <v>1716800</v>
      </c>
      <c r="J2331" s="8">
        <f t="shared" si="146"/>
        <v>1433528</v>
      </c>
      <c r="K2331" t="str">
        <f t="shared" si="147"/>
        <v>MATCHED</v>
      </c>
    </row>
    <row r="2332" spans="1:11">
      <c r="A2332" t="s">
        <v>110</v>
      </c>
      <c r="B2332" t="s">
        <v>1459</v>
      </c>
      <c r="C2332" t="s">
        <v>1020</v>
      </c>
      <c r="D2332" t="s">
        <v>1021</v>
      </c>
      <c r="E2332" s="8">
        <v>2130</v>
      </c>
      <c r="F2332" s="8">
        <v>48690</v>
      </c>
      <c r="G2332" s="8">
        <f t="shared" si="144"/>
        <v>103709700</v>
      </c>
      <c r="H2332" s="5">
        <v>0.9519</v>
      </c>
      <c r="I2332" s="8">
        <f t="shared" si="145"/>
        <v>103709700</v>
      </c>
      <c r="J2332" s="8">
        <f t="shared" si="146"/>
        <v>98721263.43</v>
      </c>
      <c r="K2332" t="str">
        <f t="shared" si="147"/>
        <v>MATCHED</v>
      </c>
    </row>
    <row r="2333" spans="1:11">
      <c r="A2333" t="s">
        <v>110</v>
      </c>
      <c r="B2333" t="s">
        <v>1459</v>
      </c>
      <c r="C2333" t="s">
        <v>892</v>
      </c>
      <c r="D2333" t="s">
        <v>893</v>
      </c>
      <c r="E2333" s="8">
        <v>570</v>
      </c>
      <c r="F2333" s="8">
        <v>42390</v>
      </c>
      <c r="G2333" s="8">
        <f t="shared" si="144"/>
        <v>24162300</v>
      </c>
      <c r="H2333" s="5">
        <v>0.231</v>
      </c>
      <c r="I2333" s="8">
        <f t="shared" si="145"/>
        <v>24162300</v>
      </c>
      <c r="J2333" s="8">
        <f t="shared" si="146"/>
        <v>5581491.3</v>
      </c>
      <c r="K2333" t="str">
        <f t="shared" si="147"/>
        <v>MATCHED</v>
      </c>
    </row>
    <row r="2334" spans="1:11">
      <c r="A2334" t="s">
        <v>110</v>
      </c>
      <c r="B2334" t="s">
        <v>1459</v>
      </c>
      <c r="C2334" t="s">
        <v>401</v>
      </c>
      <c r="D2334" t="s">
        <v>402</v>
      </c>
      <c r="E2334" s="8">
        <v>148590</v>
      </c>
      <c r="F2334" s="8">
        <v>42500</v>
      </c>
      <c r="G2334" s="8">
        <f t="shared" si="144"/>
        <v>6315075000</v>
      </c>
      <c r="H2334" s="5">
        <v>0.7452</v>
      </c>
      <c r="I2334" s="8">
        <f t="shared" si="145"/>
        <v>6315075000</v>
      </c>
      <c r="J2334" s="8">
        <f t="shared" si="146"/>
        <v>4705993890</v>
      </c>
      <c r="K2334" t="str">
        <f t="shared" si="147"/>
        <v>MATCHED</v>
      </c>
    </row>
    <row r="2335" spans="1:11">
      <c r="A2335" t="s">
        <v>110</v>
      </c>
      <c r="B2335" t="s">
        <v>1459</v>
      </c>
      <c r="C2335" t="s">
        <v>660</v>
      </c>
      <c r="D2335" t="s">
        <v>661</v>
      </c>
      <c r="E2335" s="8">
        <v>1040</v>
      </c>
      <c r="F2335" s="8">
        <v>40570</v>
      </c>
      <c r="G2335" s="8">
        <f t="shared" si="144"/>
        <v>42192800</v>
      </c>
      <c r="H2335" s="5">
        <v>0.2639</v>
      </c>
      <c r="I2335" s="8">
        <f t="shared" si="145"/>
        <v>42192800</v>
      </c>
      <c r="J2335" s="8">
        <f t="shared" si="146"/>
        <v>11134679.92</v>
      </c>
      <c r="K2335" t="str">
        <f t="shared" si="147"/>
        <v>MATCHED</v>
      </c>
    </row>
    <row r="2336" spans="1:11">
      <c r="A2336" t="s">
        <v>110</v>
      </c>
      <c r="B2336" t="s">
        <v>1459</v>
      </c>
      <c r="C2336" t="s">
        <v>1294</v>
      </c>
      <c r="D2336" t="s">
        <v>1295</v>
      </c>
      <c r="E2336" s="8">
        <v>90</v>
      </c>
      <c r="F2336" s="8">
        <v>51830</v>
      </c>
      <c r="G2336" s="8">
        <f t="shared" si="144"/>
        <v>4664700</v>
      </c>
      <c r="H2336" s="5">
        <v>0.9273</v>
      </c>
      <c r="I2336" s="8">
        <f t="shared" si="145"/>
        <v>4664700</v>
      </c>
      <c r="J2336" s="8">
        <f t="shared" si="146"/>
        <v>4325576.31</v>
      </c>
      <c r="K2336" t="str">
        <f t="shared" si="147"/>
        <v>MATCHED</v>
      </c>
    </row>
    <row r="2337" spans="1:11">
      <c r="A2337" t="s">
        <v>110</v>
      </c>
      <c r="B2337" t="s">
        <v>1459</v>
      </c>
      <c r="C2337" t="s">
        <v>662</v>
      </c>
      <c r="D2337" t="s">
        <v>663</v>
      </c>
      <c r="E2337" s="8">
        <v>6970</v>
      </c>
      <c r="F2337" s="8">
        <v>48450</v>
      </c>
      <c r="G2337" s="8">
        <f t="shared" si="144"/>
        <v>337696500</v>
      </c>
      <c r="H2337" s="5"/>
      <c r="I2337" s="8" t="str">
        <f t="shared" si="145"/>
        <v/>
      </c>
      <c r="J2337" s="8" t="str">
        <f t="shared" si="146"/>
        <v/>
      </c>
      <c r="K2337" t="str">
        <f t="shared" si="147"/>
        <v>MISSING WHARTON</v>
      </c>
    </row>
    <row r="2338" spans="1:11">
      <c r="A2338" t="s">
        <v>110</v>
      </c>
      <c r="B2338" t="s">
        <v>1459</v>
      </c>
      <c r="C2338" t="s">
        <v>403</v>
      </c>
      <c r="D2338" t="s">
        <v>404</v>
      </c>
      <c r="E2338" s="8">
        <v>1830</v>
      </c>
      <c r="F2338" s="8">
        <v>56260</v>
      </c>
      <c r="G2338" s="8">
        <f t="shared" si="144"/>
        <v>102955800</v>
      </c>
      <c r="H2338" s="5">
        <v>0.22</v>
      </c>
      <c r="I2338" s="8">
        <f t="shared" si="145"/>
        <v>102955800</v>
      </c>
      <c r="J2338" s="8">
        <f t="shared" si="146"/>
        <v>22650276</v>
      </c>
      <c r="K2338" t="str">
        <f t="shared" si="147"/>
        <v>MATCHED</v>
      </c>
    </row>
    <row r="2339" spans="1:11">
      <c r="A2339" t="s">
        <v>110</v>
      </c>
      <c r="B2339" t="s">
        <v>1459</v>
      </c>
      <c r="C2339" t="s">
        <v>409</v>
      </c>
      <c r="D2339" t="s">
        <v>410</v>
      </c>
      <c r="E2339" s="8">
        <v>350</v>
      </c>
      <c r="F2339" s="8">
        <v>33740</v>
      </c>
      <c r="G2339" s="8">
        <f t="shared" si="144"/>
        <v>11809000</v>
      </c>
      <c r="H2339" s="5">
        <v>0.1583</v>
      </c>
      <c r="I2339" s="8">
        <f t="shared" si="145"/>
        <v>11809000</v>
      </c>
      <c r="J2339" s="8">
        <f t="shared" si="146"/>
        <v>1869364.7</v>
      </c>
      <c r="K2339" t="str">
        <f t="shared" si="147"/>
        <v>MATCHED</v>
      </c>
    </row>
    <row r="2340" spans="1:11">
      <c r="A2340" t="s">
        <v>110</v>
      </c>
      <c r="B2340" t="s">
        <v>1459</v>
      </c>
      <c r="C2340" t="s">
        <v>411</v>
      </c>
      <c r="D2340" t="s">
        <v>412</v>
      </c>
      <c r="E2340" s="8">
        <v>440</v>
      </c>
      <c r="F2340" s="8">
        <v>42820</v>
      </c>
      <c r="G2340" s="8">
        <f t="shared" si="144"/>
        <v>18840800</v>
      </c>
      <c r="H2340" s="5">
        <v>0.0559</v>
      </c>
      <c r="I2340" s="8">
        <f t="shared" si="145"/>
        <v>18840800</v>
      </c>
      <c r="J2340" s="8">
        <f t="shared" si="146"/>
        <v>1053200.72</v>
      </c>
      <c r="K2340" t="str">
        <f t="shared" si="147"/>
        <v>MATCHED</v>
      </c>
    </row>
    <row r="2341" spans="1:11">
      <c r="A2341" t="s">
        <v>110</v>
      </c>
      <c r="B2341" t="s">
        <v>1459</v>
      </c>
      <c r="C2341" t="s">
        <v>413</v>
      </c>
      <c r="D2341" t="s">
        <v>414</v>
      </c>
      <c r="E2341" s="8">
        <v>21950</v>
      </c>
      <c r="F2341" s="8">
        <v>36930</v>
      </c>
      <c r="G2341" s="8">
        <f t="shared" si="144"/>
        <v>810613500</v>
      </c>
      <c r="H2341" s="5">
        <v>0.0633</v>
      </c>
      <c r="I2341" s="8">
        <f t="shared" si="145"/>
        <v>810613500</v>
      </c>
      <c r="J2341" s="8">
        <f t="shared" si="146"/>
        <v>51311834.55</v>
      </c>
      <c r="K2341" t="str">
        <f t="shared" si="147"/>
        <v>MATCHED</v>
      </c>
    </row>
    <row r="2342" spans="1:11">
      <c r="A2342" t="s">
        <v>110</v>
      </c>
      <c r="B2342" t="s">
        <v>1459</v>
      </c>
      <c r="C2342" t="s">
        <v>415</v>
      </c>
      <c r="D2342" t="s">
        <v>416</v>
      </c>
      <c r="E2342" s="8">
        <v>130</v>
      </c>
      <c r="F2342" s="8">
        <v>40620</v>
      </c>
      <c r="G2342" s="8">
        <f t="shared" si="144"/>
        <v>5280600</v>
      </c>
      <c r="H2342" s="5">
        <v>0.0864</v>
      </c>
      <c r="I2342" s="8">
        <f t="shared" si="145"/>
        <v>5280600</v>
      </c>
      <c r="J2342" s="8">
        <f t="shared" si="146"/>
        <v>456243.84</v>
      </c>
      <c r="K2342" t="str">
        <f t="shared" si="147"/>
        <v>MATCHED</v>
      </c>
    </row>
    <row r="2343" spans="1:11">
      <c r="A2343" t="s">
        <v>110</v>
      </c>
      <c r="B2343" t="s">
        <v>1459</v>
      </c>
      <c r="C2343" t="s">
        <v>417</v>
      </c>
      <c r="D2343" t="s">
        <v>418</v>
      </c>
      <c r="E2343" s="8">
        <v>320</v>
      </c>
      <c r="F2343" s="8">
        <v>34100</v>
      </c>
      <c r="G2343" s="8">
        <f t="shared" si="144"/>
        <v>10912000</v>
      </c>
      <c r="H2343" s="5"/>
      <c r="I2343" s="8" t="str">
        <f t="shared" si="145"/>
        <v/>
      </c>
      <c r="J2343" s="8" t="str">
        <f t="shared" si="146"/>
        <v/>
      </c>
      <c r="K2343" t="str">
        <f t="shared" si="147"/>
        <v>MISSING WHARTON</v>
      </c>
    </row>
    <row r="2344" spans="1:11">
      <c r="A2344" t="s">
        <v>110</v>
      </c>
      <c r="B2344" t="s">
        <v>1459</v>
      </c>
      <c r="C2344" t="s">
        <v>664</v>
      </c>
      <c r="D2344" t="s">
        <v>665</v>
      </c>
      <c r="E2344" s="8">
        <v>2960</v>
      </c>
      <c r="F2344" s="8">
        <v>78170</v>
      </c>
      <c r="G2344" s="8">
        <f t="shared" si="144"/>
        <v>231383200</v>
      </c>
      <c r="H2344" s="5">
        <v>0.265</v>
      </c>
      <c r="I2344" s="8">
        <f t="shared" si="145"/>
        <v>231383200</v>
      </c>
      <c r="J2344" s="8">
        <f t="shared" si="146"/>
        <v>61316548</v>
      </c>
      <c r="K2344" t="str">
        <f t="shared" si="147"/>
        <v>MATCHED</v>
      </c>
    </row>
    <row r="2345" spans="1:11">
      <c r="A2345" t="s">
        <v>110</v>
      </c>
      <c r="B2345" t="s">
        <v>1459</v>
      </c>
      <c r="C2345" t="s">
        <v>1022</v>
      </c>
      <c r="D2345" t="s">
        <v>1023</v>
      </c>
      <c r="E2345" s="8">
        <v>170</v>
      </c>
      <c r="F2345" s="8">
        <v>60240</v>
      </c>
      <c r="G2345" s="8">
        <f t="shared" si="144"/>
        <v>10240800</v>
      </c>
      <c r="H2345" s="5">
        <v>0.05</v>
      </c>
      <c r="I2345" s="8">
        <f t="shared" si="145"/>
        <v>10240800</v>
      </c>
      <c r="J2345" s="8">
        <f t="shared" si="146"/>
        <v>512040</v>
      </c>
      <c r="K2345" t="str">
        <f t="shared" si="147"/>
        <v>MATCHED</v>
      </c>
    </row>
    <row r="2346" spans="1:11">
      <c r="A2346" t="s">
        <v>110</v>
      </c>
      <c r="B2346" t="s">
        <v>1459</v>
      </c>
      <c r="C2346" t="s">
        <v>1024</v>
      </c>
      <c r="D2346" t="s">
        <v>1025</v>
      </c>
      <c r="E2346" s="8">
        <v>230</v>
      </c>
      <c r="F2346" s="8">
        <v>45080</v>
      </c>
      <c r="G2346" s="8">
        <f t="shared" si="144"/>
        <v>10368400</v>
      </c>
      <c r="H2346" s="5">
        <v>0</v>
      </c>
      <c r="I2346" s="8">
        <f t="shared" si="145"/>
        <v>10368400</v>
      </c>
      <c r="J2346" s="8">
        <f t="shared" si="146"/>
        <v>0</v>
      </c>
      <c r="K2346" t="str">
        <f t="shared" si="147"/>
        <v>MATCHED</v>
      </c>
    </row>
    <row r="2347" spans="1:11">
      <c r="A2347" t="s">
        <v>110</v>
      </c>
      <c r="B2347" t="s">
        <v>1459</v>
      </c>
      <c r="C2347" t="s">
        <v>427</v>
      </c>
      <c r="D2347" t="s">
        <v>428</v>
      </c>
      <c r="E2347" s="8">
        <v>6850</v>
      </c>
      <c r="F2347" s="8">
        <v>56880</v>
      </c>
      <c r="G2347" s="8">
        <f t="shared" si="144"/>
        <v>389628000</v>
      </c>
      <c r="H2347" s="5">
        <v>0.081</v>
      </c>
      <c r="I2347" s="8">
        <f t="shared" si="145"/>
        <v>389628000</v>
      </c>
      <c r="J2347" s="8">
        <f t="shared" si="146"/>
        <v>31559868</v>
      </c>
      <c r="K2347" t="str">
        <f t="shared" si="147"/>
        <v>MATCHED</v>
      </c>
    </row>
    <row r="2348" spans="1:11">
      <c r="A2348" t="s">
        <v>110</v>
      </c>
      <c r="B2348" t="s">
        <v>1459</v>
      </c>
      <c r="C2348" t="s">
        <v>1026</v>
      </c>
      <c r="D2348" t="s">
        <v>1027</v>
      </c>
      <c r="E2348" s="8">
        <v>5410</v>
      </c>
      <c r="F2348" s="8">
        <v>55310</v>
      </c>
      <c r="G2348" s="8">
        <f t="shared" si="144"/>
        <v>299227100</v>
      </c>
      <c r="H2348" s="5">
        <v>0.0438</v>
      </c>
      <c r="I2348" s="8">
        <f t="shared" si="145"/>
        <v>299227100</v>
      </c>
      <c r="J2348" s="8">
        <f t="shared" si="146"/>
        <v>13106146.98</v>
      </c>
      <c r="K2348" t="str">
        <f t="shared" si="147"/>
        <v>MATCHED</v>
      </c>
    </row>
    <row r="2349" spans="1:11">
      <c r="A2349" t="s">
        <v>110</v>
      </c>
      <c r="B2349" t="s">
        <v>1459</v>
      </c>
      <c r="C2349" t="s">
        <v>1028</v>
      </c>
      <c r="D2349" t="s">
        <v>1029</v>
      </c>
      <c r="E2349" s="8">
        <v>2090</v>
      </c>
      <c r="F2349" s="8">
        <v>57080</v>
      </c>
      <c r="G2349" s="8">
        <f t="shared" si="144"/>
        <v>119297200</v>
      </c>
      <c r="H2349" s="5">
        <v>0</v>
      </c>
      <c r="I2349" s="8">
        <f t="shared" si="145"/>
        <v>119297200</v>
      </c>
      <c r="J2349" s="8">
        <f t="shared" si="146"/>
        <v>0</v>
      </c>
      <c r="K2349" t="str">
        <f t="shared" si="147"/>
        <v>MATCHED</v>
      </c>
    </row>
    <row r="2350" spans="1:11">
      <c r="A2350" t="s">
        <v>110</v>
      </c>
      <c r="B2350" t="s">
        <v>1459</v>
      </c>
      <c r="C2350" t="s">
        <v>1030</v>
      </c>
      <c r="D2350" t="s">
        <v>1031</v>
      </c>
      <c r="E2350" s="8">
        <v>100</v>
      </c>
      <c r="F2350" s="8">
        <v>47210</v>
      </c>
      <c r="G2350" s="8">
        <f t="shared" si="144"/>
        <v>4721000</v>
      </c>
      <c r="H2350" s="5">
        <v>0</v>
      </c>
      <c r="I2350" s="8">
        <f t="shared" si="145"/>
        <v>4721000</v>
      </c>
      <c r="J2350" s="8">
        <f t="shared" si="146"/>
        <v>0</v>
      </c>
      <c r="K2350" t="str">
        <f t="shared" si="147"/>
        <v>MATCHED</v>
      </c>
    </row>
    <row r="2351" spans="1:11">
      <c r="A2351" t="s">
        <v>110</v>
      </c>
      <c r="B2351" t="s">
        <v>1459</v>
      </c>
      <c r="C2351" t="s">
        <v>1032</v>
      </c>
      <c r="D2351" t="s">
        <v>1033</v>
      </c>
      <c r="E2351" s="8">
        <v>1380</v>
      </c>
      <c r="F2351" s="8">
        <v>57520</v>
      </c>
      <c r="G2351" s="8">
        <f t="shared" si="144"/>
        <v>79377600</v>
      </c>
      <c r="H2351" s="5">
        <v>0.028</v>
      </c>
      <c r="I2351" s="8">
        <f t="shared" si="145"/>
        <v>79377600</v>
      </c>
      <c r="J2351" s="8">
        <f t="shared" si="146"/>
        <v>2222572.8</v>
      </c>
      <c r="K2351" t="str">
        <f t="shared" si="147"/>
        <v>MATCHED</v>
      </c>
    </row>
    <row r="2352" spans="1:11">
      <c r="A2352" t="s">
        <v>110</v>
      </c>
      <c r="B2352" t="s">
        <v>1459</v>
      </c>
      <c r="C2352" t="s">
        <v>668</v>
      </c>
      <c r="D2352" t="s">
        <v>669</v>
      </c>
      <c r="E2352" s="8">
        <v>200</v>
      </c>
      <c r="F2352" s="8">
        <v>49650</v>
      </c>
      <c r="G2352" s="8">
        <f t="shared" si="144"/>
        <v>9930000</v>
      </c>
      <c r="H2352" s="5">
        <v>0</v>
      </c>
      <c r="I2352" s="8">
        <f t="shared" si="145"/>
        <v>9930000</v>
      </c>
      <c r="J2352" s="8">
        <f t="shared" si="146"/>
        <v>0</v>
      </c>
      <c r="K2352" t="str">
        <f t="shared" si="147"/>
        <v>MATCHED</v>
      </c>
    </row>
    <row r="2353" spans="1:11">
      <c r="A2353" t="s">
        <v>110</v>
      </c>
      <c r="B2353" t="s">
        <v>1459</v>
      </c>
      <c r="C2353" t="s">
        <v>670</v>
      </c>
      <c r="D2353" t="s">
        <v>671</v>
      </c>
      <c r="E2353" s="8">
        <v>2160</v>
      </c>
      <c r="F2353" s="8">
        <v>50130</v>
      </c>
      <c r="G2353" s="8">
        <f t="shared" si="144"/>
        <v>108280800</v>
      </c>
      <c r="H2353" s="5">
        <v>0.0297</v>
      </c>
      <c r="I2353" s="8">
        <f t="shared" si="145"/>
        <v>108280800</v>
      </c>
      <c r="J2353" s="8">
        <f t="shared" si="146"/>
        <v>3215939.76</v>
      </c>
      <c r="K2353" t="str">
        <f t="shared" si="147"/>
        <v>MATCHED</v>
      </c>
    </row>
    <row r="2354" spans="1:11">
      <c r="A2354" t="s">
        <v>110</v>
      </c>
      <c r="B2354" t="s">
        <v>1459</v>
      </c>
      <c r="C2354" t="s">
        <v>429</v>
      </c>
      <c r="D2354" t="s">
        <v>430</v>
      </c>
      <c r="E2354" s="8">
        <v>360</v>
      </c>
      <c r="F2354" s="8">
        <v>48250</v>
      </c>
      <c r="G2354" s="8">
        <f t="shared" si="144"/>
        <v>17370000</v>
      </c>
      <c r="H2354" s="5">
        <v>0.0589</v>
      </c>
      <c r="I2354" s="8">
        <f t="shared" si="145"/>
        <v>17370000</v>
      </c>
      <c r="J2354" s="8">
        <f t="shared" si="146"/>
        <v>1023093</v>
      </c>
      <c r="K2354" t="str">
        <f t="shared" si="147"/>
        <v>MATCHED</v>
      </c>
    </row>
    <row r="2355" spans="1:11">
      <c r="A2355" t="s">
        <v>110</v>
      </c>
      <c r="B2355" t="s">
        <v>1459</v>
      </c>
      <c r="C2355" t="s">
        <v>431</v>
      </c>
      <c r="D2355" t="s">
        <v>432</v>
      </c>
      <c r="E2355" s="8">
        <v>1010</v>
      </c>
      <c r="F2355" s="8">
        <v>79540</v>
      </c>
      <c r="G2355" s="8">
        <f t="shared" si="144"/>
        <v>80335400</v>
      </c>
      <c r="H2355" s="5">
        <v>0.0786</v>
      </c>
      <c r="I2355" s="8">
        <f t="shared" si="145"/>
        <v>80335400</v>
      </c>
      <c r="J2355" s="8">
        <f t="shared" si="146"/>
        <v>6314362.44</v>
      </c>
      <c r="K2355" t="str">
        <f t="shared" si="147"/>
        <v>MATCHED</v>
      </c>
    </row>
    <row r="2356" spans="1:11">
      <c r="A2356" t="s">
        <v>110</v>
      </c>
      <c r="B2356" t="s">
        <v>1459</v>
      </c>
      <c r="C2356" t="s">
        <v>1042</v>
      </c>
      <c r="D2356" t="s">
        <v>1043</v>
      </c>
      <c r="E2356" s="8">
        <v>7050</v>
      </c>
      <c r="F2356" s="8">
        <v>56350</v>
      </c>
      <c r="G2356" s="8">
        <f t="shared" si="144"/>
        <v>397267500</v>
      </c>
      <c r="H2356" s="5">
        <v>0</v>
      </c>
      <c r="I2356" s="8">
        <f t="shared" si="145"/>
        <v>397267500</v>
      </c>
      <c r="J2356" s="8">
        <f t="shared" si="146"/>
        <v>0</v>
      </c>
      <c r="K2356" t="str">
        <f t="shared" si="147"/>
        <v>MATCHED</v>
      </c>
    </row>
    <row r="2357" spans="1:11">
      <c r="A2357" t="s">
        <v>110</v>
      </c>
      <c r="B2357" t="s">
        <v>1459</v>
      </c>
      <c r="C2357" t="s">
        <v>674</v>
      </c>
      <c r="D2357" t="s">
        <v>675</v>
      </c>
      <c r="E2357" s="8">
        <v>300</v>
      </c>
      <c r="F2357" s="8">
        <v>38830</v>
      </c>
      <c r="G2357" s="8">
        <f t="shared" si="144"/>
        <v>11649000</v>
      </c>
      <c r="H2357" s="5">
        <v>0</v>
      </c>
      <c r="I2357" s="8">
        <f t="shared" si="145"/>
        <v>11649000</v>
      </c>
      <c r="J2357" s="8">
        <f t="shared" si="146"/>
        <v>0</v>
      </c>
      <c r="K2357" t="str">
        <f t="shared" si="147"/>
        <v>MATCHED</v>
      </c>
    </row>
    <row r="2358" spans="1:11">
      <c r="A2358" t="s">
        <v>110</v>
      </c>
      <c r="B2358" t="s">
        <v>1459</v>
      </c>
      <c r="C2358" t="s">
        <v>678</v>
      </c>
      <c r="D2358" t="s">
        <v>679</v>
      </c>
      <c r="E2358" s="8">
        <v>370</v>
      </c>
      <c r="F2358" s="8">
        <v>53670</v>
      </c>
      <c r="G2358" s="8">
        <f t="shared" si="144"/>
        <v>19857900</v>
      </c>
      <c r="H2358" s="5">
        <v>0.0368</v>
      </c>
      <c r="I2358" s="8">
        <f t="shared" si="145"/>
        <v>19857900</v>
      </c>
      <c r="J2358" s="8">
        <f t="shared" si="146"/>
        <v>730770.72</v>
      </c>
      <c r="K2358" t="str">
        <f t="shared" si="147"/>
        <v>MATCHED</v>
      </c>
    </row>
    <row r="2359" spans="1:11">
      <c r="A2359" t="s">
        <v>110</v>
      </c>
      <c r="B2359" t="s">
        <v>1459</v>
      </c>
      <c r="C2359" t="s">
        <v>1044</v>
      </c>
      <c r="D2359" t="s">
        <v>1045</v>
      </c>
      <c r="E2359" s="8">
        <v>60</v>
      </c>
      <c r="F2359" s="8">
        <v>50170</v>
      </c>
      <c r="G2359" s="8">
        <f t="shared" si="144"/>
        <v>3010200</v>
      </c>
      <c r="H2359" s="5">
        <v>0</v>
      </c>
      <c r="I2359" s="8">
        <f t="shared" si="145"/>
        <v>3010200</v>
      </c>
      <c r="J2359" s="8">
        <f t="shared" si="146"/>
        <v>0</v>
      </c>
      <c r="K2359" t="str">
        <f t="shared" si="147"/>
        <v>MATCHED</v>
      </c>
    </row>
    <row r="2360" spans="1:11">
      <c r="A2360" t="s">
        <v>110</v>
      </c>
      <c r="B2360" t="s">
        <v>1459</v>
      </c>
      <c r="C2360" t="s">
        <v>682</v>
      </c>
      <c r="D2360" t="s">
        <v>683</v>
      </c>
      <c r="E2360" s="8">
        <v>1270</v>
      </c>
      <c r="F2360" s="8">
        <v>68150</v>
      </c>
      <c r="G2360" s="8">
        <f t="shared" si="144"/>
        <v>86550500</v>
      </c>
      <c r="H2360" s="5">
        <v>0.04</v>
      </c>
      <c r="I2360" s="8">
        <f t="shared" si="145"/>
        <v>86550500</v>
      </c>
      <c r="J2360" s="8">
        <f t="shared" si="146"/>
        <v>3462020</v>
      </c>
      <c r="K2360" t="str">
        <f t="shared" si="147"/>
        <v>MATCHED</v>
      </c>
    </row>
    <row r="2361" spans="1:11">
      <c r="A2361" t="s">
        <v>110</v>
      </c>
      <c r="B2361" t="s">
        <v>1459</v>
      </c>
      <c r="C2361" t="s">
        <v>1050</v>
      </c>
      <c r="D2361" t="s">
        <v>1051</v>
      </c>
      <c r="E2361" s="8">
        <v>70</v>
      </c>
      <c r="F2361" s="8">
        <v>58110</v>
      </c>
      <c r="G2361" s="8">
        <f t="shared" si="144"/>
        <v>4067700</v>
      </c>
      <c r="H2361" s="5">
        <v>0</v>
      </c>
      <c r="I2361" s="8">
        <f t="shared" si="145"/>
        <v>4067700</v>
      </c>
      <c r="J2361" s="8">
        <f t="shared" si="146"/>
        <v>0</v>
      </c>
      <c r="K2361" t="str">
        <f t="shared" si="147"/>
        <v>MATCHED</v>
      </c>
    </row>
    <row r="2362" spans="1:11">
      <c r="A2362" t="s">
        <v>110</v>
      </c>
      <c r="B2362" t="s">
        <v>1459</v>
      </c>
      <c r="C2362" t="s">
        <v>684</v>
      </c>
      <c r="D2362" t="s">
        <v>685</v>
      </c>
      <c r="E2362" s="8">
        <v>50</v>
      </c>
      <c r="F2362" s="8">
        <v>63360</v>
      </c>
      <c r="G2362" s="8">
        <f t="shared" si="144"/>
        <v>3168000</v>
      </c>
      <c r="H2362" s="5">
        <v>0.0687</v>
      </c>
      <c r="I2362" s="8">
        <f t="shared" si="145"/>
        <v>3168000</v>
      </c>
      <c r="J2362" s="8">
        <f t="shared" si="146"/>
        <v>217641.6</v>
      </c>
      <c r="K2362" t="str">
        <f t="shared" si="147"/>
        <v>MATCHED</v>
      </c>
    </row>
    <row r="2363" spans="1:11">
      <c r="A2363" t="s">
        <v>110</v>
      </c>
      <c r="B2363" t="s">
        <v>1459</v>
      </c>
      <c r="C2363" t="s">
        <v>1052</v>
      </c>
      <c r="D2363" t="s">
        <v>1053</v>
      </c>
      <c r="E2363" s="8"/>
      <c r="F2363" s="8">
        <v>48280</v>
      </c>
      <c r="G2363" s="8" t="str">
        <f t="shared" si="144"/>
        <v/>
      </c>
      <c r="H2363" s="5">
        <v>0</v>
      </c>
      <c r="I2363" s="8" t="str">
        <f t="shared" si="145"/>
        <v/>
      </c>
      <c r="J2363" s="8" t="str">
        <f t="shared" si="146"/>
        <v/>
      </c>
      <c r="K2363" t="str">
        <f t="shared" si="147"/>
        <v>MISSING OEWS</v>
      </c>
    </row>
    <row r="2364" spans="1:11">
      <c r="A2364" t="s">
        <v>110</v>
      </c>
      <c r="B2364" t="s">
        <v>1459</v>
      </c>
      <c r="C2364" t="s">
        <v>1054</v>
      </c>
      <c r="D2364" t="s">
        <v>1055</v>
      </c>
      <c r="E2364" s="8">
        <v>150</v>
      </c>
      <c r="F2364" s="8">
        <v>46840</v>
      </c>
      <c r="G2364" s="8">
        <f t="shared" si="144"/>
        <v>7026000</v>
      </c>
      <c r="H2364" s="5">
        <v>0</v>
      </c>
      <c r="I2364" s="8">
        <f t="shared" si="145"/>
        <v>7026000</v>
      </c>
      <c r="J2364" s="8">
        <f t="shared" si="146"/>
        <v>0</v>
      </c>
      <c r="K2364" t="str">
        <f t="shared" si="147"/>
        <v>MATCHED</v>
      </c>
    </row>
    <row r="2365" spans="1:11">
      <c r="A2365" t="s">
        <v>110</v>
      </c>
      <c r="B2365" t="s">
        <v>1459</v>
      </c>
      <c r="C2365" t="s">
        <v>692</v>
      </c>
      <c r="D2365" t="s">
        <v>693</v>
      </c>
      <c r="E2365" s="8">
        <v>480</v>
      </c>
      <c r="F2365" s="8">
        <v>41020</v>
      </c>
      <c r="G2365" s="8">
        <f t="shared" si="144"/>
        <v>19689600</v>
      </c>
      <c r="H2365" s="5"/>
      <c r="I2365" s="8" t="str">
        <f t="shared" si="145"/>
        <v/>
      </c>
      <c r="J2365" s="8" t="str">
        <f t="shared" si="146"/>
        <v/>
      </c>
      <c r="K2365" t="str">
        <f t="shared" si="147"/>
        <v>MISSING WHARTON</v>
      </c>
    </row>
    <row r="2366" spans="1:11">
      <c r="A2366" t="s">
        <v>110</v>
      </c>
      <c r="B2366" t="s">
        <v>1459</v>
      </c>
      <c r="C2366" t="s">
        <v>696</v>
      </c>
      <c r="D2366" t="s">
        <v>697</v>
      </c>
      <c r="E2366" s="8">
        <v>1020</v>
      </c>
      <c r="F2366" s="8">
        <v>48090</v>
      </c>
      <c r="G2366" s="8">
        <f t="shared" si="144"/>
        <v>49051800</v>
      </c>
      <c r="H2366" s="5">
        <v>0</v>
      </c>
      <c r="I2366" s="8">
        <f t="shared" si="145"/>
        <v>49051800</v>
      </c>
      <c r="J2366" s="8">
        <f t="shared" si="146"/>
        <v>0</v>
      </c>
      <c r="K2366" t="str">
        <f t="shared" si="147"/>
        <v>MATCHED</v>
      </c>
    </row>
    <row r="2367" spans="1:11">
      <c r="A2367" t="s">
        <v>110</v>
      </c>
      <c r="B2367" t="s">
        <v>1459</v>
      </c>
      <c r="C2367" t="s">
        <v>698</v>
      </c>
      <c r="D2367" t="s">
        <v>699</v>
      </c>
      <c r="E2367" s="8">
        <v>70</v>
      </c>
      <c r="F2367" s="8">
        <v>50740</v>
      </c>
      <c r="G2367" s="8">
        <f t="shared" si="144"/>
        <v>3551800</v>
      </c>
      <c r="H2367" s="5">
        <v>0.0452</v>
      </c>
      <c r="I2367" s="8">
        <f t="shared" si="145"/>
        <v>3551800</v>
      </c>
      <c r="J2367" s="8">
        <f t="shared" si="146"/>
        <v>160541.36</v>
      </c>
      <c r="K2367" t="str">
        <f t="shared" si="147"/>
        <v>MATCHED</v>
      </c>
    </row>
    <row r="2368" spans="1:11">
      <c r="A2368" t="s">
        <v>110</v>
      </c>
      <c r="B2368" t="s">
        <v>1459</v>
      </c>
      <c r="C2368" t="s">
        <v>702</v>
      </c>
      <c r="D2368" t="s">
        <v>703</v>
      </c>
      <c r="E2368" s="8">
        <v>220</v>
      </c>
      <c r="F2368" s="8">
        <v>56600</v>
      </c>
      <c r="G2368" s="8">
        <f t="shared" si="144"/>
        <v>12452000</v>
      </c>
      <c r="H2368" s="5">
        <v>0.0825</v>
      </c>
      <c r="I2368" s="8">
        <f t="shared" si="145"/>
        <v>12452000</v>
      </c>
      <c r="J2368" s="8">
        <f t="shared" si="146"/>
        <v>1027290</v>
      </c>
      <c r="K2368" t="str">
        <f t="shared" si="147"/>
        <v>MATCHED</v>
      </c>
    </row>
    <row r="2369" spans="1:11">
      <c r="A2369" t="s">
        <v>110</v>
      </c>
      <c r="B2369" t="s">
        <v>1459</v>
      </c>
      <c r="C2369" t="s">
        <v>710</v>
      </c>
      <c r="D2369" t="s">
        <v>711</v>
      </c>
      <c r="E2369" s="8"/>
      <c r="F2369" s="8">
        <v>59790</v>
      </c>
      <c r="G2369" s="8" t="str">
        <f t="shared" si="144"/>
        <v/>
      </c>
      <c r="H2369" s="5">
        <v>0</v>
      </c>
      <c r="I2369" s="8" t="str">
        <f t="shared" si="145"/>
        <v/>
      </c>
      <c r="J2369" s="8" t="str">
        <f t="shared" si="146"/>
        <v/>
      </c>
      <c r="K2369" t="str">
        <f t="shared" si="147"/>
        <v>MISSING OEWS</v>
      </c>
    </row>
    <row r="2370" spans="1:11">
      <c r="A2370" t="s">
        <v>110</v>
      </c>
      <c r="B2370" t="s">
        <v>1459</v>
      </c>
      <c r="C2370" t="s">
        <v>433</v>
      </c>
      <c r="D2370" t="s">
        <v>434</v>
      </c>
      <c r="E2370" s="8">
        <v>76310</v>
      </c>
      <c r="F2370" s="8">
        <v>76150</v>
      </c>
      <c r="G2370" s="8">
        <f t="shared" ref="G2370:G2433" si="148">IF(OR(E2370="",F2370=""),"",E2370*F2370)</f>
        <v>5811006500</v>
      </c>
      <c r="H2370" s="5">
        <v>0.3523</v>
      </c>
      <c r="I2370" s="8">
        <f t="shared" ref="I2370:I2433" si="149">IF(G2370="","",IF(ISNUMBER(H2370),G2370,""))</f>
        <v>5811006500</v>
      </c>
      <c r="J2370" s="8">
        <f t="shared" ref="J2370:J2433" si="150">IF(I2370="","",I2370*H2370)</f>
        <v>2047217589.95</v>
      </c>
      <c r="K2370" t="str">
        <f t="shared" ref="K2370:K2433" si="151">IF(G2370="","MISSING OEWS",IF(ISNUMBER(H2370),"MATCHED","MISSING WHARTON"))</f>
        <v>MATCHED</v>
      </c>
    </row>
    <row r="2371" spans="1:11">
      <c r="A2371" t="s">
        <v>110</v>
      </c>
      <c r="B2371" t="s">
        <v>1459</v>
      </c>
      <c r="C2371" t="s">
        <v>1064</v>
      </c>
      <c r="D2371" t="s">
        <v>1065</v>
      </c>
      <c r="E2371" s="8">
        <v>20010</v>
      </c>
      <c r="F2371" s="8">
        <v>45310</v>
      </c>
      <c r="G2371" s="8">
        <f t="shared" si="148"/>
        <v>906653100</v>
      </c>
      <c r="H2371" s="5">
        <v>0.284</v>
      </c>
      <c r="I2371" s="8">
        <f t="shared" si="149"/>
        <v>906653100</v>
      </c>
      <c r="J2371" s="8">
        <f t="shared" si="150"/>
        <v>257489480.4</v>
      </c>
      <c r="K2371" t="str">
        <f t="shared" si="151"/>
        <v>MATCHED</v>
      </c>
    </row>
    <row r="2372" spans="1:11">
      <c r="A2372" t="s">
        <v>110</v>
      </c>
      <c r="B2372" t="s">
        <v>1459</v>
      </c>
      <c r="C2372" t="s">
        <v>898</v>
      </c>
      <c r="D2372" t="s">
        <v>899</v>
      </c>
      <c r="E2372" s="8">
        <v>450</v>
      </c>
      <c r="F2372" s="8">
        <v>76420</v>
      </c>
      <c r="G2372" s="8">
        <f t="shared" si="148"/>
        <v>34389000</v>
      </c>
      <c r="H2372" s="5">
        <v>0.1583</v>
      </c>
      <c r="I2372" s="8">
        <f t="shared" si="149"/>
        <v>34389000</v>
      </c>
      <c r="J2372" s="8">
        <f t="shared" si="150"/>
        <v>5443778.7</v>
      </c>
      <c r="K2372" t="str">
        <f t="shared" si="151"/>
        <v>MATCHED</v>
      </c>
    </row>
    <row r="2373" spans="1:11">
      <c r="A2373" t="s">
        <v>110</v>
      </c>
      <c r="B2373" t="s">
        <v>1459</v>
      </c>
      <c r="C2373" t="s">
        <v>900</v>
      </c>
      <c r="D2373" t="s">
        <v>901</v>
      </c>
      <c r="E2373" s="8"/>
      <c r="F2373" s="8">
        <v>46280</v>
      </c>
      <c r="G2373" s="8" t="str">
        <f t="shared" si="148"/>
        <v/>
      </c>
      <c r="H2373" s="5">
        <v>0.195</v>
      </c>
      <c r="I2373" s="8" t="str">
        <f t="shared" si="149"/>
        <v/>
      </c>
      <c r="J2373" s="8" t="str">
        <f t="shared" si="150"/>
        <v/>
      </c>
      <c r="K2373" t="str">
        <f t="shared" si="151"/>
        <v>MISSING OEWS</v>
      </c>
    </row>
    <row r="2374" spans="1:11">
      <c r="A2374" t="s">
        <v>110</v>
      </c>
      <c r="B2374" t="s">
        <v>1459</v>
      </c>
      <c r="C2374" t="s">
        <v>732</v>
      </c>
      <c r="D2374" t="s">
        <v>733</v>
      </c>
      <c r="E2374" s="8">
        <v>860</v>
      </c>
      <c r="F2374" s="8">
        <v>53200</v>
      </c>
      <c r="G2374" s="8">
        <f t="shared" si="148"/>
        <v>45752000</v>
      </c>
      <c r="H2374" s="5">
        <v>0.0667</v>
      </c>
      <c r="I2374" s="8">
        <f t="shared" si="149"/>
        <v>45752000</v>
      </c>
      <c r="J2374" s="8">
        <f t="shared" si="150"/>
        <v>3051658.4</v>
      </c>
      <c r="K2374" t="str">
        <f t="shared" si="151"/>
        <v>MATCHED</v>
      </c>
    </row>
    <row r="2375" spans="1:11">
      <c r="A2375" t="s">
        <v>110</v>
      </c>
      <c r="B2375" t="s">
        <v>1459</v>
      </c>
      <c r="C2375" t="s">
        <v>902</v>
      </c>
      <c r="D2375" t="s">
        <v>903</v>
      </c>
      <c r="E2375" s="8">
        <v>240</v>
      </c>
      <c r="F2375" s="8">
        <v>69320</v>
      </c>
      <c r="G2375" s="8">
        <f t="shared" si="148"/>
        <v>16636800</v>
      </c>
      <c r="H2375" s="5">
        <v>0.2033</v>
      </c>
      <c r="I2375" s="8">
        <f t="shared" si="149"/>
        <v>16636800</v>
      </c>
      <c r="J2375" s="8">
        <f t="shared" si="150"/>
        <v>3382261.44</v>
      </c>
      <c r="K2375" t="str">
        <f t="shared" si="151"/>
        <v>MATCHED</v>
      </c>
    </row>
    <row r="2376" spans="1:11">
      <c r="A2376" t="s">
        <v>110</v>
      </c>
      <c r="B2376" t="s">
        <v>1459</v>
      </c>
      <c r="C2376" t="s">
        <v>734</v>
      </c>
      <c r="D2376" t="s">
        <v>735</v>
      </c>
      <c r="E2376" s="8">
        <v>670</v>
      </c>
      <c r="F2376" s="8">
        <v>43550</v>
      </c>
      <c r="G2376" s="8">
        <f t="shared" si="148"/>
        <v>29178500</v>
      </c>
      <c r="H2376" s="5">
        <v>0.19</v>
      </c>
      <c r="I2376" s="8">
        <f t="shared" si="149"/>
        <v>29178500</v>
      </c>
      <c r="J2376" s="8">
        <f t="shared" si="150"/>
        <v>5543915</v>
      </c>
      <c r="K2376" t="str">
        <f t="shared" si="151"/>
        <v>MATCHED</v>
      </c>
    </row>
    <row r="2377" spans="1:11">
      <c r="A2377" t="s">
        <v>110</v>
      </c>
      <c r="B2377" t="s">
        <v>1459</v>
      </c>
      <c r="C2377" t="s">
        <v>1298</v>
      </c>
      <c r="D2377" t="s">
        <v>1299</v>
      </c>
      <c r="E2377" s="8">
        <v>4210</v>
      </c>
      <c r="F2377" s="8">
        <v>47220</v>
      </c>
      <c r="G2377" s="8">
        <f t="shared" si="148"/>
        <v>198796200</v>
      </c>
      <c r="H2377" s="5">
        <v>0.1583</v>
      </c>
      <c r="I2377" s="8">
        <f t="shared" si="149"/>
        <v>198796200</v>
      </c>
      <c r="J2377" s="8">
        <f t="shared" si="150"/>
        <v>31469438.46</v>
      </c>
      <c r="K2377" t="str">
        <f t="shared" si="151"/>
        <v>MATCHED</v>
      </c>
    </row>
    <row r="2378" spans="1:11">
      <c r="A2378" t="s">
        <v>110</v>
      </c>
      <c r="B2378" t="s">
        <v>1459</v>
      </c>
      <c r="C2378" t="s">
        <v>1066</v>
      </c>
      <c r="D2378" t="s">
        <v>1067</v>
      </c>
      <c r="E2378" s="8">
        <v>7610</v>
      </c>
      <c r="F2378" s="8">
        <v>53920</v>
      </c>
      <c r="G2378" s="8">
        <f t="shared" si="148"/>
        <v>410331200</v>
      </c>
      <c r="H2378" s="5">
        <v>0.2591</v>
      </c>
      <c r="I2378" s="8">
        <f t="shared" si="149"/>
        <v>410331200</v>
      </c>
      <c r="J2378" s="8">
        <f t="shared" si="150"/>
        <v>106316813.92</v>
      </c>
      <c r="K2378" t="str">
        <f t="shared" si="151"/>
        <v>MATCHED</v>
      </c>
    </row>
    <row r="2379" spans="1:11">
      <c r="A2379" t="s">
        <v>110</v>
      </c>
      <c r="B2379" t="s">
        <v>1459</v>
      </c>
      <c r="C2379" t="s">
        <v>1068</v>
      </c>
      <c r="D2379" t="s">
        <v>1069</v>
      </c>
      <c r="E2379" s="8">
        <v>140</v>
      </c>
      <c r="F2379" s="8">
        <v>50390</v>
      </c>
      <c r="G2379" s="8">
        <f t="shared" si="148"/>
        <v>7054600</v>
      </c>
      <c r="H2379" s="5">
        <v>0.2219</v>
      </c>
      <c r="I2379" s="8">
        <f t="shared" si="149"/>
        <v>7054600</v>
      </c>
      <c r="J2379" s="8">
        <f t="shared" si="150"/>
        <v>1565415.74</v>
      </c>
      <c r="K2379" t="str">
        <f t="shared" si="151"/>
        <v>MATCHED</v>
      </c>
    </row>
    <row r="2380" spans="1:11">
      <c r="A2380" t="s">
        <v>110</v>
      </c>
      <c r="B2380" t="s">
        <v>1459</v>
      </c>
      <c r="C2380" t="s">
        <v>435</v>
      </c>
      <c r="D2380" t="s">
        <v>436</v>
      </c>
      <c r="E2380" s="8">
        <v>110</v>
      </c>
      <c r="F2380" s="8">
        <v>74390</v>
      </c>
      <c r="G2380" s="8">
        <f t="shared" si="148"/>
        <v>8182900</v>
      </c>
      <c r="H2380" s="5">
        <v>0.0434</v>
      </c>
      <c r="I2380" s="8">
        <f t="shared" si="149"/>
        <v>8182900</v>
      </c>
      <c r="J2380" s="8">
        <f t="shared" si="150"/>
        <v>355137.86</v>
      </c>
      <c r="K2380" t="str">
        <f t="shared" si="151"/>
        <v>MATCHED</v>
      </c>
    </row>
    <row r="2381" spans="1:11">
      <c r="A2381" t="s">
        <v>110</v>
      </c>
      <c r="B2381" t="s">
        <v>1459</v>
      </c>
      <c r="C2381" t="s">
        <v>1070</v>
      </c>
      <c r="D2381" t="s">
        <v>1071</v>
      </c>
      <c r="E2381" s="8">
        <v>27370</v>
      </c>
      <c r="F2381" s="8">
        <v>59810</v>
      </c>
      <c r="G2381" s="8">
        <f t="shared" si="148"/>
        <v>1636999700</v>
      </c>
      <c r="H2381" s="5">
        <v>0.028</v>
      </c>
      <c r="I2381" s="8">
        <f t="shared" si="149"/>
        <v>1636999700</v>
      </c>
      <c r="J2381" s="8">
        <f t="shared" si="150"/>
        <v>45835991.6</v>
      </c>
      <c r="K2381" t="str">
        <f t="shared" si="151"/>
        <v>MATCHED</v>
      </c>
    </row>
    <row r="2382" spans="1:11">
      <c r="A2382" t="s">
        <v>110</v>
      </c>
      <c r="B2382" t="s">
        <v>1459</v>
      </c>
      <c r="C2382" t="s">
        <v>1072</v>
      </c>
      <c r="D2382" t="s">
        <v>1073</v>
      </c>
      <c r="E2382" s="8">
        <v>1040</v>
      </c>
      <c r="F2382" s="8">
        <v>48510</v>
      </c>
      <c r="G2382" s="8">
        <f t="shared" si="148"/>
        <v>50450400</v>
      </c>
      <c r="H2382" s="5">
        <v>0</v>
      </c>
      <c r="I2382" s="8">
        <f t="shared" si="149"/>
        <v>50450400</v>
      </c>
      <c r="J2382" s="8">
        <f t="shared" si="150"/>
        <v>0</v>
      </c>
      <c r="K2382" t="str">
        <f t="shared" si="151"/>
        <v>MATCHED</v>
      </c>
    </row>
    <row r="2383" spans="1:11">
      <c r="A2383" t="s">
        <v>110</v>
      </c>
      <c r="B2383" t="s">
        <v>1459</v>
      </c>
      <c r="C2383" t="s">
        <v>736</v>
      </c>
      <c r="D2383" t="s">
        <v>737</v>
      </c>
      <c r="E2383" s="8">
        <v>355520</v>
      </c>
      <c r="F2383" s="8">
        <v>57260</v>
      </c>
      <c r="G2383" s="8">
        <f t="shared" si="148"/>
        <v>20357075200</v>
      </c>
      <c r="H2383" s="5">
        <v>0.0233</v>
      </c>
      <c r="I2383" s="8">
        <f t="shared" si="149"/>
        <v>20357075200</v>
      </c>
      <c r="J2383" s="8">
        <f t="shared" si="150"/>
        <v>474319852.16</v>
      </c>
      <c r="K2383" t="str">
        <f t="shared" si="151"/>
        <v>MATCHED</v>
      </c>
    </row>
    <row r="2384" spans="1:11">
      <c r="A2384" t="s">
        <v>110</v>
      </c>
      <c r="B2384" t="s">
        <v>1459</v>
      </c>
      <c r="C2384" t="s">
        <v>437</v>
      </c>
      <c r="D2384" t="s">
        <v>438</v>
      </c>
      <c r="E2384" s="8">
        <v>9960</v>
      </c>
      <c r="F2384" s="8">
        <v>59260</v>
      </c>
      <c r="G2384" s="8">
        <f t="shared" si="148"/>
        <v>590229600</v>
      </c>
      <c r="H2384" s="5">
        <v>0</v>
      </c>
      <c r="I2384" s="8">
        <f t="shared" si="149"/>
        <v>590229600</v>
      </c>
      <c r="J2384" s="8">
        <f t="shared" si="150"/>
        <v>0</v>
      </c>
      <c r="K2384" t="str">
        <f t="shared" si="151"/>
        <v>MATCHED</v>
      </c>
    </row>
    <row r="2385" spans="1:11">
      <c r="A2385" t="s">
        <v>110</v>
      </c>
      <c r="B2385" t="s">
        <v>1459</v>
      </c>
      <c r="C2385" t="s">
        <v>439</v>
      </c>
      <c r="D2385" t="s">
        <v>440</v>
      </c>
      <c r="E2385" s="8">
        <v>1250</v>
      </c>
      <c r="F2385" s="8">
        <v>54160</v>
      </c>
      <c r="G2385" s="8">
        <f t="shared" si="148"/>
        <v>67700000</v>
      </c>
      <c r="H2385" s="5">
        <v>0.1357</v>
      </c>
      <c r="I2385" s="8">
        <f t="shared" si="149"/>
        <v>67700000</v>
      </c>
      <c r="J2385" s="8">
        <f t="shared" si="150"/>
        <v>9186890</v>
      </c>
      <c r="K2385" t="str">
        <f t="shared" si="151"/>
        <v>MATCHED</v>
      </c>
    </row>
    <row r="2386" spans="1:11">
      <c r="A2386" t="s">
        <v>110</v>
      </c>
      <c r="B2386" t="s">
        <v>1459</v>
      </c>
      <c r="C2386" t="s">
        <v>441</v>
      </c>
      <c r="D2386" t="s">
        <v>442</v>
      </c>
      <c r="E2386" s="8">
        <v>1260</v>
      </c>
      <c r="F2386" s="8">
        <v>59520</v>
      </c>
      <c r="G2386" s="8">
        <f t="shared" si="148"/>
        <v>74995200</v>
      </c>
      <c r="H2386" s="5">
        <v>0.1425</v>
      </c>
      <c r="I2386" s="8">
        <f t="shared" si="149"/>
        <v>74995200</v>
      </c>
      <c r="J2386" s="8">
        <f t="shared" si="150"/>
        <v>10686816</v>
      </c>
      <c r="K2386" t="str">
        <f t="shared" si="151"/>
        <v>MATCHED</v>
      </c>
    </row>
    <row r="2387" spans="1:11">
      <c r="A2387" t="s">
        <v>110</v>
      </c>
      <c r="B2387" t="s">
        <v>1459</v>
      </c>
      <c r="C2387" t="s">
        <v>1074</v>
      </c>
      <c r="D2387" t="s">
        <v>1075</v>
      </c>
      <c r="E2387" s="8">
        <v>8360</v>
      </c>
      <c r="F2387" s="8">
        <v>55950</v>
      </c>
      <c r="G2387" s="8">
        <f t="shared" si="148"/>
        <v>467742000</v>
      </c>
      <c r="H2387" s="5">
        <v>0.0731</v>
      </c>
      <c r="I2387" s="8">
        <f t="shared" si="149"/>
        <v>467742000</v>
      </c>
      <c r="J2387" s="8">
        <f t="shared" si="150"/>
        <v>34191940.2</v>
      </c>
      <c r="K2387" t="str">
        <f t="shared" si="151"/>
        <v>MATCHED</v>
      </c>
    </row>
    <row r="2388" spans="1:11">
      <c r="A2388" t="s">
        <v>110</v>
      </c>
      <c r="B2388" t="s">
        <v>1459</v>
      </c>
      <c r="C2388" t="s">
        <v>1302</v>
      </c>
      <c r="D2388" t="s">
        <v>1303</v>
      </c>
      <c r="E2388" s="8">
        <v>11670</v>
      </c>
      <c r="F2388" s="8">
        <v>52610</v>
      </c>
      <c r="G2388" s="8">
        <f t="shared" si="148"/>
        <v>613958700</v>
      </c>
      <c r="H2388" s="5">
        <v>0</v>
      </c>
      <c r="I2388" s="8">
        <f t="shared" si="149"/>
        <v>613958700</v>
      </c>
      <c r="J2388" s="8">
        <f t="shared" si="150"/>
        <v>0</v>
      </c>
      <c r="K2388" t="str">
        <f t="shared" si="151"/>
        <v>MATCHED</v>
      </c>
    </row>
    <row r="2389" spans="1:11">
      <c r="A2389" t="s">
        <v>110</v>
      </c>
      <c r="B2389" t="s">
        <v>1459</v>
      </c>
      <c r="C2389" t="s">
        <v>1076</v>
      </c>
      <c r="D2389" t="s">
        <v>1077</v>
      </c>
      <c r="E2389" s="8">
        <v>14580</v>
      </c>
      <c r="F2389" s="8">
        <v>46840</v>
      </c>
      <c r="G2389" s="8">
        <f t="shared" si="148"/>
        <v>682927200</v>
      </c>
      <c r="H2389" s="5">
        <v>0.1179</v>
      </c>
      <c r="I2389" s="8">
        <f t="shared" si="149"/>
        <v>682927200</v>
      </c>
      <c r="J2389" s="8">
        <f t="shared" si="150"/>
        <v>80517116.88</v>
      </c>
      <c r="K2389" t="str">
        <f t="shared" si="151"/>
        <v>MATCHED</v>
      </c>
    </row>
    <row r="2390" spans="1:11">
      <c r="A2390" t="s">
        <v>110</v>
      </c>
      <c r="B2390" t="s">
        <v>1459</v>
      </c>
      <c r="C2390" t="s">
        <v>1304</v>
      </c>
      <c r="D2390" t="s">
        <v>1305</v>
      </c>
      <c r="E2390" s="8">
        <v>10080</v>
      </c>
      <c r="F2390" s="8">
        <v>41880</v>
      </c>
      <c r="G2390" s="8">
        <f t="shared" si="148"/>
        <v>422150400</v>
      </c>
      <c r="H2390" s="5">
        <v>0.0594</v>
      </c>
      <c r="I2390" s="8">
        <f t="shared" si="149"/>
        <v>422150400</v>
      </c>
      <c r="J2390" s="8">
        <f t="shared" si="150"/>
        <v>25075733.76</v>
      </c>
      <c r="K2390" t="str">
        <f t="shared" si="151"/>
        <v>MATCHED</v>
      </c>
    </row>
    <row r="2391" spans="1:11">
      <c r="A2391" t="s">
        <v>110</v>
      </c>
      <c r="B2391" t="s">
        <v>1459</v>
      </c>
      <c r="C2391" t="s">
        <v>1306</v>
      </c>
      <c r="D2391" t="s">
        <v>1307</v>
      </c>
      <c r="E2391" s="8">
        <v>12200</v>
      </c>
      <c r="F2391" s="8">
        <v>58110</v>
      </c>
      <c r="G2391" s="8">
        <f t="shared" si="148"/>
        <v>708942000</v>
      </c>
      <c r="H2391" s="5">
        <v>0</v>
      </c>
      <c r="I2391" s="8">
        <f t="shared" si="149"/>
        <v>708942000</v>
      </c>
      <c r="J2391" s="8">
        <f t="shared" si="150"/>
        <v>0</v>
      </c>
      <c r="K2391" t="str">
        <f t="shared" si="151"/>
        <v>MATCHED</v>
      </c>
    </row>
    <row r="2392" spans="1:11">
      <c r="A2392" t="s">
        <v>110</v>
      </c>
      <c r="B2392" t="s">
        <v>1459</v>
      </c>
      <c r="C2392" t="s">
        <v>738</v>
      </c>
      <c r="D2392" t="s">
        <v>739</v>
      </c>
      <c r="E2392" s="8">
        <v>88800</v>
      </c>
      <c r="F2392" s="8">
        <v>39760</v>
      </c>
      <c r="G2392" s="8">
        <f t="shared" si="148"/>
        <v>3530688000</v>
      </c>
      <c r="H2392" s="5">
        <v>0</v>
      </c>
      <c r="I2392" s="8">
        <f t="shared" si="149"/>
        <v>3530688000</v>
      </c>
      <c r="J2392" s="8">
        <f t="shared" si="150"/>
        <v>0</v>
      </c>
      <c r="K2392" t="str">
        <f t="shared" si="151"/>
        <v>MATCHED</v>
      </c>
    </row>
    <row r="2393" spans="1:11">
      <c r="A2393" t="s">
        <v>110</v>
      </c>
      <c r="B2393" t="s">
        <v>1459</v>
      </c>
      <c r="C2393" t="s">
        <v>1078</v>
      </c>
      <c r="D2393" t="s">
        <v>1079</v>
      </c>
      <c r="E2393" s="8">
        <v>5060</v>
      </c>
      <c r="F2393" s="8">
        <v>56700</v>
      </c>
      <c r="G2393" s="8">
        <f t="shared" si="148"/>
        <v>286902000</v>
      </c>
      <c r="H2393" s="5">
        <v>0.076</v>
      </c>
      <c r="I2393" s="8">
        <f t="shared" si="149"/>
        <v>286902000</v>
      </c>
      <c r="J2393" s="8">
        <f t="shared" si="150"/>
        <v>21804552</v>
      </c>
      <c r="K2393" t="str">
        <f t="shared" si="151"/>
        <v>MATCHED</v>
      </c>
    </row>
    <row r="2394" spans="1:11">
      <c r="A2394" t="s">
        <v>110</v>
      </c>
      <c r="B2394" t="s">
        <v>1459</v>
      </c>
      <c r="C2394" t="s">
        <v>740</v>
      </c>
      <c r="D2394" t="s">
        <v>741</v>
      </c>
      <c r="E2394" s="8">
        <v>300</v>
      </c>
      <c r="F2394" s="8">
        <v>58330</v>
      </c>
      <c r="G2394" s="8">
        <f t="shared" si="148"/>
        <v>17499000</v>
      </c>
      <c r="H2394" s="5">
        <v>0.0731</v>
      </c>
      <c r="I2394" s="8">
        <f t="shared" si="149"/>
        <v>17499000</v>
      </c>
      <c r="J2394" s="8">
        <f t="shared" si="150"/>
        <v>1279176.9</v>
      </c>
      <c r="K2394" t="str">
        <f t="shared" si="151"/>
        <v>MATCHED</v>
      </c>
    </row>
    <row r="2395" spans="1:11">
      <c r="A2395" t="s">
        <v>110</v>
      </c>
      <c r="B2395" t="s">
        <v>1459</v>
      </c>
      <c r="C2395" t="s">
        <v>443</v>
      </c>
      <c r="D2395" t="s">
        <v>444</v>
      </c>
      <c r="E2395" s="8">
        <v>11210</v>
      </c>
      <c r="F2395" s="8">
        <v>65730</v>
      </c>
      <c r="G2395" s="8">
        <f t="shared" si="148"/>
        <v>736833300</v>
      </c>
      <c r="H2395" s="5">
        <v>0.0867</v>
      </c>
      <c r="I2395" s="8">
        <f t="shared" si="149"/>
        <v>736833300</v>
      </c>
      <c r="J2395" s="8">
        <f t="shared" si="150"/>
        <v>63883447.11</v>
      </c>
      <c r="K2395" t="str">
        <f t="shared" si="151"/>
        <v>MATCHED</v>
      </c>
    </row>
    <row r="2396" spans="1:11">
      <c r="A2396" t="s">
        <v>110</v>
      </c>
      <c r="B2396" t="s">
        <v>1459</v>
      </c>
      <c r="C2396" t="s">
        <v>906</v>
      </c>
      <c r="D2396" t="s">
        <v>907</v>
      </c>
      <c r="E2396" s="8">
        <v>10370</v>
      </c>
      <c r="F2396" s="8">
        <v>49990</v>
      </c>
      <c r="G2396" s="8">
        <f t="shared" si="148"/>
        <v>518396300</v>
      </c>
      <c r="H2396" s="5">
        <v>0.1226</v>
      </c>
      <c r="I2396" s="8">
        <f t="shared" si="149"/>
        <v>518396300</v>
      </c>
      <c r="J2396" s="8">
        <f t="shared" si="150"/>
        <v>63555386.38</v>
      </c>
      <c r="K2396" t="str">
        <f t="shared" si="151"/>
        <v>MATCHED</v>
      </c>
    </row>
    <row r="2397" spans="1:11">
      <c r="A2397" t="s">
        <v>110</v>
      </c>
      <c r="B2397" t="s">
        <v>1459</v>
      </c>
      <c r="C2397" t="s">
        <v>445</v>
      </c>
      <c r="D2397" t="s">
        <v>446</v>
      </c>
      <c r="E2397" s="8">
        <v>430</v>
      </c>
      <c r="F2397" s="8">
        <v>70370</v>
      </c>
      <c r="G2397" s="8">
        <f t="shared" si="148"/>
        <v>30259100</v>
      </c>
      <c r="H2397" s="5">
        <v>0.25</v>
      </c>
      <c r="I2397" s="8">
        <f t="shared" si="149"/>
        <v>30259100</v>
      </c>
      <c r="J2397" s="8">
        <f t="shared" si="150"/>
        <v>7564775</v>
      </c>
      <c r="K2397" t="str">
        <f t="shared" si="151"/>
        <v>MATCHED</v>
      </c>
    </row>
    <row r="2398" spans="1:11">
      <c r="A2398" t="s">
        <v>110</v>
      </c>
      <c r="B2398" t="s">
        <v>1459</v>
      </c>
      <c r="C2398" t="s">
        <v>447</v>
      </c>
      <c r="D2398" t="s">
        <v>448</v>
      </c>
      <c r="E2398" s="8">
        <v>660</v>
      </c>
      <c r="F2398" s="8">
        <v>46080</v>
      </c>
      <c r="G2398" s="8">
        <f t="shared" si="148"/>
        <v>30412800</v>
      </c>
      <c r="H2398" s="5">
        <v>0.0528</v>
      </c>
      <c r="I2398" s="8">
        <f t="shared" si="149"/>
        <v>30412800</v>
      </c>
      <c r="J2398" s="8">
        <f t="shared" si="150"/>
        <v>1605795.84</v>
      </c>
      <c r="K2398" t="str">
        <f t="shared" si="151"/>
        <v>MATCHED</v>
      </c>
    </row>
    <row r="2399" spans="1:11">
      <c r="A2399" t="s">
        <v>110</v>
      </c>
      <c r="B2399" t="s">
        <v>1459</v>
      </c>
      <c r="C2399" t="s">
        <v>1308</v>
      </c>
      <c r="D2399" t="s">
        <v>1309</v>
      </c>
      <c r="E2399" s="8">
        <v>40</v>
      </c>
      <c r="F2399" s="8">
        <v>56450</v>
      </c>
      <c r="G2399" s="8">
        <f t="shared" si="148"/>
        <v>2258000</v>
      </c>
      <c r="H2399" s="5">
        <v>0.1733</v>
      </c>
      <c r="I2399" s="8">
        <f t="shared" si="149"/>
        <v>2258000</v>
      </c>
      <c r="J2399" s="8">
        <f t="shared" si="150"/>
        <v>391311.4</v>
      </c>
      <c r="K2399" t="str">
        <f t="shared" si="151"/>
        <v>MATCHED</v>
      </c>
    </row>
    <row r="2400" spans="1:11">
      <c r="A2400" t="s">
        <v>110</v>
      </c>
      <c r="B2400" t="s">
        <v>1459</v>
      </c>
      <c r="C2400" t="s">
        <v>1310</v>
      </c>
      <c r="D2400" t="s">
        <v>1311</v>
      </c>
      <c r="E2400" s="8">
        <v>3780</v>
      </c>
      <c r="F2400" s="8">
        <v>48820</v>
      </c>
      <c r="G2400" s="8">
        <f t="shared" si="148"/>
        <v>184539600</v>
      </c>
      <c r="H2400" s="5">
        <v>0.2368</v>
      </c>
      <c r="I2400" s="8">
        <f t="shared" si="149"/>
        <v>184539600</v>
      </c>
      <c r="J2400" s="8">
        <f t="shared" si="150"/>
        <v>43698977.28</v>
      </c>
      <c r="K2400" t="str">
        <f t="shared" si="151"/>
        <v>MATCHED</v>
      </c>
    </row>
    <row r="2401" spans="1:11">
      <c r="A2401" t="s">
        <v>110</v>
      </c>
      <c r="B2401" t="s">
        <v>1459</v>
      </c>
      <c r="C2401" t="s">
        <v>1312</v>
      </c>
      <c r="D2401" t="s">
        <v>1313</v>
      </c>
      <c r="E2401" s="8">
        <v>3510</v>
      </c>
      <c r="F2401" s="8">
        <v>47900</v>
      </c>
      <c r="G2401" s="8">
        <f t="shared" si="148"/>
        <v>168129000</v>
      </c>
      <c r="H2401" s="5">
        <v>0</v>
      </c>
      <c r="I2401" s="8">
        <f t="shared" si="149"/>
        <v>168129000</v>
      </c>
      <c r="J2401" s="8">
        <f t="shared" si="150"/>
        <v>0</v>
      </c>
      <c r="K2401" t="str">
        <f t="shared" si="151"/>
        <v>MATCHED</v>
      </c>
    </row>
    <row r="2402" spans="1:11">
      <c r="A2402" t="s">
        <v>110</v>
      </c>
      <c r="B2402" t="s">
        <v>1459</v>
      </c>
      <c r="C2402" t="s">
        <v>1508</v>
      </c>
      <c r="D2402" t="s">
        <v>1509</v>
      </c>
      <c r="E2402" s="8">
        <v>690</v>
      </c>
      <c r="F2402" s="8">
        <v>78840</v>
      </c>
      <c r="G2402" s="8">
        <f t="shared" si="148"/>
        <v>54399600</v>
      </c>
      <c r="H2402" s="5">
        <v>0.1267</v>
      </c>
      <c r="I2402" s="8">
        <f t="shared" si="149"/>
        <v>54399600</v>
      </c>
      <c r="J2402" s="8">
        <f t="shared" si="150"/>
        <v>6892429.32</v>
      </c>
      <c r="K2402" t="str">
        <f t="shared" si="151"/>
        <v>MATCHED</v>
      </c>
    </row>
    <row r="2403" spans="1:11">
      <c r="A2403" t="s">
        <v>110</v>
      </c>
      <c r="B2403" t="s">
        <v>1459</v>
      </c>
      <c r="C2403" t="s">
        <v>746</v>
      </c>
      <c r="D2403" t="s">
        <v>747</v>
      </c>
      <c r="E2403" s="8"/>
      <c r="F2403" s="8">
        <v>44120</v>
      </c>
      <c r="G2403" s="8" t="str">
        <f t="shared" si="148"/>
        <v/>
      </c>
      <c r="H2403" s="5"/>
      <c r="I2403" s="8" t="str">
        <f t="shared" si="149"/>
        <v/>
      </c>
      <c r="J2403" s="8" t="str">
        <f t="shared" si="150"/>
        <v/>
      </c>
      <c r="K2403" t="str">
        <f t="shared" si="151"/>
        <v>MISSING OEWS</v>
      </c>
    </row>
    <row r="2404" spans="1:11">
      <c r="A2404" t="s">
        <v>110</v>
      </c>
      <c r="B2404" t="s">
        <v>1459</v>
      </c>
      <c r="C2404" t="s">
        <v>449</v>
      </c>
      <c r="D2404" t="s">
        <v>450</v>
      </c>
      <c r="E2404" s="8">
        <v>39680</v>
      </c>
      <c r="F2404" s="8">
        <v>46970</v>
      </c>
      <c r="G2404" s="8">
        <f t="shared" si="148"/>
        <v>1863769600</v>
      </c>
      <c r="H2404" s="5">
        <v>0.0867</v>
      </c>
      <c r="I2404" s="8">
        <f t="shared" si="149"/>
        <v>1863769600</v>
      </c>
      <c r="J2404" s="8">
        <f t="shared" si="150"/>
        <v>161588824.32</v>
      </c>
      <c r="K2404" t="str">
        <f t="shared" si="151"/>
        <v>MATCHED</v>
      </c>
    </row>
    <row r="2405" spans="1:11">
      <c r="A2405" t="s">
        <v>110</v>
      </c>
      <c r="B2405" t="s">
        <v>1459</v>
      </c>
      <c r="C2405" t="s">
        <v>1082</v>
      </c>
      <c r="D2405" t="s">
        <v>1083</v>
      </c>
      <c r="E2405" s="8">
        <v>3550</v>
      </c>
      <c r="F2405" s="8">
        <v>43870</v>
      </c>
      <c r="G2405" s="8">
        <f t="shared" si="148"/>
        <v>155738500</v>
      </c>
      <c r="H2405" s="5">
        <v>0.2868</v>
      </c>
      <c r="I2405" s="8">
        <f t="shared" si="149"/>
        <v>155738500</v>
      </c>
      <c r="J2405" s="8">
        <f t="shared" si="150"/>
        <v>44665801.8</v>
      </c>
      <c r="K2405" t="str">
        <f t="shared" si="151"/>
        <v>MATCHED</v>
      </c>
    </row>
    <row r="2406" spans="1:11">
      <c r="A2406" t="s">
        <v>110</v>
      </c>
      <c r="B2406" t="s">
        <v>1459</v>
      </c>
      <c r="C2406" t="s">
        <v>1086</v>
      </c>
      <c r="D2406" t="s">
        <v>1087</v>
      </c>
      <c r="E2406" s="8"/>
      <c r="F2406" s="8">
        <v>47730</v>
      </c>
      <c r="G2406" s="8" t="str">
        <f t="shared" si="148"/>
        <v/>
      </c>
      <c r="H2406" s="5">
        <v>0.0679</v>
      </c>
      <c r="I2406" s="8" t="str">
        <f t="shared" si="149"/>
        <v/>
      </c>
      <c r="J2406" s="8" t="str">
        <f t="shared" si="150"/>
        <v/>
      </c>
      <c r="K2406" t="str">
        <f t="shared" si="151"/>
        <v>MISSING OEWS</v>
      </c>
    </row>
    <row r="2407" spans="1:11">
      <c r="A2407" t="s">
        <v>110</v>
      </c>
      <c r="B2407" t="s">
        <v>1459</v>
      </c>
      <c r="C2407" t="s">
        <v>1088</v>
      </c>
      <c r="D2407" t="s">
        <v>1089</v>
      </c>
      <c r="E2407" s="8">
        <v>1390</v>
      </c>
      <c r="F2407" s="8">
        <v>46820</v>
      </c>
      <c r="G2407" s="8">
        <f t="shared" si="148"/>
        <v>65079800</v>
      </c>
      <c r="H2407" s="5">
        <v>0.05</v>
      </c>
      <c r="I2407" s="8">
        <f t="shared" si="149"/>
        <v>65079800</v>
      </c>
      <c r="J2407" s="8">
        <f t="shared" si="150"/>
        <v>3253990</v>
      </c>
      <c r="K2407" t="str">
        <f t="shared" si="151"/>
        <v>MATCHED</v>
      </c>
    </row>
    <row r="2408" spans="1:11">
      <c r="A2408" t="s">
        <v>110</v>
      </c>
      <c r="B2408" t="s">
        <v>1459</v>
      </c>
      <c r="C2408" t="s">
        <v>748</v>
      </c>
      <c r="D2408" t="s">
        <v>749</v>
      </c>
      <c r="E2408" s="8">
        <v>630</v>
      </c>
      <c r="F2408" s="8">
        <v>47660</v>
      </c>
      <c r="G2408" s="8">
        <f t="shared" si="148"/>
        <v>30025800</v>
      </c>
      <c r="H2408" s="5">
        <v>0</v>
      </c>
      <c r="I2408" s="8">
        <f t="shared" si="149"/>
        <v>30025800</v>
      </c>
      <c r="J2408" s="8">
        <f t="shared" si="150"/>
        <v>0</v>
      </c>
      <c r="K2408" t="str">
        <f t="shared" si="151"/>
        <v>MATCHED</v>
      </c>
    </row>
    <row r="2409" spans="1:11">
      <c r="A2409" t="s">
        <v>110</v>
      </c>
      <c r="B2409" t="s">
        <v>1459</v>
      </c>
      <c r="C2409" t="s">
        <v>451</v>
      </c>
      <c r="D2409" t="s">
        <v>452</v>
      </c>
      <c r="E2409" s="8">
        <v>7960</v>
      </c>
      <c r="F2409" s="8">
        <v>38040</v>
      </c>
      <c r="G2409" s="8">
        <f t="shared" si="148"/>
        <v>302798400</v>
      </c>
      <c r="H2409" s="5">
        <v>0.0594</v>
      </c>
      <c r="I2409" s="8">
        <f t="shared" si="149"/>
        <v>302798400</v>
      </c>
      <c r="J2409" s="8">
        <f t="shared" si="150"/>
        <v>17986224.96</v>
      </c>
      <c r="K2409" t="str">
        <f t="shared" si="151"/>
        <v>MATCHED</v>
      </c>
    </row>
    <row r="2410" spans="1:11">
      <c r="A2410" t="s">
        <v>110</v>
      </c>
      <c r="B2410" t="s">
        <v>1459</v>
      </c>
      <c r="C2410" t="s">
        <v>453</v>
      </c>
      <c r="D2410" t="s">
        <v>454</v>
      </c>
      <c r="E2410" s="8">
        <v>22870</v>
      </c>
      <c r="F2410" s="8">
        <v>50160</v>
      </c>
      <c r="G2410" s="8">
        <f t="shared" si="148"/>
        <v>1147159200</v>
      </c>
      <c r="H2410" s="5">
        <v>0.1667</v>
      </c>
      <c r="I2410" s="8">
        <f t="shared" si="149"/>
        <v>1147159200</v>
      </c>
      <c r="J2410" s="8">
        <f t="shared" si="150"/>
        <v>191231438.64</v>
      </c>
      <c r="K2410" t="str">
        <f t="shared" si="151"/>
        <v>MATCHED</v>
      </c>
    </row>
    <row r="2411" spans="1:11">
      <c r="A2411" t="s">
        <v>110</v>
      </c>
      <c r="B2411" t="s">
        <v>1459</v>
      </c>
      <c r="C2411" t="s">
        <v>455</v>
      </c>
      <c r="D2411" t="s">
        <v>456</v>
      </c>
      <c r="E2411" s="8">
        <v>35320</v>
      </c>
      <c r="F2411" s="8">
        <v>57540</v>
      </c>
      <c r="G2411" s="8">
        <f t="shared" si="148"/>
        <v>2032312800</v>
      </c>
      <c r="H2411" s="5">
        <v>0.3775</v>
      </c>
      <c r="I2411" s="8">
        <f t="shared" si="149"/>
        <v>2032312800</v>
      </c>
      <c r="J2411" s="8">
        <f t="shared" si="150"/>
        <v>767198082</v>
      </c>
      <c r="K2411" t="str">
        <f t="shared" si="151"/>
        <v>MATCHED</v>
      </c>
    </row>
    <row r="2412" spans="1:11">
      <c r="A2412" t="s">
        <v>110</v>
      </c>
      <c r="B2412" t="s">
        <v>1459</v>
      </c>
      <c r="C2412" t="s">
        <v>912</v>
      </c>
      <c r="D2412" t="s">
        <v>913</v>
      </c>
      <c r="E2412" s="8"/>
      <c r="F2412" s="8">
        <v>46160</v>
      </c>
      <c r="G2412" s="8" t="str">
        <f t="shared" si="148"/>
        <v/>
      </c>
      <c r="H2412" s="5">
        <v>0.0559</v>
      </c>
      <c r="I2412" s="8" t="str">
        <f t="shared" si="149"/>
        <v/>
      </c>
      <c r="J2412" s="8" t="str">
        <f t="shared" si="150"/>
        <v/>
      </c>
      <c r="K2412" t="str">
        <f t="shared" si="151"/>
        <v>MISSING OEWS</v>
      </c>
    </row>
    <row r="2413" spans="1:11">
      <c r="A2413" t="s">
        <v>110</v>
      </c>
      <c r="B2413" t="s">
        <v>1459</v>
      </c>
      <c r="C2413" t="s">
        <v>1318</v>
      </c>
      <c r="D2413" t="s">
        <v>1319</v>
      </c>
      <c r="E2413" s="8">
        <v>60</v>
      </c>
      <c r="F2413" s="8">
        <v>49500</v>
      </c>
      <c r="G2413" s="8">
        <f t="shared" si="148"/>
        <v>2970000</v>
      </c>
      <c r="H2413" s="5">
        <v>0.0583</v>
      </c>
      <c r="I2413" s="8">
        <f t="shared" si="149"/>
        <v>2970000</v>
      </c>
      <c r="J2413" s="8">
        <f t="shared" si="150"/>
        <v>173151</v>
      </c>
      <c r="K2413" t="str">
        <f t="shared" si="151"/>
        <v>MATCHED</v>
      </c>
    </row>
    <row r="2414" spans="1:11">
      <c r="A2414" t="s">
        <v>110</v>
      </c>
      <c r="B2414" t="s">
        <v>1459</v>
      </c>
      <c r="C2414" t="s">
        <v>1094</v>
      </c>
      <c r="D2414" t="s">
        <v>1095</v>
      </c>
      <c r="E2414" s="8">
        <v>240</v>
      </c>
      <c r="F2414" s="8">
        <v>48480</v>
      </c>
      <c r="G2414" s="8">
        <f t="shared" si="148"/>
        <v>11635200</v>
      </c>
      <c r="H2414" s="5">
        <v>0</v>
      </c>
      <c r="I2414" s="8">
        <f t="shared" si="149"/>
        <v>11635200</v>
      </c>
      <c r="J2414" s="8">
        <f t="shared" si="150"/>
        <v>0</v>
      </c>
      <c r="K2414" t="str">
        <f t="shared" si="151"/>
        <v>MATCHED</v>
      </c>
    </row>
    <row r="2415" spans="1:11">
      <c r="A2415" t="s">
        <v>110</v>
      </c>
      <c r="B2415" t="s">
        <v>1459</v>
      </c>
      <c r="C2415" t="s">
        <v>457</v>
      </c>
      <c r="D2415" t="s">
        <v>458</v>
      </c>
      <c r="E2415" s="8">
        <v>20630</v>
      </c>
      <c r="F2415" s="8">
        <v>41450</v>
      </c>
      <c r="G2415" s="8">
        <f t="shared" si="148"/>
        <v>855113500</v>
      </c>
      <c r="H2415" s="5">
        <v>0.15</v>
      </c>
      <c r="I2415" s="8">
        <f t="shared" si="149"/>
        <v>855113500</v>
      </c>
      <c r="J2415" s="8">
        <f t="shared" si="150"/>
        <v>128267025</v>
      </c>
      <c r="K2415" t="str">
        <f t="shared" si="151"/>
        <v>MATCHED</v>
      </c>
    </row>
    <row r="2416" spans="1:11">
      <c r="A2416" t="s">
        <v>110</v>
      </c>
      <c r="B2416" t="s">
        <v>1459</v>
      </c>
      <c r="C2416" t="s">
        <v>1322</v>
      </c>
      <c r="D2416" t="s">
        <v>1323</v>
      </c>
      <c r="E2416" s="8">
        <v>75060</v>
      </c>
      <c r="F2416" s="8">
        <v>39620</v>
      </c>
      <c r="G2416" s="8">
        <f t="shared" si="148"/>
        <v>2973877200</v>
      </c>
      <c r="H2416" s="5">
        <v>0.1444</v>
      </c>
      <c r="I2416" s="8">
        <f t="shared" si="149"/>
        <v>2973877200</v>
      </c>
      <c r="J2416" s="8">
        <f t="shared" si="150"/>
        <v>429427867.68</v>
      </c>
      <c r="K2416" t="str">
        <f t="shared" si="151"/>
        <v>MATCHED</v>
      </c>
    </row>
    <row r="2417" spans="1:11">
      <c r="A2417" t="s">
        <v>110</v>
      </c>
      <c r="B2417" t="s">
        <v>1459</v>
      </c>
      <c r="C2417" t="s">
        <v>1324</v>
      </c>
      <c r="D2417" t="s">
        <v>1325</v>
      </c>
      <c r="E2417" s="8">
        <v>116230</v>
      </c>
      <c r="F2417" s="8">
        <v>42140</v>
      </c>
      <c r="G2417" s="8">
        <f t="shared" si="148"/>
        <v>4897932200</v>
      </c>
      <c r="H2417" s="5">
        <v>0.1583</v>
      </c>
      <c r="I2417" s="8">
        <f t="shared" si="149"/>
        <v>4897932200</v>
      </c>
      <c r="J2417" s="8">
        <f t="shared" si="150"/>
        <v>775342667.26</v>
      </c>
      <c r="K2417" t="str">
        <f t="shared" si="151"/>
        <v>MATCHED</v>
      </c>
    </row>
    <row r="2418" spans="1:11">
      <c r="A2418" t="s">
        <v>110</v>
      </c>
      <c r="B2418" t="s">
        <v>1459</v>
      </c>
      <c r="C2418" t="s">
        <v>1326</v>
      </c>
      <c r="D2418" t="s">
        <v>1327</v>
      </c>
      <c r="E2418" s="8">
        <v>20170</v>
      </c>
      <c r="F2418" s="8">
        <v>36420</v>
      </c>
      <c r="G2418" s="8">
        <f t="shared" si="148"/>
        <v>734591400</v>
      </c>
      <c r="H2418" s="5">
        <v>0</v>
      </c>
      <c r="I2418" s="8">
        <f t="shared" si="149"/>
        <v>734591400</v>
      </c>
      <c r="J2418" s="8">
        <f t="shared" si="150"/>
        <v>0</v>
      </c>
      <c r="K2418" t="str">
        <f t="shared" si="151"/>
        <v>MATCHED</v>
      </c>
    </row>
    <row r="2419" spans="1:11">
      <c r="A2419" t="s">
        <v>110</v>
      </c>
      <c r="B2419" t="s">
        <v>1459</v>
      </c>
      <c r="C2419" t="s">
        <v>1328</v>
      </c>
      <c r="D2419" t="s">
        <v>1329</v>
      </c>
      <c r="E2419" s="8">
        <v>3130</v>
      </c>
      <c r="F2419" s="8">
        <v>37400</v>
      </c>
      <c r="G2419" s="8">
        <f t="shared" si="148"/>
        <v>117062000</v>
      </c>
      <c r="H2419" s="5">
        <v>0</v>
      </c>
      <c r="I2419" s="8">
        <f t="shared" si="149"/>
        <v>117062000</v>
      </c>
      <c r="J2419" s="8">
        <f t="shared" si="150"/>
        <v>0</v>
      </c>
      <c r="K2419" t="str">
        <f t="shared" si="151"/>
        <v>MATCHED</v>
      </c>
    </row>
    <row r="2420" spans="1:11">
      <c r="A2420" t="s">
        <v>110</v>
      </c>
      <c r="B2420" t="s">
        <v>1459</v>
      </c>
      <c r="C2420" t="s">
        <v>459</v>
      </c>
      <c r="D2420" t="s">
        <v>460</v>
      </c>
      <c r="E2420" s="8">
        <v>480</v>
      </c>
      <c r="F2420" s="8">
        <v>44700</v>
      </c>
      <c r="G2420" s="8">
        <f t="shared" si="148"/>
        <v>21456000</v>
      </c>
      <c r="H2420" s="5">
        <v>0.0475</v>
      </c>
      <c r="I2420" s="8">
        <f t="shared" si="149"/>
        <v>21456000</v>
      </c>
      <c r="J2420" s="8">
        <f t="shared" si="150"/>
        <v>1019160</v>
      </c>
      <c r="K2420" t="str">
        <f t="shared" si="151"/>
        <v>MATCHED</v>
      </c>
    </row>
    <row r="2421" spans="1:11">
      <c r="A2421" t="s">
        <v>110</v>
      </c>
      <c r="B2421" t="s">
        <v>1459</v>
      </c>
      <c r="C2421" t="s">
        <v>461</v>
      </c>
      <c r="D2421" t="s">
        <v>462</v>
      </c>
      <c r="E2421" s="8">
        <v>4610</v>
      </c>
      <c r="F2421" s="8">
        <v>38650</v>
      </c>
      <c r="G2421" s="8">
        <f t="shared" si="148"/>
        <v>178176500</v>
      </c>
      <c r="H2421" s="5">
        <v>0.038</v>
      </c>
      <c r="I2421" s="8">
        <f t="shared" si="149"/>
        <v>178176500</v>
      </c>
      <c r="J2421" s="8">
        <f t="shared" si="150"/>
        <v>6770707</v>
      </c>
      <c r="K2421" t="str">
        <f t="shared" si="151"/>
        <v>MATCHED</v>
      </c>
    </row>
    <row r="2422" spans="1:11">
      <c r="A2422" t="s">
        <v>110</v>
      </c>
      <c r="B2422" t="s">
        <v>1459</v>
      </c>
      <c r="C2422" t="s">
        <v>1330</v>
      </c>
      <c r="D2422" t="s">
        <v>1331</v>
      </c>
      <c r="E2422" s="8">
        <v>470</v>
      </c>
      <c r="F2422" s="8">
        <v>39480</v>
      </c>
      <c r="G2422" s="8">
        <f t="shared" si="148"/>
        <v>18555600</v>
      </c>
      <c r="H2422" s="5">
        <v>0.1118</v>
      </c>
      <c r="I2422" s="8">
        <f t="shared" si="149"/>
        <v>18555600</v>
      </c>
      <c r="J2422" s="8">
        <f t="shared" si="150"/>
        <v>2074516.08</v>
      </c>
      <c r="K2422" t="str">
        <f t="shared" si="151"/>
        <v>MATCHED</v>
      </c>
    </row>
    <row r="2423" spans="1:11">
      <c r="A2423" t="s">
        <v>110</v>
      </c>
      <c r="B2423" t="s">
        <v>1459</v>
      </c>
      <c r="C2423" t="s">
        <v>463</v>
      </c>
      <c r="D2423" t="s">
        <v>464</v>
      </c>
      <c r="E2423" s="8">
        <v>11070</v>
      </c>
      <c r="F2423" s="8">
        <v>40000</v>
      </c>
      <c r="G2423" s="8">
        <f t="shared" si="148"/>
        <v>442800000</v>
      </c>
      <c r="H2423" s="5"/>
      <c r="I2423" s="8" t="str">
        <f t="shared" si="149"/>
        <v/>
      </c>
      <c r="J2423" s="8" t="str">
        <f t="shared" si="150"/>
        <v/>
      </c>
      <c r="K2423" t="str">
        <f t="shared" si="151"/>
        <v>MISSING WHARTON</v>
      </c>
    </row>
    <row r="2424" spans="1:11">
      <c r="A2424" t="s">
        <v>110</v>
      </c>
      <c r="B2424" t="s">
        <v>1459</v>
      </c>
      <c r="C2424" t="s">
        <v>1100</v>
      </c>
      <c r="D2424" t="s">
        <v>1101</v>
      </c>
      <c r="E2424" s="8">
        <v>90</v>
      </c>
      <c r="F2424" s="8">
        <v>43320</v>
      </c>
      <c r="G2424" s="8">
        <f t="shared" si="148"/>
        <v>3898800</v>
      </c>
      <c r="H2424" s="5">
        <v>0.0297</v>
      </c>
      <c r="I2424" s="8">
        <f t="shared" si="149"/>
        <v>3898800</v>
      </c>
      <c r="J2424" s="8">
        <f t="shared" si="150"/>
        <v>115794.36</v>
      </c>
      <c r="K2424" t="str">
        <f t="shared" si="151"/>
        <v>MATCHED</v>
      </c>
    </row>
    <row r="2425" spans="1:11">
      <c r="A2425" t="s">
        <v>110</v>
      </c>
      <c r="B2425" t="s">
        <v>1459</v>
      </c>
      <c r="C2425" t="s">
        <v>1102</v>
      </c>
      <c r="D2425" t="s">
        <v>1103</v>
      </c>
      <c r="E2425" s="8">
        <v>40</v>
      </c>
      <c r="F2425" s="8">
        <v>42290</v>
      </c>
      <c r="G2425" s="8">
        <f t="shared" si="148"/>
        <v>1691600</v>
      </c>
      <c r="H2425" s="5">
        <v>0.0917</v>
      </c>
      <c r="I2425" s="8">
        <f t="shared" si="149"/>
        <v>1691600</v>
      </c>
      <c r="J2425" s="8">
        <f t="shared" si="150"/>
        <v>155119.72</v>
      </c>
      <c r="K2425" t="str">
        <f t="shared" si="151"/>
        <v>MATCHED</v>
      </c>
    </row>
    <row r="2426" spans="1:11">
      <c r="A2426" t="s">
        <v>110</v>
      </c>
      <c r="B2426" t="s">
        <v>1459</v>
      </c>
      <c r="C2426" t="s">
        <v>754</v>
      </c>
      <c r="D2426" t="s">
        <v>755</v>
      </c>
      <c r="E2426" s="8"/>
      <c r="F2426" s="8">
        <v>46800</v>
      </c>
      <c r="G2426" s="8" t="str">
        <f t="shared" si="148"/>
        <v/>
      </c>
      <c r="H2426" s="5">
        <v>0.0633</v>
      </c>
      <c r="I2426" s="8" t="str">
        <f t="shared" si="149"/>
        <v/>
      </c>
      <c r="J2426" s="8" t="str">
        <f t="shared" si="150"/>
        <v/>
      </c>
      <c r="K2426" t="str">
        <f t="shared" si="151"/>
        <v>MISSING OEWS</v>
      </c>
    </row>
    <row r="2427" spans="1:11">
      <c r="A2427" t="s">
        <v>110</v>
      </c>
      <c r="B2427" t="s">
        <v>1459</v>
      </c>
      <c r="C2427" t="s">
        <v>756</v>
      </c>
      <c r="D2427" t="s">
        <v>757</v>
      </c>
      <c r="E2427" s="8">
        <v>810</v>
      </c>
      <c r="F2427" s="8">
        <v>53160</v>
      </c>
      <c r="G2427" s="8">
        <f t="shared" si="148"/>
        <v>43059600</v>
      </c>
      <c r="H2427" s="5">
        <v>0.0897</v>
      </c>
      <c r="I2427" s="8">
        <f t="shared" si="149"/>
        <v>43059600</v>
      </c>
      <c r="J2427" s="8">
        <f t="shared" si="150"/>
        <v>3862446.12</v>
      </c>
      <c r="K2427" t="str">
        <f t="shared" si="151"/>
        <v>MATCHED</v>
      </c>
    </row>
    <row r="2428" spans="1:11">
      <c r="A2428" t="s">
        <v>110</v>
      </c>
      <c r="B2428" t="s">
        <v>1459</v>
      </c>
      <c r="C2428" t="s">
        <v>1106</v>
      </c>
      <c r="D2428" t="s">
        <v>1107</v>
      </c>
      <c r="E2428" s="8"/>
      <c r="F2428" s="8">
        <v>56480</v>
      </c>
      <c r="G2428" s="8" t="str">
        <f t="shared" si="148"/>
        <v/>
      </c>
      <c r="H2428" s="5">
        <v>0.0288</v>
      </c>
      <c r="I2428" s="8" t="str">
        <f t="shared" si="149"/>
        <v/>
      </c>
      <c r="J2428" s="8" t="str">
        <f t="shared" si="150"/>
        <v/>
      </c>
      <c r="K2428" t="str">
        <f t="shared" si="151"/>
        <v>MISSING OEWS</v>
      </c>
    </row>
    <row r="2429" spans="1:11">
      <c r="A2429" t="s">
        <v>110</v>
      </c>
      <c r="B2429" t="s">
        <v>1459</v>
      </c>
      <c r="C2429" t="s">
        <v>465</v>
      </c>
      <c r="D2429" t="s">
        <v>466</v>
      </c>
      <c r="E2429" s="8">
        <v>1400</v>
      </c>
      <c r="F2429" s="8">
        <v>51170</v>
      </c>
      <c r="G2429" s="8">
        <f t="shared" si="148"/>
        <v>71638000</v>
      </c>
      <c r="H2429" s="5">
        <v>0.0233</v>
      </c>
      <c r="I2429" s="8">
        <f t="shared" si="149"/>
        <v>71638000</v>
      </c>
      <c r="J2429" s="8">
        <f t="shared" si="150"/>
        <v>1669165.4</v>
      </c>
      <c r="K2429" t="str">
        <f t="shared" si="151"/>
        <v>MATCHED</v>
      </c>
    </row>
    <row r="2430" spans="1:11">
      <c r="A2430" t="s">
        <v>110</v>
      </c>
      <c r="B2430" t="s">
        <v>1459</v>
      </c>
      <c r="C2430" t="s">
        <v>762</v>
      </c>
      <c r="D2430" t="s">
        <v>763</v>
      </c>
      <c r="E2430" s="8"/>
      <c r="F2430" s="8">
        <v>57570</v>
      </c>
      <c r="G2430" s="8" t="str">
        <f t="shared" si="148"/>
        <v/>
      </c>
      <c r="H2430" s="5">
        <v>0.0983</v>
      </c>
      <c r="I2430" s="8" t="str">
        <f t="shared" si="149"/>
        <v/>
      </c>
      <c r="J2430" s="8" t="str">
        <f t="shared" si="150"/>
        <v/>
      </c>
      <c r="K2430" t="str">
        <f t="shared" si="151"/>
        <v>MISSING OEWS</v>
      </c>
    </row>
    <row r="2431" spans="1:11">
      <c r="A2431" t="s">
        <v>110</v>
      </c>
      <c r="B2431" t="s">
        <v>1459</v>
      </c>
      <c r="C2431" t="s">
        <v>1114</v>
      </c>
      <c r="D2431" t="s">
        <v>1115</v>
      </c>
      <c r="E2431" s="8">
        <v>60</v>
      </c>
      <c r="F2431" s="8">
        <v>42480</v>
      </c>
      <c r="G2431" s="8">
        <f t="shared" si="148"/>
        <v>2548800</v>
      </c>
      <c r="H2431" s="5">
        <v>0</v>
      </c>
      <c r="I2431" s="8">
        <f t="shared" si="149"/>
        <v>2548800</v>
      </c>
      <c r="J2431" s="8">
        <f t="shared" si="150"/>
        <v>0</v>
      </c>
      <c r="K2431" t="str">
        <f t="shared" si="151"/>
        <v>MATCHED</v>
      </c>
    </row>
    <row r="2432" spans="1:11">
      <c r="A2432" t="s">
        <v>110</v>
      </c>
      <c r="B2432" t="s">
        <v>1459</v>
      </c>
      <c r="C2432" t="s">
        <v>764</v>
      </c>
      <c r="D2432" t="s">
        <v>765</v>
      </c>
      <c r="E2432" s="8">
        <v>170</v>
      </c>
      <c r="F2432" s="8">
        <v>44010</v>
      </c>
      <c r="G2432" s="8">
        <f t="shared" si="148"/>
        <v>7481700</v>
      </c>
      <c r="H2432" s="5"/>
      <c r="I2432" s="8" t="str">
        <f t="shared" si="149"/>
        <v/>
      </c>
      <c r="J2432" s="8" t="str">
        <f t="shared" si="150"/>
        <v/>
      </c>
      <c r="K2432" t="str">
        <f t="shared" si="151"/>
        <v>MISSING WHARTON</v>
      </c>
    </row>
    <row r="2433" spans="1:11">
      <c r="A2433" t="s">
        <v>110</v>
      </c>
      <c r="B2433" t="s">
        <v>1459</v>
      </c>
      <c r="C2433" t="s">
        <v>1342</v>
      </c>
      <c r="D2433" t="s">
        <v>1343</v>
      </c>
      <c r="E2433" s="8">
        <v>150</v>
      </c>
      <c r="F2433" s="8">
        <v>40280</v>
      </c>
      <c r="G2433" s="8">
        <f t="shared" si="148"/>
        <v>6042000</v>
      </c>
      <c r="H2433" s="5">
        <v>0.42</v>
      </c>
      <c r="I2433" s="8">
        <f t="shared" si="149"/>
        <v>6042000</v>
      </c>
      <c r="J2433" s="8">
        <f t="shared" si="150"/>
        <v>2537640</v>
      </c>
      <c r="K2433" t="str">
        <f t="shared" si="151"/>
        <v>MATCHED</v>
      </c>
    </row>
    <row r="2434" spans="1:11">
      <c r="A2434" t="s">
        <v>110</v>
      </c>
      <c r="B2434" t="s">
        <v>1459</v>
      </c>
      <c r="C2434" t="s">
        <v>1344</v>
      </c>
      <c r="D2434" t="s">
        <v>1345</v>
      </c>
      <c r="E2434" s="8">
        <v>3420</v>
      </c>
      <c r="F2434" s="8">
        <v>39300</v>
      </c>
      <c r="G2434" s="8">
        <f t="shared" ref="G2434:G2497" si="152">IF(OR(E2434="",F2434=""),"",E2434*F2434)</f>
        <v>134406000</v>
      </c>
      <c r="H2434" s="5">
        <v>0.3348</v>
      </c>
      <c r="I2434" s="8">
        <f t="shared" ref="I2434:I2497" si="153">IF(G2434="","",IF(ISNUMBER(H2434),G2434,""))</f>
        <v>134406000</v>
      </c>
      <c r="J2434" s="8">
        <f t="shared" ref="J2434:J2497" si="154">IF(I2434="","",I2434*H2434)</f>
        <v>44999128.8</v>
      </c>
      <c r="K2434" t="str">
        <f t="shared" ref="K2434:K2497" si="155">IF(G2434="","MISSING OEWS",IF(ISNUMBER(H2434),"MATCHED","MISSING WHARTON"))</f>
        <v>MATCHED</v>
      </c>
    </row>
    <row r="2435" spans="1:11">
      <c r="A2435" t="s">
        <v>110</v>
      </c>
      <c r="B2435" t="s">
        <v>1459</v>
      </c>
      <c r="C2435" t="s">
        <v>1116</v>
      </c>
      <c r="D2435" t="s">
        <v>1117</v>
      </c>
      <c r="E2435" s="8"/>
      <c r="F2435" s="8">
        <v>24570</v>
      </c>
      <c r="G2435" s="8" t="str">
        <f t="shared" si="152"/>
        <v/>
      </c>
      <c r="H2435" s="5">
        <v>0</v>
      </c>
      <c r="I2435" s="8" t="str">
        <f t="shared" si="153"/>
        <v/>
      </c>
      <c r="J2435" s="8" t="str">
        <f t="shared" si="154"/>
        <v/>
      </c>
      <c r="K2435" t="str">
        <f t="shared" si="155"/>
        <v>MISSING OEWS</v>
      </c>
    </row>
    <row r="2436" spans="1:11">
      <c r="A2436" t="s">
        <v>110</v>
      </c>
      <c r="B2436" t="s">
        <v>1459</v>
      </c>
      <c r="C2436" t="s">
        <v>1348</v>
      </c>
      <c r="D2436" t="s">
        <v>1349</v>
      </c>
      <c r="E2436" s="8">
        <v>280</v>
      </c>
      <c r="F2436" s="8">
        <v>33150</v>
      </c>
      <c r="G2436" s="8">
        <f t="shared" si="152"/>
        <v>9282000</v>
      </c>
      <c r="H2436" s="5">
        <v>0</v>
      </c>
      <c r="I2436" s="8">
        <f t="shared" si="153"/>
        <v>9282000</v>
      </c>
      <c r="J2436" s="8">
        <f t="shared" si="154"/>
        <v>0</v>
      </c>
      <c r="K2436" t="str">
        <f t="shared" si="155"/>
        <v>MATCHED</v>
      </c>
    </row>
    <row r="2437" spans="1:11">
      <c r="A2437" t="s">
        <v>110</v>
      </c>
      <c r="B2437" t="s">
        <v>1459</v>
      </c>
      <c r="C2437" t="s">
        <v>1118</v>
      </c>
      <c r="D2437" t="s">
        <v>1119</v>
      </c>
      <c r="E2437" s="8">
        <v>7730</v>
      </c>
      <c r="F2437" s="8">
        <v>36850</v>
      </c>
      <c r="G2437" s="8">
        <f t="shared" si="152"/>
        <v>284850500</v>
      </c>
      <c r="H2437" s="5">
        <v>0.0365</v>
      </c>
      <c r="I2437" s="8">
        <f t="shared" si="153"/>
        <v>284850500</v>
      </c>
      <c r="J2437" s="8">
        <f t="shared" si="154"/>
        <v>10397043.25</v>
      </c>
      <c r="K2437" t="str">
        <f t="shared" si="155"/>
        <v>MATCHED</v>
      </c>
    </row>
    <row r="2438" spans="1:11">
      <c r="A2438" t="s">
        <v>110</v>
      </c>
      <c r="B2438" t="s">
        <v>1459</v>
      </c>
      <c r="C2438" t="s">
        <v>1350</v>
      </c>
      <c r="D2438" t="s">
        <v>1351</v>
      </c>
      <c r="E2438" s="8">
        <v>490</v>
      </c>
      <c r="F2438" s="8">
        <v>43130</v>
      </c>
      <c r="G2438" s="8">
        <f t="shared" si="152"/>
        <v>21133700</v>
      </c>
      <c r="H2438" s="5">
        <v>0</v>
      </c>
      <c r="I2438" s="8">
        <f t="shared" si="153"/>
        <v>21133700</v>
      </c>
      <c r="J2438" s="8">
        <f t="shared" si="154"/>
        <v>0</v>
      </c>
      <c r="K2438" t="str">
        <f t="shared" si="155"/>
        <v>MATCHED</v>
      </c>
    </row>
    <row r="2439" spans="1:11">
      <c r="A2439" t="s">
        <v>110</v>
      </c>
      <c r="B2439" t="s">
        <v>1459</v>
      </c>
      <c r="C2439" t="s">
        <v>1354</v>
      </c>
      <c r="D2439" t="s">
        <v>1355</v>
      </c>
      <c r="E2439" s="8">
        <v>540</v>
      </c>
      <c r="F2439" s="8">
        <v>38200</v>
      </c>
      <c r="G2439" s="8">
        <f t="shared" si="152"/>
        <v>20628000</v>
      </c>
      <c r="H2439" s="5">
        <v>0</v>
      </c>
      <c r="I2439" s="8">
        <f t="shared" si="153"/>
        <v>20628000</v>
      </c>
      <c r="J2439" s="8">
        <f t="shared" si="154"/>
        <v>0</v>
      </c>
      <c r="K2439" t="str">
        <f t="shared" si="155"/>
        <v>MATCHED</v>
      </c>
    </row>
    <row r="2440" spans="1:11">
      <c r="A2440" t="s">
        <v>110</v>
      </c>
      <c r="B2440" t="s">
        <v>1459</v>
      </c>
      <c r="C2440" t="s">
        <v>1356</v>
      </c>
      <c r="D2440" t="s">
        <v>1357</v>
      </c>
      <c r="E2440" s="8">
        <v>5700</v>
      </c>
      <c r="F2440" s="8">
        <v>46960</v>
      </c>
      <c r="G2440" s="8">
        <f t="shared" si="152"/>
        <v>267672000</v>
      </c>
      <c r="H2440" s="5">
        <v>0.0432</v>
      </c>
      <c r="I2440" s="8">
        <f t="shared" si="153"/>
        <v>267672000</v>
      </c>
      <c r="J2440" s="8">
        <f t="shared" si="154"/>
        <v>11563430.4</v>
      </c>
      <c r="K2440" t="str">
        <f t="shared" si="155"/>
        <v>MATCHED</v>
      </c>
    </row>
    <row r="2441" spans="1:11">
      <c r="A2441" t="s">
        <v>110</v>
      </c>
      <c r="B2441" t="s">
        <v>1459</v>
      </c>
      <c r="C2441" t="s">
        <v>1360</v>
      </c>
      <c r="D2441" t="s">
        <v>1361</v>
      </c>
      <c r="E2441" s="8">
        <v>280</v>
      </c>
      <c r="F2441" s="8">
        <v>41540</v>
      </c>
      <c r="G2441" s="8">
        <f t="shared" si="152"/>
        <v>11631200</v>
      </c>
      <c r="H2441" s="5">
        <v>0.1056</v>
      </c>
      <c r="I2441" s="8">
        <f t="shared" si="153"/>
        <v>11631200</v>
      </c>
      <c r="J2441" s="8">
        <f t="shared" si="154"/>
        <v>1228254.72</v>
      </c>
      <c r="K2441" t="str">
        <f t="shared" si="155"/>
        <v>MATCHED</v>
      </c>
    </row>
    <row r="2442" spans="1:11">
      <c r="A2442" t="s">
        <v>110</v>
      </c>
      <c r="B2442" t="s">
        <v>1459</v>
      </c>
      <c r="C2442" t="s">
        <v>1362</v>
      </c>
      <c r="D2442" t="s">
        <v>1363</v>
      </c>
      <c r="E2442" s="8">
        <v>40</v>
      </c>
      <c r="F2442" s="8">
        <v>36420</v>
      </c>
      <c r="G2442" s="8">
        <f t="shared" si="152"/>
        <v>1456800</v>
      </c>
      <c r="H2442" s="5">
        <v>0.13</v>
      </c>
      <c r="I2442" s="8">
        <f t="shared" si="153"/>
        <v>1456800</v>
      </c>
      <c r="J2442" s="8">
        <f t="shared" si="154"/>
        <v>189384</v>
      </c>
      <c r="K2442" t="str">
        <f t="shared" si="155"/>
        <v>MATCHED</v>
      </c>
    </row>
    <row r="2443" spans="1:11">
      <c r="A2443" t="s">
        <v>110</v>
      </c>
      <c r="B2443" t="s">
        <v>1459</v>
      </c>
      <c r="C2443" t="s">
        <v>1368</v>
      </c>
      <c r="D2443" t="s">
        <v>1369</v>
      </c>
      <c r="E2443" s="8">
        <v>430</v>
      </c>
      <c r="F2443" s="8">
        <v>57490</v>
      </c>
      <c r="G2443" s="8">
        <f t="shared" si="152"/>
        <v>24720700</v>
      </c>
      <c r="H2443" s="5">
        <v>0.1625</v>
      </c>
      <c r="I2443" s="8">
        <f t="shared" si="153"/>
        <v>24720700</v>
      </c>
      <c r="J2443" s="8">
        <f t="shared" si="154"/>
        <v>4017113.75</v>
      </c>
      <c r="K2443" t="str">
        <f t="shared" si="155"/>
        <v>MATCHED</v>
      </c>
    </row>
    <row r="2444" spans="1:11">
      <c r="A2444" t="s">
        <v>110</v>
      </c>
      <c r="B2444" t="s">
        <v>1459</v>
      </c>
      <c r="C2444" t="s">
        <v>1120</v>
      </c>
      <c r="D2444" t="s">
        <v>1121</v>
      </c>
      <c r="E2444" s="8">
        <v>710</v>
      </c>
      <c r="F2444" s="8">
        <v>50520</v>
      </c>
      <c r="G2444" s="8">
        <f t="shared" si="152"/>
        <v>35869200</v>
      </c>
      <c r="H2444" s="5">
        <v>0.0432</v>
      </c>
      <c r="I2444" s="8">
        <f t="shared" si="153"/>
        <v>35869200</v>
      </c>
      <c r="J2444" s="8">
        <f t="shared" si="154"/>
        <v>1549549.44</v>
      </c>
      <c r="K2444" t="str">
        <f t="shared" si="155"/>
        <v>MATCHED</v>
      </c>
    </row>
    <row r="2445" spans="1:11">
      <c r="A2445" t="s">
        <v>110</v>
      </c>
      <c r="B2445" t="s">
        <v>1459</v>
      </c>
      <c r="C2445" t="s">
        <v>1370</v>
      </c>
      <c r="D2445" t="s">
        <v>1371</v>
      </c>
      <c r="E2445" s="8">
        <v>980</v>
      </c>
      <c r="F2445" s="8">
        <v>37210</v>
      </c>
      <c r="G2445" s="8">
        <f t="shared" si="152"/>
        <v>36465800</v>
      </c>
      <c r="H2445" s="5"/>
      <c r="I2445" s="8" t="str">
        <f t="shared" si="153"/>
        <v/>
      </c>
      <c r="J2445" s="8" t="str">
        <f t="shared" si="154"/>
        <v/>
      </c>
      <c r="K2445" t="str">
        <f t="shared" si="155"/>
        <v>MISSING WHARTON</v>
      </c>
    </row>
    <row r="2446" spans="1:11">
      <c r="A2446" t="s">
        <v>110</v>
      </c>
      <c r="B2446" t="s">
        <v>1459</v>
      </c>
      <c r="C2446" t="s">
        <v>1122</v>
      </c>
      <c r="D2446" t="s">
        <v>1123</v>
      </c>
      <c r="E2446" s="8">
        <v>1900</v>
      </c>
      <c r="F2446" s="8">
        <v>52060</v>
      </c>
      <c r="G2446" s="8">
        <f t="shared" si="152"/>
        <v>98914000</v>
      </c>
      <c r="H2446" s="5">
        <v>0.13</v>
      </c>
      <c r="I2446" s="8">
        <f t="shared" si="153"/>
        <v>98914000</v>
      </c>
      <c r="J2446" s="8">
        <f t="shared" si="154"/>
        <v>12858820</v>
      </c>
      <c r="K2446" t="str">
        <f t="shared" si="155"/>
        <v>MATCHED</v>
      </c>
    </row>
    <row r="2447" spans="1:11">
      <c r="A2447" t="s">
        <v>110</v>
      </c>
      <c r="B2447" t="s">
        <v>1459</v>
      </c>
      <c r="C2447" t="s">
        <v>1124</v>
      </c>
      <c r="D2447" t="s">
        <v>1125</v>
      </c>
      <c r="E2447" s="8">
        <v>870</v>
      </c>
      <c r="F2447" s="8">
        <v>47080</v>
      </c>
      <c r="G2447" s="8">
        <f t="shared" si="152"/>
        <v>40959600</v>
      </c>
      <c r="H2447" s="5">
        <v>0</v>
      </c>
      <c r="I2447" s="8">
        <f t="shared" si="153"/>
        <v>40959600</v>
      </c>
      <c r="J2447" s="8">
        <f t="shared" si="154"/>
        <v>0</v>
      </c>
      <c r="K2447" t="str">
        <f t="shared" si="155"/>
        <v>MATCHED</v>
      </c>
    </row>
    <row r="2448" spans="1:11">
      <c r="A2448" t="s">
        <v>110</v>
      </c>
      <c r="B2448" t="s">
        <v>1459</v>
      </c>
      <c r="C2448" t="s">
        <v>467</v>
      </c>
      <c r="D2448" t="s">
        <v>468</v>
      </c>
      <c r="E2448" s="8">
        <v>1350</v>
      </c>
      <c r="F2448" s="8">
        <v>48990</v>
      </c>
      <c r="G2448" s="8">
        <f t="shared" si="152"/>
        <v>66136500</v>
      </c>
      <c r="H2448" s="5">
        <v>0</v>
      </c>
      <c r="I2448" s="8">
        <f t="shared" si="153"/>
        <v>66136500</v>
      </c>
      <c r="J2448" s="8">
        <f t="shared" si="154"/>
        <v>0</v>
      </c>
      <c r="K2448" t="str">
        <f t="shared" si="155"/>
        <v>MATCHED</v>
      </c>
    </row>
    <row r="2449" spans="1:11">
      <c r="A2449" t="s">
        <v>110</v>
      </c>
      <c r="B2449" t="s">
        <v>1459</v>
      </c>
      <c r="C2449" t="s">
        <v>1126</v>
      </c>
      <c r="D2449" t="s">
        <v>1127</v>
      </c>
      <c r="E2449" s="8">
        <v>480</v>
      </c>
      <c r="F2449" s="8">
        <v>42790</v>
      </c>
      <c r="G2449" s="8">
        <f t="shared" si="152"/>
        <v>20539200</v>
      </c>
      <c r="H2449" s="5">
        <v>0.0365</v>
      </c>
      <c r="I2449" s="8">
        <f t="shared" si="153"/>
        <v>20539200</v>
      </c>
      <c r="J2449" s="8">
        <f t="shared" si="154"/>
        <v>749680.8</v>
      </c>
      <c r="K2449" t="str">
        <f t="shared" si="155"/>
        <v>MATCHED</v>
      </c>
    </row>
    <row r="2450" spans="1:11">
      <c r="A2450" t="s">
        <v>110</v>
      </c>
      <c r="B2450" t="s">
        <v>1459</v>
      </c>
      <c r="C2450" t="s">
        <v>1376</v>
      </c>
      <c r="D2450" t="s">
        <v>1377</v>
      </c>
      <c r="E2450" s="8">
        <v>250</v>
      </c>
      <c r="F2450" s="8">
        <v>41550</v>
      </c>
      <c r="G2450" s="8">
        <f t="shared" si="152"/>
        <v>10387500</v>
      </c>
      <c r="H2450" s="5"/>
      <c r="I2450" s="8" t="str">
        <f t="shared" si="153"/>
        <v/>
      </c>
      <c r="J2450" s="8" t="str">
        <f t="shared" si="154"/>
        <v/>
      </c>
      <c r="K2450" t="str">
        <f t="shared" si="155"/>
        <v>MISSING WHARTON</v>
      </c>
    </row>
    <row r="2451" spans="1:11">
      <c r="A2451" t="s">
        <v>110</v>
      </c>
      <c r="B2451" t="s">
        <v>1459</v>
      </c>
      <c r="C2451" t="s">
        <v>776</v>
      </c>
      <c r="D2451" t="s">
        <v>777</v>
      </c>
      <c r="E2451" s="8">
        <v>110</v>
      </c>
      <c r="F2451" s="8">
        <v>70340</v>
      </c>
      <c r="G2451" s="8">
        <f t="shared" si="152"/>
        <v>7737400</v>
      </c>
      <c r="H2451" s="5">
        <v>0.1583</v>
      </c>
      <c r="I2451" s="8">
        <f t="shared" si="153"/>
        <v>7737400</v>
      </c>
      <c r="J2451" s="8">
        <f t="shared" si="154"/>
        <v>1224830.42</v>
      </c>
      <c r="K2451" t="str">
        <f t="shared" si="155"/>
        <v>MATCHED</v>
      </c>
    </row>
    <row r="2452" spans="1:11">
      <c r="A2452" t="s">
        <v>110</v>
      </c>
      <c r="B2452" t="s">
        <v>1459</v>
      </c>
      <c r="C2452" t="s">
        <v>1378</v>
      </c>
      <c r="D2452" t="s">
        <v>1379</v>
      </c>
      <c r="E2452" s="8">
        <v>60</v>
      </c>
      <c r="F2452" s="8">
        <v>47390</v>
      </c>
      <c r="G2452" s="8">
        <f t="shared" si="152"/>
        <v>2843400</v>
      </c>
      <c r="H2452" s="5">
        <v>0.113</v>
      </c>
      <c r="I2452" s="8">
        <f t="shared" si="153"/>
        <v>2843400</v>
      </c>
      <c r="J2452" s="8">
        <f t="shared" si="154"/>
        <v>321304.2</v>
      </c>
      <c r="K2452" t="str">
        <f t="shared" si="155"/>
        <v>MATCHED</v>
      </c>
    </row>
    <row r="2453" spans="1:11">
      <c r="A2453" t="s">
        <v>110</v>
      </c>
      <c r="B2453" t="s">
        <v>1459</v>
      </c>
      <c r="C2453" t="s">
        <v>469</v>
      </c>
      <c r="D2453" t="s">
        <v>470</v>
      </c>
      <c r="E2453" s="8">
        <v>480</v>
      </c>
      <c r="F2453" s="8">
        <v>55730</v>
      </c>
      <c r="G2453" s="8">
        <f t="shared" si="152"/>
        <v>26750400</v>
      </c>
      <c r="H2453" s="5">
        <v>0.0452</v>
      </c>
      <c r="I2453" s="8">
        <f t="shared" si="153"/>
        <v>26750400</v>
      </c>
      <c r="J2453" s="8">
        <f t="shared" si="154"/>
        <v>1209118.08</v>
      </c>
      <c r="K2453" t="str">
        <f t="shared" si="155"/>
        <v>MATCHED</v>
      </c>
    </row>
    <row r="2454" spans="1:11">
      <c r="A2454" t="s">
        <v>110</v>
      </c>
      <c r="B2454" t="s">
        <v>1459</v>
      </c>
      <c r="C2454" t="s">
        <v>471</v>
      </c>
      <c r="D2454" t="s">
        <v>472</v>
      </c>
      <c r="E2454" s="8">
        <v>410</v>
      </c>
      <c r="F2454" s="8">
        <v>45120</v>
      </c>
      <c r="G2454" s="8">
        <f t="shared" si="152"/>
        <v>18499200</v>
      </c>
      <c r="H2454" s="5">
        <v>0.0864</v>
      </c>
      <c r="I2454" s="8">
        <f t="shared" si="153"/>
        <v>18499200</v>
      </c>
      <c r="J2454" s="8">
        <f t="shared" si="154"/>
        <v>1598330.88</v>
      </c>
      <c r="K2454" t="str">
        <f t="shared" si="155"/>
        <v>MATCHED</v>
      </c>
    </row>
    <row r="2455" spans="1:11">
      <c r="A2455" t="s">
        <v>110</v>
      </c>
      <c r="B2455" t="s">
        <v>1459</v>
      </c>
      <c r="C2455" t="s">
        <v>1128</v>
      </c>
      <c r="D2455" t="s">
        <v>1129</v>
      </c>
      <c r="E2455" s="8"/>
      <c r="F2455" s="8">
        <v>39690</v>
      </c>
      <c r="G2455" s="8" t="str">
        <f t="shared" si="152"/>
        <v/>
      </c>
      <c r="H2455" s="5">
        <v>0.0475</v>
      </c>
      <c r="I2455" s="8" t="str">
        <f t="shared" si="153"/>
        <v/>
      </c>
      <c r="J2455" s="8" t="str">
        <f t="shared" si="154"/>
        <v/>
      </c>
      <c r="K2455" t="str">
        <f t="shared" si="155"/>
        <v>MISSING OEWS</v>
      </c>
    </row>
    <row r="2456" spans="1:11">
      <c r="A2456" t="s">
        <v>110</v>
      </c>
      <c r="B2456" t="s">
        <v>1459</v>
      </c>
      <c r="C2456" t="s">
        <v>473</v>
      </c>
      <c r="D2456" t="s">
        <v>474</v>
      </c>
      <c r="E2456" s="8">
        <v>920</v>
      </c>
      <c r="F2456" s="8">
        <v>44140</v>
      </c>
      <c r="G2456" s="8">
        <f t="shared" si="152"/>
        <v>40608800</v>
      </c>
      <c r="H2456" s="5">
        <v>0.1026</v>
      </c>
      <c r="I2456" s="8">
        <f t="shared" si="153"/>
        <v>40608800</v>
      </c>
      <c r="J2456" s="8">
        <f t="shared" si="154"/>
        <v>4166462.88</v>
      </c>
      <c r="K2456" t="str">
        <f t="shared" si="155"/>
        <v>MATCHED</v>
      </c>
    </row>
    <row r="2457" spans="1:11">
      <c r="A2457" t="s">
        <v>110</v>
      </c>
      <c r="B2457" t="s">
        <v>1459</v>
      </c>
      <c r="C2457" t="s">
        <v>475</v>
      </c>
      <c r="D2457" t="s">
        <v>476</v>
      </c>
      <c r="E2457" s="8">
        <v>350</v>
      </c>
      <c r="F2457" s="8">
        <v>37190</v>
      </c>
      <c r="G2457" s="8">
        <f t="shared" si="152"/>
        <v>13016500</v>
      </c>
      <c r="H2457" s="5">
        <v>0</v>
      </c>
      <c r="I2457" s="8">
        <f t="shared" si="153"/>
        <v>13016500</v>
      </c>
      <c r="J2457" s="8">
        <f t="shared" si="154"/>
        <v>0</v>
      </c>
      <c r="K2457" t="str">
        <f t="shared" si="155"/>
        <v>MATCHED</v>
      </c>
    </row>
    <row r="2458" spans="1:11">
      <c r="A2458" t="s">
        <v>110</v>
      </c>
      <c r="B2458" t="s">
        <v>1459</v>
      </c>
      <c r="C2458" t="s">
        <v>477</v>
      </c>
      <c r="D2458" t="s">
        <v>478</v>
      </c>
      <c r="E2458" s="8">
        <v>560</v>
      </c>
      <c r="F2458" s="8">
        <v>45900</v>
      </c>
      <c r="G2458" s="8">
        <f t="shared" si="152"/>
        <v>25704000</v>
      </c>
      <c r="H2458" s="5">
        <v>0.0339</v>
      </c>
      <c r="I2458" s="8">
        <f t="shared" si="153"/>
        <v>25704000</v>
      </c>
      <c r="J2458" s="8">
        <f t="shared" si="154"/>
        <v>871365.6</v>
      </c>
      <c r="K2458" t="str">
        <f t="shared" si="155"/>
        <v>MATCHED</v>
      </c>
    </row>
    <row r="2459" spans="1:11">
      <c r="A2459" t="s">
        <v>110</v>
      </c>
      <c r="B2459" t="s">
        <v>1459</v>
      </c>
      <c r="C2459" t="s">
        <v>479</v>
      </c>
      <c r="D2459" t="s">
        <v>480</v>
      </c>
      <c r="E2459" s="8">
        <v>90</v>
      </c>
      <c r="F2459" s="8">
        <v>42080</v>
      </c>
      <c r="G2459" s="8">
        <f t="shared" si="152"/>
        <v>3787200</v>
      </c>
      <c r="H2459" s="5">
        <v>0.0679</v>
      </c>
      <c r="I2459" s="8">
        <f t="shared" si="153"/>
        <v>3787200</v>
      </c>
      <c r="J2459" s="8">
        <f t="shared" si="154"/>
        <v>257150.88</v>
      </c>
      <c r="K2459" t="str">
        <f t="shared" si="155"/>
        <v>MATCHED</v>
      </c>
    </row>
    <row r="2460" spans="1:11">
      <c r="A2460" t="s">
        <v>110</v>
      </c>
      <c r="B2460" t="s">
        <v>1459</v>
      </c>
      <c r="C2460" t="s">
        <v>780</v>
      </c>
      <c r="D2460" t="s">
        <v>781</v>
      </c>
      <c r="E2460" s="8"/>
      <c r="F2460" s="8">
        <v>34010</v>
      </c>
      <c r="G2460" s="8" t="str">
        <f t="shared" si="152"/>
        <v/>
      </c>
      <c r="H2460" s="5">
        <v>0.1056</v>
      </c>
      <c r="I2460" s="8" t="str">
        <f t="shared" si="153"/>
        <v/>
      </c>
      <c r="J2460" s="8" t="str">
        <f t="shared" si="154"/>
        <v/>
      </c>
      <c r="K2460" t="str">
        <f t="shared" si="155"/>
        <v>MISSING OEWS</v>
      </c>
    </row>
    <row r="2461" spans="1:11">
      <c r="A2461" t="s">
        <v>110</v>
      </c>
      <c r="B2461" t="s">
        <v>1459</v>
      </c>
      <c r="C2461" t="s">
        <v>481</v>
      </c>
      <c r="D2461" t="s">
        <v>482</v>
      </c>
      <c r="E2461" s="8">
        <v>8490</v>
      </c>
      <c r="F2461" s="8">
        <v>47220</v>
      </c>
      <c r="G2461" s="8">
        <f t="shared" si="152"/>
        <v>400897800</v>
      </c>
      <c r="H2461" s="5">
        <v>0.2969</v>
      </c>
      <c r="I2461" s="8">
        <f t="shared" si="153"/>
        <v>400897800</v>
      </c>
      <c r="J2461" s="8">
        <f t="shared" si="154"/>
        <v>119026556.82</v>
      </c>
      <c r="K2461" t="str">
        <f t="shared" si="155"/>
        <v>MATCHED</v>
      </c>
    </row>
    <row r="2462" spans="1:11">
      <c r="A2462" t="s">
        <v>110</v>
      </c>
      <c r="B2462" t="s">
        <v>1459</v>
      </c>
      <c r="C2462" t="s">
        <v>1380</v>
      </c>
      <c r="D2462" t="s">
        <v>1381</v>
      </c>
      <c r="E2462" s="8">
        <v>12470</v>
      </c>
      <c r="F2462" s="8">
        <v>57180</v>
      </c>
      <c r="G2462" s="8">
        <f t="shared" si="152"/>
        <v>713034600</v>
      </c>
      <c r="H2462" s="5">
        <v>0.0924</v>
      </c>
      <c r="I2462" s="8">
        <f t="shared" si="153"/>
        <v>713034600</v>
      </c>
      <c r="J2462" s="8">
        <f t="shared" si="154"/>
        <v>65884397.04</v>
      </c>
      <c r="K2462" t="str">
        <f t="shared" si="155"/>
        <v>MATCHED</v>
      </c>
    </row>
    <row r="2463" spans="1:11">
      <c r="A2463" t="s">
        <v>110</v>
      </c>
      <c r="B2463" t="s">
        <v>1459</v>
      </c>
      <c r="C2463" t="s">
        <v>1384</v>
      </c>
      <c r="D2463" t="s">
        <v>1385</v>
      </c>
      <c r="E2463" s="8">
        <v>1080</v>
      </c>
      <c r="F2463" s="8">
        <v>50810</v>
      </c>
      <c r="G2463" s="8">
        <f t="shared" si="152"/>
        <v>54874800</v>
      </c>
      <c r="H2463" s="5">
        <v>0</v>
      </c>
      <c r="I2463" s="8">
        <f t="shared" si="153"/>
        <v>54874800</v>
      </c>
      <c r="J2463" s="8">
        <f t="shared" si="154"/>
        <v>0</v>
      </c>
      <c r="K2463" t="str">
        <f t="shared" si="155"/>
        <v>MATCHED</v>
      </c>
    </row>
    <row r="2464" spans="1:11">
      <c r="A2464" t="s">
        <v>110</v>
      </c>
      <c r="B2464" t="s">
        <v>1459</v>
      </c>
      <c r="C2464" t="s">
        <v>1386</v>
      </c>
      <c r="D2464" t="s">
        <v>1387</v>
      </c>
      <c r="E2464" s="8">
        <v>4500</v>
      </c>
      <c r="F2464" s="8">
        <v>39370</v>
      </c>
      <c r="G2464" s="8">
        <f t="shared" si="152"/>
        <v>177165000</v>
      </c>
      <c r="H2464" s="5">
        <v>0</v>
      </c>
      <c r="I2464" s="8">
        <f t="shared" si="153"/>
        <v>177165000</v>
      </c>
      <c r="J2464" s="8">
        <f t="shared" si="154"/>
        <v>0</v>
      </c>
      <c r="K2464" t="str">
        <f t="shared" si="155"/>
        <v>MATCHED</v>
      </c>
    </row>
    <row r="2465" spans="1:11">
      <c r="A2465" t="s">
        <v>110</v>
      </c>
      <c r="B2465" t="s">
        <v>1459</v>
      </c>
      <c r="C2465" t="s">
        <v>483</v>
      </c>
      <c r="D2465" t="s">
        <v>484</v>
      </c>
      <c r="E2465" s="8">
        <v>2330</v>
      </c>
      <c r="F2465" s="8">
        <v>38350</v>
      </c>
      <c r="G2465" s="8">
        <f t="shared" si="152"/>
        <v>89355500</v>
      </c>
      <c r="H2465" s="5">
        <v>0.0475</v>
      </c>
      <c r="I2465" s="8">
        <f t="shared" si="153"/>
        <v>89355500</v>
      </c>
      <c r="J2465" s="8">
        <f t="shared" si="154"/>
        <v>4244386.25</v>
      </c>
      <c r="K2465" t="str">
        <f t="shared" si="155"/>
        <v>MATCHED</v>
      </c>
    </row>
    <row r="2466" spans="1:11">
      <c r="A2466" t="s">
        <v>110</v>
      </c>
      <c r="B2466" t="s">
        <v>1459</v>
      </c>
      <c r="C2466" t="s">
        <v>1130</v>
      </c>
      <c r="D2466" t="s">
        <v>1131</v>
      </c>
      <c r="E2466" s="8">
        <v>420</v>
      </c>
      <c r="F2466" s="8">
        <v>40220</v>
      </c>
      <c r="G2466" s="8">
        <f t="shared" si="152"/>
        <v>16892400</v>
      </c>
      <c r="H2466" s="5">
        <v>0</v>
      </c>
      <c r="I2466" s="8">
        <f t="shared" si="153"/>
        <v>16892400</v>
      </c>
      <c r="J2466" s="8">
        <f t="shared" si="154"/>
        <v>0</v>
      </c>
      <c r="K2466" t="str">
        <f t="shared" si="155"/>
        <v>MATCHED</v>
      </c>
    </row>
    <row r="2467" spans="1:11">
      <c r="A2467" t="s">
        <v>110</v>
      </c>
      <c r="B2467" t="s">
        <v>1459</v>
      </c>
      <c r="C2467" t="s">
        <v>782</v>
      </c>
      <c r="D2467" t="s">
        <v>783</v>
      </c>
      <c r="E2467" s="8">
        <v>4150</v>
      </c>
      <c r="F2467" s="8">
        <v>58460</v>
      </c>
      <c r="G2467" s="8">
        <f t="shared" si="152"/>
        <v>242609000</v>
      </c>
      <c r="H2467" s="5">
        <v>0.0317</v>
      </c>
      <c r="I2467" s="8">
        <f t="shared" si="153"/>
        <v>242609000</v>
      </c>
      <c r="J2467" s="8">
        <f t="shared" si="154"/>
        <v>7690705.3</v>
      </c>
      <c r="K2467" t="str">
        <f t="shared" si="155"/>
        <v>MATCHED</v>
      </c>
    </row>
    <row r="2468" spans="1:11">
      <c r="A2468" t="s">
        <v>110</v>
      </c>
      <c r="B2468" t="s">
        <v>1459</v>
      </c>
      <c r="C2468" t="s">
        <v>1390</v>
      </c>
      <c r="D2468" t="s">
        <v>1391</v>
      </c>
      <c r="E2468" s="8">
        <v>430</v>
      </c>
      <c r="F2468" s="8">
        <v>43270</v>
      </c>
      <c r="G2468" s="8">
        <f t="shared" si="152"/>
        <v>18606100</v>
      </c>
      <c r="H2468" s="5">
        <v>0.5391</v>
      </c>
      <c r="I2468" s="8">
        <f t="shared" si="153"/>
        <v>18606100</v>
      </c>
      <c r="J2468" s="8">
        <f t="shared" si="154"/>
        <v>10030548.51</v>
      </c>
      <c r="K2468" t="str">
        <f t="shared" si="155"/>
        <v>MATCHED</v>
      </c>
    </row>
    <row r="2469" spans="1:11">
      <c r="A2469" t="s">
        <v>110</v>
      </c>
      <c r="B2469" t="s">
        <v>1459</v>
      </c>
      <c r="C2469" t="s">
        <v>784</v>
      </c>
      <c r="D2469" t="s">
        <v>785</v>
      </c>
      <c r="E2469" s="8">
        <v>310</v>
      </c>
      <c r="F2469" s="8">
        <v>52910</v>
      </c>
      <c r="G2469" s="8">
        <f t="shared" si="152"/>
        <v>16402100</v>
      </c>
      <c r="H2469" s="5">
        <v>0.2111</v>
      </c>
      <c r="I2469" s="8">
        <f t="shared" si="153"/>
        <v>16402100</v>
      </c>
      <c r="J2469" s="8">
        <f t="shared" si="154"/>
        <v>3462483.31</v>
      </c>
      <c r="K2469" t="str">
        <f t="shared" si="155"/>
        <v>MATCHED</v>
      </c>
    </row>
    <row r="2470" spans="1:11">
      <c r="A2470" t="s">
        <v>110</v>
      </c>
      <c r="B2470" t="s">
        <v>1459</v>
      </c>
      <c r="C2470" t="s">
        <v>1132</v>
      </c>
      <c r="D2470" t="s">
        <v>1133</v>
      </c>
      <c r="E2470" s="8">
        <v>110</v>
      </c>
      <c r="F2470" s="8">
        <v>63290</v>
      </c>
      <c r="G2470" s="8">
        <f t="shared" si="152"/>
        <v>6961900</v>
      </c>
      <c r="H2470" s="5">
        <v>0.5938</v>
      </c>
      <c r="I2470" s="8">
        <f t="shared" si="153"/>
        <v>6961900</v>
      </c>
      <c r="J2470" s="8">
        <f t="shared" si="154"/>
        <v>4133976.22</v>
      </c>
      <c r="K2470" t="str">
        <f t="shared" si="155"/>
        <v>MATCHED</v>
      </c>
    </row>
    <row r="2471" spans="1:11">
      <c r="A2471" t="s">
        <v>110</v>
      </c>
      <c r="B2471" t="s">
        <v>1459</v>
      </c>
      <c r="C2471" t="s">
        <v>1392</v>
      </c>
      <c r="D2471" t="s">
        <v>1393</v>
      </c>
      <c r="E2471" s="8"/>
      <c r="F2471" s="8">
        <v>42930</v>
      </c>
      <c r="G2471" s="8" t="str">
        <f t="shared" si="152"/>
        <v/>
      </c>
      <c r="H2471" s="5">
        <v>0.0559</v>
      </c>
      <c r="I2471" s="8" t="str">
        <f t="shared" si="153"/>
        <v/>
      </c>
      <c r="J2471" s="8" t="str">
        <f t="shared" si="154"/>
        <v/>
      </c>
      <c r="K2471" t="str">
        <f t="shared" si="155"/>
        <v>MISSING OEWS</v>
      </c>
    </row>
    <row r="2472" spans="1:11">
      <c r="A2472" t="s">
        <v>110</v>
      </c>
      <c r="B2472" t="s">
        <v>1459</v>
      </c>
      <c r="C2472" t="s">
        <v>1396</v>
      </c>
      <c r="D2472" t="s">
        <v>1397</v>
      </c>
      <c r="E2472" s="8">
        <v>1930</v>
      </c>
      <c r="F2472" s="8">
        <v>40540</v>
      </c>
      <c r="G2472" s="8">
        <f t="shared" si="152"/>
        <v>78242200</v>
      </c>
      <c r="H2472" s="5">
        <v>0.0633</v>
      </c>
      <c r="I2472" s="8">
        <f t="shared" si="153"/>
        <v>78242200</v>
      </c>
      <c r="J2472" s="8">
        <f t="shared" si="154"/>
        <v>4952731.26</v>
      </c>
      <c r="K2472" t="str">
        <f t="shared" si="155"/>
        <v>MATCHED</v>
      </c>
    </row>
    <row r="2473" spans="1:11">
      <c r="A2473" t="s">
        <v>110</v>
      </c>
      <c r="B2473" t="s">
        <v>1459</v>
      </c>
      <c r="C2473" t="s">
        <v>786</v>
      </c>
      <c r="D2473" t="s">
        <v>787</v>
      </c>
      <c r="E2473" s="8">
        <v>770</v>
      </c>
      <c r="F2473" s="8">
        <v>46900</v>
      </c>
      <c r="G2473" s="8">
        <f t="shared" si="152"/>
        <v>36113000</v>
      </c>
      <c r="H2473" s="5">
        <v>0.0125</v>
      </c>
      <c r="I2473" s="8">
        <f t="shared" si="153"/>
        <v>36113000</v>
      </c>
      <c r="J2473" s="8">
        <f t="shared" si="154"/>
        <v>451412.5</v>
      </c>
      <c r="K2473" t="str">
        <f t="shared" si="155"/>
        <v>MATCHED</v>
      </c>
    </row>
    <row r="2474" spans="1:11">
      <c r="A2474" t="s">
        <v>110</v>
      </c>
      <c r="B2474" t="s">
        <v>1459</v>
      </c>
      <c r="C2474" t="s">
        <v>1398</v>
      </c>
      <c r="D2474" t="s">
        <v>1399</v>
      </c>
      <c r="E2474" s="8">
        <v>670</v>
      </c>
      <c r="F2474" s="8">
        <v>43610</v>
      </c>
      <c r="G2474" s="8">
        <f t="shared" si="152"/>
        <v>29218700</v>
      </c>
      <c r="H2474" s="5">
        <v>0</v>
      </c>
      <c r="I2474" s="8">
        <f t="shared" si="153"/>
        <v>29218700</v>
      </c>
      <c r="J2474" s="8">
        <f t="shared" si="154"/>
        <v>0</v>
      </c>
      <c r="K2474" t="str">
        <f t="shared" si="155"/>
        <v>MATCHED</v>
      </c>
    </row>
    <row r="2475" spans="1:11">
      <c r="A2475" t="s">
        <v>110</v>
      </c>
      <c r="B2475" t="s">
        <v>1459</v>
      </c>
      <c r="C2475" t="s">
        <v>489</v>
      </c>
      <c r="D2475" t="s">
        <v>490</v>
      </c>
      <c r="E2475" s="8">
        <v>5350</v>
      </c>
      <c r="F2475" s="8">
        <v>42940</v>
      </c>
      <c r="G2475" s="8">
        <f t="shared" si="152"/>
        <v>229729000</v>
      </c>
      <c r="H2475" s="5">
        <v>0.0838</v>
      </c>
      <c r="I2475" s="8">
        <f t="shared" si="153"/>
        <v>229729000</v>
      </c>
      <c r="J2475" s="8">
        <f t="shared" si="154"/>
        <v>19251290.2</v>
      </c>
      <c r="K2475" t="str">
        <f t="shared" si="155"/>
        <v>MATCHED</v>
      </c>
    </row>
    <row r="2476" spans="1:11">
      <c r="A2476" t="s">
        <v>110</v>
      </c>
      <c r="B2476" t="s">
        <v>1459</v>
      </c>
      <c r="C2476" t="s">
        <v>491</v>
      </c>
      <c r="D2476" t="s">
        <v>492</v>
      </c>
      <c r="E2476" s="8">
        <v>3960</v>
      </c>
      <c r="F2476" s="8">
        <v>39250</v>
      </c>
      <c r="G2476" s="8">
        <f t="shared" si="152"/>
        <v>155430000</v>
      </c>
      <c r="H2476" s="5"/>
      <c r="I2476" s="8" t="str">
        <f t="shared" si="153"/>
        <v/>
      </c>
      <c r="J2476" s="8" t="str">
        <f t="shared" si="154"/>
        <v/>
      </c>
      <c r="K2476" t="str">
        <f t="shared" si="155"/>
        <v>MISSING WHARTON</v>
      </c>
    </row>
    <row r="2477" spans="1:11">
      <c r="A2477" t="s">
        <v>110</v>
      </c>
      <c r="B2477" t="s">
        <v>1459</v>
      </c>
      <c r="C2477" t="s">
        <v>493</v>
      </c>
      <c r="D2477" t="s">
        <v>494</v>
      </c>
      <c r="E2477" s="8">
        <v>115580</v>
      </c>
      <c r="F2477" s="8">
        <v>55340</v>
      </c>
      <c r="G2477" s="8">
        <f t="shared" si="152"/>
        <v>6396197200</v>
      </c>
      <c r="H2477" s="5">
        <v>0.3429</v>
      </c>
      <c r="I2477" s="8">
        <f t="shared" si="153"/>
        <v>6396197200</v>
      </c>
      <c r="J2477" s="8">
        <f t="shared" si="154"/>
        <v>2193256019.88</v>
      </c>
      <c r="K2477" t="str">
        <f t="shared" si="155"/>
        <v>MATCHED</v>
      </c>
    </row>
    <row r="2478" spans="1:11">
      <c r="A2478" t="s">
        <v>110</v>
      </c>
      <c r="B2478" t="s">
        <v>1459</v>
      </c>
      <c r="C2478" t="s">
        <v>495</v>
      </c>
      <c r="D2478" t="s">
        <v>496</v>
      </c>
      <c r="E2478" s="8">
        <v>80</v>
      </c>
      <c r="F2478" s="8">
        <v>147270</v>
      </c>
      <c r="G2478" s="8">
        <f t="shared" si="152"/>
        <v>11781600</v>
      </c>
      <c r="H2478" s="5">
        <v>0.3558</v>
      </c>
      <c r="I2478" s="8">
        <f t="shared" si="153"/>
        <v>11781600</v>
      </c>
      <c r="J2478" s="8">
        <f t="shared" si="154"/>
        <v>4191893.28</v>
      </c>
      <c r="K2478" t="str">
        <f t="shared" si="155"/>
        <v>MATCHED</v>
      </c>
    </row>
    <row r="2479" spans="1:11">
      <c r="A2479" t="s">
        <v>110</v>
      </c>
      <c r="B2479" t="s">
        <v>1459</v>
      </c>
      <c r="C2479" t="s">
        <v>497</v>
      </c>
      <c r="D2479" t="s">
        <v>498</v>
      </c>
      <c r="E2479" s="8">
        <v>40840</v>
      </c>
      <c r="F2479" s="8">
        <v>39350</v>
      </c>
      <c r="G2479" s="8">
        <f t="shared" si="152"/>
        <v>1607054000</v>
      </c>
      <c r="H2479" s="5">
        <v>0.3167</v>
      </c>
      <c r="I2479" s="8">
        <f t="shared" si="153"/>
        <v>1607054000</v>
      </c>
      <c r="J2479" s="8">
        <f t="shared" si="154"/>
        <v>508954001.8</v>
      </c>
      <c r="K2479" t="str">
        <f t="shared" si="155"/>
        <v>MATCHED</v>
      </c>
    </row>
    <row r="2480" spans="1:11">
      <c r="A2480" t="s">
        <v>110</v>
      </c>
      <c r="B2480" t="s">
        <v>1459</v>
      </c>
      <c r="C2480" t="s">
        <v>499</v>
      </c>
      <c r="D2480" t="s">
        <v>500</v>
      </c>
      <c r="E2480" s="8">
        <v>63360</v>
      </c>
      <c r="F2480" s="8">
        <v>52630</v>
      </c>
      <c r="G2480" s="8">
        <f t="shared" si="152"/>
        <v>3334636800</v>
      </c>
      <c r="H2480" s="5">
        <v>0.2065</v>
      </c>
      <c r="I2480" s="8">
        <f t="shared" si="153"/>
        <v>3334636800</v>
      </c>
      <c r="J2480" s="8">
        <f t="shared" si="154"/>
        <v>688602499.2</v>
      </c>
      <c r="K2480" t="str">
        <f t="shared" si="155"/>
        <v>MATCHED</v>
      </c>
    </row>
    <row r="2481" spans="1:11">
      <c r="A2481" t="s">
        <v>110</v>
      </c>
      <c r="B2481" t="s">
        <v>1459</v>
      </c>
      <c r="C2481" t="s">
        <v>501</v>
      </c>
      <c r="D2481" t="s">
        <v>502</v>
      </c>
      <c r="E2481" s="8">
        <v>177850</v>
      </c>
      <c r="F2481" s="8">
        <v>35730</v>
      </c>
      <c r="G2481" s="8">
        <f t="shared" si="152"/>
        <v>6354580500</v>
      </c>
      <c r="H2481" s="5">
        <v>0.3393</v>
      </c>
      <c r="I2481" s="8">
        <f t="shared" si="153"/>
        <v>6354580500</v>
      </c>
      <c r="J2481" s="8">
        <f t="shared" si="154"/>
        <v>2156109163.65</v>
      </c>
      <c r="K2481" t="str">
        <f t="shared" si="155"/>
        <v>MATCHED</v>
      </c>
    </row>
    <row r="2482" spans="1:11">
      <c r="A2482" t="s">
        <v>110</v>
      </c>
      <c r="B2482" t="s">
        <v>1459</v>
      </c>
      <c r="C2482" t="s">
        <v>503</v>
      </c>
      <c r="D2482" t="s">
        <v>504</v>
      </c>
      <c r="E2482" s="8">
        <v>18570</v>
      </c>
      <c r="F2482" s="8">
        <v>31840</v>
      </c>
      <c r="G2482" s="8">
        <f t="shared" si="152"/>
        <v>591268800</v>
      </c>
      <c r="H2482" s="5">
        <v>0.3288</v>
      </c>
      <c r="I2482" s="8">
        <f t="shared" si="153"/>
        <v>591268800</v>
      </c>
      <c r="J2482" s="8">
        <f t="shared" si="154"/>
        <v>194409181.44</v>
      </c>
      <c r="K2482" t="str">
        <f t="shared" si="155"/>
        <v>MATCHED</v>
      </c>
    </row>
    <row r="2483" spans="1:11">
      <c r="A2483" t="s">
        <v>110</v>
      </c>
      <c r="B2483" t="s">
        <v>1459</v>
      </c>
      <c r="C2483" t="s">
        <v>1134</v>
      </c>
      <c r="D2483" t="s">
        <v>1135</v>
      </c>
      <c r="E2483" s="8">
        <v>9700</v>
      </c>
      <c r="F2483" s="8">
        <v>34200</v>
      </c>
      <c r="G2483" s="8">
        <f t="shared" si="152"/>
        <v>331740000</v>
      </c>
      <c r="H2483" s="5"/>
      <c r="I2483" s="8" t="str">
        <f t="shared" si="153"/>
        <v/>
      </c>
      <c r="J2483" s="8" t="str">
        <f t="shared" si="154"/>
        <v/>
      </c>
      <c r="K2483" t="str">
        <f t="shared" si="155"/>
        <v>MISSING WHARTON</v>
      </c>
    </row>
    <row r="2484" spans="1:11">
      <c r="A2484" t="s">
        <v>110</v>
      </c>
      <c r="B2484" t="s">
        <v>1459</v>
      </c>
      <c r="C2484" t="s">
        <v>798</v>
      </c>
      <c r="D2484" t="s">
        <v>799</v>
      </c>
      <c r="E2484" s="8">
        <v>90</v>
      </c>
      <c r="F2484" s="8">
        <v>93850</v>
      </c>
      <c r="G2484" s="8">
        <f t="shared" si="152"/>
        <v>8446500</v>
      </c>
      <c r="H2484" s="5">
        <v>0.095</v>
      </c>
      <c r="I2484" s="8">
        <f t="shared" si="153"/>
        <v>8446500</v>
      </c>
      <c r="J2484" s="8">
        <f t="shared" si="154"/>
        <v>802417.5</v>
      </c>
      <c r="K2484" t="str">
        <f t="shared" si="155"/>
        <v>MATCHED</v>
      </c>
    </row>
    <row r="2485" spans="1:11">
      <c r="A2485" t="s">
        <v>110</v>
      </c>
      <c r="B2485" t="s">
        <v>1459</v>
      </c>
      <c r="C2485" t="s">
        <v>1136</v>
      </c>
      <c r="D2485" t="s">
        <v>1137</v>
      </c>
      <c r="E2485" s="8">
        <v>100</v>
      </c>
      <c r="F2485" s="8">
        <v>44580</v>
      </c>
      <c r="G2485" s="8">
        <f t="shared" si="152"/>
        <v>4458000</v>
      </c>
      <c r="H2485" s="5">
        <v>0.0559</v>
      </c>
      <c r="I2485" s="8">
        <f t="shared" si="153"/>
        <v>4458000</v>
      </c>
      <c r="J2485" s="8">
        <f t="shared" si="154"/>
        <v>249202.2</v>
      </c>
      <c r="K2485" t="str">
        <f t="shared" si="155"/>
        <v>MATCHED</v>
      </c>
    </row>
    <row r="2486" spans="1:11">
      <c r="A2486" t="s">
        <v>110</v>
      </c>
      <c r="B2486" t="s">
        <v>1459</v>
      </c>
      <c r="C2486" t="s">
        <v>1408</v>
      </c>
      <c r="D2486" t="s">
        <v>1409</v>
      </c>
      <c r="E2486" s="8">
        <v>23940</v>
      </c>
      <c r="F2486" s="8">
        <v>34950</v>
      </c>
      <c r="G2486" s="8">
        <f t="shared" si="152"/>
        <v>836703000</v>
      </c>
      <c r="H2486" s="5">
        <v>0.1972</v>
      </c>
      <c r="I2486" s="8">
        <f t="shared" si="153"/>
        <v>836703000</v>
      </c>
      <c r="J2486" s="8">
        <f t="shared" si="154"/>
        <v>164997831.6</v>
      </c>
      <c r="K2486" t="str">
        <f t="shared" si="155"/>
        <v>MATCHED</v>
      </c>
    </row>
    <row r="2487" spans="1:11">
      <c r="A2487" t="s">
        <v>110</v>
      </c>
      <c r="B2487" t="s">
        <v>1459</v>
      </c>
      <c r="C2487" t="s">
        <v>1138</v>
      </c>
      <c r="D2487" t="s">
        <v>1139</v>
      </c>
      <c r="E2487" s="8">
        <v>56790</v>
      </c>
      <c r="F2487" s="8">
        <v>37130</v>
      </c>
      <c r="G2487" s="8">
        <f t="shared" si="152"/>
        <v>2108612700</v>
      </c>
      <c r="H2487" s="5">
        <v>0.2533</v>
      </c>
      <c r="I2487" s="8">
        <f t="shared" si="153"/>
        <v>2108612700</v>
      </c>
      <c r="J2487" s="8">
        <f t="shared" si="154"/>
        <v>534111596.91</v>
      </c>
      <c r="K2487" t="str">
        <f t="shared" si="155"/>
        <v>MATCHED</v>
      </c>
    </row>
    <row r="2488" spans="1:11">
      <c r="A2488" t="s">
        <v>110</v>
      </c>
      <c r="B2488" t="s">
        <v>1459</v>
      </c>
      <c r="C2488" t="s">
        <v>1412</v>
      </c>
      <c r="D2488" t="s">
        <v>1413</v>
      </c>
      <c r="E2488" s="8">
        <v>120</v>
      </c>
      <c r="F2488" s="8">
        <v>44540</v>
      </c>
      <c r="G2488" s="8">
        <f t="shared" si="152"/>
        <v>5344800</v>
      </c>
      <c r="H2488" s="5">
        <v>0.2192</v>
      </c>
      <c r="I2488" s="8">
        <f t="shared" si="153"/>
        <v>5344800</v>
      </c>
      <c r="J2488" s="8">
        <f t="shared" si="154"/>
        <v>1171580.16</v>
      </c>
      <c r="K2488" t="str">
        <f t="shared" si="155"/>
        <v>MATCHED</v>
      </c>
    </row>
    <row r="2489" spans="1:11">
      <c r="A2489" t="s">
        <v>110</v>
      </c>
      <c r="B2489" t="s">
        <v>1459</v>
      </c>
      <c r="C2489" t="s">
        <v>1142</v>
      </c>
      <c r="D2489" t="s">
        <v>1143</v>
      </c>
      <c r="E2489" s="8">
        <v>140</v>
      </c>
      <c r="F2489" s="8">
        <v>36660</v>
      </c>
      <c r="G2489" s="8">
        <f t="shared" si="152"/>
        <v>5132400</v>
      </c>
      <c r="H2489" s="5"/>
      <c r="I2489" s="8" t="str">
        <f t="shared" si="153"/>
        <v/>
      </c>
      <c r="J2489" s="8" t="str">
        <f t="shared" si="154"/>
        <v/>
      </c>
      <c r="K2489" t="str">
        <f t="shared" si="155"/>
        <v>MISSING WHARTON</v>
      </c>
    </row>
    <row r="2490" spans="1:11">
      <c r="A2490" t="s">
        <v>110</v>
      </c>
      <c r="B2490" t="s">
        <v>1459</v>
      </c>
      <c r="C2490" t="s">
        <v>802</v>
      </c>
      <c r="D2490" t="s">
        <v>803</v>
      </c>
      <c r="E2490" s="8">
        <v>80</v>
      </c>
      <c r="F2490" s="8">
        <v>41210</v>
      </c>
      <c r="G2490" s="8">
        <f t="shared" si="152"/>
        <v>3296800</v>
      </c>
      <c r="H2490" s="5">
        <v>0.1261</v>
      </c>
      <c r="I2490" s="8">
        <f t="shared" si="153"/>
        <v>3296800</v>
      </c>
      <c r="J2490" s="8">
        <f t="shared" si="154"/>
        <v>415726.48</v>
      </c>
      <c r="K2490" t="str">
        <f t="shared" si="155"/>
        <v>MATCHED</v>
      </c>
    </row>
    <row r="2491" spans="1:11">
      <c r="A2491" t="s">
        <v>110</v>
      </c>
      <c r="B2491" t="s">
        <v>1459</v>
      </c>
      <c r="C2491" t="s">
        <v>804</v>
      </c>
      <c r="D2491" t="s">
        <v>805</v>
      </c>
      <c r="E2491" s="8">
        <v>180</v>
      </c>
      <c r="F2491" s="8">
        <v>58990</v>
      </c>
      <c r="G2491" s="8">
        <f t="shared" si="152"/>
        <v>10618200</v>
      </c>
      <c r="H2491" s="5">
        <v>0.0864</v>
      </c>
      <c r="I2491" s="8">
        <f t="shared" si="153"/>
        <v>10618200</v>
      </c>
      <c r="J2491" s="8">
        <f t="shared" si="154"/>
        <v>917412.48</v>
      </c>
      <c r="K2491" t="str">
        <f t="shared" si="155"/>
        <v>MATCHED</v>
      </c>
    </row>
    <row r="2492" spans="1:11">
      <c r="A2492" t="s">
        <v>110</v>
      </c>
      <c r="B2492" t="s">
        <v>1459</v>
      </c>
      <c r="C2492" t="s">
        <v>507</v>
      </c>
      <c r="D2492" t="s">
        <v>508</v>
      </c>
      <c r="E2492" s="8">
        <v>35580</v>
      </c>
      <c r="F2492" s="8">
        <v>50760</v>
      </c>
      <c r="G2492" s="8">
        <f t="shared" si="152"/>
        <v>1806040800</v>
      </c>
      <c r="H2492" s="5">
        <v>0</v>
      </c>
      <c r="I2492" s="8">
        <f t="shared" si="153"/>
        <v>1806040800</v>
      </c>
      <c r="J2492" s="8">
        <f t="shared" si="154"/>
        <v>0</v>
      </c>
      <c r="K2492" t="str">
        <f t="shared" si="155"/>
        <v>MATCHED</v>
      </c>
    </row>
    <row r="2493" spans="1:11">
      <c r="A2493" t="s">
        <v>110</v>
      </c>
      <c r="B2493" t="s">
        <v>1459</v>
      </c>
      <c r="C2493" t="s">
        <v>509</v>
      </c>
      <c r="D2493" t="s">
        <v>510</v>
      </c>
      <c r="E2493" s="8">
        <v>88070</v>
      </c>
      <c r="F2493" s="8">
        <v>36160</v>
      </c>
      <c r="G2493" s="8">
        <f t="shared" si="152"/>
        <v>3184611200</v>
      </c>
      <c r="H2493" s="5">
        <v>0.0452</v>
      </c>
      <c r="I2493" s="8">
        <f t="shared" si="153"/>
        <v>3184611200</v>
      </c>
      <c r="J2493" s="8">
        <f t="shared" si="154"/>
        <v>143944426.24</v>
      </c>
      <c r="K2493" t="str">
        <f t="shared" si="155"/>
        <v>MATCHED</v>
      </c>
    </row>
    <row r="2494" spans="1:11">
      <c r="A2494" t="s">
        <v>110</v>
      </c>
      <c r="B2494" t="s">
        <v>1459</v>
      </c>
      <c r="C2494" t="s">
        <v>511</v>
      </c>
      <c r="D2494" t="s">
        <v>512</v>
      </c>
      <c r="E2494" s="8">
        <v>354030</v>
      </c>
      <c r="F2494" s="8">
        <v>37910</v>
      </c>
      <c r="G2494" s="8">
        <f t="shared" si="152"/>
        <v>13421277300</v>
      </c>
      <c r="H2494" s="5">
        <v>0.049</v>
      </c>
      <c r="I2494" s="8">
        <f t="shared" si="153"/>
        <v>13421277300</v>
      </c>
      <c r="J2494" s="8">
        <f t="shared" si="154"/>
        <v>657642587.7</v>
      </c>
      <c r="K2494" t="str">
        <f t="shared" si="155"/>
        <v>MATCHED</v>
      </c>
    </row>
    <row r="2495" spans="1:11">
      <c r="A2495" t="s">
        <v>110</v>
      </c>
      <c r="B2495" t="s">
        <v>1459</v>
      </c>
      <c r="C2495" t="s">
        <v>513</v>
      </c>
      <c r="D2495" t="s">
        <v>514</v>
      </c>
      <c r="E2495" s="8">
        <v>230</v>
      </c>
      <c r="F2495" s="8">
        <v>47910</v>
      </c>
      <c r="G2495" s="8">
        <f t="shared" si="152"/>
        <v>11019300</v>
      </c>
      <c r="H2495" s="5">
        <v>0.0731</v>
      </c>
      <c r="I2495" s="8">
        <f t="shared" si="153"/>
        <v>11019300</v>
      </c>
      <c r="J2495" s="8">
        <f t="shared" si="154"/>
        <v>805510.83</v>
      </c>
      <c r="K2495" t="str">
        <f t="shared" si="155"/>
        <v>MATCHED</v>
      </c>
    </row>
    <row r="2496" spans="1:11">
      <c r="A2496" t="s">
        <v>110</v>
      </c>
      <c r="B2496" t="s">
        <v>1459</v>
      </c>
      <c r="C2496" t="s">
        <v>515</v>
      </c>
      <c r="D2496" t="s">
        <v>516</v>
      </c>
      <c r="E2496" s="8">
        <v>146290</v>
      </c>
      <c r="F2496" s="8">
        <v>35620</v>
      </c>
      <c r="G2496" s="8">
        <f t="shared" si="152"/>
        <v>5210849800</v>
      </c>
      <c r="H2496" s="5">
        <v>0.0792</v>
      </c>
      <c r="I2496" s="8">
        <f t="shared" si="153"/>
        <v>5210849800</v>
      </c>
      <c r="J2496" s="8">
        <f t="shared" si="154"/>
        <v>412699304.16</v>
      </c>
      <c r="K2496" t="str">
        <f t="shared" si="155"/>
        <v>MATCHED</v>
      </c>
    </row>
    <row r="2497" spans="1:11">
      <c r="A2497" t="s">
        <v>110</v>
      </c>
      <c r="B2497" t="s">
        <v>1459</v>
      </c>
      <c r="C2497" t="s">
        <v>517</v>
      </c>
      <c r="D2497" t="s">
        <v>518</v>
      </c>
      <c r="E2497" s="8">
        <v>1828300</v>
      </c>
      <c r="F2497" s="8">
        <v>36880</v>
      </c>
      <c r="G2497" s="8">
        <f t="shared" si="152"/>
        <v>67427704000</v>
      </c>
      <c r="H2497" s="5">
        <v>0.2233</v>
      </c>
      <c r="I2497" s="8">
        <f t="shared" si="153"/>
        <v>67427704000</v>
      </c>
      <c r="J2497" s="8">
        <f t="shared" si="154"/>
        <v>15056606303.2</v>
      </c>
      <c r="K2497" t="str">
        <f t="shared" si="155"/>
        <v>MATCHED</v>
      </c>
    </row>
    <row r="2498" spans="1:11">
      <c r="A2498" t="s">
        <v>110</v>
      </c>
      <c r="B2498" t="s">
        <v>1459</v>
      </c>
      <c r="C2498" t="s">
        <v>808</v>
      </c>
      <c r="D2498" t="s">
        <v>809</v>
      </c>
      <c r="E2498" s="8">
        <v>280</v>
      </c>
      <c r="F2498" s="8">
        <v>54580</v>
      </c>
      <c r="G2498" s="8">
        <f t="shared" ref="G2498:G2561" si="156">IF(OR(E2498="",F2498=""),"",E2498*F2498)</f>
        <v>15282400</v>
      </c>
      <c r="H2498" s="5">
        <v>0.2192</v>
      </c>
      <c r="I2498" s="8">
        <f t="shared" ref="I2498:I2561" si="157">IF(G2498="","",IF(ISNUMBER(H2498),G2498,""))</f>
        <v>15282400</v>
      </c>
      <c r="J2498" s="8">
        <f t="shared" ref="J2498:J2561" si="158">IF(I2498="","",I2498*H2498)</f>
        <v>3349902.08</v>
      </c>
      <c r="K2498" t="str">
        <f t="shared" ref="K2498:K2561" si="159">IF(G2498="","MISSING OEWS",IF(ISNUMBER(H2498),"MATCHED","MISSING WHARTON"))</f>
        <v>MATCHED</v>
      </c>
    </row>
    <row r="2499" spans="1:11">
      <c r="A2499" t="s">
        <v>110</v>
      </c>
      <c r="B2499" t="s">
        <v>1459</v>
      </c>
      <c r="C2499" t="s">
        <v>810</v>
      </c>
      <c r="D2499" t="s">
        <v>811</v>
      </c>
      <c r="E2499" s="8">
        <v>200</v>
      </c>
      <c r="F2499" s="8">
        <v>58880</v>
      </c>
      <c r="G2499" s="8">
        <f t="shared" si="156"/>
        <v>11776000</v>
      </c>
      <c r="H2499" s="5">
        <v>0.0679</v>
      </c>
      <c r="I2499" s="8">
        <f t="shared" si="157"/>
        <v>11776000</v>
      </c>
      <c r="J2499" s="8">
        <f t="shared" si="158"/>
        <v>799590.4</v>
      </c>
      <c r="K2499" t="str">
        <f t="shared" si="159"/>
        <v>MATCHED</v>
      </c>
    </row>
    <row r="2500" spans="1:11">
      <c r="A2500" t="s">
        <v>110</v>
      </c>
      <c r="B2500" t="s">
        <v>1459</v>
      </c>
      <c r="C2500" t="s">
        <v>519</v>
      </c>
      <c r="D2500" t="s">
        <v>520</v>
      </c>
      <c r="E2500" s="8">
        <v>5730</v>
      </c>
      <c r="F2500" s="8">
        <v>40530</v>
      </c>
      <c r="G2500" s="8">
        <f t="shared" si="156"/>
        <v>232236900</v>
      </c>
      <c r="H2500" s="5"/>
      <c r="I2500" s="8" t="str">
        <f t="shared" si="157"/>
        <v/>
      </c>
      <c r="J2500" s="8" t="str">
        <f t="shared" si="158"/>
        <v/>
      </c>
      <c r="K2500" t="str">
        <f t="shared" si="159"/>
        <v>MISSING WHARTON</v>
      </c>
    </row>
    <row r="2501" spans="1:11">
      <c r="A2501" t="s">
        <v>112</v>
      </c>
      <c r="B2501" t="s">
        <v>1510</v>
      </c>
      <c r="C2501" t="s">
        <v>235</v>
      </c>
      <c r="D2501" t="s">
        <v>236</v>
      </c>
      <c r="E2501" s="8">
        <v>2790</v>
      </c>
      <c r="F2501" s="8">
        <v>276610</v>
      </c>
      <c r="G2501" s="8">
        <f t="shared" si="156"/>
        <v>771741900</v>
      </c>
      <c r="H2501" s="5">
        <v>0.4775</v>
      </c>
      <c r="I2501" s="8">
        <f t="shared" si="157"/>
        <v>771741900</v>
      </c>
      <c r="J2501" s="8">
        <f t="shared" si="158"/>
        <v>368506757.25</v>
      </c>
      <c r="K2501" t="str">
        <f t="shared" si="159"/>
        <v>MATCHED</v>
      </c>
    </row>
    <row r="2502" spans="1:11">
      <c r="A2502" t="s">
        <v>112</v>
      </c>
      <c r="B2502" t="s">
        <v>1510</v>
      </c>
      <c r="C2502" t="s">
        <v>237</v>
      </c>
      <c r="D2502" t="s">
        <v>238</v>
      </c>
      <c r="E2502" s="8">
        <v>120330</v>
      </c>
      <c r="F2502" s="8">
        <v>123710</v>
      </c>
      <c r="G2502" s="8">
        <f t="shared" si="156"/>
        <v>14886024300</v>
      </c>
      <c r="H2502" s="5">
        <v>0.5382</v>
      </c>
      <c r="I2502" s="8">
        <f t="shared" si="157"/>
        <v>14886024300</v>
      </c>
      <c r="J2502" s="8">
        <f t="shared" si="158"/>
        <v>8011658278.26</v>
      </c>
      <c r="K2502" t="str">
        <f t="shared" si="159"/>
        <v>MATCHED</v>
      </c>
    </row>
    <row r="2503" spans="1:11">
      <c r="A2503" t="s">
        <v>112</v>
      </c>
      <c r="B2503" t="s">
        <v>1510</v>
      </c>
      <c r="C2503" t="s">
        <v>920</v>
      </c>
      <c r="D2503" t="s">
        <v>921</v>
      </c>
      <c r="E2503" s="8">
        <v>60</v>
      </c>
      <c r="F2503" s="8">
        <v>164200</v>
      </c>
      <c r="G2503" s="8">
        <f t="shared" si="156"/>
        <v>9852000</v>
      </c>
      <c r="H2503" s="5">
        <v>0.5583</v>
      </c>
      <c r="I2503" s="8">
        <f t="shared" si="157"/>
        <v>9852000</v>
      </c>
      <c r="J2503" s="8">
        <f t="shared" si="158"/>
        <v>5500371.6</v>
      </c>
      <c r="K2503" t="str">
        <f t="shared" si="159"/>
        <v>MATCHED</v>
      </c>
    </row>
    <row r="2504" spans="1:11">
      <c r="A2504" t="s">
        <v>112</v>
      </c>
      <c r="B2504" t="s">
        <v>1510</v>
      </c>
      <c r="C2504" t="s">
        <v>239</v>
      </c>
      <c r="D2504" t="s">
        <v>240</v>
      </c>
      <c r="E2504" s="8">
        <v>5140</v>
      </c>
      <c r="F2504" s="8">
        <v>163820</v>
      </c>
      <c r="G2504" s="8">
        <f t="shared" si="156"/>
        <v>842034800</v>
      </c>
      <c r="H2504" s="5">
        <v>0.445</v>
      </c>
      <c r="I2504" s="8">
        <f t="shared" si="157"/>
        <v>842034800</v>
      </c>
      <c r="J2504" s="8">
        <f t="shared" si="158"/>
        <v>374705486</v>
      </c>
      <c r="K2504" t="str">
        <f t="shared" si="159"/>
        <v>MATCHED</v>
      </c>
    </row>
    <row r="2505" spans="1:11">
      <c r="A2505" t="s">
        <v>112</v>
      </c>
      <c r="B2505" t="s">
        <v>1510</v>
      </c>
      <c r="C2505" t="s">
        <v>241</v>
      </c>
      <c r="D2505" t="s">
        <v>242</v>
      </c>
      <c r="E2505" s="8">
        <v>12490</v>
      </c>
      <c r="F2505" s="8">
        <v>147190</v>
      </c>
      <c r="G2505" s="8">
        <f t="shared" si="156"/>
        <v>1838403100</v>
      </c>
      <c r="H2505" s="5">
        <v>0.3735</v>
      </c>
      <c r="I2505" s="8">
        <f t="shared" si="157"/>
        <v>1838403100</v>
      </c>
      <c r="J2505" s="8">
        <f t="shared" si="158"/>
        <v>686643557.85</v>
      </c>
      <c r="K2505" t="str">
        <f t="shared" si="159"/>
        <v>MATCHED</v>
      </c>
    </row>
    <row r="2506" spans="1:11">
      <c r="A2506" t="s">
        <v>112</v>
      </c>
      <c r="B2506" t="s">
        <v>1510</v>
      </c>
      <c r="C2506" t="s">
        <v>522</v>
      </c>
      <c r="D2506" t="s">
        <v>523</v>
      </c>
      <c r="E2506" s="8">
        <v>740</v>
      </c>
      <c r="F2506" s="8">
        <v>156790</v>
      </c>
      <c r="G2506" s="8">
        <f t="shared" si="156"/>
        <v>116024600</v>
      </c>
      <c r="H2506" s="5">
        <v>0.53</v>
      </c>
      <c r="I2506" s="8">
        <f t="shared" si="157"/>
        <v>116024600</v>
      </c>
      <c r="J2506" s="8">
        <f t="shared" si="158"/>
        <v>61493038</v>
      </c>
      <c r="K2506" t="str">
        <f t="shared" si="159"/>
        <v>MATCHED</v>
      </c>
    </row>
    <row r="2507" spans="1:11">
      <c r="A2507" t="s">
        <v>112</v>
      </c>
      <c r="B2507" t="s">
        <v>1510</v>
      </c>
      <c r="C2507" t="s">
        <v>243</v>
      </c>
      <c r="D2507" t="s">
        <v>244</v>
      </c>
      <c r="E2507" s="8">
        <v>5100</v>
      </c>
      <c r="F2507" s="8">
        <v>114670</v>
      </c>
      <c r="G2507" s="8">
        <f t="shared" si="156"/>
        <v>584817000</v>
      </c>
      <c r="H2507" s="5">
        <v>0.4444</v>
      </c>
      <c r="I2507" s="8">
        <f t="shared" si="157"/>
        <v>584817000</v>
      </c>
      <c r="J2507" s="8">
        <f t="shared" si="158"/>
        <v>259892674.8</v>
      </c>
      <c r="K2507" t="str">
        <f t="shared" si="159"/>
        <v>MATCHED</v>
      </c>
    </row>
    <row r="2508" spans="1:11">
      <c r="A2508" t="s">
        <v>112</v>
      </c>
      <c r="B2508" t="s">
        <v>1510</v>
      </c>
      <c r="C2508" t="s">
        <v>245</v>
      </c>
      <c r="D2508" t="s">
        <v>246</v>
      </c>
      <c r="E2508" s="8">
        <v>6700</v>
      </c>
      <c r="F2508" s="8">
        <v>130050</v>
      </c>
      <c r="G2508" s="8">
        <f t="shared" si="156"/>
        <v>871335000</v>
      </c>
      <c r="H2508" s="5">
        <v>0.2907</v>
      </c>
      <c r="I2508" s="8">
        <f t="shared" si="157"/>
        <v>871335000</v>
      </c>
      <c r="J2508" s="8">
        <f t="shared" si="158"/>
        <v>253297084.5</v>
      </c>
      <c r="K2508" t="str">
        <f t="shared" si="159"/>
        <v>MATCHED</v>
      </c>
    </row>
    <row r="2509" spans="1:11">
      <c r="A2509" t="s">
        <v>112</v>
      </c>
      <c r="B2509" t="s">
        <v>1510</v>
      </c>
      <c r="C2509" t="s">
        <v>247</v>
      </c>
      <c r="D2509" t="s">
        <v>248</v>
      </c>
      <c r="E2509" s="8">
        <v>8120</v>
      </c>
      <c r="F2509" s="8">
        <v>183080</v>
      </c>
      <c r="G2509" s="8">
        <f t="shared" si="156"/>
        <v>1486609600</v>
      </c>
      <c r="H2509" s="5">
        <v>0.5265</v>
      </c>
      <c r="I2509" s="8">
        <f t="shared" si="157"/>
        <v>1486609600</v>
      </c>
      <c r="J2509" s="8">
        <f t="shared" si="158"/>
        <v>782699954.4</v>
      </c>
      <c r="K2509" t="str">
        <f t="shared" si="159"/>
        <v>MATCHED</v>
      </c>
    </row>
    <row r="2510" spans="1:11">
      <c r="A2510" t="s">
        <v>112</v>
      </c>
      <c r="B2510" t="s">
        <v>1510</v>
      </c>
      <c r="C2510" t="s">
        <v>249</v>
      </c>
      <c r="D2510" t="s">
        <v>250</v>
      </c>
      <c r="E2510" s="8">
        <v>9290</v>
      </c>
      <c r="F2510" s="8">
        <v>171190</v>
      </c>
      <c r="G2510" s="8">
        <f t="shared" si="156"/>
        <v>1590355100</v>
      </c>
      <c r="H2510" s="5">
        <v>0.7221</v>
      </c>
      <c r="I2510" s="8">
        <f t="shared" si="157"/>
        <v>1590355100</v>
      </c>
      <c r="J2510" s="8">
        <f t="shared" si="158"/>
        <v>1148395417.71</v>
      </c>
      <c r="K2510" t="str">
        <f t="shared" si="159"/>
        <v>MATCHED</v>
      </c>
    </row>
    <row r="2511" spans="1:11">
      <c r="A2511" t="s">
        <v>112</v>
      </c>
      <c r="B2511" t="s">
        <v>1510</v>
      </c>
      <c r="C2511" t="s">
        <v>251</v>
      </c>
      <c r="D2511" t="s">
        <v>252</v>
      </c>
      <c r="E2511" s="8">
        <v>2670</v>
      </c>
      <c r="F2511" s="8">
        <v>131490</v>
      </c>
      <c r="G2511" s="8">
        <f t="shared" si="156"/>
        <v>351078300</v>
      </c>
      <c r="H2511" s="5">
        <v>0.3636</v>
      </c>
      <c r="I2511" s="8">
        <f t="shared" si="157"/>
        <v>351078300</v>
      </c>
      <c r="J2511" s="8">
        <f t="shared" si="158"/>
        <v>127652069.88</v>
      </c>
      <c r="K2511" t="str">
        <f t="shared" si="159"/>
        <v>MATCHED</v>
      </c>
    </row>
    <row r="2512" spans="1:11">
      <c r="A2512" t="s">
        <v>112</v>
      </c>
      <c r="B2512" t="s">
        <v>1510</v>
      </c>
      <c r="C2512" t="s">
        <v>253</v>
      </c>
      <c r="D2512" t="s">
        <v>254</v>
      </c>
      <c r="E2512" s="8">
        <v>1510</v>
      </c>
      <c r="F2512" s="8">
        <v>147280</v>
      </c>
      <c r="G2512" s="8">
        <f t="shared" si="156"/>
        <v>222392800</v>
      </c>
      <c r="H2512" s="5">
        <v>0.6944</v>
      </c>
      <c r="I2512" s="8">
        <f t="shared" si="157"/>
        <v>222392800</v>
      </c>
      <c r="J2512" s="8">
        <f t="shared" si="158"/>
        <v>154429560.32</v>
      </c>
      <c r="K2512" t="str">
        <f t="shared" si="159"/>
        <v>MATCHED</v>
      </c>
    </row>
    <row r="2513" spans="1:11">
      <c r="A2513" t="s">
        <v>112</v>
      </c>
      <c r="B2513" t="s">
        <v>1510</v>
      </c>
      <c r="C2513" t="s">
        <v>255</v>
      </c>
      <c r="D2513" t="s">
        <v>256</v>
      </c>
      <c r="E2513" s="8">
        <v>71070</v>
      </c>
      <c r="F2513" s="8">
        <v>116600</v>
      </c>
      <c r="G2513" s="8">
        <f t="shared" si="156"/>
        <v>8286762000</v>
      </c>
      <c r="H2513" s="5">
        <v>0.5783</v>
      </c>
      <c r="I2513" s="8">
        <f t="shared" si="157"/>
        <v>8286762000</v>
      </c>
      <c r="J2513" s="8">
        <f t="shared" si="158"/>
        <v>4792234464.6</v>
      </c>
      <c r="K2513" t="str">
        <f t="shared" si="159"/>
        <v>MATCHED</v>
      </c>
    </row>
    <row r="2514" spans="1:11">
      <c r="A2514" t="s">
        <v>112</v>
      </c>
      <c r="B2514" t="s">
        <v>1510</v>
      </c>
      <c r="C2514" t="s">
        <v>524</v>
      </c>
      <c r="D2514" t="s">
        <v>525</v>
      </c>
      <c r="E2514" s="8">
        <v>360</v>
      </c>
      <c r="F2514" s="8">
        <v>140250</v>
      </c>
      <c r="G2514" s="8">
        <f t="shared" si="156"/>
        <v>50490000</v>
      </c>
      <c r="H2514" s="5">
        <v>0.5771</v>
      </c>
      <c r="I2514" s="8">
        <f t="shared" si="157"/>
        <v>50490000</v>
      </c>
      <c r="J2514" s="8">
        <f t="shared" si="158"/>
        <v>29137779</v>
      </c>
      <c r="K2514" t="str">
        <f t="shared" si="159"/>
        <v>MATCHED</v>
      </c>
    </row>
    <row r="2515" spans="1:11">
      <c r="A2515" t="s">
        <v>112</v>
      </c>
      <c r="B2515" t="s">
        <v>1510</v>
      </c>
      <c r="C2515" t="s">
        <v>257</v>
      </c>
      <c r="D2515" t="s">
        <v>258</v>
      </c>
      <c r="E2515" s="8">
        <v>5800</v>
      </c>
      <c r="F2515" s="8">
        <v>145330</v>
      </c>
      <c r="G2515" s="8">
        <f t="shared" si="156"/>
        <v>842914000</v>
      </c>
      <c r="H2515" s="5">
        <v>0.5962</v>
      </c>
      <c r="I2515" s="8">
        <f t="shared" si="157"/>
        <v>842914000</v>
      </c>
      <c r="J2515" s="8">
        <f t="shared" si="158"/>
        <v>502545326.8</v>
      </c>
      <c r="K2515" t="str">
        <f t="shared" si="159"/>
        <v>MATCHED</v>
      </c>
    </row>
    <row r="2516" spans="1:11">
      <c r="A2516" t="s">
        <v>112</v>
      </c>
      <c r="B2516" t="s">
        <v>1510</v>
      </c>
      <c r="C2516" t="s">
        <v>526</v>
      </c>
      <c r="D2516" t="s">
        <v>527</v>
      </c>
      <c r="E2516" s="8">
        <v>1780</v>
      </c>
      <c r="F2516" s="8">
        <v>134790</v>
      </c>
      <c r="G2516" s="8">
        <f t="shared" si="156"/>
        <v>239926200</v>
      </c>
      <c r="H2516" s="5">
        <v>0.6833</v>
      </c>
      <c r="I2516" s="8">
        <f t="shared" si="157"/>
        <v>239926200</v>
      </c>
      <c r="J2516" s="8">
        <f t="shared" si="158"/>
        <v>163941572.46</v>
      </c>
      <c r="K2516" t="str">
        <f t="shared" si="159"/>
        <v>MATCHED</v>
      </c>
    </row>
    <row r="2517" spans="1:11">
      <c r="A2517" t="s">
        <v>112</v>
      </c>
      <c r="B2517" t="s">
        <v>1510</v>
      </c>
      <c r="C2517" t="s">
        <v>528</v>
      </c>
      <c r="D2517" t="s">
        <v>529</v>
      </c>
      <c r="E2517" s="8">
        <v>1150</v>
      </c>
      <c r="F2517" s="8">
        <v>148970</v>
      </c>
      <c r="G2517" s="8">
        <f t="shared" si="156"/>
        <v>171315500</v>
      </c>
      <c r="H2517" s="5">
        <v>0.374</v>
      </c>
      <c r="I2517" s="8">
        <f t="shared" si="157"/>
        <v>171315500</v>
      </c>
      <c r="J2517" s="8">
        <f t="shared" si="158"/>
        <v>64071997</v>
      </c>
      <c r="K2517" t="str">
        <f t="shared" si="159"/>
        <v>MATCHED</v>
      </c>
    </row>
    <row r="2518" spans="1:11">
      <c r="A2518" t="s">
        <v>112</v>
      </c>
      <c r="B2518" t="s">
        <v>1510</v>
      </c>
      <c r="C2518" t="s">
        <v>530</v>
      </c>
      <c r="D2518" t="s">
        <v>531</v>
      </c>
      <c r="E2518" s="8">
        <v>2370</v>
      </c>
      <c r="F2518" s="8">
        <v>165210</v>
      </c>
      <c r="G2518" s="8">
        <f t="shared" si="156"/>
        <v>391547700</v>
      </c>
      <c r="H2518" s="5">
        <v>0.263</v>
      </c>
      <c r="I2518" s="8">
        <f t="shared" si="157"/>
        <v>391547700</v>
      </c>
      <c r="J2518" s="8">
        <f t="shared" si="158"/>
        <v>102977045.1</v>
      </c>
      <c r="K2518" t="str">
        <f t="shared" si="159"/>
        <v>MATCHED</v>
      </c>
    </row>
    <row r="2519" spans="1:11">
      <c r="A2519" t="s">
        <v>112</v>
      </c>
      <c r="B2519" t="s">
        <v>1510</v>
      </c>
      <c r="C2519" t="s">
        <v>1144</v>
      </c>
      <c r="D2519" t="s">
        <v>1145</v>
      </c>
      <c r="E2519" s="8">
        <v>130</v>
      </c>
      <c r="F2519" s="8">
        <v>86530</v>
      </c>
      <c r="G2519" s="8">
        <f t="shared" si="156"/>
        <v>11248900</v>
      </c>
      <c r="H2519" s="5">
        <v>0.3821</v>
      </c>
      <c r="I2519" s="8">
        <f t="shared" si="157"/>
        <v>11248900</v>
      </c>
      <c r="J2519" s="8">
        <f t="shared" si="158"/>
        <v>4298204.69</v>
      </c>
      <c r="K2519" t="str">
        <f t="shared" si="159"/>
        <v>MATCHED</v>
      </c>
    </row>
    <row r="2520" spans="1:11">
      <c r="A2520" t="s">
        <v>112</v>
      </c>
      <c r="B2520" t="s">
        <v>1510</v>
      </c>
      <c r="C2520" t="s">
        <v>1460</v>
      </c>
      <c r="D2520" t="s">
        <v>1461</v>
      </c>
      <c r="E2520" s="8">
        <v>70</v>
      </c>
      <c r="F2520" s="8">
        <v>97870</v>
      </c>
      <c r="G2520" s="8">
        <f t="shared" si="156"/>
        <v>6850900</v>
      </c>
      <c r="H2520" s="5">
        <v>0.3176</v>
      </c>
      <c r="I2520" s="8">
        <f t="shared" si="157"/>
        <v>6850900</v>
      </c>
      <c r="J2520" s="8">
        <f t="shared" si="158"/>
        <v>2175845.84</v>
      </c>
      <c r="K2520" t="str">
        <f t="shared" si="159"/>
        <v>MATCHED</v>
      </c>
    </row>
    <row r="2521" spans="1:11">
      <c r="A2521" t="s">
        <v>112</v>
      </c>
      <c r="B2521" t="s">
        <v>1510</v>
      </c>
      <c r="C2521" t="s">
        <v>924</v>
      </c>
      <c r="D2521" t="s">
        <v>925</v>
      </c>
      <c r="E2521" s="8">
        <v>50</v>
      </c>
      <c r="F2521" s="8">
        <v>163170</v>
      </c>
      <c r="G2521" s="8">
        <f t="shared" si="156"/>
        <v>8158500</v>
      </c>
      <c r="H2521" s="5">
        <v>0.4729</v>
      </c>
      <c r="I2521" s="8">
        <f t="shared" si="157"/>
        <v>8158500</v>
      </c>
      <c r="J2521" s="8">
        <f t="shared" si="158"/>
        <v>3858154.65</v>
      </c>
      <c r="K2521" t="str">
        <f t="shared" si="159"/>
        <v>MATCHED</v>
      </c>
    </row>
    <row r="2522" spans="1:11">
      <c r="A2522" t="s">
        <v>112</v>
      </c>
      <c r="B2522" t="s">
        <v>1510</v>
      </c>
      <c r="C2522" t="s">
        <v>1146</v>
      </c>
      <c r="D2522" t="s">
        <v>1147</v>
      </c>
      <c r="E2522" s="8">
        <v>50</v>
      </c>
      <c r="F2522" s="8">
        <v>175380</v>
      </c>
      <c r="G2522" s="8">
        <f t="shared" si="156"/>
        <v>8769000</v>
      </c>
      <c r="H2522" s="5">
        <v>0.4417</v>
      </c>
      <c r="I2522" s="8">
        <f t="shared" si="157"/>
        <v>8769000</v>
      </c>
      <c r="J2522" s="8">
        <f t="shared" si="158"/>
        <v>3873267.3</v>
      </c>
      <c r="K2522" t="str">
        <f t="shared" si="159"/>
        <v>MATCHED</v>
      </c>
    </row>
    <row r="2523" spans="1:11">
      <c r="A2523" t="s">
        <v>112</v>
      </c>
      <c r="B2523" t="s">
        <v>1510</v>
      </c>
      <c r="C2523" t="s">
        <v>261</v>
      </c>
      <c r="D2523" t="s">
        <v>262</v>
      </c>
      <c r="E2523" s="8">
        <v>50</v>
      </c>
      <c r="F2523" s="8">
        <v>165650</v>
      </c>
      <c r="G2523" s="8">
        <f t="shared" si="156"/>
        <v>8282500</v>
      </c>
      <c r="H2523" s="5">
        <v>0.382</v>
      </c>
      <c r="I2523" s="8">
        <f t="shared" si="157"/>
        <v>8282500</v>
      </c>
      <c r="J2523" s="8">
        <f t="shared" si="158"/>
        <v>3163915</v>
      </c>
      <c r="K2523" t="str">
        <f t="shared" si="159"/>
        <v>MATCHED</v>
      </c>
    </row>
    <row r="2524" spans="1:11">
      <c r="A2524" t="s">
        <v>112</v>
      </c>
      <c r="B2524" t="s">
        <v>1510</v>
      </c>
      <c r="C2524" t="s">
        <v>1511</v>
      </c>
      <c r="D2524" t="s">
        <v>1512</v>
      </c>
      <c r="E2524" s="8">
        <v>13810</v>
      </c>
      <c r="F2524" s="8">
        <v>97360</v>
      </c>
      <c r="G2524" s="8">
        <f t="shared" si="156"/>
        <v>1344541600</v>
      </c>
      <c r="H2524" s="5">
        <v>0.55</v>
      </c>
      <c r="I2524" s="8">
        <f t="shared" si="157"/>
        <v>1344541600</v>
      </c>
      <c r="J2524" s="8">
        <f t="shared" si="158"/>
        <v>739497880</v>
      </c>
      <c r="K2524" t="str">
        <f t="shared" si="159"/>
        <v>MATCHED</v>
      </c>
    </row>
    <row r="2525" spans="1:11">
      <c r="A2525" t="s">
        <v>112</v>
      </c>
      <c r="B2525" t="s">
        <v>1510</v>
      </c>
      <c r="C2525" t="s">
        <v>532</v>
      </c>
      <c r="D2525" t="s">
        <v>533</v>
      </c>
      <c r="E2525" s="8">
        <v>640</v>
      </c>
      <c r="F2525" s="8">
        <v>129200</v>
      </c>
      <c r="G2525" s="8">
        <f t="shared" si="156"/>
        <v>82688000</v>
      </c>
      <c r="H2525" s="5">
        <v>0.3833</v>
      </c>
      <c r="I2525" s="8">
        <f t="shared" si="157"/>
        <v>82688000</v>
      </c>
      <c r="J2525" s="8">
        <f t="shared" si="158"/>
        <v>31694310.4</v>
      </c>
      <c r="K2525" t="str">
        <f t="shared" si="159"/>
        <v>MATCHED</v>
      </c>
    </row>
    <row r="2526" spans="1:11">
      <c r="A2526" t="s">
        <v>112</v>
      </c>
      <c r="B2526" t="s">
        <v>1510</v>
      </c>
      <c r="C2526" t="s">
        <v>816</v>
      </c>
      <c r="D2526" t="s">
        <v>817</v>
      </c>
      <c r="E2526" s="8">
        <v>50</v>
      </c>
      <c r="F2526" s="8">
        <v>133890</v>
      </c>
      <c r="G2526" s="8">
        <f t="shared" si="156"/>
        <v>6694500</v>
      </c>
      <c r="H2526" s="5">
        <v>0.4174</v>
      </c>
      <c r="I2526" s="8">
        <f t="shared" si="157"/>
        <v>6694500</v>
      </c>
      <c r="J2526" s="8">
        <f t="shared" si="158"/>
        <v>2794284.3</v>
      </c>
      <c r="K2526" t="str">
        <f t="shared" si="159"/>
        <v>MATCHED</v>
      </c>
    </row>
    <row r="2527" spans="1:11">
      <c r="A2527" t="s">
        <v>112</v>
      </c>
      <c r="B2527" t="s">
        <v>1510</v>
      </c>
      <c r="C2527" t="s">
        <v>263</v>
      </c>
      <c r="D2527" t="s">
        <v>264</v>
      </c>
      <c r="E2527" s="8">
        <v>10760</v>
      </c>
      <c r="F2527" s="8">
        <v>133390</v>
      </c>
      <c r="G2527" s="8">
        <f t="shared" si="156"/>
        <v>1435276400</v>
      </c>
      <c r="H2527" s="5">
        <v>0.4896</v>
      </c>
      <c r="I2527" s="8">
        <f t="shared" si="157"/>
        <v>1435276400</v>
      </c>
      <c r="J2527" s="8">
        <f t="shared" si="158"/>
        <v>702711325.44</v>
      </c>
      <c r="K2527" t="str">
        <f t="shared" si="159"/>
        <v>MATCHED</v>
      </c>
    </row>
    <row r="2528" spans="1:11">
      <c r="A2528" t="s">
        <v>112</v>
      </c>
      <c r="B2528" t="s">
        <v>1510</v>
      </c>
      <c r="C2528" t="s">
        <v>265</v>
      </c>
      <c r="D2528" t="s">
        <v>266</v>
      </c>
      <c r="E2528" s="8">
        <v>11370</v>
      </c>
      <c r="F2528" s="8">
        <v>80810</v>
      </c>
      <c r="G2528" s="8">
        <f t="shared" si="156"/>
        <v>918809700</v>
      </c>
      <c r="H2528" s="5">
        <v>0.5876</v>
      </c>
      <c r="I2528" s="8">
        <f t="shared" si="157"/>
        <v>918809700</v>
      </c>
      <c r="J2528" s="8">
        <f t="shared" si="158"/>
        <v>539892579.72</v>
      </c>
      <c r="K2528" t="str">
        <f t="shared" si="159"/>
        <v>MATCHED</v>
      </c>
    </row>
    <row r="2529" spans="1:11">
      <c r="A2529" t="s">
        <v>112</v>
      </c>
      <c r="B2529" t="s">
        <v>1510</v>
      </c>
      <c r="C2529" t="s">
        <v>818</v>
      </c>
      <c r="D2529" t="s">
        <v>819</v>
      </c>
      <c r="E2529" s="8">
        <v>730</v>
      </c>
      <c r="F2529" s="8">
        <v>71920</v>
      </c>
      <c r="G2529" s="8">
        <f t="shared" si="156"/>
        <v>52501600</v>
      </c>
      <c r="H2529" s="5">
        <v>0.6983</v>
      </c>
      <c r="I2529" s="8">
        <f t="shared" si="157"/>
        <v>52501600</v>
      </c>
      <c r="J2529" s="8">
        <f t="shared" si="158"/>
        <v>36661867.28</v>
      </c>
      <c r="K2529" t="str">
        <f t="shared" si="159"/>
        <v>MATCHED</v>
      </c>
    </row>
    <row r="2530" spans="1:11">
      <c r="A2530" t="s">
        <v>112</v>
      </c>
      <c r="B2530" t="s">
        <v>1510</v>
      </c>
      <c r="C2530" t="s">
        <v>267</v>
      </c>
      <c r="D2530" t="s">
        <v>268</v>
      </c>
      <c r="E2530" s="8">
        <v>13470</v>
      </c>
      <c r="F2530" s="8">
        <v>77310</v>
      </c>
      <c r="G2530" s="8">
        <f t="shared" si="156"/>
        <v>1041365700</v>
      </c>
      <c r="H2530" s="5">
        <v>0.4611</v>
      </c>
      <c r="I2530" s="8">
        <f t="shared" si="157"/>
        <v>1041365700</v>
      </c>
      <c r="J2530" s="8">
        <f t="shared" si="158"/>
        <v>480173724.27</v>
      </c>
      <c r="K2530" t="str">
        <f t="shared" si="159"/>
        <v>MATCHED</v>
      </c>
    </row>
    <row r="2531" spans="1:11">
      <c r="A2531" t="s">
        <v>112</v>
      </c>
      <c r="B2531" t="s">
        <v>1510</v>
      </c>
      <c r="C2531" t="s">
        <v>534</v>
      </c>
      <c r="D2531" t="s">
        <v>535</v>
      </c>
      <c r="E2531" s="8">
        <v>1290</v>
      </c>
      <c r="F2531" s="8">
        <v>67740</v>
      </c>
      <c r="G2531" s="8">
        <f t="shared" si="156"/>
        <v>87384600</v>
      </c>
      <c r="H2531" s="5">
        <v>0.6393</v>
      </c>
      <c r="I2531" s="8">
        <f t="shared" si="157"/>
        <v>87384600</v>
      </c>
      <c r="J2531" s="8">
        <f t="shared" si="158"/>
        <v>55864974.78</v>
      </c>
      <c r="K2531" t="str">
        <f t="shared" si="159"/>
        <v>MATCHED</v>
      </c>
    </row>
    <row r="2532" spans="1:11">
      <c r="A2532" t="s">
        <v>112</v>
      </c>
      <c r="B2532" t="s">
        <v>1510</v>
      </c>
      <c r="C2532" t="s">
        <v>269</v>
      </c>
      <c r="D2532" t="s">
        <v>270</v>
      </c>
      <c r="E2532" s="8">
        <v>27950</v>
      </c>
      <c r="F2532" s="8">
        <v>74950</v>
      </c>
      <c r="G2532" s="8">
        <f t="shared" si="156"/>
        <v>2094852500</v>
      </c>
      <c r="H2532" s="5">
        <v>0.7808</v>
      </c>
      <c r="I2532" s="8">
        <f t="shared" si="157"/>
        <v>2094852500</v>
      </c>
      <c r="J2532" s="8">
        <f t="shared" si="158"/>
        <v>1635660832</v>
      </c>
      <c r="K2532" t="str">
        <f t="shared" si="159"/>
        <v>MATCHED</v>
      </c>
    </row>
    <row r="2533" spans="1:11">
      <c r="A2533" t="s">
        <v>112</v>
      </c>
      <c r="B2533" t="s">
        <v>1510</v>
      </c>
      <c r="C2533" t="s">
        <v>820</v>
      </c>
      <c r="D2533" t="s">
        <v>821</v>
      </c>
      <c r="E2533" s="8">
        <v>1160</v>
      </c>
      <c r="F2533" s="8">
        <v>96510</v>
      </c>
      <c r="G2533" s="8">
        <f t="shared" si="156"/>
        <v>111951600</v>
      </c>
      <c r="H2533" s="5">
        <v>0.5536</v>
      </c>
      <c r="I2533" s="8">
        <f t="shared" si="157"/>
        <v>111951600</v>
      </c>
      <c r="J2533" s="8">
        <f t="shared" si="158"/>
        <v>61976405.76</v>
      </c>
      <c r="K2533" t="str">
        <f t="shared" si="159"/>
        <v>MATCHED</v>
      </c>
    </row>
    <row r="2534" spans="1:11">
      <c r="A2534" t="s">
        <v>112</v>
      </c>
      <c r="B2534" t="s">
        <v>1510</v>
      </c>
      <c r="C2534" t="s">
        <v>273</v>
      </c>
      <c r="D2534" t="s">
        <v>274</v>
      </c>
      <c r="E2534" s="8">
        <v>30380</v>
      </c>
      <c r="F2534" s="8">
        <v>72600</v>
      </c>
      <c r="G2534" s="8">
        <f t="shared" si="156"/>
        <v>2205588000</v>
      </c>
      <c r="H2534" s="5">
        <v>0.6943</v>
      </c>
      <c r="I2534" s="8">
        <f t="shared" si="157"/>
        <v>2205588000</v>
      </c>
      <c r="J2534" s="8">
        <f t="shared" si="158"/>
        <v>1531339748.4</v>
      </c>
      <c r="K2534" t="str">
        <f t="shared" si="159"/>
        <v>MATCHED</v>
      </c>
    </row>
    <row r="2535" spans="1:11">
      <c r="A2535" t="s">
        <v>112</v>
      </c>
      <c r="B2535" t="s">
        <v>1510</v>
      </c>
      <c r="C2535" t="s">
        <v>275</v>
      </c>
      <c r="D2535" t="s">
        <v>276</v>
      </c>
      <c r="E2535" s="8">
        <v>11390</v>
      </c>
      <c r="F2535" s="8">
        <v>119730</v>
      </c>
      <c r="G2535" s="8">
        <f t="shared" si="156"/>
        <v>1363724700</v>
      </c>
      <c r="H2535" s="5">
        <v>0.6375</v>
      </c>
      <c r="I2535" s="8">
        <f t="shared" si="157"/>
        <v>1363724700</v>
      </c>
      <c r="J2535" s="8">
        <f t="shared" si="158"/>
        <v>869374496.25</v>
      </c>
      <c r="K2535" t="str">
        <f t="shared" si="159"/>
        <v>MATCHED</v>
      </c>
    </row>
    <row r="2536" spans="1:11">
      <c r="A2536" t="s">
        <v>112</v>
      </c>
      <c r="B2536" t="s">
        <v>1510</v>
      </c>
      <c r="C2536" t="s">
        <v>277</v>
      </c>
      <c r="D2536" t="s">
        <v>278</v>
      </c>
      <c r="E2536" s="8">
        <v>7010</v>
      </c>
      <c r="F2536" s="8">
        <v>101860</v>
      </c>
      <c r="G2536" s="8">
        <f t="shared" si="156"/>
        <v>714038600</v>
      </c>
      <c r="H2536" s="5">
        <v>0.5773</v>
      </c>
      <c r="I2536" s="8">
        <f t="shared" si="157"/>
        <v>714038600</v>
      </c>
      <c r="J2536" s="8">
        <f t="shared" si="158"/>
        <v>412214483.78</v>
      </c>
      <c r="K2536" t="str">
        <f t="shared" si="159"/>
        <v>MATCHED</v>
      </c>
    </row>
    <row r="2537" spans="1:11">
      <c r="A2537" t="s">
        <v>112</v>
      </c>
      <c r="B2537" t="s">
        <v>1510</v>
      </c>
      <c r="C2537" t="s">
        <v>279</v>
      </c>
      <c r="D2537" t="s">
        <v>280</v>
      </c>
      <c r="E2537" s="8">
        <v>380</v>
      </c>
      <c r="F2537" s="8">
        <v>66490</v>
      </c>
      <c r="G2537" s="8">
        <f t="shared" si="156"/>
        <v>25266200</v>
      </c>
      <c r="H2537" s="5">
        <v>0.4476</v>
      </c>
      <c r="I2537" s="8">
        <f t="shared" si="157"/>
        <v>25266200</v>
      </c>
      <c r="J2537" s="8">
        <f t="shared" si="158"/>
        <v>11309151.12</v>
      </c>
      <c r="K2537" t="str">
        <f t="shared" si="159"/>
        <v>MATCHED</v>
      </c>
    </row>
    <row r="2538" spans="1:11">
      <c r="A2538" t="s">
        <v>112</v>
      </c>
      <c r="B2538" t="s">
        <v>1510</v>
      </c>
      <c r="C2538" t="s">
        <v>928</v>
      </c>
      <c r="D2538" t="s">
        <v>929</v>
      </c>
      <c r="E2538" s="8">
        <v>70</v>
      </c>
      <c r="F2538" s="8">
        <v>86200</v>
      </c>
      <c r="G2538" s="8">
        <f t="shared" si="156"/>
        <v>6034000</v>
      </c>
      <c r="H2538" s="5">
        <v>0.5571</v>
      </c>
      <c r="I2538" s="8">
        <f t="shared" si="157"/>
        <v>6034000</v>
      </c>
      <c r="J2538" s="8">
        <f t="shared" si="158"/>
        <v>3361541.4</v>
      </c>
      <c r="K2538" t="str">
        <f t="shared" si="159"/>
        <v>MATCHED</v>
      </c>
    </row>
    <row r="2539" spans="1:11">
      <c r="A2539" t="s">
        <v>112</v>
      </c>
      <c r="B2539" t="s">
        <v>1510</v>
      </c>
      <c r="C2539" t="s">
        <v>281</v>
      </c>
      <c r="D2539" t="s">
        <v>282</v>
      </c>
      <c r="E2539" s="8">
        <v>1500</v>
      </c>
      <c r="F2539" s="8">
        <v>79430</v>
      </c>
      <c r="G2539" s="8">
        <f t="shared" si="156"/>
        <v>119145000</v>
      </c>
      <c r="H2539" s="5">
        <v>0.6167</v>
      </c>
      <c r="I2539" s="8">
        <f t="shared" si="157"/>
        <v>119145000</v>
      </c>
      <c r="J2539" s="8">
        <f t="shared" si="158"/>
        <v>73476721.5</v>
      </c>
      <c r="K2539" t="str">
        <f t="shared" si="159"/>
        <v>MATCHED</v>
      </c>
    </row>
    <row r="2540" spans="1:11">
      <c r="A2540" t="s">
        <v>112</v>
      </c>
      <c r="B2540" t="s">
        <v>1510</v>
      </c>
      <c r="C2540" t="s">
        <v>283</v>
      </c>
      <c r="D2540" t="s">
        <v>284</v>
      </c>
      <c r="E2540" s="8">
        <v>28430</v>
      </c>
      <c r="F2540" s="8">
        <v>66290</v>
      </c>
      <c r="G2540" s="8">
        <f t="shared" si="156"/>
        <v>1884624700</v>
      </c>
      <c r="H2540" s="5">
        <v>0.565</v>
      </c>
      <c r="I2540" s="8">
        <f t="shared" si="157"/>
        <v>1884624700</v>
      </c>
      <c r="J2540" s="8">
        <f t="shared" si="158"/>
        <v>1064812955.5</v>
      </c>
      <c r="K2540" t="str">
        <f t="shared" si="159"/>
        <v>MATCHED</v>
      </c>
    </row>
    <row r="2541" spans="1:11">
      <c r="A2541" t="s">
        <v>112</v>
      </c>
      <c r="B2541" t="s">
        <v>1510</v>
      </c>
      <c r="C2541" t="s">
        <v>285</v>
      </c>
      <c r="D2541" t="s">
        <v>286</v>
      </c>
      <c r="E2541" s="8">
        <v>10890</v>
      </c>
      <c r="F2541" s="8">
        <v>99450</v>
      </c>
      <c r="G2541" s="8">
        <f t="shared" si="156"/>
        <v>1083010500</v>
      </c>
      <c r="H2541" s="5">
        <v>0.7792</v>
      </c>
      <c r="I2541" s="8">
        <f t="shared" si="157"/>
        <v>1083010500</v>
      </c>
      <c r="J2541" s="8">
        <f t="shared" si="158"/>
        <v>843881781.6</v>
      </c>
      <c r="K2541" t="str">
        <f t="shared" si="159"/>
        <v>MATCHED</v>
      </c>
    </row>
    <row r="2542" spans="1:11">
      <c r="A2542" t="s">
        <v>112</v>
      </c>
      <c r="B2542" t="s">
        <v>1510</v>
      </c>
      <c r="C2542" t="s">
        <v>287</v>
      </c>
      <c r="D2542" t="s">
        <v>288</v>
      </c>
      <c r="E2542" s="8">
        <v>21090</v>
      </c>
      <c r="F2542" s="8">
        <v>85290</v>
      </c>
      <c r="G2542" s="8">
        <f t="shared" si="156"/>
        <v>1798766100</v>
      </c>
      <c r="H2542" s="5">
        <v>0.6599</v>
      </c>
      <c r="I2542" s="8">
        <f t="shared" si="157"/>
        <v>1798766100</v>
      </c>
      <c r="J2542" s="8">
        <f t="shared" si="158"/>
        <v>1187005749.39</v>
      </c>
      <c r="K2542" t="str">
        <f t="shared" si="159"/>
        <v>MATCHED</v>
      </c>
    </row>
    <row r="2543" spans="1:11">
      <c r="A2543" t="s">
        <v>112</v>
      </c>
      <c r="B2543" t="s">
        <v>1510</v>
      </c>
      <c r="C2543" t="s">
        <v>289</v>
      </c>
      <c r="D2543" t="s">
        <v>290</v>
      </c>
      <c r="E2543" s="8">
        <v>23720</v>
      </c>
      <c r="F2543" s="8">
        <v>86270</v>
      </c>
      <c r="G2543" s="8">
        <f t="shared" si="156"/>
        <v>2046324400</v>
      </c>
      <c r="H2543" s="5">
        <v>0.795</v>
      </c>
      <c r="I2543" s="8">
        <f t="shared" si="157"/>
        <v>2046324400</v>
      </c>
      <c r="J2543" s="8">
        <f t="shared" si="158"/>
        <v>1626827898</v>
      </c>
      <c r="K2543" t="str">
        <f t="shared" si="159"/>
        <v>MATCHED</v>
      </c>
    </row>
    <row r="2544" spans="1:11">
      <c r="A2544" t="s">
        <v>112</v>
      </c>
      <c r="B2544" t="s">
        <v>1510</v>
      </c>
      <c r="C2544" t="s">
        <v>822</v>
      </c>
      <c r="D2544" t="s">
        <v>823</v>
      </c>
      <c r="E2544" s="8">
        <v>80</v>
      </c>
      <c r="F2544" s="8">
        <v>113910</v>
      </c>
      <c r="G2544" s="8">
        <f t="shared" si="156"/>
        <v>9112800</v>
      </c>
      <c r="H2544" s="5">
        <v>0.6102</v>
      </c>
      <c r="I2544" s="8">
        <f t="shared" si="157"/>
        <v>9112800</v>
      </c>
      <c r="J2544" s="8">
        <f t="shared" si="158"/>
        <v>5560630.56</v>
      </c>
      <c r="K2544" t="str">
        <f t="shared" si="159"/>
        <v>MATCHED</v>
      </c>
    </row>
    <row r="2545" spans="1:11">
      <c r="A2545" t="s">
        <v>112</v>
      </c>
      <c r="B2545" t="s">
        <v>1510</v>
      </c>
      <c r="C2545" t="s">
        <v>824</v>
      </c>
      <c r="D2545" t="s">
        <v>825</v>
      </c>
      <c r="E2545" s="8">
        <v>420</v>
      </c>
      <c r="F2545" s="8">
        <v>96850</v>
      </c>
      <c r="G2545" s="8">
        <f t="shared" si="156"/>
        <v>40677000</v>
      </c>
      <c r="H2545" s="5">
        <v>0.8</v>
      </c>
      <c r="I2545" s="8">
        <f t="shared" si="157"/>
        <v>40677000</v>
      </c>
      <c r="J2545" s="8">
        <f t="shared" si="158"/>
        <v>32541600</v>
      </c>
      <c r="K2545" t="str">
        <f t="shared" si="159"/>
        <v>MATCHED</v>
      </c>
    </row>
    <row r="2546" spans="1:11">
      <c r="A2546" t="s">
        <v>112</v>
      </c>
      <c r="B2546" t="s">
        <v>1510</v>
      </c>
      <c r="C2546" t="s">
        <v>826</v>
      </c>
      <c r="D2546" t="s">
        <v>827</v>
      </c>
      <c r="E2546" s="8">
        <v>210</v>
      </c>
      <c r="F2546" s="8">
        <v>70450</v>
      </c>
      <c r="G2546" s="8">
        <f t="shared" si="156"/>
        <v>14794500</v>
      </c>
      <c r="H2546" s="5">
        <v>0.8182</v>
      </c>
      <c r="I2546" s="8">
        <f t="shared" si="157"/>
        <v>14794500</v>
      </c>
      <c r="J2546" s="8">
        <f t="shared" si="158"/>
        <v>12104859.9</v>
      </c>
      <c r="K2546" t="str">
        <f t="shared" si="159"/>
        <v>MATCHED</v>
      </c>
    </row>
    <row r="2547" spans="1:11">
      <c r="A2547" t="s">
        <v>112</v>
      </c>
      <c r="B2547" t="s">
        <v>1510</v>
      </c>
      <c r="C2547" t="s">
        <v>536</v>
      </c>
      <c r="D2547" t="s">
        <v>537</v>
      </c>
      <c r="E2547" s="8">
        <v>3310</v>
      </c>
      <c r="F2547" s="8">
        <v>105590</v>
      </c>
      <c r="G2547" s="8">
        <f t="shared" si="156"/>
        <v>349502900</v>
      </c>
      <c r="H2547" s="5">
        <v>0.6904</v>
      </c>
      <c r="I2547" s="8">
        <f t="shared" si="157"/>
        <v>349502900</v>
      </c>
      <c r="J2547" s="8">
        <f t="shared" si="158"/>
        <v>241296802.16</v>
      </c>
      <c r="K2547" t="str">
        <f t="shared" si="159"/>
        <v>MATCHED</v>
      </c>
    </row>
    <row r="2548" spans="1:11">
      <c r="A2548" t="s">
        <v>112</v>
      </c>
      <c r="B2548" t="s">
        <v>1510</v>
      </c>
      <c r="C2548" t="s">
        <v>828</v>
      </c>
      <c r="D2548" t="s">
        <v>829</v>
      </c>
      <c r="E2548" s="8">
        <v>330</v>
      </c>
      <c r="F2548" s="8">
        <v>106620</v>
      </c>
      <c r="G2548" s="8">
        <f t="shared" si="156"/>
        <v>35184600</v>
      </c>
      <c r="H2548" s="5">
        <v>0.7767</v>
      </c>
      <c r="I2548" s="8">
        <f t="shared" si="157"/>
        <v>35184600</v>
      </c>
      <c r="J2548" s="8">
        <f t="shared" si="158"/>
        <v>27327878.82</v>
      </c>
      <c r="K2548" t="str">
        <f t="shared" si="159"/>
        <v>MATCHED</v>
      </c>
    </row>
    <row r="2549" spans="1:11">
      <c r="A2549" t="s">
        <v>112</v>
      </c>
      <c r="B2549" t="s">
        <v>1510</v>
      </c>
      <c r="C2549" t="s">
        <v>538</v>
      </c>
      <c r="D2549" t="s">
        <v>539</v>
      </c>
      <c r="E2549" s="8">
        <v>430</v>
      </c>
      <c r="F2549" s="8">
        <v>83520</v>
      </c>
      <c r="G2549" s="8">
        <f t="shared" si="156"/>
        <v>35913600</v>
      </c>
      <c r="H2549" s="5">
        <v>0.6192</v>
      </c>
      <c r="I2549" s="8">
        <f t="shared" si="157"/>
        <v>35913600</v>
      </c>
      <c r="J2549" s="8">
        <f t="shared" si="158"/>
        <v>22237701.12</v>
      </c>
      <c r="K2549" t="str">
        <f t="shared" si="159"/>
        <v>MATCHED</v>
      </c>
    </row>
    <row r="2550" spans="1:11">
      <c r="A2550" t="s">
        <v>112</v>
      </c>
      <c r="B2550" t="s">
        <v>1510</v>
      </c>
      <c r="C2550" t="s">
        <v>291</v>
      </c>
      <c r="D2550" t="s">
        <v>292</v>
      </c>
      <c r="E2550" s="8">
        <v>4310</v>
      </c>
      <c r="F2550" s="8">
        <v>105680</v>
      </c>
      <c r="G2550" s="8">
        <f t="shared" si="156"/>
        <v>455480800</v>
      </c>
      <c r="H2550" s="5">
        <v>0.6388</v>
      </c>
      <c r="I2550" s="8">
        <f t="shared" si="157"/>
        <v>455480800</v>
      </c>
      <c r="J2550" s="8">
        <f t="shared" si="158"/>
        <v>290961135.04</v>
      </c>
      <c r="K2550" t="str">
        <f t="shared" si="159"/>
        <v>MATCHED</v>
      </c>
    </row>
    <row r="2551" spans="1:11">
      <c r="A2551" t="s">
        <v>112</v>
      </c>
      <c r="B2551" t="s">
        <v>1510</v>
      </c>
      <c r="C2551" t="s">
        <v>540</v>
      </c>
      <c r="D2551" t="s">
        <v>541</v>
      </c>
      <c r="E2551" s="8">
        <v>1560</v>
      </c>
      <c r="F2551" s="8">
        <v>124930</v>
      </c>
      <c r="G2551" s="8">
        <f t="shared" si="156"/>
        <v>194890800</v>
      </c>
      <c r="H2551" s="5">
        <v>0.6292</v>
      </c>
      <c r="I2551" s="8">
        <f t="shared" si="157"/>
        <v>194890800</v>
      </c>
      <c r="J2551" s="8">
        <f t="shared" si="158"/>
        <v>122625291.36</v>
      </c>
      <c r="K2551" t="str">
        <f t="shared" si="159"/>
        <v>MATCHED</v>
      </c>
    </row>
    <row r="2552" spans="1:11">
      <c r="A2552" t="s">
        <v>112</v>
      </c>
      <c r="B2552" t="s">
        <v>1510</v>
      </c>
      <c r="C2552" t="s">
        <v>1152</v>
      </c>
      <c r="D2552" t="s">
        <v>1153</v>
      </c>
      <c r="E2552" s="8">
        <v>30</v>
      </c>
      <c r="F2552" s="8">
        <v>141140</v>
      </c>
      <c r="G2552" s="8">
        <f t="shared" si="156"/>
        <v>4234200</v>
      </c>
      <c r="H2552" s="5">
        <v>0.39</v>
      </c>
      <c r="I2552" s="8">
        <f t="shared" si="157"/>
        <v>4234200</v>
      </c>
      <c r="J2552" s="8">
        <f t="shared" si="158"/>
        <v>1651338</v>
      </c>
      <c r="K2552" t="str">
        <f t="shared" si="159"/>
        <v>MATCHED</v>
      </c>
    </row>
    <row r="2553" spans="1:11">
      <c r="A2553" t="s">
        <v>112</v>
      </c>
      <c r="B2553" t="s">
        <v>1510</v>
      </c>
      <c r="C2553" t="s">
        <v>542</v>
      </c>
      <c r="D2553" t="s">
        <v>543</v>
      </c>
      <c r="E2553" s="8">
        <v>1930</v>
      </c>
      <c r="F2553" s="8">
        <v>77930</v>
      </c>
      <c r="G2553" s="8">
        <f t="shared" si="156"/>
        <v>150404900</v>
      </c>
      <c r="H2553" s="5">
        <v>0.7096</v>
      </c>
      <c r="I2553" s="8">
        <f t="shared" si="157"/>
        <v>150404900</v>
      </c>
      <c r="J2553" s="8">
        <f t="shared" si="158"/>
        <v>106727317.04</v>
      </c>
      <c r="K2553" t="str">
        <f t="shared" si="159"/>
        <v>MATCHED</v>
      </c>
    </row>
    <row r="2554" spans="1:11">
      <c r="A2554" t="s">
        <v>112</v>
      </c>
      <c r="B2554" t="s">
        <v>1510</v>
      </c>
      <c r="C2554" t="s">
        <v>293</v>
      </c>
      <c r="D2554" t="s">
        <v>294</v>
      </c>
      <c r="E2554" s="8">
        <v>8160</v>
      </c>
      <c r="F2554" s="8">
        <v>67010</v>
      </c>
      <c r="G2554" s="8">
        <f t="shared" si="156"/>
        <v>546801600</v>
      </c>
      <c r="H2554" s="5">
        <v>0.6062</v>
      </c>
      <c r="I2554" s="8">
        <f t="shared" si="157"/>
        <v>546801600</v>
      </c>
      <c r="J2554" s="8">
        <f t="shared" si="158"/>
        <v>331471129.92</v>
      </c>
      <c r="K2554" t="str">
        <f t="shared" si="159"/>
        <v>MATCHED</v>
      </c>
    </row>
    <row r="2555" spans="1:11">
      <c r="A2555" t="s">
        <v>112</v>
      </c>
      <c r="B2555" t="s">
        <v>1510</v>
      </c>
      <c r="C2555" t="s">
        <v>544</v>
      </c>
      <c r="D2555" t="s">
        <v>545</v>
      </c>
      <c r="E2555" s="8">
        <v>1270</v>
      </c>
      <c r="F2555" s="8">
        <v>138600</v>
      </c>
      <c r="G2555" s="8">
        <f t="shared" si="156"/>
        <v>176022000</v>
      </c>
      <c r="H2555" s="5">
        <v>0.6278</v>
      </c>
      <c r="I2555" s="8">
        <f t="shared" si="157"/>
        <v>176022000</v>
      </c>
      <c r="J2555" s="8">
        <f t="shared" si="158"/>
        <v>110506611.6</v>
      </c>
      <c r="K2555" t="str">
        <f t="shared" si="159"/>
        <v>MATCHED</v>
      </c>
    </row>
    <row r="2556" spans="1:11">
      <c r="A2556" t="s">
        <v>112</v>
      </c>
      <c r="B2556" t="s">
        <v>1510</v>
      </c>
      <c r="C2556" t="s">
        <v>546</v>
      </c>
      <c r="D2556" t="s">
        <v>547</v>
      </c>
      <c r="E2556" s="8">
        <v>1180</v>
      </c>
      <c r="F2556" s="8">
        <v>95810</v>
      </c>
      <c r="G2556" s="8">
        <f t="shared" si="156"/>
        <v>113055800</v>
      </c>
      <c r="H2556" s="5">
        <v>0.8389</v>
      </c>
      <c r="I2556" s="8">
        <f t="shared" si="157"/>
        <v>113055800</v>
      </c>
      <c r="J2556" s="8">
        <f t="shared" si="158"/>
        <v>94842510.62</v>
      </c>
      <c r="K2556" t="str">
        <f t="shared" si="159"/>
        <v>MATCHED</v>
      </c>
    </row>
    <row r="2557" spans="1:11">
      <c r="A2557" t="s">
        <v>112</v>
      </c>
      <c r="B2557" t="s">
        <v>1510</v>
      </c>
      <c r="C2557" t="s">
        <v>548</v>
      </c>
      <c r="D2557" t="s">
        <v>549</v>
      </c>
      <c r="E2557" s="8">
        <v>380</v>
      </c>
      <c r="F2557" s="8">
        <v>141690</v>
      </c>
      <c r="G2557" s="8">
        <f t="shared" si="156"/>
        <v>53842200</v>
      </c>
      <c r="H2557" s="5">
        <v>0.8502</v>
      </c>
      <c r="I2557" s="8">
        <f t="shared" si="157"/>
        <v>53842200</v>
      </c>
      <c r="J2557" s="8">
        <f t="shared" si="158"/>
        <v>45776638.44</v>
      </c>
      <c r="K2557" t="str">
        <f t="shared" si="159"/>
        <v>MATCHED</v>
      </c>
    </row>
    <row r="2558" spans="1:11">
      <c r="A2558" t="s">
        <v>112</v>
      </c>
      <c r="B2558" t="s">
        <v>1510</v>
      </c>
      <c r="C2558" t="s">
        <v>295</v>
      </c>
      <c r="D2558" t="s">
        <v>296</v>
      </c>
      <c r="E2558" s="8">
        <v>5200</v>
      </c>
      <c r="F2558" s="8">
        <v>95850</v>
      </c>
      <c r="G2558" s="8">
        <f t="shared" si="156"/>
        <v>498420000</v>
      </c>
      <c r="H2558" s="5">
        <v>0.695</v>
      </c>
      <c r="I2558" s="8">
        <f t="shared" si="157"/>
        <v>498420000</v>
      </c>
      <c r="J2558" s="8">
        <f t="shared" si="158"/>
        <v>346401900</v>
      </c>
      <c r="K2558" t="str">
        <f t="shared" si="159"/>
        <v>MATCHED</v>
      </c>
    </row>
    <row r="2559" spans="1:11">
      <c r="A2559" t="s">
        <v>112</v>
      </c>
      <c r="B2559" t="s">
        <v>1510</v>
      </c>
      <c r="C2559" t="s">
        <v>550</v>
      </c>
      <c r="D2559" t="s">
        <v>551</v>
      </c>
      <c r="E2559" s="8">
        <v>860</v>
      </c>
      <c r="F2559" s="8">
        <v>127210</v>
      </c>
      <c r="G2559" s="8">
        <f t="shared" si="156"/>
        <v>109400600</v>
      </c>
      <c r="H2559" s="5">
        <v>0.6824</v>
      </c>
      <c r="I2559" s="8">
        <f t="shared" si="157"/>
        <v>109400600</v>
      </c>
      <c r="J2559" s="8">
        <f t="shared" si="158"/>
        <v>74654969.44</v>
      </c>
      <c r="K2559" t="str">
        <f t="shared" si="159"/>
        <v>MATCHED</v>
      </c>
    </row>
    <row r="2560" spans="1:11">
      <c r="A2560" t="s">
        <v>112</v>
      </c>
      <c r="B2560" t="s">
        <v>1510</v>
      </c>
      <c r="C2560" t="s">
        <v>297</v>
      </c>
      <c r="D2560" t="s">
        <v>298</v>
      </c>
      <c r="E2560" s="8">
        <v>18020</v>
      </c>
      <c r="F2560" s="8">
        <v>151670</v>
      </c>
      <c r="G2560" s="8">
        <f t="shared" si="156"/>
        <v>2733093400</v>
      </c>
      <c r="H2560" s="5">
        <v>0.5211</v>
      </c>
      <c r="I2560" s="8">
        <f t="shared" si="157"/>
        <v>2733093400</v>
      </c>
      <c r="J2560" s="8">
        <f t="shared" si="158"/>
        <v>1424214970.74</v>
      </c>
      <c r="K2560" t="str">
        <f t="shared" si="159"/>
        <v>MATCHED</v>
      </c>
    </row>
    <row r="2561" spans="1:11">
      <c r="A2561" t="s">
        <v>112</v>
      </c>
      <c r="B2561" t="s">
        <v>1510</v>
      </c>
      <c r="C2561" t="s">
        <v>552</v>
      </c>
      <c r="D2561" t="s">
        <v>553</v>
      </c>
      <c r="E2561" s="8">
        <v>990</v>
      </c>
      <c r="F2561" s="8">
        <v>100150</v>
      </c>
      <c r="G2561" s="8">
        <f t="shared" si="156"/>
        <v>99148500</v>
      </c>
      <c r="H2561" s="5">
        <v>0.8117</v>
      </c>
      <c r="I2561" s="8">
        <f t="shared" si="157"/>
        <v>99148500</v>
      </c>
      <c r="J2561" s="8">
        <f t="shared" si="158"/>
        <v>80478837.45</v>
      </c>
      <c r="K2561" t="str">
        <f t="shared" si="159"/>
        <v>MATCHED</v>
      </c>
    </row>
    <row r="2562" spans="1:11">
      <c r="A2562" t="s">
        <v>112</v>
      </c>
      <c r="B2562" t="s">
        <v>1510</v>
      </c>
      <c r="C2562" t="s">
        <v>830</v>
      </c>
      <c r="D2562" t="s">
        <v>831</v>
      </c>
      <c r="E2562" s="8">
        <v>450</v>
      </c>
      <c r="F2562" s="8">
        <v>121920</v>
      </c>
      <c r="G2562" s="8">
        <f t="shared" ref="G2562:G2625" si="160">IF(OR(E2562="",F2562=""),"",E2562*F2562)</f>
        <v>54864000</v>
      </c>
      <c r="H2562" s="5">
        <v>0.8276</v>
      </c>
      <c r="I2562" s="8">
        <f t="shared" ref="I2562:I2625" si="161">IF(G2562="","",IF(ISNUMBER(H2562),G2562,""))</f>
        <v>54864000</v>
      </c>
      <c r="J2562" s="8">
        <f t="shared" ref="J2562:J2625" si="162">IF(I2562="","",I2562*H2562)</f>
        <v>45405446.4</v>
      </c>
      <c r="K2562" t="str">
        <f t="shared" ref="K2562:K2625" si="163">IF(G2562="","MISSING OEWS",IF(ISNUMBER(H2562),"MATCHED","MISSING WHARTON"))</f>
        <v>MATCHED</v>
      </c>
    </row>
    <row r="2563" spans="1:11">
      <c r="A2563" t="s">
        <v>112</v>
      </c>
      <c r="B2563" t="s">
        <v>1510</v>
      </c>
      <c r="C2563" t="s">
        <v>832</v>
      </c>
      <c r="D2563" t="s">
        <v>833</v>
      </c>
      <c r="E2563" s="8">
        <v>770</v>
      </c>
      <c r="F2563" s="8">
        <v>133100</v>
      </c>
      <c r="G2563" s="8">
        <f t="shared" si="160"/>
        <v>102487000</v>
      </c>
      <c r="H2563" s="5">
        <v>0.6827</v>
      </c>
      <c r="I2563" s="8">
        <f t="shared" si="161"/>
        <v>102487000</v>
      </c>
      <c r="J2563" s="8">
        <f t="shared" si="162"/>
        <v>69967874.9</v>
      </c>
      <c r="K2563" t="str">
        <f t="shared" si="163"/>
        <v>MATCHED</v>
      </c>
    </row>
    <row r="2564" spans="1:11">
      <c r="A2564" t="s">
        <v>112</v>
      </c>
      <c r="B2564" t="s">
        <v>1510</v>
      </c>
      <c r="C2564" t="s">
        <v>299</v>
      </c>
      <c r="D2564" t="s">
        <v>300</v>
      </c>
      <c r="E2564" s="8">
        <v>7270</v>
      </c>
      <c r="F2564" s="8">
        <v>82820</v>
      </c>
      <c r="G2564" s="8">
        <f t="shared" si="160"/>
        <v>602101400</v>
      </c>
      <c r="H2564" s="5">
        <v>0.7425</v>
      </c>
      <c r="I2564" s="8">
        <f t="shared" si="161"/>
        <v>602101400</v>
      </c>
      <c r="J2564" s="8">
        <f t="shared" si="162"/>
        <v>447060289.5</v>
      </c>
      <c r="K2564" t="str">
        <f t="shared" si="163"/>
        <v>MATCHED</v>
      </c>
    </row>
    <row r="2565" spans="1:11">
      <c r="A2565" t="s">
        <v>112</v>
      </c>
      <c r="B2565" t="s">
        <v>1510</v>
      </c>
      <c r="C2565" t="s">
        <v>554</v>
      </c>
      <c r="D2565" t="s">
        <v>555</v>
      </c>
      <c r="E2565" s="8">
        <v>1280</v>
      </c>
      <c r="F2565" s="8">
        <v>96210</v>
      </c>
      <c r="G2565" s="8">
        <f t="shared" si="160"/>
        <v>123148800</v>
      </c>
      <c r="H2565" s="5">
        <v>0.6031</v>
      </c>
      <c r="I2565" s="8">
        <f t="shared" si="161"/>
        <v>123148800</v>
      </c>
      <c r="J2565" s="8">
        <f t="shared" si="162"/>
        <v>74271041.28</v>
      </c>
      <c r="K2565" t="str">
        <f t="shared" si="163"/>
        <v>MATCHED</v>
      </c>
    </row>
    <row r="2566" spans="1:11">
      <c r="A2566" t="s">
        <v>112</v>
      </c>
      <c r="B2566" t="s">
        <v>1510</v>
      </c>
      <c r="C2566" t="s">
        <v>1156</v>
      </c>
      <c r="D2566" t="s">
        <v>1157</v>
      </c>
      <c r="E2566" s="8">
        <v>180</v>
      </c>
      <c r="F2566" s="8">
        <v>112580</v>
      </c>
      <c r="G2566" s="8">
        <f t="shared" si="160"/>
        <v>20264400</v>
      </c>
      <c r="H2566" s="5">
        <v>0.7282</v>
      </c>
      <c r="I2566" s="8">
        <f t="shared" si="161"/>
        <v>20264400</v>
      </c>
      <c r="J2566" s="8">
        <f t="shared" si="162"/>
        <v>14756536.08</v>
      </c>
      <c r="K2566" t="str">
        <f t="shared" si="163"/>
        <v>MATCHED</v>
      </c>
    </row>
    <row r="2567" spans="1:11">
      <c r="A2567" t="s">
        <v>112</v>
      </c>
      <c r="B2567" t="s">
        <v>1510</v>
      </c>
      <c r="C2567" t="s">
        <v>556</v>
      </c>
      <c r="D2567" t="s">
        <v>557</v>
      </c>
      <c r="E2567" s="8">
        <v>4450</v>
      </c>
      <c r="F2567" s="8">
        <v>136070</v>
      </c>
      <c r="G2567" s="8">
        <f t="shared" si="160"/>
        <v>605511500</v>
      </c>
      <c r="H2567" s="5">
        <v>0.8228</v>
      </c>
      <c r="I2567" s="8">
        <f t="shared" si="161"/>
        <v>605511500</v>
      </c>
      <c r="J2567" s="8">
        <f t="shared" si="162"/>
        <v>498214862.2</v>
      </c>
      <c r="K2567" t="str">
        <f t="shared" si="163"/>
        <v>MATCHED</v>
      </c>
    </row>
    <row r="2568" spans="1:11">
      <c r="A2568" t="s">
        <v>112</v>
      </c>
      <c r="B2568" t="s">
        <v>1510</v>
      </c>
      <c r="C2568" t="s">
        <v>834</v>
      </c>
      <c r="D2568" t="s">
        <v>835</v>
      </c>
      <c r="E2568" s="8">
        <v>100</v>
      </c>
      <c r="F2568" s="8">
        <v>117500</v>
      </c>
      <c r="G2568" s="8">
        <f t="shared" si="160"/>
        <v>11750000</v>
      </c>
      <c r="H2568" s="5">
        <v>0.5375</v>
      </c>
      <c r="I2568" s="8">
        <f t="shared" si="161"/>
        <v>11750000</v>
      </c>
      <c r="J2568" s="8">
        <f t="shared" si="162"/>
        <v>6315625</v>
      </c>
      <c r="K2568" t="str">
        <f t="shared" si="163"/>
        <v>MATCHED</v>
      </c>
    </row>
    <row r="2569" spans="1:11">
      <c r="A2569" t="s">
        <v>112</v>
      </c>
      <c r="B2569" t="s">
        <v>1510</v>
      </c>
      <c r="C2569" t="s">
        <v>560</v>
      </c>
      <c r="D2569" t="s">
        <v>561</v>
      </c>
      <c r="E2569" s="8">
        <v>90</v>
      </c>
      <c r="F2569" s="8">
        <v>90070</v>
      </c>
      <c r="G2569" s="8">
        <f t="shared" si="160"/>
        <v>8106300</v>
      </c>
      <c r="H2569" s="5">
        <v>0.3682</v>
      </c>
      <c r="I2569" s="8">
        <f t="shared" si="161"/>
        <v>8106300</v>
      </c>
      <c r="J2569" s="8">
        <f t="shared" si="162"/>
        <v>2984739.66</v>
      </c>
      <c r="K2569" t="str">
        <f t="shared" si="163"/>
        <v>MATCHED</v>
      </c>
    </row>
    <row r="2570" spans="1:11">
      <c r="A2570" t="s">
        <v>112</v>
      </c>
      <c r="B2570" t="s">
        <v>1510</v>
      </c>
      <c r="C2570" t="s">
        <v>1160</v>
      </c>
      <c r="D2570" t="s">
        <v>1161</v>
      </c>
      <c r="E2570" s="8">
        <v>1750</v>
      </c>
      <c r="F2570" s="8">
        <v>116070</v>
      </c>
      <c r="G2570" s="8">
        <f t="shared" si="160"/>
        <v>203122500</v>
      </c>
      <c r="H2570" s="5">
        <v>0.5333</v>
      </c>
      <c r="I2570" s="8">
        <f t="shared" si="161"/>
        <v>203122500</v>
      </c>
      <c r="J2570" s="8">
        <f t="shared" si="162"/>
        <v>108325229.25</v>
      </c>
      <c r="K2570" t="str">
        <f t="shared" si="163"/>
        <v>MATCHED</v>
      </c>
    </row>
    <row r="2571" spans="1:11">
      <c r="A2571" t="s">
        <v>112</v>
      </c>
      <c r="B2571" t="s">
        <v>1510</v>
      </c>
      <c r="C2571" t="s">
        <v>564</v>
      </c>
      <c r="D2571" t="s">
        <v>565</v>
      </c>
      <c r="E2571" s="8">
        <v>1020</v>
      </c>
      <c r="F2571" s="8">
        <v>118000</v>
      </c>
      <c r="G2571" s="8">
        <f t="shared" si="160"/>
        <v>120360000</v>
      </c>
      <c r="H2571" s="5">
        <v>0.4218</v>
      </c>
      <c r="I2571" s="8">
        <f t="shared" si="161"/>
        <v>120360000</v>
      </c>
      <c r="J2571" s="8">
        <f t="shared" si="162"/>
        <v>50767848</v>
      </c>
      <c r="K2571" t="str">
        <f t="shared" si="163"/>
        <v>MATCHED</v>
      </c>
    </row>
    <row r="2572" spans="1:11">
      <c r="A2572" t="s">
        <v>112</v>
      </c>
      <c r="B2572" t="s">
        <v>1510</v>
      </c>
      <c r="C2572" t="s">
        <v>838</v>
      </c>
      <c r="D2572" t="s">
        <v>839</v>
      </c>
      <c r="E2572" s="8">
        <v>160</v>
      </c>
      <c r="F2572" s="8">
        <v>131720</v>
      </c>
      <c r="G2572" s="8">
        <f t="shared" si="160"/>
        <v>21075200</v>
      </c>
      <c r="H2572" s="5">
        <v>0.3639</v>
      </c>
      <c r="I2572" s="8">
        <f t="shared" si="161"/>
        <v>21075200</v>
      </c>
      <c r="J2572" s="8">
        <f t="shared" si="162"/>
        <v>7669265.28</v>
      </c>
      <c r="K2572" t="str">
        <f t="shared" si="163"/>
        <v>MATCHED</v>
      </c>
    </row>
    <row r="2573" spans="1:11">
      <c r="A2573" t="s">
        <v>112</v>
      </c>
      <c r="B2573" t="s">
        <v>1510</v>
      </c>
      <c r="C2573" t="s">
        <v>566</v>
      </c>
      <c r="D2573" t="s">
        <v>567</v>
      </c>
      <c r="E2573" s="8">
        <v>860</v>
      </c>
      <c r="F2573" s="8">
        <v>116010</v>
      </c>
      <c r="G2573" s="8">
        <f t="shared" si="160"/>
        <v>99768600</v>
      </c>
      <c r="H2573" s="5">
        <v>0.3523</v>
      </c>
      <c r="I2573" s="8">
        <f t="shared" si="161"/>
        <v>99768600</v>
      </c>
      <c r="J2573" s="8">
        <f t="shared" si="162"/>
        <v>35148477.78</v>
      </c>
      <c r="K2573" t="str">
        <f t="shared" si="163"/>
        <v>MATCHED</v>
      </c>
    </row>
    <row r="2574" spans="1:11">
      <c r="A2574" t="s">
        <v>112</v>
      </c>
      <c r="B2574" t="s">
        <v>1510</v>
      </c>
      <c r="C2574" t="s">
        <v>568</v>
      </c>
      <c r="D2574" t="s">
        <v>569</v>
      </c>
      <c r="E2574" s="8">
        <v>510</v>
      </c>
      <c r="F2574" s="8">
        <v>121590</v>
      </c>
      <c r="G2574" s="8">
        <f t="shared" si="160"/>
        <v>62010900</v>
      </c>
      <c r="H2574" s="5">
        <v>0.4536</v>
      </c>
      <c r="I2574" s="8">
        <f t="shared" si="161"/>
        <v>62010900</v>
      </c>
      <c r="J2574" s="8">
        <f t="shared" si="162"/>
        <v>28128144.24</v>
      </c>
      <c r="K2574" t="str">
        <f t="shared" si="163"/>
        <v>MATCHED</v>
      </c>
    </row>
    <row r="2575" spans="1:11">
      <c r="A2575" t="s">
        <v>112</v>
      </c>
      <c r="B2575" t="s">
        <v>1510</v>
      </c>
      <c r="C2575" t="s">
        <v>570</v>
      </c>
      <c r="D2575" t="s">
        <v>571</v>
      </c>
      <c r="E2575" s="8">
        <v>230</v>
      </c>
      <c r="F2575" s="8">
        <v>140250</v>
      </c>
      <c r="G2575" s="8">
        <f t="shared" si="160"/>
        <v>32257500</v>
      </c>
      <c r="H2575" s="5">
        <v>0.5196</v>
      </c>
      <c r="I2575" s="8">
        <f t="shared" si="161"/>
        <v>32257500</v>
      </c>
      <c r="J2575" s="8">
        <f t="shared" si="162"/>
        <v>16760997</v>
      </c>
      <c r="K2575" t="str">
        <f t="shared" si="163"/>
        <v>MATCHED</v>
      </c>
    </row>
    <row r="2576" spans="1:11">
      <c r="A2576" t="s">
        <v>112</v>
      </c>
      <c r="B2576" t="s">
        <v>1510</v>
      </c>
      <c r="C2576" t="s">
        <v>572</v>
      </c>
      <c r="D2576" t="s">
        <v>573</v>
      </c>
      <c r="E2576" s="8">
        <v>430</v>
      </c>
      <c r="F2576" s="8">
        <v>107760</v>
      </c>
      <c r="G2576" s="8">
        <f t="shared" si="160"/>
        <v>46336800</v>
      </c>
      <c r="H2576" s="5">
        <v>0.2672</v>
      </c>
      <c r="I2576" s="8">
        <f t="shared" si="161"/>
        <v>46336800</v>
      </c>
      <c r="J2576" s="8">
        <f t="shared" si="162"/>
        <v>12381192.96</v>
      </c>
      <c r="K2576" t="str">
        <f t="shared" si="163"/>
        <v>MATCHED</v>
      </c>
    </row>
    <row r="2577" spans="1:11">
      <c r="A2577" t="s">
        <v>112</v>
      </c>
      <c r="B2577" t="s">
        <v>1510</v>
      </c>
      <c r="C2577" t="s">
        <v>301</v>
      </c>
      <c r="D2577" t="s">
        <v>302</v>
      </c>
      <c r="E2577" s="8">
        <v>7140</v>
      </c>
      <c r="F2577" s="8">
        <v>104860</v>
      </c>
      <c r="G2577" s="8">
        <f t="shared" si="160"/>
        <v>748700400</v>
      </c>
      <c r="H2577" s="5">
        <v>0.4786</v>
      </c>
      <c r="I2577" s="8">
        <f t="shared" si="161"/>
        <v>748700400</v>
      </c>
      <c r="J2577" s="8">
        <f t="shared" si="162"/>
        <v>358328011.44</v>
      </c>
      <c r="K2577" t="str">
        <f t="shared" si="163"/>
        <v>MATCHED</v>
      </c>
    </row>
    <row r="2578" spans="1:11">
      <c r="A2578" t="s">
        <v>112</v>
      </c>
      <c r="B2578" t="s">
        <v>1510</v>
      </c>
      <c r="C2578" t="s">
        <v>938</v>
      </c>
      <c r="D2578" t="s">
        <v>939</v>
      </c>
      <c r="E2578" s="8">
        <v>870</v>
      </c>
      <c r="F2578" s="8">
        <v>147480</v>
      </c>
      <c r="G2578" s="8">
        <f t="shared" si="160"/>
        <v>128307600</v>
      </c>
      <c r="H2578" s="5">
        <v>0.2417</v>
      </c>
      <c r="I2578" s="8">
        <f t="shared" si="161"/>
        <v>128307600</v>
      </c>
      <c r="J2578" s="8">
        <f t="shared" si="162"/>
        <v>31011946.92</v>
      </c>
      <c r="K2578" t="str">
        <f t="shared" si="163"/>
        <v>MATCHED</v>
      </c>
    </row>
    <row r="2579" spans="1:11">
      <c r="A2579" t="s">
        <v>112</v>
      </c>
      <c r="B2579" t="s">
        <v>1510</v>
      </c>
      <c r="C2579" t="s">
        <v>574</v>
      </c>
      <c r="D2579" t="s">
        <v>575</v>
      </c>
      <c r="E2579" s="8">
        <v>130</v>
      </c>
      <c r="F2579" s="8">
        <v>129050</v>
      </c>
      <c r="G2579" s="8">
        <f t="shared" si="160"/>
        <v>16776500</v>
      </c>
      <c r="H2579" s="5">
        <v>0.269</v>
      </c>
      <c r="I2579" s="8">
        <f t="shared" si="161"/>
        <v>16776500</v>
      </c>
      <c r="J2579" s="8">
        <f t="shared" si="162"/>
        <v>4512878.5</v>
      </c>
      <c r="K2579" t="str">
        <f t="shared" si="163"/>
        <v>MATCHED</v>
      </c>
    </row>
    <row r="2580" spans="1:11">
      <c r="A2580" t="s">
        <v>112</v>
      </c>
      <c r="B2580" t="s">
        <v>1510</v>
      </c>
      <c r="C2580" t="s">
        <v>576</v>
      </c>
      <c r="D2580" t="s">
        <v>577</v>
      </c>
      <c r="E2580" s="8">
        <v>1780</v>
      </c>
      <c r="F2580" s="8">
        <v>108990</v>
      </c>
      <c r="G2580" s="8">
        <f t="shared" si="160"/>
        <v>194002200</v>
      </c>
      <c r="H2580" s="5">
        <v>0.3008</v>
      </c>
      <c r="I2580" s="8">
        <f t="shared" si="161"/>
        <v>194002200</v>
      </c>
      <c r="J2580" s="8">
        <f t="shared" si="162"/>
        <v>58355861.76</v>
      </c>
      <c r="K2580" t="str">
        <f t="shared" si="163"/>
        <v>MATCHED</v>
      </c>
    </row>
    <row r="2581" spans="1:11">
      <c r="A2581" t="s">
        <v>112</v>
      </c>
      <c r="B2581" t="s">
        <v>1510</v>
      </c>
      <c r="C2581" t="s">
        <v>580</v>
      </c>
      <c r="D2581" t="s">
        <v>581</v>
      </c>
      <c r="E2581" s="8">
        <v>990</v>
      </c>
      <c r="F2581" s="8">
        <v>137230</v>
      </c>
      <c r="G2581" s="8">
        <f t="shared" si="160"/>
        <v>135857700</v>
      </c>
      <c r="H2581" s="5">
        <v>0.3065</v>
      </c>
      <c r="I2581" s="8">
        <f t="shared" si="161"/>
        <v>135857700</v>
      </c>
      <c r="J2581" s="8">
        <f t="shared" si="162"/>
        <v>41640385.05</v>
      </c>
      <c r="K2581" t="str">
        <f t="shared" si="163"/>
        <v>MATCHED</v>
      </c>
    </row>
    <row r="2582" spans="1:11">
      <c r="A2582" t="s">
        <v>112</v>
      </c>
      <c r="B2582" t="s">
        <v>1510</v>
      </c>
      <c r="C2582" t="s">
        <v>582</v>
      </c>
      <c r="D2582" t="s">
        <v>583</v>
      </c>
      <c r="E2582" s="8">
        <v>1190</v>
      </c>
      <c r="F2582" s="8">
        <v>103200</v>
      </c>
      <c r="G2582" s="8">
        <f t="shared" si="160"/>
        <v>122808000</v>
      </c>
      <c r="H2582" s="5">
        <v>0.315</v>
      </c>
      <c r="I2582" s="8">
        <f t="shared" si="161"/>
        <v>122808000</v>
      </c>
      <c r="J2582" s="8">
        <f t="shared" si="162"/>
        <v>38684520</v>
      </c>
      <c r="K2582" t="str">
        <f t="shared" si="163"/>
        <v>MATCHED</v>
      </c>
    </row>
    <row r="2583" spans="1:11">
      <c r="A2583" t="s">
        <v>112</v>
      </c>
      <c r="B2583" t="s">
        <v>1510</v>
      </c>
      <c r="C2583" t="s">
        <v>842</v>
      </c>
      <c r="D2583" t="s">
        <v>843</v>
      </c>
      <c r="E2583" s="8">
        <v>40</v>
      </c>
      <c r="F2583" s="8">
        <v>69250</v>
      </c>
      <c r="G2583" s="8">
        <f t="shared" si="160"/>
        <v>2770000</v>
      </c>
      <c r="H2583" s="5">
        <v>0.5217</v>
      </c>
      <c r="I2583" s="8">
        <f t="shared" si="161"/>
        <v>2770000</v>
      </c>
      <c r="J2583" s="8">
        <f t="shared" si="162"/>
        <v>1445109</v>
      </c>
      <c r="K2583" t="str">
        <f t="shared" si="163"/>
        <v>MATCHED</v>
      </c>
    </row>
    <row r="2584" spans="1:11">
      <c r="A2584" t="s">
        <v>112</v>
      </c>
      <c r="B2584" t="s">
        <v>1510</v>
      </c>
      <c r="C2584" t="s">
        <v>586</v>
      </c>
      <c r="D2584" t="s">
        <v>587</v>
      </c>
      <c r="E2584" s="8">
        <v>190</v>
      </c>
      <c r="F2584" s="8">
        <v>72120</v>
      </c>
      <c r="G2584" s="8">
        <f t="shared" si="160"/>
        <v>13702800</v>
      </c>
      <c r="H2584" s="5">
        <v>0.71</v>
      </c>
      <c r="I2584" s="8">
        <f t="shared" si="161"/>
        <v>13702800</v>
      </c>
      <c r="J2584" s="8">
        <f t="shared" si="162"/>
        <v>9728988</v>
      </c>
      <c r="K2584" t="str">
        <f t="shared" si="163"/>
        <v>MATCHED</v>
      </c>
    </row>
    <row r="2585" spans="1:11">
      <c r="A2585" t="s">
        <v>112</v>
      </c>
      <c r="B2585" t="s">
        <v>1510</v>
      </c>
      <c r="C2585" t="s">
        <v>588</v>
      </c>
      <c r="D2585" t="s">
        <v>589</v>
      </c>
      <c r="E2585" s="8">
        <v>60</v>
      </c>
      <c r="F2585" s="8">
        <v>82260</v>
      </c>
      <c r="G2585" s="8">
        <f t="shared" si="160"/>
        <v>4935600</v>
      </c>
      <c r="H2585" s="5"/>
      <c r="I2585" s="8" t="str">
        <f t="shared" si="161"/>
        <v/>
      </c>
      <c r="J2585" s="8" t="str">
        <f t="shared" si="162"/>
        <v/>
      </c>
      <c r="K2585" t="str">
        <f t="shared" si="163"/>
        <v>MISSING WHARTON</v>
      </c>
    </row>
    <row r="2586" spans="1:11">
      <c r="A2586" t="s">
        <v>112</v>
      </c>
      <c r="B2586" t="s">
        <v>1510</v>
      </c>
      <c r="C2586" t="s">
        <v>1164</v>
      </c>
      <c r="D2586" t="s">
        <v>1165</v>
      </c>
      <c r="E2586" s="8">
        <v>210</v>
      </c>
      <c r="F2586" s="8"/>
      <c r="G2586" s="8" t="str">
        <f t="shared" si="160"/>
        <v/>
      </c>
      <c r="H2586" s="5">
        <v>0.175</v>
      </c>
      <c r="I2586" s="8" t="str">
        <f t="shared" si="161"/>
        <v/>
      </c>
      <c r="J2586" s="8" t="str">
        <f t="shared" si="162"/>
        <v/>
      </c>
      <c r="K2586" t="str">
        <f t="shared" si="163"/>
        <v>MISSING OEWS</v>
      </c>
    </row>
    <row r="2587" spans="1:11">
      <c r="A2587" t="s">
        <v>112</v>
      </c>
      <c r="B2587" t="s">
        <v>1510</v>
      </c>
      <c r="C2587" t="s">
        <v>592</v>
      </c>
      <c r="D2587" t="s">
        <v>593</v>
      </c>
      <c r="E2587" s="8">
        <v>4370</v>
      </c>
      <c r="F2587" s="8">
        <v>83320</v>
      </c>
      <c r="G2587" s="8">
        <f t="shared" si="160"/>
        <v>364108400</v>
      </c>
      <c r="H2587" s="5">
        <v>0.4</v>
      </c>
      <c r="I2587" s="8">
        <f t="shared" si="161"/>
        <v>364108400</v>
      </c>
      <c r="J2587" s="8">
        <f t="shared" si="162"/>
        <v>145643360</v>
      </c>
      <c r="K2587" t="str">
        <f t="shared" si="163"/>
        <v>MATCHED</v>
      </c>
    </row>
    <row r="2588" spans="1:11">
      <c r="A2588" t="s">
        <v>112</v>
      </c>
      <c r="B2588" t="s">
        <v>1510</v>
      </c>
      <c r="C2588" t="s">
        <v>594</v>
      </c>
      <c r="D2588" t="s">
        <v>595</v>
      </c>
      <c r="E2588" s="8">
        <v>520</v>
      </c>
      <c r="F2588" s="8">
        <v>69420</v>
      </c>
      <c r="G2588" s="8">
        <f t="shared" si="160"/>
        <v>36098400</v>
      </c>
      <c r="H2588" s="5">
        <v>0.1781</v>
      </c>
      <c r="I2588" s="8">
        <f t="shared" si="161"/>
        <v>36098400</v>
      </c>
      <c r="J2588" s="8">
        <f t="shared" si="162"/>
        <v>6429125.04</v>
      </c>
      <c r="K2588" t="str">
        <f t="shared" si="163"/>
        <v>MATCHED</v>
      </c>
    </row>
    <row r="2589" spans="1:11">
      <c r="A2589" t="s">
        <v>112</v>
      </c>
      <c r="B2589" t="s">
        <v>1510</v>
      </c>
      <c r="C2589" t="s">
        <v>598</v>
      </c>
      <c r="D2589" t="s">
        <v>599</v>
      </c>
      <c r="E2589" s="8">
        <v>420</v>
      </c>
      <c r="F2589" s="8">
        <v>75240</v>
      </c>
      <c r="G2589" s="8">
        <f t="shared" si="160"/>
        <v>31600800</v>
      </c>
      <c r="H2589" s="5">
        <v>0.2855</v>
      </c>
      <c r="I2589" s="8">
        <f t="shared" si="161"/>
        <v>31600800</v>
      </c>
      <c r="J2589" s="8">
        <f t="shared" si="162"/>
        <v>9022028.4</v>
      </c>
      <c r="K2589" t="str">
        <f t="shared" si="163"/>
        <v>MATCHED</v>
      </c>
    </row>
    <row r="2590" spans="1:11">
      <c r="A2590" t="s">
        <v>112</v>
      </c>
      <c r="B2590" t="s">
        <v>1510</v>
      </c>
      <c r="C2590" t="s">
        <v>600</v>
      </c>
      <c r="D2590" t="s">
        <v>601</v>
      </c>
      <c r="E2590" s="8">
        <v>180</v>
      </c>
      <c r="F2590" s="8">
        <v>85390</v>
      </c>
      <c r="G2590" s="8">
        <f t="shared" si="160"/>
        <v>15370200</v>
      </c>
      <c r="H2590" s="5">
        <v>0.3125</v>
      </c>
      <c r="I2590" s="8">
        <f t="shared" si="161"/>
        <v>15370200</v>
      </c>
      <c r="J2590" s="8">
        <f t="shared" si="162"/>
        <v>4803187.5</v>
      </c>
      <c r="K2590" t="str">
        <f t="shared" si="163"/>
        <v>MATCHED</v>
      </c>
    </row>
    <row r="2591" spans="1:11">
      <c r="A2591" t="s">
        <v>112</v>
      </c>
      <c r="B2591" t="s">
        <v>1510</v>
      </c>
      <c r="C2591" t="s">
        <v>602</v>
      </c>
      <c r="D2591" t="s">
        <v>603</v>
      </c>
      <c r="E2591" s="8">
        <v>650</v>
      </c>
      <c r="F2591" s="8">
        <v>93640</v>
      </c>
      <c r="G2591" s="8">
        <f t="shared" si="160"/>
        <v>60866000</v>
      </c>
      <c r="H2591" s="5">
        <v>0.1733</v>
      </c>
      <c r="I2591" s="8">
        <f t="shared" si="161"/>
        <v>60866000</v>
      </c>
      <c r="J2591" s="8">
        <f t="shared" si="162"/>
        <v>10548077.8</v>
      </c>
      <c r="K2591" t="str">
        <f t="shared" si="163"/>
        <v>MATCHED</v>
      </c>
    </row>
    <row r="2592" spans="1:11">
      <c r="A2592" t="s">
        <v>112</v>
      </c>
      <c r="B2592" t="s">
        <v>1510</v>
      </c>
      <c r="C2592" t="s">
        <v>604</v>
      </c>
      <c r="D2592" t="s">
        <v>605</v>
      </c>
      <c r="E2592" s="8">
        <v>650</v>
      </c>
      <c r="F2592" s="8">
        <v>89570</v>
      </c>
      <c r="G2592" s="8">
        <f t="shared" si="160"/>
        <v>58220500</v>
      </c>
      <c r="H2592" s="5">
        <v>0.1404</v>
      </c>
      <c r="I2592" s="8">
        <f t="shared" si="161"/>
        <v>58220500</v>
      </c>
      <c r="J2592" s="8">
        <f t="shared" si="162"/>
        <v>8174158.2</v>
      </c>
      <c r="K2592" t="str">
        <f t="shared" si="163"/>
        <v>MATCHED</v>
      </c>
    </row>
    <row r="2593" spans="1:11">
      <c r="A2593" t="s">
        <v>112</v>
      </c>
      <c r="B2593" t="s">
        <v>1510</v>
      </c>
      <c r="C2593" t="s">
        <v>606</v>
      </c>
      <c r="D2593" t="s">
        <v>607</v>
      </c>
      <c r="E2593" s="8">
        <v>40</v>
      </c>
      <c r="F2593" s="8">
        <v>77180</v>
      </c>
      <c r="G2593" s="8">
        <f t="shared" si="160"/>
        <v>3087200</v>
      </c>
      <c r="H2593" s="5">
        <v>0.6783</v>
      </c>
      <c r="I2593" s="8">
        <f t="shared" si="161"/>
        <v>3087200</v>
      </c>
      <c r="J2593" s="8">
        <f t="shared" si="162"/>
        <v>2094047.76</v>
      </c>
      <c r="K2593" t="str">
        <f t="shared" si="163"/>
        <v>MATCHED</v>
      </c>
    </row>
    <row r="2594" spans="1:11">
      <c r="A2594" t="s">
        <v>112</v>
      </c>
      <c r="B2594" t="s">
        <v>1510</v>
      </c>
      <c r="C2594" t="s">
        <v>305</v>
      </c>
      <c r="D2594" t="s">
        <v>306</v>
      </c>
      <c r="E2594" s="8">
        <v>100</v>
      </c>
      <c r="F2594" s="8">
        <v>85100</v>
      </c>
      <c r="G2594" s="8">
        <f t="shared" si="160"/>
        <v>8510000</v>
      </c>
      <c r="H2594" s="5">
        <v>0.1269</v>
      </c>
      <c r="I2594" s="8">
        <f t="shared" si="161"/>
        <v>8510000</v>
      </c>
      <c r="J2594" s="8">
        <f t="shared" si="162"/>
        <v>1079919</v>
      </c>
      <c r="K2594" t="str">
        <f t="shared" si="163"/>
        <v>MATCHED</v>
      </c>
    </row>
    <row r="2595" spans="1:11">
      <c r="A2595" t="s">
        <v>112</v>
      </c>
      <c r="B2595" t="s">
        <v>1510</v>
      </c>
      <c r="C2595" t="s">
        <v>307</v>
      </c>
      <c r="D2595" t="s">
        <v>308</v>
      </c>
      <c r="E2595" s="8">
        <v>30</v>
      </c>
      <c r="F2595" s="8">
        <v>80700</v>
      </c>
      <c r="G2595" s="8">
        <f t="shared" si="160"/>
        <v>2421000</v>
      </c>
      <c r="H2595" s="5">
        <v>0.0519</v>
      </c>
      <c r="I2595" s="8">
        <f t="shared" si="161"/>
        <v>2421000</v>
      </c>
      <c r="J2595" s="8">
        <f t="shared" si="162"/>
        <v>125649.9</v>
      </c>
      <c r="K2595" t="str">
        <f t="shared" si="163"/>
        <v>MATCHED</v>
      </c>
    </row>
    <row r="2596" spans="1:11">
      <c r="A2596" t="s">
        <v>112</v>
      </c>
      <c r="B2596" t="s">
        <v>1510</v>
      </c>
      <c r="C2596" t="s">
        <v>848</v>
      </c>
      <c r="D2596" t="s">
        <v>849</v>
      </c>
      <c r="E2596" s="8">
        <v>110</v>
      </c>
      <c r="F2596" s="8">
        <v>90110</v>
      </c>
      <c r="G2596" s="8">
        <f t="shared" si="160"/>
        <v>9912100</v>
      </c>
      <c r="H2596" s="5">
        <v>0.5759</v>
      </c>
      <c r="I2596" s="8">
        <f t="shared" si="161"/>
        <v>9912100</v>
      </c>
      <c r="J2596" s="8">
        <f t="shared" si="162"/>
        <v>5708378.39</v>
      </c>
      <c r="K2596" t="str">
        <f t="shared" si="163"/>
        <v>MATCHED</v>
      </c>
    </row>
    <row r="2597" spans="1:11">
      <c r="A2597" t="s">
        <v>112</v>
      </c>
      <c r="B2597" t="s">
        <v>1510</v>
      </c>
      <c r="C2597" t="s">
        <v>608</v>
      </c>
      <c r="D2597" t="s">
        <v>609</v>
      </c>
      <c r="E2597" s="8">
        <v>160</v>
      </c>
      <c r="F2597" s="8">
        <v>93640</v>
      </c>
      <c r="G2597" s="8">
        <f t="shared" si="160"/>
        <v>14982400</v>
      </c>
      <c r="H2597" s="5">
        <v>0.1808</v>
      </c>
      <c r="I2597" s="8">
        <f t="shared" si="161"/>
        <v>14982400</v>
      </c>
      <c r="J2597" s="8">
        <f t="shared" si="162"/>
        <v>2708817.92</v>
      </c>
      <c r="K2597" t="str">
        <f t="shared" si="163"/>
        <v>MATCHED</v>
      </c>
    </row>
    <row r="2598" spans="1:11">
      <c r="A2598" t="s">
        <v>112</v>
      </c>
      <c r="B2598" t="s">
        <v>1510</v>
      </c>
      <c r="C2598" t="s">
        <v>610</v>
      </c>
      <c r="D2598" t="s">
        <v>611</v>
      </c>
      <c r="E2598" s="8">
        <v>210</v>
      </c>
      <c r="F2598" s="8">
        <v>123750</v>
      </c>
      <c r="G2598" s="8">
        <f t="shared" si="160"/>
        <v>25987500</v>
      </c>
      <c r="H2598" s="5">
        <v>0.4662</v>
      </c>
      <c r="I2598" s="8">
        <f t="shared" si="161"/>
        <v>25987500</v>
      </c>
      <c r="J2598" s="8">
        <f t="shared" si="162"/>
        <v>12115372.5</v>
      </c>
      <c r="K2598" t="str">
        <f t="shared" si="163"/>
        <v>MATCHED</v>
      </c>
    </row>
    <row r="2599" spans="1:11">
      <c r="A2599" t="s">
        <v>112</v>
      </c>
      <c r="B2599" t="s">
        <v>1510</v>
      </c>
      <c r="C2599" t="s">
        <v>612</v>
      </c>
      <c r="D2599" t="s">
        <v>613</v>
      </c>
      <c r="E2599" s="8">
        <v>30</v>
      </c>
      <c r="F2599" s="8">
        <v>133360</v>
      </c>
      <c r="G2599" s="8">
        <f t="shared" si="160"/>
        <v>4000800</v>
      </c>
      <c r="H2599" s="5">
        <v>0.2937</v>
      </c>
      <c r="I2599" s="8">
        <f t="shared" si="161"/>
        <v>4000800</v>
      </c>
      <c r="J2599" s="8">
        <f t="shared" si="162"/>
        <v>1175034.96</v>
      </c>
      <c r="K2599" t="str">
        <f t="shared" si="163"/>
        <v>MATCHED</v>
      </c>
    </row>
    <row r="2600" spans="1:11">
      <c r="A2600" t="s">
        <v>112</v>
      </c>
      <c r="B2600" t="s">
        <v>1510</v>
      </c>
      <c r="C2600" t="s">
        <v>614</v>
      </c>
      <c r="D2600" t="s">
        <v>615</v>
      </c>
      <c r="E2600" s="8">
        <v>40</v>
      </c>
      <c r="F2600" s="8">
        <v>137970</v>
      </c>
      <c r="G2600" s="8">
        <f t="shared" si="160"/>
        <v>5518800</v>
      </c>
      <c r="H2600" s="5">
        <v>0.5271</v>
      </c>
      <c r="I2600" s="8">
        <f t="shared" si="161"/>
        <v>5518800</v>
      </c>
      <c r="J2600" s="8">
        <f t="shared" si="162"/>
        <v>2908959.48</v>
      </c>
      <c r="K2600" t="str">
        <f t="shared" si="163"/>
        <v>MATCHED</v>
      </c>
    </row>
    <row r="2601" spans="1:11">
      <c r="A2601" t="s">
        <v>112</v>
      </c>
      <c r="B2601" t="s">
        <v>1510</v>
      </c>
      <c r="C2601" t="s">
        <v>313</v>
      </c>
      <c r="D2601" t="s">
        <v>314</v>
      </c>
      <c r="E2601" s="8"/>
      <c r="F2601" s="8">
        <v>57850</v>
      </c>
      <c r="G2601" s="8" t="str">
        <f t="shared" si="160"/>
        <v/>
      </c>
      <c r="H2601" s="5">
        <v>0.374</v>
      </c>
      <c r="I2601" s="8" t="str">
        <f t="shared" si="161"/>
        <v/>
      </c>
      <c r="J2601" s="8" t="str">
        <f t="shared" si="162"/>
        <v/>
      </c>
      <c r="K2601" t="str">
        <f t="shared" si="163"/>
        <v>MISSING OEWS</v>
      </c>
    </row>
    <row r="2602" spans="1:11">
      <c r="A2602" t="s">
        <v>112</v>
      </c>
      <c r="B2602" t="s">
        <v>1510</v>
      </c>
      <c r="C2602" t="s">
        <v>315</v>
      </c>
      <c r="D2602" t="s">
        <v>316</v>
      </c>
      <c r="E2602" s="8">
        <v>120</v>
      </c>
      <c r="F2602" s="8">
        <v>69210</v>
      </c>
      <c r="G2602" s="8">
        <f t="shared" si="160"/>
        <v>8305200</v>
      </c>
      <c r="H2602" s="5">
        <v>0.2969</v>
      </c>
      <c r="I2602" s="8">
        <f t="shared" si="161"/>
        <v>8305200</v>
      </c>
      <c r="J2602" s="8">
        <f t="shared" si="162"/>
        <v>2465813.88</v>
      </c>
      <c r="K2602" t="str">
        <f t="shared" si="163"/>
        <v>MATCHED</v>
      </c>
    </row>
    <row r="2603" spans="1:11">
      <c r="A2603" t="s">
        <v>112</v>
      </c>
      <c r="B2603" t="s">
        <v>1510</v>
      </c>
      <c r="C2603" t="s">
        <v>616</v>
      </c>
      <c r="D2603" t="s">
        <v>617</v>
      </c>
      <c r="E2603" s="8">
        <v>270</v>
      </c>
      <c r="F2603" s="8">
        <v>79840</v>
      </c>
      <c r="G2603" s="8">
        <f t="shared" si="160"/>
        <v>21556800</v>
      </c>
      <c r="H2603" s="5">
        <v>0.25</v>
      </c>
      <c r="I2603" s="8">
        <f t="shared" si="161"/>
        <v>21556800</v>
      </c>
      <c r="J2603" s="8">
        <f t="shared" si="162"/>
        <v>5389200</v>
      </c>
      <c r="K2603" t="str">
        <f t="shared" si="163"/>
        <v>MATCHED</v>
      </c>
    </row>
    <row r="2604" spans="1:11">
      <c r="A2604" t="s">
        <v>112</v>
      </c>
      <c r="B2604" t="s">
        <v>1510</v>
      </c>
      <c r="C2604" t="s">
        <v>618</v>
      </c>
      <c r="D2604" t="s">
        <v>619</v>
      </c>
      <c r="E2604" s="8">
        <v>60</v>
      </c>
      <c r="F2604" s="8">
        <v>59020</v>
      </c>
      <c r="G2604" s="8">
        <f t="shared" si="160"/>
        <v>3541200</v>
      </c>
      <c r="H2604" s="5">
        <v>0.2635</v>
      </c>
      <c r="I2604" s="8">
        <f t="shared" si="161"/>
        <v>3541200</v>
      </c>
      <c r="J2604" s="8">
        <f t="shared" si="162"/>
        <v>933106.2</v>
      </c>
      <c r="K2604" t="str">
        <f t="shared" si="163"/>
        <v>MATCHED</v>
      </c>
    </row>
    <row r="2605" spans="1:11">
      <c r="A2605" t="s">
        <v>112</v>
      </c>
      <c r="B2605" t="s">
        <v>1510</v>
      </c>
      <c r="C2605" t="s">
        <v>620</v>
      </c>
      <c r="D2605" t="s">
        <v>621</v>
      </c>
      <c r="E2605" s="8">
        <v>60</v>
      </c>
      <c r="F2605" s="8">
        <v>60730</v>
      </c>
      <c r="G2605" s="8">
        <f t="shared" si="160"/>
        <v>3643800</v>
      </c>
      <c r="H2605" s="5">
        <v>0.3617</v>
      </c>
      <c r="I2605" s="8">
        <f t="shared" si="161"/>
        <v>3643800</v>
      </c>
      <c r="J2605" s="8">
        <f t="shared" si="162"/>
        <v>1317962.46</v>
      </c>
      <c r="K2605" t="str">
        <f t="shared" si="163"/>
        <v>MATCHED</v>
      </c>
    </row>
    <row r="2606" spans="1:11">
      <c r="A2606" t="s">
        <v>112</v>
      </c>
      <c r="B2606" t="s">
        <v>1510</v>
      </c>
      <c r="C2606" t="s">
        <v>1513</v>
      </c>
      <c r="D2606" t="s">
        <v>1514</v>
      </c>
      <c r="E2606" s="8">
        <v>80</v>
      </c>
      <c r="F2606" s="8">
        <v>97800</v>
      </c>
      <c r="G2606" s="8">
        <f t="shared" si="160"/>
        <v>7824000</v>
      </c>
      <c r="H2606" s="5">
        <v>0.1571</v>
      </c>
      <c r="I2606" s="8">
        <f t="shared" si="161"/>
        <v>7824000</v>
      </c>
      <c r="J2606" s="8">
        <f t="shared" si="162"/>
        <v>1229150.4</v>
      </c>
      <c r="K2606" t="str">
        <f t="shared" si="163"/>
        <v>MATCHED</v>
      </c>
    </row>
    <row r="2607" spans="1:11">
      <c r="A2607" t="s">
        <v>112</v>
      </c>
      <c r="B2607" t="s">
        <v>1510</v>
      </c>
      <c r="C2607" t="s">
        <v>319</v>
      </c>
      <c r="D2607" t="s">
        <v>320</v>
      </c>
      <c r="E2607" s="8">
        <v>12000</v>
      </c>
      <c r="F2607" s="8">
        <v>83440</v>
      </c>
      <c r="G2607" s="8">
        <f t="shared" si="160"/>
        <v>1001280000</v>
      </c>
      <c r="H2607" s="5">
        <v>0.2786</v>
      </c>
      <c r="I2607" s="8">
        <f t="shared" si="161"/>
        <v>1001280000</v>
      </c>
      <c r="J2607" s="8">
        <f t="shared" si="162"/>
        <v>278956608</v>
      </c>
      <c r="K2607" t="str">
        <f t="shared" si="163"/>
        <v>MATCHED</v>
      </c>
    </row>
    <row r="2608" spans="1:11">
      <c r="A2608" t="s">
        <v>112</v>
      </c>
      <c r="B2608" t="s">
        <v>1510</v>
      </c>
      <c r="C2608" t="s">
        <v>626</v>
      </c>
      <c r="D2608" t="s">
        <v>627</v>
      </c>
      <c r="E2608" s="8">
        <v>9180</v>
      </c>
      <c r="F2608" s="8">
        <v>61080</v>
      </c>
      <c r="G2608" s="8">
        <f t="shared" si="160"/>
        <v>560714400</v>
      </c>
      <c r="H2608" s="5">
        <v>0.2712</v>
      </c>
      <c r="I2608" s="8">
        <f t="shared" si="161"/>
        <v>560714400</v>
      </c>
      <c r="J2608" s="8">
        <f t="shared" si="162"/>
        <v>152065745.28</v>
      </c>
      <c r="K2608" t="str">
        <f t="shared" si="163"/>
        <v>MATCHED</v>
      </c>
    </row>
    <row r="2609" spans="1:11">
      <c r="A2609" t="s">
        <v>112</v>
      </c>
      <c r="B2609" t="s">
        <v>1510</v>
      </c>
      <c r="C2609" t="s">
        <v>628</v>
      </c>
      <c r="D2609" t="s">
        <v>629</v>
      </c>
      <c r="E2609" s="8">
        <v>1870</v>
      </c>
      <c r="F2609" s="8">
        <v>207070</v>
      </c>
      <c r="G2609" s="8">
        <f t="shared" si="160"/>
        <v>387220900</v>
      </c>
      <c r="H2609" s="5">
        <v>0.45</v>
      </c>
      <c r="I2609" s="8">
        <f t="shared" si="161"/>
        <v>387220900</v>
      </c>
      <c r="J2609" s="8">
        <f t="shared" si="162"/>
        <v>174249405</v>
      </c>
      <c r="K2609" t="str">
        <f t="shared" si="163"/>
        <v>MATCHED</v>
      </c>
    </row>
    <row r="2610" spans="1:11">
      <c r="A2610" t="s">
        <v>112</v>
      </c>
      <c r="B2610" t="s">
        <v>1510</v>
      </c>
      <c r="C2610" t="s">
        <v>630</v>
      </c>
      <c r="D2610" t="s">
        <v>631</v>
      </c>
      <c r="E2610" s="8">
        <v>300</v>
      </c>
      <c r="F2610" s="8">
        <v>93950</v>
      </c>
      <c r="G2610" s="8">
        <f t="shared" si="160"/>
        <v>28185000</v>
      </c>
      <c r="H2610" s="5">
        <v>0.5917</v>
      </c>
      <c r="I2610" s="8">
        <f t="shared" si="161"/>
        <v>28185000</v>
      </c>
      <c r="J2610" s="8">
        <f t="shared" si="162"/>
        <v>16677064.5</v>
      </c>
      <c r="K2610" t="str">
        <f t="shared" si="163"/>
        <v>MATCHED</v>
      </c>
    </row>
    <row r="2611" spans="1:11">
      <c r="A2611" t="s">
        <v>112</v>
      </c>
      <c r="B2611" t="s">
        <v>1510</v>
      </c>
      <c r="C2611" t="s">
        <v>634</v>
      </c>
      <c r="D2611" t="s">
        <v>635</v>
      </c>
      <c r="E2611" s="8">
        <v>60</v>
      </c>
      <c r="F2611" s="8">
        <v>49690</v>
      </c>
      <c r="G2611" s="8">
        <f t="shared" si="160"/>
        <v>2981400</v>
      </c>
      <c r="H2611" s="5"/>
      <c r="I2611" s="8" t="str">
        <f t="shared" si="161"/>
        <v/>
      </c>
      <c r="J2611" s="8" t="str">
        <f t="shared" si="162"/>
        <v/>
      </c>
      <c r="K2611" t="str">
        <f t="shared" si="163"/>
        <v>MISSING WHARTON</v>
      </c>
    </row>
    <row r="2612" spans="1:11">
      <c r="A2612" t="s">
        <v>112</v>
      </c>
      <c r="B2612" t="s">
        <v>1510</v>
      </c>
      <c r="C2612" t="s">
        <v>1515</v>
      </c>
      <c r="D2612" t="s">
        <v>1516</v>
      </c>
      <c r="E2612" s="8"/>
      <c r="F2612" s="8">
        <v>56260</v>
      </c>
      <c r="G2612" s="8" t="str">
        <f t="shared" si="160"/>
        <v/>
      </c>
      <c r="H2612" s="5">
        <v>0.3875</v>
      </c>
      <c r="I2612" s="8" t="str">
        <f t="shared" si="161"/>
        <v/>
      </c>
      <c r="J2612" s="8" t="str">
        <f t="shared" si="162"/>
        <v/>
      </c>
      <c r="K2612" t="str">
        <f t="shared" si="163"/>
        <v>MISSING OEWS</v>
      </c>
    </row>
    <row r="2613" spans="1:11">
      <c r="A2613" t="s">
        <v>112</v>
      </c>
      <c r="B2613" t="s">
        <v>1510</v>
      </c>
      <c r="C2613" t="s">
        <v>321</v>
      </c>
      <c r="D2613" t="s">
        <v>322</v>
      </c>
      <c r="E2613" s="8">
        <v>1050</v>
      </c>
      <c r="F2613" s="8">
        <v>60620</v>
      </c>
      <c r="G2613" s="8">
        <f t="shared" si="160"/>
        <v>63651000</v>
      </c>
      <c r="H2613" s="5">
        <v>0.33</v>
      </c>
      <c r="I2613" s="8">
        <f t="shared" si="161"/>
        <v>63651000</v>
      </c>
      <c r="J2613" s="8">
        <f t="shared" si="162"/>
        <v>21004830</v>
      </c>
      <c r="K2613" t="str">
        <f t="shared" si="163"/>
        <v>MATCHED</v>
      </c>
    </row>
    <row r="2614" spans="1:11">
      <c r="A2614" t="s">
        <v>112</v>
      </c>
      <c r="B2614" t="s">
        <v>1510</v>
      </c>
      <c r="C2614" t="s">
        <v>1517</v>
      </c>
      <c r="D2614" t="s">
        <v>1518</v>
      </c>
      <c r="E2614" s="8">
        <v>370</v>
      </c>
      <c r="F2614" s="8">
        <v>78560</v>
      </c>
      <c r="G2614" s="8">
        <f t="shared" si="160"/>
        <v>29067200</v>
      </c>
      <c r="H2614" s="5"/>
      <c r="I2614" s="8" t="str">
        <f t="shared" si="161"/>
        <v/>
      </c>
      <c r="J2614" s="8" t="str">
        <f t="shared" si="162"/>
        <v/>
      </c>
      <c r="K2614" t="str">
        <f t="shared" si="163"/>
        <v>MISSING WHARTON</v>
      </c>
    </row>
    <row r="2615" spans="1:11">
      <c r="A2615" t="s">
        <v>112</v>
      </c>
      <c r="B2615" t="s">
        <v>1510</v>
      </c>
      <c r="C2615" t="s">
        <v>1184</v>
      </c>
      <c r="D2615" t="s">
        <v>1185</v>
      </c>
      <c r="E2615" s="8">
        <v>290</v>
      </c>
      <c r="F2615" s="8">
        <v>46050</v>
      </c>
      <c r="G2615" s="8">
        <f t="shared" si="160"/>
        <v>13354500</v>
      </c>
      <c r="H2615" s="5">
        <v>0.4167</v>
      </c>
      <c r="I2615" s="8">
        <f t="shared" si="161"/>
        <v>13354500</v>
      </c>
      <c r="J2615" s="8">
        <f t="shared" si="162"/>
        <v>5564820.15</v>
      </c>
      <c r="K2615" t="str">
        <f t="shared" si="163"/>
        <v>MATCHED</v>
      </c>
    </row>
    <row r="2616" spans="1:11">
      <c r="A2616" t="s">
        <v>112</v>
      </c>
      <c r="B2616" t="s">
        <v>1510</v>
      </c>
      <c r="C2616" t="s">
        <v>946</v>
      </c>
      <c r="D2616" t="s">
        <v>947</v>
      </c>
      <c r="E2616" s="8">
        <v>60</v>
      </c>
      <c r="F2616" s="8">
        <v>115880</v>
      </c>
      <c r="G2616" s="8">
        <f t="shared" si="160"/>
        <v>6952800</v>
      </c>
      <c r="H2616" s="5">
        <v>0.3688</v>
      </c>
      <c r="I2616" s="8">
        <f t="shared" si="161"/>
        <v>6952800</v>
      </c>
      <c r="J2616" s="8">
        <f t="shared" si="162"/>
        <v>2564192.64</v>
      </c>
      <c r="K2616" t="str">
        <f t="shared" si="163"/>
        <v>MATCHED</v>
      </c>
    </row>
    <row r="2617" spans="1:11">
      <c r="A2617" t="s">
        <v>112</v>
      </c>
      <c r="B2617" t="s">
        <v>1510</v>
      </c>
      <c r="C2617" t="s">
        <v>952</v>
      </c>
      <c r="D2617" t="s">
        <v>953</v>
      </c>
      <c r="E2617" s="8">
        <v>80</v>
      </c>
      <c r="F2617" s="8">
        <v>87190</v>
      </c>
      <c r="G2617" s="8">
        <f t="shared" si="160"/>
        <v>6975200</v>
      </c>
      <c r="H2617" s="5">
        <v>0.3029</v>
      </c>
      <c r="I2617" s="8">
        <f t="shared" si="161"/>
        <v>6975200</v>
      </c>
      <c r="J2617" s="8">
        <f t="shared" si="162"/>
        <v>2112788.08</v>
      </c>
      <c r="K2617" t="str">
        <f t="shared" si="163"/>
        <v>MATCHED</v>
      </c>
    </row>
    <row r="2618" spans="1:11">
      <c r="A2618" t="s">
        <v>112</v>
      </c>
      <c r="B2618" t="s">
        <v>1510</v>
      </c>
      <c r="C2618" t="s">
        <v>858</v>
      </c>
      <c r="D2618" t="s">
        <v>859</v>
      </c>
      <c r="E2618" s="8">
        <v>730</v>
      </c>
      <c r="F2618" s="8">
        <v>71660</v>
      </c>
      <c r="G2618" s="8">
        <f t="shared" si="160"/>
        <v>52311800</v>
      </c>
      <c r="H2618" s="5">
        <v>0.7375</v>
      </c>
      <c r="I2618" s="8">
        <f t="shared" si="161"/>
        <v>52311800</v>
      </c>
      <c r="J2618" s="8">
        <f t="shared" si="162"/>
        <v>38579952.5</v>
      </c>
      <c r="K2618" t="str">
        <f t="shared" si="163"/>
        <v>MATCHED</v>
      </c>
    </row>
    <row r="2619" spans="1:11">
      <c r="A2619" t="s">
        <v>112</v>
      </c>
      <c r="B2619" t="s">
        <v>1510</v>
      </c>
      <c r="C2619" t="s">
        <v>954</v>
      </c>
      <c r="D2619" t="s">
        <v>955</v>
      </c>
      <c r="E2619" s="8">
        <v>60</v>
      </c>
      <c r="F2619" s="8">
        <v>83570</v>
      </c>
      <c r="G2619" s="8">
        <f t="shared" si="160"/>
        <v>5014200</v>
      </c>
      <c r="H2619" s="5">
        <v>0.3133</v>
      </c>
      <c r="I2619" s="8">
        <f t="shared" si="161"/>
        <v>5014200</v>
      </c>
      <c r="J2619" s="8">
        <f t="shared" si="162"/>
        <v>1570948.86</v>
      </c>
      <c r="K2619" t="str">
        <f t="shared" si="163"/>
        <v>MATCHED</v>
      </c>
    </row>
    <row r="2620" spans="1:11">
      <c r="A2620" t="s">
        <v>112</v>
      </c>
      <c r="B2620" t="s">
        <v>1510</v>
      </c>
      <c r="C2620" t="s">
        <v>956</v>
      </c>
      <c r="D2620" t="s">
        <v>957</v>
      </c>
      <c r="E2620" s="8">
        <v>1860</v>
      </c>
      <c r="F2620" s="8">
        <v>45470</v>
      </c>
      <c r="G2620" s="8">
        <f t="shared" si="160"/>
        <v>84574200</v>
      </c>
      <c r="H2620" s="5">
        <v>0.038</v>
      </c>
      <c r="I2620" s="8">
        <f t="shared" si="161"/>
        <v>84574200</v>
      </c>
      <c r="J2620" s="8">
        <f t="shared" si="162"/>
        <v>3213819.6</v>
      </c>
      <c r="K2620" t="str">
        <f t="shared" si="163"/>
        <v>MATCHED</v>
      </c>
    </row>
    <row r="2621" spans="1:11">
      <c r="A2621" t="s">
        <v>112</v>
      </c>
      <c r="B2621" t="s">
        <v>1510</v>
      </c>
      <c r="C2621" t="s">
        <v>1474</v>
      </c>
      <c r="D2621" t="s">
        <v>1475</v>
      </c>
      <c r="E2621" s="8">
        <v>390</v>
      </c>
      <c r="F2621" s="8"/>
      <c r="G2621" s="8" t="str">
        <f t="shared" si="160"/>
        <v/>
      </c>
      <c r="H2621" s="5">
        <v>0.1</v>
      </c>
      <c r="I2621" s="8" t="str">
        <f t="shared" si="161"/>
        <v/>
      </c>
      <c r="J2621" s="8" t="str">
        <f t="shared" si="162"/>
        <v/>
      </c>
      <c r="K2621" t="str">
        <f t="shared" si="163"/>
        <v>MISSING OEWS</v>
      </c>
    </row>
    <row r="2622" spans="1:11">
      <c r="A2622" t="s">
        <v>112</v>
      </c>
      <c r="B2622" t="s">
        <v>1510</v>
      </c>
      <c r="C2622" t="s">
        <v>960</v>
      </c>
      <c r="D2622" t="s">
        <v>961</v>
      </c>
      <c r="E2622" s="8">
        <v>40</v>
      </c>
      <c r="F2622" s="8">
        <v>110640</v>
      </c>
      <c r="G2622" s="8">
        <f t="shared" si="160"/>
        <v>4425600</v>
      </c>
      <c r="H2622" s="5">
        <v>0.3463</v>
      </c>
      <c r="I2622" s="8">
        <f t="shared" si="161"/>
        <v>4425600</v>
      </c>
      <c r="J2622" s="8">
        <f t="shared" si="162"/>
        <v>1532585.28</v>
      </c>
      <c r="K2622" t="str">
        <f t="shared" si="163"/>
        <v>MATCHED</v>
      </c>
    </row>
    <row r="2623" spans="1:11">
      <c r="A2623" t="s">
        <v>112</v>
      </c>
      <c r="B2623" t="s">
        <v>1510</v>
      </c>
      <c r="C2623" t="s">
        <v>323</v>
      </c>
      <c r="D2623" t="s">
        <v>324</v>
      </c>
      <c r="E2623" s="8">
        <v>1170</v>
      </c>
      <c r="F2623" s="8">
        <v>90450</v>
      </c>
      <c r="G2623" s="8">
        <f t="shared" si="160"/>
        <v>105826500</v>
      </c>
      <c r="H2623" s="5">
        <v>0.575</v>
      </c>
      <c r="I2623" s="8">
        <f t="shared" si="161"/>
        <v>105826500</v>
      </c>
      <c r="J2623" s="8">
        <f t="shared" si="162"/>
        <v>60850237.5</v>
      </c>
      <c r="K2623" t="str">
        <f t="shared" si="163"/>
        <v>MATCHED</v>
      </c>
    </row>
    <row r="2624" spans="1:11">
      <c r="A2624" t="s">
        <v>112</v>
      </c>
      <c r="B2624" t="s">
        <v>1510</v>
      </c>
      <c r="C2624" t="s">
        <v>1200</v>
      </c>
      <c r="D2624" t="s">
        <v>1201</v>
      </c>
      <c r="E2624" s="8">
        <v>50</v>
      </c>
      <c r="F2624" s="8">
        <v>79390</v>
      </c>
      <c r="G2624" s="8">
        <f t="shared" si="160"/>
        <v>3969500</v>
      </c>
      <c r="H2624" s="5">
        <v>0.6643</v>
      </c>
      <c r="I2624" s="8">
        <f t="shared" si="161"/>
        <v>3969500</v>
      </c>
      <c r="J2624" s="8">
        <f t="shared" si="162"/>
        <v>2636938.85</v>
      </c>
      <c r="K2624" t="str">
        <f t="shared" si="163"/>
        <v>MATCHED</v>
      </c>
    </row>
    <row r="2625" spans="1:11">
      <c r="A2625" t="s">
        <v>112</v>
      </c>
      <c r="B2625" t="s">
        <v>1510</v>
      </c>
      <c r="C2625" t="s">
        <v>636</v>
      </c>
      <c r="D2625" t="s">
        <v>637</v>
      </c>
      <c r="E2625" s="8">
        <v>530</v>
      </c>
      <c r="F2625" s="8">
        <v>79320</v>
      </c>
      <c r="G2625" s="8">
        <f t="shared" si="160"/>
        <v>42039600</v>
      </c>
      <c r="H2625" s="5">
        <v>0.71</v>
      </c>
      <c r="I2625" s="8">
        <f t="shared" si="161"/>
        <v>42039600</v>
      </c>
      <c r="J2625" s="8">
        <f t="shared" si="162"/>
        <v>29848116</v>
      </c>
      <c r="K2625" t="str">
        <f t="shared" si="163"/>
        <v>MATCHED</v>
      </c>
    </row>
    <row r="2626" spans="1:11">
      <c r="A2626" t="s">
        <v>112</v>
      </c>
      <c r="B2626" t="s">
        <v>1510</v>
      </c>
      <c r="C2626" t="s">
        <v>860</v>
      </c>
      <c r="D2626" t="s">
        <v>861</v>
      </c>
      <c r="E2626" s="8">
        <v>150</v>
      </c>
      <c r="F2626" s="8">
        <v>99650</v>
      </c>
      <c r="G2626" s="8">
        <f t="shared" ref="G2626:G2689" si="164">IF(OR(E2626="",F2626=""),"",E2626*F2626)</f>
        <v>14947500</v>
      </c>
      <c r="H2626" s="5">
        <v>0.7744</v>
      </c>
      <c r="I2626" s="8">
        <f t="shared" ref="I2626:I2689" si="165">IF(G2626="","",IF(ISNUMBER(H2626),G2626,""))</f>
        <v>14947500</v>
      </c>
      <c r="J2626" s="8">
        <f t="shared" ref="J2626:J2689" si="166">IF(I2626="","",I2626*H2626)</f>
        <v>11575344</v>
      </c>
      <c r="K2626" t="str">
        <f t="shared" ref="K2626:K2689" si="167">IF(G2626="","MISSING OEWS",IF(ISNUMBER(H2626),"MATCHED","MISSING WHARTON"))</f>
        <v>MATCHED</v>
      </c>
    </row>
    <row r="2627" spans="1:11">
      <c r="A2627" t="s">
        <v>112</v>
      </c>
      <c r="B2627" t="s">
        <v>1510</v>
      </c>
      <c r="C2627" t="s">
        <v>1202</v>
      </c>
      <c r="D2627" t="s">
        <v>1203</v>
      </c>
      <c r="E2627" s="8">
        <v>390</v>
      </c>
      <c r="F2627" s="8">
        <v>62190</v>
      </c>
      <c r="G2627" s="8">
        <f t="shared" si="164"/>
        <v>24254100</v>
      </c>
      <c r="H2627" s="5">
        <v>0.6294</v>
      </c>
      <c r="I2627" s="8">
        <f t="shared" si="165"/>
        <v>24254100</v>
      </c>
      <c r="J2627" s="8">
        <f t="shared" si="166"/>
        <v>15265530.54</v>
      </c>
      <c r="K2627" t="str">
        <f t="shared" si="167"/>
        <v>MATCHED</v>
      </c>
    </row>
    <row r="2628" spans="1:11">
      <c r="A2628" t="s">
        <v>112</v>
      </c>
      <c r="B2628" t="s">
        <v>1510</v>
      </c>
      <c r="C2628" t="s">
        <v>962</v>
      </c>
      <c r="D2628" t="s">
        <v>963</v>
      </c>
      <c r="E2628" s="8"/>
      <c r="F2628" s="8">
        <v>49810</v>
      </c>
      <c r="G2628" s="8" t="str">
        <f t="shared" si="164"/>
        <v/>
      </c>
      <c r="H2628" s="5">
        <v>0.5483</v>
      </c>
      <c r="I2628" s="8" t="str">
        <f t="shared" si="165"/>
        <v/>
      </c>
      <c r="J2628" s="8" t="str">
        <f t="shared" si="166"/>
        <v/>
      </c>
      <c r="K2628" t="str">
        <f t="shared" si="167"/>
        <v>MISSING OEWS</v>
      </c>
    </row>
    <row r="2629" spans="1:11">
      <c r="A2629" t="s">
        <v>112</v>
      </c>
      <c r="B2629" t="s">
        <v>1510</v>
      </c>
      <c r="C2629" t="s">
        <v>968</v>
      </c>
      <c r="D2629" t="s">
        <v>969</v>
      </c>
      <c r="E2629" s="8">
        <v>220</v>
      </c>
      <c r="F2629" s="8">
        <v>61410</v>
      </c>
      <c r="G2629" s="8">
        <f t="shared" si="164"/>
        <v>13510200</v>
      </c>
      <c r="H2629" s="5">
        <v>0.3207</v>
      </c>
      <c r="I2629" s="8">
        <f t="shared" si="165"/>
        <v>13510200</v>
      </c>
      <c r="J2629" s="8">
        <f t="shared" si="166"/>
        <v>4332721.14</v>
      </c>
      <c r="K2629" t="str">
        <f t="shared" si="167"/>
        <v>MATCHED</v>
      </c>
    </row>
    <row r="2630" spans="1:11">
      <c r="A2630" t="s">
        <v>112</v>
      </c>
      <c r="B2630" t="s">
        <v>1510</v>
      </c>
      <c r="C2630" t="s">
        <v>970</v>
      </c>
      <c r="D2630" t="s">
        <v>971</v>
      </c>
      <c r="E2630" s="8">
        <v>70</v>
      </c>
      <c r="F2630" s="8">
        <v>71240</v>
      </c>
      <c r="G2630" s="8">
        <f t="shared" si="164"/>
        <v>4986800</v>
      </c>
      <c r="H2630" s="5">
        <v>0.3458</v>
      </c>
      <c r="I2630" s="8">
        <f t="shared" si="165"/>
        <v>4986800</v>
      </c>
      <c r="J2630" s="8">
        <f t="shared" si="166"/>
        <v>1724435.44</v>
      </c>
      <c r="K2630" t="str">
        <f t="shared" si="167"/>
        <v>MATCHED</v>
      </c>
    </row>
    <row r="2631" spans="1:11">
      <c r="A2631" t="s">
        <v>112</v>
      </c>
      <c r="B2631" t="s">
        <v>1510</v>
      </c>
      <c r="C2631" t="s">
        <v>1519</v>
      </c>
      <c r="D2631" t="s">
        <v>1520</v>
      </c>
      <c r="E2631" s="8">
        <v>60</v>
      </c>
      <c r="F2631" s="8">
        <v>72090</v>
      </c>
      <c r="G2631" s="8">
        <f t="shared" si="164"/>
        <v>4325400</v>
      </c>
      <c r="H2631" s="5"/>
      <c r="I2631" s="8" t="str">
        <f t="shared" si="165"/>
        <v/>
      </c>
      <c r="J2631" s="8" t="str">
        <f t="shared" si="166"/>
        <v/>
      </c>
      <c r="K2631" t="str">
        <f t="shared" si="167"/>
        <v>MISSING WHARTON</v>
      </c>
    </row>
    <row r="2632" spans="1:11">
      <c r="A2632" t="s">
        <v>112</v>
      </c>
      <c r="B2632" t="s">
        <v>1510</v>
      </c>
      <c r="C2632" t="s">
        <v>1214</v>
      </c>
      <c r="D2632" t="s">
        <v>1215</v>
      </c>
      <c r="E2632" s="8">
        <v>470</v>
      </c>
      <c r="F2632" s="8">
        <v>145420</v>
      </c>
      <c r="G2632" s="8">
        <f t="shared" si="164"/>
        <v>68347400</v>
      </c>
      <c r="H2632" s="5">
        <v>0.4381</v>
      </c>
      <c r="I2632" s="8">
        <f t="shared" si="165"/>
        <v>68347400</v>
      </c>
      <c r="J2632" s="8">
        <f t="shared" si="166"/>
        <v>29942995.94</v>
      </c>
      <c r="K2632" t="str">
        <f t="shared" si="167"/>
        <v>MATCHED</v>
      </c>
    </row>
    <row r="2633" spans="1:11">
      <c r="A2633" t="s">
        <v>112</v>
      </c>
      <c r="B2633" t="s">
        <v>1510</v>
      </c>
      <c r="C2633" t="s">
        <v>862</v>
      </c>
      <c r="D2633" t="s">
        <v>863</v>
      </c>
      <c r="E2633" s="8">
        <v>310</v>
      </c>
      <c r="F2633" s="8">
        <v>88420</v>
      </c>
      <c r="G2633" s="8">
        <f t="shared" si="164"/>
        <v>27410200</v>
      </c>
      <c r="H2633" s="5">
        <v>0.1958</v>
      </c>
      <c r="I2633" s="8">
        <f t="shared" si="165"/>
        <v>27410200</v>
      </c>
      <c r="J2633" s="8">
        <f t="shared" si="166"/>
        <v>5366917.16</v>
      </c>
      <c r="K2633" t="str">
        <f t="shared" si="167"/>
        <v>MATCHED</v>
      </c>
    </row>
    <row r="2634" spans="1:11">
      <c r="A2634" t="s">
        <v>112</v>
      </c>
      <c r="B2634" t="s">
        <v>1510</v>
      </c>
      <c r="C2634" t="s">
        <v>640</v>
      </c>
      <c r="D2634" t="s">
        <v>641</v>
      </c>
      <c r="E2634" s="8">
        <v>420</v>
      </c>
      <c r="F2634" s="8">
        <v>60620</v>
      </c>
      <c r="G2634" s="8">
        <f t="shared" si="164"/>
        <v>25460400</v>
      </c>
      <c r="H2634" s="5">
        <v>0.0792</v>
      </c>
      <c r="I2634" s="8">
        <f t="shared" si="165"/>
        <v>25460400</v>
      </c>
      <c r="J2634" s="8">
        <f t="shared" si="166"/>
        <v>2016463.68</v>
      </c>
      <c r="K2634" t="str">
        <f t="shared" si="167"/>
        <v>MATCHED</v>
      </c>
    </row>
    <row r="2635" spans="1:11">
      <c r="A2635" t="s">
        <v>112</v>
      </c>
      <c r="B2635" t="s">
        <v>1510</v>
      </c>
      <c r="C2635" t="s">
        <v>1228</v>
      </c>
      <c r="D2635" t="s">
        <v>1229</v>
      </c>
      <c r="E2635" s="8">
        <v>1040</v>
      </c>
      <c r="F2635" s="8">
        <v>52370</v>
      </c>
      <c r="G2635" s="8">
        <f t="shared" si="164"/>
        <v>54464800</v>
      </c>
      <c r="H2635" s="5">
        <v>0.6357</v>
      </c>
      <c r="I2635" s="8">
        <f t="shared" si="165"/>
        <v>54464800</v>
      </c>
      <c r="J2635" s="8">
        <f t="shared" si="166"/>
        <v>34623273.36</v>
      </c>
      <c r="K2635" t="str">
        <f t="shared" si="167"/>
        <v>MATCHED</v>
      </c>
    </row>
    <row r="2636" spans="1:11">
      <c r="A2636" t="s">
        <v>112</v>
      </c>
      <c r="B2636" t="s">
        <v>1510</v>
      </c>
      <c r="C2636" t="s">
        <v>1230</v>
      </c>
      <c r="D2636" t="s">
        <v>1231</v>
      </c>
      <c r="E2636" s="8">
        <v>40</v>
      </c>
      <c r="F2636" s="8">
        <v>66040</v>
      </c>
      <c r="G2636" s="8">
        <f t="shared" si="164"/>
        <v>2641600</v>
      </c>
      <c r="H2636" s="5">
        <v>0.1239</v>
      </c>
      <c r="I2636" s="8">
        <f t="shared" si="165"/>
        <v>2641600</v>
      </c>
      <c r="J2636" s="8">
        <f t="shared" si="166"/>
        <v>327294.24</v>
      </c>
      <c r="K2636" t="str">
        <f t="shared" si="167"/>
        <v>MATCHED</v>
      </c>
    </row>
    <row r="2637" spans="1:11">
      <c r="A2637" t="s">
        <v>112</v>
      </c>
      <c r="B2637" t="s">
        <v>1510</v>
      </c>
      <c r="C2637" t="s">
        <v>1232</v>
      </c>
      <c r="D2637" t="s">
        <v>1233</v>
      </c>
      <c r="E2637" s="8">
        <v>40</v>
      </c>
      <c r="F2637" s="8">
        <v>55480</v>
      </c>
      <c r="G2637" s="8">
        <f t="shared" si="164"/>
        <v>2219200</v>
      </c>
      <c r="H2637" s="5">
        <v>0.9353</v>
      </c>
      <c r="I2637" s="8">
        <f t="shared" si="165"/>
        <v>2219200</v>
      </c>
      <c r="J2637" s="8">
        <f t="shared" si="166"/>
        <v>2075617.76</v>
      </c>
      <c r="K2637" t="str">
        <f t="shared" si="167"/>
        <v>MATCHED</v>
      </c>
    </row>
    <row r="2638" spans="1:11">
      <c r="A2638" t="s">
        <v>112</v>
      </c>
      <c r="B2638" t="s">
        <v>1510</v>
      </c>
      <c r="C2638" t="s">
        <v>1246</v>
      </c>
      <c r="D2638" t="s">
        <v>1247</v>
      </c>
      <c r="E2638" s="8">
        <v>70</v>
      </c>
      <c r="F2638" s="8">
        <v>65710</v>
      </c>
      <c r="G2638" s="8">
        <f t="shared" si="164"/>
        <v>4599700</v>
      </c>
      <c r="H2638" s="5">
        <v>0.2347</v>
      </c>
      <c r="I2638" s="8">
        <f t="shared" si="165"/>
        <v>4599700</v>
      </c>
      <c r="J2638" s="8">
        <f t="shared" si="166"/>
        <v>1079549.59</v>
      </c>
      <c r="K2638" t="str">
        <f t="shared" si="167"/>
        <v>MATCHED</v>
      </c>
    </row>
    <row r="2639" spans="1:11">
      <c r="A2639" t="s">
        <v>112</v>
      </c>
      <c r="B2639" t="s">
        <v>1510</v>
      </c>
      <c r="C2639" t="s">
        <v>972</v>
      </c>
      <c r="D2639" t="s">
        <v>973</v>
      </c>
      <c r="E2639" s="8">
        <v>160</v>
      </c>
      <c r="F2639" s="8">
        <v>32720</v>
      </c>
      <c r="G2639" s="8">
        <f t="shared" si="164"/>
        <v>5235200</v>
      </c>
      <c r="H2639" s="5">
        <v>0.118</v>
      </c>
      <c r="I2639" s="8">
        <f t="shared" si="165"/>
        <v>5235200</v>
      </c>
      <c r="J2639" s="8">
        <f t="shared" si="166"/>
        <v>617753.6</v>
      </c>
      <c r="K2639" t="str">
        <f t="shared" si="167"/>
        <v>MATCHED</v>
      </c>
    </row>
    <row r="2640" spans="1:11">
      <c r="A2640" t="s">
        <v>112</v>
      </c>
      <c r="B2640" t="s">
        <v>1510</v>
      </c>
      <c r="C2640" t="s">
        <v>1521</v>
      </c>
      <c r="D2640" t="s">
        <v>1522</v>
      </c>
      <c r="E2640" s="8">
        <v>150</v>
      </c>
      <c r="F2640" s="8">
        <v>109010</v>
      </c>
      <c r="G2640" s="8">
        <f t="shared" si="164"/>
        <v>16351500</v>
      </c>
      <c r="H2640" s="5">
        <v>0.3175</v>
      </c>
      <c r="I2640" s="8">
        <f t="shared" si="165"/>
        <v>16351500</v>
      </c>
      <c r="J2640" s="8">
        <f t="shared" si="166"/>
        <v>5191601.25</v>
      </c>
      <c r="K2640" t="str">
        <f t="shared" si="167"/>
        <v>MATCHED</v>
      </c>
    </row>
    <row r="2641" spans="1:11">
      <c r="A2641" t="s">
        <v>112</v>
      </c>
      <c r="B2641" t="s">
        <v>1510</v>
      </c>
      <c r="C2641" t="s">
        <v>864</v>
      </c>
      <c r="D2641" t="s">
        <v>865</v>
      </c>
      <c r="E2641" s="8">
        <v>30</v>
      </c>
      <c r="F2641" s="8">
        <v>91540</v>
      </c>
      <c r="G2641" s="8">
        <f t="shared" si="164"/>
        <v>2746200</v>
      </c>
      <c r="H2641" s="5">
        <v>0.2267</v>
      </c>
      <c r="I2641" s="8">
        <f t="shared" si="165"/>
        <v>2746200</v>
      </c>
      <c r="J2641" s="8">
        <f t="shared" si="166"/>
        <v>622563.54</v>
      </c>
      <c r="K2641" t="str">
        <f t="shared" si="167"/>
        <v>MATCHED</v>
      </c>
    </row>
    <row r="2642" spans="1:11">
      <c r="A2642" t="s">
        <v>112</v>
      </c>
      <c r="B2642" t="s">
        <v>1510</v>
      </c>
      <c r="C2642" t="s">
        <v>644</v>
      </c>
      <c r="D2642" t="s">
        <v>645</v>
      </c>
      <c r="E2642" s="8">
        <v>1270</v>
      </c>
      <c r="F2642" s="8">
        <v>74110</v>
      </c>
      <c r="G2642" s="8">
        <f t="shared" si="164"/>
        <v>94119700</v>
      </c>
      <c r="H2642" s="5">
        <v>0.3929</v>
      </c>
      <c r="I2642" s="8">
        <f t="shared" si="165"/>
        <v>94119700</v>
      </c>
      <c r="J2642" s="8">
        <f t="shared" si="166"/>
        <v>36979630.13</v>
      </c>
      <c r="K2642" t="str">
        <f t="shared" si="167"/>
        <v>MATCHED</v>
      </c>
    </row>
    <row r="2643" spans="1:11">
      <c r="A2643" t="s">
        <v>112</v>
      </c>
      <c r="B2643" t="s">
        <v>1510</v>
      </c>
      <c r="C2643" t="s">
        <v>866</v>
      </c>
      <c r="D2643" t="s">
        <v>867</v>
      </c>
      <c r="E2643" s="8">
        <v>300</v>
      </c>
      <c r="F2643" s="8">
        <v>87510</v>
      </c>
      <c r="G2643" s="8">
        <f t="shared" si="164"/>
        <v>26253000</v>
      </c>
      <c r="H2643" s="5"/>
      <c r="I2643" s="8" t="str">
        <f t="shared" si="165"/>
        <v/>
      </c>
      <c r="J2643" s="8" t="str">
        <f t="shared" si="166"/>
        <v/>
      </c>
      <c r="K2643" t="str">
        <f t="shared" si="167"/>
        <v>MISSING WHARTON</v>
      </c>
    </row>
    <row r="2644" spans="1:11">
      <c r="A2644" t="s">
        <v>112</v>
      </c>
      <c r="B2644" t="s">
        <v>1510</v>
      </c>
      <c r="C2644" t="s">
        <v>868</v>
      </c>
      <c r="D2644" t="s">
        <v>869</v>
      </c>
      <c r="E2644" s="8">
        <v>110</v>
      </c>
      <c r="F2644" s="8">
        <v>64970</v>
      </c>
      <c r="G2644" s="8">
        <f t="shared" si="164"/>
        <v>7146700</v>
      </c>
      <c r="H2644" s="5">
        <v>0.0317</v>
      </c>
      <c r="I2644" s="8">
        <f t="shared" si="165"/>
        <v>7146700</v>
      </c>
      <c r="J2644" s="8">
        <f t="shared" si="166"/>
        <v>226550.39</v>
      </c>
      <c r="K2644" t="str">
        <f t="shared" si="167"/>
        <v>MATCHED</v>
      </c>
    </row>
    <row r="2645" spans="1:11">
      <c r="A2645" t="s">
        <v>112</v>
      </c>
      <c r="B2645" t="s">
        <v>1510</v>
      </c>
      <c r="C2645" t="s">
        <v>1523</v>
      </c>
      <c r="D2645" t="s">
        <v>1524</v>
      </c>
      <c r="E2645" s="8">
        <v>400</v>
      </c>
      <c r="F2645" s="8">
        <v>121530</v>
      </c>
      <c r="G2645" s="8">
        <f t="shared" si="164"/>
        <v>48612000</v>
      </c>
      <c r="H2645" s="5">
        <v>0.3453</v>
      </c>
      <c r="I2645" s="8">
        <f t="shared" si="165"/>
        <v>48612000</v>
      </c>
      <c r="J2645" s="8">
        <f t="shared" si="166"/>
        <v>16785723.6</v>
      </c>
      <c r="K2645" t="str">
        <f t="shared" si="167"/>
        <v>MATCHED</v>
      </c>
    </row>
    <row r="2646" spans="1:11">
      <c r="A2646" t="s">
        <v>112</v>
      </c>
      <c r="B2646" t="s">
        <v>1510</v>
      </c>
      <c r="C2646" t="s">
        <v>1525</v>
      </c>
      <c r="D2646" t="s">
        <v>1526</v>
      </c>
      <c r="E2646" s="8">
        <v>370</v>
      </c>
      <c r="F2646" s="8">
        <v>78540</v>
      </c>
      <c r="G2646" s="8">
        <f t="shared" si="164"/>
        <v>29059800</v>
      </c>
      <c r="H2646" s="5">
        <v>0.276</v>
      </c>
      <c r="I2646" s="8">
        <f t="shared" si="165"/>
        <v>29059800</v>
      </c>
      <c r="J2646" s="8">
        <f t="shared" si="166"/>
        <v>8020504.8</v>
      </c>
      <c r="K2646" t="str">
        <f t="shared" si="167"/>
        <v>MATCHED</v>
      </c>
    </row>
    <row r="2647" spans="1:11">
      <c r="A2647" t="s">
        <v>112</v>
      </c>
      <c r="B2647" t="s">
        <v>1510</v>
      </c>
      <c r="C2647" t="s">
        <v>1527</v>
      </c>
      <c r="D2647" t="s">
        <v>1528</v>
      </c>
      <c r="E2647" s="8">
        <v>580</v>
      </c>
      <c r="F2647" s="8">
        <v>94600</v>
      </c>
      <c r="G2647" s="8">
        <f t="shared" si="164"/>
        <v>54868000</v>
      </c>
      <c r="H2647" s="5">
        <v>0.0679</v>
      </c>
      <c r="I2647" s="8">
        <f t="shared" si="165"/>
        <v>54868000</v>
      </c>
      <c r="J2647" s="8">
        <f t="shared" si="166"/>
        <v>3725537.2</v>
      </c>
      <c r="K2647" t="str">
        <f t="shared" si="167"/>
        <v>MATCHED</v>
      </c>
    </row>
    <row r="2648" spans="1:11">
      <c r="A2648" t="s">
        <v>112</v>
      </c>
      <c r="B2648" t="s">
        <v>1510</v>
      </c>
      <c r="C2648" t="s">
        <v>870</v>
      </c>
      <c r="D2648" t="s">
        <v>871</v>
      </c>
      <c r="E2648" s="8">
        <v>1100</v>
      </c>
      <c r="F2648" s="8">
        <v>82820</v>
      </c>
      <c r="G2648" s="8">
        <f t="shared" si="164"/>
        <v>91102000</v>
      </c>
      <c r="H2648" s="5">
        <v>0.3324</v>
      </c>
      <c r="I2648" s="8">
        <f t="shared" si="165"/>
        <v>91102000</v>
      </c>
      <c r="J2648" s="8">
        <f t="shared" si="166"/>
        <v>30282304.8</v>
      </c>
      <c r="K2648" t="str">
        <f t="shared" si="167"/>
        <v>MATCHED</v>
      </c>
    </row>
    <row r="2649" spans="1:11">
      <c r="A2649" t="s">
        <v>112</v>
      </c>
      <c r="B2649" t="s">
        <v>1510</v>
      </c>
      <c r="C2649" t="s">
        <v>329</v>
      </c>
      <c r="D2649" t="s">
        <v>330</v>
      </c>
      <c r="E2649" s="8">
        <v>13210</v>
      </c>
      <c r="F2649" s="8">
        <v>46080</v>
      </c>
      <c r="G2649" s="8">
        <f t="shared" si="164"/>
        <v>608716800</v>
      </c>
      <c r="H2649" s="5">
        <v>0.1357</v>
      </c>
      <c r="I2649" s="8">
        <f t="shared" si="165"/>
        <v>608716800</v>
      </c>
      <c r="J2649" s="8">
        <f t="shared" si="166"/>
        <v>82602869.76</v>
      </c>
      <c r="K2649" t="str">
        <f t="shared" si="167"/>
        <v>MATCHED</v>
      </c>
    </row>
    <row r="2650" spans="1:11">
      <c r="A2650" t="s">
        <v>112</v>
      </c>
      <c r="B2650" t="s">
        <v>1510</v>
      </c>
      <c r="C2650" t="s">
        <v>976</v>
      </c>
      <c r="D2650" t="s">
        <v>977</v>
      </c>
      <c r="E2650" s="8">
        <v>510</v>
      </c>
      <c r="F2650" s="8">
        <v>36120</v>
      </c>
      <c r="G2650" s="8">
        <f t="shared" si="164"/>
        <v>18421200</v>
      </c>
      <c r="H2650" s="5">
        <v>0</v>
      </c>
      <c r="I2650" s="8">
        <f t="shared" si="165"/>
        <v>18421200</v>
      </c>
      <c r="J2650" s="8">
        <f t="shared" si="166"/>
        <v>0</v>
      </c>
      <c r="K2650" t="str">
        <f t="shared" si="167"/>
        <v>MATCHED</v>
      </c>
    </row>
    <row r="2651" spans="1:11">
      <c r="A2651" t="s">
        <v>112</v>
      </c>
      <c r="B2651" t="s">
        <v>1510</v>
      </c>
      <c r="C2651" t="s">
        <v>1529</v>
      </c>
      <c r="D2651" t="s">
        <v>1530</v>
      </c>
      <c r="E2651" s="8">
        <v>3130</v>
      </c>
      <c r="F2651" s="8">
        <v>49350</v>
      </c>
      <c r="G2651" s="8">
        <f t="shared" si="164"/>
        <v>154465500</v>
      </c>
      <c r="H2651" s="5">
        <v>0.2942</v>
      </c>
      <c r="I2651" s="8">
        <f t="shared" si="165"/>
        <v>154465500</v>
      </c>
      <c r="J2651" s="8">
        <f t="shared" si="166"/>
        <v>45443750.1</v>
      </c>
      <c r="K2651" t="str">
        <f t="shared" si="167"/>
        <v>MATCHED</v>
      </c>
    </row>
    <row r="2652" spans="1:11">
      <c r="A2652" t="s">
        <v>112</v>
      </c>
      <c r="B2652" t="s">
        <v>1510</v>
      </c>
      <c r="C2652" t="s">
        <v>1531</v>
      </c>
      <c r="D2652" t="s">
        <v>1532</v>
      </c>
      <c r="E2652" s="8">
        <v>37190</v>
      </c>
      <c r="F2652" s="8">
        <v>35670</v>
      </c>
      <c r="G2652" s="8">
        <f t="shared" si="164"/>
        <v>1326567300</v>
      </c>
      <c r="H2652" s="5">
        <v>0.1611</v>
      </c>
      <c r="I2652" s="8">
        <f t="shared" si="165"/>
        <v>1326567300</v>
      </c>
      <c r="J2652" s="8">
        <f t="shared" si="166"/>
        <v>213709992.03</v>
      </c>
      <c r="K2652" t="str">
        <f t="shared" si="167"/>
        <v>MATCHED</v>
      </c>
    </row>
    <row r="2653" spans="1:11">
      <c r="A2653" t="s">
        <v>112</v>
      </c>
      <c r="B2653" t="s">
        <v>1510</v>
      </c>
      <c r="C2653" t="s">
        <v>872</v>
      </c>
      <c r="D2653" t="s">
        <v>873</v>
      </c>
      <c r="E2653" s="8">
        <v>1190</v>
      </c>
      <c r="F2653" s="8">
        <v>57130</v>
      </c>
      <c r="G2653" s="8">
        <f t="shared" si="164"/>
        <v>67984700</v>
      </c>
      <c r="H2653" s="5">
        <v>0.3357</v>
      </c>
      <c r="I2653" s="8">
        <f t="shared" si="165"/>
        <v>67984700</v>
      </c>
      <c r="J2653" s="8">
        <f t="shared" si="166"/>
        <v>22822463.79</v>
      </c>
      <c r="K2653" t="str">
        <f t="shared" si="167"/>
        <v>MATCHED</v>
      </c>
    </row>
    <row r="2654" spans="1:11">
      <c r="A2654" t="s">
        <v>112</v>
      </c>
      <c r="B2654" t="s">
        <v>1510</v>
      </c>
      <c r="C2654" t="s">
        <v>978</v>
      </c>
      <c r="D2654" t="s">
        <v>979</v>
      </c>
      <c r="E2654" s="8">
        <v>280</v>
      </c>
      <c r="F2654" s="8">
        <v>73270</v>
      </c>
      <c r="G2654" s="8">
        <f t="shared" si="164"/>
        <v>20515600</v>
      </c>
      <c r="H2654" s="5">
        <v>0.281</v>
      </c>
      <c r="I2654" s="8">
        <f t="shared" si="165"/>
        <v>20515600</v>
      </c>
      <c r="J2654" s="8">
        <f t="shared" si="166"/>
        <v>5764883.6</v>
      </c>
      <c r="K2654" t="str">
        <f t="shared" si="167"/>
        <v>MATCHED</v>
      </c>
    </row>
    <row r="2655" spans="1:11">
      <c r="A2655" t="s">
        <v>112</v>
      </c>
      <c r="B2655" t="s">
        <v>1510</v>
      </c>
      <c r="C2655" t="s">
        <v>980</v>
      </c>
      <c r="D2655" t="s">
        <v>981</v>
      </c>
      <c r="E2655" s="8">
        <v>320</v>
      </c>
      <c r="F2655" s="8">
        <v>57600</v>
      </c>
      <c r="G2655" s="8">
        <f t="shared" si="164"/>
        <v>18432000</v>
      </c>
      <c r="H2655" s="5">
        <v>0.4173</v>
      </c>
      <c r="I2655" s="8">
        <f t="shared" si="165"/>
        <v>18432000</v>
      </c>
      <c r="J2655" s="8">
        <f t="shared" si="166"/>
        <v>7691673.6</v>
      </c>
      <c r="K2655" t="str">
        <f t="shared" si="167"/>
        <v>MATCHED</v>
      </c>
    </row>
    <row r="2656" spans="1:11">
      <c r="A2656" t="s">
        <v>112</v>
      </c>
      <c r="B2656" t="s">
        <v>1510</v>
      </c>
      <c r="C2656" t="s">
        <v>982</v>
      </c>
      <c r="D2656" t="s">
        <v>983</v>
      </c>
      <c r="E2656" s="8">
        <v>920</v>
      </c>
      <c r="F2656" s="8">
        <v>45300</v>
      </c>
      <c r="G2656" s="8">
        <f t="shared" si="164"/>
        <v>41676000</v>
      </c>
      <c r="H2656" s="5">
        <v>0.25</v>
      </c>
      <c r="I2656" s="8">
        <f t="shared" si="165"/>
        <v>41676000</v>
      </c>
      <c r="J2656" s="8">
        <f t="shared" si="166"/>
        <v>10419000</v>
      </c>
      <c r="K2656" t="str">
        <f t="shared" si="167"/>
        <v>MATCHED</v>
      </c>
    </row>
    <row r="2657" spans="1:11">
      <c r="A2657" t="s">
        <v>112</v>
      </c>
      <c r="B2657" t="s">
        <v>1510</v>
      </c>
      <c r="C2657" t="s">
        <v>984</v>
      </c>
      <c r="D2657" t="s">
        <v>985</v>
      </c>
      <c r="E2657" s="8">
        <v>360</v>
      </c>
      <c r="F2657" s="8">
        <v>40120</v>
      </c>
      <c r="G2657" s="8">
        <f t="shared" si="164"/>
        <v>14443200</v>
      </c>
      <c r="H2657" s="5">
        <v>0.1175</v>
      </c>
      <c r="I2657" s="8">
        <f t="shared" si="165"/>
        <v>14443200</v>
      </c>
      <c r="J2657" s="8">
        <f t="shared" si="166"/>
        <v>1697076</v>
      </c>
      <c r="K2657" t="str">
        <f t="shared" si="167"/>
        <v>MATCHED</v>
      </c>
    </row>
    <row r="2658" spans="1:11">
      <c r="A2658" t="s">
        <v>112</v>
      </c>
      <c r="B2658" t="s">
        <v>1510</v>
      </c>
      <c r="C2658" t="s">
        <v>1260</v>
      </c>
      <c r="D2658" t="s">
        <v>1261</v>
      </c>
      <c r="E2658" s="8">
        <v>70</v>
      </c>
      <c r="F2658" s="8">
        <v>33660</v>
      </c>
      <c r="G2658" s="8">
        <f t="shared" si="164"/>
        <v>2356200</v>
      </c>
      <c r="H2658" s="5">
        <v>0.0864</v>
      </c>
      <c r="I2658" s="8">
        <f t="shared" si="165"/>
        <v>2356200</v>
      </c>
      <c r="J2658" s="8">
        <f t="shared" si="166"/>
        <v>203575.68</v>
      </c>
      <c r="K2658" t="str">
        <f t="shared" si="167"/>
        <v>MATCHED</v>
      </c>
    </row>
    <row r="2659" spans="1:11">
      <c r="A2659" t="s">
        <v>112</v>
      </c>
      <c r="B2659" t="s">
        <v>1510</v>
      </c>
      <c r="C2659" t="s">
        <v>1262</v>
      </c>
      <c r="D2659" t="s">
        <v>1263</v>
      </c>
      <c r="E2659" s="8">
        <v>250</v>
      </c>
      <c r="F2659" s="8">
        <v>51040</v>
      </c>
      <c r="G2659" s="8">
        <f t="shared" si="164"/>
        <v>12760000</v>
      </c>
      <c r="H2659" s="5"/>
      <c r="I2659" s="8" t="str">
        <f t="shared" si="165"/>
        <v/>
      </c>
      <c r="J2659" s="8" t="str">
        <f t="shared" si="166"/>
        <v/>
      </c>
      <c r="K2659" t="str">
        <f t="shared" si="167"/>
        <v>MISSING WHARTON</v>
      </c>
    </row>
    <row r="2660" spans="1:11">
      <c r="A2660" t="s">
        <v>112</v>
      </c>
      <c r="B2660" t="s">
        <v>1510</v>
      </c>
      <c r="C2660" t="s">
        <v>986</v>
      </c>
      <c r="D2660" t="s">
        <v>987</v>
      </c>
      <c r="E2660" s="8">
        <v>900</v>
      </c>
      <c r="F2660" s="8">
        <v>41110</v>
      </c>
      <c r="G2660" s="8">
        <f t="shared" si="164"/>
        <v>36999000</v>
      </c>
      <c r="H2660" s="5">
        <v>0.0613</v>
      </c>
      <c r="I2660" s="8">
        <f t="shared" si="165"/>
        <v>36999000</v>
      </c>
      <c r="J2660" s="8">
        <f t="shared" si="166"/>
        <v>2268038.7</v>
      </c>
      <c r="K2660" t="str">
        <f t="shared" si="167"/>
        <v>MATCHED</v>
      </c>
    </row>
    <row r="2661" spans="1:11">
      <c r="A2661" t="s">
        <v>112</v>
      </c>
      <c r="B2661" t="s">
        <v>1510</v>
      </c>
      <c r="C2661" t="s">
        <v>1264</v>
      </c>
      <c r="D2661" t="s">
        <v>1265</v>
      </c>
      <c r="E2661" s="8">
        <v>500</v>
      </c>
      <c r="F2661" s="8">
        <v>38420</v>
      </c>
      <c r="G2661" s="8">
        <f t="shared" si="164"/>
        <v>19210000</v>
      </c>
      <c r="H2661" s="5">
        <v>0.1425</v>
      </c>
      <c r="I2661" s="8">
        <f t="shared" si="165"/>
        <v>19210000</v>
      </c>
      <c r="J2661" s="8">
        <f t="shared" si="166"/>
        <v>2737425</v>
      </c>
      <c r="K2661" t="str">
        <f t="shared" si="167"/>
        <v>MATCHED</v>
      </c>
    </row>
    <row r="2662" spans="1:11">
      <c r="A2662" t="s">
        <v>112</v>
      </c>
      <c r="B2662" t="s">
        <v>1510</v>
      </c>
      <c r="C2662" t="s">
        <v>988</v>
      </c>
      <c r="D2662" t="s">
        <v>989</v>
      </c>
      <c r="E2662" s="8">
        <v>390</v>
      </c>
      <c r="F2662" s="8">
        <v>39190</v>
      </c>
      <c r="G2662" s="8">
        <f t="shared" si="164"/>
        <v>15284100</v>
      </c>
      <c r="H2662" s="5">
        <v>0.2031</v>
      </c>
      <c r="I2662" s="8">
        <f t="shared" si="165"/>
        <v>15284100</v>
      </c>
      <c r="J2662" s="8">
        <f t="shared" si="166"/>
        <v>3104200.71</v>
      </c>
      <c r="K2662" t="str">
        <f t="shared" si="167"/>
        <v>MATCHED</v>
      </c>
    </row>
    <row r="2663" spans="1:11">
      <c r="A2663" t="s">
        <v>112</v>
      </c>
      <c r="B2663" t="s">
        <v>1510</v>
      </c>
      <c r="C2663" t="s">
        <v>990</v>
      </c>
      <c r="D2663" t="s">
        <v>991</v>
      </c>
      <c r="E2663" s="8">
        <v>810</v>
      </c>
      <c r="F2663" s="8">
        <v>37030</v>
      </c>
      <c r="G2663" s="8">
        <f t="shared" si="164"/>
        <v>29994300</v>
      </c>
      <c r="H2663" s="5">
        <v>0.152</v>
      </c>
      <c r="I2663" s="8">
        <f t="shared" si="165"/>
        <v>29994300</v>
      </c>
      <c r="J2663" s="8">
        <f t="shared" si="166"/>
        <v>4559133.6</v>
      </c>
      <c r="K2663" t="str">
        <f t="shared" si="167"/>
        <v>MATCHED</v>
      </c>
    </row>
    <row r="2664" spans="1:11">
      <c r="A2664" t="s">
        <v>112</v>
      </c>
      <c r="B2664" t="s">
        <v>1510</v>
      </c>
      <c r="C2664" t="s">
        <v>1266</v>
      </c>
      <c r="D2664" t="s">
        <v>1267</v>
      </c>
      <c r="E2664" s="8">
        <v>200</v>
      </c>
      <c r="F2664" s="8">
        <v>35860</v>
      </c>
      <c r="G2664" s="8">
        <f t="shared" si="164"/>
        <v>7172000</v>
      </c>
      <c r="H2664" s="5">
        <v>0.1357</v>
      </c>
      <c r="I2664" s="8">
        <f t="shared" si="165"/>
        <v>7172000</v>
      </c>
      <c r="J2664" s="8">
        <f t="shared" si="166"/>
        <v>973240.4</v>
      </c>
      <c r="K2664" t="str">
        <f t="shared" si="167"/>
        <v>MATCHED</v>
      </c>
    </row>
    <row r="2665" spans="1:11">
      <c r="A2665" t="s">
        <v>112</v>
      </c>
      <c r="B2665" t="s">
        <v>1510</v>
      </c>
      <c r="C2665" t="s">
        <v>1268</v>
      </c>
      <c r="D2665" t="s">
        <v>1269</v>
      </c>
      <c r="E2665" s="8">
        <v>260</v>
      </c>
      <c r="F2665" s="8">
        <v>40910</v>
      </c>
      <c r="G2665" s="8">
        <f t="shared" si="164"/>
        <v>10636600</v>
      </c>
      <c r="H2665" s="5">
        <v>0.0417</v>
      </c>
      <c r="I2665" s="8">
        <f t="shared" si="165"/>
        <v>10636600</v>
      </c>
      <c r="J2665" s="8">
        <f t="shared" si="166"/>
        <v>443546.22</v>
      </c>
      <c r="K2665" t="str">
        <f t="shared" si="167"/>
        <v>MATCHED</v>
      </c>
    </row>
    <row r="2666" spans="1:11">
      <c r="A2666" t="s">
        <v>112</v>
      </c>
      <c r="B2666" t="s">
        <v>1510</v>
      </c>
      <c r="C2666" t="s">
        <v>1270</v>
      </c>
      <c r="D2666" t="s">
        <v>1271</v>
      </c>
      <c r="E2666" s="8">
        <v>210</v>
      </c>
      <c r="F2666" s="8">
        <v>34240</v>
      </c>
      <c r="G2666" s="8">
        <f t="shared" si="164"/>
        <v>7190400</v>
      </c>
      <c r="H2666" s="5">
        <v>0</v>
      </c>
      <c r="I2666" s="8">
        <f t="shared" si="165"/>
        <v>7190400</v>
      </c>
      <c r="J2666" s="8">
        <f t="shared" si="166"/>
        <v>0</v>
      </c>
      <c r="K2666" t="str">
        <f t="shared" si="167"/>
        <v>MATCHED</v>
      </c>
    </row>
    <row r="2667" spans="1:11">
      <c r="A2667" t="s">
        <v>112</v>
      </c>
      <c r="B2667" t="s">
        <v>1510</v>
      </c>
      <c r="C2667" t="s">
        <v>1272</v>
      </c>
      <c r="D2667" t="s">
        <v>1273</v>
      </c>
      <c r="E2667" s="8">
        <v>440</v>
      </c>
      <c r="F2667" s="8">
        <v>41660</v>
      </c>
      <c r="G2667" s="8">
        <f t="shared" si="164"/>
        <v>18330400</v>
      </c>
      <c r="H2667" s="5">
        <v>0.3023</v>
      </c>
      <c r="I2667" s="8">
        <f t="shared" si="165"/>
        <v>18330400</v>
      </c>
      <c r="J2667" s="8">
        <f t="shared" si="166"/>
        <v>5541279.92</v>
      </c>
      <c r="K2667" t="str">
        <f t="shared" si="167"/>
        <v>MATCHED</v>
      </c>
    </row>
    <row r="2668" spans="1:11">
      <c r="A2668" t="s">
        <v>112</v>
      </c>
      <c r="B2668" t="s">
        <v>1510</v>
      </c>
      <c r="C2668" t="s">
        <v>1274</v>
      </c>
      <c r="D2668" t="s">
        <v>1275</v>
      </c>
      <c r="E2668" s="8">
        <v>120</v>
      </c>
      <c r="F2668" s="8">
        <v>33690</v>
      </c>
      <c r="G2668" s="8">
        <f t="shared" si="164"/>
        <v>4042800</v>
      </c>
      <c r="H2668" s="5"/>
      <c r="I2668" s="8" t="str">
        <f t="shared" si="165"/>
        <v/>
      </c>
      <c r="J2668" s="8" t="str">
        <f t="shared" si="166"/>
        <v/>
      </c>
      <c r="K2668" t="str">
        <f t="shared" si="167"/>
        <v>MISSING WHARTON</v>
      </c>
    </row>
    <row r="2669" spans="1:11">
      <c r="A2669" t="s">
        <v>112</v>
      </c>
      <c r="B2669" t="s">
        <v>1510</v>
      </c>
      <c r="C2669" t="s">
        <v>331</v>
      </c>
      <c r="D2669" t="s">
        <v>332</v>
      </c>
      <c r="E2669" s="8">
        <v>470</v>
      </c>
      <c r="F2669" s="8">
        <v>61360</v>
      </c>
      <c r="G2669" s="8">
        <f t="shared" si="164"/>
        <v>28839200</v>
      </c>
      <c r="H2669" s="5">
        <v>0.2269</v>
      </c>
      <c r="I2669" s="8">
        <f t="shared" si="165"/>
        <v>28839200</v>
      </c>
      <c r="J2669" s="8">
        <f t="shared" si="166"/>
        <v>6543614.48</v>
      </c>
      <c r="K2669" t="str">
        <f t="shared" si="167"/>
        <v>MATCHED</v>
      </c>
    </row>
    <row r="2670" spans="1:11">
      <c r="A2670" t="s">
        <v>112</v>
      </c>
      <c r="B2670" t="s">
        <v>1510</v>
      </c>
      <c r="C2670" t="s">
        <v>333</v>
      </c>
      <c r="D2670" t="s">
        <v>334</v>
      </c>
      <c r="E2670" s="8">
        <v>70</v>
      </c>
      <c r="F2670" s="8">
        <v>66400</v>
      </c>
      <c r="G2670" s="8">
        <f t="shared" si="164"/>
        <v>4648000</v>
      </c>
      <c r="H2670" s="5">
        <v>0.2357</v>
      </c>
      <c r="I2670" s="8">
        <f t="shared" si="165"/>
        <v>4648000</v>
      </c>
      <c r="J2670" s="8">
        <f t="shared" si="166"/>
        <v>1095533.6</v>
      </c>
      <c r="K2670" t="str">
        <f t="shared" si="167"/>
        <v>MATCHED</v>
      </c>
    </row>
    <row r="2671" spans="1:11">
      <c r="A2671" t="s">
        <v>112</v>
      </c>
      <c r="B2671" t="s">
        <v>1510</v>
      </c>
      <c r="C2671" t="s">
        <v>335</v>
      </c>
      <c r="D2671" t="s">
        <v>336</v>
      </c>
      <c r="E2671" s="8">
        <v>43580</v>
      </c>
      <c r="F2671" s="8">
        <v>49210</v>
      </c>
      <c r="G2671" s="8">
        <f t="shared" si="164"/>
        <v>2144571800</v>
      </c>
      <c r="H2671" s="5">
        <v>0</v>
      </c>
      <c r="I2671" s="8">
        <f t="shared" si="165"/>
        <v>2144571800</v>
      </c>
      <c r="J2671" s="8">
        <f t="shared" si="166"/>
        <v>0</v>
      </c>
      <c r="K2671" t="str">
        <f t="shared" si="167"/>
        <v>MATCHED</v>
      </c>
    </row>
    <row r="2672" spans="1:11">
      <c r="A2672" t="s">
        <v>112</v>
      </c>
      <c r="B2672" t="s">
        <v>1510</v>
      </c>
      <c r="C2672" t="s">
        <v>337</v>
      </c>
      <c r="D2672" t="s">
        <v>338</v>
      </c>
      <c r="E2672" s="8">
        <v>170</v>
      </c>
      <c r="F2672" s="8">
        <v>40620</v>
      </c>
      <c r="G2672" s="8">
        <f t="shared" si="164"/>
        <v>6905400</v>
      </c>
      <c r="H2672" s="5">
        <v>0</v>
      </c>
      <c r="I2672" s="8">
        <f t="shared" si="165"/>
        <v>6905400</v>
      </c>
      <c r="J2672" s="8">
        <f t="shared" si="166"/>
        <v>0</v>
      </c>
      <c r="K2672" t="str">
        <f t="shared" si="167"/>
        <v>MATCHED</v>
      </c>
    </row>
    <row r="2673" spans="1:11">
      <c r="A2673" t="s">
        <v>112</v>
      </c>
      <c r="B2673" t="s">
        <v>1510</v>
      </c>
      <c r="C2673" t="s">
        <v>339</v>
      </c>
      <c r="D2673" t="s">
        <v>340</v>
      </c>
      <c r="E2673" s="8">
        <v>40</v>
      </c>
      <c r="F2673" s="8">
        <v>52890</v>
      </c>
      <c r="G2673" s="8">
        <f t="shared" si="164"/>
        <v>2115600</v>
      </c>
      <c r="H2673" s="5">
        <v>0.1567</v>
      </c>
      <c r="I2673" s="8">
        <f t="shared" si="165"/>
        <v>2115600</v>
      </c>
      <c r="J2673" s="8">
        <f t="shared" si="166"/>
        <v>331514.52</v>
      </c>
      <c r="K2673" t="str">
        <f t="shared" si="167"/>
        <v>MATCHED</v>
      </c>
    </row>
    <row r="2674" spans="1:11">
      <c r="A2674" t="s">
        <v>112</v>
      </c>
      <c r="B2674" t="s">
        <v>1510</v>
      </c>
      <c r="C2674" t="s">
        <v>341</v>
      </c>
      <c r="D2674" t="s">
        <v>342</v>
      </c>
      <c r="E2674" s="8">
        <v>1640</v>
      </c>
      <c r="F2674" s="8">
        <v>42440</v>
      </c>
      <c r="G2674" s="8">
        <f t="shared" si="164"/>
        <v>69601600</v>
      </c>
      <c r="H2674" s="5">
        <v>0</v>
      </c>
      <c r="I2674" s="8">
        <f t="shared" si="165"/>
        <v>69601600</v>
      </c>
      <c r="J2674" s="8">
        <f t="shared" si="166"/>
        <v>0</v>
      </c>
      <c r="K2674" t="str">
        <f t="shared" si="167"/>
        <v>MATCHED</v>
      </c>
    </row>
    <row r="2675" spans="1:11">
      <c r="A2675" t="s">
        <v>112</v>
      </c>
      <c r="B2675" t="s">
        <v>1510</v>
      </c>
      <c r="C2675" t="s">
        <v>343</v>
      </c>
      <c r="D2675" t="s">
        <v>344</v>
      </c>
      <c r="E2675" s="8">
        <v>70</v>
      </c>
      <c r="F2675" s="8">
        <v>48800</v>
      </c>
      <c r="G2675" s="8">
        <f t="shared" si="164"/>
        <v>3416000</v>
      </c>
      <c r="H2675" s="5">
        <v>0</v>
      </c>
      <c r="I2675" s="8">
        <f t="shared" si="165"/>
        <v>3416000</v>
      </c>
      <c r="J2675" s="8">
        <f t="shared" si="166"/>
        <v>0</v>
      </c>
      <c r="K2675" t="str">
        <f t="shared" si="167"/>
        <v>MATCHED</v>
      </c>
    </row>
    <row r="2676" spans="1:11">
      <c r="A2676" t="s">
        <v>112</v>
      </c>
      <c r="B2676" t="s">
        <v>1510</v>
      </c>
      <c r="C2676" t="s">
        <v>874</v>
      </c>
      <c r="D2676" t="s">
        <v>875</v>
      </c>
      <c r="E2676" s="8">
        <v>1340</v>
      </c>
      <c r="F2676" s="8">
        <v>76640</v>
      </c>
      <c r="G2676" s="8">
        <f t="shared" si="164"/>
        <v>102697600</v>
      </c>
      <c r="H2676" s="5"/>
      <c r="I2676" s="8" t="str">
        <f t="shared" si="165"/>
        <v/>
      </c>
      <c r="J2676" s="8" t="str">
        <f t="shared" si="166"/>
        <v/>
      </c>
      <c r="K2676" t="str">
        <f t="shared" si="167"/>
        <v>MISSING WHARTON</v>
      </c>
    </row>
    <row r="2677" spans="1:11">
      <c r="A2677" t="s">
        <v>112</v>
      </c>
      <c r="B2677" t="s">
        <v>1510</v>
      </c>
      <c r="C2677" t="s">
        <v>347</v>
      </c>
      <c r="D2677" t="s">
        <v>348</v>
      </c>
      <c r="E2677" s="8">
        <v>220</v>
      </c>
      <c r="F2677" s="8">
        <v>63240</v>
      </c>
      <c r="G2677" s="8">
        <f t="shared" si="164"/>
        <v>13912800</v>
      </c>
      <c r="H2677" s="5">
        <v>0.2974</v>
      </c>
      <c r="I2677" s="8">
        <f t="shared" si="165"/>
        <v>13912800</v>
      </c>
      <c r="J2677" s="8">
        <f t="shared" si="166"/>
        <v>4137666.72</v>
      </c>
      <c r="K2677" t="str">
        <f t="shared" si="167"/>
        <v>MATCHED</v>
      </c>
    </row>
    <row r="2678" spans="1:11">
      <c r="A2678" t="s">
        <v>112</v>
      </c>
      <c r="B2678" t="s">
        <v>1510</v>
      </c>
      <c r="C2678" t="s">
        <v>349</v>
      </c>
      <c r="D2678" t="s">
        <v>350</v>
      </c>
      <c r="E2678" s="8">
        <v>390</v>
      </c>
      <c r="F2678" s="8">
        <v>53340</v>
      </c>
      <c r="G2678" s="8">
        <f t="shared" si="164"/>
        <v>20802600</v>
      </c>
      <c r="H2678" s="5">
        <v>0.2765</v>
      </c>
      <c r="I2678" s="8">
        <f t="shared" si="165"/>
        <v>20802600</v>
      </c>
      <c r="J2678" s="8">
        <f t="shared" si="166"/>
        <v>5751918.9</v>
      </c>
      <c r="K2678" t="str">
        <f t="shared" si="167"/>
        <v>MATCHED</v>
      </c>
    </row>
    <row r="2679" spans="1:11">
      <c r="A2679" t="s">
        <v>112</v>
      </c>
      <c r="B2679" t="s">
        <v>1510</v>
      </c>
      <c r="C2679" t="s">
        <v>353</v>
      </c>
      <c r="D2679" t="s">
        <v>354</v>
      </c>
      <c r="E2679" s="8">
        <v>190</v>
      </c>
      <c r="F2679" s="8">
        <v>42810</v>
      </c>
      <c r="G2679" s="8">
        <f t="shared" si="164"/>
        <v>8133900</v>
      </c>
      <c r="H2679" s="5">
        <v>0.1614</v>
      </c>
      <c r="I2679" s="8">
        <f t="shared" si="165"/>
        <v>8133900</v>
      </c>
      <c r="J2679" s="8">
        <f t="shared" si="166"/>
        <v>1312811.46</v>
      </c>
      <c r="K2679" t="str">
        <f t="shared" si="167"/>
        <v>MATCHED</v>
      </c>
    </row>
    <row r="2680" spans="1:11">
      <c r="A2680" t="s">
        <v>112</v>
      </c>
      <c r="B2680" t="s">
        <v>1510</v>
      </c>
      <c r="C2680" t="s">
        <v>1276</v>
      </c>
      <c r="D2680" t="s">
        <v>1277</v>
      </c>
      <c r="E2680" s="8">
        <v>230</v>
      </c>
      <c r="F2680" s="8">
        <v>46600</v>
      </c>
      <c r="G2680" s="8">
        <f t="shared" si="164"/>
        <v>10718000</v>
      </c>
      <c r="H2680" s="5">
        <v>0.2109</v>
      </c>
      <c r="I2680" s="8">
        <f t="shared" si="165"/>
        <v>10718000</v>
      </c>
      <c r="J2680" s="8">
        <f t="shared" si="166"/>
        <v>2260426.2</v>
      </c>
      <c r="K2680" t="str">
        <f t="shared" si="167"/>
        <v>MATCHED</v>
      </c>
    </row>
    <row r="2681" spans="1:11">
      <c r="A2681" t="s">
        <v>112</v>
      </c>
      <c r="B2681" t="s">
        <v>1510</v>
      </c>
      <c r="C2681" t="s">
        <v>876</v>
      </c>
      <c r="D2681" t="s">
        <v>877</v>
      </c>
      <c r="E2681" s="8">
        <v>200</v>
      </c>
      <c r="F2681" s="8">
        <v>39400</v>
      </c>
      <c r="G2681" s="8">
        <f t="shared" si="164"/>
        <v>7880000</v>
      </c>
      <c r="H2681" s="5">
        <v>0.25</v>
      </c>
      <c r="I2681" s="8">
        <f t="shared" si="165"/>
        <v>7880000</v>
      </c>
      <c r="J2681" s="8">
        <f t="shared" si="166"/>
        <v>1970000</v>
      </c>
      <c r="K2681" t="str">
        <f t="shared" si="167"/>
        <v>MATCHED</v>
      </c>
    </row>
    <row r="2682" spans="1:11">
      <c r="A2682" t="s">
        <v>112</v>
      </c>
      <c r="B2682" t="s">
        <v>1510</v>
      </c>
      <c r="C2682" t="s">
        <v>1498</v>
      </c>
      <c r="D2682" t="s">
        <v>1499</v>
      </c>
      <c r="E2682" s="8">
        <v>4900</v>
      </c>
      <c r="F2682" s="8">
        <v>37870</v>
      </c>
      <c r="G2682" s="8">
        <f t="shared" si="164"/>
        <v>185563000</v>
      </c>
      <c r="H2682" s="5">
        <v>0.3353</v>
      </c>
      <c r="I2682" s="8">
        <f t="shared" si="165"/>
        <v>185563000</v>
      </c>
      <c r="J2682" s="8">
        <f t="shared" si="166"/>
        <v>62219273.9</v>
      </c>
      <c r="K2682" t="str">
        <f t="shared" si="167"/>
        <v>MATCHED</v>
      </c>
    </row>
    <row r="2683" spans="1:11">
      <c r="A2683" t="s">
        <v>112</v>
      </c>
      <c r="B2683" t="s">
        <v>1510</v>
      </c>
      <c r="C2683" t="s">
        <v>994</v>
      </c>
      <c r="D2683" t="s">
        <v>995</v>
      </c>
      <c r="E2683" s="8">
        <v>970</v>
      </c>
      <c r="F2683" s="8">
        <v>40650</v>
      </c>
      <c r="G2683" s="8">
        <f t="shared" si="164"/>
        <v>39430500</v>
      </c>
      <c r="H2683" s="5">
        <v>0.65</v>
      </c>
      <c r="I2683" s="8">
        <f t="shared" si="165"/>
        <v>39430500</v>
      </c>
      <c r="J2683" s="8">
        <f t="shared" si="166"/>
        <v>25629825</v>
      </c>
      <c r="K2683" t="str">
        <f t="shared" si="167"/>
        <v>MATCHED</v>
      </c>
    </row>
    <row r="2684" spans="1:11">
      <c r="A2684" t="s">
        <v>112</v>
      </c>
      <c r="B2684" t="s">
        <v>1510</v>
      </c>
      <c r="C2684" t="s">
        <v>1278</v>
      </c>
      <c r="D2684" t="s">
        <v>1279</v>
      </c>
      <c r="E2684" s="8">
        <v>4050</v>
      </c>
      <c r="F2684" s="8">
        <v>45600</v>
      </c>
      <c r="G2684" s="8">
        <f t="shared" si="164"/>
        <v>184680000</v>
      </c>
      <c r="H2684" s="5">
        <v>0.3177</v>
      </c>
      <c r="I2684" s="8">
        <f t="shared" si="165"/>
        <v>184680000</v>
      </c>
      <c r="J2684" s="8">
        <f t="shared" si="166"/>
        <v>58672836</v>
      </c>
      <c r="K2684" t="str">
        <f t="shared" si="167"/>
        <v>MATCHED</v>
      </c>
    </row>
    <row r="2685" spans="1:11">
      <c r="A2685" t="s">
        <v>112</v>
      </c>
      <c r="B2685" t="s">
        <v>1510</v>
      </c>
      <c r="C2685" t="s">
        <v>1280</v>
      </c>
      <c r="D2685" t="s">
        <v>1281</v>
      </c>
      <c r="E2685" s="8">
        <v>70</v>
      </c>
      <c r="F2685" s="8">
        <v>54820</v>
      </c>
      <c r="G2685" s="8">
        <f t="shared" si="164"/>
        <v>3837400</v>
      </c>
      <c r="H2685" s="5">
        <v>0.1667</v>
      </c>
      <c r="I2685" s="8">
        <f t="shared" si="165"/>
        <v>3837400</v>
      </c>
      <c r="J2685" s="8">
        <f t="shared" si="166"/>
        <v>639694.58</v>
      </c>
      <c r="K2685" t="str">
        <f t="shared" si="167"/>
        <v>MATCHED</v>
      </c>
    </row>
    <row r="2686" spans="1:11">
      <c r="A2686" t="s">
        <v>112</v>
      </c>
      <c r="B2686" t="s">
        <v>1510</v>
      </c>
      <c r="C2686" t="s">
        <v>1500</v>
      </c>
      <c r="D2686" t="s">
        <v>1501</v>
      </c>
      <c r="E2686" s="8">
        <v>1880</v>
      </c>
      <c r="F2686" s="8">
        <v>38220</v>
      </c>
      <c r="G2686" s="8">
        <f t="shared" si="164"/>
        <v>71853600</v>
      </c>
      <c r="H2686" s="5"/>
      <c r="I2686" s="8" t="str">
        <f t="shared" si="165"/>
        <v/>
      </c>
      <c r="J2686" s="8" t="str">
        <f t="shared" si="166"/>
        <v/>
      </c>
      <c r="K2686" t="str">
        <f t="shared" si="167"/>
        <v>MISSING WHARTON</v>
      </c>
    </row>
    <row r="2687" spans="1:11">
      <c r="A2687" t="s">
        <v>112</v>
      </c>
      <c r="B2687" t="s">
        <v>1510</v>
      </c>
      <c r="C2687" t="s">
        <v>355</v>
      </c>
      <c r="D2687" t="s">
        <v>356</v>
      </c>
      <c r="E2687" s="8">
        <v>1830</v>
      </c>
      <c r="F2687" s="8">
        <v>57840</v>
      </c>
      <c r="G2687" s="8">
        <f t="shared" si="164"/>
        <v>105847200</v>
      </c>
      <c r="H2687" s="5">
        <v>0.4476</v>
      </c>
      <c r="I2687" s="8">
        <f t="shared" si="165"/>
        <v>105847200</v>
      </c>
      <c r="J2687" s="8">
        <f t="shared" si="166"/>
        <v>47377206.72</v>
      </c>
      <c r="K2687" t="str">
        <f t="shared" si="167"/>
        <v>MATCHED</v>
      </c>
    </row>
    <row r="2688" spans="1:11">
      <c r="A2688" t="s">
        <v>112</v>
      </c>
      <c r="B2688" t="s">
        <v>1510</v>
      </c>
      <c r="C2688" t="s">
        <v>357</v>
      </c>
      <c r="D2688" t="s">
        <v>358</v>
      </c>
      <c r="E2688" s="8">
        <v>2210</v>
      </c>
      <c r="F2688" s="8">
        <v>96760</v>
      </c>
      <c r="G2688" s="8">
        <f t="shared" si="164"/>
        <v>213839600</v>
      </c>
      <c r="H2688" s="5">
        <v>0.4833</v>
      </c>
      <c r="I2688" s="8">
        <f t="shared" si="165"/>
        <v>213839600</v>
      </c>
      <c r="J2688" s="8">
        <f t="shared" si="166"/>
        <v>103348678.68</v>
      </c>
      <c r="K2688" t="str">
        <f t="shared" si="167"/>
        <v>MATCHED</v>
      </c>
    </row>
    <row r="2689" spans="1:11">
      <c r="A2689" t="s">
        <v>112</v>
      </c>
      <c r="B2689" t="s">
        <v>1510</v>
      </c>
      <c r="C2689" t="s">
        <v>648</v>
      </c>
      <c r="D2689" t="s">
        <v>649</v>
      </c>
      <c r="E2689" s="8">
        <v>2250</v>
      </c>
      <c r="F2689" s="8">
        <v>35810</v>
      </c>
      <c r="G2689" s="8">
        <f t="shared" si="164"/>
        <v>80572500</v>
      </c>
      <c r="H2689" s="5">
        <v>0.6672</v>
      </c>
      <c r="I2689" s="8">
        <f t="shared" si="165"/>
        <v>80572500</v>
      </c>
      <c r="J2689" s="8">
        <f t="shared" si="166"/>
        <v>53757972</v>
      </c>
      <c r="K2689" t="str">
        <f t="shared" si="167"/>
        <v>MATCHED</v>
      </c>
    </row>
    <row r="2690" spans="1:11">
      <c r="A2690" t="s">
        <v>112</v>
      </c>
      <c r="B2690" t="s">
        <v>1510</v>
      </c>
      <c r="C2690" t="s">
        <v>878</v>
      </c>
      <c r="D2690" t="s">
        <v>879</v>
      </c>
      <c r="E2690" s="8">
        <v>2570</v>
      </c>
      <c r="F2690" s="8">
        <v>41010</v>
      </c>
      <c r="G2690" s="8">
        <f t="shared" ref="G2690:G2753" si="168">IF(OR(E2690="",F2690=""),"",E2690*F2690)</f>
        <v>105395700</v>
      </c>
      <c r="H2690" s="5">
        <v>0.7719</v>
      </c>
      <c r="I2690" s="8">
        <f t="shared" ref="I2690:I2753" si="169">IF(G2690="","",IF(ISNUMBER(H2690),G2690,""))</f>
        <v>105395700</v>
      </c>
      <c r="J2690" s="8">
        <f t="shared" ref="J2690:J2753" si="170">IF(I2690="","",I2690*H2690)</f>
        <v>81354940.83</v>
      </c>
      <c r="K2690" t="str">
        <f t="shared" ref="K2690:K2753" si="171">IF(G2690="","MISSING OEWS",IF(ISNUMBER(H2690),"MATCHED","MISSING WHARTON"))</f>
        <v>MATCHED</v>
      </c>
    </row>
    <row r="2691" spans="1:11">
      <c r="A2691" t="s">
        <v>112</v>
      </c>
      <c r="B2691" t="s">
        <v>1510</v>
      </c>
      <c r="C2691" t="s">
        <v>1000</v>
      </c>
      <c r="D2691" t="s">
        <v>1001</v>
      </c>
      <c r="E2691" s="8">
        <v>910</v>
      </c>
      <c r="F2691" s="8">
        <v>48370</v>
      </c>
      <c r="G2691" s="8">
        <f t="shared" si="168"/>
        <v>44016700</v>
      </c>
      <c r="H2691" s="5">
        <v>0.3737</v>
      </c>
      <c r="I2691" s="8">
        <f t="shared" si="169"/>
        <v>44016700</v>
      </c>
      <c r="J2691" s="8">
        <f t="shared" si="170"/>
        <v>16449040.79</v>
      </c>
      <c r="K2691" t="str">
        <f t="shared" si="171"/>
        <v>MATCHED</v>
      </c>
    </row>
    <row r="2692" spans="1:11">
      <c r="A2692" t="s">
        <v>112</v>
      </c>
      <c r="B2692" t="s">
        <v>1510</v>
      </c>
      <c r="C2692" t="s">
        <v>359</v>
      </c>
      <c r="D2692" t="s">
        <v>360</v>
      </c>
      <c r="E2692" s="8">
        <v>10510</v>
      </c>
      <c r="F2692" s="8">
        <v>42460</v>
      </c>
      <c r="G2692" s="8">
        <f t="shared" si="168"/>
        <v>446254600</v>
      </c>
      <c r="H2692" s="5">
        <v>0.4938</v>
      </c>
      <c r="I2692" s="8">
        <f t="shared" si="169"/>
        <v>446254600</v>
      </c>
      <c r="J2692" s="8">
        <f t="shared" si="170"/>
        <v>220360521.48</v>
      </c>
      <c r="K2692" t="str">
        <f t="shared" si="171"/>
        <v>MATCHED</v>
      </c>
    </row>
    <row r="2693" spans="1:11">
      <c r="A2693" t="s">
        <v>112</v>
      </c>
      <c r="B2693" t="s">
        <v>1510</v>
      </c>
      <c r="C2693" t="s">
        <v>1002</v>
      </c>
      <c r="D2693" t="s">
        <v>1003</v>
      </c>
      <c r="E2693" s="8">
        <v>320</v>
      </c>
      <c r="F2693" s="8">
        <v>133560</v>
      </c>
      <c r="G2693" s="8">
        <f t="shared" si="168"/>
        <v>42739200</v>
      </c>
      <c r="H2693" s="5">
        <v>0.6725</v>
      </c>
      <c r="I2693" s="8">
        <f t="shared" si="169"/>
        <v>42739200</v>
      </c>
      <c r="J2693" s="8">
        <f t="shared" si="170"/>
        <v>28742112</v>
      </c>
      <c r="K2693" t="str">
        <f t="shared" si="171"/>
        <v>MATCHED</v>
      </c>
    </row>
    <row r="2694" spans="1:11">
      <c r="A2694" t="s">
        <v>112</v>
      </c>
      <c r="B2694" t="s">
        <v>1510</v>
      </c>
      <c r="C2694" t="s">
        <v>650</v>
      </c>
      <c r="D2694" t="s">
        <v>651</v>
      </c>
      <c r="E2694" s="8"/>
      <c r="F2694" s="8">
        <v>151890</v>
      </c>
      <c r="G2694" s="8" t="str">
        <f t="shared" si="168"/>
        <v/>
      </c>
      <c r="H2694" s="5">
        <v>0.845</v>
      </c>
      <c r="I2694" s="8" t="str">
        <f t="shared" si="169"/>
        <v/>
      </c>
      <c r="J2694" s="8" t="str">
        <f t="shared" si="170"/>
        <v/>
      </c>
      <c r="K2694" t="str">
        <f t="shared" si="171"/>
        <v>MISSING OEWS</v>
      </c>
    </row>
    <row r="2695" spans="1:11">
      <c r="A2695" t="s">
        <v>112</v>
      </c>
      <c r="B2695" t="s">
        <v>1510</v>
      </c>
      <c r="C2695" t="s">
        <v>1533</v>
      </c>
      <c r="D2695" t="s">
        <v>1534</v>
      </c>
      <c r="E2695" s="8">
        <v>2130</v>
      </c>
      <c r="F2695" s="8">
        <v>48470</v>
      </c>
      <c r="G2695" s="8">
        <f t="shared" si="168"/>
        <v>103241100</v>
      </c>
      <c r="H2695" s="5">
        <v>0.925</v>
      </c>
      <c r="I2695" s="8">
        <f t="shared" si="169"/>
        <v>103241100</v>
      </c>
      <c r="J2695" s="8">
        <f t="shared" si="170"/>
        <v>95498017.5</v>
      </c>
      <c r="K2695" t="str">
        <f t="shared" si="171"/>
        <v>MATCHED</v>
      </c>
    </row>
    <row r="2696" spans="1:11">
      <c r="A2696" t="s">
        <v>112</v>
      </c>
      <c r="B2696" t="s">
        <v>1510</v>
      </c>
      <c r="C2696" t="s">
        <v>361</v>
      </c>
      <c r="D2696" t="s">
        <v>362</v>
      </c>
      <c r="E2696" s="8">
        <v>58780</v>
      </c>
      <c r="F2696" s="8">
        <v>78720</v>
      </c>
      <c r="G2696" s="8">
        <f t="shared" si="168"/>
        <v>4627161600</v>
      </c>
      <c r="H2696" s="5">
        <v>0.73</v>
      </c>
      <c r="I2696" s="8">
        <f t="shared" si="169"/>
        <v>4627161600</v>
      </c>
      <c r="J2696" s="8">
        <f t="shared" si="170"/>
        <v>3377827968</v>
      </c>
      <c r="K2696" t="str">
        <f t="shared" si="171"/>
        <v>MATCHED</v>
      </c>
    </row>
    <row r="2697" spans="1:11">
      <c r="A2697" t="s">
        <v>112</v>
      </c>
      <c r="B2697" t="s">
        <v>1510</v>
      </c>
      <c r="C2697" t="s">
        <v>652</v>
      </c>
      <c r="D2697" t="s">
        <v>653</v>
      </c>
      <c r="E2697" s="8">
        <v>810</v>
      </c>
      <c r="F2697" s="8">
        <v>92630</v>
      </c>
      <c r="G2697" s="8">
        <f t="shared" si="168"/>
        <v>75030300</v>
      </c>
      <c r="H2697" s="5">
        <v>0.6463</v>
      </c>
      <c r="I2697" s="8">
        <f t="shared" si="169"/>
        <v>75030300</v>
      </c>
      <c r="J2697" s="8">
        <f t="shared" si="170"/>
        <v>48492082.89</v>
      </c>
      <c r="K2697" t="str">
        <f t="shared" si="171"/>
        <v>MATCHED</v>
      </c>
    </row>
    <row r="2698" spans="1:11">
      <c r="A2698" t="s">
        <v>112</v>
      </c>
      <c r="B2698" t="s">
        <v>1510</v>
      </c>
      <c r="C2698" t="s">
        <v>363</v>
      </c>
      <c r="D2698" t="s">
        <v>364</v>
      </c>
      <c r="E2698" s="8">
        <v>9800</v>
      </c>
      <c r="F2698" s="8">
        <v>68950</v>
      </c>
      <c r="G2698" s="8">
        <f t="shared" si="168"/>
        <v>675710000</v>
      </c>
      <c r="H2698" s="5">
        <v>0.5105</v>
      </c>
      <c r="I2698" s="8">
        <f t="shared" si="169"/>
        <v>675710000</v>
      </c>
      <c r="J2698" s="8">
        <f t="shared" si="170"/>
        <v>344949955</v>
      </c>
      <c r="K2698" t="str">
        <f t="shared" si="171"/>
        <v>MATCHED</v>
      </c>
    </row>
    <row r="2699" spans="1:11">
      <c r="A2699" t="s">
        <v>112</v>
      </c>
      <c r="B2699" t="s">
        <v>1510</v>
      </c>
      <c r="C2699" t="s">
        <v>1006</v>
      </c>
      <c r="D2699" t="s">
        <v>1007</v>
      </c>
      <c r="E2699" s="8">
        <v>30</v>
      </c>
      <c r="F2699" s="8">
        <v>49430</v>
      </c>
      <c r="G2699" s="8">
        <f t="shared" si="168"/>
        <v>1482900</v>
      </c>
      <c r="H2699" s="5">
        <v>0.3062</v>
      </c>
      <c r="I2699" s="8">
        <f t="shared" si="169"/>
        <v>1482900</v>
      </c>
      <c r="J2699" s="8">
        <f t="shared" si="170"/>
        <v>454063.98</v>
      </c>
      <c r="K2699" t="str">
        <f t="shared" si="171"/>
        <v>MATCHED</v>
      </c>
    </row>
    <row r="2700" spans="1:11">
      <c r="A2700" t="s">
        <v>112</v>
      </c>
      <c r="B2700" t="s">
        <v>1510</v>
      </c>
      <c r="C2700" t="s">
        <v>654</v>
      </c>
      <c r="D2700" t="s">
        <v>655</v>
      </c>
      <c r="E2700" s="8">
        <v>110</v>
      </c>
      <c r="F2700" s="8">
        <v>116540</v>
      </c>
      <c r="G2700" s="8">
        <f t="shared" si="168"/>
        <v>12819400</v>
      </c>
      <c r="H2700" s="5">
        <v>0.5939</v>
      </c>
      <c r="I2700" s="8">
        <f t="shared" si="169"/>
        <v>12819400</v>
      </c>
      <c r="J2700" s="8">
        <f t="shared" si="170"/>
        <v>7613441.66</v>
      </c>
      <c r="K2700" t="str">
        <f t="shared" si="171"/>
        <v>MATCHED</v>
      </c>
    </row>
    <row r="2701" spans="1:11">
      <c r="A2701" t="s">
        <v>112</v>
      </c>
      <c r="B2701" t="s">
        <v>1510</v>
      </c>
      <c r="C2701" t="s">
        <v>656</v>
      </c>
      <c r="D2701" t="s">
        <v>657</v>
      </c>
      <c r="E2701" s="8">
        <v>300</v>
      </c>
      <c r="F2701" s="8">
        <v>107070</v>
      </c>
      <c r="G2701" s="8">
        <f t="shared" si="168"/>
        <v>32121000</v>
      </c>
      <c r="H2701" s="5">
        <v>0.518</v>
      </c>
      <c r="I2701" s="8">
        <f t="shared" si="169"/>
        <v>32121000</v>
      </c>
      <c r="J2701" s="8">
        <f t="shared" si="170"/>
        <v>16638678</v>
      </c>
      <c r="K2701" t="str">
        <f t="shared" si="171"/>
        <v>MATCHED</v>
      </c>
    </row>
    <row r="2702" spans="1:11">
      <c r="A2702" t="s">
        <v>112</v>
      </c>
      <c r="B2702" t="s">
        <v>1510</v>
      </c>
      <c r="C2702" t="s">
        <v>1010</v>
      </c>
      <c r="D2702" t="s">
        <v>1011</v>
      </c>
      <c r="E2702" s="8">
        <v>430</v>
      </c>
      <c r="F2702" s="8"/>
      <c r="G2702" s="8" t="str">
        <f t="shared" si="168"/>
        <v/>
      </c>
      <c r="H2702" s="5">
        <v>0.9625</v>
      </c>
      <c r="I2702" s="8" t="str">
        <f t="shared" si="169"/>
        <v/>
      </c>
      <c r="J2702" s="8" t="str">
        <f t="shared" si="170"/>
        <v/>
      </c>
      <c r="K2702" t="str">
        <f t="shared" si="171"/>
        <v>MISSING OEWS</v>
      </c>
    </row>
    <row r="2703" spans="1:11">
      <c r="A2703" t="s">
        <v>112</v>
      </c>
      <c r="B2703" t="s">
        <v>1510</v>
      </c>
      <c r="C2703" t="s">
        <v>365</v>
      </c>
      <c r="D2703" t="s">
        <v>366</v>
      </c>
      <c r="E2703" s="8">
        <v>680</v>
      </c>
      <c r="F2703" s="8">
        <v>62240</v>
      </c>
      <c r="G2703" s="8">
        <f t="shared" si="168"/>
        <v>42323200</v>
      </c>
      <c r="H2703" s="5"/>
      <c r="I2703" s="8" t="str">
        <f t="shared" si="169"/>
        <v/>
      </c>
      <c r="J2703" s="8" t="str">
        <f t="shared" si="170"/>
        <v/>
      </c>
      <c r="K2703" t="str">
        <f t="shared" si="171"/>
        <v>MISSING WHARTON</v>
      </c>
    </row>
    <row r="2704" spans="1:11">
      <c r="A2704" t="s">
        <v>112</v>
      </c>
      <c r="B2704" t="s">
        <v>1510</v>
      </c>
      <c r="C2704" t="s">
        <v>367</v>
      </c>
      <c r="D2704" t="s">
        <v>368</v>
      </c>
      <c r="E2704" s="8">
        <v>95970</v>
      </c>
      <c r="F2704" s="8">
        <v>78480</v>
      </c>
      <c r="G2704" s="8">
        <f t="shared" si="168"/>
        <v>7531725600</v>
      </c>
      <c r="H2704" s="5">
        <v>0.5034</v>
      </c>
      <c r="I2704" s="8">
        <f t="shared" si="169"/>
        <v>7531725600</v>
      </c>
      <c r="J2704" s="8">
        <f t="shared" si="170"/>
        <v>3791470667.04</v>
      </c>
      <c r="K2704" t="str">
        <f t="shared" si="171"/>
        <v>MATCHED</v>
      </c>
    </row>
    <row r="2705" spans="1:11">
      <c r="A2705" t="s">
        <v>112</v>
      </c>
      <c r="B2705" t="s">
        <v>1510</v>
      </c>
      <c r="C2705" t="s">
        <v>1014</v>
      </c>
      <c r="D2705" t="s">
        <v>1015</v>
      </c>
      <c r="E2705" s="8">
        <v>140</v>
      </c>
      <c r="F2705" s="8">
        <v>38450</v>
      </c>
      <c r="G2705" s="8">
        <f t="shared" si="168"/>
        <v>5383000</v>
      </c>
      <c r="H2705" s="5">
        <v>0.7579</v>
      </c>
      <c r="I2705" s="8">
        <f t="shared" si="169"/>
        <v>5383000</v>
      </c>
      <c r="J2705" s="8">
        <f t="shared" si="170"/>
        <v>4079775.7</v>
      </c>
      <c r="K2705" t="str">
        <f t="shared" si="171"/>
        <v>MATCHED</v>
      </c>
    </row>
    <row r="2706" spans="1:11">
      <c r="A2706" t="s">
        <v>112</v>
      </c>
      <c r="B2706" t="s">
        <v>1510</v>
      </c>
      <c r="C2706" t="s">
        <v>880</v>
      </c>
      <c r="D2706" t="s">
        <v>881</v>
      </c>
      <c r="E2706" s="8">
        <v>3300</v>
      </c>
      <c r="F2706" s="8">
        <v>53190</v>
      </c>
      <c r="G2706" s="8">
        <f t="shared" si="168"/>
        <v>175527000</v>
      </c>
      <c r="H2706" s="5">
        <v>0.9</v>
      </c>
      <c r="I2706" s="8">
        <f t="shared" si="169"/>
        <v>175527000</v>
      </c>
      <c r="J2706" s="8">
        <f t="shared" si="170"/>
        <v>157974300</v>
      </c>
      <c r="K2706" t="str">
        <f t="shared" si="171"/>
        <v>MATCHED</v>
      </c>
    </row>
    <row r="2707" spans="1:11">
      <c r="A2707" t="s">
        <v>112</v>
      </c>
      <c r="B2707" t="s">
        <v>1510</v>
      </c>
      <c r="C2707" t="s">
        <v>369</v>
      </c>
      <c r="D2707" t="s">
        <v>370</v>
      </c>
      <c r="E2707" s="8">
        <v>11020</v>
      </c>
      <c r="F2707" s="8">
        <v>47420</v>
      </c>
      <c r="G2707" s="8">
        <f t="shared" si="168"/>
        <v>522568400</v>
      </c>
      <c r="H2707" s="5">
        <v>0.8617</v>
      </c>
      <c r="I2707" s="8">
        <f t="shared" si="169"/>
        <v>522568400</v>
      </c>
      <c r="J2707" s="8">
        <f t="shared" si="170"/>
        <v>450297190.28</v>
      </c>
      <c r="K2707" t="str">
        <f t="shared" si="171"/>
        <v>MATCHED</v>
      </c>
    </row>
    <row r="2708" spans="1:11">
      <c r="A2708" t="s">
        <v>112</v>
      </c>
      <c r="B2708" t="s">
        <v>1510</v>
      </c>
      <c r="C2708" t="s">
        <v>371</v>
      </c>
      <c r="D2708" t="s">
        <v>372</v>
      </c>
      <c r="E2708" s="8">
        <v>39620</v>
      </c>
      <c r="F2708" s="8">
        <v>53690</v>
      </c>
      <c r="G2708" s="8">
        <f t="shared" si="168"/>
        <v>2127197800</v>
      </c>
      <c r="H2708" s="5">
        <v>0.9517</v>
      </c>
      <c r="I2708" s="8">
        <f t="shared" si="169"/>
        <v>2127197800</v>
      </c>
      <c r="J2708" s="8">
        <f t="shared" si="170"/>
        <v>2024454146.26</v>
      </c>
      <c r="K2708" t="str">
        <f t="shared" si="171"/>
        <v>MATCHED</v>
      </c>
    </row>
    <row r="2709" spans="1:11">
      <c r="A2709" t="s">
        <v>112</v>
      </c>
      <c r="B2709" t="s">
        <v>1510</v>
      </c>
      <c r="C2709" t="s">
        <v>373</v>
      </c>
      <c r="D2709" t="s">
        <v>374</v>
      </c>
      <c r="E2709" s="8">
        <v>5410</v>
      </c>
      <c r="F2709" s="8">
        <v>56810</v>
      </c>
      <c r="G2709" s="8">
        <f t="shared" si="168"/>
        <v>307342100</v>
      </c>
      <c r="H2709" s="5">
        <v>0.9409</v>
      </c>
      <c r="I2709" s="8">
        <f t="shared" si="169"/>
        <v>307342100</v>
      </c>
      <c r="J2709" s="8">
        <f t="shared" si="170"/>
        <v>289178181.89</v>
      </c>
      <c r="K2709" t="str">
        <f t="shared" si="171"/>
        <v>MATCHED</v>
      </c>
    </row>
    <row r="2710" spans="1:11">
      <c r="A2710" t="s">
        <v>112</v>
      </c>
      <c r="B2710" t="s">
        <v>1510</v>
      </c>
      <c r="C2710" t="s">
        <v>375</v>
      </c>
      <c r="D2710" t="s">
        <v>376</v>
      </c>
      <c r="E2710" s="8">
        <v>1800</v>
      </c>
      <c r="F2710" s="8">
        <v>51990</v>
      </c>
      <c r="G2710" s="8">
        <f t="shared" si="168"/>
        <v>93582000</v>
      </c>
      <c r="H2710" s="5">
        <v>0.8237</v>
      </c>
      <c r="I2710" s="8">
        <f t="shared" si="169"/>
        <v>93582000</v>
      </c>
      <c r="J2710" s="8">
        <f t="shared" si="170"/>
        <v>77083493.4</v>
      </c>
      <c r="K2710" t="str">
        <f t="shared" si="171"/>
        <v>MATCHED</v>
      </c>
    </row>
    <row r="2711" spans="1:11">
      <c r="A2711" t="s">
        <v>112</v>
      </c>
      <c r="B2711" t="s">
        <v>1510</v>
      </c>
      <c r="C2711" t="s">
        <v>884</v>
      </c>
      <c r="D2711" t="s">
        <v>885</v>
      </c>
      <c r="E2711" s="8">
        <v>260</v>
      </c>
      <c r="F2711" s="8">
        <v>55450</v>
      </c>
      <c r="G2711" s="8">
        <f t="shared" si="168"/>
        <v>14417000</v>
      </c>
      <c r="H2711" s="5"/>
      <c r="I2711" s="8" t="str">
        <f t="shared" si="169"/>
        <v/>
      </c>
      <c r="J2711" s="8" t="str">
        <f t="shared" si="170"/>
        <v/>
      </c>
      <c r="K2711" t="str">
        <f t="shared" si="171"/>
        <v>MISSING WHARTON</v>
      </c>
    </row>
    <row r="2712" spans="1:11">
      <c r="A2712" t="s">
        <v>112</v>
      </c>
      <c r="B2712" t="s">
        <v>1510</v>
      </c>
      <c r="C2712" t="s">
        <v>1453</v>
      </c>
      <c r="D2712" t="s">
        <v>1454</v>
      </c>
      <c r="E2712" s="8">
        <v>910</v>
      </c>
      <c r="F2712" s="8">
        <v>58280</v>
      </c>
      <c r="G2712" s="8">
        <f t="shared" si="168"/>
        <v>53034800</v>
      </c>
      <c r="H2712" s="5">
        <v>0.95</v>
      </c>
      <c r="I2712" s="8">
        <f t="shared" si="169"/>
        <v>53034800</v>
      </c>
      <c r="J2712" s="8">
        <f t="shared" si="170"/>
        <v>50383060</v>
      </c>
      <c r="K2712" t="str">
        <f t="shared" si="171"/>
        <v>MATCHED</v>
      </c>
    </row>
    <row r="2713" spans="1:11">
      <c r="A2713" t="s">
        <v>112</v>
      </c>
      <c r="B2713" t="s">
        <v>1510</v>
      </c>
      <c r="C2713" t="s">
        <v>1284</v>
      </c>
      <c r="D2713" t="s">
        <v>1285</v>
      </c>
      <c r="E2713" s="8">
        <v>50</v>
      </c>
      <c r="F2713" s="8">
        <v>60570</v>
      </c>
      <c r="G2713" s="8">
        <f t="shared" si="168"/>
        <v>3028500</v>
      </c>
      <c r="H2713" s="5">
        <v>0.85</v>
      </c>
      <c r="I2713" s="8">
        <f t="shared" si="169"/>
        <v>3028500</v>
      </c>
      <c r="J2713" s="8">
        <f t="shared" si="170"/>
        <v>2574225</v>
      </c>
      <c r="K2713" t="str">
        <f t="shared" si="171"/>
        <v>MATCHED</v>
      </c>
    </row>
    <row r="2714" spans="1:11">
      <c r="A2714" t="s">
        <v>112</v>
      </c>
      <c r="B2714" t="s">
        <v>1510</v>
      </c>
      <c r="C2714" t="s">
        <v>1016</v>
      </c>
      <c r="D2714" t="s">
        <v>1017</v>
      </c>
      <c r="E2714" s="8">
        <v>120</v>
      </c>
      <c r="F2714" s="8">
        <v>55000</v>
      </c>
      <c r="G2714" s="8">
        <f t="shared" si="168"/>
        <v>6600000</v>
      </c>
      <c r="H2714" s="5">
        <v>0.9469</v>
      </c>
      <c r="I2714" s="8">
        <f t="shared" si="169"/>
        <v>6600000</v>
      </c>
      <c r="J2714" s="8">
        <f t="shared" si="170"/>
        <v>6249540</v>
      </c>
      <c r="K2714" t="str">
        <f t="shared" si="171"/>
        <v>MATCHED</v>
      </c>
    </row>
    <row r="2715" spans="1:11">
      <c r="A2715" t="s">
        <v>112</v>
      </c>
      <c r="B2715" t="s">
        <v>1510</v>
      </c>
      <c r="C2715" t="s">
        <v>377</v>
      </c>
      <c r="D2715" t="s">
        <v>378</v>
      </c>
      <c r="E2715" s="8">
        <v>99450</v>
      </c>
      <c r="F2715" s="8">
        <v>48500</v>
      </c>
      <c r="G2715" s="8">
        <f t="shared" si="168"/>
        <v>4823325000</v>
      </c>
      <c r="H2715" s="5">
        <v>0.82</v>
      </c>
      <c r="I2715" s="8">
        <f t="shared" si="169"/>
        <v>4823325000</v>
      </c>
      <c r="J2715" s="8">
        <f t="shared" si="170"/>
        <v>3955126500</v>
      </c>
      <c r="K2715" t="str">
        <f t="shared" si="171"/>
        <v>MATCHED</v>
      </c>
    </row>
    <row r="2716" spans="1:11">
      <c r="A2716" t="s">
        <v>112</v>
      </c>
      <c r="B2716" t="s">
        <v>1510</v>
      </c>
      <c r="C2716" t="s">
        <v>1535</v>
      </c>
      <c r="D2716" t="s">
        <v>1536</v>
      </c>
      <c r="E2716" s="8"/>
      <c r="F2716" s="8">
        <v>41540</v>
      </c>
      <c r="G2716" s="8" t="str">
        <f t="shared" si="168"/>
        <v/>
      </c>
      <c r="H2716" s="5">
        <v>0.7912</v>
      </c>
      <c r="I2716" s="8" t="str">
        <f t="shared" si="169"/>
        <v/>
      </c>
      <c r="J2716" s="8" t="str">
        <f t="shared" si="170"/>
        <v/>
      </c>
      <c r="K2716" t="str">
        <f t="shared" si="171"/>
        <v>MISSING OEWS</v>
      </c>
    </row>
    <row r="2717" spans="1:11">
      <c r="A2717" t="s">
        <v>112</v>
      </c>
      <c r="B2717" t="s">
        <v>1510</v>
      </c>
      <c r="C2717" t="s">
        <v>379</v>
      </c>
      <c r="D2717" t="s">
        <v>380</v>
      </c>
      <c r="E2717" s="8">
        <v>2600</v>
      </c>
      <c r="F2717" s="8">
        <v>45060</v>
      </c>
      <c r="G2717" s="8">
        <f t="shared" si="168"/>
        <v>117156000</v>
      </c>
      <c r="H2717" s="5">
        <v>0.7526</v>
      </c>
      <c r="I2717" s="8">
        <f t="shared" si="169"/>
        <v>117156000</v>
      </c>
      <c r="J2717" s="8">
        <f t="shared" si="170"/>
        <v>88171605.6</v>
      </c>
      <c r="K2717" t="str">
        <f t="shared" si="171"/>
        <v>MATCHED</v>
      </c>
    </row>
    <row r="2718" spans="1:11">
      <c r="A2718" t="s">
        <v>112</v>
      </c>
      <c r="B2718" t="s">
        <v>1510</v>
      </c>
      <c r="C2718" t="s">
        <v>1506</v>
      </c>
      <c r="D2718" t="s">
        <v>1507</v>
      </c>
      <c r="E2718" s="8">
        <v>90</v>
      </c>
      <c r="F2718" s="8">
        <v>42630</v>
      </c>
      <c r="G2718" s="8">
        <f t="shared" si="168"/>
        <v>3836700</v>
      </c>
      <c r="H2718" s="5">
        <v>0.665</v>
      </c>
      <c r="I2718" s="8">
        <f t="shared" si="169"/>
        <v>3836700</v>
      </c>
      <c r="J2718" s="8">
        <f t="shared" si="170"/>
        <v>2551405.5</v>
      </c>
      <c r="K2718" t="str">
        <f t="shared" si="171"/>
        <v>MATCHED</v>
      </c>
    </row>
    <row r="2719" spans="1:11">
      <c r="A2719" t="s">
        <v>112</v>
      </c>
      <c r="B2719" t="s">
        <v>1510</v>
      </c>
      <c r="C2719" t="s">
        <v>1286</v>
      </c>
      <c r="D2719" t="s">
        <v>1287</v>
      </c>
      <c r="E2719" s="8"/>
      <c r="F2719" s="8">
        <v>61890</v>
      </c>
      <c r="G2719" s="8" t="str">
        <f t="shared" si="168"/>
        <v/>
      </c>
      <c r="H2719" s="5">
        <v>0.7088</v>
      </c>
      <c r="I2719" s="8" t="str">
        <f t="shared" si="169"/>
        <v/>
      </c>
      <c r="J2719" s="8" t="str">
        <f t="shared" si="170"/>
        <v/>
      </c>
      <c r="K2719" t="str">
        <f t="shared" si="171"/>
        <v>MISSING OEWS</v>
      </c>
    </row>
    <row r="2720" spans="1:11">
      <c r="A2720" t="s">
        <v>112</v>
      </c>
      <c r="B2720" t="s">
        <v>1510</v>
      </c>
      <c r="C2720" t="s">
        <v>381</v>
      </c>
      <c r="D2720" t="s">
        <v>382</v>
      </c>
      <c r="E2720" s="8">
        <v>5450</v>
      </c>
      <c r="F2720" s="8">
        <v>46330</v>
      </c>
      <c r="G2720" s="8">
        <f t="shared" si="168"/>
        <v>252498500</v>
      </c>
      <c r="H2720" s="5">
        <v>0.9553</v>
      </c>
      <c r="I2720" s="8">
        <f t="shared" si="169"/>
        <v>252498500</v>
      </c>
      <c r="J2720" s="8">
        <f t="shared" si="170"/>
        <v>241211817.05</v>
      </c>
      <c r="K2720" t="str">
        <f t="shared" si="171"/>
        <v>MATCHED</v>
      </c>
    </row>
    <row r="2721" spans="1:11">
      <c r="A2721" t="s">
        <v>112</v>
      </c>
      <c r="B2721" t="s">
        <v>1510</v>
      </c>
      <c r="C2721" t="s">
        <v>383</v>
      </c>
      <c r="D2721" t="s">
        <v>384</v>
      </c>
      <c r="E2721" s="8">
        <v>4980</v>
      </c>
      <c r="F2721" s="8">
        <v>54090</v>
      </c>
      <c r="G2721" s="8">
        <f t="shared" si="168"/>
        <v>269368200</v>
      </c>
      <c r="H2721" s="5">
        <v>0.8342</v>
      </c>
      <c r="I2721" s="8">
        <f t="shared" si="169"/>
        <v>269368200</v>
      </c>
      <c r="J2721" s="8">
        <f t="shared" si="170"/>
        <v>224706952.44</v>
      </c>
      <c r="K2721" t="str">
        <f t="shared" si="171"/>
        <v>MATCHED</v>
      </c>
    </row>
    <row r="2722" spans="1:11">
      <c r="A2722" t="s">
        <v>112</v>
      </c>
      <c r="B2722" t="s">
        <v>1510</v>
      </c>
      <c r="C2722" t="s">
        <v>385</v>
      </c>
      <c r="D2722" t="s">
        <v>386</v>
      </c>
      <c r="E2722" s="8">
        <v>4440</v>
      </c>
      <c r="F2722" s="8">
        <v>42230</v>
      </c>
      <c r="G2722" s="8">
        <f t="shared" si="168"/>
        <v>187501200</v>
      </c>
      <c r="H2722" s="5">
        <v>0.7368</v>
      </c>
      <c r="I2722" s="8">
        <f t="shared" si="169"/>
        <v>187501200</v>
      </c>
      <c r="J2722" s="8">
        <f t="shared" si="170"/>
        <v>138150884.16</v>
      </c>
      <c r="K2722" t="str">
        <f t="shared" si="171"/>
        <v>MATCHED</v>
      </c>
    </row>
    <row r="2723" spans="1:11">
      <c r="A2723" t="s">
        <v>112</v>
      </c>
      <c r="B2723" t="s">
        <v>1510</v>
      </c>
      <c r="C2723" t="s">
        <v>1537</v>
      </c>
      <c r="D2723" t="s">
        <v>1538</v>
      </c>
      <c r="E2723" s="8">
        <v>92920</v>
      </c>
      <c r="F2723" s="8">
        <v>50280</v>
      </c>
      <c r="G2723" s="8">
        <f t="shared" si="168"/>
        <v>4672017600</v>
      </c>
      <c r="H2723" s="5">
        <v>0.7714</v>
      </c>
      <c r="I2723" s="8">
        <f t="shared" si="169"/>
        <v>4672017600</v>
      </c>
      <c r="J2723" s="8">
        <f t="shared" si="170"/>
        <v>3603994376.64</v>
      </c>
      <c r="K2723" t="str">
        <f t="shared" si="171"/>
        <v>MATCHED</v>
      </c>
    </row>
    <row r="2724" spans="1:11">
      <c r="A2724" t="s">
        <v>112</v>
      </c>
      <c r="B2724" t="s">
        <v>1510</v>
      </c>
      <c r="C2724" t="s">
        <v>658</v>
      </c>
      <c r="D2724" t="s">
        <v>659</v>
      </c>
      <c r="E2724" s="8">
        <v>2040</v>
      </c>
      <c r="F2724" s="8">
        <v>62120</v>
      </c>
      <c r="G2724" s="8">
        <f t="shared" si="168"/>
        <v>126724800</v>
      </c>
      <c r="H2724" s="5"/>
      <c r="I2724" s="8" t="str">
        <f t="shared" si="169"/>
        <v/>
      </c>
      <c r="J2724" s="8" t="str">
        <f t="shared" si="170"/>
        <v/>
      </c>
      <c r="K2724" t="str">
        <f t="shared" si="171"/>
        <v>MISSING WHARTON</v>
      </c>
    </row>
    <row r="2725" spans="1:11">
      <c r="A2725" t="s">
        <v>112</v>
      </c>
      <c r="B2725" t="s">
        <v>1510</v>
      </c>
      <c r="C2725" t="s">
        <v>1288</v>
      </c>
      <c r="D2725" t="s">
        <v>1289</v>
      </c>
      <c r="E2725" s="8">
        <v>89580</v>
      </c>
      <c r="F2725" s="8">
        <v>57210</v>
      </c>
      <c r="G2725" s="8">
        <f t="shared" si="168"/>
        <v>5124871800</v>
      </c>
      <c r="H2725" s="5">
        <v>0.6384</v>
      </c>
      <c r="I2725" s="8">
        <f t="shared" si="169"/>
        <v>5124871800</v>
      </c>
      <c r="J2725" s="8">
        <f t="shared" si="170"/>
        <v>3271718157.12</v>
      </c>
      <c r="K2725" t="str">
        <f t="shared" si="171"/>
        <v>MATCHED</v>
      </c>
    </row>
    <row r="2726" spans="1:11">
      <c r="A2726" t="s">
        <v>112</v>
      </c>
      <c r="B2726" t="s">
        <v>1510</v>
      </c>
      <c r="C2726" t="s">
        <v>886</v>
      </c>
      <c r="D2726" t="s">
        <v>887</v>
      </c>
      <c r="E2726" s="8">
        <v>20070</v>
      </c>
      <c r="F2726" s="8">
        <v>40930</v>
      </c>
      <c r="G2726" s="8">
        <f t="shared" si="168"/>
        <v>821465100</v>
      </c>
      <c r="H2726" s="5">
        <v>0.2235</v>
      </c>
      <c r="I2726" s="8">
        <f t="shared" si="169"/>
        <v>821465100</v>
      </c>
      <c r="J2726" s="8">
        <f t="shared" si="170"/>
        <v>183597449.85</v>
      </c>
      <c r="K2726" t="str">
        <f t="shared" si="171"/>
        <v>MATCHED</v>
      </c>
    </row>
    <row r="2727" spans="1:11">
      <c r="A2727" t="s">
        <v>112</v>
      </c>
      <c r="B2727" t="s">
        <v>1510</v>
      </c>
      <c r="C2727" t="s">
        <v>387</v>
      </c>
      <c r="D2727" t="s">
        <v>388</v>
      </c>
      <c r="E2727" s="8">
        <v>85220</v>
      </c>
      <c r="F2727" s="8">
        <v>54740</v>
      </c>
      <c r="G2727" s="8">
        <f t="shared" si="168"/>
        <v>4664942800</v>
      </c>
      <c r="H2727" s="5">
        <v>0.8192</v>
      </c>
      <c r="I2727" s="8">
        <f t="shared" si="169"/>
        <v>4664942800</v>
      </c>
      <c r="J2727" s="8">
        <f t="shared" si="170"/>
        <v>3821521141.76</v>
      </c>
      <c r="K2727" t="str">
        <f t="shared" si="171"/>
        <v>MATCHED</v>
      </c>
    </row>
    <row r="2728" spans="1:11">
      <c r="A2728" t="s">
        <v>112</v>
      </c>
      <c r="B2728" t="s">
        <v>1510</v>
      </c>
      <c r="C2728" t="s">
        <v>1539</v>
      </c>
      <c r="D2728" t="s">
        <v>1540</v>
      </c>
      <c r="E2728" s="8">
        <v>73720</v>
      </c>
      <c r="F2728" s="8">
        <v>61860</v>
      </c>
      <c r="G2728" s="8">
        <f t="shared" si="168"/>
        <v>4560319200</v>
      </c>
      <c r="H2728" s="5">
        <v>0.5071</v>
      </c>
      <c r="I2728" s="8">
        <f t="shared" si="169"/>
        <v>4560319200</v>
      </c>
      <c r="J2728" s="8">
        <f t="shared" si="170"/>
        <v>2312537866.32</v>
      </c>
      <c r="K2728" t="str">
        <f t="shared" si="171"/>
        <v>MATCHED</v>
      </c>
    </row>
    <row r="2729" spans="1:11">
      <c r="A2729" t="s">
        <v>112</v>
      </c>
      <c r="B2729" t="s">
        <v>1510</v>
      </c>
      <c r="C2729" t="s">
        <v>1541</v>
      </c>
      <c r="D2729" t="s">
        <v>1542</v>
      </c>
      <c r="E2729" s="8">
        <v>328820</v>
      </c>
      <c r="F2729" s="8">
        <v>62540</v>
      </c>
      <c r="G2729" s="8">
        <f t="shared" si="168"/>
        <v>20564402800</v>
      </c>
      <c r="H2729" s="5">
        <v>0.3909</v>
      </c>
      <c r="I2729" s="8">
        <f t="shared" si="169"/>
        <v>20564402800</v>
      </c>
      <c r="J2729" s="8">
        <f t="shared" si="170"/>
        <v>8038625054.52</v>
      </c>
      <c r="K2729" t="str">
        <f t="shared" si="171"/>
        <v>MATCHED</v>
      </c>
    </row>
    <row r="2730" spans="1:11">
      <c r="A2730" t="s">
        <v>112</v>
      </c>
      <c r="B2730" t="s">
        <v>1510</v>
      </c>
      <c r="C2730" t="s">
        <v>1543</v>
      </c>
      <c r="D2730" t="s">
        <v>1544</v>
      </c>
      <c r="E2730" s="8">
        <v>105200</v>
      </c>
      <c r="F2730" s="8">
        <v>59430</v>
      </c>
      <c r="G2730" s="8">
        <f t="shared" si="168"/>
        <v>6252036000</v>
      </c>
      <c r="H2730" s="5">
        <v>0.2794</v>
      </c>
      <c r="I2730" s="8">
        <f t="shared" si="169"/>
        <v>6252036000</v>
      </c>
      <c r="J2730" s="8">
        <f t="shared" si="170"/>
        <v>1746818858.4</v>
      </c>
      <c r="K2730" t="str">
        <f t="shared" si="171"/>
        <v>MATCHED</v>
      </c>
    </row>
    <row r="2731" spans="1:11">
      <c r="A2731" t="s">
        <v>112</v>
      </c>
      <c r="B2731" t="s">
        <v>1510</v>
      </c>
      <c r="C2731" t="s">
        <v>389</v>
      </c>
      <c r="D2731" t="s">
        <v>390</v>
      </c>
      <c r="E2731" s="8">
        <v>37360</v>
      </c>
      <c r="F2731" s="8">
        <v>59320</v>
      </c>
      <c r="G2731" s="8">
        <f t="shared" si="168"/>
        <v>2216195200</v>
      </c>
      <c r="H2731" s="5">
        <v>0.7794</v>
      </c>
      <c r="I2731" s="8">
        <f t="shared" si="169"/>
        <v>2216195200</v>
      </c>
      <c r="J2731" s="8">
        <f t="shared" si="170"/>
        <v>1727302538.88</v>
      </c>
      <c r="K2731" t="str">
        <f t="shared" si="171"/>
        <v>MATCHED</v>
      </c>
    </row>
    <row r="2732" spans="1:11">
      <c r="A2732" t="s">
        <v>112</v>
      </c>
      <c r="B2732" t="s">
        <v>1510</v>
      </c>
      <c r="C2732" t="s">
        <v>391</v>
      </c>
      <c r="D2732" t="s">
        <v>392</v>
      </c>
      <c r="E2732" s="8">
        <v>133660</v>
      </c>
      <c r="F2732" s="8">
        <v>49310</v>
      </c>
      <c r="G2732" s="8">
        <f t="shared" si="168"/>
        <v>6590774600</v>
      </c>
      <c r="H2732" s="5">
        <v>0.6455</v>
      </c>
      <c r="I2732" s="8">
        <f t="shared" si="169"/>
        <v>6590774600</v>
      </c>
      <c r="J2732" s="8">
        <f t="shared" si="170"/>
        <v>4254345004.3</v>
      </c>
      <c r="K2732" t="str">
        <f t="shared" si="171"/>
        <v>MATCHED</v>
      </c>
    </row>
    <row r="2733" spans="1:11">
      <c r="A2733" t="s">
        <v>112</v>
      </c>
      <c r="B2733" t="s">
        <v>1510</v>
      </c>
      <c r="C2733" t="s">
        <v>393</v>
      </c>
      <c r="D2733" t="s">
        <v>394</v>
      </c>
      <c r="E2733" s="8">
        <v>15620</v>
      </c>
      <c r="F2733" s="8">
        <v>52910</v>
      </c>
      <c r="G2733" s="8">
        <f t="shared" si="168"/>
        <v>826454200</v>
      </c>
      <c r="H2733" s="5">
        <v>0.2932</v>
      </c>
      <c r="I2733" s="8">
        <f t="shared" si="169"/>
        <v>826454200</v>
      </c>
      <c r="J2733" s="8">
        <f t="shared" si="170"/>
        <v>242316371.44</v>
      </c>
      <c r="K2733" t="str">
        <f t="shared" si="171"/>
        <v>MATCHED</v>
      </c>
    </row>
    <row r="2734" spans="1:11">
      <c r="A2734" t="s">
        <v>112</v>
      </c>
      <c r="B2734" t="s">
        <v>1510</v>
      </c>
      <c r="C2734" t="s">
        <v>395</v>
      </c>
      <c r="D2734" t="s">
        <v>396</v>
      </c>
      <c r="E2734" s="8">
        <v>4780</v>
      </c>
      <c r="F2734" s="8">
        <v>76800</v>
      </c>
      <c r="G2734" s="8">
        <f t="shared" si="168"/>
        <v>367104000</v>
      </c>
      <c r="H2734" s="5">
        <v>0.7955</v>
      </c>
      <c r="I2734" s="8">
        <f t="shared" si="169"/>
        <v>367104000</v>
      </c>
      <c r="J2734" s="8">
        <f t="shared" si="170"/>
        <v>292031232</v>
      </c>
      <c r="K2734" t="str">
        <f t="shared" si="171"/>
        <v>MATCHED</v>
      </c>
    </row>
    <row r="2735" spans="1:11">
      <c r="A2735" t="s">
        <v>112</v>
      </c>
      <c r="B2735" t="s">
        <v>1510</v>
      </c>
      <c r="C2735" t="s">
        <v>890</v>
      </c>
      <c r="D2735" t="s">
        <v>891</v>
      </c>
      <c r="E2735" s="8">
        <v>80</v>
      </c>
      <c r="F2735" s="8">
        <v>71670</v>
      </c>
      <c r="G2735" s="8">
        <f t="shared" si="168"/>
        <v>5733600</v>
      </c>
      <c r="H2735" s="5">
        <v>0.8679</v>
      </c>
      <c r="I2735" s="8">
        <f t="shared" si="169"/>
        <v>5733600</v>
      </c>
      <c r="J2735" s="8">
        <f t="shared" si="170"/>
        <v>4976191.44</v>
      </c>
      <c r="K2735" t="str">
        <f t="shared" si="171"/>
        <v>MATCHED</v>
      </c>
    </row>
    <row r="2736" spans="1:11">
      <c r="A2736" t="s">
        <v>112</v>
      </c>
      <c r="B2736" t="s">
        <v>1510</v>
      </c>
      <c r="C2736" t="s">
        <v>397</v>
      </c>
      <c r="D2736" t="s">
        <v>398</v>
      </c>
      <c r="E2736" s="8">
        <v>37410</v>
      </c>
      <c r="F2736" s="8">
        <v>49060</v>
      </c>
      <c r="G2736" s="8">
        <f t="shared" si="168"/>
        <v>1835334600</v>
      </c>
      <c r="H2736" s="5">
        <v>0.8031</v>
      </c>
      <c r="I2736" s="8">
        <f t="shared" si="169"/>
        <v>1835334600</v>
      </c>
      <c r="J2736" s="8">
        <f t="shared" si="170"/>
        <v>1473957217.26</v>
      </c>
      <c r="K2736" t="str">
        <f t="shared" si="171"/>
        <v>MATCHED</v>
      </c>
    </row>
    <row r="2737" spans="1:11">
      <c r="A2737" t="s">
        <v>112</v>
      </c>
      <c r="B2737" t="s">
        <v>1510</v>
      </c>
      <c r="C2737" t="s">
        <v>399</v>
      </c>
      <c r="D2737" t="s">
        <v>400</v>
      </c>
      <c r="E2737" s="8">
        <v>5710</v>
      </c>
      <c r="F2737" s="8">
        <v>45640</v>
      </c>
      <c r="G2737" s="8">
        <f t="shared" si="168"/>
        <v>260604400</v>
      </c>
      <c r="H2737" s="5">
        <v>0.75</v>
      </c>
      <c r="I2737" s="8">
        <f t="shared" si="169"/>
        <v>260604400</v>
      </c>
      <c r="J2737" s="8">
        <f t="shared" si="170"/>
        <v>195453300</v>
      </c>
      <c r="K2737" t="str">
        <f t="shared" si="171"/>
        <v>MATCHED</v>
      </c>
    </row>
    <row r="2738" spans="1:11">
      <c r="A2738" t="s">
        <v>112</v>
      </c>
      <c r="B2738" t="s">
        <v>1510</v>
      </c>
      <c r="C2738" t="s">
        <v>1455</v>
      </c>
      <c r="D2738" t="s">
        <v>1456</v>
      </c>
      <c r="E2738" s="8">
        <v>40</v>
      </c>
      <c r="F2738" s="8">
        <v>57920</v>
      </c>
      <c r="G2738" s="8">
        <f t="shared" si="168"/>
        <v>2316800</v>
      </c>
      <c r="H2738" s="5">
        <v>0.835</v>
      </c>
      <c r="I2738" s="8">
        <f t="shared" si="169"/>
        <v>2316800</v>
      </c>
      <c r="J2738" s="8">
        <f t="shared" si="170"/>
        <v>1934528</v>
      </c>
      <c r="K2738" t="str">
        <f t="shared" si="171"/>
        <v>MATCHED</v>
      </c>
    </row>
    <row r="2739" spans="1:11">
      <c r="A2739" t="s">
        <v>112</v>
      </c>
      <c r="B2739" t="s">
        <v>1510</v>
      </c>
      <c r="C2739" t="s">
        <v>1020</v>
      </c>
      <c r="D2739" t="s">
        <v>1021</v>
      </c>
      <c r="E2739" s="8">
        <v>170</v>
      </c>
      <c r="F2739" s="8">
        <v>67440</v>
      </c>
      <c r="G2739" s="8">
        <f t="shared" si="168"/>
        <v>11464800</v>
      </c>
      <c r="H2739" s="5">
        <v>0.9519</v>
      </c>
      <c r="I2739" s="8">
        <f t="shared" si="169"/>
        <v>11464800</v>
      </c>
      <c r="J2739" s="8">
        <f t="shared" si="170"/>
        <v>10913343.12</v>
      </c>
      <c r="K2739" t="str">
        <f t="shared" si="171"/>
        <v>MATCHED</v>
      </c>
    </row>
    <row r="2740" spans="1:11">
      <c r="A2740" t="s">
        <v>112</v>
      </c>
      <c r="B2740" t="s">
        <v>1510</v>
      </c>
      <c r="C2740" t="s">
        <v>892</v>
      </c>
      <c r="D2740" t="s">
        <v>893</v>
      </c>
      <c r="E2740" s="8">
        <v>1020</v>
      </c>
      <c r="F2740" s="8">
        <v>41020</v>
      </c>
      <c r="G2740" s="8">
        <f t="shared" si="168"/>
        <v>41840400</v>
      </c>
      <c r="H2740" s="5">
        <v>0.231</v>
      </c>
      <c r="I2740" s="8">
        <f t="shared" si="169"/>
        <v>41840400</v>
      </c>
      <c r="J2740" s="8">
        <f t="shared" si="170"/>
        <v>9665132.4</v>
      </c>
      <c r="K2740" t="str">
        <f t="shared" si="171"/>
        <v>MATCHED</v>
      </c>
    </row>
    <row r="2741" spans="1:11">
      <c r="A2741" t="s">
        <v>112</v>
      </c>
      <c r="B2741" t="s">
        <v>1510</v>
      </c>
      <c r="C2741" t="s">
        <v>401</v>
      </c>
      <c r="D2741" t="s">
        <v>402</v>
      </c>
      <c r="E2741" s="8">
        <v>86900</v>
      </c>
      <c r="F2741" s="8">
        <v>47310</v>
      </c>
      <c r="G2741" s="8">
        <f t="shared" si="168"/>
        <v>4111239000</v>
      </c>
      <c r="H2741" s="5">
        <v>0.7452</v>
      </c>
      <c r="I2741" s="8">
        <f t="shared" si="169"/>
        <v>4111239000</v>
      </c>
      <c r="J2741" s="8">
        <f t="shared" si="170"/>
        <v>3063695302.8</v>
      </c>
      <c r="K2741" t="str">
        <f t="shared" si="171"/>
        <v>MATCHED</v>
      </c>
    </row>
    <row r="2742" spans="1:11">
      <c r="A2742" t="s">
        <v>112</v>
      </c>
      <c r="B2742" t="s">
        <v>1510</v>
      </c>
      <c r="C2742" t="s">
        <v>660</v>
      </c>
      <c r="D2742" t="s">
        <v>661</v>
      </c>
      <c r="E2742" s="8">
        <v>490</v>
      </c>
      <c r="F2742" s="8">
        <v>39590</v>
      </c>
      <c r="G2742" s="8">
        <f t="shared" si="168"/>
        <v>19399100</v>
      </c>
      <c r="H2742" s="5">
        <v>0.2639</v>
      </c>
      <c r="I2742" s="8">
        <f t="shared" si="169"/>
        <v>19399100</v>
      </c>
      <c r="J2742" s="8">
        <f t="shared" si="170"/>
        <v>5119422.49</v>
      </c>
      <c r="K2742" t="str">
        <f t="shared" si="171"/>
        <v>MATCHED</v>
      </c>
    </row>
    <row r="2743" spans="1:11">
      <c r="A2743" t="s">
        <v>112</v>
      </c>
      <c r="B2743" t="s">
        <v>1510</v>
      </c>
      <c r="C2743" t="s">
        <v>1545</v>
      </c>
      <c r="D2743" t="s">
        <v>1546</v>
      </c>
      <c r="E2743" s="8">
        <v>90</v>
      </c>
      <c r="F2743" s="8">
        <v>98590</v>
      </c>
      <c r="G2743" s="8">
        <f t="shared" si="168"/>
        <v>8873100</v>
      </c>
      <c r="H2743" s="5">
        <v>0.8679</v>
      </c>
      <c r="I2743" s="8">
        <f t="shared" si="169"/>
        <v>8873100</v>
      </c>
      <c r="J2743" s="8">
        <f t="shared" si="170"/>
        <v>7700963.49</v>
      </c>
      <c r="K2743" t="str">
        <f t="shared" si="171"/>
        <v>MATCHED</v>
      </c>
    </row>
    <row r="2744" spans="1:11">
      <c r="A2744" t="s">
        <v>112</v>
      </c>
      <c r="B2744" t="s">
        <v>1510</v>
      </c>
      <c r="C2744" t="s">
        <v>662</v>
      </c>
      <c r="D2744" t="s">
        <v>663</v>
      </c>
      <c r="E2744" s="8">
        <v>2270</v>
      </c>
      <c r="F2744" s="8">
        <v>54780</v>
      </c>
      <c r="G2744" s="8">
        <f t="shared" si="168"/>
        <v>124350600</v>
      </c>
      <c r="H2744" s="5"/>
      <c r="I2744" s="8" t="str">
        <f t="shared" si="169"/>
        <v/>
      </c>
      <c r="J2744" s="8" t="str">
        <f t="shared" si="170"/>
        <v/>
      </c>
      <c r="K2744" t="str">
        <f t="shared" si="171"/>
        <v>MISSING WHARTON</v>
      </c>
    </row>
    <row r="2745" spans="1:11">
      <c r="A2745" t="s">
        <v>112</v>
      </c>
      <c r="B2745" t="s">
        <v>1510</v>
      </c>
      <c r="C2745" t="s">
        <v>403</v>
      </c>
      <c r="D2745" t="s">
        <v>404</v>
      </c>
      <c r="E2745" s="8">
        <v>170</v>
      </c>
      <c r="F2745" s="8">
        <v>63140</v>
      </c>
      <c r="G2745" s="8">
        <f t="shared" si="168"/>
        <v>10733800</v>
      </c>
      <c r="H2745" s="5">
        <v>0.22</v>
      </c>
      <c r="I2745" s="8">
        <f t="shared" si="169"/>
        <v>10733800</v>
      </c>
      <c r="J2745" s="8">
        <f t="shared" si="170"/>
        <v>2361436</v>
      </c>
      <c r="K2745" t="str">
        <f t="shared" si="171"/>
        <v>MATCHED</v>
      </c>
    </row>
    <row r="2746" spans="1:11">
      <c r="A2746" t="s">
        <v>112</v>
      </c>
      <c r="B2746" t="s">
        <v>1510</v>
      </c>
      <c r="C2746" t="s">
        <v>405</v>
      </c>
      <c r="D2746" t="s">
        <v>406</v>
      </c>
      <c r="E2746" s="8">
        <v>110</v>
      </c>
      <c r="F2746" s="8">
        <v>57400</v>
      </c>
      <c r="G2746" s="8">
        <f t="shared" si="168"/>
        <v>6314000</v>
      </c>
      <c r="H2746" s="5">
        <v>0.15</v>
      </c>
      <c r="I2746" s="8">
        <f t="shared" si="169"/>
        <v>6314000</v>
      </c>
      <c r="J2746" s="8">
        <f t="shared" si="170"/>
        <v>947100</v>
      </c>
      <c r="K2746" t="str">
        <f t="shared" si="171"/>
        <v>MATCHED</v>
      </c>
    </row>
    <row r="2747" spans="1:11">
      <c r="A2747" t="s">
        <v>112</v>
      </c>
      <c r="B2747" t="s">
        <v>1510</v>
      </c>
      <c r="C2747" t="s">
        <v>409</v>
      </c>
      <c r="D2747" t="s">
        <v>410</v>
      </c>
      <c r="E2747" s="8">
        <v>360</v>
      </c>
      <c r="F2747" s="8">
        <v>36490</v>
      </c>
      <c r="G2747" s="8">
        <f t="shared" si="168"/>
        <v>13136400</v>
      </c>
      <c r="H2747" s="5">
        <v>0.1583</v>
      </c>
      <c r="I2747" s="8">
        <f t="shared" si="169"/>
        <v>13136400</v>
      </c>
      <c r="J2747" s="8">
        <f t="shared" si="170"/>
        <v>2079492.12</v>
      </c>
      <c r="K2747" t="str">
        <f t="shared" si="171"/>
        <v>MATCHED</v>
      </c>
    </row>
    <row r="2748" spans="1:11">
      <c r="A2748" t="s">
        <v>112</v>
      </c>
      <c r="B2748" t="s">
        <v>1510</v>
      </c>
      <c r="C2748" t="s">
        <v>411</v>
      </c>
      <c r="D2748" t="s">
        <v>412</v>
      </c>
      <c r="E2748" s="8">
        <v>960</v>
      </c>
      <c r="F2748" s="8">
        <v>51340</v>
      </c>
      <c r="G2748" s="8">
        <f t="shared" si="168"/>
        <v>49286400</v>
      </c>
      <c r="H2748" s="5">
        <v>0.0559</v>
      </c>
      <c r="I2748" s="8">
        <f t="shared" si="169"/>
        <v>49286400</v>
      </c>
      <c r="J2748" s="8">
        <f t="shared" si="170"/>
        <v>2755109.76</v>
      </c>
      <c r="K2748" t="str">
        <f t="shared" si="171"/>
        <v>MATCHED</v>
      </c>
    </row>
    <row r="2749" spans="1:11">
      <c r="A2749" t="s">
        <v>112</v>
      </c>
      <c r="B2749" t="s">
        <v>1510</v>
      </c>
      <c r="C2749" t="s">
        <v>413</v>
      </c>
      <c r="D2749" t="s">
        <v>414</v>
      </c>
      <c r="E2749" s="8">
        <v>470</v>
      </c>
      <c r="F2749" s="8">
        <v>37790</v>
      </c>
      <c r="G2749" s="8">
        <f t="shared" si="168"/>
        <v>17761300</v>
      </c>
      <c r="H2749" s="5">
        <v>0.0633</v>
      </c>
      <c r="I2749" s="8">
        <f t="shared" si="169"/>
        <v>17761300</v>
      </c>
      <c r="J2749" s="8">
        <f t="shared" si="170"/>
        <v>1124290.29</v>
      </c>
      <c r="K2749" t="str">
        <f t="shared" si="171"/>
        <v>MATCHED</v>
      </c>
    </row>
    <row r="2750" spans="1:11">
      <c r="A2750" t="s">
        <v>112</v>
      </c>
      <c r="B2750" t="s">
        <v>1510</v>
      </c>
      <c r="C2750" t="s">
        <v>415</v>
      </c>
      <c r="D2750" t="s">
        <v>416</v>
      </c>
      <c r="E2750" s="8">
        <v>410</v>
      </c>
      <c r="F2750" s="8">
        <v>41200</v>
      </c>
      <c r="G2750" s="8">
        <f t="shared" si="168"/>
        <v>16892000</v>
      </c>
      <c r="H2750" s="5">
        <v>0.0864</v>
      </c>
      <c r="I2750" s="8">
        <f t="shared" si="169"/>
        <v>16892000</v>
      </c>
      <c r="J2750" s="8">
        <f t="shared" si="170"/>
        <v>1459468.8</v>
      </c>
      <c r="K2750" t="str">
        <f t="shared" si="171"/>
        <v>MATCHED</v>
      </c>
    </row>
    <row r="2751" spans="1:11">
      <c r="A2751" t="s">
        <v>112</v>
      </c>
      <c r="B2751" t="s">
        <v>1510</v>
      </c>
      <c r="C2751" t="s">
        <v>421</v>
      </c>
      <c r="D2751" t="s">
        <v>422</v>
      </c>
      <c r="E2751" s="8">
        <v>160</v>
      </c>
      <c r="F2751" s="8">
        <v>62250</v>
      </c>
      <c r="G2751" s="8">
        <f t="shared" si="168"/>
        <v>9960000</v>
      </c>
      <c r="H2751" s="5">
        <v>0.2111</v>
      </c>
      <c r="I2751" s="8">
        <f t="shared" si="169"/>
        <v>9960000</v>
      </c>
      <c r="J2751" s="8">
        <f t="shared" si="170"/>
        <v>2102556</v>
      </c>
      <c r="K2751" t="str">
        <f t="shared" si="171"/>
        <v>MATCHED</v>
      </c>
    </row>
    <row r="2752" spans="1:11">
      <c r="A2752" t="s">
        <v>112</v>
      </c>
      <c r="B2752" t="s">
        <v>1510</v>
      </c>
      <c r="C2752" t="s">
        <v>664</v>
      </c>
      <c r="D2752" t="s">
        <v>665</v>
      </c>
      <c r="E2752" s="8">
        <v>6300</v>
      </c>
      <c r="F2752" s="8">
        <v>96250</v>
      </c>
      <c r="G2752" s="8">
        <f t="shared" si="168"/>
        <v>606375000</v>
      </c>
      <c r="H2752" s="5">
        <v>0.265</v>
      </c>
      <c r="I2752" s="8">
        <f t="shared" si="169"/>
        <v>606375000</v>
      </c>
      <c r="J2752" s="8">
        <f t="shared" si="170"/>
        <v>160689375</v>
      </c>
      <c r="K2752" t="str">
        <f t="shared" si="171"/>
        <v>MATCHED</v>
      </c>
    </row>
    <row r="2753" spans="1:11">
      <c r="A2753" t="s">
        <v>112</v>
      </c>
      <c r="B2753" t="s">
        <v>1510</v>
      </c>
      <c r="C2753" t="s">
        <v>666</v>
      </c>
      <c r="D2753" t="s">
        <v>667</v>
      </c>
      <c r="E2753" s="8">
        <v>100</v>
      </c>
      <c r="F2753" s="8">
        <v>79970</v>
      </c>
      <c r="G2753" s="8">
        <f t="shared" si="168"/>
        <v>7997000</v>
      </c>
      <c r="H2753" s="5">
        <v>0</v>
      </c>
      <c r="I2753" s="8">
        <f t="shared" si="169"/>
        <v>7997000</v>
      </c>
      <c r="J2753" s="8">
        <f t="shared" si="170"/>
        <v>0</v>
      </c>
      <c r="K2753" t="str">
        <f t="shared" si="171"/>
        <v>MATCHED</v>
      </c>
    </row>
    <row r="2754" spans="1:11">
      <c r="A2754" t="s">
        <v>112</v>
      </c>
      <c r="B2754" t="s">
        <v>1510</v>
      </c>
      <c r="C2754" t="s">
        <v>427</v>
      </c>
      <c r="D2754" t="s">
        <v>428</v>
      </c>
      <c r="E2754" s="8">
        <v>1640</v>
      </c>
      <c r="F2754" s="8">
        <v>62450</v>
      </c>
      <c r="G2754" s="8">
        <f t="shared" ref="G2754:G2817" si="172">IF(OR(E2754="",F2754=""),"",E2754*F2754)</f>
        <v>102418000</v>
      </c>
      <c r="H2754" s="5">
        <v>0.081</v>
      </c>
      <c r="I2754" s="8">
        <f t="shared" ref="I2754:I2817" si="173">IF(G2754="","",IF(ISNUMBER(H2754),G2754,""))</f>
        <v>102418000</v>
      </c>
      <c r="J2754" s="8">
        <f t="shared" ref="J2754:J2817" si="174">IF(I2754="","",I2754*H2754)</f>
        <v>8295858</v>
      </c>
      <c r="K2754" t="str">
        <f t="shared" ref="K2754:K2817" si="175">IF(G2754="","MISSING OEWS",IF(ISNUMBER(H2754),"MATCHED","MISSING WHARTON"))</f>
        <v>MATCHED</v>
      </c>
    </row>
    <row r="2755" spans="1:11">
      <c r="A2755" t="s">
        <v>112</v>
      </c>
      <c r="B2755" t="s">
        <v>1510</v>
      </c>
      <c r="C2755" t="s">
        <v>670</v>
      </c>
      <c r="D2755" t="s">
        <v>671</v>
      </c>
      <c r="E2755" s="8">
        <v>2250</v>
      </c>
      <c r="F2755" s="8">
        <v>46410</v>
      </c>
      <c r="G2755" s="8">
        <f t="shared" si="172"/>
        <v>104422500</v>
      </c>
      <c r="H2755" s="5">
        <v>0.0297</v>
      </c>
      <c r="I2755" s="8">
        <f t="shared" si="173"/>
        <v>104422500</v>
      </c>
      <c r="J2755" s="8">
        <f t="shared" si="174"/>
        <v>3101348.25</v>
      </c>
      <c r="K2755" t="str">
        <f t="shared" si="175"/>
        <v>MATCHED</v>
      </c>
    </row>
    <row r="2756" spans="1:11">
      <c r="A2756" t="s">
        <v>112</v>
      </c>
      <c r="B2756" t="s">
        <v>1510</v>
      </c>
      <c r="C2756" t="s">
        <v>672</v>
      </c>
      <c r="D2756" t="s">
        <v>673</v>
      </c>
      <c r="E2756" s="8">
        <v>260</v>
      </c>
      <c r="F2756" s="8">
        <v>61520</v>
      </c>
      <c r="G2756" s="8">
        <f t="shared" si="172"/>
        <v>15995200</v>
      </c>
      <c r="H2756" s="5">
        <v>0</v>
      </c>
      <c r="I2756" s="8">
        <f t="shared" si="173"/>
        <v>15995200</v>
      </c>
      <c r="J2756" s="8">
        <f t="shared" si="174"/>
        <v>0</v>
      </c>
      <c r="K2756" t="str">
        <f t="shared" si="175"/>
        <v>MATCHED</v>
      </c>
    </row>
    <row r="2757" spans="1:11">
      <c r="A2757" t="s">
        <v>112</v>
      </c>
      <c r="B2757" t="s">
        <v>1510</v>
      </c>
      <c r="C2757" t="s">
        <v>429</v>
      </c>
      <c r="D2757" t="s">
        <v>430</v>
      </c>
      <c r="E2757" s="8">
        <v>7240</v>
      </c>
      <c r="F2757" s="8">
        <v>60230</v>
      </c>
      <c r="G2757" s="8">
        <f t="shared" si="172"/>
        <v>436065200</v>
      </c>
      <c r="H2757" s="5">
        <v>0.0589</v>
      </c>
      <c r="I2757" s="8">
        <f t="shared" si="173"/>
        <v>436065200</v>
      </c>
      <c r="J2757" s="8">
        <f t="shared" si="174"/>
        <v>25684240.28</v>
      </c>
      <c r="K2757" t="str">
        <f t="shared" si="175"/>
        <v>MATCHED</v>
      </c>
    </row>
    <row r="2758" spans="1:11">
      <c r="A2758" t="s">
        <v>112</v>
      </c>
      <c r="B2758" t="s">
        <v>1510</v>
      </c>
      <c r="C2758" t="s">
        <v>431</v>
      </c>
      <c r="D2758" t="s">
        <v>432</v>
      </c>
      <c r="E2758" s="8">
        <v>5520</v>
      </c>
      <c r="F2758" s="8">
        <v>82570</v>
      </c>
      <c r="G2758" s="8">
        <f t="shared" si="172"/>
        <v>455786400</v>
      </c>
      <c r="H2758" s="5">
        <v>0.0786</v>
      </c>
      <c r="I2758" s="8">
        <f t="shared" si="173"/>
        <v>455786400</v>
      </c>
      <c r="J2758" s="8">
        <f t="shared" si="174"/>
        <v>35824811.04</v>
      </c>
      <c r="K2758" t="str">
        <f t="shared" si="175"/>
        <v>MATCHED</v>
      </c>
    </row>
    <row r="2759" spans="1:11">
      <c r="A2759" t="s">
        <v>112</v>
      </c>
      <c r="B2759" t="s">
        <v>1510</v>
      </c>
      <c r="C2759" t="s">
        <v>678</v>
      </c>
      <c r="D2759" t="s">
        <v>679</v>
      </c>
      <c r="E2759" s="8">
        <v>300</v>
      </c>
      <c r="F2759" s="8">
        <v>51790</v>
      </c>
      <c r="G2759" s="8">
        <f t="shared" si="172"/>
        <v>15537000</v>
      </c>
      <c r="H2759" s="5">
        <v>0.0368</v>
      </c>
      <c r="I2759" s="8">
        <f t="shared" si="173"/>
        <v>15537000</v>
      </c>
      <c r="J2759" s="8">
        <f t="shared" si="174"/>
        <v>571761.6</v>
      </c>
      <c r="K2759" t="str">
        <f t="shared" si="175"/>
        <v>MATCHED</v>
      </c>
    </row>
    <row r="2760" spans="1:11">
      <c r="A2760" t="s">
        <v>112</v>
      </c>
      <c r="B2760" t="s">
        <v>1510</v>
      </c>
      <c r="C2760" t="s">
        <v>682</v>
      </c>
      <c r="D2760" t="s">
        <v>683</v>
      </c>
      <c r="E2760" s="8">
        <v>1640</v>
      </c>
      <c r="F2760" s="8">
        <v>87770</v>
      </c>
      <c r="G2760" s="8">
        <f t="shared" si="172"/>
        <v>143942800</v>
      </c>
      <c r="H2760" s="5">
        <v>0.04</v>
      </c>
      <c r="I2760" s="8">
        <f t="shared" si="173"/>
        <v>143942800</v>
      </c>
      <c r="J2760" s="8">
        <f t="shared" si="174"/>
        <v>5757712</v>
      </c>
      <c r="K2760" t="str">
        <f t="shared" si="175"/>
        <v>MATCHED</v>
      </c>
    </row>
    <row r="2761" spans="1:11">
      <c r="A2761" t="s">
        <v>112</v>
      </c>
      <c r="B2761" t="s">
        <v>1510</v>
      </c>
      <c r="C2761" t="s">
        <v>684</v>
      </c>
      <c r="D2761" t="s">
        <v>685</v>
      </c>
      <c r="E2761" s="8">
        <v>2210</v>
      </c>
      <c r="F2761" s="8">
        <v>80690</v>
      </c>
      <c r="G2761" s="8">
        <f t="shared" si="172"/>
        <v>178324900</v>
      </c>
      <c r="H2761" s="5">
        <v>0.0687</v>
      </c>
      <c r="I2761" s="8">
        <f t="shared" si="173"/>
        <v>178324900</v>
      </c>
      <c r="J2761" s="8">
        <f t="shared" si="174"/>
        <v>12250920.63</v>
      </c>
      <c r="K2761" t="str">
        <f t="shared" si="175"/>
        <v>MATCHED</v>
      </c>
    </row>
    <row r="2762" spans="1:11">
      <c r="A2762" t="s">
        <v>112</v>
      </c>
      <c r="B2762" t="s">
        <v>1510</v>
      </c>
      <c r="C2762" t="s">
        <v>686</v>
      </c>
      <c r="D2762" t="s">
        <v>687</v>
      </c>
      <c r="E2762" s="8">
        <v>90</v>
      </c>
      <c r="F2762" s="8">
        <v>89700</v>
      </c>
      <c r="G2762" s="8">
        <f t="shared" si="172"/>
        <v>8073000</v>
      </c>
      <c r="H2762" s="5">
        <v>0</v>
      </c>
      <c r="I2762" s="8">
        <f t="shared" si="173"/>
        <v>8073000</v>
      </c>
      <c r="J2762" s="8">
        <f t="shared" si="174"/>
        <v>0</v>
      </c>
      <c r="K2762" t="str">
        <f t="shared" si="175"/>
        <v>MATCHED</v>
      </c>
    </row>
    <row r="2763" spans="1:11">
      <c r="A2763" t="s">
        <v>112</v>
      </c>
      <c r="B2763" t="s">
        <v>1510</v>
      </c>
      <c r="C2763" t="s">
        <v>688</v>
      </c>
      <c r="D2763" t="s">
        <v>689</v>
      </c>
      <c r="E2763" s="8">
        <v>90</v>
      </c>
      <c r="F2763" s="8">
        <v>48540</v>
      </c>
      <c r="G2763" s="8">
        <f t="shared" si="172"/>
        <v>4368600</v>
      </c>
      <c r="H2763" s="5">
        <v>0.0396</v>
      </c>
      <c r="I2763" s="8">
        <f t="shared" si="173"/>
        <v>4368600</v>
      </c>
      <c r="J2763" s="8">
        <f t="shared" si="174"/>
        <v>172996.56</v>
      </c>
      <c r="K2763" t="str">
        <f t="shared" si="175"/>
        <v>MATCHED</v>
      </c>
    </row>
    <row r="2764" spans="1:11">
      <c r="A2764" t="s">
        <v>112</v>
      </c>
      <c r="B2764" t="s">
        <v>1510</v>
      </c>
      <c r="C2764" t="s">
        <v>694</v>
      </c>
      <c r="D2764" t="s">
        <v>695</v>
      </c>
      <c r="E2764" s="8">
        <v>530</v>
      </c>
      <c r="F2764" s="8">
        <v>86700</v>
      </c>
      <c r="G2764" s="8">
        <f t="shared" si="172"/>
        <v>45951000</v>
      </c>
      <c r="H2764" s="5">
        <v>0.3737</v>
      </c>
      <c r="I2764" s="8">
        <f t="shared" si="173"/>
        <v>45951000</v>
      </c>
      <c r="J2764" s="8">
        <f t="shared" si="174"/>
        <v>17171888.7</v>
      </c>
      <c r="K2764" t="str">
        <f t="shared" si="175"/>
        <v>MATCHED</v>
      </c>
    </row>
    <row r="2765" spans="1:11">
      <c r="A2765" t="s">
        <v>112</v>
      </c>
      <c r="B2765" t="s">
        <v>1510</v>
      </c>
      <c r="C2765" t="s">
        <v>1060</v>
      </c>
      <c r="D2765" t="s">
        <v>1061</v>
      </c>
      <c r="E2765" s="8"/>
      <c r="F2765" s="8">
        <v>63940</v>
      </c>
      <c r="G2765" s="8" t="str">
        <f t="shared" si="172"/>
        <v/>
      </c>
      <c r="H2765" s="5">
        <v>0.0475</v>
      </c>
      <c r="I2765" s="8" t="str">
        <f t="shared" si="173"/>
        <v/>
      </c>
      <c r="J2765" s="8" t="str">
        <f t="shared" si="174"/>
        <v/>
      </c>
      <c r="K2765" t="str">
        <f t="shared" si="175"/>
        <v>MISSING OEWS</v>
      </c>
    </row>
    <row r="2766" spans="1:11">
      <c r="A2766" t="s">
        <v>112</v>
      </c>
      <c r="B2766" t="s">
        <v>1510</v>
      </c>
      <c r="C2766" t="s">
        <v>698</v>
      </c>
      <c r="D2766" t="s">
        <v>699</v>
      </c>
      <c r="E2766" s="8">
        <v>260</v>
      </c>
      <c r="F2766" s="8">
        <v>62200</v>
      </c>
      <c r="G2766" s="8">
        <f t="shared" si="172"/>
        <v>16172000</v>
      </c>
      <c r="H2766" s="5">
        <v>0.0452</v>
      </c>
      <c r="I2766" s="8">
        <f t="shared" si="173"/>
        <v>16172000</v>
      </c>
      <c r="J2766" s="8">
        <f t="shared" si="174"/>
        <v>730974.4</v>
      </c>
      <c r="K2766" t="str">
        <f t="shared" si="175"/>
        <v>MATCHED</v>
      </c>
    </row>
    <row r="2767" spans="1:11">
      <c r="A2767" t="s">
        <v>112</v>
      </c>
      <c r="B2767" t="s">
        <v>1510</v>
      </c>
      <c r="C2767" t="s">
        <v>700</v>
      </c>
      <c r="D2767" t="s">
        <v>701</v>
      </c>
      <c r="E2767" s="8">
        <v>14000</v>
      </c>
      <c r="F2767" s="8">
        <v>67030</v>
      </c>
      <c r="G2767" s="8">
        <f t="shared" si="172"/>
        <v>938420000</v>
      </c>
      <c r="H2767" s="5">
        <v>0</v>
      </c>
      <c r="I2767" s="8">
        <f t="shared" si="173"/>
        <v>938420000</v>
      </c>
      <c r="J2767" s="8">
        <f t="shared" si="174"/>
        <v>0</v>
      </c>
      <c r="K2767" t="str">
        <f t="shared" si="175"/>
        <v>MATCHED</v>
      </c>
    </row>
    <row r="2768" spans="1:11">
      <c r="A2768" t="s">
        <v>112</v>
      </c>
      <c r="B2768" t="s">
        <v>1510</v>
      </c>
      <c r="C2768" t="s">
        <v>702</v>
      </c>
      <c r="D2768" t="s">
        <v>703</v>
      </c>
      <c r="E2768" s="8">
        <v>200</v>
      </c>
      <c r="F2768" s="8">
        <v>67340</v>
      </c>
      <c r="G2768" s="8">
        <f t="shared" si="172"/>
        <v>13468000</v>
      </c>
      <c r="H2768" s="5">
        <v>0.0825</v>
      </c>
      <c r="I2768" s="8">
        <f t="shared" si="173"/>
        <v>13468000</v>
      </c>
      <c r="J2768" s="8">
        <f t="shared" si="174"/>
        <v>1111110</v>
      </c>
      <c r="K2768" t="str">
        <f t="shared" si="175"/>
        <v>MATCHED</v>
      </c>
    </row>
    <row r="2769" spans="1:11">
      <c r="A2769" t="s">
        <v>112</v>
      </c>
      <c r="B2769" t="s">
        <v>1510</v>
      </c>
      <c r="C2769" t="s">
        <v>706</v>
      </c>
      <c r="D2769" t="s">
        <v>707</v>
      </c>
      <c r="E2769" s="8">
        <v>150</v>
      </c>
      <c r="F2769" s="8">
        <v>98650</v>
      </c>
      <c r="G2769" s="8">
        <f t="shared" si="172"/>
        <v>14797500</v>
      </c>
      <c r="H2769" s="5">
        <v>0.0432</v>
      </c>
      <c r="I2769" s="8">
        <f t="shared" si="173"/>
        <v>14797500</v>
      </c>
      <c r="J2769" s="8">
        <f t="shared" si="174"/>
        <v>639252</v>
      </c>
      <c r="K2769" t="str">
        <f t="shared" si="175"/>
        <v>MATCHED</v>
      </c>
    </row>
    <row r="2770" spans="1:11">
      <c r="A2770" t="s">
        <v>112</v>
      </c>
      <c r="B2770" t="s">
        <v>1510</v>
      </c>
      <c r="C2770" t="s">
        <v>708</v>
      </c>
      <c r="D2770" t="s">
        <v>709</v>
      </c>
      <c r="E2770" s="8">
        <v>1060</v>
      </c>
      <c r="F2770" s="8">
        <v>89530</v>
      </c>
      <c r="G2770" s="8">
        <f t="shared" si="172"/>
        <v>94901800</v>
      </c>
      <c r="H2770" s="5">
        <v>0.05</v>
      </c>
      <c r="I2770" s="8">
        <f t="shared" si="173"/>
        <v>94901800</v>
      </c>
      <c r="J2770" s="8">
        <f t="shared" si="174"/>
        <v>4745090</v>
      </c>
      <c r="K2770" t="str">
        <f t="shared" si="175"/>
        <v>MATCHED</v>
      </c>
    </row>
    <row r="2771" spans="1:11">
      <c r="A2771" t="s">
        <v>112</v>
      </c>
      <c r="B2771" t="s">
        <v>1510</v>
      </c>
      <c r="C2771" t="s">
        <v>710</v>
      </c>
      <c r="D2771" t="s">
        <v>711</v>
      </c>
      <c r="E2771" s="8">
        <v>270</v>
      </c>
      <c r="F2771" s="8">
        <v>58780</v>
      </c>
      <c r="G2771" s="8">
        <f t="shared" si="172"/>
        <v>15870600</v>
      </c>
      <c r="H2771" s="5">
        <v>0</v>
      </c>
      <c r="I2771" s="8">
        <f t="shared" si="173"/>
        <v>15870600</v>
      </c>
      <c r="J2771" s="8">
        <f t="shared" si="174"/>
        <v>0</v>
      </c>
      <c r="K2771" t="str">
        <f t="shared" si="175"/>
        <v>MATCHED</v>
      </c>
    </row>
    <row r="2772" spans="1:11">
      <c r="A2772" t="s">
        <v>112</v>
      </c>
      <c r="B2772" t="s">
        <v>1510</v>
      </c>
      <c r="C2772" t="s">
        <v>714</v>
      </c>
      <c r="D2772" t="s">
        <v>715</v>
      </c>
      <c r="E2772" s="8">
        <v>40</v>
      </c>
      <c r="F2772" s="8">
        <v>52440</v>
      </c>
      <c r="G2772" s="8">
        <f t="shared" si="172"/>
        <v>2097600</v>
      </c>
      <c r="H2772" s="5">
        <v>0.095</v>
      </c>
      <c r="I2772" s="8">
        <f t="shared" si="173"/>
        <v>2097600</v>
      </c>
      <c r="J2772" s="8">
        <f t="shared" si="174"/>
        <v>199272</v>
      </c>
      <c r="K2772" t="str">
        <f t="shared" si="175"/>
        <v>MATCHED</v>
      </c>
    </row>
    <row r="2773" spans="1:11">
      <c r="A2773" t="s">
        <v>112</v>
      </c>
      <c r="B2773" t="s">
        <v>1510</v>
      </c>
      <c r="C2773" t="s">
        <v>716</v>
      </c>
      <c r="D2773" t="s">
        <v>717</v>
      </c>
      <c r="E2773" s="8"/>
      <c r="F2773" s="8">
        <v>42350</v>
      </c>
      <c r="G2773" s="8" t="str">
        <f t="shared" si="172"/>
        <v/>
      </c>
      <c r="H2773" s="5">
        <v>0</v>
      </c>
      <c r="I2773" s="8" t="str">
        <f t="shared" si="173"/>
        <v/>
      </c>
      <c r="J2773" s="8" t="str">
        <f t="shared" si="174"/>
        <v/>
      </c>
      <c r="K2773" t="str">
        <f t="shared" si="175"/>
        <v>MISSING OEWS</v>
      </c>
    </row>
    <row r="2774" spans="1:11">
      <c r="A2774" t="s">
        <v>112</v>
      </c>
      <c r="B2774" t="s">
        <v>1510</v>
      </c>
      <c r="C2774" t="s">
        <v>726</v>
      </c>
      <c r="D2774" t="s">
        <v>727</v>
      </c>
      <c r="E2774" s="8">
        <v>140</v>
      </c>
      <c r="F2774" s="8">
        <v>62540</v>
      </c>
      <c r="G2774" s="8">
        <f t="shared" si="172"/>
        <v>8755600</v>
      </c>
      <c r="H2774" s="5">
        <v>0</v>
      </c>
      <c r="I2774" s="8">
        <f t="shared" si="173"/>
        <v>8755600</v>
      </c>
      <c r="J2774" s="8">
        <f t="shared" si="174"/>
        <v>0</v>
      </c>
      <c r="K2774" t="str">
        <f t="shared" si="175"/>
        <v>MATCHED</v>
      </c>
    </row>
    <row r="2775" spans="1:11">
      <c r="A2775" t="s">
        <v>112</v>
      </c>
      <c r="B2775" t="s">
        <v>1510</v>
      </c>
      <c r="C2775" t="s">
        <v>433</v>
      </c>
      <c r="D2775" t="s">
        <v>434</v>
      </c>
      <c r="E2775" s="8">
        <v>39000</v>
      </c>
      <c r="F2775" s="8">
        <v>96310</v>
      </c>
      <c r="G2775" s="8">
        <f t="shared" si="172"/>
        <v>3756090000</v>
      </c>
      <c r="H2775" s="5">
        <v>0.3523</v>
      </c>
      <c r="I2775" s="8">
        <f t="shared" si="173"/>
        <v>3756090000</v>
      </c>
      <c r="J2775" s="8">
        <f t="shared" si="174"/>
        <v>1323270507</v>
      </c>
      <c r="K2775" t="str">
        <f t="shared" si="175"/>
        <v>MATCHED</v>
      </c>
    </row>
    <row r="2776" spans="1:11">
      <c r="A2776" t="s">
        <v>112</v>
      </c>
      <c r="B2776" t="s">
        <v>1510</v>
      </c>
      <c r="C2776" t="s">
        <v>1064</v>
      </c>
      <c r="D2776" t="s">
        <v>1065</v>
      </c>
      <c r="E2776" s="8">
        <v>280</v>
      </c>
      <c r="F2776" s="8">
        <v>47150</v>
      </c>
      <c r="G2776" s="8">
        <f t="shared" si="172"/>
        <v>13202000</v>
      </c>
      <c r="H2776" s="5">
        <v>0.284</v>
      </c>
      <c r="I2776" s="8">
        <f t="shared" si="173"/>
        <v>13202000</v>
      </c>
      <c r="J2776" s="8">
        <f t="shared" si="174"/>
        <v>3749368</v>
      </c>
      <c r="K2776" t="str">
        <f t="shared" si="175"/>
        <v>MATCHED</v>
      </c>
    </row>
    <row r="2777" spans="1:11">
      <c r="A2777" t="s">
        <v>112</v>
      </c>
      <c r="B2777" t="s">
        <v>1510</v>
      </c>
      <c r="C2777" t="s">
        <v>898</v>
      </c>
      <c r="D2777" t="s">
        <v>899</v>
      </c>
      <c r="E2777" s="8">
        <v>110</v>
      </c>
      <c r="F2777" s="8">
        <v>87470</v>
      </c>
      <c r="G2777" s="8">
        <f t="shared" si="172"/>
        <v>9621700</v>
      </c>
      <c r="H2777" s="5">
        <v>0.1583</v>
      </c>
      <c r="I2777" s="8">
        <f t="shared" si="173"/>
        <v>9621700</v>
      </c>
      <c r="J2777" s="8">
        <f t="shared" si="174"/>
        <v>1523115.11</v>
      </c>
      <c r="K2777" t="str">
        <f t="shared" si="175"/>
        <v>MATCHED</v>
      </c>
    </row>
    <row r="2778" spans="1:11">
      <c r="A2778" t="s">
        <v>112</v>
      </c>
      <c r="B2778" t="s">
        <v>1510</v>
      </c>
      <c r="C2778" t="s">
        <v>900</v>
      </c>
      <c r="D2778" t="s">
        <v>901</v>
      </c>
      <c r="E2778" s="8">
        <v>60</v>
      </c>
      <c r="F2778" s="8">
        <v>78390</v>
      </c>
      <c r="G2778" s="8">
        <f t="shared" si="172"/>
        <v>4703400</v>
      </c>
      <c r="H2778" s="5">
        <v>0.195</v>
      </c>
      <c r="I2778" s="8">
        <f t="shared" si="173"/>
        <v>4703400</v>
      </c>
      <c r="J2778" s="8">
        <f t="shared" si="174"/>
        <v>917163</v>
      </c>
      <c r="K2778" t="str">
        <f t="shared" si="175"/>
        <v>MATCHED</v>
      </c>
    </row>
    <row r="2779" spans="1:11">
      <c r="A2779" t="s">
        <v>112</v>
      </c>
      <c r="B2779" t="s">
        <v>1510</v>
      </c>
      <c r="C2779" t="s">
        <v>1296</v>
      </c>
      <c r="D2779" t="s">
        <v>1297</v>
      </c>
      <c r="E2779" s="8">
        <v>7360</v>
      </c>
      <c r="F2779" s="8">
        <v>77810</v>
      </c>
      <c r="G2779" s="8">
        <f t="shared" si="172"/>
        <v>572681600</v>
      </c>
      <c r="H2779" s="5">
        <v>0.2</v>
      </c>
      <c r="I2779" s="8">
        <f t="shared" si="173"/>
        <v>572681600</v>
      </c>
      <c r="J2779" s="8">
        <f t="shared" si="174"/>
        <v>114536320</v>
      </c>
      <c r="K2779" t="str">
        <f t="shared" si="175"/>
        <v>MATCHED</v>
      </c>
    </row>
    <row r="2780" spans="1:11">
      <c r="A2780" t="s">
        <v>112</v>
      </c>
      <c r="B2780" t="s">
        <v>1510</v>
      </c>
      <c r="C2780" t="s">
        <v>732</v>
      </c>
      <c r="D2780" t="s">
        <v>733</v>
      </c>
      <c r="E2780" s="8">
        <v>360</v>
      </c>
      <c r="F2780" s="8">
        <v>45040</v>
      </c>
      <c r="G2780" s="8">
        <f t="shared" si="172"/>
        <v>16214400</v>
      </c>
      <c r="H2780" s="5">
        <v>0.0667</v>
      </c>
      <c r="I2780" s="8">
        <f t="shared" si="173"/>
        <v>16214400</v>
      </c>
      <c r="J2780" s="8">
        <f t="shared" si="174"/>
        <v>1081500.48</v>
      </c>
      <c r="K2780" t="str">
        <f t="shared" si="175"/>
        <v>MATCHED</v>
      </c>
    </row>
    <row r="2781" spans="1:11">
      <c r="A2781" t="s">
        <v>112</v>
      </c>
      <c r="B2781" t="s">
        <v>1510</v>
      </c>
      <c r="C2781" t="s">
        <v>902</v>
      </c>
      <c r="D2781" t="s">
        <v>903</v>
      </c>
      <c r="E2781" s="8">
        <v>2720</v>
      </c>
      <c r="F2781" s="8">
        <v>86570</v>
      </c>
      <c r="G2781" s="8">
        <f t="shared" si="172"/>
        <v>235470400</v>
      </c>
      <c r="H2781" s="5">
        <v>0.2033</v>
      </c>
      <c r="I2781" s="8">
        <f t="shared" si="173"/>
        <v>235470400</v>
      </c>
      <c r="J2781" s="8">
        <f t="shared" si="174"/>
        <v>47871132.32</v>
      </c>
      <c r="K2781" t="str">
        <f t="shared" si="175"/>
        <v>MATCHED</v>
      </c>
    </row>
    <row r="2782" spans="1:11">
      <c r="A2782" t="s">
        <v>112</v>
      </c>
      <c r="B2782" t="s">
        <v>1510</v>
      </c>
      <c r="C2782" t="s">
        <v>734</v>
      </c>
      <c r="D2782" t="s">
        <v>735</v>
      </c>
      <c r="E2782" s="8">
        <v>5290</v>
      </c>
      <c r="F2782" s="8">
        <v>81330</v>
      </c>
      <c r="G2782" s="8">
        <f t="shared" si="172"/>
        <v>430235700</v>
      </c>
      <c r="H2782" s="5">
        <v>0.19</v>
      </c>
      <c r="I2782" s="8">
        <f t="shared" si="173"/>
        <v>430235700</v>
      </c>
      <c r="J2782" s="8">
        <f t="shared" si="174"/>
        <v>81744783</v>
      </c>
      <c r="K2782" t="str">
        <f t="shared" si="175"/>
        <v>MATCHED</v>
      </c>
    </row>
    <row r="2783" spans="1:11">
      <c r="A2783" t="s">
        <v>112</v>
      </c>
      <c r="B2783" t="s">
        <v>1510</v>
      </c>
      <c r="C2783" t="s">
        <v>904</v>
      </c>
      <c r="D2783" t="s">
        <v>905</v>
      </c>
      <c r="E2783" s="8">
        <v>170</v>
      </c>
      <c r="F2783" s="8">
        <v>111310</v>
      </c>
      <c r="G2783" s="8">
        <f t="shared" si="172"/>
        <v>18922700</v>
      </c>
      <c r="H2783" s="5">
        <v>0.2219</v>
      </c>
      <c r="I2783" s="8">
        <f t="shared" si="173"/>
        <v>18922700</v>
      </c>
      <c r="J2783" s="8">
        <f t="shared" si="174"/>
        <v>4198947.13</v>
      </c>
      <c r="K2783" t="str">
        <f t="shared" si="175"/>
        <v>MATCHED</v>
      </c>
    </row>
    <row r="2784" spans="1:11">
      <c r="A2784" t="s">
        <v>112</v>
      </c>
      <c r="B2784" t="s">
        <v>1510</v>
      </c>
      <c r="C2784" t="s">
        <v>1298</v>
      </c>
      <c r="D2784" t="s">
        <v>1299</v>
      </c>
      <c r="E2784" s="8">
        <v>150</v>
      </c>
      <c r="F2784" s="8">
        <v>53770</v>
      </c>
      <c r="G2784" s="8">
        <f t="shared" si="172"/>
        <v>8065500</v>
      </c>
      <c r="H2784" s="5">
        <v>0.1583</v>
      </c>
      <c r="I2784" s="8">
        <f t="shared" si="173"/>
        <v>8065500</v>
      </c>
      <c r="J2784" s="8">
        <f t="shared" si="174"/>
        <v>1276768.65</v>
      </c>
      <c r="K2784" t="str">
        <f t="shared" si="175"/>
        <v>MATCHED</v>
      </c>
    </row>
    <row r="2785" spans="1:11">
      <c r="A2785" t="s">
        <v>112</v>
      </c>
      <c r="B2785" t="s">
        <v>1510</v>
      </c>
      <c r="C2785" t="s">
        <v>435</v>
      </c>
      <c r="D2785" t="s">
        <v>436</v>
      </c>
      <c r="E2785" s="8">
        <v>83190</v>
      </c>
      <c r="F2785" s="8">
        <v>85730</v>
      </c>
      <c r="G2785" s="8">
        <f t="shared" si="172"/>
        <v>7131878700</v>
      </c>
      <c r="H2785" s="5">
        <v>0.0434</v>
      </c>
      <c r="I2785" s="8">
        <f t="shared" si="173"/>
        <v>7131878700</v>
      </c>
      <c r="J2785" s="8">
        <f t="shared" si="174"/>
        <v>309523535.58</v>
      </c>
      <c r="K2785" t="str">
        <f t="shared" si="175"/>
        <v>MATCHED</v>
      </c>
    </row>
    <row r="2786" spans="1:11">
      <c r="A2786" t="s">
        <v>112</v>
      </c>
      <c r="B2786" t="s">
        <v>1510</v>
      </c>
      <c r="C2786" t="s">
        <v>1070</v>
      </c>
      <c r="D2786" t="s">
        <v>1071</v>
      </c>
      <c r="E2786" s="8">
        <v>1320</v>
      </c>
      <c r="F2786" s="8">
        <v>61810</v>
      </c>
      <c r="G2786" s="8">
        <f t="shared" si="172"/>
        <v>81589200</v>
      </c>
      <c r="H2786" s="5">
        <v>0.028</v>
      </c>
      <c r="I2786" s="8">
        <f t="shared" si="173"/>
        <v>81589200</v>
      </c>
      <c r="J2786" s="8">
        <f t="shared" si="174"/>
        <v>2284497.6</v>
      </c>
      <c r="K2786" t="str">
        <f t="shared" si="175"/>
        <v>MATCHED</v>
      </c>
    </row>
    <row r="2787" spans="1:11">
      <c r="A2787" t="s">
        <v>112</v>
      </c>
      <c r="B2787" t="s">
        <v>1510</v>
      </c>
      <c r="C2787" t="s">
        <v>1072</v>
      </c>
      <c r="D2787" t="s">
        <v>1073</v>
      </c>
      <c r="E2787" s="8">
        <v>40</v>
      </c>
      <c r="F2787" s="8">
        <v>48620</v>
      </c>
      <c r="G2787" s="8">
        <f t="shared" si="172"/>
        <v>1944800</v>
      </c>
      <c r="H2787" s="5">
        <v>0</v>
      </c>
      <c r="I2787" s="8">
        <f t="shared" si="173"/>
        <v>1944800</v>
      </c>
      <c r="J2787" s="8">
        <f t="shared" si="174"/>
        <v>0</v>
      </c>
      <c r="K2787" t="str">
        <f t="shared" si="175"/>
        <v>MATCHED</v>
      </c>
    </row>
    <row r="2788" spans="1:11">
      <c r="A2788" t="s">
        <v>112</v>
      </c>
      <c r="B2788" t="s">
        <v>1510</v>
      </c>
      <c r="C2788" t="s">
        <v>736</v>
      </c>
      <c r="D2788" t="s">
        <v>737</v>
      </c>
      <c r="E2788" s="8">
        <v>14500</v>
      </c>
      <c r="F2788" s="8">
        <v>62290</v>
      </c>
      <c r="G2788" s="8">
        <f t="shared" si="172"/>
        <v>903205000</v>
      </c>
      <c r="H2788" s="5">
        <v>0.0233</v>
      </c>
      <c r="I2788" s="8">
        <f t="shared" si="173"/>
        <v>903205000</v>
      </c>
      <c r="J2788" s="8">
        <f t="shared" si="174"/>
        <v>21044676.5</v>
      </c>
      <c r="K2788" t="str">
        <f t="shared" si="175"/>
        <v>MATCHED</v>
      </c>
    </row>
    <row r="2789" spans="1:11">
      <c r="A2789" t="s">
        <v>112</v>
      </c>
      <c r="B2789" t="s">
        <v>1510</v>
      </c>
      <c r="C2789" t="s">
        <v>437</v>
      </c>
      <c r="D2789" t="s">
        <v>438</v>
      </c>
      <c r="E2789" s="8">
        <v>86430</v>
      </c>
      <c r="F2789" s="8">
        <v>63080</v>
      </c>
      <c r="G2789" s="8">
        <f t="shared" si="172"/>
        <v>5452004400</v>
      </c>
      <c r="H2789" s="5">
        <v>0</v>
      </c>
      <c r="I2789" s="8">
        <f t="shared" si="173"/>
        <v>5452004400</v>
      </c>
      <c r="J2789" s="8">
        <f t="shared" si="174"/>
        <v>0</v>
      </c>
      <c r="K2789" t="str">
        <f t="shared" si="175"/>
        <v>MATCHED</v>
      </c>
    </row>
    <row r="2790" spans="1:11">
      <c r="A2790" t="s">
        <v>112</v>
      </c>
      <c r="B2790" t="s">
        <v>1510</v>
      </c>
      <c r="C2790" t="s">
        <v>439</v>
      </c>
      <c r="D2790" t="s">
        <v>440</v>
      </c>
      <c r="E2790" s="8">
        <v>40</v>
      </c>
      <c r="F2790" s="8">
        <v>51870</v>
      </c>
      <c r="G2790" s="8">
        <f t="shared" si="172"/>
        <v>2074800</v>
      </c>
      <c r="H2790" s="5">
        <v>0.1357</v>
      </c>
      <c r="I2790" s="8">
        <f t="shared" si="173"/>
        <v>2074800</v>
      </c>
      <c r="J2790" s="8">
        <f t="shared" si="174"/>
        <v>281550.36</v>
      </c>
      <c r="K2790" t="str">
        <f t="shared" si="175"/>
        <v>MATCHED</v>
      </c>
    </row>
    <row r="2791" spans="1:11">
      <c r="A2791" t="s">
        <v>112</v>
      </c>
      <c r="B2791" t="s">
        <v>1510</v>
      </c>
      <c r="C2791" t="s">
        <v>441</v>
      </c>
      <c r="D2791" t="s">
        <v>442</v>
      </c>
      <c r="E2791" s="8">
        <v>8290</v>
      </c>
      <c r="F2791" s="8">
        <v>85510</v>
      </c>
      <c r="G2791" s="8">
        <f t="shared" si="172"/>
        <v>708877900</v>
      </c>
      <c r="H2791" s="5">
        <v>0.1425</v>
      </c>
      <c r="I2791" s="8">
        <f t="shared" si="173"/>
        <v>708877900</v>
      </c>
      <c r="J2791" s="8">
        <f t="shared" si="174"/>
        <v>101015100.75</v>
      </c>
      <c r="K2791" t="str">
        <f t="shared" si="175"/>
        <v>MATCHED</v>
      </c>
    </row>
    <row r="2792" spans="1:11">
      <c r="A2792" t="s">
        <v>112</v>
      </c>
      <c r="B2792" t="s">
        <v>1510</v>
      </c>
      <c r="C2792" t="s">
        <v>1300</v>
      </c>
      <c r="D2792" t="s">
        <v>1301</v>
      </c>
      <c r="E2792" s="8">
        <v>17750</v>
      </c>
      <c r="F2792" s="8">
        <v>69220</v>
      </c>
      <c r="G2792" s="8">
        <f t="shared" si="172"/>
        <v>1228655000</v>
      </c>
      <c r="H2792" s="5">
        <v>0.0475</v>
      </c>
      <c r="I2792" s="8">
        <f t="shared" si="173"/>
        <v>1228655000</v>
      </c>
      <c r="J2792" s="8">
        <f t="shared" si="174"/>
        <v>58361112.5</v>
      </c>
      <c r="K2792" t="str">
        <f t="shared" si="175"/>
        <v>MATCHED</v>
      </c>
    </row>
    <row r="2793" spans="1:11">
      <c r="A2793" t="s">
        <v>112</v>
      </c>
      <c r="B2793" t="s">
        <v>1510</v>
      </c>
      <c r="C2793" t="s">
        <v>1074</v>
      </c>
      <c r="D2793" t="s">
        <v>1075</v>
      </c>
      <c r="E2793" s="8">
        <v>1670</v>
      </c>
      <c r="F2793" s="8">
        <v>73960</v>
      </c>
      <c r="G2793" s="8">
        <f t="shared" si="172"/>
        <v>123513200</v>
      </c>
      <c r="H2793" s="5">
        <v>0.0731</v>
      </c>
      <c r="I2793" s="8">
        <f t="shared" si="173"/>
        <v>123513200</v>
      </c>
      <c r="J2793" s="8">
        <f t="shared" si="174"/>
        <v>9028814.92</v>
      </c>
      <c r="K2793" t="str">
        <f t="shared" si="175"/>
        <v>MATCHED</v>
      </c>
    </row>
    <row r="2794" spans="1:11">
      <c r="A2794" t="s">
        <v>112</v>
      </c>
      <c r="B2794" t="s">
        <v>1510</v>
      </c>
      <c r="C2794" t="s">
        <v>1076</v>
      </c>
      <c r="D2794" t="s">
        <v>1077</v>
      </c>
      <c r="E2794" s="8"/>
      <c r="F2794" s="8">
        <v>56550</v>
      </c>
      <c r="G2794" s="8" t="str">
        <f t="shared" si="172"/>
        <v/>
      </c>
      <c r="H2794" s="5">
        <v>0.1179</v>
      </c>
      <c r="I2794" s="8" t="str">
        <f t="shared" si="173"/>
        <v/>
      </c>
      <c r="J2794" s="8" t="str">
        <f t="shared" si="174"/>
        <v/>
      </c>
      <c r="K2794" t="str">
        <f t="shared" si="175"/>
        <v>MISSING OEWS</v>
      </c>
    </row>
    <row r="2795" spans="1:11">
      <c r="A2795" t="s">
        <v>112</v>
      </c>
      <c r="B2795" t="s">
        <v>1510</v>
      </c>
      <c r="C2795" t="s">
        <v>1304</v>
      </c>
      <c r="D2795" t="s">
        <v>1305</v>
      </c>
      <c r="E2795" s="8"/>
      <c r="F2795" s="8">
        <v>44470</v>
      </c>
      <c r="G2795" s="8" t="str">
        <f t="shared" si="172"/>
        <v/>
      </c>
      <c r="H2795" s="5">
        <v>0.0594</v>
      </c>
      <c r="I2795" s="8" t="str">
        <f t="shared" si="173"/>
        <v/>
      </c>
      <c r="J2795" s="8" t="str">
        <f t="shared" si="174"/>
        <v/>
      </c>
      <c r="K2795" t="str">
        <f t="shared" si="175"/>
        <v>MISSING OEWS</v>
      </c>
    </row>
    <row r="2796" spans="1:11">
      <c r="A2796" t="s">
        <v>112</v>
      </c>
      <c r="B2796" t="s">
        <v>1510</v>
      </c>
      <c r="C2796" t="s">
        <v>738</v>
      </c>
      <c r="D2796" t="s">
        <v>739</v>
      </c>
      <c r="E2796" s="8">
        <v>1070</v>
      </c>
      <c r="F2796" s="8">
        <v>48290</v>
      </c>
      <c r="G2796" s="8">
        <f t="shared" si="172"/>
        <v>51670300</v>
      </c>
      <c r="H2796" s="5">
        <v>0</v>
      </c>
      <c r="I2796" s="8">
        <f t="shared" si="173"/>
        <v>51670300</v>
      </c>
      <c r="J2796" s="8">
        <f t="shared" si="174"/>
        <v>0</v>
      </c>
      <c r="K2796" t="str">
        <f t="shared" si="175"/>
        <v>MATCHED</v>
      </c>
    </row>
    <row r="2797" spans="1:11">
      <c r="A2797" t="s">
        <v>112</v>
      </c>
      <c r="B2797" t="s">
        <v>1510</v>
      </c>
      <c r="C2797" t="s">
        <v>740</v>
      </c>
      <c r="D2797" t="s">
        <v>741</v>
      </c>
      <c r="E2797" s="8">
        <v>1180</v>
      </c>
      <c r="F2797" s="8">
        <v>80270</v>
      </c>
      <c r="G2797" s="8">
        <f t="shared" si="172"/>
        <v>94718600</v>
      </c>
      <c r="H2797" s="5">
        <v>0.0731</v>
      </c>
      <c r="I2797" s="8">
        <f t="shared" si="173"/>
        <v>94718600</v>
      </c>
      <c r="J2797" s="8">
        <f t="shared" si="174"/>
        <v>6923929.66</v>
      </c>
      <c r="K2797" t="str">
        <f t="shared" si="175"/>
        <v>MATCHED</v>
      </c>
    </row>
    <row r="2798" spans="1:11">
      <c r="A2798" t="s">
        <v>112</v>
      </c>
      <c r="B2798" t="s">
        <v>1510</v>
      </c>
      <c r="C2798" t="s">
        <v>443</v>
      </c>
      <c r="D2798" t="s">
        <v>444</v>
      </c>
      <c r="E2798" s="8">
        <v>2980</v>
      </c>
      <c r="F2798" s="8">
        <v>74840</v>
      </c>
      <c r="G2798" s="8">
        <f t="shared" si="172"/>
        <v>223023200</v>
      </c>
      <c r="H2798" s="5">
        <v>0.0867</v>
      </c>
      <c r="I2798" s="8">
        <f t="shared" si="173"/>
        <v>223023200</v>
      </c>
      <c r="J2798" s="8">
        <f t="shared" si="174"/>
        <v>19336111.44</v>
      </c>
      <c r="K2798" t="str">
        <f t="shared" si="175"/>
        <v>MATCHED</v>
      </c>
    </row>
    <row r="2799" spans="1:11">
      <c r="A2799" t="s">
        <v>112</v>
      </c>
      <c r="B2799" t="s">
        <v>1510</v>
      </c>
      <c r="C2799" t="s">
        <v>906</v>
      </c>
      <c r="D2799" t="s">
        <v>907</v>
      </c>
      <c r="E2799" s="8">
        <v>1170</v>
      </c>
      <c r="F2799" s="8">
        <v>56470</v>
      </c>
      <c r="G2799" s="8">
        <f t="shared" si="172"/>
        <v>66069900</v>
      </c>
      <c r="H2799" s="5">
        <v>0.1226</v>
      </c>
      <c r="I2799" s="8">
        <f t="shared" si="173"/>
        <v>66069900</v>
      </c>
      <c r="J2799" s="8">
        <f t="shared" si="174"/>
        <v>8100169.74</v>
      </c>
      <c r="K2799" t="str">
        <f t="shared" si="175"/>
        <v>MATCHED</v>
      </c>
    </row>
    <row r="2800" spans="1:11">
      <c r="A2800" t="s">
        <v>112</v>
      </c>
      <c r="B2800" t="s">
        <v>1510</v>
      </c>
      <c r="C2800" t="s">
        <v>445</v>
      </c>
      <c r="D2800" t="s">
        <v>446</v>
      </c>
      <c r="E2800" s="8">
        <v>10380</v>
      </c>
      <c r="F2800" s="8">
        <v>77710</v>
      </c>
      <c r="G2800" s="8">
        <f t="shared" si="172"/>
        <v>806629800</v>
      </c>
      <c r="H2800" s="5">
        <v>0.25</v>
      </c>
      <c r="I2800" s="8">
        <f t="shared" si="173"/>
        <v>806629800</v>
      </c>
      <c r="J2800" s="8">
        <f t="shared" si="174"/>
        <v>201657450</v>
      </c>
      <c r="K2800" t="str">
        <f t="shared" si="175"/>
        <v>MATCHED</v>
      </c>
    </row>
    <row r="2801" spans="1:11">
      <c r="A2801" t="s">
        <v>112</v>
      </c>
      <c r="B2801" t="s">
        <v>1510</v>
      </c>
      <c r="C2801" t="s">
        <v>447</v>
      </c>
      <c r="D2801" t="s">
        <v>448</v>
      </c>
      <c r="E2801" s="8">
        <v>5550</v>
      </c>
      <c r="F2801" s="8">
        <v>81830</v>
      </c>
      <c r="G2801" s="8">
        <f t="shared" si="172"/>
        <v>454156500</v>
      </c>
      <c r="H2801" s="5">
        <v>0.0528</v>
      </c>
      <c r="I2801" s="8">
        <f t="shared" si="173"/>
        <v>454156500</v>
      </c>
      <c r="J2801" s="8">
        <f t="shared" si="174"/>
        <v>23979463.2</v>
      </c>
      <c r="K2801" t="str">
        <f t="shared" si="175"/>
        <v>MATCHED</v>
      </c>
    </row>
    <row r="2802" spans="1:11">
      <c r="A2802" t="s">
        <v>112</v>
      </c>
      <c r="B2802" t="s">
        <v>1510</v>
      </c>
      <c r="C2802" t="s">
        <v>742</v>
      </c>
      <c r="D2802" t="s">
        <v>743</v>
      </c>
      <c r="E2802" s="8">
        <v>130</v>
      </c>
      <c r="F2802" s="8">
        <v>82710</v>
      </c>
      <c r="G2802" s="8">
        <f t="shared" si="172"/>
        <v>10752300</v>
      </c>
      <c r="H2802" s="5">
        <v>0</v>
      </c>
      <c r="I2802" s="8">
        <f t="shared" si="173"/>
        <v>10752300</v>
      </c>
      <c r="J2802" s="8">
        <f t="shared" si="174"/>
        <v>0</v>
      </c>
      <c r="K2802" t="str">
        <f t="shared" si="175"/>
        <v>MATCHED</v>
      </c>
    </row>
    <row r="2803" spans="1:11">
      <c r="A2803" t="s">
        <v>112</v>
      </c>
      <c r="B2803" t="s">
        <v>1510</v>
      </c>
      <c r="C2803" t="s">
        <v>744</v>
      </c>
      <c r="D2803" t="s">
        <v>745</v>
      </c>
      <c r="E2803" s="8">
        <v>330</v>
      </c>
      <c r="F2803" s="8">
        <v>73310</v>
      </c>
      <c r="G2803" s="8">
        <f t="shared" si="172"/>
        <v>24192300</v>
      </c>
      <c r="H2803" s="5">
        <v>0</v>
      </c>
      <c r="I2803" s="8">
        <f t="shared" si="173"/>
        <v>24192300</v>
      </c>
      <c r="J2803" s="8">
        <f t="shared" si="174"/>
        <v>0</v>
      </c>
      <c r="K2803" t="str">
        <f t="shared" si="175"/>
        <v>MATCHED</v>
      </c>
    </row>
    <row r="2804" spans="1:11">
      <c r="A2804" t="s">
        <v>112</v>
      </c>
      <c r="B2804" t="s">
        <v>1510</v>
      </c>
      <c r="C2804" t="s">
        <v>1310</v>
      </c>
      <c r="D2804" t="s">
        <v>1311</v>
      </c>
      <c r="E2804" s="8">
        <v>80</v>
      </c>
      <c r="F2804" s="8">
        <v>92690</v>
      </c>
      <c r="G2804" s="8">
        <f t="shared" si="172"/>
        <v>7415200</v>
      </c>
      <c r="H2804" s="5">
        <v>0.2368</v>
      </c>
      <c r="I2804" s="8">
        <f t="shared" si="173"/>
        <v>7415200</v>
      </c>
      <c r="J2804" s="8">
        <f t="shared" si="174"/>
        <v>1755919.36</v>
      </c>
      <c r="K2804" t="str">
        <f t="shared" si="175"/>
        <v>MATCHED</v>
      </c>
    </row>
    <row r="2805" spans="1:11">
      <c r="A2805" t="s">
        <v>112</v>
      </c>
      <c r="B2805" t="s">
        <v>1510</v>
      </c>
      <c r="C2805" t="s">
        <v>746</v>
      </c>
      <c r="D2805" t="s">
        <v>747</v>
      </c>
      <c r="E2805" s="8">
        <v>170</v>
      </c>
      <c r="F2805" s="8"/>
      <c r="G2805" s="8" t="str">
        <f t="shared" si="172"/>
        <v/>
      </c>
      <c r="H2805" s="5"/>
      <c r="I2805" s="8" t="str">
        <f t="shared" si="173"/>
        <v/>
      </c>
      <c r="J2805" s="8" t="str">
        <f t="shared" si="174"/>
        <v/>
      </c>
      <c r="K2805" t="str">
        <f t="shared" si="175"/>
        <v>MISSING OEWS</v>
      </c>
    </row>
    <row r="2806" spans="1:11">
      <c r="A2806" t="s">
        <v>112</v>
      </c>
      <c r="B2806" t="s">
        <v>1510</v>
      </c>
      <c r="C2806" t="s">
        <v>449</v>
      </c>
      <c r="D2806" t="s">
        <v>450</v>
      </c>
      <c r="E2806" s="8">
        <v>58980</v>
      </c>
      <c r="F2806" s="8">
        <v>65320</v>
      </c>
      <c r="G2806" s="8">
        <f t="shared" si="172"/>
        <v>3852573600</v>
      </c>
      <c r="H2806" s="5">
        <v>0.0867</v>
      </c>
      <c r="I2806" s="8">
        <f t="shared" si="173"/>
        <v>3852573600</v>
      </c>
      <c r="J2806" s="8">
        <f t="shared" si="174"/>
        <v>334018131.12</v>
      </c>
      <c r="K2806" t="str">
        <f t="shared" si="175"/>
        <v>MATCHED</v>
      </c>
    </row>
    <row r="2807" spans="1:11">
      <c r="A2807" t="s">
        <v>112</v>
      </c>
      <c r="B2807" t="s">
        <v>1510</v>
      </c>
      <c r="C2807" t="s">
        <v>910</v>
      </c>
      <c r="D2807" t="s">
        <v>911</v>
      </c>
      <c r="E2807" s="8">
        <v>80</v>
      </c>
      <c r="F2807" s="8">
        <v>48820</v>
      </c>
      <c r="G2807" s="8">
        <f t="shared" si="172"/>
        <v>3905600</v>
      </c>
      <c r="H2807" s="5">
        <v>0</v>
      </c>
      <c r="I2807" s="8">
        <f t="shared" si="173"/>
        <v>3905600</v>
      </c>
      <c r="J2807" s="8">
        <f t="shared" si="174"/>
        <v>0</v>
      </c>
      <c r="K2807" t="str">
        <f t="shared" si="175"/>
        <v>MATCHED</v>
      </c>
    </row>
    <row r="2808" spans="1:11">
      <c r="A2808" t="s">
        <v>112</v>
      </c>
      <c r="B2808" t="s">
        <v>1510</v>
      </c>
      <c r="C2808" t="s">
        <v>1082</v>
      </c>
      <c r="D2808" t="s">
        <v>1083</v>
      </c>
      <c r="E2808" s="8">
        <v>340</v>
      </c>
      <c r="F2808" s="8">
        <v>56740</v>
      </c>
      <c r="G2808" s="8">
        <f t="shared" si="172"/>
        <v>19291600</v>
      </c>
      <c r="H2808" s="5">
        <v>0.2868</v>
      </c>
      <c r="I2808" s="8">
        <f t="shared" si="173"/>
        <v>19291600</v>
      </c>
      <c r="J2808" s="8">
        <f t="shared" si="174"/>
        <v>5532830.88</v>
      </c>
      <c r="K2808" t="str">
        <f t="shared" si="175"/>
        <v>MATCHED</v>
      </c>
    </row>
    <row r="2809" spans="1:11">
      <c r="A2809" t="s">
        <v>112</v>
      </c>
      <c r="B2809" t="s">
        <v>1510</v>
      </c>
      <c r="C2809" t="s">
        <v>1084</v>
      </c>
      <c r="D2809" t="s">
        <v>1085</v>
      </c>
      <c r="E2809" s="8">
        <v>220</v>
      </c>
      <c r="F2809" s="8">
        <v>77220</v>
      </c>
      <c r="G2809" s="8">
        <f t="shared" si="172"/>
        <v>16988400</v>
      </c>
      <c r="H2809" s="5">
        <v>0</v>
      </c>
      <c r="I2809" s="8">
        <f t="shared" si="173"/>
        <v>16988400</v>
      </c>
      <c r="J2809" s="8">
        <f t="shared" si="174"/>
        <v>0</v>
      </c>
      <c r="K2809" t="str">
        <f t="shared" si="175"/>
        <v>MATCHED</v>
      </c>
    </row>
    <row r="2810" spans="1:11">
      <c r="A2810" t="s">
        <v>112</v>
      </c>
      <c r="B2810" t="s">
        <v>1510</v>
      </c>
      <c r="C2810" t="s">
        <v>748</v>
      </c>
      <c r="D2810" t="s">
        <v>749</v>
      </c>
      <c r="E2810" s="8">
        <v>1060</v>
      </c>
      <c r="F2810" s="8">
        <v>51730</v>
      </c>
      <c r="G2810" s="8">
        <f t="shared" si="172"/>
        <v>54833800</v>
      </c>
      <c r="H2810" s="5">
        <v>0</v>
      </c>
      <c r="I2810" s="8">
        <f t="shared" si="173"/>
        <v>54833800</v>
      </c>
      <c r="J2810" s="8">
        <f t="shared" si="174"/>
        <v>0</v>
      </c>
      <c r="K2810" t="str">
        <f t="shared" si="175"/>
        <v>MATCHED</v>
      </c>
    </row>
    <row r="2811" spans="1:11">
      <c r="A2811" t="s">
        <v>112</v>
      </c>
      <c r="B2811" t="s">
        <v>1510</v>
      </c>
      <c r="C2811" t="s">
        <v>1090</v>
      </c>
      <c r="D2811" t="s">
        <v>1091</v>
      </c>
      <c r="E2811" s="8">
        <v>6610</v>
      </c>
      <c r="F2811" s="8">
        <v>90310</v>
      </c>
      <c r="G2811" s="8">
        <f t="shared" si="172"/>
        <v>596949100</v>
      </c>
      <c r="H2811" s="5">
        <v>0.0679</v>
      </c>
      <c r="I2811" s="8">
        <f t="shared" si="173"/>
        <v>596949100</v>
      </c>
      <c r="J2811" s="8">
        <f t="shared" si="174"/>
        <v>40532843.89</v>
      </c>
      <c r="K2811" t="str">
        <f t="shared" si="175"/>
        <v>MATCHED</v>
      </c>
    </row>
    <row r="2812" spans="1:11">
      <c r="A2812" t="s">
        <v>112</v>
      </c>
      <c r="B2812" t="s">
        <v>1510</v>
      </c>
      <c r="C2812" t="s">
        <v>451</v>
      </c>
      <c r="D2812" t="s">
        <v>452</v>
      </c>
      <c r="E2812" s="8">
        <v>4560</v>
      </c>
      <c r="F2812" s="8">
        <v>41240</v>
      </c>
      <c r="G2812" s="8">
        <f t="shared" si="172"/>
        <v>188054400</v>
      </c>
      <c r="H2812" s="5">
        <v>0.0594</v>
      </c>
      <c r="I2812" s="8">
        <f t="shared" si="173"/>
        <v>188054400</v>
      </c>
      <c r="J2812" s="8">
        <f t="shared" si="174"/>
        <v>11170431.36</v>
      </c>
      <c r="K2812" t="str">
        <f t="shared" si="175"/>
        <v>MATCHED</v>
      </c>
    </row>
    <row r="2813" spans="1:11">
      <c r="A2813" t="s">
        <v>112</v>
      </c>
      <c r="B2813" t="s">
        <v>1510</v>
      </c>
      <c r="C2813" t="s">
        <v>453</v>
      </c>
      <c r="D2813" t="s">
        <v>454</v>
      </c>
      <c r="E2813" s="8">
        <v>4840</v>
      </c>
      <c r="F2813" s="8">
        <v>62100</v>
      </c>
      <c r="G2813" s="8">
        <f t="shared" si="172"/>
        <v>300564000</v>
      </c>
      <c r="H2813" s="5">
        <v>0.1667</v>
      </c>
      <c r="I2813" s="8">
        <f t="shared" si="173"/>
        <v>300564000</v>
      </c>
      <c r="J2813" s="8">
        <f t="shared" si="174"/>
        <v>50104018.8</v>
      </c>
      <c r="K2813" t="str">
        <f t="shared" si="175"/>
        <v>MATCHED</v>
      </c>
    </row>
    <row r="2814" spans="1:11">
      <c r="A2814" t="s">
        <v>112</v>
      </c>
      <c r="B2814" t="s">
        <v>1510</v>
      </c>
      <c r="C2814" t="s">
        <v>455</v>
      </c>
      <c r="D2814" t="s">
        <v>456</v>
      </c>
      <c r="E2814" s="8">
        <v>7920</v>
      </c>
      <c r="F2814" s="8">
        <v>86580</v>
      </c>
      <c r="G2814" s="8">
        <f t="shared" si="172"/>
        <v>685713600</v>
      </c>
      <c r="H2814" s="5">
        <v>0.3775</v>
      </c>
      <c r="I2814" s="8">
        <f t="shared" si="173"/>
        <v>685713600</v>
      </c>
      <c r="J2814" s="8">
        <f t="shared" si="174"/>
        <v>258856884</v>
      </c>
      <c r="K2814" t="str">
        <f t="shared" si="175"/>
        <v>MATCHED</v>
      </c>
    </row>
    <row r="2815" spans="1:11">
      <c r="A2815" t="s">
        <v>112</v>
      </c>
      <c r="B2815" t="s">
        <v>1510</v>
      </c>
      <c r="C2815" t="s">
        <v>1314</v>
      </c>
      <c r="D2815" t="s">
        <v>1315</v>
      </c>
      <c r="E2815" s="8">
        <v>1450</v>
      </c>
      <c r="F2815" s="8">
        <v>57420</v>
      </c>
      <c r="G2815" s="8">
        <f t="shared" si="172"/>
        <v>83259000</v>
      </c>
      <c r="H2815" s="5">
        <v>0.0317</v>
      </c>
      <c r="I2815" s="8">
        <f t="shared" si="173"/>
        <v>83259000</v>
      </c>
      <c r="J2815" s="8">
        <f t="shared" si="174"/>
        <v>2639310.3</v>
      </c>
      <c r="K2815" t="str">
        <f t="shared" si="175"/>
        <v>MATCHED</v>
      </c>
    </row>
    <row r="2816" spans="1:11">
      <c r="A2816" t="s">
        <v>112</v>
      </c>
      <c r="B2816" t="s">
        <v>1510</v>
      </c>
      <c r="C2816" t="s">
        <v>912</v>
      </c>
      <c r="D2816" t="s">
        <v>913</v>
      </c>
      <c r="E2816" s="8">
        <v>350</v>
      </c>
      <c r="F2816" s="8">
        <v>61680</v>
      </c>
      <c r="G2816" s="8">
        <f t="shared" si="172"/>
        <v>21588000</v>
      </c>
      <c r="H2816" s="5">
        <v>0.0559</v>
      </c>
      <c r="I2816" s="8">
        <f t="shared" si="173"/>
        <v>21588000</v>
      </c>
      <c r="J2816" s="8">
        <f t="shared" si="174"/>
        <v>1206769.2</v>
      </c>
      <c r="K2816" t="str">
        <f t="shared" si="175"/>
        <v>MATCHED</v>
      </c>
    </row>
    <row r="2817" spans="1:11">
      <c r="A2817" t="s">
        <v>112</v>
      </c>
      <c r="B2817" t="s">
        <v>1510</v>
      </c>
      <c r="C2817" t="s">
        <v>1318</v>
      </c>
      <c r="D2817" t="s">
        <v>1319</v>
      </c>
      <c r="E2817" s="8">
        <v>50</v>
      </c>
      <c r="F2817" s="8">
        <v>55000</v>
      </c>
      <c r="G2817" s="8">
        <f t="shared" si="172"/>
        <v>2750000</v>
      </c>
      <c r="H2817" s="5">
        <v>0.0583</v>
      </c>
      <c r="I2817" s="8">
        <f t="shared" si="173"/>
        <v>2750000</v>
      </c>
      <c r="J2817" s="8">
        <f t="shared" si="174"/>
        <v>160325</v>
      </c>
      <c r="K2817" t="str">
        <f t="shared" si="175"/>
        <v>MATCHED</v>
      </c>
    </row>
    <row r="2818" spans="1:11">
      <c r="A2818" t="s">
        <v>112</v>
      </c>
      <c r="B2818" t="s">
        <v>1510</v>
      </c>
      <c r="C2818" t="s">
        <v>1092</v>
      </c>
      <c r="D2818" t="s">
        <v>1093</v>
      </c>
      <c r="E2818" s="8">
        <v>250</v>
      </c>
      <c r="F2818" s="8">
        <v>60920</v>
      </c>
      <c r="G2818" s="8">
        <f t="shared" ref="G2818:G2881" si="176">IF(OR(E2818="",F2818=""),"",E2818*F2818)</f>
        <v>15230000</v>
      </c>
      <c r="H2818" s="5">
        <v>0</v>
      </c>
      <c r="I2818" s="8">
        <f t="shared" ref="I2818:I2881" si="177">IF(G2818="","",IF(ISNUMBER(H2818),G2818,""))</f>
        <v>15230000</v>
      </c>
      <c r="J2818" s="8">
        <f t="shared" ref="J2818:J2881" si="178">IF(I2818="","",I2818*H2818)</f>
        <v>0</v>
      </c>
      <c r="K2818" t="str">
        <f t="shared" ref="K2818:K2881" si="179">IF(G2818="","MISSING OEWS",IF(ISNUMBER(H2818),"MATCHED","MISSING WHARTON"))</f>
        <v>MATCHED</v>
      </c>
    </row>
    <row r="2819" spans="1:11">
      <c r="A2819" t="s">
        <v>112</v>
      </c>
      <c r="B2819" t="s">
        <v>1510</v>
      </c>
      <c r="C2819" t="s">
        <v>457</v>
      </c>
      <c r="D2819" t="s">
        <v>458</v>
      </c>
      <c r="E2819" s="8">
        <v>8680</v>
      </c>
      <c r="F2819" s="8">
        <v>42560</v>
      </c>
      <c r="G2819" s="8">
        <f t="shared" si="176"/>
        <v>369420800</v>
      </c>
      <c r="H2819" s="5">
        <v>0.15</v>
      </c>
      <c r="I2819" s="8">
        <f t="shared" si="177"/>
        <v>369420800</v>
      </c>
      <c r="J2819" s="8">
        <f t="shared" si="178"/>
        <v>55413120</v>
      </c>
      <c r="K2819" t="str">
        <f t="shared" si="179"/>
        <v>MATCHED</v>
      </c>
    </row>
    <row r="2820" spans="1:11">
      <c r="A2820" t="s">
        <v>112</v>
      </c>
      <c r="B2820" t="s">
        <v>1510</v>
      </c>
      <c r="C2820" t="s">
        <v>1322</v>
      </c>
      <c r="D2820" t="s">
        <v>1323</v>
      </c>
      <c r="E2820" s="8">
        <v>190</v>
      </c>
      <c r="F2820" s="8">
        <v>44480</v>
      </c>
      <c r="G2820" s="8">
        <f t="shared" si="176"/>
        <v>8451200</v>
      </c>
      <c r="H2820" s="5">
        <v>0.1444</v>
      </c>
      <c r="I2820" s="8">
        <f t="shared" si="177"/>
        <v>8451200</v>
      </c>
      <c r="J2820" s="8">
        <f t="shared" si="178"/>
        <v>1220353.28</v>
      </c>
      <c r="K2820" t="str">
        <f t="shared" si="179"/>
        <v>MATCHED</v>
      </c>
    </row>
    <row r="2821" spans="1:11">
      <c r="A2821" t="s">
        <v>112</v>
      </c>
      <c r="B2821" t="s">
        <v>1510</v>
      </c>
      <c r="C2821" t="s">
        <v>1324</v>
      </c>
      <c r="D2821" t="s">
        <v>1325</v>
      </c>
      <c r="E2821" s="8">
        <v>50</v>
      </c>
      <c r="F2821" s="8">
        <v>41030</v>
      </c>
      <c r="G2821" s="8">
        <f t="shared" si="176"/>
        <v>2051500</v>
      </c>
      <c r="H2821" s="5">
        <v>0.1583</v>
      </c>
      <c r="I2821" s="8">
        <f t="shared" si="177"/>
        <v>2051500</v>
      </c>
      <c r="J2821" s="8">
        <f t="shared" si="178"/>
        <v>324752.45</v>
      </c>
      <c r="K2821" t="str">
        <f t="shared" si="179"/>
        <v>MATCHED</v>
      </c>
    </row>
    <row r="2822" spans="1:11">
      <c r="A2822" t="s">
        <v>112</v>
      </c>
      <c r="B2822" t="s">
        <v>1510</v>
      </c>
      <c r="C2822" t="s">
        <v>1326</v>
      </c>
      <c r="D2822" t="s">
        <v>1327</v>
      </c>
      <c r="E2822" s="8">
        <v>80</v>
      </c>
      <c r="F2822" s="8">
        <v>39420</v>
      </c>
      <c r="G2822" s="8">
        <f t="shared" si="176"/>
        <v>3153600</v>
      </c>
      <c r="H2822" s="5">
        <v>0</v>
      </c>
      <c r="I2822" s="8">
        <f t="shared" si="177"/>
        <v>3153600</v>
      </c>
      <c r="J2822" s="8">
        <f t="shared" si="178"/>
        <v>0</v>
      </c>
      <c r="K2822" t="str">
        <f t="shared" si="179"/>
        <v>MATCHED</v>
      </c>
    </row>
    <row r="2823" spans="1:11">
      <c r="A2823" t="s">
        <v>112</v>
      </c>
      <c r="B2823" t="s">
        <v>1510</v>
      </c>
      <c r="C2823" t="s">
        <v>461</v>
      </c>
      <c r="D2823" t="s">
        <v>462</v>
      </c>
      <c r="E2823" s="8">
        <v>1980</v>
      </c>
      <c r="F2823" s="8">
        <v>44730</v>
      </c>
      <c r="G2823" s="8">
        <f t="shared" si="176"/>
        <v>88565400</v>
      </c>
      <c r="H2823" s="5">
        <v>0.038</v>
      </c>
      <c r="I2823" s="8">
        <f t="shared" si="177"/>
        <v>88565400</v>
      </c>
      <c r="J2823" s="8">
        <f t="shared" si="178"/>
        <v>3365485.2</v>
      </c>
      <c r="K2823" t="str">
        <f t="shared" si="179"/>
        <v>MATCHED</v>
      </c>
    </row>
    <row r="2824" spans="1:11">
      <c r="A2824" t="s">
        <v>112</v>
      </c>
      <c r="B2824" t="s">
        <v>1510</v>
      </c>
      <c r="C2824" t="s">
        <v>463</v>
      </c>
      <c r="D2824" t="s">
        <v>464</v>
      </c>
      <c r="E2824" s="8">
        <v>420</v>
      </c>
      <c r="F2824" s="8">
        <v>52340</v>
      </c>
      <c r="G2824" s="8">
        <f t="shared" si="176"/>
        <v>21982800</v>
      </c>
      <c r="H2824" s="5"/>
      <c r="I2824" s="8" t="str">
        <f t="shared" si="177"/>
        <v/>
      </c>
      <c r="J2824" s="8" t="str">
        <f t="shared" si="178"/>
        <v/>
      </c>
      <c r="K2824" t="str">
        <f t="shared" si="179"/>
        <v>MISSING WHARTON</v>
      </c>
    </row>
    <row r="2825" spans="1:11">
      <c r="A2825" t="s">
        <v>112</v>
      </c>
      <c r="B2825" t="s">
        <v>1510</v>
      </c>
      <c r="C2825" t="s">
        <v>1100</v>
      </c>
      <c r="D2825" t="s">
        <v>1101</v>
      </c>
      <c r="E2825" s="8">
        <v>280</v>
      </c>
      <c r="F2825" s="8">
        <v>50950</v>
      </c>
      <c r="G2825" s="8">
        <f t="shared" si="176"/>
        <v>14266000</v>
      </c>
      <c r="H2825" s="5">
        <v>0.0297</v>
      </c>
      <c r="I2825" s="8">
        <f t="shared" si="177"/>
        <v>14266000</v>
      </c>
      <c r="J2825" s="8">
        <f t="shared" si="178"/>
        <v>423700.2</v>
      </c>
      <c r="K2825" t="str">
        <f t="shared" si="179"/>
        <v>MATCHED</v>
      </c>
    </row>
    <row r="2826" spans="1:11">
      <c r="A2826" t="s">
        <v>112</v>
      </c>
      <c r="B2826" t="s">
        <v>1510</v>
      </c>
      <c r="C2826" t="s">
        <v>1102</v>
      </c>
      <c r="D2826" t="s">
        <v>1103</v>
      </c>
      <c r="E2826" s="8">
        <v>70</v>
      </c>
      <c r="F2826" s="8">
        <v>48210</v>
      </c>
      <c r="G2826" s="8">
        <f t="shared" si="176"/>
        <v>3374700</v>
      </c>
      <c r="H2826" s="5">
        <v>0.0917</v>
      </c>
      <c r="I2826" s="8">
        <f t="shared" si="177"/>
        <v>3374700</v>
      </c>
      <c r="J2826" s="8">
        <f t="shared" si="178"/>
        <v>309459.99</v>
      </c>
      <c r="K2826" t="str">
        <f t="shared" si="179"/>
        <v>MATCHED</v>
      </c>
    </row>
    <row r="2827" spans="1:11">
      <c r="A2827" t="s">
        <v>112</v>
      </c>
      <c r="B2827" t="s">
        <v>1510</v>
      </c>
      <c r="C2827" t="s">
        <v>756</v>
      </c>
      <c r="D2827" t="s">
        <v>757</v>
      </c>
      <c r="E2827" s="8">
        <v>4610</v>
      </c>
      <c r="F2827" s="8">
        <v>81380</v>
      </c>
      <c r="G2827" s="8">
        <f t="shared" si="176"/>
        <v>375161800</v>
      </c>
      <c r="H2827" s="5">
        <v>0.0897</v>
      </c>
      <c r="I2827" s="8">
        <f t="shared" si="177"/>
        <v>375161800</v>
      </c>
      <c r="J2827" s="8">
        <f t="shared" si="178"/>
        <v>33652013.46</v>
      </c>
      <c r="K2827" t="str">
        <f t="shared" si="179"/>
        <v>MATCHED</v>
      </c>
    </row>
    <row r="2828" spans="1:11">
      <c r="A2828" t="s">
        <v>112</v>
      </c>
      <c r="B2828" t="s">
        <v>1510</v>
      </c>
      <c r="C2828" t="s">
        <v>1108</v>
      </c>
      <c r="D2828" t="s">
        <v>1109</v>
      </c>
      <c r="E2828" s="8">
        <v>50</v>
      </c>
      <c r="F2828" s="8"/>
      <c r="G2828" s="8" t="str">
        <f t="shared" si="176"/>
        <v/>
      </c>
      <c r="H2828" s="5">
        <v>0.169</v>
      </c>
      <c r="I2828" s="8" t="str">
        <f t="shared" si="177"/>
        <v/>
      </c>
      <c r="J2828" s="8" t="str">
        <f t="shared" si="178"/>
        <v/>
      </c>
      <c r="K2828" t="str">
        <f t="shared" si="179"/>
        <v>MISSING OEWS</v>
      </c>
    </row>
    <row r="2829" spans="1:11">
      <c r="A2829" t="s">
        <v>112</v>
      </c>
      <c r="B2829" t="s">
        <v>1510</v>
      </c>
      <c r="C2829" t="s">
        <v>760</v>
      </c>
      <c r="D2829" t="s">
        <v>761</v>
      </c>
      <c r="E2829" s="8">
        <v>60</v>
      </c>
      <c r="F2829" s="8">
        <v>67410</v>
      </c>
      <c r="G2829" s="8">
        <f t="shared" si="176"/>
        <v>4044600</v>
      </c>
      <c r="H2829" s="5">
        <v>0.0559</v>
      </c>
      <c r="I2829" s="8">
        <f t="shared" si="177"/>
        <v>4044600</v>
      </c>
      <c r="J2829" s="8">
        <f t="shared" si="178"/>
        <v>226093.14</v>
      </c>
      <c r="K2829" t="str">
        <f t="shared" si="179"/>
        <v>MATCHED</v>
      </c>
    </row>
    <row r="2830" spans="1:11">
      <c r="A2830" t="s">
        <v>112</v>
      </c>
      <c r="B2830" t="s">
        <v>1510</v>
      </c>
      <c r="C2830" t="s">
        <v>465</v>
      </c>
      <c r="D2830" t="s">
        <v>466</v>
      </c>
      <c r="E2830" s="8">
        <v>7540</v>
      </c>
      <c r="F2830" s="8">
        <v>71710</v>
      </c>
      <c r="G2830" s="8">
        <f t="shared" si="176"/>
        <v>540693400</v>
      </c>
      <c r="H2830" s="5">
        <v>0.0233</v>
      </c>
      <c r="I2830" s="8">
        <f t="shared" si="177"/>
        <v>540693400</v>
      </c>
      <c r="J2830" s="8">
        <f t="shared" si="178"/>
        <v>12598156.22</v>
      </c>
      <c r="K2830" t="str">
        <f t="shared" si="179"/>
        <v>MATCHED</v>
      </c>
    </row>
    <row r="2831" spans="1:11">
      <c r="A2831" t="s">
        <v>112</v>
      </c>
      <c r="B2831" t="s">
        <v>1510</v>
      </c>
      <c r="C2831" t="s">
        <v>762</v>
      </c>
      <c r="D2831" t="s">
        <v>763</v>
      </c>
      <c r="E2831" s="8"/>
      <c r="F2831" s="8">
        <v>51660</v>
      </c>
      <c r="G2831" s="8" t="str">
        <f t="shared" si="176"/>
        <v/>
      </c>
      <c r="H2831" s="5">
        <v>0.0983</v>
      </c>
      <c r="I2831" s="8" t="str">
        <f t="shared" si="177"/>
        <v/>
      </c>
      <c r="J2831" s="8" t="str">
        <f t="shared" si="178"/>
        <v/>
      </c>
      <c r="K2831" t="str">
        <f t="shared" si="179"/>
        <v>MISSING OEWS</v>
      </c>
    </row>
    <row r="2832" spans="1:11">
      <c r="A2832" t="s">
        <v>112</v>
      </c>
      <c r="B2832" t="s">
        <v>1510</v>
      </c>
      <c r="C2832" t="s">
        <v>1342</v>
      </c>
      <c r="D2832" t="s">
        <v>1343</v>
      </c>
      <c r="E2832" s="8">
        <v>50</v>
      </c>
      <c r="F2832" s="8">
        <v>47930</v>
      </c>
      <c r="G2832" s="8">
        <f t="shared" si="176"/>
        <v>2396500</v>
      </c>
      <c r="H2832" s="5">
        <v>0.42</v>
      </c>
      <c r="I2832" s="8">
        <f t="shared" si="177"/>
        <v>2396500</v>
      </c>
      <c r="J2832" s="8">
        <f t="shared" si="178"/>
        <v>1006530</v>
      </c>
      <c r="K2832" t="str">
        <f t="shared" si="179"/>
        <v>MATCHED</v>
      </c>
    </row>
    <row r="2833" spans="1:11">
      <c r="A2833" t="s">
        <v>112</v>
      </c>
      <c r="B2833" t="s">
        <v>1510</v>
      </c>
      <c r="C2833" t="s">
        <v>1344</v>
      </c>
      <c r="D2833" t="s">
        <v>1345</v>
      </c>
      <c r="E2833" s="8">
        <v>450</v>
      </c>
      <c r="F2833" s="8">
        <v>44890</v>
      </c>
      <c r="G2833" s="8">
        <f t="shared" si="176"/>
        <v>20200500</v>
      </c>
      <c r="H2833" s="5">
        <v>0.3348</v>
      </c>
      <c r="I2833" s="8">
        <f t="shared" si="177"/>
        <v>20200500</v>
      </c>
      <c r="J2833" s="8">
        <f t="shared" si="178"/>
        <v>6763127.4</v>
      </c>
      <c r="K2833" t="str">
        <f t="shared" si="179"/>
        <v>MATCHED</v>
      </c>
    </row>
    <row r="2834" spans="1:11">
      <c r="A2834" t="s">
        <v>112</v>
      </c>
      <c r="B2834" t="s">
        <v>1510</v>
      </c>
      <c r="C2834" t="s">
        <v>1346</v>
      </c>
      <c r="D2834" t="s">
        <v>1347</v>
      </c>
      <c r="E2834" s="8">
        <v>140</v>
      </c>
      <c r="F2834" s="8">
        <v>45470</v>
      </c>
      <c r="G2834" s="8">
        <f t="shared" si="176"/>
        <v>6365800</v>
      </c>
      <c r="H2834" s="5">
        <v>0.0385</v>
      </c>
      <c r="I2834" s="8">
        <f t="shared" si="177"/>
        <v>6365800</v>
      </c>
      <c r="J2834" s="8">
        <f t="shared" si="178"/>
        <v>245083.3</v>
      </c>
      <c r="K2834" t="str">
        <f t="shared" si="179"/>
        <v>MATCHED</v>
      </c>
    </row>
    <row r="2835" spans="1:11">
      <c r="A2835" t="s">
        <v>112</v>
      </c>
      <c r="B2835" t="s">
        <v>1510</v>
      </c>
      <c r="C2835" t="s">
        <v>1116</v>
      </c>
      <c r="D2835" t="s">
        <v>1117</v>
      </c>
      <c r="E2835" s="8">
        <v>60</v>
      </c>
      <c r="F2835" s="8">
        <v>35960</v>
      </c>
      <c r="G2835" s="8">
        <f t="shared" si="176"/>
        <v>2157600</v>
      </c>
      <c r="H2835" s="5">
        <v>0</v>
      </c>
      <c r="I2835" s="8">
        <f t="shared" si="177"/>
        <v>2157600</v>
      </c>
      <c r="J2835" s="8">
        <f t="shared" si="178"/>
        <v>0</v>
      </c>
      <c r="K2835" t="str">
        <f t="shared" si="179"/>
        <v>MATCHED</v>
      </c>
    </row>
    <row r="2836" spans="1:11">
      <c r="A2836" t="s">
        <v>112</v>
      </c>
      <c r="B2836" t="s">
        <v>1510</v>
      </c>
      <c r="C2836" t="s">
        <v>1348</v>
      </c>
      <c r="D2836" t="s">
        <v>1349</v>
      </c>
      <c r="E2836" s="8"/>
      <c r="F2836" s="8">
        <v>35520</v>
      </c>
      <c r="G2836" s="8" t="str">
        <f t="shared" si="176"/>
        <v/>
      </c>
      <c r="H2836" s="5">
        <v>0</v>
      </c>
      <c r="I2836" s="8" t="str">
        <f t="shared" si="177"/>
        <v/>
      </c>
      <c r="J2836" s="8" t="str">
        <f t="shared" si="178"/>
        <v/>
      </c>
      <c r="K2836" t="str">
        <f t="shared" si="179"/>
        <v>MISSING OEWS</v>
      </c>
    </row>
    <row r="2837" spans="1:11">
      <c r="A2837" t="s">
        <v>112</v>
      </c>
      <c r="B2837" t="s">
        <v>1510</v>
      </c>
      <c r="C2837" t="s">
        <v>1118</v>
      </c>
      <c r="D2837" t="s">
        <v>1119</v>
      </c>
      <c r="E2837" s="8">
        <v>1640</v>
      </c>
      <c r="F2837" s="8">
        <v>40710</v>
      </c>
      <c r="G2837" s="8">
        <f t="shared" si="176"/>
        <v>66764400</v>
      </c>
      <c r="H2837" s="5">
        <v>0.0365</v>
      </c>
      <c r="I2837" s="8">
        <f t="shared" si="177"/>
        <v>66764400</v>
      </c>
      <c r="J2837" s="8">
        <f t="shared" si="178"/>
        <v>2436900.6</v>
      </c>
      <c r="K2837" t="str">
        <f t="shared" si="179"/>
        <v>MATCHED</v>
      </c>
    </row>
    <row r="2838" spans="1:11">
      <c r="A2838" t="s">
        <v>112</v>
      </c>
      <c r="B2838" t="s">
        <v>1510</v>
      </c>
      <c r="C2838" t="s">
        <v>1356</v>
      </c>
      <c r="D2838" t="s">
        <v>1357</v>
      </c>
      <c r="E2838" s="8"/>
      <c r="F2838" s="8">
        <v>32190</v>
      </c>
      <c r="G2838" s="8" t="str">
        <f t="shared" si="176"/>
        <v/>
      </c>
      <c r="H2838" s="5">
        <v>0.0432</v>
      </c>
      <c r="I2838" s="8" t="str">
        <f t="shared" si="177"/>
        <v/>
      </c>
      <c r="J2838" s="8" t="str">
        <f t="shared" si="178"/>
        <v/>
      </c>
      <c r="K2838" t="str">
        <f t="shared" si="179"/>
        <v>MISSING OEWS</v>
      </c>
    </row>
    <row r="2839" spans="1:11">
      <c r="A2839" t="s">
        <v>112</v>
      </c>
      <c r="B2839" t="s">
        <v>1510</v>
      </c>
      <c r="C2839" t="s">
        <v>1360</v>
      </c>
      <c r="D2839" t="s">
        <v>1361</v>
      </c>
      <c r="E2839" s="8">
        <v>50</v>
      </c>
      <c r="F2839" s="8">
        <v>41330</v>
      </c>
      <c r="G2839" s="8">
        <f t="shared" si="176"/>
        <v>2066500</v>
      </c>
      <c r="H2839" s="5">
        <v>0.1056</v>
      </c>
      <c r="I2839" s="8">
        <f t="shared" si="177"/>
        <v>2066500</v>
      </c>
      <c r="J2839" s="8">
        <f t="shared" si="178"/>
        <v>218222.4</v>
      </c>
      <c r="K2839" t="str">
        <f t="shared" si="179"/>
        <v>MATCHED</v>
      </c>
    </row>
    <row r="2840" spans="1:11">
      <c r="A2840" t="s">
        <v>112</v>
      </c>
      <c r="B2840" t="s">
        <v>1510</v>
      </c>
      <c r="C2840" t="s">
        <v>1120</v>
      </c>
      <c r="D2840" t="s">
        <v>1121</v>
      </c>
      <c r="E2840" s="8">
        <v>430</v>
      </c>
      <c r="F2840" s="8">
        <v>60050</v>
      </c>
      <c r="G2840" s="8">
        <f t="shared" si="176"/>
        <v>25821500</v>
      </c>
      <c r="H2840" s="5">
        <v>0.0432</v>
      </c>
      <c r="I2840" s="8">
        <f t="shared" si="177"/>
        <v>25821500</v>
      </c>
      <c r="J2840" s="8">
        <f t="shared" si="178"/>
        <v>1115488.8</v>
      </c>
      <c r="K2840" t="str">
        <f t="shared" si="179"/>
        <v>MATCHED</v>
      </c>
    </row>
    <row r="2841" spans="1:11">
      <c r="A2841" t="s">
        <v>112</v>
      </c>
      <c r="B2841" t="s">
        <v>1510</v>
      </c>
      <c r="C2841" t="s">
        <v>1122</v>
      </c>
      <c r="D2841" t="s">
        <v>1123</v>
      </c>
      <c r="E2841" s="8">
        <v>90</v>
      </c>
      <c r="F2841" s="8">
        <v>63650</v>
      </c>
      <c r="G2841" s="8">
        <f t="shared" si="176"/>
        <v>5728500</v>
      </c>
      <c r="H2841" s="5">
        <v>0.13</v>
      </c>
      <c r="I2841" s="8">
        <f t="shared" si="177"/>
        <v>5728500</v>
      </c>
      <c r="J2841" s="8">
        <f t="shared" si="178"/>
        <v>744705</v>
      </c>
      <c r="K2841" t="str">
        <f t="shared" si="179"/>
        <v>MATCHED</v>
      </c>
    </row>
    <row r="2842" spans="1:11">
      <c r="A2842" t="s">
        <v>112</v>
      </c>
      <c r="B2842" t="s">
        <v>1510</v>
      </c>
      <c r="C2842" t="s">
        <v>1124</v>
      </c>
      <c r="D2842" t="s">
        <v>1125</v>
      </c>
      <c r="E2842" s="8">
        <v>980</v>
      </c>
      <c r="F2842" s="8">
        <v>49740</v>
      </c>
      <c r="G2842" s="8">
        <f t="shared" si="176"/>
        <v>48745200</v>
      </c>
      <c r="H2842" s="5">
        <v>0</v>
      </c>
      <c r="I2842" s="8">
        <f t="shared" si="177"/>
        <v>48745200</v>
      </c>
      <c r="J2842" s="8">
        <f t="shared" si="178"/>
        <v>0</v>
      </c>
      <c r="K2842" t="str">
        <f t="shared" si="179"/>
        <v>MATCHED</v>
      </c>
    </row>
    <row r="2843" spans="1:11">
      <c r="A2843" t="s">
        <v>112</v>
      </c>
      <c r="B2843" t="s">
        <v>1510</v>
      </c>
      <c r="C2843" t="s">
        <v>467</v>
      </c>
      <c r="D2843" t="s">
        <v>468</v>
      </c>
      <c r="E2843" s="8">
        <v>120</v>
      </c>
      <c r="F2843" s="8">
        <v>47510</v>
      </c>
      <c r="G2843" s="8">
        <f t="shared" si="176"/>
        <v>5701200</v>
      </c>
      <c r="H2843" s="5">
        <v>0</v>
      </c>
      <c r="I2843" s="8">
        <f t="shared" si="177"/>
        <v>5701200</v>
      </c>
      <c r="J2843" s="8">
        <f t="shared" si="178"/>
        <v>0</v>
      </c>
      <c r="K2843" t="str">
        <f t="shared" si="179"/>
        <v>MATCHED</v>
      </c>
    </row>
    <row r="2844" spans="1:11">
      <c r="A2844" t="s">
        <v>112</v>
      </c>
      <c r="B2844" t="s">
        <v>1510</v>
      </c>
      <c r="C2844" t="s">
        <v>1126</v>
      </c>
      <c r="D2844" t="s">
        <v>1127</v>
      </c>
      <c r="E2844" s="8">
        <v>40</v>
      </c>
      <c r="F2844" s="8">
        <v>42170</v>
      </c>
      <c r="G2844" s="8">
        <f t="shared" si="176"/>
        <v>1686800</v>
      </c>
      <c r="H2844" s="5">
        <v>0.0365</v>
      </c>
      <c r="I2844" s="8">
        <f t="shared" si="177"/>
        <v>1686800</v>
      </c>
      <c r="J2844" s="8">
        <f t="shared" si="178"/>
        <v>61568.2</v>
      </c>
      <c r="K2844" t="str">
        <f t="shared" si="179"/>
        <v>MATCHED</v>
      </c>
    </row>
    <row r="2845" spans="1:11">
      <c r="A2845" t="s">
        <v>112</v>
      </c>
      <c r="B2845" t="s">
        <v>1510</v>
      </c>
      <c r="C2845" t="s">
        <v>768</v>
      </c>
      <c r="D2845" t="s">
        <v>769</v>
      </c>
      <c r="E2845" s="8">
        <v>110</v>
      </c>
      <c r="F2845" s="8">
        <v>91380</v>
      </c>
      <c r="G2845" s="8">
        <f t="shared" si="176"/>
        <v>10051800</v>
      </c>
      <c r="H2845" s="5">
        <v>0.104</v>
      </c>
      <c r="I2845" s="8">
        <f t="shared" si="177"/>
        <v>10051800</v>
      </c>
      <c r="J2845" s="8">
        <f t="shared" si="178"/>
        <v>1045387.2</v>
      </c>
      <c r="K2845" t="str">
        <f t="shared" si="179"/>
        <v>MATCHED</v>
      </c>
    </row>
    <row r="2846" spans="1:11">
      <c r="A2846" t="s">
        <v>112</v>
      </c>
      <c r="B2846" t="s">
        <v>1510</v>
      </c>
      <c r="C2846" t="s">
        <v>770</v>
      </c>
      <c r="D2846" t="s">
        <v>771</v>
      </c>
      <c r="E2846" s="8">
        <v>40</v>
      </c>
      <c r="F2846" s="8">
        <v>65320</v>
      </c>
      <c r="G2846" s="8">
        <f t="shared" si="176"/>
        <v>2612800</v>
      </c>
      <c r="H2846" s="5">
        <v>0.1188</v>
      </c>
      <c r="I2846" s="8">
        <f t="shared" si="177"/>
        <v>2612800</v>
      </c>
      <c r="J2846" s="8">
        <f t="shared" si="178"/>
        <v>310400.64</v>
      </c>
      <c r="K2846" t="str">
        <f t="shared" si="179"/>
        <v>MATCHED</v>
      </c>
    </row>
    <row r="2847" spans="1:11">
      <c r="A2847" t="s">
        <v>112</v>
      </c>
      <c r="B2847" t="s">
        <v>1510</v>
      </c>
      <c r="C2847" t="s">
        <v>774</v>
      </c>
      <c r="D2847" t="s">
        <v>775</v>
      </c>
      <c r="E2847" s="8">
        <v>5710</v>
      </c>
      <c r="F2847" s="8">
        <v>88210</v>
      </c>
      <c r="G2847" s="8">
        <f t="shared" si="176"/>
        <v>503679100</v>
      </c>
      <c r="H2847" s="5">
        <v>0.15</v>
      </c>
      <c r="I2847" s="8">
        <f t="shared" si="177"/>
        <v>503679100</v>
      </c>
      <c r="J2847" s="8">
        <f t="shared" si="178"/>
        <v>75551865</v>
      </c>
      <c r="K2847" t="str">
        <f t="shared" si="179"/>
        <v>MATCHED</v>
      </c>
    </row>
    <row r="2848" spans="1:11">
      <c r="A2848" t="s">
        <v>112</v>
      </c>
      <c r="B2848" t="s">
        <v>1510</v>
      </c>
      <c r="C2848" t="s">
        <v>776</v>
      </c>
      <c r="D2848" t="s">
        <v>777</v>
      </c>
      <c r="E2848" s="8">
        <v>6700</v>
      </c>
      <c r="F2848" s="8">
        <v>91830</v>
      </c>
      <c r="G2848" s="8">
        <f t="shared" si="176"/>
        <v>615261000</v>
      </c>
      <c r="H2848" s="5">
        <v>0.1583</v>
      </c>
      <c r="I2848" s="8">
        <f t="shared" si="177"/>
        <v>615261000</v>
      </c>
      <c r="J2848" s="8">
        <f t="shared" si="178"/>
        <v>97395816.3</v>
      </c>
      <c r="K2848" t="str">
        <f t="shared" si="179"/>
        <v>MATCHED</v>
      </c>
    </row>
    <row r="2849" spans="1:11">
      <c r="A2849" t="s">
        <v>112</v>
      </c>
      <c r="B2849" t="s">
        <v>1510</v>
      </c>
      <c r="C2849" t="s">
        <v>778</v>
      </c>
      <c r="D2849" t="s">
        <v>779</v>
      </c>
      <c r="E2849" s="8">
        <v>30</v>
      </c>
      <c r="F2849" s="8">
        <v>77860</v>
      </c>
      <c r="G2849" s="8">
        <f t="shared" si="176"/>
        <v>2335800</v>
      </c>
      <c r="H2849" s="5">
        <v>0.1</v>
      </c>
      <c r="I2849" s="8">
        <f t="shared" si="177"/>
        <v>2335800</v>
      </c>
      <c r="J2849" s="8">
        <f t="shared" si="178"/>
        <v>233580</v>
      </c>
      <c r="K2849" t="str">
        <f t="shared" si="179"/>
        <v>MATCHED</v>
      </c>
    </row>
    <row r="2850" spans="1:11">
      <c r="A2850" t="s">
        <v>112</v>
      </c>
      <c r="B2850" t="s">
        <v>1510</v>
      </c>
      <c r="C2850" t="s">
        <v>1378</v>
      </c>
      <c r="D2850" t="s">
        <v>1379</v>
      </c>
      <c r="E2850" s="8"/>
      <c r="F2850" s="8">
        <v>51880</v>
      </c>
      <c r="G2850" s="8" t="str">
        <f t="shared" si="176"/>
        <v/>
      </c>
      <c r="H2850" s="5">
        <v>0.113</v>
      </c>
      <c r="I2850" s="8" t="str">
        <f t="shared" si="177"/>
        <v/>
      </c>
      <c r="J2850" s="8" t="str">
        <f t="shared" si="178"/>
        <v/>
      </c>
      <c r="K2850" t="str">
        <f t="shared" si="179"/>
        <v>MISSING OEWS</v>
      </c>
    </row>
    <row r="2851" spans="1:11">
      <c r="A2851" t="s">
        <v>112</v>
      </c>
      <c r="B2851" t="s">
        <v>1510</v>
      </c>
      <c r="C2851" t="s">
        <v>469</v>
      </c>
      <c r="D2851" t="s">
        <v>470</v>
      </c>
      <c r="E2851" s="8">
        <v>50</v>
      </c>
      <c r="F2851" s="8">
        <v>47090</v>
      </c>
      <c r="G2851" s="8">
        <f t="shared" si="176"/>
        <v>2354500</v>
      </c>
      <c r="H2851" s="5">
        <v>0.0452</v>
      </c>
      <c r="I2851" s="8">
        <f t="shared" si="177"/>
        <v>2354500</v>
      </c>
      <c r="J2851" s="8">
        <f t="shared" si="178"/>
        <v>106423.4</v>
      </c>
      <c r="K2851" t="str">
        <f t="shared" si="179"/>
        <v>MATCHED</v>
      </c>
    </row>
    <row r="2852" spans="1:11">
      <c r="A2852" t="s">
        <v>112</v>
      </c>
      <c r="B2852" t="s">
        <v>1510</v>
      </c>
      <c r="C2852" t="s">
        <v>471</v>
      </c>
      <c r="D2852" t="s">
        <v>472</v>
      </c>
      <c r="E2852" s="8">
        <v>130</v>
      </c>
      <c r="F2852" s="8">
        <v>40890</v>
      </c>
      <c r="G2852" s="8">
        <f t="shared" si="176"/>
        <v>5315700</v>
      </c>
      <c r="H2852" s="5">
        <v>0.0864</v>
      </c>
      <c r="I2852" s="8">
        <f t="shared" si="177"/>
        <v>5315700</v>
      </c>
      <c r="J2852" s="8">
        <f t="shared" si="178"/>
        <v>459276.48</v>
      </c>
      <c r="K2852" t="str">
        <f t="shared" si="179"/>
        <v>MATCHED</v>
      </c>
    </row>
    <row r="2853" spans="1:11">
      <c r="A2853" t="s">
        <v>112</v>
      </c>
      <c r="B2853" t="s">
        <v>1510</v>
      </c>
      <c r="C2853" t="s">
        <v>1128</v>
      </c>
      <c r="D2853" t="s">
        <v>1129</v>
      </c>
      <c r="E2853" s="8"/>
      <c r="F2853" s="8">
        <v>57970</v>
      </c>
      <c r="G2853" s="8" t="str">
        <f t="shared" si="176"/>
        <v/>
      </c>
      <c r="H2853" s="5">
        <v>0.0475</v>
      </c>
      <c r="I2853" s="8" t="str">
        <f t="shared" si="177"/>
        <v/>
      </c>
      <c r="J2853" s="8" t="str">
        <f t="shared" si="178"/>
        <v/>
      </c>
      <c r="K2853" t="str">
        <f t="shared" si="179"/>
        <v>MISSING OEWS</v>
      </c>
    </row>
    <row r="2854" spans="1:11">
      <c r="A2854" t="s">
        <v>112</v>
      </c>
      <c r="B2854" t="s">
        <v>1510</v>
      </c>
      <c r="C2854" t="s">
        <v>473</v>
      </c>
      <c r="D2854" t="s">
        <v>474</v>
      </c>
      <c r="E2854" s="8">
        <v>280</v>
      </c>
      <c r="F2854" s="8">
        <v>53290</v>
      </c>
      <c r="G2854" s="8">
        <f t="shared" si="176"/>
        <v>14921200</v>
      </c>
      <c r="H2854" s="5">
        <v>0.1026</v>
      </c>
      <c r="I2854" s="8">
        <f t="shared" si="177"/>
        <v>14921200</v>
      </c>
      <c r="J2854" s="8">
        <f t="shared" si="178"/>
        <v>1530915.12</v>
      </c>
      <c r="K2854" t="str">
        <f t="shared" si="179"/>
        <v>MATCHED</v>
      </c>
    </row>
    <row r="2855" spans="1:11">
      <c r="A2855" t="s">
        <v>112</v>
      </c>
      <c r="B2855" t="s">
        <v>1510</v>
      </c>
      <c r="C2855" t="s">
        <v>475</v>
      </c>
      <c r="D2855" t="s">
        <v>476</v>
      </c>
      <c r="E2855" s="8">
        <v>70</v>
      </c>
      <c r="F2855" s="8">
        <v>39220</v>
      </c>
      <c r="G2855" s="8">
        <f t="shared" si="176"/>
        <v>2745400</v>
      </c>
      <c r="H2855" s="5">
        <v>0</v>
      </c>
      <c r="I2855" s="8">
        <f t="shared" si="177"/>
        <v>2745400</v>
      </c>
      <c r="J2855" s="8">
        <f t="shared" si="178"/>
        <v>0</v>
      </c>
      <c r="K2855" t="str">
        <f t="shared" si="179"/>
        <v>MATCHED</v>
      </c>
    </row>
    <row r="2856" spans="1:11">
      <c r="A2856" t="s">
        <v>112</v>
      </c>
      <c r="B2856" t="s">
        <v>1510</v>
      </c>
      <c r="C2856" t="s">
        <v>477</v>
      </c>
      <c r="D2856" t="s">
        <v>478</v>
      </c>
      <c r="E2856" s="8">
        <v>240</v>
      </c>
      <c r="F2856" s="8">
        <v>50880</v>
      </c>
      <c r="G2856" s="8">
        <f t="shared" si="176"/>
        <v>12211200</v>
      </c>
      <c r="H2856" s="5">
        <v>0.0339</v>
      </c>
      <c r="I2856" s="8">
        <f t="shared" si="177"/>
        <v>12211200</v>
      </c>
      <c r="J2856" s="8">
        <f t="shared" si="178"/>
        <v>413959.68</v>
      </c>
      <c r="K2856" t="str">
        <f t="shared" si="179"/>
        <v>MATCHED</v>
      </c>
    </row>
    <row r="2857" spans="1:11">
      <c r="A2857" t="s">
        <v>112</v>
      </c>
      <c r="B2857" t="s">
        <v>1510</v>
      </c>
      <c r="C2857" t="s">
        <v>479</v>
      </c>
      <c r="D2857" t="s">
        <v>480</v>
      </c>
      <c r="E2857" s="8">
        <v>230</v>
      </c>
      <c r="F2857" s="8">
        <v>47970</v>
      </c>
      <c r="G2857" s="8">
        <f t="shared" si="176"/>
        <v>11033100</v>
      </c>
      <c r="H2857" s="5">
        <v>0.0679</v>
      </c>
      <c r="I2857" s="8">
        <f t="shared" si="177"/>
        <v>11033100</v>
      </c>
      <c r="J2857" s="8">
        <f t="shared" si="178"/>
        <v>749147.49</v>
      </c>
      <c r="K2857" t="str">
        <f t="shared" si="179"/>
        <v>MATCHED</v>
      </c>
    </row>
    <row r="2858" spans="1:11">
      <c r="A2858" t="s">
        <v>112</v>
      </c>
      <c r="B2858" t="s">
        <v>1510</v>
      </c>
      <c r="C2858" t="s">
        <v>481</v>
      </c>
      <c r="D2858" t="s">
        <v>482</v>
      </c>
      <c r="E2858" s="8">
        <v>23200</v>
      </c>
      <c r="F2858" s="8">
        <v>53050</v>
      </c>
      <c r="G2858" s="8">
        <f t="shared" si="176"/>
        <v>1230760000</v>
      </c>
      <c r="H2858" s="5">
        <v>0.2969</v>
      </c>
      <c r="I2858" s="8">
        <f t="shared" si="177"/>
        <v>1230760000</v>
      </c>
      <c r="J2858" s="8">
        <f t="shared" si="178"/>
        <v>365412644</v>
      </c>
      <c r="K2858" t="str">
        <f t="shared" si="179"/>
        <v>MATCHED</v>
      </c>
    </row>
    <row r="2859" spans="1:11">
      <c r="A2859" t="s">
        <v>112</v>
      </c>
      <c r="B2859" t="s">
        <v>1510</v>
      </c>
      <c r="C2859" t="s">
        <v>483</v>
      </c>
      <c r="D2859" t="s">
        <v>484</v>
      </c>
      <c r="E2859" s="8">
        <v>8510</v>
      </c>
      <c r="F2859" s="8">
        <v>43780</v>
      </c>
      <c r="G2859" s="8">
        <f t="shared" si="176"/>
        <v>372567800</v>
      </c>
      <c r="H2859" s="5">
        <v>0.0475</v>
      </c>
      <c r="I2859" s="8">
        <f t="shared" si="177"/>
        <v>372567800</v>
      </c>
      <c r="J2859" s="8">
        <f t="shared" si="178"/>
        <v>17696970.5</v>
      </c>
      <c r="K2859" t="str">
        <f t="shared" si="179"/>
        <v>MATCHED</v>
      </c>
    </row>
    <row r="2860" spans="1:11">
      <c r="A2860" t="s">
        <v>112</v>
      </c>
      <c r="B2860" t="s">
        <v>1510</v>
      </c>
      <c r="C2860" t="s">
        <v>782</v>
      </c>
      <c r="D2860" t="s">
        <v>783</v>
      </c>
      <c r="E2860" s="8">
        <v>4650</v>
      </c>
      <c r="F2860" s="8">
        <v>54840</v>
      </c>
      <c r="G2860" s="8">
        <f t="shared" si="176"/>
        <v>255006000</v>
      </c>
      <c r="H2860" s="5">
        <v>0.0317</v>
      </c>
      <c r="I2860" s="8">
        <f t="shared" si="177"/>
        <v>255006000</v>
      </c>
      <c r="J2860" s="8">
        <f t="shared" si="178"/>
        <v>8083690.2</v>
      </c>
      <c r="K2860" t="str">
        <f t="shared" si="179"/>
        <v>MATCHED</v>
      </c>
    </row>
    <row r="2861" spans="1:11">
      <c r="A2861" t="s">
        <v>112</v>
      </c>
      <c r="B2861" t="s">
        <v>1510</v>
      </c>
      <c r="C2861" t="s">
        <v>784</v>
      </c>
      <c r="D2861" t="s">
        <v>785</v>
      </c>
      <c r="E2861" s="8">
        <v>160</v>
      </c>
      <c r="F2861" s="8">
        <v>53240</v>
      </c>
      <c r="G2861" s="8">
        <f t="shared" si="176"/>
        <v>8518400</v>
      </c>
      <c r="H2861" s="5">
        <v>0.2111</v>
      </c>
      <c r="I2861" s="8">
        <f t="shared" si="177"/>
        <v>8518400</v>
      </c>
      <c r="J2861" s="8">
        <f t="shared" si="178"/>
        <v>1798234.24</v>
      </c>
      <c r="K2861" t="str">
        <f t="shared" si="179"/>
        <v>MATCHED</v>
      </c>
    </row>
    <row r="2862" spans="1:11">
      <c r="A2862" t="s">
        <v>112</v>
      </c>
      <c r="B2862" t="s">
        <v>1510</v>
      </c>
      <c r="C2862" t="s">
        <v>1132</v>
      </c>
      <c r="D2862" t="s">
        <v>1133</v>
      </c>
      <c r="E2862" s="8">
        <v>40</v>
      </c>
      <c r="F2862" s="8">
        <v>67360</v>
      </c>
      <c r="G2862" s="8">
        <f t="shared" si="176"/>
        <v>2694400</v>
      </c>
      <c r="H2862" s="5">
        <v>0.5938</v>
      </c>
      <c r="I2862" s="8">
        <f t="shared" si="177"/>
        <v>2694400</v>
      </c>
      <c r="J2862" s="8">
        <f t="shared" si="178"/>
        <v>1599934.72</v>
      </c>
      <c r="K2862" t="str">
        <f t="shared" si="179"/>
        <v>MATCHED</v>
      </c>
    </row>
    <row r="2863" spans="1:11">
      <c r="A2863" t="s">
        <v>112</v>
      </c>
      <c r="B2863" t="s">
        <v>1510</v>
      </c>
      <c r="C2863" t="s">
        <v>1392</v>
      </c>
      <c r="D2863" t="s">
        <v>1393</v>
      </c>
      <c r="E2863" s="8">
        <v>70</v>
      </c>
      <c r="F2863" s="8">
        <v>50740</v>
      </c>
      <c r="G2863" s="8">
        <f t="shared" si="176"/>
        <v>3551800</v>
      </c>
      <c r="H2863" s="5">
        <v>0.0559</v>
      </c>
      <c r="I2863" s="8">
        <f t="shared" si="177"/>
        <v>3551800</v>
      </c>
      <c r="J2863" s="8">
        <f t="shared" si="178"/>
        <v>198545.62</v>
      </c>
      <c r="K2863" t="str">
        <f t="shared" si="179"/>
        <v>MATCHED</v>
      </c>
    </row>
    <row r="2864" spans="1:11">
      <c r="A2864" t="s">
        <v>112</v>
      </c>
      <c r="B2864" t="s">
        <v>1510</v>
      </c>
      <c r="C2864" t="s">
        <v>485</v>
      </c>
      <c r="D2864" t="s">
        <v>486</v>
      </c>
      <c r="E2864" s="8">
        <v>150</v>
      </c>
      <c r="F2864" s="8">
        <v>42720</v>
      </c>
      <c r="G2864" s="8">
        <f t="shared" si="176"/>
        <v>6408000</v>
      </c>
      <c r="H2864" s="5">
        <v>0.0864</v>
      </c>
      <c r="I2864" s="8">
        <f t="shared" si="177"/>
        <v>6408000</v>
      </c>
      <c r="J2864" s="8">
        <f t="shared" si="178"/>
        <v>553651.2</v>
      </c>
      <c r="K2864" t="str">
        <f t="shared" si="179"/>
        <v>MATCHED</v>
      </c>
    </row>
    <row r="2865" spans="1:11">
      <c r="A2865" t="s">
        <v>112</v>
      </c>
      <c r="B2865" t="s">
        <v>1510</v>
      </c>
      <c r="C2865" t="s">
        <v>1394</v>
      </c>
      <c r="D2865" t="s">
        <v>1395</v>
      </c>
      <c r="E2865" s="8">
        <v>270</v>
      </c>
      <c r="F2865" s="8">
        <v>47190</v>
      </c>
      <c r="G2865" s="8">
        <f t="shared" si="176"/>
        <v>12741300</v>
      </c>
      <c r="H2865" s="5">
        <v>0.05</v>
      </c>
      <c r="I2865" s="8">
        <f t="shared" si="177"/>
        <v>12741300</v>
      </c>
      <c r="J2865" s="8">
        <f t="shared" si="178"/>
        <v>637065</v>
      </c>
      <c r="K2865" t="str">
        <f t="shared" si="179"/>
        <v>MATCHED</v>
      </c>
    </row>
    <row r="2866" spans="1:11">
      <c r="A2866" t="s">
        <v>112</v>
      </c>
      <c r="B2866" t="s">
        <v>1510</v>
      </c>
      <c r="C2866" t="s">
        <v>487</v>
      </c>
      <c r="D2866" t="s">
        <v>488</v>
      </c>
      <c r="E2866" s="8">
        <v>220</v>
      </c>
      <c r="F2866" s="8">
        <v>39990</v>
      </c>
      <c r="G2866" s="8">
        <f t="shared" si="176"/>
        <v>8797800</v>
      </c>
      <c r="H2866" s="5">
        <v>0</v>
      </c>
      <c r="I2866" s="8">
        <f t="shared" si="177"/>
        <v>8797800</v>
      </c>
      <c r="J2866" s="8">
        <f t="shared" si="178"/>
        <v>0</v>
      </c>
      <c r="K2866" t="str">
        <f t="shared" si="179"/>
        <v>MATCHED</v>
      </c>
    </row>
    <row r="2867" spans="1:11">
      <c r="A2867" t="s">
        <v>112</v>
      </c>
      <c r="B2867" t="s">
        <v>1510</v>
      </c>
      <c r="C2867" t="s">
        <v>489</v>
      </c>
      <c r="D2867" t="s">
        <v>490</v>
      </c>
      <c r="E2867" s="8">
        <v>1830</v>
      </c>
      <c r="F2867" s="8">
        <v>51840</v>
      </c>
      <c r="G2867" s="8">
        <f t="shared" si="176"/>
        <v>94867200</v>
      </c>
      <c r="H2867" s="5">
        <v>0.0838</v>
      </c>
      <c r="I2867" s="8">
        <f t="shared" si="177"/>
        <v>94867200</v>
      </c>
      <c r="J2867" s="8">
        <f t="shared" si="178"/>
        <v>7949871.36</v>
      </c>
      <c r="K2867" t="str">
        <f t="shared" si="179"/>
        <v>MATCHED</v>
      </c>
    </row>
    <row r="2868" spans="1:11">
      <c r="A2868" t="s">
        <v>112</v>
      </c>
      <c r="B2868" t="s">
        <v>1510</v>
      </c>
      <c r="C2868" t="s">
        <v>491</v>
      </c>
      <c r="D2868" t="s">
        <v>492</v>
      </c>
      <c r="E2868" s="8">
        <v>3670</v>
      </c>
      <c r="F2868" s="8">
        <v>43830</v>
      </c>
      <c r="G2868" s="8">
        <f t="shared" si="176"/>
        <v>160856100</v>
      </c>
      <c r="H2868" s="5"/>
      <c r="I2868" s="8" t="str">
        <f t="shared" si="177"/>
        <v/>
      </c>
      <c r="J2868" s="8" t="str">
        <f t="shared" si="178"/>
        <v/>
      </c>
      <c r="K2868" t="str">
        <f t="shared" si="179"/>
        <v>MISSING WHARTON</v>
      </c>
    </row>
    <row r="2869" spans="1:11">
      <c r="A2869" t="s">
        <v>112</v>
      </c>
      <c r="B2869" t="s">
        <v>1510</v>
      </c>
      <c r="C2869" t="s">
        <v>1400</v>
      </c>
      <c r="D2869" t="s">
        <v>1401</v>
      </c>
      <c r="E2869" s="8">
        <v>9500</v>
      </c>
      <c r="F2869" s="8">
        <v>64440</v>
      </c>
      <c r="G2869" s="8">
        <f t="shared" si="176"/>
        <v>612180000</v>
      </c>
      <c r="H2869" s="5">
        <v>0.3167</v>
      </c>
      <c r="I2869" s="8">
        <f t="shared" si="177"/>
        <v>612180000</v>
      </c>
      <c r="J2869" s="8">
        <f t="shared" si="178"/>
        <v>193877406</v>
      </c>
      <c r="K2869" t="str">
        <f t="shared" si="179"/>
        <v>MATCHED</v>
      </c>
    </row>
    <row r="2870" spans="1:11">
      <c r="A2870" t="s">
        <v>112</v>
      </c>
      <c r="B2870" t="s">
        <v>1510</v>
      </c>
      <c r="C2870" t="s">
        <v>493</v>
      </c>
      <c r="D2870" t="s">
        <v>494</v>
      </c>
      <c r="E2870" s="8">
        <v>212120</v>
      </c>
      <c r="F2870" s="8">
        <v>71430</v>
      </c>
      <c r="G2870" s="8">
        <f t="shared" si="176"/>
        <v>15151731600</v>
      </c>
      <c r="H2870" s="5">
        <v>0.3429</v>
      </c>
      <c r="I2870" s="8">
        <f t="shared" si="177"/>
        <v>15151731600</v>
      </c>
      <c r="J2870" s="8">
        <f t="shared" si="178"/>
        <v>5195528765.64</v>
      </c>
      <c r="K2870" t="str">
        <f t="shared" si="179"/>
        <v>MATCHED</v>
      </c>
    </row>
    <row r="2871" spans="1:11">
      <c r="A2871" t="s">
        <v>112</v>
      </c>
      <c r="B2871" t="s">
        <v>1510</v>
      </c>
      <c r="C2871" t="s">
        <v>1402</v>
      </c>
      <c r="D2871" t="s">
        <v>1403</v>
      </c>
      <c r="E2871" s="8">
        <v>99320</v>
      </c>
      <c r="F2871" s="8">
        <v>294540</v>
      </c>
      <c r="G2871" s="8">
        <f t="shared" si="176"/>
        <v>29253712800</v>
      </c>
      <c r="H2871" s="5">
        <v>0.5423</v>
      </c>
      <c r="I2871" s="8">
        <f t="shared" si="177"/>
        <v>29253712800</v>
      </c>
      <c r="J2871" s="8">
        <f t="shared" si="178"/>
        <v>15864288451.44</v>
      </c>
      <c r="K2871" t="str">
        <f t="shared" si="179"/>
        <v>MATCHED</v>
      </c>
    </row>
    <row r="2872" spans="1:11">
      <c r="A2872" t="s">
        <v>112</v>
      </c>
      <c r="B2872" t="s">
        <v>1510</v>
      </c>
      <c r="C2872" t="s">
        <v>495</v>
      </c>
      <c r="D2872" t="s">
        <v>496</v>
      </c>
      <c r="E2872" s="8">
        <v>25270</v>
      </c>
      <c r="F2872" s="8">
        <v>159370</v>
      </c>
      <c r="G2872" s="8">
        <f t="shared" si="176"/>
        <v>4027279900</v>
      </c>
      <c r="H2872" s="5">
        <v>0.3558</v>
      </c>
      <c r="I2872" s="8">
        <f t="shared" si="177"/>
        <v>4027279900</v>
      </c>
      <c r="J2872" s="8">
        <f t="shared" si="178"/>
        <v>1432906188.42</v>
      </c>
      <c r="K2872" t="str">
        <f t="shared" si="179"/>
        <v>MATCHED</v>
      </c>
    </row>
    <row r="2873" spans="1:11">
      <c r="A2873" t="s">
        <v>112</v>
      </c>
      <c r="B2873" t="s">
        <v>1510</v>
      </c>
      <c r="C2873" t="s">
        <v>1547</v>
      </c>
      <c r="D2873" t="s">
        <v>1548</v>
      </c>
      <c r="E2873" s="8">
        <v>1360</v>
      </c>
      <c r="F2873" s="8">
        <v>84570</v>
      </c>
      <c r="G2873" s="8">
        <f t="shared" si="176"/>
        <v>115015200</v>
      </c>
      <c r="H2873" s="5">
        <v>0.5261</v>
      </c>
      <c r="I2873" s="8">
        <f t="shared" si="177"/>
        <v>115015200</v>
      </c>
      <c r="J2873" s="8">
        <f t="shared" si="178"/>
        <v>60509496.72</v>
      </c>
      <c r="K2873" t="str">
        <f t="shared" si="179"/>
        <v>MATCHED</v>
      </c>
    </row>
    <row r="2874" spans="1:11">
      <c r="A2874" t="s">
        <v>112</v>
      </c>
      <c r="B2874" t="s">
        <v>1510</v>
      </c>
      <c r="C2874" t="s">
        <v>1404</v>
      </c>
      <c r="D2874" t="s">
        <v>1405</v>
      </c>
      <c r="E2874" s="8">
        <v>9720</v>
      </c>
      <c r="F2874" s="8">
        <v>60470</v>
      </c>
      <c r="G2874" s="8">
        <f t="shared" si="176"/>
        <v>587768400</v>
      </c>
      <c r="H2874" s="5">
        <v>0.35</v>
      </c>
      <c r="I2874" s="8">
        <f t="shared" si="177"/>
        <v>587768400</v>
      </c>
      <c r="J2874" s="8">
        <f t="shared" si="178"/>
        <v>205718940</v>
      </c>
      <c r="K2874" t="str">
        <f t="shared" si="179"/>
        <v>MATCHED</v>
      </c>
    </row>
    <row r="2875" spans="1:11">
      <c r="A2875" t="s">
        <v>112</v>
      </c>
      <c r="B2875" t="s">
        <v>1510</v>
      </c>
      <c r="C2875" t="s">
        <v>1549</v>
      </c>
      <c r="D2875" t="s">
        <v>1550</v>
      </c>
      <c r="E2875" s="8">
        <v>131110</v>
      </c>
      <c r="F2875" s="8">
        <v>77170</v>
      </c>
      <c r="G2875" s="8">
        <f t="shared" si="176"/>
        <v>10117758700</v>
      </c>
      <c r="H2875" s="5">
        <v>0.268</v>
      </c>
      <c r="I2875" s="8">
        <f t="shared" si="177"/>
        <v>10117758700</v>
      </c>
      <c r="J2875" s="8">
        <f t="shared" si="178"/>
        <v>2711559331.6</v>
      </c>
      <c r="K2875" t="str">
        <f t="shared" si="179"/>
        <v>MATCHED</v>
      </c>
    </row>
    <row r="2876" spans="1:11">
      <c r="A2876" t="s">
        <v>112</v>
      </c>
      <c r="B2876" t="s">
        <v>1510</v>
      </c>
      <c r="C2876" t="s">
        <v>1551</v>
      </c>
      <c r="D2876" t="s">
        <v>1552</v>
      </c>
      <c r="E2876" s="8">
        <v>290</v>
      </c>
      <c r="F2876" s="8">
        <v>36540</v>
      </c>
      <c r="G2876" s="8">
        <f t="shared" si="176"/>
        <v>10596600</v>
      </c>
      <c r="H2876" s="5">
        <v>0.0864</v>
      </c>
      <c r="I2876" s="8">
        <f t="shared" si="177"/>
        <v>10596600</v>
      </c>
      <c r="J2876" s="8">
        <f t="shared" si="178"/>
        <v>915546.24</v>
      </c>
      <c r="K2876" t="str">
        <f t="shared" si="179"/>
        <v>MATCHED</v>
      </c>
    </row>
    <row r="2877" spans="1:11">
      <c r="A2877" t="s">
        <v>112</v>
      </c>
      <c r="B2877" t="s">
        <v>1510</v>
      </c>
      <c r="C2877" t="s">
        <v>497</v>
      </c>
      <c r="D2877" t="s">
        <v>498</v>
      </c>
      <c r="E2877" s="8">
        <v>26870</v>
      </c>
      <c r="F2877" s="8">
        <v>49710</v>
      </c>
      <c r="G2877" s="8">
        <f t="shared" si="176"/>
        <v>1335707700</v>
      </c>
      <c r="H2877" s="5">
        <v>0.3167</v>
      </c>
      <c r="I2877" s="8">
        <f t="shared" si="177"/>
        <v>1335707700</v>
      </c>
      <c r="J2877" s="8">
        <f t="shared" si="178"/>
        <v>423018628.59</v>
      </c>
      <c r="K2877" t="str">
        <f t="shared" si="179"/>
        <v>MATCHED</v>
      </c>
    </row>
    <row r="2878" spans="1:11">
      <c r="A2878" t="s">
        <v>112</v>
      </c>
      <c r="B2878" t="s">
        <v>1510</v>
      </c>
      <c r="C2878" t="s">
        <v>499</v>
      </c>
      <c r="D2878" t="s">
        <v>500</v>
      </c>
      <c r="E2878" s="8">
        <v>1187590</v>
      </c>
      <c r="F2878" s="8">
        <v>61530</v>
      </c>
      <c r="G2878" s="8">
        <f t="shared" si="176"/>
        <v>73072412700</v>
      </c>
      <c r="H2878" s="5">
        <v>0.2065</v>
      </c>
      <c r="I2878" s="8">
        <f t="shared" si="177"/>
        <v>73072412700</v>
      </c>
      <c r="J2878" s="8">
        <f t="shared" si="178"/>
        <v>15089453222.55</v>
      </c>
      <c r="K2878" t="str">
        <f t="shared" si="179"/>
        <v>MATCHED</v>
      </c>
    </row>
    <row r="2879" spans="1:11">
      <c r="A2879" t="s">
        <v>112</v>
      </c>
      <c r="B2879" t="s">
        <v>1510</v>
      </c>
      <c r="C2879" t="s">
        <v>501</v>
      </c>
      <c r="D2879" t="s">
        <v>502</v>
      </c>
      <c r="E2879" s="8">
        <v>476090</v>
      </c>
      <c r="F2879" s="8">
        <v>56360</v>
      </c>
      <c r="G2879" s="8">
        <f t="shared" si="176"/>
        <v>26832432400</v>
      </c>
      <c r="H2879" s="5">
        <v>0.3393</v>
      </c>
      <c r="I2879" s="8">
        <f t="shared" si="177"/>
        <v>26832432400</v>
      </c>
      <c r="J2879" s="8">
        <f t="shared" si="178"/>
        <v>9104244313.32</v>
      </c>
      <c r="K2879" t="str">
        <f t="shared" si="179"/>
        <v>MATCHED</v>
      </c>
    </row>
    <row r="2880" spans="1:11">
      <c r="A2880" t="s">
        <v>112</v>
      </c>
      <c r="B2880" t="s">
        <v>1510</v>
      </c>
      <c r="C2880" t="s">
        <v>1553</v>
      </c>
      <c r="D2880" t="s">
        <v>1554</v>
      </c>
      <c r="E2880" s="8">
        <v>147850</v>
      </c>
      <c r="F2880" s="8">
        <v>52930</v>
      </c>
      <c r="G2880" s="8">
        <f t="shared" si="176"/>
        <v>7825700500</v>
      </c>
      <c r="H2880" s="5">
        <v>0.2235</v>
      </c>
      <c r="I2880" s="8">
        <f t="shared" si="177"/>
        <v>7825700500</v>
      </c>
      <c r="J2880" s="8">
        <f t="shared" si="178"/>
        <v>1749044061.75</v>
      </c>
      <c r="K2880" t="str">
        <f t="shared" si="179"/>
        <v>MATCHED</v>
      </c>
    </row>
    <row r="2881" spans="1:11">
      <c r="A2881" t="s">
        <v>112</v>
      </c>
      <c r="B2881" t="s">
        <v>1510</v>
      </c>
      <c r="C2881" t="s">
        <v>1457</v>
      </c>
      <c r="D2881" t="s">
        <v>1458</v>
      </c>
      <c r="E2881" s="8">
        <v>59520</v>
      </c>
      <c r="F2881" s="8">
        <v>53740</v>
      </c>
      <c r="G2881" s="8">
        <f t="shared" si="176"/>
        <v>3198604800</v>
      </c>
      <c r="H2881" s="5">
        <v>0.2567</v>
      </c>
      <c r="I2881" s="8">
        <f t="shared" si="177"/>
        <v>3198604800</v>
      </c>
      <c r="J2881" s="8">
        <f t="shared" si="178"/>
        <v>821081852.16</v>
      </c>
      <c r="K2881" t="str">
        <f t="shared" si="179"/>
        <v>MATCHED</v>
      </c>
    </row>
    <row r="2882" spans="1:11">
      <c r="A2882" t="s">
        <v>112</v>
      </c>
      <c r="B2882" t="s">
        <v>1510</v>
      </c>
      <c r="C2882" t="s">
        <v>503</v>
      </c>
      <c r="D2882" t="s">
        <v>504</v>
      </c>
      <c r="E2882" s="8">
        <v>106220</v>
      </c>
      <c r="F2882" s="8">
        <v>42330</v>
      </c>
      <c r="G2882" s="8">
        <f t="shared" ref="G2882:G2945" si="180">IF(OR(E2882="",F2882=""),"",E2882*F2882)</f>
        <v>4496292600</v>
      </c>
      <c r="H2882" s="5">
        <v>0.3288</v>
      </c>
      <c r="I2882" s="8">
        <f t="shared" ref="I2882:I2945" si="181">IF(G2882="","",IF(ISNUMBER(H2882),G2882,""))</f>
        <v>4496292600</v>
      </c>
      <c r="J2882" s="8">
        <f t="shared" ref="J2882:J2945" si="182">IF(I2882="","",I2882*H2882)</f>
        <v>1478381006.88</v>
      </c>
      <c r="K2882" t="str">
        <f t="shared" ref="K2882:K2945" si="183">IF(G2882="","MISSING OEWS",IF(ISNUMBER(H2882),"MATCHED","MISSING WHARTON"))</f>
        <v>MATCHED</v>
      </c>
    </row>
    <row r="2883" spans="1:11">
      <c r="A2883" t="s">
        <v>112</v>
      </c>
      <c r="B2883" t="s">
        <v>1510</v>
      </c>
      <c r="C2883" t="s">
        <v>1555</v>
      </c>
      <c r="D2883" t="s">
        <v>1556</v>
      </c>
      <c r="E2883" s="8">
        <v>40890</v>
      </c>
      <c r="F2883" s="8">
        <v>49990</v>
      </c>
      <c r="G2883" s="8">
        <f t="shared" si="180"/>
        <v>2044091100</v>
      </c>
      <c r="H2883" s="5">
        <v>0.4844</v>
      </c>
      <c r="I2883" s="8">
        <f t="shared" si="181"/>
        <v>2044091100</v>
      </c>
      <c r="J2883" s="8">
        <f t="shared" si="182"/>
        <v>990157728.84</v>
      </c>
      <c r="K2883" t="str">
        <f t="shared" si="183"/>
        <v>MATCHED</v>
      </c>
    </row>
    <row r="2884" spans="1:11">
      <c r="A2884" t="s">
        <v>112</v>
      </c>
      <c r="B2884" t="s">
        <v>1510</v>
      </c>
      <c r="C2884" t="s">
        <v>1134</v>
      </c>
      <c r="D2884" t="s">
        <v>1135</v>
      </c>
      <c r="E2884" s="8">
        <v>5080</v>
      </c>
      <c r="F2884" s="8">
        <v>50170</v>
      </c>
      <c r="G2884" s="8">
        <f t="shared" si="180"/>
        <v>254863600</v>
      </c>
      <c r="H2884" s="5"/>
      <c r="I2884" s="8" t="str">
        <f t="shared" si="181"/>
        <v/>
      </c>
      <c r="J2884" s="8" t="str">
        <f t="shared" si="182"/>
        <v/>
      </c>
      <c r="K2884" t="str">
        <f t="shared" si="183"/>
        <v>MISSING WHARTON</v>
      </c>
    </row>
    <row r="2885" spans="1:11">
      <c r="A2885" t="s">
        <v>112</v>
      </c>
      <c r="B2885" t="s">
        <v>1510</v>
      </c>
      <c r="C2885" t="s">
        <v>788</v>
      </c>
      <c r="D2885" t="s">
        <v>789</v>
      </c>
      <c r="E2885" s="8">
        <v>32600</v>
      </c>
      <c r="F2885" s="8">
        <v>86410</v>
      </c>
      <c r="G2885" s="8">
        <f t="shared" si="180"/>
        <v>2816966000</v>
      </c>
      <c r="H2885" s="5">
        <v>0.19</v>
      </c>
      <c r="I2885" s="8">
        <f t="shared" si="181"/>
        <v>2816966000</v>
      </c>
      <c r="J2885" s="8">
        <f t="shared" si="182"/>
        <v>535223540</v>
      </c>
      <c r="K2885" t="str">
        <f t="shared" si="183"/>
        <v>MATCHED</v>
      </c>
    </row>
    <row r="2886" spans="1:11">
      <c r="A2886" t="s">
        <v>112</v>
      </c>
      <c r="B2886" t="s">
        <v>1510</v>
      </c>
      <c r="C2886" t="s">
        <v>790</v>
      </c>
      <c r="D2886" t="s">
        <v>791</v>
      </c>
      <c r="E2886" s="8">
        <v>3400</v>
      </c>
      <c r="F2886" s="8">
        <v>69540</v>
      </c>
      <c r="G2886" s="8">
        <f t="shared" si="180"/>
        <v>236436000</v>
      </c>
      <c r="H2886" s="5">
        <v>0.152</v>
      </c>
      <c r="I2886" s="8">
        <f t="shared" si="181"/>
        <v>236436000</v>
      </c>
      <c r="J2886" s="8">
        <f t="shared" si="182"/>
        <v>35938272</v>
      </c>
      <c r="K2886" t="str">
        <f t="shared" si="183"/>
        <v>MATCHED</v>
      </c>
    </row>
    <row r="2887" spans="1:11">
      <c r="A2887" t="s">
        <v>112</v>
      </c>
      <c r="B2887" t="s">
        <v>1510</v>
      </c>
      <c r="C2887" t="s">
        <v>1406</v>
      </c>
      <c r="D2887" t="s">
        <v>1407</v>
      </c>
      <c r="E2887" s="8">
        <v>11520</v>
      </c>
      <c r="F2887" s="8">
        <v>68320</v>
      </c>
      <c r="G2887" s="8">
        <f t="shared" si="180"/>
        <v>787046400</v>
      </c>
      <c r="H2887" s="5">
        <v>0.1357</v>
      </c>
      <c r="I2887" s="8">
        <f t="shared" si="181"/>
        <v>787046400</v>
      </c>
      <c r="J2887" s="8">
        <f t="shared" si="182"/>
        <v>106802196.48</v>
      </c>
      <c r="K2887" t="str">
        <f t="shared" si="183"/>
        <v>MATCHED</v>
      </c>
    </row>
    <row r="2888" spans="1:11">
      <c r="A2888" t="s">
        <v>112</v>
      </c>
      <c r="B2888" t="s">
        <v>1510</v>
      </c>
      <c r="C2888" t="s">
        <v>792</v>
      </c>
      <c r="D2888" t="s">
        <v>793</v>
      </c>
      <c r="E2888" s="8">
        <v>42040</v>
      </c>
      <c r="F2888" s="8">
        <v>79570</v>
      </c>
      <c r="G2888" s="8">
        <f t="shared" si="180"/>
        <v>3345122800</v>
      </c>
      <c r="H2888" s="5">
        <v>0.3977</v>
      </c>
      <c r="I2888" s="8">
        <f t="shared" si="181"/>
        <v>3345122800</v>
      </c>
      <c r="J2888" s="8">
        <f t="shared" si="182"/>
        <v>1330355337.56</v>
      </c>
      <c r="K2888" t="str">
        <f t="shared" si="183"/>
        <v>MATCHED</v>
      </c>
    </row>
    <row r="2889" spans="1:11">
      <c r="A2889" t="s">
        <v>112</v>
      </c>
      <c r="B2889" t="s">
        <v>1510</v>
      </c>
      <c r="C2889" t="s">
        <v>1557</v>
      </c>
      <c r="D2889" t="s">
        <v>1558</v>
      </c>
      <c r="E2889" s="8">
        <v>770</v>
      </c>
      <c r="F2889" s="8">
        <v>54410</v>
      </c>
      <c r="G2889" s="8">
        <f t="shared" si="180"/>
        <v>41895700</v>
      </c>
      <c r="H2889" s="5">
        <v>0.4</v>
      </c>
      <c r="I2889" s="8">
        <f t="shared" si="181"/>
        <v>41895700</v>
      </c>
      <c r="J2889" s="8">
        <f t="shared" si="182"/>
        <v>16758280</v>
      </c>
      <c r="K2889" t="str">
        <f t="shared" si="183"/>
        <v>MATCHED</v>
      </c>
    </row>
    <row r="2890" spans="1:11">
      <c r="A2890" t="s">
        <v>112</v>
      </c>
      <c r="B2890" t="s">
        <v>1510</v>
      </c>
      <c r="C2890" t="s">
        <v>794</v>
      </c>
      <c r="D2890" t="s">
        <v>795</v>
      </c>
      <c r="E2890" s="8">
        <v>530</v>
      </c>
      <c r="F2890" s="8">
        <v>58020</v>
      </c>
      <c r="G2890" s="8">
        <f t="shared" si="180"/>
        <v>30750600</v>
      </c>
      <c r="H2890" s="5"/>
      <c r="I2890" s="8" t="str">
        <f t="shared" si="181"/>
        <v/>
      </c>
      <c r="J2890" s="8" t="str">
        <f t="shared" si="182"/>
        <v/>
      </c>
      <c r="K2890" t="str">
        <f t="shared" si="183"/>
        <v>MISSING WHARTON</v>
      </c>
    </row>
    <row r="2891" spans="1:11">
      <c r="A2891" t="s">
        <v>112</v>
      </c>
      <c r="B2891" t="s">
        <v>1510</v>
      </c>
      <c r="C2891" t="s">
        <v>796</v>
      </c>
      <c r="D2891" t="s">
        <v>797</v>
      </c>
      <c r="E2891" s="8">
        <v>22380</v>
      </c>
      <c r="F2891" s="8">
        <v>57370</v>
      </c>
      <c r="G2891" s="8">
        <f t="shared" si="180"/>
        <v>1283940600</v>
      </c>
      <c r="H2891" s="5">
        <v>0.1018</v>
      </c>
      <c r="I2891" s="8">
        <f t="shared" si="181"/>
        <v>1283940600</v>
      </c>
      <c r="J2891" s="8">
        <f t="shared" si="182"/>
        <v>130705153.08</v>
      </c>
      <c r="K2891" t="str">
        <f t="shared" si="183"/>
        <v>MATCHED</v>
      </c>
    </row>
    <row r="2892" spans="1:11">
      <c r="A2892" t="s">
        <v>112</v>
      </c>
      <c r="B2892" t="s">
        <v>1510</v>
      </c>
      <c r="C2892" t="s">
        <v>798</v>
      </c>
      <c r="D2892" t="s">
        <v>799</v>
      </c>
      <c r="E2892" s="8">
        <v>28200</v>
      </c>
      <c r="F2892" s="8">
        <v>106240</v>
      </c>
      <c r="G2892" s="8">
        <f t="shared" si="180"/>
        <v>2995968000</v>
      </c>
      <c r="H2892" s="5">
        <v>0.095</v>
      </c>
      <c r="I2892" s="8">
        <f t="shared" si="181"/>
        <v>2995968000</v>
      </c>
      <c r="J2892" s="8">
        <f t="shared" si="182"/>
        <v>284616960</v>
      </c>
      <c r="K2892" t="str">
        <f t="shared" si="183"/>
        <v>MATCHED</v>
      </c>
    </row>
    <row r="2893" spans="1:11">
      <c r="A2893" t="s">
        <v>112</v>
      </c>
      <c r="B2893" t="s">
        <v>1510</v>
      </c>
      <c r="C2893" t="s">
        <v>1136</v>
      </c>
      <c r="D2893" t="s">
        <v>1137</v>
      </c>
      <c r="E2893" s="8">
        <v>670</v>
      </c>
      <c r="F2893" s="8">
        <v>59190</v>
      </c>
      <c r="G2893" s="8">
        <f t="shared" si="180"/>
        <v>39657300</v>
      </c>
      <c r="H2893" s="5">
        <v>0.0559</v>
      </c>
      <c r="I2893" s="8">
        <f t="shared" si="181"/>
        <v>39657300</v>
      </c>
      <c r="J2893" s="8">
        <f t="shared" si="182"/>
        <v>2216843.07</v>
      </c>
      <c r="K2893" t="str">
        <f t="shared" si="183"/>
        <v>MATCHED</v>
      </c>
    </row>
    <row r="2894" spans="1:11">
      <c r="A2894" t="s">
        <v>112</v>
      </c>
      <c r="B2894" t="s">
        <v>1510</v>
      </c>
      <c r="C2894" t="s">
        <v>800</v>
      </c>
      <c r="D2894" t="s">
        <v>801</v>
      </c>
      <c r="E2894" s="8">
        <v>5680</v>
      </c>
      <c r="F2894" s="8">
        <v>117420</v>
      </c>
      <c r="G2894" s="8">
        <f t="shared" si="180"/>
        <v>666945600</v>
      </c>
      <c r="H2894" s="5">
        <v>0.0971</v>
      </c>
      <c r="I2894" s="8">
        <f t="shared" si="181"/>
        <v>666945600</v>
      </c>
      <c r="J2894" s="8">
        <f t="shared" si="182"/>
        <v>64760417.76</v>
      </c>
      <c r="K2894" t="str">
        <f t="shared" si="183"/>
        <v>MATCHED</v>
      </c>
    </row>
    <row r="2895" spans="1:11">
      <c r="A2895" t="s">
        <v>112</v>
      </c>
      <c r="B2895" t="s">
        <v>1510</v>
      </c>
      <c r="C2895" t="s">
        <v>1559</v>
      </c>
      <c r="D2895" t="s">
        <v>1560</v>
      </c>
      <c r="E2895" s="8">
        <v>540</v>
      </c>
      <c r="F2895" s="8">
        <v>40750</v>
      </c>
      <c r="G2895" s="8">
        <f t="shared" si="180"/>
        <v>22005000</v>
      </c>
      <c r="H2895" s="5">
        <v>0.2639</v>
      </c>
      <c r="I2895" s="8">
        <f t="shared" si="181"/>
        <v>22005000</v>
      </c>
      <c r="J2895" s="8">
        <f t="shared" si="182"/>
        <v>5807119.5</v>
      </c>
      <c r="K2895" t="str">
        <f t="shared" si="183"/>
        <v>MATCHED</v>
      </c>
    </row>
    <row r="2896" spans="1:11">
      <c r="A2896" t="s">
        <v>112</v>
      </c>
      <c r="B2896" t="s">
        <v>1510</v>
      </c>
      <c r="C2896" t="s">
        <v>1408</v>
      </c>
      <c r="D2896" t="s">
        <v>1409</v>
      </c>
      <c r="E2896" s="8">
        <v>2030</v>
      </c>
      <c r="F2896" s="8">
        <v>35470</v>
      </c>
      <c r="G2896" s="8">
        <f t="shared" si="180"/>
        <v>72004100</v>
      </c>
      <c r="H2896" s="5">
        <v>0.1972</v>
      </c>
      <c r="I2896" s="8">
        <f t="shared" si="181"/>
        <v>72004100</v>
      </c>
      <c r="J2896" s="8">
        <f t="shared" si="182"/>
        <v>14199208.52</v>
      </c>
      <c r="K2896" t="str">
        <f t="shared" si="183"/>
        <v>MATCHED</v>
      </c>
    </row>
    <row r="2897" spans="1:11">
      <c r="A2897" t="s">
        <v>112</v>
      </c>
      <c r="B2897" t="s">
        <v>1510</v>
      </c>
      <c r="C2897" t="s">
        <v>1138</v>
      </c>
      <c r="D2897" t="s">
        <v>1139</v>
      </c>
      <c r="E2897" s="8">
        <v>1430</v>
      </c>
      <c r="F2897" s="8">
        <v>43570</v>
      </c>
      <c r="G2897" s="8">
        <f t="shared" si="180"/>
        <v>62305100</v>
      </c>
      <c r="H2897" s="5">
        <v>0.2533</v>
      </c>
      <c r="I2897" s="8">
        <f t="shared" si="181"/>
        <v>62305100</v>
      </c>
      <c r="J2897" s="8">
        <f t="shared" si="182"/>
        <v>15781881.83</v>
      </c>
      <c r="K2897" t="str">
        <f t="shared" si="183"/>
        <v>MATCHED</v>
      </c>
    </row>
    <row r="2898" spans="1:11">
      <c r="A2898" t="s">
        <v>112</v>
      </c>
      <c r="B2898" t="s">
        <v>1510</v>
      </c>
      <c r="C2898" t="s">
        <v>1410</v>
      </c>
      <c r="D2898" t="s">
        <v>1411</v>
      </c>
      <c r="E2898" s="8">
        <v>28040</v>
      </c>
      <c r="F2898" s="8">
        <v>43320</v>
      </c>
      <c r="G2898" s="8">
        <f t="shared" si="180"/>
        <v>1214692800</v>
      </c>
      <c r="H2898" s="5">
        <v>0.0528</v>
      </c>
      <c r="I2898" s="8">
        <f t="shared" si="181"/>
        <v>1214692800</v>
      </c>
      <c r="J2898" s="8">
        <f t="shared" si="182"/>
        <v>64135779.84</v>
      </c>
      <c r="K2898" t="str">
        <f t="shared" si="183"/>
        <v>MATCHED</v>
      </c>
    </row>
    <row r="2899" spans="1:11">
      <c r="A2899" t="s">
        <v>112</v>
      </c>
      <c r="B2899" t="s">
        <v>1510</v>
      </c>
      <c r="C2899" t="s">
        <v>1412</v>
      </c>
      <c r="D2899" t="s">
        <v>1413</v>
      </c>
      <c r="E2899" s="8">
        <v>7820</v>
      </c>
      <c r="F2899" s="8">
        <v>84730</v>
      </c>
      <c r="G2899" s="8">
        <f t="shared" si="180"/>
        <v>662588600</v>
      </c>
      <c r="H2899" s="5">
        <v>0.2192</v>
      </c>
      <c r="I2899" s="8">
        <f t="shared" si="181"/>
        <v>662588600</v>
      </c>
      <c r="J2899" s="8">
        <f t="shared" si="182"/>
        <v>145239421.12</v>
      </c>
      <c r="K2899" t="str">
        <f t="shared" si="183"/>
        <v>MATCHED</v>
      </c>
    </row>
    <row r="2900" spans="1:11">
      <c r="A2900" t="s">
        <v>112</v>
      </c>
      <c r="B2900" t="s">
        <v>1510</v>
      </c>
      <c r="C2900" t="s">
        <v>1561</v>
      </c>
      <c r="D2900" t="s">
        <v>1562</v>
      </c>
      <c r="E2900" s="8">
        <v>22730</v>
      </c>
      <c r="F2900" s="8">
        <v>36680</v>
      </c>
      <c r="G2900" s="8">
        <f t="shared" si="180"/>
        <v>833736400</v>
      </c>
      <c r="H2900" s="5">
        <v>0.275</v>
      </c>
      <c r="I2900" s="8">
        <f t="shared" si="181"/>
        <v>833736400</v>
      </c>
      <c r="J2900" s="8">
        <f t="shared" si="182"/>
        <v>229277510</v>
      </c>
      <c r="K2900" t="str">
        <f t="shared" si="183"/>
        <v>MATCHED</v>
      </c>
    </row>
    <row r="2901" spans="1:11">
      <c r="A2901" t="s">
        <v>112</v>
      </c>
      <c r="B2901" t="s">
        <v>1510</v>
      </c>
      <c r="C2901" t="s">
        <v>1142</v>
      </c>
      <c r="D2901" t="s">
        <v>1143</v>
      </c>
      <c r="E2901" s="8">
        <v>8730</v>
      </c>
      <c r="F2901" s="8">
        <v>50970</v>
      </c>
      <c r="G2901" s="8">
        <f t="shared" si="180"/>
        <v>444968100</v>
      </c>
      <c r="H2901" s="5"/>
      <c r="I2901" s="8" t="str">
        <f t="shared" si="181"/>
        <v/>
      </c>
      <c r="J2901" s="8" t="str">
        <f t="shared" si="182"/>
        <v/>
      </c>
      <c r="K2901" t="str">
        <f t="shared" si="183"/>
        <v>MISSING WHARTON</v>
      </c>
    </row>
    <row r="2902" spans="1:11">
      <c r="A2902" t="s">
        <v>112</v>
      </c>
      <c r="B2902" t="s">
        <v>1510</v>
      </c>
      <c r="C2902" t="s">
        <v>802</v>
      </c>
      <c r="D2902" t="s">
        <v>803</v>
      </c>
      <c r="E2902" s="8">
        <v>10960</v>
      </c>
      <c r="F2902" s="8">
        <v>40940</v>
      </c>
      <c r="G2902" s="8">
        <f t="shared" si="180"/>
        <v>448702400</v>
      </c>
      <c r="H2902" s="5">
        <v>0.1261</v>
      </c>
      <c r="I2902" s="8">
        <f t="shared" si="181"/>
        <v>448702400</v>
      </c>
      <c r="J2902" s="8">
        <f t="shared" si="182"/>
        <v>56581372.64</v>
      </c>
      <c r="K2902" t="str">
        <f t="shared" si="183"/>
        <v>MATCHED</v>
      </c>
    </row>
    <row r="2903" spans="1:11">
      <c r="A2903" t="s">
        <v>112</v>
      </c>
      <c r="B2903" t="s">
        <v>1510</v>
      </c>
      <c r="C2903" t="s">
        <v>804</v>
      </c>
      <c r="D2903" t="s">
        <v>805</v>
      </c>
      <c r="E2903" s="8">
        <v>4050</v>
      </c>
      <c r="F2903" s="8">
        <v>68000</v>
      </c>
      <c r="G2903" s="8">
        <f t="shared" si="180"/>
        <v>275400000</v>
      </c>
      <c r="H2903" s="5">
        <v>0.0864</v>
      </c>
      <c r="I2903" s="8">
        <f t="shared" si="181"/>
        <v>275400000</v>
      </c>
      <c r="J2903" s="8">
        <f t="shared" si="182"/>
        <v>23794560</v>
      </c>
      <c r="K2903" t="str">
        <f t="shared" si="183"/>
        <v>MATCHED</v>
      </c>
    </row>
    <row r="2904" spans="1:11">
      <c r="A2904" t="s">
        <v>112</v>
      </c>
      <c r="B2904" t="s">
        <v>1510</v>
      </c>
      <c r="C2904" t="s">
        <v>806</v>
      </c>
      <c r="D2904" t="s">
        <v>807</v>
      </c>
      <c r="E2904" s="8"/>
      <c r="F2904" s="8">
        <v>41240</v>
      </c>
      <c r="G2904" s="8" t="str">
        <f t="shared" si="180"/>
        <v/>
      </c>
      <c r="H2904" s="5">
        <v>0</v>
      </c>
      <c r="I2904" s="8" t="str">
        <f t="shared" si="181"/>
        <v/>
      </c>
      <c r="J2904" s="8" t="str">
        <f t="shared" si="182"/>
        <v/>
      </c>
      <c r="K2904" t="str">
        <f t="shared" si="183"/>
        <v>MISSING OEWS</v>
      </c>
    </row>
    <row r="2905" spans="1:11">
      <c r="A2905" t="s">
        <v>112</v>
      </c>
      <c r="B2905" t="s">
        <v>1510</v>
      </c>
      <c r="C2905" t="s">
        <v>505</v>
      </c>
      <c r="D2905" t="s">
        <v>506</v>
      </c>
      <c r="E2905" s="8">
        <v>530</v>
      </c>
      <c r="F2905" s="8">
        <v>80450</v>
      </c>
      <c r="G2905" s="8">
        <f t="shared" si="180"/>
        <v>42638500</v>
      </c>
      <c r="H2905" s="5">
        <v>0</v>
      </c>
      <c r="I2905" s="8">
        <f t="shared" si="181"/>
        <v>42638500</v>
      </c>
      <c r="J2905" s="8">
        <f t="shared" si="182"/>
        <v>0</v>
      </c>
      <c r="K2905" t="str">
        <f t="shared" si="183"/>
        <v>MATCHED</v>
      </c>
    </row>
    <row r="2906" spans="1:11">
      <c r="A2906" t="s">
        <v>112</v>
      </c>
      <c r="B2906" t="s">
        <v>1510</v>
      </c>
      <c r="C2906" t="s">
        <v>507</v>
      </c>
      <c r="D2906" t="s">
        <v>508</v>
      </c>
      <c r="E2906" s="8">
        <v>356690</v>
      </c>
      <c r="F2906" s="8">
        <v>50750</v>
      </c>
      <c r="G2906" s="8">
        <f t="shared" si="180"/>
        <v>18102017500</v>
      </c>
      <c r="H2906" s="5">
        <v>0</v>
      </c>
      <c r="I2906" s="8">
        <f t="shared" si="181"/>
        <v>18102017500</v>
      </c>
      <c r="J2906" s="8">
        <f t="shared" si="182"/>
        <v>0</v>
      </c>
      <c r="K2906" t="str">
        <f t="shared" si="183"/>
        <v>MATCHED</v>
      </c>
    </row>
    <row r="2907" spans="1:11">
      <c r="A2907" t="s">
        <v>112</v>
      </c>
      <c r="B2907" t="s">
        <v>1510</v>
      </c>
      <c r="C2907" t="s">
        <v>509</v>
      </c>
      <c r="D2907" t="s">
        <v>510</v>
      </c>
      <c r="E2907" s="8">
        <v>23720</v>
      </c>
      <c r="F2907" s="8">
        <v>42910</v>
      </c>
      <c r="G2907" s="8">
        <f t="shared" si="180"/>
        <v>1017825200</v>
      </c>
      <c r="H2907" s="5">
        <v>0.0452</v>
      </c>
      <c r="I2907" s="8">
        <f t="shared" si="181"/>
        <v>1017825200</v>
      </c>
      <c r="J2907" s="8">
        <f t="shared" si="182"/>
        <v>46005699.04</v>
      </c>
      <c r="K2907" t="str">
        <f t="shared" si="183"/>
        <v>MATCHED</v>
      </c>
    </row>
    <row r="2908" spans="1:11">
      <c r="A2908" t="s">
        <v>112</v>
      </c>
      <c r="B2908" t="s">
        <v>1510</v>
      </c>
      <c r="C2908" t="s">
        <v>511</v>
      </c>
      <c r="D2908" t="s">
        <v>512</v>
      </c>
      <c r="E2908" s="8">
        <v>983490</v>
      </c>
      <c r="F2908" s="8">
        <v>45340</v>
      </c>
      <c r="G2908" s="8">
        <f t="shared" si="180"/>
        <v>44591436600</v>
      </c>
      <c r="H2908" s="5">
        <v>0.049</v>
      </c>
      <c r="I2908" s="8">
        <f t="shared" si="181"/>
        <v>44591436600</v>
      </c>
      <c r="J2908" s="8">
        <f t="shared" si="182"/>
        <v>2184980393.4</v>
      </c>
      <c r="K2908" t="str">
        <f t="shared" si="183"/>
        <v>MATCHED</v>
      </c>
    </row>
    <row r="2909" spans="1:11">
      <c r="A2909" t="s">
        <v>112</v>
      </c>
      <c r="B2909" t="s">
        <v>1510</v>
      </c>
      <c r="C2909" t="s">
        <v>513</v>
      </c>
      <c r="D2909" t="s">
        <v>514</v>
      </c>
      <c r="E2909" s="8">
        <v>6360</v>
      </c>
      <c r="F2909" s="8">
        <v>49490</v>
      </c>
      <c r="G2909" s="8">
        <f t="shared" si="180"/>
        <v>314756400</v>
      </c>
      <c r="H2909" s="5">
        <v>0.0731</v>
      </c>
      <c r="I2909" s="8">
        <f t="shared" si="181"/>
        <v>314756400</v>
      </c>
      <c r="J2909" s="8">
        <f t="shared" si="182"/>
        <v>23008692.84</v>
      </c>
      <c r="K2909" t="str">
        <f t="shared" si="183"/>
        <v>MATCHED</v>
      </c>
    </row>
    <row r="2910" spans="1:11">
      <c r="A2910" t="s">
        <v>112</v>
      </c>
      <c r="B2910" t="s">
        <v>1510</v>
      </c>
      <c r="C2910" t="s">
        <v>515</v>
      </c>
      <c r="D2910" t="s">
        <v>516</v>
      </c>
      <c r="E2910" s="8">
        <v>88810</v>
      </c>
      <c r="F2910" s="8">
        <v>43300</v>
      </c>
      <c r="G2910" s="8">
        <f t="shared" si="180"/>
        <v>3845473000</v>
      </c>
      <c r="H2910" s="5">
        <v>0.0792</v>
      </c>
      <c r="I2910" s="8">
        <f t="shared" si="181"/>
        <v>3845473000</v>
      </c>
      <c r="J2910" s="8">
        <f t="shared" si="182"/>
        <v>304561461.6</v>
      </c>
      <c r="K2910" t="str">
        <f t="shared" si="183"/>
        <v>MATCHED</v>
      </c>
    </row>
    <row r="2911" spans="1:11">
      <c r="A2911" t="s">
        <v>112</v>
      </c>
      <c r="B2911" t="s">
        <v>1510</v>
      </c>
      <c r="C2911" t="s">
        <v>517</v>
      </c>
      <c r="D2911" t="s">
        <v>518</v>
      </c>
      <c r="E2911" s="8">
        <v>472970</v>
      </c>
      <c r="F2911" s="8">
        <v>45990</v>
      </c>
      <c r="G2911" s="8">
        <f t="shared" si="180"/>
        <v>21751890300</v>
      </c>
      <c r="H2911" s="5">
        <v>0.2233</v>
      </c>
      <c r="I2911" s="8">
        <f t="shared" si="181"/>
        <v>21751890300</v>
      </c>
      <c r="J2911" s="8">
        <f t="shared" si="182"/>
        <v>4857197103.99</v>
      </c>
      <c r="K2911" t="str">
        <f t="shared" si="183"/>
        <v>MATCHED</v>
      </c>
    </row>
    <row r="2912" spans="1:11">
      <c r="A2912" t="s">
        <v>112</v>
      </c>
      <c r="B2912" t="s">
        <v>1510</v>
      </c>
      <c r="C2912" t="s">
        <v>808</v>
      </c>
      <c r="D2912" t="s">
        <v>809</v>
      </c>
      <c r="E2912" s="8">
        <v>1580</v>
      </c>
      <c r="F2912" s="8">
        <v>87010</v>
      </c>
      <c r="G2912" s="8">
        <f t="shared" si="180"/>
        <v>137475800</v>
      </c>
      <c r="H2912" s="5">
        <v>0.2192</v>
      </c>
      <c r="I2912" s="8">
        <f t="shared" si="181"/>
        <v>137475800</v>
      </c>
      <c r="J2912" s="8">
        <f t="shared" si="182"/>
        <v>30134695.36</v>
      </c>
      <c r="K2912" t="str">
        <f t="shared" si="183"/>
        <v>MATCHED</v>
      </c>
    </row>
    <row r="2913" spans="1:11">
      <c r="A2913" t="s">
        <v>112</v>
      </c>
      <c r="B2913" t="s">
        <v>1510</v>
      </c>
      <c r="C2913" t="s">
        <v>810</v>
      </c>
      <c r="D2913" t="s">
        <v>811</v>
      </c>
      <c r="E2913" s="8">
        <v>1710</v>
      </c>
      <c r="F2913" s="8">
        <v>77980</v>
      </c>
      <c r="G2913" s="8">
        <f t="shared" si="180"/>
        <v>133345800</v>
      </c>
      <c r="H2913" s="5">
        <v>0.0679</v>
      </c>
      <c r="I2913" s="8">
        <f t="shared" si="181"/>
        <v>133345800</v>
      </c>
      <c r="J2913" s="8">
        <f t="shared" si="182"/>
        <v>9054179.82</v>
      </c>
      <c r="K2913" t="str">
        <f t="shared" si="183"/>
        <v>MATCHED</v>
      </c>
    </row>
    <row r="2914" spans="1:11">
      <c r="A2914" t="s">
        <v>112</v>
      </c>
      <c r="B2914" t="s">
        <v>1510</v>
      </c>
      <c r="C2914" t="s">
        <v>812</v>
      </c>
      <c r="D2914" t="s">
        <v>813</v>
      </c>
      <c r="E2914" s="8">
        <v>50</v>
      </c>
      <c r="F2914" s="8">
        <v>90180</v>
      </c>
      <c r="G2914" s="8">
        <f t="shared" si="180"/>
        <v>4509000</v>
      </c>
      <c r="H2914" s="5">
        <v>0</v>
      </c>
      <c r="I2914" s="8">
        <f t="shared" si="181"/>
        <v>4509000</v>
      </c>
      <c r="J2914" s="8">
        <f t="shared" si="182"/>
        <v>0</v>
      </c>
      <c r="K2914" t="str">
        <f t="shared" si="183"/>
        <v>MATCHED</v>
      </c>
    </row>
    <row r="2915" spans="1:11">
      <c r="A2915" t="s">
        <v>112</v>
      </c>
      <c r="B2915" t="s">
        <v>1510</v>
      </c>
      <c r="C2915" t="s">
        <v>918</v>
      </c>
      <c r="D2915" t="s">
        <v>919</v>
      </c>
      <c r="E2915" s="8">
        <v>930</v>
      </c>
      <c r="F2915" s="8">
        <v>56790</v>
      </c>
      <c r="G2915" s="8">
        <f t="shared" si="180"/>
        <v>52814700</v>
      </c>
      <c r="H2915" s="5">
        <v>0.2375</v>
      </c>
      <c r="I2915" s="8">
        <f t="shared" si="181"/>
        <v>52814700</v>
      </c>
      <c r="J2915" s="8">
        <f t="shared" si="182"/>
        <v>12543491.25</v>
      </c>
      <c r="K2915" t="str">
        <f t="shared" si="183"/>
        <v>MATCHED</v>
      </c>
    </row>
    <row r="2916" spans="1:11">
      <c r="A2916" t="s">
        <v>112</v>
      </c>
      <c r="B2916" t="s">
        <v>1510</v>
      </c>
      <c r="C2916" t="s">
        <v>814</v>
      </c>
      <c r="D2916" t="s">
        <v>815</v>
      </c>
      <c r="E2916" s="8">
        <v>6170</v>
      </c>
      <c r="F2916" s="8">
        <v>62750</v>
      </c>
      <c r="G2916" s="8">
        <f t="shared" si="180"/>
        <v>387167500</v>
      </c>
      <c r="H2916" s="5">
        <v>0.05</v>
      </c>
      <c r="I2916" s="8">
        <f t="shared" si="181"/>
        <v>387167500</v>
      </c>
      <c r="J2916" s="8">
        <f t="shared" si="182"/>
        <v>19358375</v>
      </c>
      <c r="K2916" t="str">
        <f t="shared" si="183"/>
        <v>MATCHED</v>
      </c>
    </row>
    <row r="2917" spans="1:11">
      <c r="A2917" t="s">
        <v>112</v>
      </c>
      <c r="B2917" t="s">
        <v>1510</v>
      </c>
      <c r="C2917" t="s">
        <v>519</v>
      </c>
      <c r="D2917" t="s">
        <v>520</v>
      </c>
      <c r="E2917" s="8">
        <v>3090</v>
      </c>
      <c r="F2917" s="8">
        <v>49560</v>
      </c>
      <c r="G2917" s="8">
        <f t="shared" si="180"/>
        <v>153140400</v>
      </c>
      <c r="H2917" s="5"/>
      <c r="I2917" s="8" t="str">
        <f t="shared" si="181"/>
        <v/>
      </c>
      <c r="J2917" s="8" t="str">
        <f t="shared" si="182"/>
        <v/>
      </c>
      <c r="K2917" t="str">
        <f t="shared" si="183"/>
        <v>MISSING WHARTON</v>
      </c>
    </row>
    <row r="2918" spans="1:11">
      <c r="A2918" t="s">
        <v>114</v>
      </c>
      <c r="B2918" t="s">
        <v>115</v>
      </c>
      <c r="C2918" t="s">
        <v>235</v>
      </c>
      <c r="D2918" t="s">
        <v>236</v>
      </c>
      <c r="E2918" s="8">
        <v>8820</v>
      </c>
      <c r="F2918" s="8">
        <v>314590</v>
      </c>
      <c r="G2918" s="8">
        <f t="shared" si="180"/>
        <v>2774683800</v>
      </c>
      <c r="H2918" s="5">
        <v>0.4775</v>
      </c>
      <c r="I2918" s="8">
        <f t="shared" si="181"/>
        <v>2774683800</v>
      </c>
      <c r="J2918" s="8">
        <f t="shared" si="182"/>
        <v>1324911514.5</v>
      </c>
      <c r="K2918" t="str">
        <f t="shared" si="183"/>
        <v>MATCHED</v>
      </c>
    </row>
    <row r="2919" spans="1:11">
      <c r="A2919" t="s">
        <v>114</v>
      </c>
      <c r="B2919" t="s">
        <v>115</v>
      </c>
      <c r="C2919" t="s">
        <v>237</v>
      </c>
      <c r="D2919" t="s">
        <v>238</v>
      </c>
      <c r="E2919" s="8">
        <v>92580</v>
      </c>
      <c r="F2919" s="8">
        <v>172520</v>
      </c>
      <c r="G2919" s="8">
        <f t="shared" si="180"/>
        <v>15971901600</v>
      </c>
      <c r="H2919" s="5">
        <v>0.5382</v>
      </c>
      <c r="I2919" s="8">
        <f t="shared" si="181"/>
        <v>15971901600</v>
      </c>
      <c r="J2919" s="8">
        <f t="shared" si="182"/>
        <v>8596077441.12</v>
      </c>
      <c r="K2919" t="str">
        <f t="shared" si="183"/>
        <v>MATCHED</v>
      </c>
    </row>
    <row r="2920" spans="1:11">
      <c r="A2920" t="s">
        <v>114</v>
      </c>
      <c r="B2920" t="s">
        <v>115</v>
      </c>
      <c r="C2920" t="s">
        <v>920</v>
      </c>
      <c r="D2920" t="s">
        <v>921</v>
      </c>
      <c r="E2920" s="8">
        <v>3050</v>
      </c>
      <c r="F2920" s="8">
        <v>163980</v>
      </c>
      <c r="G2920" s="8">
        <f t="shared" si="180"/>
        <v>500139000</v>
      </c>
      <c r="H2920" s="5">
        <v>0.5583</v>
      </c>
      <c r="I2920" s="8">
        <f t="shared" si="181"/>
        <v>500139000</v>
      </c>
      <c r="J2920" s="8">
        <f t="shared" si="182"/>
        <v>279227603.7</v>
      </c>
      <c r="K2920" t="str">
        <f t="shared" si="183"/>
        <v>MATCHED</v>
      </c>
    </row>
    <row r="2921" spans="1:11">
      <c r="A2921" t="s">
        <v>114</v>
      </c>
      <c r="B2921" t="s">
        <v>115</v>
      </c>
      <c r="C2921" t="s">
        <v>239</v>
      </c>
      <c r="D2921" t="s">
        <v>240</v>
      </c>
      <c r="E2921" s="8">
        <v>42650</v>
      </c>
      <c r="F2921" s="8">
        <v>202730</v>
      </c>
      <c r="G2921" s="8">
        <f t="shared" si="180"/>
        <v>8646434500</v>
      </c>
      <c r="H2921" s="5">
        <v>0.445</v>
      </c>
      <c r="I2921" s="8">
        <f t="shared" si="181"/>
        <v>8646434500</v>
      </c>
      <c r="J2921" s="8">
        <f t="shared" si="182"/>
        <v>3847663352.5</v>
      </c>
      <c r="K2921" t="str">
        <f t="shared" si="183"/>
        <v>MATCHED</v>
      </c>
    </row>
    <row r="2922" spans="1:11">
      <c r="A2922" t="s">
        <v>114</v>
      </c>
      <c r="B2922" t="s">
        <v>115</v>
      </c>
      <c r="C2922" t="s">
        <v>241</v>
      </c>
      <c r="D2922" t="s">
        <v>242</v>
      </c>
      <c r="E2922" s="8">
        <v>46410</v>
      </c>
      <c r="F2922" s="8">
        <v>189450</v>
      </c>
      <c r="G2922" s="8">
        <f t="shared" si="180"/>
        <v>8792374500</v>
      </c>
      <c r="H2922" s="5">
        <v>0.3735</v>
      </c>
      <c r="I2922" s="8">
        <f t="shared" si="181"/>
        <v>8792374500</v>
      </c>
      <c r="J2922" s="8">
        <f t="shared" si="182"/>
        <v>3283951875.75</v>
      </c>
      <c r="K2922" t="str">
        <f t="shared" si="183"/>
        <v>MATCHED</v>
      </c>
    </row>
    <row r="2923" spans="1:11">
      <c r="A2923" t="s">
        <v>114</v>
      </c>
      <c r="B2923" t="s">
        <v>115</v>
      </c>
      <c r="C2923" t="s">
        <v>522</v>
      </c>
      <c r="D2923" t="s">
        <v>523</v>
      </c>
      <c r="E2923" s="8">
        <v>4550</v>
      </c>
      <c r="F2923" s="8">
        <v>208530</v>
      </c>
      <c r="G2923" s="8">
        <f t="shared" si="180"/>
        <v>948811500</v>
      </c>
      <c r="H2923" s="5">
        <v>0.53</v>
      </c>
      <c r="I2923" s="8">
        <f t="shared" si="181"/>
        <v>948811500</v>
      </c>
      <c r="J2923" s="8">
        <f t="shared" si="182"/>
        <v>502870095</v>
      </c>
      <c r="K2923" t="str">
        <f t="shared" si="183"/>
        <v>MATCHED</v>
      </c>
    </row>
    <row r="2924" spans="1:11">
      <c r="A2924" t="s">
        <v>114</v>
      </c>
      <c r="B2924" t="s">
        <v>115</v>
      </c>
      <c r="C2924" t="s">
        <v>922</v>
      </c>
      <c r="D2924" t="s">
        <v>923</v>
      </c>
      <c r="E2924" s="8">
        <v>590</v>
      </c>
      <c r="F2924" s="8">
        <v>138330</v>
      </c>
      <c r="G2924" s="8">
        <f t="shared" si="180"/>
        <v>81614700</v>
      </c>
      <c r="H2924" s="5">
        <v>0.5594</v>
      </c>
      <c r="I2924" s="8">
        <f t="shared" si="181"/>
        <v>81614700</v>
      </c>
      <c r="J2924" s="8">
        <f t="shared" si="182"/>
        <v>45655263.18</v>
      </c>
      <c r="K2924" t="str">
        <f t="shared" si="183"/>
        <v>MATCHED</v>
      </c>
    </row>
    <row r="2925" spans="1:11">
      <c r="A2925" t="s">
        <v>114</v>
      </c>
      <c r="B2925" t="s">
        <v>115</v>
      </c>
      <c r="C2925" t="s">
        <v>243</v>
      </c>
      <c r="D2925" t="s">
        <v>244</v>
      </c>
      <c r="E2925" s="8">
        <v>8170</v>
      </c>
      <c r="F2925" s="8">
        <v>149740</v>
      </c>
      <c r="G2925" s="8">
        <f t="shared" si="180"/>
        <v>1223375800</v>
      </c>
      <c r="H2925" s="5">
        <v>0.4444</v>
      </c>
      <c r="I2925" s="8">
        <f t="shared" si="181"/>
        <v>1223375800</v>
      </c>
      <c r="J2925" s="8">
        <f t="shared" si="182"/>
        <v>543668205.52</v>
      </c>
      <c r="K2925" t="str">
        <f t="shared" si="183"/>
        <v>MATCHED</v>
      </c>
    </row>
    <row r="2926" spans="1:11">
      <c r="A2926" t="s">
        <v>114</v>
      </c>
      <c r="B2926" t="s">
        <v>115</v>
      </c>
      <c r="C2926" t="s">
        <v>245</v>
      </c>
      <c r="D2926" t="s">
        <v>246</v>
      </c>
      <c r="E2926" s="8">
        <v>2400</v>
      </c>
      <c r="F2926" s="8">
        <v>135410</v>
      </c>
      <c r="G2926" s="8">
        <f t="shared" si="180"/>
        <v>324984000</v>
      </c>
      <c r="H2926" s="5">
        <v>0.2907</v>
      </c>
      <c r="I2926" s="8">
        <f t="shared" si="181"/>
        <v>324984000</v>
      </c>
      <c r="J2926" s="8">
        <f t="shared" si="182"/>
        <v>94472848.8</v>
      </c>
      <c r="K2926" t="str">
        <f t="shared" si="183"/>
        <v>MATCHED</v>
      </c>
    </row>
    <row r="2927" spans="1:11">
      <c r="A2927" t="s">
        <v>114</v>
      </c>
      <c r="B2927" t="s">
        <v>115</v>
      </c>
      <c r="C2927" t="s">
        <v>247</v>
      </c>
      <c r="D2927" t="s">
        <v>248</v>
      </c>
      <c r="E2927" s="8">
        <v>89530</v>
      </c>
      <c r="F2927" s="8">
        <v>207260</v>
      </c>
      <c r="G2927" s="8">
        <f t="shared" si="180"/>
        <v>18555987800</v>
      </c>
      <c r="H2927" s="5">
        <v>0.5265</v>
      </c>
      <c r="I2927" s="8">
        <f t="shared" si="181"/>
        <v>18555987800</v>
      </c>
      <c r="J2927" s="8">
        <f t="shared" si="182"/>
        <v>9769727576.7</v>
      </c>
      <c r="K2927" t="str">
        <f t="shared" si="183"/>
        <v>MATCHED</v>
      </c>
    </row>
    <row r="2928" spans="1:11">
      <c r="A2928" t="s">
        <v>114</v>
      </c>
      <c r="B2928" t="s">
        <v>115</v>
      </c>
      <c r="C2928" t="s">
        <v>249</v>
      </c>
      <c r="D2928" t="s">
        <v>250</v>
      </c>
      <c r="E2928" s="8">
        <v>23580</v>
      </c>
      <c r="F2928" s="8">
        <v>221070</v>
      </c>
      <c r="G2928" s="8">
        <f t="shared" si="180"/>
        <v>5212830600</v>
      </c>
      <c r="H2928" s="5">
        <v>0.7221</v>
      </c>
      <c r="I2928" s="8">
        <f t="shared" si="181"/>
        <v>5212830600</v>
      </c>
      <c r="J2928" s="8">
        <f t="shared" si="182"/>
        <v>3764184976.26</v>
      </c>
      <c r="K2928" t="str">
        <f t="shared" si="183"/>
        <v>MATCHED</v>
      </c>
    </row>
    <row r="2929" spans="1:11">
      <c r="A2929" t="s">
        <v>114</v>
      </c>
      <c r="B2929" t="s">
        <v>115</v>
      </c>
      <c r="C2929" t="s">
        <v>251</v>
      </c>
      <c r="D2929" t="s">
        <v>252</v>
      </c>
      <c r="E2929" s="8">
        <v>1410</v>
      </c>
      <c r="F2929" s="8">
        <v>129180</v>
      </c>
      <c r="G2929" s="8">
        <f t="shared" si="180"/>
        <v>182143800</v>
      </c>
      <c r="H2929" s="5">
        <v>0.3636</v>
      </c>
      <c r="I2929" s="8">
        <f t="shared" si="181"/>
        <v>182143800</v>
      </c>
      <c r="J2929" s="8">
        <f t="shared" si="182"/>
        <v>66227485.68</v>
      </c>
      <c r="K2929" t="str">
        <f t="shared" si="183"/>
        <v>MATCHED</v>
      </c>
    </row>
    <row r="2930" spans="1:11">
      <c r="A2930" t="s">
        <v>114</v>
      </c>
      <c r="B2930" t="s">
        <v>115</v>
      </c>
      <c r="C2930" t="s">
        <v>253</v>
      </c>
      <c r="D2930" t="s">
        <v>254</v>
      </c>
      <c r="E2930" s="8">
        <v>1020</v>
      </c>
      <c r="F2930" s="8">
        <v>177250</v>
      </c>
      <c r="G2930" s="8">
        <f t="shared" si="180"/>
        <v>180795000</v>
      </c>
      <c r="H2930" s="5">
        <v>0.6944</v>
      </c>
      <c r="I2930" s="8">
        <f t="shared" si="181"/>
        <v>180795000</v>
      </c>
      <c r="J2930" s="8">
        <f t="shared" si="182"/>
        <v>125544048</v>
      </c>
      <c r="K2930" t="str">
        <f t="shared" si="183"/>
        <v>MATCHED</v>
      </c>
    </row>
    <row r="2931" spans="1:11">
      <c r="A2931" t="s">
        <v>114</v>
      </c>
      <c r="B2931" t="s">
        <v>115</v>
      </c>
      <c r="C2931" t="s">
        <v>255</v>
      </c>
      <c r="D2931" t="s">
        <v>256</v>
      </c>
      <c r="E2931" s="8">
        <v>1720</v>
      </c>
      <c r="F2931" s="8">
        <v>147490</v>
      </c>
      <c r="G2931" s="8">
        <f t="shared" si="180"/>
        <v>253682800</v>
      </c>
      <c r="H2931" s="5">
        <v>0.5783</v>
      </c>
      <c r="I2931" s="8">
        <f t="shared" si="181"/>
        <v>253682800</v>
      </c>
      <c r="J2931" s="8">
        <f t="shared" si="182"/>
        <v>146704763.24</v>
      </c>
      <c r="K2931" t="str">
        <f t="shared" si="183"/>
        <v>MATCHED</v>
      </c>
    </row>
    <row r="2932" spans="1:11">
      <c r="A2932" t="s">
        <v>114</v>
      </c>
      <c r="B2932" t="s">
        <v>115</v>
      </c>
      <c r="C2932" t="s">
        <v>524</v>
      </c>
      <c r="D2932" t="s">
        <v>525</v>
      </c>
      <c r="E2932" s="8">
        <v>980</v>
      </c>
      <c r="F2932" s="8">
        <v>191710</v>
      </c>
      <c r="G2932" s="8">
        <f t="shared" si="180"/>
        <v>187875800</v>
      </c>
      <c r="H2932" s="5">
        <v>0.5771</v>
      </c>
      <c r="I2932" s="8">
        <f t="shared" si="181"/>
        <v>187875800</v>
      </c>
      <c r="J2932" s="8">
        <f t="shared" si="182"/>
        <v>108423124.18</v>
      </c>
      <c r="K2932" t="str">
        <f t="shared" si="183"/>
        <v>MATCHED</v>
      </c>
    </row>
    <row r="2933" spans="1:11">
      <c r="A2933" t="s">
        <v>114</v>
      </c>
      <c r="B2933" t="s">
        <v>115</v>
      </c>
      <c r="C2933" t="s">
        <v>257</v>
      </c>
      <c r="D2933" t="s">
        <v>258</v>
      </c>
      <c r="E2933" s="8">
        <v>9200</v>
      </c>
      <c r="F2933" s="8">
        <v>210020</v>
      </c>
      <c r="G2933" s="8">
        <f t="shared" si="180"/>
        <v>1932184000</v>
      </c>
      <c r="H2933" s="5">
        <v>0.5962</v>
      </c>
      <c r="I2933" s="8">
        <f t="shared" si="181"/>
        <v>1932184000</v>
      </c>
      <c r="J2933" s="8">
        <f t="shared" si="182"/>
        <v>1151968100.8</v>
      </c>
      <c r="K2933" t="str">
        <f t="shared" si="183"/>
        <v>MATCHED</v>
      </c>
    </row>
    <row r="2934" spans="1:11">
      <c r="A2934" t="s">
        <v>114</v>
      </c>
      <c r="B2934" t="s">
        <v>115</v>
      </c>
      <c r="C2934" t="s">
        <v>526</v>
      </c>
      <c r="D2934" t="s">
        <v>527</v>
      </c>
      <c r="E2934" s="8">
        <v>3330</v>
      </c>
      <c r="F2934" s="8"/>
      <c r="G2934" s="8" t="str">
        <f t="shared" si="180"/>
        <v/>
      </c>
      <c r="H2934" s="5">
        <v>0.6833</v>
      </c>
      <c r="I2934" s="8" t="str">
        <f t="shared" si="181"/>
        <v/>
      </c>
      <c r="J2934" s="8" t="str">
        <f t="shared" si="182"/>
        <v/>
      </c>
      <c r="K2934" t="str">
        <f t="shared" si="183"/>
        <v>MISSING OEWS</v>
      </c>
    </row>
    <row r="2935" spans="1:11">
      <c r="A2935" t="s">
        <v>114</v>
      </c>
      <c r="B2935" t="s">
        <v>115</v>
      </c>
      <c r="C2935" t="s">
        <v>528</v>
      </c>
      <c r="D2935" t="s">
        <v>529</v>
      </c>
      <c r="E2935" s="8">
        <v>1870</v>
      </c>
      <c r="F2935" s="8">
        <v>122830</v>
      </c>
      <c r="G2935" s="8">
        <f t="shared" si="180"/>
        <v>229692100</v>
      </c>
      <c r="H2935" s="5">
        <v>0.374</v>
      </c>
      <c r="I2935" s="8">
        <f t="shared" si="181"/>
        <v>229692100</v>
      </c>
      <c r="J2935" s="8">
        <f t="shared" si="182"/>
        <v>85904845.4</v>
      </c>
      <c r="K2935" t="str">
        <f t="shared" si="183"/>
        <v>MATCHED</v>
      </c>
    </row>
    <row r="2936" spans="1:11">
      <c r="A2936" t="s">
        <v>114</v>
      </c>
      <c r="B2936" t="s">
        <v>115</v>
      </c>
      <c r="C2936" t="s">
        <v>1563</v>
      </c>
      <c r="D2936" t="s">
        <v>1564</v>
      </c>
      <c r="E2936" s="8">
        <v>130</v>
      </c>
      <c r="F2936" s="8">
        <v>111580</v>
      </c>
      <c r="G2936" s="8">
        <f t="shared" si="180"/>
        <v>14505400</v>
      </c>
      <c r="H2936" s="5"/>
      <c r="I2936" s="8" t="str">
        <f t="shared" si="181"/>
        <v/>
      </c>
      <c r="J2936" s="8" t="str">
        <f t="shared" si="182"/>
        <v/>
      </c>
      <c r="K2936" t="str">
        <f t="shared" si="183"/>
        <v>MISSING WHARTON</v>
      </c>
    </row>
    <row r="2937" spans="1:11">
      <c r="A2937" t="s">
        <v>114</v>
      </c>
      <c r="B2937" t="s">
        <v>115</v>
      </c>
      <c r="C2937" t="s">
        <v>530</v>
      </c>
      <c r="D2937" t="s">
        <v>531</v>
      </c>
      <c r="E2937" s="8">
        <v>3100</v>
      </c>
      <c r="F2937" s="8">
        <v>222440</v>
      </c>
      <c r="G2937" s="8">
        <f t="shared" si="180"/>
        <v>689564000</v>
      </c>
      <c r="H2937" s="5">
        <v>0.263</v>
      </c>
      <c r="I2937" s="8">
        <f t="shared" si="181"/>
        <v>689564000</v>
      </c>
      <c r="J2937" s="8">
        <f t="shared" si="182"/>
        <v>181355332</v>
      </c>
      <c r="K2937" t="str">
        <f t="shared" si="183"/>
        <v>MATCHED</v>
      </c>
    </row>
    <row r="2938" spans="1:11">
      <c r="A2938" t="s">
        <v>114</v>
      </c>
      <c r="B2938" t="s">
        <v>115</v>
      </c>
      <c r="C2938" t="s">
        <v>1144</v>
      </c>
      <c r="D2938" t="s">
        <v>1145</v>
      </c>
      <c r="E2938" s="8">
        <v>180</v>
      </c>
      <c r="F2938" s="8">
        <v>67360</v>
      </c>
      <c r="G2938" s="8">
        <f t="shared" si="180"/>
        <v>12124800</v>
      </c>
      <c r="H2938" s="5">
        <v>0.3821</v>
      </c>
      <c r="I2938" s="8">
        <f t="shared" si="181"/>
        <v>12124800</v>
      </c>
      <c r="J2938" s="8">
        <f t="shared" si="182"/>
        <v>4632886.08</v>
      </c>
      <c r="K2938" t="str">
        <f t="shared" si="183"/>
        <v>MATCHED</v>
      </c>
    </row>
    <row r="2939" spans="1:11">
      <c r="A2939" t="s">
        <v>114</v>
      </c>
      <c r="B2939" t="s">
        <v>115</v>
      </c>
      <c r="C2939" t="s">
        <v>1460</v>
      </c>
      <c r="D2939" t="s">
        <v>1461</v>
      </c>
      <c r="E2939" s="8">
        <v>510</v>
      </c>
      <c r="F2939" s="8">
        <v>75310</v>
      </c>
      <c r="G2939" s="8">
        <f t="shared" si="180"/>
        <v>38408100</v>
      </c>
      <c r="H2939" s="5">
        <v>0.3176</v>
      </c>
      <c r="I2939" s="8">
        <f t="shared" si="181"/>
        <v>38408100</v>
      </c>
      <c r="J2939" s="8">
        <f t="shared" si="182"/>
        <v>12198412.56</v>
      </c>
      <c r="K2939" t="str">
        <f t="shared" si="183"/>
        <v>MATCHED</v>
      </c>
    </row>
    <row r="2940" spans="1:11">
      <c r="A2940" t="s">
        <v>114</v>
      </c>
      <c r="B2940" t="s">
        <v>115</v>
      </c>
      <c r="C2940" t="s">
        <v>1146</v>
      </c>
      <c r="D2940" t="s">
        <v>1147</v>
      </c>
      <c r="E2940" s="8">
        <v>430</v>
      </c>
      <c r="F2940" s="8">
        <v>182800</v>
      </c>
      <c r="G2940" s="8">
        <f t="shared" si="180"/>
        <v>78604000</v>
      </c>
      <c r="H2940" s="5">
        <v>0.4417</v>
      </c>
      <c r="I2940" s="8">
        <f t="shared" si="181"/>
        <v>78604000</v>
      </c>
      <c r="J2940" s="8">
        <f t="shared" si="182"/>
        <v>34719386.8</v>
      </c>
      <c r="K2940" t="str">
        <f t="shared" si="183"/>
        <v>MATCHED</v>
      </c>
    </row>
    <row r="2941" spans="1:11">
      <c r="A2941" t="s">
        <v>114</v>
      </c>
      <c r="B2941" t="s">
        <v>115</v>
      </c>
      <c r="C2941" t="s">
        <v>261</v>
      </c>
      <c r="D2941" t="s">
        <v>262</v>
      </c>
      <c r="E2941" s="8">
        <v>110</v>
      </c>
      <c r="F2941" s="8"/>
      <c r="G2941" s="8" t="str">
        <f t="shared" si="180"/>
        <v/>
      </c>
      <c r="H2941" s="5">
        <v>0.382</v>
      </c>
      <c r="I2941" s="8" t="str">
        <f t="shared" si="181"/>
        <v/>
      </c>
      <c r="J2941" s="8" t="str">
        <f t="shared" si="182"/>
        <v/>
      </c>
      <c r="K2941" t="str">
        <f t="shared" si="183"/>
        <v>MISSING OEWS</v>
      </c>
    </row>
    <row r="2942" spans="1:11">
      <c r="A2942" t="s">
        <v>114</v>
      </c>
      <c r="B2942" t="s">
        <v>115</v>
      </c>
      <c r="C2942" t="s">
        <v>532</v>
      </c>
      <c r="D2942" t="s">
        <v>533</v>
      </c>
      <c r="E2942" s="8">
        <v>620</v>
      </c>
      <c r="F2942" s="8">
        <v>149480</v>
      </c>
      <c r="G2942" s="8">
        <f t="shared" si="180"/>
        <v>92677600</v>
      </c>
      <c r="H2942" s="5">
        <v>0.3833</v>
      </c>
      <c r="I2942" s="8">
        <f t="shared" si="181"/>
        <v>92677600</v>
      </c>
      <c r="J2942" s="8">
        <f t="shared" si="182"/>
        <v>35523324.08</v>
      </c>
      <c r="K2942" t="str">
        <f t="shared" si="183"/>
        <v>MATCHED</v>
      </c>
    </row>
    <row r="2943" spans="1:11">
      <c r="A2943" t="s">
        <v>114</v>
      </c>
      <c r="B2943" t="s">
        <v>115</v>
      </c>
      <c r="C2943" t="s">
        <v>926</v>
      </c>
      <c r="D2943" t="s">
        <v>927</v>
      </c>
      <c r="E2943" s="8">
        <v>80</v>
      </c>
      <c r="F2943" s="8">
        <v>88490</v>
      </c>
      <c r="G2943" s="8">
        <f t="shared" si="180"/>
        <v>7079200</v>
      </c>
      <c r="H2943" s="5">
        <v>0.3656</v>
      </c>
      <c r="I2943" s="8">
        <f t="shared" si="181"/>
        <v>7079200</v>
      </c>
      <c r="J2943" s="8">
        <f t="shared" si="182"/>
        <v>2588155.52</v>
      </c>
      <c r="K2943" t="str">
        <f t="shared" si="183"/>
        <v>MATCHED</v>
      </c>
    </row>
    <row r="2944" spans="1:11">
      <c r="A2944" t="s">
        <v>114</v>
      </c>
      <c r="B2944" t="s">
        <v>115</v>
      </c>
      <c r="C2944" t="s">
        <v>1148</v>
      </c>
      <c r="D2944" t="s">
        <v>1149</v>
      </c>
      <c r="E2944" s="8">
        <v>70</v>
      </c>
      <c r="F2944" s="8">
        <v>150460</v>
      </c>
      <c r="G2944" s="8">
        <f t="shared" si="180"/>
        <v>10532200</v>
      </c>
      <c r="H2944" s="5">
        <v>0.4143</v>
      </c>
      <c r="I2944" s="8">
        <f t="shared" si="181"/>
        <v>10532200</v>
      </c>
      <c r="J2944" s="8">
        <f t="shared" si="182"/>
        <v>4363490.46</v>
      </c>
      <c r="K2944" t="str">
        <f t="shared" si="183"/>
        <v>MATCHED</v>
      </c>
    </row>
    <row r="2945" spans="1:11">
      <c r="A2945" t="s">
        <v>114</v>
      </c>
      <c r="B2945" t="s">
        <v>115</v>
      </c>
      <c r="C2945" t="s">
        <v>263</v>
      </c>
      <c r="D2945" t="s">
        <v>264</v>
      </c>
      <c r="E2945" s="8">
        <v>35240</v>
      </c>
      <c r="F2945" s="8">
        <v>189770</v>
      </c>
      <c r="G2945" s="8">
        <f t="shared" si="180"/>
        <v>6687494800</v>
      </c>
      <c r="H2945" s="5">
        <v>0.4896</v>
      </c>
      <c r="I2945" s="8">
        <f t="shared" si="181"/>
        <v>6687494800</v>
      </c>
      <c r="J2945" s="8">
        <f t="shared" si="182"/>
        <v>3274197454.08</v>
      </c>
      <c r="K2945" t="str">
        <f t="shared" si="183"/>
        <v>MATCHED</v>
      </c>
    </row>
    <row r="2946" spans="1:11">
      <c r="A2946" t="s">
        <v>114</v>
      </c>
      <c r="B2946" t="s">
        <v>115</v>
      </c>
      <c r="C2946" t="s">
        <v>1565</v>
      </c>
      <c r="D2946" t="s">
        <v>1566</v>
      </c>
      <c r="E2946" s="8">
        <v>640</v>
      </c>
      <c r="F2946" s="8"/>
      <c r="G2946" s="8" t="str">
        <f t="shared" ref="G2946:G3009" si="184">IF(OR(E2946="",F2946=""),"",E2946*F2946)</f>
        <v/>
      </c>
      <c r="H2946" s="5">
        <v>0.4714</v>
      </c>
      <c r="I2946" s="8" t="str">
        <f t="shared" ref="I2946:I3009" si="185">IF(G2946="","",IF(ISNUMBER(H2946),G2946,""))</f>
        <v/>
      </c>
      <c r="J2946" s="8" t="str">
        <f t="shared" ref="J2946:J3009" si="186">IF(I2946="","",I2946*H2946)</f>
        <v/>
      </c>
      <c r="K2946" t="str">
        <f t="shared" ref="K2946:K3009" si="187">IF(G2946="","MISSING OEWS",IF(ISNUMBER(H2946),"MATCHED","MISSING WHARTON"))</f>
        <v>MISSING OEWS</v>
      </c>
    </row>
    <row r="2947" spans="1:11">
      <c r="A2947" t="s">
        <v>114</v>
      </c>
      <c r="B2947" t="s">
        <v>115</v>
      </c>
      <c r="C2947" t="s">
        <v>265</v>
      </c>
      <c r="D2947" t="s">
        <v>266</v>
      </c>
      <c r="E2947" s="8">
        <v>6610</v>
      </c>
      <c r="F2947" s="8">
        <v>99420</v>
      </c>
      <c r="G2947" s="8">
        <f t="shared" si="184"/>
        <v>657166200</v>
      </c>
      <c r="H2947" s="5">
        <v>0.5876</v>
      </c>
      <c r="I2947" s="8">
        <f t="shared" si="185"/>
        <v>657166200</v>
      </c>
      <c r="J2947" s="8">
        <f t="shared" si="186"/>
        <v>386150859.12</v>
      </c>
      <c r="K2947" t="str">
        <f t="shared" si="187"/>
        <v>MATCHED</v>
      </c>
    </row>
    <row r="2948" spans="1:11">
      <c r="A2948" t="s">
        <v>114</v>
      </c>
      <c r="B2948" t="s">
        <v>115</v>
      </c>
      <c r="C2948" t="s">
        <v>818</v>
      </c>
      <c r="D2948" t="s">
        <v>819</v>
      </c>
      <c r="E2948" s="8">
        <v>400</v>
      </c>
      <c r="F2948" s="8">
        <v>65050</v>
      </c>
      <c r="G2948" s="8">
        <f t="shared" si="184"/>
        <v>26020000</v>
      </c>
      <c r="H2948" s="5">
        <v>0.6983</v>
      </c>
      <c r="I2948" s="8">
        <f t="shared" si="185"/>
        <v>26020000</v>
      </c>
      <c r="J2948" s="8">
        <f t="shared" si="186"/>
        <v>18169766</v>
      </c>
      <c r="K2948" t="str">
        <f t="shared" si="187"/>
        <v>MATCHED</v>
      </c>
    </row>
    <row r="2949" spans="1:11">
      <c r="A2949" t="s">
        <v>114</v>
      </c>
      <c r="B2949" t="s">
        <v>115</v>
      </c>
      <c r="C2949" t="s">
        <v>267</v>
      </c>
      <c r="D2949" t="s">
        <v>268</v>
      </c>
      <c r="E2949" s="8">
        <v>7510</v>
      </c>
      <c r="F2949" s="8">
        <v>101600</v>
      </c>
      <c r="G2949" s="8">
        <f t="shared" si="184"/>
        <v>763016000</v>
      </c>
      <c r="H2949" s="5">
        <v>0.4611</v>
      </c>
      <c r="I2949" s="8">
        <f t="shared" si="185"/>
        <v>763016000</v>
      </c>
      <c r="J2949" s="8">
        <f t="shared" si="186"/>
        <v>351826677.6</v>
      </c>
      <c r="K2949" t="str">
        <f t="shared" si="187"/>
        <v>MATCHED</v>
      </c>
    </row>
    <row r="2950" spans="1:11">
      <c r="A2950" t="s">
        <v>114</v>
      </c>
      <c r="B2950" t="s">
        <v>115</v>
      </c>
      <c r="C2950" t="s">
        <v>534</v>
      </c>
      <c r="D2950" t="s">
        <v>535</v>
      </c>
      <c r="E2950" s="8">
        <v>710</v>
      </c>
      <c r="F2950" s="8">
        <v>85380</v>
      </c>
      <c r="G2950" s="8">
        <f t="shared" si="184"/>
        <v>60619800</v>
      </c>
      <c r="H2950" s="5">
        <v>0.6393</v>
      </c>
      <c r="I2950" s="8">
        <f t="shared" si="185"/>
        <v>60619800</v>
      </c>
      <c r="J2950" s="8">
        <f t="shared" si="186"/>
        <v>38754238.14</v>
      </c>
      <c r="K2950" t="str">
        <f t="shared" si="187"/>
        <v>MATCHED</v>
      </c>
    </row>
    <row r="2951" spans="1:11">
      <c r="A2951" t="s">
        <v>114</v>
      </c>
      <c r="B2951" t="s">
        <v>115</v>
      </c>
      <c r="C2951" t="s">
        <v>269</v>
      </c>
      <c r="D2951" t="s">
        <v>270</v>
      </c>
      <c r="E2951" s="8">
        <v>26920</v>
      </c>
      <c r="F2951" s="8">
        <v>110740</v>
      </c>
      <c r="G2951" s="8">
        <f t="shared" si="184"/>
        <v>2981120800</v>
      </c>
      <c r="H2951" s="5">
        <v>0.7808</v>
      </c>
      <c r="I2951" s="8">
        <f t="shared" si="185"/>
        <v>2981120800</v>
      </c>
      <c r="J2951" s="8">
        <f t="shared" si="186"/>
        <v>2327659120.64</v>
      </c>
      <c r="K2951" t="str">
        <f t="shared" si="187"/>
        <v>MATCHED</v>
      </c>
    </row>
    <row r="2952" spans="1:11">
      <c r="A2952" t="s">
        <v>114</v>
      </c>
      <c r="B2952" t="s">
        <v>115</v>
      </c>
      <c r="C2952" t="s">
        <v>820</v>
      </c>
      <c r="D2952" t="s">
        <v>821</v>
      </c>
      <c r="E2952" s="8">
        <v>400</v>
      </c>
      <c r="F2952" s="8">
        <v>119180</v>
      </c>
      <c r="G2952" s="8">
        <f t="shared" si="184"/>
        <v>47672000</v>
      </c>
      <c r="H2952" s="5">
        <v>0.5536</v>
      </c>
      <c r="I2952" s="8">
        <f t="shared" si="185"/>
        <v>47672000</v>
      </c>
      <c r="J2952" s="8">
        <f t="shared" si="186"/>
        <v>26391219.2</v>
      </c>
      <c r="K2952" t="str">
        <f t="shared" si="187"/>
        <v>MATCHED</v>
      </c>
    </row>
    <row r="2953" spans="1:11">
      <c r="A2953" t="s">
        <v>114</v>
      </c>
      <c r="B2953" t="s">
        <v>115</v>
      </c>
      <c r="C2953" t="s">
        <v>273</v>
      </c>
      <c r="D2953" t="s">
        <v>274</v>
      </c>
      <c r="E2953" s="8">
        <v>4010</v>
      </c>
      <c r="F2953" s="8">
        <v>106310</v>
      </c>
      <c r="G2953" s="8">
        <f t="shared" si="184"/>
        <v>426303100</v>
      </c>
      <c r="H2953" s="5">
        <v>0.6943</v>
      </c>
      <c r="I2953" s="8">
        <f t="shared" si="185"/>
        <v>426303100</v>
      </c>
      <c r="J2953" s="8">
        <f t="shared" si="186"/>
        <v>295982242.33</v>
      </c>
      <c r="K2953" t="str">
        <f t="shared" si="187"/>
        <v>MATCHED</v>
      </c>
    </row>
    <row r="2954" spans="1:11">
      <c r="A2954" t="s">
        <v>114</v>
      </c>
      <c r="B2954" t="s">
        <v>115</v>
      </c>
      <c r="C2954" t="s">
        <v>275</v>
      </c>
      <c r="D2954" t="s">
        <v>276</v>
      </c>
      <c r="E2954" s="8">
        <v>50030</v>
      </c>
      <c r="F2954" s="8">
        <v>124300</v>
      </c>
      <c r="G2954" s="8">
        <f t="shared" si="184"/>
        <v>6218729000</v>
      </c>
      <c r="H2954" s="5">
        <v>0.6375</v>
      </c>
      <c r="I2954" s="8">
        <f t="shared" si="185"/>
        <v>6218729000</v>
      </c>
      <c r="J2954" s="8">
        <f t="shared" si="186"/>
        <v>3964439737.5</v>
      </c>
      <c r="K2954" t="str">
        <f t="shared" si="187"/>
        <v>MATCHED</v>
      </c>
    </row>
    <row r="2955" spans="1:11">
      <c r="A2955" t="s">
        <v>114</v>
      </c>
      <c r="B2955" t="s">
        <v>115</v>
      </c>
      <c r="C2955" t="s">
        <v>277</v>
      </c>
      <c r="D2955" t="s">
        <v>278</v>
      </c>
      <c r="E2955" s="8">
        <v>21210</v>
      </c>
      <c r="F2955" s="8">
        <v>119320</v>
      </c>
      <c r="G2955" s="8">
        <f t="shared" si="184"/>
        <v>2530777200</v>
      </c>
      <c r="H2955" s="5">
        <v>0.5773</v>
      </c>
      <c r="I2955" s="8">
        <f t="shared" si="185"/>
        <v>2530777200</v>
      </c>
      <c r="J2955" s="8">
        <f t="shared" si="186"/>
        <v>1461017677.56</v>
      </c>
      <c r="K2955" t="str">
        <f t="shared" si="187"/>
        <v>MATCHED</v>
      </c>
    </row>
    <row r="2956" spans="1:11">
      <c r="A2956" t="s">
        <v>114</v>
      </c>
      <c r="B2956" t="s">
        <v>115</v>
      </c>
      <c r="C2956" t="s">
        <v>279</v>
      </c>
      <c r="D2956" t="s">
        <v>280</v>
      </c>
      <c r="E2956" s="8">
        <v>4930</v>
      </c>
      <c r="F2956" s="8">
        <v>79870</v>
      </c>
      <c r="G2956" s="8">
        <f t="shared" si="184"/>
        <v>393759100</v>
      </c>
      <c r="H2956" s="5">
        <v>0.4476</v>
      </c>
      <c r="I2956" s="8">
        <f t="shared" si="185"/>
        <v>393759100</v>
      </c>
      <c r="J2956" s="8">
        <f t="shared" si="186"/>
        <v>176246573.16</v>
      </c>
      <c r="K2956" t="str">
        <f t="shared" si="187"/>
        <v>MATCHED</v>
      </c>
    </row>
    <row r="2957" spans="1:11">
      <c r="A2957" t="s">
        <v>114</v>
      </c>
      <c r="B2957" t="s">
        <v>115</v>
      </c>
      <c r="C2957" t="s">
        <v>928</v>
      </c>
      <c r="D2957" t="s">
        <v>929</v>
      </c>
      <c r="E2957" s="8">
        <v>2200</v>
      </c>
      <c r="F2957" s="8">
        <v>75580</v>
      </c>
      <c r="G2957" s="8">
        <f t="shared" si="184"/>
        <v>166276000</v>
      </c>
      <c r="H2957" s="5">
        <v>0.5571</v>
      </c>
      <c r="I2957" s="8">
        <f t="shared" si="185"/>
        <v>166276000</v>
      </c>
      <c r="J2957" s="8">
        <f t="shared" si="186"/>
        <v>92632359.6</v>
      </c>
      <c r="K2957" t="str">
        <f t="shared" si="187"/>
        <v>MATCHED</v>
      </c>
    </row>
    <row r="2958" spans="1:11">
      <c r="A2958" t="s">
        <v>114</v>
      </c>
      <c r="B2958" t="s">
        <v>115</v>
      </c>
      <c r="C2958" t="s">
        <v>281</v>
      </c>
      <c r="D2958" t="s">
        <v>282</v>
      </c>
      <c r="E2958" s="8">
        <v>2470</v>
      </c>
      <c r="F2958" s="8">
        <v>110270</v>
      </c>
      <c r="G2958" s="8">
        <f t="shared" si="184"/>
        <v>272366900</v>
      </c>
      <c r="H2958" s="5">
        <v>0.6167</v>
      </c>
      <c r="I2958" s="8">
        <f t="shared" si="185"/>
        <v>272366900</v>
      </c>
      <c r="J2958" s="8">
        <f t="shared" si="186"/>
        <v>167968667.23</v>
      </c>
      <c r="K2958" t="str">
        <f t="shared" si="187"/>
        <v>MATCHED</v>
      </c>
    </row>
    <row r="2959" spans="1:11">
      <c r="A2959" t="s">
        <v>114</v>
      </c>
      <c r="B2959" t="s">
        <v>115</v>
      </c>
      <c r="C2959" t="s">
        <v>283</v>
      </c>
      <c r="D2959" t="s">
        <v>284</v>
      </c>
      <c r="E2959" s="8">
        <v>13920</v>
      </c>
      <c r="F2959" s="8">
        <v>90270</v>
      </c>
      <c r="G2959" s="8">
        <f t="shared" si="184"/>
        <v>1256558400</v>
      </c>
      <c r="H2959" s="5">
        <v>0.565</v>
      </c>
      <c r="I2959" s="8">
        <f t="shared" si="185"/>
        <v>1256558400</v>
      </c>
      <c r="J2959" s="8">
        <f t="shared" si="186"/>
        <v>709955496</v>
      </c>
      <c r="K2959" t="str">
        <f t="shared" si="187"/>
        <v>MATCHED</v>
      </c>
    </row>
    <row r="2960" spans="1:11">
      <c r="A2960" t="s">
        <v>114</v>
      </c>
      <c r="B2960" t="s">
        <v>115</v>
      </c>
      <c r="C2960" t="s">
        <v>285</v>
      </c>
      <c r="D2960" t="s">
        <v>286</v>
      </c>
      <c r="E2960" s="8">
        <v>83400</v>
      </c>
      <c r="F2960" s="8">
        <v>115900</v>
      </c>
      <c r="G2960" s="8">
        <f t="shared" si="184"/>
        <v>9666060000</v>
      </c>
      <c r="H2960" s="5">
        <v>0.7792</v>
      </c>
      <c r="I2960" s="8">
        <f t="shared" si="185"/>
        <v>9666060000</v>
      </c>
      <c r="J2960" s="8">
        <f t="shared" si="186"/>
        <v>7531793952</v>
      </c>
      <c r="K2960" t="str">
        <f t="shared" si="187"/>
        <v>MATCHED</v>
      </c>
    </row>
    <row r="2961" spans="1:11">
      <c r="A2961" t="s">
        <v>114</v>
      </c>
      <c r="B2961" t="s">
        <v>115</v>
      </c>
      <c r="C2961" t="s">
        <v>287</v>
      </c>
      <c r="D2961" t="s">
        <v>288</v>
      </c>
      <c r="E2961" s="8">
        <v>34370</v>
      </c>
      <c r="F2961" s="8">
        <v>108170</v>
      </c>
      <c r="G2961" s="8">
        <f t="shared" si="184"/>
        <v>3717802900</v>
      </c>
      <c r="H2961" s="5">
        <v>0.6599</v>
      </c>
      <c r="I2961" s="8">
        <f t="shared" si="185"/>
        <v>3717802900</v>
      </c>
      <c r="J2961" s="8">
        <f t="shared" si="186"/>
        <v>2453378133.71</v>
      </c>
      <c r="K2961" t="str">
        <f t="shared" si="187"/>
        <v>MATCHED</v>
      </c>
    </row>
    <row r="2962" spans="1:11">
      <c r="A2962" t="s">
        <v>114</v>
      </c>
      <c r="B2962" t="s">
        <v>115</v>
      </c>
      <c r="C2962" t="s">
        <v>289</v>
      </c>
      <c r="D2962" t="s">
        <v>290</v>
      </c>
      <c r="E2962" s="8">
        <v>34730</v>
      </c>
      <c r="F2962" s="8">
        <v>107420</v>
      </c>
      <c r="G2962" s="8">
        <f t="shared" si="184"/>
        <v>3730696600</v>
      </c>
      <c r="H2962" s="5">
        <v>0.795</v>
      </c>
      <c r="I2962" s="8">
        <f t="shared" si="185"/>
        <v>3730696600</v>
      </c>
      <c r="J2962" s="8">
        <f t="shared" si="186"/>
        <v>2965903797</v>
      </c>
      <c r="K2962" t="str">
        <f t="shared" si="187"/>
        <v>MATCHED</v>
      </c>
    </row>
    <row r="2963" spans="1:11">
      <c r="A2963" t="s">
        <v>114</v>
      </c>
      <c r="B2963" t="s">
        <v>115</v>
      </c>
      <c r="C2963" t="s">
        <v>822</v>
      </c>
      <c r="D2963" t="s">
        <v>823</v>
      </c>
      <c r="E2963" s="8">
        <v>210</v>
      </c>
      <c r="F2963" s="8">
        <v>67890</v>
      </c>
      <c r="G2963" s="8">
        <f t="shared" si="184"/>
        <v>14256900</v>
      </c>
      <c r="H2963" s="5">
        <v>0.6102</v>
      </c>
      <c r="I2963" s="8">
        <f t="shared" si="185"/>
        <v>14256900</v>
      </c>
      <c r="J2963" s="8">
        <f t="shared" si="186"/>
        <v>8699560.38</v>
      </c>
      <c r="K2963" t="str">
        <f t="shared" si="187"/>
        <v>MATCHED</v>
      </c>
    </row>
    <row r="2964" spans="1:11">
      <c r="A2964" t="s">
        <v>114</v>
      </c>
      <c r="B2964" t="s">
        <v>115</v>
      </c>
      <c r="C2964" t="s">
        <v>824</v>
      </c>
      <c r="D2964" t="s">
        <v>825</v>
      </c>
      <c r="E2964" s="8">
        <v>430</v>
      </c>
      <c r="F2964" s="8">
        <v>102800</v>
      </c>
      <c r="G2964" s="8">
        <f t="shared" si="184"/>
        <v>44204000</v>
      </c>
      <c r="H2964" s="5">
        <v>0.8</v>
      </c>
      <c r="I2964" s="8">
        <f t="shared" si="185"/>
        <v>44204000</v>
      </c>
      <c r="J2964" s="8">
        <f t="shared" si="186"/>
        <v>35363200</v>
      </c>
      <c r="K2964" t="str">
        <f t="shared" si="187"/>
        <v>MATCHED</v>
      </c>
    </row>
    <row r="2965" spans="1:11">
      <c r="A2965" t="s">
        <v>114</v>
      </c>
      <c r="B2965" t="s">
        <v>115</v>
      </c>
      <c r="C2965" t="s">
        <v>826</v>
      </c>
      <c r="D2965" t="s">
        <v>827</v>
      </c>
      <c r="E2965" s="8">
        <v>730</v>
      </c>
      <c r="F2965" s="8">
        <v>83830</v>
      </c>
      <c r="G2965" s="8">
        <f t="shared" si="184"/>
        <v>61195900</v>
      </c>
      <c r="H2965" s="5">
        <v>0.8182</v>
      </c>
      <c r="I2965" s="8">
        <f t="shared" si="185"/>
        <v>61195900</v>
      </c>
      <c r="J2965" s="8">
        <f t="shared" si="186"/>
        <v>50070485.38</v>
      </c>
      <c r="K2965" t="str">
        <f t="shared" si="187"/>
        <v>MATCHED</v>
      </c>
    </row>
    <row r="2966" spans="1:11">
      <c r="A2966" t="s">
        <v>114</v>
      </c>
      <c r="B2966" t="s">
        <v>115</v>
      </c>
      <c r="C2966" t="s">
        <v>536</v>
      </c>
      <c r="D2966" t="s">
        <v>537</v>
      </c>
      <c r="E2966" s="8">
        <v>12440</v>
      </c>
      <c r="F2966" s="8">
        <v>123140</v>
      </c>
      <c r="G2966" s="8">
        <f t="shared" si="184"/>
        <v>1531861600</v>
      </c>
      <c r="H2966" s="5">
        <v>0.6904</v>
      </c>
      <c r="I2966" s="8">
        <f t="shared" si="185"/>
        <v>1531861600</v>
      </c>
      <c r="J2966" s="8">
        <f t="shared" si="186"/>
        <v>1057597248.64</v>
      </c>
      <c r="K2966" t="str">
        <f t="shared" si="187"/>
        <v>MATCHED</v>
      </c>
    </row>
    <row r="2967" spans="1:11">
      <c r="A2967" t="s">
        <v>114</v>
      </c>
      <c r="B2967" t="s">
        <v>115</v>
      </c>
      <c r="C2967" t="s">
        <v>930</v>
      </c>
      <c r="D2967" t="s">
        <v>931</v>
      </c>
      <c r="E2967" s="8">
        <v>160</v>
      </c>
      <c r="F2967" s="8"/>
      <c r="G2967" s="8" t="str">
        <f t="shared" si="184"/>
        <v/>
      </c>
      <c r="H2967" s="5">
        <v>0.6857</v>
      </c>
      <c r="I2967" s="8" t="str">
        <f t="shared" si="185"/>
        <v/>
      </c>
      <c r="J2967" s="8" t="str">
        <f t="shared" si="186"/>
        <v/>
      </c>
      <c r="K2967" t="str">
        <f t="shared" si="187"/>
        <v>MISSING OEWS</v>
      </c>
    </row>
    <row r="2968" spans="1:11">
      <c r="A2968" t="s">
        <v>114</v>
      </c>
      <c r="B2968" t="s">
        <v>115</v>
      </c>
      <c r="C2968" t="s">
        <v>828</v>
      </c>
      <c r="D2968" t="s">
        <v>829</v>
      </c>
      <c r="E2968" s="8">
        <v>1810</v>
      </c>
      <c r="F2968" s="8">
        <v>118910</v>
      </c>
      <c r="G2968" s="8">
        <f t="shared" si="184"/>
        <v>215227100</v>
      </c>
      <c r="H2968" s="5">
        <v>0.7767</v>
      </c>
      <c r="I2968" s="8">
        <f t="shared" si="185"/>
        <v>215227100</v>
      </c>
      <c r="J2968" s="8">
        <f t="shared" si="186"/>
        <v>167166888.57</v>
      </c>
      <c r="K2968" t="str">
        <f t="shared" si="187"/>
        <v>MATCHED</v>
      </c>
    </row>
    <row r="2969" spans="1:11">
      <c r="A2969" t="s">
        <v>114</v>
      </c>
      <c r="B2969" t="s">
        <v>115</v>
      </c>
      <c r="C2969" t="s">
        <v>1150</v>
      </c>
      <c r="D2969" t="s">
        <v>1151</v>
      </c>
      <c r="E2969" s="8">
        <v>180</v>
      </c>
      <c r="F2969" s="8">
        <v>106560</v>
      </c>
      <c r="G2969" s="8">
        <f t="shared" si="184"/>
        <v>19180800</v>
      </c>
      <c r="H2969" s="5">
        <v>0.5647</v>
      </c>
      <c r="I2969" s="8">
        <f t="shared" si="185"/>
        <v>19180800</v>
      </c>
      <c r="J2969" s="8">
        <f t="shared" si="186"/>
        <v>10831397.76</v>
      </c>
      <c r="K2969" t="str">
        <f t="shared" si="187"/>
        <v>MATCHED</v>
      </c>
    </row>
    <row r="2970" spans="1:11">
      <c r="A2970" t="s">
        <v>114</v>
      </c>
      <c r="B2970" t="s">
        <v>115</v>
      </c>
      <c r="C2970" t="s">
        <v>932</v>
      </c>
      <c r="D2970" t="s">
        <v>933</v>
      </c>
      <c r="E2970" s="8">
        <v>50</v>
      </c>
      <c r="F2970" s="8">
        <v>65510</v>
      </c>
      <c r="G2970" s="8">
        <f t="shared" si="184"/>
        <v>3275500</v>
      </c>
      <c r="H2970" s="5">
        <v>0.7587</v>
      </c>
      <c r="I2970" s="8">
        <f t="shared" si="185"/>
        <v>3275500</v>
      </c>
      <c r="J2970" s="8">
        <f t="shared" si="186"/>
        <v>2485121.85</v>
      </c>
      <c r="K2970" t="str">
        <f t="shared" si="187"/>
        <v>MATCHED</v>
      </c>
    </row>
    <row r="2971" spans="1:11">
      <c r="A2971" t="s">
        <v>114</v>
      </c>
      <c r="B2971" t="s">
        <v>115</v>
      </c>
      <c r="C2971" t="s">
        <v>934</v>
      </c>
      <c r="D2971" t="s">
        <v>935</v>
      </c>
      <c r="E2971" s="8">
        <v>390</v>
      </c>
      <c r="F2971" s="8"/>
      <c r="G2971" s="8" t="str">
        <f t="shared" si="184"/>
        <v/>
      </c>
      <c r="H2971" s="5">
        <v>0.805</v>
      </c>
      <c r="I2971" s="8" t="str">
        <f t="shared" si="185"/>
        <v/>
      </c>
      <c r="J2971" s="8" t="str">
        <f t="shared" si="186"/>
        <v/>
      </c>
      <c r="K2971" t="str">
        <f t="shared" si="187"/>
        <v>MISSING OEWS</v>
      </c>
    </row>
    <row r="2972" spans="1:11">
      <c r="A2972" t="s">
        <v>114</v>
      </c>
      <c r="B2972" t="s">
        <v>115</v>
      </c>
      <c r="C2972" t="s">
        <v>1415</v>
      </c>
      <c r="D2972" t="s">
        <v>1416</v>
      </c>
      <c r="E2972" s="8">
        <v>1270</v>
      </c>
      <c r="F2972" s="8">
        <v>61050</v>
      </c>
      <c r="G2972" s="8">
        <f t="shared" si="184"/>
        <v>77533500</v>
      </c>
      <c r="H2972" s="5">
        <v>0.9083</v>
      </c>
      <c r="I2972" s="8">
        <f t="shared" si="185"/>
        <v>77533500</v>
      </c>
      <c r="J2972" s="8">
        <f t="shared" si="186"/>
        <v>70423678.05</v>
      </c>
      <c r="K2972" t="str">
        <f t="shared" si="187"/>
        <v>MATCHED</v>
      </c>
    </row>
    <row r="2973" spans="1:11">
      <c r="A2973" t="s">
        <v>114</v>
      </c>
      <c r="B2973" t="s">
        <v>115</v>
      </c>
      <c r="C2973" t="s">
        <v>538</v>
      </c>
      <c r="D2973" t="s">
        <v>539</v>
      </c>
      <c r="E2973" s="8">
        <v>2290</v>
      </c>
      <c r="F2973" s="8">
        <v>95020</v>
      </c>
      <c r="G2973" s="8">
        <f t="shared" si="184"/>
        <v>217595800</v>
      </c>
      <c r="H2973" s="5">
        <v>0.6192</v>
      </c>
      <c r="I2973" s="8">
        <f t="shared" si="185"/>
        <v>217595800</v>
      </c>
      <c r="J2973" s="8">
        <f t="shared" si="186"/>
        <v>134735319.36</v>
      </c>
      <c r="K2973" t="str">
        <f t="shared" si="187"/>
        <v>MATCHED</v>
      </c>
    </row>
    <row r="2974" spans="1:11">
      <c r="A2974" t="s">
        <v>114</v>
      </c>
      <c r="B2974" t="s">
        <v>115</v>
      </c>
      <c r="C2974" t="s">
        <v>291</v>
      </c>
      <c r="D2974" t="s">
        <v>292</v>
      </c>
      <c r="E2974" s="8">
        <v>36350</v>
      </c>
      <c r="F2974" s="8">
        <v>116770</v>
      </c>
      <c r="G2974" s="8">
        <f t="shared" si="184"/>
        <v>4244589500</v>
      </c>
      <c r="H2974" s="5">
        <v>0.6388</v>
      </c>
      <c r="I2974" s="8">
        <f t="shared" si="185"/>
        <v>4244589500</v>
      </c>
      <c r="J2974" s="8">
        <f t="shared" si="186"/>
        <v>2711443772.6</v>
      </c>
      <c r="K2974" t="str">
        <f t="shared" si="187"/>
        <v>MATCHED</v>
      </c>
    </row>
    <row r="2975" spans="1:11">
      <c r="A2975" t="s">
        <v>114</v>
      </c>
      <c r="B2975" t="s">
        <v>115</v>
      </c>
      <c r="C2975" t="s">
        <v>540</v>
      </c>
      <c r="D2975" t="s">
        <v>541</v>
      </c>
      <c r="E2975" s="8">
        <v>17910</v>
      </c>
      <c r="F2975" s="8">
        <v>145640</v>
      </c>
      <c r="G2975" s="8">
        <f t="shared" si="184"/>
        <v>2608412400</v>
      </c>
      <c r="H2975" s="5">
        <v>0.6292</v>
      </c>
      <c r="I2975" s="8">
        <f t="shared" si="185"/>
        <v>2608412400</v>
      </c>
      <c r="J2975" s="8">
        <f t="shared" si="186"/>
        <v>1641213082.08</v>
      </c>
      <c r="K2975" t="str">
        <f t="shared" si="187"/>
        <v>MATCHED</v>
      </c>
    </row>
    <row r="2976" spans="1:11">
      <c r="A2976" t="s">
        <v>114</v>
      </c>
      <c r="B2976" t="s">
        <v>115</v>
      </c>
      <c r="C2976" t="s">
        <v>1152</v>
      </c>
      <c r="D2976" t="s">
        <v>1153</v>
      </c>
      <c r="E2976" s="8">
        <v>3940</v>
      </c>
      <c r="F2976" s="8">
        <v>213150</v>
      </c>
      <c r="G2976" s="8">
        <f t="shared" si="184"/>
        <v>839811000</v>
      </c>
      <c r="H2976" s="5">
        <v>0.39</v>
      </c>
      <c r="I2976" s="8">
        <f t="shared" si="185"/>
        <v>839811000</v>
      </c>
      <c r="J2976" s="8">
        <f t="shared" si="186"/>
        <v>327526290</v>
      </c>
      <c r="K2976" t="str">
        <f t="shared" si="187"/>
        <v>MATCHED</v>
      </c>
    </row>
    <row r="2977" spans="1:11">
      <c r="A2977" t="s">
        <v>114</v>
      </c>
      <c r="B2977" t="s">
        <v>115</v>
      </c>
      <c r="C2977" t="s">
        <v>542</v>
      </c>
      <c r="D2977" t="s">
        <v>543</v>
      </c>
      <c r="E2977" s="8">
        <v>24330</v>
      </c>
      <c r="F2977" s="8">
        <v>86520</v>
      </c>
      <c r="G2977" s="8">
        <f t="shared" si="184"/>
        <v>2105031600</v>
      </c>
      <c r="H2977" s="5">
        <v>0.7096</v>
      </c>
      <c r="I2977" s="8">
        <f t="shared" si="185"/>
        <v>2105031600</v>
      </c>
      <c r="J2977" s="8">
        <f t="shared" si="186"/>
        <v>1493730423.36</v>
      </c>
      <c r="K2977" t="str">
        <f t="shared" si="187"/>
        <v>MATCHED</v>
      </c>
    </row>
    <row r="2978" spans="1:11">
      <c r="A2978" t="s">
        <v>114</v>
      </c>
      <c r="B2978" t="s">
        <v>115</v>
      </c>
      <c r="C2978" t="s">
        <v>293</v>
      </c>
      <c r="D2978" t="s">
        <v>294</v>
      </c>
      <c r="E2978" s="8">
        <v>75450</v>
      </c>
      <c r="F2978" s="8">
        <v>72450</v>
      </c>
      <c r="G2978" s="8">
        <f t="shared" si="184"/>
        <v>5466352500</v>
      </c>
      <c r="H2978" s="5">
        <v>0.6062</v>
      </c>
      <c r="I2978" s="8">
        <f t="shared" si="185"/>
        <v>5466352500</v>
      </c>
      <c r="J2978" s="8">
        <f t="shared" si="186"/>
        <v>3313702885.5</v>
      </c>
      <c r="K2978" t="str">
        <f t="shared" si="187"/>
        <v>MATCHED</v>
      </c>
    </row>
    <row r="2979" spans="1:11">
      <c r="A2979" t="s">
        <v>114</v>
      </c>
      <c r="B2979" t="s">
        <v>115</v>
      </c>
      <c r="C2979" t="s">
        <v>544</v>
      </c>
      <c r="D2979" t="s">
        <v>545</v>
      </c>
      <c r="E2979" s="8">
        <v>31430</v>
      </c>
      <c r="F2979" s="8">
        <v>137720</v>
      </c>
      <c r="G2979" s="8">
        <f t="shared" si="184"/>
        <v>4328539600</v>
      </c>
      <c r="H2979" s="5">
        <v>0.6278</v>
      </c>
      <c r="I2979" s="8">
        <f t="shared" si="185"/>
        <v>4328539600</v>
      </c>
      <c r="J2979" s="8">
        <f t="shared" si="186"/>
        <v>2717457160.88</v>
      </c>
      <c r="K2979" t="str">
        <f t="shared" si="187"/>
        <v>MATCHED</v>
      </c>
    </row>
    <row r="2980" spans="1:11">
      <c r="A2980" t="s">
        <v>114</v>
      </c>
      <c r="B2980" t="s">
        <v>115</v>
      </c>
      <c r="C2980" t="s">
        <v>546</v>
      </c>
      <c r="D2980" t="s">
        <v>547</v>
      </c>
      <c r="E2980" s="8">
        <v>5880</v>
      </c>
      <c r="F2980" s="8">
        <v>118540</v>
      </c>
      <c r="G2980" s="8">
        <f t="shared" si="184"/>
        <v>697015200</v>
      </c>
      <c r="H2980" s="5">
        <v>0.8389</v>
      </c>
      <c r="I2980" s="8">
        <f t="shared" si="185"/>
        <v>697015200</v>
      </c>
      <c r="J2980" s="8">
        <f t="shared" si="186"/>
        <v>584726051.28</v>
      </c>
      <c r="K2980" t="str">
        <f t="shared" si="187"/>
        <v>MATCHED</v>
      </c>
    </row>
    <row r="2981" spans="1:11">
      <c r="A2981" t="s">
        <v>114</v>
      </c>
      <c r="B2981" t="s">
        <v>115</v>
      </c>
      <c r="C2981" t="s">
        <v>548</v>
      </c>
      <c r="D2981" t="s">
        <v>549</v>
      </c>
      <c r="E2981" s="8">
        <v>10540</v>
      </c>
      <c r="F2981" s="8">
        <v>148610</v>
      </c>
      <c r="G2981" s="8">
        <f t="shared" si="184"/>
        <v>1566349400</v>
      </c>
      <c r="H2981" s="5">
        <v>0.8502</v>
      </c>
      <c r="I2981" s="8">
        <f t="shared" si="185"/>
        <v>1566349400</v>
      </c>
      <c r="J2981" s="8">
        <f t="shared" si="186"/>
        <v>1331710259.88</v>
      </c>
      <c r="K2981" t="str">
        <f t="shared" si="187"/>
        <v>MATCHED</v>
      </c>
    </row>
    <row r="2982" spans="1:11">
      <c r="A2982" t="s">
        <v>114</v>
      </c>
      <c r="B2982" t="s">
        <v>115</v>
      </c>
      <c r="C2982" t="s">
        <v>295</v>
      </c>
      <c r="D2982" t="s">
        <v>296</v>
      </c>
      <c r="E2982" s="8">
        <v>23890</v>
      </c>
      <c r="F2982" s="8">
        <v>106510</v>
      </c>
      <c r="G2982" s="8">
        <f t="shared" si="184"/>
        <v>2544523900</v>
      </c>
      <c r="H2982" s="5">
        <v>0.695</v>
      </c>
      <c r="I2982" s="8">
        <f t="shared" si="185"/>
        <v>2544523900</v>
      </c>
      <c r="J2982" s="8">
        <f t="shared" si="186"/>
        <v>1768444110.5</v>
      </c>
      <c r="K2982" t="str">
        <f t="shared" si="187"/>
        <v>MATCHED</v>
      </c>
    </row>
    <row r="2983" spans="1:11">
      <c r="A2983" t="s">
        <v>114</v>
      </c>
      <c r="B2983" t="s">
        <v>115</v>
      </c>
      <c r="C2983" t="s">
        <v>550</v>
      </c>
      <c r="D2983" t="s">
        <v>551</v>
      </c>
      <c r="E2983" s="8">
        <v>8650</v>
      </c>
      <c r="F2983" s="8">
        <v>114900</v>
      </c>
      <c r="G2983" s="8">
        <f t="shared" si="184"/>
        <v>993885000</v>
      </c>
      <c r="H2983" s="5">
        <v>0.6824</v>
      </c>
      <c r="I2983" s="8">
        <f t="shared" si="185"/>
        <v>993885000</v>
      </c>
      <c r="J2983" s="8">
        <f t="shared" si="186"/>
        <v>678227124</v>
      </c>
      <c r="K2983" t="str">
        <f t="shared" si="187"/>
        <v>MATCHED</v>
      </c>
    </row>
    <row r="2984" spans="1:11">
      <c r="A2984" t="s">
        <v>114</v>
      </c>
      <c r="B2984" t="s">
        <v>115</v>
      </c>
      <c r="C2984" t="s">
        <v>297</v>
      </c>
      <c r="D2984" t="s">
        <v>298</v>
      </c>
      <c r="E2984" s="8">
        <v>347380</v>
      </c>
      <c r="F2984" s="8">
        <v>165930</v>
      </c>
      <c r="G2984" s="8">
        <f t="shared" si="184"/>
        <v>57640763400</v>
      </c>
      <c r="H2984" s="5">
        <v>0.5211</v>
      </c>
      <c r="I2984" s="8">
        <f t="shared" si="185"/>
        <v>57640763400</v>
      </c>
      <c r="J2984" s="8">
        <f t="shared" si="186"/>
        <v>30036601807.74</v>
      </c>
      <c r="K2984" t="str">
        <f t="shared" si="187"/>
        <v>MATCHED</v>
      </c>
    </row>
    <row r="2985" spans="1:11">
      <c r="A2985" t="s">
        <v>114</v>
      </c>
      <c r="B2985" t="s">
        <v>115</v>
      </c>
      <c r="C2985" t="s">
        <v>552</v>
      </c>
      <c r="D2985" t="s">
        <v>553</v>
      </c>
      <c r="E2985" s="8">
        <v>31450</v>
      </c>
      <c r="F2985" s="8">
        <v>113400</v>
      </c>
      <c r="G2985" s="8">
        <f t="shared" si="184"/>
        <v>3566430000</v>
      </c>
      <c r="H2985" s="5">
        <v>0.8117</v>
      </c>
      <c r="I2985" s="8">
        <f t="shared" si="185"/>
        <v>3566430000</v>
      </c>
      <c r="J2985" s="8">
        <f t="shared" si="186"/>
        <v>2894871231</v>
      </c>
      <c r="K2985" t="str">
        <f t="shared" si="187"/>
        <v>MATCHED</v>
      </c>
    </row>
    <row r="2986" spans="1:11">
      <c r="A2986" t="s">
        <v>114</v>
      </c>
      <c r="B2986" t="s">
        <v>115</v>
      </c>
      <c r="C2986" t="s">
        <v>830</v>
      </c>
      <c r="D2986" t="s">
        <v>831</v>
      </c>
      <c r="E2986" s="8">
        <v>9460</v>
      </c>
      <c r="F2986" s="8">
        <v>117560</v>
      </c>
      <c r="G2986" s="8">
        <f t="shared" si="184"/>
        <v>1112117600</v>
      </c>
      <c r="H2986" s="5">
        <v>0.8276</v>
      </c>
      <c r="I2986" s="8">
        <f t="shared" si="185"/>
        <v>1112117600</v>
      </c>
      <c r="J2986" s="8">
        <f t="shared" si="186"/>
        <v>920388525.76</v>
      </c>
      <c r="K2986" t="str">
        <f t="shared" si="187"/>
        <v>MATCHED</v>
      </c>
    </row>
    <row r="2987" spans="1:11">
      <c r="A2987" t="s">
        <v>114</v>
      </c>
      <c r="B2987" t="s">
        <v>115</v>
      </c>
      <c r="C2987" t="s">
        <v>832</v>
      </c>
      <c r="D2987" t="s">
        <v>833</v>
      </c>
      <c r="E2987" s="8">
        <v>35430</v>
      </c>
      <c r="F2987" s="8">
        <v>135230</v>
      </c>
      <c r="G2987" s="8">
        <f t="shared" si="184"/>
        <v>4791198900</v>
      </c>
      <c r="H2987" s="5">
        <v>0.6827</v>
      </c>
      <c r="I2987" s="8">
        <f t="shared" si="185"/>
        <v>4791198900</v>
      </c>
      <c r="J2987" s="8">
        <f t="shared" si="186"/>
        <v>3270951489.03</v>
      </c>
      <c r="K2987" t="str">
        <f t="shared" si="187"/>
        <v>MATCHED</v>
      </c>
    </row>
    <row r="2988" spans="1:11">
      <c r="A2988" t="s">
        <v>114</v>
      </c>
      <c r="B2988" t="s">
        <v>115</v>
      </c>
      <c r="C2988" t="s">
        <v>299</v>
      </c>
      <c r="D2988" t="s">
        <v>300</v>
      </c>
      <c r="E2988" s="8">
        <v>48470</v>
      </c>
      <c r="F2988" s="8">
        <v>140180</v>
      </c>
      <c r="G2988" s="8">
        <f t="shared" si="184"/>
        <v>6794524600</v>
      </c>
      <c r="H2988" s="5">
        <v>0.7425</v>
      </c>
      <c r="I2988" s="8">
        <f t="shared" si="185"/>
        <v>6794524600</v>
      </c>
      <c r="J2988" s="8">
        <f t="shared" si="186"/>
        <v>5044934515.5</v>
      </c>
      <c r="K2988" t="str">
        <f t="shared" si="187"/>
        <v>MATCHED</v>
      </c>
    </row>
    <row r="2989" spans="1:11">
      <c r="A2989" t="s">
        <v>114</v>
      </c>
      <c r="B2989" t="s">
        <v>115</v>
      </c>
      <c r="C2989" t="s">
        <v>554</v>
      </c>
      <c r="D2989" t="s">
        <v>555</v>
      </c>
      <c r="E2989" s="8">
        <v>6240</v>
      </c>
      <c r="F2989" s="8">
        <v>113050</v>
      </c>
      <c r="G2989" s="8">
        <f t="shared" si="184"/>
        <v>705432000</v>
      </c>
      <c r="H2989" s="5">
        <v>0.6031</v>
      </c>
      <c r="I2989" s="8">
        <f t="shared" si="185"/>
        <v>705432000</v>
      </c>
      <c r="J2989" s="8">
        <f t="shared" si="186"/>
        <v>425446039.2</v>
      </c>
      <c r="K2989" t="str">
        <f t="shared" si="187"/>
        <v>MATCHED</v>
      </c>
    </row>
    <row r="2990" spans="1:11">
      <c r="A2990" t="s">
        <v>114</v>
      </c>
      <c r="B2990" t="s">
        <v>115</v>
      </c>
      <c r="C2990" t="s">
        <v>1156</v>
      </c>
      <c r="D2990" t="s">
        <v>1157</v>
      </c>
      <c r="E2990" s="8">
        <v>460</v>
      </c>
      <c r="F2990" s="8">
        <v>129700</v>
      </c>
      <c r="G2990" s="8">
        <f t="shared" si="184"/>
        <v>59662000</v>
      </c>
      <c r="H2990" s="5">
        <v>0.7282</v>
      </c>
      <c r="I2990" s="8">
        <f t="shared" si="185"/>
        <v>59662000</v>
      </c>
      <c r="J2990" s="8">
        <f t="shared" si="186"/>
        <v>43445868.4</v>
      </c>
      <c r="K2990" t="str">
        <f t="shared" si="187"/>
        <v>MATCHED</v>
      </c>
    </row>
    <row r="2991" spans="1:11">
      <c r="A2991" t="s">
        <v>114</v>
      </c>
      <c r="B2991" t="s">
        <v>115</v>
      </c>
      <c r="C2991" t="s">
        <v>556</v>
      </c>
      <c r="D2991" t="s">
        <v>557</v>
      </c>
      <c r="E2991" s="8">
        <v>32410</v>
      </c>
      <c r="F2991" s="8">
        <v>149360</v>
      </c>
      <c r="G2991" s="8">
        <f t="shared" si="184"/>
        <v>4840757600</v>
      </c>
      <c r="H2991" s="5">
        <v>0.8228</v>
      </c>
      <c r="I2991" s="8">
        <f t="shared" si="185"/>
        <v>4840757600</v>
      </c>
      <c r="J2991" s="8">
        <f t="shared" si="186"/>
        <v>3982975353.28</v>
      </c>
      <c r="K2991" t="str">
        <f t="shared" si="187"/>
        <v>MATCHED</v>
      </c>
    </row>
    <row r="2992" spans="1:11">
      <c r="A2992" t="s">
        <v>114</v>
      </c>
      <c r="B2992" t="s">
        <v>115</v>
      </c>
      <c r="C2992" t="s">
        <v>1158</v>
      </c>
      <c r="D2992" t="s">
        <v>1159</v>
      </c>
      <c r="E2992" s="8"/>
      <c r="F2992" s="8">
        <v>102960</v>
      </c>
      <c r="G2992" s="8" t="str">
        <f t="shared" si="184"/>
        <v/>
      </c>
      <c r="H2992" s="5">
        <v>0.7711</v>
      </c>
      <c r="I2992" s="8" t="str">
        <f t="shared" si="185"/>
        <v/>
      </c>
      <c r="J2992" s="8" t="str">
        <f t="shared" si="186"/>
        <v/>
      </c>
      <c r="K2992" t="str">
        <f t="shared" si="187"/>
        <v>MISSING OEWS</v>
      </c>
    </row>
    <row r="2993" spans="1:11">
      <c r="A2993" t="s">
        <v>114</v>
      </c>
      <c r="B2993" t="s">
        <v>115</v>
      </c>
      <c r="C2993" t="s">
        <v>834</v>
      </c>
      <c r="D2993" t="s">
        <v>835</v>
      </c>
      <c r="E2993" s="8">
        <v>120</v>
      </c>
      <c r="F2993" s="8">
        <v>197390</v>
      </c>
      <c r="G2993" s="8">
        <f t="shared" si="184"/>
        <v>23686800</v>
      </c>
      <c r="H2993" s="5">
        <v>0.5375</v>
      </c>
      <c r="I2993" s="8">
        <f t="shared" si="185"/>
        <v>23686800</v>
      </c>
      <c r="J2993" s="8">
        <f t="shared" si="186"/>
        <v>12731655</v>
      </c>
      <c r="K2993" t="str">
        <f t="shared" si="187"/>
        <v>MATCHED</v>
      </c>
    </row>
    <row r="2994" spans="1:11">
      <c r="A2994" t="s">
        <v>114</v>
      </c>
      <c r="B2994" t="s">
        <v>115</v>
      </c>
      <c r="C2994" t="s">
        <v>558</v>
      </c>
      <c r="D2994" t="s">
        <v>559</v>
      </c>
      <c r="E2994" s="8">
        <v>360</v>
      </c>
      <c r="F2994" s="8">
        <v>85080</v>
      </c>
      <c r="G2994" s="8">
        <f t="shared" si="184"/>
        <v>30628800</v>
      </c>
      <c r="H2994" s="5">
        <v>0.7929</v>
      </c>
      <c r="I2994" s="8">
        <f t="shared" si="185"/>
        <v>30628800</v>
      </c>
      <c r="J2994" s="8">
        <f t="shared" si="186"/>
        <v>24285575.52</v>
      </c>
      <c r="K2994" t="str">
        <f t="shared" si="187"/>
        <v>MATCHED</v>
      </c>
    </row>
    <row r="2995" spans="1:11">
      <c r="A2995" t="s">
        <v>114</v>
      </c>
      <c r="B2995" t="s">
        <v>115</v>
      </c>
      <c r="C2995" t="s">
        <v>560</v>
      </c>
      <c r="D2995" t="s">
        <v>561</v>
      </c>
      <c r="E2995" s="8">
        <v>210</v>
      </c>
      <c r="F2995" s="8">
        <v>62340</v>
      </c>
      <c r="G2995" s="8">
        <f t="shared" si="184"/>
        <v>13091400</v>
      </c>
      <c r="H2995" s="5">
        <v>0.3682</v>
      </c>
      <c r="I2995" s="8">
        <f t="shared" si="185"/>
        <v>13091400</v>
      </c>
      <c r="J2995" s="8">
        <f t="shared" si="186"/>
        <v>4820253.48</v>
      </c>
      <c r="K2995" t="str">
        <f t="shared" si="187"/>
        <v>MATCHED</v>
      </c>
    </row>
    <row r="2996" spans="1:11">
      <c r="A2996" t="s">
        <v>114</v>
      </c>
      <c r="B2996" t="s">
        <v>115</v>
      </c>
      <c r="C2996" t="s">
        <v>1160</v>
      </c>
      <c r="D2996" t="s">
        <v>1161</v>
      </c>
      <c r="E2996" s="8">
        <v>260</v>
      </c>
      <c r="F2996" s="8">
        <v>144060</v>
      </c>
      <c r="G2996" s="8">
        <f t="shared" si="184"/>
        <v>37455600</v>
      </c>
      <c r="H2996" s="5">
        <v>0.5333</v>
      </c>
      <c r="I2996" s="8">
        <f t="shared" si="185"/>
        <v>37455600</v>
      </c>
      <c r="J2996" s="8">
        <f t="shared" si="186"/>
        <v>19975071.48</v>
      </c>
      <c r="K2996" t="str">
        <f t="shared" si="187"/>
        <v>MATCHED</v>
      </c>
    </row>
    <row r="2997" spans="1:11">
      <c r="A2997" t="s">
        <v>114</v>
      </c>
      <c r="B2997" t="s">
        <v>115</v>
      </c>
      <c r="C2997" t="s">
        <v>564</v>
      </c>
      <c r="D2997" t="s">
        <v>565</v>
      </c>
      <c r="E2997" s="8">
        <v>850</v>
      </c>
      <c r="F2997" s="8"/>
      <c r="G2997" s="8" t="str">
        <f t="shared" si="184"/>
        <v/>
      </c>
      <c r="H2997" s="5">
        <v>0.4218</v>
      </c>
      <c r="I2997" s="8" t="str">
        <f t="shared" si="185"/>
        <v/>
      </c>
      <c r="J2997" s="8" t="str">
        <f t="shared" si="186"/>
        <v/>
      </c>
      <c r="K2997" t="str">
        <f t="shared" si="187"/>
        <v>MISSING OEWS</v>
      </c>
    </row>
    <row r="2998" spans="1:11">
      <c r="A2998" t="s">
        <v>114</v>
      </c>
      <c r="B2998" t="s">
        <v>115</v>
      </c>
      <c r="C2998" t="s">
        <v>838</v>
      </c>
      <c r="D2998" t="s">
        <v>839</v>
      </c>
      <c r="E2998" s="8">
        <v>5520</v>
      </c>
      <c r="F2998" s="8">
        <v>173260</v>
      </c>
      <c r="G2998" s="8">
        <f t="shared" si="184"/>
        <v>956395200</v>
      </c>
      <c r="H2998" s="5">
        <v>0.3639</v>
      </c>
      <c r="I2998" s="8">
        <f t="shared" si="185"/>
        <v>956395200</v>
      </c>
      <c r="J2998" s="8">
        <f t="shared" si="186"/>
        <v>348032213.28</v>
      </c>
      <c r="K2998" t="str">
        <f t="shared" si="187"/>
        <v>MATCHED</v>
      </c>
    </row>
    <row r="2999" spans="1:11">
      <c r="A2999" t="s">
        <v>114</v>
      </c>
      <c r="B2999" t="s">
        <v>115</v>
      </c>
      <c r="C2999" t="s">
        <v>566</v>
      </c>
      <c r="D2999" t="s">
        <v>567</v>
      </c>
      <c r="E2999" s="8">
        <v>3220</v>
      </c>
      <c r="F2999" s="8">
        <v>165200</v>
      </c>
      <c r="G2999" s="8">
        <f t="shared" si="184"/>
        <v>531944000</v>
      </c>
      <c r="H2999" s="5">
        <v>0.3523</v>
      </c>
      <c r="I2999" s="8">
        <f t="shared" si="185"/>
        <v>531944000</v>
      </c>
      <c r="J2999" s="8">
        <f t="shared" si="186"/>
        <v>187403871.2</v>
      </c>
      <c r="K2999" t="str">
        <f t="shared" si="187"/>
        <v>MATCHED</v>
      </c>
    </row>
    <row r="3000" spans="1:11">
      <c r="A3000" t="s">
        <v>114</v>
      </c>
      <c r="B3000" t="s">
        <v>115</v>
      </c>
      <c r="C3000" t="s">
        <v>568</v>
      </c>
      <c r="D3000" t="s">
        <v>569</v>
      </c>
      <c r="E3000" s="8">
        <v>14760</v>
      </c>
      <c r="F3000" s="8">
        <v>120570</v>
      </c>
      <c r="G3000" s="8">
        <f t="shared" si="184"/>
        <v>1779613200</v>
      </c>
      <c r="H3000" s="5">
        <v>0.4536</v>
      </c>
      <c r="I3000" s="8">
        <f t="shared" si="185"/>
        <v>1779613200</v>
      </c>
      <c r="J3000" s="8">
        <f t="shared" si="186"/>
        <v>807232547.52</v>
      </c>
      <c r="K3000" t="str">
        <f t="shared" si="187"/>
        <v>MATCHED</v>
      </c>
    </row>
    <row r="3001" spans="1:11">
      <c r="A3001" t="s">
        <v>114</v>
      </c>
      <c r="B3001" t="s">
        <v>115</v>
      </c>
      <c r="C3001" t="s">
        <v>572</v>
      </c>
      <c r="D3001" t="s">
        <v>573</v>
      </c>
      <c r="E3001" s="8"/>
      <c r="F3001" s="8">
        <v>147990</v>
      </c>
      <c r="G3001" s="8" t="str">
        <f t="shared" si="184"/>
        <v/>
      </c>
      <c r="H3001" s="5">
        <v>0.2672</v>
      </c>
      <c r="I3001" s="8" t="str">
        <f t="shared" si="185"/>
        <v/>
      </c>
      <c r="J3001" s="8" t="str">
        <f t="shared" si="186"/>
        <v/>
      </c>
      <c r="K3001" t="str">
        <f t="shared" si="187"/>
        <v>MISSING OEWS</v>
      </c>
    </row>
    <row r="3002" spans="1:11">
      <c r="A3002" t="s">
        <v>114</v>
      </c>
      <c r="B3002" t="s">
        <v>115</v>
      </c>
      <c r="C3002" t="s">
        <v>301</v>
      </c>
      <c r="D3002" t="s">
        <v>302</v>
      </c>
      <c r="E3002" s="8">
        <v>1750</v>
      </c>
      <c r="F3002" s="8">
        <v>138850</v>
      </c>
      <c r="G3002" s="8">
        <f t="shared" si="184"/>
        <v>242987500</v>
      </c>
      <c r="H3002" s="5">
        <v>0.4786</v>
      </c>
      <c r="I3002" s="8">
        <f t="shared" si="185"/>
        <v>242987500</v>
      </c>
      <c r="J3002" s="8">
        <f t="shared" si="186"/>
        <v>116293817.5</v>
      </c>
      <c r="K3002" t="str">
        <f t="shared" si="187"/>
        <v>MATCHED</v>
      </c>
    </row>
    <row r="3003" spans="1:11">
      <c r="A3003" t="s">
        <v>114</v>
      </c>
      <c r="B3003" t="s">
        <v>115</v>
      </c>
      <c r="C3003" t="s">
        <v>576</v>
      </c>
      <c r="D3003" t="s">
        <v>577</v>
      </c>
      <c r="E3003" s="8">
        <v>1130</v>
      </c>
      <c r="F3003" s="8">
        <v>167600</v>
      </c>
      <c r="G3003" s="8">
        <f t="shared" si="184"/>
        <v>189388000</v>
      </c>
      <c r="H3003" s="5">
        <v>0.3008</v>
      </c>
      <c r="I3003" s="8">
        <f t="shared" si="185"/>
        <v>189388000</v>
      </c>
      <c r="J3003" s="8">
        <f t="shared" si="186"/>
        <v>56967910.4</v>
      </c>
      <c r="K3003" t="str">
        <f t="shared" si="187"/>
        <v>MATCHED</v>
      </c>
    </row>
    <row r="3004" spans="1:11">
      <c r="A3004" t="s">
        <v>114</v>
      </c>
      <c r="B3004" t="s">
        <v>115</v>
      </c>
      <c r="C3004" t="s">
        <v>582</v>
      </c>
      <c r="D3004" t="s">
        <v>583</v>
      </c>
      <c r="E3004" s="8">
        <v>2880</v>
      </c>
      <c r="F3004" s="8">
        <v>175070</v>
      </c>
      <c r="G3004" s="8">
        <f t="shared" si="184"/>
        <v>504201600</v>
      </c>
      <c r="H3004" s="5">
        <v>0.315</v>
      </c>
      <c r="I3004" s="8">
        <f t="shared" si="185"/>
        <v>504201600</v>
      </c>
      <c r="J3004" s="8">
        <f t="shared" si="186"/>
        <v>158823504</v>
      </c>
      <c r="K3004" t="str">
        <f t="shared" si="187"/>
        <v>MATCHED</v>
      </c>
    </row>
    <row r="3005" spans="1:11">
      <c r="A3005" t="s">
        <v>114</v>
      </c>
      <c r="B3005" t="s">
        <v>115</v>
      </c>
      <c r="C3005" t="s">
        <v>584</v>
      </c>
      <c r="D3005" t="s">
        <v>585</v>
      </c>
      <c r="E3005" s="8">
        <v>410</v>
      </c>
      <c r="F3005" s="8">
        <v>60270</v>
      </c>
      <c r="G3005" s="8">
        <f t="shared" si="184"/>
        <v>24710700</v>
      </c>
      <c r="H3005" s="5">
        <v>0.7</v>
      </c>
      <c r="I3005" s="8">
        <f t="shared" si="185"/>
        <v>24710700</v>
      </c>
      <c r="J3005" s="8">
        <f t="shared" si="186"/>
        <v>17297490</v>
      </c>
      <c r="K3005" t="str">
        <f t="shared" si="187"/>
        <v>MATCHED</v>
      </c>
    </row>
    <row r="3006" spans="1:11">
      <c r="A3006" t="s">
        <v>114</v>
      </c>
      <c r="B3006" t="s">
        <v>115</v>
      </c>
      <c r="C3006" t="s">
        <v>842</v>
      </c>
      <c r="D3006" t="s">
        <v>843</v>
      </c>
      <c r="E3006" s="8">
        <v>230</v>
      </c>
      <c r="F3006" s="8">
        <v>78720</v>
      </c>
      <c r="G3006" s="8">
        <f t="shared" si="184"/>
        <v>18105600</v>
      </c>
      <c r="H3006" s="5">
        <v>0.5217</v>
      </c>
      <c r="I3006" s="8">
        <f t="shared" si="185"/>
        <v>18105600</v>
      </c>
      <c r="J3006" s="8">
        <f t="shared" si="186"/>
        <v>9445691.52</v>
      </c>
      <c r="K3006" t="str">
        <f t="shared" si="187"/>
        <v>MATCHED</v>
      </c>
    </row>
    <row r="3007" spans="1:11">
      <c r="A3007" t="s">
        <v>114</v>
      </c>
      <c r="B3007" t="s">
        <v>115</v>
      </c>
      <c r="C3007" t="s">
        <v>588</v>
      </c>
      <c r="D3007" t="s">
        <v>589</v>
      </c>
      <c r="E3007" s="8">
        <v>90</v>
      </c>
      <c r="F3007" s="8">
        <v>62980</v>
      </c>
      <c r="G3007" s="8">
        <f t="shared" si="184"/>
        <v>5668200</v>
      </c>
      <c r="H3007" s="5"/>
      <c r="I3007" s="8" t="str">
        <f t="shared" si="185"/>
        <v/>
      </c>
      <c r="J3007" s="8" t="str">
        <f t="shared" si="186"/>
        <v/>
      </c>
      <c r="K3007" t="str">
        <f t="shared" si="187"/>
        <v>MISSING WHARTON</v>
      </c>
    </row>
    <row r="3008" spans="1:11">
      <c r="A3008" t="s">
        <v>114</v>
      </c>
      <c r="B3008" t="s">
        <v>115</v>
      </c>
      <c r="C3008" t="s">
        <v>590</v>
      </c>
      <c r="D3008" t="s">
        <v>591</v>
      </c>
      <c r="E3008" s="8">
        <v>30</v>
      </c>
      <c r="F3008" s="8">
        <v>64530</v>
      </c>
      <c r="G3008" s="8">
        <f t="shared" si="184"/>
        <v>1935900</v>
      </c>
      <c r="H3008" s="5">
        <v>0.4567</v>
      </c>
      <c r="I3008" s="8">
        <f t="shared" si="185"/>
        <v>1935900</v>
      </c>
      <c r="J3008" s="8">
        <f t="shared" si="186"/>
        <v>884125.53</v>
      </c>
      <c r="K3008" t="str">
        <f t="shared" si="187"/>
        <v>MATCHED</v>
      </c>
    </row>
    <row r="3009" spans="1:11">
      <c r="A3009" t="s">
        <v>114</v>
      </c>
      <c r="B3009" t="s">
        <v>115</v>
      </c>
      <c r="C3009" t="s">
        <v>592</v>
      </c>
      <c r="D3009" t="s">
        <v>593</v>
      </c>
      <c r="E3009" s="8">
        <v>3470</v>
      </c>
      <c r="F3009" s="8">
        <v>90780</v>
      </c>
      <c r="G3009" s="8">
        <f t="shared" si="184"/>
        <v>315006600</v>
      </c>
      <c r="H3009" s="5">
        <v>0.4</v>
      </c>
      <c r="I3009" s="8">
        <f t="shared" si="185"/>
        <v>315006600</v>
      </c>
      <c r="J3009" s="8">
        <f t="shared" si="186"/>
        <v>126002640</v>
      </c>
      <c r="K3009" t="str">
        <f t="shared" si="187"/>
        <v>MATCHED</v>
      </c>
    </row>
    <row r="3010" spans="1:11">
      <c r="A3010" t="s">
        <v>114</v>
      </c>
      <c r="B3010" t="s">
        <v>115</v>
      </c>
      <c r="C3010" t="s">
        <v>594</v>
      </c>
      <c r="D3010" t="s">
        <v>595</v>
      </c>
      <c r="E3010" s="8">
        <v>50</v>
      </c>
      <c r="F3010" s="8">
        <v>85810</v>
      </c>
      <c r="G3010" s="8">
        <f t="shared" ref="G3010:G3073" si="188">IF(OR(E3010="",F3010=""),"",E3010*F3010)</f>
        <v>4290500</v>
      </c>
      <c r="H3010" s="5">
        <v>0.1781</v>
      </c>
      <c r="I3010" s="8">
        <f t="shared" ref="I3010:I3073" si="189">IF(G3010="","",IF(ISNUMBER(H3010),G3010,""))</f>
        <v>4290500</v>
      </c>
      <c r="J3010" s="8">
        <f t="shared" ref="J3010:J3073" si="190">IF(I3010="","",I3010*H3010)</f>
        <v>764138.05</v>
      </c>
      <c r="K3010" t="str">
        <f t="shared" ref="K3010:K3073" si="191">IF(G3010="","MISSING OEWS",IF(ISNUMBER(H3010),"MATCHED","MISSING WHARTON"))</f>
        <v>MATCHED</v>
      </c>
    </row>
    <row r="3011" spans="1:11">
      <c r="A3011" t="s">
        <v>114</v>
      </c>
      <c r="B3011" t="s">
        <v>115</v>
      </c>
      <c r="C3011" t="s">
        <v>598</v>
      </c>
      <c r="D3011" t="s">
        <v>599</v>
      </c>
      <c r="E3011" s="8">
        <v>50</v>
      </c>
      <c r="F3011" s="8">
        <v>78040</v>
      </c>
      <c r="G3011" s="8">
        <f t="shared" si="188"/>
        <v>3902000</v>
      </c>
      <c r="H3011" s="5">
        <v>0.2855</v>
      </c>
      <c r="I3011" s="8">
        <f t="shared" si="189"/>
        <v>3902000</v>
      </c>
      <c r="J3011" s="8">
        <f t="shared" si="190"/>
        <v>1114021</v>
      </c>
      <c r="K3011" t="str">
        <f t="shared" si="191"/>
        <v>MATCHED</v>
      </c>
    </row>
    <row r="3012" spans="1:11">
      <c r="A3012" t="s">
        <v>114</v>
      </c>
      <c r="B3012" t="s">
        <v>115</v>
      </c>
      <c r="C3012" t="s">
        <v>600</v>
      </c>
      <c r="D3012" t="s">
        <v>601</v>
      </c>
      <c r="E3012" s="8">
        <v>30</v>
      </c>
      <c r="F3012" s="8">
        <v>84880</v>
      </c>
      <c r="G3012" s="8">
        <f t="shared" si="188"/>
        <v>2546400</v>
      </c>
      <c r="H3012" s="5">
        <v>0.3125</v>
      </c>
      <c r="I3012" s="8">
        <f t="shared" si="189"/>
        <v>2546400</v>
      </c>
      <c r="J3012" s="8">
        <f t="shared" si="190"/>
        <v>795750</v>
      </c>
      <c r="K3012" t="str">
        <f t="shared" si="191"/>
        <v>MATCHED</v>
      </c>
    </row>
    <row r="3013" spans="1:11">
      <c r="A3013" t="s">
        <v>114</v>
      </c>
      <c r="B3013" t="s">
        <v>115</v>
      </c>
      <c r="C3013" t="s">
        <v>604</v>
      </c>
      <c r="D3013" t="s">
        <v>605</v>
      </c>
      <c r="E3013" s="8">
        <v>110</v>
      </c>
      <c r="F3013" s="8">
        <v>77940</v>
      </c>
      <c r="G3013" s="8">
        <f t="shared" si="188"/>
        <v>8573400</v>
      </c>
      <c r="H3013" s="5">
        <v>0.1404</v>
      </c>
      <c r="I3013" s="8">
        <f t="shared" si="189"/>
        <v>8573400</v>
      </c>
      <c r="J3013" s="8">
        <f t="shared" si="190"/>
        <v>1203705.36</v>
      </c>
      <c r="K3013" t="str">
        <f t="shared" si="191"/>
        <v>MATCHED</v>
      </c>
    </row>
    <row r="3014" spans="1:11">
      <c r="A3014" t="s">
        <v>114</v>
      </c>
      <c r="B3014" t="s">
        <v>115</v>
      </c>
      <c r="C3014" t="s">
        <v>606</v>
      </c>
      <c r="D3014" t="s">
        <v>607</v>
      </c>
      <c r="E3014" s="8">
        <v>670</v>
      </c>
      <c r="F3014" s="8">
        <v>57160</v>
      </c>
      <c r="G3014" s="8">
        <f t="shared" si="188"/>
        <v>38297200</v>
      </c>
      <c r="H3014" s="5">
        <v>0.6783</v>
      </c>
      <c r="I3014" s="8">
        <f t="shared" si="189"/>
        <v>38297200</v>
      </c>
      <c r="J3014" s="8">
        <f t="shared" si="190"/>
        <v>25976990.76</v>
      </c>
      <c r="K3014" t="str">
        <f t="shared" si="191"/>
        <v>MATCHED</v>
      </c>
    </row>
    <row r="3015" spans="1:11">
      <c r="A3015" t="s">
        <v>114</v>
      </c>
      <c r="B3015" t="s">
        <v>115</v>
      </c>
      <c r="C3015" t="s">
        <v>309</v>
      </c>
      <c r="D3015" t="s">
        <v>310</v>
      </c>
      <c r="E3015" s="8">
        <v>90</v>
      </c>
      <c r="F3015" s="8">
        <v>111480</v>
      </c>
      <c r="G3015" s="8">
        <f t="shared" si="188"/>
        <v>10033200</v>
      </c>
      <c r="H3015" s="5">
        <v>0.4037</v>
      </c>
      <c r="I3015" s="8">
        <f t="shared" si="189"/>
        <v>10033200</v>
      </c>
      <c r="J3015" s="8">
        <f t="shared" si="190"/>
        <v>4050402.84</v>
      </c>
      <c r="K3015" t="str">
        <f t="shared" si="191"/>
        <v>MATCHED</v>
      </c>
    </row>
    <row r="3016" spans="1:11">
      <c r="A3016" t="s">
        <v>114</v>
      </c>
      <c r="B3016" t="s">
        <v>115</v>
      </c>
      <c r="C3016" t="s">
        <v>848</v>
      </c>
      <c r="D3016" t="s">
        <v>849</v>
      </c>
      <c r="E3016" s="8">
        <v>1590</v>
      </c>
      <c r="F3016" s="8">
        <v>106310</v>
      </c>
      <c r="G3016" s="8">
        <f t="shared" si="188"/>
        <v>169032900</v>
      </c>
      <c r="H3016" s="5">
        <v>0.5759</v>
      </c>
      <c r="I3016" s="8">
        <f t="shared" si="189"/>
        <v>169032900</v>
      </c>
      <c r="J3016" s="8">
        <f t="shared" si="190"/>
        <v>97346047.11</v>
      </c>
      <c r="K3016" t="str">
        <f t="shared" si="191"/>
        <v>MATCHED</v>
      </c>
    </row>
    <row r="3017" spans="1:11">
      <c r="A3017" t="s">
        <v>114</v>
      </c>
      <c r="B3017" t="s">
        <v>115</v>
      </c>
      <c r="C3017" t="s">
        <v>614</v>
      </c>
      <c r="D3017" t="s">
        <v>615</v>
      </c>
      <c r="E3017" s="8">
        <v>80</v>
      </c>
      <c r="F3017" s="8"/>
      <c r="G3017" s="8" t="str">
        <f t="shared" si="188"/>
        <v/>
      </c>
      <c r="H3017" s="5">
        <v>0.5271</v>
      </c>
      <c r="I3017" s="8" t="str">
        <f t="shared" si="189"/>
        <v/>
      </c>
      <c r="J3017" s="8" t="str">
        <f t="shared" si="190"/>
        <v/>
      </c>
      <c r="K3017" t="str">
        <f t="shared" si="191"/>
        <v>MISSING OEWS</v>
      </c>
    </row>
    <row r="3018" spans="1:11">
      <c r="A3018" t="s">
        <v>114</v>
      </c>
      <c r="B3018" t="s">
        <v>115</v>
      </c>
      <c r="C3018" t="s">
        <v>1567</v>
      </c>
      <c r="D3018" t="s">
        <v>1568</v>
      </c>
      <c r="E3018" s="8">
        <v>100</v>
      </c>
      <c r="F3018" s="8">
        <v>82630</v>
      </c>
      <c r="G3018" s="8">
        <f t="shared" si="188"/>
        <v>8263000</v>
      </c>
      <c r="H3018" s="5">
        <v>0.7375</v>
      </c>
      <c r="I3018" s="8">
        <f t="shared" si="189"/>
        <v>8263000</v>
      </c>
      <c r="J3018" s="8">
        <f t="shared" si="190"/>
        <v>6093962.5</v>
      </c>
      <c r="K3018" t="str">
        <f t="shared" si="191"/>
        <v>MATCHED</v>
      </c>
    </row>
    <row r="3019" spans="1:11">
      <c r="A3019" t="s">
        <v>114</v>
      </c>
      <c r="B3019" t="s">
        <v>115</v>
      </c>
      <c r="C3019" t="s">
        <v>1178</v>
      </c>
      <c r="D3019" t="s">
        <v>1179</v>
      </c>
      <c r="E3019" s="8">
        <v>40</v>
      </c>
      <c r="F3019" s="8">
        <v>167250</v>
      </c>
      <c r="G3019" s="8">
        <f t="shared" si="188"/>
        <v>6690000</v>
      </c>
      <c r="H3019" s="5">
        <v>0.5545</v>
      </c>
      <c r="I3019" s="8">
        <f t="shared" si="189"/>
        <v>6690000</v>
      </c>
      <c r="J3019" s="8">
        <f t="shared" si="190"/>
        <v>3709605</v>
      </c>
      <c r="K3019" t="str">
        <f t="shared" si="191"/>
        <v>MATCHED</v>
      </c>
    </row>
    <row r="3020" spans="1:11">
      <c r="A3020" t="s">
        <v>114</v>
      </c>
      <c r="B3020" t="s">
        <v>115</v>
      </c>
      <c r="C3020" t="s">
        <v>1180</v>
      </c>
      <c r="D3020" t="s">
        <v>1181</v>
      </c>
      <c r="E3020" s="8">
        <v>60</v>
      </c>
      <c r="F3020" s="8"/>
      <c r="G3020" s="8" t="str">
        <f t="shared" si="188"/>
        <v/>
      </c>
      <c r="H3020" s="5">
        <v>0.7087</v>
      </c>
      <c r="I3020" s="8" t="str">
        <f t="shared" si="189"/>
        <v/>
      </c>
      <c r="J3020" s="8" t="str">
        <f t="shared" si="190"/>
        <v/>
      </c>
      <c r="K3020" t="str">
        <f t="shared" si="191"/>
        <v>MISSING OEWS</v>
      </c>
    </row>
    <row r="3021" spans="1:11">
      <c r="A3021" t="s">
        <v>114</v>
      </c>
      <c r="B3021" t="s">
        <v>115</v>
      </c>
      <c r="C3021" t="s">
        <v>624</v>
      </c>
      <c r="D3021" t="s">
        <v>625</v>
      </c>
      <c r="E3021" s="8">
        <v>330</v>
      </c>
      <c r="F3021" s="8">
        <v>71350</v>
      </c>
      <c r="G3021" s="8">
        <f t="shared" si="188"/>
        <v>23545500</v>
      </c>
      <c r="H3021" s="5">
        <v>0.5519</v>
      </c>
      <c r="I3021" s="8">
        <f t="shared" si="189"/>
        <v>23545500</v>
      </c>
      <c r="J3021" s="8">
        <f t="shared" si="190"/>
        <v>12994761.45</v>
      </c>
      <c r="K3021" t="str">
        <f t="shared" si="191"/>
        <v>MATCHED</v>
      </c>
    </row>
    <row r="3022" spans="1:11">
      <c r="A3022" t="s">
        <v>114</v>
      </c>
      <c r="B3022" t="s">
        <v>115</v>
      </c>
      <c r="C3022" t="s">
        <v>319</v>
      </c>
      <c r="D3022" t="s">
        <v>320</v>
      </c>
      <c r="E3022" s="8">
        <v>1120</v>
      </c>
      <c r="F3022" s="8">
        <v>110970</v>
      </c>
      <c r="G3022" s="8">
        <f t="shared" si="188"/>
        <v>124286400</v>
      </c>
      <c r="H3022" s="5">
        <v>0.2786</v>
      </c>
      <c r="I3022" s="8">
        <f t="shared" si="189"/>
        <v>124286400</v>
      </c>
      <c r="J3022" s="8">
        <f t="shared" si="190"/>
        <v>34626191.04</v>
      </c>
      <c r="K3022" t="str">
        <f t="shared" si="191"/>
        <v>MATCHED</v>
      </c>
    </row>
    <row r="3023" spans="1:11">
      <c r="A3023" t="s">
        <v>114</v>
      </c>
      <c r="B3023" t="s">
        <v>115</v>
      </c>
      <c r="C3023" t="s">
        <v>626</v>
      </c>
      <c r="D3023" t="s">
        <v>627</v>
      </c>
      <c r="E3023" s="8">
        <v>100</v>
      </c>
      <c r="F3023" s="8">
        <v>81020</v>
      </c>
      <c r="G3023" s="8">
        <f t="shared" si="188"/>
        <v>8102000</v>
      </c>
      <c r="H3023" s="5">
        <v>0.2712</v>
      </c>
      <c r="I3023" s="8">
        <f t="shared" si="189"/>
        <v>8102000</v>
      </c>
      <c r="J3023" s="8">
        <f t="shared" si="190"/>
        <v>2197262.4</v>
      </c>
      <c r="K3023" t="str">
        <f t="shared" si="191"/>
        <v>MATCHED</v>
      </c>
    </row>
    <row r="3024" spans="1:11">
      <c r="A3024" t="s">
        <v>114</v>
      </c>
      <c r="B3024" t="s">
        <v>115</v>
      </c>
      <c r="C3024" t="s">
        <v>1464</v>
      </c>
      <c r="D3024" t="s">
        <v>1465</v>
      </c>
      <c r="E3024" s="8">
        <v>140</v>
      </c>
      <c r="F3024" s="8">
        <v>61500</v>
      </c>
      <c r="G3024" s="8">
        <f t="shared" si="188"/>
        <v>8610000</v>
      </c>
      <c r="H3024" s="5">
        <v>0.3176</v>
      </c>
      <c r="I3024" s="8">
        <f t="shared" si="189"/>
        <v>8610000</v>
      </c>
      <c r="J3024" s="8">
        <f t="shared" si="190"/>
        <v>2734536</v>
      </c>
      <c r="K3024" t="str">
        <f t="shared" si="191"/>
        <v>MATCHED</v>
      </c>
    </row>
    <row r="3025" spans="1:11">
      <c r="A3025" t="s">
        <v>114</v>
      </c>
      <c r="B3025" t="s">
        <v>115</v>
      </c>
      <c r="C3025" t="s">
        <v>1419</v>
      </c>
      <c r="D3025" t="s">
        <v>1420</v>
      </c>
      <c r="E3025" s="8"/>
      <c r="F3025" s="8">
        <v>132300</v>
      </c>
      <c r="G3025" s="8" t="str">
        <f t="shared" si="188"/>
        <v/>
      </c>
      <c r="H3025" s="5">
        <v>0.5875</v>
      </c>
      <c r="I3025" s="8" t="str">
        <f t="shared" si="189"/>
        <v/>
      </c>
      <c r="J3025" s="8" t="str">
        <f t="shared" si="190"/>
        <v/>
      </c>
      <c r="K3025" t="str">
        <f t="shared" si="191"/>
        <v>MISSING OEWS</v>
      </c>
    </row>
    <row r="3026" spans="1:11">
      <c r="A3026" t="s">
        <v>114</v>
      </c>
      <c r="B3026" t="s">
        <v>115</v>
      </c>
      <c r="C3026" t="s">
        <v>1569</v>
      </c>
      <c r="D3026" t="s">
        <v>1570</v>
      </c>
      <c r="E3026" s="8"/>
      <c r="F3026" s="8">
        <v>63070</v>
      </c>
      <c r="G3026" s="8" t="str">
        <f t="shared" si="188"/>
        <v/>
      </c>
      <c r="H3026" s="5">
        <v>0.2672</v>
      </c>
      <c r="I3026" s="8" t="str">
        <f t="shared" si="189"/>
        <v/>
      </c>
      <c r="J3026" s="8" t="str">
        <f t="shared" si="190"/>
        <v/>
      </c>
      <c r="K3026" t="str">
        <f t="shared" si="191"/>
        <v>MISSING OEWS</v>
      </c>
    </row>
    <row r="3027" spans="1:11">
      <c r="A3027" t="s">
        <v>114</v>
      </c>
      <c r="B3027" t="s">
        <v>115</v>
      </c>
      <c r="C3027" t="s">
        <v>942</v>
      </c>
      <c r="D3027" t="s">
        <v>943</v>
      </c>
      <c r="E3027" s="8">
        <v>50</v>
      </c>
      <c r="F3027" s="8">
        <v>59090</v>
      </c>
      <c r="G3027" s="8">
        <f t="shared" si="188"/>
        <v>2954500</v>
      </c>
      <c r="H3027" s="5"/>
      <c r="I3027" s="8" t="str">
        <f t="shared" si="189"/>
        <v/>
      </c>
      <c r="J3027" s="8" t="str">
        <f t="shared" si="190"/>
        <v/>
      </c>
      <c r="K3027" t="str">
        <f t="shared" si="191"/>
        <v>MISSING WHARTON</v>
      </c>
    </row>
    <row r="3028" spans="1:11">
      <c r="A3028" t="s">
        <v>114</v>
      </c>
      <c r="B3028" t="s">
        <v>115</v>
      </c>
      <c r="C3028" t="s">
        <v>1182</v>
      </c>
      <c r="D3028" t="s">
        <v>1183</v>
      </c>
      <c r="E3028" s="8">
        <v>50</v>
      </c>
      <c r="F3028" s="8">
        <v>62490</v>
      </c>
      <c r="G3028" s="8">
        <f t="shared" si="188"/>
        <v>3124500</v>
      </c>
      <c r="H3028" s="5">
        <v>0.1786</v>
      </c>
      <c r="I3028" s="8">
        <f t="shared" si="189"/>
        <v>3124500</v>
      </c>
      <c r="J3028" s="8">
        <f t="shared" si="190"/>
        <v>558035.7</v>
      </c>
      <c r="K3028" t="str">
        <f t="shared" si="191"/>
        <v>MATCHED</v>
      </c>
    </row>
    <row r="3029" spans="1:11">
      <c r="A3029" t="s">
        <v>114</v>
      </c>
      <c r="B3029" t="s">
        <v>115</v>
      </c>
      <c r="C3029" t="s">
        <v>628</v>
      </c>
      <c r="D3029" t="s">
        <v>629</v>
      </c>
      <c r="E3029" s="8">
        <v>10510</v>
      </c>
      <c r="F3029" s="8">
        <v>248790</v>
      </c>
      <c r="G3029" s="8">
        <f t="shared" si="188"/>
        <v>2614782900</v>
      </c>
      <c r="H3029" s="5">
        <v>0.45</v>
      </c>
      <c r="I3029" s="8">
        <f t="shared" si="189"/>
        <v>2614782900</v>
      </c>
      <c r="J3029" s="8">
        <f t="shared" si="190"/>
        <v>1176652305</v>
      </c>
      <c r="K3029" t="str">
        <f t="shared" si="191"/>
        <v>MATCHED</v>
      </c>
    </row>
    <row r="3030" spans="1:11">
      <c r="A3030" t="s">
        <v>114</v>
      </c>
      <c r="B3030" t="s">
        <v>115</v>
      </c>
      <c r="C3030" t="s">
        <v>630</v>
      </c>
      <c r="D3030" t="s">
        <v>631</v>
      </c>
      <c r="E3030" s="8">
        <v>1730</v>
      </c>
      <c r="F3030" s="8">
        <v>101720</v>
      </c>
      <c r="G3030" s="8">
        <f t="shared" si="188"/>
        <v>175975600</v>
      </c>
      <c r="H3030" s="5">
        <v>0.5917</v>
      </c>
      <c r="I3030" s="8">
        <f t="shared" si="189"/>
        <v>175975600</v>
      </c>
      <c r="J3030" s="8">
        <f t="shared" si="190"/>
        <v>104124762.52</v>
      </c>
      <c r="K3030" t="str">
        <f t="shared" si="191"/>
        <v>MATCHED</v>
      </c>
    </row>
    <row r="3031" spans="1:11">
      <c r="A3031" t="s">
        <v>114</v>
      </c>
      <c r="B3031" t="s">
        <v>115</v>
      </c>
      <c r="C3031" t="s">
        <v>632</v>
      </c>
      <c r="D3031" t="s">
        <v>633</v>
      </c>
      <c r="E3031" s="8"/>
      <c r="F3031" s="8">
        <v>45080</v>
      </c>
      <c r="G3031" s="8" t="str">
        <f t="shared" si="188"/>
        <v/>
      </c>
      <c r="H3031" s="5">
        <v>0.8794</v>
      </c>
      <c r="I3031" s="8" t="str">
        <f t="shared" si="189"/>
        <v/>
      </c>
      <c r="J3031" s="8" t="str">
        <f t="shared" si="190"/>
        <v/>
      </c>
      <c r="K3031" t="str">
        <f t="shared" si="191"/>
        <v>MISSING OEWS</v>
      </c>
    </row>
    <row r="3032" spans="1:11">
      <c r="A3032" t="s">
        <v>114</v>
      </c>
      <c r="B3032" t="s">
        <v>115</v>
      </c>
      <c r="C3032" t="s">
        <v>634</v>
      </c>
      <c r="D3032" t="s">
        <v>635</v>
      </c>
      <c r="E3032" s="8">
        <v>1060</v>
      </c>
      <c r="F3032" s="8">
        <v>83860</v>
      </c>
      <c r="G3032" s="8">
        <f t="shared" si="188"/>
        <v>88891600</v>
      </c>
      <c r="H3032" s="5"/>
      <c r="I3032" s="8" t="str">
        <f t="shared" si="189"/>
        <v/>
      </c>
      <c r="J3032" s="8" t="str">
        <f t="shared" si="190"/>
        <v/>
      </c>
      <c r="K3032" t="str">
        <f t="shared" si="191"/>
        <v>MISSING WHARTON</v>
      </c>
    </row>
    <row r="3033" spans="1:11">
      <c r="A3033" t="s">
        <v>114</v>
      </c>
      <c r="B3033" t="s">
        <v>115</v>
      </c>
      <c r="C3033" t="s">
        <v>1571</v>
      </c>
      <c r="D3033" t="s">
        <v>1572</v>
      </c>
      <c r="E3033" s="8">
        <v>240</v>
      </c>
      <c r="F3033" s="8">
        <v>88420</v>
      </c>
      <c r="G3033" s="8">
        <f t="shared" si="188"/>
        <v>21220800</v>
      </c>
      <c r="H3033" s="5">
        <v>0.3372</v>
      </c>
      <c r="I3033" s="8">
        <f t="shared" si="189"/>
        <v>21220800</v>
      </c>
      <c r="J3033" s="8">
        <f t="shared" si="190"/>
        <v>7155653.76</v>
      </c>
      <c r="K3033" t="str">
        <f t="shared" si="191"/>
        <v>MATCHED</v>
      </c>
    </row>
    <row r="3034" spans="1:11">
      <c r="A3034" t="s">
        <v>114</v>
      </c>
      <c r="B3034" t="s">
        <v>115</v>
      </c>
      <c r="C3034" t="s">
        <v>1423</v>
      </c>
      <c r="D3034" t="s">
        <v>1424</v>
      </c>
      <c r="E3034" s="8">
        <v>330</v>
      </c>
      <c r="F3034" s="8">
        <v>55660</v>
      </c>
      <c r="G3034" s="8">
        <f t="shared" si="188"/>
        <v>18367800</v>
      </c>
      <c r="H3034" s="5">
        <v>0.3974</v>
      </c>
      <c r="I3034" s="8">
        <f t="shared" si="189"/>
        <v>18367800</v>
      </c>
      <c r="J3034" s="8">
        <f t="shared" si="190"/>
        <v>7299363.72</v>
      </c>
      <c r="K3034" t="str">
        <f t="shared" si="191"/>
        <v>MATCHED</v>
      </c>
    </row>
    <row r="3035" spans="1:11">
      <c r="A3035" t="s">
        <v>114</v>
      </c>
      <c r="B3035" t="s">
        <v>115</v>
      </c>
      <c r="C3035" t="s">
        <v>1517</v>
      </c>
      <c r="D3035" t="s">
        <v>1518</v>
      </c>
      <c r="E3035" s="8">
        <v>220</v>
      </c>
      <c r="F3035" s="8">
        <v>79350</v>
      </c>
      <c r="G3035" s="8">
        <f t="shared" si="188"/>
        <v>17457000</v>
      </c>
      <c r="H3035" s="5"/>
      <c r="I3035" s="8" t="str">
        <f t="shared" si="189"/>
        <v/>
      </c>
      <c r="J3035" s="8" t="str">
        <f t="shared" si="190"/>
        <v/>
      </c>
      <c r="K3035" t="str">
        <f t="shared" si="191"/>
        <v>MISSING WHARTON</v>
      </c>
    </row>
    <row r="3036" spans="1:11">
      <c r="A3036" t="s">
        <v>114</v>
      </c>
      <c r="B3036" t="s">
        <v>115</v>
      </c>
      <c r="C3036" t="s">
        <v>1470</v>
      </c>
      <c r="D3036" t="s">
        <v>1471</v>
      </c>
      <c r="E3036" s="8">
        <v>700</v>
      </c>
      <c r="F3036" s="8">
        <v>70610</v>
      </c>
      <c r="G3036" s="8">
        <f t="shared" si="188"/>
        <v>49427000</v>
      </c>
      <c r="H3036" s="5">
        <v>0.4154</v>
      </c>
      <c r="I3036" s="8">
        <f t="shared" si="189"/>
        <v>49427000</v>
      </c>
      <c r="J3036" s="8">
        <f t="shared" si="190"/>
        <v>20531975.8</v>
      </c>
      <c r="K3036" t="str">
        <f t="shared" si="191"/>
        <v>MATCHED</v>
      </c>
    </row>
    <row r="3037" spans="1:11">
      <c r="A3037" t="s">
        <v>114</v>
      </c>
      <c r="B3037" t="s">
        <v>115</v>
      </c>
      <c r="C3037" t="s">
        <v>1425</v>
      </c>
      <c r="D3037" t="s">
        <v>1426</v>
      </c>
      <c r="E3037" s="8">
        <v>200</v>
      </c>
      <c r="F3037" s="8">
        <v>81260</v>
      </c>
      <c r="G3037" s="8">
        <f t="shared" si="188"/>
        <v>16252000</v>
      </c>
      <c r="H3037" s="5">
        <v>0.2833</v>
      </c>
      <c r="I3037" s="8">
        <f t="shared" si="189"/>
        <v>16252000</v>
      </c>
      <c r="J3037" s="8">
        <f t="shared" si="190"/>
        <v>4604191.6</v>
      </c>
      <c r="K3037" t="str">
        <f t="shared" si="191"/>
        <v>MATCHED</v>
      </c>
    </row>
    <row r="3038" spans="1:11">
      <c r="A3038" t="s">
        <v>114</v>
      </c>
      <c r="B3038" t="s">
        <v>115</v>
      </c>
      <c r="C3038" t="s">
        <v>1472</v>
      </c>
      <c r="D3038" t="s">
        <v>1473</v>
      </c>
      <c r="E3038" s="8">
        <v>120</v>
      </c>
      <c r="F3038" s="8">
        <v>67440</v>
      </c>
      <c r="G3038" s="8">
        <f t="shared" si="188"/>
        <v>8092800</v>
      </c>
      <c r="H3038" s="5">
        <v>0.1808</v>
      </c>
      <c r="I3038" s="8">
        <f t="shared" si="189"/>
        <v>8092800</v>
      </c>
      <c r="J3038" s="8">
        <f t="shared" si="190"/>
        <v>1463178.24</v>
      </c>
      <c r="K3038" t="str">
        <f t="shared" si="191"/>
        <v>MATCHED</v>
      </c>
    </row>
    <row r="3039" spans="1:11">
      <c r="A3039" t="s">
        <v>114</v>
      </c>
      <c r="B3039" t="s">
        <v>115</v>
      </c>
      <c r="C3039" t="s">
        <v>1184</v>
      </c>
      <c r="D3039" t="s">
        <v>1185</v>
      </c>
      <c r="E3039" s="8">
        <v>7430</v>
      </c>
      <c r="F3039" s="8">
        <v>64100</v>
      </c>
      <c r="G3039" s="8">
        <f t="shared" si="188"/>
        <v>476263000</v>
      </c>
      <c r="H3039" s="5">
        <v>0.4167</v>
      </c>
      <c r="I3039" s="8">
        <f t="shared" si="189"/>
        <v>476263000</v>
      </c>
      <c r="J3039" s="8">
        <f t="shared" si="190"/>
        <v>198458792.1</v>
      </c>
      <c r="K3039" t="str">
        <f t="shared" si="191"/>
        <v>MATCHED</v>
      </c>
    </row>
    <row r="3040" spans="1:11">
      <c r="A3040" t="s">
        <v>114</v>
      </c>
      <c r="B3040" t="s">
        <v>115</v>
      </c>
      <c r="C3040" t="s">
        <v>1573</v>
      </c>
      <c r="D3040" t="s">
        <v>1574</v>
      </c>
      <c r="E3040" s="8">
        <v>3850</v>
      </c>
      <c r="F3040" s="8">
        <v>47670</v>
      </c>
      <c r="G3040" s="8">
        <f t="shared" si="188"/>
        <v>183529500</v>
      </c>
      <c r="H3040" s="5">
        <v>0.6329</v>
      </c>
      <c r="I3040" s="8">
        <f t="shared" si="189"/>
        <v>183529500</v>
      </c>
      <c r="J3040" s="8">
        <f t="shared" si="190"/>
        <v>116155820.55</v>
      </c>
      <c r="K3040" t="str">
        <f t="shared" si="191"/>
        <v>MATCHED</v>
      </c>
    </row>
    <row r="3041" spans="1:11">
      <c r="A3041" t="s">
        <v>114</v>
      </c>
      <c r="B3041" t="s">
        <v>115</v>
      </c>
      <c r="C3041" t="s">
        <v>944</v>
      </c>
      <c r="D3041" t="s">
        <v>945</v>
      </c>
      <c r="E3041" s="8">
        <v>2050</v>
      </c>
      <c r="F3041" s="8">
        <v>88090</v>
      </c>
      <c r="G3041" s="8">
        <f t="shared" si="188"/>
        <v>180584500</v>
      </c>
      <c r="H3041" s="5">
        <v>0.5783</v>
      </c>
      <c r="I3041" s="8">
        <f t="shared" si="189"/>
        <v>180584500</v>
      </c>
      <c r="J3041" s="8">
        <f t="shared" si="190"/>
        <v>104432016.35</v>
      </c>
      <c r="K3041" t="str">
        <f t="shared" si="191"/>
        <v>MATCHED</v>
      </c>
    </row>
    <row r="3042" spans="1:11">
      <c r="A3042" t="s">
        <v>114</v>
      </c>
      <c r="B3042" t="s">
        <v>115</v>
      </c>
      <c r="C3042" t="s">
        <v>1427</v>
      </c>
      <c r="D3042" t="s">
        <v>1428</v>
      </c>
      <c r="E3042" s="8">
        <v>600</v>
      </c>
      <c r="F3042" s="8">
        <v>44000</v>
      </c>
      <c r="G3042" s="8">
        <f t="shared" si="188"/>
        <v>26400000</v>
      </c>
      <c r="H3042" s="5"/>
      <c r="I3042" s="8" t="str">
        <f t="shared" si="189"/>
        <v/>
      </c>
      <c r="J3042" s="8" t="str">
        <f t="shared" si="190"/>
        <v/>
      </c>
      <c r="K3042" t="str">
        <f t="shared" si="191"/>
        <v>MISSING WHARTON</v>
      </c>
    </row>
    <row r="3043" spans="1:11">
      <c r="A3043" t="s">
        <v>114</v>
      </c>
      <c r="B3043" t="s">
        <v>115</v>
      </c>
      <c r="C3043" t="s">
        <v>946</v>
      </c>
      <c r="D3043" t="s">
        <v>947</v>
      </c>
      <c r="E3043" s="8">
        <v>8940</v>
      </c>
      <c r="F3043" s="8">
        <v>143720</v>
      </c>
      <c r="G3043" s="8">
        <f t="shared" si="188"/>
        <v>1284856800</v>
      </c>
      <c r="H3043" s="5">
        <v>0.3688</v>
      </c>
      <c r="I3043" s="8">
        <f t="shared" si="189"/>
        <v>1284856800</v>
      </c>
      <c r="J3043" s="8">
        <f t="shared" si="190"/>
        <v>473855187.84</v>
      </c>
      <c r="K3043" t="str">
        <f t="shared" si="191"/>
        <v>MATCHED</v>
      </c>
    </row>
    <row r="3044" spans="1:11">
      <c r="A3044" t="s">
        <v>114</v>
      </c>
      <c r="B3044" t="s">
        <v>115</v>
      </c>
      <c r="C3044" t="s">
        <v>1186</v>
      </c>
      <c r="D3044" t="s">
        <v>1187</v>
      </c>
      <c r="E3044" s="8">
        <v>160</v>
      </c>
      <c r="F3044" s="8">
        <v>100150</v>
      </c>
      <c r="G3044" s="8">
        <f t="shared" si="188"/>
        <v>16024000</v>
      </c>
      <c r="H3044" s="5">
        <v>0.22</v>
      </c>
      <c r="I3044" s="8">
        <f t="shared" si="189"/>
        <v>16024000</v>
      </c>
      <c r="J3044" s="8">
        <f t="shared" si="190"/>
        <v>3525280</v>
      </c>
      <c r="K3044" t="str">
        <f t="shared" si="191"/>
        <v>MATCHED</v>
      </c>
    </row>
    <row r="3045" spans="1:11">
      <c r="A3045" t="s">
        <v>114</v>
      </c>
      <c r="B3045" t="s">
        <v>115</v>
      </c>
      <c r="C3045" t="s">
        <v>948</v>
      </c>
      <c r="D3045" t="s">
        <v>949</v>
      </c>
      <c r="E3045" s="8">
        <v>1600</v>
      </c>
      <c r="F3045" s="8">
        <v>146160</v>
      </c>
      <c r="G3045" s="8">
        <f t="shared" si="188"/>
        <v>233856000</v>
      </c>
      <c r="H3045" s="5">
        <v>0.2281</v>
      </c>
      <c r="I3045" s="8">
        <f t="shared" si="189"/>
        <v>233856000</v>
      </c>
      <c r="J3045" s="8">
        <f t="shared" si="190"/>
        <v>53342553.6</v>
      </c>
      <c r="K3045" t="str">
        <f t="shared" si="191"/>
        <v>MATCHED</v>
      </c>
    </row>
    <row r="3046" spans="1:11">
      <c r="A3046" t="s">
        <v>114</v>
      </c>
      <c r="B3046" t="s">
        <v>115</v>
      </c>
      <c r="C3046" t="s">
        <v>1188</v>
      </c>
      <c r="D3046" t="s">
        <v>1189</v>
      </c>
      <c r="E3046" s="8">
        <v>10720</v>
      </c>
      <c r="F3046" s="8">
        <v>122190</v>
      </c>
      <c r="G3046" s="8">
        <f t="shared" si="188"/>
        <v>1309876800</v>
      </c>
      <c r="H3046" s="5">
        <v>0.7071</v>
      </c>
      <c r="I3046" s="8">
        <f t="shared" si="189"/>
        <v>1309876800</v>
      </c>
      <c r="J3046" s="8">
        <f t="shared" si="190"/>
        <v>926213885.28</v>
      </c>
      <c r="K3046" t="str">
        <f t="shared" si="191"/>
        <v>MATCHED</v>
      </c>
    </row>
    <row r="3047" spans="1:11">
      <c r="A3047" t="s">
        <v>114</v>
      </c>
      <c r="B3047" t="s">
        <v>115</v>
      </c>
      <c r="C3047" t="s">
        <v>950</v>
      </c>
      <c r="D3047" t="s">
        <v>951</v>
      </c>
      <c r="E3047" s="8">
        <v>250</v>
      </c>
      <c r="F3047" s="8">
        <v>87560</v>
      </c>
      <c r="G3047" s="8">
        <f t="shared" si="188"/>
        <v>21890000</v>
      </c>
      <c r="H3047" s="5"/>
      <c r="I3047" s="8" t="str">
        <f t="shared" si="189"/>
        <v/>
      </c>
      <c r="J3047" s="8" t="str">
        <f t="shared" si="190"/>
        <v/>
      </c>
      <c r="K3047" t="str">
        <f t="shared" si="191"/>
        <v>MISSING WHARTON</v>
      </c>
    </row>
    <row r="3048" spans="1:11">
      <c r="A3048" t="s">
        <v>114</v>
      </c>
      <c r="B3048" t="s">
        <v>115</v>
      </c>
      <c r="C3048" t="s">
        <v>952</v>
      </c>
      <c r="D3048" t="s">
        <v>953</v>
      </c>
      <c r="E3048" s="8">
        <v>660</v>
      </c>
      <c r="F3048" s="8">
        <v>93860</v>
      </c>
      <c r="G3048" s="8">
        <f t="shared" si="188"/>
        <v>61947600</v>
      </c>
      <c r="H3048" s="5">
        <v>0.3029</v>
      </c>
      <c r="I3048" s="8">
        <f t="shared" si="189"/>
        <v>61947600</v>
      </c>
      <c r="J3048" s="8">
        <f t="shared" si="190"/>
        <v>18763928.04</v>
      </c>
      <c r="K3048" t="str">
        <f t="shared" si="191"/>
        <v>MATCHED</v>
      </c>
    </row>
    <row r="3049" spans="1:11">
      <c r="A3049" t="s">
        <v>114</v>
      </c>
      <c r="B3049" t="s">
        <v>115</v>
      </c>
      <c r="C3049" t="s">
        <v>1190</v>
      </c>
      <c r="D3049" t="s">
        <v>1191</v>
      </c>
      <c r="E3049" s="8">
        <v>1110</v>
      </c>
      <c r="F3049" s="8">
        <v>112510</v>
      </c>
      <c r="G3049" s="8">
        <f t="shared" si="188"/>
        <v>124886100</v>
      </c>
      <c r="H3049" s="5">
        <v>0.1875</v>
      </c>
      <c r="I3049" s="8">
        <f t="shared" si="189"/>
        <v>124886100</v>
      </c>
      <c r="J3049" s="8">
        <f t="shared" si="190"/>
        <v>23416143.75</v>
      </c>
      <c r="K3049" t="str">
        <f t="shared" si="191"/>
        <v>MATCHED</v>
      </c>
    </row>
    <row r="3050" spans="1:11">
      <c r="A3050" t="s">
        <v>114</v>
      </c>
      <c r="B3050" t="s">
        <v>115</v>
      </c>
      <c r="C3050" t="s">
        <v>858</v>
      </c>
      <c r="D3050" t="s">
        <v>859</v>
      </c>
      <c r="E3050" s="8">
        <v>17690</v>
      </c>
      <c r="F3050" s="8">
        <v>71780</v>
      </c>
      <c r="G3050" s="8">
        <f t="shared" si="188"/>
        <v>1269788200</v>
      </c>
      <c r="H3050" s="5">
        <v>0.7375</v>
      </c>
      <c r="I3050" s="8">
        <f t="shared" si="189"/>
        <v>1269788200</v>
      </c>
      <c r="J3050" s="8">
        <f t="shared" si="190"/>
        <v>936468797.5</v>
      </c>
      <c r="K3050" t="str">
        <f t="shared" si="191"/>
        <v>MATCHED</v>
      </c>
    </row>
    <row r="3051" spans="1:11">
      <c r="A3051" t="s">
        <v>114</v>
      </c>
      <c r="B3051" t="s">
        <v>115</v>
      </c>
      <c r="C3051" t="s">
        <v>956</v>
      </c>
      <c r="D3051" t="s">
        <v>957</v>
      </c>
      <c r="E3051" s="8">
        <v>310</v>
      </c>
      <c r="F3051" s="8">
        <v>64240</v>
      </c>
      <c r="G3051" s="8">
        <f t="shared" si="188"/>
        <v>19914400</v>
      </c>
      <c r="H3051" s="5">
        <v>0.038</v>
      </c>
      <c r="I3051" s="8">
        <f t="shared" si="189"/>
        <v>19914400</v>
      </c>
      <c r="J3051" s="8">
        <f t="shared" si="190"/>
        <v>756747.2</v>
      </c>
      <c r="K3051" t="str">
        <f t="shared" si="191"/>
        <v>MATCHED</v>
      </c>
    </row>
    <row r="3052" spans="1:11">
      <c r="A3052" t="s">
        <v>114</v>
      </c>
      <c r="B3052" t="s">
        <v>115</v>
      </c>
      <c r="C3052" t="s">
        <v>1194</v>
      </c>
      <c r="D3052" t="s">
        <v>1195</v>
      </c>
      <c r="E3052" s="8">
        <v>3440</v>
      </c>
      <c r="F3052" s="8">
        <v>103870</v>
      </c>
      <c r="G3052" s="8">
        <f t="shared" si="188"/>
        <v>357312800</v>
      </c>
      <c r="H3052" s="5">
        <v>0.2167</v>
      </c>
      <c r="I3052" s="8">
        <f t="shared" si="189"/>
        <v>357312800</v>
      </c>
      <c r="J3052" s="8">
        <f t="shared" si="190"/>
        <v>77429683.76</v>
      </c>
      <c r="K3052" t="str">
        <f t="shared" si="191"/>
        <v>MATCHED</v>
      </c>
    </row>
    <row r="3053" spans="1:11">
      <c r="A3053" t="s">
        <v>114</v>
      </c>
      <c r="B3053" t="s">
        <v>115</v>
      </c>
      <c r="C3053" t="s">
        <v>958</v>
      </c>
      <c r="D3053" t="s">
        <v>959</v>
      </c>
      <c r="E3053" s="8">
        <v>600</v>
      </c>
      <c r="F3053" s="8"/>
      <c r="G3053" s="8" t="str">
        <f t="shared" si="188"/>
        <v/>
      </c>
      <c r="H3053" s="5"/>
      <c r="I3053" s="8" t="str">
        <f t="shared" si="189"/>
        <v/>
      </c>
      <c r="J3053" s="8" t="str">
        <f t="shared" si="190"/>
        <v/>
      </c>
      <c r="K3053" t="str">
        <f t="shared" si="191"/>
        <v>MISSING OEWS</v>
      </c>
    </row>
    <row r="3054" spans="1:11">
      <c r="A3054" t="s">
        <v>114</v>
      </c>
      <c r="B3054" t="s">
        <v>115</v>
      </c>
      <c r="C3054" t="s">
        <v>1474</v>
      </c>
      <c r="D3054" t="s">
        <v>1475</v>
      </c>
      <c r="E3054" s="8">
        <v>19630</v>
      </c>
      <c r="F3054" s="8"/>
      <c r="G3054" s="8" t="str">
        <f t="shared" si="188"/>
        <v/>
      </c>
      <c r="H3054" s="5">
        <v>0.1</v>
      </c>
      <c r="I3054" s="8" t="str">
        <f t="shared" si="189"/>
        <v/>
      </c>
      <c r="J3054" s="8" t="str">
        <f t="shared" si="190"/>
        <v/>
      </c>
      <c r="K3054" t="str">
        <f t="shared" si="191"/>
        <v>MISSING OEWS</v>
      </c>
    </row>
    <row r="3055" spans="1:11">
      <c r="A3055" t="s">
        <v>114</v>
      </c>
      <c r="B3055" t="s">
        <v>115</v>
      </c>
      <c r="C3055" t="s">
        <v>960</v>
      </c>
      <c r="D3055" t="s">
        <v>961</v>
      </c>
      <c r="E3055" s="8">
        <v>87630</v>
      </c>
      <c r="F3055" s="8">
        <v>117160</v>
      </c>
      <c r="G3055" s="8">
        <f t="shared" si="188"/>
        <v>10266730800</v>
      </c>
      <c r="H3055" s="5">
        <v>0.3463</v>
      </c>
      <c r="I3055" s="8">
        <f t="shared" si="189"/>
        <v>10266730800</v>
      </c>
      <c r="J3055" s="8">
        <f t="shared" si="190"/>
        <v>3555368876.04</v>
      </c>
      <c r="K3055" t="str">
        <f t="shared" si="191"/>
        <v>MATCHED</v>
      </c>
    </row>
    <row r="3056" spans="1:11">
      <c r="A3056" t="s">
        <v>114</v>
      </c>
      <c r="B3056" t="s">
        <v>115</v>
      </c>
      <c r="C3056" t="s">
        <v>1476</v>
      </c>
      <c r="D3056" t="s">
        <v>1477</v>
      </c>
      <c r="E3056" s="8"/>
      <c r="F3056" s="8">
        <v>104670</v>
      </c>
      <c r="G3056" s="8" t="str">
        <f t="shared" si="188"/>
        <v/>
      </c>
      <c r="H3056" s="5">
        <v>0.2018</v>
      </c>
      <c r="I3056" s="8" t="str">
        <f t="shared" si="189"/>
        <v/>
      </c>
      <c r="J3056" s="8" t="str">
        <f t="shared" si="190"/>
        <v/>
      </c>
      <c r="K3056" t="str">
        <f t="shared" si="191"/>
        <v>MISSING OEWS</v>
      </c>
    </row>
    <row r="3057" spans="1:11">
      <c r="A3057" t="s">
        <v>114</v>
      </c>
      <c r="B3057" t="s">
        <v>115</v>
      </c>
      <c r="C3057" t="s">
        <v>1575</v>
      </c>
      <c r="D3057" t="s">
        <v>1576</v>
      </c>
      <c r="E3057" s="8">
        <v>110</v>
      </c>
      <c r="F3057" s="8"/>
      <c r="G3057" s="8" t="str">
        <f t="shared" si="188"/>
        <v/>
      </c>
      <c r="H3057" s="5">
        <v>0</v>
      </c>
      <c r="I3057" s="8" t="str">
        <f t="shared" si="189"/>
        <v/>
      </c>
      <c r="J3057" s="8" t="str">
        <f t="shared" si="190"/>
        <v/>
      </c>
      <c r="K3057" t="str">
        <f t="shared" si="191"/>
        <v>MISSING OEWS</v>
      </c>
    </row>
    <row r="3058" spans="1:11">
      <c r="A3058" t="s">
        <v>114</v>
      </c>
      <c r="B3058" t="s">
        <v>115</v>
      </c>
      <c r="C3058" t="s">
        <v>1577</v>
      </c>
      <c r="D3058" t="s">
        <v>1578</v>
      </c>
      <c r="E3058" s="8">
        <v>950</v>
      </c>
      <c r="F3058" s="8"/>
      <c r="G3058" s="8" t="str">
        <f t="shared" si="188"/>
        <v/>
      </c>
      <c r="H3058" s="5">
        <v>0.5433</v>
      </c>
      <c r="I3058" s="8" t="str">
        <f t="shared" si="189"/>
        <v/>
      </c>
      <c r="J3058" s="8" t="str">
        <f t="shared" si="190"/>
        <v/>
      </c>
      <c r="K3058" t="str">
        <f t="shared" si="191"/>
        <v>MISSING OEWS</v>
      </c>
    </row>
    <row r="3059" spans="1:11">
      <c r="A3059" t="s">
        <v>114</v>
      </c>
      <c r="B3059" t="s">
        <v>115</v>
      </c>
      <c r="C3059" t="s">
        <v>1478</v>
      </c>
      <c r="D3059" t="s">
        <v>1479</v>
      </c>
      <c r="E3059" s="8">
        <v>360</v>
      </c>
      <c r="F3059" s="8"/>
      <c r="G3059" s="8" t="str">
        <f t="shared" si="188"/>
        <v/>
      </c>
      <c r="H3059" s="5">
        <v>0.1733</v>
      </c>
      <c r="I3059" s="8" t="str">
        <f t="shared" si="189"/>
        <v/>
      </c>
      <c r="J3059" s="8" t="str">
        <f t="shared" si="190"/>
        <v/>
      </c>
      <c r="K3059" t="str">
        <f t="shared" si="191"/>
        <v>MISSING OEWS</v>
      </c>
    </row>
    <row r="3060" spans="1:11">
      <c r="A3060" t="s">
        <v>114</v>
      </c>
      <c r="B3060" t="s">
        <v>115</v>
      </c>
      <c r="C3060" t="s">
        <v>1579</v>
      </c>
      <c r="D3060" t="s">
        <v>1580</v>
      </c>
      <c r="E3060" s="8">
        <v>190</v>
      </c>
      <c r="F3060" s="8"/>
      <c r="G3060" s="8" t="str">
        <f t="shared" si="188"/>
        <v/>
      </c>
      <c r="H3060" s="5">
        <v>0.4868</v>
      </c>
      <c r="I3060" s="8" t="str">
        <f t="shared" si="189"/>
        <v/>
      </c>
      <c r="J3060" s="8" t="str">
        <f t="shared" si="190"/>
        <v/>
      </c>
      <c r="K3060" t="str">
        <f t="shared" si="191"/>
        <v>MISSING OEWS</v>
      </c>
    </row>
    <row r="3061" spans="1:11">
      <c r="A3061" t="s">
        <v>114</v>
      </c>
      <c r="B3061" t="s">
        <v>115</v>
      </c>
      <c r="C3061" t="s">
        <v>1196</v>
      </c>
      <c r="D3061" t="s">
        <v>1197</v>
      </c>
      <c r="E3061" s="8">
        <v>1330</v>
      </c>
      <c r="F3061" s="8"/>
      <c r="G3061" s="8" t="str">
        <f t="shared" si="188"/>
        <v/>
      </c>
      <c r="H3061" s="5"/>
      <c r="I3061" s="8" t="str">
        <f t="shared" si="189"/>
        <v/>
      </c>
      <c r="J3061" s="8" t="str">
        <f t="shared" si="190"/>
        <v/>
      </c>
      <c r="K3061" t="str">
        <f t="shared" si="191"/>
        <v>MISSING OEWS</v>
      </c>
    </row>
    <row r="3062" spans="1:11">
      <c r="A3062" t="s">
        <v>114</v>
      </c>
      <c r="B3062" t="s">
        <v>115</v>
      </c>
      <c r="C3062" t="s">
        <v>1480</v>
      </c>
      <c r="D3062" t="s">
        <v>1481</v>
      </c>
      <c r="E3062" s="8">
        <v>17710</v>
      </c>
      <c r="F3062" s="8"/>
      <c r="G3062" s="8" t="str">
        <f t="shared" si="188"/>
        <v/>
      </c>
      <c r="H3062" s="5">
        <v>0.7021</v>
      </c>
      <c r="I3062" s="8" t="str">
        <f t="shared" si="189"/>
        <v/>
      </c>
      <c r="J3062" s="8" t="str">
        <f t="shared" si="190"/>
        <v/>
      </c>
      <c r="K3062" t="str">
        <f t="shared" si="191"/>
        <v>MISSING OEWS</v>
      </c>
    </row>
    <row r="3063" spans="1:11">
      <c r="A3063" t="s">
        <v>114</v>
      </c>
      <c r="B3063" t="s">
        <v>115</v>
      </c>
      <c r="C3063" t="s">
        <v>1198</v>
      </c>
      <c r="D3063" t="s">
        <v>1199</v>
      </c>
      <c r="E3063" s="8">
        <v>37120</v>
      </c>
      <c r="F3063" s="8">
        <v>103340</v>
      </c>
      <c r="G3063" s="8">
        <f t="shared" si="188"/>
        <v>3835980800</v>
      </c>
      <c r="H3063" s="5">
        <v>0.71</v>
      </c>
      <c r="I3063" s="8">
        <f t="shared" si="189"/>
        <v>3835980800</v>
      </c>
      <c r="J3063" s="8">
        <f t="shared" si="190"/>
        <v>2723546368</v>
      </c>
      <c r="K3063" t="str">
        <f t="shared" si="191"/>
        <v>MATCHED</v>
      </c>
    </row>
    <row r="3064" spans="1:11">
      <c r="A3064" t="s">
        <v>114</v>
      </c>
      <c r="B3064" t="s">
        <v>115</v>
      </c>
      <c r="C3064" t="s">
        <v>323</v>
      </c>
      <c r="D3064" t="s">
        <v>324</v>
      </c>
      <c r="E3064" s="8">
        <v>13200</v>
      </c>
      <c r="F3064" s="8">
        <v>95170</v>
      </c>
      <c r="G3064" s="8">
        <f t="shared" si="188"/>
        <v>1256244000</v>
      </c>
      <c r="H3064" s="5">
        <v>0.575</v>
      </c>
      <c r="I3064" s="8">
        <f t="shared" si="189"/>
        <v>1256244000</v>
      </c>
      <c r="J3064" s="8">
        <f t="shared" si="190"/>
        <v>722340300</v>
      </c>
      <c r="K3064" t="str">
        <f t="shared" si="191"/>
        <v>MATCHED</v>
      </c>
    </row>
    <row r="3065" spans="1:11">
      <c r="A3065" t="s">
        <v>114</v>
      </c>
      <c r="B3065" t="s">
        <v>115</v>
      </c>
      <c r="C3065" t="s">
        <v>1200</v>
      </c>
      <c r="D3065" t="s">
        <v>1201</v>
      </c>
      <c r="E3065" s="8">
        <v>53620</v>
      </c>
      <c r="F3065" s="8">
        <v>92930</v>
      </c>
      <c r="G3065" s="8">
        <f t="shared" si="188"/>
        <v>4982906600</v>
      </c>
      <c r="H3065" s="5">
        <v>0.6643</v>
      </c>
      <c r="I3065" s="8">
        <f t="shared" si="189"/>
        <v>4982906600</v>
      </c>
      <c r="J3065" s="8">
        <f t="shared" si="190"/>
        <v>3310144854.38</v>
      </c>
      <c r="K3065" t="str">
        <f t="shared" si="191"/>
        <v>MATCHED</v>
      </c>
    </row>
    <row r="3066" spans="1:11">
      <c r="A3066" t="s">
        <v>114</v>
      </c>
      <c r="B3066" t="s">
        <v>115</v>
      </c>
      <c r="C3066" t="s">
        <v>636</v>
      </c>
      <c r="D3066" t="s">
        <v>637</v>
      </c>
      <c r="E3066" s="8">
        <v>5910</v>
      </c>
      <c r="F3066" s="8">
        <v>99950</v>
      </c>
      <c r="G3066" s="8">
        <f t="shared" si="188"/>
        <v>590704500</v>
      </c>
      <c r="H3066" s="5">
        <v>0.71</v>
      </c>
      <c r="I3066" s="8">
        <f t="shared" si="189"/>
        <v>590704500</v>
      </c>
      <c r="J3066" s="8">
        <f t="shared" si="190"/>
        <v>419400195</v>
      </c>
      <c r="K3066" t="str">
        <f t="shared" si="191"/>
        <v>MATCHED</v>
      </c>
    </row>
    <row r="3067" spans="1:11">
      <c r="A3067" t="s">
        <v>114</v>
      </c>
      <c r="B3067" t="s">
        <v>115</v>
      </c>
      <c r="C3067" t="s">
        <v>860</v>
      </c>
      <c r="D3067" t="s">
        <v>861</v>
      </c>
      <c r="E3067" s="8">
        <v>11730</v>
      </c>
      <c r="F3067" s="8">
        <v>88170</v>
      </c>
      <c r="G3067" s="8">
        <f t="shared" si="188"/>
        <v>1034234100</v>
      </c>
      <c r="H3067" s="5">
        <v>0.7744</v>
      </c>
      <c r="I3067" s="8">
        <f t="shared" si="189"/>
        <v>1034234100</v>
      </c>
      <c r="J3067" s="8">
        <f t="shared" si="190"/>
        <v>800910887.04</v>
      </c>
      <c r="K3067" t="str">
        <f t="shared" si="191"/>
        <v>MATCHED</v>
      </c>
    </row>
    <row r="3068" spans="1:11">
      <c r="A3068" t="s">
        <v>114</v>
      </c>
      <c r="B3068" t="s">
        <v>115</v>
      </c>
      <c r="C3068" t="s">
        <v>1202</v>
      </c>
      <c r="D3068" t="s">
        <v>1203</v>
      </c>
      <c r="E3068" s="8">
        <v>960</v>
      </c>
      <c r="F3068" s="8">
        <v>75670</v>
      </c>
      <c r="G3068" s="8">
        <f t="shared" si="188"/>
        <v>72643200</v>
      </c>
      <c r="H3068" s="5">
        <v>0.6294</v>
      </c>
      <c r="I3068" s="8">
        <f t="shared" si="189"/>
        <v>72643200</v>
      </c>
      <c r="J3068" s="8">
        <f t="shared" si="190"/>
        <v>45721630.08</v>
      </c>
      <c r="K3068" t="str">
        <f t="shared" si="191"/>
        <v>MATCHED</v>
      </c>
    </row>
    <row r="3069" spans="1:11">
      <c r="A3069" t="s">
        <v>114</v>
      </c>
      <c r="B3069" t="s">
        <v>115</v>
      </c>
      <c r="C3069" t="s">
        <v>1581</v>
      </c>
      <c r="D3069" t="s">
        <v>1582</v>
      </c>
      <c r="E3069" s="8">
        <v>260</v>
      </c>
      <c r="F3069" s="8"/>
      <c r="G3069" s="8" t="str">
        <f t="shared" si="188"/>
        <v/>
      </c>
      <c r="H3069" s="5">
        <v>0.8143</v>
      </c>
      <c r="I3069" s="8" t="str">
        <f t="shared" si="189"/>
        <v/>
      </c>
      <c r="J3069" s="8" t="str">
        <f t="shared" si="190"/>
        <v/>
      </c>
      <c r="K3069" t="str">
        <f t="shared" si="191"/>
        <v>MISSING OEWS</v>
      </c>
    </row>
    <row r="3070" spans="1:11">
      <c r="A3070" t="s">
        <v>114</v>
      </c>
      <c r="B3070" t="s">
        <v>115</v>
      </c>
      <c r="C3070" t="s">
        <v>1204</v>
      </c>
      <c r="D3070" t="s">
        <v>1205</v>
      </c>
      <c r="E3070" s="8">
        <v>11010</v>
      </c>
      <c r="F3070" s="8">
        <v>94920</v>
      </c>
      <c r="G3070" s="8">
        <f t="shared" si="188"/>
        <v>1045069200</v>
      </c>
      <c r="H3070" s="5"/>
      <c r="I3070" s="8" t="str">
        <f t="shared" si="189"/>
        <v/>
      </c>
      <c r="J3070" s="8" t="str">
        <f t="shared" si="190"/>
        <v/>
      </c>
      <c r="K3070" t="str">
        <f t="shared" si="191"/>
        <v>MISSING WHARTON</v>
      </c>
    </row>
    <row r="3071" spans="1:11">
      <c r="A3071" t="s">
        <v>114</v>
      </c>
      <c r="B3071" t="s">
        <v>115</v>
      </c>
      <c r="C3071" t="s">
        <v>962</v>
      </c>
      <c r="D3071" t="s">
        <v>963</v>
      </c>
      <c r="E3071" s="8">
        <v>13320</v>
      </c>
      <c r="F3071" s="8">
        <v>72130</v>
      </c>
      <c r="G3071" s="8">
        <f t="shared" si="188"/>
        <v>960771600</v>
      </c>
      <c r="H3071" s="5">
        <v>0.5483</v>
      </c>
      <c r="I3071" s="8">
        <f t="shared" si="189"/>
        <v>960771600</v>
      </c>
      <c r="J3071" s="8">
        <f t="shared" si="190"/>
        <v>526791068.28</v>
      </c>
      <c r="K3071" t="str">
        <f t="shared" si="191"/>
        <v>MATCHED</v>
      </c>
    </row>
    <row r="3072" spans="1:11">
      <c r="A3072" t="s">
        <v>114</v>
      </c>
      <c r="B3072" t="s">
        <v>115</v>
      </c>
      <c r="C3072" t="s">
        <v>1429</v>
      </c>
      <c r="D3072" t="s">
        <v>1430</v>
      </c>
      <c r="E3072" s="8">
        <v>17150</v>
      </c>
      <c r="F3072" s="8">
        <v>66780</v>
      </c>
      <c r="G3072" s="8">
        <f t="shared" si="188"/>
        <v>1145277000</v>
      </c>
      <c r="H3072" s="5">
        <v>0.6138</v>
      </c>
      <c r="I3072" s="8">
        <f t="shared" si="189"/>
        <v>1145277000</v>
      </c>
      <c r="J3072" s="8">
        <f t="shared" si="190"/>
        <v>702971022.6</v>
      </c>
      <c r="K3072" t="str">
        <f t="shared" si="191"/>
        <v>MATCHED</v>
      </c>
    </row>
    <row r="3073" spans="1:11">
      <c r="A3073" t="s">
        <v>114</v>
      </c>
      <c r="B3073" t="s">
        <v>115</v>
      </c>
      <c r="C3073" t="s">
        <v>964</v>
      </c>
      <c r="D3073" t="s">
        <v>965</v>
      </c>
      <c r="E3073" s="8">
        <v>6870</v>
      </c>
      <c r="F3073" s="8">
        <v>84600</v>
      </c>
      <c r="G3073" s="8">
        <f t="shared" si="188"/>
        <v>581202000</v>
      </c>
      <c r="H3073" s="5">
        <v>0.5607</v>
      </c>
      <c r="I3073" s="8">
        <f t="shared" si="189"/>
        <v>581202000</v>
      </c>
      <c r="J3073" s="8">
        <f t="shared" si="190"/>
        <v>325879961.4</v>
      </c>
      <c r="K3073" t="str">
        <f t="shared" si="191"/>
        <v>MATCHED</v>
      </c>
    </row>
    <row r="3074" spans="1:11">
      <c r="A3074" t="s">
        <v>114</v>
      </c>
      <c r="B3074" t="s">
        <v>115</v>
      </c>
      <c r="C3074" t="s">
        <v>966</v>
      </c>
      <c r="D3074" t="s">
        <v>967</v>
      </c>
      <c r="E3074" s="8">
        <v>2200</v>
      </c>
      <c r="F3074" s="8">
        <v>113260</v>
      </c>
      <c r="G3074" s="8">
        <f t="shared" ref="G3074:G3137" si="192">IF(OR(E3074="",F3074=""),"",E3074*F3074)</f>
        <v>249172000</v>
      </c>
      <c r="H3074" s="5">
        <v>0.0594</v>
      </c>
      <c r="I3074" s="8">
        <f t="shared" ref="I3074:I3137" si="193">IF(G3074="","",IF(ISNUMBER(H3074),G3074,""))</f>
        <v>249172000</v>
      </c>
      <c r="J3074" s="8">
        <f t="shared" ref="J3074:J3137" si="194">IF(I3074="","",I3074*H3074)</f>
        <v>14800816.8</v>
      </c>
      <c r="K3074" t="str">
        <f t="shared" ref="K3074:K3137" si="195">IF(G3074="","MISSING OEWS",IF(ISNUMBER(H3074),"MATCHED","MISSING WHARTON"))</f>
        <v>MATCHED</v>
      </c>
    </row>
    <row r="3075" spans="1:11">
      <c r="A3075" t="s">
        <v>114</v>
      </c>
      <c r="B3075" t="s">
        <v>115</v>
      </c>
      <c r="C3075" t="s">
        <v>968</v>
      </c>
      <c r="D3075" t="s">
        <v>969</v>
      </c>
      <c r="E3075" s="8">
        <v>6390</v>
      </c>
      <c r="F3075" s="8">
        <v>77580</v>
      </c>
      <c r="G3075" s="8">
        <f t="shared" si="192"/>
        <v>495736200</v>
      </c>
      <c r="H3075" s="5">
        <v>0.3207</v>
      </c>
      <c r="I3075" s="8">
        <f t="shared" si="193"/>
        <v>495736200</v>
      </c>
      <c r="J3075" s="8">
        <f t="shared" si="194"/>
        <v>158982599.34</v>
      </c>
      <c r="K3075" t="str">
        <f t="shared" si="195"/>
        <v>MATCHED</v>
      </c>
    </row>
    <row r="3076" spans="1:11">
      <c r="A3076" t="s">
        <v>114</v>
      </c>
      <c r="B3076" t="s">
        <v>115</v>
      </c>
      <c r="C3076" t="s">
        <v>970</v>
      </c>
      <c r="D3076" t="s">
        <v>971</v>
      </c>
      <c r="E3076" s="8">
        <v>12280</v>
      </c>
      <c r="F3076" s="8">
        <v>86580</v>
      </c>
      <c r="G3076" s="8">
        <f t="shared" si="192"/>
        <v>1063202400</v>
      </c>
      <c r="H3076" s="5">
        <v>0.3458</v>
      </c>
      <c r="I3076" s="8">
        <f t="shared" si="193"/>
        <v>1063202400</v>
      </c>
      <c r="J3076" s="8">
        <f t="shared" si="194"/>
        <v>367655389.92</v>
      </c>
      <c r="K3076" t="str">
        <f t="shared" si="195"/>
        <v>MATCHED</v>
      </c>
    </row>
    <row r="3077" spans="1:11">
      <c r="A3077" t="s">
        <v>114</v>
      </c>
      <c r="B3077" t="s">
        <v>115</v>
      </c>
      <c r="C3077" t="s">
        <v>1206</v>
      </c>
      <c r="D3077" t="s">
        <v>1207</v>
      </c>
      <c r="E3077" s="8">
        <v>17670</v>
      </c>
      <c r="F3077" s="8">
        <v>90990</v>
      </c>
      <c r="G3077" s="8">
        <f t="shared" si="192"/>
        <v>1607793300</v>
      </c>
      <c r="H3077" s="5">
        <v>0.6065</v>
      </c>
      <c r="I3077" s="8">
        <f t="shared" si="193"/>
        <v>1607793300</v>
      </c>
      <c r="J3077" s="8">
        <f t="shared" si="194"/>
        <v>975126636.45</v>
      </c>
      <c r="K3077" t="str">
        <f t="shared" si="195"/>
        <v>MATCHED</v>
      </c>
    </row>
    <row r="3078" spans="1:11">
      <c r="A3078" t="s">
        <v>114</v>
      </c>
      <c r="B3078" t="s">
        <v>115</v>
      </c>
      <c r="C3078" t="s">
        <v>1519</v>
      </c>
      <c r="D3078" t="s">
        <v>1520</v>
      </c>
      <c r="E3078" s="8">
        <v>3340</v>
      </c>
      <c r="F3078" s="8">
        <v>74630</v>
      </c>
      <c r="G3078" s="8">
        <f t="shared" si="192"/>
        <v>249264200</v>
      </c>
      <c r="H3078" s="5"/>
      <c r="I3078" s="8" t="str">
        <f t="shared" si="193"/>
        <v/>
      </c>
      <c r="J3078" s="8" t="str">
        <f t="shared" si="194"/>
        <v/>
      </c>
      <c r="K3078" t="str">
        <f t="shared" si="195"/>
        <v>MISSING WHARTON</v>
      </c>
    </row>
    <row r="3079" spans="1:11">
      <c r="A3079" t="s">
        <v>114</v>
      </c>
      <c r="B3079" t="s">
        <v>115</v>
      </c>
      <c r="C3079" t="s">
        <v>1583</v>
      </c>
      <c r="D3079" t="s">
        <v>1584</v>
      </c>
      <c r="E3079" s="8">
        <v>30</v>
      </c>
      <c r="F3079" s="8">
        <v>114530</v>
      </c>
      <c r="G3079" s="8">
        <f t="shared" si="192"/>
        <v>3435900</v>
      </c>
      <c r="H3079" s="5">
        <v>0.1958</v>
      </c>
      <c r="I3079" s="8">
        <f t="shared" si="193"/>
        <v>3435900</v>
      </c>
      <c r="J3079" s="8">
        <f t="shared" si="194"/>
        <v>672749.22</v>
      </c>
      <c r="K3079" t="str">
        <f t="shared" si="195"/>
        <v>MATCHED</v>
      </c>
    </row>
    <row r="3080" spans="1:11">
      <c r="A3080" t="s">
        <v>114</v>
      </c>
      <c r="B3080" t="s">
        <v>115</v>
      </c>
      <c r="C3080" t="s">
        <v>862</v>
      </c>
      <c r="D3080" t="s">
        <v>863</v>
      </c>
      <c r="E3080" s="8">
        <v>590</v>
      </c>
      <c r="F3080" s="8">
        <v>95730</v>
      </c>
      <c r="G3080" s="8">
        <f t="shared" si="192"/>
        <v>56480700</v>
      </c>
      <c r="H3080" s="5">
        <v>0.1958</v>
      </c>
      <c r="I3080" s="8">
        <f t="shared" si="193"/>
        <v>56480700</v>
      </c>
      <c r="J3080" s="8">
        <f t="shared" si="194"/>
        <v>11058921.06</v>
      </c>
      <c r="K3080" t="str">
        <f t="shared" si="195"/>
        <v>MATCHED</v>
      </c>
    </row>
    <row r="3081" spans="1:11">
      <c r="A3081" t="s">
        <v>114</v>
      </c>
      <c r="B3081" t="s">
        <v>115</v>
      </c>
      <c r="C3081" t="s">
        <v>1228</v>
      </c>
      <c r="D3081" t="s">
        <v>1229</v>
      </c>
      <c r="E3081" s="8"/>
      <c r="F3081" s="8">
        <v>51060</v>
      </c>
      <c r="G3081" s="8" t="str">
        <f t="shared" si="192"/>
        <v/>
      </c>
      <c r="H3081" s="5">
        <v>0.6357</v>
      </c>
      <c r="I3081" s="8" t="str">
        <f t="shared" si="193"/>
        <v/>
      </c>
      <c r="J3081" s="8" t="str">
        <f t="shared" si="194"/>
        <v/>
      </c>
      <c r="K3081" t="str">
        <f t="shared" si="195"/>
        <v>MISSING OEWS</v>
      </c>
    </row>
    <row r="3082" spans="1:11">
      <c r="A3082" t="s">
        <v>114</v>
      </c>
      <c r="B3082" t="s">
        <v>115</v>
      </c>
      <c r="C3082" t="s">
        <v>1232</v>
      </c>
      <c r="D3082" t="s">
        <v>1233</v>
      </c>
      <c r="E3082" s="8">
        <v>2000</v>
      </c>
      <c r="F3082" s="8">
        <v>54890</v>
      </c>
      <c r="G3082" s="8">
        <f t="shared" si="192"/>
        <v>109780000</v>
      </c>
      <c r="H3082" s="5">
        <v>0.9353</v>
      </c>
      <c r="I3082" s="8">
        <f t="shared" si="193"/>
        <v>109780000</v>
      </c>
      <c r="J3082" s="8">
        <f t="shared" si="194"/>
        <v>102677234</v>
      </c>
      <c r="K3082" t="str">
        <f t="shared" si="195"/>
        <v>MATCHED</v>
      </c>
    </row>
    <row r="3083" spans="1:11">
      <c r="A3083" t="s">
        <v>114</v>
      </c>
      <c r="B3083" t="s">
        <v>115</v>
      </c>
      <c r="C3083" t="s">
        <v>1242</v>
      </c>
      <c r="D3083" t="s">
        <v>1243</v>
      </c>
      <c r="E3083" s="8">
        <v>1510</v>
      </c>
      <c r="F3083" s="8">
        <v>62950</v>
      </c>
      <c r="G3083" s="8">
        <f t="shared" si="192"/>
        <v>95054500</v>
      </c>
      <c r="H3083" s="5">
        <v>0.7969</v>
      </c>
      <c r="I3083" s="8">
        <f t="shared" si="193"/>
        <v>95054500</v>
      </c>
      <c r="J3083" s="8">
        <f t="shared" si="194"/>
        <v>75748931.05</v>
      </c>
      <c r="K3083" t="str">
        <f t="shared" si="195"/>
        <v>MATCHED</v>
      </c>
    </row>
    <row r="3084" spans="1:11">
      <c r="A3084" t="s">
        <v>114</v>
      </c>
      <c r="B3084" t="s">
        <v>115</v>
      </c>
      <c r="C3084" t="s">
        <v>972</v>
      </c>
      <c r="D3084" t="s">
        <v>973</v>
      </c>
      <c r="E3084" s="8"/>
      <c r="F3084" s="8">
        <v>35480</v>
      </c>
      <c r="G3084" s="8" t="str">
        <f t="shared" si="192"/>
        <v/>
      </c>
      <c r="H3084" s="5">
        <v>0.118</v>
      </c>
      <c r="I3084" s="8" t="str">
        <f t="shared" si="193"/>
        <v/>
      </c>
      <c r="J3084" s="8" t="str">
        <f t="shared" si="194"/>
        <v/>
      </c>
      <c r="K3084" t="str">
        <f t="shared" si="195"/>
        <v>MISSING OEWS</v>
      </c>
    </row>
    <row r="3085" spans="1:11">
      <c r="A3085" t="s">
        <v>114</v>
      </c>
      <c r="B3085" t="s">
        <v>115</v>
      </c>
      <c r="C3085" t="s">
        <v>1250</v>
      </c>
      <c r="D3085" t="s">
        <v>1251</v>
      </c>
      <c r="E3085" s="8"/>
      <c r="F3085" s="8">
        <v>49420</v>
      </c>
      <c r="G3085" s="8" t="str">
        <f t="shared" si="192"/>
        <v/>
      </c>
      <c r="H3085" s="5">
        <v>0.4025</v>
      </c>
      <c r="I3085" s="8" t="str">
        <f t="shared" si="193"/>
        <v/>
      </c>
      <c r="J3085" s="8" t="str">
        <f t="shared" si="194"/>
        <v/>
      </c>
      <c r="K3085" t="str">
        <f t="shared" si="195"/>
        <v>MISSING OEWS</v>
      </c>
    </row>
    <row r="3086" spans="1:11">
      <c r="A3086" t="s">
        <v>114</v>
      </c>
      <c r="B3086" t="s">
        <v>115</v>
      </c>
      <c r="C3086" t="s">
        <v>644</v>
      </c>
      <c r="D3086" t="s">
        <v>645</v>
      </c>
      <c r="E3086" s="8">
        <v>250</v>
      </c>
      <c r="F3086" s="8">
        <v>89790</v>
      </c>
      <c r="G3086" s="8">
        <f t="shared" si="192"/>
        <v>22447500</v>
      </c>
      <c r="H3086" s="5">
        <v>0.3929</v>
      </c>
      <c r="I3086" s="8">
        <f t="shared" si="193"/>
        <v>22447500</v>
      </c>
      <c r="J3086" s="8">
        <f t="shared" si="194"/>
        <v>8819622.75</v>
      </c>
      <c r="K3086" t="str">
        <f t="shared" si="195"/>
        <v>MATCHED</v>
      </c>
    </row>
    <row r="3087" spans="1:11">
      <c r="A3087" t="s">
        <v>114</v>
      </c>
      <c r="B3087" t="s">
        <v>115</v>
      </c>
      <c r="C3087" t="s">
        <v>870</v>
      </c>
      <c r="D3087" t="s">
        <v>871</v>
      </c>
      <c r="E3087" s="8">
        <v>600</v>
      </c>
      <c r="F3087" s="8">
        <v>86930</v>
      </c>
      <c r="G3087" s="8">
        <f t="shared" si="192"/>
        <v>52158000</v>
      </c>
      <c r="H3087" s="5">
        <v>0.3324</v>
      </c>
      <c r="I3087" s="8">
        <f t="shared" si="193"/>
        <v>52158000</v>
      </c>
      <c r="J3087" s="8">
        <f t="shared" si="194"/>
        <v>17337319.2</v>
      </c>
      <c r="K3087" t="str">
        <f t="shared" si="195"/>
        <v>MATCHED</v>
      </c>
    </row>
    <row r="3088" spans="1:11">
      <c r="A3088" t="s">
        <v>114</v>
      </c>
      <c r="B3088" t="s">
        <v>115</v>
      </c>
      <c r="C3088" t="s">
        <v>329</v>
      </c>
      <c r="D3088" t="s">
        <v>330</v>
      </c>
      <c r="E3088" s="8">
        <v>3040</v>
      </c>
      <c r="F3088" s="8">
        <v>59500</v>
      </c>
      <c r="G3088" s="8">
        <f t="shared" si="192"/>
        <v>180880000</v>
      </c>
      <c r="H3088" s="5">
        <v>0.1357</v>
      </c>
      <c r="I3088" s="8">
        <f t="shared" si="193"/>
        <v>180880000</v>
      </c>
      <c r="J3088" s="8">
        <f t="shared" si="194"/>
        <v>24545416</v>
      </c>
      <c r="K3088" t="str">
        <f t="shared" si="195"/>
        <v>MATCHED</v>
      </c>
    </row>
    <row r="3089" spans="1:11">
      <c r="A3089" t="s">
        <v>114</v>
      </c>
      <c r="B3089" t="s">
        <v>115</v>
      </c>
      <c r="C3089" t="s">
        <v>976</v>
      </c>
      <c r="D3089" t="s">
        <v>977</v>
      </c>
      <c r="E3089" s="8"/>
      <c r="F3089" s="8">
        <v>39940</v>
      </c>
      <c r="G3089" s="8" t="str">
        <f t="shared" si="192"/>
        <v/>
      </c>
      <c r="H3089" s="5">
        <v>0</v>
      </c>
      <c r="I3089" s="8" t="str">
        <f t="shared" si="193"/>
        <v/>
      </c>
      <c r="J3089" s="8" t="str">
        <f t="shared" si="194"/>
        <v/>
      </c>
      <c r="K3089" t="str">
        <f t="shared" si="195"/>
        <v>MISSING OEWS</v>
      </c>
    </row>
    <row r="3090" spans="1:11">
      <c r="A3090" t="s">
        <v>114</v>
      </c>
      <c r="B3090" t="s">
        <v>115</v>
      </c>
      <c r="C3090" t="s">
        <v>872</v>
      </c>
      <c r="D3090" t="s">
        <v>873</v>
      </c>
      <c r="E3090" s="8">
        <v>100</v>
      </c>
      <c r="F3090" s="8">
        <v>94590</v>
      </c>
      <c r="G3090" s="8">
        <f t="shared" si="192"/>
        <v>9459000</v>
      </c>
      <c r="H3090" s="5">
        <v>0.3357</v>
      </c>
      <c r="I3090" s="8">
        <f t="shared" si="193"/>
        <v>9459000</v>
      </c>
      <c r="J3090" s="8">
        <f t="shared" si="194"/>
        <v>3175386.3</v>
      </c>
      <c r="K3090" t="str">
        <f t="shared" si="195"/>
        <v>MATCHED</v>
      </c>
    </row>
    <row r="3091" spans="1:11">
      <c r="A3091" t="s">
        <v>114</v>
      </c>
      <c r="B3091" t="s">
        <v>115</v>
      </c>
      <c r="C3091" t="s">
        <v>978</v>
      </c>
      <c r="D3091" t="s">
        <v>979</v>
      </c>
      <c r="E3091" s="8">
        <v>230</v>
      </c>
      <c r="F3091" s="8">
        <v>72380</v>
      </c>
      <c r="G3091" s="8">
        <f t="shared" si="192"/>
        <v>16647400</v>
      </c>
      <c r="H3091" s="5">
        <v>0.281</v>
      </c>
      <c r="I3091" s="8">
        <f t="shared" si="193"/>
        <v>16647400</v>
      </c>
      <c r="J3091" s="8">
        <f t="shared" si="194"/>
        <v>4677919.4</v>
      </c>
      <c r="K3091" t="str">
        <f t="shared" si="195"/>
        <v>MATCHED</v>
      </c>
    </row>
    <row r="3092" spans="1:11">
      <c r="A3092" t="s">
        <v>114</v>
      </c>
      <c r="B3092" t="s">
        <v>115</v>
      </c>
      <c r="C3092" t="s">
        <v>980</v>
      </c>
      <c r="D3092" t="s">
        <v>981</v>
      </c>
      <c r="E3092" s="8">
        <v>2070</v>
      </c>
      <c r="F3092" s="8">
        <v>43140</v>
      </c>
      <c r="G3092" s="8">
        <f t="shared" si="192"/>
        <v>89299800</v>
      </c>
      <c r="H3092" s="5">
        <v>0.4173</v>
      </c>
      <c r="I3092" s="8">
        <f t="shared" si="193"/>
        <v>89299800</v>
      </c>
      <c r="J3092" s="8">
        <f t="shared" si="194"/>
        <v>37264806.54</v>
      </c>
      <c r="K3092" t="str">
        <f t="shared" si="195"/>
        <v>MATCHED</v>
      </c>
    </row>
    <row r="3093" spans="1:11">
      <c r="A3093" t="s">
        <v>114</v>
      </c>
      <c r="B3093" t="s">
        <v>115</v>
      </c>
      <c r="C3093" t="s">
        <v>1258</v>
      </c>
      <c r="D3093" t="s">
        <v>1259</v>
      </c>
      <c r="E3093" s="8">
        <v>180</v>
      </c>
      <c r="F3093" s="8">
        <v>33000</v>
      </c>
      <c r="G3093" s="8">
        <f t="shared" si="192"/>
        <v>5940000</v>
      </c>
      <c r="H3093" s="5">
        <v>0.05</v>
      </c>
      <c r="I3093" s="8">
        <f t="shared" si="193"/>
        <v>5940000</v>
      </c>
      <c r="J3093" s="8">
        <f t="shared" si="194"/>
        <v>297000</v>
      </c>
      <c r="K3093" t="str">
        <f t="shared" si="195"/>
        <v>MATCHED</v>
      </c>
    </row>
    <row r="3094" spans="1:11">
      <c r="A3094" t="s">
        <v>114</v>
      </c>
      <c r="B3094" t="s">
        <v>115</v>
      </c>
      <c r="C3094" t="s">
        <v>982</v>
      </c>
      <c r="D3094" t="s">
        <v>983</v>
      </c>
      <c r="E3094" s="8">
        <v>310</v>
      </c>
      <c r="F3094" s="8">
        <v>38360</v>
      </c>
      <c r="G3094" s="8">
        <f t="shared" si="192"/>
        <v>11891600</v>
      </c>
      <c r="H3094" s="5">
        <v>0.25</v>
      </c>
      <c r="I3094" s="8">
        <f t="shared" si="193"/>
        <v>11891600</v>
      </c>
      <c r="J3094" s="8">
        <f t="shared" si="194"/>
        <v>2972900</v>
      </c>
      <c r="K3094" t="str">
        <f t="shared" si="195"/>
        <v>MATCHED</v>
      </c>
    </row>
    <row r="3095" spans="1:11">
      <c r="A3095" t="s">
        <v>114</v>
      </c>
      <c r="B3095" t="s">
        <v>115</v>
      </c>
      <c r="C3095" t="s">
        <v>984</v>
      </c>
      <c r="D3095" t="s">
        <v>985</v>
      </c>
      <c r="E3095" s="8">
        <v>700</v>
      </c>
      <c r="F3095" s="8">
        <v>37750</v>
      </c>
      <c r="G3095" s="8">
        <f t="shared" si="192"/>
        <v>26425000</v>
      </c>
      <c r="H3095" s="5">
        <v>0.1175</v>
      </c>
      <c r="I3095" s="8">
        <f t="shared" si="193"/>
        <v>26425000</v>
      </c>
      <c r="J3095" s="8">
        <f t="shared" si="194"/>
        <v>3104937.5</v>
      </c>
      <c r="K3095" t="str">
        <f t="shared" si="195"/>
        <v>MATCHED</v>
      </c>
    </row>
    <row r="3096" spans="1:11">
      <c r="A3096" t="s">
        <v>114</v>
      </c>
      <c r="B3096" t="s">
        <v>115</v>
      </c>
      <c r="C3096" t="s">
        <v>1260</v>
      </c>
      <c r="D3096" t="s">
        <v>1261</v>
      </c>
      <c r="E3096" s="8">
        <v>260</v>
      </c>
      <c r="F3096" s="8">
        <v>38150</v>
      </c>
      <c r="G3096" s="8">
        <f t="shared" si="192"/>
        <v>9919000</v>
      </c>
      <c r="H3096" s="5">
        <v>0.0864</v>
      </c>
      <c r="I3096" s="8">
        <f t="shared" si="193"/>
        <v>9919000</v>
      </c>
      <c r="J3096" s="8">
        <f t="shared" si="194"/>
        <v>857001.6</v>
      </c>
      <c r="K3096" t="str">
        <f t="shared" si="195"/>
        <v>MATCHED</v>
      </c>
    </row>
    <row r="3097" spans="1:11">
      <c r="A3097" t="s">
        <v>114</v>
      </c>
      <c r="B3097" t="s">
        <v>115</v>
      </c>
      <c r="C3097" t="s">
        <v>1262</v>
      </c>
      <c r="D3097" t="s">
        <v>1263</v>
      </c>
      <c r="E3097" s="8">
        <v>870</v>
      </c>
      <c r="F3097" s="8">
        <v>36120</v>
      </c>
      <c r="G3097" s="8">
        <f t="shared" si="192"/>
        <v>31424400</v>
      </c>
      <c r="H3097" s="5"/>
      <c r="I3097" s="8" t="str">
        <f t="shared" si="193"/>
        <v/>
      </c>
      <c r="J3097" s="8" t="str">
        <f t="shared" si="194"/>
        <v/>
      </c>
      <c r="K3097" t="str">
        <f t="shared" si="195"/>
        <v>MISSING WHARTON</v>
      </c>
    </row>
    <row r="3098" spans="1:11">
      <c r="A3098" t="s">
        <v>114</v>
      </c>
      <c r="B3098" t="s">
        <v>115</v>
      </c>
      <c r="C3098" t="s">
        <v>986</v>
      </c>
      <c r="D3098" t="s">
        <v>987</v>
      </c>
      <c r="E3098" s="8">
        <v>750</v>
      </c>
      <c r="F3098" s="8">
        <v>47720</v>
      </c>
      <c r="G3098" s="8">
        <f t="shared" si="192"/>
        <v>35790000</v>
      </c>
      <c r="H3098" s="5">
        <v>0.0613</v>
      </c>
      <c r="I3098" s="8">
        <f t="shared" si="193"/>
        <v>35790000</v>
      </c>
      <c r="J3098" s="8">
        <f t="shared" si="194"/>
        <v>2193927</v>
      </c>
      <c r="K3098" t="str">
        <f t="shared" si="195"/>
        <v>MATCHED</v>
      </c>
    </row>
    <row r="3099" spans="1:11">
      <c r="A3099" t="s">
        <v>114</v>
      </c>
      <c r="B3099" t="s">
        <v>115</v>
      </c>
      <c r="C3099" t="s">
        <v>1264</v>
      </c>
      <c r="D3099" t="s">
        <v>1265</v>
      </c>
      <c r="E3099" s="8">
        <v>3470</v>
      </c>
      <c r="F3099" s="8">
        <v>34870</v>
      </c>
      <c r="G3099" s="8">
        <f t="shared" si="192"/>
        <v>120998900</v>
      </c>
      <c r="H3099" s="5">
        <v>0.1425</v>
      </c>
      <c r="I3099" s="8">
        <f t="shared" si="193"/>
        <v>120998900</v>
      </c>
      <c r="J3099" s="8">
        <f t="shared" si="194"/>
        <v>17242343.25</v>
      </c>
      <c r="K3099" t="str">
        <f t="shared" si="195"/>
        <v>MATCHED</v>
      </c>
    </row>
    <row r="3100" spans="1:11">
      <c r="A3100" t="s">
        <v>114</v>
      </c>
      <c r="B3100" t="s">
        <v>115</v>
      </c>
      <c r="C3100" t="s">
        <v>988</v>
      </c>
      <c r="D3100" t="s">
        <v>989</v>
      </c>
      <c r="E3100" s="8">
        <v>13430</v>
      </c>
      <c r="F3100" s="8">
        <v>28740</v>
      </c>
      <c r="G3100" s="8">
        <f t="shared" si="192"/>
        <v>385978200</v>
      </c>
      <c r="H3100" s="5">
        <v>0.2031</v>
      </c>
      <c r="I3100" s="8">
        <f t="shared" si="193"/>
        <v>385978200</v>
      </c>
      <c r="J3100" s="8">
        <f t="shared" si="194"/>
        <v>78392172.42</v>
      </c>
      <c r="K3100" t="str">
        <f t="shared" si="195"/>
        <v>MATCHED</v>
      </c>
    </row>
    <row r="3101" spans="1:11">
      <c r="A3101" t="s">
        <v>114</v>
      </c>
      <c r="B3101" t="s">
        <v>115</v>
      </c>
      <c r="C3101" t="s">
        <v>990</v>
      </c>
      <c r="D3101" t="s">
        <v>991</v>
      </c>
      <c r="E3101" s="8">
        <v>5300</v>
      </c>
      <c r="F3101" s="8">
        <v>35390</v>
      </c>
      <c r="G3101" s="8">
        <f t="shared" si="192"/>
        <v>187567000</v>
      </c>
      <c r="H3101" s="5">
        <v>0.152</v>
      </c>
      <c r="I3101" s="8">
        <f t="shared" si="193"/>
        <v>187567000</v>
      </c>
      <c r="J3101" s="8">
        <f t="shared" si="194"/>
        <v>28510184</v>
      </c>
      <c r="K3101" t="str">
        <f t="shared" si="195"/>
        <v>MATCHED</v>
      </c>
    </row>
    <row r="3102" spans="1:11">
      <c r="A3102" t="s">
        <v>114</v>
      </c>
      <c r="B3102" t="s">
        <v>115</v>
      </c>
      <c r="C3102" t="s">
        <v>1266</v>
      </c>
      <c r="D3102" t="s">
        <v>1267</v>
      </c>
      <c r="E3102" s="8">
        <v>4580</v>
      </c>
      <c r="F3102" s="8">
        <v>35320</v>
      </c>
      <c r="G3102" s="8">
        <f t="shared" si="192"/>
        <v>161765600</v>
      </c>
      <c r="H3102" s="5">
        <v>0.1357</v>
      </c>
      <c r="I3102" s="8">
        <f t="shared" si="193"/>
        <v>161765600</v>
      </c>
      <c r="J3102" s="8">
        <f t="shared" si="194"/>
        <v>21951591.92</v>
      </c>
      <c r="K3102" t="str">
        <f t="shared" si="195"/>
        <v>MATCHED</v>
      </c>
    </row>
    <row r="3103" spans="1:11">
      <c r="A3103" t="s">
        <v>114</v>
      </c>
      <c r="B3103" t="s">
        <v>115</v>
      </c>
      <c r="C3103" t="s">
        <v>1268</v>
      </c>
      <c r="D3103" t="s">
        <v>1269</v>
      </c>
      <c r="E3103" s="8">
        <v>1150</v>
      </c>
      <c r="F3103" s="8">
        <v>26630</v>
      </c>
      <c r="G3103" s="8">
        <f t="shared" si="192"/>
        <v>30624500</v>
      </c>
      <c r="H3103" s="5">
        <v>0.0417</v>
      </c>
      <c r="I3103" s="8">
        <f t="shared" si="193"/>
        <v>30624500</v>
      </c>
      <c r="J3103" s="8">
        <f t="shared" si="194"/>
        <v>1277041.65</v>
      </c>
      <c r="K3103" t="str">
        <f t="shared" si="195"/>
        <v>MATCHED</v>
      </c>
    </row>
    <row r="3104" spans="1:11">
      <c r="A3104" t="s">
        <v>114</v>
      </c>
      <c r="B3104" t="s">
        <v>115</v>
      </c>
      <c r="C3104" t="s">
        <v>1270</v>
      </c>
      <c r="D3104" t="s">
        <v>1271</v>
      </c>
      <c r="E3104" s="8">
        <v>320</v>
      </c>
      <c r="F3104" s="8">
        <v>34740</v>
      </c>
      <c r="G3104" s="8">
        <f t="shared" si="192"/>
        <v>11116800</v>
      </c>
      <c r="H3104" s="5">
        <v>0</v>
      </c>
      <c r="I3104" s="8">
        <f t="shared" si="193"/>
        <v>11116800</v>
      </c>
      <c r="J3104" s="8">
        <f t="shared" si="194"/>
        <v>0</v>
      </c>
      <c r="K3104" t="str">
        <f t="shared" si="195"/>
        <v>MATCHED</v>
      </c>
    </row>
    <row r="3105" spans="1:11">
      <c r="A3105" t="s">
        <v>114</v>
      </c>
      <c r="B3105" t="s">
        <v>115</v>
      </c>
      <c r="C3105" t="s">
        <v>1272</v>
      </c>
      <c r="D3105" t="s">
        <v>1273</v>
      </c>
      <c r="E3105" s="8">
        <v>240</v>
      </c>
      <c r="F3105" s="8">
        <v>34430</v>
      </c>
      <c r="G3105" s="8">
        <f t="shared" si="192"/>
        <v>8263200</v>
      </c>
      <c r="H3105" s="5">
        <v>0.3023</v>
      </c>
      <c r="I3105" s="8">
        <f t="shared" si="193"/>
        <v>8263200</v>
      </c>
      <c r="J3105" s="8">
        <f t="shared" si="194"/>
        <v>2497965.36</v>
      </c>
      <c r="K3105" t="str">
        <f t="shared" si="195"/>
        <v>MATCHED</v>
      </c>
    </row>
    <row r="3106" spans="1:11">
      <c r="A3106" t="s">
        <v>114</v>
      </c>
      <c r="B3106" t="s">
        <v>115</v>
      </c>
      <c r="C3106" t="s">
        <v>1274</v>
      </c>
      <c r="D3106" t="s">
        <v>1275</v>
      </c>
      <c r="E3106" s="8">
        <v>200</v>
      </c>
      <c r="F3106" s="8">
        <v>33840</v>
      </c>
      <c r="G3106" s="8">
        <f t="shared" si="192"/>
        <v>6768000</v>
      </c>
      <c r="H3106" s="5"/>
      <c r="I3106" s="8" t="str">
        <f t="shared" si="193"/>
        <v/>
      </c>
      <c r="J3106" s="8" t="str">
        <f t="shared" si="194"/>
        <v/>
      </c>
      <c r="K3106" t="str">
        <f t="shared" si="195"/>
        <v>MISSING WHARTON</v>
      </c>
    </row>
    <row r="3107" spans="1:11">
      <c r="A3107" t="s">
        <v>114</v>
      </c>
      <c r="B3107" t="s">
        <v>115</v>
      </c>
      <c r="C3107" t="s">
        <v>331</v>
      </c>
      <c r="D3107" t="s">
        <v>332</v>
      </c>
      <c r="E3107" s="8">
        <v>130</v>
      </c>
      <c r="F3107" s="8">
        <v>59010</v>
      </c>
      <c r="G3107" s="8">
        <f t="shared" si="192"/>
        <v>7671300</v>
      </c>
      <c r="H3107" s="5">
        <v>0.2269</v>
      </c>
      <c r="I3107" s="8">
        <f t="shared" si="193"/>
        <v>7671300</v>
      </c>
      <c r="J3107" s="8">
        <f t="shared" si="194"/>
        <v>1740617.97</v>
      </c>
      <c r="K3107" t="str">
        <f t="shared" si="195"/>
        <v>MATCHED</v>
      </c>
    </row>
    <row r="3108" spans="1:11">
      <c r="A3108" t="s">
        <v>114</v>
      </c>
      <c r="B3108" t="s">
        <v>115</v>
      </c>
      <c r="C3108" t="s">
        <v>335</v>
      </c>
      <c r="D3108" t="s">
        <v>336</v>
      </c>
      <c r="E3108" s="8">
        <v>4390</v>
      </c>
      <c r="F3108" s="8">
        <v>37600</v>
      </c>
      <c r="G3108" s="8">
        <f t="shared" si="192"/>
        <v>165064000</v>
      </c>
      <c r="H3108" s="5">
        <v>0</v>
      </c>
      <c r="I3108" s="8">
        <f t="shared" si="193"/>
        <v>165064000</v>
      </c>
      <c r="J3108" s="8">
        <f t="shared" si="194"/>
        <v>0</v>
      </c>
      <c r="K3108" t="str">
        <f t="shared" si="195"/>
        <v>MATCHED</v>
      </c>
    </row>
    <row r="3109" spans="1:11">
      <c r="A3109" t="s">
        <v>114</v>
      </c>
      <c r="B3109" t="s">
        <v>115</v>
      </c>
      <c r="C3109" t="s">
        <v>337</v>
      </c>
      <c r="D3109" t="s">
        <v>338</v>
      </c>
      <c r="E3109" s="8">
        <v>100</v>
      </c>
      <c r="F3109" s="8"/>
      <c r="G3109" s="8" t="str">
        <f t="shared" si="192"/>
        <v/>
      </c>
      <c r="H3109" s="5">
        <v>0</v>
      </c>
      <c r="I3109" s="8" t="str">
        <f t="shared" si="193"/>
        <v/>
      </c>
      <c r="J3109" s="8" t="str">
        <f t="shared" si="194"/>
        <v/>
      </c>
      <c r="K3109" t="str">
        <f t="shared" si="195"/>
        <v>MISSING OEWS</v>
      </c>
    </row>
    <row r="3110" spans="1:11">
      <c r="A3110" t="s">
        <v>114</v>
      </c>
      <c r="B3110" t="s">
        <v>115</v>
      </c>
      <c r="C3110" t="s">
        <v>341</v>
      </c>
      <c r="D3110" t="s">
        <v>342</v>
      </c>
      <c r="E3110" s="8">
        <v>180</v>
      </c>
      <c r="F3110" s="8"/>
      <c r="G3110" s="8" t="str">
        <f t="shared" si="192"/>
        <v/>
      </c>
      <c r="H3110" s="5">
        <v>0</v>
      </c>
      <c r="I3110" s="8" t="str">
        <f t="shared" si="193"/>
        <v/>
      </c>
      <c r="J3110" s="8" t="str">
        <f t="shared" si="194"/>
        <v/>
      </c>
      <c r="K3110" t="str">
        <f t="shared" si="195"/>
        <v>MISSING OEWS</v>
      </c>
    </row>
    <row r="3111" spans="1:11">
      <c r="A3111" t="s">
        <v>114</v>
      </c>
      <c r="B3111" t="s">
        <v>115</v>
      </c>
      <c r="C3111" t="s">
        <v>1585</v>
      </c>
      <c r="D3111" t="s">
        <v>1586</v>
      </c>
      <c r="E3111" s="8"/>
      <c r="F3111" s="8">
        <v>51200</v>
      </c>
      <c r="G3111" s="8" t="str">
        <f t="shared" si="192"/>
        <v/>
      </c>
      <c r="H3111" s="5">
        <v>0.34</v>
      </c>
      <c r="I3111" s="8" t="str">
        <f t="shared" si="193"/>
        <v/>
      </c>
      <c r="J3111" s="8" t="str">
        <f t="shared" si="194"/>
        <v/>
      </c>
      <c r="K3111" t="str">
        <f t="shared" si="195"/>
        <v>MISSING OEWS</v>
      </c>
    </row>
    <row r="3112" spans="1:11">
      <c r="A3112" t="s">
        <v>114</v>
      </c>
      <c r="B3112" t="s">
        <v>115</v>
      </c>
      <c r="C3112" t="s">
        <v>347</v>
      </c>
      <c r="D3112" t="s">
        <v>348</v>
      </c>
      <c r="E3112" s="8">
        <v>10090</v>
      </c>
      <c r="F3112" s="8">
        <v>43140</v>
      </c>
      <c r="G3112" s="8">
        <f t="shared" si="192"/>
        <v>435282600</v>
      </c>
      <c r="H3112" s="5">
        <v>0.2974</v>
      </c>
      <c r="I3112" s="8">
        <f t="shared" si="193"/>
        <v>435282600</v>
      </c>
      <c r="J3112" s="8">
        <f t="shared" si="194"/>
        <v>129453045.24</v>
      </c>
      <c r="K3112" t="str">
        <f t="shared" si="195"/>
        <v>MATCHED</v>
      </c>
    </row>
    <row r="3113" spans="1:11">
      <c r="A3113" t="s">
        <v>114</v>
      </c>
      <c r="B3113" t="s">
        <v>115</v>
      </c>
      <c r="C3113" t="s">
        <v>349</v>
      </c>
      <c r="D3113" t="s">
        <v>350</v>
      </c>
      <c r="E3113" s="8">
        <v>1090</v>
      </c>
      <c r="F3113" s="8">
        <v>44190</v>
      </c>
      <c r="G3113" s="8">
        <f t="shared" si="192"/>
        <v>48167100</v>
      </c>
      <c r="H3113" s="5">
        <v>0.2765</v>
      </c>
      <c r="I3113" s="8">
        <f t="shared" si="193"/>
        <v>48167100</v>
      </c>
      <c r="J3113" s="8">
        <f t="shared" si="194"/>
        <v>13318203.15</v>
      </c>
      <c r="K3113" t="str">
        <f t="shared" si="195"/>
        <v>MATCHED</v>
      </c>
    </row>
    <row r="3114" spans="1:11">
      <c r="A3114" t="s">
        <v>114</v>
      </c>
      <c r="B3114" t="s">
        <v>115</v>
      </c>
      <c r="C3114" t="s">
        <v>1587</v>
      </c>
      <c r="D3114" t="s">
        <v>1588</v>
      </c>
      <c r="E3114" s="8"/>
      <c r="F3114" s="8">
        <v>54420</v>
      </c>
      <c r="G3114" s="8" t="str">
        <f t="shared" si="192"/>
        <v/>
      </c>
      <c r="H3114" s="5"/>
      <c r="I3114" s="8" t="str">
        <f t="shared" si="193"/>
        <v/>
      </c>
      <c r="J3114" s="8" t="str">
        <f t="shared" si="194"/>
        <v/>
      </c>
      <c r="K3114" t="str">
        <f t="shared" si="195"/>
        <v>MISSING OEWS</v>
      </c>
    </row>
    <row r="3115" spans="1:11">
      <c r="A3115" t="s">
        <v>114</v>
      </c>
      <c r="B3115" t="s">
        <v>115</v>
      </c>
      <c r="C3115" t="s">
        <v>1589</v>
      </c>
      <c r="D3115" t="s">
        <v>1590</v>
      </c>
      <c r="E3115" s="8">
        <v>1060</v>
      </c>
      <c r="F3115" s="8">
        <v>43640</v>
      </c>
      <c r="G3115" s="8">
        <f t="shared" si="192"/>
        <v>46258400</v>
      </c>
      <c r="H3115" s="5">
        <v>0.3068</v>
      </c>
      <c r="I3115" s="8">
        <f t="shared" si="193"/>
        <v>46258400</v>
      </c>
      <c r="J3115" s="8">
        <f t="shared" si="194"/>
        <v>14192077.12</v>
      </c>
      <c r="K3115" t="str">
        <f t="shared" si="195"/>
        <v>MATCHED</v>
      </c>
    </row>
    <row r="3116" spans="1:11">
      <c r="A3116" t="s">
        <v>114</v>
      </c>
      <c r="B3116" t="s">
        <v>115</v>
      </c>
      <c r="C3116" t="s">
        <v>1276</v>
      </c>
      <c r="D3116" t="s">
        <v>1277</v>
      </c>
      <c r="E3116" s="8">
        <v>52840</v>
      </c>
      <c r="F3116" s="8">
        <v>30520</v>
      </c>
      <c r="G3116" s="8">
        <f t="shared" si="192"/>
        <v>1612676800</v>
      </c>
      <c r="H3116" s="5">
        <v>0.2109</v>
      </c>
      <c r="I3116" s="8">
        <f t="shared" si="193"/>
        <v>1612676800</v>
      </c>
      <c r="J3116" s="8">
        <f t="shared" si="194"/>
        <v>340113537.12</v>
      </c>
      <c r="K3116" t="str">
        <f t="shared" si="195"/>
        <v>MATCHED</v>
      </c>
    </row>
    <row r="3117" spans="1:11">
      <c r="A3117" t="s">
        <v>114</v>
      </c>
      <c r="B3117" t="s">
        <v>115</v>
      </c>
      <c r="C3117" t="s">
        <v>876</v>
      </c>
      <c r="D3117" t="s">
        <v>877</v>
      </c>
      <c r="E3117" s="8">
        <v>2230</v>
      </c>
      <c r="F3117" s="8">
        <v>28620</v>
      </c>
      <c r="G3117" s="8">
        <f t="shared" si="192"/>
        <v>63822600</v>
      </c>
      <c r="H3117" s="5">
        <v>0.25</v>
      </c>
      <c r="I3117" s="8">
        <f t="shared" si="193"/>
        <v>63822600</v>
      </c>
      <c r="J3117" s="8">
        <f t="shared" si="194"/>
        <v>15955650</v>
      </c>
      <c r="K3117" t="str">
        <f t="shared" si="195"/>
        <v>MATCHED</v>
      </c>
    </row>
    <row r="3118" spans="1:11">
      <c r="A3118" t="s">
        <v>114</v>
      </c>
      <c r="B3118" t="s">
        <v>115</v>
      </c>
      <c r="C3118" t="s">
        <v>1591</v>
      </c>
      <c r="D3118" t="s">
        <v>1592</v>
      </c>
      <c r="E3118" s="8">
        <v>1200</v>
      </c>
      <c r="F3118" s="8">
        <v>110830</v>
      </c>
      <c r="G3118" s="8">
        <f t="shared" si="192"/>
        <v>132996000</v>
      </c>
      <c r="H3118" s="5">
        <v>0.1238</v>
      </c>
      <c r="I3118" s="8">
        <f t="shared" si="193"/>
        <v>132996000</v>
      </c>
      <c r="J3118" s="8">
        <f t="shared" si="194"/>
        <v>16464904.8</v>
      </c>
      <c r="K3118" t="str">
        <f t="shared" si="195"/>
        <v>MATCHED</v>
      </c>
    </row>
    <row r="3119" spans="1:11">
      <c r="A3119" t="s">
        <v>114</v>
      </c>
      <c r="B3119" t="s">
        <v>115</v>
      </c>
      <c r="C3119" t="s">
        <v>1593</v>
      </c>
      <c r="D3119" t="s">
        <v>1594</v>
      </c>
      <c r="E3119" s="8">
        <v>1170</v>
      </c>
      <c r="F3119" s="8">
        <v>28330</v>
      </c>
      <c r="G3119" s="8">
        <f t="shared" si="192"/>
        <v>33146100</v>
      </c>
      <c r="H3119" s="5"/>
      <c r="I3119" s="8" t="str">
        <f t="shared" si="193"/>
        <v/>
      </c>
      <c r="J3119" s="8" t="str">
        <f t="shared" si="194"/>
        <v/>
      </c>
      <c r="K3119" t="str">
        <f t="shared" si="195"/>
        <v>MISSING WHARTON</v>
      </c>
    </row>
    <row r="3120" spans="1:11">
      <c r="A3120" t="s">
        <v>114</v>
      </c>
      <c r="B3120" t="s">
        <v>115</v>
      </c>
      <c r="C3120" t="s">
        <v>992</v>
      </c>
      <c r="D3120" t="s">
        <v>993</v>
      </c>
      <c r="E3120" s="8">
        <v>1790</v>
      </c>
      <c r="F3120" s="8">
        <v>118930</v>
      </c>
      <c r="G3120" s="8">
        <f t="shared" si="192"/>
        <v>212884700</v>
      </c>
      <c r="H3120" s="5">
        <v>0.1239</v>
      </c>
      <c r="I3120" s="8">
        <f t="shared" si="193"/>
        <v>212884700</v>
      </c>
      <c r="J3120" s="8">
        <f t="shared" si="194"/>
        <v>26376414.33</v>
      </c>
      <c r="K3120" t="str">
        <f t="shared" si="195"/>
        <v>MATCHED</v>
      </c>
    </row>
    <row r="3121" spans="1:11">
      <c r="A3121" t="s">
        <v>114</v>
      </c>
      <c r="B3121" t="s">
        <v>115</v>
      </c>
      <c r="C3121" t="s">
        <v>1595</v>
      </c>
      <c r="D3121" t="s">
        <v>1596</v>
      </c>
      <c r="E3121" s="8">
        <v>1240</v>
      </c>
      <c r="F3121" s="8">
        <v>134360</v>
      </c>
      <c r="G3121" s="8">
        <f t="shared" si="192"/>
        <v>166606400</v>
      </c>
      <c r="H3121" s="5">
        <v>0.0786</v>
      </c>
      <c r="I3121" s="8">
        <f t="shared" si="193"/>
        <v>166606400</v>
      </c>
      <c r="J3121" s="8">
        <f t="shared" si="194"/>
        <v>13095263.04</v>
      </c>
      <c r="K3121" t="str">
        <f t="shared" si="195"/>
        <v>MATCHED</v>
      </c>
    </row>
    <row r="3122" spans="1:11">
      <c r="A3122" t="s">
        <v>114</v>
      </c>
      <c r="B3122" t="s">
        <v>115</v>
      </c>
      <c r="C3122" t="s">
        <v>994</v>
      </c>
      <c r="D3122" t="s">
        <v>995</v>
      </c>
      <c r="E3122" s="8">
        <v>610</v>
      </c>
      <c r="F3122" s="8">
        <v>40500</v>
      </c>
      <c r="G3122" s="8">
        <f t="shared" si="192"/>
        <v>24705000</v>
      </c>
      <c r="H3122" s="5">
        <v>0.65</v>
      </c>
      <c r="I3122" s="8">
        <f t="shared" si="193"/>
        <v>24705000</v>
      </c>
      <c r="J3122" s="8">
        <f t="shared" si="194"/>
        <v>16058250</v>
      </c>
      <c r="K3122" t="str">
        <f t="shared" si="195"/>
        <v>MATCHED</v>
      </c>
    </row>
    <row r="3123" spans="1:11">
      <c r="A3123" t="s">
        <v>114</v>
      </c>
      <c r="B3123" t="s">
        <v>115</v>
      </c>
      <c r="C3123" t="s">
        <v>1278</v>
      </c>
      <c r="D3123" t="s">
        <v>1279</v>
      </c>
      <c r="E3123" s="8">
        <v>80</v>
      </c>
      <c r="F3123" s="8">
        <v>77760</v>
      </c>
      <c r="G3123" s="8">
        <f t="shared" si="192"/>
        <v>6220800</v>
      </c>
      <c r="H3123" s="5">
        <v>0.3177</v>
      </c>
      <c r="I3123" s="8">
        <f t="shared" si="193"/>
        <v>6220800</v>
      </c>
      <c r="J3123" s="8">
        <f t="shared" si="194"/>
        <v>1976348.16</v>
      </c>
      <c r="K3123" t="str">
        <f t="shared" si="195"/>
        <v>MATCHED</v>
      </c>
    </row>
    <row r="3124" spans="1:11">
      <c r="A3124" t="s">
        <v>114</v>
      </c>
      <c r="B3124" t="s">
        <v>115</v>
      </c>
      <c r="C3124" t="s">
        <v>996</v>
      </c>
      <c r="D3124" t="s">
        <v>997</v>
      </c>
      <c r="E3124" s="8">
        <v>50</v>
      </c>
      <c r="F3124" s="8">
        <v>44200</v>
      </c>
      <c r="G3124" s="8">
        <f t="shared" si="192"/>
        <v>2210000</v>
      </c>
      <c r="H3124" s="5">
        <v>0.105</v>
      </c>
      <c r="I3124" s="8">
        <f t="shared" si="193"/>
        <v>2210000</v>
      </c>
      <c r="J3124" s="8">
        <f t="shared" si="194"/>
        <v>232050</v>
      </c>
      <c r="K3124" t="str">
        <f t="shared" si="195"/>
        <v>MATCHED</v>
      </c>
    </row>
    <row r="3125" spans="1:11">
      <c r="A3125" t="s">
        <v>114</v>
      </c>
      <c r="B3125" t="s">
        <v>115</v>
      </c>
      <c r="C3125" t="s">
        <v>998</v>
      </c>
      <c r="D3125" t="s">
        <v>999</v>
      </c>
      <c r="E3125" s="8">
        <v>140</v>
      </c>
      <c r="F3125" s="8">
        <v>71090</v>
      </c>
      <c r="G3125" s="8">
        <f t="shared" si="192"/>
        <v>9952600</v>
      </c>
      <c r="H3125" s="5">
        <v>0.0636</v>
      </c>
      <c r="I3125" s="8">
        <f t="shared" si="193"/>
        <v>9952600</v>
      </c>
      <c r="J3125" s="8">
        <f t="shared" si="194"/>
        <v>632985.36</v>
      </c>
      <c r="K3125" t="str">
        <f t="shared" si="195"/>
        <v>MATCHED</v>
      </c>
    </row>
    <row r="3126" spans="1:11">
      <c r="A3126" t="s">
        <v>114</v>
      </c>
      <c r="B3126" t="s">
        <v>115</v>
      </c>
      <c r="C3126" t="s">
        <v>355</v>
      </c>
      <c r="D3126" t="s">
        <v>356</v>
      </c>
      <c r="E3126" s="8">
        <v>2220</v>
      </c>
      <c r="F3126" s="8">
        <v>50230</v>
      </c>
      <c r="G3126" s="8">
        <f t="shared" si="192"/>
        <v>111510600</v>
      </c>
      <c r="H3126" s="5">
        <v>0.4476</v>
      </c>
      <c r="I3126" s="8">
        <f t="shared" si="193"/>
        <v>111510600</v>
      </c>
      <c r="J3126" s="8">
        <f t="shared" si="194"/>
        <v>49912144.56</v>
      </c>
      <c r="K3126" t="str">
        <f t="shared" si="195"/>
        <v>MATCHED</v>
      </c>
    </row>
    <row r="3127" spans="1:11">
      <c r="A3127" t="s">
        <v>114</v>
      </c>
      <c r="B3127" t="s">
        <v>115</v>
      </c>
      <c r="C3127" t="s">
        <v>357</v>
      </c>
      <c r="D3127" t="s">
        <v>358</v>
      </c>
      <c r="E3127" s="8">
        <v>18160</v>
      </c>
      <c r="F3127" s="8">
        <v>101070</v>
      </c>
      <c r="G3127" s="8">
        <f t="shared" si="192"/>
        <v>1835431200</v>
      </c>
      <c r="H3127" s="5">
        <v>0.4833</v>
      </c>
      <c r="I3127" s="8">
        <f t="shared" si="193"/>
        <v>1835431200</v>
      </c>
      <c r="J3127" s="8">
        <f t="shared" si="194"/>
        <v>887063898.96</v>
      </c>
      <c r="K3127" t="str">
        <f t="shared" si="195"/>
        <v>MATCHED</v>
      </c>
    </row>
    <row r="3128" spans="1:11">
      <c r="A3128" t="s">
        <v>114</v>
      </c>
      <c r="B3128" t="s">
        <v>115</v>
      </c>
      <c r="C3128" t="s">
        <v>648</v>
      </c>
      <c r="D3128" t="s">
        <v>649</v>
      </c>
      <c r="E3128" s="8">
        <v>4250</v>
      </c>
      <c r="F3128" s="8">
        <v>30410</v>
      </c>
      <c r="G3128" s="8">
        <f t="shared" si="192"/>
        <v>129242500</v>
      </c>
      <c r="H3128" s="5">
        <v>0.6672</v>
      </c>
      <c r="I3128" s="8">
        <f t="shared" si="193"/>
        <v>129242500</v>
      </c>
      <c r="J3128" s="8">
        <f t="shared" si="194"/>
        <v>86230596</v>
      </c>
      <c r="K3128" t="str">
        <f t="shared" si="195"/>
        <v>MATCHED</v>
      </c>
    </row>
    <row r="3129" spans="1:11">
      <c r="A3129" t="s">
        <v>114</v>
      </c>
      <c r="B3129" t="s">
        <v>115</v>
      </c>
      <c r="C3129" t="s">
        <v>878</v>
      </c>
      <c r="D3129" t="s">
        <v>879</v>
      </c>
      <c r="E3129" s="8"/>
      <c r="F3129" s="8">
        <v>46280</v>
      </c>
      <c r="G3129" s="8" t="str">
        <f t="shared" si="192"/>
        <v/>
      </c>
      <c r="H3129" s="5">
        <v>0.7719</v>
      </c>
      <c r="I3129" s="8" t="str">
        <f t="shared" si="193"/>
        <v/>
      </c>
      <c r="J3129" s="8" t="str">
        <f t="shared" si="194"/>
        <v/>
      </c>
      <c r="K3129" t="str">
        <f t="shared" si="195"/>
        <v>MISSING OEWS</v>
      </c>
    </row>
    <row r="3130" spans="1:11">
      <c r="A3130" t="s">
        <v>114</v>
      </c>
      <c r="B3130" t="s">
        <v>115</v>
      </c>
      <c r="C3130" t="s">
        <v>359</v>
      </c>
      <c r="D3130" t="s">
        <v>360</v>
      </c>
      <c r="E3130" s="8">
        <v>7850</v>
      </c>
      <c r="F3130" s="8">
        <v>35430</v>
      </c>
      <c r="G3130" s="8">
        <f t="shared" si="192"/>
        <v>278125500</v>
      </c>
      <c r="H3130" s="5">
        <v>0.4938</v>
      </c>
      <c r="I3130" s="8">
        <f t="shared" si="193"/>
        <v>278125500</v>
      </c>
      <c r="J3130" s="8">
        <f t="shared" si="194"/>
        <v>137338371.9</v>
      </c>
      <c r="K3130" t="str">
        <f t="shared" si="195"/>
        <v>MATCHED</v>
      </c>
    </row>
    <row r="3131" spans="1:11">
      <c r="A3131" t="s">
        <v>114</v>
      </c>
      <c r="B3131" t="s">
        <v>115</v>
      </c>
      <c r="C3131" t="s">
        <v>1002</v>
      </c>
      <c r="D3131" t="s">
        <v>1003</v>
      </c>
      <c r="E3131" s="8">
        <v>38920</v>
      </c>
      <c r="F3131" s="8">
        <v>79120</v>
      </c>
      <c r="G3131" s="8">
        <f t="shared" si="192"/>
        <v>3079350400</v>
      </c>
      <c r="H3131" s="5">
        <v>0.6725</v>
      </c>
      <c r="I3131" s="8">
        <f t="shared" si="193"/>
        <v>3079350400</v>
      </c>
      <c r="J3131" s="8">
        <f t="shared" si="194"/>
        <v>2070863144</v>
      </c>
      <c r="K3131" t="str">
        <f t="shared" si="195"/>
        <v>MATCHED</v>
      </c>
    </row>
    <row r="3132" spans="1:11">
      <c r="A3132" t="s">
        <v>114</v>
      </c>
      <c r="B3132" t="s">
        <v>115</v>
      </c>
      <c r="C3132" t="s">
        <v>650</v>
      </c>
      <c r="D3132" t="s">
        <v>651</v>
      </c>
      <c r="E3132" s="8">
        <v>590</v>
      </c>
      <c r="F3132" s="8"/>
      <c r="G3132" s="8" t="str">
        <f t="shared" si="192"/>
        <v/>
      </c>
      <c r="H3132" s="5">
        <v>0.845</v>
      </c>
      <c r="I3132" s="8" t="str">
        <f t="shared" si="193"/>
        <v/>
      </c>
      <c r="J3132" s="8" t="str">
        <f t="shared" si="194"/>
        <v/>
      </c>
      <c r="K3132" t="str">
        <f t="shared" si="195"/>
        <v>MISSING OEWS</v>
      </c>
    </row>
    <row r="3133" spans="1:11">
      <c r="A3133" t="s">
        <v>114</v>
      </c>
      <c r="B3133" t="s">
        <v>115</v>
      </c>
      <c r="C3133" t="s">
        <v>1533</v>
      </c>
      <c r="D3133" t="s">
        <v>1534</v>
      </c>
      <c r="E3133" s="8"/>
      <c r="F3133" s="8">
        <v>69310</v>
      </c>
      <c r="G3133" s="8" t="str">
        <f t="shared" si="192"/>
        <v/>
      </c>
      <c r="H3133" s="5">
        <v>0.925</v>
      </c>
      <c r="I3133" s="8" t="str">
        <f t="shared" si="193"/>
        <v/>
      </c>
      <c r="J3133" s="8" t="str">
        <f t="shared" si="194"/>
        <v/>
      </c>
      <c r="K3133" t="str">
        <f t="shared" si="195"/>
        <v>MISSING OEWS</v>
      </c>
    </row>
    <row r="3134" spans="1:11">
      <c r="A3134" t="s">
        <v>114</v>
      </c>
      <c r="B3134" t="s">
        <v>115</v>
      </c>
      <c r="C3134" t="s">
        <v>361</v>
      </c>
      <c r="D3134" t="s">
        <v>362</v>
      </c>
      <c r="E3134" s="8">
        <v>194880</v>
      </c>
      <c r="F3134" s="8">
        <v>90580</v>
      </c>
      <c r="G3134" s="8">
        <f t="shared" si="192"/>
        <v>17652230400</v>
      </c>
      <c r="H3134" s="5">
        <v>0.73</v>
      </c>
      <c r="I3134" s="8">
        <f t="shared" si="193"/>
        <v>17652230400</v>
      </c>
      <c r="J3134" s="8">
        <f t="shared" si="194"/>
        <v>12886128192</v>
      </c>
      <c r="K3134" t="str">
        <f t="shared" si="195"/>
        <v>MATCHED</v>
      </c>
    </row>
    <row r="3135" spans="1:11">
      <c r="A3135" t="s">
        <v>114</v>
      </c>
      <c r="B3135" t="s">
        <v>115</v>
      </c>
      <c r="C3135" t="s">
        <v>652</v>
      </c>
      <c r="D3135" t="s">
        <v>653</v>
      </c>
      <c r="E3135" s="8">
        <v>19380</v>
      </c>
      <c r="F3135" s="8">
        <v>124940</v>
      </c>
      <c r="G3135" s="8">
        <f t="shared" si="192"/>
        <v>2421337200</v>
      </c>
      <c r="H3135" s="5">
        <v>0.6463</v>
      </c>
      <c r="I3135" s="8">
        <f t="shared" si="193"/>
        <v>2421337200</v>
      </c>
      <c r="J3135" s="8">
        <f t="shared" si="194"/>
        <v>1564910232.36</v>
      </c>
      <c r="K3135" t="str">
        <f t="shared" si="195"/>
        <v>MATCHED</v>
      </c>
    </row>
    <row r="3136" spans="1:11">
      <c r="A3136" t="s">
        <v>114</v>
      </c>
      <c r="B3136" t="s">
        <v>115</v>
      </c>
      <c r="C3136" t="s">
        <v>363</v>
      </c>
      <c r="D3136" t="s">
        <v>364</v>
      </c>
      <c r="E3136" s="8">
        <v>13830</v>
      </c>
      <c r="F3136" s="8">
        <v>93820</v>
      </c>
      <c r="G3136" s="8">
        <f t="shared" si="192"/>
        <v>1297530600</v>
      </c>
      <c r="H3136" s="5">
        <v>0.5105</v>
      </c>
      <c r="I3136" s="8">
        <f t="shared" si="193"/>
        <v>1297530600</v>
      </c>
      <c r="J3136" s="8">
        <f t="shared" si="194"/>
        <v>662389371.3</v>
      </c>
      <c r="K3136" t="str">
        <f t="shared" si="195"/>
        <v>MATCHED</v>
      </c>
    </row>
    <row r="3137" spans="1:11">
      <c r="A3137" t="s">
        <v>114</v>
      </c>
      <c r="B3137" t="s">
        <v>115</v>
      </c>
      <c r="C3137" t="s">
        <v>1006</v>
      </c>
      <c r="D3137" t="s">
        <v>1007</v>
      </c>
      <c r="E3137" s="8"/>
      <c r="F3137" s="8">
        <v>52630</v>
      </c>
      <c r="G3137" s="8" t="str">
        <f t="shared" si="192"/>
        <v/>
      </c>
      <c r="H3137" s="5">
        <v>0.3062</v>
      </c>
      <c r="I3137" s="8" t="str">
        <f t="shared" si="193"/>
        <v/>
      </c>
      <c r="J3137" s="8" t="str">
        <f t="shared" si="194"/>
        <v/>
      </c>
      <c r="K3137" t="str">
        <f t="shared" si="195"/>
        <v>MISSING OEWS</v>
      </c>
    </row>
    <row r="3138" spans="1:11">
      <c r="A3138" t="s">
        <v>114</v>
      </c>
      <c r="B3138" t="s">
        <v>115</v>
      </c>
      <c r="C3138" t="s">
        <v>1451</v>
      </c>
      <c r="D3138" t="s">
        <v>1452</v>
      </c>
      <c r="E3138" s="8">
        <v>310</v>
      </c>
      <c r="F3138" s="8">
        <v>125830</v>
      </c>
      <c r="G3138" s="8">
        <f t="shared" ref="G3138:G3201" si="196">IF(OR(E3138="",F3138=""),"",E3138*F3138)</f>
        <v>39007300</v>
      </c>
      <c r="H3138" s="5">
        <v>0.2071</v>
      </c>
      <c r="I3138" s="8">
        <f t="shared" ref="I3138:I3201" si="197">IF(G3138="","",IF(ISNUMBER(H3138),G3138,""))</f>
        <v>39007300</v>
      </c>
      <c r="J3138" s="8">
        <f t="shared" ref="J3138:J3201" si="198">IF(I3138="","",I3138*H3138)</f>
        <v>8078411.83</v>
      </c>
      <c r="K3138" t="str">
        <f t="shared" ref="K3138:K3201" si="199">IF(G3138="","MISSING OEWS",IF(ISNUMBER(H3138),"MATCHED","MISSING WHARTON"))</f>
        <v>MATCHED</v>
      </c>
    </row>
    <row r="3139" spans="1:11">
      <c r="A3139" t="s">
        <v>114</v>
      </c>
      <c r="B3139" t="s">
        <v>115</v>
      </c>
      <c r="C3139" t="s">
        <v>654</v>
      </c>
      <c r="D3139" t="s">
        <v>655</v>
      </c>
      <c r="E3139" s="8">
        <v>210</v>
      </c>
      <c r="F3139" s="8">
        <v>77950</v>
      </c>
      <c r="G3139" s="8">
        <f t="shared" si="196"/>
        <v>16369500</v>
      </c>
      <c r="H3139" s="5">
        <v>0.5939</v>
      </c>
      <c r="I3139" s="8">
        <f t="shared" si="197"/>
        <v>16369500</v>
      </c>
      <c r="J3139" s="8">
        <f t="shared" si="198"/>
        <v>9721846.05</v>
      </c>
      <c r="K3139" t="str">
        <f t="shared" si="199"/>
        <v>MATCHED</v>
      </c>
    </row>
    <row r="3140" spans="1:11">
      <c r="A3140" t="s">
        <v>114</v>
      </c>
      <c r="B3140" t="s">
        <v>115</v>
      </c>
      <c r="C3140" t="s">
        <v>656</v>
      </c>
      <c r="D3140" t="s">
        <v>657</v>
      </c>
      <c r="E3140" s="8">
        <v>8000</v>
      </c>
      <c r="F3140" s="8">
        <v>145370</v>
      </c>
      <c r="G3140" s="8">
        <f t="shared" si="196"/>
        <v>1162960000</v>
      </c>
      <c r="H3140" s="5">
        <v>0.518</v>
      </c>
      <c r="I3140" s="8">
        <f t="shared" si="197"/>
        <v>1162960000</v>
      </c>
      <c r="J3140" s="8">
        <f t="shared" si="198"/>
        <v>602413280</v>
      </c>
      <c r="K3140" t="str">
        <f t="shared" si="199"/>
        <v>MATCHED</v>
      </c>
    </row>
    <row r="3141" spans="1:11">
      <c r="A3141" t="s">
        <v>114</v>
      </c>
      <c r="B3141" t="s">
        <v>115</v>
      </c>
      <c r="C3141" t="s">
        <v>1010</v>
      </c>
      <c r="D3141" t="s">
        <v>1011</v>
      </c>
      <c r="E3141" s="8">
        <v>1910</v>
      </c>
      <c r="F3141" s="8">
        <v>50790</v>
      </c>
      <c r="G3141" s="8">
        <f t="shared" si="196"/>
        <v>97008900</v>
      </c>
      <c r="H3141" s="5">
        <v>0.9625</v>
      </c>
      <c r="I3141" s="8">
        <f t="shared" si="197"/>
        <v>97008900</v>
      </c>
      <c r="J3141" s="8">
        <f t="shared" si="198"/>
        <v>93371066.25</v>
      </c>
      <c r="K3141" t="str">
        <f t="shared" si="199"/>
        <v>MATCHED</v>
      </c>
    </row>
    <row r="3142" spans="1:11">
      <c r="A3142" t="s">
        <v>114</v>
      </c>
      <c r="B3142" t="s">
        <v>115</v>
      </c>
      <c r="C3142" t="s">
        <v>1012</v>
      </c>
      <c r="D3142" t="s">
        <v>1013</v>
      </c>
      <c r="E3142" s="8">
        <v>160</v>
      </c>
      <c r="F3142" s="8">
        <v>38010</v>
      </c>
      <c r="G3142" s="8">
        <f t="shared" si="196"/>
        <v>6081600</v>
      </c>
      <c r="H3142" s="5">
        <v>0.3167</v>
      </c>
      <c r="I3142" s="8">
        <f t="shared" si="197"/>
        <v>6081600</v>
      </c>
      <c r="J3142" s="8">
        <f t="shared" si="198"/>
        <v>1926042.72</v>
      </c>
      <c r="K3142" t="str">
        <f t="shared" si="199"/>
        <v>MATCHED</v>
      </c>
    </row>
    <row r="3143" spans="1:11">
      <c r="A3143" t="s">
        <v>114</v>
      </c>
      <c r="B3143" t="s">
        <v>115</v>
      </c>
      <c r="C3143" t="s">
        <v>365</v>
      </c>
      <c r="D3143" t="s">
        <v>366</v>
      </c>
      <c r="E3143" s="8">
        <v>3090</v>
      </c>
      <c r="F3143" s="8">
        <v>71260</v>
      </c>
      <c r="G3143" s="8">
        <f t="shared" si="196"/>
        <v>220193400</v>
      </c>
      <c r="H3143" s="5"/>
      <c r="I3143" s="8" t="str">
        <f t="shared" si="197"/>
        <v/>
      </c>
      <c r="J3143" s="8" t="str">
        <f t="shared" si="198"/>
        <v/>
      </c>
      <c r="K3143" t="str">
        <f t="shared" si="199"/>
        <v>MISSING WHARTON</v>
      </c>
    </row>
    <row r="3144" spans="1:11">
      <c r="A3144" t="s">
        <v>114</v>
      </c>
      <c r="B3144" t="s">
        <v>115</v>
      </c>
      <c r="C3144" t="s">
        <v>367</v>
      </c>
      <c r="D3144" t="s">
        <v>368</v>
      </c>
      <c r="E3144" s="8">
        <v>28280</v>
      </c>
      <c r="F3144" s="8">
        <v>85620</v>
      </c>
      <c r="G3144" s="8">
        <f t="shared" si="196"/>
        <v>2421333600</v>
      </c>
      <c r="H3144" s="5">
        <v>0.5034</v>
      </c>
      <c r="I3144" s="8">
        <f t="shared" si="197"/>
        <v>2421333600</v>
      </c>
      <c r="J3144" s="8">
        <f t="shared" si="198"/>
        <v>1218899334.24</v>
      </c>
      <c r="K3144" t="str">
        <f t="shared" si="199"/>
        <v>MATCHED</v>
      </c>
    </row>
    <row r="3145" spans="1:11">
      <c r="A3145" t="s">
        <v>114</v>
      </c>
      <c r="B3145" t="s">
        <v>115</v>
      </c>
      <c r="C3145" t="s">
        <v>1014</v>
      </c>
      <c r="D3145" t="s">
        <v>1015</v>
      </c>
      <c r="E3145" s="8">
        <v>400</v>
      </c>
      <c r="F3145" s="8">
        <v>35390</v>
      </c>
      <c r="G3145" s="8">
        <f t="shared" si="196"/>
        <v>14156000</v>
      </c>
      <c r="H3145" s="5">
        <v>0.7579</v>
      </c>
      <c r="I3145" s="8">
        <f t="shared" si="197"/>
        <v>14156000</v>
      </c>
      <c r="J3145" s="8">
        <f t="shared" si="198"/>
        <v>10728832.4</v>
      </c>
      <c r="K3145" t="str">
        <f t="shared" si="199"/>
        <v>MATCHED</v>
      </c>
    </row>
    <row r="3146" spans="1:11">
      <c r="A3146" t="s">
        <v>114</v>
      </c>
      <c r="B3146" t="s">
        <v>115</v>
      </c>
      <c r="C3146" t="s">
        <v>1502</v>
      </c>
      <c r="D3146" t="s">
        <v>1503</v>
      </c>
      <c r="E3146" s="8">
        <v>290</v>
      </c>
      <c r="F3146" s="8">
        <v>56520</v>
      </c>
      <c r="G3146" s="8">
        <f t="shared" si="196"/>
        <v>16390800</v>
      </c>
      <c r="H3146" s="5">
        <v>0.9156</v>
      </c>
      <c r="I3146" s="8">
        <f t="shared" si="197"/>
        <v>16390800</v>
      </c>
      <c r="J3146" s="8">
        <f t="shared" si="198"/>
        <v>15007416.48</v>
      </c>
      <c r="K3146" t="str">
        <f t="shared" si="199"/>
        <v>MATCHED</v>
      </c>
    </row>
    <row r="3147" spans="1:11">
      <c r="A3147" t="s">
        <v>114</v>
      </c>
      <c r="B3147" t="s">
        <v>115</v>
      </c>
      <c r="C3147" t="s">
        <v>1597</v>
      </c>
      <c r="D3147" t="s">
        <v>1598</v>
      </c>
      <c r="E3147" s="8"/>
      <c r="F3147" s="8">
        <v>59260</v>
      </c>
      <c r="G3147" s="8" t="str">
        <f t="shared" si="196"/>
        <v/>
      </c>
      <c r="H3147" s="5"/>
      <c r="I3147" s="8" t="str">
        <f t="shared" si="197"/>
        <v/>
      </c>
      <c r="J3147" s="8" t="str">
        <f t="shared" si="198"/>
        <v/>
      </c>
      <c r="K3147" t="str">
        <f t="shared" si="199"/>
        <v>MISSING OEWS</v>
      </c>
    </row>
    <row r="3148" spans="1:11">
      <c r="A3148" t="s">
        <v>114</v>
      </c>
      <c r="B3148" t="s">
        <v>115</v>
      </c>
      <c r="C3148" t="s">
        <v>880</v>
      </c>
      <c r="D3148" t="s">
        <v>881</v>
      </c>
      <c r="E3148" s="8">
        <v>3400</v>
      </c>
      <c r="F3148" s="8">
        <v>54560</v>
      </c>
      <c r="G3148" s="8">
        <f t="shared" si="196"/>
        <v>185504000</v>
      </c>
      <c r="H3148" s="5">
        <v>0.9</v>
      </c>
      <c r="I3148" s="8">
        <f t="shared" si="197"/>
        <v>185504000</v>
      </c>
      <c r="J3148" s="8">
        <f t="shared" si="198"/>
        <v>166953600</v>
      </c>
      <c r="K3148" t="str">
        <f t="shared" si="199"/>
        <v>MATCHED</v>
      </c>
    </row>
    <row r="3149" spans="1:11">
      <c r="A3149" t="s">
        <v>114</v>
      </c>
      <c r="B3149" t="s">
        <v>115</v>
      </c>
      <c r="C3149" t="s">
        <v>369</v>
      </c>
      <c r="D3149" t="s">
        <v>370</v>
      </c>
      <c r="E3149" s="8">
        <v>8470</v>
      </c>
      <c r="F3149" s="8">
        <v>53730</v>
      </c>
      <c r="G3149" s="8">
        <f t="shared" si="196"/>
        <v>455093100</v>
      </c>
      <c r="H3149" s="5">
        <v>0.8617</v>
      </c>
      <c r="I3149" s="8">
        <f t="shared" si="197"/>
        <v>455093100</v>
      </c>
      <c r="J3149" s="8">
        <f t="shared" si="198"/>
        <v>392153724.27</v>
      </c>
      <c r="K3149" t="str">
        <f t="shared" si="199"/>
        <v>MATCHED</v>
      </c>
    </row>
    <row r="3150" spans="1:11">
      <c r="A3150" t="s">
        <v>114</v>
      </c>
      <c r="B3150" t="s">
        <v>115</v>
      </c>
      <c r="C3150" t="s">
        <v>371</v>
      </c>
      <c r="D3150" t="s">
        <v>372</v>
      </c>
      <c r="E3150" s="8">
        <v>22270</v>
      </c>
      <c r="F3150" s="8">
        <v>54750</v>
      </c>
      <c r="G3150" s="8">
        <f t="shared" si="196"/>
        <v>1219282500</v>
      </c>
      <c r="H3150" s="5">
        <v>0.9517</v>
      </c>
      <c r="I3150" s="8">
        <f t="shared" si="197"/>
        <v>1219282500</v>
      </c>
      <c r="J3150" s="8">
        <f t="shared" si="198"/>
        <v>1160391155.25</v>
      </c>
      <c r="K3150" t="str">
        <f t="shared" si="199"/>
        <v>MATCHED</v>
      </c>
    </row>
    <row r="3151" spans="1:11">
      <c r="A3151" t="s">
        <v>114</v>
      </c>
      <c r="B3151" t="s">
        <v>115</v>
      </c>
      <c r="C3151" t="s">
        <v>373</v>
      </c>
      <c r="D3151" t="s">
        <v>374</v>
      </c>
      <c r="E3151" s="8">
        <v>2210</v>
      </c>
      <c r="F3151" s="8">
        <v>71590</v>
      </c>
      <c r="G3151" s="8">
        <f t="shared" si="196"/>
        <v>158213900</v>
      </c>
      <c r="H3151" s="5">
        <v>0.9409</v>
      </c>
      <c r="I3151" s="8">
        <f t="shared" si="197"/>
        <v>158213900</v>
      </c>
      <c r="J3151" s="8">
        <f t="shared" si="198"/>
        <v>148863458.51</v>
      </c>
      <c r="K3151" t="str">
        <f t="shared" si="199"/>
        <v>MATCHED</v>
      </c>
    </row>
    <row r="3152" spans="1:11">
      <c r="A3152" t="s">
        <v>114</v>
      </c>
      <c r="B3152" t="s">
        <v>115</v>
      </c>
      <c r="C3152" t="s">
        <v>375</v>
      </c>
      <c r="D3152" t="s">
        <v>376</v>
      </c>
      <c r="E3152" s="8">
        <v>350</v>
      </c>
      <c r="F3152" s="8">
        <v>59740</v>
      </c>
      <c r="G3152" s="8">
        <f t="shared" si="196"/>
        <v>20909000</v>
      </c>
      <c r="H3152" s="5">
        <v>0.8237</v>
      </c>
      <c r="I3152" s="8">
        <f t="shared" si="197"/>
        <v>20909000</v>
      </c>
      <c r="J3152" s="8">
        <f t="shared" si="198"/>
        <v>17222743.3</v>
      </c>
      <c r="K3152" t="str">
        <f t="shared" si="199"/>
        <v>MATCHED</v>
      </c>
    </row>
    <row r="3153" spans="1:11">
      <c r="A3153" t="s">
        <v>114</v>
      </c>
      <c r="B3153" t="s">
        <v>115</v>
      </c>
      <c r="C3153" t="s">
        <v>884</v>
      </c>
      <c r="D3153" t="s">
        <v>885</v>
      </c>
      <c r="E3153" s="8">
        <v>300</v>
      </c>
      <c r="F3153" s="8">
        <v>63190</v>
      </c>
      <c r="G3153" s="8">
        <f t="shared" si="196"/>
        <v>18957000</v>
      </c>
      <c r="H3153" s="5"/>
      <c r="I3153" s="8" t="str">
        <f t="shared" si="197"/>
        <v/>
      </c>
      <c r="J3153" s="8" t="str">
        <f t="shared" si="198"/>
        <v/>
      </c>
      <c r="K3153" t="str">
        <f t="shared" si="199"/>
        <v>MISSING WHARTON</v>
      </c>
    </row>
    <row r="3154" spans="1:11">
      <c r="A3154" t="s">
        <v>114</v>
      </c>
      <c r="B3154" t="s">
        <v>115</v>
      </c>
      <c r="C3154" t="s">
        <v>1284</v>
      </c>
      <c r="D3154" t="s">
        <v>1285</v>
      </c>
      <c r="E3154" s="8">
        <v>150</v>
      </c>
      <c r="F3154" s="8">
        <v>56510</v>
      </c>
      <c r="G3154" s="8">
        <f t="shared" si="196"/>
        <v>8476500</v>
      </c>
      <c r="H3154" s="5">
        <v>0.85</v>
      </c>
      <c r="I3154" s="8">
        <f t="shared" si="197"/>
        <v>8476500</v>
      </c>
      <c r="J3154" s="8">
        <f t="shared" si="198"/>
        <v>7205025</v>
      </c>
      <c r="K3154" t="str">
        <f t="shared" si="199"/>
        <v>MATCHED</v>
      </c>
    </row>
    <row r="3155" spans="1:11">
      <c r="A3155" t="s">
        <v>114</v>
      </c>
      <c r="B3155" t="s">
        <v>115</v>
      </c>
      <c r="C3155" t="s">
        <v>1016</v>
      </c>
      <c r="D3155" t="s">
        <v>1017</v>
      </c>
      <c r="E3155" s="8">
        <v>240</v>
      </c>
      <c r="F3155" s="8">
        <v>55260</v>
      </c>
      <c r="G3155" s="8">
        <f t="shared" si="196"/>
        <v>13262400</v>
      </c>
      <c r="H3155" s="5">
        <v>0.9469</v>
      </c>
      <c r="I3155" s="8">
        <f t="shared" si="197"/>
        <v>13262400</v>
      </c>
      <c r="J3155" s="8">
        <f t="shared" si="198"/>
        <v>12558166.56</v>
      </c>
      <c r="K3155" t="str">
        <f t="shared" si="199"/>
        <v>MATCHED</v>
      </c>
    </row>
    <row r="3156" spans="1:11">
      <c r="A3156" t="s">
        <v>114</v>
      </c>
      <c r="B3156" t="s">
        <v>115</v>
      </c>
      <c r="C3156" t="s">
        <v>377</v>
      </c>
      <c r="D3156" t="s">
        <v>378</v>
      </c>
      <c r="E3156" s="8">
        <v>107140</v>
      </c>
      <c r="F3156" s="8">
        <v>53640</v>
      </c>
      <c r="G3156" s="8">
        <f t="shared" si="196"/>
        <v>5746989600</v>
      </c>
      <c r="H3156" s="5">
        <v>0.82</v>
      </c>
      <c r="I3156" s="8">
        <f t="shared" si="197"/>
        <v>5746989600</v>
      </c>
      <c r="J3156" s="8">
        <f t="shared" si="198"/>
        <v>4712531472</v>
      </c>
      <c r="K3156" t="str">
        <f t="shared" si="199"/>
        <v>MATCHED</v>
      </c>
    </row>
    <row r="3157" spans="1:11">
      <c r="A3157" t="s">
        <v>114</v>
      </c>
      <c r="B3157" t="s">
        <v>115</v>
      </c>
      <c r="C3157" t="s">
        <v>379</v>
      </c>
      <c r="D3157" t="s">
        <v>380</v>
      </c>
      <c r="E3157" s="8">
        <v>1910</v>
      </c>
      <c r="F3157" s="8">
        <v>41310</v>
      </c>
      <c r="G3157" s="8">
        <f t="shared" si="196"/>
        <v>78902100</v>
      </c>
      <c r="H3157" s="5">
        <v>0.7526</v>
      </c>
      <c r="I3157" s="8">
        <f t="shared" si="197"/>
        <v>78902100</v>
      </c>
      <c r="J3157" s="8">
        <f t="shared" si="198"/>
        <v>59381720.46</v>
      </c>
      <c r="K3157" t="str">
        <f t="shared" si="199"/>
        <v>MATCHED</v>
      </c>
    </row>
    <row r="3158" spans="1:11">
      <c r="A3158" t="s">
        <v>114</v>
      </c>
      <c r="B3158" t="s">
        <v>115</v>
      </c>
      <c r="C3158" t="s">
        <v>1286</v>
      </c>
      <c r="D3158" t="s">
        <v>1287</v>
      </c>
      <c r="E3158" s="8"/>
      <c r="F3158" s="8">
        <v>44350</v>
      </c>
      <c r="G3158" s="8" t="str">
        <f t="shared" si="196"/>
        <v/>
      </c>
      <c r="H3158" s="5">
        <v>0.7088</v>
      </c>
      <c r="I3158" s="8" t="str">
        <f t="shared" si="197"/>
        <v/>
      </c>
      <c r="J3158" s="8" t="str">
        <f t="shared" si="198"/>
        <v/>
      </c>
      <c r="K3158" t="str">
        <f t="shared" si="199"/>
        <v>MISSING OEWS</v>
      </c>
    </row>
    <row r="3159" spans="1:11">
      <c r="A3159" t="s">
        <v>114</v>
      </c>
      <c r="B3159" t="s">
        <v>115</v>
      </c>
      <c r="C3159" t="s">
        <v>1599</v>
      </c>
      <c r="D3159" t="s">
        <v>1600</v>
      </c>
      <c r="E3159" s="8">
        <v>7710</v>
      </c>
      <c r="F3159" s="8">
        <v>36940</v>
      </c>
      <c r="G3159" s="8">
        <f t="shared" si="196"/>
        <v>284807400</v>
      </c>
      <c r="H3159" s="5">
        <v>0.547</v>
      </c>
      <c r="I3159" s="8">
        <f t="shared" si="197"/>
        <v>284807400</v>
      </c>
      <c r="J3159" s="8">
        <f t="shared" si="198"/>
        <v>155789647.8</v>
      </c>
      <c r="K3159" t="str">
        <f t="shared" si="199"/>
        <v>MATCHED</v>
      </c>
    </row>
    <row r="3160" spans="1:11">
      <c r="A3160" t="s">
        <v>114</v>
      </c>
      <c r="B3160" t="s">
        <v>115</v>
      </c>
      <c r="C3160" t="s">
        <v>1018</v>
      </c>
      <c r="D3160" t="s">
        <v>1019</v>
      </c>
      <c r="E3160" s="8">
        <v>60</v>
      </c>
      <c r="F3160" s="8">
        <v>48380</v>
      </c>
      <c r="G3160" s="8">
        <f t="shared" si="196"/>
        <v>2902800</v>
      </c>
      <c r="H3160" s="5">
        <v>0.9111</v>
      </c>
      <c r="I3160" s="8">
        <f t="shared" si="197"/>
        <v>2902800</v>
      </c>
      <c r="J3160" s="8">
        <f t="shared" si="198"/>
        <v>2644741.08</v>
      </c>
      <c r="K3160" t="str">
        <f t="shared" si="199"/>
        <v>MATCHED</v>
      </c>
    </row>
    <row r="3161" spans="1:11">
      <c r="A3161" t="s">
        <v>114</v>
      </c>
      <c r="B3161" t="s">
        <v>115</v>
      </c>
      <c r="C3161" t="s">
        <v>381</v>
      </c>
      <c r="D3161" t="s">
        <v>382</v>
      </c>
      <c r="E3161" s="8">
        <v>1620</v>
      </c>
      <c r="F3161" s="8">
        <v>56590</v>
      </c>
      <c r="G3161" s="8">
        <f t="shared" si="196"/>
        <v>91675800</v>
      </c>
      <c r="H3161" s="5">
        <v>0.9553</v>
      </c>
      <c r="I3161" s="8">
        <f t="shared" si="197"/>
        <v>91675800</v>
      </c>
      <c r="J3161" s="8">
        <f t="shared" si="198"/>
        <v>87577891.74</v>
      </c>
      <c r="K3161" t="str">
        <f t="shared" si="199"/>
        <v>MATCHED</v>
      </c>
    </row>
    <row r="3162" spans="1:11">
      <c r="A3162" t="s">
        <v>114</v>
      </c>
      <c r="B3162" t="s">
        <v>115</v>
      </c>
      <c r="C3162" t="s">
        <v>383</v>
      </c>
      <c r="D3162" t="s">
        <v>384</v>
      </c>
      <c r="E3162" s="8">
        <v>810</v>
      </c>
      <c r="F3162" s="8">
        <v>56790</v>
      </c>
      <c r="G3162" s="8">
        <f t="shared" si="196"/>
        <v>45999900</v>
      </c>
      <c r="H3162" s="5">
        <v>0.8342</v>
      </c>
      <c r="I3162" s="8">
        <f t="shared" si="197"/>
        <v>45999900</v>
      </c>
      <c r="J3162" s="8">
        <f t="shared" si="198"/>
        <v>38373116.58</v>
      </c>
      <c r="K3162" t="str">
        <f t="shared" si="199"/>
        <v>MATCHED</v>
      </c>
    </row>
    <row r="3163" spans="1:11">
      <c r="A3163" t="s">
        <v>114</v>
      </c>
      <c r="B3163" t="s">
        <v>115</v>
      </c>
      <c r="C3163" t="s">
        <v>385</v>
      </c>
      <c r="D3163" t="s">
        <v>386</v>
      </c>
      <c r="E3163" s="8">
        <v>2750</v>
      </c>
      <c r="F3163" s="8">
        <v>39830</v>
      </c>
      <c r="G3163" s="8">
        <f t="shared" si="196"/>
        <v>109532500</v>
      </c>
      <c r="H3163" s="5">
        <v>0.7368</v>
      </c>
      <c r="I3163" s="8">
        <f t="shared" si="197"/>
        <v>109532500</v>
      </c>
      <c r="J3163" s="8">
        <f t="shared" si="198"/>
        <v>80703546</v>
      </c>
      <c r="K3163" t="str">
        <f t="shared" si="199"/>
        <v>MATCHED</v>
      </c>
    </row>
    <row r="3164" spans="1:11">
      <c r="A3164" t="s">
        <v>114</v>
      </c>
      <c r="B3164" t="s">
        <v>115</v>
      </c>
      <c r="C3164" t="s">
        <v>1537</v>
      </c>
      <c r="D3164" t="s">
        <v>1538</v>
      </c>
      <c r="E3164" s="8">
        <v>40</v>
      </c>
      <c r="F3164" s="8"/>
      <c r="G3164" s="8" t="str">
        <f t="shared" si="196"/>
        <v/>
      </c>
      <c r="H3164" s="5">
        <v>0.7714</v>
      </c>
      <c r="I3164" s="8" t="str">
        <f t="shared" si="197"/>
        <v/>
      </c>
      <c r="J3164" s="8" t="str">
        <f t="shared" si="198"/>
        <v/>
      </c>
      <c r="K3164" t="str">
        <f t="shared" si="199"/>
        <v>MISSING OEWS</v>
      </c>
    </row>
    <row r="3165" spans="1:11">
      <c r="A3165" t="s">
        <v>114</v>
      </c>
      <c r="B3165" t="s">
        <v>115</v>
      </c>
      <c r="C3165" t="s">
        <v>658</v>
      </c>
      <c r="D3165" t="s">
        <v>659</v>
      </c>
      <c r="E3165" s="8">
        <v>1300</v>
      </c>
      <c r="F3165" s="8">
        <v>55180</v>
      </c>
      <c r="G3165" s="8">
        <f t="shared" si="196"/>
        <v>71734000</v>
      </c>
      <c r="H3165" s="5"/>
      <c r="I3165" s="8" t="str">
        <f t="shared" si="197"/>
        <v/>
      </c>
      <c r="J3165" s="8" t="str">
        <f t="shared" si="198"/>
        <v/>
      </c>
      <c r="K3165" t="str">
        <f t="shared" si="199"/>
        <v>MISSING WHARTON</v>
      </c>
    </row>
    <row r="3166" spans="1:11">
      <c r="A3166" t="s">
        <v>114</v>
      </c>
      <c r="B3166" t="s">
        <v>115</v>
      </c>
      <c r="C3166" t="s">
        <v>886</v>
      </c>
      <c r="D3166" t="s">
        <v>887</v>
      </c>
      <c r="E3166" s="8">
        <v>340</v>
      </c>
      <c r="F3166" s="8">
        <v>42210</v>
      </c>
      <c r="G3166" s="8">
        <f t="shared" si="196"/>
        <v>14351400</v>
      </c>
      <c r="H3166" s="5">
        <v>0.2235</v>
      </c>
      <c r="I3166" s="8">
        <f t="shared" si="197"/>
        <v>14351400</v>
      </c>
      <c r="J3166" s="8">
        <f t="shared" si="198"/>
        <v>3207537.9</v>
      </c>
      <c r="K3166" t="str">
        <f t="shared" si="199"/>
        <v>MATCHED</v>
      </c>
    </row>
    <row r="3167" spans="1:11">
      <c r="A3167" t="s">
        <v>114</v>
      </c>
      <c r="B3167" t="s">
        <v>115</v>
      </c>
      <c r="C3167" t="s">
        <v>387</v>
      </c>
      <c r="D3167" t="s">
        <v>388</v>
      </c>
      <c r="E3167" s="8">
        <v>2770</v>
      </c>
      <c r="F3167" s="8">
        <v>56770</v>
      </c>
      <c r="G3167" s="8">
        <f t="shared" si="196"/>
        <v>157252900</v>
      </c>
      <c r="H3167" s="5">
        <v>0.8192</v>
      </c>
      <c r="I3167" s="8">
        <f t="shared" si="197"/>
        <v>157252900</v>
      </c>
      <c r="J3167" s="8">
        <f t="shared" si="198"/>
        <v>128821575.68</v>
      </c>
      <c r="K3167" t="str">
        <f t="shared" si="199"/>
        <v>MATCHED</v>
      </c>
    </row>
    <row r="3168" spans="1:11">
      <c r="A3168" t="s">
        <v>114</v>
      </c>
      <c r="B3168" t="s">
        <v>115</v>
      </c>
      <c r="C3168" t="s">
        <v>389</v>
      </c>
      <c r="D3168" t="s">
        <v>390</v>
      </c>
      <c r="E3168" s="8">
        <v>14350</v>
      </c>
      <c r="F3168" s="8">
        <v>65070</v>
      </c>
      <c r="G3168" s="8">
        <f t="shared" si="196"/>
        <v>933754500</v>
      </c>
      <c r="H3168" s="5">
        <v>0.7794</v>
      </c>
      <c r="I3168" s="8">
        <f t="shared" si="197"/>
        <v>933754500</v>
      </c>
      <c r="J3168" s="8">
        <f t="shared" si="198"/>
        <v>727768257.3</v>
      </c>
      <c r="K3168" t="str">
        <f t="shared" si="199"/>
        <v>MATCHED</v>
      </c>
    </row>
    <row r="3169" spans="1:11">
      <c r="A3169" t="s">
        <v>114</v>
      </c>
      <c r="B3169" t="s">
        <v>115</v>
      </c>
      <c r="C3169" t="s">
        <v>391</v>
      </c>
      <c r="D3169" t="s">
        <v>392</v>
      </c>
      <c r="E3169" s="8">
        <v>6550</v>
      </c>
      <c r="F3169" s="8">
        <v>47730</v>
      </c>
      <c r="G3169" s="8">
        <f t="shared" si="196"/>
        <v>312631500</v>
      </c>
      <c r="H3169" s="5">
        <v>0.6455</v>
      </c>
      <c r="I3169" s="8">
        <f t="shared" si="197"/>
        <v>312631500</v>
      </c>
      <c r="J3169" s="8">
        <f t="shared" si="198"/>
        <v>201803633.25</v>
      </c>
      <c r="K3169" t="str">
        <f t="shared" si="199"/>
        <v>MATCHED</v>
      </c>
    </row>
    <row r="3170" spans="1:11">
      <c r="A3170" t="s">
        <v>114</v>
      </c>
      <c r="B3170" t="s">
        <v>115</v>
      </c>
      <c r="C3170" t="s">
        <v>393</v>
      </c>
      <c r="D3170" t="s">
        <v>394</v>
      </c>
      <c r="E3170" s="8">
        <v>160</v>
      </c>
      <c r="F3170" s="8">
        <v>60530</v>
      </c>
      <c r="G3170" s="8">
        <f t="shared" si="196"/>
        <v>9684800</v>
      </c>
      <c r="H3170" s="5">
        <v>0.2932</v>
      </c>
      <c r="I3170" s="8">
        <f t="shared" si="197"/>
        <v>9684800</v>
      </c>
      <c r="J3170" s="8">
        <f t="shared" si="198"/>
        <v>2839583.36</v>
      </c>
      <c r="K3170" t="str">
        <f t="shared" si="199"/>
        <v>MATCHED</v>
      </c>
    </row>
    <row r="3171" spans="1:11">
      <c r="A3171" t="s">
        <v>114</v>
      </c>
      <c r="B3171" t="s">
        <v>115</v>
      </c>
      <c r="C3171" t="s">
        <v>395</v>
      </c>
      <c r="D3171" t="s">
        <v>396</v>
      </c>
      <c r="E3171" s="8">
        <v>11410</v>
      </c>
      <c r="F3171" s="8">
        <v>95140</v>
      </c>
      <c r="G3171" s="8">
        <f t="shared" si="196"/>
        <v>1085547400</v>
      </c>
      <c r="H3171" s="5">
        <v>0.7955</v>
      </c>
      <c r="I3171" s="8">
        <f t="shared" si="197"/>
        <v>1085547400</v>
      </c>
      <c r="J3171" s="8">
        <f t="shared" si="198"/>
        <v>863552956.7</v>
      </c>
      <c r="K3171" t="str">
        <f t="shared" si="199"/>
        <v>MATCHED</v>
      </c>
    </row>
    <row r="3172" spans="1:11">
      <c r="A3172" t="s">
        <v>114</v>
      </c>
      <c r="B3172" t="s">
        <v>115</v>
      </c>
      <c r="C3172" t="s">
        <v>890</v>
      </c>
      <c r="D3172" t="s">
        <v>891</v>
      </c>
      <c r="E3172" s="8">
        <v>300</v>
      </c>
      <c r="F3172" s="8">
        <v>67040</v>
      </c>
      <c r="G3172" s="8">
        <f t="shared" si="196"/>
        <v>20112000</v>
      </c>
      <c r="H3172" s="5">
        <v>0.8679</v>
      </c>
      <c r="I3172" s="8">
        <f t="shared" si="197"/>
        <v>20112000</v>
      </c>
      <c r="J3172" s="8">
        <f t="shared" si="198"/>
        <v>17455204.8</v>
      </c>
      <c r="K3172" t="str">
        <f t="shared" si="199"/>
        <v>MATCHED</v>
      </c>
    </row>
    <row r="3173" spans="1:11">
      <c r="A3173" t="s">
        <v>114</v>
      </c>
      <c r="B3173" t="s">
        <v>115</v>
      </c>
      <c r="C3173" t="s">
        <v>1290</v>
      </c>
      <c r="D3173" t="s">
        <v>1291</v>
      </c>
      <c r="E3173" s="8">
        <v>750</v>
      </c>
      <c r="F3173" s="8">
        <v>43950</v>
      </c>
      <c r="G3173" s="8">
        <f t="shared" si="196"/>
        <v>32962500</v>
      </c>
      <c r="H3173" s="5">
        <v>0.9031</v>
      </c>
      <c r="I3173" s="8">
        <f t="shared" si="197"/>
        <v>32962500</v>
      </c>
      <c r="J3173" s="8">
        <f t="shared" si="198"/>
        <v>29768433.75</v>
      </c>
      <c r="K3173" t="str">
        <f t="shared" si="199"/>
        <v>MATCHED</v>
      </c>
    </row>
    <row r="3174" spans="1:11">
      <c r="A3174" t="s">
        <v>114</v>
      </c>
      <c r="B3174" t="s">
        <v>115</v>
      </c>
      <c r="C3174" t="s">
        <v>397</v>
      </c>
      <c r="D3174" t="s">
        <v>398</v>
      </c>
      <c r="E3174" s="8">
        <v>22750</v>
      </c>
      <c r="F3174" s="8">
        <v>50710</v>
      </c>
      <c r="G3174" s="8">
        <f t="shared" si="196"/>
        <v>1153652500</v>
      </c>
      <c r="H3174" s="5">
        <v>0.8031</v>
      </c>
      <c r="I3174" s="8">
        <f t="shared" si="197"/>
        <v>1153652500</v>
      </c>
      <c r="J3174" s="8">
        <f t="shared" si="198"/>
        <v>926498322.75</v>
      </c>
      <c r="K3174" t="str">
        <f t="shared" si="199"/>
        <v>MATCHED</v>
      </c>
    </row>
    <row r="3175" spans="1:11">
      <c r="A3175" t="s">
        <v>114</v>
      </c>
      <c r="B3175" t="s">
        <v>115</v>
      </c>
      <c r="C3175" t="s">
        <v>399</v>
      </c>
      <c r="D3175" t="s">
        <v>400</v>
      </c>
      <c r="E3175" s="8">
        <v>6940</v>
      </c>
      <c r="F3175" s="8">
        <v>39420</v>
      </c>
      <c r="G3175" s="8">
        <f t="shared" si="196"/>
        <v>273574800</v>
      </c>
      <c r="H3175" s="5">
        <v>0.75</v>
      </c>
      <c r="I3175" s="8">
        <f t="shared" si="197"/>
        <v>273574800</v>
      </c>
      <c r="J3175" s="8">
        <f t="shared" si="198"/>
        <v>205181100</v>
      </c>
      <c r="K3175" t="str">
        <f t="shared" si="199"/>
        <v>MATCHED</v>
      </c>
    </row>
    <row r="3176" spans="1:11">
      <c r="A3176" t="s">
        <v>114</v>
      </c>
      <c r="B3176" t="s">
        <v>115</v>
      </c>
      <c r="C3176" t="s">
        <v>1455</v>
      </c>
      <c r="D3176" t="s">
        <v>1456</v>
      </c>
      <c r="E3176" s="8">
        <v>560</v>
      </c>
      <c r="F3176" s="8">
        <v>32520</v>
      </c>
      <c r="G3176" s="8">
        <f t="shared" si="196"/>
        <v>18211200</v>
      </c>
      <c r="H3176" s="5">
        <v>0.835</v>
      </c>
      <c r="I3176" s="8">
        <f t="shared" si="197"/>
        <v>18211200</v>
      </c>
      <c r="J3176" s="8">
        <f t="shared" si="198"/>
        <v>15206352</v>
      </c>
      <c r="K3176" t="str">
        <f t="shared" si="199"/>
        <v>MATCHED</v>
      </c>
    </row>
    <row r="3177" spans="1:11">
      <c r="A3177" t="s">
        <v>114</v>
      </c>
      <c r="B3177" t="s">
        <v>115</v>
      </c>
      <c r="C3177" t="s">
        <v>1292</v>
      </c>
      <c r="D3177" t="s">
        <v>1293</v>
      </c>
      <c r="E3177" s="8">
        <v>1650</v>
      </c>
      <c r="F3177" s="8">
        <v>62730</v>
      </c>
      <c r="G3177" s="8">
        <f t="shared" si="196"/>
        <v>103504500</v>
      </c>
      <c r="H3177" s="5">
        <v>0.9417</v>
      </c>
      <c r="I3177" s="8">
        <f t="shared" si="197"/>
        <v>103504500</v>
      </c>
      <c r="J3177" s="8">
        <f t="shared" si="198"/>
        <v>97470187.65</v>
      </c>
      <c r="K3177" t="str">
        <f t="shared" si="199"/>
        <v>MATCHED</v>
      </c>
    </row>
    <row r="3178" spans="1:11">
      <c r="A3178" t="s">
        <v>114</v>
      </c>
      <c r="B3178" t="s">
        <v>115</v>
      </c>
      <c r="C3178" t="s">
        <v>1020</v>
      </c>
      <c r="D3178" t="s">
        <v>1021</v>
      </c>
      <c r="E3178" s="8">
        <v>450</v>
      </c>
      <c r="F3178" s="8">
        <v>44190</v>
      </c>
      <c r="G3178" s="8">
        <f t="shared" si="196"/>
        <v>19885500</v>
      </c>
      <c r="H3178" s="5">
        <v>0.9519</v>
      </c>
      <c r="I3178" s="8">
        <f t="shared" si="197"/>
        <v>19885500</v>
      </c>
      <c r="J3178" s="8">
        <f t="shared" si="198"/>
        <v>18929007.45</v>
      </c>
      <c r="K3178" t="str">
        <f t="shared" si="199"/>
        <v>MATCHED</v>
      </c>
    </row>
    <row r="3179" spans="1:11">
      <c r="A3179" t="s">
        <v>114</v>
      </c>
      <c r="B3179" t="s">
        <v>115</v>
      </c>
      <c r="C3179" t="s">
        <v>892</v>
      </c>
      <c r="D3179" t="s">
        <v>893</v>
      </c>
      <c r="E3179" s="8">
        <v>3660</v>
      </c>
      <c r="F3179" s="8">
        <v>36410</v>
      </c>
      <c r="G3179" s="8">
        <f t="shared" si="196"/>
        <v>133260600</v>
      </c>
      <c r="H3179" s="5">
        <v>0.231</v>
      </c>
      <c r="I3179" s="8">
        <f t="shared" si="197"/>
        <v>133260600</v>
      </c>
      <c r="J3179" s="8">
        <f t="shared" si="198"/>
        <v>30783198.6</v>
      </c>
      <c r="K3179" t="str">
        <f t="shared" si="199"/>
        <v>MATCHED</v>
      </c>
    </row>
    <row r="3180" spans="1:11">
      <c r="A3180" t="s">
        <v>114</v>
      </c>
      <c r="B3180" t="s">
        <v>115</v>
      </c>
      <c r="C3180" t="s">
        <v>401</v>
      </c>
      <c r="D3180" t="s">
        <v>402</v>
      </c>
      <c r="E3180" s="8">
        <v>31210</v>
      </c>
      <c r="F3180" s="8">
        <v>47600</v>
      </c>
      <c r="G3180" s="8">
        <f t="shared" si="196"/>
        <v>1485596000</v>
      </c>
      <c r="H3180" s="5">
        <v>0.7452</v>
      </c>
      <c r="I3180" s="8">
        <f t="shared" si="197"/>
        <v>1485596000</v>
      </c>
      <c r="J3180" s="8">
        <f t="shared" si="198"/>
        <v>1107066139.2</v>
      </c>
      <c r="K3180" t="str">
        <f t="shared" si="199"/>
        <v>MATCHED</v>
      </c>
    </row>
    <row r="3181" spans="1:11">
      <c r="A3181" t="s">
        <v>114</v>
      </c>
      <c r="B3181" t="s">
        <v>115</v>
      </c>
      <c r="C3181" t="s">
        <v>660</v>
      </c>
      <c r="D3181" t="s">
        <v>661</v>
      </c>
      <c r="E3181" s="8">
        <v>2580</v>
      </c>
      <c r="F3181" s="8">
        <v>36730</v>
      </c>
      <c r="G3181" s="8">
        <f t="shared" si="196"/>
        <v>94763400</v>
      </c>
      <c r="H3181" s="5">
        <v>0.2639</v>
      </c>
      <c r="I3181" s="8">
        <f t="shared" si="197"/>
        <v>94763400</v>
      </c>
      <c r="J3181" s="8">
        <f t="shared" si="198"/>
        <v>25008061.26</v>
      </c>
      <c r="K3181" t="str">
        <f t="shared" si="199"/>
        <v>MATCHED</v>
      </c>
    </row>
    <row r="3182" spans="1:11">
      <c r="A3182" t="s">
        <v>114</v>
      </c>
      <c r="B3182" t="s">
        <v>115</v>
      </c>
      <c r="C3182" t="s">
        <v>1294</v>
      </c>
      <c r="D3182" t="s">
        <v>1295</v>
      </c>
      <c r="E3182" s="8">
        <v>1470</v>
      </c>
      <c r="F3182" s="8">
        <v>47420</v>
      </c>
      <c r="G3182" s="8">
        <f t="shared" si="196"/>
        <v>69707400</v>
      </c>
      <c r="H3182" s="5">
        <v>0.9273</v>
      </c>
      <c r="I3182" s="8">
        <f t="shared" si="197"/>
        <v>69707400</v>
      </c>
      <c r="J3182" s="8">
        <f t="shared" si="198"/>
        <v>64639672.02</v>
      </c>
      <c r="K3182" t="str">
        <f t="shared" si="199"/>
        <v>MATCHED</v>
      </c>
    </row>
    <row r="3183" spans="1:11">
      <c r="A3183" t="s">
        <v>114</v>
      </c>
      <c r="B3183" t="s">
        <v>115</v>
      </c>
      <c r="C3183" t="s">
        <v>1545</v>
      </c>
      <c r="D3183" t="s">
        <v>1546</v>
      </c>
      <c r="E3183" s="8"/>
      <c r="F3183" s="8">
        <v>53000</v>
      </c>
      <c r="G3183" s="8" t="str">
        <f t="shared" si="196"/>
        <v/>
      </c>
      <c r="H3183" s="5">
        <v>0.8679</v>
      </c>
      <c r="I3183" s="8" t="str">
        <f t="shared" si="197"/>
        <v/>
      </c>
      <c r="J3183" s="8" t="str">
        <f t="shared" si="198"/>
        <v/>
      </c>
      <c r="K3183" t="str">
        <f t="shared" si="199"/>
        <v>MISSING OEWS</v>
      </c>
    </row>
    <row r="3184" spans="1:11">
      <c r="A3184" t="s">
        <v>114</v>
      </c>
      <c r="B3184" t="s">
        <v>115</v>
      </c>
      <c r="C3184" t="s">
        <v>662</v>
      </c>
      <c r="D3184" t="s">
        <v>663</v>
      </c>
      <c r="E3184" s="8">
        <v>2450</v>
      </c>
      <c r="F3184" s="8">
        <v>43650</v>
      </c>
      <c r="G3184" s="8">
        <f t="shared" si="196"/>
        <v>106942500</v>
      </c>
      <c r="H3184" s="5"/>
      <c r="I3184" s="8" t="str">
        <f t="shared" si="197"/>
        <v/>
      </c>
      <c r="J3184" s="8" t="str">
        <f t="shared" si="198"/>
        <v/>
      </c>
      <c r="K3184" t="str">
        <f t="shared" si="199"/>
        <v>MISSING WHARTON</v>
      </c>
    </row>
    <row r="3185" spans="1:11">
      <c r="A3185" t="s">
        <v>114</v>
      </c>
      <c r="B3185" t="s">
        <v>115</v>
      </c>
      <c r="C3185" t="s">
        <v>664</v>
      </c>
      <c r="D3185" t="s">
        <v>665</v>
      </c>
      <c r="E3185" s="8">
        <v>1020</v>
      </c>
      <c r="F3185" s="8">
        <v>92980</v>
      </c>
      <c r="G3185" s="8">
        <f t="shared" si="196"/>
        <v>94839600</v>
      </c>
      <c r="H3185" s="5">
        <v>0.265</v>
      </c>
      <c r="I3185" s="8">
        <f t="shared" si="197"/>
        <v>94839600</v>
      </c>
      <c r="J3185" s="8">
        <f t="shared" si="198"/>
        <v>25132494</v>
      </c>
      <c r="K3185" t="str">
        <f t="shared" si="199"/>
        <v>MATCHED</v>
      </c>
    </row>
    <row r="3186" spans="1:11">
      <c r="A3186" t="s">
        <v>114</v>
      </c>
      <c r="B3186" t="s">
        <v>115</v>
      </c>
      <c r="C3186" t="s">
        <v>427</v>
      </c>
      <c r="D3186" t="s">
        <v>428</v>
      </c>
      <c r="E3186" s="8">
        <v>1350</v>
      </c>
      <c r="F3186" s="8">
        <v>103860</v>
      </c>
      <c r="G3186" s="8">
        <f t="shared" si="196"/>
        <v>140211000</v>
      </c>
      <c r="H3186" s="5">
        <v>0.081</v>
      </c>
      <c r="I3186" s="8">
        <f t="shared" si="197"/>
        <v>140211000</v>
      </c>
      <c r="J3186" s="8">
        <f t="shared" si="198"/>
        <v>11357091</v>
      </c>
      <c r="K3186" t="str">
        <f t="shared" si="199"/>
        <v>MATCHED</v>
      </c>
    </row>
    <row r="3187" spans="1:11">
      <c r="A3187" t="s">
        <v>114</v>
      </c>
      <c r="B3187" t="s">
        <v>115</v>
      </c>
      <c r="C3187" t="s">
        <v>670</v>
      </c>
      <c r="D3187" t="s">
        <v>671</v>
      </c>
      <c r="E3187" s="8">
        <v>1620</v>
      </c>
      <c r="F3187" s="8">
        <v>60110</v>
      </c>
      <c r="G3187" s="8">
        <f t="shared" si="196"/>
        <v>97378200</v>
      </c>
      <c r="H3187" s="5">
        <v>0.0297</v>
      </c>
      <c r="I3187" s="8">
        <f t="shared" si="197"/>
        <v>97378200</v>
      </c>
      <c r="J3187" s="8">
        <f t="shared" si="198"/>
        <v>2892132.54</v>
      </c>
      <c r="K3187" t="str">
        <f t="shared" si="199"/>
        <v>MATCHED</v>
      </c>
    </row>
    <row r="3188" spans="1:11">
      <c r="A3188" t="s">
        <v>114</v>
      </c>
      <c r="B3188" t="s">
        <v>115</v>
      </c>
      <c r="C3188" t="s">
        <v>429</v>
      </c>
      <c r="D3188" t="s">
        <v>430</v>
      </c>
      <c r="E3188" s="8">
        <v>880</v>
      </c>
      <c r="F3188" s="8">
        <v>58090</v>
      </c>
      <c r="G3188" s="8">
        <f t="shared" si="196"/>
        <v>51119200</v>
      </c>
      <c r="H3188" s="5">
        <v>0.0589</v>
      </c>
      <c r="I3188" s="8">
        <f t="shared" si="197"/>
        <v>51119200</v>
      </c>
      <c r="J3188" s="8">
        <f t="shared" si="198"/>
        <v>3010920.88</v>
      </c>
      <c r="K3188" t="str">
        <f t="shared" si="199"/>
        <v>MATCHED</v>
      </c>
    </row>
    <row r="3189" spans="1:11">
      <c r="A3189" t="s">
        <v>114</v>
      </c>
      <c r="B3189" t="s">
        <v>115</v>
      </c>
      <c r="C3189" t="s">
        <v>431</v>
      </c>
      <c r="D3189" t="s">
        <v>432</v>
      </c>
      <c r="E3189" s="8">
        <v>1180</v>
      </c>
      <c r="F3189" s="8">
        <v>98000</v>
      </c>
      <c r="G3189" s="8">
        <f t="shared" si="196"/>
        <v>115640000</v>
      </c>
      <c r="H3189" s="5">
        <v>0.0786</v>
      </c>
      <c r="I3189" s="8">
        <f t="shared" si="197"/>
        <v>115640000</v>
      </c>
      <c r="J3189" s="8">
        <f t="shared" si="198"/>
        <v>9089304</v>
      </c>
      <c r="K3189" t="str">
        <f t="shared" si="199"/>
        <v>MATCHED</v>
      </c>
    </row>
    <row r="3190" spans="1:11">
      <c r="A3190" t="s">
        <v>114</v>
      </c>
      <c r="B3190" t="s">
        <v>115</v>
      </c>
      <c r="C3190" t="s">
        <v>678</v>
      </c>
      <c r="D3190" t="s">
        <v>679</v>
      </c>
      <c r="E3190" s="8">
        <v>210</v>
      </c>
      <c r="F3190" s="8">
        <v>106830</v>
      </c>
      <c r="G3190" s="8">
        <f t="shared" si="196"/>
        <v>22434300</v>
      </c>
      <c r="H3190" s="5">
        <v>0.0368</v>
      </c>
      <c r="I3190" s="8">
        <f t="shared" si="197"/>
        <v>22434300</v>
      </c>
      <c r="J3190" s="8">
        <f t="shared" si="198"/>
        <v>825582.24</v>
      </c>
      <c r="K3190" t="str">
        <f t="shared" si="199"/>
        <v>MATCHED</v>
      </c>
    </row>
    <row r="3191" spans="1:11">
      <c r="A3191" t="s">
        <v>114</v>
      </c>
      <c r="B3191" t="s">
        <v>115</v>
      </c>
      <c r="C3191" t="s">
        <v>694</v>
      </c>
      <c r="D3191" t="s">
        <v>695</v>
      </c>
      <c r="E3191" s="8"/>
      <c r="F3191" s="8">
        <v>75110</v>
      </c>
      <c r="G3191" s="8" t="str">
        <f t="shared" si="196"/>
        <v/>
      </c>
      <c r="H3191" s="5">
        <v>0.3737</v>
      </c>
      <c r="I3191" s="8" t="str">
        <f t="shared" si="197"/>
        <v/>
      </c>
      <c r="J3191" s="8" t="str">
        <f t="shared" si="198"/>
        <v/>
      </c>
      <c r="K3191" t="str">
        <f t="shared" si="199"/>
        <v>MISSING OEWS</v>
      </c>
    </row>
    <row r="3192" spans="1:11">
      <c r="A3192" t="s">
        <v>114</v>
      </c>
      <c r="B3192" t="s">
        <v>115</v>
      </c>
      <c r="C3192" t="s">
        <v>702</v>
      </c>
      <c r="D3192" t="s">
        <v>703</v>
      </c>
      <c r="E3192" s="8">
        <v>90</v>
      </c>
      <c r="F3192" s="8">
        <v>63420</v>
      </c>
      <c r="G3192" s="8">
        <f t="shared" si="196"/>
        <v>5707800</v>
      </c>
      <c r="H3192" s="5">
        <v>0.0825</v>
      </c>
      <c r="I3192" s="8">
        <f t="shared" si="197"/>
        <v>5707800</v>
      </c>
      <c r="J3192" s="8">
        <f t="shared" si="198"/>
        <v>470893.5</v>
      </c>
      <c r="K3192" t="str">
        <f t="shared" si="199"/>
        <v>MATCHED</v>
      </c>
    </row>
    <row r="3193" spans="1:11">
      <c r="A3193" t="s">
        <v>114</v>
      </c>
      <c r="B3193" t="s">
        <v>115</v>
      </c>
      <c r="C3193" t="s">
        <v>712</v>
      </c>
      <c r="D3193" t="s">
        <v>713</v>
      </c>
      <c r="E3193" s="8">
        <v>30</v>
      </c>
      <c r="F3193" s="8">
        <v>62110</v>
      </c>
      <c r="G3193" s="8">
        <f t="shared" si="196"/>
        <v>1863300</v>
      </c>
      <c r="H3193" s="5">
        <v>0.0233</v>
      </c>
      <c r="I3193" s="8">
        <f t="shared" si="197"/>
        <v>1863300</v>
      </c>
      <c r="J3193" s="8">
        <f t="shared" si="198"/>
        <v>43414.89</v>
      </c>
      <c r="K3193" t="str">
        <f t="shared" si="199"/>
        <v>MATCHED</v>
      </c>
    </row>
    <row r="3194" spans="1:11">
      <c r="A3194" t="s">
        <v>114</v>
      </c>
      <c r="B3194" t="s">
        <v>115</v>
      </c>
      <c r="C3194" t="s">
        <v>433</v>
      </c>
      <c r="D3194" t="s">
        <v>434</v>
      </c>
      <c r="E3194" s="8">
        <v>14210</v>
      </c>
      <c r="F3194" s="8">
        <v>92970</v>
      </c>
      <c r="G3194" s="8">
        <f t="shared" si="196"/>
        <v>1321103700</v>
      </c>
      <c r="H3194" s="5">
        <v>0.3523</v>
      </c>
      <c r="I3194" s="8">
        <f t="shared" si="197"/>
        <v>1321103700</v>
      </c>
      <c r="J3194" s="8">
        <f t="shared" si="198"/>
        <v>465424833.51</v>
      </c>
      <c r="K3194" t="str">
        <f t="shared" si="199"/>
        <v>MATCHED</v>
      </c>
    </row>
    <row r="3195" spans="1:11">
      <c r="A3195" t="s">
        <v>114</v>
      </c>
      <c r="B3195" t="s">
        <v>115</v>
      </c>
      <c r="C3195" t="s">
        <v>1064</v>
      </c>
      <c r="D3195" t="s">
        <v>1065</v>
      </c>
      <c r="E3195" s="8">
        <v>300</v>
      </c>
      <c r="F3195" s="8">
        <v>58080</v>
      </c>
      <c r="G3195" s="8">
        <f t="shared" si="196"/>
        <v>17424000</v>
      </c>
      <c r="H3195" s="5">
        <v>0.284</v>
      </c>
      <c r="I3195" s="8">
        <f t="shared" si="197"/>
        <v>17424000</v>
      </c>
      <c r="J3195" s="8">
        <f t="shared" si="198"/>
        <v>4948416</v>
      </c>
      <c r="K3195" t="str">
        <f t="shared" si="199"/>
        <v>MATCHED</v>
      </c>
    </row>
    <row r="3196" spans="1:11">
      <c r="A3196" t="s">
        <v>114</v>
      </c>
      <c r="B3196" t="s">
        <v>115</v>
      </c>
      <c r="C3196" t="s">
        <v>898</v>
      </c>
      <c r="D3196" t="s">
        <v>899</v>
      </c>
      <c r="E3196" s="8">
        <v>2890</v>
      </c>
      <c r="F3196" s="8">
        <v>79630</v>
      </c>
      <c r="G3196" s="8">
        <f t="shared" si="196"/>
        <v>230130700</v>
      </c>
      <c r="H3196" s="5">
        <v>0.1583</v>
      </c>
      <c r="I3196" s="8">
        <f t="shared" si="197"/>
        <v>230130700</v>
      </c>
      <c r="J3196" s="8">
        <f t="shared" si="198"/>
        <v>36429689.81</v>
      </c>
      <c r="K3196" t="str">
        <f t="shared" si="199"/>
        <v>MATCHED</v>
      </c>
    </row>
    <row r="3197" spans="1:11">
      <c r="A3197" t="s">
        <v>114</v>
      </c>
      <c r="B3197" t="s">
        <v>115</v>
      </c>
      <c r="C3197" t="s">
        <v>900</v>
      </c>
      <c r="D3197" t="s">
        <v>901</v>
      </c>
      <c r="E3197" s="8">
        <v>94140</v>
      </c>
      <c r="F3197" s="8">
        <v>70310</v>
      </c>
      <c r="G3197" s="8">
        <f t="shared" si="196"/>
        <v>6618983400</v>
      </c>
      <c r="H3197" s="5">
        <v>0.195</v>
      </c>
      <c r="I3197" s="8">
        <f t="shared" si="197"/>
        <v>6618983400</v>
      </c>
      <c r="J3197" s="8">
        <f t="shared" si="198"/>
        <v>1290701763</v>
      </c>
      <c r="K3197" t="str">
        <f t="shared" si="199"/>
        <v>MATCHED</v>
      </c>
    </row>
    <row r="3198" spans="1:11">
      <c r="A3198" t="s">
        <v>114</v>
      </c>
      <c r="B3198" t="s">
        <v>115</v>
      </c>
      <c r="C3198" t="s">
        <v>734</v>
      </c>
      <c r="D3198" t="s">
        <v>735</v>
      </c>
      <c r="E3198" s="8">
        <v>890</v>
      </c>
      <c r="F3198" s="8">
        <v>79480</v>
      </c>
      <c r="G3198" s="8">
        <f t="shared" si="196"/>
        <v>70737200</v>
      </c>
      <c r="H3198" s="5">
        <v>0.19</v>
      </c>
      <c r="I3198" s="8">
        <f t="shared" si="197"/>
        <v>70737200</v>
      </c>
      <c r="J3198" s="8">
        <f t="shared" si="198"/>
        <v>13440068</v>
      </c>
      <c r="K3198" t="str">
        <f t="shared" si="199"/>
        <v>MATCHED</v>
      </c>
    </row>
    <row r="3199" spans="1:11">
      <c r="A3199" t="s">
        <v>114</v>
      </c>
      <c r="B3199" t="s">
        <v>115</v>
      </c>
      <c r="C3199" t="s">
        <v>1298</v>
      </c>
      <c r="D3199" t="s">
        <v>1299</v>
      </c>
      <c r="E3199" s="8">
        <v>100</v>
      </c>
      <c r="F3199" s="8">
        <v>71980</v>
      </c>
      <c r="G3199" s="8">
        <f t="shared" si="196"/>
        <v>7198000</v>
      </c>
      <c r="H3199" s="5">
        <v>0.1583</v>
      </c>
      <c r="I3199" s="8">
        <f t="shared" si="197"/>
        <v>7198000</v>
      </c>
      <c r="J3199" s="8">
        <f t="shared" si="198"/>
        <v>1139443.4</v>
      </c>
      <c r="K3199" t="str">
        <f t="shared" si="199"/>
        <v>MATCHED</v>
      </c>
    </row>
    <row r="3200" spans="1:11">
      <c r="A3200" t="s">
        <v>114</v>
      </c>
      <c r="B3200" t="s">
        <v>115</v>
      </c>
      <c r="C3200" t="s">
        <v>1066</v>
      </c>
      <c r="D3200" t="s">
        <v>1067</v>
      </c>
      <c r="E3200" s="8">
        <v>510</v>
      </c>
      <c r="F3200" s="8">
        <v>63290</v>
      </c>
      <c r="G3200" s="8">
        <f t="shared" si="196"/>
        <v>32277900</v>
      </c>
      <c r="H3200" s="5">
        <v>0.2591</v>
      </c>
      <c r="I3200" s="8">
        <f t="shared" si="197"/>
        <v>32277900</v>
      </c>
      <c r="J3200" s="8">
        <f t="shared" si="198"/>
        <v>8363203.89</v>
      </c>
      <c r="K3200" t="str">
        <f t="shared" si="199"/>
        <v>MATCHED</v>
      </c>
    </row>
    <row r="3201" spans="1:11">
      <c r="A3201" t="s">
        <v>114</v>
      </c>
      <c r="B3201" t="s">
        <v>115</v>
      </c>
      <c r="C3201" t="s">
        <v>1068</v>
      </c>
      <c r="D3201" t="s">
        <v>1069</v>
      </c>
      <c r="E3201" s="8"/>
      <c r="F3201" s="8">
        <v>56740</v>
      </c>
      <c r="G3201" s="8" t="str">
        <f t="shared" si="196"/>
        <v/>
      </c>
      <c r="H3201" s="5">
        <v>0.2219</v>
      </c>
      <c r="I3201" s="8" t="str">
        <f t="shared" si="197"/>
        <v/>
      </c>
      <c r="J3201" s="8" t="str">
        <f t="shared" si="198"/>
        <v/>
      </c>
      <c r="K3201" t="str">
        <f t="shared" si="199"/>
        <v>MISSING OEWS</v>
      </c>
    </row>
    <row r="3202" spans="1:11">
      <c r="A3202" t="s">
        <v>114</v>
      </c>
      <c r="B3202" t="s">
        <v>115</v>
      </c>
      <c r="C3202" t="s">
        <v>435</v>
      </c>
      <c r="D3202" t="s">
        <v>436</v>
      </c>
      <c r="E3202" s="8"/>
      <c r="F3202" s="8">
        <v>246560</v>
      </c>
      <c r="G3202" s="8" t="str">
        <f t="shared" ref="G3202:G3265" si="200">IF(OR(E3202="",F3202=""),"",E3202*F3202)</f>
        <v/>
      </c>
      <c r="H3202" s="5">
        <v>0.0434</v>
      </c>
      <c r="I3202" s="8" t="str">
        <f t="shared" ref="I3202:I3265" si="201">IF(G3202="","",IF(ISNUMBER(H3202),G3202,""))</f>
        <v/>
      </c>
      <c r="J3202" s="8" t="str">
        <f t="shared" ref="J3202:J3265" si="202">IF(I3202="","",I3202*H3202)</f>
        <v/>
      </c>
      <c r="K3202" t="str">
        <f t="shared" ref="K3202:K3265" si="203">IF(G3202="","MISSING OEWS",IF(ISNUMBER(H3202),"MATCHED","MISSING WHARTON"))</f>
        <v>MISSING OEWS</v>
      </c>
    </row>
    <row r="3203" spans="1:11">
      <c r="A3203" t="s">
        <v>114</v>
      </c>
      <c r="B3203" t="s">
        <v>115</v>
      </c>
      <c r="C3203" t="s">
        <v>736</v>
      </c>
      <c r="D3203" t="s">
        <v>737</v>
      </c>
      <c r="E3203" s="8">
        <v>250</v>
      </c>
      <c r="F3203" s="8">
        <v>89830</v>
      </c>
      <c r="G3203" s="8">
        <f t="shared" si="200"/>
        <v>22457500</v>
      </c>
      <c r="H3203" s="5">
        <v>0.0233</v>
      </c>
      <c r="I3203" s="8">
        <f t="shared" si="201"/>
        <v>22457500</v>
      </c>
      <c r="J3203" s="8">
        <f t="shared" si="202"/>
        <v>523259.75</v>
      </c>
      <c r="K3203" t="str">
        <f t="shared" si="203"/>
        <v>MATCHED</v>
      </c>
    </row>
    <row r="3204" spans="1:11">
      <c r="A3204" t="s">
        <v>114</v>
      </c>
      <c r="B3204" t="s">
        <v>115</v>
      </c>
      <c r="C3204" t="s">
        <v>437</v>
      </c>
      <c r="D3204" t="s">
        <v>438</v>
      </c>
      <c r="E3204" s="8">
        <v>120</v>
      </c>
      <c r="F3204" s="8">
        <v>72280</v>
      </c>
      <c r="G3204" s="8">
        <f t="shared" si="200"/>
        <v>8673600</v>
      </c>
      <c r="H3204" s="5">
        <v>0</v>
      </c>
      <c r="I3204" s="8">
        <f t="shared" si="201"/>
        <v>8673600</v>
      </c>
      <c r="J3204" s="8">
        <f t="shared" si="202"/>
        <v>0</v>
      </c>
      <c r="K3204" t="str">
        <f t="shared" si="203"/>
        <v>MATCHED</v>
      </c>
    </row>
    <row r="3205" spans="1:11">
      <c r="A3205" t="s">
        <v>114</v>
      </c>
      <c r="B3205" t="s">
        <v>115</v>
      </c>
      <c r="C3205" t="s">
        <v>441</v>
      </c>
      <c r="D3205" t="s">
        <v>442</v>
      </c>
      <c r="E3205" s="8">
        <v>40</v>
      </c>
      <c r="F3205" s="8">
        <v>85070</v>
      </c>
      <c r="G3205" s="8">
        <f t="shared" si="200"/>
        <v>3402800</v>
      </c>
      <c r="H3205" s="5">
        <v>0.1425</v>
      </c>
      <c r="I3205" s="8">
        <f t="shared" si="201"/>
        <v>3402800</v>
      </c>
      <c r="J3205" s="8">
        <f t="shared" si="202"/>
        <v>484899</v>
      </c>
      <c r="K3205" t="str">
        <f t="shared" si="203"/>
        <v>MATCHED</v>
      </c>
    </row>
    <row r="3206" spans="1:11">
      <c r="A3206" t="s">
        <v>114</v>
      </c>
      <c r="B3206" t="s">
        <v>115</v>
      </c>
      <c r="C3206" t="s">
        <v>443</v>
      </c>
      <c r="D3206" t="s">
        <v>444</v>
      </c>
      <c r="E3206" s="8">
        <v>580</v>
      </c>
      <c r="F3206" s="8">
        <v>86480</v>
      </c>
      <c r="G3206" s="8">
        <f t="shared" si="200"/>
        <v>50158400</v>
      </c>
      <c r="H3206" s="5">
        <v>0.0867</v>
      </c>
      <c r="I3206" s="8">
        <f t="shared" si="201"/>
        <v>50158400</v>
      </c>
      <c r="J3206" s="8">
        <f t="shared" si="202"/>
        <v>4348733.28</v>
      </c>
      <c r="K3206" t="str">
        <f t="shared" si="203"/>
        <v>MATCHED</v>
      </c>
    </row>
    <row r="3207" spans="1:11">
      <c r="A3207" t="s">
        <v>114</v>
      </c>
      <c r="B3207" t="s">
        <v>115</v>
      </c>
      <c r="C3207" t="s">
        <v>445</v>
      </c>
      <c r="D3207" t="s">
        <v>446</v>
      </c>
      <c r="E3207" s="8"/>
      <c r="F3207" s="8">
        <v>68090</v>
      </c>
      <c r="G3207" s="8" t="str">
        <f t="shared" si="200"/>
        <v/>
      </c>
      <c r="H3207" s="5">
        <v>0.25</v>
      </c>
      <c r="I3207" s="8" t="str">
        <f t="shared" si="201"/>
        <v/>
      </c>
      <c r="J3207" s="8" t="str">
        <f t="shared" si="202"/>
        <v/>
      </c>
      <c r="K3207" t="str">
        <f t="shared" si="203"/>
        <v>MISSING OEWS</v>
      </c>
    </row>
    <row r="3208" spans="1:11">
      <c r="A3208" t="s">
        <v>114</v>
      </c>
      <c r="B3208" t="s">
        <v>115</v>
      </c>
      <c r="C3208" t="s">
        <v>744</v>
      </c>
      <c r="D3208" t="s">
        <v>745</v>
      </c>
      <c r="E3208" s="8">
        <v>220</v>
      </c>
      <c r="F3208" s="8">
        <v>59210</v>
      </c>
      <c r="G3208" s="8">
        <f t="shared" si="200"/>
        <v>13026200</v>
      </c>
      <c r="H3208" s="5">
        <v>0</v>
      </c>
      <c r="I3208" s="8">
        <f t="shared" si="201"/>
        <v>13026200</v>
      </c>
      <c r="J3208" s="8">
        <f t="shared" si="202"/>
        <v>0</v>
      </c>
      <c r="K3208" t="str">
        <f t="shared" si="203"/>
        <v>MATCHED</v>
      </c>
    </row>
    <row r="3209" spans="1:11">
      <c r="A3209" t="s">
        <v>114</v>
      </c>
      <c r="B3209" t="s">
        <v>115</v>
      </c>
      <c r="C3209" t="s">
        <v>908</v>
      </c>
      <c r="D3209" t="s">
        <v>909</v>
      </c>
      <c r="E3209" s="8">
        <v>61040</v>
      </c>
      <c r="F3209" s="8">
        <v>82160</v>
      </c>
      <c r="G3209" s="8">
        <f t="shared" si="200"/>
        <v>5015046400</v>
      </c>
      <c r="H3209" s="5">
        <v>0.0475</v>
      </c>
      <c r="I3209" s="8">
        <f t="shared" si="201"/>
        <v>5015046400</v>
      </c>
      <c r="J3209" s="8">
        <f t="shared" si="202"/>
        <v>238214704</v>
      </c>
      <c r="K3209" t="str">
        <f t="shared" si="203"/>
        <v>MATCHED</v>
      </c>
    </row>
    <row r="3210" spans="1:11">
      <c r="A3210" t="s">
        <v>114</v>
      </c>
      <c r="B3210" t="s">
        <v>115</v>
      </c>
      <c r="C3210" t="s">
        <v>1308</v>
      </c>
      <c r="D3210" t="s">
        <v>1309</v>
      </c>
      <c r="E3210" s="8"/>
      <c r="F3210" s="8">
        <v>56870</v>
      </c>
      <c r="G3210" s="8" t="str">
        <f t="shared" si="200"/>
        <v/>
      </c>
      <c r="H3210" s="5">
        <v>0.1733</v>
      </c>
      <c r="I3210" s="8" t="str">
        <f t="shared" si="201"/>
        <v/>
      </c>
      <c r="J3210" s="8" t="str">
        <f t="shared" si="202"/>
        <v/>
      </c>
      <c r="K3210" t="str">
        <f t="shared" si="203"/>
        <v>MISSING OEWS</v>
      </c>
    </row>
    <row r="3211" spans="1:11">
      <c r="A3211" t="s">
        <v>114</v>
      </c>
      <c r="B3211" t="s">
        <v>115</v>
      </c>
      <c r="C3211" t="s">
        <v>449</v>
      </c>
      <c r="D3211" t="s">
        <v>450</v>
      </c>
      <c r="E3211" s="8">
        <v>7930</v>
      </c>
      <c r="F3211" s="8">
        <v>65190</v>
      </c>
      <c r="G3211" s="8">
        <f t="shared" si="200"/>
        <v>516956700</v>
      </c>
      <c r="H3211" s="5">
        <v>0.0867</v>
      </c>
      <c r="I3211" s="8">
        <f t="shared" si="201"/>
        <v>516956700</v>
      </c>
      <c r="J3211" s="8">
        <f t="shared" si="202"/>
        <v>44820145.89</v>
      </c>
      <c r="K3211" t="str">
        <f t="shared" si="203"/>
        <v>MATCHED</v>
      </c>
    </row>
    <row r="3212" spans="1:11">
      <c r="A3212" t="s">
        <v>114</v>
      </c>
      <c r="B3212" t="s">
        <v>115</v>
      </c>
      <c r="C3212" t="s">
        <v>1082</v>
      </c>
      <c r="D3212" t="s">
        <v>1083</v>
      </c>
      <c r="E3212" s="8"/>
      <c r="F3212" s="8">
        <v>63210</v>
      </c>
      <c r="G3212" s="8" t="str">
        <f t="shared" si="200"/>
        <v/>
      </c>
      <c r="H3212" s="5">
        <v>0.2868</v>
      </c>
      <c r="I3212" s="8" t="str">
        <f t="shared" si="201"/>
        <v/>
      </c>
      <c r="J3212" s="8" t="str">
        <f t="shared" si="202"/>
        <v/>
      </c>
      <c r="K3212" t="str">
        <f t="shared" si="203"/>
        <v>MISSING OEWS</v>
      </c>
    </row>
    <row r="3213" spans="1:11">
      <c r="A3213" t="s">
        <v>114</v>
      </c>
      <c r="B3213" t="s">
        <v>115</v>
      </c>
      <c r="C3213" t="s">
        <v>748</v>
      </c>
      <c r="D3213" t="s">
        <v>749</v>
      </c>
      <c r="E3213" s="8">
        <v>1530</v>
      </c>
      <c r="F3213" s="8">
        <v>96670</v>
      </c>
      <c r="G3213" s="8">
        <f t="shared" si="200"/>
        <v>147905100</v>
      </c>
      <c r="H3213" s="5">
        <v>0</v>
      </c>
      <c r="I3213" s="8">
        <f t="shared" si="201"/>
        <v>147905100</v>
      </c>
      <c r="J3213" s="8">
        <f t="shared" si="202"/>
        <v>0</v>
      </c>
      <c r="K3213" t="str">
        <f t="shared" si="203"/>
        <v>MATCHED</v>
      </c>
    </row>
    <row r="3214" spans="1:11">
      <c r="A3214" t="s">
        <v>114</v>
      </c>
      <c r="B3214" t="s">
        <v>115</v>
      </c>
      <c r="C3214" t="s">
        <v>451</v>
      </c>
      <c r="D3214" t="s">
        <v>452</v>
      </c>
      <c r="E3214" s="8">
        <v>210</v>
      </c>
      <c r="F3214" s="8">
        <v>37100</v>
      </c>
      <c r="G3214" s="8">
        <f t="shared" si="200"/>
        <v>7791000</v>
      </c>
      <c r="H3214" s="5">
        <v>0.0594</v>
      </c>
      <c r="I3214" s="8">
        <f t="shared" si="201"/>
        <v>7791000</v>
      </c>
      <c r="J3214" s="8">
        <f t="shared" si="202"/>
        <v>462785.4</v>
      </c>
      <c r="K3214" t="str">
        <f t="shared" si="203"/>
        <v>MATCHED</v>
      </c>
    </row>
    <row r="3215" spans="1:11">
      <c r="A3215" t="s">
        <v>114</v>
      </c>
      <c r="B3215" t="s">
        <v>115</v>
      </c>
      <c r="C3215" t="s">
        <v>453</v>
      </c>
      <c r="D3215" t="s">
        <v>454</v>
      </c>
      <c r="E3215" s="8">
        <v>340</v>
      </c>
      <c r="F3215" s="8">
        <v>56350</v>
      </c>
      <c r="G3215" s="8">
        <f t="shared" si="200"/>
        <v>19159000</v>
      </c>
      <c r="H3215" s="5">
        <v>0.1667</v>
      </c>
      <c r="I3215" s="8">
        <f t="shared" si="201"/>
        <v>19159000</v>
      </c>
      <c r="J3215" s="8">
        <f t="shared" si="202"/>
        <v>3193805.3</v>
      </c>
      <c r="K3215" t="str">
        <f t="shared" si="203"/>
        <v>MATCHED</v>
      </c>
    </row>
    <row r="3216" spans="1:11">
      <c r="A3216" t="s">
        <v>114</v>
      </c>
      <c r="B3216" t="s">
        <v>115</v>
      </c>
      <c r="C3216" t="s">
        <v>455</v>
      </c>
      <c r="D3216" t="s">
        <v>456</v>
      </c>
      <c r="E3216" s="8">
        <v>2420</v>
      </c>
      <c r="F3216" s="8">
        <v>86290</v>
      </c>
      <c r="G3216" s="8">
        <f t="shared" si="200"/>
        <v>208821800</v>
      </c>
      <c r="H3216" s="5">
        <v>0.3775</v>
      </c>
      <c r="I3216" s="8">
        <f t="shared" si="201"/>
        <v>208821800</v>
      </c>
      <c r="J3216" s="8">
        <f t="shared" si="202"/>
        <v>78830229.5</v>
      </c>
      <c r="K3216" t="str">
        <f t="shared" si="203"/>
        <v>MATCHED</v>
      </c>
    </row>
    <row r="3217" spans="1:11">
      <c r="A3217" t="s">
        <v>114</v>
      </c>
      <c r="B3217" t="s">
        <v>115</v>
      </c>
      <c r="C3217" t="s">
        <v>912</v>
      </c>
      <c r="D3217" t="s">
        <v>913</v>
      </c>
      <c r="E3217" s="8">
        <v>160</v>
      </c>
      <c r="F3217" s="8">
        <v>53890</v>
      </c>
      <c r="G3217" s="8">
        <f t="shared" si="200"/>
        <v>8622400</v>
      </c>
      <c r="H3217" s="5">
        <v>0.0559</v>
      </c>
      <c r="I3217" s="8">
        <f t="shared" si="201"/>
        <v>8622400</v>
      </c>
      <c r="J3217" s="8">
        <f t="shared" si="202"/>
        <v>481992.16</v>
      </c>
      <c r="K3217" t="str">
        <f t="shared" si="203"/>
        <v>MATCHED</v>
      </c>
    </row>
    <row r="3218" spans="1:11">
      <c r="A3218" t="s">
        <v>114</v>
      </c>
      <c r="B3218" t="s">
        <v>115</v>
      </c>
      <c r="C3218" t="s">
        <v>457</v>
      </c>
      <c r="D3218" t="s">
        <v>458</v>
      </c>
      <c r="E3218" s="8">
        <v>530</v>
      </c>
      <c r="F3218" s="8">
        <v>49360</v>
      </c>
      <c r="G3218" s="8">
        <f t="shared" si="200"/>
        <v>26160800</v>
      </c>
      <c r="H3218" s="5">
        <v>0.15</v>
      </c>
      <c r="I3218" s="8">
        <f t="shared" si="201"/>
        <v>26160800</v>
      </c>
      <c r="J3218" s="8">
        <f t="shared" si="202"/>
        <v>3924120</v>
      </c>
      <c r="K3218" t="str">
        <f t="shared" si="203"/>
        <v>MATCHED</v>
      </c>
    </row>
    <row r="3219" spans="1:11">
      <c r="A3219" t="s">
        <v>114</v>
      </c>
      <c r="B3219" t="s">
        <v>115</v>
      </c>
      <c r="C3219" t="s">
        <v>1100</v>
      </c>
      <c r="D3219" t="s">
        <v>1101</v>
      </c>
      <c r="E3219" s="8">
        <v>80</v>
      </c>
      <c r="F3219" s="8">
        <v>49690</v>
      </c>
      <c r="G3219" s="8">
        <f t="shared" si="200"/>
        <v>3975200</v>
      </c>
      <c r="H3219" s="5">
        <v>0.0297</v>
      </c>
      <c r="I3219" s="8">
        <f t="shared" si="201"/>
        <v>3975200</v>
      </c>
      <c r="J3219" s="8">
        <f t="shared" si="202"/>
        <v>118063.44</v>
      </c>
      <c r="K3219" t="str">
        <f t="shared" si="203"/>
        <v>MATCHED</v>
      </c>
    </row>
    <row r="3220" spans="1:11">
      <c r="A3220" t="s">
        <v>114</v>
      </c>
      <c r="B3220" t="s">
        <v>115</v>
      </c>
      <c r="C3220" t="s">
        <v>756</v>
      </c>
      <c r="D3220" t="s">
        <v>757</v>
      </c>
      <c r="E3220" s="8">
        <v>100</v>
      </c>
      <c r="F3220" s="8">
        <v>75890</v>
      </c>
      <c r="G3220" s="8">
        <f t="shared" si="200"/>
        <v>7589000</v>
      </c>
      <c r="H3220" s="5">
        <v>0.0897</v>
      </c>
      <c r="I3220" s="8">
        <f t="shared" si="201"/>
        <v>7589000</v>
      </c>
      <c r="J3220" s="8">
        <f t="shared" si="202"/>
        <v>680733.3</v>
      </c>
      <c r="K3220" t="str">
        <f t="shared" si="203"/>
        <v>MATCHED</v>
      </c>
    </row>
    <row r="3221" spans="1:11">
      <c r="A3221" t="s">
        <v>114</v>
      </c>
      <c r="B3221" t="s">
        <v>115</v>
      </c>
      <c r="C3221" t="s">
        <v>465</v>
      </c>
      <c r="D3221" t="s">
        <v>466</v>
      </c>
      <c r="E3221" s="8"/>
      <c r="F3221" s="8">
        <v>56860</v>
      </c>
      <c r="G3221" s="8" t="str">
        <f t="shared" si="200"/>
        <v/>
      </c>
      <c r="H3221" s="5">
        <v>0.0233</v>
      </c>
      <c r="I3221" s="8" t="str">
        <f t="shared" si="201"/>
        <v/>
      </c>
      <c r="J3221" s="8" t="str">
        <f t="shared" si="202"/>
        <v/>
      </c>
      <c r="K3221" t="str">
        <f t="shared" si="203"/>
        <v>MISSING OEWS</v>
      </c>
    </row>
    <row r="3222" spans="1:11">
      <c r="A3222" t="s">
        <v>114</v>
      </c>
      <c r="B3222" t="s">
        <v>115</v>
      </c>
      <c r="C3222" t="s">
        <v>1342</v>
      </c>
      <c r="D3222" t="s">
        <v>1343</v>
      </c>
      <c r="E3222" s="8">
        <v>2450</v>
      </c>
      <c r="F3222" s="8">
        <v>52430</v>
      </c>
      <c r="G3222" s="8">
        <f t="shared" si="200"/>
        <v>128453500</v>
      </c>
      <c r="H3222" s="5">
        <v>0.42</v>
      </c>
      <c r="I3222" s="8">
        <f t="shared" si="201"/>
        <v>128453500</v>
      </c>
      <c r="J3222" s="8">
        <f t="shared" si="202"/>
        <v>53950470</v>
      </c>
      <c r="K3222" t="str">
        <f t="shared" si="203"/>
        <v>MATCHED</v>
      </c>
    </row>
    <row r="3223" spans="1:11">
      <c r="A3223" t="s">
        <v>114</v>
      </c>
      <c r="B3223" t="s">
        <v>115</v>
      </c>
      <c r="C3223" t="s">
        <v>1344</v>
      </c>
      <c r="D3223" t="s">
        <v>1345</v>
      </c>
      <c r="E3223" s="8">
        <v>5010</v>
      </c>
      <c r="F3223" s="8">
        <v>49900</v>
      </c>
      <c r="G3223" s="8">
        <f t="shared" si="200"/>
        <v>249999000</v>
      </c>
      <c r="H3223" s="5">
        <v>0.3348</v>
      </c>
      <c r="I3223" s="8">
        <f t="shared" si="201"/>
        <v>249999000</v>
      </c>
      <c r="J3223" s="8">
        <f t="shared" si="202"/>
        <v>83699665.2</v>
      </c>
      <c r="K3223" t="str">
        <f t="shared" si="203"/>
        <v>MATCHED</v>
      </c>
    </row>
    <row r="3224" spans="1:11">
      <c r="A3224" t="s">
        <v>114</v>
      </c>
      <c r="B3224" t="s">
        <v>115</v>
      </c>
      <c r="C3224" t="s">
        <v>1346</v>
      </c>
      <c r="D3224" t="s">
        <v>1347</v>
      </c>
      <c r="E3224" s="8">
        <v>670</v>
      </c>
      <c r="F3224" s="8">
        <v>43210</v>
      </c>
      <c r="G3224" s="8">
        <f t="shared" si="200"/>
        <v>28950700</v>
      </c>
      <c r="H3224" s="5">
        <v>0.0385</v>
      </c>
      <c r="I3224" s="8">
        <f t="shared" si="201"/>
        <v>28950700</v>
      </c>
      <c r="J3224" s="8">
        <f t="shared" si="202"/>
        <v>1114601.95</v>
      </c>
      <c r="K3224" t="str">
        <f t="shared" si="203"/>
        <v>MATCHED</v>
      </c>
    </row>
    <row r="3225" spans="1:11">
      <c r="A3225" t="s">
        <v>114</v>
      </c>
      <c r="B3225" t="s">
        <v>115</v>
      </c>
      <c r="C3225" t="s">
        <v>1118</v>
      </c>
      <c r="D3225" t="s">
        <v>1119</v>
      </c>
      <c r="E3225" s="8">
        <v>50</v>
      </c>
      <c r="F3225" s="8">
        <v>97730</v>
      </c>
      <c r="G3225" s="8">
        <f t="shared" si="200"/>
        <v>4886500</v>
      </c>
      <c r="H3225" s="5">
        <v>0.0365</v>
      </c>
      <c r="I3225" s="8">
        <f t="shared" si="201"/>
        <v>4886500</v>
      </c>
      <c r="J3225" s="8">
        <f t="shared" si="202"/>
        <v>178357.25</v>
      </c>
      <c r="K3225" t="str">
        <f t="shared" si="203"/>
        <v>MATCHED</v>
      </c>
    </row>
    <row r="3226" spans="1:11">
      <c r="A3226" t="s">
        <v>114</v>
      </c>
      <c r="B3226" t="s">
        <v>115</v>
      </c>
      <c r="C3226" t="s">
        <v>1356</v>
      </c>
      <c r="D3226" t="s">
        <v>1357</v>
      </c>
      <c r="E3226" s="8">
        <v>220</v>
      </c>
      <c r="F3226" s="8">
        <v>105740</v>
      </c>
      <c r="G3226" s="8">
        <f t="shared" si="200"/>
        <v>23262800</v>
      </c>
      <c r="H3226" s="5">
        <v>0.0432</v>
      </c>
      <c r="I3226" s="8">
        <f t="shared" si="201"/>
        <v>23262800</v>
      </c>
      <c r="J3226" s="8">
        <f t="shared" si="202"/>
        <v>1004952.96</v>
      </c>
      <c r="K3226" t="str">
        <f t="shared" si="203"/>
        <v>MATCHED</v>
      </c>
    </row>
    <row r="3227" spans="1:11">
      <c r="A3227" t="s">
        <v>114</v>
      </c>
      <c r="B3227" t="s">
        <v>115</v>
      </c>
      <c r="C3227" t="s">
        <v>477</v>
      </c>
      <c r="D3227" t="s">
        <v>478</v>
      </c>
      <c r="E3227" s="8">
        <v>70</v>
      </c>
      <c r="F3227" s="8">
        <v>42430</v>
      </c>
      <c r="G3227" s="8">
        <f t="shared" si="200"/>
        <v>2970100</v>
      </c>
      <c r="H3227" s="5">
        <v>0.0339</v>
      </c>
      <c r="I3227" s="8">
        <f t="shared" si="201"/>
        <v>2970100</v>
      </c>
      <c r="J3227" s="8">
        <f t="shared" si="202"/>
        <v>100686.39</v>
      </c>
      <c r="K3227" t="str">
        <f t="shared" si="203"/>
        <v>MATCHED</v>
      </c>
    </row>
    <row r="3228" spans="1:11">
      <c r="A3228" t="s">
        <v>114</v>
      </c>
      <c r="B3228" t="s">
        <v>115</v>
      </c>
      <c r="C3228" t="s">
        <v>481</v>
      </c>
      <c r="D3228" t="s">
        <v>482</v>
      </c>
      <c r="E3228" s="8">
        <v>1850</v>
      </c>
      <c r="F3228" s="8">
        <v>60160</v>
      </c>
      <c r="G3228" s="8">
        <f t="shared" si="200"/>
        <v>111296000</v>
      </c>
      <c r="H3228" s="5">
        <v>0.2969</v>
      </c>
      <c r="I3228" s="8">
        <f t="shared" si="201"/>
        <v>111296000</v>
      </c>
      <c r="J3228" s="8">
        <f t="shared" si="202"/>
        <v>33043782.4</v>
      </c>
      <c r="K3228" t="str">
        <f t="shared" si="203"/>
        <v>MATCHED</v>
      </c>
    </row>
    <row r="3229" spans="1:11">
      <c r="A3229" t="s">
        <v>114</v>
      </c>
      <c r="B3229" t="s">
        <v>115</v>
      </c>
      <c r="C3229" t="s">
        <v>483</v>
      </c>
      <c r="D3229" t="s">
        <v>484</v>
      </c>
      <c r="E3229" s="8">
        <v>480</v>
      </c>
      <c r="F3229" s="8">
        <v>41490</v>
      </c>
      <c r="G3229" s="8">
        <f t="shared" si="200"/>
        <v>19915200</v>
      </c>
      <c r="H3229" s="5">
        <v>0.0475</v>
      </c>
      <c r="I3229" s="8">
        <f t="shared" si="201"/>
        <v>19915200</v>
      </c>
      <c r="J3229" s="8">
        <f t="shared" si="202"/>
        <v>945972</v>
      </c>
      <c r="K3229" t="str">
        <f t="shared" si="203"/>
        <v>MATCHED</v>
      </c>
    </row>
    <row r="3230" spans="1:11">
      <c r="A3230" t="s">
        <v>114</v>
      </c>
      <c r="B3230" t="s">
        <v>115</v>
      </c>
      <c r="C3230" t="s">
        <v>784</v>
      </c>
      <c r="D3230" t="s">
        <v>785</v>
      </c>
      <c r="E3230" s="8"/>
      <c r="F3230" s="8">
        <v>40070</v>
      </c>
      <c r="G3230" s="8" t="str">
        <f t="shared" si="200"/>
        <v/>
      </c>
      <c r="H3230" s="5">
        <v>0.2111</v>
      </c>
      <c r="I3230" s="8" t="str">
        <f t="shared" si="201"/>
        <v/>
      </c>
      <c r="J3230" s="8" t="str">
        <f t="shared" si="202"/>
        <v/>
      </c>
      <c r="K3230" t="str">
        <f t="shared" si="203"/>
        <v>MISSING OEWS</v>
      </c>
    </row>
    <row r="3231" spans="1:11">
      <c r="A3231" t="s">
        <v>114</v>
      </c>
      <c r="B3231" t="s">
        <v>115</v>
      </c>
      <c r="C3231" t="s">
        <v>489</v>
      </c>
      <c r="D3231" t="s">
        <v>490</v>
      </c>
      <c r="E3231" s="8">
        <v>1090</v>
      </c>
      <c r="F3231" s="8">
        <v>46440</v>
      </c>
      <c r="G3231" s="8">
        <f t="shared" si="200"/>
        <v>50619600</v>
      </c>
      <c r="H3231" s="5">
        <v>0.0838</v>
      </c>
      <c r="I3231" s="8">
        <f t="shared" si="201"/>
        <v>50619600</v>
      </c>
      <c r="J3231" s="8">
        <f t="shared" si="202"/>
        <v>4241922.48</v>
      </c>
      <c r="K3231" t="str">
        <f t="shared" si="203"/>
        <v>MATCHED</v>
      </c>
    </row>
    <row r="3232" spans="1:11">
      <c r="A3232" t="s">
        <v>114</v>
      </c>
      <c r="B3232" t="s">
        <v>115</v>
      </c>
      <c r="C3232" t="s">
        <v>491</v>
      </c>
      <c r="D3232" t="s">
        <v>492</v>
      </c>
      <c r="E3232" s="8">
        <v>910</v>
      </c>
      <c r="F3232" s="8">
        <v>55110</v>
      </c>
      <c r="G3232" s="8">
        <f t="shared" si="200"/>
        <v>50150100</v>
      </c>
      <c r="H3232" s="5"/>
      <c r="I3232" s="8" t="str">
        <f t="shared" si="201"/>
        <v/>
      </c>
      <c r="J3232" s="8" t="str">
        <f t="shared" si="202"/>
        <v/>
      </c>
      <c r="K3232" t="str">
        <f t="shared" si="203"/>
        <v>MISSING WHARTON</v>
      </c>
    </row>
    <row r="3233" spans="1:11">
      <c r="A3233" t="s">
        <v>114</v>
      </c>
      <c r="B3233" t="s">
        <v>115</v>
      </c>
      <c r="C3233" t="s">
        <v>493</v>
      </c>
      <c r="D3233" t="s">
        <v>494</v>
      </c>
      <c r="E3233" s="8">
        <v>1850</v>
      </c>
      <c r="F3233" s="8">
        <v>67080</v>
      </c>
      <c r="G3233" s="8">
        <f t="shared" si="200"/>
        <v>124098000</v>
      </c>
      <c r="H3233" s="5">
        <v>0.3429</v>
      </c>
      <c r="I3233" s="8">
        <f t="shared" si="201"/>
        <v>124098000</v>
      </c>
      <c r="J3233" s="8">
        <f t="shared" si="202"/>
        <v>42553204.2</v>
      </c>
      <c r="K3233" t="str">
        <f t="shared" si="203"/>
        <v>MATCHED</v>
      </c>
    </row>
    <row r="3234" spans="1:11">
      <c r="A3234" t="s">
        <v>114</v>
      </c>
      <c r="B3234" t="s">
        <v>115</v>
      </c>
      <c r="C3234" t="s">
        <v>495</v>
      </c>
      <c r="D3234" t="s">
        <v>496</v>
      </c>
      <c r="E3234" s="8">
        <v>360</v>
      </c>
      <c r="F3234" s="8">
        <v>234110</v>
      </c>
      <c r="G3234" s="8">
        <f t="shared" si="200"/>
        <v>84279600</v>
      </c>
      <c r="H3234" s="5">
        <v>0.3558</v>
      </c>
      <c r="I3234" s="8">
        <f t="shared" si="201"/>
        <v>84279600</v>
      </c>
      <c r="J3234" s="8">
        <f t="shared" si="202"/>
        <v>29986681.68</v>
      </c>
      <c r="K3234" t="str">
        <f t="shared" si="203"/>
        <v>MATCHED</v>
      </c>
    </row>
    <row r="3235" spans="1:11">
      <c r="A3235" t="s">
        <v>114</v>
      </c>
      <c r="B3235" t="s">
        <v>115</v>
      </c>
      <c r="C3235" t="s">
        <v>497</v>
      </c>
      <c r="D3235" t="s">
        <v>498</v>
      </c>
      <c r="E3235" s="8">
        <v>2690</v>
      </c>
      <c r="F3235" s="8">
        <v>39740</v>
      </c>
      <c r="G3235" s="8">
        <f t="shared" si="200"/>
        <v>106900600</v>
      </c>
      <c r="H3235" s="5">
        <v>0.3167</v>
      </c>
      <c r="I3235" s="8">
        <f t="shared" si="201"/>
        <v>106900600</v>
      </c>
      <c r="J3235" s="8">
        <f t="shared" si="202"/>
        <v>33855420.02</v>
      </c>
      <c r="K3235" t="str">
        <f t="shared" si="203"/>
        <v>MATCHED</v>
      </c>
    </row>
    <row r="3236" spans="1:11">
      <c r="A3236" t="s">
        <v>114</v>
      </c>
      <c r="B3236" t="s">
        <v>115</v>
      </c>
      <c r="C3236" t="s">
        <v>499</v>
      </c>
      <c r="D3236" t="s">
        <v>500</v>
      </c>
      <c r="E3236" s="8">
        <v>1050</v>
      </c>
      <c r="F3236" s="8">
        <v>67450</v>
      </c>
      <c r="G3236" s="8">
        <f t="shared" si="200"/>
        <v>70822500</v>
      </c>
      <c r="H3236" s="5">
        <v>0.2065</v>
      </c>
      <c r="I3236" s="8">
        <f t="shared" si="201"/>
        <v>70822500</v>
      </c>
      <c r="J3236" s="8">
        <f t="shared" si="202"/>
        <v>14624846.25</v>
      </c>
      <c r="K3236" t="str">
        <f t="shared" si="203"/>
        <v>MATCHED</v>
      </c>
    </row>
    <row r="3237" spans="1:11">
      <c r="A3237" t="s">
        <v>114</v>
      </c>
      <c r="B3237" t="s">
        <v>115</v>
      </c>
      <c r="C3237" t="s">
        <v>501</v>
      </c>
      <c r="D3237" t="s">
        <v>502</v>
      </c>
      <c r="E3237" s="8">
        <v>2990</v>
      </c>
      <c r="F3237" s="8">
        <v>65800</v>
      </c>
      <c r="G3237" s="8">
        <f t="shared" si="200"/>
        <v>196742000</v>
      </c>
      <c r="H3237" s="5">
        <v>0.3393</v>
      </c>
      <c r="I3237" s="8">
        <f t="shared" si="201"/>
        <v>196742000</v>
      </c>
      <c r="J3237" s="8">
        <f t="shared" si="202"/>
        <v>66754560.6</v>
      </c>
      <c r="K3237" t="str">
        <f t="shared" si="203"/>
        <v>MATCHED</v>
      </c>
    </row>
    <row r="3238" spans="1:11">
      <c r="A3238" t="s">
        <v>114</v>
      </c>
      <c r="B3238" t="s">
        <v>115</v>
      </c>
      <c r="C3238" t="s">
        <v>503</v>
      </c>
      <c r="D3238" t="s">
        <v>504</v>
      </c>
      <c r="E3238" s="8">
        <v>150</v>
      </c>
      <c r="F3238" s="8">
        <v>81260</v>
      </c>
      <c r="G3238" s="8">
        <f t="shared" si="200"/>
        <v>12189000</v>
      </c>
      <c r="H3238" s="5">
        <v>0.3288</v>
      </c>
      <c r="I3238" s="8">
        <f t="shared" si="201"/>
        <v>12189000</v>
      </c>
      <c r="J3238" s="8">
        <f t="shared" si="202"/>
        <v>4007743.2</v>
      </c>
      <c r="K3238" t="str">
        <f t="shared" si="203"/>
        <v>MATCHED</v>
      </c>
    </row>
    <row r="3239" spans="1:11">
      <c r="A3239" t="s">
        <v>114</v>
      </c>
      <c r="B3239" t="s">
        <v>115</v>
      </c>
      <c r="C3239" t="s">
        <v>507</v>
      </c>
      <c r="D3239" t="s">
        <v>508</v>
      </c>
      <c r="E3239" s="8">
        <v>860</v>
      </c>
      <c r="F3239" s="8">
        <v>50940</v>
      </c>
      <c r="G3239" s="8">
        <f t="shared" si="200"/>
        <v>43808400</v>
      </c>
      <c r="H3239" s="5">
        <v>0</v>
      </c>
      <c r="I3239" s="8">
        <f t="shared" si="201"/>
        <v>43808400</v>
      </c>
      <c r="J3239" s="8">
        <f t="shared" si="202"/>
        <v>0</v>
      </c>
      <c r="K3239" t="str">
        <f t="shared" si="203"/>
        <v>MATCHED</v>
      </c>
    </row>
    <row r="3240" spans="1:11">
      <c r="A3240" t="s">
        <v>114</v>
      </c>
      <c r="B3240" t="s">
        <v>115</v>
      </c>
      <c r="C3240" t="s">
        <v>511</v>
      </c>
      <c r="D3240" t="s">
        <v>512</v>
      </c>
      <c r="E3240" s="8">
        <v>9090</v>
      </c>
      <c r="F3240" s="8">
        <v>55460</v>
      </c>
      <c r="G3240" s="8">
        <f t="shared" si="200"/>
        <v>504131400</v>
      </c>
      <c r="H3240" s="5">
        <v>0.049</v>
      </c>
      <c r="I3240" s="8">
        <f t="shared" si="201"/>
        <v>504131400</v>
      </c>
      <c r="J3240" s="8">
        <f t="shared" si="202"/>
        <v>24702438.6</v>
      </c>
      <c r="K3240" t="str">
        <f t="shared" si="203"/>
        <v>MATCHED</v>
      </c>
    </row>
    <row r="3241" spans="1:11">
      <c r="A3241" t="s">
        <v>114</v>
      </c>
      <c r="B3241" t="s">
        <v>115</v>
      </c>
      <c r="C3241" t="s">
        <v>513</v>
      </c>
      <c r="D3241" t="s">
        <v>514</v>
      </c>
      <c r="E3241" s="8">
        <v>270</v>
      </c>
      <c r="F3241" s="8">
        <v>37130</v>
      </c>
      <c r="G3241" s="8">
        <f t="shared" si="200"/>
        <v>10025100</v>
      </c>
      <c r="H3241" s="5">
        <v>0.0731</v>
      </c>
      <c r="I3241" s="8">
        <f t="shared" si="201"/>
        <v>10025100</v>
      </c>
      <c r="J3241" s="8">
        <f t="shared" si="202"/>
        <v>732834.81</v>
      </c>
      <c r="K3241" t="str">
        <f t="shared" si="203"/>
        <v>MATCHED</v>
      </c>
    </row>
    <row r="3242" spans="1:11">
      <c r="A3242" t="s">
        <v>114</v>
      </c>
      <c r="B3242" t="s">
        <v>115</v>
      </c>
      <c r="C3242" t="s">
        <v>515</v>
      </c>
      <c r="D3242" t="s">
        <v>516</v>
      </c>
      <c r="E3242" s="8">
        <v>690</v>
      </c>
      <c r="F3242" s="8">
        <v>36100</v>
      </c>
      <c r="G3242" s="8">
        <f t="shared" si="200"/>
        <v>24909000</v>
      </c>
      <c r="H3242" s="5">
        <v>0.0792</v>
      </c>
      <c r="I3242" s="8">
        <f t="shared" si="201"/>
        <v>24909000</v>
      </c>
      <c r="J3242" s="8">
        <f t="shared" si="202"/>
        <v>1972792.8</v>
      </c>
      <c r="K3242" t="str">
        <f t="shared" si="203"/>
        <v>MATCHED</v>
      </c>
    </row>
    <row r="3243" spans="1:11">
      <c r="A3243" t="s">
        <v>114</v>
      </c>
      <c r="B3243" t="s">
        <v>115</v>
      </c>
      <c r="C3243" t="s">
        <v>517</v>
      </c>
      <c r="D3243" t="s">
        <v>518</v>
      </c>
      <c r="E3243" s="8">
        <v>4060</v>
      </c>
      <c r="F3243" s="8">
        <v>42000</v>
      </c>
      <c r="G3243" s="8">
        <f t="shared" si="200"/>
        <v>170520000</v>
      </c>
      <c r="H3243" s="5">
        <v>0.2233</v>
      </c>
      <c r="I3243" s="8">
        <f t="shared" si="201"/>
        <v>170520000</v>
      </c>
      <c r="J3243" s="8">
        <f t="shared" si="202"/>
        <v>38077116</v>
      </c>
      <c r="K3243" t="str">
        <f t="shared" si="203"/>
        <v>MATCHED</v>
      </c>
    </row>
    <row r="3244" spans="1:11">
      <c r="A3244" t="s">
        <v>116</v>
      </c>
      <c r="B3244" t="s">
        <v>1601</v>
      </c>
      <c r="C3244" t="s">
        <v>235</v>
      </c>
      <c r="D3244" t="s">
        <v>236</v>
      </c>
      <c r="E3244" s="8">
        <v>17270</v>
      </c>
      <c r="F3244" s="8">
        <v>361930</v>
      </c>
      <c r="G3244" s="8">
        <f t="shared" si="200"/>
        <v>6250531100</v>
      </c>
      <c r="H3244" s="5">
        <v>0.4775</v>
      </c>
      <c r="I3244" s="8">
        <f t="shared" si="201"/>
        <v>6250531100</v>
      </c>
      <c r="J3244" s="8">
        <f t="shared" si="202"/>
        <v>2984628600.25</v>
      </c>
      <c r="K3244" t="str">
        <f t="shared" si="203"/>
        <v>MATCHED</v>
      </c>
    </row>
    <row r="3245" spans="1:11">
      <c r="A3245" t="s">
        <v>116</v>
      </c>
      <c r="B3245" t="s">
        <v>1601</v>
      </c>
      <c r="C3245" t="s">
        <v>237</v>
      </c>
      <c r="D3245" t="s">
        <v>238</v>
      </c>
      <c r="E3245" s="8">
        <v>204520</v>
      </c>
      <c r="F3245" s="8">
        <v>174700</v>
      </c>
      <c r="G3245" s="8">
        <f t="shared" si="200"/>
        <v>35729644000</v>
      </c>
      <c r="H3245" s="5">
        <v>0.5382</v>
      </c>
      <c r="I3245" s="8">
        <f t="shared" si="201"/>
        <v>35729644000</v>
      </c>
      <c r="J3245" s="8">
        <f t="shared" si="202"/>
        <v>19229694400.8</v>
      </c>
      <c r="K3245" t="str">
        <f t="shared" si="203"/>
        <v>MATCHED</v>
      </c>
    </row>
    <row r="3246" spans="1:11">
      <c r="A3246" t="s">
        <v>116</v>
      </c>
      <c r="B3246" t="s">
        <v>1601</v>
      </c>
      <c r="C3246" t="s">
        <v>920</v>
      </c>
      <c r="D3246" t="s">
        <v>921</v>
      </c>
      <c r="E3246" s="8">
        <v>500</v>
      </c>
      <c r="F3246" s="8">
        <v>134330</v>
      </c>
      <c r="G3246" s="8">
        <f t="shared" si="200"/>
        <v>67165000</v>
      </c>
      <c r="H3246" s="5">
        <v>0.5583</v>
      </c>
      <c r="I3246" s="8">
        <f t="shared" si="201"/>
        <v>67165000</v>
      </c>
      <c r="J3246" s="8">
        <f t="shared" si="202"/>
        <v>37498219.5</v>
      </c>
      <c r="K3246" t="str">
        <f t="shared" si="203"/>
        <v>MATCHED</v>
      </c>
    </row>
    <row r="3247" spans="1:11">
      <c r="A3247" t="s">
        <v>116</v>
      </c>
      <c r="B3247" t="s">
        <v>1601</v>
      </c>
      <c r="C3247" t="s">
        <v>239</v>
      </c>
      <c r="D3247" t="s">
        <v>240</v>
      </c>
      <c r="E3247" s="8">
        <v>39110</v>
      </c>
      <c r="F3247" s="8">
        <v>187670</v>
      </c>
      <c r="G3247" s="8">
        <f t="shared" si="200"/>
        <v>7339773700</v>
      </c>
      <c r="H3247" s="5">
        <v>0.445</v>
      </c>
      <c r="I3247" s="8">
        <f t="shared" si="201"/>
        <v>7339773700</v>
      </c>
      <c r="J3247" s="8">
        <f t="shared" si="202"/>
        <v>3266199296.5</v>
      </c>
      <c r="K3247" t="str">
        <f t="shared" si="203"/>
        <v>MATCHED</v>
      </c>
    </row>
    <row r="3248" spans="1:11">
      <c r="A3248" t="s">
        <v>116</v>
      </c>
      <c r="B3248" t="s">
        <v>1601</v>
      </c>
      <c r="C3248" t="s">
        <v>241</v>
      </c>
      <c r="D3248" t="s">
        <v>242</v>
      </c>
      <c r="E3248" s="8">
        <v>61530</v>
      </c>
      <c r="F3248" s="8">
        <v>210280</v>
      </c>
      <c r="G3248" s="8">
        <f t="shared" si="200"/>
        <v>12938528400</v>
      </c>
      <c r="H3248" s="5">
        <v>0.3735</v>
      </c>
      <c r="I3248" s="8">
        <f t="shared" si="201"/>
        <v>12938528400</v>
      </c>
      <c r="J3248" s="8">
        <f t="shared" si="202"/>
        <v>4832540357.4</v>
      </c>
      <c r="K3248" t="str">
        <f t="shared" si="203"/>
        <v>MATCHED</v>
      </c>
    </row>
    <row r="3249" spans="1:11">
      <c r="A3249" t="s">
        <v>116</v>
      </c>
      <c r="B3249" t="s">
        <v>1601</v>
      </c>
      <c r="C3249" t="s">
        <v>522</v>
      </c>
      <c r="D3249" t="s">
        <v>523</v>
      </c>
      <c r="E3249" s="8">
        <v>4810</v>
      </c>
      <c r="F3249" s="8">
        <v>185380</v>
      </c>
      <c r="G3249" s="8">
        <f t="shared" si="200"/>
        <v>891677800</v>
      </c>
      <c r="H3249" s="5">
        <v>0.53</v>
      </c>
      <c r="I3249" s="8">
        <f t="shared" si="201"/>
        <v>891677800</v>
      </c>
      <c r="J3249" s="8">
        <f t="shared" si="202"/>
        <v>472589234</v>
      </c>
      <c r="K3249" t="str">
        <f t="shared" si="203"/>
        <v>MATCHED</v>
      </c>
    </row>
    <row r="3250" spans="1:11">
      <c r="A3250" t="s">
        <v>116</v>
      </c>
      <c r="B3250" t="s">
        <v>1601</v>
      </c>
      <c r="C3250" t="s">
        <v>922</v>
      </c>
      <c r="D3250" t="s">
        <v>923</v>
      </c>
      <c r="E3250" s="8">
        <v>190</v>
      </c>
      <c r="F3250" s="8">
        <v>188170</v>
      </c>
      <c r="G3250" s="8">
        <f t="shared" si="200"/>
        <v>35752300</v>
      </c>
      <c r="H3250" s="5">
        <v>0.5594</v>
      </c>
      <c r="I3250" s="8">
        <f t="shared" si="201"/>
        <v>35752300</v>
      </c>
      <c r="J3250" s="8">
        <f t="shared" si="202"/>
        <v>19999836.62</v>
      </c>
      <c r="K3250" t="str">
        <f t="shared" si="203"/>
        <v>MATCHED</v>
      </c>
    </row>
    <row r="3251" spans="1:11">
      <c r="A3251" t="s">
        <v>116</v>
      </c>
      <c r="B3251" t="s">
        <v>1601</v>
      </c>
      <c r="C3251" t="s">
        <v>243</v>
      </c>
      <c r="D3251" t="s">
        <v>244</v>
      </c>
      <c r="E3251" s="8">
        <v>23490</v>
      </c>
      <c r="F3251" s="8">
        <v>149580</v>
      </c>
      <c r="G3251" s="8">
        <f t="shared" si="200"/>
        <v>3513634200</v>
      </c>
      <c r="H3251" s="5">
        <v>0.4444</v>
      </c>
      <c r="I3251" s="8">
        <f t="shared" si="201"/>
        <v>3513634200</v>
      </c>
      <c r="J3251" s="8">
        <f t="shared" si="202"/>
        <v>1561459038.48</v>
      </c>
      <c r="K3251" t="str">
        <f t="shared" si="203"/>
        <v>MATCHED</v>
      </c>
    </row>
    <row r="3252" spans="1:11">
      <c r="A3252" t="s">
        <v>116</v>
      </c>
      <c r="B3252" t="s">
        <v>1601</v>
      </c>
      <c r="C3252" t="s">
        <v>245</v>
      </c>
      <c r="D3252" t="s">
        <v>246</v>
      </c>
      <c r="E3252" s="8">
        <v>3970</v>
      </c>
      <c r="F3252" s="8">
        <v>126530</v>
      </c>
      <c r="G3252" s="8">
        <f t="shared" si="200"/>
        <v>502324100</v>
      </c>
      <c r="H3252" s="5">
        <v>0.2907</v>
      </c>
      <c r="I3252" s="8">
        <f t="shared" si="201"/>
        <v>502324100</v>
      </c>
      <c r="J3252" s="8">
        <f t="shared" si="202"/>
        <v>146025615.87</v>
      </c>
      <c r="K3252" t="str">
        <f t="shared" si="203"/>
        <v>MATCHED</v>
      </c>
    </row>
    <row r="3253" spans="1:11">
      <c r="A3253" t="s">
        <v>116</v>
      </c>
      <c r="B3253" t="s">
        <v>1601</v>
      </c>
      <c r="C3253" t="s">
        <v>247</v>
      </c>
      <c r="D3253" t="s">
        <v>248</v>
      </c>
      <c r="E3253" s="8">
        <v>81490</v>
      </c>
      <c r="F3253" s="8">
        <v>200960</v>
      </c>
      <c r="G3253" s="8">
        <f t="shared" si="200"/>
        <v>16376230400</v>
      </c>
      <c r="H3253" s="5">
        <v>0.5265</v>
      </c>
      <c r="I3253" s="8">
        <f t="shared" si="201"/>
        <v>16376230400</v>
      </c>
      <c r="J3253" s="8">
        <f t="shared" si="202"/>
        <v>8622085305.6</v>
      </c>
      <c r="K3253" t="str">
        <f t="shared" si="203"/>
        <v>MATCHED</v>
      </c>
    </row>
    <row r="3254" spans="1:11">
      <c r="A3254" t="s">
        <v>116</v>
      </c>
      <c r="B3254" t="s">
        <v>1601</v>
      </c>
      <c r="C3254" t="s">
        <v>249</v>
      </c>
      <c r="D3254" t="s">
        <v>250</v>
      </c>
      <c r="E3254" s="8">
        <v>267070</v>
      </c>
      <c r="F3254" s="8">
        <v>195290</v>
      </c>
      <c r="G3254" s="8">
        <f t="shared" si="200"/>
        <v>52156100300</v>
      </c>
      <c r="H3254" s="5">
        <v>0.7221</v>
      </c>
      <c r="I3254" s="8">
        <f t="shared" si="201"/>
        <v>52156100300</v>
      </c>
      <c r="J3254" s="8">
        <f t="shared" si="202"/>
        <v>37661920026.63</v>
      </c>
      <c r="K3254" t="str">
        <f t="shared" si="203"/>
        <v>MATCHED</v>
      </c>
    </row>
    <row r="3255" spans="1:11">
      <c r="A3255" t="s">
        <v>116</v>
      </c>
      <c r="B3255" t="s">
        <v>1601</v>
      </c>
      <c r="C3255" t="s">
        <v>251</v>
      </c>
      <c r="D3255" t="s">
        <v>252</v>
      </c>
      <c r="E3255" s="8">
        <v>160</v>
      </c>
      <c r="F3255" s="8">
        <v>137590</v>
      </c>
      <c r="G3255" s="8">
        <f t="shared" si="200"/>
        <v>22014400</v>
      </c>
      <c r="H3255" s="5">
        <v>0.3636</v>
      </c>
      <c r="I3255" s="8">
        <f t="shared" si="201"/>
        <v>22014400</v>
      </c>
      <c r="J3255" s="8">
        <f t="shared" si="202"/>
        <v>8004435.84</v>
      </c>
      <c r="K3255" t="str">
        <f t="shared" si="203"/>
        <v>MATCHED</v>
      </c>
    </row>
    <row r="3256" spans="1:11">
      <c r="A3256" t="s">
        <v>116</v>
      </c>
      <c r="B3256" t="s">
        <v>1601</v>
      </c>
      <c r="C3256" t="s">
        <v>253</v>
      </c>
      <c r="D3256" t="s">
        <v>254</v>
      </c>
      <c r="E3256" s="8">
        <v>1920</v>
      </c>
      <c r="F3256" s="8">
        <v>184080</v>
      </c>
      <c r="G3256" s="8">
        <f t="shared" si="200"/>
        <v>353433600</v>
      </c>
      <c r="H3256" s="5">
        <v>0.6944</v>
      </c>
      <c r="I3256" s="8">
        <f t="shared" si="201"/>
        <v>353433600</v>
      </c>
      <c r="J3256" s="8">
        <f t="shared" si="202"/>
        <v>245424291.84</v>
      </c>
      <c r="K3256" t="str">
        <f t="shared" si="203"/>
        <v>MATCHED</v>
      </c>
    </row>
    <row r="3257" spans="1:11">
      <c r="A3257" t="s">
        <v>116</v>
      </c>
      <c r="B3257" t="s">
        <v>1601</v>
      </c>
      <c r="C3257" t="s">
        <v>255</v>
      </c>
      <c r="D3257" t="s">
        <v>256</v>
      </c>
      <c r="E3257" s="8">
        <v>270</v>
      </c>
      <c r="F3257" s="8">
        <v>167880</v>
      </c>
      <c r="G3257" s="8">
        <f t="shared" si="200"/>
        <v>45327600</v>
      </c>
      <c r="H3257" s="5">
        <v>0.5783</v>
      </c>
      <c r="I3257" s="8">
        <f t="shared" si="201"/>
        <v>45327600</v>
      </c>
      <c r="J3257" s="8">
        <f t="shared" si="202"/>
        <v>26212951.08</v>
      </c>
      <c r="K3257" t="str">
        <f t="shared" si="203"/>
        <v>MATCHED</v>
      </c>
    </row>
    <row r="3258" spans="1:11">
      <c r="A3258" t="s">
        <v>116</v>
      </c>
      <c r="B3258" t="s">
        <v>1601</v>
      </c>
      <c r="C3258" t="s">
        <v>524</v>
      </c>
      <c r="D3258" t="s">
        <v>525</v>
      </c>
      <c r="E3258" s="8">
        <v>4270</v>
      </c>
      <c r="F3258" s="8">
        <v>172600</v>
      </c>
      <c r="G3258" s="8">
        <f t="shared" si="200"/>
        <v>737002000</v>
      </c>
      <c r="H3258" s="5">
        <v>0.5771</v>
      </c>
      <c r="I3258" s="8">
        <f t="shared" si="201"/>
        <v>737002000</v>
      </c>
      <c r="J3258" s="8">
        <f t="shared" si="202"/>
        <v>425323854.2</v>
      </c>
      <c r="K3258" t="str">
        <f t="shared" si="203"/>
        <v>MATCHED</v>
      </c>
    </row>
    <row r="3259" spans="1:11">
      <c r="A3259" t="s">
        <v>116</v>
      </c>
      <c r="B3259" t="s">
        <v>1601</v>
      </c>
      <c r="C3259" t="s">
        <v>257</v>
      </c>
      <c r="D3259" t="s">
        <v>258</v>
      </c>
      <c r="E3259" s="8">
        <v>16260</v>
      </c>
      <c r="F3259" s="8">
        <v>186900</v>
      </c>
      <c r="G3259" s="8">
        <f t="shared" si="200"/>
        <v>3038994000</v>
      </c>
      <c r="H3259" s="5">
        <v>0.5962</v>
      </c>
      <c r="I3259" s="8">
        <f t="shared" si="201"/>
        <v>3038994000</v>
      </c>
      <c r="J3259" s="8">
        <f t="shared" si="202"/>
        <v>1811848222.8</v>
      </c>
      <c r="K3259" t="str">
        <f t="shared" si="203"/>
        <v>MATCHED</v>
      </c>
    </row>
    <row r="3260" spans="1:11">
      <c r="A3260" t="s">
        <v>116</v>
      </c>
      <c r="B3260" t="s">
        <v>1601</v>
      </c>
      <c r="C3260" t="s">
        <v>526</v>
      </c>
      <c r="D3260" t="s">
        <v>527</v>
      </c>
      <c r="E3260" s="8">
        <v>4540</v>
      </c>
      <c r="F3260" s="8">
        <v>147100</v>
      </c>
      <c r="G3260" s="8">
        <f t="shared" si="200"/>
        <v>667834000</v>
      </c>
      <c r="H3260" s="5">
        <v>0.6833</v>
      </c>
      <c r="I3260" s="8">
        <f t="shared" si="201"/>
        <v>667834000</v>
      </c>
      <c r="J3260" s="8">
        <f t="shared" si="202"/>
        <v>456330972.2</v>
      </c>
      <c r="K3260" t="str">
        <f t="shared" si="203"/>
        <v>MATCHED</v>
      </c>
    </row>
    <row r="3261" spans="1:11">
      <c r="A3261" t="s">
        <v>116</v>
      </c>
      <c r="B3261" t="s">
        <v>1601</v>
      </c>
      <c r="C3261" t="s">
        <v>528</v>
      </c>
      <c r="D3261" t="s">
        <v>529</v>
      </c>
      <c r="E3261" s="8">
        <v>600</v>
      </c>
      <c r="F3261" s="8">
        <v>159360</v>
      </c>
      <c r="G3261" s="8">
        <f t="shared" si="200"/>
        <v>95616000</v>
      </c>
      <c r="H3261" s="5">
        <v>0.374</v>
      </c>
      <c r="I3261" s="8">
        <f t="shared" si="201"/>
        <v>95616000</v>
      </c>
      <c r="J3261" s="8">
        <f t="shared" si="202"/>
        <v>35760384</v>
      </c>
      <c r="K3261" t="str">
        <f t="shared" si="203"/>
        <v>MATCHED</v>
      </c>
    </row>
    <row r="3262" spans="1:11">
      <c r="A3262" t="s">
        <v>116</v>
      </c>
      <c r="B3262" t="s">
        <v>1601</v>
      </c>
      <c r="C3262" t="s">
        <v>530</v>
      </c>
      <c r="D3262" t="s">
        <v>531</v>
      </c>
      <c r="E3262" s="8">
        <v>760</v>
      </c>
      <c r="F3262" s="8">
        <v>194630</v>
      </c>
      <c r="G3262" s="8">
        <f t="shared" si="200"/>
        <v>147918800</v>
      </c>
      <c r="H3262" s="5">
        <v>0.263</v>
      </c>
      <c r="I3262" s="8">
        <f t="shared" si="201"/>
        <v>147918800</v>
      </c>
      <c r="J3262" s="8">
        <f t="shared" si="202"/>
        <v>38902644.4</v>
      </c>
      <c r="K3262" t="str">
        <f t="shared" si="203"/>
        <v>MATCHED</v>
      </c>
    </row>
    <row r="3263" spans="1:11">
      <c r="A3263" t="s">
        <v>116</v>
      </c>
      <c r="B3263" t="s">
        <v>1601</v>
      </c>
      <c r="C3263" t="s">
        <v>1146</v>
      </c>
      <c r="D3263" t="s">
        <v>1147</v>
      </c>
      <c r="E3263" s="8">
        <v>13520</v>
      </c>
      <c r="F3263" s="8">
        <v>186950</v>
      </c>
      <c r="G3263" s="8">
        <f t="shared" si="200"/>
        <v>2527564000</v>
      </c>
      <c r="H3263" s="5">
        <v>0.4417</v>
      </c>
      <c r="I3263" s="8">
        <f t="shared" si="201"/>
        <v>2527564000</v>
      </c>
      <c r="J3263" s="8">
        <f t="shared" si="202"/>
        <v>1116425018.8</v>
      </c>
      <c r="K3263" t="str">
        <f t="shared" si="203"/>
        <v>MATCHED</v>
      </c>
    </row>
    <row r="3264" spans="1:11">
      <c r="A3264" t="s">
        <v>116</v>
      </c>
      <c r="B3264" t="s">
        <v>1601</v>
      </c>
      <c r="C3264" t="s">
        <v>261</v>
      </c>
      <c r="D3264" t="s">
        <v>262</v>
      </c>
      <c r="E3264" s="8">
        <v>370</v>
      </c>
      <c r="F3264" s="8">
        <v>175120</v>
      </c>
      <c r="G3264" s="8">
        <f t="shared" si="200"/>
        <v>64794400</v>
      </c>
      <c r="H3264" s="5">
        <v>0.382</v>
      </c>
      <c r="I3264" s="8">
        <f t="shared" si="201"/>
        <v>64794400</v>
      </c>
      <c r="J3264" s="8">
        <f t="shared" si="202"/>
        <v>24751460.8</v>
      </c>
      <c r="K3264" t="str">
        <f t="shared" si="203"/>
        <v>MATCHED</v>
      </c>
    </row>
    <row r="3265" spans="1:11">
      <c r="A3265" t="s">
        <v>116</v>
      </c>
      <c r="B3265" t="s">
        <v>1601</v>
      </c>
      <c r="C3265" t="s">
        <v>532</v>
      </c>
      <c r="D3265" t="s">
        <v>533</v>
      </c>
      <c r="E3265" s="8">
        <v>3170</v>
      </c>
      <c r="F3265" s="8">
        <v>155340</v>
      </c>
      <c r="G3265" s="8">
        <f t="shared" si="200"/>
        <v>492427800</v>
      </c>
      <c r="H3265" s="5">
        <v>0.3833</v>
      </c>
      <c r="I3265" s="8">
        <f t="shared" si="201"/>
        <v>492427800</v>
      </c>
      <c r="J3265" s="8">
        <f t="shared" si="202"/>
        <v>188747575.74</v>
      </c>
      <c r="K3265" t="str">
        <f t="shared" si="203"/>
        <v>MATCHED</v>
      </c>
    </row>
    <row r="3266" spans="1:11">
      <c r="A3266" t="s">
        <v>116</v>
      </c>
      <c r="B3266" t="s">
        <v>1601</v>
      </c>
      <c r="C3266" t="s">
        <v>926</v>
      </c>
      <c r="D3266" t="s">
        <v>927</v>
      </c>
      <c r="E3266" s="8">
        <v>600</v>
      </c>
      <c r="F3266" s="8">
        <v>114540</v>
      </c>
      <c r="G3266" s="8">
        <f t="shared" ref="G3266:G3329" si="204">IF(OR(E3266="",F3266=""),"",E3266*F3266)</f>
        <v>68724000</v>
      </c>
      <c r="H3266" s="5">
        <v>0.3656</v>
      </c>
      <c r="I3266" s="8">
        <f t="shared" ref="I3266:I3329" si="205">IF(G3266="","",IF(ISNUMBER(H3266),G3266,""))</f>
        <v>68724000</v>
      </c>
      <c r="J3266" s="8">
        <f t="shared" ref="J3266:J3329" si="206">IF(I3266="","",I3266*H3266)</f>
        <v>25125494.4</v>
      </c>
      <c r="K3266" t="str">
        <f t="shared" ref="K3266:K3329" si="207">IF(G3266="","MISSING OEWS",IF(ISNUMBER(H3266),"MATCHED","MISSING WHARTON"))</f>
        <v>MATCHED</v>
      </c>
    </row>
    <row r="3267" spans="1:11">
      <c r="A3267" t="s">
        <v>116</v>
      </c>
      <c r="B3267" t="s">
        <v>1601</v>
      </c>
      <c r="C3267" t="s">
        <v>1148</v>
      </c>
      <c r="D3267" t="s">
        <v>1149</v>
      </c>
      <c r="E3267" s="8">
        <v>90</v>
      </c>
      <c r="F3267" s="8"/>
      <c r="G3267" s="8" t="str">
        <f t="shared" si="204"/>
        <v/>
      </c>
      <c r="H3267" s="5">
        <v>0.4143</v>
      </c>
      <c r="I3267" s="8" t="str">
        <f t="shared" si="205"/>
        <v/>
      </c>
      <c r="J3267" s="8" t="str">
        <f t="shared" si="206"/>
        <v/>
      </c>
      <c r="K3267" t="str">
        <f t="shared" si="207"/>
        <v>MISSING OEWS</v>
      </c>
    </row>
    <row r="3268" spans="1:11">
      <c r="A3268" t="s">
        <v>116</v>
      </c>
      <c r="B3268" t="s">
        <v>1601</v>
      </c>
      <c r="C3268" t="s">
        <v>263</v>
      </c>
      <c r="D3268" t="s">
        <v>264</v>
      </c>
      <c r="E3268" s="8">
        <v>47700</v>
      </c>
      <c r="F3268" s="8">
        <v>173780</v>
      </c>
      <c r="G3268" s="8">
        <f t="shared" si="204"/>
        <v>8289306000</v>
      </c>
      <c r="H3268" s="5">
        <v>0.4896</v>
      </c>
      <c r="I3268" s="8">
        <f t="shared" si="205"/>
        <v>8289306000</v>
      </c>
      <c r="J3268" s="8">
        <f t="shared" si="206"/>
        <v>4058444217.6</v>
      </c>
      <c r="K3268" t="str">
        <f t="shared" si="207"/>
        <v>MATCHED</v>
      </c>
    </row>
    <row r="3269" spans="1:11">
      <c r="A3269" t="s">
        <v>116</v>
      </c>
      <c r="B3269" t="s">
        <v>1601</v>
      </c>
      <c r="C3269" t="s">
        <v>265</v>
      </c>
      <c r="D3269" t="s">
        <v>266</v>
      </c>
      <c r="E3269" s="8">
        <v>9400</v>
      </c>
      <c r="F3269" s="8">
        <v>98600</v>
      </c>
      <c r="G3269" s="8">
        <f t="shared" si="204"/>
        <v>926840000</v>
      </c>
      <c r="H3269" s="5">
        <v>0.5876</v>
      </c>
      <c r="I3269" s="8">
        <f t="shared" si="205"/>
        <v>926840000</v>
      </c>
      <c r="J3269" s="8">
        <f t="shared" si="206"/>
        <v>544611184</v>
      </c>
      <c r="K3269" t="str">
        <f t="shared" si="207"/>
        <v>MATCHED</v>
      </c>
    </row>
    <row r="3270" spans="1:11">
      <c r="A3270" t="s">
        <v>116</v>
      </c>
      <c r="B3270" t="s">
        <v>1601</v>
      </c>
      <c r="C3270" t="s">
        <v>818</v>
      </c>
      <c r="D3270" t="s">
        <v>819</v>
      </c>
      <c r="E3270" s="8">
        <v>244760</v>
      </c>
      <c r="F3270" s="8">
        <v>78820</v>
      </c>
      <c r="G3270" s="8">
        <f t="shared" si="204"/>
        <v>19291983200</v>
      </c>
      <c r="H3270" s="5">
        <v>0.6983</v>
      </c>
      <c r="I3270" s="8">
        <f t="shared" si="205"/>
        <v>19291983200</v>
      </c>
      <c r="J3270" s="8">
        <f t="shared" si="206"/>
        <v>13471591868.56</v>
      </c>
      <c r="K3270" t="str">
        <f t="shared" si="207"/>
        <v>MATCHED</v>
      </c>
    </row>
    <row r="3271" spans="1:11">
      <c r="A3271" t="s">
        <v>116</v>
      </c>
      <c r="B3271" t="s">
        <v>1601</v>
      </c>
      <c r="C3271" t="s">
        <v>1462</v>
      </c>
      <c r="D3271" t="s">
        <v>1463</v>
      </c>
      <c r="E3271" s="8">
        <v>11060</v>
      </c>
      <c r="F3271" s="8">
        <v>79150</v>
      </c>
      <c r="G3271" s="8">
        <f t="shared" si="204"/>
        <v>875399000</v>
      </c>
      <c r="H3271" s="5">
        <v>0.4714</v>
      </c>
      <c r="I3271" s="8">
        <f t="shared" si="205"/>
        <v>875399000</v>
      </c>
      <c r="J3271" s="8">
        <f t="shared" si="206"/>
        <v>412663088.6</v>
      </c>
      <c r="K3271" t="str">
        <f t="shared" si="207"/>
        <v>MATCHED</v>
      </c>
    </row>
    <row r="3272" spans="1:11">
      <c r="A3272" t="s">
        <v>116</v>
      </c>
      <c r="B3272" t="s">
        <v>1601</v>
      </c>
      <c r="C3272" t="s">
        <v>267</v>
      </c>
      <c r="D3272" t="s">
        <v>268</v>
      </c>
      <c r="E3272" s="8">
        <v>46460</v>
      </c>
      <c r="F3272" s="8">
        <v>91240</v>
      </c>
      <c r="G3272" s="8">
        <f t="shared" si="204"/>
        <v>4239010400</v>
      </c>
      <c r="H3272" s="5">
        <v>0.4611</v>
      </c>
      <c r="I3272" s="8">
        <f t="shared" si="205"/>
        <v>4239010400</v>
      </c>
      <c r="J3272" s="8">
        <f t="shared" si="206"/>
        <v>1954607695.44</v>
      </c>
      <c r="K3272" t="str">
        <f t="shared" si="207"/>
        <v>MATCHED</v>
      </c>
    </row>
    <row r="3273" spans="1:11">
      <c r="A3273" t="s">
        <v>116</v>
      </c>
      <c r="B3273" t="s">
        <v>1601</v>
      </c>
      <c r="C3273" t="s">
        <v>534</v>
      </c>
      <c r="D3273" t="s">
        <v>535</v>
      </c>
      <c r="E3273" s="8">
        <v>630</v>
      </c>
      <c r="F3273" s="8">
        <v>86650</v>
      </c>
      <c r="G3273" s="8">
        <f t="shared" si="204"/>
        <v>54589500</v>
      </c>
      <c r="H3273" s="5">
        <v>0.6393</v>
      </c>
      <c r="I3273" s="8">
        <f t="shared" si="205"/>
        <v>54589500</v>
      </c>
      <c r="J3273" s="8">
        <f t="shared" si="206"/>
        <v>34899067.35</v>
      </c>
      <c r="K3273" t="str">
        <f t="shared" si="207"/>
        <v>MATCHED</v>
      </c>
    </row>
    <row r="3274" spans="1:11">
      <c r="A3274" t="s">
        <v>116</v>
      </c>
      <c r="B3274" t="s">
        <v>1601</v>
      </c>
      <c r="C3274" t="s">
        <v>269</v>
      </c>
      <c r="D3274" t="s">
        <v>270</v>
      </c>
      <c r="E3274" s="8">
        <v>51120</v>
      </c>
      <c r="F3274" s="8">
        <v>94780</v>
      </c>
      <c r="G3274" s="8">
        <f t="shared" si="204"/>
        <v>4845153600</v>
      </c>
      <c r="H3274" s="5">
        <v>0.7808</v>
      </c>
      <c r="I3274" s="8">
        <f t="shared" si="205"/>
        <v>4845153600</v>
      </c>
      <c r="J3274" s="8">
        <f t="shared" si="206"/>
        <v>3783095930.88</v>
      </c>
      <c r="K3274" t="str">
        <f t="shared" si="207"/>
        <v>MATCHED</v>
      </c>
    </row>
    <row r="3275" spans="1:11">
      <c r="A3275" t="s">
        <v>116</v>
      </c>
      <c r="B3275" t="s">
        <v>1601</v>
      </c>
      <c r="C3275" t="s">
        <v>820</v>
      </c>
      <c r="D3275" t="s">
        <v>821</v>
      </c>
      <c r="E3275" s="8">
        <v>1980</v>
      </c>
      <c r="F3275" s="8">
        <v>94300</v>
      </c>
      <c r="G3275" s="8">
        <f t="shared" si="204"/>
        <v>186714000</v>
      </c>
      <c r="H3275" s="5">
        <v>0.5536</v>
      </c>
      <c r="I3275" s="8">
        <f t="shared" si="205"/>
        <v>186714000</v>
      </c>
      <c r="J3275" s="8">
        <f t="shared" si="206"/>
        <v>103364870.4</v>
      </c>
      <c r="K3275" t="str">
        <f t="shared" si="207"/>
        <v>MATCHED</v>
      </c>
    </row>
    <row r="3276" spans="1:11">
      <c r="A3276" t="s">
        <v>116</v>
      </c>
      <c r="B3276" t="s">
        <v>1601</v>
      </c>
      <c r="C3276" t="s">
        <v>273</v>
      </c>
      <c r="D3276" t="s">
        <v>274</v>
      </c>
      <c r="E3276" s="8">
        <v>840</v>
      </c>
      <c r="F3276" s="8">
        <v>102280</v>
      </c>
      <c r="G3276" s="8">
        <f t="shared" si="204"/>
        <v>85915200</v>
      </c>
      <c r="H3276" s="5">
        <v>0.6943</v>
      </c>
      <c r="I3276" s="8">
        <f t="shared" si="205"/>
        <v>85915200</v>
      </c>
      <c r="J3276" s="8">
        <f t="shared" si="206"/>
        <v>59650923.36</v>
      </c>
      <c r="K3276" t="str">
        <f t="shared" si="207"/>
        <v>MATCHED</v>
      </c>
    </row>
    <row r="3277" spans="1:11">
      <c r="A3277" t="s">
        <v>116</v>
      </c>
      <c r="B3277" t="s">
        <v>1601</v>
      </c>
      <c r="C3277" t="s">
        <v>275</v>
      </c>
      <c r="D3277" t="s">
        <v>276</v>
      </c>
      <c r="E3277" s="8">
        <v>48310</v>
      </c>
      <c r="F3277" s="8">
        <v>123030</v>
      </c>
      <c r="G3277" s="8">
        <f t="shared" si="204"/>
        <v>5943579300</v>
      </c>
      <c r="H3277" s="5">
        <v>0.6375</v>
      </c>
      <c r="I3277" s="8">
        <f t="shared" si="205"/>
        <v>5943579300</v>
      </c>
      <c r="J3277" s="8">
        <f t="shared" si="206"/>
        <v>3789031803.75</v>
      </c>
      <c r="K3277" t="str">
        <f t="shared" si="207"/>
        <v>MATCHED</v>
      </c>
    </row>
    <row r="3278" spans="1:11">
      <c r="A3278" t="s">
        <v>116</v>
      </c>
      <c r="B3278" t="s">
        <v>1601</v>
      </c>
      <c r="C3278" t="s">
        <v>277</v>
      </c>
      <c r="D3278" t="s">
        <v>278</v>
      </c>
      <c r="E3278" s="8">
        <v>121150</v>
      </c>
      <c r="F3278" s="8">
        <v>106880</v>
      </c>
      <c r="G3278" s="8">
        <f t="shared" si="204"/>
        <v>12948512000</v>
      </c>
      <c r="H3278" s="5">
        <v>0.5773</v>
      </c>
      <c r="I3278" s="8">
        <f t="shared" si="205"/>
        <v>12948512000</v>
      </c>
      <c r="J3278" s="8">
        <f t="shared" si="206"/>
        <v>7475175977.6</v>
      </c>
      <c r="K3278" t="str">
        <f t="shared" si="207"/>
        <v>MATCHED</v>
      </c>
    </row>
    <row r="3279" spans="1:11">
      <c r="A3279" t="s">
        <v>116</v>
      </c>
      <c r="B3279" t="s">
        <v>1601</v>
      </c>
      <c r="C3279" t="s">
        <v>279</v>
      </c>
      <c r="D3279" t="s">
        <v>280</v>
      </c>
      <c r="E3279" s="8">
        <v>3330</v>
      </c>
      <c r="F3279" s="8">
        <v>99430</v>
      </c>
      <c r="G3279" s="8">
        <f t="shared" si="204"/>
        <v>331101900</v>
      </c>
      <c r="H3279" s="5">
        <v>0.4476</v>
      </c>
      <c r="I3279" s="8">
        <f t="shared" si="205"/>
        <v>331101900</v>
      </c>
      <c r="J3279" s="8">
        <f t="shared" si="206"/>
        <v>148201210.44</v>
      </c>
      <c r="K3279" t="str">
        <f t="shared" si="207"/>
        <v>MATCHED</v>
      </c>
    </row>
    <row r="3280" spans="1:11">
      <c r="A3280" t="s">
        <v>116</v>
      </c>
      <c r="B3280" t="s">
        <v>1601</v>
      </c>
      <c r="C3280" t="s">
        <v>928</v>
      </c>
      <c r="D3280" t="s">
        <v>929</v>
      </c>
      <c r="E3280" s="8">
        <v>760</v>
      </c>
      <c r="F3280" s="8">
        <v>99740</v>
      </c>
      <c r="G3280" s="8">
        <f t="shared" si="204"/>
        <v>75802400</v>
      </c>
      <c r="H3280" s="5">
        <v>0.5571</v>
      </c>
      <c r="I3280" s="8">
        <f t="shared" si="205"/>
        <v>75802400</v>
      </c>
      <c r="J3280" s="8">
        <f t="shared" si="206"/>
        <v>42229517.04</v>
      </c>
      <c r="K3280" t="str">
        <f t="shared" si="207"/>
        <v>MATCHED</v>
      </c>
    </row>
    <row r="3281" spans="1:11">
      <c r="A3281" t="s">
        <v>116</v>
      </c>
      <c r="B3281" t="s">
        <v>1601</v>
      </c>
      <c r="C3281" t="s">
        <v>281</v>
      </c>
      <c r="D3281" t="s">
        <v>282</v>
      </c>
      <c r="E3281" s="8">
        <v>28680</v>
      </c>
      <c r="F3281" s="8">
        <v>84010</v>
      </c>
      <c r="G3281" s="8">
        <f t="shared" si="204"/>
        <v>2409406800</v>
      </c>
      <c r="H3281" s="5">
        <v>0.6167</v>
      </c>
      <c r="I3281" s="8">
        <f t="shared" si="205"/>
        <v>2409406800</v>
      </c>
      <c r="J3281" s="8">
        <f t="shared" si="206"/>
        <v>1485881173.56</v>
      </c>
      <c r="K3281" t="str">
        <f t="shared" si="207"/>
        <v>MATCHED</v>
      </c>
    </row>
    <row r="3282" spans="1:11">
      <c r="A3282" t="s">
        <v>116</v>
      </c>
      <c r="B3282" t="s">
        <v>1601</v>
      </c>
      <c r="C3282" t="s">
        <v>283</v>
      </c>
      <c r="D3282" t="s">
        <v>284</v>
      </c>
      <c r="E3282" s="8">
        <v>34460</v>
      </c>
      <c r="F3282" s="8">
        <v>83520</v>
      </c>
      <c r="G3282" s="8">
        <f t="shared" si="204"/>
        <v>2878099200</v>
      </c>
      <c r="H3282" s="5">
        <v>0.565</v>
      </c>
      <c r="I3282" s="8">
        <f t="shared" si="205"/>
        <v>2878099200</v>
      </c>
      <c r="J3282" s="8">
        <f t="shared" si="206"/>
        <v>1626126048</v>
      </c>
      <c r="K3282" t="str">
        <f t="shared" si="207"/>
        <v>MATCHED</v>
      </c>
    </row>
    <row r="3283" spans="1:11">
      <c r="A3283" t="s">
        <v>116</v>
      </c>
      <c r="B3283" t="s">
        <v>1601</v>
      </c>
      <c r="C3283" t="s">
        <v>285</v>
      </c>
      <c r="D3283" t="s">
        <v>286</v>
      </c>
      <c r="E3283" s="8">
        <v>85630</v>
      </c>
      <c r="F3283" s="8">
        <v>99420</v>
      </c>
      <c r="G3283" s="8">
        <f t="shared" si="204"/>
        <v>8513334600</v>
      </c>
      <c r="H3283" s="5">
        <v>0.7792</v>
      </c>
      <c r="I3283" s="8">
        <f t="shared" si="205"/>
        <v>8513334600</v>
      </c>
      <c r="J3283" s="8">
        <f t="shared" si="206"/>
        <v>6633590320.32</v>
      </c>
      <c r="K3283" t="str">
        <f t="shared" si="207"/>
        <v>MATCHED</v>
      </c>
    </row>
    <row r="3284" spans="1:11">
      <c r="A3284" t="s">
        <v>116</v>
      </c>
      <c r="B3284" t="s">
        <v>1601</v>
      </c>
      <c r="C3284" t="s">
        <v>287</v>
      </c>
      <c r="D3284" t="s">
        <v>288</v>
      </c>
      <c r="E3284" s="8">
        <v>75090</v>
      </c>
      <c r="F3284" s="8">
        <v>96440</v>
      </c>
      <c r="G3284" s="8">
        <f t="shared" si="204"/>
        <v>7241679600</v>
      </c>
      <c r="H3284" s="5">
        <v>0.6599</v>
      </c>
      <c r="I3284" s="8">
        <f t="shared" si="205"/>
        <v>7241679600</v>
      </c>
      <c r="J3284" s="8">
        <f t="shared" si="206"/>
        <v>4778784368.04</v>
      </c>
      <c r="K3284" t="str">
        <f t="shared" si="207"/>
        <v>MATCHED</v>
      </c>
    </row>
    <row r="3285" spans="1:11">
      <c r="A3285" t="s">
        <v>116</v>
      </c>
      <c r="B3285" t="s">
        <v>1601</v>
      </c>
      <c r="C3285" t="s">
        <v>289</v>
      </c>
      <c r="D3285" t="s">
        <v>290</v>
      </c>
      <c r="E3285" s="8">
        <v>119450</v>
      </c>
      <c r="F3285" s="8">
        <v>100150</v>
      </c>
      <c r="G3285" s="8">
        <f t="shared" si="204"/>
        <v>11962917500</v>
      </c>
      <c r="H3285" s="5">
        <v>0.795</v>
      </c>
      <c r="I3285" s="8">
        <f t="shared" si="205"/>
        <v>11962917500</v>
      </c>
      <c r="J3285" s="8">
        <f t="shared" si="206"/>
        <v>9510519412.5</v>
      </c>
      <c r="K3285" t="str">
        <f t="shared" si="207"/>
        <v>MATCHED</v>
      </c>
    </row>
    <row r="3286" spans="1:11">
      <c r="A3286" t="s">
        <v>116</v>
      </c>
      <c r="B3286" t="s">
        <v>1601</v>
      </c>
      <c r="C3286" t="s">
        <v>822</v>
      </c>
      <c r="D3286" t="s">
        <v>823</v>
      </c>
      <c r="E3286" s="8">
        <v>6160</v>
      </c>
      <c r="F3286" s="8">
        <v>93870</v>
      </c>
      <c r="G3286" s="8">
        <f t="shared" si="204"/>
        <v>578239200</v>
      </c>
      <c r="H3286" s="5">
        <v>0.6102</v>
      </c>
      <c r="I3286" s="8">
        <f t="shared" si="205"/>
        <v>578239200</v>
      </c>
      <c r="J3286" s="8">
        <f t="shared" si="206"/>
        <v>352841559.84</v>
      </c>
      <c r="K3286" t="str">
        <f t="shared" si="207"/>
        <v>MATCHED</v>
      </c>
    </row>
    <row r="3287" spans="1:11">
      <c r="A3287" t="s">
        <v>116</v>
      </c>
      <c r="B3287" t="s">
        <v>1601</v>
      </c>
      <c r="C3287" t="s">
        <v>824</v>
      </c>
      <c r="D3287" t="s">
        <v>825</v>
      </c>
      <c r="E3287" s="8">
        <v>1100</v>
      </c>
      <c r="F3287" s="8">
        <v>98570</v>
      </c>
      <c r="G3287" s="8">
        <f t="shared" si="204"/>
        <v>108427000</v>
      </c>
      <c r="H3287" s="5">
        <v>0.8</v>
      </c>
      <c r="I3287" s="8">
        <f t="shared" si="205"/>
        <v>108427000</v>
      </c>
      <c r="J3287" s="8">
        <f t="shared" si="206"/>
        <v>86741600</v>
      </c>
      <c r="K3287" t="str">
        <f t="shared" si="207"/>
        <v>MATCHED</v>
      </c>
    </row>
    <row r="3288" spans="1:11">
      <c r="A3288" t="s">
        <v>116</v>
      </c>
      <c r="B3288" t="s">
        <v>1601</v>
      </c>
      <c r="C3288" t="s">
        <v>826</v>
      </c>
      <c r="D3288" t="s">
        <v>827</v>
      </c>
      <c r="E3288" s="8">
        <v>46320</v>
      </c>
      <c r="F3288" s="8">
        <v>104740</v>
      </c>
      <c r="G3288" s="8">
        <f t="shared" si="204"/>
        <v>4851556800</v>
      </c>
      <c r="H3288" s="5">
        <v>0.8182</v>
      </c>
      <c r="I3288" s="8">
        <f t="shared" si="205"/>
        <v>4851556800</v>
      </c>
      <c r="J3288" s="8">
        <f t="shared" si="206"/>
        <v>3969543773.76</v>
      </c>
      <c r="K3288" t="str">
        <f t="shared" si="207"/>
        <v>MATCHED</v>
      </c>
    </row>
    <row r="3289" spans="1:11">
      <c r="A3289" t="s">
        <v>116</v>
      </c>
      <c r="B3289" t="s">
        <v>1601</v>
      </c>
      <c r="C3289" t="s">
        <v>536</v>
      </c>
      <c r="D3289" t="s">
        <v>537</v>
      </c>
      <c r="E3289" s="8">
        <v>155230</v>
      </c>
      <c r="F3289" s="8">
        <v>127900</v>
      </c>
      <c r="G3289" s="8">
        <f t="shared" si="204"/>
        <v>19853917000</v>
      </c>
      <c r="H3289" s="5">
        <v>0.6904</v>
      </c>
      <c r="I3289" s="8">
        <f t="shared" si="205"/>
        <v>19853917000</v>
      </c>
      <c r="J3289" s="8">
        <f t="shared" si="206"/>
        <v>13707144296.8</v>
      </c>
      <c r="K3289" t="str">
        <f t="shared" si="207"/>
        <v>MATCHED</v>
      </c>
    </row>
    <row r="3290" spans="1:11">
      <c r="A3290" t="s">
        <v>116</v>
      </c>
      <c r="B3290" t="s">
        <v>1601</v>
      </c>
      <c r="C3290" t="s">
        <v>930</v>
      </c>
      <c r="D3290" t="s">
        <v>931</v>
      </c>
      <c r="E3290" s="8">
        <v>248380</v>
      </c>
      <c r="F3290" s="8">
        <v>160210</v>
      </c>
      <c r="G3290" s="8">
        <f t="shared" si="204"/>
        <v>39792959800</v>
      </c>
      <c r="H3290" s="5">
        <v>0.6857</v>
      </c>
      <c r="I3290" s="8">
        <f t="shared" si="205"/>
        <v>39792959800</v>
      </c>
      <c r="J3290" s="8">
        <f t="shared" si="206"/>
        <v>27286032534.86</v>
      </c>
      <c r="K3290" t="str">
        <f t="shared" si="207"/>
        <v>MATCHED</v>
      </c>
    </row>
    <row r="3291" spans="1:11">
      <c r="A3291" t="s">
        <v>116</v>
      </c>
      <c r="B3291" t="s">
        <v>1601</v>
      </c>
      <c r="C3291" t="s">
        <v>1602</v>
      </c>
      <c r="D3291" t="s">
        <v>1603</v>
      </c>
      <c r="E3291" s="8">
        <v>99060</v>
      </c>
      <c r="F3291" s="8">
        <v>94180</v>
      </c>
      <c r="G3291" s="8">
        <f t="shared" si="204"/>
        <v>9329470800</v>
      </c>
      <c r="H3291" s="5">
        <v>0.95</v>
      </c>
      <c r="I3291" s="8">
        <f t="shared" si="205"/>
        <v>9329470800</v>
      </c>
      <c r="J3291" s="8">
        <f t="shared" si="206"/>
        <v>8862997260</v>
      </c>
      <c r="K3291" t="str">
        <f t="shared" si="207"/>
        <v>MATCHED</v>
      </c>
    </row>
    <row r="3292" spans="1:11">
      <c r="A3292" t="s">
        <v>116</v>
      </c>
      <c r="B3292" t="s">
        <v>1601</v>
      </c>
      <c r="C3292" t="s">
        <v>828</v>
      </c>
      <c r="D3292" t="s">
        <v>829</v>
      </c>
      <c r="E3292" s="8">
        <v>41000</v>
      </c>
      <c r="F3292" s="8">
        <v>129360</v>
      </c>
      <c r="G3292" s="8">
        <f t="shared" si="204"/>
        <v>5303760000</v>
      </c>
      <c r="H3292" s="5">
        <v>0.7767</v>
      </c>
      <c r="I3292" s="8">
        <f t="shared" si="205"/>
        <v>5303760000</v>
      </c>
      <c r="J3292" s="8">
        <f t="shared" si="206"/>
        <v>4119430392</v>
      </c>
      <c r="K3292" t="str">
        <f t="shared" si="207"/>
        <v>MATCHED</v>
      </c>
    </row>
    <row r="3293" spans="1:11">
      <c r="A3293" t="s">
        <v>116</v>
      </c>
      <c r="B3293" t="s">
        <v>1601</v>
      </c>
      <c r="C3293" t="s">
        <v>1150</v>
      </c>
      <c r="D3293" t="s">
        <v>1151</v>
      </c>
      <c r="E3293" s="8">
        <v>46150</v>
      </c>
      <c r="F3293" s="8">
        <v>103560</v>
      </c>
      <c r="G3293" s="8">
        <f t="shared" si="204"/>
        <v>4779294000</v>
      </c>
      <c r="H3293" s="5">
        <v>0.5647</v>
      </c>
      <c r="I3293" s="8">
        <f t="shared" si="205"/>
        <v>4779294000</v>
      </c>
      <c r="J3293" s="8">
        <f t="shared" si="206"/>
        <v>2698867321.8</v>
      </c>
      <c r="K3293" t="str">
        <f t="shared" si="207"/>
        <v>MATCHED</v>
      </c>
    </row>
    <row r="3294" spans="1:11">
      <c r="A3294" t="s">
        <v>116</v>
      </c>
      <c r="B3294" t="s">
        <v>1601</v>
      </c>
      <c r="C3294" t="s">
        <v>932</v>
      </c>
      <c r="D3294" t="s">
        <v>933</v>
      </c>
      <c r="E3294" s="8">
        <v>3660</v>
      </c>
      <c r="F3294" s="8">
        <v>59690</v>
      </c>
      <c r="G3294" s="8">
        <f t="shared" si="204"/>
        <v>218465400</v>
      </c>
      <c r="H3294" s="5">
        <v>0.7587</v>
      </c>
      <c r="I3294" s="8">
        <f t="shared" si="205"/>
        <v>218465400</v>
      </c>
      <c r="J3294" s="8">
        <f t="shared" si="206"/>
        <v>165749698.98</v>
      </c>
      <c r="K3294" t="str">
        <f t="shared" si="207"/>
        <v>MATCHED</v>
      </c>
    </row>
    <row r="3295" spans="1:11">
      <c r="A3295" t="s">
        <v>116</v>
      </c>
      <c r="B3295" t="s">
        <v>1601</v>
      </c>
      <c r="C3295" t="s">
        <v>934</v>
      </c>
      <c r="D3295" t="s">
        <v>935</v>
      </c>
      <c r="E3295" s="8">
        <v>230620</v>
      </c>
      <c r="F3295" s="8">
        <v>86390</v>
      </c>
      <c r="G3295" s="8">
        <f t="shared" si="204"/>
        <v>19923261800</v>
      </c>
      <c r="H3295" s="5">
        <v>0.805</v>
      </c>
      <c r="I3295" s="8">
        <f t="shared" si="205"/>
        <v>19923261800</v>
      </c>
      <c r="J3295" s="8">
        <f t="shared" si="206"/>
        <v>16038225749</v>
      </c>
      <c r="K3295" t="str">
        <f t="shared" si="207"/>
        <v>MATCHED</v>
      </c>
    </row>
    <row r="3296" spans="1:11">
      <c r="A3296" t="s">
        <v>116</v>
      </c>
      <c r="B3296" t="s">
        <v>1601</v>
      </c>
      <c r="C3296" t="s">
        <v>1415</v>
      </c>
      <c r="D3296" t="s">
        <v>1416</v>
      </c>
      <c r="E3296" s="8">
        <v>550</v>
      </c>
      <c r="F3296" s="8">
        <v>80660</v>
      </c>
      <c r="G3296" s="8">
        <f t="shared" si="204"/>
        <v>44363000</v>
      </c>
      <c r="H3296" s="5">
        <v>0.9083</v>
      </c>
      <c r="I3296" s="8">
        <f t="shared" si="205"/>
        <v>44363000</v>
      </c>
      <c r="J3296" s="8">
        <f t="shared" si="206"/>
        <v>40294912.9</v>
      </c>
      <c r="K3296" t="str">
        <f t="shared" si="207"/>
        <v>MATCHED</v>
      </c>
    </row>
    <row r="3297" spans="1:11">
      <c r="A3297" t="s">
        <v>116</v>
      </c>
      <c r="B3297" t="s">
        <v>1601</v>
      </c>
      <c r="C3297" t="s">
        <v>538</v>
      </c>
      <c r="D3297" t="s">
        <v>539</v>
      </c>
      <c r="E3297" s="8">
        <v>44600</v>
      </c>
      <c r="F3297" s="8">
        <v>98110</v>
      </c>
      <c r="G3297" s="8">
        <f t="shared" si="204"/>
        <v>4375706000</v>
      </c>
      <c r="H3297" s="5">
        <v>0.6192</v>
      </c>
      <c r="I3297" s="8">
        <f t="shared" si="205"/>
        <v>4375706000</v>
      </c>
      <c r="J3297" s="8">
        <f t="shared" si="206"/>
        <v>2709437155.2</v>
      </c>
      <c r="K3297" t="str">
        <f t="shared" si="207"/>
        <v>MATCHED</v>
      </c>
    </row>
    <row r="3298" spans="1:11">
      <c r="A3298" t="s">
        <v>116</v>
      </c>
      <c r="B3298" t="s">
        <v>1601</v>
      </c>
      <c r="C3298" t="s">
        <v>291</v>
      </c>
      <c r="D3298" t="s">
        <v>292</v>
      </c>
      <c r="E3298" s="8">
        <v>64570</v>
      </c>
      <c r="F3298" s="8">
        <v>114770</v>
      </c>
      <c r="G3298" s="8">
        <f t="shared" si="204"/>
        <v>7410698900</v>
      </c>
      <c r="H3298" s="5">
        <v>0.6388</v>
      </c>
      <c r="I3298" s="8">
        <f t="shared" si="205"/>
        <v>7410698900</v>
      </c>
      <c r="J3298" s="8">
        <f t="shared" si="206"/>
        <v>4733954457.32</v>
      </c>
      <c r="K3298" t="str">
        <f t="shared" si="207"/>
        <v>MATCHED</v>
      </c>
    </row>
    <row r="3299" spans="1:11">
      <c r="A3299" t="s">
        <v>116</v>
      </c>
      <c r="B3299" t="s">
        <v>1601</v>
      </c>
      <c r="C3299" t="s">
        <v>540</v>
      </c>
      <c r="D3299" t="s">
        <v>541</v>
      </c>
      <c r="E3299" s="8">
        <v>29580</v>
      </c>
      <c r="F3299" s="8">
        <v>133760</v>
      </c>
      <c r="G3299" s="8">
        <f t="shared" si="204"/>
        <v>3956620800</v>
      </c>
      <c r="H3299" s="5">
        <v>0.6292</v>
      </c>
      <c r="I3299" s="8">
        <f t="shared" si="205"/>
        <v>3956620800</v>
      </c>
      <c r="J3299" s="8">
        <f t="shared" si="206"/>
        <v>2489505807.36</v>
      </c>
      <c r="K3299" t="str">
        <f t="shared" si="207"/>
        <v>MATCHED</v>
      </c>
    </row>
    <row r="3300" spans="1:11">
      <c r="A3300" t="s">
        <v>116</v>
      </c>
      <c r="B3300" t="s">
        <v>1601</v>
      </c>
      <c r="C3300" t="s">
        <v>1152</v>
      </c>
      <c r="D3300" t="s">
        <v>1153</v>
      </c>
      <c r="E3300" s="8">
        <v>160</v>
      </c>
      <c r="F3300" s="8">
        <v>175640</v>
      </c>
      <c r="G3300" s="8">
        <f t="shared" si="204"/>
        <v>28102400</v>
      </c>
      <c r="H3300" s="5">
        <v>0.39</v>
      </c>
      <c r="I3300" s="8">
        <f t="shared" si="205"/>
        <v>28102400</v>
      </c>
      <c r="J3300" s="8">
        <f t="shared" si="206"/>
        <v>10959936</v>
      </c>
      <c r="K3300" t="str">
        <f t="shared" si="207"/>
        <v>MATCHED</v>
      </c>
    </row>
    <row r="3301" spans="1:11">
      <c r="A3301" t="s">
        <v>116</v>
      </c>
      <c r="B3301" t="s">
        <v>1601</v>
      </c>
      <c r="C3301" t="s">
        <v>542</v>
      </c>
      <c r="D3301" t="s">
        <v>543</v>
      </c>
      <c r="E3301" s="8">
        <v>8060</v>
      </c>
      <c r="F3301" s="8">
        <v>90660</v>
      </c>
      <c r="G3301" s="8">
        <f t="shared" si="204"/>
        <v>730719600</v>
      </c>
      <c r="H3301" s="5">
        <v>0.7096</v>
      </c>
      <c r="I3301" s="8">
        <f t="shared" si="205"/>
        <v>730719600</v>
      </c>
      <c r="J3301" s="8">
        <f t="shared" si="206"/>
        <v>518518628.16</v>
      </c>
      <c r="K3301" t="str">
        <f t="shared" si="207"/>
        <v>MATCHED</v>
      </c>
    </row>
    <row r="3302" spans="1:11">
      <c r="A3302" t="s">
        <v>116</v>
      </c>
      <c r="B3302" t="s">
        <v>1601</v>
      </c>
      <c r="C3302" t="s">
        <v>293</v>
      </c>
      <c r="D3302" t="s">
        <v>294</v>
      </c>
      <c r="E3302" s="8">
        <v>39670</v>
      </c>
      <c r="F3302" s="8">
        <v>70420</v>
      </c>
      <c r="G3302" s="8">
        <f t="shared" si="204"/>
        <v>2793561400</v>
      </c>
      <c r="H3302" s="5">
        <v>0.6062</v>
      </c>
      <c r="I3302" s="8">
        <f t="shared" si="205"/>
        <v>2793561400</v>
      </c>
      <c r="J3302" s="8">
        <f t="shared" si="206"/>
        <v>1693456920.68</v>
      </c>
      <c r="K3302" t="str">
        <f t="shared" si="207"/>
        <v>MATCHED</v>
      </c>
    </row>
    <row r="3303" spans="1:11">
      <c r="A3303" t="s">
        <v>116</v>
      </c>
      <c r="B3303" t="s">
        <v>1601</v>
      </c>
      <c r="C3303" t="s">
        <v>544</v>
      </c>
      <c r="D3303" t="s">
        <v>545</v>
      </c>
      <c r="E3303" s="8">
        <v>18840</v>
      </c>
      <c r="F3303" s="8">
        <v>147490</v>
      </c>
      <c r="G3303" s="8">
        <f t="shared" si="204"/>
        <v>2778711600</v>
      </c>
      <c r="H3303" s="5">
        <v>0.6278</v>
      </c>
      <c r="I3303" s="8">
        <f t="shared" si="205"/>
        <v>2778711600</v>
      </c>
      <c r="J3303" s="8">
        <f t="shared" si="206"/>
        <v>1744475142.48</v>
      </c>
      <c r="K3303" t="str">
        <f t="shared" si="207"/>
        <v>MATCHED</v>
      </c>
    </row>
    <row r="3304" spans="1:11">
      <c r="A3304" t="s">
        <v>116</v>
      </c>
      <c r="B3304" t="s">
        <v>1601</v>
      </c>
      <c r="C3304" t="s">
        <v>546</v>
      </c>
      <c r="D3304" t="s">
        <v>547</v>
      </c>
      <c r="E3304" s="8">
        <v>8060</v>
      </c>
      <c r="F3304" s="8">
        <v>120100</v>
      </c>
      <c r="G3304" s="8">
        <f t="shared" si="204"/>
        <v>968006000</v>
      </c>
      <c r="H3304" s="5">
        <v>0.8389</v>
      </c>
      <c r="I3304" s="8">
        <f t="shared" si="205"/>
        <v>968006000</v>
      </c>
      <c r="J3304" s="8">
        <f t="shared" si="206"/>
        <v>812060233.4</v>
      </c>
      <c r="K3304" t="str">
        <f t="shared" si="207"/>
        <v>MATCHED</v>
      </c>
    </row>
    <row r="3305" spans="1:11">
      <c r="A3305" t="s">
        <v>116</v>
      </c>
      <c r="B3305" t="s">
        <v>1601</v>
      </c>
      <c r="C3305" t="s">
        <v>548</v>
      </c>
      <c r="D3305" t="s">
        <v>549</v>
      </c>
      <c r="E3305" s="8">
        <v>9370</v>
      </c>
      <c r="F3305" s="8">
        <v>149370</v>
      </c>
      <c r="G3305" s="8">
        <f t="shared" si="204"/>
        <v>1399596900</v>
      </c>
      <c r="H3305" s="5">
        <v>0.8502</v>
      </c>
      <c r="I3305" s="8">
        <f t="shared" si="205"/>
        <v>1399596900</v>
      </c>
      <c r="J3305" s="8">
        <f t="shared" si="206"/>
        <v>1189937284.38</v>
      </c>
      <c r="K3305" t="str">
        <f t="shared" si="207"/>
        <v>MATCHED</v>
      </c>
    </row>
    <row r="3306" spans="1:11">
      <c r="A3306" t="s">
        <v>116</v>
      </c>
      <c r="B3306" t="s">
        <v>1601</v>
      </c>
      <c r="C3306" t="s">
        <v>295</v>
      </c>
      <c r="D3306" t="s">
        <v>296</v>
      </c>
      <c r="E3306" s="8">
        <v>26540</v>
      </c>
      <c r="F3306" s="8">
        <v>107840</v>
      </c>
      <c r="G3306" s="8">
        <f t="shared" si="204"/>
        <v>2862073600</v>
      </c>
      <c r="H3306" s="5">
        <v>0.695</v>
      </c>
      <c r="I3306" s="8">
        <f t="shared" si="205"/>
        <v>2862073600</v>
      </c>
      <c r="J3306" s="8">
        <f t="shared" si="206"/>
        <v>1989141152</v>
      </c>
      <c r="K3306" t="str">
        <f t="shared" si="207"/>
        <v>MATCHED</v>
      </c>
    </row>
    <row r="3307" spans="1:11">
      <c r="A3307" t="s">
        <v>116</v>
      </c>
      <c r="B3307" t="s">
        <v>1601</v>
      </c>
      <c r="C3307" t="s">
        <v>550</v>
      </c>
      <c r="D3307" t="s">
        <v>551</v>
      </c>
      <c r="E3307" s="8">
        <v>5010</v>
      </c>
      <c r="F3307" s="8">
        <v>115460</v>
      </c>
      <c r="G3307" s="8">
        <f t="shared" si="204"/>
        <v>578454600</v>
      </c>
      <c r="H3307" s="5">
        <v>0.6824</v>
      </c>
      <c r="I3307" s="8">
        <f t="shared" si="205"/>
        <v>578454600</v>
      </c>
      <c r="J3307" s="8">
        <f t="shared" si="206"/>
        <v>394737419.04</v>
      </c>
      <c r="K3307" t="str">
        <f t="shared" si="207"/>
        <v>MATCHED</v>
      </c>
    </row>
    <row r="3308" spans="1:11">
      <c r="A3308" t="s">
        <v>116</v>
      </c>
      <c r="B3308" t="s">
        <v>1601</v>
      </c>
      <c r="C3308" t="s">
        <v>297</v>
      </c>
      <c r="D3308" t="s">
        <v>298</v>
      </c>
      <c r="E3308" s="8">
        <v>167990</v>
      </c>
      <c r="F3308" s="8">
        <v>145230</v>
      </c>
      <c r="G3308" s="8">
        <f t="shared" si="204"/>
        <v>24397187700</v>
      </c>
      <c r="H3308" s="5">
        <v>0.5211</v>
      </c>
      <c r="I3308" s="8">
        <f t="shared" si="205"/>
        <v>24397187700</v>
      </c>
      <c r="J3308" s="8">
        <f t="shared" si="206"/>
        <v>12713374510.47</v>
      </c>
      <c r="K3308" t="str">
        <f t="shared" si="207"/>
        <v>MATCHED</v>
      </c>
    </row>
    <row r="3309" spans="1:11">
      <c r="A3309" t="s">
        <v>116</v>
      </c>
      <c r="B3309" t="s">
        <v>1601</v>
      </c>
      <c r="C3309" t="s">
        <v>552</v>
      </c>
      <c r="D3309" t="s">
        <v>553</v>
      </c>
      <c r="E3309" s="8">
        <v>22240</v>
      </c>
      <c r="F3309" s="8">
        <v>109330</v>
      </c>
      <c r="G3309" s="8">
        <f t="shared" si="204"/>
        <v>2431499200</v>
      </c>
      <c r="H3309" s="5">
        <v>0.8117</v>
      </c>
      <c r="I3309" s="8">
        <f t="shared" si="205"/>
        <v>2431499200</v>
      </c>
      <c r="J3309" s="8">
        <f t="shared" si="206"/>
        <v>1973647900.64</v>
      </c>
      <c r="K3309" t="str">
        <f t="shared" si="207"/>
        <v>MATCHED</v>
      </c>
    </row>
    <row r="3310" spans="1:11">
      <c r="A3310" t="s">
        <v>116</v>
      </c>
      <c r="B3310" t="s">
        <v>1601</v>
      </c>
      <c r="C3310" t="s">
        <v>830</v>
      </c>
      <c r="D3310" t="s">
        <v>831</v>
      </c>
      <c r="E3310" s="8">
        <v>3200</v>
      </c>
      <c r="F3310" s="8">
        <v>124590</v>
      </c>
      <c r="G3310" s="8">
        <f t="shared" si="204"/>
        <v>398688000</v>
      </c>
      <c r="H3310" s="5">
        <v>0.8276</v>
      </c>
      <c r="I3310" s="8">
        <f t="shared" si="205"/>
        <v>398688000</v>
      </c>
      <c r="J3310" s="8">
        <f t="shared" si="206"/>
        <v>329954188.8</v>
      </c>
      <c r="K3310" t="str">
        <f t="shared" si="207"/>
        <v>MATCHED</v>
      </c>
    </row>
    <row r="3311" spans="1:11">
      <c r="A3311" t="s">
        <v>116</v>
      </c>
      <c r="B3311" t="s">
        <v>1601</v>
      </c>
      <c r="C3311" t="s">
        <v>832</v>
      </c>
      <c r="D3311" t="s">
        <v>833</v>
      </c>
      <c r="E3311" s="8">
        <v>7480</v>
      </c>
      <c r="F3311" s="8">
        <v>135620</v>
      </c>
      <c r="G3311" s="8">
        <f t="shared" si="204"/>
        <v>1014437600</v>
      </c>
      <c r="H3311" s="5">
        <v>0.6827</v>
      </c>
      <c r="I3311" s="8">
        <f t="shared" si="205"/>
        <v>1014437600</v>
      </c>
      <c r="J3311" s="8">
        <f t="shared" si="206"/>
        <v>692556549.52</v>
      </c>
      <c r="K3311" t="str">
        <f t="shared" si="207"/>
        <v>MATCHED</v>
      </c>
    </row>
    <row r="3312" spans="1:11">
      <c r="A3312" t="s">
        <v>116</v>
      </c>
      <c r="B3312" t="s">
        <v>1601</v>
      </c>
      <c r="C3312" t="s">
        <v>299</v>
      </c>
      <c r="D3312" t="s">
        <v>300</v>
      </c>
      <c r="E3312" s="8">
        <v>27020</v>
      </c>
      <c r="F3312" s="8">
        <v>132020</v>
      </c>
      <c r="G3312" s="8">
        <f t="shared" si="204"/>
        <v>3567180400</v>
      </c>
      <c r="H3312" s="5">
        <v>0.7425</v>
      </c>
      <c r="I3312" s="8">
        <f t="shared" si="205"/>
        <v>3567180400</v>
      </c>
      <c r="J3312" s="8">
        <f t="shared" si="206"/>
        <v>2648631447</v>
      </c>
      <c r="K3312" t="str">
        <f t="shared" si="207"/>
        <v>MATCHED</v>
      </c>
    </row>
    <row r="3313" spans="1:11">
      <c r="A3313" t="s">
        <v>116</v>
      </c>
      <c r="B3313" t="s">
        <v>1601</v>
      </c>
      <c r="C3313" t="s">
        <v>1604</v>
      </c>
      <c r="D3313" t="s">
        <v>1605</v>
      </c>
      <c r="E3313" s="8">
        <v>19870</v>
      </c>
      <c r="F3313" s="8">
        <v>144060</v>
      </c>
      <c r="G3313" s="8">
        <f t="shared" si="204"/>
        <v>2862472200</v>
      </c>
      <c r="H3313" s="5">
        <v>0.74</v>
      </c>
      <c r="I3313" s="8">
        <f t="shared" si="205"/>
        <v>2862472200</v>
      </c>
      <c r="J3313" s="8">
        <f t="shared" si="206"/>
        <v>2118229428</v>
      </c>
      <c r="K3313" t="str">
        <f t="shared" si="207"/>
        <v>MATCHED</v>
      </c>
    </row>
    <row r="3314" spans="1:11">
      <c r="A3314" t="s">
        <v>116</v>
      </c>
      <c r="B3314" t="s">
        <v>1601</v>
      </c>
      <c r="C3314" t="s">
        <v>554</v>
      </c>
      <c r="D3314" t="s">
        <v>555</v>
      </c>
      <c r="E3314" s="8">
        <v>26270</v>
      </c>
      <c r="F3314" s="8">
        <v>93680</v>
      </c>
      <c r="G3314" s="8">
        <f t="shared" si="204"/>
        <v>2460973600</v>
      </c>
      <c r="H3314" s="5">
        <v>0.6031</v>
      </c>
      <c r="I3314" s="8">
        <f t="shared" si="205"/>
        <v>2460973600</v>
      </c>
      <c r="J3314" s="8">
        <f t="shared" si="206"/>
        <v>1484213178.16</v>
      </c>
      <c r="K3314" t="str">
        <f t="shared" si="207"/>
        <v>MATCHED</v>
      </c>
    </row>
    <row r="3315" spans="1:11">
      <c r="A3315" t="s">
        <v>116</v>
      </c>
      <c r="B3315" t="s">
        <v>1601</v>
      </c>
      <c r="C3315" t="s">
        <v>1156</v>
      </c>
      <c r="D3315" t="s">
        <v>1157</v>
      </c>
      <c r="E3315" s="8">
        <v>1310</v>
      </c>
      <c r="F3315" s="8">
        <v>110460</v>
      </c>
      <c r="G3315" s="8">
        <f t="shared" si="204"/>
        <v>144702600</v>
      </c>
      <c r="H3315" s="5">
        <v>0.7282</v>
      </c>
      <c r="I3315" s="8">
        <f t="shared" si="205"/>
        <v>144702600</v>
      </c>
      <c r="J3315" s="8">
        <f t="shared" si="206"/>
        <v>105372433.32</v>
      </c>
      <c r="K3315" t="str">
        <f t="shared" si="207"/>
        <v>MATCHED</v>
      </c>
    </row>
    <row r="3316" spans="1:11">
      <c r="A3316" t="s">
        <v>116</v>
      </c>
      <c r="B3316" t="s">
        <v>1601</v>
      </c>
      <c r="C3316" t="s">
        <v>556</v>
      </c>
      <c r="D3316" t="s">
        <v>557</v>
      </c>
      <c r="E3316" s="8">
        <v>46730</v>
      </c>
      <c r="F3316" s="8">
        <v>126890</v>
      </c>
      <c r="G3316" s="8">
        <f t="shared" si="204"/>
        <v>5929569700</v>
      </c>
      <c r="H3316" s="5">
        <v>0.8228</v>
      </c>
      <c r="I3316" s="8">
        <f t="shared" si="205"/>
        <v>5929569700</v>
      </c>
      <c r="J3316" s="8">
        <f t="shared" si="206"/>
        <v>4878849949.16</v>
      </c>
      <c r="K3316" t="str">
        <f t="shared" si="207"/>
        <v>MATCHED</v>
      </c>
    </row>
    <row r="3317" spans="1:11">
      <c r="A3317" t="s">
        <v>116</v>
      </c>
      <c r="B3317" t="s">
        <v>1601</v>
      </c>
      <c r="C3317" t="s">
        <v>1158</v>
      </c>
      <c r="D3317" t="s">
        <v>1159</v>
      </c>
      <c r="E3317" s="8"/>
      <c r="F3317" s="8">
        <v>100330</v>
      </c>
      <c r="G3317" s="8" t="str">
        <f t="shared" si="204"/>
        <v/>
      </c>
      <c r="H3317" s="5">
        <v>0.7711</v>
      </c>
      <c r="I3317" s="8" t="str">
        <f t="shared" si="205"/>
        <v/>
      </c>
      <c r="J3317" s="8" t="str">
        <f t="shared" si="206"/>
        <v/>
      </c>
      <c r="K3317" t="str">
        <f t="shared" si="207"/>
        <v>MISSING OEWS</v>
      </c>
    </row>
    <row r="3318" spans="1:11">
      <c r="A3318" t="s">
        <v>116</v>
      </c>
      <c r="B3318" t="s">
        <v>1601</v>
      </c>
      <c r="C3318" t="s">
        <v>834</v>
      </c>
      <c r="D3318" t="s">
        <v>835</v>
      </c>
      <c r="E3318" s="8">
        <v>80</v>
      </c>
      <c r="F3318" s="8">
        <v>149800</v>
      </c>
      <c r="G3318" s="8">
        <f t="shared" si="204"/>
        <v>11984000</v>
      </c>
      <c r="H3318" s="5">
        <v>0.5375</v>
      </c>
      <c r="I3318" s="8">
        <f t="shared" si="205"/>
        <v>11984000</v>
      </c>
      <c r="J3318" s="8">
        <f t="shared" si="206"/>
        <v>6441400</v>
      </c>
      <c r="K3318" t="str">
        <f t="shared" si="207"/>
        <v>MATCHED</v>
      </c>
    </row>
    <row r="3319" spans="1:11">
      <c r="A3319" t="s">
        <v>116</v>
      </c>
      <c r="B3319" t="s">
        <v>1601</v>
      </c>
      <c r="C3319" t="s">
        <v>560</v>
      </c>
      <c r="D3319" t="s">
        <v>561</v>
      </c>
      <c r="E3319" s="8">
        <v>70</v>
      </c>
      <c r="F3319" s="8">
        <v>95340</v>
      </c>
      <c r="G3319" s="8">
        <f t="shared" si="204"/>
        <v>6673800</v>
      </c>
      <c r="H3319" s="5">
        <v>0.3682</v>
      </c>
      <c r="I3319" s="8">
        <f t="shared" si="205"/>
        <v>6673800</v>
      </c>
      <c r="J3319" s="8">
        <f t="shared" si="206"/>
        <v>2457293.16</v>
      </c>
      <c r="K3319" t="str">
        <f t="shared" si="207"/>
        <v>MATCHED</v>
      </c>
    </row>
    <row r="3320" spans="1:11">
      <c r="A3320" t="s">
        <v>116</v>
      </c>
      <c r="B3320" t="s">
        <v>1601</v>
      </c>
      <c r="C3320" t="s">
        <v>564</v>
      </c>
      <c r="D3320" t="s">
        <v>565</v>
      </c>
      <c r="E3320" s="8">
        <v>600</v>
      </c>
      <c r="F3320" s="8">
        <v>119170</v>
      </c>
      <c r="G3320" s="8">
        <f t="shared" si="204"/>
        <v>71502000</v>
      </c>
      <c r="H3320" s="5">
        <v>0.4218</v>
      </c>
      <c r="I3320" s="8">
        <f t="shared" si="205"/>
        <v>71502000</v>
      </c>
      <c r="J3320" s="8">
        <f t="shared" si="206"/>
        <v>30159543.6</v>
      </c>
      <c r="K3320" t="str">
        <f t="shared" si="207"/>
        <v>MATCHED</v>
      </c>
    </row>
    <row r="3321" spans="1:11">
      <c r="A3321" t="s">
        <v>116</v>
      </c>
      <c r="B3321" t="s">
        <v>1601</v>
      </c>
      <c r="C3321" t="s">
        <v>838</v>
      </c>
      <c r="D3321" t="s">
        <v>839</v>
      </c>
      <c r="E3321" s="8">
        <v>290</v>
      </c>
      <c r="F3321" s="8">
        <v>170100</v>
      </c>
      <c r="G3321" s="8">
        <f t="shared" si="204"/>
        <v>49329000</v>
      </c>
      <c r="H3321" s="5">
        <v>0.3639</v>
      </c>
      <c r="I3321" s="8">
        <f t="shared" si="205"/>
        <v>49329000</v>
      </c>
      <c r="J3321" s="8">
        <f t="shared" si="206"/>
        <v>17950823.1</v>
      </c>
      <c r="K3321" t="str">
        <f t="shared" si="207"/>
        <v>MATCHED</v>
      </c>
    </row>
    <row r="3322" spans="1:11">
      <c r="A3322" t="s">
        <v>116</v>
      </c>
      <c r="B3322" t="s">
        <v>1601</v>
      </c>
      <c r="C3322" t="s">
        <v>568</v>
      </c>
      <c r="D3322" t="s">
        <v>569</v>
      </c>
      <c r="E3322" s="8">
        <v>30</v>
      </c>
      <c r="F3322" s="8">
        <v>146600</v>
      </c>
      <c r="G3322" s="8">
        <f t="shared" si="204"/>
        <v>4398000</v>
      </c>
      <c r="H3322" s="5">
        <v>0.4536</v>
      </c>
      <c r="I3322" s="8">
        <f t="shared" si="205"/>
        <v>4398000</v>
      </c>
      <c r="J3322" s="8">
        <f t="shared" si="206"/>
        <v>1994932.8</v>
      </c>
      <c r="K3322" t="str">
        <f t="shared" si="207"/>
        <v>MATCHED</v>
      </c>
    </row>
    <row r="3323" spans="1:11">
      <c r="A3323" t="s">
        <v>116</v>
      </c>
      <c r="B3323" t="s">
        <v>1601</v>
      </c>
      <c r="C3323" t="s">
        <v>572</v>
      </c>
      <c r="D3323" t="s">
        <v>573</v>
      </c>
      <c r="E3323" s="8"/>
      <c r="F3323" s="8">
        <v>122710</v>
      </c>
      <c r="G3323" s="8" t="str">
        <f t="shared" si="204"/>
        <v/>
      </c>
      <c r="H3323" s="5">
        <v>0.2672</v>
      </c>
      <c r="I3323" s="8" t="str">
        <f t="shared" si="205"/>
        <v/>
      </c>
      <c r="J3323" s="8" t="str">
        <f t="shared" si="206"/>
        <v/>
      </c>
      <c r="K3323" t="str">
        <f t="shared" si="207"/>
        <v>MISSING OEWS</v>
      </c>
    </row>
    <row r="3324" spans="1:11">
      <c r="A3324" t="s">
        <v>116</v>
      </c>
      <c r="B3324" t="s">
        <v>1601</v>
      </c>
      <c r="C3324" t="s">
        <v>301</v>
      </c>
      <c r="D3324" t="s">
        <v>302</v>
      </c>
      <c r="E3324" s="8">
        <v>640</v>
      </c>
      <c r="F3324" s="8">
        <v>117800</v>
      </c>
      <c r="G3324" s="8">
        <f t="shared" si="204"/>
        <v>75392000</v>
      </c>
      <c r="H3324" s="5">
        <v>0.4786</v>
      </c>
      <c r="I3324" s="8">
        <f t="shared" si="205"/>
        <v>75392000</v>
      </c>
      <c r="J3324" s="8">
        <f t="shared" si="206"/>
        <v>36082611.2</v>
      </c>
      <c r="K3324" t="str">
        <f t="shared" si="207"/>
        <v>MATCHED</v>
      </c>
    </row>
    <row r="3325" spans="1:11">
      <c r="A3325" t="s">
        <v>116</v>
      </c>
      <c r="B3325" t="s">
        <v>1601</v>
      </c>
      <c r="C3325" t="s">
        <v>576</v>
      </c>
      <c r="D3325" t="s">
        <v>577</v>
      </c>
      <c r="E3325" s="8">
        <v>100</v>
      </c>
      <c r="F3325" s="8">
        <v>133650</v>
      </c>
      <c r="G3325" s="8">
        <f t="shared" si="204"/>
        <v>13365000</v>
      </c>
      <c r="H3325" s="5">
        <v>0.3008</v>
      </c>
      <c r="I3325" s="8">
        <f t="shared" si="205"/>
        <v>13365000</v>
      </c>
      <c r="J3325" s="8">
        <f t="shared" si="206"/>
        <v>4020192</v>
      </c>
      <c r="K3325" t="str">
        <f t="shared" si="207"/>
        <v>MATCHED</v>
      </c>
    </row>
    <row r="3326" spans="1:11">
      <c r="A3326" t="s">
        <v>116</v>
      </c>
      <c r="B3326" t="s">
        <v>1601</v>
      </c>
      <c r="C3326" t="s">
        <v>580</v>
      </c>
      <c r="D3326" t="s">
        <v>581</v>
      </c>
      <c r="E3326" s="8">
        <v>60</v>
      </c>
      <c r="F3326" s="8">
        <v>207320</v>
      </c>
      <c r="G3326" s="8">
        <f t="shared" si="204"/>
        <v>12439200</v>
      </c>
      <c r="H3326" s="5">
        <v>0.3065</v>
      </c>
      <c r="I3326" s="8">
        <f t="shared" si="205"/>
        <v>12439200</v>
      </c>
      <c r="J3326" s="8">
        <f t="shared" si="206"/>
        <v>3812614.8</v>
      </c>
      <c r="K3326" t="str">
        <f t="shared" si="207"/>
        <v>MATCHED</v>
      </c>
    </row>
    <row r="3327" spans="1:11">
      <c r="A3327" t="s">
        <v>116</v>
      </c>
      <c r="B3327" t="s">
        <v>1601</v>
      </c>
      <c r="C3327" t="s">
        <v>582</v>
      </c>
      <c r="D3327" t="s">
        <v>583</v>
      </c>
      <c r="E3327" s="8">
        <v>570</v>
      </c>
      <c r="F3327" s="8">
        <v>141780</v>
      </c>
      <c r="G3327" s="8">
        <f t="shared" si="204"/>
        <v>80814600</v>
      </c>
      <c r="H3327" s="5">
        <v>0.315</v>
      </c>
      <c r="I3327" s="8">
        <f t="shared" si="205"/>
        <v>80814600</v>
      </c>
      <c r="J3327" s="8">
        <f t="shared" si="206"/>
        <v>25456599</v>
      </c>
      <c r="K3327" t="str">
        <f t="shared" si="207"/>
        <v>MATCHED</v>
      </c>
    </row>
    <row r="3328" spans="1:11">
      <c r="A3328" t="s">
        <v>116</v>
      </c>
      <c r="B3328" t="s">
        <v>1601</v>
      </c>
      <c r="C3328" t="s">
        <v>604</v>
      </c>
      <c r="D3328" t="s">
        <v>605</v>
      </c>
      <c r="E3328" s="8">
        <v>190</v>
      </c>
      <c r="F3328" s="8">
        <v>87400</v>
      </c>
      <c r="G3328" s="8">
        <f t="shared" si="204"/>
        <v>16606000</v>
      </c>
      <c r="H3328" s="5">
        <v>0.1404</v>
      </c>
      <c r="I3328" s="8">
        <f t="shared" si="205"/>
        <v>16606000</v>
      </c>
      <c r="J3328" s="8">
        <f t="shared" si="206"/>
        <v>2331482.4</v>
      </c>
      <c r="K3328" t="str">
        <f t="shared" si="207"/>
        <v>MATCHED</v>
      </c>
    </row>
    <row r="3329" spans="1:11">
      <c r="A3329" t="s">
        <v>116</v>
      </c>
      <c r="B3329" t="s">
        <v>1601</v>
      </c>
      <c r="C3329" t="s">
        <v>606</v>
      </c>
      <c r="D3329" t="s">
        <v>607</v>
      </c>
      <c r="E3329" s="8">
        <v>140</v>
      </c>
      <c r="F3329" s="8">
        <v>53550</v>
      </c>
      <c r="G3329" s="8">
        <f t="shared" si="204"/>
        <v>7497000</v>
      </c>
      <c r="H3329" s="5">
        <v>0.6783</v>
      </c>
      <c r="I3329" s="8">
        <f t="shared" si="205"/>
        <v>7497000</v>
      </c>
      <c r="J3329" s="8">
        <f t="shared" si="206"/>
        <v>5085215.1</v>
      </c>
      <c r="K3329" t="str">
        <f t="shared" si="207"/>
        <v>MATCHED</v>
      </c>
    </row>
    <row r="3330" spans="1:11">
      <c r="A3330" t="s">
        <v>116</v>
      </c>
      <c r="B3330" t="s">
        <v>1601</v>
      </c>
      <c r="C3330" t="s">
        <v>610</v>
      </c>
      <c r="D3330" t="s">
        <v>611</v>
      </c>
      <c r="E3330" s="8">
        <v>110</v>
      </c>
      <c r="F3330" s="8">
        <v>139240</v>
      </c>
      <c r="G3330" s="8">
        <f t="shared" ref="G3330:G3393" si="208">IF(OR(E3330="",F3330=""),"",E3330*F3330)</f>
        <v>15316400</v>
      </c>
      <c r="H3330" s="5">
        <v>0.4662</v>
      </c>
      <c r="I3330" s="8">
        <f t="shared" ref="I3330:I3393" si="209">IF(G3330="","",IF(ISNUMBER(H3330),G3330,""))</f>
        <v>15316400</v>
      </c>
      <c r="J3330" s="8">
        <f t="shared" ref="J3330:J3393" si="210">IF(I3330="","",I3330*H3330)</f>
        <v>7140505.68</v>
      </c>
      <c r="K3330" t="str">
        <f t="shared" ref="K3330:K3393" si="211">IF(G3330="","MISSING OEWS",IF(ISNUMBER(H3330),"MATCHED","MISSING WHARTON"))</f>
        <v>MATCHED</v>
      </c>
    </row>
    <row r="3331" spans="1:11">
      <c r="A3331" t="s">
        <v>116</v>
      </c>
      <c r="B3331" t="s">
        <v>1601</v>
      </c>
      <c r="C3331" t="s">
        <v>614</v>
      </c>
      <c r="D3331" t="s">
        <v>615</v>
      </c>
      <c r="E3331" s="8">
        <v>1630</v>
      </c>
      <c r="F3331" s="8">
        <v>183300</v>
      </c>
      <c r="G3331" s="8">
        <f t="shared" si="208"/>
        <v>298779000</v>
      </c>
      <c r="H3331" s="5">
        <v>0.5271</v>
      </c>
      <c r="I3331" s="8">
        <f t="shared" si="209"/>
        <v>298779000</v>
      </c>
      <c r="J3331" s="8">
        <f t="shared" si="210"/>
        <v>157486410.9</v>
      </c>
      <c r="K3331" t="str">
        <f t="shared" si="211"/>
        <v>MATCHED</v>
      </c>
    </row>
    <row r="3332" spans="1:11">
      <c r="A3332" t="s">
        <v>116</v>
      </c>
      <c r="B3332" t="s">
        <v>1601</v>
      </c>
      <c r="C3332" t="s">
        <v>1606</v>
      </c>
      <c r="D3332" t="s">
        <v>1607</v>
      </c>
      <c r="E3332" s="8">
        <v>190</v>
      </c>
      <c r="F3332" s="8">
        <v>86270</v>
      </c>
      <c r="G3332" s="8">
        <f t="shared" si="208"/>
        <v>16391300</v>
      </c>
      <c r="H3332" s="5">
        <v>0.1883</v>
      </c>
      <c r="I3332" s="8">
        <f t="shared" si="209"/>
        <v>16391300</v>
      </c>
      <c r="J3332" s="8">
        <f t="shared" si="210"/>
        <v>3086481.79</v>
      </c>
      <c r="K3332" t="str">
        <f t="shared" si="211"/>
        <v>MATCHED</v>
      </c>
    </row>
    <row r="3333" spans="1:11">
      <c r="A3333" t="s">
        <v>116</v>
      </c>
      <c r="B3333" t="s">
        <v>1601</v>
      </c>
      <c r="C3333" t="s">
        <v>1180</v>
      </c>
      <c r="D3333" t="s">
        <v>1181</v>
      </c>
      <c r="E3333" s="8">
        <v>150</v>
      </c>
      <c r="F3333" s="8">
        <v>64280</v>
      </c>
      <c r="G3333" s="8">
        <f t="shared" si="208"/>
        <v>9642000</v>
      </c>
      <c r="H3333" s="5">
        <v>0.7087</v>
      </c>
      <c r="I3333" s="8">
        <f t="shared" si="209"/>
        <v>9642000</v>
      </c>
      <c r="J3333" s="8">
        <f t="shared" si="210"/>
        <v>6833285.4</v>
      </c>
      <c r="K3333" t="str">
        <f t="shared" si="211"/>
        <v>MATCHED</v>
      </c>
    </row>
    <row r="3334" spans="1:11">
      <c r="A3334" t="s">
        <v>116</v>
      </c>
      <c r="B3334" t="s">
        <v>1601</v>
      </c>
      <c r="C3334" t="s">
        <v>1513</v>
      </c>
      <c r="D3334" t="s">
        <v>1514</v>
      </c>
      <c r="E3334" s="8">
        <v>60</v>
      </c>
      <c r="F3334" s="8"/>
      <c r="G3334" s="8" t="str">
        <f t="shared" si="208"/>
        <v/>
      </c>
      <c r="H3334" s="5">
        <v>0.1571</v>
      </c>
      <c r="I3334" s="8" t="str">
        <f t="shared" si="209"/>
        <v/>
      </c>
      <c r="J3334" s="8" t="str">
        <f t="shared" si="210"/>
        <v/>
      </c>
      <c r="K3334" t="str">
        <f t="shared" si="211"/>
        <v>MISSING OEWS</v>
      </c>
    </row>
    <row r="3335" spans="1:11">
      <c r="A3335" t="s">
        <v>116</v>
      </c>
      <c r="B3335" t="s">
        <v>1601</v>
      </c>
      <c r="C3335" t="s">
        <v>624</v>
      </c>
      <c r="D3335" t="s">
        <v>625</v>
      </c>
      <c r="E3335" s="8">
        <v>800</v>
      </c>
      <c r="F3335" s="8">
        <v>67580</v>
      </c>
      <c r="G3335" s="8">
        <f t="shared" si="208"/>
        <v>54064000</v>
      </c>
      <c r="H3335" s="5">
        <v>0.5519</v>
      </c>
      <c r="I3335" s="8">
        <f t="shared" si="209"/>
        <v>54064000</v>
      </c>
      <c r="J3335" s="8">
        <f t="shared" si="210"/>
        <v>29837921.6</v>
      </c>
      <c r="K3335" t="str">
        <f t="shared" si="211"/>
        <v>MATCHED</v>
      </c>
    </row>
    <row r="3336" spans="1:11">
      <c r="A3336" t="s">
        <v>116</v>
      </c>
      <c r="B3336" t="s">
        <v>1601</v>
      </c>
      <c r="C3336" t="s">
        <v>319</v>
      </c>
      <c r="D3336" t="s">
        <v>320</v>
      </c>
      <c r="E3336" s="8">
        <v>1490</v>
      </c>
      <c r="F3336" s="8">
        <v>110740</v>
      </c>
      <c r="G3336" s="8">
        <f t="shared" si="208"/>
        <v>165002600</v>
      </c>
      <c r="H3336" s="5">
        <v>0.2786</v>
      </c>
      <c r="I3336" s="8">
        <f t="shared" si="209"/>
        <v>165002600</v>
      </c>
      <c r="J3336" s="8">
        <f t="shared" si="210"/>
        <v>45969724.36</v>
      </c>
      <c r="K3336" t="str">
        <f t="shared" si="211"/>
        <v>MATCHED</v>
      </c>
    </row>
    <row r="3337" spans="1:11">
      <c r="A3337" t="s">
        <v>116</v>
      </c>
      <c r="B3337" t="s">
        <v>1601</v>
      </c>
      <c r="C3337" t="s">
        <v>626</v>
      </c>
      <c r="D3337" t="s">
        <v>627</v>
      </c>
      <c r="E3337" s="8">
        <v>70</v>
      </c>
      <c r="F3337" s="8">
        <v>76690</v>
      </c>
      <c r="G3337" s="8">
        <f t="shared" si="208"/>
        <v>5368300</v>
      </c>
      <c r="H3337" s="5">
        <v>0.2712</v>
      </c>
      <c r="I3337" s="8">
        <f t="shared" si="209"/>
        <v>5368300</v>
      </c>
      <c r="J3337" s="8">
        <f t="shared" si="210"/>
        <v>1455882.96</v>
      </c>
      <c r="K3337" t="str">
        <f t="shared" si="211"/>
        <v>MATCHED</v>
      </c>
    </row>
    <row r="3338" spans="1:11">
      <c r="A3338" t="s">
        <v>116</v>
      </c>
      <c r="B3338" t="s">
        <v>1601</v>
      </c>
      <c r="C3338" t="s">
        <v>1464</v>
      </c>
      <c r="D3338" t="s">
        <v>1465</v>
      </c>
      <c r="E3338" s="8">
        <v>90</v>
      </c>
      <c r="F3338" s="8">
        <v>70670</v>
      </c>
      <c r="G3338" s="8">
        <f t="shared" si="208"/>
        <v>6360300</v>
      </c>
      <c r="H3338" s="5">
        <v>0.3176</v>
      </c>
      <c r="I3338" s="8">
        <f t="shared" si="209"/>
        <v>6360300</v>
      </c>
      <c r="J3338" s="8">
        <f t="shared" si="210"/>
        <v>2020031.28</v>
      </c>
      <c r="K3338" t="str">
        <f t="shared" si="211"/>
        <v>MATCHED</v>
      </c>
    </row>
    <row r="3339" spans="1:11">
      <c r="A3339" t="s">
        <v>116</v>
      </c>
      <c r="B3339" t="s">
        <v>1601</v>
      </c>
      <c r="C3339" t="s">
        <v>1466</v>
      </c>
      <c r="D3339" t="s">
        <v>1467</v>
      </c>
      <c r="E3339" s="8">
        <v>520</v>
      </c>
      <c r="F3339" s="8">
        <v>93970</v>
      </c>
      <c r="G3339" s="8">
        <f t="shared" si="208"/>
        <v>48864400</v>
      </c>
      <c r="H3339" s="5">
        <v>0.2618</v>
      </c>
      <c r="I3339" s="8">
        <f t="shared" si="209"/>
        <v>48864400</v>
      </c>
      <c r="J3339" s="8">
        <f t="shared" si="210"/>
        <v>12792699.92</v>
      </c>
      <c r="K3339" t="str">
        <f t="shared" si="211"/>
        <v>MATCHED</v>
      </c>
    </row>
    <row r="3340" spans="1:11">
      <c r="A3340" t="s">
        <v>116</v>
      </c>
      <c r="B3340" t="s">
        <v>1601</v>
      </c>
      <c r="C3340" t="s">
        <v>1608</v>
      </c>
      <c r="D3340" t="s">
        <v>1609</v>
      </c>
      <c r="E3340" s="8">
        <v>1470</v>
      </c>
      <c r="F3340" s="8">
        <v>81600</v>
      </c>
      <c r="G3340" s="8">
        <f t="shared" si="208"/>
        <v>119952000</v>
      </c>
      <c r="H3340" s="5">
        <v>0.1862</v>
      </c>
      <c r="I3340" s="8">
        <f t="shared" si="209"/>
        <v>119952000</v>
      </c>
      <c r="J3340" s="8">
        <f t="shared" si="210"/>
        <v>22335062.4</v>
      </c>
      <c r="K3340" t="str">
        <f t="shared" si="211"/>
        <v>MATCHED</v>
      </c>
    </row>
    <row r="3341" spans="1:11">
      <c r="A3341" t="s">
        <v>116</v>
      </c>
      <c r="B3341" t="s">
        <v>1601</v>
      </c>
      <c r="C3341" t="s">
        <v>1468</v>
      </c>
      <c r="D3341" t="s">
        <v>1469</v>
      </c>
      <c r="E3341" s="8">
        <v>220</v>
      </c>
      <c r="F3341" s="8">
        <v>90300</v>
      </c>
      <c r="G3341" s="8">
        <f t="shared" si="208"/>
        <v>19866000</v>
      </c>
      <c r="H3341" s="5"/>
      <c r="I3341" s="8" t="str">
        <f t="shared" si="209"/>
        <v/>
      </c>
      <c r="J3341" s="8" t="str">
        <f t="shared" si="210"/>
        <v/>
      </c>
      <c r="K3341" t="str">
        <f t="shared" si="211"/>
        <v>MISSING WHARTON</v>
      </c>
    </row>
    <row r="3342" spans="1:11">
      <c r="A3342" t="s">
        <v>116</v>
      </c>
      <c r="B3342" t="s">
        <v>1601</v>
      </c>
      <c r="C3342" t="s">
        <v>1610</v>
      </c>
      <c r="D3342" t="s">
        <v>1611</v>
      </c>
      <c r="E3342" s="8"/>
      <c r="F3342" s="8">
        <v>86690</v>
      </c>
      <c r="G3342" s="8" t="str">
        <f t="shared" si="208"/>
        <v/>
      </c>
      <c r="H3342" s="5">
        <v>0.2457</v>
      </c>
      <c r="I3342" s="8" t="str">
        <f t="shared" si="209"/>
        <v/>
      </c>
      <c r="J3342" s="8" t="str">
        <f t="shared" si="210"/>
        <v/>
      </c>
      <c r="K3342" t="str">
        <f t="shared" si="211"/>
        <v>MISSING OEWS</v>
      </c>
    </row>
    <row r="3343" spans="1:11">
      <c r="A3343" t="s">
        <v>116</v>
      </c>
      <c r="B3343" t="s">
        <v>1601</v>
      </c>
      <c r="C3343" t="s">
        <v>1417</v>
      </c>
      <c r="D3343" t="s">
        <v>1418</v>
      </c>
      <c r="E3343" s="8">
        <v>6070</v>
      </c>
      <c r="F3343" s="8">
        <v>77160</v>
      </c>
      <c r="G3343" s="8">
        <f t="shared" si="208"/>
        <v>468361200</v>
      </c>
      <c r="H3343" s="5">
        <v>0.2206</v>
      </c>
      <c r="I3343" s="8">
        <f t="shared" si="209"/>
        <v>468361200</v>
      </c>
      <c r="J3343" s="8">
        <f t="shared" si="210"/>
        <v>103320480.72</v>
      </c>
      <c r="K3343" t="str">
        <f t="shared" si="211"/>
        <v>MATCHED</v>
      </c>
    </row>
    <row r="3344" spans="1:11">
      <c r="A3344" t="s">
        <v>116</v>
      </c>
      <c r="B3344" t="s">
        <v>1601</v>
      </c>
      <c r="C3344" t="s">
        <v>1612</v>
      </c>
      <c r="D3344" t="s">
        <v>1613</v>
      </c>
      <c r="E3344" s="8">
        <v>550</v>
      </c>
      <c r="F3344" s="8">
        <v>90790</v>
      </c>
      <c r="G3344" s="8">
        <f t="shared" si="208"/>
        <v>49934500</v>
      </c>
      <c r="H3344" s="5">
        <v>0.1615</v>
      </c>
      <c r="I3344" s="8">
        <f t="shared" si="209"/>
        <v>49934500</v>
      </c>
      <c r="J3344" s="8">
        <f t="shared" si="210"/>
        <v>8064421.75</v>
      </c>
      <c r="K3344" t="str">
        <f t="shared" si="211"/>
        <v>MATCHED</v>
      </c>
    </row>
    <row r="3345" spans="1:11">
      <c r="A3345" t="s">
        <v>116</v>
      </c>
      <c r="B3345" t="s">
        <v>1601</v>
      </c>
      <c r="C3345" t="s">
        <v>1614</v>
      </c>
      <c r="D3345" t="s">
        <v>1615</v>
      </c>
      <c r="E3345" s="8">
        <v>150</v>
      </c>
      <c r="F3345" s="8">
        <v>71470</v>
      </c>
      <c r="G3345" s="8">
        <f t="shared" si="208"/>
        <v>10720500</v>
      </c>
      <c r="H3345" s="5"/>
      <c r="I3345" s="8" t="str">
        <f t="shared" si="209"/>
        <v/>
      </c>
      <c r="J3345" s="8" t="str">
        <f t="shared" si="210"/>
        <v/>
      </c>
      <c r="K3345" t="str">
        <f t="shared" si="211"/>
        <v>MISSING WHARTON</v>
      </c>
    </row>
    <row r="3346" spans="1:11">
      <c r="A3346" t="s">
        <v>116</v>
      </c>
      <c r="B3346" t="s">
        <v>1601</v>
      </c>
      <c r="C3346" t="s">
        <v>1419</v>
      </c>
      <c r="D3346" t="s">
        <v>1420</v>
      </c>
      <c r="E3346" s="8">
        <v>3020</v>
      </c>
      <c r="F3346" s="8">
        <v>62790</v>
      </c>
      <c r="G3346" s="8">
        <f t="shared" si="208"/>
        <v>189625800</v>
      </c>
      <c r="H3346" s="5">
        <v>0.5875</v>
      </c>
      <c r="I3346" s="8">
        <f t="shared" si="209"/>
        <v>189625800</v>
      </c>
      <c r="J3346" s="8">
        <f t="shared" si="210"/>
        <v>111405157.5</v>
      </c>
      <c r="K3346" t="str">
        <f t="shared" si="211"/>
        <v>MATCHED</v>
      </c>
    </row>
    <row r="3347" spans="1:11">
      <c r="A3347" t="s">
        <v>116</v>
      </c>
      <c r="B3347" t="s">
        <v>1601</v>
      </c>
      <c r="C3347" t="s">
        <v>940</v>
      </c>
      <c r="D3347" t="s">
        <v>941</v>
      </c>
      <c r="E3347" s="8">
        <v>4750</v>
      </c>
      <c r="F3347" s="8">
        <v>64320</v>
      </c>
      <c r="G3347" s="8">
        <f t="shared" si="208"/>
        <v>305520000</v>
      </c>
      <c r="H3347" s="5">
        <v>0.4</v>
      </c>
      <c r="I3347" s="8">
        <f t="shared" si="209"/>
        <v>305520000</v>
      </c>
      <c r="J3347" s="8">
        <f t="shared" si="210"/>
        <v>122208000</v>
      </c>
      <c r="K3347" t="str">
        <f t="shared" si="211"/>
        <v>MATCHED</v>
      </c>
    </row>
    <row r="3348" spans="1:11">
      <c r="A3348" t="s">
        <v>116</v>
      </c>
      <c r="B3348" t="s">
        <v>1601</v>
      </c>
      <c r="C3348" t="s">
        <v>1569</v>
      </c>
      <c r="D3348" t="s">
        <v>1570</v>
      </c>
      <c r="E3348" s="8">
        <v>1920</v>
      </c>
      <c r="F3348" s="8">
        <v>60310</v>
      </c>
      <c r="G3348" s="8">
        <f t="shared" si="208"/>
        <v>115795200</v>
      </c>
      <c r="H3348" s="5">
        <v>0.2672</v>
      </c>
      <c r="I3348" s="8">
        <f t="shared" si="209"/>
        <v>115795200</v>
      </c>
      <c r="J3348" s="8">
        <f t="shared" si="210"/>
        <v>30940477.44</v>
      </c>
      <c r="K3348" t="str">
        <f t="shared" si="211"/>
        <v>MATCHED</v>
      </c>
    </row>
    <row r="3349" spans="1:11">
      <c r="A3349" t="s">
        <v>116</v>
      </c>
      <c r="B3349" t="s">
        <v>1601</v>
      </c>
      <c r="C3349" t="s">
        <v>942</v>
      </c>
      <c r="D3349" t="s">
        <v>943</v>
      </c>
      <c r="E3349" s="8">
        <v>400</v>
      </c>
      <c r="F3349" s="8">
        <v>69760</v>
      </c>
      <c r="G3349" s="8">
        <f t="shared" si="208"/>
        <v>27904000</v>
      </c>
      <c r="H3349" s="5"/>
      <c r="I3349" s="8" t="str">
        <f t="shared" si="209"/>
        <v/>
      </c>
      <c r="J3349" s="8" t="str">
        <f t="shared" si="210"/>
        <v/>
      </c>
      <c r="K3349" t="str">
        <f t="shared" si="211"/>
        <v>MISSING WHARTON</v>
      </c>
    </row>
    <row r="3350" spans="1:11">
      <c r="A3350" t="s">
        <v>116</v>
      </c>
      <c r="B3350" t="s">
        <v>1601</v>
      </c>
      <c r="C3350" t="s">
        <v>628</v>
      </c>
      <c r="D3350" t="s">
        <v>629</v>
      </c>
      <c r="E3350" s="8">
        <v>34410</v>
      </c>
      <c r="F3350" s="8">
        <v>216700</v>
      </c>
      <c r="G3350" s="8">
        <f t="shared" si="208"/>
        <v>7456647000</v>
      </c>
      <c r="H3350" s="5">
        <v>0.45</v>
      </c>
      <c r="I3350" s="8">
        <f t="shared" si="209"/>
        <v>7456647000</v>
      </c>
      <c r="J3350" s="8">
        <f t="shared" si="210"/>
        <v>3355491150</v>
      </c>
      <c r="K3350" t="str">
        <f t="shared" si="211"/>
        <v>MATCHED</v>
      </c>
    </row>
    <row r="3351" spans="1:11">
      <c r="A3351" t="s">
        <v>116</v>
      </c>
      <c r="B3351" t="s">
        <v>1601</v>
      </c>
      <c r="C3351" t="s">
        <v>1421</v>
      </c>
      <c r="D3351" t="s">
        <v>1422</v>
      </c>
      <c r="E3351" s="8">
        <v>240</v>
      </c>
      <c r="F3351" s="8">
        <v>71170</v>
      </c>
      <c r="G3351" s="8">
        <f t="shared" si="208"/>
        <v>17080800</v>
      </c>
      <c r="H3351" s="5">
        <v>0.4375</v>
      </c>
      <c r="I3351" s="8">
        <f t="shared" si="209"/>
        <v>17080800</v>
      </c>
      <c r="J3351" s="8">
        <f t="shared" si="210"/>
        <v>7472850</v>
      </c>
      <c r="K3351" t="str">
        <f t="shared" si="211"/>
        <v>MATCHED</v>
      </c>
    </row>
    <row r="3352" spans="1:11">
      <c r="A3352" t="s">
        <v>116</v>
      </c>
      <c r="B3352" t="s">
        <v>1601</v>
      </c>
      <c r="C3352" t="s">
        <v>630</v>
      </c>
      <c r="D3352" t="s">
        <v>631</v>
      </c>
      <c r="E3352" s="8">
        <v>11030</v>
      </c>
      <c r="F3352" s="8">
        <v>83240</v>
      </c>
      <c r="G3352" s="8">
        <f t="shared" si="208"/>
        <v>918137200</v>
      </c>
      <c r="H3352" s="5">
        <v>0.5917</v>
      </c>
      <c r="I3352" s="8">
        <f t="shared" si="209"/>
        <v>918137200</v>
      </c>
      <c r="J3352" s="8">
        <f t="shared" si="210"/>
        <v>543261781.24</v>
      </c>
      <c r="K3352" t="str">
        <f t="shared" si="211"/>
        <v>MATCHED</v>
      </c>
    </row>
    <row r="3353" spans="1:11">
      <c r="A3353" t="s">
        <v>116</v>
      </c>
      <c r="B3353" t="s">
        <v>1601</v>
      </c>
      <c r="C3353" t="s">
        <v>632</v>
      </c>
      <c r="D3353" t="s">
        <v>633</v>
      </c>
      <c r="E3353" s="8">
        <v>15970</v>
      </c>
      <c r="F3353" s="8">
        <v>66470</v>
      </c>
      <c r="G3353" s="8">
        <f t="shared" si="208"/>
        <v>1061525900</v>
      </c>
      <c r="H3353" s="5">
        <v>0.8794</v>
      </c>
      <c r="I3353" s="8">
        <f t="shared" si="209"/>
        <v>1061525900</v>
      </c>
      <c r="J3353" s="8">
        <f t="shared" si="210"/>
        <v>933505876.46</v>
      </c>
      <c r="K3353" t="str">
        <f t="shared" si="211"/>
        <v>MATCHED</v>
      </c>
    </row>
    <row r="3354" spans="1:11">
      <c r="A3354" t="s">
        <v>116</v>
      </c>
      <c r="B3354" t="s">
        <v>1601</v>
      </c>
      <c r="C3354" t="s">
        <v>634</v>
      </c>
      <c r="D3354" t="s">
        <v>635</v>
      </c>
      <c r="E3354" s="8">
        <v>1160</v>
      </c>
      <c r="F3354" s="8">
        <v>79490</v>
      </c>
      <c r="G3354" s="8">
        <f t="shared" si="208"/>
        <v>92208400</v>
      </c>
      <c r="H3354" s="5"/>
      <c r="I3354" s="8" t="str">
        <f t="shared" si="209"/>
        <v/>
      </c>
      <c r="J3354" s="8" t="str">
        <f t="shared" si="210"/>
        <v/>
      </c>
      <c r="K3354" t="str">
        <f t="shared" si="211"/>
        <v>MISSING WHARTON</v>
      </c>
    </row>
    <row r="3355" spans="1:11">
      <c r="A3355" t="s">
        <v>116</v>
      </c>
      <c r="B3355" t="s">
        <v>1601</v>
      </c>
      <c r="C3355" t="s">
        <v>1515</v>
      </c>
      <c r="D3355" t="s">
        <v>1516</v>
      </c>
      <c r="E3355" s="8"/>
      <c r="F3355" s="8">
        <v>124250</v>
      </c>
      <c r="G3355" s="8" t="str">
        <f t="shared" si="208"/>
        <v/>
      </c>
      <c r="H3355" s="5">
        <v>0.3875</v>
      </c>
      <c r="I3355" s="8" t="str">
        <f t="shared" si="209"/>
        <v/>
      </c>
      <c r="J3355" s="8" t="str">
        <f t="shared" si="210"/>
        <v/>
      </c>
      <c r="K3355" t="str">
        <f t="shared" si="211"/>
        <v>MISSING OEWS</v>
      </c>
    </row>
    <row r="3356" spans="1:11">
      <c r="A3356" t="s">
        <v>116</v>
      </c>
      <c r="B3356" t="s">
        <v>1601</v>
      </c>
      <c r="C3356" t="s">
        <v>1517</v>
      </c>
      <c r="D3356" t="s">
        <v>1518</v>
      </c>
      <c r="E3356" s="8"/>
      <c r="F3356" s="8">
        <v>53270</v>
      </c>
      <c r="G3356" s="8" t="str">
        <f t="shared" si="208"/>
        <v/>
      </c>
      <c r="H3356" s="5"/>
      <c r="I3356" s="8" t="str">
        <f t="shared" si="209"/>
        <v/>
      </c>
      <c r="J3356" s="8" t="str">
        <f t="shared" si="210"/>
        <v/>
      </c>
      <c r="K3356" t="str">
        <f t="shared" si="211"/>
        <v>MISSING OEWS</v>
      </c>
    </row>
    <row r="3357" spans="1:11">
      <c r="A3357" t="s">
        <v>116</v>
      </c>
      <c r="B3357" t="s">
        <v>1601</v>
      </c>
      <c r="C3357" t="s">
        <v>1184</v>
      </c>
      <c r="D3357" t="s">
        <v>1185</v>
      </c>
      <c r="E3357" s="8">
        <v>30</v>
      </c>
      <c r="F3357" s="8">
        <v>66960</v>
      </c>
      <c r="G3357" s="8">
        <f t="shared" si="208"/>
        <v>2008800</v>
      </c>
      <c r="H3357" s="5">
        <v>0.4167</v>
      </c>
      <c r="I3357" s="8">
        <f t="shared" si="209"/>
        <v>2008800</v>
      </c>
      <c r="J3357" s="8">
        <f t="shared" si="210"/>
        <v>837066.96</v>
      </c>
      <c r="K3357" t="str">
        <f t="shared" si="211"/>
        <v>MATCHED</v>
      </c>
    </row>
    <row r="3358" spans="1:11">
      <c r="A3358" t="s">
        <v>116</v>
      </c>
      <c r="B3358" t="s">
        <v>1601</v>
      </c>
      <c r="C3358" t="s">
        <v>944</v>
      </c>
      <c r="D3358" t="s">
        <v>945</v>
      </c>
      <c r="E3358" s="8">
        <v>340</v>
      </c>
      <c r="F3358" s="8">
        <v>91610</v>
      </c>
      <c r="G3358" s="8">
        <f t="shared" si="208"/>
        <v>31147400</v>
      </c>
      <c r="H3358" s="5">
        <v>0.5783</v>
      </c>
      <c r="I3358" s="8">
        <f t="shared" si="209"/>
        <v>31147400</v>
      </c>
      <c r="J3358" s="8">
        <f t="shared" si="210"/>
        <v>18012541.42</v>
      </c>
      <c r="K3358" t="str">
        <f t="shared" si="211"/>
        <v>MATCHED</v>
      </c>
    </row>
    <row r="3359" spans="1:11">
      <c r="A3359" t="s">
        <v>116</v>
      </c>
      <c r="B3359" t="s">
        <v>1601</v>
      </c>
      <c r="C3359" t="s">
        <v>946</v>
      </c>
      <c r="D3359" t="s">
        <v>947</v>
      </c>
      <c r="E3359" s="8">
        <v>550</v>
      </c>
      <c r="F3359" s="8">
        <v>149770</v>
      </c>
      <c r="G3359" s="8">
        <f t="shared" si="208"/>
        <v>82373500</v>
      </c>
      <c r="H3359" s="5">
        <v>0.3688</v>
      </c>
      <c r="I3359" s="8">
        <f t="shared" si="209"/>
        <v>82373500</v>
      </c>
      <c r="J3359" s="8">
        <f t="shared" si="210"/>
        <v>30379346.8</v>
      </c>
      <c r="K3359" t="str">
        <f t="shared" si="211"/>
        <v>MATCHED</v>
      </c>
    </row>
    <row r="3360" spans="1:11">
      <c r="A3360" t="s">
        <v>116</v>
      </c>
      <c r="B3360" t="s">
        <v>1601</v>
      </c>
      <c r="C3360" t="s">
        <v>1188</v>
      </c>
      <c r="D3360" t="s">
        <v>1189</v>
      </c>
      <c r="E3360" s="8">
        <v>30</v>
      </c>
      <c r="F3360" s="8">
        <v>101790</v>
      </c>
      <c r="G3360" s="8">
        <f t="shared" si="208"/>
        <v>3053700</v>
      </c>
      <c r="H3360" s="5">
        <v>0.7071</v>
      </c>
      <c r="I3360" s="8">
        <f t="shared" si="209"/>
        <v>3053700</v>
      </c>
      <c r="J3360" s="8">
        <f t="shared" si="210"/>
        <v>2159271.27</v>
      </c>
      <c r="K3360" t="str">
        <f t="shared" si="211"/>
        <v>MATCHED</v>
      </c>
    </row>
    <row r="3361" spans="1:11">
      <c r="A3361" t="s">
        <v>116</v>
      </c>
      <c r="B3361" t="s">
        <v>1601</v>
      </c>
      <c r="C3361" t="s">
        <v>952</v>
      </c>
      <c r="D3361" t="s">
        <v>953</v>
      </c>
      <c r="E3361" s="8">
        <v>40</v>
      </c>
      <c r="F3361" s="8">
        <v>113080</v>
      </c>
      <c r="G3361" s="8">
        <f t="shared" si="208"/>
        <v>4523200</v>
      </c>
      <c r="H3361" s="5">
        <v>0.3029</v>
      </c>
      <c r="I3361" s="8">
        <f t="shared" si="209"/>
        <v>4523200</v>
      </c>
      <c r="J3361" s="8">
        <f t="shared" si="210"/>
        <v>1370077.28</v>
      </c>
      <c r="K3361" t="str">
        <f t="shared" si="211"/>
        <v>MATCHED</v>
      </c>
    </row>
    <row r="3362" spans="1:11">
      <c r="A3362" t="s">
        <v>116</v>
      </c>
      <c r="B3362" t="s">
        <v>1601</v>
      </c>
      <c r="C3362" t="s">
        <v>858</v>
      </c>
      <c r="D3362" t="s">
        <v>859</v>
      </c>
      <c r="E3362" s="8">
        <v>3820</v>
      </c>
      <c r="F3362" s="8">
        <v>82770</v>
      </c>
      <c r="G3362" s="8">
        <f t="shared" si="208"/>
        <v>316181400</v>
      </c>
      <c r="H3362" s="5">
        <v>0.7375</v>
      </c>
      <c r="I3362" s="8">
        <f t="shared" si="209"/>
        <v>316181400</v>
      </c>
      <c r="J3362" s="8">
        <f t="shared" si="210"/>
        <v>233183782.5</v>
      </c>
      <c r="K3362" t="str">
        <f t="shared" si="211"/>
        <v>MATCHED</v>
      </c>
    </row>
    <row r="3363" spans="1:11">
      <c r="A3363" t="s">
        <v>116</v>
      </c>
      <c r="B3363" t="s">
        <v>1601</v>
      </c>
      <c r="C3363" t="s">
        <v>954</v>
      </c>
      <c r="D3363" t="s">
        <v>955</v>
      </c>
      <c r="E3363" s="8">
        <v>40</v>
      </c>
      <c r="F3363" s="8">
        <v>104350</v>
      </c>
      <c r="G3363" s="8">
        <f t="shared" si="208"/>
        <v>4174000</v>
      </c>
      <c r="H3363" s="5">
        <v>0.3133</v>
      </c>
      <c r="I3363" s="8">
        <f t="shared" si="209"/>
        <v>4174000</v>
      </c>
      <c r="J3363" s="8">
        <f t="shared" si="210"/>
        <v>1307714.2</v>
      </c>
      <c r="K3363" t="str">
        <f t="shared" si="211"/>
        <v>MATCHED</v>
      </c>
    </row>
    <row r="3364" spans="1:11">
      <c r="A3364" t="s">
        <v>116</v>
      </c>
      <c r="B3364" t="s">
        <v>1601</v>
      </c>
      <c r="C3364" t="s">
        <v>960</v>
      </c>
      <c r="D3364" t="s">
        <v>961</v>
      </c>
      <c r="E3364" s="8">
        <v>280</v>
      </c>
      <c r="F3364" s="8">
        <v>108370</v>
      </c>
      <c r="G3364" s="8">
        <f t="shared" si="208"/>
        <v>30343600</v>
      </c>
      <c r="H3364" s="5">
        <v>0.3463</v>
      </c>
      <c r="I3364" s="8">
        <f t="shared" si="209"/>
        <v>30343600</v>
      </c>
      <c r="J3364" s="8">
        <f t="shared" si="210"/>
        <v>10507988.68</v>
      </c>
      <c r="K3364" t="str">
        <f t="shared" si="211"/>
        <v>MATCHED</v>
      </c>
    </row>
    <row r="3365" spans="1:11">
      <c r="A3365" t="s">
        <v>116</v>
      </c>
      <c r="B3365" t="s">
        <v>1601</v>
      </c>
      <c r="C3365" t="s">
        <v>323</v>
      </c>
      <c r="D3365" t="s">
        <v>324</v>
      </c>
      <c r="E3365" s="8">
        <v>13630</v>
      </c>
      <c r="F3365" s="8">
        <v>102810</v>
      </c>
      <c r="G3365" s="8">
        <f t="shared" si="208"/>
        <v>1401300300</v>
      </c>
      <c r="H3365" s="5">
        <v>0.575</v>
      </c>
      <c r="I3365" s="8">
        <f t="shared" si="209"/>
        <v>1401300300</v>
      </c>
      <c r="J3365" s="8">
        <f t="shared" si="210"/>
        <v>805747672.5</v>
      </c>
      <c r="K3365" t="str">
        <f t="shared" si="211"/>
        <v>MATCHED</v>
      </c>
    </row>
    <row r="3366" spans="1:11">
      <c r="A3366" t="s">
        <v>116</v>
      </c>
      <c r="B3366" t="s">
        <v>1601</v>
      </c>
      <c r="C3366" t="s">
        <v>1200</v>
      </c>
      <c r="D3366" t="s">
        <v>1201</v>
      </c>
      <c r="E3366" s="8">
        <v>1520</v>
      </c>
      <c r="F3366" s="8">
        <v>75030</v>
      </c>
      <c r="G3366" s="8">
        <f t="shared" si="208"/>
        <v>114045600</v>
      </c>
      <c r="H3366" s="5">
        <v>0.6643</v>
      </c>
      <c r="I3366" s="8">
        <f t="shared" si="209"/>
        <v>114045600</v>
      </c>
      <c r="J3366" s="8">
        <f t="shared" si="210"/>
        <v>75760492.08</v>
      </c>
      <c r="K3366" t="str">
        <f t="shared" si="211"/>
        <v>MATCHED</v>
      </c>
    </row>
    <row r="3367" spans="1:11">
      <c r="A3367" t="s">
        <v>116</v>
      </c>
      <c r="B3367" t="s">
        <v>1601</v>
      </c>
      <c r="C3367" t="s">
        <v>636</v>
      </c>
      <c r="D3367" t="s">
        <v>637</v>
      </c>
      <c r="E3367" s="8">
        <v>1760</v>
      </c>
      <c r="F3367" s="8">
        <v>90840</v>
      </c>
      <c r="G3367" s="8">
        <f t="shared" si="208"/>
        <v>159878400</v>
      </c>
      <c r="H3367" s="5">
        <v>0.71</v>
      </c>
      <c r="I3367" s="8">
        <f t="shared" si="209"/>
        <v>159878400</v>
      </c>
      <c r="J3367" s="8">
        <f t="shared" si="210"/>
        <v>113513664</v>
      </c>
      <c r="K3367" t="str">
        <f t="shared" si="211"/>
        <v>MATCHED</v>
      </c>
    </row>
    <row r="3368" spans="1:11">
      <c r="A3368" t="s">
        <v>116</v>
      </c>
      <c r="B3368" t="s">
        <v>1601</v>
      </c>
      <c r="C3368" t="s">
        <v>860</v>
      </c>
      <c r="D3368" t="s">
        <v>861</v>
      </c>
      <c r="E3368" s="8">
        <v>1190</v>
      </c>
      <c r="F3368" s="8">
        <v>97910</v>
      </c>
      <c r="G3368" s="8">
        <f t="shared" si="208"/>
        <v>116512900</v>
      </c>
      <c r="H3368" s="5">
        <v>0.7744</v>
      </c>
      <c r="I3368" s="8">
        <f t="shared" si="209"/>
        <v>116512900</v>
      </c>
      <c r="J3368" s="8">
        <f t="shared" si="210"/>
        <v>90227589.76</v>
      </c>
      <c r="K3368" t="str">
        <f t="shared" si="211"/>
        <v>MATCHED</v>
      </c>
    </row>
    <row r="3369" spans="1:11">
      <c r="A3369" t="s">
        <v>116</v>
      </c>
      <c r="B3369" t="s">
        <v>1601</v>
      </c>
      <c r="C3369" t="s">
        <v>1202</v>
      </c>
      <c r="D3369" t="s">
        <v>1203</v>
      </c>
      <c r="E3369" s="8">
        <v>250</v>
      </c>
      <c r="F3369" s="8">
        <v>65530</v>
      </c>
      <c r="G3369" s="8">
        <f t="shared" si="208"/>
        <v>16382500</v>
      </c>
      <c r="H3369" s="5">
        <v>0.6294</v>
      </c>
      <c r="I3369" s="8">
        <f t="shared" si="209"/>
        <v>16382500</v>
      </c>
      <c r="J3369" s="8">
        <f t="shared" si="210"/>
        <v>10311145.5</v>
      </c>
      <c r="K3369" t="str">
        <f t="shared" si="211"/>
        <v>MATCHED</v>
      </c>
    </row>
    <row r="3370" spans="1:11">
      <c r="A3370" t="s">
        <v>116</v>
      </c>
      <c r="B3370" t="s">
        <v>1601</v>
      </c>
      <c r="C3370" t="s">
        <v>1204</v>
      </c>
      <c r="D3370" t="s">
        <v>1205</v>
      </c>
      <c r="E3370" s="8">
        <v>80</v>
      </c>
      <c r="F3370" s="8">
        <v>80930</v>
      </c>
      <c r="G3370" s="8">
        <f t="shared" si="208"/>
        <v>6474400</v>
      </c>
      <c r="H3370" s="5"/>
      <c r="I3370" s="8" t="str">
        <f t="shared" si="209"/>
        <v/>
      </c>
      <c r="J3370" s="8" t="str">
        <f t="shared" si="210"/>
        <v/>
      </c>
      <c r="K3370" t="str">
        <f t="shared" si="211"/>
        <v>MISSING WHARTON</v>
      </c>
    </row>
    <row r="3371" spans="1:11">
      <c r="A3371" t="s">
        <v>116</v>
      </c>
      <c r="B3371" t="s">
        <v>1601</v>
      </c>
      <c r="C3371" t="s">
        <v>962</v>
      </c>
      <c r="D3371" t="s">
        <v>963</v>
      </c>
      <c r="E3371" s="8">
        <v>250</v>
      </c>
      <c r="F3371" s="8">
        <v>86630</v>
      </c>
      <c r="G3371" s="8">
        <f t="shared" si="208"/>
        <v>21657500</v>
      </c>
      <c r="H3371" s="5">
        <v>0.5483</v>
      </c>
      <c r="I3371" s="8">
        <f t="shared" si="209"/>
        <v>21657500</v>
      </c>
      <c r="J3371" s="8">
        <f t="shared" si="210"/>
        <v>11874807.25</v>
      </c>
      <c r="K3371" t="str">
        <f t="shared" si="211"/>
        <v>MATCHED</v>
      </c>
    </row>
    <row r="3372" spans="1:11">
      <c r="A3372" t="s">
        <v>116</v>
      </c>
      <c r="B3372" t="s">
        <v>1601</v>
      </c>
      <c r="C3372" t="s">
        <v>968</v>
      </c>
      <c r="D3372" t="s">
        <v>969</v>
      </c>
      <c r="E3372" s="8"/>
      <c r="F3372" s="8">
        <v>48580</v>
      </c>
      <c r="G3372" s="8" t="str">
        <f t="shared" si="208"/>
        <v/>
      </c>
      <c r="H3372" s="5">
        <v>0.3207</v>
      </c>
      <c r="I3372" s="8" t="str">
        <f t="shared" si="209"/>
        <v/>
      </c>
      <c r="J3372" s="8" t="str">
        <f t="shared" si="210"/>
        <v/>
      </c>
      <c r="K3372" t="str">
        <f t="shared" si="211"/>
        <v>MISSING OEWS</v>
      </c>
    </row>
    <row r="3373" spans="1:11">
      <c r="A3373" t="s">
        <v>116</v>
      </c>
      <c r="B3373" t="s">
        <v>1601</v>
      </c>
      <c r="C3373" t="s">
        <v>970</v>
      </c>
      <c r="D3373" t="s">
        <v>971</v>
      </c>
      <c r="E3373" s="8">
        <v>100</v>
      </c>
      <c r="F3373" s="8">
        <v>75600</v>
      </c>
      <c r="G3373" s="8">
        <f t="shared" si="208"/>
        <v>7560000</v>
      </c>
      <c r="H3373" s="5">
        <v>0.3458</v>
      </c>
      <c r="I3373" s="8">
        <f t="shared" si="209"/>
        <v>7560000</v>
      </c>
      <c r="J3373" s="8">
        <f t="shared" si="210"/>
        <v>2614248</v>
      </c>
      <c r="K3373" t="str">
        <f t="shared" si="211"/>
        <v>MATCHED</v>
      </c>
    </row>
    <row r="3374" spans="1:11">
      <c r="A3374" t="s">
        <v>116</v>
      </c>
      <c r="B3374" t="s">
        <v>1601</v>
      </c>
      <c r="C3374" t="s">
        <v>1206</v>
      </c>
      <c r="D3374" t="s">
        <v>1207</v>
      </c>
      <c r="E3374" s="8">
        <v>90</v>
      </c>
      <c r="F3374" s="8">
        <v>85910</v>
      </c>
      <c r="G3374" s="8">
        <f t="shared" si="208"/>
        <v>7731900</v>
      </c>
      <c r="H3374" s="5">
        <v>0.6065</v>
      </c>
      <c r="I3374" s="8">
        <f t="shared" si="209"/>
        <v>7731900</v>
      </c>
      <c r="J3374" s="8">
        <f t="shared" si="210"/>
        <v>4689397.35</v>
      </c>
      <c r="K3374" t="str">
        <f t="shared" si="211"/>
        <v>MATCHED</v>
      </c>
    </row>
    <row r="3375" spans="1:11">
      <c r="A3375" t="s">
        <v>116</v>
      </c>
      <c r="B3375" t="s">
        <v>1601</v>
      </c>
      <c r="C3375" t="s">
        <v>1208</v>
      </c>
      <c r="D3375" t="s">
        <v>1209</v>
      </c>
      <c r="E3375" s="8">
        <v>140</v>
      </c>
      <c r="F3375" s="8">
        <v>173760</v>
      </c>
      <c r="G3375" s="8">
        <f t="shared" si="208"/>
        <v>24326400</v>
      </c>
      <c r="H3375" s="5">
        <v>0.07</v>
      </c>
      <c r="I3375" s="8">
        <f t="shared" si="209"/>
        <v>24326400</v>
      </c>
      <c r="J3375" s="8">
        <f t="shared" si="210"/>
        <v>1702848</v>
      </c>
      <c r="K3375" t="str">
        <f t="shared" si="211"/>
        <v>MATCHED</v>
      </c>
    </row>
    <row r="3376" spans="1:11">
      <c r="A3376" t="s">
        <v>116</v>
      </c>
      <c r="B3376" t="s">
        <v>1601</v>
      </c>
      <c r="C3376" t="s">
        <v>1212</v>
      </c>
      <c r="D3376" t="s">
        <v>1213</v>
      </c>
      <c r="E3376" s="8">
        <v>150</v>
      </c>
      <c r="F3376" s="8">
        <v>83050</v>
      </c>
      <c r="G3376" s="8">
        <f t="shared" si="208"/>
        <v>12457500</v>
      </c>
      <c r="H3376" s="5">
        <v>0.4679</v>
      </c>
      <c r="I3376" s="8">
        <f t="shared" si="209"/>
        <v>12457500</v>
      </c>
      <c r="J3376" s="8">
        <f t="shared" si="210"/>
        <v>5828864.25</v>
      </c>
      <c r="K3376" t="str">
        <f t="shared" si="211"/>
        <v>MATCHED</v>
      </c>
    </row>
    <row r="3377" spans="1:11">
      <c r="A3377" t="s">
        <v>116</v>
      </c>
      <c r="B3377" t="s">
        <v>1601</v>
      </c>
      <c r="C3377" t="s">
        <v>1214</v>
      </c>
      <c r="D3377" t="s">
        <v>1215</v>
      </c>
      <c r="E3377" s="8">
        <v>7190</v>
      </c>
      <c r="F3377" s="8">
        <v>140200</v>
      </c>
      <c r="G3377" s="8">
        <f t="shared" si="208"/>
        <v>1008038000</v>
      </c>
      <c r="H3377" s="5">
        <v>0.4381</v>
      </c>
      <c r="I3377" s="8">
        <f t="shared" si="209"/>
        <v>1008038000</v>
      </c>
      <c r="J3377" s="8">
        <f t="shared" si="210"/>
        <v>441621447.8</v>
      </c>
      <c r="K3377" t="str">
        <f t="shared" si="211"/>
        <v>MATCHED</v>
      </c>
    </row>
    <row r="3378" spans="1:11">
      <c r="A3378" t="s">
        <v>116</v>
      </c>
      <c r="B3378" t="s">
        <v>1601</v>
      </c>
      <c r="C3378" t="s">
        <v>638</v>
      </c>
      <c r="D3378" t="s">
        <v>639</v>
      </c>
      <c r="E3378" s="8">
        <v>50</v>
      </c>
      <c r="F3378" s="8">
        <v>142150</v>
      </c>
      <c r="G3378" s="8">
        <f t="shared" si="208"/>
        <v>7107500</v>
      </c>
      <c r="H3378" s="5">
        <v>0.1495</v>
      </c>
      <c r="I3378" s="8">
        <f t="shared" si="209"/>
        <v>7107500</v>
      </c>
      <c r="J3378" s="8">
        <f t="shared" si="210"/>
        <v>1062571.25</v>
      </c>
      <c r="K3378" t="str">
        <f t="shared" si="211"/>
        <v>MATCHED</v>
      </c>
    </row>
    <row r="3379" spans="1:11">
      <c r="A3379" t="s">
        <v>116</v>
      </c>
      <c r="B3379" t="s">
        <v>1601</v>
      </c>
      <c r="C3379" t="s">
        <v>1616</v>
      </c>
      <c r="D3379" t="s">
        <v>1617</v>
      </c>
      <c r="E3379" s="8">
        <v>40</v>
      </c>
      <c r="F3379" s="8">
        <v>105100</v>
      </c>
      <c r="G3379" s="8">
        <f t="shared" si="208"/>
        <v>4204000</v>
      </c>
      <c r="H3379" s="5">
        <v>0.1829</v>
      </c>
      <c r="I3379" s="8">
        <f t="shared" si="209"/>
        <v>4204000</v>
      </c>
      <c r="J3379" s="8">
        <f t="shared" si="210"/>
        <v>768911.6</v>
      </c>
      <c r="K3379" t="str">
        <f t="shared" si="211"/>
        <v>MATCHED</v>
      </c>
    </row>
    <row r="3380" spans="1:11">
      <c r="A3380" t="s">
        <v>116</v>
      </c>
      <c r="B3380" t="s">
        <v>1601</v>
      </c>
      <c r="C3380" t="s">
        <v>1583</v>
      </c>
      <c r="D3380" t="s">
        <v>1584</v>
      </c>
      <c r="E3380" s="8">
        <v>60</v>
      </c>
      <c r="F3380" s="8">
        <v>103080</v>
      </c>
      <c r="G3380" s="8">
        <f t="shared" si="208"/>
        <v>6184800</v>
      </c>
      <c r="H3380" s="5">
        <v>0.1958</v>
      </c>
      <c r="I3380" s="8">
        <f t="shared" si="209"/>
        <v>6184800</v>
      </c>
      <c r="J3380" s="8">
        <f t="shared" si="210"/>
        <v>1210983.84</v>
      </c>
      <c r="K3380" t="str">
        <f t="shared" si="211"/>
        <v>MATCHED</v>
      </c>
    </row>
    <row r="3381" spans="1:11">
      <c r="A3381" t="s">
        <v>116</v>
      </c>
      <c r="B3381" t="s">
        <v>1601</v>
      </c>
      <c r="C3381" t="s">
        <v>1618</v>
      </c>
      <c r="D3381" t="s">
        <v>1619</v>
      </c>
      <c r="E3381" s="8">
        <v>150</v>
      </c>
      <c r="F3381" s="8">
        <v>137450</v>
      </c>
      <c r="G3381" s="8">
        <f t="shared" si="208"/>
        <v>20617500</v>
      </c>
      <c r="H3381" s="5">
        <v>0.1775</v>
      </c>
      <c r="I3381" s="8">
        <f t="shared" si="209"/>
        <v>20617500</v>
      </c>
      <c r="J3381" s="8">
        <f t="shared" si="210"/>
        <v>3659606.25</v>
      </c>
      <c r="K3381" t="str">
        <f t="shared" si="211"/>
        <v>MATCHED</v>
      </c>
    </row>
    <row r="3382" spans="1:11">
      <c r="A3382" t="s">
        <v>116</v>
      </c>
      <c r="B3382" t="s">
        <v>1601</v>
      </c>
      <c r="C3382" t="s">
        <v>862</v>
      </c>
      <c r="D3382" t="s">
        <v>863</v>
      </c>
      <c r="E3382" s="8">
        <v>54500</v>
      </c>
      <c r="F3382" s="8">
        <v>91820</v>
      </c>
      <c r="G3382" s="8">
        <f t="shared" si="208"/>
        <v>5004190000</v>
      </c>
      <c r="H3382" s="5">
        <v>0.1958</v>
      </c>
      <c r="I3382" s="8">
        <f t="shared" si="209"/>
        <v>5004190000</v>
      </c>
      <c r="J3382" s="8">
        <f t="shared" si="210"/>
        <v>979820402</v>
      </c>
      <c r="K3382" t="str">
        <f t="shared" si="211"/>
        <v>MATCHED</v>
      </c>
    </row>
    <row r="3383" spans="1:11">
      <c r="A3383" t="s">
        <v>116</v>
      </c>
      <c r="B3383" t="s">
        <v>1601</v>
      </c>
      <c r="C3383" t="s">
        <v>1218</v>
      </c>
      <c r="D3383" t="s">
        <v>1219</v>
      </c>
      <c r="E3383" s="8">
        <v>2020</v>
      </c>
      <c r="F3383" s="8">
        <v>136340</v>
      </c>
      <c r="G3383" s="8">
        <f t="shared" si="208"/>
        <v>275406800</v>
      </c>
      <c r="H3383" s="5">
        <v>0.313</v>
      </c>
      <c r="I3383" s="8">
        <f t="shared" si="209"/>
        <v>275406800</v>
      </c>
      <c r="J3383" s="8">
        <f t="shared" si="210"/>
        <v>86202328.4</v>
      </c>
      <c r="K3383" t="str">
        <f t="shared" si="211"/>
        <v>MATCHED</v>
      </c>
    </row>
    <row r="3384" spans="1:11">
      <c r="A3384" t="s">
        <v>116</v>
      </c>
      <c r="B3384" t="s">
        <v>1601</v>
      </c>
      <c r="C3384" t="s">
        <v>1220</v>
      </c>
      <c r="D3384" t="s">
        <v>1221</v>
      </c>
      <c r="E3384" s="8">
        <v>550</v>
      </c>
      <c r="F3384" s="8">
        <v>235900</v>
      </c>
      <c r="G3384" s="8">
        <f t="shared" si="208"/>
        <v>129745000</v>
      </c>
      <c r="H3384" s="5">
        <v>0.2008</v>
      </c>
      <c r="I3384" s="8">
        <f t="shared" si="209"/>
        <v>129745000</v>
      </c>
      <c r="J3384" s="8">
        <f t="shared" si="210"/>
        <v>26052796</v>
      </c>
      <c r="K3384" t="str">
        <f t="shared" si="211"/>
        <v>MATCHED</v>
      </c>
    </row>
    <row r="3385" spans="1:11">
      <c r="A3385" t="s">
        <v>116</v>
      </c>
      <c r="B3385" t="s">
        <v>1601</v>
      </c>
      <c r="C3385" t="s">
        <v>1222</v>
      </c>
      <c r="D3385" t="s">
        <v>1223</v>
      </c>
      <c r="E3385" s="8">
        <v>40</v>
      </c>
      <c r="F3385" s="8">
        <v>99000</v>
      </c>
      <c r="G3385" s="8">
        <f t="shared" si="208"/>
        <v>3960000</v>
      </c>
      <c r="H3385" s="5">
        <v>0.1583</v>
      </c>
      <c r="I3385" s="8">
        <f t="shared" si="209"/>
        <v>3960000</v>
      </c>
      <c r="J3385" s="8">
        <f t="shared" si="210"/>
        <v>626868</v>
      </c>
      <c r="K3385" t="str">
        <f t="shared" si="211"/>
        <v>MATCHED</v>
      </c>
    </row>
    <row r="3386" spans="1:11">
      <c r="A3386" t="s">
        <v>116</v>
      </c>
      <c r="B3386" t="s">
        <v>1601</v>
      </c>
      <c r="C3386" t="s">
        <v>1486</v>
      </c>
      <c r="D3386" t="s">
        <v>1487</v>
      </c>
      <c r="E3386" s="8">
        <v>90</v>
      </c>
      <c r="F3386" s="8">
        <v>138810</v>
      </c>
      <c r="G3386" s="8">
        <f t="shared" si="208"/>
        <v>12492900</v>
      </c>
      <c r="H3386" s="5">
        <v>0.1875</v>
      </c>
      <c r="I3386" s="8">
        <f t="shared" si="209"/>
        <v>12492900</v>
      </c>
      <c r="J3386" s="8">
        <f t="shared" si="210"/>
        <v>2342418.75</v>
      </c>
      <c r="K3386" t="str">
        <f t="shared" si="211"/>
        <v>MATCHED</v>
      </c>
    </row>
    <row r="3387" spans="1:11">
      <c r="A3387" t="s">
        <v>116</v>
      </c>
      <c r="B3387" t="s">
        <v>1601</v>
      </c>
      <c r="C3387" t="s">
        <v>1224</v>
      </c>
      <c r="D3387" t="s">
        <v>1225</v>
      </c>
      <c r="E3387" s="8">
        <v>30</v>
      </c>
      <c r="F3387" s="8">
        <v>64430</v>
      </c>
      <c r="G3387" s="8">
        <f t="shared" si="208"/>
        <v>1932900</v>
      </c>
      <c r="H3387" s="5">
        <v>0.1612</v>
      </c>
      <c r="I3387" s="8">
        <f t="shared" si="209"/>
        <v>1932900</v>
      </c>
      <c r="J3387" s="8">
        <f t="shared" si="210"/>
        <v>311583.48</v>
      </c>
      <c r="K3387" t="str">
        <f t="shared" si="211"/>
        <v>MATCHED</v>
      </c>
    </row>
    <row r="3388" spans="1:11">
      <c r="A3388" t="s">
        <v>116</v>
      </c>
      <c r="B3388" t="s">
        <v>1601</v>
      </c>
      <c r="C3388" t="s">
        <v>1228</v>
      </c>
      <c r="D3388" t="s">
        <v>1229</v>
      </c>
      <c r="E3388" s="8">
        <v>6530</v>
      </c>
      <c r="F3388" s="8">
        <v>49200</v>
      </c>
      <c r="G3388" s="8">
        <f t="shared" si="208"/>
        <v>321276000</v>
      </c>
      <c r="H3388" s="5">
        <v>0.6357</v>
      </c>
      <c r="I3388" s="8">
        <f t="shared" si="209"/>
        <v>321276000</v>
      </c>
      <c r="J3388" s="8">
        <f t="shared" si="210"/>
        <v>204235153.2</v>
      </c>
      <c r="K3388" t="str">
        <f t="shared" si="211"/>
        <v>MATCHED</v>
      </c>
    </row>
    <row r="3389" spans="1:11">
      <c r="A3389" t="s">
        <v>116</v>
      </c>
      <c r="B3389" t="s">
        <v>1601</v>
      </c>
      <c r="C3389" t="s">
        <v>1230</v>
      </c>
      <c r="D3389" t="s">
        <v>1231</v>
      </c>
      <c r="E3389" s="8">
        <v>1320</v>
      </c>
      <c r="F3389" s="8">
        <v>71350</v>
      </c>
      <c r="G3389" s="8">
        <f t="shared" si="208"/>
        <v>94182000</v>
      </c>
      <c r="H3389" s="5">
        <v>0.1239</v>
      </c>
      <c r="I3389" s="8">
        <f t="shared" si="209"/>
        <v>94182000</v>
      </c>
      <c r="J3389" s="8">
        <f t="shared" si="210"/>
        <v>11669149.8</v>
      </c>
      <c r="K3389" t="str">
        <f t="shared" si="211"/>
        <v>MATCHED</v>
      </c>
    </row>
    <row r="3390" spans="1:11">
      <c r="A3390" t="s">
        <v>116</v>
      </c>
      <c r="B3390" t="s">
        <v>1601</v>
      </c>
      <c r="C3390" t="s">
        <v>1232</v>
      </c>
      <c r="D3390" t="s">
        <v>1233</v>
      </c>
      <c r="E3390" s="8">
        <v>6180</v>
      </c>
      <c r="F3390" s="8">
        <v>62800</v>
      </c>
      <c r="G3390" s="8">
        <f t="shared" si="208"/>
        <v>388104000</v>
      </c>
      <c r="H3390" s="5">
        <v>0.9353</v>
      </c>
      <c r="I3390" s="8">
        <f t="shared" si="209"/>
        <v>388104000</v>
      </c>
      <c r="J3390" s="8">
        <f t="shared" si="210"/>
        <v>362993671.2</v>
      </c>
      <c r="K3390" t="str">
        <f t="shared" si="211"/>
        <v>MATCHED</v>
      </c>
    </row>
    <row r="3391" spans="1:11">
      <c r="A3391" t="s">
        <v>116</v>
      </c>
      <c r="B3391" t="s">
        <v>1601</v>
      </c>
      <c r="C3391" t="s">
        <v>1240</v>
      </c>
      <c r="D3391" t="s">
        <v>1241</v>
      </c>
      <c r="E3391" s="8">
        <v>1180</v>
      </c>
      <c r="F3391" s="8">
        <v>60180</v>
      </c>
      <c r="G3391" s="8">
        <f t="shared" si="208"/>
        <v>71012400</v>
      </c>
      <c r="H3391" s="5">
        <v>0.2977</v>
      </c>
      <c r="I3391" s="8">
        <f t="shared" si="209"/>
        <v>71012400</v>
      </c>
      <c r="J3391" s="8">
        <f t="shared" si="210"/>
        <v>21140391.48</v>
      </c>
      <c r="K3391" t="str">
        <f t="shared" si="211"/>
        <v>MATCHED</v>
      </c>
    </row>
    <row r="3392" spans="1:11">
      <c r="A3392" t="s">
        <v>116</v>
      </c>
      <c r="B3392" t="s">
        <v>1601</v>
      </c>
      <c r="C3392" t="s">
        <v>1242</v>
      </c>
      <c r="D3392" t="s">
        <v>1243</v>
      </c>
      <c r="E3392" s="8">
        <v>890</v>
      </c>
      <c r="F3392" s="8">
        <v>93840</v>
      </c>
      <c r="G3392" s="8">
        <f t="shared" si="208"/>
        <v>83517600</v>
      </c>
      <c r="H3392" s="5">
        <v>0.7969</v>
      </c>
      <c r="I3392" s="8">
        <f t="shared" si="209"/>
        <v>83517600</v>
      </c>
      <c r="J3392" s="8">
        <f t="shared" si="210"/>
        <v>66555175.44</v>
      </c>
      <c r="K3392" t="str">
        <f t="shared" si="211"/>
        <v>MATCHED</v>
      </c>
    </row>
    <row r="3393" spans="1:11">
      <c r="A3393" t="s">
        <v>116</v>
      </c>
      <c r="B3393" t="s">
        <v>1601</v>
      </c>
      <c r="C3393" t="s">
        <v>1244</v>
      </c>
      <c r="D3393" t="s">
        <v>1245</v>
      </c>
      <c r="E3393" s="8">
        <v>50</v>
      </c>
      <c r="F3393" s="8">
        <v>108180</v>
      </c>
      <c r="G3393" s="8">
        <f t="shared" si="208"/>
        <v>5409000</v>
      </c>
      <c r="H3393" s="5">
        <v>0.5421</v>
      </c>
      <c r="I3393" s="8">
        <f t="shared" si="209"/>
        <v>5409000</v>
      </c>
      <c r="J3393" s="8">
        <f t="shared" si="210"/>
        <v>2932218.9</v>
      </c>
      <c r="K3393" t="str">
        <f t="shared" si="211"/>
        <v>MATCHED</v>
      </c>
    </row>
    <row r="3394" spans="1:11">
      <c r="A3394" t="s">
        <v>116</v>
      </c>
      <c r="B3394" t="s">
        <v>1601</v>
      </c>
      <c r="C3394" t="s">
        <v>1246</v>
      </c>
      <c r="D3394" t="s">
        <v>1247</v>
      </c>
      <c r="E3394" s="8">
        <v>1020</v>
      </c>
      <c r="F3394" s="8">
        <v>78170</v>
      </c>
      <c r="G3394" s="8">
        <f t="shared" ref="G3394:G3457" si="212">IF(OR(E3394="",F3394=""),"",E3394*F3394)</f>
        <v>79733400</v>
      </c>
      <c r="H3394" s="5">
        <v>0.2347</v>
      </c>
      <c r="I3394" s="8">
        <f t="shared" ref="I3394:I3457" si="213">IF(G3394="","",IF(ISNUMBER(H3394),G3394,""))</f>
        <v>79733400</v>
      </c>
      <c r="J3394" s="8">
        <f t="shared" ref="J3394:J3457" si="214">IF(I3394="","",I3394*H3394)</f>
        <v>18713428.98</v>
      </c>
      <c r="K3394" t="str">
        <f t="shared" ref="K3394:K3457" si="215">IF(G3394="","MISSING OEWS",IF(ISNUMBER(H3394),"MATCHED","MISSING WHARTON"))</f>
        <v>MATCHED</v>
      </c>
    </row>
    <row r="3395" spans="1:11">
      <c r="A3395" t="s">
        <v>116</v>
      </c>
      <c r="B3395" t="s">
        <v>1601</v>
      </c>
      <c r="C3395" t="s">
        <v>972</v>
      </c>
      <c r="D3395" t="s">
        <v>973</v>
      </c>
      <c r="E3395" s="8">
        <v>970</v>
      </c>
      <c r="F3395" s="8">
        <v>39220</v>
      </c>
      <c r="G3395" s="8">
        <f t="shared" si="212"/>
        <v>38043400</v>
      </c>
      <c r="H3395" s="5">
        <v>0.118</v>
      </c>
      <c r="I3395" s="8">
        <f t="shared" si="213"/>
        <v>38043400</v>
      </c>
      <c r="J3395" s="8">
        <f t="shared" si="214"/>
        <v>4489121.2</v>
      </c>
      <c r="K3395" t="str">
        <f t="shared" si="215"/>
        <v>MATCHED</v>
      </c>
    </row>
    <row r="3396" spans="1:11">
      <c r="A3396" t="s">
        <v>116</v>
      </c>
      <c r="B3396" t="s">
        <v>1601</v>
      </c>
      <c r="C3396" t="s">
        <v>1443</v>
      </c>
      <c r="D3396" t="s">
        <v>1444</v>
      </c>
      <c r="E3396" s="8">
        <v>40</v>
      </c>
      <c r="F3396" s="8">
        <v>59410</v>
      </c>
      <c r="G3396" s="8">
        <f t="shared" si="212"/>
        <v>2376400</v>
      </c>
      <c r="H3396" s="5">
        <v>0.05</v>
      </c>
      <c r="I3396" s="8">
        <f t="shared" si="213"/>
        <v>2376400</v>
      </c>
      <c r="J3396" s="8">
        <f t="shared" si="214"/>
        <v>118820</v>
      </c>
      <c r="K3396" t="str">
        <f t="shared" si="215"/>
        <v>MATCHED</v>
      </c>
    </row>
    <row r="3397" spans="1:11">
      <c r="A3397" t="s">
        <v>116</v>
      </c>
      <c r="B3397" t="s">
        <v>1601</v>
      </c>
      <c r="C3397" t="s">
        <v>1620</v>
      </c>
      <c r="D3397" t="s">
        <v>1621</v>
      </c>
      <c r="E3397" s="8">
        <v>40</v>
      </c>
      <c r="F3397" s="8">
        <v>55210</v>
      </c>
      <c r="G3397" s="8">
        <f t="shared" si="212"/>
        <v>2208400</v>
      </c>
      <c r="H3397" s="5">
        <v>0.1118</v>
      </c>
      <c r="I3397" s="8">
        <f t="shared" si="213"/>
        <v>2208400</v>
      </c>
      <c r="J3397" s="8">
        <f t="shared" si="214"/>
        <v>246899.12</v>
      </c>
      <c r="K3397" t="str">
        <f t="shared" si="215"/>
        <v>MATCHED</v>
      </c>
    </row>
    <row r="3398" spans="1:11">
      <c r="A3398" t="s">
        <v>116</v>
      </c>
      <c r="B3398" t="s">
        <v>1601</v>
      </c>
      <c r="C3398" t="s">
        <v>1248</v>
      </c>
      <c r="D3398" t="s">
        <v>1249</v>
      </c>
      <c r="E3398" s="8">
        <v>50</v>
      </c>
      <c r="F3398" s="8">
        <v>62170</v>
      </c>
      <c r="G3398" s="8">
        <f t="shared" si="212"/>
        <v>3108500</v>
      </c>
      <c r="H3398" s="5">
        <v>0.2219</v>
      </c>
      <c r="I3398" s="8">
        <f t="shared" si="213"/>
        <v>3108500</v>
      </c>
      <c r="J3398" s="8">
        <f t="shared" si="214"/>
        <v>689776.15</v>
      </c>
      <c r="K3398" t="str">
        <f t="shared" si="215"/>
        <v>MATCHED</v>
      </c>
    </row>
    <row r="3399" spans="1:11">
      <c r="A3399" t="s">
        <v>116</v>
      </c>
      <c r="B3399" t="s">
        <v>1601</v>
      </c>
      <c r="C3399" t="s">
        <v>1250</v>
      </c>
      <c r="D3399" t="s">
        <v>1251</v>
      </c>
      <c r="E3399" s="8">
        <v>530</v>
      </c>
      <c r="F3399" s="8">
        <v>49240</v>
      </c>
      <c r="G3399" s="8">
        <f t="shared" si="212"/>
        <v>26097200</v>
      </c>
      <c r="H3399" s="5">
        <v>0.4025</v>
      </c>
      <c r="I3399" s="8">
        <f t="shared" si="213"/>
        <v>26097200</v>
      </c>
      <c r="J3399" s="8">
        <f t="shared" si="214"/>
        <v>10504123</v>
      </c>
      <c r="K3399" t="str">
        <f t="shared" si="215"/>
        <v>MATCHED</v>
      </c>
    </row>
    <row r="3400" spans="1:11">
      <c r="A3400" t="s">
        <v>116</v>
      </c>
      <c r="B3400" t="s">
        <v>1601</v>
      </c>
      <c r="C3400" t="s">
        <v>1622</v>
      </c>
      <c r="D3400" t="s">
        <v>1623</v>
      </c>
      <c r="E3400" s="8">
        <v>40</v>
      </c>
      <c r="F3400" s="8">
        <v>45590</v>
      </c>
      <c r="G3400" s="8">
        <f t="shared" si="212"/>
        <v>1823600</v>
      </c>
      <c r="H3400" s="5">
        <v>0.8733</v>
      </c>
      <c r="I3400" s="8">
        <f t="shared" si="213"/>
        <v>1823600</v>
      </c>
      <c r="J3400" s="8">
        <f t="shared" si="214"/>
        <v>1592549.88</v>
      </c>
      <c r="K3400" t="str">
        <f t="shared" si="215"/>
        <v>MATCHED</v>
      </c>
    </row>
    <row r="3401" spans="1:11">
      <c r="A3401" t="s">
        <v>116</v>
      </c>
      <c r="B3401" t="s">
        <v>1601</v>
      </c>
      <c r="C3401" t="s">
        <v>1445</v>
      </c>
      <c r="D3401" t="s">
        <v>1446</v>
      </c>
      <c r="E3401" s="8">
        <v>440</v>
      </c>
      <c r="F3401" s="8">
        <v>44820</v>
      </c>
      <c r="G3401" s="8">
        <f t="shared" si="212"/>
        <v>19720800</v>
      </c>
      <c r="H3401" s="5">
        <v>0.5088</v>
      </c>
      <c r="I3401" s="8">
        <f t="shared" si="213"/>
        <v>19720800</v>
      </c>
      <c r="J3401" s="8">
        <f t="shared" si="214"/>
        <v>10033943.04</v>
      </c>
      <c r="K3401" t="str">
        <f t="shared" si="215"/>
        <v>MATCHED</v>
      </c>
    </row>
    <row r="3402" spans="1:11">
      <c r="A3402" t="s">
        <v>116</v>
      </c>
      <c r="B3402" t="s">
        <v>1601</v>
      </c>
      <c r="C3402" t="s">
        <v>1447</v>
      </c>
      <c r="D3402" t="s">
        <v>1448</v>
      </c>
      <c r="E3402" s="8"/>
      <c r="F3402" s="8">
        <v>36720</v>
      </c>
      <c r="G3402" s="8" t="str">
        <f t="shared" si="212"/>
        <v/>
      </c>
      <c r="H3402" s="5">
        <v>0.0792</v>
      </c>
      <c r="I3402" s="8" t="str">
        <f t="shared" si="213"/>
        <v/>
      </c>
      <c r="J3402" s="8" t="str">
        <f t="shared" si="214"/>
        <v/>
      </c>
      <c r="K3402" t="str">
        <f t="shared" si="215"/>
        <v>MISSING OEWS</v>
      </c>
    </row>
    <row r="3403" spans="1:11">
      <c r="A3403" t="s">
        <v>116</v>
      </c>
      <c r="B3403" t="s">
        <v>1601</v>
      </c>
      <c r="C3403" t="s">
        <v>1256</v>
      </c>
      <c r="D3403" t="s">
        <v>1257</v>
      </c>
      <c r="E3403" s="8">
        <v>400</v>
      </c>
      <c r="F3403" s="8">
        <v>60370</v>
      </c>
      <c r="G3403" s="8">
        <f t="shared" si="212"/>
        <v>24148000</v>
      </c>
      <c r="H3403" s="5">
        <v>0.2542</v>
      </c>
      <c r="I3403" s="8">
        <f t="shared" si="213"/>
        <v>24148000</v>
      </c>
      <c r="J3403" s="8">
        <f t="shared" si="214"/>
        <v>6138421.6</v>
      </c>
      <c r="K3403" t="str">
        <f t="shared" si="215"/>
        <v>MATCHED</v>
      </c>
    </row>
    <row r="3404" spans="1:11">
      <c r="A3404" t="s">
        <v>116</v>
      </c>
      <c r="B3404" t="s">
        <v>1601</v>
      </c>
      <c r="C3404" t="s">
        <v>644</v>
      </c>
      <c r="D3404" t="s">
        <v>645</v>
      </c>
      <c r="E3404" s="8">
        <v>550</v>
      </c>
      <c r="F3404" s="8">
        <v>96880</v>
      </c>
      <c r="G3404" s="8">
        <f t="shared" si="212"/>
        <v>53284000</v>
      </c>
      <c r="H3404" s="5">
        <v>0.3929</v>
      </c>
      <c r="I3404" s="8">
        <f t="shared" si="213"/>
        <v>53284000</v>
      </c>
      <c r="J3404" s="8">
        <f t="shared" si="214"/>
        <v>20935283.6</v>
      </c>
      <c r="K3404" t="str">
        <f t="shared" si="215"/>
        <v>MATCHED</v>
      </c>
    </row>
    <row r="3405" spans="1:11">
      <c r="A3405" t="s">
        <v>116</v>
      </c>
      <c r="B3405" t="s">
        <v>1601</v>
      </c>
      <c r="C3405" t="s">
        <v>866</v>
      </c>
      <c r="D3405" t="s">
        <v>867</v>
      </c>
      <c r="E3405" s="8">
        <v>220</v>
      </c>
      <c r="F3405" s="8">
        <v>93260</v>
      </c>
      <c r="G3405" s="8">
        <f t="shared" si="212"/>
        <v>20517200</v>
      </c>
      <c r="H3405" s="5"/>
      <c r="I3405" s="8" t="str">
        <f t="shared" si="213"/>
        <v/>
      </c>
      <c r="J3405" s="8" t="str">
        <f t="shared" si="214"/>
        <v/>
      </c>
      <c r="K3405" t="str">
        <f t="shared" si="215"/>
        <v>MISSING WHARTON</v>
      </c>
    </row>
    <row r="3406" spans="1:11">
      <c r="A3406" t="s">
        <v>116</v>
      </c>
      <c r="B3406" t="s">
        <v>1601</v>
      </c>
      <c r="C3406" t="s">
        <v>974</v>
      </c>
      <c r="D3406" t="s">
        <v>975</v>
      </c>
      <c r="E3406" s="8">
        <v>450</v>
      </c>
      <c r="F3406" s="8">
        <v>97660</v>
      </c>
      <c r="G3406" s="8">
        <f t="shared" si="212"/>
        <v>43947000</v>
      </c>
      <c r="H3406" s="5">
        <v>0.125</v>
      </c>
      <c r="I3406" s="8">
        <f t="shared" si="213"/>
        <v>43947000</v>
      </c>
      <c r="J3406" s="8">
        <f t="shared" si="214"/>
        <v>5493375</v>
      </c>
      <c r="K3406" t="str">
        <f t="shared" si="215"/>
        <v>MATCHED</v>
      </c>
    </row>
    <row r="3407" spans="1:11">
      <c r="A3407" t="s">
        <v>116</v>
      </c>
      <c r="B3407" t="s">
        <v>1601</v>
      </c>
      <c r="C3407" t="s">
        <v>870</v>
      </c>
      <c r="D3407" t="s">
        <v>871</v>
      </c>
      <c r="E3407" s="8">
        <v>4080</v>
      </c>
      <c r="F3407" s="8">
        <v>72890</v>
      </c>
      <c r="G3407" s="8">
        <f t="shared" si="212"/>
        <v>297391200</v>
      </c>
      <c r="H3407" s="5">
        <v>0.3324</v>
      </c>
      <c r="I3407" s="8">
        <f t="shared" si="213"/>
        <v>297391200</v>
      </c>
      <c r="J3407" s="8">
        <f t="shared" si="214"/>
        <v>98852834.88</v>
      </c>
      <c r="K3407" t="str">
        <f t="shared" si="215"/>
        <v>MATCHED</v>
      </c>
    </row>
    <row r="3408" spans="1:11">
      <c r="A3408" t="s">
        <v>116</v>
      </c>
      <c r="B3408" t="s">
        <v>1601</v>
      </c>
      <c r="C3408" t="s">
        <v>329</v>
      </c>
      <c r="D3408" t="s">
        <v>330</v>
      </c>
      <c r="E3408" s="8">
        <v>4030</v>
      </c>
      <c r="F3408" s="8">
        <v>59260</v>
      </c>
      <c r="G3408" s="8">
        <f t="shared" si="212"/>
        <v>238817800</v>
      </c>
      <c r="H3408" s="5">
        <v>0.1357</v>
      </c>
      <c r="I3408" s="8">
        <f t="shared" si="213"/>
        <v>238817800</v>
      </c>
      <c r="J3408" s="8">
        <f t="shared" si="214"/>
        <v>32407575.46</v>
      </c>
      <c r="K3408" t="str">
        <f t="shared" si="215"/>
        <v>MATCHED</v>
      </c>
    </row>
    <row r="3409" spans="1:11">
      <c r="A3409" t="s">
        <v>116</v>
      </c>
      <c r="B3409" t="s">
        <v>1601</v>
      </c>
      <c r="C3409" t="s">
        <v>872</v>
      </c>
      <c r="D3409" t="s">
        <v>873</v>
      </c>
      <c r="E3409" s="8">
        <v>340</v>
      </c>
      <c r="F3409" s="8">
        <v>67250</v>
      </c>
      <c r="G3409" s="8">
        <f t="shared" si="212"/>
        <v>22865000</v>
      </c>
      <c r="H3409" s="5">
        <v>0.3357</v>
      </c>
      <c r="I3409" s="8">
        <f t="shared" si="213"/>
        <v>22865000</v>
      </c>
      <c r="J3409" s="8">
        <f t="shared" si="214"/>
        <v>7675780.5</v>
      </c>
      <c r="K3409" t="str">
        <f t="shared" si="215"/>
        <v>MATCHED</v>
      </c>
    </row>
    <row r="3410" spans="1:11">
      <c r="A3410" t="s">
        <v>116</v>
      </c>
      <c r="B3410" t="s">
        <v>1601</v>
      </c>
      <c r="C3410" t="s">
        <v>978</v>
      </c>
      <c r="D3410" t="s">
        <v>979</v>
      </c>
      <c r="E3410" s="8">
        <v>120</v>
      </c>
      <c r="F3410" s="8">
        <v>112470</v>
      </c>
      <c r="G3410" s="8">
        <f t="shared" si="212"/>
        <v>13496400</v>
      </c>
      <c r="H3410" s="5">
        <v>0.281</v>
      </c>
      <c r="I3410" s="8">
        <f t="shared" si="213"/>
        <v>13496400</v>
      </c>
      <c r="J3410" s="8">
        <f t="shared" si="214"/>
        <v>3792488.4</v>
      </c>
      <c r="K3410" t="str">
        <f t="shared" si="215"/>
        <v>MATCHED</v>
      </c>
    </row>
    <row r="3411" spans="1:11">
      <c r="A3411" t="s">
        <v>116</v>
      </c>
      <c r="B3411" t="s">
        <v>1601</v>
      </c>
      <c r="C3411" t="s">
        <v>980</v>
      </c>
      <c r="D3411" t="s">
        <v>981</v>
      </c>
      <c r="E3411" s="8">
        <v>30</v>
      </c>
      <c r="F3411" s="8">
        <v>65300</v>
      </c>
      <c r="G3411" s="8">
        <f t="shared" si="212"/>
        <v>1959000</v>
      </c>
      <c r="H3411" s="5">
        <v>0.4173</v>
      </c>
      <c r="I3411" s="8">
        <f t="shared" si="213"/>
        <v>1959000</v>
      </c>
      <c r="J3411" s="8">
        <f t="shared" si="214"/>
        <v>817490.7</v>
      </c>
      <c r="K3411" t="str">
        <f t="shared" si="215"/>
        <v>MATCHED</v>
      </c>
    </row>
    <row r="3412" spans="1:11">
      <c r="A3412" t="s">
        <v>116</v>
      </c>
      <c r="B3412" t="s">
        <v>1601</v>
      </c>
      <c r="C3412" t="s">
        <v>982</v>
      </c>
      <c r="D3412" t="s">
        <v>983</v>
      </c>
      <c r="E3412" s="8">
        <v>70</v>
      </c>
      <c r="F3412" s="8">
        <v>45270</v>
      </c>
      <c r="G3412" s="8">
        <f t="shared" si="212"/>
        <v>3168900</v>
      </c>
      <c r="H3412" s="5">
        <v>0.25</v>
      </c>
      <c r="I3412" s="8">
        <f t="shared" si="213"/>
        <v>3168900</v>
      </c>
      <c r="J3412" s="8">
        <f t="shared" si="214"/>
        <v>792225</v>
      </c>
      <c r="K3412" t="str">
        <f t="shared" si="215"/>
        <v>MATCHED</v>
      </c>
    </row>
    <row r="3413" spans="1:11">
      <c r="A3413" t="s">
        <v>116</v>
      </c>
      <c r="B3413" t="s">
        <v>1601</v>
      </c>
      <c r="C3413" t="s">
        <v>984</v>
      </c>
      <c r="D3413" t="s">
        <v>985</v>
      </c>
      <c r="E3413" s="8"/>
      <c r="F3413" s="8">
        <v>58090</v>
      </c>
      <c r="G3413" s="8" t="str">
        <f t="shared" si="212"/>
        <v/>
      </c>
      <c r="H3413" s="5">
        <v>0.1175</v>
      </c>
      <c r="I3413" s="8" t="str">
        <f t="shared" si="213"/>
        <v/>
      </c>
      <c r="J3413" s="8" t="str">
        <f t="shared" si="214"/>
        <v/>
      </c>
      <c r="K3413" t="str">
        <f t="shared" si="215"/>
        <v>MISSING OEWS</v>
      </c>
    </row>
    <row r="3414" spans="1:11">
      <c r="A3414" t="s">
        <v>116</v>
      </c>
      <c r="B3414" t="s">
        <v>1601</v>
      </c>
      <c r="C3414" t="s">
        <v>986</v>
      </c>
      <c r="D3414" t="s">
        <v>987</v>
      </c>
      <c r="E3414" s="8">
        <v>120</v>
      </c>
      <c r="F3414" s="8">
        <v>34620</v>
      </c>
      <c r="G3414" s="8">
        <f t="shared" si="212"/>
        <v>4154400</v>
      </c>
      <c r="H3414" s="5">
        <v>0.0613</v>
      </c>
      <c r="I3414" s="8">
        <f t="shared" si="213"/>
        <v>4154400</v>
      </c>
      <c r="J3414" s="8">
        <f t="shared" si="214"/>
        <v>254664.72</v>
      </c>
      <c r="K3414" t="str">
        <f t="shared" si="215"/>
        <v>MATCHED</v>
      </c>
    </row>
    <row r="3415" spans="1:11">
      <c r="A3415" t="s">
        <v>116</v>
      </c>
      <c r="B3415" t="s">
        <v>1601</v>
      </c>
      <c r="C3415" t="s">
        <v>988</v>
      </c>
      <c r="D3415" t="s">
        <v>989</v>
      </c>
      <c r="E3415" s="8">
        <v>190</v>
      </c>
      <c r="F3415" s="8">
        <v>24850</v>
      </c>
      <c r="G3415" s="8">
        <f t="shared" si="212"/>
        <v>4721500</v>
      </c>
      <c r="H3415" s="5">
        <v>0.2031</v>
      </c>
      <c r="I3415" s="8">
        <f t="shared" si="213"/>
        <v>4721500</v>
      </c>
      <c r="J3415" s="8">
        <f t="shared" si="214"/>
        <v>958936.65</v>
      </c>
      <c r="K3415" t="str">
        <f t="shared" si="215"/>
        <v>MATCHED</v>
      </c>
    </row>
    <row r="3416" spans="1:11">
      <c r="A3416" t="s">
        <v>116</v>
      </c>
      <c r="B3416" t="s">
        <v>1601</v>
      </c>
      <c r="C3416" t="s">
        <v>1268</v>
      </c>
      <c r="D3416" t="s">
        <v>1269</v>
      </c>
      <c r="E3416" s="8">
        <v>110</v>
      </c>
      <c r="F3416" s="8">
        <v>36000</v>
      </c>
      <c r="G3416" s="8">
        <f t="shared" si="212"/>
        <v>3960000</v>
      </c>
      <c r="H3416" s="5">
        <v>0.0417</v>
      </c>
      <c r="I3416" s="8">
        <f t="shared" si="213"/>
        <v>3960000</v>
      </c>
      <c r="J3416" s="8">
        <f t="shared" si="214"/>
        <v>165132</v>
      </c>
      <c r="K3416" t="str">
        <f t="shared" si="215"/>
        <v>MATCHED</v>
      </c>
    </row>
    <row r="3417" spans="1:11">
      <c r="A3417" t="s">
        <v>116</v>
      </c>
      <c r="B3417" t="s">
        <v>1601</v>
      </c>
      <c r="C3417" t="s">
        <v>331</v>
      </c>
      <c r="D3417" t="s">
        <v>332</v>
      </c>
      <c r="E3417" s="8">
        <v>80</v>
      </c>
      <c r="F3417" s="8">
        <v>71610</v>
      </c>
      <c r="G3417" s="8">
        <f t="shared" si="212"/>
        <v>5728800</v>
      </c>
      <c r="H3417" s="5">
        <v>0.2269</v>
      </c>
      <c r="I3417" s="8">
        <f t="shared" si="213"/>
        <v>5728800</v>
      </c>
      <c r="J3417" s="8">
        <f t="shared" si="214"/>
        <v>1299864.72</v>
      </c>
      <c r="K3417" t="str">
        <f t="shared" si="215"/>
        <v>MATCHED</v>
      </c>
    </row>
    <row r="3418" spans="1:11">
      <c r="A3418" t="s">
        <v>116</v>
      </c>
      <c r="B3418" t="s">
        <v>1601</v>
      </c>
      <c r="C3418" t="s">
        <v>335</v>
      </c>
      <c r="D3418" t="s">
        <v>336</v>
      </c>
      <c r="E3418" s="8">
        <v>5310</v>
      </c>
      <c r="F3418" s="8">
        <v>39610</v>
      </c>
      <c r="G3418" s="8">
        <f t="shared" si="212"/>
        <v>210329100</v>
      </c>
      <c r="H3418" s="5">
        <v>0</v>
      </c>
      <c r="I3418" s="8">
        <f t="shared" si="213"/>
        <v>210329100</v>
      </c>
      <c r="J3418" s="8">
        <f t="shared" si="214"/>
        <v>0</v>
      </c>
      <c r="K3418" t="str">
        <f t="shared" si="215"/>
        <v>MATCHED</v>
      </c>
    </row>
    <row r="3419" spans="1:11">
      <c r="A3419" t="s">
        <v>116</v>
      </c>
      <c r="B3419" t="s">
        <v>1601</v>
      </c>
      <c r="C3419" t="s">
        <v>341</v>
      </c>
      <c r="D3419" t="s">
        <v>342</v>
      </c>
      <c r="E3419" s="8">
        <v>950</v>
      </c>
      <c r="F3419" s="8">
        <v>38380</v>
      </c>
      <c r="G3419" s="8">
        <f t="shared" si="212"/>
        <v>36461000</v>
      </c>
      <c r="H3419" s="5">
        <v>0</v>
      </c>
      <c r="I3419" s="8">
        <f t="shared" si="213"/>
        <v>36461000</v>
      </c>
      <c r="J3419" s="8">
        <f t="shared" si="214"/>
        <v>0</v>
      </c>
      <c r="K3419" t="str">
        <f t="shared" si="215"/>
        <v>MATCHED</v>
      </c>
    </row>
    <row r="3420" spans="1:11">
      <c r="A3420" t="s">
        <v>116</v>
      </c>
      <c r="B3420" t="s">
        <v>1601</v>
      </c>
      <c r="C3420" t="s">
        <v>994</v>
      </c>
      <c r="D3420" t="s">
        <v>995</v>
      </c>
      <c r="E3420" s="8">
        <v>60</v>
      </c>
      <c r="F3420" s="8">
        <v>56280</v>
      </c>
      <c r="G3420" s="8">
        <f t="shared" si="212"/>
        <v>3376800</v>
      </c>
      <c r="H3420" s="5">
        <v>0.65</v>
      </c>
      <c r="I3420" s="8">
        <f t="shared" si="213"/>
        <v>3376800</v>
      </c>
      <c r="J3420" s="8">
        <f t="shared" si="214"/>
        <v>2194920</v>
      </c>
      <c r="K3420" t="str">
        <f t="shared" si="215"/>
        <v>MATCHED</v>
      </c>
    </row>
    <row r="3421" spans="1:11">
      <c r="A3421" t="s">
        <v>116</v>
      </c>
      <c r="B3421" t="s">
        <v>1601</v>
      </c>
      <c r="C3421" t="s">
        <v>1278</v>
      </c>
      <c r="D3421" t="s">
        <v>1279</v>
      </c>
      <c r="E3421" s="8"/>
      <c r="F3421" s="8">
        <v>44290</v>
      </c>
      <c r="G3421" s="8" t="str">
        <f t="shared" si="212"/>
        <v/>
      </c>
      <c r="H3421" s="5">
        <v>0.3177</v>
      </c>
      <c r="I3421" s="8" t="str">
        <f t="shared" si="213"/>
        <v/>
      </c>
      <c r="J3421" s="8" t="str">
        <f t="shared" si="214"/>
        <v/>
      </c>
      <c r="K3421" t="str">
        <f t="shared" si="215"/>
        <v>MISSING OEWS</v>
      </c>
    </row>
    <row r="3422" spans="1:11">
      <c r="A3422" t="s">
        <v>116</v>
      </c>
      <c r="B3422" t="s">
        <v>1601</v>
      </c>
      <c r="C3422" t="s">
        <v>998</v>
      </c>
      <c r="D3422" t="s">
        <v>999</v>
      </c>
      <c r="E3422" s="8">
        <v>40</v>
      </c>
      <c r="F3422" s="8">
        <v>56920</v>
      </c>
      <c r="G3422" s="8">
        <f t="shared" si="212"/>
        <v>2276800</v>
      </c>
      <c r="H3422" s="5">
        <v>0.0636</v>
      </c>
      <c r="I3422" s="8">
        <f t="shared" si="213"/>
        <v>2276800</v>
      </c>
      <c r="J3422" s="8">
        <f t="shared" si="214"/>
        <v>144804.48</v>
      </c>
      <c r="K3422" t="str">
        <f t="shared" si="215"/>
        <v>MATCHED</v>
      </c>
    </row>
    <row r="3423" spans="1:11">
      <c r="A3423" t="s">
        <v>116</v>
      </c>
      <c r="B3423" t="s">
        <v>1601</v>
      </c>
      <c r="C3423" t="s">
        <v>1500</v>
      </c>
      <c r="D3423" t="s">
        <v>1501</v>
      </c>
      <c r="E3423" s="8"/>
      <c r="F3423" s="8">
        <v>42990</v>
      </c>
      <c r="G3423" s="8" t="str">
        <f t="shared" si="212"/>
        <v/>
      </c>
      <c r="H3423" s="5"/>
      <c r="I3423" s="8" t="str">
        <f t="shared" si="213"/>
        <v/>
      </c>
      <c r="J3423" s="8" t="str">
        <f t="shared" si="214"/>
        <v/>
      </c>
      <c r="K3423" t="str">
        <f t="shared" si="215"/>
        <v>MISSING OEWS</v>
      </c>
    </row>
    <row r="3424" spans="1:11">
      <c r="A3424" t="s">
        <v>116</v>
      </c>
      <c r="B3424" t="s">
        <v>1601</v>
      </c>
      <c r="C3424" t="s">
        <v>355</v>
      </c>
      <c r="D3424" t="s">
        <v>356</v>
      </c>
      <c r="E3424" s="8">
        <v>4640</v>
      </c>
      <c r="F3424" s="8">
        <v>50460</v>
      </c>
      <c r="G3424" s="8">
        <f t="shared" si="212"/>
        <v>234134400</v>
      </c>
      <c r="H3424" s="5">
        <v>0.4476</v>
      </c>
      <c r="I3424" s="8">
        <f t="shared" si="213"/>
        <v>234134400</v>
      </c>
      <c r="J3424" s="8">
        <f t="shared" si="214"/>
        <v>104798557.44</v>
      </c>
      <c r="K3424" t="str">
        <f t="shared" si="215"/>
        <v>MATCHED</v>
      </c>
    </row>
    <row r="3425" spans="1:11">
      <c r="A3425" t="s">
        <v>116</v>
      </c>
      <c r="B3425" t="s">
        <v>1601</v>
      </c>
      <c r="C3425" t="s">
        <v>357</v>
      </c>
      <c r="D3425" t="s">
        <v>358</v>
      </c>
      <c r="E3425" s="8">
        <v>45510</v>
      </c>
      <c r="F3425" s="8">
        <v>104830</v>
      </c>
      <c r="G3425" s="8">
        <f t="shared" si="212"/>
        <v>4770813300</v>
      </c>
      <c r="H3425" s="5">
        <v>0.4833</v>
      </c>
      <c r="I3425" s="8">
        <f t="shared" si="213"/>
        <v>4770813300</v>
      </c>
      <c r="J3425" s="8">
        <f t="shared" si="214"/>
        <v>2305734067.89</v>
      </c>
      <c r="K3425" t="str">
        <f t="shared" si="215"/>
        <v>MATCHED</v>
      </c>
    </row>
    <row r="3426" spans="1:11">
      <c r="A3426" t="s">
        <v>116</v>
      </c>
      <c r="B3426" t="s">
        <v>1601</v>
      </c>
      <c r="C3426" t="s">
        <v>648</v>
      </c>
      <c r="D3426" t="s">
        <v>649</v>
      </c>
      <c r="E3426" s="8">
        <v>3050</v>
      </c>
      <c r="F3426" s="8">
        <v>36540</v>
      </c>
      <c r="G3426" s="8">
        <f t="shared" si="212"/>
        <v>111447000</v>
      </c>
      <c r="H3426" s="5">
        <v>0.6672</v>
      </c>
      <c r="I3426" s="8">
        <f t="shared" si="213"/>
        <v>111447000</v>
      </c>
      <c r="J3426" s="8">
        <f t="shared" si="214"/>
        <v>74357438.4</v>
      </c>
      <c r="K3426" t="str">
        <f t="shared" si="215"/>
        <v>MATCHED</v>
      </c>
    </row>
    <row r="3427" spans="1:11">
      <c r="A3427" t="s">
        <v>116</v>
      </c>
      <c r="B3427" t="s">
        <v>1601</v>
      </c>
      <c r="C3427" t="s">
        <v>359</v>
      </c>
      <c r="D3427" t="s">
        <v>360</v>
      </c>
      <c r="E3427" s="8">
        <v>14730</v>
      </c>
      <c r="F3427" s="8">
        <v>41670</v>
      </c>
      <c r="G3427" s="8">
        <f t="shared" si="212"/>
        <v>613799100</v>
      </c>
      <c r="H3427" s="5">
        <v>0.4938</v>
      </c>
      <c r="I3427" s="8">
        <f t="shared" si="213"/>
        <v>613799100</v>
      </c>
      <c r="J3427" s="8">
        <f t="shared" si="214"/>
        <v>303093995.58</v>
      </c>
      <c r="K3427" t="str">
        <f t="shared" si="215"/>
        <v>MATCHED</v>
      </c>
    </row>
    <row r="3428" spans="1:11">
      <c r="A3428" t="s">
        <v>116</v>
      </c>
      <c r="B3428" t="s">
        <v>1601</v>
      </c>
      <c r="C3428" t="s">
        <v>1002</v>
      </c>
      <c r="D3428" t="s">
        <v>1003</v>
      </c>
      <c r="E3428" s="8">
        <v>200</v>
      </c>
      <c r="F3428" s="8">
        <v>92890</v>
      </c>
      <c r="G3428" s="8">
        <f t="shared" si="212"/>
        <v>18578000</v>
      </c>
      <c r="H3428" s="5">
        <v>0.6725</v>
      </c>
      <c r="I3428" s="8">
        <f t="shared" si="213"/>
        <v>18578000</v>
      </c>
      <c r="J3428" s="8">
        <f t="shared" si="214"/>
        <v>12493705</v>
      </c>
      <c r="K3428" t="str">
        <f t="shared" si="215"/>
        <v>MATCHED</v>
      </c>
    </row>
    <row r="3429" spans="1:11">
      <c r="A3429" t="s">
        <v>116</v>
      </c>
      <c r="B3429" t="s">
        <v>1601</v>
      </c>
      <c r="C3429" t="s">
        <v>1004</v>
      </c>
      <c r="D3429" t="s">
        <v>1005</v>
      </c>
      <c r="E3429" s="8">
        <v>464330</v>
      </c>
      <c r="F3429" s="8">
        <v>81450</v>
      </c>
      <c r="G3429" s="8">
        <f t="shared" si="212"/>
        <v>37819678500</v>
      </c>
      <c r="H3429" s="5">
        <v>0.6684</v>
      </c>
      <c r="I3429" s="8">
        <f t="shared" si="213"/>
        <v>37819678500</v>
      </c>
      <c r="J3429" s="8">
        <f t="shared" si="214"/>
        <v>25278673109.4</v>
      </c>
      <c r="K3429" t="str">
        <f t="shared" si="215"/>
        <v>MATCHED</v>
      </c>
    </row>
    <row r="3430" spans="1:11">
      <c r="A3430" t="s">
        <v>116</v>
      </c>
      <c r="B3430" t="s">
        <v>1601</v>
      </c>
      <c r="C3430" t="s">
        <v>650</v>
      </c>
      <c r="D3430" t="s">
        <v>651</v>
      </c>
      <c r="E3430" s="8">
        <v>462790</v>
      </c>
      <c r="F3430" s="8">
        <v>108650</v>
      </c>
      <c r="G3430" s="8">
        <f t="shared" si="212"/>
        <v>50282133500</v>
      </c>
      <c r="H3430" s="5">
        <v>0.845</v>
      </c>
      <c r="I3430" s="8">
        <f t="shared" si="213"/>
        <v>50282133500</v>
      </c>
      <c r="J3430" s="8">
        <f t="shared" si="214"/>
        <v>42488402807.5</v>
      </c>
      <c r="K3430" t="str">
        <f t="shared" si="215"/>
        <v>MATCHED</v>
      </c>
    </row>
    <row r="3431" spans="1:11">
      <c r="A3431" t="s">
        <v>116</v>
      </c>
      <c r="B3431" t="s">
        <v>1601</v>
      </c>
      <c r="C3431" t="s">
        <v>1533</v>
      </c>
      <c r="D3431" t="s">
        <v>1534</v>
      </c>
      <c r="E3431" s="8">
        <v>2130</v>
      </c>
      <c r="F3431" s="8">
        <v>57140</v>
      </c>
      <c r="G3431" s="8">
        <f t="shared" si="212"/>
        <v>121708200</v>
      </c>
      <c r="H3431" s="5">
        <v>0.925</v>
      </c>
      <c r="I3431" s="8">
        <f t="shared" si="213"/>
        <v>121708200</v>
      </c>
      <c r="J3431" s="8">
        <f t="shared" si="214"/>
        <v>112580085</v>
      </c>
      <c r="K3431" t="str">
        <f t="shared" si="215"/>
        <v>MATCHED</v>
      </c>
    </row>
    <row r="3432" spans="1:11">
      <c r="A3432" t="s">
        <v>116</v>
      </c>
      <c r="B3432" t="s">
        <v>1601</v>
      </c>
      <c r="C3432" t="s">
        <v>361</v>
      </c>
      <c r="D3432" t="s">
        <v>362</v>
      </c>
      <c r="E3432" s="8">
        <v>21220</v>
      </c>
      <c r="F3432" s="8">
        <v>85670</v>
      </c>
      <c r="G3432" s="8">
        <f t="shared" si="212"/>
        <v>1817917400</v>
      </c>
      <c r="H3432" s="5">
        <v>0.73</v>
      </c>
      <c r="I3432" s="8">
        <f t="shared" si="213"/>
        <v>1817917400</v>
      </c>
      <c r="J3432" s="8">
        <f t="shared" si="214"/>
        <v>1327079702</v>
      </c>
      <c r="K3432" t="str">
        <f t="shared" si="215"/>
        <v>MATCHED</v>
      </c>
    </row>
    <row r="3433" spans="1:11">
      <c r="A3433" t="s">
        <v>116</v>
      </c>
      <c r="B3433" t="s">
        <v>1601</v>
      </c>
      <c r="C3433" t="s">
        <v>363</v>
      </c>
      <c r="D3433" t="s">
        <v>364</v>
      </c>
      <c r="E3433" s="8">
        <v>2260</v>
      </c>
      <c r="F3433" s="8">
        <v>71280</v>
      </c>
      <c r="G3433" s="8">
        <f t="shared" si="212"/>
        <v>161092800</v>
      </c>
      <c r="H3433" s="5">
        <v>0.5105</v>
      </c>
      <c r="I3433" s="8">
        <f t="shared" si="213"/>
        <v>161092800</v>
      </c>
      <c r="J3433" s="8">
        <f t="shared" si="214"/>
        <v>82237874.4</v>
      </c>
      <c r="K3433" t="str">
        <f t="shared" si="215"/>
        <v>MATCHED</v>
      </c>
    </row>
    <row r="3434" spans="1:11">
      <c r="A3434" t="s">
        <v>116</v>
      </c>
      <c r="B3434" t="s">
        <v>1601</v>
      </c>
      <c r="C3434" t="s">
        <v>1008</v>
      </c>
      <c r="D3434" t="s">
        <v>1009</v>
      </c>
      <c r="E3434" s="8">
        <v>2110</v>
      </c>
      <c r="F3434" s="8">
        <v>116290</v>
      </c>
      <c r="G3434" s="8">
        <f t="shared" si="212"/>
        <v>245371900</v>
      </c>
      <c r="H3434" s="5">
        <v>0.5816</v>
      </c>
      <c r="I3434" s="8">
        <f t="shared" si="213"/>
        <v>245371900</v>
      </c>
      <c r="J3434" s="8">
        <f t="shared" si="214"/>
        <v>142708297.04</v>
      </c>
      <c r="K3434" t="str">
        <f t="shared" si="215"/>
        <v>MATCHED</v>
      </c>
    </row>
    <row r="3435" spans="1:11">
      <c r="A3435" t="s">
        <v>116</v>
      </c>
      <c r="B3435" t="s">
        <v>1601</v>
      </c>
      <c r="C3435" t="s">
        <v>654</v>
      </c>
      <c r="D3435" t="s">
        <v>655</v>
      </c>
      <c r="E3435" s="8">
        <v>1710</v>
      </c>
      <c r="F3435" s="8">
        <v>81030</v>
      </c>
      <c r="G3435" s="8">
        <f t="shared" si="212"/>
        <v>138561300</v>
      </c>
      <c r="H3435" s="5">
        <v>0.5939</v>
      </c>
      <c r="I3435" s="8">
        <f t="shared" si="213"/>
        <v>138561300</v>
      </c>
      <c r="J3435" s="8">
        <f t="shared" si="214"/>
        <v>82291556.07</v>
      </c>
      <c r="K3435" t="str">
        <f t="shared" si="215"/>
        <v>MATCHED</v>
      </c>
    </row>
    <row r="3436" spans="1:11">
      <c r="A3436" t="s">
        <v>116</v>
      </c>
      <c r="B3436" t="s">
        <v>1601</v>
      </c>
      <c r="C3436" t="s">
        <v>656</v>
      </c>
      <c r="D3436" t="s">
        <v>657</v>
      </c>
      <c r="E3436" s="8">
        <v>330</v>
      </c>
      <c r="F3436" s="8">
        <v>143320</v>
      </c>
      <c r="G3436" s="8">
        <f t="shared" si="212"/>
        <v>47295600</v>
      </c>
      <c r="H3436" s="5">
        <v>0.518</v>
      </c>
      <c r="I3436" s="8">
        <f t="shared" si="213"/>
        <v>47295600</v>
      </c>
      <c r="J3436" s="8">
        <f t="shared" si="214"/>
        <v>24499120.8</v>
      </c>
      <c r="K3436" t="str">
        <f t="shared" si="215"/>
        <v>MATCHED</v>
      </c>
    </row>
    <row r="3437" spans="1:11">
      <c r="A3437" t="s">
        <v>116</v>
      </c>
      <c r="B3437" t="s">
        <v>1601</v>
      </c>
      <c r="C3437" t="s">
        <v>1010</v>
      </c>
      <c r="D3437" t="s">
        <v>1011</v>
      </c>
      <c r="E3437" s="8">
        <v>5430</v>
      </c>
      <c r="F3437" s="8">
        <v>44170</v>
      </c>
      <c r="G3437" s="8">
        <f t="shared" si="212"/>
        <v>239843100</v>
      </c>
      <c r="H3437" s="5">
        <v>0.9625</v>
      </c>
      <c r="I3437" s="8">
        <f t="shared" si="213"/>
        <v>239843100</v>
      </c>
      <c r="J3437" s="8">
        <f t="shared" si="214"/>
        <v>230848983.75</v>
      </c>
      <c r="K3437" t="str">
        <f t="shared" si="215"/>
        <v>MATCHED</v>
      </c>
    </row>
    <row r="3438" spans="1:11">
      <c r="A3438" t="s">
        <v>116</v>
      </c>
      <c r="B3438" t="s">
        <v>1601</v>
      </c>
      <c r="C3438" t="s">
        <v>365</v>
      </c>
      <c r="D3438" t="s">
        <v>366</v>
      </c>
      <c r="E3438" s="8">
        <v>15660</v>
      </c>
      <c r="F3438" s="8">
        <v>53400</v>
      </c>
      <c r="G3438" s="8">
        <f t="shared" si="212"/>
        <v>836244000</v>
      </c>
      <c r="H3438" s="5"/>
      <c r="I3438" s="8" t="str">
        <f t="shared" si="213"/>
        <v/>
      </c>
      <c r="J3438" s="8" t="str">
        <f t="shared" si="214"/>
        <v/>
      </c>
      <c r="K3438" t="str">
        <f t="shared" si="215"/>
        <v>MISSING WHARTON</v>
      </c>
    </row>
    <row r="3439" spans="1:11">
      <c r="A3439" t="s">
        <v>116</v>
      </c>
      <c r="B3439" t="s">
        <v>1601</v>
      </c>
      <c r="C3439" t="s">
        <v>367</v>
      </c>
      <c r="D3439" t="s">
        <v>368</v>
      </c>
      <c r="E3439" s="8">
        <v>176160</v>
      </c>
      <c r="F3439" s="8">
        <v>77640</v>
      </c>
      <c r="G3439" s="8">
        <f t="shared" si="212"/>
        <v>13677062400</v>
      </c>
      <c r="H3439" s="5">
        <v>0.5034</v>
      </c>
      <c r="I3439" s="8">
        <f t="shared" si="213"/>
        <v>13677062400</v>
      </c>
      <c r="J3439" s="8">
        <f t="shared" si="214"/>
        <v>6885033212.16</v>
      </c>
      <c r="K3439" t="str">
        <f t="shared" si="215"/>
        <v>MATCHED</v>
      </c>
    </row>
    <row r="3440" spans="1:11">
      <c r="A3440" t="s">
        <v>116</v>
      </c>
      <c r="B3440" t="s">
        <v>1601</v>
      </c>
      <c r="C3440" t="s">
        <v>1014</v>
      </c>
      <c r="D3440" t="s">
        <v>1015</v>
      </c>
      <c r="E3440" s="8">
        <v>660</v>
      </c>
      <c r="F3440" s="8">
        <v>42990</v>
      </c>
      <c r="G3440" s="8">
        <f t="shared" si="212"/>
        <v>28373400</v>
      </c>
      <c r="H3440" s="5">
        <v>0.7579</v>
      </c>
      <c r="I3440" s="8">
        <f t="shared" si="213"/>
        <v>28373400</v>
      </c>
      <c r="J3440" s="8">
        <f t="shared" si="214"/>
        <v>21504199.86</v>
      </c>
      <c r="K3440" t="str">
        <f t="shared" si="215"/>
        <v>MATCHED</v>
      </c>
    </row>
    <row r="3441" spans="1:11">
      <c r="A3441" t="s">
        <v>116</v>
      </c>
      <c r="B3441" t="s">
        <v>1601</v>
      </c>
      <c r="C3441" t="s">
        <v>1502</v>
      </c>
      <c r="D3441" t="s">
        <v>1503</v>
      </c>
      <c r="E3441" s="8">
        <v>60</v>
      </c>
      <c r="F3441" s="8">
        <v>37820</v>
      </c>
      <c r="G3441" s="8">
        <f t="shared" si="212"/>
        <v>2269200</v>
      </c>
      <c r="H3441" s="5">
        <v>0.9156</v>
      </c>
      <c r="I3441" s="8">
        <f t="shared" si="213"/>
        <v>2269200</v>
      </c>
      <c r="J3441" s="8">
        <f t="shared" si="214"/>
        <v>2077679.52</v>
      </c>
      <c r="K3441" t="str">
        <f t="shared" si="215"/>
        <v>MATCHED</v>
      </c>
    </row>
    <row r="3442" spans="1:11">
      <c r="A3442" t="s">
        <v>116</v>
      </c>
      <c r="B3442" t="s">
        <v>1601</v>
      </c>
      <c r="C3442" t="s">
        <v>1597</v>
      </c>
      <c r="D3442" t="s">
        <v>1598</v>
      </c>
      <c r="E3442" s="8">
        <v>70</v>
      </c>
      <c r="F3442" s="8">
        <v>54770</v>
      </c>
      <c r="G3442" s="8">
        <f t="shared" si="212"/>
        <v>3833900</v>
      </c>
      <c r="H3442" s="5"/>
      <c r="I3442" s="8" t="str">
        <f t="shared" si="213"/>
        <v/>
      </c>
      <c r="J3442" s="8" t="str">
        <f t="shared" si="214"/>
        <v/>
      </c>
      <c r="K3442" t="str">
        <f t="shared" si="215"/>
        <v>MISSING WHARTON</v>
      </c>
    </row>
    <row r="3443" spans="1:11">
      <c r="A3443" t="s">
        <v>116</v>
      </c>
      <c r="B3443" t="s">
        <v>1601</v>
      </c>
      <c r="C3443" t="s">
        <v>880</v>
      </c>
      <c r="D3443" t="s">
        <v>881</v>
      </c>
      <c r="E3443" s="8">
        <v>36970</v>
      </c>
      <c r="F3443" s="8">
        <v>50840</v>
      </c>
      <c r="G3443" s="8">
        <f t="shared" si="212"/>
        <v>1879554800</v>
      </c>
      <c r="H3443" s="5">
        <v>0.9</v>
      </c>
      <c r="I3443" s="8">
        <f t="shared" si="213"/>
        <v>1879554800</v>
      </c>
      <c r="J3443" s="8">
        <f t="shared" si="214"/>
        <v>1691599320</v>
      </c>
      <c r="K3443" t="str">
        <f t="shared" si="215"/>
        <v>MATCHED</v>
      </c>
    </row>
    <row r="3444" spans="1:11">
      <c r="A3444" t="s">
        <v>116</v>
      </c>
      <c r="B3444" t="s">
        <v>1601</v>
      </c>
      <c r="C3444" t="s">
        <v>369</v>
      </c>
      <c r="D3444" t="s">
        <v>370</v>
      </c>
      <c r="E3444" s="8">
        <v>17060</v>
      </c>
      <c r="F3444" s="8">
        <v>51780</v>
      </c>
      <c r="G3444" s="8">
        <f t="shared" si="212"/>
        <v>883366800</v>
      </c>
      <c r="H3444" s="5">
        <v>0.8617</v>
      </c>
      <c r="I3444" s="8">
        <f t="shared" si="213"/>
        <v>883366800</v>
      </c>
      <c r="J3444" s="8">
        <f t="shared" si="214"/>
        <v>761197171.56</v>
      </c>
      <c r="K3444" t="str">
        <f t="shared" si="215"/>
        <v>MATCHED</v>
      </c>
    </row>
    <row r="3445" spans="1:11">
      <c r="A3445" t="s">
        <v>116</v>
      </c>
      <c r="B3445" t="s">
        <v>1601</v>
      </c>
      <c r="C3445" t="s">
        <v>371</v>
      </c>
      <c r="D3445" t="s">
        <v>372</v>
      </c>
      <c r="E3445" s="8">
        <v>83380</v>
      </c>
      <c r="F3445" s="8">
        <v>54310</v>
      </c>
      <c r="G3445" s="8">
        <f t="shared" si="212"/>
        <v>4528367800</v>
      </c>
      <c r="H3445" s="5">
        <v>0.9517</v>
      </c>
      <c r="I3445" s="8">
        <f t="shared" si="213"/>
        <v>4528367800</v>
      </c>
      <c r="J3445" s="8">
        <f t="shared" si="214"/>
        <v>4309647635.26</v>
      </c>
      <c r="K3445" t="str">
        <f t="shared" si="215"/>
        <v>MATCHED</v>
      </c>
    </row>
    <row r="3446" spans="1:11">
      <c r="A3446" t="s">
        <v>116</v>
      </c>
      <c r="B3446" t="s">
        <v>1601</v>
      </c>
      <c r="C3446" t="s">
        <v>373</v>
      </c>
      <c r="D3446" t="s">
        <v>374</v>
      </c>
      <c r="E3446" s="8">
        <v>4640</v>
      </c>
      <c r="F3446" s="8">
        <v>63060</v>
      </c>
      <c r="G3446" s="8">
        <f t="shared" si="212"/>
        <v>292598400</v>
      </c>
      <c r="H3446" s="5">
        <v>0.9409</v>
      </c>
      <c r="I3446" s="8">
        <f t="shared" si="213"/>
        <v>292598400</v>
      </c>
      <c r="J3446" s="8">
        <f t="shared" si="214"/>
        <v>275305834.56</v>
      </c>
      <c r="K3446" t="str">
        <f t="shared" si="215"/>
        <v>MATCHED</v>
      </c>
    </row>
    <row r="3447" spans="1:11">
      <c r="A3447" t="s">
        <v>116</v>
      </c>
      <c r="B3447" t="s">
        <v>1601</v>
      </c>
      <c r="C3447" t="s">
        <v>375</v>
      </c>
      <c r="D3447" t="s">
        <v>376</v>
      </c>
      <c r="E3447" s="8">
        <v>520</v>
      </c>
      <c r="F3447" s="8">
        <v>55860</v>
      </c>
      <c r="G3447" s="8">
        <f t="shared" si="212"/>
        <v>29047200</v>
      </c>
      <c r="H3447" s="5">
        <v>0.8237</v>
      </c>
      <c r="I3447" s="8">
        <f t="shared" si="213"/>
        <v>29047200</v>
      </c>
      <c r="J3447" s="8">
        <f t="shared" si="214"/>
        <v>23926178.64</v>
      </c>
      <c r="K3447" t="str">
        <f t="shared" si="215"/>
        <v>MATCHED</v>
      </c>
    </row>
    <row r="3448" spans="1:11">
      <c r="A3448" t="s">
        <v>116</v>
      </c>
      <c r="B3448" t="s">
        <v>1601</v>
      </c>
      <c r="C3448" t="s">
        <v>882</v>
      </c>
      <c r="D3448" t="s">
        <v>883</v>
      </c>
      <c r="E3448" s="8">
        <v>321310</v>
      </c>
      <c r="F3448" s="8">
        <v>42330</v>
      </c>
      <c r="G3448" s="8">
        <f t="shared" si="212"/>
        <v>13601052300</v>
      </c>
      <c r="H3448" s="5">
        <v>0.9138</v>
      </c>
      <c r="I3448" s="8">
        <f t="shared" si="213"/>
        <v>13601052300</v>
      </c>
      <c r="J3448" s="8">
        <f t="shared" si="214"/>
        <v>12428641591.74</v>
      </c>
      <c r="K3448" t="str">
        <f t="shared" si="215"/>
        <v>MATCHED</v>
      </c>
    </row>
    <row r="3449" spans="1:11">
      <c r="A3449" t="s">
        <v>116</v>
      </c>
      <c r="B3449" t="s">
        <v>1601</v>
      </c>
      <c r="C3449" t="s">
        <v>884</v>
      </c>
      <c r="D3449" t="s">
        <v>885</v>
      </c>
      <c r="E3449" s="8">
        <v>23050</v>
      </c>
      <c r="F3449" s="8">
        <v>58740</v>
      </c>
      <c r="G3449" s="8">
        <f t="shared" si="212"/>
        <v>1353957000</v>
      </c>
      <c r="H3449" s="5"/>
      <c r="I3449" s="8" t="str">
        <f t="shared" si="213"/>
        <v/>
      </c>
      <c r="J3449" s="8" t="str">
        <f t="shared" si="214"/>
        <v/>
      </c>
      <c r="K3449" t="str">
        <f t="shared" si="215"/>
        <v>MISSING WHARTON</v>
      </c>
    </row>
    <row r="3450" spans="1:11">
      <c r="A3450" t="s">
        <v>116</v>
      </c>
      <c r="B3450" t="s">
        <v>1601</v>
      </c>
      <c r="C3450" t="s">
        <v>1453</v>
      </c>
      <c r="D3450" t="s">
        <v>1454</v>
      </c>
      <c r="E3450" s="8">
        <v>31290</v>
      </c>
      <c r="F3450" s="8">
        <v>74190</v>
      </c>
      <c r="G3450" s="8">
        <f t="shared" si="212"/>
        <v>2321405100</v>
      </c>
      <c r="H3450" s="5">
        <v>0.95</v>
      </c>
      <c r="I3450" s="8">
        <f t="shared" si="213"/>
        <v>2321405100</v>
      </c>
      <c r="J3450" s="8">
        <f t="shared" si="214"/>
        <v>2205334845</v>
      </c>
      <c r="K3450" t="str">
        <f t="shared" si="215"/>
        <v>MATCHED</v>
      </c>
    </row>
    <row r="3451" spans="1:11">
      <c r="A3451" t="s">
        <v>116</v>
      </c>
      <c r="B3451" t="s">
        <v>1601</v>
      </c>
      <c r="C3451" t="s">
        <v>1284</v>
      </c>
      <c r="D3451" t="s">
        <v>1285</v>
      </c>
      <c r="E3451" s="8">
        <v>820</v>
      </c>
      <c r="F3451" s="8">
        <v>50620</v>
      </c>
      <c r="G3451" s="8">
        <f t="shared" si="212"/>
        <v>41508400</v>
      </c>
      <c r="H3451" s="5">
        <v>0.85</v>
      </c>
      <c r="I3451" s="8">
        <f t="shared" si="213"/>
        <v>41508400</v>
      </c>
      <c r="J3451" s="8">
        <f t="shared" si="214"/>
        <v>35282140</v>
      </c>
      <c r="K3451" t="str">
        <f t="shared" si="215"/>
        <v>MATCHED</v>
      </c>
    </row>
    <row r="3452" spans="1:11">
      <c r="A3452" t="s">
        <v>116</v>
      </c>
      <c r="B3452" t="s">
        <v>1601</v>
      </c>
      <c r="C3452" t="s">
        <v>1016</v>
      </c>
      <c r="D3452" t="s">
        <v>1017</v>
      </c>
      <c r="E3452" s="8">
        <v>3290</v>
      </c>
      <c r="F3452" s="8">
        <v>53360</v>
      </c>
      <c r="G3452" s="8">
        <f t="shared" si="212"/>
        <v>175554400</v>
      </c>
      <c r="H3452" s="5">
        <v>0.9469</v>
      </c>
      <c r="I3452" s="8">
        <f t="shared" si="213"/>
        <v>175554400</v>
      </c>
      <c r="J3452" s="8">
        <f t="shared" si="214"/>
        <v>166232461.36</v>
      </c>
      <c r="K3452" t="str">
        <f t="shared" si="215"/>
        <v>MATCHED</v>
      </c>
    </row>
    <row r="3453" spans="1:11">
      <c r="A3453" t="s">
        <v>116</v>
      </c>
      <c r="B3453" t="s">
        <v>1601</v>
      </c>
      <c r="C3453" t="s">
        <v>377</v>
      </c>
      <c r="D3453" t="s">
        <v>378</v>
      </c>
      <c r="E3453" s="8">
        <v>481180</v>
      </c>
      <c r="F3453" s="8">
        <v>50230</v>
      </c>
      <c r="G3453" s="8">
        <f t="shared" si="212"/>
        <v>24169671400</v>
      </c>
      <c r="H3453" s="5">
        <v>0.82</v>
      </c>
      <c r="I3453" s="8">
        <f t="shared" si="213"/>
        <v>24169671400</v>
      </c>
      <c r="J3453" s="8">
        <f t="shared" si="214"/>
        <v>19819130548</v>
      </c>
      <c r="K3453" t="str">
        <f t="shared" si="215"/>
        <v>MATCHED</v>
      </c>
    </row>
    <row r="3454" spans="1:11">
      <c r="A3454" t="s">
        <v>116</v>
      </c>
      <c r="B3454" t="s">
        <v>1601</v>
      </c>
      <c r="C3454" t="s">
        <v>1535</v>
      </c>
      <c r="D3454" t="s">
        <v>1536</v>
      </c>
      <c r="E3454" s="8">
        <v>410</v>
      </c>
      <c r="F3454" s="8">
        <v>56460</v>
      </c>
      <c r="G3454" s="8">
        <f t="shared" si="212"/>
        <v>23148600</v>
      </c>
      <c r="H3454" s="5">
        <v>0.7912</v>
      </c>
      <c r="I3454" s="8">
        <f t="shared" si="213"/>
        <v>23148600</v>
      </c>
      <c r="J3454" s="8">
        <f t="shared" si="214"/>
        <v>18315172.32</v>
      </c>
      <c r="K3454" t="str">
        <f t="shared" si="215"/>
        <v>MATCHED</v>
      </c>
    </row>
    <row r="3455" spans="1:11">
      <c r="A3455" t="s">
        <v>116</v>
      </c>
      <c r="B3455" t="s">
        <v>1601</v>
      </c>
      <c r="C3455" t="s">
        <v>379</v>
      </c>
      <c r="D3455" t="s">
        <v>380</v>
      </c>
      <c r="E3455" s="8">
        <v>5890</v>
      </c>
      <c r="F3455" s="8">
        <v>44500</v>
      </c>
      <c r="G3455" s="8">
        <f t="shared" si="212"/>
        <v>262105000</v>
      </c>
      <c r="H3455" s="5">
        <v>0.7526</v>
      </c>
      <c r="I3455" s="8">
        <f t="shared" si="213"/>
        <v>262105000</v>
      </c>
      <c r="J3455" s="8">
        <f t="shared" si="214"/>
        <v>197260223</v>
      </c>
      <c r="K3455" t="str">
        <f t="shared" si="215"/>
        <v>MATCHED</v>
      </c>
    </row>
    <row r="3456" spans="1:11">
      <c r="A3456" t="s">
        <v>116</v>
      </c>
      <c r="B3456" t="s">
        <v>1601</v>
      </c>
      <c r="C3456" t="s">
        <v>1286</v>
      </c>
      <c r="D3456" t="s">
        <v>1287</v>
      </c>
      <c r="E3456" s="8">
        <v>1730</v>
      </c>
      <c r="F3456" s="8">
        <v>51220</v>
      </c>
      <c r="G3456" s="8">
        <f t="shared" si="212"/>
        <v>88610600</v>
      </c>
      <c r="H3456" s="5">
        <v>0.7088</v>
      </c>
      <c r="I3456" s="8">
        <f t="shared" si="213"/>
        <v>88610600</v>
      </c>
      <c r="J3456" s="8">
        <f t="shared" si="214"/>
        <v>62807193.28</v>
      </c>
      <c r="K3456" t="str">
        <f t="shared" si="215"/>
        <v>MATCHED</v>
      </c>
    </row>
    <row r="3457" spans="1:11">
      <c r="A3457" t="s">
        <v>116</v>
      </c>
      <c r="B3457" t="s">
        <v>1601</v>
      </c>
      <c r="C3457" t="s">
        <v>1018</v>
      </c>
      <c r="D3457" t="s">
        <v>1019</v>
      </c>
      <c r="E3457" s="8">
        <v>141310</v>
      </c>
      <c r="F3457" s="8">
        <v>52410</v>
      </c>
      <c r="G3457" s="8">
        <f t="shared" si="212"/>
        <v>7406057100</v>
      </c>
      <c r="H3457" s="5">
        <v>0.9111</v>
      </c>
      <c r="I3457" s="8">
        <f t="shared" si="213"/>
        <v>7406057100</v>
      </c>
      <c r="J3457" s="8">
        <f t="shared" si="214"/>
        <v>6747658623.81</v>
      </c>
      <c r="K3457" t="str">
        <f t="shared" si="215"/>
        <v>MATCHED</v>
      </c>
    </row>
    <row r="3458" spans="1:11">
      <c r="A3458" t="s">
        <v>116</v>
      </c>
      <c r="B3458" t="s">
        <v>1601</v>
      </c>
      <c r="C3458" t="s">
        <v>1624</v>
      </c>
      <c r="D3458" t="s">
        <v>1625</v>
      </c>
      <c r="E3458" s="8">
        <v>35830</v>
      </c>
      <c r="F3458" s="8">
        <v>49300</v>
      </c>
      <c r="G3458" s="8">
        <f t="shared" ref="G3458:G3521" si="216">IF(OR(E3458="",F3458=""),"",E3458*F3458)</f>
        <v>1766419000</v>
      </c>
      <c r="H3458" s="5">
        <v>0.7633</v>
      </c>
      <c r="I3458" s="8">
        <f t="shared" ref="I3458:I3521" si="217">IF(G3458="","",IF(ISNUMBER(H3458),G3458,""))</f>
        <v>1766419000</v>
      </c>
      <c r="J3458" s="8">
        <f t="shared" ref="J3458:J3521" si="218">IF(I3458="","",I3458*H3458)</f>
        <v>1348307622.7</v>
      </c>
      <c r="K3458" t="str">
        <f t="shared" ref="K3458:K3521" si="219">IF(G3458="","MISSING OEWS",IF(ISNUMBER(H3458),"MATCHED","MISSING WHARTON"))</f>
        <v>MATCHED</v>
      </c>
    </row>
    <row r="3459" spans="1:11">
      <c r="A3459" t="s">
        <v>116</v>
      </c>
      <c r="B3459" t="s">
        <v>1601</v>
      </c>
      <c r="C3459" t="s">
        <v>381</v>
      </c>
      <c r="D3459" t="s">
        <v>382</v>
      </c>
      <c r="E3459" s="8">
        <v>350</v>
      </c>
      <c r="F3459" s="8">
        <v>45780</v>
      </c>
      <c r="G3459" s="8">
        <f t="shared" si="216"/>
        <v>16023000</v>
      </c>
      <c r="H3459" s="5">
        <v>0.9553</v>
      </c>
      <c r="I3459" s="8">
        <f t="shared" si="217"/>
        <v>16023000</v>
      </c>
      <c r="J3459" s="8">
        <f t="shared" si="218"/>
        <v>15306771.9</v>
      </c>
      <c r="K3459" t="str">
        <f t="shared" si="219"/>
        <v>MATCHED</v>
      </c>
    </row>
    <row r="3460" spans="1:11">
      <c r="A3460" t="s">
        <v>116</v>
      </c>
      <c r="B3460" t="s">
        <v>1601</v>
      </c>
      <c r="C3460" t="s">
        <v>383</v>
      </c>
      <c r="D3460" t="s">
        <v>384</v>
      </c>
      <c r="E3460" s="8">
        <v>4490</v>
      </c>
      <c r="F3460" s="8">
        <v>51700</v>
      </c>
      <c r="G3460" s="8">
        <f t="shared" si="216"/>
        <v>232133000</v>
      </c>
      <c r="H3460" s="5">
        <v>0.8342</v>
      </c>
      <c r="I3460" s="8">
        <f t="shared" si="217"/>
        <v>232133000</v>
      </c>
      <c r="J3460" s="8">
        <f t="shared" si="218"/>
        <v>193645348.6</v>
      </c>
      <c r="K3460" t="str">
        <f t="shared" si="219"/>
        <v>MATCHED</v>
      </c>
    </row>
    <row r="3461" spans="1:11">
      <c r="A3461" t="s">
        <v>116</v>
      </c>
      <c r="B3461" t="s">
        <v>1601</v>
      </c>
      <c r="C3461" t="s">
        <v>385</v>
      </c>
      <c r="D3461" t="s">
        <v>386</v>
      </c>
      <c r="E3461" s="8">
        <v>21200</v>
      </c>
      <c r="F3461" s="8">
        <v>41320</v>
      </c>
      <c r="G3461" s="8">
        <f t="shared" si="216"/>
        <v>875984000</v>
      </c>
      <c r="H3461" s="5">
        <v>0.7368</v>
      </c>
      <c r="I3461" s="8">
        <f t="shared" si="217"/>
        <v>875984000</v>
      </c>
      <c r="J3461" s="8">
        <f t="shared" si="218"/>
        <v>645425011.2</v>
      </c>
      <c r="K3461" t="str">
        <f t="shared" si="219"/>
        <v>MATCHED</v>
      </c>
    </row>
    <row r="3462" spans="1:11">
      <c r="A3462" t="s">
        <v>116</v>
      </c>
      <c r="B3462" t="s">
        <v>1601</v>
      </c>
      <c r="C3462" t="s">
        <v>658</v>
      </c>
      <c r="D3462" t="s">
        <v>659</v>
      </c>
      <c r="E3462" s="8">
        <v>2490</v>
      </c>
      <c r="F3462" s="8">
        <v>53790</v>
      </c>
      <c r="G3462" s="8">
        <f t="shared" si="216"/>
        <v>133937100</v>
      </c>
      <c r="H3462" s="5"/>
      <c r="I3462" s="8" t="str">
        <f t="shared" si="217"/>
        <v/>
      </c>
      <c r="J3462" s="8" t="str">
        <f t="shared" si="218"/>
        <v/>
      </c>
      <c r="K3462" t="str">
        <f t="shared" si="219"/>
        <v>MISSING WHARTON</v>
      </c>
    </row>
    <row r="3463" spans="1:11">
      <c r="A3463" t="s">
        <v>116</v>
      </c>
      <c r="B3463" t="s">
        <v>1601</v>
      </c>
      <c r="C3463" t="s">
        <v>886</v>
      </c>
      <c r="D3463" t="s">
        <v>887</v>
      </c>
      <c r="E3463" s="8">
        <v>2030</v>
      </c>
      <c r="F3463" s="8">
        <v>38080</v>
      </c>
      <c r="G3463" s="8">
        <f t="shared" si="216"/>
        <v>77302400</v>
      </c>
      <c r="H3463" s="5">
        <v>0.2235</v>
      </c>
      <c r="I3463" s="8">
        <f t="shared" si="217"/>
        <v>77302400</v>
      </c>
      <c r="J3463" s="8">
        <f t="shared" si="218"/>
        <v>17277086.4</v>
      </c>
      <c r="K3463" t="str">
        <f t="shared" si="219"/>
        <v>MATCHED</v>
      </c>
    </row>
    <row r="3464" spans="1:11">
      <c r="A3464" t="s">
        <v>116</v>
      </c>
      <c r="B3464" t="s">
        <v>1601</v>
      </c>
      <c r="C3464" t="s">
        <v>387</v>
      </c>
      <c r="D3464" t="s">
        <v>388</v>
      </c>
      <c r="E3464" s="8">
        <v>280</v>
      </c>
      <c r="F3464" s="8">
        <v>44270</v>
      </c>
      <c r="G3464" s="8">
        <f t="shared" si="216"/>
        <v>12395600</v>
      </c>
      <c r="H3464" s="5">
        <v>0.8192</v>
      </c>
      <c r="I3464" s="8">
        <f t="shared" si="217"/>
        <v>12395600</v>
      </c>
      <c r="J3464" s="8">
        <f t="shared" si="218"/>
        <v>10154475.52</v>
      </c>
      <c r="K3464" t="str">
        <f t="shared" si="219"/>
        <v>MATCHED</v>
      </c>
    </row>
    <row r="3465" spans="1:11">
      <c r="A3465" t="s">
        <v>116</v>
      </c>
      <c r="B3465" t="s">
        <v>1601</v>
      </c>
      <c r="C3465" t="s">
        <v>389</v>
      </c>
      <c r="D3465" t="s">
        <v>390</v>
      </c>
      <c r="E3465" s="8">
        <v>4110</v>
      </c>
      <c r="F3465" s="8">
        <v>60640</v>
      </c>
      <c r="G3465" s="8">
        <f t="shared" si="216"/>
        <v>249230400</v>
      </c>
      <c r="H3465" s="5">
        <v>0.7794</v>
      </c>
      <c r="I3465" s="8">
        <f t="shared" si="217"/>
        <v>249230400</v>
      </c>
      <c r="J3465" s="8">
        <f t="shared" si="218"/>
        <v>194250173.76</v>
      </c>
      <c r="K3465" t="str">
        <f t="shared" si="219"/>
        <v>MATCHED</v>
      </c>
    </row>
    <row r="3466" spans="1:11">
      <c r="A3466" t="s">
        <v>116</v>
      </c>
      <c r="B3466" t="s">
        <v>1601</v>
      </c>
      <c r="C3466" t="s">
        <v>391</v>
      </c>
      <c r="D3466" t="s">
        <v>392</v>
      </c>
      <c r="E3466" s="8">
        <v>1390</v>
      </c>
      <c r="F3466" s="8">
        <v>48310</v>
      </c>
      <c r="G3466" s="8">
        <f t="shared" si="216"/>
        <v>67150900</v>
      </c>
      <c r="H3466" s="5">
        <v>0.6455</v>
      </c>
      <c r="I3466" s="8">
        <f t="shared" si="217"/>
        <v>67150900</v>
      </c>
      <c r="J3466" s="8">
        <f t="shared" si="218"/>
        <v>43345905.95</v>
      </c>
      <c r="K3466" t="str">
        <f t="shared" si="219"/>
        <v>MATCHED</v>
      </c>
    </row>
    <row r="3467" spans="1:11">
      <c r="A3467" t="s">
        <v>116</v>
      </c>
      <c r="B3467" t="s">
        <v>1601</v>
      </c>
      <c r="C3467" t="s">
        <v>395</v>
      </c>
      <c r="D3467" t="s">
        <v>396</v>
      </c>
      <c r="E3467" s="8">
        <v>59220</v>
      </c>
      <c r="F3467" s="8">
        <v>85770</v>
      </c>
      <c r="G3467" s="8">
        <f t="shared" si="216"/>
        <v>5079299400</v>
      </c>
      <c r="H3467" s="5">
        <v>0.7955</v>
      </c>
      <c r="I3467" s="8">
        <f t="shared" si="217"/>
        <v>5079299400</v>
      </c>
      <c r="J3467" s="8">
        <f t="shared" si="218"/>
        <v>4040582672.7</v>
      </c>
      <c r="K3467" t="str">
        <f t="shared" si="219"/>
        <v>MATCHED</v>
      </c>
    </row>
    <row r="3468" spans="1:11">
      <c r="A3468" t="s">
        <v>116</v>
      </c>
      <c r="B3468" t="s">
        <v>1601</v>
      </c>
      <c r="C3468" t="s">
        <v>890</v>
      </c>
      <c r="D3468" t="s">
        <v>891</v>
      </c>
      <c r="E3468" s="8">
        <v>1880</v>
      </c>
      <c r="F3468" s="8">
        <v>72440</v>
      </c>
      <c r="G3468" s="8">
        <f t="shared" si="216"/>
        <v>136187200</v>
      </c>
      <c r="H3468" s="5">
        <v>0.8679</v>
      </c>
      <c r="I3468" s="8">
        <f t="shared" si="217"/>
        <v>136187200</v>
      </c>
      <c r="J3468" s="8">
        <f t="shared" si="218"/>
        <v>118196870.88</v>
      </c>
      <c r="K3468" t="str">
        <f t="shared" si="219"/>
        <v>MATCHED</v>
      </c>
    </row>
    <row r="3469" spans="1:11">
      <c r="A3469" t="s">
        <v>116</v>
      </c>
      <c r="B3469" t="s">
        <v>1601</v>
      </c>
      <c r="C3469" t="s">
        <v>1290</v>
      </c>
      <c r="D3469" t="s">
        <v>1291</v>
      </c>
      <c r="E3469" s="8">
        <v>6070</v>
      </c>
      <c r="F3469" s="8">
        <v>48180</v>
      </c>
      <c r="G3469" s="8">
        <f t="shared" si="216"/>
        <v>292452600</v>
      </c>
      <c r="H3469" s="5">
        <v>0.9031</v>
      </c>
      <c r="I3469" s="8">
        <f t="shared" si="217"/>
        <v>292452600</v>
      </c>
      <c r="J3469" s="8">
        <f t="shared" si="218"/>
        <v>264113943.06</v>
      </c>
      <c r="K3469" t="str">
        <f t="shared" si="219"/>
        <v>MATCHED</v>
      </c>
    </row>
    <row r="3470" spans="1:11">
      <c r="A3470" t="s">
        <v>116</v>
      </c>
      <c r="B3470" t="s">
        <v>1601</v>
      </c>
      <c r="C3470" t="s">
        <v>397</v>
      </c>
      <c r="D3470" t="s">
        <v>398</v>
      </c>
      <c r="E3470" s="8">
        <v>84600</v>
      </c>
      <c r="F3470" s="8">
        <v>52670</v>
      </c>
      <c r="G3470" s="8">
        <f t="shared" si="216"/>
        <v>4455882000</v>
      </c>
      <c r="H3470" s="5">
        <v>0.8031</v>
      </c>
      <c r="I3470" s="8">
        <f t="shared" si="217"/>
        <v>4455882000</v>
      </c>
      <c r="J3470" s="8">
        <f t="shared" si="218"/>
        <v>3578518834.2</v>
      </c>
      <c r="K3470" t="str">
        <f t="shared" si="219"/>
        <v>MATCHED</v>
      </c>
    </row>
    <row r="3471" spans="1:11">
      <c r="A3471" t="s">
        <v>116</v>
      </c>
      <c r="B3471" t="s">
        <v>1601</v>
      </c>
      <c r="C3471" t="s">
        <v>399</v>
      </c>
      <c r="D3471" t="s">
        <v>400</v>
      </c>
      <c r="E3471" s="8">
        <v>8110</v>
      </c>
      <c r="F3471" s="8">
        <v>45980</v>
      </c>
      <c r="G3471" s="8">
        <f t="shared" si="216"/>
        <v>372897800</v>
      </c>
      <c r="H3471" s="5">
        <v>0.75</v>
      </c>
      <c r="I3471" s="8">
        <f t="shared" si="217"/>
        <v>372897800</v>
      </c>
      <c r="J3471" s="8">
        <f t="shared" si="218"/>
        <v>279673350</v>
      </c>
      <c r="K3471" t="str">
        <f t="shared" si="219"/>
        <v>MATCHED</v>
      </c>
    </row>
    <row r="3472" spans="1:11">
      <c r="A3472" t="s">
        <v>116</v>
      </c>
      <c r="B3472" t="s">
        <v>1601</v>
      </c>
      <c r="C3472" t="s">
        <v>1455</v>
      </c>
      <c r="D3472" t="s">
        <v>1456</v>
      </c>
      <c r="E3472" s="8">
        <v>440</v>
      </c>
      <c r="F3472" s="8">
        <v>50350</v>
      </c>
      <c r="G3472" s="8">
        <f t="shared" si="216"/>
        <v>22154000</v>
      </c>
      <c r="H3472" s="5">
        <v>0.835</v>
      </c>
      <c r="I3472" s="8">
        <f t="shared" si="217"/>
        <v>22154000</v>
      </c>
      <c r="J3472" s="8">
        <f t="shared" si="218"/>
        <v>18498590</v>
      </c>
      <c r="K3472" t="str">
        <f t="shared" si="219"/>
        <v>MATCHED</v>
      </c>
    </row>
    <row r="3473" spans="1:11">
      <c r="A3473" t="s">
        <v>116</v>
      </c>
      <c r="B3473" t="s">
        <v>1601</v>
      </c>
      <c r="C3473" t="s">
        <v>1292</v>
      </c>
      <c r="D3473" t="s">
        <v>1293</v>
      </c>
      <c r="E3473" s="8">
        <v>120</v>
      </c>
      <c r="F3473" s="8">
        <v>63910</v>
      </c>
      <c r="G3473" s="8">
        <f t="shared" si="216"/>
        <v>7669200</v>
      </c>
      <c r="H3473" s="5">
        <v>0.9417</v>
      </c>
      <c r="I3473" s="8">
        <f t="shared" si="217"/>
        <v>7669200</v>
      </c>
      <c r="J3473" s="8">
        <f t="shared" si="218"/>
        <v>7222085.64</v>
      </c>
      <c r="K3473" t="str">
        <f t="shared" si="219"/>
        <v>MATCHED</v>
      </c>
    </row>
    <row r="3474" spans="1:11">
      <c r="A3474" t="s">
        <v>116</v>
      </c>
      <c r="B3474" t="s">
        <v>1601</v>
      </c>
      <c r="C3474" t="s">
        <v>1020</v>
      </c>
      <c r="D3474" t="s">
        <v>1021</v>
      </c>
      <c r="E3474" s="8">
        <v>170640</v>
      </c>
      <c r="F3474" s="8">
        <v>53920</v>
      </c>
      <c r="G3474" s="8">
        <f t="shared" si="216"/>
        <v>9200908800</v>
      </c>
      <c r="H3474" s="5">
        <v>0.9519</v>
      </c>
      <c r="I3474" s="8">
        <f t="shared" si="217"/>
        <v>9200908800</v>
      </c>
      <c r="J3474" s="8">
        <f t="shared" si="218"/>
        <v>8758345086.72</v>
      </c>
      <c r="K3474" t="str">
        <f t="shared" si="219"/>
        <v>MATCHED</v>
      </c>
    </row>
    <row r="3475" spans="1:11">
      <c r="A3475" t="s">
        <v>116</v>
      </c>
      <c r="B3475" t="s">
        <v>1601</v>
      </c>
      <c r="C3475" t="s">
        <v>892</v>
      </c>
      <c r="D3475" t="s">
        <v>893</v>
      </c>
      <c r="E3475" s="8">
        <v>5290</v>
      </c>
      <c r="F3475" s="8">
        <v>44020</v>
      </c>
      <c r="G3475" s="8">
        <f t="shared" si="216"/>
        <v>232865800</v>
      </c>
      <c r="H3475" s="5">
        <v>0.231</v>
      </c>
      <c r="I3475" s="8">
        <f t="shared" si="217"/>
        <v>232865800</v>
      </c>
      <c r="J3475" s="8">
        <f t="shared" si="218"/>
        <v>53791999.8</v>
      </c>
      <c r="K3475" t="str">
        <f t="shared" si="219"/>
        <v>MATCHED</v>
      </c>
    </row>
    <row r="3476" spans="1:11">
      <c r="A3476" t="s">
        <v>116</v>
      </c>
      <c r="B3476" t="s">
        <v>1601</v>
      </c>
      <c r="C3476" t="s">
        <v>401</v>
      </c>
      <c r="D3476" t="s">
        <v>402</v>
      </c>
      <c r="E3476" s="8">
        <v>101610</v>
      </c>
      <c r="F3476" s="8">
        <v>48930</v>
      </c>
      <c r="G3476" s="8">
        <f t="shared" si="216"/>
        <v>4971777300</v>
      </c>
      <c r="H3476" s="5">
        <v>0.7452</v>
      </c>
      <c r="I3476" s="8">
        <f t="shared" si="217"/>
        <v>4971777300</v>
      </c>
      <c r="J3476" s="8">
        <f t="shared" si="218"/>
        <v>3704968443.96</v>
      </c>
      <c r="K3476" t="str">
        <f t="shared" si="219"/>
        <v>MATCHED</v>
      </c>
    </row>
    <row r="3477" spans="1:11">
      <c r="A3477" t="s">
        <v>116</v>
      </c>
      <c r="B3477" t="s">
        <v>1601</v>
      </c>
      <c r="C3477" t="s">
        <v>660</v>
      </c>
      <c r="D3477" t="s">
        <v>661</v>
      </c>
      <c r="E3477" s="8">
        <v>2290</v>
      </c>
      <c r="F3477" s="8">
        <v>45160</v>
      </c>
      <c r="G3477" s="8">
        <f t="shared" si="216"/>
        <v>103416400</v>
      </c>
      <c r="H3477" s="5">
        <v>0.2639</v>
      </c>
      <c r="I3477" s="8">
        <f t="shared" si="217"/>
        <v>103416400</v>
      </c>
      <c r="J3477" s="8">
        <f t="shared" si="218"/>
        <v>27291587.96</v>
      </c>
      <c r="K3477" t="str">
        <f t="shared" si="219"/>
        <v>MATCHED</v>
      </c>
    </row>
    <row r="3478" spans="1:11">
      <c r="A3478" t="s">
        <v>116</v>
      </c>
      <c r="B3478" t="s">
        <v>1601</v>
      </c>
      <c r="C3478" t="s">
        <v>1294</v>
      </c>
      <c r="D3478" t="s">
        <v>1295</v>
      </c>
      <c r="E3478" s="8">
        <v>70</v>
      </c>
      <c r="F3478" s="8">
        <v>53570</v>
      </c>
      <c r="G3478" s="8">
        <f t="shared" si="216"/>
        <v>3749900</v>
      </c>
      <c r="H3478" s="5">
        <v>0.9273</v>
      </c>
      <c r="I3478" s="8">
        <f t="shared" si="217"/>
        <v>3749900</v>
      </c>
      <c r="J3478" s="8">
        <f t="shared" si="218"/>
        <v>3477282.27</v>
      </c>
      <c r="K3478" t="str">
        <f t="shared" si="219"/>
        <v>MATCHED</v>
      </c>
    </row>
    <row r="3479" spans="1:11">
      <c r="A3479" t="s">
        <v>116</v>
      </c>
      <c r="B3479" t="s">
        <v>1601</v>
      </c>
      <c r="C3479" t="s">
        <v>1545</v>
      </c>
      <c r="D3479" t="s">
        <v>1546</v>
      </c>
      <c r="E3479" s="8">
        <v>670</v>
      </c>
      <c r="F3479" s="8">
        <v>68640</v>
      </c>
      <c r="G3479" s="8">
        <f t="shared" si="216"/>
        <v>45988800</v>
      </c>
      <c r="H3479" s="5">
        <v>0.8679</v>
      </c>
      <c r="I3479" s="8">
        <f t="shared" si="217"/>
        <v>45988800</v>
      </c>
      <c r="J3479" s="8">
        <f t="shared" si="218"/>
        <v>39913679.52</v>
      </c>
      <c r="K3479" t="str">
        <f t="shared" si="219"/>
        <v>MATCHED</v>
      </c>
    </row>
    <row r="3480" spans="1:11">
      <c r="A3480" t="s">
        <v>116</v>
      </c>
      <c r="B3480" t="s">
        <v>1601</v>
      </c>
      <c r="C3480" t="s">
        <v>662</v>
      </c>
      <c r="D3480" t="s">
        <v>663</v>
      </c>
      <c r="E3480" s="8">
        <v>14000</v>
      </c>
      <c r="F3480" s="8">
        <v>58010</v>
      </c>
      <c r="G3480" s="8">
        <f t="shared" si="216"/>
        <v>812140000</v>
      </c>
      <c r="H3480" s="5"/>
      <c r="I3480" s="8" t="str">
        <f t="shared" si="217"/>
        <v/>
      </c>
      <c r="J3480" s="8" t="str">
        <f t="shared" si="218"/>
        <v/>
      </c>
      <c r="K3480" t="str">
        <f t="shared" si="219"/>
        <v>MISSING WHARTON</v>
      </c>
    </row>
    <row r="3481" spans="1:11">
      <c r="A3481" t="s">
        <v>116</v>
      </c>
      <c r="B3481" t="s">
        <v>1601</v>
      </c>
      <c r="C3481" t="s">
        <v>403</v>
      </c>
      <c r="D3481" t="s">
        <v>404</v>
      </c>
      <c r="E3481" s="8">
        <v>70</v>
      </c>
      <c r="F3481" s="8">
        <v>68310</v>
      </c>
      <c r="G3481" s="8">
        <f t="shared" si="216"/>
        <v>4781700</v>
      </c>
      <c r="H3481" s="5">
        <v>0.22</v>
      </c>
      <c r="I3481" s="8">
        <f t="shared" si="217"/>
        <v>4781700</v>
      </c>
      <c r="J3481" s="8">
        <f t="shared" si="218"/>
        <v>1051974</v>
      </c>
      <c r="K3481" t="str">
        <f t="shared" si="219"/>
        <v>MATCHED</v>
      </c>
    </row>
    <row r="3482" spans="1:11">
      <c r="A3482" t="s">
        <v>116</v>
      </c>
      <c r="B3482" t="s">
        <v>1601</v>
      </c>
      <c r="C3482" t="s">
        <v>413</v>
      </c>
      <c r="D3482" t="s">
        <v>414</v>
      </c>
      <c r="E3482" s="8">
        <v>60</v>
      </c>
      <c r="F3482" s="8"/>
      <c r="G3482" s="8" t="str">
        <f t="shared" si="216"/>
        <v/>
      </c>
      <c r="H3482" s="5">
        <v>0.0633</v>
      </c>
      <c r="I3482" s="8" t="str">
        <f t="shared" si="217"/>
        <v/>
      </c>
      <c r="J3482" s="8" t="str">
        <f t="shared" si="218"/>
        <v/>
      </c>
      <c r="K3482" t="str">
        <f t="shared" si="219"/>
        <v>MISSING OEWS</v>
      </c>
    </row>
    <row r="3483" spans="1:11">
      <c r="A3483" t="s">
        <v>116</v>
      </c>
      <c r="B3483" t="s">
        <v>1601</v>
      </c>
      <c r="C3483" t="s">
        <v>415</v>
      </c>
      <c r="D3483" t="s">
        <v>416</v>
      </c>
      <c r="E3483" s="8">
        <v>160</v>
      </c>
      <c r="F3483" s="8">
        <v>35600</v>
      </c>
      <c r="G3483" s="8">
        <f t="shared" si="216"/>
        <v>5696000</v>
      </c>
      <c r="H3483" s="5">
        <v>0.0864</v>
      </c>
      <c r="I3483" s="8">
        <f t="shared" si="217"/>
        <v>5696000</v>
      </c>
      <c r="J3483" s="8">
        <f t="shared" si="218"/>
        <v>492134.4</v>
      </c>
      <c r="K3483" t="str">
        <f t="shared" si="219"/>
        <v>MATCHED</v>
      </c>
    </row>
    <row r="3484" spans="1:11">
      <c r="A3484" t="s">
        <v>116</v>
      </c>
      <c r="B3484" t="s">
        <v>1601</v>
      </c>
      <c r="C3484" t="s">
        <v>421</v>
      </c>
      <c r="D3484" t="s">
        <v>422</v>
      </c>
      <c r="E3484" s="8"/>
      <c r="F3484" s="8">
        <v>71520</v>
      </c>
      <c r="G3484" s="8" t="str">
        <f t="shared" si="216"/>
        <v/>
      </c>
      <c r="H3484" s="5">
        <v>0.2111</v>
      </c>
      <c r="I3484" s="8" t="str">
        <f t="shared" si="217"/>
        <v/>
      </c>
      <c r="J3484" s="8" t="str">
        <f t="shared" si="218"/>
        <v/>
      </c>
      <c r="K3484" t="str">
        <f t="shared" si="219"/>
        <v>MISSING OEWS</v>
      </c>
    </row>
    <row r="3485" spans="1:11">
      <c r="A3485" t="s">
        <v>116</v>
      </c>
      <c r="B3485" t="s">
        <v>1601</v>
      </c>
      <c r="C3485" t="s">
        <v>664</v>
      </c>
      <c r="D3485" t="s">
        <v>665</v>
      </c>
      <c r="E3485" s="8">
        <v>80</v>
      </c>
      <c r="F3485" s="8">
        <v>77920</v>
      </c>
      <c r="G3485" s="8">
        <f t="shared" si="216"/>
        <v>6233600</v>
      </c>
      <c r="H3485" s="5">
        <v>0.265</v>
      </c>
      <c r="I3485" s="8">
        <f t="shared" si="217"/>
        <v>6233600</v>
      </c>
      <c r="J3485" s="8">
        <f t="shared" si="218"/>
        <v>1651904</v>
      </c>
      <c r="K3485" t="str">
        <f t="shared" si="219"/>
        <v>MATCHED</v>
      </c>
    </row>
    <row r="3486" spans="1:11">
      <c r="A3486" t="s">
        <v>116</v>
      </c>
      <c r="B3486" t="s">
        <v>1601</v>
      </c>
      <c r="C3486" t="s">
        <v>427</v>
      </c>
      <c r="D3486" t="s">
        <v>428</v>
      </c>
      <c r="E3486" s="8">
        <v>60</v>
      </c>
      <c r="F3486" s="8">
        <v>68900</v>
      </c>
      <c r="G3486" s="8">
        <f t="shared" si="216"/>
        <v>4134000</v>
      </c>
      <c r="H3486" s="5">
        <v>0.081</v>
      </c>
      <c r="I3486" s="8">
        <f t="shared" si="217"/>
        <v>4134000</v>
      </c>
      <c r="J3486" s="8">
        <f t="shared" si="218"/>
        <v>334854</v>
      </c>
      <c r="K3486" t="str">
        <f t="shared" si="219"/>
        <v>MATCHED</v>
      </c>
    </row>
    <row r="3487" spans="1:11">
      <c r="A3487" t="s">
        <v>116</v>
      </c>
      <c r="B3487" t="s">
        <v>1601</v>
      </c>
      <c r="C3487" t="s">
        <v>670</v>
      </c>
      <c r="D3487" t="s">
        <v>671</v>
      </c>
      <c r="E3487" s="8"/>
      <c r="F3487" s="8">
        <v>68290</v>
      </c>
      <c r="G3487" s="8" t="str">
        <f t="shared" si="216"/>
        <v/>
      </c>
      <c r="H3487" s="5">
        <v>0.0297</v>
      </c>
      <c r="I3487" s="8" t="str">
        <f t="shared" si="217"/>
        <v/>
      </c>
      <c r="J3487" s="8" t="str">
        <f t="shared" si="218"/>
        <v/>
      </c>
      <c r="K3487" t="str">
        <f t="shared" si="219"/>
        <v>MISSING OEWS</v>
      </c>
    </row>
    <row r="3488" spans="1:11">
      <c r="A3488" t="s">
        <v>116</v>
      </c>
      <c r="B3488" t="s">
        <v>1601</v>
      </c>
      <c r="C3488" t="s">
        <v>429</v>
      </c>
      <c r="D3488" t="s">
        <v>430</v>
      </c>
      <c r="E3488" s="8">
        <v>100</v>
      </c>
      <c r="F3488" s="8">
        <v>88830</v>
      </c>
      <c r="G3488" s="8">
        <f t="shared" si="216"/>
        <v>8883000</v>
      </c>
      <c r="H3488" s="5">
        <v>0.0589</v>
      </c>
      <c r="I3488" s="8">
        <f t="shared" si="217"/>
        <v>8883000</v>
      </c>
      <c r="J3488" s="8">
        <f t="shared" si="218"/>
        <v>523208.7</v>
      </c>
      <c r="K3488" t="str">
        <f t="shared" si="219"/>
        <v>MATCHED</v>
      </c>
    </row>
    <row r="3489" spans="1:11">
      <c r="A3489" t="s">
        <v>116</v>
      </c>
      <c r="B3489" t="s">
        <v>1601</v>
      </c>
      <c r="C3489" t="s">
        <v>431</v>
      </c>
      <c r="D3489" t="s">
        <v>432</v>
      </c>
      <c r="E3489" s="8">
        <v>100</v>
      </c>
      <c r="F3489" s="8">
        <v>91450</v>
      </c>
      <c r="G3489" s="8">
        <f t="shared" si="216"/>
        <v>9145000</v>
      </c>
      <c r="H3489" s="5">
        <v>0.0786</v>
      </c>
      <c r="I3489" s="8">
        <f t="shared" si="217"/>
        <v>9145000</v>
      </c>
      <c r="J3489" s="8">
        <f t="shared" si="218"/>
        <v>718797</v>
      </c>
      <c r="K3489" t="str">
        <f t="shared" si="219"/>
        <v>MATCHED</v>
      </c>
    </row>
    <row r="3490" spans="1:11">
      <c r="A3490" t="s">
        <v>116</v>
      </c>
      <c r="B3490" t="s">
        <v>1601</v>
      </c>
      <c r="C3490" t="s">
        <v>694</v>
      </c>
      <c r="D3490" t="s">
        <v>695</v>
      </c>
      <c r="E3490" s="8">
        <v>390</v>
      </c>
      <c r="F3490" s="8">
        <v>81960</v>
      </c>
      <c r="G3490" s="8">
        <f t="shared" si="216"/>
        <v>31964400</v>
      </c>
      <c r="H3490" s="5">
        <v>0.3737</v>
      </c>
      <c r="I3490" s="8">
        <f t="shared" si="217"/>
        <v>31964400</v>
      </c>
      <c r="J3490" s="8">
        <f t="shared" si="218"/>
        <v>11945096.28</v>
      </c>
      <c r="K3490" t="str">
        <f t="shared" si="219"/>
        <v>MATCHED</v>
      </c>
    </row>
    <row r="3491" spans="1:11">
      <c r="A3491" t="s">
        <v>116</v>
      </c>
      <c r="B3491" t="s">
        <v>1601</v>
      </c>
      <c r="C3491" t="s">
        <v>433</v>
      </c>
      <c r="D3491" t="s">
        <v>434</v>
      </c>
      <c r="E3491" s="8">
        <v>1360</v>
      </c>
      <c r="F3491" s="8">
        <v>84310</v>
      </c>
      <c r="G3491" s="8">
        <f t="shared" si="216"/>
        <v>114661600</v>
      </c>
      <c r="H3491" s="5">
        <v>0.3523</v>
      </c>
      <c r="I3491" s="8">
        <f t="shared" si="217"/>
        <v>114661600</v>
      </c>
      <c r="J3491" s="8">
        <f t="shared" si="218"/>
        <v>40395281.68</v>
      </c>
      <c r="K3491" t="str">
        <f t="shared" si="219"/>
        <v>MATCHED</v>
      </c>
    </row>
    <row r="3492" spans="1:11">
      <c r="A3492" t="s">
        <v>116</v>
      </c>
      <c r="B3492" t="s">
        <v>1601</v>
      </c>
      <c r="C3492" t="s">
        <v>1064</v>
      </c>
      <c r="D3492" t="s">
        <v>1065</v>
      </c>
      <c r="E3492" s="8">
        <v>440</v>
      </c>
      <c r="F3492" s="8">
        <v>57740</v>
      </c>
      <c r="G3492" s="8">
        <f t="shared" si="216"/>
        <v>25405600</v>
      </c>
      <c r="H3492" s="5">
        <v>0.284</v>
      </c>
      <c r="I3492" s="8">
        <f t="shared" si="217"/>
        <v>25405600</v>
      </c>
      <c r="J3492" s="8">
        <f t="shared" si="218"/>
        <v>7215190.4</v>
      </c>
      <c r="K3492" t="str">
        <f t="shared" si="219"/>
        <v>MATCHED</v>
      </c>
    </row>
    <row r="3493" spans="1:11">
      <c r="A3493" t="s">
        <v>116</v>
      </c>
      <c r="B3493" t="s">
        <v>1601</v>
      </c>
      <c r="C3493" t="s">
        <v>900</v>
      </c>
      <c r="D3493" t="s">
        <v>901</v>
      </c>
      <c r="E3493" s="8">
        <v>30</v>
      </c>
      <c r="F3493" s="8">
        <v>68080</v>
      </c>
      <c r="G3493" s="8">
        <f t="shared" si="216"/>
        <v>2042400</v>
      </c>
      <c r="H3493" s="5">
        <v>0.195</v>
      </c>
      <c r="I3493" s="8">
        <f t="shared" si="217"/>
        <v>2042400</v>
      </c>
      <c r="J3493" s="8">
        <f t="shared" si="218"/>
        <v>398268</v>
      </c>
      <c r="K3493" t="str">
        <f t="shared" si="219"/>
        <v>MATCHED</v>
      </c>
    </row>
    <row r="3494" spans="1:11">
      <c r="A3494" t="s">
        <v>116</v>
      </c>
      <c r="B3494" t="s">
        <v>1601</v>
      </c>
      <c r="C3494" t="s">
        <v>435</v>
      </c>
      <c r="D3494" t="s">
        <v>436</v>
      </c>
      <c r="E3494" s="8">
        <v>1380</v>
      </c>
      <c r="F3494" s="8"/>
      <c r="G3494" s="8" t="str">
        <f t="shared" si="216"/>
        <v/>
      </c>
      <c r="H3494" s="5">
        <v>0.0434</v>
      </c>
      <c r="I3494" s="8" t="str">
        <f t="shared" si="217"/>
        <v/>
      </c>
      <c r="J3494" s="8" t="str">
        <f t="shared" si="218"/>
        <v/>
      </c>
      <c r="K3494" t="str">
        <f t="shared" si="219"/>
        <v>MISSING OEWS</v>
      </c>
    </row>
    <row r="3495" spans="1:11">
      <c r="A3495" t="s">
        <v>116</v>
      </c>
      <c r="B3495" t="s">
        <v>1601</v>
      </c>
      <c r="C3495" t="s">
        <v>1070</v>
      </c>
      <c r="D3495" t="s">
        <v>1071</v>
      </c>
      <c r="E3495" s="8"/>
      <c r="F3495" s="8">
        <v>93550</v>
      </c>
      <c r="G3495" s="8" t="str">
        <f t="shared" si="216"/>
        <v/>
      </c>
      <c r="H3495" s="5">
        <v>0.028</v>
      </c>
      <c r="I3495" s="8" t="str">
        <f t="shared" si="217"/>
        <v/>
      </c>
      <c r="J3495" s="8" t="str">
        <f t="shared" si="218"/>
        <v/>
      </c>
      <c r="K3495" t="str">
        <f t="shared" si="219"/>
        <v>MISSING OEWS</v>
      </c>
    </row>
    <row r="3496" spans="1:11">
      <c r="A3496" t="s">
        <v>116</v>
      </c>
      <c r="B3496" t="s">
        <v>1601</v>
      </c>
      <c r="C3496" t="s">
        <v>736</v>
      </c>
      <c r="D3496" t="s">
        <v>737</v>
      </c>
      <c r="E3496" s="8">
        <v>450</v>
      </c>
      <c r="F3496" s="8">
        <v>55690</v>
      </c>
      <c r="G3496" s="8">
        <f t="shared" si="216"/>
        <v>25060500</v>
      </c>
      <c r="H3496" s="5">
        <v>0.0233</v>
      </c>
      <c r="I3496" s="8">
        <f t="shared" si="217"/>
        <v>25060500</v>
      </c>
      <c r="J3496" s="8">
        <f t="shared" si="218"/>
        <v>583909.65</v>
      </c>
      <c r="K3496" t="str">
        <f t="shared" si="219"/>
        <v>MATCHED</v>
      </c>
    </row>
    <row r="3497" spans="1:11">
      <c r="A3497" t="s">
        <v>116</v>
      </c>
      <c r="B3497" t="s">
        <v>1601</v>
      </c>
      <c r="C3497" t="s">
        <v>443</v>
      </c>
      <c r="D3497" t="s">
        <v>444</v>
      </c>
      <c r="E3497" s="8">
        <v>310</v>
      </c>
      <c r="F3497" s="8">
        <v>68830</v>
      </c>
      <c r="G3497" s="8">
        <f t="shared" si="216"/>
        <v>21337300</v>
      </c>
      <c r="H3497" s="5">
        <v>0.0867</v>
      </c>
      <c r="I3497" s="8">
        <f t="shared" si="217"/>
        <v>21337300</v>
      </c>
      <c r="J3497" s="8">
        <f t="shared" si="218"/>
        <v>1849943.91</v>
      </c>
      <c r="K3497" t="str">
        <f t="shared" si="219"/>
        <v>MATCHED</v>
      </c>
    </row>
    <row r="3498" spans="1:11">
      <c r="A3498" t="s">
        <v>116</v>
      </c>
      <c r="B3498" t="s">
        <v>1601</v>
      </c>
      <c r="C3498" t="s">
        <v>445</v>
      </c>
      <c r="D3498" t="s">
        <v>446</v>
      </c>
      <c r="E3498" s="8">
        <v>100</v>
      </c>
      <c r="F3498" s="8">
        <v>86680</v>
      </c>
      <c r="G3498" s="8">
        <f t="shared" si="216"/>
        <v>8668000</v>
      </c>
      <c r="H3498" s="5">
        <v>0.25</v>
      </c>
      <c r="I3498" s="8">
        <f t="shared" si="217"/>
        <v>8668000</v>
      </c>
      <c r="J3498" s="8">
        <f t="shared" si="218"/>
        <v>2167000</v>
      </c>
      <c r="K3498" t="str">
        <f t="shared" si="219"/>
        <v>MATCHED</v>
      </c>
    </row>
    <row r="3499" spans="1:11">
      <c r="A3499" t="s">
        <v>116</v>
      </c>
      <c r="B3499" t="s">
        <v>1601</v>
      </c>
      <c r="C3499" t="s">
        <v>449</v>
      </c>
      <c r="D3499" t="s">
        <v>450</v>
      </c>
      <c r="E3499" s="8">
        <v>9150</v>
      </c>
      <c r="F3499" s="8">
        <v>56840</v>
      </c>
      <c r="G3499" s="8">
        <f t="shared" si="216"/>
        <v>520086000</v>
      </c>
      <c r="H3499" s="5">
        <v>0.0867</v>
      </c>
      <c r="I3499" s="8">
        <f t="shared" si="217"/>
        <v>520086000</v>
      </c>
      <c r="J3499" s="8">
        <f t="shared" si="218"/>
        <v>45091456.2</v>
      </c>
      <c r="K3499" t="str">
        <f t="shared" si="219"/>
        <v>MATCHED</v>
      </c>
    </row>
    <row r="3500" spans="1:11">
      <c r="A3500" t="s">
        <v>116</v>
      </c>
      <c r="B3500" t="s">
        <v>1601</v>
      </c>
      <c r="C3500" t="s">
        <v>451</v>
      </c>
      <c r="D3500" t="s">
        <v>452</v>
      </c>
      <c r="E3500" s="8">
        <v>30</v>
      </c>
      <c r="F3500" s="8">
        <v>47850</v>
      </c>
      <c r="G3500" s="8">
        <f t="shared" si="216"/>
        <v>1435500</v>
      </c>
      <c r="H3500" s="5">
        <v>0.0594</v>
      </c>
      <c r="I3500" s="8">
        <f t="shared" si="217"/>
        <v>1435500</v>
      </c>
      <c r="J3500" s="8">
        <f t="shared" si="218"/>
        <v>85268.7</v>
      </c>
      <c r="K3500" t="str">
        <f t="shared" si="219"/>
        <v>MATCHED</v>
      </c>
    </row>
    <row r="3501" spans="1:11">
      <c r="A3501" t="s">
        <v>116</v>
      </c>
      <c r="B3501" t="s">
        <v>1601</v>
      </c>
      <c r="C3501" t="s">
        <v>453</v>
      </c>
      <c r="D3501" t="s">
        <v>454</v>
      </c>
      <c r="E3501" s="8"/>
      <c r="F3501" s="8">
        <v>57860</v>
      </c>
      <c r="G3501" s="8" t="str">
        <f t="shared" si="216"/>
        <v/>
      </c>
      <c r="H3501" s="5">
        <v>0.1667</v>
      </c>
      <c r="I3501" s="8" t="str">
        <f t="shared" si="217"/>
        <v/>
      </c>
      <c r="J3501" s="8" t="str">
        <f t="shared" si="218"/>
        <v/>
      </c>
      <c r="K3501" t="str">
        <f t="shared" si="219"/>
        <v>MISSING OEWS</v>
      </c>
    </row>
    <row r="3502" spans="1:11">
      <c r="A3502" t="s">
        <v>116</v>
      </c>
      <c r="B3502" t="s">
        <v>1601</v>
      </c>
      <c r="C3502" t="s">
        <v>455</v>
      </c>
      <c r="D3502" t="s">
        <v>456</v>
      </c>
      <c r="E3502" s="8">
        <v>280</v>
      </c>
      <c r="F3502" s="8">
        <v>89030</v>
      </c>
      <c r="G3502" s="8">
        <f t="shared" si="216"/>
        <v>24928400</v>
      </c>
      <c r="H3502" s="5">
        <v>0.3775</v>
      </c>
      <c r="I3502" s="8">
        <f t="shared" si="217"/>
        <v>24928400</v>
      </c>
      <c r="J3502" s="8">
        <f t="shared" si="218"/>
        <v>9410471</v>
      </c>
      <c r="K3502" t="str">
        <f t="shared" si="219"/>
        <v>MATCHED</v>
      </c>
    </row>
    <row r="3503" spans="1:11">
      <c r="A3503" t="s">
        <v>116</v>
      </c>
      <c r="B3503" t="s">
        <v>1601</v>
      </c>
      <c r="C3503" t="s">
        <v>1342</v>
      </c>
      <c r="D3503" t="s">
        <v>1343</v>
      </c>
      <c r="E3503" s="8">
        <v>50</v>
      </c>
      <c r="F3503" s="8">
        <v>60050</v>
      </c>
      <c r="G3503" s="8">
        <f t="shared" si="216"/>
        <v>3002500</v>
      </c>
      <c r="H3503" s="5">
        <v>0.42</v>
      </c>
      <c r="I3503" s="8">
        <f t="shared" si="217"/>
        <v>3002500</v>
      </c>
      <c r="J3503" s="8">
        <f t="shared" si="218"/>
        <v>1261050</v>
      </c>
      <c r="K3503" t="str">
        <f t="shared" si="219"/>
        <v>MATCHED</v>
      </c>
    </row>
    <row r="3504" spans="1:11">
      <c r="A3504" t="s">
        <v>116</v>
      </c>
      <c r="B3504" t="s">
        <v>1601</v>
      </c>
      <c r="C3504" t="s">
        <v>1344</v>
      </c>
      <c r="D3504" t="s">
        <v>1345</v>
      </c>
      <c r="E3504" s="8">
        <v>480</v>
      </c>
      <c r="F3504" s="8">
        <v>51410</v>
      </c>
      <c r="G3504" s="8">
        <f t="shared" si="216"/>
        <v>24676800</v>
      </c>
      <c r="H3504" s="5">
        <v>0.3348</v>
      </c>
      <c r="I3504" s="8">
        <f t="shared" si="217"/>
        <v>24676800</v>
      </c>
      <c r="J3504" s="8">
        <f t="shared" si="218"/>
        <v>8261792.64</v>
      </c>
      <c r="K3504" t="str">
        <f t="shared" si="219"/>
        <v>MATCHED</v>
      </c>
    </row>
    <row r="3505" spans="1:11">
      <c r="A3505" t="s">
        <v>116</v>
      </c>
      <c r="B3505" t="s">
        <v>1601</v>
      </c>
      <c r="C3505" t="s">
        <v>768</v>
      </c>
      <c r="D3505" t="s">
        <v>769</v>
      </c>
      <c r="E3505" s="8">
        <v>40</v>
      </c>
      <c r="F3505" s="8">
        <v>105970</v>
      </c>
      <c r="G3505" s="8">
        <f t="shared" si="216"/>
        <v>4238800</v>
      </c>
      <c r="H3505" s="5">
        <v>0.104</v>
      </c>
      <c r="I3505" s="8">
        <f t="shared" si="217"/>
        <v>4238800</v>
      </c>
      <c r="J3505" s="8">
        <f t="shared" si="218"/>
        <v>440835.2</v>
      </c>
      <c r="K3505" t="str">
        <f t="shared" si="219"/>
        <v>MATCHED</v>
      </c>
    </row>
    <row r="3506" spans="1:11">
      <c r="A3506" t="s">
        <v>116</v>
      </c>
      <c r="B3506" t="s">
        <v>1601</v>
      </c>
      <c r="C3506" t="s">
        <v>481</v>
      </c>
      <c r="D3506" t="s">
        <v>482</v>
      </c>
      <c r="E3506" s="8">
        <v>240</v>
      </c>
      <c r="F3506" s="8">
        <v>53790</v>
      </c>
      <c r="G3506" s="8">
        <f t="shared" si="216"/>
        <v>12909600</v>
      </c>
      <c r="H3506" s="5">
        <v>0.2969</v>
      </c>
      <c r="I3506" s="8">
        <f t="shared" si="217"/>
        <v>12909600</v>
      </c>
      <c r="J3506" s="8">
        <f t="shared" si="218"/>
        <v>3832860.24</v>
      </c>
      <c r="K3506" t="str">
        <f t="shared" si="219"/>
        <v>MATCHED</v>
      </c>
    </row>
    <row r="3507" spans="1:11">
      <c r="A3507" t="s">
        <v>116</v>
      </c>
      <c r="B3507" t="s">
        <v>1601</v>
      </c>
      <c r="C3507" t="s">
        <v>1380</v>
      </c>
      <c r="D3507" t="s">
        <v>1381</v>
      </c>
      <c r="E3507" s="8">
        <v>200</v>
      </c>
      <c r="F3507" s="8">
        <v>58580</v>
      </c>
      <c r="G3507" s="8">
        <f t="shared" si="216"/>
        <v>11716000</v>
      </c>
      <c r="H3507" s="5">
        <v>0.0924</v>
      </c>
      <c r="I3507" s="8">
        <f t="shared" si="217"/>
        <v>11716000</v>
      </c>
      <c r="J3507" s="8">
        <f t="shared" si="218"/>
        <v>1082558.4</v>
      </c>
      <c r="K3507" t="str">
        <f t="shared" si="219"/>
        <v>MATCHED</v>
      </c>
    </row>
    <row r="3508" spans="1:11">
      <c r="A3508" t="s">
        <v>116</v>
      </c>
      <c r="B3508" t="s">
        <v>1601</v>
      </c>
      <c r="C3508" t="s">
        <v>493</v>
      </c>
      <c r="D3508" t="s">
        <v>494</v>
      </c>
      <c r="E3508" s="8">
        <v>130</v>
      </c>
      <c r="F3508" s="8">
        <v>71750</v>
      </c>
      <c r="G3508" s="8">
        <f t="shared" si="216"/>
        <v>9327500</v>
      </c>
      <c r="H3508" s="5">
        <v>0.3429</v>
      </c>
      <c r="I3508" s="8">
        <f t="shared" si="217"/>
        <v>9327500</v>
      </c>
      <c r="J3508" s="8">
        <f t="shared" si="218"/>
        <v>3198399.75</v>
      </c>
      <c r="K3508" t="str">
        <f t="shared" si="219"/>
        <v>MATCHED</v>
      </c>
    </row>
    <row r="3509" spans="1:11">
      <c r="A3509" t="s">
        <v>116</v>
      </c>
      <c r="B3509" t="s">
        <v>1601</v>
      </c>
      <c r="C3509" t="s">
        <v>495</v>
      </c>
      <c r="D3509" t="s">
        <v>496</v>
      </c>
      <c r="E3509" s="8">
        <v>660</v>
      </c>
      <c r="F3509" s="8">
        <v>203740</v>
      </c>
      <c r="G3509" s="8">
        <f t="shared" si="216"/>
        <v>134468400</v>
      </c>
      <c r="H3509" s="5">
        <v>0.3558</v>
      </c>
      <c r="I3509" s="8">
        <f t="shared" si="217"/>
        <v>134468400</v>
      </c>
      <c r="J3509" s="8">
        <f t="shared" si="218"/>
        <v>47843856.72</v>
      </c>
      <c r="K3509" t="str">
        <f t="shared" si="219"/>
        <v>MATCHED</v>
      </c>
    </row>
    <row r="3510" spans="1:11">
      <c r="A3510" t="s">
        <v>116</v>
      </c>
      <c r="B3510" t="s">
        <v>1601</v>
      </c>
      <c r="C3510" t="s">
        <v>1549</v>
      </c>
      <c r="D3510" t="s">
        <v>1550</v>
      </c>
      <c r="E3510" s="8"/>
      <c r="F3510" s="8">
        <v>144930</v>
      </c>
      <c r="G3510" s="8" t="str">
        <f t="shared" si="216"/>
        <v/>
      </c>
      <c r="H3510" s="5">
        <v>0.268</v>
      </c>
      <c r="I3510" s="8" t="str">
        <f t="shared" si="217"/>
        <v/>
      </c>
      <c r="J3510" s="8" t="str">
        <f t="shared" si="218"/>
        <v/>
      </c>
      <c r="K3510" t="str">
        <f t="shared" si="219"/>
        <v>MISSING OEWS</v>
      </c>
    </row>
    <row r="3511" spans="1:11">
      <c r="A3511" t="s">
        <v>116</v>
      </c>
      <c r="B3511" t="s">
        <v>1601</v>
      </c>
      <c r="C3511" t="s">
        <v>499</v>
      </c>
      <c r="D3511" t="s">
        <v>500</v>
      </c>
      <c r="E3511" s="8">
        <v>110</v>
      </c>
      <c r="F3511" s="8">
        <v>54940</v>
      </c>
      <c r="G3511" s="8">
        <f t="shared" si="216"/>
        <v>6043400</v>
      </c>
      <c r="H3511" s="5">
        <v>0.2065</v>
      </c>
      <c r="I3511" s="8">
        <f t="shared" si="217"/>
        <v>6043400</v>
      </c>
      <c r="J3511" s="8">
        <f t="shared" si="218"/>
        <v>1247962.1</v>
      </c>
      <c r="K3511" t="str">
        <f t="shared" si="219"/>
        <v>MATCHED</v>
      </c>
    </row>
    <row r="3512" spans="1:11">
      <c r="A3512" t="s">
        <v>116</v>
      </c>
      <c r="B3512" t="s">
        <v>1601</v>
      </c>
      <c r="C3512" t="s">
        <v>501</v>
      </c>
      <c r="D3512" t="s">
        <v>502</v>
      </c>
      <c r="E3512" s="8">
        <v>100</v>
      </c>
      <c r="F3512" s="8">
        <v>43280</v>
      </c>
      <c r="G3512" s="8">
        <f t="shared" si="216"/>
        <v>4328000</v>
      </c>
      <c r="H3512" s="5">
        <v>0.3393</v>
      </c>
      <c r="I3512" s="8">
        <f t="shared" si="217"/>
        <v>4328000</v>
      </c>
      <c r="J3512" s="8">
        <f t="shared" si="218"/>
        <v>1468490.4</v>
      </c>
      <c r="K3512" t="str">
        <f t="shared" si="219"/>
        <v>MATCHED</v>
      </c>
    </row>
    <row r="3513" spans="1:11">
      <c r="A3513" t="s">
        <v>116</v>
      </c>
      <c r="B3513" t="s">
        <v>1601</v>
      </c>
      <c r="C3513" t="s">
        <v>503</v>
      </c>
      <c r="D3513" t="s">
        <v>504</v>
      </c>
      <c r="E3513" s="8"/>
      <c r="F3513" s="8">
        <v>75420</v>
      </c>
      <c r="G3513" s="8" t="str">
        <f t="shared" si="216"/>
        <v/>
      </c>
      <c r="H3513" s="5">
        <v>0.3288</v>
      </c>
      <c r="I3513" s="8" t="str">
        <f t="shared" si="217"/>
        <v/>
      </c>
      <c r="J3513" s="8" t="str">
        <f t="shared" si="218"/>
        <v/>
      </c>
      <c r="K3513" t="str">
        <f t="shared" si="219"/>
        <v>MISSING OEWS</v>
      </c>
    </row>
    <row r="3514" spans="1:11">
      <c r="A3514" t="s">
        <v>116</v>
      </c>
      <c r="B3514" t="s">
        <v>1601</v>
      </c>
      <c r="C3514" t="s">
        <v>1134</v>
      </c>
      <c r="D3514" t="s">
        <v>1135</v>
      </c>
      <c r="E3514" s="8">
        <v>160</v>
      </c>
      <c r="F3514" s="8">
        <v>52600</v>
      </c>
      <c r="G3514" s="8">
        <f t="shared" si="216"/>
        <v>8416000</v>
      </c>
      <c r="H3514" s="5"/>
      <c r="I3514" s="8" t="str">
        <f t="shared" si="217"/>
        <v/>
      </c>
      <c r="J3514" s="8" t="str">
        <f t="shared" si="218"/>
        <v/>
      </c>
      <c r="K3514" t="str">
        <f t="shared" si="219"/>
        <v>MISSING WHARTON</v>
      </c>
    </row>
    <row r="3515" spans="1:11">
      <c r="A3515" t="s">
        <v>116</v>
      </c>
      <c r="B3515" t="s">
        <v>1601</v>
      </c>
      <c r="C3515" t="s">
        <v>802</v>
      </c>
      <c r="D3515" t="s">
        <v>803</v>
      </c>
      <c r="E3515" s="8"/>
      <c r="F3515" s="8">
        <v>51110</v>
      </c>
      <c r="G3515" s="8" t="str">
        <f t="shared" si="216"/>
        <v/>
      </c>
      <c r="H3515" s="5">
        <v>0.1261</v>
      </c>
      <c r="I3515" s="8" t="str">
        <f t="shared" si="217"/>
        <v/>
      </c>
      <c r="J3515" s="8" t="str">
        <f t="shared" si="218"/>
        <v/>
      </c>
      <c r="K3515" t="str">
        <f t="shared" si="219"/>
        <v>MISSING OEWS</v>
      </c>
    </row>
    <row r="3516" spans="1:11">
      <c r="A3516" t="s">
        <v>116</v>
      </c>
      <c r="B3516" t="s">
        <v>1601</v>
      </c>
      <c r="C3516" t="s">
        <v>507</v>
      </c>
      <c r="D3516" t="s">
        <v>508</v>
      </c>
      <c r="E3516" s="8">
        <v>130</v>
      </c>
      <c r="F3516" s="8">
        <v>46860</v>
      </c>
      <c r="G3516" s="8">
        <f t="shared" si="216"/>
        <v>6091800</v>
      </c>
      <c r="H3516" s="5">
        <v>0</v>
      </c>
      <c r="I3516" s="8">
        <f t="shared" si="217"/>
        <v>6091800</v>
      </c>
      <c r="J3516" s="8">
        <f t="shared" si="218"/>
        <v>0</v>
      </c>
      <c r="K3516" t="str">
        <f t="shared" si="219"/>
        <v>MATCHED</v>
      </c>
    </row>
    <row r="3517" spans="1:11">
      <c r="A3517" t="s">
        <v>116</v>
      </c>
      <c r="B3517" t="s">
        <v>1601</v>
      </c>
      <c r="C3517" t="s">
        <v>509</v>
      </c>
      <c r="D3517" t="s">
        <v>510</v>
      </c>
      <c r="E3517" s="8"/>
      <c r="F3517" s="8">
        <v>30200</v>
      </c>
      <c r="G3517" s="8" t="str">
        <f t="shared" si="216"/>
        <v/>
      </c>
      <c r="H3517" s="5">
        <v>0.0452</v>
      </c>
      <c r="I3517" s="8" t="str">
        <f t="shared" si="217"/>
        <v/>
      </c>
      <c r="J3517" s="8" t="str">
        <f t="shared" si="218"/>
        <v/>
      </c>
      <c r="K3517" t="str">
        <f t="shared" si="219"/>
        <v>MISSING OEWS</v>
      </c>
    </row>
    <row r="3518" spans="1:11">
      <c r="A3518" t="s">
        <v>116</v>
      </c>
      <c r="B3518" t="s">
        <v>1601</v>
      </c>
      <c r="C3518" t="s">
        <v>511</v>
      </c>
      <c r="D3518" t="s">
        <v>512</v>
      </c>
      <c r="E3518" s="8">
        <v>1100</v>
      </c>
      <c r="F3518" s="8">
        <v>41100</v>
      </c>
      <c r="G3518" s="8">
        <f t="shared" si="216"/>
        <v>45210000</v>
      </c>
      <c r="H3518" s="5">
        <v>0.049</v>
      </c>
      <c r="I3518" s="8">
        <f t="shared" si="217"/>
        <v>45210000</v>
      </c>
      <c r="J3518" s="8">
        <f t="shared" si="218"/>
        <v>2215290</v>
      </c>
      <c r="K3518" t="str">
        <f t="shared" si="219"/>
        <v>MATCHED</v>
      </c>
    </row>
    <row r="3519" spans="1:11">
      <c r="A3519" t="s">
        <v>116</v>
      </c>
      <c r="B3519" t="s">
        <v>1601</v>
      </c>
      <c r="C3519" t="s">
        <v>517</v>
      </c>
      <c r="D3519" t="s">
        <v>518</v>
      </c>
      <c r="E3519" s="8">
        <v>300</v>
      </c>
      <c r="F3519" s="8">
        <v>39500</v>
      </c>
      <c r="G3519" s="8">
        <f t="shared" si="216"/>
        <v>11850000</v>
      </c>
      <c r="H3519" s="5">
        <v>0.2233</v>
      </c>
      <c r="I3519" s="8">
        <f t="shared" si="217"/>
        <v>11850000</v>
      </c>
      <c r="J3519" s="8">
        <f t="shared" si="218"/>
        <v>2646105</v>
      </c>
      <c r="K3519" t="str">
        <f t="shared" si="219"/>
        <v>MATCHED</v>
      </c>
    </row>
    <row r="3520" spans="1:11">
      <c r="A3520" t="s">
        <v>118</v>
      </c>
      <c r="B3520" t="s">
        <v>1626</v>
      </c>
      <c r="C3520" t="s">
        <v>235</v>
      </c>
      <c r="D3520" t="s">
        <v>236</v>
      </c>
      <c r="E3520" s="8">
        <v>5940</v>
      </c>
      <c r="F3520" s="8"/>
      <c r="G3520" s="8" t="str">
        <f t="shared" si="216"/>
        <v/>
      </c>
      <c r="H3520" s="5">
        <v>0.4775</v>
      </c>
      <c r="I3520" s="8" t="str">
        <f t="shared" si="217"/>
        <v/>
      </c>
      <c r="J3520" s="8" t="str">
        <f t="shared" si="218"/>
        <v/>
      </c>
      <c r="K3520" t="str">
        <f t="shared" si="219"/>
        <v>MISSING OEWS</v>
      </c>
    </row>
    <row r="3521" spans="1:11">
      <c r="A3521" t="s">
        <v>118</v>
      </c>
      <c r="B3521" t="s">
        <v>1626</v>
      </c>
      <c r="C3521" t="s">
        <v>237</v>
      </c>
      <c r="D3521" t="s">
        <v>238</v>
      </c>
      <c r="E3521" s="8">
        <v>105570</v>
      </c>
      <c r="F3521" s="8">
        <v>127660</v>
      </c>
      <c r="G3521" s="8">
        <f t="shared" si="216"/>
        <v>13477066200</v>
      </c>
      <c r="H3521" s="5">
        <v>0.5382</v>
      </c>
      <c r="I3521" s="8">
        <f t="shared" si="217"/>
        <v>13477066200</v>
      </c>
      <c r="J3521" s="8">
        <f t="shared" si="218"/>
        <v>7253357028.84</v>
      </c>
      <c r="K3521" t="str">
        <f t="shared" si="219"/>
        <v>MATCHED</v>
      </c>
    </row>
    <row r="3522" spans="1:11">
      <c r="A3522" t="s">
        <v>118</v>
      </c>
      <c r="B3522" t="s">
        <v>1626</v>
      </c>
      <c r="C3522" t="s">
        <v>920</v>
      </c>
      <c r="D3522" t="s">
        <v>921</v>
      </c>
      <c r="E3522" s="8">
        <v>80</v>
      </c>
      <c r="F3522" s="8">
        <v>120030</v>
      </c>
      <c r="G3522" s="8">
        <f t="shared" ref="G3522:G3585" si="220">IF(OR(E3522="",F3522=""),"",E3522*F3522)</f>
        <v>9602400</v>
      </c>
      <c r="H3522" s="5">
        <v>0.5583</v>
      </c>
      <c r="I3522" s="8">
        <f t="shared" ref="I3522:I3585" si="221">IF(G3522="","",IF(ISNUMBER(H3522),G3522,""))</f>
        <v>9602400</v>
      </c>
      <c r="J3522" s="8">
        <f t="shared" ref="J3522:J3585" si="222">IF(I3522="","",I3522*H3522)</f>
        <v>5361019.92</v>
      </c>
      <c r="K3522" t="str">
        <f t="shared" ref="K3522:K3585" si="223">IF(G3522="","MISSING OEWS",IF(ISNUMBER(H3522),"MATCHED","MISSING WHARTON"))</f>
        <v>MATCHED</v>
      </c>
    </row>
    <row r="3523" spans="1:11">
      <c r="A3523" t="s">
        <v>118</v>
      </c>
      <c r="B3523" t="s">
        <v>1626</v>
      </c>
      <c r="C3523" t="s">
        <v>239</v>
      </c>
      <c r="D3523" t="s">
        <v>240</v>
      </c>
      <c r="E3523" s="8">
        <v>6470</v>
      </c>
      <c r="F3523" s="8">
        <v>153930</v>
      </c>
      <c r="G3523" s="8">
        <f t="shared" si="220"/>
        <v>995927100</v>
      </c>
      <c r="H3523" s="5">
        <v>0.445</v>
      </c>
      <c r="I3523" s="8">
        <f t="shared" si="221"/>
        <v>995927100</v>
      </c>
      <c r="J3523" s="8">
        <f t="shared" si="222"/>
        <v>443187559.5</v>
      </c>
      <c r="K3523" t="str">
        <f t="shared" si="223"/>
        <v>MATCHED</v>
      </c>
    </row>
    <row r="3524" spans="1:11">
      <c r="A3524" t="s">
        <v>118</v>
      </c>
      <c r="B3524" t="s">
        <v>1626</v>
      </c>
      <c r="C3524" t="s">
        <v>241</v>
      </c>
      <c r="D3524" t="s">
        <v>242</v>
      </c>
      <c r="E3524" s="8">
        <v>9540</v>
      </c>
      <c r="F3524" s="8">
        <v>137900</v>
      </c>
      <c r="G3524" s="8">
        <f t="shared" si="220"/>
        <v>1315566000</v>
      </c>
      <c r="H3524" s="5">
        <v>0.3735</v>
      </c>
      <c r="I3524" s="8">
        <f t="shared" si="221"/>
        <v>1315566000</v>
      </c>
      <c r="J3524" s="8">
        <f t="shared" si="222"/>
        <v>491363901</v>
      </c>
      <c r="K3524" t="str">
        <f t="shared" si="223"/>
        <v>MATCHED</v>
      </c>
    </row>
    <row r="3525" spans="1:11">
      <c r="A3525" t="s">
        <v>118</v>
      </c>
      <c r="B3525" t="s">
        <v>1626</v>
      </c>
      <c r="C3525" t="s">
        <v>522</v>
      </c>
      <c r="D3525" t="s">
        <v>523</v>
      </c>
      <c r="E3525" s="8">
        <v>590</v>
      </c>
      <c r="F3525" s="8">
        <v>146660</v>
      </c>
      <c r="G3525" s="8">
        <f t="shared" si="220"/>
        <v>86529400</v>
      </c>
      <c r="H3525" s="5">
        <v>0.53</v>
      </c>
      <c r="I3525" s="8">
        <f t="shared" si="221"/>
        <v>86529400</v>
      </c>
      <c r="J3525" s="8">
        <f t="shared" si="222"/>
        <v>45860582</v>
      </c>
      <c r="K3525" t="str">
        <f t="shared" si="223"/>
        <v>MATCHED</v>
      </c>
    </row>
    <row r="3526" spans="1:11">
      <c r="A3526" t="s">
        <v>118</v>
      </c>
      <c r="B3526" t="s">
        <v>1626</v>
      </c>
      <c r="C3526" t="s">
        <v>243</v>
      </c>
      <c r="D3526" t="s">
        <v>244</v>
      </c>
      <c r="E3526" s="8">
        <v>3710</v>
      </c>
      <c r="F3526" s="8">
        <v>117420</v>
      </c>
      <c r="G3526" s="8">
        <f t="shared" si="220"/>
        <v>435628200</v>
      </c>
      <c r="H3526" s="5">
        <v>0.4444</v>
      </c>
      <c r="I3526" s="8">
        <f t="shared" si="221"/>
        <v>435628200</v>
      </c>
      <c r="J3526" s="8">
        <f t="shared" si="222"/>
        <v>193593172.08</v>
      </c>
      <c r="K3526" t="str">
        <f t="shared" si="223"/>
        <v>MATCHED</v>
      </c>
    </row>
    <row r="3527" spans="1:11">
      <c r="A3527" t="s">
        <v>118</v>
      </c>
      <c r="B3527" t="s">
        <v>1626</v>
      </c>
      <c r="C3527" t="s">
        <v>245</v>
      </c>
      <c r="D3527" t="s">
        <v>246</v>
      </c>
      <c r="E3527" s="8">
        <v>7620</v>
      </c>
      <c r="F3527" s="8">
        <v>112450</v>
      </c>
      <c r="G3527" s="8">
        <f t="shared" si="220"/>
        <v>856869000</v>
      </c>
      <c r="H3527" s="5">
        <v>0.2907</v>
      </c>
      <c r="I3527" s="8">
        <f t="shared" si="221"/>
        <v>856869000</v>
      </c>
      <c r="J3527" s="8">
        <f t="shared" si="222"/>
        <v>249091818.3</v>
      </c>
      <c r="K3527" t="str">
        <f t="shared" si="223"/>
        <v>MATCHED</v>
      </c>
    </row>
    <row r="3528" spans="1:11">
      <c r="A3528" t="s">
        <v>118</v>
      </c>
      <c r="B3528" t="s">
        <v>1626</v>
      </c>
      <c r="C3528" t="s">
        <v>247</v>
      </c>
      <c r="D3528" t="s">
        <v>248</v>
      </c>
      <c r="E3528" s="8">
        <v>4440</v>
      </c>
      <c r="F3528" s="8">
        <v>188810</v>
      </c>
      <c r="G3528" s="8">
        <f t="shared" si="220"/>
        <v>838316400</v>
      </c>
      <c r="H3528" s="5">
        <v>0.5265</v>
      </c>
      <c r="I3528" s="8">
        <f t="shared" si="221"/>
        <v>838316400</v>
      </c>
      <c r="J3528" s="8">
        <f t="shared" si="222"/>
        <v>441373584.6</v>
      </c>
      <c r="K3528" t="str">
        <f t="shared" si="223"/>
        <v>MATCHED</v>
      </c>
    </row>
    <row r="3529" spans="1:11">
      <c r="A3529" t="s">
        <v>118</v>
      </c>
      <c r="B3529" t="s">
        <v>1626</v>
      </c>
      <c r="C3529" t="s">
        <v>249</v>
      </c>
      <c r="D3529" t="s">
        <v>250</v>
      </c>
      <c r="E3529" s="8">
        <v>23140</v>
      </c>
      <c r="F3529" s="8">
        <v>195410</v>
      </c>
      <c r="G3529" s="8">
        <f t="shared" si="220"/>
        <v>4521787400</v>
      </c>
      <c r="H3529" s="5">
        <v>0.7221</v>
      </c>
      <c r="I3529" s="8">
        <f t="shared" si="221"/>
        <v>4521787400</v>
      </c>
      <c r="J3529" s="8">
        <f t="shared" si="222"/>
        <v>3265182681.54</v>
      </c>
      <c r="K3529" t="str">
        <f t="shared" si="223"/>
        <v>MATCHED</v>
      </c>
    </row>
    <row r="3530" spans="1:11">
      <c r="A3530" t="s">
        <v>118</v>
      </c>
      <c r="B3530" t="s">
        <v>1626</v>
      </c>
      <c r="C3530" t="s">
        <v>251</v>
      </c>
      <c r="D3530" t="s">
        <v>252</v>
      </c>
      <c r="E3530" s="8">
        <v>140</v>
      </c>
      <c r="F3530" s="8">
        <v>143930</v>
      </c>
      <c r="G3530" s="8">
        <f t="shared" si="220"/>
        <v>20150200</v>
      </c>
      <c r="H3530" s="5">
        <v>0.3636</v>
      </c>
      <c r="I3530" s="8">
        <f t="shared" si="221"/>
        <v>20150200</v>
      </c>
      <c r="J3530" s="8">
        <f t="shared" si="222"/>
        <v>7326612.72</v>
      </c>
      <c r="K3530" t="str">
        <f t="shared" si="223"/>
        <v>MATCHED</v>
      </c>
    </row>
    <row r="3531" spans="1:11">
      <c r="A3531" t="s">
        <v>118</v>
      </c>
      <c r="B3531" t="s">
        <v>1626</v>
      </c>
      <c r="C3531" t="s">
        <v>253</v>
      </c>
      <c r="D3531" t="s">
        <v>254</v>
      </c>
      <c r="E3531" s="8">
        <v>570</v>
      </c>
      <c r="F3531" s="8">
        <v>149600</v>
      </c>
      <c r="G3531" s="8">
        <f t="shared" si="220"/>
        <v>85272000</v>
      </c>
      <c r="H3531" s="5">
        <v>0.6944</v>
      </c>
      <c r="I3531" s="8">
        <f t="shared" si="221"/>
        <v>85272000</v>
      </c>
      <c r="J3531" s="8">
        <f t="shared" si="222"/>
        <v>59212876.8</v>
      </c>
      <c r="K3531" t="str">
        <f t="shared" si="223"/>
        <v>MATCHED</v>
      </c>
    </row>
    <row r="3532" spans="1:11">
      <c r="A3532" t="s">
        <v>118</v>
      </c>
      <c r="B3532" t="s">
        <v>1626</v>
      </c>
      <c r="C3532" t="s">
        <v>255</v>
      </c>
      <c r="D3532" t="s">
        <v>256</v>
      </c>
      <c r="E3532" s="8">
        <v>3810</v>
      </c>
      <c r="F3532" s="8">
        <v>91880</v>
      </c>
      <c r="G3532" s="8">
        <f t="shared" si="220"/>
        <v>350062800</v>
      </c>
      <c r="H3532" s="5">
        <v>0.5783</v>
      </c>
      <c r="I3532" s="8">
        <f t="shared" si="221"/>
        <v>350062800</v>
      </c>
      <c r="J3532" s="8">
        <f t="shared" si="222"/>
        <v>202441317.24</v>
      </c>
      <c r="K3532" t="str">
        <f t="shared" si="223"/>
        <v>MATCHED</v>
      </c>
    </row>
    <row r="3533" spans="1:11">
      <c r="A3533" t="s">
        <v>118</v>
      </c>
      <c r="B3533" t="s">
        <v>1626</v>
      </c>
      <c r="C3533" t="s">
        <v>524</v>
      </c>
      <c r="D3533" t="s">
        <v>525</v>
      </c>
      <c r="E3533" s="8">
        <v>230</v>
      </c>
      <c r="F3533" s="8">
        <v>151250</v>
      </c>
      <c r="G3533" s="8">
        <f t="shared" si="220"/>
        <v>34787500</v>
      </c>
      <c r="H3533" s="5">
        <v>0.5771</v>
      </c>
      <c r="I3533" s="8">
        <f t="shared" si="221"/>
        <v>34787500</v>
      </c>
      <c r="J3533" s="8">
        <f t="shared" si="222"/>
        <v>20075866.25</v>
      </c>
      <c r="K3533" t="str">
        <f t="shared" si="223"/>
        <v>MATCHED</v>
      </c>
    </row>
    <row r="3534" spans="1:11">
      <c r="A3534" t="s">
        <v>118</v>
      </c>
      <c r="B3534" t="s">
        <v>1626</v>
      </c>
      <c r="C3534" t="s">
        <v>257</v>
      </c>
      <c r="D3534" t="s">
        <v>258</v>
      </c>
      <c r="E3534" s="8">
        <v>2730</v>
      </c>
      <c r="F3534" s="8">
        <v>165710</v>
      </c>
      <c r="G3534" s="8">
        <f t="shared" si="220"/>
        <v>452388300</v>
      </c>
      <c r="H3534" s="5">
        <v>0.5962</v>
      </c>
      <c r="I3534" s="8">
        <f t="shared" si="221"/>
        <v>452388300</v>
      </c>
      <c r="J3534" s="8">
        <f t="shared" si="222"/>
        <v>269713904.46</v>
      </c>
      <c r="K3534" t="str">
        <f t="shared" si="223"/>
        <v>MATCHED</v>
      </c>
    </row>
    <row r="3535" spans="1:11">
      <c r="A3535" t="s">
        <v>118</v>
      </c>
      <c r="B3535" t="s">
        <v>1626</v>
      </c>
      <c r="C3535" t="s">
        <v>526</v>
      </c>
      <c r="D3535" t="s">
        <v>527</v>
      </c>
      <c r="E3535" s="8">
        <v>690</v>
      </c>
      <c r="F3535" s="8">
        <v>133970</v>
      </c>
      <c r="G3535" s="8">
        <f t="shared" si="220"/>
        <v>92439300</v>
      </c>
      <c r="H3535" s="5">
        <v>0.6833</v>
      </c>
      <c r="I3535" s="8">
        <f t="shared" si="221"/>
        <v>92439300</v>
      </c>
      <c r="J3535" s="8">
        <f t="shared" si="222"/>
        <v>63163773.69</v>
      </c>
      <c r="K3535" t="str">
        <f t="shared" si="223"/>
        <v>MATCHED</v>
      </c>
    </row>
    <row r="3536" spans="1:11">
      <c r="A3536" t="s">
        <v>118</v>
      </c>
      <c r="B3536" t="s">
        <v>1626</v>
      </c>
      <c r="C3536" t="s">
        <v>528</v>
      </c>
      <c r="D3536" t="s">
        <v>529</v>
      </c>
      <c r="E3536" s="8">
        <v>9100</v>
      </c>
      <c r="F3536" s="8">
        <v>155730</v>
      </c>
      <c r="G3536" s="8">
        <f t="shared" si="220"/>
        <v>1417143000</v>
      </c>
      <c r="H3536" s="5">
        <v>0.374</v>
      </c>
      <c r="I3536" s="8">
        <f t="shared" si="221"/>
        <v>1417143000</v>
      </c>
      <c r="J3536" s="8">
        <f t="shared" si="222"/>
        <v>530011482</v>
      </c>
      <c r="K3536" t="str">
        <f t="shared" si="223"/>
        <v>MATCHED</v>
      </c>
    </row>
    <row r="3537" spans="1:11">
      <c r="A3537" t="s">
        <v>118</v>
      </c>
      <c r="B3537" t="s">
        <v>1626</v>
      </c>
      <c r="C3537" t="s">
        <v>530</v>
      </c>
      <c r="D3537" t="s">
        <v>531</v>
      </c>
      <c r="E3537" s="8">
        <v>680</v>
      </c>
      <c r="F3537" s="8">
        <v>181180</v>
      </c>
      <c r="G3537" s="8">
        <f t="shared" si="220"/>
        <v>123202400</v>
      </c>
      <c r="H3537" s="5">
        <v>0.263</v>
      </c>
      <c r="I3537" s="8">
        <f t="shared" si="221"/>
        <v>123202400</v>
      </c>
      <c r="J3537" s="8">
        <f t="shared" si="222"/>
        <v>32402231.2</v>
      </c>
      <c r="K3537" t="str">
        <f t="shared" si="223"/>
        <v>MATCHED</v>
      </c>
    </row>
    <row r="3538" spans="1:11">
      <c r="A3538" t="s">
        <v>118</v>
      </c>
      <c r="B3538" t="s">
        <v>1626</v>
      </c>
      <c r="C3538" t="s">
        <v>1144</v>
      </c>
      <c r="D3538" t="s">
        <v>1145</v>
      </c>
      <c r="E3538" s="8">
        <v>620</v>
      </c>
      <c r="F3538" s="8">
        <v>96940</v>
      </c>
      <c r="G3538" s="8">
        <f t="shared" si="220"/>
        <v>60102800</v>
      </c>
      <c r="H3538" s="5">
        <v>0.3821</v>
      </c>
      <c r="I3538" s="8">
        <f t="shared" si="221"/>
        <v>60102800</v>
      </c>
      <c r="J3538" s="8">
        <f t="shared" si="222"/>
        <v>22965279.88</v>
      </c>
      <c r="K3538" t="str">
        <f t="shared" si="223"/>
        <v>MATCHED</v>
      </c>
    </row>
    <row r="3539" spans="1:11">
      <c r="A3539" t="s">
        <v>118</v>
      </c>
      <c r="B3539" t="s">
        <v>1626</v>
      </c>
      <c r="C3539" t="s">
        <v>1460</v>
      </c>
      <c r="D3539" t="s">
        <v>1461</v>
      </c>
      <c r="E3539" s="8">
        <v>260</v>
      </c>
      <c r="F3539" s="8">
        <v>83750</v>
      </c>
      <c r="G3539" s="8">
        <f t="shared" si="220"/>
        <v>21775000</v>
      </c>
      <c r="H3539" s="5">
        <v>0.3176</v>
      </c>
      <c r="I3539" s="8">
        <f t="shared" si="221"/>
        <v>21775000</v>
      </c>
      <c r="J3539" s="8">
        <f t="shared" si="222"/>
        <v>6915740</v>
      </c>
      <c r="K3539" t="str">
        <f t="shared" si="223"/>
        <v>MATCHED</v>
      </c>
    </row>
    <row r="3540" spans="1:11">
      <c r="A3540" t="s">
        <v>118</v>
      </c>
      <c r="B3540" t="s">
        <v>1626</v>
      </c>
      <c r="C3540" t="s">
        <v>924</v>
      </c>
      <c r="D3540" t="s">
        <v>925</v>
      </c>
      <c r="E3540" s="8"/>
      <c r="F3540" s="8">
        <v>75460</v>
      </c>
      <c r="G3540" s="8" t="str">
        <f t="shared" si="220"/>
        <v/>
      </c>
      <c r="H3540" s="5">
        <v>0.4729</v>
      </c>
      <c r="I3540" s="8" t="str">
        <f t="shared" si="221"/>
        <v/>
      </c>
      <c r="J3540" s="8" t="str">
        <f t="shared" si="222"/>
        <v/>
      </c>
      <c r="K3540" t="str">
        <f t="shared" si="223"/>
        <v>MISSING OEWS</v>
      </c>
    </row>
    <row r="3541" spans="1:11">
      <c r="A3541" t="s">
        <v>118</v>
      </c>
      <c r="B3541" t="s">
        <v>1626</v>
      </c>
      <c r="C3541" t="s">
        <v>1146</v>
      </c>
      <c r="D3541" t="s">
        <v>1147</v>
      </c>
      <c r="E3541" s="8">
        <v>160</v>
      </c>
      <c r="F3541" s="8">
        <v>121920</v>
      </c>
      <c r="G3541" s="8">
        <f t="shared" si="220"/>
        <v>19507200</v>
      </c>
      <c r="H3541" s="5">
        <v>0.4417</v>
      </c>
      <c r="I3541" s="8">
        <f t="shared" si="221"/>
        <v>19507200</v>
      </c>
      <c r="J3541" s="8">
        <f t="shared" si="222"/>
        <v>8616330.24</v>
      </c>
      <c r="K3541" t="str">
        <f t="shared" si="223"/>
        <v>MATCHED</v>
      </c>
    </row>
    <row r="3542" spans="1:11">
      <c r="A3542" t="s">
        <v>118</v>
      </c>
      <c r="B3542" t="s">
        <v>1626</v>
      </c>
      <c r="C3542" t="s">
        <v>532</v>
      </c>
      <c r="D3542" t="s">
        <v>533</v>
      </c>
      <c r="E3542" s="8">
        <v>253210</v>
      </c>
      <c r="F3542" s="8">
        <v>78350</v>
      </c>
      <c r="G3542" s="8">
        <f t="shared" si="220"/>
        <v>19839003500</v>
      </c>
      <c r="H3542" s="5">
        <v>0.3833</v>
      </c>
      <c r="I3542" s="8">
        <f t="shared" si="221"/>
        <v>19839003500</v>
      </c>
      <c r="J3542" s="8">
        <f t="shared" si="222"/>
        <v>7604290041.55</v>
      </c>
      <c r="K3542" t="str">
        <f t="shared" si="223"/>
        <v>MATCHED</v>
      </c>
    </row>
    <row r="3543" spans="1:11">
      <c r="A3543" t="s">
        <v>118</v>
      </c>
      <c r="B3543" t="s">
        <v>1626</v>
      </c>
      <c r="C3543" t="s">
        <v>926</v>
      </c>
      <c r="D3543" t="s">
        <v>927</v>
      </c>
      <c r="E3543" s="8">
        <v>1260</v>
      </c>
      <c r="F3543" s="8">
        <v>76070</v>
      </c>
      <c r="G3543" s="8">
        <f t="shared" si="220"/>
        <v>95848200</v>
      </c>
      <c r="H3543" s="5">
        <v>0.3656</v>
      </c>
      <c r="I3543" s="8">
        <f t="shared" si="221"/>
        <v>95848200</v>
      </c>
      <c r="J3543" s="8">
        <f t="shared" si="222"/>
        <v>35042101.92</v>
      </c>
      <c r="K3543" t="str">
        <f t="shared" si="223"/>
        <v>MATCHED</v>
      </c>
    </row>
    <row r="3544" spans="1:11">
      <c r="A3544" t="s">
        <v>118</v>
      </c>
      <c r="B3544" t="s">
        <v>1626</v>
      </c>
      <c r="C3544" t="s">
        <v>1148</v>
      </c>
      <c r="D3544" t="s">
        <v>1149</v>
      </c>
      <c r="E3544" s="8">
        <v>40</v>
      </c>
      <c r="F3544" s="8">
        <v>74810</v>
      </c>
      <c r="G3544" s="8">
        <f t="shared" si="220"/>
        <v>2992400</v>
      </c>
      <c r="H3544" s="5">
        <v>0.4143</v>
      </c>
      <c r="I3544" s="8">
        <f t="shared" si="221"/>
        <v>2992400</v>
      </c>
      <c r="J3544" s="8">
        <f t="shared" si="222"/>
        <v>1239751.32</v>
      </c>
      <c r="K3544" t="str">
        <f t="shared" si="223"/>
        <v>MATCHED</v>
      </c>
    </row>
    <row r="3545" spans="1:11">
      <c r="A3545" t="s">
        <v>118</v>
      </c>
      <c r="B3545" t="s">
        <v>1626</v>
      </c>
      <c r="C3545" t="s">
        <v>263</v>
      </c>
      <c r="D3545" t="s">
        <v>264</v>
      </c>
      <c r="E3545" s="8">
        <v>9440</v>
      </c>
      <c r="F3545" s="8">
        <v>133730</v>
      </c>
      <c r="G3545" s="8">
        <f t="shared" si="220"/>
        <v>1262411200</v>
      </c>
      <c r="H3545" s="5">
        <v>0.4896</v>
      </c>
      <c r="I3545" s="8">
        <f t="shared" si="221"/>
        <v>1262411200</v>
      </c>
      <c r="J3545" s="8">
        <f t="shared" si="222"/>
        <v>618076523.52</v>
      </c>
      <c r="K3545" t="str">
        <f t="shared" si="223"/>
        <v>MATCHED</v>
      </c>
    </row>
    <row r="3546" spans="1:11">
      <c r="A3546" t="s">
        <v>118</v>
      </c>
      <c r="B3546" t="s">
        <v>1626</v>
      </c>
      <c r="C3546" t="s">
        <v>265</v>
      </c>
      <c r="D3546" t="s">
        <v>266</v>
      </c>
      <c r="E3546" s="8"/>
      <c r="F3546" s="8">
        <v>75390</v>
      </c>
      <c r="G3546" s="8" t="str">
        <f t="shared" si="220"/>
        <v/>
      </c>
      <c r="H3546" s="5">
        <v>0.5876</v>
      </c>
      <c r="I3546" s="8" t="str">
        <f t="shared" si="221"/>
        <v/>
      </c>
      <c r="J3546" s="8" t="str">
        <f t="shared" si="222"/>
        <v/>
      </c>
      <c r="K3546" t="str">
        <f t="shared" si="223"/>
        <v>MISSING OEWS</v>
      </c>
    </row>
    <row r="3547" spans="1:11">
      <c r="A3547" t="s">
        <v>118</v>
      </c>
      <c r="B3547" t="s">
        <v>1626</v>
      </c>
      <c r="C3547" t="s">
        <v>818</v>
      </c>
      <c r="D3547" t="s">
        <v>819</v>
      </c>
      <c r="E3547" s="8">
        <v>230</v>
      </c>
      <c r="F3547" s="8">
        <v>60720</v>
      </c>
      <c r="G3547" s="8">
        <f t="shared" si="220"/>
        <v>13965600</v>
      </c>
      <c r="H3547" s="5">
        <v>0.6983</v>
      </c>
      <c r="I3547" s="8">
        <f t="shared" si="221"/>
        <v>13965600</v>
      </c>
      <c r="J3547" s="8">
        <f t="shared" si="222"/>
        <v>9752178.48</v>
      </c>
      <c r="K3547" t="str">
        <f t="shared" si="223"/>
        <v>MATCHED</v>
      </c>
    </row>
    <row r="3548" spans="1:11">
      <c r="A3548" t="s">
        <v>118</v>
      </c>
      <c r="B3548" t="s">
        <v>1626</v>
      </c>
      <c r="C3548" t="s">
        <v>267</v>
      </c>
      <c r="D3548" t="s">
        <v>268</v>
      </c>
      <c r="E3548" s="8">
        <v>6840</v>
      </c>
      <c r="F3548" s="8">
        <v>71770</v>
      </c>
      <c r="G3548" s="8">
        <f t="shared" si="220"/>
        <v>490906800</v>
      </c>
      <c r="H3548" s="5">
        <v>0.4611</v>
      </c>
      <c r="I3548" s="8">
        <f t="shared" si="221"/>
        <v>490906800</v>
      </c>
      <c r="J3548" s="8">
        <f t="shared" si="222"/>
        <v>226357125.48</v>
      </c>
      <c r="K3548" t="str">
        <f t="shared" si="223"/>
        <v>MATCHED</v>
      </c>
    </row>
    <row r="3549" spans="1:11">
      <c r="A3549" t="s">
        <v>118</v>
      </c>
      <c r="B3549" t="s">
        <v>1626</v>
      </c>
      <c r="C3549" t="s">
        <v>534</v>
      </c>
      <c r="D3549" t="s">
        <v>535</v>
      </c>
      <c r="E3549" s="8">
        <v>870</v>
      </c>
      <c r="F3549" s="8">
        <v>87860</v>
      </c>
      <c r="G3549" s="8">
        <f t="shared" si="220"/>
        <v>76438200</v>
      </c>
      <c r="H3549" s="5">
        <v>0.6393</v>
      </c>
      <c r="I3549" s="8">
        <f t="shared" si="221"/>
        <v>76438200</v>
      </c>
      <c r="J3549" s="8">
        <f t="shared" si="222"/>
        <v>48866941.26</v>
      </c>
      <c r="K3549" t="str">
        <f t="shared" si="223"/>
        <v>MATCHED</v>
      </c>
    </row>
    <row r="3550" spans="1:11">
      <c r="A3550" t="s">
        <v>118</v>
      </c>
      <c r="B3550" t="s">
        <v>1626</v>
      </c>
      <c r="C3550" t="s">
        <v>269</v>
      </c>
      <c r="D3550" t="s">
        <v>270</v>
      </c>
      <c r="E3550" s="8">
        <v>12700</v>
      </c>
      <c r="F3550" s="8">
        <v>75310</v>
      </c>
      <c r="G3550" s="8">
        <f t="shared" si="220"/>
        <v>956437000</v>
      </c>
      <c r="H3550" s="5">
        <v>0.7808</v>
      </c>
      <c r="I3550" s="8">
        <f t="shared" si="221"/>
        <v>956437000</v>
      </c>
      <c r="J3550" s="8">
        <f t="shared" si="222"/>
        <v>746786009.6</v>
      </c>
      <c r="K3550" t="str">
        <f t="shared" si="223"/>
        <v>MATCHED</v>
      </c>
    </row>
    <row r="3551" spans="1:11">
      <c r="A3551" t="s">
        <v>118</v>
      </c>
      <c r="B3551" t="s">
        <v>1626</v>
      </c>
      <c r="C3551" t="s">
        <v>820</v>
      </c>
      <c r="D3551" t="s">
        <v>821</v>
      </c>
      <c r="E3551" s="8">
        <v>70</v>
      </c>
      <c r="F3551" s="8">
        <v>92030</v>
      </c>
      <c r="G3551" s="8">
        <f t="shared" si="220"/>
        <v>6442100</v>
      </c>
      <c r="H3551" s="5">
        <v>0.5536</v>
      </c>
      <c r="I3551" s="8">
        <f t="shared" si="221"/>
        <v>6442100</v>
      </c>
      <c r="J3551" s="8">
        <f t="shared" si="222"/>
        <v>3566346.56</v>
      </c>
      <c r="K3551" t="str">
        <f t="shared" si="223"/>
        <v>MATCHED</v>
      </c>
    </row>
    <row r="3552" spans="1:11">
      <c r="A3552" t="s">
        <v>118</v>
      </c>
      <c r="B3552" t="s">
        <v>1626</v>
      </c>
      <c r="C3552" t="s">
        <v>273</v>
      </c>
      <c r="D3552" t="s">
        <v>274</v>
      </c>
      <c r="E3552" s="8">
        <v>1750</v>
      </c>
      <c r="F3552" s="8">
        <v>75100</v>
      </c>
      <c r="G3552" s="8">
        <f t="shared" si="220"/>
        <v>131425000</v>
      </c>
      <c r="H3552" s="5">
        <v>0.6943</v>
      </c>
      <c r="I3552" s="8">
        <f t="shared" si="221"/>
        <v>131425000</v>
      </c>
      <c r="J3552" s="8">
        <f t="shared" si="222"/>
        <v>91248377.5</v>
      </c>
      <c r="K3552" t="str">
        <f t="shared" si="223"/>
        <v>MATCHED</v>
      </c>
    </row>
    <row r="3553" spans="1:11">
      <c r="A3553" t="s">
        <v>118</v>
      </c>
      <c r="B3553" t="s">
        <v>1626</v>
      </c>
      <c r="C3553" t="s">
        <v>275</v>
      </c>
      <c r="D3553" t="s">
        <v>276</v>
      </c>
      <c r="E3553" s="8">
        <v>17850</v>
      </c>
      <c r="F3553" s="8">
        <v>106420</v>
      </c>
      <c r="G3553" s="8">
        <f t="shared" si="220"/>
        <v>1899597000</v>
      </c>
      <c r="H3553" s="5">
        <v>0.6375</v>
      </c>
      <c r="I3553" s="8">
        <f t="shared" si="221"/>
        <v>1899597000</v>
      </c>
      <c r="J3553" s="8">
        <f t="shared" si="222"/>
        <v>1210993087.5</v>
      </c>
      <c r="K3553" t="str">
        <f t="shared" si="223"/>
        <v>MATCHED</v>
      </c>
    </row>
    <row r="3554" spans="1:11">
      <c r="A3554" t="s">
        <v>118</v>
      </c>
      <c r="B3554" t="s">
        <v>1626</v>
      </c>
      <c r="C3554" t="s">
        <v>277</v>
      </c>
      <c r="D3554" t="s">
        <v>278</v>
      </c>
      <c r="E3554" s="8">
        <v>3360</v>
      </c>
      <c r="F3554" s="8">
        <v>89470</v>
      </c>
      <c r="G3554" s="8">
        <f t="shared" si="220"/>
        <v>300619200</v>
      </c>
      <c r="H3554" s="5">
        <v>0.5773</v>
      </c>
      <c r="I3554" s="8">
        <f t="shared" si="221"/>
        <v>300619200</v>
      </c>
      <c r="J3554" s="8">
        <f t="shared" si="222"/>
        <v>173547464.16</v>
      </c>
      <c r="K3554" t="str">
        <f t="shared" si="223"/>
        <v>MATCHED</v>
      </c>
    </row>
    <row r="3555" spans="1:11">
      <c r="A3555" t="s">
        <v>118</v>
      </c>
      <c r="B3555" t="s">
        <v>1626</v>
      </c>
      <c r="C3555" t="s">
        <v>279</v>
      </c>
      <c r="D3555" t="s">
        <v>280</v>
      </c>
      <c r="E3555" s="8">
        <v>4980</v>
      </c>
      <c r="F3555" s="8">
        <v>60310</v>
      </c>
      <c r="G3555" s="8">
        <f t="shared" si="220"/>
        <v>300343800</v>
      </c>
      <c r="H3555" s="5">
        <v>0.4476</v>
      </c>
      <c r="I3555" s="8">
        <f t="shared" si="221"/>
        <v>300343800</v>
      </c>
      <c r="J3555" s="8">
        <f t="shared" si="222"/>
        <v>134433884.88</v>
      </c>
      <c r="K3555" t="str">
        <f t="shared" si="223"/>
        <v>MATCHED</v>
      </c>
    </row>
    <row r="3556" spans="1:11">
      <c r="A3556" t="s">
        <v>118</v>
      </c>
      <c r="B3556" t="s">
        <v>1626</v>
      </c>
      <c r="C3556" t="s">
        <v>928</v>
      </c>
      <c r="D3556" t="s">
        <v>929</v>
      </c>
      <c r="E3556" s="8">
        <v>530</v>
      </c>
      <c r="F3556" s="8">
        <v>94300</v>
      </c>
      <c r="G3556" s="8">
        <f t="shared" si="220"/>
        <v>49979000</v>
      </c>
      <c r="H3556" s="5">
        <v>0.5571</v>
      </c>
      <c r="I3556" s="8">
        <f t="shared" si="221"/>
        <v>49979000</v>
      </c>
      <c r="J3556" s="8">
        <f t="shared" si="222"/>
        <v>27843300.9</v>
      </c>
      <c r="K3556" t="str">
        <f t="shared" si="223"/>
        <v>MATCHED</v>
      </c>
    </row>
    <row r="3557" spans="1:11">
      <c r="A3557" t="s">
        <v>118</v>
      </c>
      <c r="B3557" t="s">
        <v>1626</v>
      </c>
      <c r="C3557" t="s">
        <v>281</v>
      </c>
      <c r="D3557" t="s">
        <v>282</v>
      </c>
      <c r="E3557" s="8">
        <v>800</v>
      </c>
      <c r="F3557" s="8">
        <v>84410</v>
      </c>
      <c r="G3557" s="8">
        <f t="shared" si="220"/>
        <v>67528000</v>
      </c>
      <c r="H3557" s="5">
        <v>0.6167</v>
      </c>
      <c r="I3557" s="8">
        <f t="shared" si="221"/>
        <v>67528000</v>
      </c>
      <c r="J3557" s="8">
        <f t="shared" si="222"/>
        <v>41644517.6</v>
      </c>
      <c r="K3557" t="str">
        <f t="shared" si="223"/>
        <v>MATCHED</v>
      </c>
    </row>
    <row r="3558" spans="1:11">
      <c r="A3558" t="s">
        <v>118</v>
      </c>
      <c r="B3558" t="s">
        <v>1626</v>
      </c>
      <c r="C3558" t="s">
        <v>283</v>
      </c>
      <c r="D3558" t="s">
        <v>284</v>
      </c>
      <c r="E3558" s="8">
        <v>4630</v>
      </c>
      <c r="F3558" s="8">
        <v>74100</v>
      </c>
      <c r="G3558" s="8">
        <f t="shared" si="220"/>
        <v>343083000</v>
      </c>
      <c r="H3558" s="5">
        <v>0.565</v>
      </c>
      <c r="I3558" s="8">
        <f t="shared" si="221"/>
        <v>343083000</v>
      </c>
      <c r="J3558" s="8">
        <f t="shared" si="222"/>
        <v>193841895</v>
      </c>
      <c r="K3558" t="str">
        <f t="shared" si="223"/>
        <v>MATCHED</v>
      </c>
    </row>
    <row r="3559" spans="1:11">
      <c r="A3559" t="s">
        <v>118</v>
      </c>
      <c r="B3559" t="s">
        <v>1626</v>
      </c>
      <c r="C3559" t="s">
        <v>285</v>
      </c>
      <c r="D3559" t="s">
        <v>286</v>
      </c>
      <c r="E3559" s="8">
        <v>21520</v>
      </c>
      <c r="F3559" s="8">
        <v>69600</v>
      </c>
      <c r="G3559" s="8">
        <f t="shared" si="220"/>
        <v>1497792000</v>
      </c>
      <c r="H3559" s="5">
        <v>0.7792</v>
      </c>
      <c r="I3559" s="8">
        <f t="shared" si="221"/>
        <v>1497792000</v>
      </c>
      <c r="J3559" s="8">
        <f t="shared" si="222"/>
        <v>1167079526.4</v>
      </c>
      <c r="K3559" t="str">
        <f t="shared" si="223"/>
        <v>MATCHED</v>
      </c>
    </row>
    <row r="3560" spans="1:11">
      <c r="A3560" t="s">
        <v>118</v>
      </c>
      <c r="B3560" t="s">
        <v>1626</v>
      </c>
      <c r="C3560" t="s">
        <v>287</v>
      </c>
      <c r="D3560" t="s">
        <v>288</v>
      </c>
      <c r="E3560" s="8">
        <v>17970</v>
      </c>
      <c r="F3560" s="8">
        <v>77480</v>
      </c>
      <c r="G3560" s="8">
        <f t="shared" si="220"/>
        <v>1392315600</v>
      </c>
      <c r="H3560" s="5">
        <v>0.6599</v>
      </c>
      <c r="I3560" s="8">
        <f t="shared" si="221"/>
        <v>1392315600</v>
      </c>
      <c r="J3560" s="8">
        <f t="shared" si="222"/>
        <v>918789064.44</v>
      </c>
      <c r="K3560" t="str">
        <f t="shared" si="223"/>
        <v>MATCHED</v>
      </c>
    </row>
    <row r="3561" spans="1:11">
      <c r="A3561" t="s">
        <v>118</v>
      </c>
      <c r="B3561" t="s">
        <v>1626</v>
      </c>
      <c r="C3561" t="s">
        <v>289</v>
      </c>
      <c r="D3561" t="s">
        <v>290</v>
      </c>
      <c r="E3561" s="8">
        <v>50900</v>
      </c>
      <c r="F3561" s="8">
        <v>95310</v>
      </c>
      <c r="G3561" s="8">
        <f t="shared" si="220"/>
        <v>4851279000</v>
      </c>
      <c r="H3561" s="5">
        <v>0.795</v>
      </c>
      <c r="I3561" s="8">
        <f t="shared" si="221"/>
        <v>4851279000</v>
      </c>
      <c r="J3561" s="8">
        <f t="shared" si="222"/>
        <v>3856766805</v>
      </c>
      <c r="K3561" t="str">
        <f t="shared" si="223"/>
        <v>MATCHED</v>
      </c>
    </row>
    <row r="3562" spans="1:11">
      <c r="A3562" t="s">
        <v>118</v>
      </c>
      <c r="B3562" t="s">
        <v>1626</v>
      </c>
      <c r="C3562" t="s">
        <v>822</v>
      </c>
      <c r="D3562" t="s">
        <v>823</v>
      </c>
      <c r="E3562" s="8">
        <v>13980</v>
      </c>
      <c r="F3562" s="8">
        <v>71540</v>
      </c>
      <c r="G3562" s="8">
        <f t="shared" si="220"/>
        <v>1000129200</v>
      </c>
      <c r="H3562" s="5">
        <v>0.6102</v>
      </c>
      <c r="I3562" s="8">
        <f t="shared" si="221"/>
        <v>1000129200</v>
      </c>
      <c r="J3562" s="8">
        <f t="shared" si="222"/>
        <v>610278837.84</v>
      </c>
      <c r="K3562" t="str">
        <f t="shared" si="223"/>
        <v>MATCHED</v>
      </c>
    </row>
    <row r="3563" spans="1:11">
      <c r="A3563" t="s">
        <v>118</v>
      </c>
      <c r="B3563" t="s">
        <v>1626</v>
      </c>
      <c r="C3563" t="s">
        <v>824</v>
      </c>
      <c r="D3563" t="s">
        <v>825</v>
      </c>
      <c r="E3563" s="8">
        <v>200</v>
      </c>
      <c r="F3563" s="8">
        <v>86720</v>
      </c>
      <c r="G3563" s="8">
        <f t="shared" si="220"/>
        <v>17344000</v>
      </c>
      <c r="H3563" s="5">
        <v>0.8</v>
      </c>
      <c r="I3563" s="8">
        <f t="shared" si="221"/>
        <v>17344000</v>
      </c>
      <c r="J3563" s="8">
        <f t="shared" si="222"/>
        <v>13875200</v>
      </c>
      <c r="K3563" t="str">
        <f t="shared" si="223"/>
        <v>MATCHED</v>
      </c>
    </row>
    <row r="3564" spans="1:11">
      <c r="A3564" t="s">
        <v>118</v>
      </c>
      <c r="B3564" t="s">
        <v>1626</v>
      </c>
      <c r="C3564" t="s">
        <v>826</v>
      </c>
      <c r="D3564" t="s">
        <v>827</v>
      </c>
      <c r="E3564" s="8">
        <v>460</v>
      </c>
      <c r="F3564" s="8">
        <v>83500</v>
      </c>
      <c r="G3564" s="8">
        <f t="shared" si="220"/>
        <v>38410000</v>
      </c>
      <c r="H3564" s="5">
        <v>0.8182</v>
      </c>
      <c r="I3564" s="8">
        <f t="shared" si="221"/>
        <v>38410000</v>
      </c>
      <c r="J3564" s="8">
        <f t="shared" si="222"/>
        <v>31427062</v>
      </c>
      <c r="K3564" t="str">
        <f t="shared" si="223"/>
        <v>MATCHED</v>
      </c>
    </row>
    <row r="3565" spans="1:11">
      <c r="A3565" t="s">
        <v>118</v>
      </c>
      <c r="B3565" t="s">
        <v>1626</v>
      </c>
      <c r="C3565" t="s">
        <v>536</v>
      </c>
      <c r="D3565" t="s">
        <v>537</v>
      </c>
      <c r="E3565" s="8">
        <v>11400</v>
      </c>
      <c r="F3565" s="8">
        <v>113870</v>
      </c>
      <c r="G3565" s="8">
        <f t="shared" si="220"/>
        <v>1298118000</v>
      </c>
      <c r="H3565" s="5">
        <v>0.6904</v>
      </c>
      <c r="I3565" s="8">
        <f t="shared" si="221"/>
        <v>1298118000</v>
      </c>
      <c r="J3565" s="8">
        <f t="shared" si="222"/>
        <v>896220667.2</v>
      </c>
      <c r="K3565" t="str">
        <f t="shared" si="223"/>
        <v>MATCHED</v>
      </c>
    </row>
    <row r="3566" spans="1:11">
      <c r="A3566" t="s">
        <v>118</v>
      </c>
      <c r="B3566" t="s">
        <v>1626</v>
      </c>
      <c r="C3566" t="s">
        <v>1602</v>
      </c>
      <c r="D3566" t="s">
        <v>1603</v>
      </c>
      <c r="E3566" s="8"/>
      <c r="F3566" s="8">
        <v>91020</v>
      </c>
      <c r="G3566" s="8" t="str">
        <f t="shared" si="220"/>
        <v/>
      </c>
      <c r="H3566" s="5">
        <v>0.95</v>
      </c>
      <c r="I3566" s="8" t="str">
        <f t="shared" si="221"/>
        <v/>
      </c>
      <c r="J3566" s="8" t="str">
        <f t="shared" si="222"/>
        <v/>
      </c>
      <c r="K3566" t="str">
        <f t="shared" si="223"/>
        <v>MISSING OEWS</v>
      </c>
    </row>
    <row r="3567" spans="1:11">
      <c r="A3567" t="s">
        <v>118</v>
      </c>
      <c r="B3567" t="s">
        <v>1626</v>
      </c>
      <c r="C3567" t="s">
        <v>828</v>
      </c>
      <c r="D3567" t="s">
        <v>829</v>
      </c>
      <c r="E3567" s="8">
        <v>420</v>
      </c>
      <c r="F3567" s="8">
        <v>119280</v>
      </c>
      <c r="G3567" s="8">
        <f t="shared" si="220"/>
        <v>50097600</v>
      </c>
      <c r="H3567" s="5">
        <v>0.7767</v>
      </c>
      <c r="I3567" s="8">
        <f t="shared" si="221"/>
        <v>50097600</v>
      </c>
      <c r="J3567" s="8">
        <f t="shared" si="222"/>
        <v>38910805.92</v>
      </c>
      <c r="K3567" t="str">
        <f t="shared" si="223"/>
        <v>MATCHED</v>
      </c>
    </row>
    <row r="3568" spans="1:11">
      <c r="A3568" t="s">
        <v>118</v>
      </c>
      <c r="B3568" t="s">
        <v>1626</v>
      </c>
      <c r="C3568" t="s">
        <v>1150</v>
      </c>
      <c r="D3568" t="s">
        <v>1151</v>
      </c>
      <c r="E3568" s="8">
        <v>340</v>
      </c>
      <c r="F3568" s="8">
        <v>103700</v>
      </c>
      <c r="G3568" s="8">
        <f t="shared" si="220"/>
        <v>35258000</v>
      </c>
      <c r="H3568" s="5">
        <v>0.5647</v>
      </c>
      <c r="I3568" s="8">
        <f t="shared" si="221"/>
        <v>35258000</v>
      </c>
      <c r="J3568" s="8">
        <f t="shared" si="222"/>
        <v>19910192.6</v>
      </c>
      <c r="K3568" t="str">
        <f t="shared" si="223"/>
        <v>MATCHED</v>
      </c>
    </row>
    <row r="3569" spans="1:11">
      <c r="A3569" t="s">
        <v>118</v>
      </c>
      <c r="B3569" t="s">
        <v>1626</v>
      </c>
      <c r="C3569" t="s">
        <v>932</v>
      </c>
      <c r="D3569" t="s">
        <v>933</v>
      </c>
      <c r="E3569" s="8">
        <v>120</v>
      </c>
      <c r="F3569" s="8">
        <v>70900</v>
      </c>
      <c r="G3569" s="8">
        <f t="shared" si="220"/>
        <v>8508000</v>
      </c>
      <c r="H3569" s="5">
        <v>0.7587</v>
      </c>
      <c r="I3569" s="8">
        <f t="shared" si="221"/>
        <v>8508000</v>
      </c>
      <c r="J3569" s="8">
        <f t="shared" si="222"/>
        <v>6455019.6</v>
      </c>
      <c r="K3569" t="str">
        <f t="shared" si="223"/>
        <v>MATCHED</v>
      </c>
    </row>
    <row r="3570" spans="1:11">
      <c r="A3570" t="s">
        <v>118</v>
      </c>
      <c r="B3570" t="s">
        <v>1626</v>
      </c>
      <c r="C3570" t="s">
        <v>934</v>
      </c>
      <c r="D3570" t="s">
        <v>935</v>
      </c>
      <c r="E3570" s="8">
        <v>3350</v>
      </c>
      <c r="F3570" s="8">
        <v>91590</v>
      </c>
      <c r="G3570" s="8">
        <f t="shared" si="220"/>
        <v>306826500</v>
      </c>
      <c r="H3570" s="5">
        <v>0.805</v>
      </c>
      <c r="I3570" s="8">
        <f t="shared" si="221"/>
        <v>306826500</v>
      </c>
      <c r="J3570" s="8">
        <f t="shared" si="222"/>
        <v>246995332.5</v>
      </c>
      <c r="K3570" t="str">
        <f t="shared" si="223"/>
        <v>MATCHED</v>
      </c>
    </row>
    <row r="3571" spans="1:11">
      <c r="A3571" t="s">
        <v>118</v>
      </c>
      <c r="B3571" t="s">
        <v>1626</v>
      </c>
      <c r="C3571" t="s">
        <v>538</v>
      </c>
      <c r="D3571" t="s">
        <v>539</v>
      </c>
      <c r="E3571" s="8">
        <v>770</v>
      </c>
      <c r="F3571" s="8">
        <v>89400</v>
      </c>
      <c r="G3571" s="8">
        <f t="shared" si="220"/>
        <v>68838000</v>
      </c>
      <c r="H3571" s="5">
        <v>0.6192</v>
      </c>
      <c r="I3571" s="8">
        <f t="shared" si="221"/>
        <v>68838000</v>
      </c>
      <c r="J3571" s="8">
        <f t="shared" si="222"/>
        <v>42624489.6</v>
      </c>
      <c r="K3571" t="str">
        <f t="shared" si="223"/>
        <v>MATCHED</v>
      </c>
    </row>
    <row r="3572" spans="1:11">
      <c r="A3572" t="s">
        <v>118</v>
      </c>
      <c r="B3572" t="s">
        <v>1626</v>
      </c>
      <c r="C3572" t="s">
        <v>291</v>
      </c>
      <c r="D3572" t="s">
        <v>292</v>
      </c>
      <c r="E3572" s="8">
        <v>1390</v>
      </c>
      <c r="F3572" s="8">
        <v>107320</v>
      </c>
      <c r="G3572" s="8">
        <f t="shared" si="220"/>
        <v>149174800</v>
      </c>
      <c r="H3572" s="5">
        <v>0.6388</v>
      </c>
      <c r="I3572" s="8">
        <f t="shared" si="221"/>
        <v>149174800</v>
      </c>
      <c r="J3572" s="8">
        <f t="shared" si="222"/>
        <v>95292862.24</v>
      </c>
      <c r="K3572" t="str">
        <f t="shared" si="223"/>
        <v>MATCHED</v>
      </c>
    </row>
    <row r="3573" spans="1:11">
      <c r="A3573" t="s">
        <v>118</v>
      </c>
      <c r="B3573" t="s">
        <v>1626</v>
      </c>
      <c r="C3573" t="s">
        <v>540</v>
      </c>
      <c r="D3573" t="s">
        <v>541</v>
      </c>
      <c r="E3573" s="8">
        <v>630</v>
      </c>
      <c r="F3573" s="8">
        <v>110240</v>
      </c>
      <c r="G3573" s="8">
        <f t="shared" si="220"/>
        <v>69451200</v>
      </c>
      <c r="H3573" s="5">
        <v>0.6292</v>
      </c>
      <c r="I3573" s="8">
        <f t="shared" si="221"/>
        <v>69451200</v>
      </c>
      <c r="J3573" s="8">
        <f t="shared" si="222"/>
        <v>43698695.04</v>
      </c>
      <c r="K3573" t="str">
        <f t="shared" si="223"/>
        <v>MATCHED</v>
      </c>
    </row>
    <row r="3574" spans="1:11">
      <c r="A3574" t="s">
        <v>118</v>
      </c>
      <c r="B3574" t="s">
        <v>1626</v>
      </c>
      <c r="C3574" t="s">
        <v>542</v>
      </c>
      <c r="D3574" t="s">
        <v>543</v>
      </c>
      <c r="E3574" s="8">
        <v>950</v>
      </c>
      <c r="F3574" s="8">
        <v>72750</v>
      </c>
      <c r="G3574" s="8">
        <f t="shared" si="220"/>
        <v>69112500</v>
      </c>
      <c r="H3574" s="5">
        <v>0.7096</v>
      </c>
      <c r="I3574" s="8">
        <f t="shared" si="221"/>
        <v>69112500</v>
      </c>
      <c r="J3574" s="8">
        <f t="shared" si="222"/>
        <v>49042230</v>
      </c>
      <c r="K3574" t="str">
        <f t="shared" si="223"/>
        <v>MATCHED</v>
      </c>
    </row>
    <row r="3575" spans="1:11">
      <c r="A3575" t="s">
        <v>118</v>
      </c>
      <c r="B3575" t="s">
        <v>1626</v>
      </c>
      <c r="C3575" t="s">
        <v>293</v>
      </c>
      <c r="D3575" t="s">
        <v>294</v>
      </c>
      <c r="E3575" s="8">
        <v>5260</v>
      </c>
      <c r="F3575" s="8">
        <v>67930</v>
      </c>
      <c r="G3575" s="8">
        <f t="shared" si="220"/>
        <v>357311800</v>
      </c>
      <c r="H3575" s="5">
        <v>0.6062</v>
      </c>
      <c r="I3575" s="8">
        <f t="shared" si="221"/>
        <v>357311800</v>
      </c>
      <c r="J3575" s="8">
        <f t="shared" si="222"/>
        <v>216602413.16</v>
      </c>
      <c r="K3575" t="str">
        <f t="shared" si="223"/>
        <v>MATCHED</v>
      </c>
    </row>
    <row r="3576" spans="1:11">
      <c r="A3576" t="s">
        <v>118</v>
      </c>
      <c r="B3576" t="s">
        <v>1626</v>
      </c>
      <c r="C3576" t="s">
        <v>544</v>
      </c>
      <c r="D3576" t="s">
        <v>545</v>
      </c>
      <c r="E3576" s="8">
        <v>440</v>
      </c>
      <c r="F3576" s="8">
        <v>142010</v>
      </c>
      <c r="G3576" s="8">
        <f t="shared" si="220"/>
        <v>62484400</v>
      </c>
      <c r="H3576" s="5">
        <v>0.6278</v>
      </c>
      <c r="I3576" s="8">
        <f t="shared" si="221"/>
        <v>62484400</v>
      </c>
      <c r="J3576" s="8">
        <f t="shared" si="222"/>
        <v>39227706.32</v>
      </c>
      <c r="K3576" t="str">
        <f t="shared" si="223"/>
        <v>MATCHED</v>
      </c>
    </row>
    <row r="3577" spans="1:11">
      <c r="A3577" t="s">
        <v>118</v>
      </c>
      <c r="B3577" t="s">
        <v>1626</v>
      </c>
      <c r="C3577" t="s">
        <v>546</v>
      </c>
      <c r="D3577" t="s">
        <v>547</v>
      </c>
      <c r="E3577" s="8">
        <v>710</v>
      </c>
      <c r="F3577" s="8">
        <v>100810</v>
      </c>
      <c r="G3577" s="8">
        <f t="shared" si="220"/>
        <v>71575100</v>
      </c>
      <c r="H3577" s="5">
        <v>0.8389</v>
      </c>
      <c r="I3577" s="8">
        <f t="shared" si="221"/>
        <v>71575100</v>
      </c>
      <c r="J3577" s="8">
        <f t="shared" si="222"/>
        <v>60044351.39</v>
      </c>
      <c r="K3577" t="str">
        <f t="shared" si="223"/>
        <v>MATCHED</v>
      </c>
    </row>
    <row r="3578" spans="1:11">
      <c r="A3578" t="s">
        <v>118</v>
      </c>
      <c r="B3578" t="s">
        <v>1626</v>
      </c>
      <c r="C3578" t="s">
        <v>548</v>
      </c>
      <c r="D3578" t="s">
        <v>549</v>
      </c>
      <c r="E3578" s="8">
        <v>480</v>
      </c>
      <c r="F3578" s="8">
        <v>144940</v>
      </c>
      <c r="G3578" s="8">
        <f t="shared" si="220"/>
        <v>69571200</v>
      </c>
      <c r="H3578" s="5">
        <v>0.8502</v>
      </c>
      <c r="I3578" s="8">
        <f t="shared" si="221"/>
        <v>69571200</v>
      </c>
      <c r="J3578" s="8">
        <f t="shared" si="222"/>
        <v>59149434.24</v>
      </c>
      <c r="K3578" t="str">
        <f t="shared" si="223"/>
        <v>MATCHED</v>
      </c>
    </row>
    <row r="3579" spans="1:11">
      <c r="A3579" t="s">
        <v>118</v>
      </c>
      <c r="B3579" t="s">
        <v>1626</v>
      </c>
      <c r="C3579" t="s">
        <v>295</v>
      </c>
      <c r="D3579" t="s">
        <v>296</v>
      </c>
      <c r="E3579" s="8">
        <v>3510</v>
      </c>
      <c r="F3579" s="8">
        <v>96760</v>
      </c>
      <c r="G3579" s="8">
        <f t="shared" si="220"/>
        <v>339627600</v>
      </c>
      <c r="H3579" s="5">
        <v>0.695</v>
      </c>
      <c r="I3579" s="8">
        <f t="shared" si="221"/>
        <v>339627600</v>
      </c>
      <c r="J3579" s="8">
        <f t="shared" si="222"/>
        <v>236041182</v>
      </c>
      <c r="K3579" t="str">
        <f t="shared" si="223"/>
        <v>MATCHED</v>
      </c>
    </row>
    <row r="3580" spans="1:11">
      <c r="A3580" t="s">
        <v>118</v>
      </c>
      <c r="B3580" t="s">
        <v>1626</v>
      </c>
      <c r="C3580" t="s">
        <v>550</v>
      </c>
      <c r="D3580" t="s">
        <v>551</v>
      </c>
      <c r="E3580" s="8">
        <v>100</v>
      </c>
      <c r="F3580" s="8">
        <v>105550</v>
      </c>
      <c r="G3580" s="8">
        <f t="shared" si="220"/>
        <v>10555000</v>
      </c>
      <c r="H3580" s="5">
        <v>0.6824</v>
      </c>
      <c r="I3580" s="8">
        <f t="shared" si="221"/>
        <v>10555000</v>
      </c>
      <c r="J3580" s="8">
        <f t="shared" si="222"/>
        <v>7202732</v>
      </c>
      <c r="K3580" t="str">
        <f t="shared" si="223"/>
        <v>MATCHED</v>
      </c>
    </row>
    <row r="3581" spans="1:11">
      <c r="A3581" t="s">
        <v>118</v>
      </c>
      <c r="B3581" t="s">
        <v>1626</v>
      </c>
      <c r="C3581" t="s">
        <v>297</v>
      </c>
      <c r="D3581" t="s">
        <v>298</v>
      </c>
      <c r="E3581" s="8">
        <v>5150</v>
      </c>
      <c r="F3581" s="8">
        <v>136810</v>
      </c>
      <c r="G3581" s="8">
        <f t="shared" si="220"/>
        <v>704571500</v>
      </c>
      <c r="H3581" s="5">
        <v>0.5211</v>
      </c>
      <c r="I3581" s="8">
        <f t="shared" si="221"/>
        <v>704571500</v>
      </c>
      <c r="J3581" s="8">
        <f t="shared" si="222"/>
        <v>367152208.65</v>
      </c>
      <c r="K3581" t="str">
        <f t="shared" si="223"/>
        <v>MATCHED</v>
      </c>
    </row>
    <row r="3582" spans="1:11">
      <c r="A3582" t="s">
        <v>118</v>
      </c>
      <c r="B3582" t="s">
        <v>1626</v>
      </c>
      <c r="C3582" t="s">
        <v>552</v>
      </c>
      <c r="D3582" t="s">
        <v>553</v>
      </c>
      <c r="E3582" s="8">
        <v>600</v>
      </c>
      <c r="F3582" s="8">
        <v>113620</v>
      </c>
      <c r="G3582" s="8">
        <f t="shared" si="220"/>
        <v>68172000</v>
      </c>
      <c r="H3582" s="5">
        <v>0.8117</v>
      </c>
      <c r="I3582" s="8">
        <f t="shared" si="221"/>
        <v>68172000</v>
      </c>
      <c r="J3582" s="8">
        <f t="shared" si="222"/>
        <v>55335212.4</v>
      </c>
      <c r="K3582" t="str">
        <f t="shared" si="223"/>
        <v>MATCHED</v>
      </c>
    </row>
    <row r="3583" spans="1:11">
      <c r="A3583" t="s">
        <v>118</v>
      </c>
      <c r="B3583" t="s">
        <v>1626</v>
      </c>
      <c r="C3583" t="s">
        <v>830</v>
      </c>
      <c r="D3583" t="s">
        <v>831</v>
      </c>
      <c r="E3583" s="8">
        <v>280</v>
      </c>
      <c r="F3583" s="8">
        <v>87350</v>
      </c>
      <c r="G3583" s="8">
        <f t="shared" si="220"/>
        <v>24458000</v>
      </c>
      <c r="H3583" s="5">
        <v>0.8276</v>
      </c>
      <c r="I3583" s="8">
        <f t="shared" si="221"/>
        <v>24458000</v>
      </c>
      <c r="J3583" s="8">
        <f t="shared" si="222"/>
        <v>20241440.8</v>
      </c>
      <c r="K3583" t="str">
        <f t="shared" si="223"/>
        <v>MATCHED</v>
      </c>
    </row>
    <row r="3584" spans="1:11">
      <c r="A3584" t="s">
        <v>118</v>
      </c>
      <c r="B3584" t="s">
        <v>1626</v>
      </c>
      <c r="C3584" t="s">
        <v>832</v>
      </c>
      <c r="D3584" t="s">
        <v>833</v>
      </c>
      <c r="E3584" s="8">
        <v>510</v>
      </c>
      <c r="F3584" s="8">
        <v>96600</v>
      </c>
      <c r="G3584" s="8">
        <f t="shared" si="220"/>
        <v>49266000</v>
      </c>
      <c r="H3584" s="5">
        <v>0.6827</v>
      </c>
      <c r="I3584" s="8">
        <f t="shared" si="221"/>
        <v>49266000</v>
      </c>
      <c r="J3584" s="8">
        <f t="shared" si="222"/>
        <v>33633898.2</v>
      </c>
      <c r="K3584" t="str">
        <f t="shared" si="223"/>
        <v>MATCHED</v>
      </c>
    </row>
    <row r="3585" spans="1:11">
      <c r="A3585" t="s">
        <v>118</v>
      </c>
      <c r="B3585" t="s">
        <v>1626</v>
      </c>
      <c r="C3585" t="s">
        <v>299</v>
      </c>
      <c r="D3585" t="s">
        <v>300</v>
      </c>
      <c r="E3585" s="8">
        <v>2170</v>
      </c>
      <c r="F3585" s="8">
        <v>100260</v>
      </c>
      <c r="G3585" s="8">
        <f t="shared" si="220"/>
        <v>217564200</v>
      </c>
      <c r="H3585" s="5">
        <v>0.7425</v>
      </c>
      <c r="I3585" s="8">
        <f t="shared" si="221"/>
        <v>217564200</v>
      </c>
      <c r="J3585" s="8">
        <f t="shared" si="222"/>
        <v>161541418.5</v>
      </c>
      <c r="K3585" t="str">
        <f t="shared" si="223"/>
        <v>MATCHED</v>
      </c>
    </row>
    <row r="3586" spans="1:11">
      <c r="A3586" t="s">
        <v>118</v>
      </c>
      <c r="B3586" t="s">
        <v>1626</v>
      </c>
      <c r="C3586" t="s">
        <v>554</v>
      </c>
      <c r="D3586" t="s">
        <v>555</v>
      </c>
      <c r="E3586" s="8">
        <v>280</v>
      </c>
      <c r="F3586" s="8"/>
      <c r="G3586" s="8" t="str">
        <f t="shared" ref="G3586:G3649" si="224">IF(OR(E3586="",F3586=""),"",E3586*F3586)</f>
        <v/>
      </c>
      <c r="H3586" s="5">
        <v>0.6031</v>
      </c>
      <c r="I3586" s="8" t="str">
        <f t="shared" ref="I3586:I3649" si="225">IF(G3586="","",IF(ISNUMBER(H3586),G3586,""))</f>
        <v/>
      </c>
      <c r="J3586" s="8" t="str">
        <f t="shared" ref="J3586:J3649" si="226">IF(I3586="","",I3586*H3586)</f>
        <v/>
      </c>
      <c r="K3586" t="str">
        <f t="shared" ref="K3586:K3649" si="227">IF(G3586="","MISSING OEWS",IF(ISNUMBER(H3586),"MATCHED","MISSING WHARTON"))</f>
        <v>MISSING OEWS</v>
      </c>
    </row>
    <row r="3587" spans="1:11">
      <c r="A3587" t="s">
        <v>118</v>
      </c>
      <c r="B3587" t="s">
        <v>1626</v>
      </c>
      <c r="C3587" t="s">
        <v>556</v>
      </c>
      <c r="D3587" t="s">
        <v>557</v>
      </c>
      <c r="E3587" s="8">
        <v>1720</v>
      </c>
      <c r="F3587" s="8">
        <v>126760</v>
      </c>
      <c r="G3587" s="8">
        <f t="shared" si="224"/>
        <v>218027200</v>
      </c>
      <c r="H3587" s="5">
        <v>0.8228</v>
      </c>
      <c r="I3587" s="8">
        <f t="shared" si="225"/>
        <v>218027200</v>
      </c>
      <c r="J3587" s="8">
        <f t="shared" si="226"/>
        <v>179392780.16</v>
      </c>
      <c r="K3587" t="str">
        <f t="shared" si="227"/>
        <v>MATCHED</v>
      </c>
    </row>
    <row r="3588" spans="1:11">
      <c r="A3588" t="s">
        <v>118</v>
      </c>
      <c r="B3588" t="s">
        <v>1626</v>
      </c>
      <c r="C3588" t="s">
        <v>834</v>
      </c>
      <c r="D3588" t="s">
        <v>835</v>
      </c>
      <c r="E3588" s="8">
        <v>540</v>
      </c>
      <c r="F3588" s="8">
        <v>110780</v>
      </c>
      <c r="G3588" s="8">
        <f t="shared" si="224"/>
        <v>59821200</v>
      </c>
      <c r="H3588" s="5">
        <v>0.5375</v>
      </c>
      <c r="I3588" s="8">
        <f t="shared" si="225"/>
        <v>59821200</v>
      </c>
      <c r="J3588" s="8">
        <f t="shared" si="226"/>
        <v>32153895</v>
      </c>
      <c r="K3588" t="str">
        <f t="shared" si="227"/>
        <v>MATCHED</v>
      </c>
    </row>
    <row r="3589" spans="1:11">
      <c r="A3589" t="s">
        <v>118</v>
      </c>
      <c r="B3589" t="s">
        <v>1626</v>
      </c>
      <c r="C3589" t="s">
        <v>560</v>
      </c>
      <c r="D3589" t="s">
        <v>561</v>
      </c>
      <c r="E3589" s="8"/>
      <c r="F3589" s="8">
        <v>50280</v>
      </c>
      <c r="G3589" s="8" t="str">
        <f t="shared" si="224"/>
        <v/>
      </c>
      <c r="H3589" s="5">
        <v>0.3682</v>
      </c>
      <c r="I3589" s="8" t="str">
        <f t="shared" si="225"/>
        <v/>
      </c>
      <c r="J3589" s="8" t="str">
        <f t="shared" si="226"/>
        <v/>
      </c>
      <c r="K3589" t="str">
        <f t="shared" si="227"/>
        <v>MISSING OEWS</v>
      </c>
    </row>
    <row r="3590" spans="1:11">
      <c r="A3590" t="s">
        <v>118</v>
      </c>
      <c r="B3590" t="s">
        <v>1626</v>
      </c>
      <c r="C3590" t="s">
        <v>564</v>
      </c>
      <c r="D3590" t="s">
        <v>565</v>
      </c>
      <c r="E3590" s="8">
        <v>2910</v>
      </c>
      <c r="F3590" s="8">
        <v>90980</v>
      </c>
      <c r="G3590" s="8">
        <f t="shared" si="224"/>
        <v>264751800</v>
      </c>
      <c r="H3590" s="5">
        <v>0.4218</v>
      </c>
      <c r="I3590" s="8">
        <f t="shared" si="225"/>
        <v>264751800</v>
      </c>
      <c r="J3590" s="8">
        <f t="shared" si="226"/>
        <v>111672309.24</v>
      </c>
      <c r="K3590" t="str">
        <f t="shared" si="227"/>
        <v>MATCHED</v>
      </c>
    </row>
    <row r="3591" spans="1:11">
      <c r="A3591" t="s">
        <v>118</v>
      </c>
      <c r="B3591" t="s">
        <v>1626</v>
      </c>
      <c r="C3591" t="s">
        <v>566</v>
      </c>
      <c r="D3591" t="s">
        <v>567</v>
      </c>
      <c r="E3591" s="8">
        <v>160</v>
      </c>
      <c r="F3591" s="8">
        <v>108230</v>
      </c>
      <c r="G3591" s="8">
        <f t="shared" si="224"/>
        <v>17316800</v>
      </c>
      <c r="H3591" s="5">
        <v>0.3523</v>
      </c>
      <c r="I3591" s="8">
        <f t="shared" si="225"/>
        <v>17316800</v>
      </c>
      <c r="J3591" s="8">
        <f t="shared" si="226"/>
        <v>6100708.64</v>
      </c>
      <c r="K3591" t="str">
        <f t="shared" si="227"/>
        <v>MATCHED</v>
      </c>
    </row>
    <row r="3592" spans="1:11">
      <c r="A3592" t="s">
        <v>118</v>
      </c>
      <c r="B3592" t="s">
        <v>1626</v>
      </c>
      <c r="C3592" t="s">
        <v>568</v>
      </c>
      <c r="D3592" t="s">
        <v>569</v>
      </c>
      <c r="E3592" s="8">
        <v>250</v>
      </c>
      <c r="F3592" s="8">
        <v>125580</v>
      </c>
      <c r="G3592" s="8">
        <f t="shared" si="224"/>
        <v>31395000</v>
      </c>
      <c r="H3592" s="5">
        <v>0.4536</v>
      </c>
      <c r="I3592" s="8">
        <f t="shared" si="225"/>
        <v>31395000</v>
      </c>
      <c r="J3592" s="8">
        <f t="shared" si="226"/>
        <v>14240772</v>
      </c>
      <c r="K3592" t="str">
        <f t="shared" si="227"/>
        <v>MATCHED</v>
      </c>
    </row>
    <row r="3593" spans="1:11">
      <c r="A3593" t="s">
        <v>118</v>
      </c>
      <c r="B3593" t="s">
        <v>1626</v>
      </c>
      <c r="C3593" t="s">
        <v>301</v>
      </c>
      <c r="D3593" t="s">
        <v>302</v>
      </c>
      <c r="E3593" s="8">
        <v>100</v>
      </c>
      <c r="F3593" s="8">
        <v>101150</v>
      </c>
      <c r="G3593" s="8">
        <f t="shared" si="224"/>
        <v>10115000</v>
      </c>
      <c r="H3593" s="5">
        <v>0.4786</v>
      </c>
      <c r="I3593" s="8">
        <f t="shared" si="225"/>
        <v>10115000</v>
      </c>
      <c r="J3593" s="8">
        <f t="shared" si="226"/>
        <v>4841039</v>
      </c>
      <c r="K3593" t="str">
        <f t="shared" si="227"/>
        <v>MATCHED</v>
      </c>
    </row>
    <row r="3594" spans="1:11">
      <c r="A3594" t="s">
        <v>118</v>
      </c>
      <c r="B3594" t="s">
        <v>1626</v>
      </c>
      <c r="C3594" t="s">
        <v>576</v>
      </c>
      <c r="D3594" t="s">
        <v>577</v>
      </c>
      <c r="E3594" s="8">
        <v>420</v>
      </c>
      <c r="F3594" s="8">
        <v>102490</v>
      </c>
      <c r="G3594" s="8">
        <f t="shared" si="224"/>
        <v>43045800</v>
      </c>
      <c r="H3594" s="5">
        <v>0.3008</v>
      </c>
      <c r="I3594" s="8">
        <f t="shared" si="225"/>
        <v>43045800</v>
      </c>
      <c r="J3594" s="8">
        <f t="shared" si="226"/>
        <v>12948176.64</v>
      </c>
      <c r="K3594" t="str">
        <f t="shared" si="227"/>
        <v>MATCHED</v>
      </c>
    </row>
    <row r="3595" spans="1:11">
      <c r="A3595" t="s">
        <v>118</v>
      </c>
      <c r="B3595" t="s">
        <v>1626</v>
      </c>
      <c r="C3595" t="s">
        <v>582</v>
      </c>
      <c r="D3595" t="s">
        <v>583</v>
      </c>
      <c r="E3595" s="8">
        <v>660</v>
      </c>
      <c r="F3595" s="8">
        <v>96970</v>
      </c>
      <c r="G3595" s="8">
        <f t="shared" si="224"/>
        <v>64000200</v>
      </c>
      <c r="H3595" s="5">
        <v>0.315</v>
      </c>
      <c r="I3595" s="8">
        <f t="shared" si="225"/>
        <v>64000200</v>
      </c>
      <c r="J3595" s="8">
        <f t="shared" si="226"/>
        <v>20160063</v>
      </c>
      <c r="K3595" t="str">
        <f t="shared" si="227"/>
        <v>MATCHED</v>
      </c>
    </row>
    <row r="3596" spans="1:11">
      <c r="A3596" t="s">
        <v>118</v>
      </c>
      <c r="B3596" t="s">
        <v>1626</v>
      </c>
      <c r="C3596" t="s">
        <v>584</v>
      </c>
      <c r="D3596" t="s">
        <v>585</v>
      </c>
      <c r="E3596" s="8">
        <v>310</v>
      </c>
      <c r="F3596" s="8">
        <v>76180</v>
      </c>
      <c r="G3596" s="8">
        <f t="shared" si="224"/>
        <v>23615800</v>
      </c>
      <c r="H3596" s="5">
        <v>0.7</v>
      </c>
      <c r="I3596" s="8">
        <f t="shared" si="225"/>
        <v>23615800</v>
      </c>
      <c r="J3596" s="8">
        <f t="shared" si="226"/>
        <v>16531060</v>
      </c>
      <c r="K3596" t="str">
        <f t="shared" si="227"/>
        <v>MATCHED</v>
      </c>
    </row>
    <row r="3597" spans="1:11">
      <c r="A3597" t="s">
        <v>118</v>
      </c>
      <c r="B3597" t="s">
        <v>1626</v>
      </c>
      <c r="C3597" t="s">
        <v>586</v>
      </c>
      <c r="D3597" t="s">
        <v>587</v>
      </c>
      <c r="E3597" s="8">
        <v>40</v>
      </c>
      <c r="F3597" s="8">
        <v>78060</v>
      </c>
      <c r="G3597" s="8">
        <f t="shared" si="224"/>
        <v>3122400</v>
      </c>
      <c r="H3597" s="5">
        <v>0.71</v>
      </c>
      <c r="I3597" s="8">
        <f t="shared" si="225"/>
        <v>3122400</v>
      </c>
      <c r="J3597" s="8">
        <f t="shared" si="226"/>
        <v>2216904</v>
      </c>
      <c r="K3597" t="str">
        <f t="shared" si="227"/>
        <v>MATCHED</v>
      </c>
    </row>
    <row r="3598" spans="1:11">
      <c r="A3598" t="s">
        <v>118</v>
      </c>
      <c r="B3598" t="s">
        <v>1626</v>
      </c>
      <c r="C3598" t="s">
        <v>588</v>
      </c>
      <c r="D3598" t="s">
        <v>589</v>
      </c>
      <c r="E3598" s="8">
        <v>160</v>
      </c>
      <c r="F3598" s="8">
        <v>74330</v>
      </c>
      <c r="G3598" s="8">
        <f t="shared" si="224"/>
        <v>11892800</v>
      </c>
      <c r="H3598" s="5"/>
      <c r="I3598" s="8" t="str">
        <f t="shared" si="225"/>
        <v/>
      </c>
      <c r="J3598" s="8" t="str">
        <f t="shared" si="226"/>
        <v/>
      </c>
      <c r="K3598" t="str">
        <f t="shared" si="227"/>
        <v>MISSING WHARTON</v>
      </c>
    </row>
    <row r="3599" spans="1:11">
      <c r="A3599" t="s">
        <v>118</v>
      </c>
      <c r="B3599" t="s">
        <v>1626</v>
      </c>
      <c r="C3599" t="s">
        <v>592</v>
      </c>
      <c r="D3599" t="s">
        <v>593</v>
      </c>
      <c r="E3599" s="8">
        <v>120</v>
      </c>
      <c r="F3599" s="8">
        <v>86480</v>
      </c>
      <c r="G3599" s="8">
        <f t="shared" si="224"/>
        <v>10377600</v>
      </c>
      <c r="H3599" s="5">
        <v>0.4</v>
      </c>
      <c r="I3599" s="8">
        <f t="shared" si="225"/>
        <v>10377600</v>
      </c>
      <c r="J3599" s="8">
        <f t="shared" si="226"/>
        <v>4151040</v>
      </c>
      <c r="K3599" t="str">
        <f t="shared" si="227"/>
        <v>MATCHED</v>
      </c>
    </row>
    <row r="3600" spans="1:11">
      <c r="A3600" t="s">
        <v>118</v>
      </c>
      <c r="B3600" t="s">
        <v>1626</v>
      </c>
      <c r="C3600" t="s">
        <v>598</v>
      </c>
      <c r="D3600" t="s">
        <v>599</v>
      </c>
      <c r="E3600" s="8"/>
      <c r="F3600" s="8">
        <v>46510</v>
      </c>
      <c r="G3600" s="8" t="str">
        <f t="shared" si="224"/>
        <v/>
      </c>
      <c r="H3600" s="5">
        <v>0.2855</v>
      </c>
      <c r="I3600" s="8" t="str">
        <f t="shared" si="225"/>
        <v/>
      </c>
      <c r="J3600" s="8" t="str">
        <f t="shared" si="226"/>
        <v/>
      </c>
      <c r="K3600" t="str">
        <f t="shared" si="227"/>
        <v>MISSING OEWS</v>
      </c>
    </row>
    <row r="3601" spans="1:11">
      <c r="A3601" t="s">
        <v>118</v>
      </c>
      <c r="B3601" t="s">
        <v>1626</v>
      </c>
      <c r="C3601" t="s">
        <v>602</v>
      </c>
      <c r="D3601" t="s">
        <v>603</v>
      </c>
      <c r="E3601" s="8">
        <v>230</v>
      </c>
      <c r="F3601" s="8">
        <v>75290</v>
      </c>
      <c r="G3601" s="8">
        <f t="shared" si="224"/>
        <v>17316700</v>
      </c>
      <c r="H3601" s="5">
        <v>0.1733</v>
      </c>
      <c r="I3601" s="8">
        <f t="shared" si="225"/>
        <v>17316700</v>
      </c>
      <c r="J3601" s="8">
        <f t="shared" si="226"/>
        <v>3000984.11</v>
      </c>
      <c r="K3601" t="str">
        <f t="shared" si="227"/>
        <v>MATCHED</v>
      </c>
    </row>
    <row r="3602" spans="1:11">
      <c r="A3602" t="s">
        <v>118</v>
      </c>
      <c r="B3602" t="s">
        <v>1626</v>
      </c>
      <c r="C3602" t="s">
        <v>606</v>
      </c>
      <c r="D3602" t="s">
        <v>607</v>
      </c>
      <c r="E3602" s="8">
        <v>250</v>
      </c>
      <c r="F3602" s="8"/>
      <c r="G3602" s="8" t="str">
        <f t="shared" si="224"/>
        <v/>
      </c>
      <c r="H3602" s="5">
        <v>0.6783</v>
      </c>
      <c r="I3602" s="8" t="str">
        <f t="shared" si="225"/>
        <v/>
      </c>
      <c r="J3602" s="8" t="str">
        <f t="shared" si="226"/>
        <v/>
      </c>
      <c r="K3602" t="str">
        <f t="shared" si="227"/>
        <v>MISSING OEWS</v>
      </c>
    </row>
    <row r="3603" spans="1:11">
      <c r="A3603" t="s">
        <v>118</v>
      </c>
      <c r="B3603" t="s">
        <v>1626</v>
      </c>
      <c r="C3603" t="s">
        <v>311</v>
      </c>
      <c r="D3603" t="s">
        <v>312</v>
      </c>
      <c r="E3603" s="8"/>
      <c r="F3603" s="8">
        <v>88390</v>
      </c>
      <c r="G3603" s="8" t="str">
        <f t="shared" si="224"/>
        <v/>
      </c>
      <c r="H3603" s="5">
        <v>0.056</v>
      </c>
      <c r="I3603" s="8" t="str">
        <f t="shared" si="225"/>
        <v/>
      </c>
      <c r="J3603" s="8" t="str">
        <f t="shared" si="226"/>
        <v/>
      </c>
      <c r="K3603" t="str">
        <f t="shared" si="227"/>
        <v>MISSING OEWS</v>
      </c>
    </row>
    <row r="3604" spans="1:11">
      <c r="A3604" t="s">
        <v>118</v>
      </c>
      <c r="B3604" t="s">
        <v>1626</v>
      </c>
      <c r="C3604" t="s">
        <v>614</v>
      </c>
      <c r="D3604" t="s">
        <v>615</v>
      </c>
      <c r="E3604" s="8"/>
      <c r="F3604" s="8">
        <v>148740</v>
      </c>
      <c r="G3604" s="8" t="str">
        <f t="shared" si="224"/>
        <v/>
      </c>
      <c r="H3604" s="5">
        <v>0.5271</v>
      </c>
      <c r="I3604" s="8" t="str">
        <f t="shared" si="225"/>
        <v/>
      </c>
      <c r="J3604" s="8" t="str">
        <f t="shared" si="226"/>
        <v/>
      </c>
      <c r="K3604" t="str">
        <f t="shared" si="227"/>
        <v>MISSING OEWS</v>
      </c>
    </row>
    <row r="3605" spans="1:11">
      <c r="A3605" t="s">
        <v>118</v>
      </c>
      <c r="B3605" t="s">
        <v>1626</v>
      </c>
      <c r="C3605" t="s">
        <v>852</v>
      </c>
      <c r="D3605" t="s">
        <v>853</v>
      </c>
      <c r="E3605" s="8"/>
      <c r="F3605" s="8">
        <v>82230</v>
      </c>
      <c r="G3605" s="8" t="str">
        <f t="shared" si="224"/>
        <v/>
      </c>
      <c r="H3605" s="5">
        <v>0.554</v>
      </c>
      <c r="I3605" s="8" t="str">
        <f t="shared" si="225"/>
        <v/>
      </c>
      <c r="J3605" s="8" t="str">
        <f t="shared" si="226"/>
        <v/>
      </c>
      <c r="K3605" t="str">
        <f t="shared" si="227"/>
        <v>MISSING OEWS</v>
      </c>
    </row>
    <row r="3606" spans="1:11">
      <c r="A3606" t="s">
        <v>118</v>
      </c>
      <c r="B3606" t="s">
        <v>1626</v>
      </c>
      <c r="C3606" t="s">
        <v>618</v>
      </c>
      <c r="D3606" t="s">
        <v>619</v>
      </c>
      <c r="E3606" s="8">
        <v>30</v>
      </c>
      <c r="F3606" s="8">
        <v>63970</v>
      </c>
      <c r="G3606" s="8">
        <f t="shared" si="224"/>
        <v>1919100</v>
      </c>
      <c r="H3606" s="5">
        <v>0.2635</v>
      </c>
      <c r="I3606" s="8">
        <f t="shared" si="225"/>
        <v>1919100</v>
      </c>
      <c r="J3606" s="8">
        <f t="shared" si="226"/>
        <v>505682.85</v>
      </c>
      <c r="K3606" t="str">
        <f t="shared" si="227"/>
        <v>MATCHED</v>
      </c>
    </row>
    <row r="3607" spans="1:11">
      <c r="A3607" t="s">
        <v>118</v>
      </c>
      <c r="B3607" t="s">
        <v>1626</v>
      </c>
      <c r="C3607" t="s">
        <v>319</v>
      </c>
      <c r="D3607" t="s">
        <v>320</v>
      </c>
      <c r="E3607" s="8">
        <v>650</v>
      </c>
      <c r="F3607" s="8">
        <v>98940</v>
      </c>
      <c r="G3607" s="8">
        <f t="shared" si="224"/>
        <v>64311000</v>
      </c>
      <c r="H3607" s="5">
        <v>0.2786</v>
      </c>
      <c r="I3607" s="8">
        <f t="shared" si="225"/>
        <v>64311000</v>
      </c>
      <c r="J3607" s="8">
        <f t="shared" si="226"/>
        <v>17917044.6</v>
      </c>
      <c r="K3607" t="str">
        <f t="shared" si="227"/>
        <v>MATCHED</v>
      </c>
    </row>
    <row r="3608" spans="1:11">
      <c r="A3608" t="s">
        <v>118</v>
      </c>
      <c r="B3608" t="s">
        <v>1626</v>
      </c>
      <c r="C3608" t="s">
        <v>626</v>
      </c>
      <c r="D3608" t="s">
        <v>627</v>
      </c>
      <c r="E3608" s="8">
        <v>40</v>
      </c>
      <c r="F3608" s="8">
        <v>64510</v>
      </c>
      <c r="G3608" s="8">
        <f t="shared" si="224"/>
        <v>2580400</v>
      </c>
      <c r="H3608" s="5">
        <v>0.2712</v>
      </c>
      <c r="I3608" s="8">
        <f t="shared" si="225"/>
        <v>2580400</v>
      </c>
      <c r="J3608" s="8">
        <f t="shared" si="226"/>
        <v>699804.48</v>
      </c>
      <c r="K3608" t="str">
        <f t="shared" si="227"/>
        <v>MATCHED</v>
      </c>
    </row>
    <row r="3609" spans="1:11">
      <c r="A3609" t="s">
        <v>118</v>
      </c>
      <c r="B3609" t="s">
        <v>1626</v>
      </c>
      <c r="C3609" t="s">
        <v>1466</v>
      </c>
      <c r="D3609" t="s">
        <v>1467</v>
      </c>
      <c r="E3609" s="8"/>
      <c r="F3609" s="8">
        <v>55220</v>
      </c>
      <c r="G3609" s="8" t="str">
        <f t="shared" si="224"/>
        <v/>
      </c>
      <c r="H3609" s="5">
        <v>0.2618</v>
      </c>
      <c r="I3609" s="8" t="str">
        <f t="shared" si="225"/>
        <v/>
      </c>
      <c r="J3609" s="8" t="str">
        <f t="shared" si="226"/>
        <v/>
      </c>
      <c r="K3609" t="str">
        <f t="shared" si="227"/>
        <v>MISSING OEWS</v>
      </c>
    </row>
    <row r="3610" spans="1:11">
      <c r="A3610" t="s">
        <v>118</v>
      </c>
      <c r="B3610" t="s">
        <v>1626</v>
      </c>
      <c r="C3610" t="s">
        <v>1468</v>
      </c>
      <c r="D3610" t="s">
        <v>1469</v>
      </c>
      <c r="E3610" s="8">
        <v>40</v>
      </c>
      <c r="F3610" s="8">
        <v>62130</v>
      </c>
      <c r="G3610" s="8">
        <f t="shared" si="224"/>
        <v>2485200</v>
      </c>
      <c r="H3610" s="5"/>
      <c r="I3610" s="8" t="str">
        <f t="shared" si="225"/>
        <v/>
      </c>
      <c r="J3610" s="8" t="str">
        <f t="shared" si="226"/>
        <v/>
      </c>
      <c r="K3610" t="str">
        <f t="shared" si="227"/>
        <v>MISSING WHARTON</v>
      </c>
    </row>
    <row r="3611" spans="1:11">
      <c r="A3611" t="s">
        <v>118</v>
      </c>
      <c r="B3611" t="s">
        <v>1626</v>
      </c>
      <c r="C3611" t="s">
        <v>1610</v>
      </c>
      <c r="D3611" t="s">
        <v>1611</v>
      </c>
      <c r="E3611" s="8">
        <v>310</v>
      </c>
      <c r="F3611" s="8">
        <v>67190</v>
      </c>
      <c r="G3611" s="8">
        <f t="shared" si="224"/>
        <v>20828900</v>
      </c>
      <c r="H3611" s="5">
        <v>0.2457</v>
      </c>
      <c r="I3611" s="8">
        <f t="shared" si="225"/>
        <v>20828900</v>
      </c>
      <c r="J3611" s="8">
        <f t="shared" si="226"/>
        <v>5117660.73</v>
      </c>
      <c r="K3611" t="str">
        <f t="shared" si="227"/>
        <v>MATCHED</v>
      </c>
    </row>
    <row r="3612" spans="1:11">
      <c r="A3612" t="s">
        <v>118</v>
      </c>
      <c r="B3612" t="s">
        <v>1626</v>
      </c>
      <c r="C3612" t="s">
        <v>1614</v>
      </c>
      <c r="D3612" t="s">
        <v>1615</v>
      </c>
      <c r="E3612" s="8">
        <v>200</v>
      </c>
      <c r="F3612" s="8">
        <v>51970</v>
      </c>
      <c r="G3612" s="8">
        <f t="shared" si="224"/>
        <v>10394000</v>
      </c>
      <c r="H3612" s="5"/>
      <c r="I3612" s="8" t="str">
        <f t="shared" si="225"/>
        <v/>
      </c>
      <c r="J3612" s="8" t="str">
        <f t="shared" si="226"/>
        <v/>
      </c>
      <c r="K3612" t="str">
        <f t="shared" si="227"/>
        <v>MISSING WHARTON</v>
      </c>
    </row>
    <row r="3613" spans="1:11">
      <c r="A3613" t="s">
        <v>118</v>
      </c>
      <c r="B3613" t="s">
        <v>1626</v>
      </c>
      <c r="C3613" t="s">
        <v>940</v>
      </c>
      <c r="D3613" t="s">
        <v>941</v>
      </c>
      <c r="E3613" s="8">
        <v>1980</v>
      </c>
      <c r="F3613" s="8">
        <v>42980</v>
      </c>
      <c r="G3613" s="8">
        <f t="shared" si="224"/>
        <v>85100400</v>
      </c>
      <c r="H3613" s="5">
        <v>0.4</v>
      </c>
      <c r="I3613" s="8">
        <f t="shared" si="225"/>
        <v>85100400</v>
      </c>
      <c r="J3613" s="8">
        <f t="shared" si="226"/>
        <v>34040160</v>
      </c>
      <c r="K3613" t="str">
        <f t="shared" si="227"/>
        <v>MATCHED</v>
      </c>
    </row>
    <row r="3614" spans="1:11">
      <c r="A3614" t="s">
        <v>118</v>
      </c>
      <c r="B3614" t="s">
        <v>1626</v>
      </c>
      <c r="C3614" t="s">
        <v>942</v>
      </c>
      <c r="D3614" t="s">
        <v>943</v>
      </c>
      <c r="E3614" s="8">
        <v>1370</v>
      </c>
      <c r="F3614" s="8">
        <v>50270</v>
      </c>
      <c r="G3614" s="8">
        <f t="shared" si="224"/>
        <v>68869900</v>
      </c>
      <c r="H3614" s="5"/>
      <c r="I3614" s="8" t="str">
        <f t="shared" si="225"/>
        <v/>
      </c>
      <c r="J3614" s="8" t="str">
        <f t="shared" si="226"/>
        <v/>
      </c>
      <c r="K3614" t="str">
        <f t="shared" si="227"/>
        <v>MISSING WHARTON</v>
      </c>
    </row>
    <row r="3615" spans="1:11">
      <c r="A3615" t="s">
        <v>118</v>
      </c>
      <c r="B3615" t="s">
        <v>1626</v>
      </c>
      <c r="C3615" t="s">
        <v>1182</v>
      </c>
      <c r="D3615" t="s">
        <v>1183</v>
      </c>
      <c r="E3615" s="8">
        <v>40</v>
      </c>
      <c r="F3615" s="8">
        <v>56900</v>
      </c>
      <c r="G3615" s="8">
        <f t="shared" si="224"/>
        <v>2276000</v>
      </c>
      <c r="H3615" s="5">
        <v>0.1786</v>
      </c>
      <c r="I3615" s="8">
        <f t="shared" si="225"/>
        <v>2276000</v>
      </c>
      <c r="J3615" s="8">
        <f t="shared" si="226"/>
        <v>406493.6</v>
      </c>
      <c r="K3615" t="str">
        <f t="shared" si="227"/>
        <v>MATCHED</v>
      </c>
    </row>
    <row r="3616" spans="1:11">
      <c r="A3616" t="s">
        <v>118</v>
      </c>
      <c r="B3616" t="s">
        <v>1626</v>
      </c>
      <c r="C3616" t="s">
        <v>628</v>
      </c>
      <c r="D3616" t="s">
        <v>629</v>
      </c>
      <c r="E3616" s="8">
        <v>4220</v>
      </c>
      <c r="F3616" s="8">
        <v>220840</v>
      </c>
      <c r="G3616" s="8">
        <f t="shared" si="224"/>
        <v>931944800</v>
      </c>
      <c r="H3616" s="5">
        <v>0.45</v>
      </c>
      <c r="I3616" s="8">
        <f t="shared" si="225"/>
        <v>931944800</v>
      </c>
      <c r="J3616" s="8">
        <f t="shared" si="226"/>
        <v>419375160</v>
      </c>
      <c r="K3616" t="str">
        <f t="shared" si="227"/>
        <v>MATCHED</v>
      </c>
    </row>
    <row r="3617" spans="1:11">
      <c r="A3617" t="s">
        <v>118</v>
      </c>
      <c r="B3617" t="s">
        <v>1626</v>
      </c>
      <c r="C3617" t="s">
        <v>630</v>
      </c>
      <c r="D3617" t="s">
        <v>631</v>
      </c>
      <c r="E3617" s="8">
        <v>1250</v>
      </c>
      <c r="F3617" s="8">
        <v>96150</v>
      </c>
      <c r="G3617" s="8">
        <f t="shared" si="224"/>
        <v>120187500</v>
      </c>
      <c r="H3617" s="5">
        <v>0.5917</v>
      </c>
      <c r="I3617" s="8">
        <f t="shared" si="225"/>
        <v>120187500</v>
      </c>
      <c r="J3617" s="8">
        <f t="shared" si="226"/>
        <v>71114943.75</v>
      </c>
      <c r="K3617" t="str">
        <f t="shared" si="227"/>
        <v>MATCHED</v>
      </c>
    </row>
    <row r="3618" spans="1:11">
      <c r="A3618" t="s">
        <v>118</v>
      </c>
      <c r="B3618" t="s">
        <v>1626</v>
      </c>
      <c r="C3618" t="s">
        <v>632</v>
      </c>
      <c r="D3618" t="s">
        <v>633</v>
      </c>
      <c r="E3618" s="8">
        <v>3290</v>
      </c>
      <c r="F3618" s="8">
        <v>68540</v>
      </c>
      <c r="G3618" s="8">
        <f t="shared" si="224"/>
        <v>225496600</v>
      </c>
      <c r="H3618" s="5">
        <v>0.8794</v>
      </c>
      <c r="I3618" s="8">
        <f t="shared" si="225"/>
        <v>225496600</v>
      </c>
      <c r="J3618" s="8">
        <f t="shared" si="226"/>
        <v>198301710.04</v>
      </c>
      <c r="K3618" t="str">
        <f t="shared" si="227"/>
        <v>MATCHED</v>
      </c>
    </row>
    <row r="3619" spans="1:11">
      <c r="A3619" t="s">
        <v>118</v>
      </c>
      <c r="B3619" t="s">
        <v>1626</v>
      </c>
      <c r="C3619" t="s">
        <v>634</v>
      </c>
      <c r="D3619" t="s">
        <v>635</v>
      </c>
      <c r="E3619" s="8"/>
      <c r="F3619" s="8">
        <v>99900</v>
      </c>
      <c r="G3619" s="8" t="str">
        <f t="shared" si="224"/>
        <v/>
      </c>
      <c r="H3619" s="5"/>
      <c r="I3619" s="8" t="str">
        <f t="shared" si="225"/>
        <v/>
      </c>
      <c r="J3619" s="8" t="str">
        <f t="shared" si="226"/>
        <v/>
      </c>
      <c r="K3619" t="str">
        <f t="shared" si="227"/>
        <v>MISSING OEWS</v>
      </c>
    </row>
    <row r="3620" spans="1:11">
      <c r="A3620" t="s">
        <v>118</v>
      </c>
      <c r="B3620" t="s">
        <v>1626</v>
      </c>
      <c r="C3620" t="s">
        <v>321</v>
      </c>
      <c r="D3620" t="s">
        <v>322</v>
      </c>
      <c r="E3620" s="8">
        <v>290</v>
      </c>
      <c r="F3620" s="8">
        <v>55190</v>
      </c>
      <c r="G3620" s="8">
        <f t="shared" si="224"/>
        <v>16005100</v>
      </c>
      <c r="H3620" s="5">
        <v>0.33</v>
      </c>
      <c r="I3620" s="8">
        <f t="shared" si="225"/>
        <v>16005100</v>
      </c>
      <c r="J3620" s="8">
        <f t="shared" si="226"/>
        <v>5281683</v>
      </c>
      <c r="K3620" t="str">
        <f t="shared" si="227"/>
        <v>MATCHED</v>
      </c>
    </row>
    <row r="3621" spans="1:11">
      <c r="A3621" t="s">
        <v>118</v>
      </c>
      <c r="B3621" t="s">
        <v>1626</v>
      </c>
      <c r="C3621" t="s">
        <v>1470</v>
      </c>
      <c r="D3621" t="s">
        <v>1471</v>
      </c>
      <c r="E3621" s="8"/>
      <c r="F3621" s="8">
        <v>65320</v>
      </c>
      <c r="G3621" s="8" t="str">
        <f t="shared" si="224"/>
        <v/>
      </c>
      <c r="H3621" s="5">
        <v>0.4154</v>
      </c>
      <c r="I3621" s="8" t="str">
        <f t="shared" si="225"/>
        <v/>
      </c>
      <c r="J3621" s="8" t="str">
        <f t="shared" si="226"/>
        <v/>
      </c>
      <c r="K3621" t="str">
        <f t="shared" si="227"/>
        <v>MISSING OEWS</v>
      </c>
    </row>
    <row r="3622" spans="1:11">
      <c r="A3622" t="s">
        <v>118</v>
      </c>
      <c r="B3622" t="s">
        <v>1626</v>
      </c>
      <c r="C3622" t="s">
        <v>944</v>
      </c>
      <c r="D3622" t="s">
        <v>945</v>
      </c>
      <c r="E3622" s="8">
        <v>80</v>
      </c>
      <c r="F3622" s="8">
        <v>66500</v>
      </c>
      <c r="G3622" s="8">
        <f t="shared" si="224"/>
        <v>5320000</v>
      </c>
      <c r="H3622" s="5">
        <v>0.5783</v>
      </c>
      <c r="I3622" s="8">
        <f t="shared" si="225"/>
        <v>5320000</v>
      </c>
      <c r="J3622" s="8">
        <f t="shared" si="226"/>
        <v>3076556</v>
      </c>
      <c r="K3622" t="str">
        <f t="shared" si="227"/>
        <v>MATCHED</v>
      </c>
    </row>
    <row r="3623" spans="1:11">
      <c r="A3623" t="s">
        <v>118</v>
      </c>
      <c r="B3623" t="s">
        <v>1626</v>
      </c>
      <c r="C3623" t="s">
        <v>946</v>
      </c>
      <c r="D3623" t="s">
        <v>947</v>
      </c>
      <c r="E3623" s="8">
        <v>640</v>
      </c>
      <c r="F3623" s="8">
        <v>83890</v>
      </c>
      <c r="G3623" s="8">
        <f t="shared" si="224"/>
        <v>53689600</v>
      </c>
      <c r="H3623" s="5">
        <v>0.3688</v>
      </c>
      <c r="I3623" s="8">
        <f t="shared" si="225"/>
        <v>53689600</v>
      </c>
      <c r="J3623" s="8">
        <f t="shared" si="226"/>
        <v>19800724.48</v>
      </c>
      <c r="K3623" t="str">
        <f t="shared" si="227"/>
        <v>MATCHED</v>
      </c>
    </row>
    <row r="3624" spans="1:11">
      <c r="A3624" t="s">
        <v>118</v>
      </c>
      <c r="B3624" t="s">
        <v>1626</v>
      </c>
      <c r="C3624" t="s">
        <v>1192</v>
      </c>
      <c r="D3624" t="s">
        <v>1193</v>
      </c>
      <c r="E3624" s="8"/>
      <c r="F3624" s="8">
        <v>37370</v>
      </c>
      <c r="G3624" s="8" t="str">
        <f t="shared" si="224"/>
        <v/>
      </c>
      <c r="H3624" s="5">
        <v>0.1188</v>
      </c>
      <c r="I3624" s="8" t="str">
        <f t="shared" si="225"/>
        <v/>
      </c>
      <c r="J3624" s="8" t="str">
        <f t="shared" si="226"/>
        <v/>
      </c>
      <c r="K3624" t="str">
        <f t="shared" si="227"/>
        <v>MISSING OEWS</v>
      </c>
    </row>
    <row r="3625" spans="1:11">
      <c r="A3625" t="s">
        <v>118</v>
      </c>
      <c r="B3625" t="s">
        <v>1626</v>
      </c>
      <c r="C3625" t="s">
        <v>858</v>
      </c>
      <c r="D3625" t="s">
        <v>859</v>
      </c>
      <c r="E3625" s="8">
        <v>2260</v>
      </c>
      <c r="F3625" s="8">
        <v>67770</v>
      </c>
      <c r="G3625" s="8">
        <f t="shared" si="224"/>
        <v>153160200</v>
      </c>
      <c r="H3625" s="5">
        <v>0.7375</v>
      </c>
      <c r="I3625" s="8">
        <f t="shared" si="225"/>
        <v>153160200</v>
      </c>
      <c r="J3625" s="8">
        <f t="shared" si="226"/>
        <v>112955647.5</v>
      </c>
      <c r="K3625" t="str">
        <f t="shared" si="227"/>
        <v>MATCHED</v>
      </c>
    </row>
    <row r="3626" spans="1:11">
      <c r="A3626" t="s">
        <v>118</v>
      </c>
      <c r="B3626" t="s">
        <v>1626</v>
      </c>
      <c r="C3626" t="s">
        <v>954</v>
      </c>
      <c r="D3626" t="s">
        <v>955</v>
      </c>
      <c r="E3626" s="8">
        <v>940</v>
      </c>
      <c r="F3626" s="8">
        <v>62900</v>
      </c>
      <c r="G3626" s="8">
        <f t="shared" si="224"/>
        <v>59126000</v>
      </c>
      <c r="H3626" s="5">
        <v>0.3133</v>
      </c>
      <c r="I3626" s="8">
        <f t="shared" si="225"/>
        <v>59126000</v>
      </c>
      <c r="J3626" s="8">
        <f t="shared" si="226"/>
        <v>18524175.8</v>
      </c>
      <c r="K3626" t="str">
        <f t="shared" si="227"/>
        <v>MATCHED</v>
      </c>
    </row>
    <row r="3627" spans="1:11">
      <c r="A3627" t="s">
        <v>118</v>
      </c>
      <c r="B3627" t="s">
        <v>1626</v>
      </c>
      <c r="C3627" t="s">
        <v>1194</v>
      </c>
      <c r="D3627" t="s">
        <v>1195</v>
      </c>
      <c r="E3627" s="8"/>
      <c r="F3627" s="8">
        <v>62990</v>
      </c>
      <c r="G3627" s="8" t="str">
        <f t="shared" si="224"/>
        <v/>
      </c>
      <c r="H3627" s="5">
        <v>0.2167</v>
      </c>
      <c r="I3627" s="8" t="str">
        <f t="shared" si="225"/>
        <v/>
      </c>
      <c r="J3627" s="8" t="str">
        <f t="shared" si="226"/>
        <v/>
      </c>
      <c r="K3627" t="str">
        <f t="shared" si="227"/>
        <v>MISSING OEWS</v>
      </c>
    </row>
    <row r="3628" spans="1:11">
      <c r="A3628" t="s">
        <v>118</v>
      </c>
      <c r="B3628" t="s">
        <v>1626</v>
      </c>
      <c r="C3628" t="s">
        <v>958</v>
      </c>
      <c r="D3628" t="s">
        <v>959</v>
      </c>
      <c r="E3628" s="8"/>
      <c r="F3628" s="8">
        <v>65740</v>
      </c>
      <c r="G3628" s="8" t="str">
        <f t="shared" si="224"/>
        <v/>
      </c>
      <c r="H3628" s="5"/>
      <c r="I3628" s="8" t="str">
        <f t="shared" si="225"/>
        <v/>
      </c>
      <c r="J3628" s="8" t="str">
        <f t="shared" si="226"/>
        <v/>
      </c>
      <c r="K3628" t="str">
        <f t="shared" si="227"/>
        <v>MISSING OEWS</v>
      </c>
    </row>
    <row r="3629" spans="1:11">
      <c r="A3629" t="s">
        <v>118</v>
      </c>
      <c r="B3629" t="s">
        <v>1626</v>
      </c>
      <c r="C3629" t="s">
        <v>960</v>
      </c>
      <c r="D3629" t="s">
        <v>961</v>
      </c>
      <c r="E3629" s="8">
        <v>440</v>
      </c>
      <c r="F3629" s="8">
        <v>116000</v>
      </c>
      <c r="G3629" s="8">
        <f t="shared" si="224"/>
        <v>51040000</v>
      </c>
      <c r="H3629" s="5">
        <v>0.3463</v>
      </c>
      <c r="I3629" s="8">
        <f t="shared" si="225"/>
        <v>51040000</v>
      </c>
      <c r="J3629" s="8">
        <f t="shared" si="226"/>
        <v>17675152</v>
      </c>
      <c r="K3629" t="str">
        <f t="shared" si="227"/>
        <v>MATCHED</v>
      </c>
    </row>
    <row r="3630" spans="1:11">
      <c r="A3630" t="s">
        <v>118</v>
      </c>
      <c r="B3630" t="s">
        <v>1626</v>
      </c>
      <c r="C3630" t="s">
        <v>1579</v>
      </c>
      <c r="D3630" t="s">
        <v>1580</v>
      </c>
      <c r="E3630" s="8"/>
      <c r="F3630" s="8"/>
      <c r="G3630" s="8" t="str">
        <f t="shared" si="224"/>
        <v/>
      </c>
      <c r="H3630" s="5">
        <v>0.4868</v>
      </c>
      <c r="I3630" s="8" t="str">
        <f t="shared" si="225"/>
        <v/>
      </c>
      <c r="J3630" s="8" t="str">
        <f t="shared" si="226"/>
        <v/>
      </c>
      <c r="K3630" t="str">
        <f t="shared" si="227"/>
        <v>MISSING OEWS</v>
      </c>
    </row>
    <row r="3631" spans="1:11">
      <c r="A3631" t="s">
        <v>118</v>
      </c>
      <c r="B3631" t="s">
        <v>1626</v>
      </c>
      <c r="C3631" t="s">
        <v>323</v>
      </c>
      <c r="D3631" t="s">
        <v>324</v>
      </c>
      <c r="E3631" s="8">
        <v>3690</v>
      </c>
      <c r="F3631" s="8">
        <v>71020</v>
      </c>
      <c r="G3631" s="8">
        <f t="shared" si="224"/>
        <v>262063800</v>
      </c>
      <c r="H3631" s="5">
        <v>0.575</v>
      </c>
      <c r="I3631" s="8">
        <f t="shared" si="225"/>
        <v>262063800</v>
      </c>
      <c r="J3631" s="8">
        <f t="shared" si="226"/>
        <v>150686685</v>
      </c>
      <c r="K3631" t="str">
        <f t="shared" si="227"/>
        <v>MATCHED</v>
      </c>
    </row>
    <row r="3632" spans="1:11">
      <c r="A3632" t="s">
        <v>118</v>
      </c>
      <c r="B3632" t="s">
        <v>1626</v>
      </c>
      <c r="C3632" t="s">
        <v>1200</v>
      </c>
      <c r="D3632" t="s">
        <v>1201</v>
      </c>
      <c r="E3632" s="8"/>
      <c r="F3632" s="8">
        <v>80220</v>
      </c>
      <c r="G3632" s="8" t="str">
        <f t="shared" si="224"/>
        <v/>
      </c>
      <c r="H3632" s="5">
        <v>0.6643</v>
      </c>
      <c r="I3632" s="8" t="str">
        <f t="shared" si="225"/>
        <v/>
      </c>
      <c r="J3632" s="8" t="str">
        <f t="shared" si="226"/>
        <v/>
      </c>
      <c r="K3632" t="str">
        <f t="shared" si="227"/>
        <v>MISSING OEWS</v>
      </c>
    </row>
    <row r="3633" spans="1:11">
      <c r="A3633" t="s">
        <v>118</v>
      </c>
      <c r="B3633" t="s">
        <v>1626</v>
      </c>
      <c r="C3633" t="s">
        <v>636</v>
      </c>
      <c r="D3633" t="s">
        <v>637</v>
      </c>
      <c r="E3633" s="8">
        <v>40</v>
      </c>
      <c r="F3633" s="8">
        <v>79540</v>
      </c>
      <c r="G3633" s="8">
        <f t="shared" si="224"/>
        <v>3181600</v>
      </c>
      <c r="H3633" s="5">
        <v>0.71</v>
      </c>
      <c r="I3633" s="8">
        <f t="shared" si="225"/>
        <v>3181600</v>
      </c>
      <c r="J3633" s="8">
        <f t="shared" si="226"/>
        <v>2258936</v>
      </c>
      <c r="K3633" t="str">
        <f t="shared" si="227"/>
        <v>MATCHED</v>
      </c>
    </row>
    <row r="3634" spans="1:11">
      <c r="A3634" t="s">
        <v>118</v>
      </c>
      <c r="B3634" t="s">
        <v>1626</v>
      </c>
      <c r="C3634" t="s">
        <v>860</v>
      </c>
      <c r="D3634" t="s">
        <v>861</v>
      </c>
      <c r="E3634" s="8">
        <v>80</v>
      </c>
      <c r="F3634" s="8">
        <v>75370</v>
      </c>
      <c r="G3634" s="8">
        <f t="shared" si="224"/>
        <v>6029600</v>
      </c>
      <c r="H3634" s="5">
        <v>0.7744</v>
      </c>
      <c r="I3634" s="8">
        <f t="shared" si="225"/>
        <v>6029600</v>
      </c>
      <c r="J3634" s="8">
        <f t="shared" si="226"/>
        <v>4669322.24</v>
      </c>
      <c r="K3634" t="str">
        <f t="shared" si="227"/>
        <v>MATCHED</v>
      </c>
    </row>
    <row r="3635" spans="1:11">
      <c r="A3635" t="s">
        <v>118</v>
      </c>
      <c r="B3635" t="s">
        <v>1626</v>
      </c>
      <c r="C3635" t="s">
        <v>1204</v>
      </c>
      <c r="D3635" t="s">
        <v>1205</v>
      </c>
      <c r="E3635" s="8"/>
      <c r="F3635" s="8">
        <v>44350</v>
      </c>
      <c r="G3635" s="8" t="str">
        <f t="shared" si="224"/>
        <v/>
      </c>
      <c r="H3635" s="5"/>
      <c r="I3635" s="8" t="str">
        <f t="shared" si="225"/>
        <v/>
      </c>
      <c r="J3635" s="8" t="str">
        <f t="shared" si="226"/>
        <v/>
      </c>
      <c r="K3635" t="str">
        <f t="shared" si="227"/>
        <v>MISSING OEWS</v>
      </c>
    </row>
    <row r="3636" spans="1:11">
      <c r="A3636" t="s">
        <v>118</v>
      </c>
      <c r="B3636" t="s">
        <v>1626</v>
      </c>
      <c r="C3636" t="s">
        <v>962</v>
      </c>
      <c r="D3636" t="s">
        <v>963</v>
      </c>
      <c r="E3636" s="8">
        <v>12300</v>
      </c>
      <c r="F3636" s="8">
        <v>59820</v>
      </c>
      <c r="G3636" s="8">
        <f t="shared" si="224"/>
        <v>735786000</v>
      </c>
      <c r="H3636" s="5">
        <v>0.5483</v>
      </c>
      <c r="I3636" s="8">
        <f t="shared" si="225"/>
        <v>735786000</v>
      </c>
      <c r="J3636" s="8">
        <f t="shared" si="226"/>
        <v>403431463.8</v>
      </c>
      <c r="K3636" t="str">
        <f t="shared" si="227"/>
        <v>MATCHED</v>
      </c>
    </row>
    <row r="3637" spans="1:11">
      <c r="A3637" t="s">
        <v>118</v>
      </c>
      <c r="B3637" t="s">
        <v>1626</v>
      </c>
      <c r="C3637" t="s">
        <v>964</v>
      </c>
      <c r="D3637" t="s">
        <v>965</v>
      </c>
      <c r="E3637" s="8">
        <v>450</v>
      </c>
      <c r="F3637" s="8">
        <v>57730</v>
      </c>
      <c r="G3637" s="8">
        <f t="shared" si="224"/>
        <v>25978500</v>
      </c>
      <c r="H3637" s="5">
        <v>0.5607</v>
      </c>
      <c r="I3637" s="8">
        <f t="shared" si="225"/>
        <v>25978500</v>
      </c>
      <c r="J3637" s="8">
        <f t="shared" si="226"/>
        <v>14566144.95</v>
      </c>
      <c r="K3637" t="str">
        <f t="shared" si="227"/>
        <v>MATCHED</v>
      </c>
    </row>
    <row r="3638" spans="1:11">
      <c r="A3638" t="s">
        <v>118</v>
      </c>
      <c r="B3638" t="s">
        <v>1626</v>
      </c>
      <c r="C3638" t="s">
        <v>966</v>
      </c>
      <c r="D3638" t="s">
        <v>967</v>
      </c>
      <c r="E3638" s="8">
        <v>880</v>
      </c>
      <c r="F3638" s="8">
        <v>63820</v>
      </c>
      <c r="G3638" s="8">
        <f t="shared" si="224"/>
        <v>56161600</v>
      </c>
      <c r="H3638" s="5">
        <v>0.0594</v>
      </c>
      <c r="I3638" s="8">
        <f t="shared" si="225"/>
        <v>56161600</v>
      </c>
      <c r="J3638" s="8">
        <f t="shared" si="226"/>
        <v>3335999.04</v>
      </c>
      <c r="K3638" t="str">
        <f t="shared" si="227"/>
        <v>MATCHED</v>
      </c>
    </row>
    <row r="3639" spans="1:11">
      <c r="A3639" t="s">
        <v>118</v>
      </c>
      <c r="B3639" t="s">
        <v>1626</v>
      </c>
      <c r="C3639" t="s">
        <v>968</v>
      </c>
      <c r="D3639" t="s">
        <v>969</v>
      </c>
      <c r="E3639" s="8">
        <v>590</v>
      </c>
      <c r="F3639" s="8">
        <v>55830</v>
      </c>
      <c r="G3639" s="8">
        <f t="shared" si="224"/>
        <v>32939700</v>
      </c>
      <c r="H3639" s="5">
        <v>0.3207</v>
      </c>
      <c r="I3639" s="8">
        <f t="shared" si="225"/>
        <v>32939700</v>
      </c>
      <c r="J3639" s="8">
        <f t="shared" si="226"/>
        <v>10563761.79</v>
      </c>
      <c r="K3639" t="str">
        <f t="shared" si="227"/>
        <v>MATCHED</v>
      </c>
    </row>
    <row r="3640" spans="1:11">
      <c r="A3640" t="s">
        <v>118</v>
      </c>
      <c r="B3640" t="s">
        <v>1626</v>
      </c>
      <c r="C3640" t="s">
        <v>970</v>
      </c>
      <c r="D3640" t="s">
        <v>971</v>
      </c>
      <c r="E3640" s="8">
        <v>190</v>
      </c>
      <c r="F3640" s="8">
        <v>70490</v>
      </c>
      <c r="G3640" s="8">
        <f t="shared" si="224"/>
        <v>13393100</v>
      </c>
      <c r="H3640" s="5">
        <v>0.3458</v>
      </c>
      <c r="I3640" s="8">
        <f t="shared" si="225"/>
        <v>13393100</v>
      </c>
      <c r="J3640" s="8">
        <f t="shared" si="226"/>
        <v>4631333.98</v>
      </c>
      <c r="K3640" t="str">
        <f t="shared" si="227"/>
        <v>MATCHED</v>
      </c>
    </row>
    <row r="3641" spans="1:11">
      <c r="A3641" t="s">
        <v>118</v>
      </c>
      <c r="B3641" t="s">
        <v>1626</v>
      </c>
      <c r="C3641" t="s">
        <v>1206</v>
      </c>
      <c r="D3641" t="s">
        <v>1207</v>
      </c>
      <c r="E3641" s="8"/>
      <c r="F3641" s="8">
        <v>61520</v>
      </c>
      <c r="G3641" s="8" t="str">
        <f t="shared" si="224"/>
        <v/>
      </c>
      <c r="H3641" s="5">
        <v>0.6065</v>
      </c>
      <c r="I3641" s="8" t="str">
        <f t="shared" si="225"/>
        <v/>
      </c>
      <c r="J3641" s="8" t="str">
        <f t="shared" si="226"/>
        <v/>
      </c>
      <c r="K3641" t="str">
        <f t="shared" si="227"/>
        <v>MISSING OEWS</v>
      </c>
    </row>
    <row r="3642" spans="1:11">
      <c r="A3642" t="s">
        <v>118</v>
      </c>
      <c r="B3642" t="s">
        <v>1626</v>
      </c>
      <c r="C3642" t="s">
        <v>1519</v>
      </c>
      <c r="D3642" t="s">
        <v>1520</v>
      </c>
      <c r="E3642" s="8">
        <v>300</v>
      </c>
      <c r="F3642" s="8">
        <v>52800</v>
      </c>
      <c r="G3642" s="8">
        <f t="shared" si="224"/>
        <v>15840000</v>
      </c>
      <c r="H3642" s="5"/>
      <c r="I3642" s="8" t="str">
        <f t="shared" si="225"/>
        <v/>
      </c>
      <c r="J3642" s="8" t="str">
        <f t="shared" si="226"/>
        <v/>
      </c>
      <c r="K3642" t="str">
        <f t="shared" si="227"/>
        <v>MISSING WHARTON</v>
      </c>
    </row>
    <row r="3643" spans="1:11">
      <c r="A3643" t="s">
        <v>118</v>
      </c>
      <c r="B3643" t="s">
        <v>1626</v>
      </c>
      <c r="C3643" t="s">
        <v>1212</v>
      </c>
      <c r="D3643" t="s">
        <v>1213</v>
      </c>
      <c r="E3643" s="8">
        <v>70</v>
      </c>
      <c r="F3643" s="8">
        <v>89220</v>
      </c>
      <c r="G3643" s="8">
        <f t="shared" si="224"/>
        <v>6245400</v>
      </c>
      <c r="H3643" s="5">
        <v>0.4679</v>
      </c>
      <c r="I3643" s="8">
        <f t="shared" si="225"/>
        <v>6245400</v>
      </c>
      <c r="J3643" s="8">
        <f t="shared" si="226"/>
        <v>2922222.66</v>
      </c>
      <c r="K3643" t="str">
        <f t="shared" si="227"/>
        <v>MATCHED</v>
      </c>
    </row>
    <row r="3644" spans="1:11">
      <c r="A3644" t="s">
        <v>118</v>
      </c>
      <c r="B3644" t="s">
        <v>1626</v>
      </c>
      <c r="C3644" t="s">
        <v>1214</v>
      </c>
      <c r="D3644" t="s">
        <v>1215</v>
      </c>
      <c r="E3644" s="8">
        <v>40</v>
      </c>
      <c r="F3644" s="8">
        <v>134280</v>
      </c>
      <c r="G3644" s="8">
        <f t="shared" si="224"/>
        <v>5371200</v>
      </c>
      <c r="H3644" s="5">
        <v>0.4381</v>
      </c>
      <c r="I3644" s="8">
        <f t="shared" si="225"/>
        <v>5371200</v>
      </c>
      <c r="J3644" s="8">
        <f t="shared" si="226"/>
        <v>2353122.72</v>
      </c>
      <c r="K3644" t="str">
        <f t="shared" si="227"/>
        <v>MATCHED</v>
      </c>
    </row>
    <row r="3645" spans="1:11">
      <c r="A3645" t="s">
        <v>118</v>
      </c>
      <c r="B3645" t="s">
        <v>1626</v>
      </c>
      <c r="C3645" t="s">
        <v>1433</v>
      </c>
      <c r="D3645" t="s">
        <v>1434</v>
      </c>
      <c r="E3645" s="8">
        <v>1710</v>
      </c>
      <c r="F3645" s="8">
        <v>69400</v>
      </c>
      <c r="G3645" s="8">
        <f t="shared" si="224"/>
        <v>118674000</v>
      </c>
      <c r="H3645" s="5">
        <v>0.0864</v>
      </c>
      <c r="I3645" s="8">
        <f t="shared" si="225"/>
        <v>118674000</v>
      </c>
      <c r="J3645" s="8">
        <f t="shared" si="226"/>
        <v>10253433.6</v>
      </c>
      <c r="K3645" t="str">
        <f t="shared" si="227"/>
        <v>MATCHED</v>
      </c>
    </row>
    <row r="3646" spans="1:11">
      <c r="A3646" t="s">
        <v>118</v>
      </c>
      <c r="B3646" t="s">
        <v>1626</v>
      </c>
      <c r="C3646" t="s">
        <v>1228</v>
      </c>
      <c r="D3646" t="s">
        <v>1229</v>
      </c>
      <c r="E3646" s="8">
        <v>30</v>
      </c>
      <c r="F3646" s="8">
        <v>52060</v>
      </c>
      <c r="G3646" s="8">
        <f t="shared" si="224"/>
        <v>1561800</v>
      </c>
      <c r="H3646" s="5">
        <v>0.6357</v>
      </c>
      <c r="I3646" s="8">
        <f t="shared" si="225"/>
        <v>1561800</v>
      </c>
      <c r="J3646" s="8">
        <f t="shared" si="226"/>
        <v>992836.26</v>
      </c>
      <c r="K3646" t="str">
        <f t="shared" si="227"/>
        <v>MATCHED</v>
      </c>
    </row>
    <row r="3647" spans="1:11">
      <c r="A3647" t="s">
        <v>118</v>
      </c>
      <c r="B3647" t="s">
        <v>1626</v>
      </c>
      <c r="C3647" t="s">
        <v>1232</v>
      </c>
      <c r="D3647" t="s">
        <v>1233</v>
      </c>
      <c r="E3647" s="8"/>
      <c r="F3647" s="8">
        <v>65300</v>
      </c>
      <c r="G3647" s="8" t="str">
        <f t="shared" si="224"/>
        <v/>
      </c>
      <c r="H3647" s="5">
        <v>0.9353</v>
      </c>
      <c r="I3647" s="8" t="str">
        <f t="shared" si="225"/>
        <v/>
      </c>
      <c r="J3647" s="8" t="str">
        <f t="shared" si="226"/>
        <v/>
      </c>
      <c r="K3647" t="str">
        <f t="shared" si="227"/>
        <v>MISSING OEWS</v>
      </c>
    </row>
    <row r="3648" spans="1:11">
      <c r="A3648" t="s">
        <v>118</v>
      </c>
      <c r="B3648" t="s">
        <v>1626</v>
      </c>
      <c r="C3648" t="s">
        <v>1240</v>
      </c>
      <c r="D3648" t="s">
        <v>1241</v>
      </c>
      <c r="E3648" s="8">
        <v>130</v>
      </c>
      <c r="F3648" s="8">
        <v>55290</v>
      </c>
      <c r="G3648" s="8">
        <f t="shared" si="224"/>
        <v>7187700</v>
      </c>
      <c r="H3648" s="5">
        <v>0.2977</v>
      </c>
      <c r="I3648" s="8">
        <f t="shared" si="225"/>
        <v>7187700</v>
      </c>
      <c r="J3648" s="8">
        <f t="shared" si="226"/>
        <v>2139778.29</v>
      </c>
      <c r="K3648" t="str">
        <f t="shared" si="227"/>
        <v>MATCHED</v>
      </c>
    </row>
    <row r="3649" spans="1:11">
      <c r="A3649" t="s">
        <v>118</v>
      </c>
      <c r="B3649" t="s">
        <v>1626</v>
      </c>
      <c r="C3649" t="s">
        <v>1246</v>
      </c>
      <c r="D3649" t="s">
        <v>1247</v>
      </c>
      <c r="E3649" s="8">
        <v>190</v>
      </c>
      <c r="F3649" s="8">
        <v>66510</v>
      </c>
      <c r="G3649" s="8">
        <f t="shared" si="224"/>
        <v>12636900</v>
      </c>
      <c r="H3649" s="5">
        <v>0.2347</v>
      </c>
      <c r="I3649" s="8">
        <f t="shared" si="225"/>
        <v>12636900</v>
      </c>
      <c r="J3649" s="8">
        <f t="shared" si="226"/>
        <v>2965880.43</v>
      </c>
      <c r="K3649" t="str">
        <f t="shared" si="227"/>
        <v>MATCHED</v>
      </c>
    </row>
    <row r="3650" spans="1:11">
      <c r="A3650" t="s">
        <v>118</v>
      </c>
      <c r="B3650" t="s">
        <v>1626</v>
      </c>
      <c r="C3650" t="s">
        <v>1252</v>
      </c>
      <c r="D3650" t="s">
        <v>1253</v>
      </c>
      <c r="E3650" s="8"/>
      <c r="F3650" s="8">
        <v>41810</v>
      </c>
      <c r="G3650" s="8" t="str">
        <f t="shared" ref="G3650:G3713" si="228">IF(OR(E3650="",F3650=""),"",E3650*F3650)</f>
        <v/>
      </c>
      <c r="H3650" s="5">
        <v>0.1188</v>
      </c>
      <c r="I3650" s="8" t="str">
        <f t="shared" ref="I3650:I3713" si="229">IF(G3650="","",IF(ISNUMBER(H3650),G3650,""))</f>
        <v/>
      </c>
      <c r="J3650" s="8" t="str">
        <f t="shared" ref="J3650:J3713" si="230">IF(I3650="","",I3650*H3650)</f>
        <v/>
      </c>
      <c r="K3650" t="str">
        <f t="shared" ref="K3650:K3713" si="231">IF(G3650="","MISSING OEWS",IF(ISNUMBER(H3650),"MATCHED","MISSING WHARTON"))</f>
        <v>MISSING OEWS</v>
      </c>
    </row>
    <row r="3651" spans="1:11">
      <c r="A3651" t="s">
        <v>118</v>
      </c>
      <c r="B3651" t="s">
        <v>1626</v>
      </c>
      <c r="C3651" t="s">
        <v>1256</v>
      </c>
      <c r="D3651" t="s">
        <v>1257</v>
      </c>
      <c r="E3651" s="8">
        <v>250</v>
      </c>
      <c r="F3651" s="8">
        <v>49280</v>
      </c>
      <c r="G3651" s="8">
        <f t="shared" si="228"/>
        <v>12320000</v>
      </c>
      <c r="H3651" s="5">
        <v>0.2542</v>
      </c>
      <c r="I3651" s="8">
        <f t="shared" si="229"/>
        <v>12320000</v>
      </c>
      <c r="J3651" s="8">
        <f t="shared" si="230"/>
        <v>3131744</v>
      </c>
      <c r="K3651" t="str">
        <f t="shared" si="231"/>
        <v>MATCHED</v>
      </c>
    </row>
    <row r="3652" spans="1:11">
      <c r="A3652" t="s">
        <v>118</v>
      </c>
      <c r="B3652" t="s">
        <v>1626</v>
      </c>
      <c r="C3652" t="s">
        <v>644</v>
      </c>
      <c r="D3652" t="s">
        <v>645</v>
      </c>
      <c r="E3652" s="8">
        <v>890</v>
      </c>
      <c r="F3652" s="8">
        <v>63420</v>
      </c>
      <c r="G3652" s="8">
        <f t="shared" si="228"/>
        <v>56443800</v>
      </c>
      <c r="H3652" s="5">
        <v>0.3929</v>
      </c>
      <c r="I3652" s="8">
        <f t="shared" si="229"/>
        <v>56443800</v>
      </c>
      <c r="J3652" s="8">
        <f t="shared" si="230"/>
        <v>22176769.02</v>
      </c>
      <c r="K3652" t="str">
        <f t="shared" si="231"/>
        <v>MATCHED</v>
      </c>
    </row>
    <row r="3653" spans="1:11">
      <c r="A3653" t="s">
        <v>118</v>
      </c>
      <c r="B3653" t="s">
        <v>1626</v>
      </c>
      <c r="C3653" t="s">
        <v>329</v>
      </c>
      <c r="D3653" t="s">
        <v>330</v>
      </c>
      <c r="E3653" s="8">
        <v>26750</v>
      </c>
      <c r="F3653" s="8">
        <v>49170</v>
      </c>
      <c r="G3653" s="8">
        <f t="shared" si="228"/>
        <v>1315297500</v>
      </c>
      <c r="H3653" s="5">
        <v>0.1357</v>
      </c>
      <c r="I3653" s="8">
        <f t="shared" si="229"/>
        <v>1315297500</v>
      </c>
      <c r="J3653" s="8">
        <f t="shared" si="230"/>
        <v>178485870.75</v>
      </c>
      <c r="K3653" t="str">
        <f t="shared" si="231"/>
        <v>MATCHED</v>
      </c>
    </row>
    <row r="3654" spans="1:11">
      <c r="A3654" t="s">
        <v>118</v>
      </c>
      <c r="B3654" t="s">
        <v>1626</v>
      </c>
      <c r="C3654" t="s">
        <v>976</v>
      </c>
      <c r="D3654" t="s">
        <v>977</v>
      </c>
      <c r="E3654" s="8">
        <v>530</v>
      </c>
      <c r="F3654" s="8">
        <v>36500</v>
      </c>
      <c r="G3654" s="8">
        <f t="shared" si="228"/>
        <v>19345000</v>
      </c>
      <c r="H3654" s="5">
        <v>0</v>
      </c>
      <c r="I3654" s="8">
        <f t="shared" si="229"/>
        <v>19345000</v>
      </c>
      <c r="J3654" s="8">
        <f t="shared" si="230"/>
        <v>0</v>
      </c>
      <c r="K3654" t="str">
        <f t="shared" si="231"/>
        <v>MATCHED</v>
      </c>
    </row>
    <row r="3655" spans="1:11">
      <c r="A3655" t="s">
        <v>118</v>
      </c>
      <c r="B3655" t="s">
        <v>1626</v>
      </c>
      <c r="C3655" t="s">
        <v>1492</v>
      </c>
      <c r="D3655" t="s">
        <v>1493</v>
      </c>
      <c r="E3655" s="8">
        <v>1690</v>
      </c>
      <c r="F3655" s="8">
        <v>35360</v>
      </c>
      <c r="G3655" s="8">
        <f t="shared" si="228"/>
        <v>59758400</v>
      </c>
      <c r="H3655" s="5">
        <v>0.0633</v>
      </c>
      <c r="I3655" s="8">
        <f t="shared" si="229"/>
        <v>59758400</v>
      </c>
      <c r="J3655" s="8">
        <f t="shared" si="230"/>
        <v>3782706.72</v>
      </c>
      <c r="K3655" t="str">
        <f t="shared" si="231"/>
        <v>MATCHED</v>
      </c>
    </row>
    <row r="3656" spans="1:11">
      <c r="A3656" t="s">
        <v>118</v>
      </c>
      <c r="B3656" t="s">
        <v>1626</v>
      </c>
      <c r="C3656" t="s">
        <v>872</v>
      </c>
      <c r="D3656" t="s">
        <v>873</v>
      </c>
      <c r="E3656" s="8"/>
      <c r="F3656" s="8">
        <v>35530</v>
      </c>
      <c r="G3656" s="8" t="str">
        <f t="shared" si="228"/>
        <v/>
      </c>
      <c r="H3656" s="5">
        <v>0.3357</v>
      </c>
      <c r="I3656" s="8" t="str">
        <f t="shared" si="229"/>
        <v/>
      </c>
      <c r="J3656" s="8" t="str">
        <f t="shared" si="230"/>
        <v/>
      </c>
      <c r="K3656" t="str">
        <f t="shared" si="231"/>
        <v>MISSING OEWS</v>
      </c>
    </row>
    <row r="3657" spans="1:11">
      <c r="A3657" t="s">
        <v>118</v>
      </c>
      <c r="B3657" t="s">
        <v>1626</v>
      </c>
      <c r="C3657" t="s">
        <v>978</v>
      </c>
      <c r="D3657" t="s">
        <v>979</v>
      </c>
      <c r="E3657" s="8">
        <v>950</v>
      </c>
      <c r="F3657" s="8">
        <v>70420</v>
      </c>
      <c r="G3657" s="8">
        <f t="shared" si="228"/>
        <v>66899000</v>
      </c>
      <c r="H3657" s="5">
        <v>0.281</v>
      </c>
      <c r="I3657" s="8">
        <f t="shared" si="229"/>
        <v>66899000</v>
      </c>
      <c r="J3657" s="8">
        <f t="shared" si="230"/>
        <v>18798619</v>
      </c>
      <c r="K3657" t="str">
        <f t="shared" si="231"/>
        <v>MATCHED</v>
      </c>
    </row>
    <row r="3658" spans="1:11">
      <c r="A3658" t="s">
        <v>118</v>
      </c>
      <c r="B3658" t="s">
        <v>1626</v>
      </c>
      <c r="C3658" t="s">
        <v>980</v>
      </c>
      <c r="D3658" t="s">
        <v>981</v>
      </c>
      <c r="E3658" s="8">
        <v>1370</v>
      </c>
      <c r="F3658" s="8">
        <v>54490</v>
      </c>
      <c r="G3658" s="8">
        <f t="shared" si="228"/>
        <v>74651300</v>
      </c>
      <c r="H3658" s="5">
        <v>0.4173</v>
      </c>
      <c r="I3658" s="8">
        <f t="shared" si="229"/>
        <v>74651300</v>
      </c>
      <c r="J3658" s="8">
        <f t="shared" si="230"/>
        <v>31151987.49</v>
      </c>
      <c r="K3658" t="str">
        <f t="shared" si="231"/>
        <v>MATCHED</v>
      </c>
    </row>
    <row r="3659" spans="1:11">
      <c r="A3659" t="s">
        <v>118</v>
      </c>
      <c r="B3659" t="s">
        <v>1626</v>
      </c>
      <c r="C3659" t="s">
        <v>1258</v>
      </c>
      <c r="D3659" t="s">
        <v>1259</v>
      </c>
      <c r="E3659" s="8"/>
      <c r="F3659" s="8">
        <v>37500</v>
      </c>
      <c r="G3659" s="8" t="str">
        <f t="shared" si="228"/>
        <v/>
      </c>
      <c r="H3659" s="5">
        <v>0.05</v>
      </c>
      <c r="I3659" s="8" t="str">
        <f t="shared" si="229"/>
        <v/>
      </c>
      <c r="J3659" s="8" t="str">
        <f t="shared" si="230"/>
        <v/>
      </c>
      <c r="K3659" t="str">
        <f t="shared" si="231"/>
        <v>MISSING OEWS</v>
      </c>
    </row>
    <row r="3660" spans="1:11">
      <c r="A3660" t="s">
        <v>118</v>
      </c>
      <c r="B3660" t="s">
        <v>1626</v>
      </c>
      <c r="C3660" t="s">
        <v>982</v>
      </c>
      <c r="D3660" t="s">
        <v>983</v>
      </c>
      <c r="E3660" s="8">
        <v>1770</v>
      </c>
      <c r="F3660" s="8">
        <v>40960</v>
      </c>
      <c r="G3660" s="8">
        <f t="shared" si="228"/>
        <v>72499200</v>
      </c>
      <c r="H3660" s="5">
        <v>0.25</v>
      </c>
      <c r="I3660" s="8">
        <f t="shared" si="229"/>
        <v>72499200</v>
      </c>
      <c r="J3660" s="8">
        <f t="shared" si="230"/>
        <v>18124800</v>
      </c>
      <c r="K3660" t="str">
        <f t="shared" si="231"/>
        <v>MATCHED</v>
      </c>
    </row>
    <row r="3661" spans="1:11">
      <c r="A3661" t="s">
        <v>118</v>
      </c>
      <c r="B3661" t="s">
        <v>1626</v>
      </c>
      <c r="C3661" t="s">
        <v>984</v>
      </c>
      <c r="D3661" t="s">
        <v>985</v>
      </c>
      <c r="E3661" s="8">
        <v>1260</v>
      </c>
      <c r="F3661" s="8">
        <v>41670</v>
      </c>
      <c r="G3661" s="8">
        <f t="shared" si="228"/>
        <v>52504200</v>
      </c>
      <c r="H3661" s="5">
        <v>0.1175</v>
      </c>
      <c r="I3661" s="8">
        <f t="shared" si="229"/>
        <v>52504200</v>
      </c>
      <c r="J3661" s="8">
        <f t="shared" si="230"/>
        <v>6169243.5</v>
      </c>
      <c r="K3661" t="str">
        <f t="shared" si="231"/>
        <v>MATCHED</v>
      </c>
    </row>
    <row r="3662" spans="1:11">
      <c r="A3662" t="s">
        <v>118</v>
      </c>
      <c r="B3662" t="s">
        <v>1626</v>
      </c>
      <c r="C3662" t="s">
        <v>1260</v>
      </c>
      <c r="D3662" t="s">
        <v>1261</v>
      </c>
      <c r="E3662" s="8">
        <v>60</v>
      </c>
      <c r="F3662" s="8">
        <v>39830</v>
      </c>
      <c r="G3662" s="8">
        <f t="shared" si="228"/>
        <v>2389800</v>
      </c>
      <c r="H3662" s="5">
        <v>0.0864</v>
      </c>
      <c r="I3662" s="8">
        <f t="shared" si="229"/>
        <v>2389800</v>
      </c>
      <c r="J3662" s="8">
        <f t="shared" si="230"/>
        <v>206478.72</v>
      </c>
      <c r="K3662" t="str">
        <f t="shared" si="231"/>
        <v>MATCHED</v>
      </c>
    </row>
    <row r="3663" spans="1:11">
      <c r="A3663" t="s">
        <v>118</v>
      </c>
      <c r="B3663" t="s">
        <v>1626</v>
      </c>
      <c r="C3663" t="s">
        <v>1262</v>
      </c>
      <c r="D3663" t="s">
        <v>1263</v>
      </c>
      <c r="E3663" s="8">
        <v>100</v>
      </c>
      <c r="F3663" s="8">
        <v>39710</v>
      </c>
      <c r="G3663" s="8">
        <f t="shared" si="228"/>
        <v>3971000</v>
      </c>
      <c r="H3663" s="5"/>
      <c r="I3663" s="8" t="str">
        <f t="shared" si="229"/>
        <v/>
      </c>
      <c r="J3663" s="8" t="str">
        <f t="shared" si="230"/>
        <v/>
      </c>
      <c r="K3663" t="str">
        <f t="shared" si="231"/>
        <v>MISSING WHARTON</v>
      </c>
    </row>
    <row r="3664" spans="1:11">
      <c r="A3664" t="s">
        <v>118</v>
      </c>
      <c r="B3664" t="s">
        <v>1626</v>
      </c>
      <c r="C3664" t="s">
        <v>1264</v>
      </c>
      <c r="D3664" t="s">
        <v>1265</v>
      </c>
      <c r="E3664" s="8">
        <v>4010</v>
      </c>
      <c r="F3664" s="8">
        <v>37710</v>
      </c>
      <c r="G3664" s="8">
        <f t="shared" si="228"/>
        <v>151217100</v>
      </c>
      <c r="H3664" s="5">
        <v>0.1425</v>
      </c>
      <c r="I3664" s="8">
        <f t="shared" si="229"/>
        <v>151217100</v>
      </c>
      <c r="J3664" s="8">
        <f t="shared" si="230"/>
        <v>21548436.75</v>
      </c>
      <c r="K3664" t="str">
        <f t="shared" si="231"/>
        <v>MATCHED</v>
      </c>
    </row>
    <row r="3665" spans="1:11">
      <c r="A3665" t="s">
        <v>118</v>
      </c>
      <c r="B3665" t="s">
        <v>1626</v>
      </c>
      <c r="C3665" t="s">
        <v>988</v>
      </c>
      <c r="D3665" t="s">
        <v>989</v>
      </c>
      <c r="E3665" s="8">
        <v>1410</v>
      </c>
      <c r="F3665" s="8">
        <v>33320</v>
      </c>
      <c r="G3665" s="8">
        <f t="shared" si="228"/>
        <v>46981200</v>
      </c>
      <c r="H3665" s="5">
        <v>0.2031</v>
      </c>
      <c r="I3665" s="8">
        <f t="shared" si="229"/>
        <v>46981200</v>
      </c>
      <c r="J3665" s="8">
        <f t="shared" si="230"/>
        <v>9541881.72</v>
      </c>
      <c r="K3665" t="str">
        <f t="shared" si="231"/>
        <v>MATCHED</v>
      </c>
    </row>
    <row r="3666" spans="1:11">
      <c r="A3666" t="s">
        <v>118</v>
      </c>
      <c r="B3666" t="s">
        <v>1626</v>
      </c>
      <c r="C3666" t="s">
        <v>990</v>
      </c>
      <c r="D3666" t="s">
        <v>991</v>
      </c>
      <c r="E3666" s="8">
        <v>5630</v>
      </c>
      <c r="F3666" s="8">
        <v>41030</v>
      </c>
      <c r="G3666" s="8">
        <f t="shared" si="228"/>
        <v>230998900</v>
      </c>
      <c r="H3666" s="5">
        <v>0.152</v>
      </c>
      <c r="I3666" s="8">
        <f t="shared" si="229"/>
        <v>230998900</v>
      </c>
      <c r="J3666" s="8">
        <f t="shared" si="230"/>
        <v>35111832.8</v>
      </c>
      <c r="K3666" t="str">
        <f t="shared" si="231"/>
        <v>MATCHED</v>
      </c>
    </row>
    <row r="3667" spans="1:11">
      <c r="A3667" t="s">
        <v>118</v>
      </c>
      <c r="B3667" t="s">
        <v>1626</v>
      </c>
      <c r="C3667" t="s">
        <v>1266</v>
      </c>
      <c r="D3667" t="s">
        <v>1267</v>
      </c>
      <c r="E3667" s="8"/>
      <c r="F3667" s="8">
        <v>34400</v>
      </c>
      <c r="G3667" s="8" t="str">
        <f t="shared" si="228"/>
        <v/>
      </c>
      <c r="H3667" s="5">
        <v>0.1357</v>
      </c>
      <c r="I3667" s="8" t="str">
        <f t="shared" si="229"/>
        <v/>
      </c>
      <c r="J3667" s="8" t="str">
        <f t="shared" si="230"/>
        <v/>
      </c>
      <c r="K3667" t="str">
        <f t="shared" si="231"/>
        <v>MISSING OEWS</v>
      </c>
    </row>
    <row r="3668" spans="1:11">
      <c r="A3668" t="s">
        <v>118</v>
      </c>
      <c r="B3668" t="s">
        <v>1626</v>
      </c>
      <c r="C3668" t="s">
        <v>1268</v>
      </c>
      <c r="D3668" t="s">
        <v>1269</v>
      </c>
      <c r="E3668" s="8">
        <v>1580</v>
      </c>
      <c r="F3668" s="8">
        <v>36610</v>
      </c>
      <c r="G3668" s="8">
        <f t="shared" si="228"/>
        <v>57843800</v>
      </c>
      <c r="H3668" s="5">
        <v>0.0417</v>
      </c>
      <c r="I3668" s="8">
        <f t="shared" si="229"/>
        <v>57843800</v>
      </c>
      <c r="J3668" s="8">
        <f t="shared" si="230"/>
        <v>2412086.46</v>
      </c>
      <c r="K3668" t="str">
        <f t="shared" si="231"/>
        <v>MATCHED</v>
      </c>
    </row>
    <row r="3669" spans="1:11">
      <c r="A3669" t="s">
        <v>118</v>
      </c>
      <c r="B3669" t="s">
        <v>1626</v>
      </c>
      <c r="C3669" t="s">
        <v>1270</v>
      </c>
      <c r="D3669" t="s">
        <v>1271</v>
      </c>
      <c r="E3669" s="8">
        <v>2370</v>
      </c>
      <c r="F3669" s="8">
        <v>34960</v>
      </c>
      <c r="G3669" s="8">
        <f t="shared" si="228"/>
        <v>82855200</v>
      </c>
      <c r="H3669" s="5">
        <v>0</v>
      </c>
      <c r="I3669" s="8">
        <f t="shared" si="229"/>
        <v>82855200</v>
      </c>
      <c r="J3669" s="8">
        <f t="shared" si="230"/>
        <v>0</v>
      </c>
      <c r="K3669" t="str">
        <f t="shared" si="231"/>
        <v>MATCHED</v>
      </c>
    </row>
    <row r="3670" spans="1:11">
      <c r="A3670" t="s">
        <v>118</v>
      </c>
      <c r="B3670" t="s">
        <v>1626</v>
      </c>
      <c r="C3670" t="s">
        <v>1272</v>
      </c>
      <c r="D3670" t="s">
        <v>1273</v>
      </c>
      <c r="E3670" s="8"/>
      <c r="F3670" s="8">
        <v>31800</v>
      </c>
      <c r="G3670" s="8" t="str">
        <f t="shared" si="228"/>
        <v/>
      </c>
      <c r="H3670" s="5">
        <v>0.3023</v>
      </c>
      <c r="I3670" s="8" t="str">
        <f t="shared" si="229"/>
        <v/>
      </c>
      <c r="J3670" s="8" t="str">
        <f t="shared" si="230"/>
        <v/>
      </c>
      <c r="K3670" t="str">
        <f t="shared" si="231"/>
        <v>MISSING OEWS</v>
      </c>
    </row>
    <row r="3671" spans="1:11">
      <c r="A3671" t="s">
        <v>118</v>
      </c>
      <c r="B3671" t="s">
        <v>1626</v>
      </c>
      <c r="C3671" t="s">
        <v>1274</v>
      </c>
      <c r="D3671" t="s">
        <v>1275</v>
      </c>
      <c r="E3671" s="8"/>
      <c r="F3671" s="8">
        <v>35940</v>
      </c>
      <c r="G3671" s="8" t="str">
        <f t="shared" si="228"/>
        <v/>
      </c>
      <c r="H3671" s="5"/>
      <c r="I3671" s="8" t="str">
        <f t="shared" si="229"/>
        <v/>
      </c>
      <c r="J3671" s="8" t="str">
        <f t="shared" si="230"/>
        <v/>
      </c>
      <c r="K3671" t="str">
        <f t="shared" si="231"/>
        <v>MISSING OEWS</v>
      </c>
    </row>
    <row r="3672" spans="1:11">
      <c r="A3672" t="s">
        <v>118</v>
      </c>
      <c r="B3672" t="s">
        <v>1626</v>
      </c>
      <c r="C3672" t="s">
        <v>331</v>
      </c>
      <c r="D3672" t="s">
        <v>332</v>
      </c>
      <c r="E3672" s="8">
        <v>3400</v>
      </c>
      <c r="F3672" s="8">
        <v>52100</v>
      </c>
      <c r="G3672" s="8">
        <f t="shared" si="228"/>
        <v>177140000</v>
      </c>
      <c r="H3672" s="5">
        <v>0.2269</v>
      </c>
      <c r="I3672" s="8">
        <f t="shared" si="229"/>
        <v>177140000</v>
      </c>
      <c r="J3672" s="8">
        <f t="shared" si="230"/>
        <v>40193066</v>
      </c>
      <c r="K3672" t="str">
        <f t="shared" si="231"/>
        <v>MATCHED</v>
      </c>
    </row>
    <row r="3673" spans="1:11">
      <c r="A3673" t="s">
        <v>118</v>
      </c>
      <c r="B3673" t="s">
        <v>1626</v>
      </c>
      <c r="C3673" t="s">
        <v>333</v>
      </c>
      <c r="D3673" t="s">
        <v>334</v>
      </c>
      <c r="E3673" s="8">
        <v>1580</v>
      </c>
      <c r="F3673" s="8">
        <v>61770</v>
      </c>
      <c r="G3673" s="8">
        <f t="shared" si="228"/>
        <v>97596600</v>
      </c>
      <c r="H3673" s="5">
        <v>0.2357</v>
      </c>
      <c r="I3673" s="8">
        <f t="shared" si="229"/>
        <v>97596600</v>
      </c>
      <c r="J3673" s="8">
        <f t="shared" si="230"/>
        <v>23003518.62</v>
      </c>
      <c r="K3673" t="str">
        <f t="shared" si="231"/>
        <v>MATCHED</v>
      </c>
    </row>
    <row r="3674" spans="1:11">
      <c r="A3674" t="s">
        <v>118</v>
      </c>
      <c r="B3674" t="s">
        <v>1626</v>
      </c>
      <c r="C3674" t="s">
        <v>335</v>
      </c>
      <c r="D3674" t="s">
        <v>336</v>
      </c>
      <c r="E3674" s="8">
        <v>68630</v>
      </c>
      <c r="F3674" s="8">
        <v>42930</v>
      </c>
      <c r="G3674" s="8">
        <f t="shared" si="228"/>
        <v>2946285900</v>
      </c>
      <c r="H3674" s="5">
        <v>0</v>
      </c>
      <c r="I3674" s="8">
        <f t="shared" si="229"/>
        <v>2946285900</v>
      </c>
      <c r="J3674" s="8">
        <f t="shared" si="230"/>
        <v>0</v>
      </c>
      <c r="K3674" t="str">
        <f t="shared" si="231"/>
        <v>MATCHED</v>
      </c>
    </row>
    <row r="3675" spans="1:11">
      <c r="A3675" t="s">
        <v>118</v>
      </c>
      <c r="B3675" t="s">
        <v>1626</v>
      </c>
      <c r="C3675" t="s">
        <v>337</v>
      </c>
      <c r="D3675" t="s">
        <v>338</v>
      </c>
      <c r="E3675" s="8">
        <v>27000</v>
      </c>
      <c r="F3675" s="8">
        <v>39590</v>
      </c>
      <c r="G3675" s="8">
        <f t="shared" si="228"/>
        <v>1068930000</v>
      </c>
      <c r="H3675" s="5">
        <v>0</v>
      </c>
      <c r="I3675" s="8">
        <f t="shared" si="229"/>
        <v>1068930000</v>
      </c>
      <c r="J3675" s="8">
        <f t="shared" si="230"/>
        <v>0</v>
      </c>
      <c r="K3675" t="str">
        <f t="shared" si="231"/>
        <v>MATCHED</v>
      </c>
    </row>
    <row r="3676" spans="1:11">
      <c r="A3676" t="s">
        <v>118</v>
      </c>
      <c r="B3676" t="s">
        <v>1626</v>
      </c>
      <c r="C3676" t="s">
        <v>646</v>
      </c>
      <c r="D3676" t="s">
        <v>647</v>
      </c>
      <c r="E3676" s="8">
        <v>120</v>
      </c>
      <c r="F3676" s="8">
        <v>42260</v>
      </c>
      <c r="G3676" s="8">
        <f t="shared" si="228"/>
        <v>5071200</v>
      </c>
      <c r="H3676" s="5"/>
      <c r="I3676" s="8" t="str">
        <f t="shared" si="229"/>
        <v/>
      </c>
      <c r="J3676" s="8" t="str">
        <f t="shared" si="230"/>
        <v/>
      </c>
      <c r="K3676" t="str">
        <f t="shared" si="231"/>
        <v>MISSING WHARTON</v>
      </c>
    </row>
    <row r="3677" spans="1:11">
      <c r="A3677" t="s">
        <v>118</v>
      </c>
      <c r="B3677" t="s">
        <v>1626</v>
      </c>
      <c r="C3677" t="s">
        <v>339</v>
      </c>
      <c r="D3677" t="s">
        <v>340</v>
      </c>
      <c r="E3677" s="8">
        <v>90</v>
      </c>
      <c r="F3677" s="8">
        <v>43950</v>
      </c>
      <c r="G3677" s="8">
        <f t="shared" si="228"/>
        <v>3955500</v>
      </c>
      <c r="H3677" s="5">
        <v>0.1567</v>
      </c>
      <c r="I3677" s="8">
        <f t="shared" si="229"/>
        <v>3955500</v>
      </c>
      <c r="J3677" s="8">
        <f t="shared" si="230"/>
        <v>619826.85</v>
      </c>
      <c r="K3677" t="str">
        <f t="shared" si="231"/>
        <v>MATCHED</v>
      </c>
    </row>
    <row r="3678" spans="1:11">
      <c r="A3678" t="s">
        <v>118</v>
      </c>
      <c r="B3678" t="s">
        <v>1626</v>
      </c>
      <c r="C3678" t="s">
        <v>341</v>
      </c>
      <c r="D3678" t="s">
        <v>342</v>
      </c>
      <c r="E3678" s="8">
        <v>28800</v>
      </c>
      <c r="F3678" s="8">
        <v>41880</v>
      </c>
      <c r="G3678" s="8">
        <f t="shared" si="228"/>
        <v>1206144000</v>
      </c>
      <c r="H3678" s="5">
        <v>0</v>
      </c>
      <c r="I3678" s="8">
        <f t="shared" si="229"/>
        <v>1206144000</v>
      </c>
      <c r="J3678" s="8">
        <f t="shared" si="230"/>
        <v>0</v>
      </c>
      <c r="K3678" t="str">
        <f t="shared" si="231"/>
        <v>MATCHED</v>
      </c>
    </row>
    <row r="3679" spans="1:11">
      <c r="A3679" t="s">
        <v>118</v>
      </c>
      <c r="B3679" t="s">
        <v>1626</v>
      </c>
      <c r="C3679" t="s">
        <v>874</v>
      </c>
      <c r="D3679" t="s">
        <v>875</v>
      </c>
      <c r="E3679" s="8">
        <v>220</v>
      </c>
      <c r="F3679" s="8">
        <v>43840</v>
      </c>
      <c r="G3679" s="8">
        <f t="shared" si="228"/>
        <v>9644800</v>
      </c>
      <c r="H3679" s="5"/>
      <c r="I3679" s="8" t="str">
        <f t="shared" si="229"/>
        <v/>
      </c>
      <c r="J3679" s="8" t="str">
        <f t="shared" si="230"/>
        <v/>
      </c>
      <c r="K3679" t="str">
        <f t="shared" si="231"/>
        <v>MISSING WHARTON</v>
      </c>
    </row>
    <row r="3680" spans="1:11">
      <c r="A3680" t="s">
        <v>118</v>
      </c>
      <c r="B3680" t="s">
        <v>1626</v>
      </c>
      <c r="C3680" t="s">
        <v>347</v>
      </c>
      <c r="D3680" t="s">
        <v>348</v>
      </c>
      <c r="E3680" s="8">
        <v>710</v>
      </c>
      <c r="F3680" s="8">
        <v>56920</v>
      </c>
      <c r="G3680" s="8">
        <f t="shared" si="228"/>
        <v>40413200</v>
      </c>
      <c r="H3680" s="5">
        <v>0.2974</v>
      </c>
      <c r="I3680" s="8">
        <f t="shared" si="229"/>
        <v>40413200</v>
      </c>
      <c r="J3680" s="8">
        <f t="shared" si="230"/>
        <v>12018885.68</v>
      </c>
      <c r="K3680" t="str">
        <f t="shared" si="231"/>
        <v>MATCHED</v>
      </c>
    </row>
    <row r="3681" spans="1:11">
      <c r="A3681" t="s">
        <v>118</v>
      </c>
      <c r="B3681" t="s">
        <v>1626</v>
      </c>
      <c r="C3681" t="s">
        <v>349</v>
      </c>
      <c r="D3681" t="s">
        <v>350</v>
      </c>
      <c r="E3681" s="8">
        <v>510</v>
      </c>
      <c r="F3681" s="8">
        <v>60080</v>
      </c>
      <c r="G3681" s="8">
        <f t="shared" si="228"/>
        <v>30640800</v>
      </c>
      <c r="H3681" s="5">
        <v>0.2765</v>
      </c>
      <c r="I3681" s="8">
        <f t="shared" si="229"/>
        <v>30640800</v>
      </c>
      <c r="J3681" s="8">
        <f t="shared" si="230"/>
        <v>8472181.2</v>
      </c>
      <c r="K3681" t="str">
        <f t="shared" si="231"/>
        <v>MATCHED</v>
      </c>
    </row>
    <row r="3682" spans="1:11">
      <c r="A3682" t="s">
        <v>118</v>
      </c>
      <c r="B3682" t="s">
        <v>1626</v>
      </c>
      <c r="C3682" t="s">
        <v>353</v>
      </c>
      <c r="D3682" t="s">
        <v>354</v>
      </c>
      <c r="E3682" s="8"/>
      <c r="F3682" s="8">
        <v>46000</v>
      </c>
      <c r="G3682" s="8" t="str">
        <f t="shared" si="228"/>
        <v/>
      </c>
      <c r="H3682" s="5">
        <v>0.1614</v>
      </c>
      <c r="I3682" s="8" t="str">
        <f t="shared" si="229"/>
        <v/>
      </c>
      <c r="J3682" s="8" t="str">
        <f t="shared" si="230"/>
        <v/>
      </c>
      <c r="K3682" t="str">
        <f t="shared" si="231"/>
        <v>MISSING OEWS</v>
      </c>
    </row>
    <row r="3683" spans="1:11">
      <c r="A3683" t="s">
        <v>118</v>
      </c>
      <c r="B3683" t="s">
        <v>1626</v>
      </c>
      <c r="C3683" t="s">
        <v>1627</v>
      </c>
      <c r="D3683" t="s">
        <v>1628</v>
      </c>
      <c r="E3683" s="8">
        <v>210</v>
      </c>
      <c r="F3683" s="8">
        <v>53940</v>
      </c>
      <c r="G3683" s="8">
        <f t="shared" si="228"/>
        <v>11327400</v>
      </c>
      <c r="H3683" s="5">
        <v>0.3167</v>
      </c>
      <c r="I3683" s="8">
        <f t="shared" si="229"/>
        <v>11327400</v>
      </c>
      <c r="J3683" s="8">
        <f t="shared" si="230"/>
        <v>3587387.58</v>
      </c>
      <c r="K3683" t="str">
        <f t="shared" si="231"/>
        <v>MATCHED</v>
      </c>
    </row>
    <row r="3684" spans="1:11">
      <c r="A3684" t="s">
        <v>118</v>
      </c>
      <c r="B3684" t="s">
        <v>1626</v>
      </c>
      <c r="C3684" t="s">
        <v>1276</v>
      </c>
      <c r="D3684" t="s">
        <v>1277</v>
      </c>
      <c r="E3684" s="8">
        <v>560</v>
      </c>
      <c r="F3684" s="8">
        <v>39540</v>
      </c>
      <c r="G3684" s="8">
        <f t="shared" si="228"/>
        <v>22142400</v>
      </c>
      <c r="H3684" s="5">
        <v>0.2109</v>
      </c>
      <c r="I3684" s="8">
        <f t="shared" si="229"/>
        <v>22142400</v>
      </c>
      <c r="J3684" s="8">
        <f t="shared" si="230"/>
        <v>4669832.16</v>
      </c>
      <c r="K3684" t="str">
        <f t="shared" si="231"/>
        <v>MATCHED</v>
      </c>
    </row>
    <row r="3685" spans="1:11">
      <c r="A3685" t="s">
        <v>118</v>
      </c>
      <c r="B3685" t="s">
        <v>1626</v>
      </c>
      <c r="C3685" t="s">
        <v>876</v>
      </c>
      <c r="D3685" t="s">
        <v>877</v>
      </c>
      <c r="E3685" s="8">
        <v>4020</v>
      </c>
      <c r="F3685" s="8">
        <v>35890</v>
      </c>
      <c r="G3685" s="8">
        <f t="shared" si="228"/>
        <v>144277800</v>
      </c>
      <c r="H3685" s="5">
        <v>0.25</v>
      </c>
      <c r="I3685" s="8">
        <f t="shared" si="229"/>
        <v>144277800</v>
      </c>
      <c r="J3685" s="8">
        <f t="shared" si="230"/>
        <v>36069450</v>
      </c>
      <c r="K3685" t="str">
        <f t="shared" si="231"/>
        <v>MATCHED</v>
      </c>
    </row>
    <row r="3686" spans="1:11">
      <c r="A3686" t="s">
        <v>118</v>
      </c>
      <c r="B3686" t="s">
        <v>1626</v>
      </c>
      <c r="C3686" t="s">
        <v>1494</v>
      </c>
      <c r="D3686" t="s">
        <v>1495</v>
      </c>
      <c r="E3686" s="8">
        <v>90</v>
      </c>
      <c r="F3686" s="8">
        <v>33740</v>
      </c>
      <c r="G3686" s="8">
        <f t="shared" si="228"/>
        <v>3036600</v>
      </c>
      <c r="H3686" s="5">
        <v>0.0413</v>
      </c>
      <c r="I3686" s="8">
        <f t="shared" si="229"/>
        <v>3036600</v>
      </c>
      <c r="J3686" s="8">
        <f t="shared" si="230"/>
        <v>125411.58</v>
      </c>
      <c r="K3686" t="str">
        <f t="shared" si="231"/>
        <v>MATCHED</v>
      </c>
    </row>
    <row r="3687" spans="1:11">
      <c r="A3687" t="s">
        <v>118</v>
      </c>
      <c r="B3687" t="s">
        <v>1626</v>
      </c>
      <c r="C3687" t="s">
        <v>1593</v>
      </c>
      <c r="D3687" t="s">
        <v>1594</v>
      </c>
      <c r="E3687" s="8">
        <v>210</v>
      </c>
      <c r="F3687" s="8">
        <v>33390</v>
      </c>
      <c r="G3687" s="8">
        <f t="shared" si="228"/>
        <v>7011900</v>
      </c>
      <c r="H3687" s="5"/>
      <c r="I3687" s="8" t="str">
        <f t="shared" si="229"/>
        <v/>
      </c>
      <c r="J3687" s="8" t="str">
        <f t="shared" si="230"/>
        <v/>
      </c>
      <c r="K3687" t="str">
        <f t="shared" si="231"/>
        <v>MISSING WHARTON</v>
      </c>
    </row>
    <row r="3688" spans="1:11">
      <c r="A3688" t="s">
        <v>118</v>
      </c>
      <c r="B3688" t="s">
        <v>1626</v>
      </c>
      <c r="C3688" t="s">
        <v>992</v>
      </c>
      <c r="D3688" t="s">
        <v>993</v>
      </c>
      <c r="E3688" s="8">
        <v>70</v>
      </c>
      <c r="F3688" s="8">
        <v>46650</v>
      </c>
      <c r="G3688" s="8">
        <f t="shared" si="228"/>
        <v>3265500</v>
      </c>
      <c r="H3688" s="5">
        <v>0.1239</v>
      </c>
      <c r="I3688" s="8">
        <f t="shared" si="229"/>
        <v>3265500</v>
      </c>
      <c r="J3688" s="8">
        <f t="shared" si="230"/>
        <v>404595.45</v>
      </c>
      <c r="K3688" t="str">
        <f t="shared" si="231"/>
        <v>MATCHED</v>
      </c>
    </row>
    <row r="3689" spans="1:11">
      <c r="A3689" t="s">
        <v>118</v>
      </c>
      <c r="B3689" t="s">
        <v>1626</v>
      </c>
      <c r="C3689" t="s">
        <v>1449</v>
      </c>
      <c r="D3689" t="s">
        <v>1450</v>
      </c>
      <c r="E3689" s="8"/>
      <c r="F3689" s="8">
        <v>65800</v>
      </c>
      <c r="G3689" s="8" t="str">
        <f t="shared" si="228"/>
        <v/>
      </c>
      <c r="H3689" s="5">
        <v>0.1056</v>
      </c>
      <c r="I3689" s="8" t="str">
        <f t="shared" si="229"/>
        <v/>
      </c>
      <c r="J3689" s="8" t="str">
        <f t="shared" si="230"/>
        <v/>
      </c>
      <c r="K3689" t="str">
        <f t="shared" si="231"/>
        <v>MISSING OEWS</v>
      </c>
    </row>
    <row r="3690" spans="1:11">
      <c r="A3690" t="s">
        <v>118</v>
      </c>
      <c r="B3690" t="s">
        <v>1626</v>
      </c>
      <c r="C3690" t="s">
        <v>1498</v>
      </c>
      <c r="D3690" t="s">
        <v>1499</v>
      </c>
      <c r="E3690" s="8">
        <v>1400</v>
      </c>
      <c r="F3690" s="8">
        <v>48160</v>
      </c>
      <c r="G3690" s="8">
        <f t="shared" si="228"/>
        <v>67424000</v>
      </c>
      <c r="H3690" s="5">
        <v>0.3353</v>
      </c>
      <c r="I3690" s="8">
        <f t="shared" si="229"/>
        <v>67424000</v>
      </c>
      <c r="J3690" s="8">
        <f t="shared" si="230"/>
        <v>22607267.2</v>
      </c>
      <c r="K3690" t="str">
        <f t="shared" si="231"/>
        <v>MATCHED</v>
      </c>
    </row>
    <row r="3691" spans="1:11">
      <c r="A3691" t="s">
        <v>118</v>
      </c>
      <c r="B3691" t="s">
        <v>1626</v>
      </c>
      <c r="C3691" t="s">
        <v>994</v>
      </c>
      <c r="D3691" t="s">
        <v>995</v>
      </c>
      <c r="E3691" s="8">
        <v>10940</v>
      </c>
      <c r="F3691" s="8">
        <v>48790</v>
      </c>
      <c r="G3691" s="8">
        <f t="shared" si="228"/>
        <v>533762600</v>
      </c>
      <c r="H3691" s="5">
        <v>0.65</v>
      </c>
      <c r="I3691" s="8">
        <f t="shared" si="229"/>
        <v>533762600</v>
      </c>
      <c r="J3691" s="8">
        <f t="shared" si="230"/>
        <v>346945690</v>
      </c>
      <c r="K3691" t="str">
        <f t="shared" si="231"/>
        <v>MATCHED</v>
      </c>
    </row>
    <row r="3692" spans="1:11">
      <c r="A3692" t="s">
        <v>118</v>
      </c>
      <c r="B3692" t="s">
        <v>1626</v>
      </c>
      <c r="C3692" t="s">
        <v>1278</v>
      </c>
      <c r="D3692" t="s">
        <v>1279</v>
      </c>
      <c r="E3692" s="8">
        <v>450</v>
      </c>
      <c r="F3692" s="8">
        <v>41640</v>
      </c>
      <c r="G3692" s="8">
        <f t="shared" si="228"/>
        <v>18738000</v>
      </c>
      <c r="H3692" s="5">
        <v>0.3177</v>
      </c>
      <c r="I3692" s="8">
        <f t="shared" si="229"/>
        <v>18738000</v>
      </c>
      <c r="J3692" s="8">
        <f t="shared" si="230"/>
        <v>5953062.6</v>
      </c>
      <c r="K3692" t="str">
        <f t="shared" si="231"/>
        <v>MATCHED</v>
      </c>
    </row>
    <row r="3693" spans="1:11">
      <c r="A3693" t="s">
        <v>118</v>
      </c>
      <c r="B3693" t="s">
        <v>1626</v>
      </c>
      <c r="C3693" t="s">
        <v>996</v>
      </c>
      <c r="D3693" t="s">
        <v>997</v>
      </c>
      <c r="E3693" s="8"/>
      <c r="F3693" s="8">
        <v>47410</v>
      </c>
      <c r="G3693" s="8" t="str">
        <f t="shared" si="228"/>
        <v/>
      </c>
      <c r="H3693" s="5">
        <v>0.105</v>
      </c>
      <c r="I3693" s="8" t="str">
        <f t="shared" si="229"/>
        <v/>
      </c>
      <c r="J3693" s="8" t="str">
        <f t="shared" si="230"/>
        <v/>
      </c>
      <c r="K3693" t="str">
        <f t="shared" si="231"/>
        <v>MISSING OEWS</v>
      </c>
    </row>
    <row r="3694" spans="1:11">
      <c r="A3694" t="s">
        <v>118</v>
      </c>
      <c r="B3694" t="s">
        <v>1626</v>
      </c>
      <c r="C3694" t="s">
        <v>998</v>
      </c>
      <c r="D3694" t="s">
        <v>999</v>
      </c>
      <c r="E3694" s="8">
        <v>400</v>
      </c>
      <c r="F3694" s="8">
        <v>57850</v>
      </c>
      <c r="G3694" s="8">
        <f t="shared" si="228"/>
        <v>23140000</v>
      </c>
      <c r="H3694" s="5">
        <v>0.0636</v>
      </c>
      <c r="I3694" s="8">
        <f t="shared" si="229"/>
        <v>23140000</v>
      </c>
      <c r="J3694" s="8">
        <f t="shared" si="230"/>
        <v>1471704</v>
      </c>
      <c r="K3694" t="str">
        <f t="shared" si="231"/>
        <v>MATCHED</v>
      </c>
    </row>
    <row r="3695" spans="1:11">
      <c r="A3695" t="s">
        <v>118</v>
      </c>
      <c r="B3695" t="s">
        <v>1626</v>
      </c>
      <c r="C3695" t="s">
        <v>1280</v>
      </c>
      <c r="D3695" t="s">
        <v>1281</v>
      </c>
      <c r="E3695" s="8">
        <v>3020</v>
      </c>
      <c r="F3695" s="8">
        <v>41550</v>
      </c>
      <c r="G3695" s="8">
        <f t="shared" si="228"/>
        <v>125481000</v>
      </c>
      <c r="H3695" s="5">
        <v>0.1667</v>
      </c>
      <c r="I3695" s="8">
        <f t="shared" si="229"/>
        <v>125481000</v>
      </c>
      <c r="J3695" s="8">
        <f t="shared" si="230"/>
        <v>20917682.7</v>
      </c>
      <c r="K3695" t="str">
        <f t="shared" si="231"/>
        <v>MATCHED</v>
      </c>
    </row>
    <row r="3696" spans="1:11">
      <c r="A3696" t="s">
        <v>118</v>
      </c>
      <c r="B3696" t="s">
        <v>1626</v>
      </c>
      <c r="C3696" t="s">
        <v>1282</v>
      </c>
      <c r="D3696" t="s">
        <v>1283</v>
      </c>
      <c r="E3696" s="8">
        <v>1850</v>
      </c>
      <c r="F3696" s="8">
        <v>49830</v>
      </c>
      <c r="G3696" s="8">
        <f t="shared" si="228"/>
        <v>92185500</v>
      </c>
      <c r="H3696" s="5">
        <v>0.2917</v>
      </c>
      <c r="I3696" s="8">
        <f t="shared" si="229"/>
        <v>92185500</v>
      </c>
      <c r="J3696" s="8">
        <f t="shared" si="230"/>
        <v>26890510.35</v>
      </c>
      <c r="K3696" t="str">
        <f t="shared" si="231"/>
        <v>MATCHED</v>
      </c>
    </row>
    <row r="3697" spans="1:11">
      <c r="A3697" t="s">
        <v>118</v>
      </c>
      <c r="B3697" t="s">
        <v>1626</v>
      </c>
      <c r="C3697" t="s">
        <v>1500</v>
      </c>
      <c r="D3697" t="s">
        <v>1501</v>
      </c>
      <c r="E3697" s="8">
        <v>280</v>
      </c>
      <c r="F3697" s="8">
        <v>47940</v>
      </c>
      <c r="G3697" s="8">
        <f t="shared" si="228"/>
        <v>13423200</v>
      </c>
      <c r="H3697" s="5"/>
      <c r="I3697" s="8" t="str">
        <f t="shared" si="229"/>
        <v/>
      </c>
      <c r="J3697" s="8" t="str">
        <f t="shared" si="230"/>
        <v/>
      </c>
      <c r="K3697" t="str">
        <f t="shared" si="231"/>
        <v>MISSING WHARTON</v>
      </c>
    </row>
    <row r="3698" spans="1:11">
      <c r="A3698" t="s">
        <v>118</v>
      </c>
      <c r="B3698" t="s">
        <v>1626</v>
      </c>
      <c r="C3698" t="s">
        <v>355</v>
      </c>
      <c r="D3698" t="s">
        <v>356</v>
      </c>
      <c r="E3698" s="8">
        <v>22100</v>
      </c>
      <c r="F3698" s="8">
        <v>60070</v>
      </c>
      <c r="G3698" s="8">
        <f t="shared" si="228"/>
        <v>1327547000</v>
      </c>
      <c r="H3698" s="5">
        <v>0.4476</v>
      </c>
      <c r="I3698" s="8">
        <f t="shared" si="229"/>
        <v>1327547000</v>
      </c>
      <c r="J3698" s="8">
        <f t="shared" si="230"/>
        <v>594210037.2</v>
      </c>
      <c r="K3698" t="str">
        <f t="shared" si="231"/>
        <v>MATCHED</v>
      </c>
    </row>
    <row r="3699" spans="1:11">
      <c r="A3699" t="s">
        <v>118</v>
      </c>
      <c r="B3699" t="s">
        <v>1626</v>
      </c>
      <c r="C3699" t="s">
        <v>357</v>
      </c>
      <c r="D3699" t="s">
        <v>358</v>
      </c>
      <c r="E3699" s="8">
        <v>5730</v>
      </c>
      <c r="F3699" s="8">
        <v>72250</v>
      </c>
      <c r="G3699" s="8">
        <f t="shared" si="228"/>
        <v>413992500</v>
      </c>
      <c r="H3699" s="5">
        <v>0.4833</v>
      </c>
      <c r="I3699" s="8">
        <f t="shared" si="229"/>
        <v>413992500</v>
      </c>
      <c r="J3699" s="8">
        <f t="shared" si="230"/>
        <v>200082575.25</v>
      </c>
      <c r="K3699" t="str">
        <f t="shared" si="231"/>
        <v>MATCHED</v>
      </c>
    </row>
    <row r="3700" spans="1:11">
      <c r="A3700" t="s">
        <v>118</v>
      </c>
      <c r="B3700" t="s">
        <v>1626</v>
      </c>
      <c r="C3700" t="s">
        <v>648</v>
      </c>
      <c r="D3700" t="s">
        <v>649</v>
      </c>
      <c r="E3700" s="8">
        <v>4060</v>
      </c>
      <c r="F3700" s="8">
        <v>32330</v>
      </c>
      <c r="G3700" s="8">
        <f t="shared" si="228"/>
        <v>131259800</v>
      </c>
      <c r="H3700" s="5">
        <v>0.6672</v>
      </c>
      <c r="I3700" s="8">
        <f t="shared" si="229"/>
        <v>131259800</v>
      </c>
      <c r="J3700" s="8">
        <f t="shared" si="230"/>
        <v>87576538.56</v>
      </c>
      <c r="K3700" t="str">
        <f t="shared" si="231"/>
        <v>MATCHED</v>
      </c>
    </row>
    <row r="3701" spans="1:11">
      <c r="A3701" t="s">
        <v>118</v>
      </c>
      <c r="B3701" t="s">
        <v>1626</v>
      </c>
      <c r="C3701" t="s">
        <v>878</v>
      </c>
      <c r="D3701" t="s">
        <v>879</v>
      </c>
      <c r="E3701" s="8">
        <v>178860</v>
      </c>
      <c r="F3701" s="8">
        <v>43360</v>
      </c>
      <c r="G3701" s="8">
        <f t="shared" si="228"/>
        <v>7755369600</v>
      </c>
      <c r="H3701" s="5">
        <v>0.7719</v>
      </c>
      <c r="I3701" s="8">
        <f t="shared" si="229"/>
        <v>7755369600</v>
      </c>
      <c r="J3701" s="8">
        <f t="shared" si="230"/>
        <v>5986369794.24</v>
      </c>
      <c r="K3701" t="str">
        <f t="shared" si="231"/>
        <v>MATCHED</v>
      </c>
    </row>
    <row r="3702" spans="1:11">
      <c r="A3702" t="s">
        <v>118</v>
      </c>
      <c r="B3702" t="s">
        <v>1626</v>
      </c>
      <c r="C3702" t="s">
        <v>1000</v>
      </c>
      <c r="D3702" t="s">
        <v>1001</v>
      </c>
      <c r="E3702" s="8">
        <v>1490</v>
      </c>
      <c r="F3702" s="8">
        <v>53570</v>
      </c>
      <c r="G3702" s="8">
        <f t="shared" si="228"/>
        <v>79819300</v>
      </c>
      <c r="H3702" s="5">
        <v>0.3737</v>
      </c>
      <c r="I3702" s="8">
        <f t="shared" si="229"/>
        <v>79819300</v>
      </c>
      <c r="J3702" s="8">
        <f t="shared" si="230"/>
        <v>29828472.41</v>
      </c>
      <c r="K3702" t="str">
        <f t="shared" si="231"/>
        <v>MATCHED</v>
      </c>
    </row>
    <row r="3703" spans="1:11">
      <c r="A3703" t="s">
        <v>118</v>
      </c>
      <c r="B3703" t="s">
        <v>1626</v>
      </c>
      <c r="C3703" t="s">
        <v>359</v>
      </c>
      <c r="D3703" t="s">
        <v>360</v>
      </c>
      <c r="E3703" s="8">
        <v>9510</v>
      </c>
      <c r="F3703" s="8">
        <v>39660</v>
      </c>
      <c r="G3703" s="8">
        <f t="shared" si="228"/>
        <v>377166600</v>
      </c>
      <c r="H3703" s="5">
        <v>0.4938</v>
      </c>
      <c r="I3703" s="8">
        <f t="shared" si="229"/>
        <v>377166600</v>
      </c>
      <c r="J3703" s="8">
        <f t="shared" si="230"/>
        <v>186244867.08</v>
      </c>
      <c r="K3703" t="str">
        <f t="shared" si="231"/>
        <v>MATCHED</v>
      </c>
    </row>
    <row r="3704" spans="1:11">
      <c r="A3704" t="s">
        <v>118</v>
      </c>
      <c r="B3704" t="s">
        <v>1626</v>
      </c>
      <c r="C3704" t="s">
        <v>1004</v>
      </c>
      <c r="D3704" t="s">
        <v>1005</v>
      </c>
      <c r="E3704" s="8">
        <v>440</v>
      </c>
      <c r="F3704" s="8">
        <v>64530</v>
      </c>
      <c r="G3704" s="8">
        <f t="shared" si="228"/>
        <v>28393200</v>
      </c>
      <c r="H3704" s="5">
        <v>0.6684</v>
      </c>
      <c r="I3704" s="8">
        <f t="shared" si="229"/>
        <v>28393200</v>
      </c>
      <c r="J3704" s="8">
        <f t="shared" si="230"/>
        <v>18978014.88</v>
      </c>
      <c r="K3704" t="str">
        <f t="shared" si="231"/>
        <v>MATCHED</v>
      </c>
    </row>
    <row r="3705" spans="1:11">
      <c r="A3705" t="s">
        <v>118</v>
      </c>
      <c r="B3705" t="s">
        <v>1626</v>
      </c>
      <c r="C3705" t="s">
        <v>650</v>
      </c>
      <c r="D3705" t="s">
        <v>651</v>
      </c>
      <c r="E3705" s="8">
        <v>460</v>
      </c>
      <c r="F3705" s="8">
        <v>97830</v>
      </c>
      <c r="G3705" s="8">
        <f t="shared" si="228"/>
        <v>45001800</v>
      </c>
      <c r="H3705" s="5">
        <v>0.845</v>
      </c>
      <c r="I3705" s="8">
        <f t="shared" si="229"/>
        <v>45001800</v>
      </c>
      <c r="J3705" s="8">
        <f t="shared" si="230"/>
        <v>38026521</v>
      </c>
      <c r="K3705" t="str">
        <f t="shared" si="231"/>
        <v>MATCHED</v>
      </c>
    </row>
    <row r="3706" spans="1:11">
      <c r="A3706" t="s">
        <v>118</v>
      </c>
      <c r="B3706" t="s">
        <v>1626</v>
      </c>
      <c r="C3706" t="s">
        <v>1533</v>
      </c>
      <c r="D3706" t="s">
        <v>1534</v>
      </c>
      <c r="E3706" s="8"/>
      <c r="F3706" s="8">
        <v>39850</v>
      </c>
      <c r="G3706" s="8" t="str">
        <f t="shared" si="228"/>
        <v/>
      </c>
      <c r="H3706" s="5">
        <v>0.925</v>
      </c>
      <c r="I3706" s="8" t="str">
        <f t="shared" si="229"/>
        <v/>
      </c>
      <c r="J3706" s="8" t="str">
        <f t="shared" si="230"/>
        <v/>
      </c>
      <c r="K3706" t="str">
        <f t="shared" si="231"/>
        <v>MISSING OEWS</v>
      </c>
    </row>
    <row r="3707" spans="1:11">
      <c r="A3707" t="s">
        <v>118</v>
      </c>
      <c r="B3707" t="s">
        <v>1626</v>
      </c>
      <c r="C3707" t="s">
        <v>361</v>
      </c>
      <c r="D3707" t="s">
        <v>362</v>
      </c>
      <c r="E3707" s="8">
        <v>22710</v>
      </c>
      <c r="F3707" s="8">
        <v>78110</v>
      </c>
      <c r="G3707" s="8">
        <f t="shared" si="228"/>
        <v>1773878100</v>
      </c>
      <c r="H3707" s="5">
        <v>0.73</v>
      </c>
      <c r="I3707" s="8">
        <f t="shared" si="229"/>
        <v>1773878100</v>
      </c>
      <c r="J3707" s="8">
        <f t="shared" si="230"/>
        <v>1294931013</v>
      </c>
      <c r="K3707" t="str">
        <f t="shared" si="231"/>
        <v>MATCHED</v>
      </c>
    </row>
    <row r="3708" spans="1:11">
      <c r="A3708" t="s">
        <v>118</v>
      </c>
      <c r="B3708" t="s">
        <v>1626</v>
      </c>
      <c r="C3708" t="s">
        <v>652</v>
      </c>
      <c r="D3708" t="s">
        <v>653</v>
      </c>
      <c r="E3708" s="8">
        <v>1140</v>
      </c>
      <c r="F3708" s="8">
        <v>182730</v>
      </c>
      <c r="G3708" s="8">
        <f t="shared" si="228"/>
        <v>208312200</v>
      </c>
      <c r="H3708" s="5">
        <v>0.6463</v>
      </c>
      <c r="I3708" s="8">
        <f t="shared" si="229"/>
        <v>208312200</v>
      </c>
      <c r="J3708" s="8">
        <f t="shared" si="230"/>
        <v>134632174.86</v>
      </c>
      <c r="K3708" t="str">
        <f t="shared" si="231"/>
        <v>MATCHED</v>
      </c>
    </row>
    <row r="3709" spans="1:11">
      <c r="A3709" t="s">
        <v>118</v>
      </c>
      <c r="B3709" t="s">
        <v>1626</v>
      </c>
      <c r="C3709" t="s">
        <v>363</v>
      </c>
      <c r="D3709" t="s">
        <v>364</v>
      </c>
      <c r="E3709" s="8">
        <v>9950</v>
      </c>
      <c r="F3709" s="8">
        <v>72880</v>
      </c>
      <c r="G3709" s="8">
        <f t="shared" si="228"/>
        <v>725156000</v>
      </c>
      <c r="H3709" s="5">
        <v>0.5105</v>
      </c>
      <c r="I3709" s="8">
        <f t="shared" si="229"/>
        <v>725156000</v>
      </c>
      <c r="J3709" s="8">
        <f t="shared" si="230"/>
        <v>370192138</v>
      </c>
      <c r="K3709" t="str">
        <f t="shared" si="231"/>
        <v>MATCHED</v>
      </c>
    </row>
    <row r="3710" spans="1:11">
      <c r="A3710" t="s">
        <v>118</v>
      </c>
      <c r="B3710" t="s">
        <v>1626</v>
      </c>
      <c r="C3710" t="s">
        <v>1008</v>
      </c>
      <c r="D3710" t="s">
        <v>1009</v>
      </c>
      <c r="E3710" s="8">
        <v>41130</v>
      </c>
      <c r="F3710" s="8">
        <v>82100</v>
      </c>
      <c r="G3710" s="8">
        <f t="shared" si="228"/>
        <v>3376773000</v>
      </c>
      <c r="H3710" s="5">
        <v>0.5816</v>
      </c>
      <c r="I3710" s="8">
        <f t="shared" si="229"/>
        <v>3376773000</v>
      </c>
      <c r="J3710" s="8">
        <f t="shared" si="230"/>
        <v>1963931176.8</v>
      </c>
      <c r="K3710" t="str">
        <f t="shared" si="231"/>
        <v>MATCHED</v>
      </c>
    </row>
    <row r="3711" spans="1:11">
      <c r="A3711" t="s">
        <v>118</v>
      </c>
      <c r="B3711" t="s">
        <v>1626</v>
      </c>
      <c r="C3711" t="s">
        <v>654</v>
      </c>
      <c r="D3711" t="s">
        <v>655</v>
      </c>
      <c r="E3711" s="8">
        <v>157840</v>
      </c>
      <c r="F3711" s="8">
        <v>66650</v>
      </c>
      <c r="G3711" s="8">
        <f t="shared" si="228"/>
        <v>10520036000</v>
      </c>
      <c r="H3711" s="5">
        <v>0.5939</v>
      </c>
      <c r="I3711" s="8">
        <f t="shared" si="229"/>
        <v>10520036000</v>
      </c>
      <c r="J3711" s="8">
        <f t="shared" si="230"/>
        <v>6247849380.4</v>
      </c>
      <c r="K3711" t="str">
        <f t="shared" si="231"/>
        <v>MATCHED</v>
      </c>
    </row>
    <row r="3712" spans="1:11">
      <c r="A3712" t="s">
        <v>118</v>
      </c>
      <c r="B3712" t="s">
        <v>1626</v>
      </c>
      <c r="C3712" t="s">
        <v>656</v>
      </c>
      <c r="D3712" t="s">
        <v>657</v>
      </c>
      <c r="E3712" s="8"/>
      <c r="F3712" s="8">
        <v>129340</v>
      </c>
      <c r="G3712" s="8" t="str">
        <f t="shared" si="228"/>
        <v/>
      </c>
      <c r="H3712" s="5">
        <v>0.518</v>
      </c>
      <c r="I3712" s="8" t="str">
        <f t="shared" si="229"/>
        <v/>
      </c>
      <c r="J3712" s="8" t="str">
        <f t="shared" si="230"/>
        <v/>
      </c>
      <c r="K3712" t="str">
        <f t="shared" si="231"/>
        <v>MISSING OEWS</v>
      </c>
    </row>
    <row r="3713" spans="1:11">
      <c r="A3713" t="s">
        <v>118</v>
      </c>
      <c r="B3713" t="s">
        <v>1626</v>
      </c>
      <c r="C3713" t="s">
        <v>1010</v>
      </c>
      <c r="D3713" t="s">
        <v>1011</v>
      </c>
      <c r="E3713" s="8">
        <v>130</v>
      </c>
      <c r="F3713" s="8">
        <v>48410</v>
      </c>
      <c r="G3713" s="8">
        <f t="shared" si="228"/>
        <v>6293300</v>
      </c>
      <c r="H3713" s="5">
        <v>0.9625</v>
      </c>
      <c r="I3713" s="8">
        <f t="shared" si="229"/>
        <v>6293300</v>
      </c>
      <c r="J3713" s="8">
        <f t="shared" si="230"/>
        <v>6057301.25</v>
      </c>
      <c r="K3713" t="str">
        <f t="shared" si="231"/>
        <v>MATCHED</v>
      </c>
    </row>
    <row r="3714" spans="1:11">
      <c r="A3714" t="s">
        <v>118</v>
      </c>
      <c r="B3714" t="s">
        <v>1626</v>
      </c>
      <c r="C3714" t="s">
        <v>365</v>
      </c>
      <c r="D3714" t="s">
        <v>366</v>
      </c>
      <c r="E3714" s="8">
        <v>2000</v>
      </c>
      <c r="F3714" s="8">
        <v>57100</v>
      </c>
      <c r="G3714" s="8">
        <f t="shared" ref="G3714:G3777" si="232">IF(OR(E3714="",F3714=""),"",E3714*F3714)</f>
        <v>114200000</v>
      </c>
      <c r="H3714" s="5"/>
      <c r="I3714" s="8" t="str">
        <f t="shared" ref="I3714:I3777" si="233">IF(G3714="","",IF(ISNUMBER(H3714),G3714,""))</f>
        <v/>
      </c>
      <c r="J3714" s="8" t="str">
        <f t="shared" ref="J3714:J3777" si="234">IF(I3714="","",I3714*H3714)</f>
        <v/>
      </c>
      <c r="K3714" t="str">
        <f t="shared" ref="K3714:K3777" si="235">IF(G3714="","MISSING OEWS",IF(ISNUMBER(H3714),"MATCHED","MISSING WHARTON"))</f>
        <v>MISSING WHARTON</v>
      </c>
    </row>
    <row r="3715" spans="1:11">
      <c r="A3715" t="s">
        <v>118</v>
      </c>
      <c r="B3715" t="s">
        <v>1626</v>
      </c>
      <c r="C3715" t="s">
        <v>367</v>
      </c>
      <c r="D3715" t="s">
        <v>368</v>
      </c>
      <c r="E3715" s="8">
        <v>26710</v>
      </c>
      <c r="F3715" s="8">
        <v>74070</v>
      </c>
      <c r="G3715" s="8">
        <f t="shared" si="232"/>
        <v>1978409700</v>
      </c>
      <c r="H3715" s="5">
        <v>0.5034</v>
      </c>
      <c r="I3715" s="8">
        <f t="shared" si="233"/>
        <v>1978409700</v>
      </c>
      <c r="J3715" s="8">
        <f t="shared" si="234"/>
        <v>995931442.98</v>
      </c>
      <c r="K3715" t="str">
        <f t="shared" si="235"/>
        <v>MATCHED</v>
      </c>
    </row>
    <row r="3716" spans="1:11">
      <c r="A3716" t="s">
        <v>118</v>
      </c>
      <c r="B3716" t="s">
        <v>1626</v>
      </c>
      <c r="C3716" t="s">
        <v>1014</v>
      </c>
      <c r="D3716" t="s">
        <v>1015</v>
      </c>
      <c r="E3716" s="8"/>
      <c r="F3716" s="8">
        <v>33820</v>
      </c>
      <c r="G3716" s="8" t="str">
        <f t="shared" si="232"/>
        <v/>
      </c>
      <c r="H3716" s="5">
        <v>0.7579</v>
      </c>
      <c r="I3716" s="8" t="str">
        <f t="shared" si="233"/>
        <v/>
      </c>
      <c r="J3716" s="8" t="str">
        <f t="shared" si="234"/>
        <v/>
      </c>
      <c r="K3716" t="str">
        <f t="shared" si="235"/>
        <v>MISSING OEWS</v>
      </c>
    </row>
    <row r="3717" spans="1:11">
      <c r="A3717" t="s">
        <v>118</v>
      </c>
      <c r="B3717" t="s">
        <v>1626</v>
      </c>
      <c r="C3717" t="s">
        <v>880</v>
      </c>
      <c r="D3717" t="s">
        <v>881</v>
      </c>
      <c r="E3717" s="8">
        <v>2450</v>
      </c>
      <c r="F3717" s="8">
        <v>48390</v>
      </c>
      <c r="G3717" s="8">
        <f t="shared" si="232"/>
        <v>118555500</v>
      </c>
      <c r="H3717" s="5">
        <v>0.9</v>
      </c>
      <c r="I3717" s="8">
        <f t="shared" si="233"/>
        <v>118555500</v>
      </c>
      <c r="J3717" s="8">
        <f t="shared" si="234"/>
        <v>106699950</v>
      </c>
      <c r="K3717" t="str">
        <f t="shared" si="235"/>
        <v>MATCHED</v>
      </c>
    </row>
    <row r="3718" spans="1:11">
      <c r="A3718" t="s">
        <v>118</v>
      </c>
      <c r="B3718" t="s">
        <v>1626</v>
      </c>
      <c r="C3718" t="s">
        <v>369</v>
      </c>
      <c r="D3718" t="s">
        <v>370</v>
      </c>
      <c r="E3718" s="8">
        <v>3930</v>
      </c>
      <c r="F3718" s="8">
        <v>49580</v>
      </c>
      <c r="G3718" s="8">
        <f t="shared" si="232"/>
        <v>194849400</v>
      </c>
      <c r="H3718" s="5">
        <v>0.8617</v>
      </c>
      <c r="I3718" s="8">
        <f t="shared" si="233"/>
        <v>194849400</v>
      </c>
      <c r="J3718" s="8">
        <f t="shared" si="234"/>
        <v>167901727.98</v>
      </c>
      <c r="K3718" t="str">
        <f t="shared" si="235"/>
        <v>MATCHED</v>
      </c>
    </row>
    <row r="3719" spans="1:11">
      <c r="A3719" t="s">
        <v>118</v>
      </c>
      <c r="B3719" t="s">
        <v>1626</v>
      </c>
      <c r="C3719" t="s">
        <v>371</v>
      </c>
      <c r="D3719" t="s">
        <v>372</v>
      </c>
      <c r="E3719" s="8">
        <v>58010</v>
      </c>
      <c r="F3719" s="8">
        <v>55280</v>
      </c>
      <c r="G3719" s="8">
        <f t="shared" si="232"/>
        <v>3206792800</v>
      </c>
      <c r="H3719" s="5">
        <v>0.9517</v>
      </c>
      <c r="I3719" s="8">
        <f t="shared" si="233"/>
        <v>3206792800</v>
      </c>
      <c r="J3719" s="8">
        <f t="shared" si="234"/>
        <v>3051904707.76</v>
      </c>
      <c r="K3719" t="str">
        <f t="shared" si="235"/>
        <v>MATCHED</v>
      </c>
    </row>
    <row r="3720" spans="1:11">
      <c r="A3720" t="s">
        <v>118</v>
      </c>
      <c r="B3720" t="s">
        <v>1626</v>
      </c>
      <c r="C3720" t="s">
        <v>373</v>
      </c>
      <c r="D3720" t="s">
        <v>374</v>
      </c>
      <c r="E3720" s="8">
        <v>2920</v>
      </c>
      <c r="F3720" s="8">
        <v>61160</v>
      </c>
      <c r="G3720" s="8">
        <f t="shared" si="232"/>
        <v>178587200</v>
      </c>
      <c r="H3720" s="5">
        <v>0.9409</v>
      </c>
      <c r="I3720" s="8">
        <f t="shared" si="233"/>
        <v>178587200</v>
      </c>
      <c r="J3720" s="8">
        <f t="shared" si="234"/>
        <v>168032696.48</v>
      </c>
      <c r="K3720" t="str">
        <f t="shared" si="235"/>
        <v>MATCHED</v>
      </c>
    </row>
    <row r="3721" spans="1:11">
      <c r="A3721" t="s">
        <v>118</v>
      </c>
      <c r="B3721" t="s">
        <v>1626</v>
      </c>
      <c r="C3721" t="s">
        <v>375</v>
      </c>
      <c r="D3721" t="s">
        <v>376</v>
      </c>
      <c r="E3721" s="8">
        <v>470</v>
      </c>
      <c r="F3721" s="8">
        <v>51860</v>
      </c>
      <c r="G3721" s="8">
        <f t="shared" si="232"/>
        <v>24374200</v>
      </c>
      <c r="H3721" s="5">
        <v>0.8237</v>
      </c>
      <c r="I3721" s="8">
        <f t="shared" si="233"/>
        <v>24374200</v>
      </c>
      <c r="J3721" s="8">
        <f t="shared" si="234"/>
        <v>20077028.54</v>
      </c>
      <c r="K3721" t="str">
        <f t="shared" si="235"/>
        <v>MATCHED</v>
      </c>
    </row>
    <row r="3722" spans="1:11">
      <c r="A3722" t="s">
        <v>118</v>
      </c>
      <c r="B3722" t="s">
        <v>1626</v>
      </c>
      <c r="C3722" t="s">
        <v>884</v>
      </c>
      <c r="D3722" t="s">
        <v>885</v>
      </c>
      <c r="E3722" s="8">
        <v>270</v>
      </c>
      <c r="F3722" s="8">
        <v>47980</v>
      </c>
      <c r="G3722" s="8">
        <f t="shared" si="232"/>
        <v>12954600</v>
      </c>
      <c r="H3722" s="5"/>
      <c r="I3722" s="8" t="str">
        <f t="shared" si="233"/>
        <v/>
      </c>
      <c r="J3722" s="8" t="str">
        <f t="shared" si="234"/>
        <v/>
      </c>
      <c r="K3722" t="str">
        <f t="shared" si="235"/>
        <v>MISSING WHARTON</v>
      </c>
    </row>
    <row r="3723" spans="1:11">
      <c r="A3723" t="s">
        <v>118</v>
      </c>
      <c r="B3723" t="s">
        <v>1626</v>
      </c>
      <c r="C3723" t="s">
        <v>1284</v>
      </c>
      <c r="D3723" t="s">
        <v>1285</v>
      </c>
      <c r="E3723" s="8"/>
      <c r="F3723" s="8">
        <v>43070</v>
      </c>
      <c r="G3723" s="8" t="str">
        <f t="shared" si="232"/>
        <v/>
      </c>
      <c r="H3723" s="5">
        <v>0.85</v>
      </c>
      <c r="I3723" s="8" t="str">
        <f t="shared" si="233"/>
        <v/>
      </c>
      <c r="J3723" s="8" t="str">
        <f t="shared" si="234"/>
        <v/>
      </c>
      <c r="K3723" t="str">
        <f t="shared" si="235"/>
        <v>MISSING OEWS</v>
      </c>
    </row>
    <row r="3724" spans="1:11">
      <c r="A3724" t="s">
        <v>118</v>
      </c>
      <c r="B3724" t="s">
        <v>1626</v>
      </c>
      <c r="C3724" t="s">
        <v>1016</v>
      </c>
      <c r="D3724" t="s">
        <v>1017</v>
      </c>
      <c r="E3724" s="8">
        <v>730</v>
      </c>
      <c r="F3724" s="8">
        <v>45300</v>
      </c>
      <c r="G3724" s="8">
        <f t="shared" si="232"/>
        <v>33069000</v>
      </c>
      <c r="H3724" s="5">
        <v>0.9469</v>
      </c>
      <c r="I3724" s="8">
        <f t="shared" si="233"/>
        <v>33069000</v>
      </c>
      <c r="J3724" s="8">
        <f t="shared" si="234"/>
        <v>31313036.1</v>
      </c>
      <c r="K3724" t="str">
        <f t="shared" si="235"/>
        <v>MATCHED</v>
      </c>
    </row>
    <row r="3725" spans="1:11">
      <c r="A3725" t="s">
        <v>118</v>
      </c>
      <c r="B3725" t="s">
        <v>1626</v>
      </c>
      <c r="C3725" t="s">
        <v>377</v>
      </c>
      <c r="D3725" t="s">
        <v>378</v>
      </c>
      <c r="E3725" s="8">
        <v>42370</v>
      </c>
      <c r="F3725" s="8">
        <v>44690</v>
      </c>
      <c r="G3725" s="8">
        <f t="shared" si="232"/>
        <v>1893515300</v>
      </c>
      <c r="H3725" s="5">
        <v>0.82</v>
      </c>
      <c r="I3725" s="8">
        <f t="shared" si="233"/>
        <v>1893515300</v>
      </c>
      <c r="J3725" s="8">
        <f t="shared" si="234"/>
        <v>1552682546</v>
      </c>
      <c r="K3725" t="str">
        <f t="shared" si="235"/>
        <v>MATCHED</v>
      </c>
    </row>
    <row r="3726" spans="1:11">
      <c r="A3726" t="s">
        <v>118</v>
      </c>
      <c r="B3726" t="s">
        <v>1626</v>
      </c>
      <c r="C3726" t="s">
        <v>1535</v>
      </c>
      <c r="D3726" t="s">
        <v>1536</v>
      </c>
      <c r="E3726" s="8">
        <v>210</v>
      </c>
      <c r="F3726" s="8">
        <v>53740</v>
      </c>
      <c r="G3726" s="8">
        <f t="shared" si="232"/>
        <v>11285400</v>
      </c>
      <c r="H3726" s="5">
        <v>0.7912</v>
      </c>
      <c r="I3726" s="8">
        <f t="shared" si="233"/>
        <v>11285400</v>
      </c>
      <c r="J3726" s="8">
        <f t="shared" si="234"/>
        <v>8929008.48</v>
      </c>
      <c r="K3726" t="str">
        <f t="shared" si="235"/>
        <v>MATCHED</v>
      </c>
    </row>
    <row r="3727" spans="1:11">
      <c r="A3727" t="s">
        <v>118</v>
      </c>
      <c r="B3727" t="s">
        <v>1626</v>
      </c>
      <c r="C3727" t="s">
        <v>379</v>
      </c>
      <c r="D3727" t="s">
        <v>380</v>
      </c>
      <c r="E3727" s="8">
        <v>1520</v>
      </c>
      <c r="F3727" s="8">
        <v>43850</v>
      </c>
      <c r="G3727" s="8">
        <f t="shared" si="232"/>
        <v>66652000</v>
      </c>
      <c r="H3727" s="5">
        <v>0.7526</v>
      </c>
      <c r="I3727" s="8">
        <f t="shared" si="233"/>
        <v>66652000</v>
      </c>
      <c r="J3727" s="8">
        <f t="shared" si="234"/>
        <v>50162295.2</v>
      </c>
      <c r="K3727" t="str">
        <f t="shared" si="235"/>
        <v>MATCHED</v>
      </c>
    </row>
    <row r="3728" spans="1:11">
      <c r="A3728" t="s">
        <v>118</v>
      </c>
      <c r="B3728" t="s">
        <v>1626</v>
      </c>
      <c r="C3728" t="s">
        <v>1286</v>
      </c>
      <c r="D3728" t="s">
        <v>1287</v>
      </c>
      <c r="E3728" s="8">
        <v>260</v>
      </c>
      <c r="F3728" s="8">
        <v>47970</v>
      </c>
      <c r="G3728" s="8">
        <f t="shared" si="232"/>
        <v>12472200</v>
      </c>
      <c r="H3728" s="5">
        <v>0.7088</v>
      </c>
      <c r="I3728" s="8">
        <f t="shared" si="233"/>
        <v>12472200</v>
      </c>
      <c r="J3728" s="8">
        <f t="shared" si="234"/>
        <v>8840295.36</v>
      </c>
      <c r="K3728" t="str">
        <f t="shared" si="235"/>
        <v>MATCHED</v>
      </c>
    </row>
    <row r="3729" spans="1:11">
      <c r="A3729" t="s">
        <v>118</v>
      </c>
      <c r="B3729" t="s">
        <v>1626</v>
      </c>
      <c r="C3729" t="s">
        <v>1018</v>
      </c>
      <c r="D3729" t="s">
        <v>1019</v>
      </c>
      <c r="E3729" s="8">
        <v>3080</v>
      </c>
      <c r="F3729" s="8">
        <v>52470</v>
      </c>
      <c r="G3729" s="8">
        <f t="shared" si="232"/>
        <v>161607600</v>
      </c>
      <c r="H3729" s="5">
        <v>0.9111</v>
      </c>
      <c r="I3729" s="8">
        <f t="shared" si="233"/>
        <v>161607600</v>
      </c>
      <c r="J3729" s="8">
        <f t="shared" si="234"/>
        <v>147240684.36</v>
      </c>
      <c r="K3729" t="str">
        <f t="shared" si="235"/>
        <v>MATCHED</v>
      </c>
    </row>
    <row r="3730" spans="1:11">
      <c r="A3730" t="s">
        <v>118</v>
      </c>
      <c r="B3730" t="s">
        <v>1626</v>
      </c>
      <c r="C3730" t="s">
        <v>381</v>
      </c>
      <c r="D3730" t="s">
        <v>382</v>
      </c>
      <c r="E3730" s="8">
        <v>1010</v>
      </c>
      <c r="F3730" s="8">
        <v>42820</v>
      </c>
      <c r="G3730" s="8">
        <f t="shared" si="232"/>
        <v>43248200</v>
      </c>
      <c r="H3730" s="5">
        <v>0.9553</v>
      </c>
      <c r="I3730" s="8">
        <f t="shared" si="233"/>
        <v>43248200</v>
      </c>
      <c r="J3730" s="8">
        <f t="shared" si="234"/>
        <v>41315005.46</v>
      </c>
      <c r="K3730" t="str">
        <f t="shared" si="235"/>
        <v>MATCHED</v>
      </c>
    </row>
    <row r="3731" spans="1:11">
      <c r="A3731" t="s">
        <v>118</v>
      </c>
      <c r="B3731" t="s">
        <v>1626</v>
      </c>
      <c r="C3731" t="s">
        <v>383</v>
      </c>
      <c r="D3731" t="s">
        <v>384</v>
      </c>
      <c r="E3731" s="8">
        <v>730</v>
      </c>
      <c r="F3731" s="8">
        <v>53320</v>
      </c>
      <c r="G3731" s="8">
        <f t="shared" si="232"/>
        <v>38923600</v>
      </c>
      <c r="H3731" s="5">
        <v>0.8342</v>
      </c>
      <c r="I3731" s="8">
        <f t="shared" si="233"/>
        <v>38923600</v>
      </c>
      <c r="J3731" s="8">
        <f t="shared" si="234"/>
        <v>32470067.12</v>
      </c>
      <c r="K3731" t="str">
        <f t="shared" si="235"/>
        <v>MATCHED</v>
      </c>
    </row>
    <row r="3732" spans="1:11">
      <c r="A3732" t="s">
        <v>118</v>
      </c>
      <c r="B3732" t="s">
        <v>1626</v>
      </c>
      <c r="C3732" t="s">
        <v>385</v>
      </c>
      <c r="D3732" t="s">
        <v>386</v>
      </c>
      <c r="E3732" s="8">
        <v>26950</v>
      </c>
      <c r="F3732" s="8">
        <v>39890</v>
      </c>
      <c r="G3732" s="8">
        <f t="shared" si="232"/>
        <v>1075035500</v>
      </c>
      <c r="H3732" s="5">
        <v>0.7368</v>
      </c>
      <c r="I3732" s="8">
        <f t="shared" si="233"/>
        <v>1075035500</v>
      </c>
      <c r="J3732" s="8">
        <f t="shared" si="234"/>
        <v>792086156.4</v>
      </c>
      <c r="K3732" t="str">
        <f t="shared" si="235"/>
        <v>MATCHED</v>
      </c>
    </row>
    <row r="3733" spans="1:11">
      <c r="A3733" t="s">
        <v>118</v>
      </c>
      <c r="B3733" t="s">
        <v>1626</v>
      </c>
      <c r="C3733" t="s">
        <v>1537</v>
      </c>
      <c r="D3733" t="s">
        <v>1538</v>
      </c>
      <c r="E3733" s="8">
        <v>420</v>
      </c>
      <c r="F3733" s="8">
        <v>40040</v>
      </c>
      <c r="G3733" s="8">
        <f t="shared" si="232"/>
        <v>16816800</v>
      </c>
      <c r="H3733" s="5">
        <v>0.7714</v>
      </c>
      <c r="I3733" s="8">
        <f t="shared" si="233"/>
        <v>16816800</v>
      </c>
      <c r="J3733" s="8">
        <f t="shared" si="234"/>
        <v>12972479.52</v>
      </c>
      <c r="K3733" t="str">
        <f t="shared" si="235"/>
        <v>MATCHED</v>
      </c>
    </row>
    <row r="3734" spans="1:11">
      <c r="A3734" t="s">
        <v>118</v>
      </c>
      <c r="B3734" t="s">
        <v>1626</v>
      </c>
      <c r="C3734" t="s">
        <v>658</v>
      </c>
      <c r="D3734" t="s">
        <v>659</v>
      </c>
      <c r="E3734" s="8">
        <v>3060</v>
      </c>
      <c r="F3734" s="8">
        <v>51530</v>
      </c>
      <c r="G3734" s="8">
        <f t="shared" si="232"/>
        <v>157681800</v>
      </c>
      <c r="H3734" s="5"/>
      <c r="I3734" s="8" t="str">
        <f t="shared" si="233"/>
        <v/>
      </c>
      <c r="J3734" s="8" t="str">
        <f t="shared" si="234"/>
        <v/>
      </c>
      <c r="K3734" t="str">
        <f t="shared" si="235"/>
        <v>MISSING WHARTON</v>
      </c>
    </row>
    <row r="3735" spans="1:11">
      <c r="A3735" t="s">
        <v>118</v>
      </c>
      <c r="B3735" t="s">
        <v>1626</v>
      </c>
      <c r="C3735" t="s">
        <v>886</v>
      </c>
      <c r="D3735" t="s">
        <v>887</v>
      </c>
      <c r="E3735" s="8">
        <v>890</v>
      </c>
      <c r="F3735" s="8">
        <v>38610</v>
      </c>
      <c r="G3735" s="8">
        <f t="shared" si="232"/>
        <v>34362900</v>
      </c>
      <c r="H3735" s="5">
        <v>0.2235</v>
      </c>
      <c r="I3735" s="8">
        <f t="shared" si="233"/>
        <v>34362900</v>
      </c>
      <c r="J3735" s="8">
        <f t="shared" si="234"/>
        <v>7680108.15</v>
      </c>
      <c r="K3735" t="str">
        <f t="shared" si="235"/>
        <v>MATCHED</v>
      </c>
    </row>
    <row r="3736" spans="1:11">
      <c r="A3736" t="s">
        <v>118</v>
      </c>
      <c r="B3736" t="s">
        <v>1626</v>
      </c>
      <c r="C3736" t="s">
        <v>387</v>
      </c>
      <c r="D3736" t="s">
        <v>388</v>
      </c>
      <c r="E3736" s="8">
        <v>3320</v>
      </c>
      <c r="F3736" s="8">
        <v>57100</v>
      </c>
      <c r="G3736" s="8">
        <f t="shared" si="232"/>
        <v>189572000</v>
      </c>
      <c r="H3736" s="5">
        <v>0.8192</v>
      </c>
      <c r="I3736" s="8">
        <f t="shared" si="233"/>
        <v>189572000</v>
      </c>
      <c r="J3736" s="8">
        <f t="shared" si="234"/>
        <v>155297382.4</v>
      </c>
      <c r="K3736" t="str">
        <f t="shared" si="235"/>
        <v>MATCHED</v>
      </c>
    </row>
    <row r="3737" spans="1:11">
      <c r="A3737" t="s">
        <v>118</v>
      </c>
      <c r="B3737" t="s">
        <v>1626</v>
      </c>
      <c r="C3737" t="s">
        <v>389</v>
      </c>
      <c r="D3737" t="s">
        <v>390</v>
      </c>
      <c r="E3737" s="8">
        <v>4590</v>
      </c>
      <c r="F3737" s="8">
        <v>54210</v>
      </c>
      <c r="G3737" s="8">
        <f t="shared" si="232"/>
        <v>248823900</v>
      </c>
      <c r="H3737" s="5">
        <v>0.7794</v>
      </c>
      <c r="I3737" s="8">
        <f t="shared" si="233"/>
        <v>248823900</v>
      </c>
      <c r="J3737" s="8">
        <f t="shared" si="234"/>
        <v>193933347.66</v>
      </c>
      <c r="K3737" t="str">
        <f t="shared" si="235"/>
        <v>MATCHED</v>
      </c>
    </row>
    <row r="3738" spans="1:11">
      <c r="A3738" t="s">
        <v>118</v>
      </c>
      <c r="B3738" t="s">
        <v>1626</v>
      </c>
      <c r="C3738" t="s">
        <v>391</v>
      </c>
      <c r="D3738" t="s">
        <v>392</v>
      </c>
      <c r="E3738" s="8">
        <v>4130</v>
      </c>
      <c r="F3738" s="8">
        <v>44480</v>
      </c>
      <c r="G3738" s="8">
        <f t="shared" si="232"/>
        <v>183702400</v>
      </c>
      <c r="H3738" s="5">
        <v>0.6455</v>
      </c>
      <c r="I3738" s="8">
        <f t="shared" si="233"/>
        <v>183702400</v>
      </c>
      <c r="J3738" s="8">
        <f t="shared" si="234"/>
        <v>118579899.2</v>
      </c>
      <c r="K3738" t="str">
        <f t="shared" si="235"/>
        <v>MATCHED</v>
      </c>
    </row>
    <row r="3739" spans="1:11">
      <c r="A3739" t="s">
        <v>118</v>
      </c>
      <c r="B3739" t="s">
        <v>1626</v>
      </c>
      <c r="C3739" t="s">
        <v>393</v>
      </c>
      <c r="D3739" t="s">
        <v>394</v>
      </c>
      <c r="E3739" s="8">
        <v>50</v>
      </c>
      <c r="F3739" s="8">
        <v>42870</v>
      </c>
      <c r="G3739" s="8">
        <f t="shared" si="232"/>
        <v>2143500</v>
      </c>
      <c r="H3739" s="5">
        <v>0.2932</v>
      </c>
      <c r="I3739" s="8">
        <f t="shared" si="233"/>
        <v>2143500</v>
      </c>
      <c r="J3739" s="8">
        <f t="shared" si="234"/>
        <v>628474.2</v>
      </c>
      <c r="K3739" t="str">
        <f t="shared" si="235"/>
        <v>MATCHED</v>
      </c>
    </row>
    <row r="3740" spans="1:11">
      <c r="A3740" t="s">
        <v>118</v>
      </c>
      <c r="B3740" t="s">
        <v>1626</v>
      </c>
      <c r="C3740" t="s">
        <v>395</v>
      </c>
      <c r="D3740" t="s">
        <v>396</v>
      </c>
      <c r="E3740" s="8">
        <v>13980</v>
      </c>
      <c r="F3740" s="8">
        <v>79070</v>
      </c>
      <c r="G3740" s="8">
        <f t="shared" si="232"/>
        <v>1105398600</v>
      </c>
      <c r="H3740" s="5">
        <v>0.7955</v>
      </c>
      <c r="I3740" s="8">
        <f t="shared" si="233"/>
        <v>1105398600</v>
      </c>
      <c r="J3740" s="8">
        <f t="shared" si="234"/>
        <v>879344586.3</v>
      </c>
      <c r="K3740" t="str">
        <f t="shared" si="235"/>
        <v>MATCHED</v>
      </c>
    </row>
    <row r="3741" spans="1:11">
      <c r="A3741" t="s">
        <v>118</v>
      </c>
      <c r="B3741" t="s">
        <v>1626</v>
      </c>
      <c r="C3741" t="s">
        <v>890</v>
      </c>
      <c r="D3741" t="s">
        <v>891</v>
      </c>
      <c r="E3741" s="8">
        <v>310</v>
      </c>
      <c r="F3741" s="8">
        <v>65050</v>
      </c>
      <c r="G3741" s="8">
        <f t="shared" si="232"/>
        <v>20165500</v>
      </c>
      <c r="H3741" s="5">
        <v>0.8679</v>
      </c>
      <c r="I3741" s="8">
        <f t="shared" si="233"/>
        <v>20165500</v>
      </c>
      <c r="J3741" s="8">
        <f t="shared" si="234"/>
        <v>17501637.45</v>
      </c>
      <c r="K3741" t="str">
        <f t="shared" si="235"/>
        <v>MATCHED</v>
      </c>
    </row>
    <row r="3742" spans="1:11">
      <c r="A3742" t="s">
        <v>118</v>
      </c>
      <c r="B3742" t="s">
        <v>1626</v>
      </c>
      <c r="C3742" t="s">
        <v>1290</v>
      </c>
      <c r="D3742" t="s">
        <v>1291</v>
      </c>
      <c r="E3742" s="8">
        <v>340</v>
      </c>
      <c r="F3742" s="8">
        <v>42530</v>
      </c>
      <c r="G3742" s="8">
        <f t="shared" si="232"/>
        <v>14460200</v>
      </c>
      <c r="H3742" s="5">
        <v>0.9031</v>
      </c>
      <c r="I3742" s="8">
        <f t="shared" si="233"/>
        <v>14460200</v>
      </c>
      <c r="J3742" s="8">
        <f t="shared" si="234"/>
        <v>13059006.62</v>
      </c>
      <c r="K3742" t="str">
        <f t="shared" si="235"/>
        <v>MATCHED</v>
      </c>
    </row>
    <row r="3743" spans="1:11">
      <c r="A3743" t="s">
        <v>118</v>
      </c>
      <c r="B3743" t="s">
        <v>1626</v>
      </c>
      <c r="C3743" t="s">
        <v>397</v>
      </c>
      <c r="D3743" t="s">
        <v>398</v>
      </c>
      <c r="E3743" s="8">
        <v>57030</v>
      </c>
      <c r="F3743" s="8">
        <v>47340</v>
      </c>
      <c r="G3743" s="8">
        <f t="shared" si="232"/>
        <v>2699800200</v>
      </c>
      <c r="H3743" s="5">
        <v>0.8031</v>
      </c>
      <c r="I3743" s="8">
        <f t="shared" si="233"/>
        <v>2699800200</v>
      </c>
      <c r="J3743" s="8">
        <f t="shared" si="234"/>
        <v>2168209540.62</v>
      </c>
      <c r="K3743" t="str">
        <f t="shared" si="235"/>
        <v>MATCHED</v>
      </c>
    </row>
    <row r="3744" spans="1:11">
      <c r="A3744" t="s">
        <v>118</v>
      </c>
      <c r="B3744" t="s">
        <v>1626</v>
      </c>
      <c r="C3744" t="s">
        <v>399</v>
      </c>
      <c r="D3744" t="s">
        <v>400</v>
      </c>
      <c r="E3744" s="8">
        <v>1800</v>
      </c>
      <c r="F3744" s="8">
        <v>43820</v>
      </c>
      <c r="G3744" s="8">
        <f t="shared" si="232"/>
        <v>78876000</v>
      </c>
      <c r="H3744" s="5">
        <v>0.75</v>
      </c>
      <c r="I3744" s="8">
        <f t="shared" si="233"/>
        <v>78876000</v>
      </c>
      <c r="J3744" s="8">
        <f t="shared" si="234"/>
        <v>59157000</v>
      </c>
      <c r="K3744" t="str">
        <f t="shared" si="235"/>
        <v>MATCHED</v>
      </c>
    </row>
    <row r="3745" spans="1:11">
      <c r="A3745" t="s">
        <v>118</v>
      </c>
      <c r="B3745" t="s">
        <v>1626</v>
      </c>
      <c r="C3745" t="s">
        <v>1455</v>
      </c>
      <c r="D3745" t="s">
        <v>1456</v>
      </c>
      <c r="E3745" s="8">
        <v>100</v>
      </c>
      <c r="F3745" s="8">
        <v>45840</v>
      </c>
      <c r="G3745" s="8">
        <f t="shared" si="232"/>
        <v>4584000</v>
      </c>
      <c r="H3745" s="5">
        <v>0.835</v>
      </c>
      <c r="I3745" s="8">
        <f t="shared" si="233"/>
        <v>4584000</v>
      </c>
      <c r="J3745" s="8">
        <f t="shared" si="234"/>
        <v>3827640</v>
      </c>
      <c r="K3745" t="str">
        <f t="shared" si="235"/>
        <v>MATCHED</v>
      </c>
    </row>
    <row r="3746" spans="1:11">
      <c r="A3746" t="s">
        <v>118</v>
      </c>
      <c r="B3746" t="s">
        <v>1626</v>
      </c>
      <c r="C3746" t="s">
        <v>1292</v>
      </c>
      <c r="D3746" t="s">
        <v>1293</v>
      </c>
      <c r="E3746" s="8">
        <v>60</v>
      </c>
      <c r="F3746" s="8">
        <v>45090</v>
      </c>
      <c r="G3746" s="8">
        <f t="shared" si="232"/>
        <v>2705400</v>
      </c>
      <c r="H3746" s="5">
        <v>0.9417</v>
      </c>
      <c r="I3746" s="8">
        <f t="shared" si="233"/>
        <v>2705400</v>
      </c>
      <c r="J3746" s="8">
        <f t="shared" si="234"/>
        <v>2547675.18</v>
      </c>
      <c r="K3746" t="str">
        <f t="shared" si="235"/>
        <v>MATCHED</v>
      </c>
    </row>
    <row r="3747" spans="1:11">
      <c r="A3747" t="s">
        <v>118</v>
      </c>
      <c r="B3747" t="s">
        <v>1626</v>
      </c>
      <c r="C3747" t="s">
        <v>1020</v>
      </c>
      <c r="D3747" t="s">
        <v>1021</v>
      </c>
      <c r="E3747" s="8">
        <v>460</v>
      </c>
      <c r="F3747" s="8">
        <v>52100</v>
      </c>
      <c r="G3747" s="8">
        <f t="shared" si="232"/>
        <v>23966000</v>
      </c>
      <c r="H3747" s="5">
        <v>0.9519</v>
      </c>
      <c r="I3747" s="8">
        <f t="shared" si="233"/>
        <v>23966000</v>
      </c>
      <c r="J3747" s="8">
        <f t="shared" si="234"/>
        <v>22813235.4</v>
      </c>
      <c r="K3747" t="str">
        <f t="shared" si="235"/>
        <v>MATCHED</v>
      </c>
    </row>
    <row r="3748" spans="1:11">
      <c r="A3748" t="s">
        <v>118</v>
      </c>
      <c r="B3748" t="s">
        <v>1626</v>
      </c>
      <c r="C3748" t="s">
        <v>892</v>
      </c>
      <c r="D3748" t="s">
        <v>893</v>
      </c>
      <c r="E3748" s="8">
        <v>210</v>
      </c>
      <c r="F3748" s="8">
        <v>47170</v>
      </c>
      <c r="G3748" s="8">
        <f t="shared" si="232"/>
        <v>9905700</v>
      </c>
      <c r="H3748" s="5">
        <v>0.231</v>
      </c>
      <c r="I3748" s="8">
        <f t="shared" si="233"/>
        <v>9905700</v>
      </c>
      <c r="J3748" s="8">
        <f t="shared" si="234"/>
        <v>2288216.7</v>
      </c>
      <c r="K3748" t="str">
        <f t="shared" si="235"/>
        <v>MATCHED</v>
      </c>
    </row>
    <row r="3749" spans="1:11">
      <c r="A3749" t="s">
        <v>118</v>
      </c>
      <c r="B3749" t="s">
        <v>1626</v>
      </c>
      <c r="C3749" t="s">
        <v>401</v>
      </c>
      <c r="D3749" t="s">
        <v>402</v>
      </c>
      <c r="E3749" s="8">
        <v>96550</v>
      </c>
      <c r="F3749" s="8">
        <v>45650</v>
      </c>
      <c r="G3749" s="8">
        <f t="shared" si="232"/>
        <v>4407507500</v>
      </c>
      <c r="H3749" s="5">
        <v>0.7452</v>
      </c>
      <c r="I3749" s="8">
        <f t="shared" si="233"/>
        <v>4407507500</v>
      </c>
      <c r="J3749" s="8">
        <f t="shared" si="234"/>
        <v>3284474589</v>
      </c>
      <c r="K3749" t="str">
        <f t="shared" si="235"/>
        <v>MATCHED</v>
      </c>
    </row>
    <row r="3750" spans="1:11">
      <c r="A3750" t="s">
        <v>118</v>
      </c>
      <c r="B3750" t="s">
        <v>1626</v>
      </c>
      <c r="C3750" t="s">
        <v>660</v>
      </c>
      <c r="D3750" t="s">
        <v>661</v>
      </c>
      <c r="E3750" s="8">
        <v>260</v>
      </c>
      <c r="F3750" s="8">
        <v>43360</v>
      </c>
      <c r="G3750" s="8">
        <f t="shared" si="232"/>
        <v>11273600</v>
      </c>
      <c r="H3750" s="5">
        <v>0.2639</v>
      </c>
      <c r="I3750" s="8">
        <f t="shared" si="233"/>
        <v>11273600</v>
      </c>
      <c r="J3750" s="8">
        <f t="shared" si="234"/>
        <v>2975103.04</v>
      </c>
      <c r="K3750" t="str">
        <f t="shared" si="235"/>
        <v>MATCHED</v>
      </c>
    </row>
    <row r="3751" spans="1:11">
      <c r="A3751" t="s">
        <v>118</v>
      </c>
      <c r="B3751" t="s">
        <v>1626</v>
      </c>
      <c r="C3751" t="s">
        <v>662</v>
      </c>
      <c r="D3751" t="s">
        <v>663</v>
      </c>
      <c r="E3751" s="8">
        <v>2730</v>
      </c>
      <c r="F3751" s="8">
        <v>49840</v>
      </c>
      <c r="G3751" s="8">
        <f t="shared" si="232"/>
        <v>136063200</v>
      </c>
      <c r="H3751" s="5"/>
      <c r="I3751" s="8" t="str">
        <f t="shared" si="233"/>
        <v/>
      </c>
      <c r="J3751" s="8" t="str">
        <f t="shared" si="234"/>
        <v/>
      </c>
      <c r="K3751" t="str">
        <f t="shared" si="235"/>
        <v>MISSING WHARTON</v>
      </c>
    </row>
    <row r="3752" spans="1:11">
      <c r="A3752" t="s">
        <v>118</v>
      </c>
      <c r="B3752" t="s">
        <v>1626</v>
      </c>
      <c r="C3752" t="s">
        <v>664</v>
      </c>
      <c r="D3752" t="s">
        <v>665</v>
      </c>
      <c r="E3752" s="8">
        <v>4400</v>
      </c>
      <c r="F3752" s="8">
        <v>87350</v>
      </c>
      <c r="G3752" s="8">
        <f t="shared" si="232"/>
        <v>384340000</v>
      </c>
      <c r="H3752" s="5">
        <v>0.265</v>
      </c>
      <c r="I3752" s="8">
        <f t="shared" si="233"/>
        <v>384340000</v>
      </c>
      <c r="J3752" s="8">
        <f t="shared" si="234"/>
        <v>101850100</v>
      </c>
      <c r="K3752" t="str">
        <f t="shared" si="235"/>
        <v>MATCHED</v>
      </c>
    </row>
    <row r="3753" spans="1:11">
      <c r="A3753" t="s">
        <v>118</v>
      </c>
      <c r="B3753" t="s">
        <v>1626</v>
      </c>
      <c r="C3753" t="s">
        <v>427</v>
      </c>
      <c r="D3753" t="s">
        <v>428</v>
      </c>
      <c r="E3753" s="8">
        <v>4640</v>
      </c>
      <c r="F3753" s="8">
        <v>64430</v>
      </c>
      <c r="G3753" s="8">
        <f t="shared" si="232"/>
        <v>298955200</v>
      </c>
      <c r="H3753" s="5">
        <v>0.081</v>
      </c>
      <c r="I3753" s="8">
        <f t="shared" si="233"/>
        <v>298955200</v>
      </c>
      <c r="J3753" s="8">
        <f t="shared" si="234"/>
        <v>24215371.2</v>
      </c>
      <c r="K3753" t="str">
        <f t="shared" si="235"/>
        <v>MATCHED</v>
      </c>
    </row>
    <row r="3754" spans="1:11">
      <c r="A3754" t="s">
        <v>118</v>
      </c>
      <c r="B3754" t="s">
        <v>1626</v>
      </c>
      <c r="C3754" t="s">
        <v>1028</v>
      </c>
      <c r="D3754" t="s">
        <v>1029</v>
      </c>
      <c r="E3754" s="8"/>
      <c r="F3754" s="8">
        <v>75660</v>
      </c>
      <c r="G3754" s="8" t="str">
        <f t="shared" si="232"/>
        <v/>
      </c>
      <c r="H3754" s="5">
        <v>0</v>
      </c>
      <c r="I3754" s="8" t="str">
        <f t="shared" si="233"/>
        <v/>
      </c>
      <c r="J3754" s="8" t="str">
        <f t="shared" si="234"/>
        <v/>
      </c>
      <c r="K3754" t="str">
        <f t="shared" si="235"/>
        <v>MISSING OEWS</v>
      </c>
    </row>
    <row r="3755" spans="1:11">
      <c r="A3755" t="s">
        <v>118</v>
      </c>
      <c r="B3755" t="s">
        <v>1626</v>
      </c>
      <c r="C3755" t="s">
        <v>668</v>
      </c>
      <c r="D3755" t="s">
        <v>669</v>
      </c>
      <c r="E3755" s="8">
        <v>30</v>
      </c>
      <c r="F3755" s="8">
        <v>56670</v>
      </c>
      <c r="G3755" s="8">
        <f t="shared" si="232"/>
        <v>1700100</v>
      </c>
      <c r="H3755" s="5">
        <v>0</v>
      </c>
      <c r="I3755" s="8">
        <f t="shared" si="233"/>
        <v>1700100</v>
      </c>
      <c r="J3755" s="8">
        <f t="shared" si="234"/>
        <v>0</v>
      </c>
      <c r="K3755" t="str">
        <f t="shared" si="235"/>
        <v>MATCHED</v>
      </c>
    </row>
    <row r="3756" spans="1:11">
      <c r="A3756" t="s">
        <v>118</v>
      </c>
      <c r="B3756" t="s">
        <v>1626</v>
      </c>
      <c r="C3756" t="s">
        <v>670</v>
      </c>
      <c r="D3756" t="s">
        <v>671</v>
      </c>
      <c r="E3756" s="8">
        <v>6960</v>
      </c>
      <c r="F3756" s="8">
        <v>54280</v>
      </c>
      <c r="G3756" s="8">
        <f t="shared" si="232"/>
        <v>377788800</v>
      </c>
      <c r="H3756" s="5">
        <v>0.0297</v>
      </c>
      <c r="I3756" s="8">
        <f t="shared" si="233"/>
        <v>377788800</v>
      </c>
      <c r="J3756" s="8">
        <f t="shared" si="234"/>
        <v>11220327.36</v>
      </c>
      <c r="K3756" t="str">
        <f t="shared" si="235"/>
        <v>MATCHED</v>
      </c>
    </row>
    <row r="3757" spans="1:11">
      <c r="A3757" t="s">
        <v>118</v>
      </c>
      <c r="B3757" t="s">
        <v>1626</v>
      </c>
      <c r="C3757" t="s">
        <v>429</v>
      </c>
      <c r="D3757" t="s">
        <v>430</v>
      </c>
      <c r="E3757" s="8">
        <v>2120</v>
      </c>
      <c r="F3757" s="8">
        <v>65600</v>
      </c>
      <c r="G3757" s="8">
        <f t="shared" si="232"/>
        <v>139072000</v>
      </c>
      <c r="H3757" s="5">
        <v>0.0589</v>
      </c>
      <c r="I3757" s="8">
        <f t="shared" si="233"/>
        <v>139072000</v>
      </c>
      <c r="J3757" s="8">
        <f t="shared" si="234"/>
        <v>8191340.8</v>
      </c>
      <c r="K3757" t="str">
        <f t="shared" si="235"/>
        <v>MATCHED</v>
      </c>
    </row>
    <row r="3758" spans="1:11">
      <c r="A3758" t="s">
        <v>118</v>
      </c>
      <c r="B3758" t="s">
        <v>1626</v>
      </c>
      <c r="C3758" t="s">
        <v>431</v>
      </c>
      <c r="D3758" t="s">
        <v>432</v>
      </c>
      <c r="E3758" s="8">
        <v>1200</v>
      </c>
      <c r="F3758" s="8">
        <v>74840</v>
      </c>
      <c r="G3758" s="8">
        <f t="shared" si="232"/>
        <v>89808000</v>
      </c>
      <c r="H3758" s="5">
        <v>0.0786</v>
      </c>
      <c r="I3758" s="8">
        <f t="shared" si="233"/>
        <v>89808000</v>
      </c>
      <c r="J3758" s="8">
        <f t="shared" si="234"/>
        <v>7058908.8</v>
      </c>
      <c r="K3758" t="str">
        <f t="shared" si="235"/>
        <v>MATCHED</v>
      </c>
    </row>
    <row r="3759" spans="1:11">
      <c r="A3759" t="s">
        <v>118</v>
      </c>
      <c r="B3759" t="s">
        <v>1626</v>
      </c>
      <c r="C3759" t="s">
        <v>674</v>
      </c>
      <c r="D3759" t="s">
        <v>675</v>
      </c>
      <c r="E3759" s="8"/>
      <c r="F3759" s="8">
        <v>72140</v>
      </c>
      <c r="G3759" s="8" t="str">
        <f t="shared" si="232"/>
        <v/>
      </c>
      <c r="H3759" s="5">
        <v>0</v>
      </c>
      <c r="I3759" s="8" t="str">
        <f t="shared" si="233"/>
        <v/>
      </c>
      <c r="J3759" s="8" t="str">
        <f t="shared" si="234"/>
        <v/>
      </c>
      <c r="K3759" t="str">
        <f t="shared" si="235"/>
        <v>MISSING OEWS</v>
      </c>
    </row>
    <row r="3760" spans="1:11">
      <c r="A3760" t="s">
        <v>118</v>
      </c>
      <c r="B3760" t="s">
        <v>1626</v>
      </c>
      <c r="C3760" t="s">
        <v>678</v>
      </c>
      <c r="D3760" t="s">
        <v>679</v>
      </c>
      <c r="E3760" s="8">
        <v>5830</v>
      </c>
      <c r="F3760" s="8">
        <v>49740</v>
      </c>
      <c r="G3760" s="8">
        <f t="shared" si="232"/>
        <v>289984200</v>
      </c>
      <c r="H3760" s="5">
        <v>0.0368</v>
      </c>
      <c r="I3760" s="8">
        <f t="shared" si="233"/>
        <v>289984200</v>
      </c>
      <c r="J3760" s="8">
        <f t="shared" si="234"/>
        <v>10671418.56</v>
      </c>
      <c r="K3760" t="str">
        <f t="shared" si="235"/>
        <v>MATCHED</v>
      </c>
    </row>
    <row r="3761" spans="1:11">
      <c r="A3761" t="s">
        <v>118</v>
      </c>
      <c r="B3761" t="s">
        <v>1626</v>
      </c>
      <c r="C3761" t="s">
        <v>682</v>
      </c>
      <c r="D3761" t="s">
        <v>683</v>
      </c>
      <c r="E3761" s="8">
        <v>880</v>
      </c>
      <c r="F3761" s="8">
        <v>70910</v>
      </c>
      <c r="G3761" s="8">
        <f t="shared" si="232"/>
        <v>62400800</v>
      </c>
      <c r="H3761" s="5">
        <v>0.04</v>
      </c>
      <c r="I3761" s="8">
        <f t="shared" si="233"/>
        <v>62400800</v>
      </c>
      <c r="J3761" s="8">
        <f t="shared" si="234"/>
        <v>2496032</v>
      </c>
      <c r="K3761" t="str">
        <f t="shared" si="235"/>
        <v>MATCHED</v>
      </c>
    </row>
    <row r="3762" spans="1:11">
      <c r="A3762" t="s">
        <v>118</v>
      </c>
      <c r="B3762" t="s">
        <v>1626</v>
      </c>
      <c r="C3762" t="s">
        <v>1050</v>
      </c>
      <c r="D3762" t="s">
        <v>1051</v>
      </c>
      <c r="E3762" s="8"/>
      <c r="F3762" s="8">
        <v>53720</v>
      </c>
      <c r="G3762" s="8" t="str">
        <f t="shared" si="232"/>
        <v/>
      </c>
      <c r="H3762" s="5">
        <v>0</v>
      </c>
      <c r="I3762" s="8" t="str">
        <f t="shared" si="233"/>
        <v/>
      </c>
      <c r="J3762" s="8" t="str">
        <f t="shared" si="234"/>
        <v/>
      </c>
      <c r="K3762" t="str">
        <f t="shared" si="235"/>
        <v>MISSING OEWS</v>
      </c>
    </row>
    <row r="3763" spans="1:11">
      <c r="A3763" t="s">
        <v>118</v>
      </c>
      <c r="B3763" t="s">
        <v>1626</v>
      </c>
      <c r="C3763" t="s">
        <v>686</v>
      </c>
      <c r="D3763" t="s">
        <v>687</v>
      </c>
      <c r="E3763" s="8">
        <v>180</v>
      </c>
      <c r="F3763" s="8">
        <v>63530</v>
      </c>
      <c r="G3763" s="8">
        <f t="shared" si="232"/>
        <v>11435400</v>
      </c>
      <c r="H3763" s="5">
        <v>0</v>
      </c>
      <c r="I3763" s="8">
        <f t="shared" si="233"/>
        <v>11435400</v>
      </c>
      <c r="J3763" s="8">
        <f t="shared" si="234"/>
        <v>0</v>
      </c>
      <c r="K3763" t="str">
        <f t="shared" si="235"/>
        <v>MATCHED</v>
      </c>
    </row>
    <row r="3764" spans="1:11">
      <c r="A3764" t="s">
        <v>118</v>
      </c>
      <c r="B3764" t="s">
        <v>1626</v>
      </c>
      <c r="C3764" t="s">
        <v>1054</v>
      </c>
      <c r="D3764" t="s">
        <v>1055</v>
      </c>
      <c r="E3764" s="8">
        <v>280</v>
      </c>
      <c r="F3764" s="8">
        <v>43470</v>
      </c>
      <c r="G3764" s="8">
        <f t="shared" si="232"/>
        <v>12171600</v>
      </c>
      <c r="H3764" s="5">
        <v>0</v>
      </c>
      <c r="I3764" s="8">
        <f t="shared" si="233"/>
        <v>12171600</v>
      </c>
      <c r="J3764" s="8">
        <f t="shared" si="234"/>
        <v>0</v>
      </c>
      <c r="K3764" t="str">
        <f t="shared" si="235"/>
        <v>MATCHED</v>
      </c>
    </row>
    <row r="3765" spans="1:11">
      <c r="A3765" t="s">
        <v>118</v>
      </c>
      <c r="B3765" t="s">
        <v>1626</v>
      </c>
      <c r="C3765" t="s">
        <v>1056</v>
      </c>
      <c r="D3765" t="s">
        <v>1057</v>
      </c>
      <c r="E3765" s="8"/>
      <c r="F3765" s="8">
        <v>34520</v>
      </c>
      <c r="G3765" s="8" t="str">
        <f t="shared" si="232"/>
        <v/>
      </c>
      <c r="H3765" s="5">
        <v>0</v>
      </c>
      <c r="I3765" s="8" t="str">
        <f t="shared" si="233"/>
        <v/>
      </c>
      <c r="J3765" s="8" t="str">
        <f t="shared" si="234"/>
        <v/>
      </c>
      <c r="K3765" t="str">
        <f t="shared" si="235"/>
        <v>MISSING OEWS</v>
      </c>
    </row>
    <row r="3766" spans="1:11">
      <c r="A3766" t="s">
        <v>118</v>
      </c>
      <c r="B3766" t="s">
        <v>1626</v>
      </c>
      <c r="C3766" t="s">
        <v>692</v>
      </c>
      <c r="D3766" t="s">
        <v>693</v>
      </c>
      <c r="E3766" s="8"/>
      <c r="F3766" s="8">
        <v>35250</v>
      </c>
      <c r="G3766" s="8" t="str">
        <f t="shared" si="232"/>
        <v/>
      </c>
      <c r="H3766" s="5"/>
      <c r="I3766" s="8" t="str">
        <f t="shared" si="233"/>
        <v/>
      </c>
      <c r="J3766" s="8" t="str">
        <f t="shared" si="234"/>
        <v/>
      </c>
      <c r="K3766" t="str">
        <f t="shared" si="235"/>
        <v>MISSING OEWS</v>
      </c>
    </row>
    <row r="3767" spans="1:11">
      <c r="A3767" t="s">
        <v>118</v>
      </c>
      <c r="B3767" t="s">
        <v>1626</v>
      </c>
      <c r="C3767" t="s">
        <v>694</v>
      </c>
      <c r="D3767" t="s">
        <v>695</v>
      </c>
      <c r="E3767" s="8">
        <v>2330</v>
      </c>
      <c r="F3767" s="8">
        <v>53250</v>
      </c>
      <c r="G3767" s="8">
        <f t="shared" si="232"/>
        <v>124072500</v>
      </c>
      <c r="H3767" s="5">
        <v>0.3737</v>
      </c>
      <c r="I3767" s="8">
        <f t="shared" si="233"/>
        <v>124072500</v>
      </c>
      <c r="J3767" s="8">
        <f t="shared" si="234"/>
        <v>46365893.25</v>
      </c>
      <c r="K3767" t="str">
        <f t="shared" si="235"/>
        <v>MATCHED</v>
      </c>
    </row>
    <row r="3768" spans="1:11">
      <c r="A3768" t="s">
        <v>118</v>
      </c>
      <c r="B3768" t="s">
        <v>1626</v>
      </c>
      <c r="C3768" t="s">
        <v>696</v>
      </c>
      <c r="D3768" t="s">
        <v>697</v>
      </c>
      <c r="E3768" s="8">
        <v>410</v>
      </c>
      <c r="F3768" s="8">
        <v>52330</v>
      </c>
      <c r="G3768" s="8">
        <f t="shared" si="232"/>
        <v>21455300</v>
      </c>
      <c r="H3768" s="5">
        <v>0</v>
      </c>
      <c r="I3768" s="8">
        <f t="shared" si="233"/>
        <v>21455300</v>
      </c>
      <c r="J3768" s="8">
        <f t="shared" si="234"/>
        <v>0</v>
      </c>
      <c r="K3768" t="str">
        <f t="shared" si="235"/>
        <v>MATCHED</v>
      </c>
    </row>
    <row r="3769" spans="1:11">
      <c r="A3769" t="s">
        <v>118</v>
      </c>
      <c r="B3769" t="s">
        <v>1626</v>
      </c>
      <c r="C3769" t="s">
        <v>1062</v>
      </c>
      <c r="D3769" t="s">
        <v>1063</v>
      </c>
      <c r="E3769" s="8">
        <v>280</v>
      </c>
      <c r="F3769" s="8">
        <v>43200</v>
      </c>
      <c r="G3769" s="8">
        <f t="shared" si="232"/>
        <v>12096000</v>
      </c>
      <c r="H3769" s="5">
        <v>0</v>
      </c>
      <c r="I3769" s="8">
        <f t="shared" si="233"/>
        <v>12096000</v>
      </c>
      <c r="J3769" s="8">
        <f t="shared" si="234"/>
        <v>0</v>
      </c>
      <c r="K3769" t="str">
        <f t="shared" si="235"/>
        <v>MATCHED</v>
      </c>
    </row>
    <row r="3770" spans="1:11">
      <c r="A3770" t="s">
        <v>118</v>
      </c>
      <c r="B3770" t="s">
        <v>1626</v>
      </c>
      <c r="C3770" t="s">
        <v>702</v>
      </c>
      <c r="D3770" t="s">
        <v>703</v>
      </c>
      <c r="E3770" s="8">
        <v>200</v>
      </c>
      <c r="F3770" s="8">
        <v>51810</v>
      </c>
      <c r="G3770" s="8">
        <f t="shared" si="232"/>
        <v>10362000</v>
      </c>
      <c r="H3770" s="5">
        <v>0.0825</v>
      </c>
      <c r="I3770" s="8">
        <f t="shared" si="233"/>
        <v>10362000</v>
      </c>
      <c r="J3770" s="8">
        <f t="shared" si="234"/>
        <v>854865</v>
      </c>
      <c r="K3770" t="str">
        <f t="shared" si="235"/>
        <v>MATCHED</v>
      </c>
    </row>
    <row r="3771" spans="1:11">
      <c r="A3771" t="s">
        <v>118</v>
      </c>
      <c r="B3771" t="s">
        <v>1626</v>
      </c>
      <c r="C3771" t="s">
        <v>708</v>
      </c>
      <c r="D3771" t="s">
        <v>709</v>
      </c>
      <c r="E3771" s="8">
        <v>760</v>
      </c>
      <c r="F3771" s="8">
        <v>64010</v>
      </c>
      <c r="G3771" s="8">
        <f t="shared" si="232"/>
        <v>48647600</v>
      </c>
      <c r="H3771" s="5">
        <v>0.05</v>
      </c>
      <c r="I3771" s="8">
        <f t="shared" si="233"/>
        <v>48647600</v>
      </c>
      <c r="J3771" s="8">
        <f t="shared" si="234"/>
        <v>2432380</v>
      </c>
      <c r="K3771" t="str">
        <f t="shared" si="235"/>
        <v>MATCHED</v>
      </c>
    </row>
    <row r="3772" spans="1:11">
      <c r="A3772" t="s">
        <v>118</v>
      </c>
      <c r="B3772" t="s">
        <v>1626</v>
      </c>
      <c r="C3772" t="s">
        <v>726</v>
      </c>
      <c r="D3772" t="s">
        <v>727</v>
      </c>
      <c r="E3772" s="8">
        <v>620</v>
      </c>
      <c r="F3772" s="8">
        <v>46580</v>
      </c>
      <c r="G3772" s="8">
        <f t="shared" si="232"/>
        <v>28879600</v>
      </c>
      <c r="H3772" s="5">
        <v>0</v>
      </c>
      <c r="I3772" s="8">
        <f t="shared" si="233"/>
        <v>28879600</v>
      </c>
      <c r="J3772" s="8">
        <f t="shared" si="234"/>
        <v>0</v>
      </c>
      <c r="K3772" t="str">
        <f t="shared" si="235"/>
        <v>MATCHED</v>
      </c>
    </row>
    <row r="3773" spans="1:11">
      <c r="A3773" t="s">
        <v>118</v>
      </c>
      <c r="B3773" t="s">
        <v>1626</v>
      </c>
      <c r="C3773" t="s">
        <v>730</v>
      </c>
      <c r="D3773" t="s">
        <v>731</v>
      </c>
      <c r="E3773" s="8"/>
      <c r="F3773" s="8">
        <v>63300</v>
      </c>
      <c r="G3773" s="8" t="str">
        <f t="shared" si="232"/>
        <v/>
      </c>
      <c r="H3773" s="5"/>
      <c r="I3773" s="8" t="str">
        <f t="shared" si="233"/>
        <v/>
      </c>
      <c r="J3773" s="8" t="str">
        <f t="shared" si="234"/>
        <v/>
      </c>
      <c r="K3773" t="str">
        <f t="shared" si="235"/>
        <v>MISSING OEWS</v>
      </c>
    </row>
    <row r="3774" spans="1:11">
      <c r="A3774" t="s">
        <v>118</v>
      </c>
      <c r="B3774" t="s">
        <v>1626</v>
      </c>
      <c r="C3774" t="s">
        <v>433</v>
      </c>
      <c r="D3774" t="s">
        <v>434</v>
      </c>
      <c r="E3774" s="8">
        <v>58520</v>
      </c>
      <c r="F3774" s="8">
        <v>73170</v>
      </c>
      <c r="G3774" s="8">
        <f t="shared" si="232"/>
        <v>4281908400</v>
      </c>
      <c r="H3774" s="5">
        <v>0.3523</v>
      </c>
      <c r="I3774" s="8">
        <f t="shared" si="233"/>
        <v>4281908400</v>
      </c>
      <c r="J3774" s="8">
        <f t="shared" si="234"/>
        <v>1508516329.32</v>
      </c>
      <c r="K3774" t="str">
        <f t="shared" si="235"/>
        <v>MATCHED</v>
      </c>
    </row>
    <row r="3775" spans="1:11">
      <c r="A3775" t="s">
        <v>118</v>
      </c>
      <c r="B3775" t="s">
        <v>1626</v>
      </c>
      <c r="C3775" t="s">
        <v>1064</v>
      </c>
      <c r="D3775" t="s">
        <v>1065</v>
      </c>
      <c r="E3775" s="8">
        <v>1010</v>
      </c>
      <c r="F3775" s="8">
        <v>55890</v>
      </c>
      <c r="G3775" s="8">
        <f t="shared" si="232"/>
        <v>56448900</v>
      </c>
      <c r="H3775" s="5">
        <v>0.284</v>
      </c>
      <c r="I3775" s="8">
        <f t="shared" si="233"/>
        <v>56448900</v>
      </c>
      <c r="J3775" s="8">
        <f t="shared" si="234"/>
        <v>16031487.6</v>
      </c>
      <c r="K3775" t="str">
        <f t="shared" si="235"/>
        <v>MATCHED</v>
      </c>
    </row>
    <row r="3776" spans="1:11">
      <c r="A3776" t="s">
        <v>118</v>
      </c>
      <c r="B3776" t="s">
        <v>1626</v>
      </c>
      <c r="C3776" t="s">
        <v>900</v>
      </c>
      <c r="D3776" t="s">
        <v>901</v>
      </c>
      <c r="E3776" s="8">
        <v>150</v>
      </c>
      <c r="F3776" s="8">
        <v>66050</v>
      </c>
      <c r="G3776" s="8">
        <f t="shared" si="232"/>
        <v>9907500</v>
      </c>
      <c r="H3776" s="5">
        <v>0.195</v>
      </c>
      <c r="I3776" s="8">
        <f t="shared" si="233"/>
        <v>9907500</v>
      </c>
      <c r="J3776" s="8">
        <f t="shared" si="234"/>
        <v>1931962.5</v>
      </c>
      <c r="K3776" t="str">
        <f t="shared" si="235"/>
        <v>MATCHED</v>
      </c>
    </row>
    <row r="3777" spans="1:11">
      <c r="A3777" t="s">
        <v>118</v>
      </c>
      <c r="B3777" t="s">
        <v>1626</v>
      </c>
      <c r="C3777" t="s">
        <v>732</v>
      </c>
      <c r="D3777" t="s">
        <v>733</v>
      </c>
      <c r="E3777" s="8">
        <v>240</v>
      </c>
      <c r="F3777" s="8">
        <v>60290</v>
      </c>
      <c r="G3777" s="8">
        <f t="shared" si="232"/>
        <v>14469600</v>
      </c>
      <c r="H3777" s="5">
        <v>0.0667</v>
      </c>
      <c r="I3777" s="8">
        <f t="shared" si="233"/>
        <v>14469600</v>
      </c>
      <c r="J3777" s="8">
        <f t="shared" si="234"/>
        <v>965122.32</v>
      </c>
      <c r="K3777" t="str">
        <f t="shared" si="235"/>
        <v>MATCHED</v>
      </c>
    </row>
    <row r="3778" spans="1:11">
      <c r="A3778" t="s">
        <v>118</v>
      </c>
      <c r="B3778" t="s">
        <v>1626</v>
      </c>
      <c r="C3778" t="s">
        <v>734</v>
      </c>
      <c r="D3778" t="s">
        <v>735</v>
      </c>
      <c r="E3778" s="8">
        <v>690</v>
      </c>
      <c r="F3778" s="8">
        <v>64330</v>
      </c>
      <c r="G3778" s="8">
        <f t="shared" ref="G3778:G3841" si="236">IF(OR(E3778="",F3778=""),"",E3778*F3778)</f>
        <v>44387700</v>
      </c>
      <c r="H3778" s="5">
        <v>0.19</v>
      </c>
      <c r="I3778" s="8">
        <f t="shared" ref="I3778:I3841" si="237">IF(G3778="","",IF(ISNUMBER(H3778),G3778,""))</f>
        <v>44387700</v>
      </c>
      <c r="J3778" s="8">
        <f t="shared" ref="J3778:J3841" si="238">IF(I3778="","",I3778*H3778)</f>
        <v>8433663</v>
      </c>
      <c r="K3778" t="str">
        <f t="shared" ref="K3778:K3841" si="239">IF(G3778="","MISSING OEWS",IF(ISNUMBER(H3778),"MATCHED","MISSING WHARTON"))</f>
        <v>MATCHED</v>
      </c>
    </row>
    <row r="3779" spans="1:11">
      <c r="A3779" t="s">
        <v>118</v>
      </c>
      <c r="B3779" t="s">
        <v>1626</v>
      </c>
      <c r="C3779" t="s">
        <v>1066</v>
      </c>
      <c r="D3779" t="s">
        <v>1067</v>
      </c>
      <c r="E3779" s="8">
        <v>1540</v>
      </c>
      <c r="F3779" s="8">
        <v>54790</v>
      </c>
      <c r="G3779" s="8">
        <f t="shared" si="236"/>
        <v>84376600</v>
      </c>
      <c r="H3779" s="5">
        <v>0.2591</v>
      </c>
      <c r="I3779" s="8">
        <f t="shared" si="237"/>
        <v>84376600</v>
      </c>
      <c r="J3779" s="8">
        <f t="shared" si="238"/>
        <v>21861977.06</v>
      </c>
      <c r="K3779" t="str">
        <f t="shared" si="239"/>
        <v>MATCHED</v>
      </c>
    </row>
    <row r="3780" spans="1:11">
      <c r="A3780" t="s">
        <v>118</v>
      </c>
      <c r="B3780" t="s">
        <v>1626</v>
      </c>
      <c r="C3780" t="s">
        <v>1068</v>
      </c>
      <c r="D3780" t="s">
        <v>1069</v>
      </c>
      <c r="E3780" s="8">
        <v>80</v>
      </c>
      <c r="F3780" s="8">
        <v>59950</v>
      </c>
      <c r="G3780" s="8">
        <f t="shared" si="236"/>
        <v>4796000</v>
      </c>
      <c r="H3780" s="5">
        <v>0.2219</v>
      </c>
      <c r="I3780" s="8">
        <f t="shared" si="237"/>
        <v>4796000</v>
      </c>
      <c r="J3780" s="8">
        <f t="shared" si="238"/>
        <v>1064232.4</v>
      </c>
      <c r="K3780" t="str">
        <f t="shared" si="239"/>
        <v>MATCHED</v>
      </c>
    </row>
    <row r="3781" spans="1:11">
      <c r="A3781" t="s">
        <v>118</v>
      </c>
      <c r="B3781" t="s">
        <v>1626</v>
      </c>
      <c r="C3781" t="s">
        <v>435</v>
      </c>
      <c r="D3781" t="s">
        <v>436</v>
      </c>
      <c r="E3781" s="8">
        <v>300</v>
      </c>
      <c r="F3781" s="8">
        <v>68260</v>
      </c>
      <c r="G3781" s="8">
        <f t="shared" si="236"/>
        <v>20478000</v>
      </c>
      <c r="H3781" s="5">
        <v>0.0434</v>
      </c>
      <c r="I3781" s="8">
        <f t="shared" si="237"/>
        <v>20478000</v>
      </c>
      <c r="J3781" s="8">
        <f t="shared" si="238"/>
        <v>888745.2</v>
      </c>
      <c r="K3781" t="str">
        <f t="shared" si="239"/>
        <v>MATCHED</v>
      </c>
    </row>
    <row r="3782" spans="1:11">
      <c r="A3782" t="s">
        <v>118</v>
      </c>
      <c r="B3782" t="s">
        <v>1626</v>
      </c>
      <c r="C3782" t="s">
        <v>1070</v>
      </c>
      <c r="D3782" t="s">
        <v>1071</v>
      </c>
      <c r="E3782" s="8">
        <v>900</v>
      </c>
      <c r="F3782" s="8">
        <v>50560</v>
      </c>
      <c r="G3782" s="8">
        <f t="shared" si="236"/>
        <v>45504000</v>
      </c>
      <c r="H3782" s="5">
        <v>0.028</v>
      </c>
      <c r="I3782" s="8">
        <f t="shared" si="237"/>
        <v>45504000</v>
      </c>
      <c r="J3782" s="8">
        <f t="shared" si="238"/>
        <v>1274112</v>
      </c>
      <c r="K3782" t="str">
        <f t="shared" si="239"/>
        <v>MATCHED</v>
      </c>
    </row>
    <row r="3783" spans="1:11">
      <c r="A3783" t="s">
        <v>118</v>
      </c>
      <c r="B3783" t="s">
        <v>1626</v>
      </c>
      <c r="C3783" t="s">
        <v>736</v>
      </c>
      <c r="D3783" t="s">
        <v>737</v>
      </c>
      <c r="E3783" s="8">
        <v>6810</v>
      </c>
      <c r="F3783" s="8">
        <v>56150</v>
      </c>
      <c r="G3783" s="8">
        <f t="shared" si="236"/>
        <v>382381500</v>
      </c>
      <c r="H3783" s="5">
        <v>0.0233</v>
      </c>
      <c r="I3783" s="8">
        <f t="shared" si="237"/>
        <v>382381500</v>
      </c>
      <c r="J3783" s="8">
        <f t="shared" si="238"/>
        <v>8909488.95</v>
      </c>
      <c r="K3783" t="str">
        <f t="shared" si="239"/>
        <v>MATCHED</v>
      </c>
    </row>
    <row r="3784" spans="1:11">
      <c r="A3784" t="s">
        <v>118</v>
      </c>
      <c r="B3784" t="s">
        <v>1626</v>
      </c>
      <c r="C3784" t="s">
        <v>437</v>
      </c>
      <c r="D3784" t="s">
        <v>438</v>
      </c>
      <c r="E3784" s="8">
        <v>19030</v>
      </c>
      <c r="F3784" s="8">
        <v>61270</v>
      </c>
      <c r="G3784" s="8">
        <f t="shared" si="236"/>
        <v>1165968100</v>
      </c>
      <c r="H3784" s="5">
        <v>0</v>
      </c>
      <c r="I3784" s="8">
        <f t="shared" si="237"/>
        <v>1165968100</v>
      </c>
      <c r="J3784" s="8">
        <f t="shared" si="238"/>
        <v>0</v>
      </c>
      <c r="K3784" t="str">
        <f t="shared" si="239"/>
        <v>MATCHED</v>
      </c>
    </row>
    <row r="3785" spans="1:11">
      <c r="A3785" t="s">
        <v>118</v>
      </c>
      <c r="B3785" t="s">
        <v>1626</v>
      </c>
      <c r="C3785" t="s">
        <v>441</v>
      </c>
      <c r="D3785" t="s">
        <v>442</v>
      </c>
      <c r="E3785" s="8">
        <v>20750</v>
      </c>
      <c r="F3785" s="8">
        <v>63870</v>
      </c>
      <c r="G3785" s="8">
        <f t="shared" si="236"/>
        <v>1325302500</v>
      </c>
      <c r="H3785" s="5">
        <v>0.1425</v>
      </c>
      <c r="I3785" s="8">
        <f t="shared" si="237"/>
        <v>1325302500</v>
      </c>
      <c r="J3785" s="8">
        <f t="shared" si="238"/>
        <v>188855606.25</v>
      </c>
      <c r="K3785" t="str">
        <f t="shared" si="239"/>
        <v>MATCHED</v>
      </c>
    </row>
    <row r="3786" spans="1:11">
      <c r="A3786" t="s">
        <v>118</v>
      </c>
      <c r="B3786" t="s">
        <v>1626</v>
      </c>
      <c r="C3786" t="s">
        <v>1074</v>
      </c>
      <c r="D3786" t="s">
        <v>1075</v>
      </c>
      <c r="E3786" s="8">
        <v>280</v>
      </c>
      <c r="F3786" s="8">
        <v>59660</v>
      </c>
      <c r="G3786" s="8">
        <f t="shared" si="236"/>
        <v>16704800</v>
      </c>
      <c r="H3786" s="5">
        <v>0.0731</v>
      </c>
      <c r="I3786" s="8">
        <f t="shared" si="237"/>
        <v>16704800</v>
      </c>
      <c r="J3786" s="8">
        <f t="shared" si="238"/>
        <v>1221120.88</v>
      </c>
      <c r="K3786" t="str">
        <f t="shared" si="239"/>
        <v>MATCHED</v>
      </c>
    </row>
    <row r="3787" spans="1:11">
      <c r="A3787" t="s">
        <v>118</v>
      </c>
      <c r="B3787" t="s">
        <v>1626</v>
      </c>
      <c r="C3787" t="s">
        <v>1302</v>
      </c>
      <c r="D3787" t="s">
        <v>1303</v>
      </c>
      <c r="E3787" s="8">
        <v>70</v>
      </c>
      <c r="F3787" s="8">
        <v>42220</v>
      </c>
      <c r="G3787" s="8">
        <f t="shared" si="236"/>
        <v>2955400</v>
      </c>
      <c r="H3787" s="5">
        <v>0</v>
      </c>
      <c r="I3787" s="8">
        <f t="shared" si="237"/>
        <v>2955400</v>
      </c>
      <c r="J3787" s="8">
        <f t="shared" si="238"/>
        <v>0</v>
      </c>
      <c r="K3787" t="str">
        <f t="shared" si="239"/>
        <v>MATCHED</v>
      </c>
    </row>
    <row r="3788" spans="1:11">
      <c r="A3788" t="s">
        <v>118</v>
      </c>
      <c r="B3788" t="s">
        <v>1626</v>
      </c>
      <c r="C3788" t="s">
        <v>1076</v>
      </c>
      <c r="D3788" t="s">
        <v>1077</v>
      </c>
      <c r="E3788" s="8">
        <v>1480</v>
      </c>
      <c r="F3788" s="8">
        <v>52890</v>
      </c>
      <c r="G3788" s="8">
        <f t="shared" si="236"/>
        <v>78277200</v>
      </c>
      <c r="H3788" s="5">
        <v>0.1179</v>
      </c>
      <c r="I3788" s="8">
        <f t="shared" si="237"/>
        <v>78277200</v>
      </c>
      <c r="J3788" s="8">
        <f t="shared" si="238"/>
        <v>9228881.88</v>
      </c>
      <c r="K3788" t="str">
        <f t="shared" si="239"/>
        <v>MATCHED</v>
      </c>
    </row>
    <row r="3789" spans="1:11">
      <c r="A3789" t="s">
        <v>118</v>
      </c>
      <c r="B3789" t="s">
        <v>1626</v>
      </c>
      <c r="C3789" t="s">
        <v>1304</v>
      </c>
      <c r="D3789" t="s">
        <v>1305</v>
      </c>
      <c r="E3789" s="8">
        <v>910</v>
      </c>
      <c r="F3789" s="8">
        <v>51220</v>
      </c>
      <c r="G3789" s="8">
        <f t="shared" si="236"/>
        <v>46610200</v>
      </c>
      <c r="H3789" s="5">
        <v>0.0594</v>
      </c>
      <c r="I3789" s="8">
        <f t="shared" si="237"/>
        <v>46610200</v>
      </c>
      <c r="J3789" s="8">
        <f t="shared" si="238"/>
        <v>2768645.88</v>
      </c>
      <c r="K3789" t="str">
        <f t="shared" si="239"/>
        <v>MATCHED</v>
      </c>
    </row>
    <row r="3790" spans="1:11">
      <c r="A3790" t="s">
        <v>118</v>
      </c>
      <c r="B3790" t="s">
        <v>1626</v>
      </c>
      <c r="C3790" t="s">
        <v>1306</v>
      </c>
      <c r="D3790" t="s">
        <v>1307</v>
      </c>
      <c r="E3790" s="8">
        <v>1760</v>
      </c>
      <c r="F3790" s="8">
        <v>52160</v>
      </c>
      <c r="G3790" s="8">
        <f t="shared" si="236"/>
        <v>91801600</v>
      </c>
      <c r="H3790" s="5">
        <v>0</v>
      </c>
      <c r="I3790" s="8">
        <f t="shared" si="237"/>
        <v>91801600</v>
      </c>
      <c r="J3790" s="8">
        <f t="shared" si="238"/>
        <v>0</v>
      </c>
      <c r="K3790" t="str">
        <f t="shared" si="239"/>
        <v>MATCHED</v>
      </c>
    </row>
    <row r="3791" spans="1:11">
      <c r="A3791" t="s">
        <v>118</v>
      </c>
      <c r="B3791" t="s">
        <v>1626</v>
      </c>
      <c r="C3791" t="s">
        <v>738</v>
      </c>
      <c r="D3791" t="s">
        <v>739</v>
      </c>
      <c r="E3791" s="8">
        <v>700</v>
      </c>
      <c r="F3791" s="8">
        <v>43650</v>
      </c>
      <c r="G3791" s="8">
        <f t="shared" si="236"/>
        <v>30555000</v>
      </c>
      <c r="H3791" s="5">
        <v>0</v>
      </c>
      <c r="I3791" s="8">
        <f t="shared" si="237"/>
        <v>30555000</v>
      </c>
      <c r="J3791" s="8">
        <f t="shared" si="238"/>
        <v>0</v>
      </c>
      <c r="K3791" t="str">
        <f t="shared" si="239"/>
        <v>MATCHED</v>
      </c>
    </row>
    <row r="3792" spans="1:11">
      <c r="A3792" t="s">
        <v>118</v>
      </c>
      <c r="B3792" t="s">
        <v>1626</v>
      </c>
      <c r="C3792" t="s">
        <v>740</v>
      </c>
      <c r="D3792" t="s">
        <v>741</v>
      </c>
      <c r="E3792" s="8"/>
      <c r="F3792" s="8">
        <v>52280</v>
      </c>
      <c r="G3792" s="8" t="str">
        <f t="shared" si="236"/>
        <v/>
      </c>
      <c r="H3792" s="5">
        <v>0.0731</v>
      </c>
      <c r="I3792" s="8" t="str">
        <f t="shared" si="237"/>
        <v/>
      </c>
      <c r="J3792" s="8" t="str">
        <f t="shared" si="238"/>
        <v/>
      </c>
      <c r="K3792" t="str">
        <f t="shared" si="239"/>
        <v>MISSING OEWS</v>
      </c>
    </row>
    <row r="3793" spans="1:11">
      <c r="A3793" t="s">
        <v>118</v>
      </c>
      <c r="B3793" t="s">
        <v>1626</v>
      </c>
      <c r="C3793" t="s">
        <v>443</v>
      </c>
      <c r="D3793" t="s">
        <v>444</v>
      </c>
      <c r="E3793" s="8">
        <v>3640</v>
      </c>
      <c r="F3793" s="8">
        <v>70200</v>
      </c>
      <c r="G3793" s="8">
        <f t="shared" si="236"/>
        <v>255528000</v>
      </c>
      <c r="H3793" s="5">
        <v>0.0867</v>
      </c>
      <c r="I3793" s="8">
        <f t="shared" si="237"/>
        <v>255528000</v>
      </c>
      <c r="J3793" s="8">
        <f t="shared" si="238"/>
        <v>22154277.6</v>
      </c>
      <c r="K3793" t="str">
        <f t="shared" si="239"/>
        <v>MATCHED</v>
      </c>
    </row>
    <row r="3794" spans="1:11">
      <c r="A3794" t="s">
        <v>118</v>
      </c>
      <c r="B3794" t="s">
        <v>1626</v>
      </c>
      <c r="C3794" t="s">
        <v>906</v>
      </c>
      <c r="D3794" t="s">
        <v>907</v>
      </c>
      <c r="E3794" s="8">
        <v>230</v>
      </c>
      <c r="F3794" s="8">
        <v>45170</v>
      </c>
      <c r="G3794" s="8">
        <f t="shared" si="236"/>
        <v>10389100</v>
      </c>
      <c r="H3794" s="5">
        <v>0.1226</v>
      </c>
      <c r="I3794" s="8">
        <f t="shared" si="237"/>
        <v>10389100</v>
      </c>
      <c r="J3794" s="8">
        <f t="shared" si="238"/>
        <v>1273703.66</v>
      </c>
      <c r="K3794" t="str">
        <f t="shared" si="239"/>
        <v>MATCHED</v>
      </c>
    </row>
    <row r="3795" spans="1:11">
      <c r="A3795" t="s">
        <v>118</v>
      </c>
      <c r="B3795" t="s">
        <v>1626</v>
      </c>
      <c r="C3795" t="s">
        <v>445</v>
      </c>
      <c r="D3795" t="s">
        <v>446</v>
      </c>
      <c r="E3795" s="8">
        <v>5810</v>
      </c>
      <c r="F3795" s="8">
        <v>61070</v>
      </c>
      <c r="G3795" s="8">
        <f t="shared" si="236"/>
        <v>354816700</v>
      </c>
      <c r="H3795" s="5">
        <v>0.25</v>
      </c>
      <c r="I3795" s="8">
        <f t="shared" si="237"/>
        <v>354816700</v>
      </c>
      <c r="J3795" s="8">
        <f t="shared" si="238"/>
        <v>88704175</v>
      </c>
      <c r="K3795" t="str">
        <f t="shared" si="239"/>
        <v>MATCHED</v>
      </c>
    </row>
    <row r="3796" spans="1:11">
      <c r="A3796" t="s">
        <v>118</v>
      </c>
      <c r="B3796" t="s">
        <v>1626</v>
      </c>
      <c r="C3796" t="s">
        <v>447</v>
      </c>
      <c r="D3796" t="s">
        <v>448</v>
      </c>
      <c r="E3796" s="8">
        <v>720</v>
      </c>
      <c r="F3796" s="8">
        <v>62870</v>
      </c>
      <c r="G3796" s="8">
        <f t="shared" si="236"/>
        <v>45266400</v>
      </c>
      <c r="H3796" s="5">
        <v>0.0528</v>
      </c>
      <c r="I3796" s="8">
        <f t="shared" si="237"/>
        <v>45266400</v>
      </c>
      <c r="J3796" s="8">
        <f t="shared" si="238"/>
        <v>2390065.92</v>
      </c>
      <c r="K3796" t="str">
        <f t="shared" si="239"/>
        <v>MATCHED</v>
      </c>
    </row>
    <row r="3797" spans="1:11">
      <c r="A3797" t="s">
        <v>118</v>
      </c>
      <c r="B3797" t="s">
        <v>1626</v>
      </c>
      <c r="C3797" t="s">
        <v>1308</v>
      </c>
      <c r="D3797" t="s">
        <v>1309</v>
      </c>
      <c r="E3797" s="8"/>
      <c r="F3797" s="8">
        <v>43690</v>
      </c>
      <c r="G3797" s="8" t="str">
        <f t="shared" si="236"/>
        <v/>
      </c>
      <c r="H3797" s="5">
        <v>0.1733</v>
      </c>
      <c r="I3797" s="8" t="str">
        <f t="shared" si="237"/>
        <v/>
      </c>
      <c r="J3797" s="8" t="str">
        <f t="shared" si="238"/>
        <v/>
      </c>
      <c r="K3797" t="str">
        <f t="shared" si="239"/>
        <v>MISSING OEWS</v>
      </c>
    </row>
    <row r="3798" spans="1:11">
      <c r="A3798" t="s">
        <v>118</v>
      </c>
      <c r="B3798" t="s">
        <v>1626</v>
      </c>
      <c r="C3798" t="s">
        <v>1310</v>
      </c>
      <c r="D3798" t="s">
        <v>1311</v>
      </c>
      <c r="E3798" s="8">
        <v>7340</v>
      </c>
      <c r="F3798" s="8">
        <v>49670</v>
      </c>
      <c r="G3798" s="8">
        <f t="shared" si="236"/>
        <v>364577800</v>
      </c>
      <c r="H3798" s="5">
        <v>0.2368</v>
      </c>
      <c r="I3798" s="8">
        <f t="shared" si="237"/>
        <v>364577800</v>
      </c>
      <c r="J3798" s="8">
        <f t="shared" si="238"/>
        <v>86332023.04</v>
      </c>
      <c r="K3798" t="str">
        <f t="shared" si="239"/>
        <v>MATCHED</v>
      </c>
    </row>
    <row r="3799" spans="1:11">
      <c r="A3799" t="s">
        <v>118</v>
      </c>
      <c r="B3799" t="s">
        <v>1626</v>
      </c>
      <c r="C3799" t="s">
        <v>746</v>
      </c>
      <c r="D3799" t="s">
        <v>747</v>
      </c>
      <c r="E3799" s="8">
        <v>80</v>
      </c>
      <c r="F3799" s="8">
        <v>64550</v>
      </c>
      <c r="G3799" s="8">
        <f t="shared" si="236"/>
        <v>5164000</v>
      </c>
      <c r="H3799" s="5"/>
      <c r="I3799" s="8" t="str">
        <f t="shared" si="237"/>
        <v/>
      </c>
      <c r="J3799" s="8" t="str">
        <f t="shared" si="238"/>
        <v/>
      </c>
      <c r="K3799" t="str">
        <f t="shared" si="239"/>
        <v>MISSING WHARTON</v>
      </c>
    </row>
    <row r="3800" spans="1:11">
      <c r="A3800" t="s">
        <v>118</v>
      </c>
      <c r="B3800" t="s">
        <v>1626</v>
      </c>
      <c r="C3800" t="s">
        <v>449</v>
      </c>
      <c r="D3800" t="s">
        <v>450</v>
      </c>
      <c r="E3800" s="8">
        <v>323560</v>
      </c>
      <c r="F3800" s="8">
        <v>51340</v>
      </c>
      <c r="G3800" s="8">
        <f t="shared" si="236"/>
        <v>16611570400</v>
      </c>
      <c r="H3800" s="5">
        <v>0.0867</v>
      </c>
      <c r="I3800" s="8">
        <f t="shared" si="237"/>
        <v>16611570400</v>
      </c>
      <c r="J3800" s="8">
        <f t="shared" si="238"/>
        <v>1440223153.68</v>
      </c>
      <c r="K3800" t="str">
        <f t="shared" si="239"/>
        <v>MATCHED</v>
      </c>
    </row>
    <row r="3801" spans="1:11">
      <c r="A3801" t="s">
        <v>118</v>
      </c>
      <c r="B3801" t="s">
        <v>1626</v>
      </c>
      <c r="C3801" t="s">
        <v>1082</v>
      </c>
      <c r="D3801" t="s">
        <v>1083</v>
      </c>
      <c r="E3801" s="8">
        <v>430</v>
      </c>
      <c r="F3801" s="8">
        <v>49810</v>
      </c>
      <c r="G3801" s="8">
        <f t="shared" si="236"/>
        <v>21418300</v>
      </c>
      <c r="H3801" s="5">
        <v>0.2868</v>
      </c>
      <c r="I3801" s="8">
        <f t="shared" si="237"/>
        <v>21418300</v>
      </c>
      <c r="J3801" s="8">
        <f t="shared" si="238"/>
        <v>6142768.44</v>
      </c>
      <c r="K3801" t="str">
        <f t="shared" si="239"/>
        <v>MATCHED</v>
      </c>
    </row>
    <row r="3802" spans="1:11">
      <c r="A3802" t="s">
        <v>118</v>
      </c>
      <c r="B3802" t="s">
        <v>1626</v>
      </c>
      <c r="C3802" t="s">
        <v>748</v>
      </c>
      <c r="D3802" t="s">
        <v>749</v>
      </c>
      <c r="E3802" s="8">
        <v>880</v>
      </c>
      <c r="F3802" s="8">
        <v>65130</v>
      </c>
      <c r="G3802" s="8">
        <f t="shared" si="236"/>
        <v>57314400</v>
      </c>
      <c r="H3802" s="5">
        <v>0</v>
      </c>
      <c r="I3802" s="8">
        <f t="shared" si="237"/>
        <v>57314400</v>
      </c>
      <c r="J3802" s="8">
        <f t="shared" si="238"/>
        <v>0</v>
      </c>
      <c r="K3802" t="str">
        <f t="shared" si="239"/>
        <v>MATCHED</v>
      </c>
    </row>
    <row r="3803" spans="1:11">
      <c r="A3803" t="s">
        <v>118</v>
      </c>
      <c r="B3803" t="s">
        <v>1626</v>
      </c>
      <c r="C3803" t="s">
        <v>451</v>
      </c>
      <c r="D3803" t="s">
        <v>452</v>
      </c>
      <c r="E3803" s="8">
        <v>3020</v>
      </c>
      <c r="F3803" s="8">
        <v>39480</v>
      </c>
      <c r="G3803" s="8">
        <f t="shared" si="236"/>
        <v>119229600</v>
      </c>
      <c r="H3803" s="5">
        <v>0.0594</v>
      </c>
      <c r="I3803" s="8">
        <f t="shared" si="237"/>
        <v>119229600</v>
      </c>
      <c r="J3803" s="8">
        <f t="shared" si="238"/>
        <v>7082238.24</v>
      </c>
      <c r="K3803" t="str">
        <f t="shared" si="239"/>
        <v>MATCHED</v>
      </c>
    </row>
    <row r="3804" spans="1:11">
      <c r="A3804" t="s">
        <v>118</v>
      </c>
      <c r="B3804" t="s">
        <v>1626</v>
      </c>
      <c r="C3804" t="s">
        <v>453</v>
      </c>
      <c r="D3804" t="s">
        <v>454</v>
      </c>
      <c r="E3804" s="8">
        <v>5660</v>
      </c>
      <c r="F3804" s="8">
        <v>50620</v>
      </c>
      <c r="G3804" s="8">
        <f t="shared" si="236"/>
        <v>286509200</v>
      </c>
      <c r="H3804" s="5">
        <v>0.1667</v>
      </c>
      <c r="I3804" s="8">
        <f t="shared" si="237"/>
        <v>286509200</v>
      </c>
      <c r="J3804" s="8">
        <f t="shared" si="238"/>
        <v>47761083.64</v>
      </c>
      <c r="K3804" t="str">
        <f t="shared" si="239"/>
        <v>MATCHED</v>
      </c>
    </row>
    <row r="3805" spans="1:11">
      <c r="A3805" t="s">
        <v>118</v>
      </c>
      <c r="B3805" t="s">
        <v>1626</v>
      </c>
      <c r="C3805" t="s">
        <v>455</v>
      </c>
      <c r="D3805" t="s">
        <v>456</v>
      </c>
      <c r="E3805" s="8">
        <v>1050</v>
      </c>
      <c r="F3805" s="8">
        <v>83270</v>
      </c>
      <c r="G3805" s="8">
        <f t="shared" si="236"/>
        <v>87433500</v>
      </c>
      <c r="H3805" s="5">
        <v>0.3775</v>
      </c>
      <c r="I3805" s="8">
        <f t="shared" si="237"/>
        <v>87433500</v>
      </c>
      <c r="J3805" s="8">
        <f t="shared" si="238"/>
        <v>33006146.25</v>
      </c>
      <c r="K3805" t="str">
        <f t="shared" si="239"/>
        <v>MATCHED</v>
      </c>
    </row>
    <row r="3806" spans="1:11">
      <c r="A3806" t="s">
        <v>118</v>
      </c>
      <c r="B3806" t="s">
        <v>1626</v>
      </c>
      <c r="C3806" t="s">
        <v>1092</v>
      </c>
      <c r="D3806" t="s">
        <v>1093</v>
      </c>
      <c r="E3806" s="8">
        <v>50</v>
      </c>
      <c r="F3806" s="8">
        <v>49420</v>
      </c>
      <c r="G3806" s="8">
        <f t="shared" si="236"/>
        <v>2471000</v>
      </c>
      <c r="H3806" s="5">
        <v>0</v>
      </c>
      <c r="I3806" s="8">
        <f t="shared" si="237"/>
        <v>2471000</v>
      </c>
      <c r="J3806" s="8">
        <f t="shared" si="238"/>
        <v>0</v>
      </c>
      <c r="K3806" t="str">
        <f t="shared" si="239"/>
        <v>MATCHED</v>
      </c>
    </row>
    <row r="3807" spans="1:11">
      <c r="A3807" t="s">
        <v>118</v>
      </c>
      <c r="B3807" t="s">
        <v>1626</v>
      </c>
      <c r="C3807" t="s">
        <v>457</v>
      </c>
      <c r="D3807" t="s">
        <v>458</v>
      </c>
      <c r="E3807" s="8">
        <v>1120</v>
      </c>
      <c r="F3807" s="8">
        <v>44100</v>
      </c>
      <c r="G3807" s="8">
        <f t="shared" si="236"/>
        <v>49392000</v>
      </c>
      <c r="H3807" s="5">
        <v>0.15</v>
      </c>
      <c r="I3807" s="8">
        <f t="shared" si="237"/>
        <v>49392000</v>
      </c>
      <c r="J3807" s="8">
        <f t="shared" si="238"/>
        <v>7408800</v>
      </c>
      <c r="K3807" t="str">
        <f t="shared" si="239"/>
        <v>MATCHED</v>
      </c>
    </row>
    <row r="3808" spans="1:11">
      <c r="A3808" t="s">
        <v>118</v>
      </c>
      <c r="B3808" t="s">
        <v>1626</v>
      </c>
      <c r="C3808" t="s">
        <v>1322</v>
      </c>
      <c r="D3808" t="s">
        <v>1323</v>
      </c>
      <c r="E3808" s="8">
        <v>80</v>
      </c>
      <c r="F3808" s="8">
        <v>48370</v>
      </c>
      <c r="G3808" s="8">
        <f t="shared" si="236"/>
        <v>3869600</v>
      </c>
      <c r="H3808" s="5">
        <v>0.1444</v>
      </c>
      <c r="I3808" s="8">
        <f t="shared" si="237"/>
        <v>3869600</v>
      </c>
      <c r="J3808" s="8">
        <f t="shared" si="238"/>
        <v>558770.24</v>
      </c>
      <c r="K3808" t="str">
        <f t="shared" si="239"/>
        <v>MATCHED</v>
      </c>
    </row>
    <row r="3809" spans="1:11">
      <c r="A3809" t="s">
        <v>118</v>
      </c>
      <c r="B3809" t="s">
        <v>1626</v>
      </c>
      <c r="C3809" t="s">
        <v>756</v>
      </c>
      <c r="D3809" t="s">
        <v>757</v>
      </c>
      <c r="E3809" s="8">
        <v>390</v>
      </c>
      <c r="F3809" s="8">
        <v>61200</v>
      </c>
      <c r="G3809" s="8">
        <f t="shared" si="236"/>
        <v>23868000</v>
      </c>
      <c r="H3809" s="5">
        <v>0.0897</v>
      </c>
      <c r="I3809" s="8">
        <f t="shared" si="237"/>
        <v>23868000</v>
      </c>
      <c r="J3809" s="8">
        <f t="shared" si="238"/>
        <v>2140959.6</v>
      </c>
      <c r="K3809" t="str">
        <f t="shared" si="239"/>
        <v>MATCHED</v>
      </c>
    </row>
    <row r="3810" spans="1:11">
      <c r="A3810" t="s">
        <v>118</v>
      </c>
      <c r="B3810" t="s">
        <v>1626</v>
      </c>
      <c r="C3810" t="s">
        <v>465</v>
      </c>
      <c r="D3810" t="s">
        <v>466</v>
      </c>
      <c r="E3810" s="8">
        <v>1580</v>
      </c>
      <c r="F3810" s="8">
        <v>58590</v>
      </c>
      <c r="G3810" s="8">
        <f t="shared" si="236"/>
        <v>92572200</v>
      </c>
      <c r="H3810" s="5">
        <v>0.0233</v>
      </c>
      <c r="I3810" s="8">
        <f t="shared" si="237"/>
        <v>92572200</v>
      </c>
      <c r="J3810" s="8">
        <f t="shared" si="238"/>
        <v>2156932.26</v>
      </c>
      <c r="K3810" t="str">
        <f t="shared" si="239"/>
        <v>MATCHED</v>
      </c>
    </row>
    <row r="3811" spans="1:11">
      <c r="A3811" t="s">
        <v>118</v>
      </c>
      <c r="B3811" t="s">
        <v>1626</v>
      </c>
      <c r="C3811" t="s">
        <v>762</v>
      </c>
      <c r="D3811" t="s">
        <v>763</v>
      </c>
      <c r="E3811" s="8"/>
      <c r="F3811" s="8">
        <v>81920</v>
      </c>
      <c r="G3811" s="8" t="str">
        <f t="shared" si="236"/>
        <v/>
      </c>
      <c r="H3811" s="5">
        <v>0.0983</v>
      </c>
      <c r="I3811" s="8" t="str">
        <f t="shared" si="237"/>
        <v/>
      </c>
      <c r="J3811" s="8" t="str">
        <f t="shared" si="238"/>
        <v/>
      </c>
      <c r="K3811" t="str">
        <f t="shared" si="239"/>
        <v>MISSING OEWS</v>
      </c>
    </row>
    <row r="3812" spans="1:11">
      <c r="A3812" t="s">
        <v>118</v>
      </c>
      <c r="B3812" t="s">
        <v>1626</v>
      </c>
      <c r="C3812" t="s">
        <v>1116</v>
      </c>
      <c r="D3812" t="s">
        <v>1117</v>
      </c>
      <c r="E3812" s="8">
        <v>3220</v>
      </c>
      <c r="F3812" s="8">
        <v>36720</v>
      </c>
      <c r="G3812" s="8">
        <f t="shared" si="236"/>
        <v>118238400</v>
      </c>
      <c r="H3812" s="5">
        <v>0</v>
      </c>
      <c r="I3812" s="8">
        <f t="shared" si="237"/>
        <v>118238400</v>
      </c>
      <c r="J3812" s="8">
        <f t="shared" si="238"/>
        <v>0</v>
      </c>
      <c r="K3812" t="str">
        <f t="shared" si="239"/>
        <v>MATCHED</v>
      </c>
    </row>
    <row r="3813" spans="1:11">
      <c r="A3813" t="s">
        <v>118</v>
      </c>
      <c r="B3813" t="s">
        <v>1626</v>
      </c>
      <c r="C3813" t="s">
        <v>1348</v>
      </c>
      <c r="D3813" t="s">
        <v>1349</v>
      </c>
      <c r="E3813" s="8">
        <v>190</v>
      </c>
      <c r="F3813" s="8">
        <v>36400</v>
      </c>
      <c r="G3813" s="8">
        <f t="shared" si="236"/>
        <v>6916000</v>
      </c>
      <c r="H3813" s="5">
        <v>0</v>
      </c>
      <c r="I3813" s="8">
        <f t="shared" si="237"/>
        <v>6916000</v>
      </c>
      <c r="J3813" s="8">
        <f t="shared" si="238"/>
        <v>0</v>
      </c>
      <c r="K3813" t="str">
        <f t="shared" si="239"/>
        <v>MATCHED</v>
      </c>
    </row>
    <row r="3814" spans="1:11">
      <c r="A3814" t="s">
        <v>118</v>
      </c>
      <c r="B3814" t="s">
        <v>1626</v>
      </c>
      <c r="C3814" t="s">
        <v>1118</v>
      </c>
      <c r="D3814" t="s">
        <v>1119</v>
      </c>
      <c r="E3814" s="8">
        <v>260</v>
      </c>
      <c r="F3814" s="8">
        <v>44660</v>
      </c>
      <c r="G3814" s="8">
        <f t="shared" si="236"/>
        <v>11611600</v>
      </c>
      <c r="H3814" s="5">
        <v>0.0365</v>
      </c>
      <c r="I3814" s="8">
        <f t="shared" si="237"/>
        <v>11611600</v>
      </c>
      <c r="J3814" s="8">
        <f t="shared" si="238"/>
        <v>423823.4</v>
      </c>
      <c r="K3814" t="str">
        <f t="shared" si="239"/>
        <v>MATCHED</v>
      </c>
    </row>
    <row r="3815" spans="1:11">
      <c r="A3815" t="s">
        <v>118</v>
      </c>
      <c r="B3815" t="s">
        <v>1626</v>
      </c>
      <c r="C3815" t="s">
        <v>1356</v>
      </c>
      <c r="D3815" t="s">
        <v>1357</v>
      </c>
      <c r="E3815" s="8">
        <v>170</v>
      </c>
      <c r="F3815" s="8">
        <v>41280</v>
      </c>
      <c r="G3815" s="8">
        <f t="shared" si="236"/>
        <v>7017600</v>
      </c>
      <c r="H3815" s="5">
        <v>0.0432</v>
      </c>
      <c r="I3815" s="8">
        <f t="shared" si="237"/>
        <v>7017600</v>
      </c>
      <c r="J3815" s="8">
        <f t="shared" si="238"/>
        <v>303160.32</v>
      </c>
      <c r="K3815" t="str">
        <f t="shared" si="239"/>
        <v>MATCHED</v>
      </c>
    </row>
    <row r="3816" spans="1:11">
      <c r="A3816" t="s">
        <v>118</v>
      </c>
      <c r="B3816" t="s">
        <v>1626</v>
      </c>
      <c r="C3816" t="s">
        <v>1120</v>
      </c>
      <c r="D3816" t="s">
        <v>1121</v>
      </c>
      <c r="E3816" s="8"/>
      <c r="F3816" s="8">
        <v>47650</v>
      </c>
      <c r="G3816" s="8" t="str">
        <f t="shared" si="236"/>
        <v/>
      </c>
      <c r="H3816" s="5">
        <v>0.0432</v>
      </c>
      <c r="I3816" s="8" t="str">
        <f t="shared" si="237"/>
        <v/>
      </c>
      <c r="J3816" s="8" t="str">
        <f t="shared" si="238"/>
        <v/>
      </c>
      <c r="K3816" t="str">
        <f t="shared" si="239"/>
        <v>MISSING OEWS</v>
      </c>
    </row>
    <row r="3817" spans="1:11">
      <c r="A3817" t="s">
        <v>118</v>
      </c>
      <c r="B3817" t="s">
        <v>1626</v>
      </c>
      <c r="C3817" t="s">
        <v>1124</v>
      </c>
      <c r="D3817" t="s">
        <v>1125</v>
      </c>
      <c r="E3817" s="8"/>
      <c r="F3817" s="8">
        <v>47130</v>
      </c>
      <c r="G3817" s="8" t="str">
        <f t="shared" si="236"/>
        <v/>
      </c>
      <c r="H3817" s="5">
        <v>0</v>
      </c>
      <c r="I3817" s="8" t="str">
        <f t="shared" si="237"/>
        <v/>
      </c>
      <c r="J3817" s="8" t="str">
        <f t="shared" si="238"/>
        <v/>
      </c>
      <c r="K3817" t="str">
        <f t="shared" si="239"/>
        <v>MISSING OEWS</v>
      </c>
    </row>
    <row r="3818" spans="1:11">
      <c r="A3818" t="s">
        <v>118</v>
      </c>
      <c r="B3818" t="s">
        <v>1626</v>
      </c>
      <c r="C3818" t="s">
        <v>768</v>
      </c>
      <c r="D3818" t="s">
        <v>769</v>
      </c>
      <c r="E3818" s="8">
        <v>800</v>
      </c>
      <c r="F3818" s="8">
        <v>85170</v>
      </c>
      <c r="G3818" s="8">
        <f t="shared" si="236"/>
        <v>68136000</v>
      </c>
      <c r="H3818" s="5">
        <v>0.104</v>
      </c>
      <c r="I3818" s="8">
        <f t="shared" si="237"/>
        <v>68136000</v>
      </c>
      <c r="J3818" s="8">
        <f t="shared" si="238"/>
        <v>7086144</v>
      </c>
      <c r="K3818" t="str">
        <f t="shared" si="239"/>
        <v>MATCHED</v>
      </c>
    </row>
    <row r="3819" spans="1:11">
      <c r="A3819" t="s">
        <v>118</v>
      </c>
      <c r="B3819" t="s">
        <v>1626</v>
      </c>
      <c r="C3819" t="s">
        <v>770</v>
      </c>
      <c r="D3819" t="s">
        <v>771</v>
      </c>
      <c r="E3819" s="8">
        <v>170</v>
      </c>
      <c r="F3819" s="8">
        <v>59740</v>
      </c>
      <c r="G3819" s="8">
        <f t="shared" si="236"/>
        <v>10155800</v>
      </c>
      <c r="H3819" s="5">
        <v>0.1188</v>
      </c>
      <c r="I3819" s="8">
        <f t="shared" si="237"/>
        <v>10155800</v>
      </c>
      <c r="J3819" s="8">
        <f t="shared" si="238"/>
        <v>1206509.04</v>
      </c>
      <c r="K3819" t="str">
        <f t="shared" si="239"/>
        <v>MATCHED</v>
      </c>
    </row>
    <row r="3820" spans="1:11">
      <c r="A3820" t="s">
        <v>118</v>
      </c>
      <c r="B3820" t="s">
        <v>1626</v>
      </c>
      <c r="C3820" t="s">
        <v>481</v>
      </c>
      <c r="D3820" t="s">
        <v>482</v>
      </c>
      <c r="E3820" s="8">
        <v>1710</v>
      </c>
      <c r="F3820" s="8">
        <v>55080</v>
      </c>
      <c r="G3820" s="8">
        <f t="shared" si="236"/>
        <v>94186800</v>
      </c>
      <c r="H3820" s="5">
        <v>0.2969</v>
      </c>
      <c r="I3820" s="8">
        <f t="shared" si="237"/>
        <v>94186800</v>
      </c>
      <c r="J3820" s="8">
        <f t="shared" si="238"/>
        <v>27964060.92</v>
      </c>
      <c r="K3820" t="str">
        <f t="shared" si="239"/>
        <v>MATCHED</v>
      </c>
    </row>
    <row r="3821" spans="1:11">
      <c r="A3821" t="s">
        <v>118</v>
      </c>
      <c r="B3821" t="s">
        <v>1626</v>
      </c>
      <c r="C3821" t="s">
        <v>483</v>
      </c>
      <c r="D3821" t="s">
        <v>484</v>
      </c>
      <c r="E3821" s="8"/>
      <c r="F3821" s="8">
        <v>57750</v>
      </c>
      <c r="G3821" s="8" t="str">
        <f t="shared" si="236"/>
        <v/>
      </c>
      <c r="H3821" s="5">
        <v>0.0475</v>
      </c>
      <c r="I3821" s="8" t="str">
        <f t="shared" si="237"/>
        <v/>
      </c>
      <c r="J3821" s="8" t="str">
        <f t="shared" si="238"/>
        <v/>
      </c>
      <c r="K3821" t="str">
        <f t="shared" si="239"/>
        <v>MISSING OEWS</v>
      </c>
    </row>
    <row r="3822" spans="1:11">
      <c r="A3822" t="s">
        <v>118</v>
      </c>
      <c r="B3822" t="s">
        <v>1626</v>
      </c>
      <c r="C3822" t="s">
        <v>782</v>
      </c>
      <c r="D3822" t="s">
        <v>783</v>
      </c>
      <c r="E3822" s="8"/>
      <c r="F3822" s="8">
        <v>49070</v>
      </c>
      <c r="G3822" s="8" t="str">
        <f t="shared" si="236"/>
        <v/>
      </c>
      <c r="H3822" s="5">
        <v>0.0317</v>
      </c>
      <c r="I3822" s="8" t="str">
        <f t="shared" si="237"/>
        <v/>
      </c>
      <c r="J3822" s="8" t="str">
        <f t="shared" si="238"/>
        <v/>
      </c>
      <c r="K3822" t="str">
        <f t="shared" si="239"/>
        <v>MISSING OEWS</v>
      </c>
    </row>
    <row r="3823" spans="1:11">
      <c r="A3823" t="s">
        <v>118</v>
      </c>
      <c r="B3823" t="s">
        <v>1626</v>
      </c>
      <c r="C3823" t="s">
        <v>1132</v>
      </c>
      <c r="D3823" t="s">
        <v>1133</v>
      </c>
      <c r="E3823" s="8">
        <v>40</v>
      </c>
      <c r="F3823" s="8">
        <v>36930</v>
      </c>
      <c r="G3823" s="8">
        <f t="shared" si="236"/>
        <v>1477200</v>
      </c>
      <c r="H3823" s="5">
        <v>0.5938</v>
      </c>
      <c r="I3823" s="8">
        <f t="shared" si="237"/>
        <v>1477200</v>
      </c>
      <c r="J3823" s="8">
        <f t="shared" si="238"/>
        <v>877161.36</v>
      </c>
      <c r="K3823" t="str">
        <f t="shared" si="239"/>
        <v>MATCHED</v>
      </c>
    </row>
    <row r="3824" spans="1:11">
      <c r="A3824" t="s">
        <v>118</v>
      </c>
      <c r="B3824" t="s">
        <v>1626</v>
      </c>
      <c r="C3824" t="s">
        <v>489</v>
      </c>
      <c r="D3824" t="s">
        <v>490</v>
      </c>
      <c r="E3824" s="8">
        <v>230</v>
      </c>
      <c r="F3824" s="8">
        <v>43350</v>
      </c>
      <c r="G3824" s="8">
        <f t="shared" si="236"/>
        <v>9970500</v>
      </c>
      <c r="H3824" s="5">
        <v>0.0838</v>
      </c>
      <c r="I3824" s="8">
        <f t="shared" si="237"/>
        <v>9970500</v>
      </c>
      <c r="J3824" s="8">
        <f t="shared" si="238"/>
        <v>835527.9</v>
      </c>
      <c r="K3824" t="str">
        <f t="shared" si="239"/>
        <v>MATCHED</v>
      </c>
    </row>
    <row r="3825" spans="1:11">
      <c r="A3825" t="s">
        <v>118</v>
      </c>
      <c r="B3825" t="s">
        <v>1626</v>
      </c>
      <c r="C3825" t="s">
        <v>491</v>
      </c>
      <c r="D3825" t="s">
        <v>492</v>
      </c>
      <c r="E3825" s="8">
        <v>680</v>
      </c>
      <c r="F3825" s="8">
        <v>46420</v>
      </c>
      <c r="G3825" s="8">
        <f t="shared" si="236"/>
        <v>31565600</v>
      </c>
      <c r="H3825" s="5"/>
      <c r="I3825" s="8" t="str">
        <f t="shared" si="237"/>
        <v/>
      </c>
      <c r="J3825" s="8" t="str">
        <f t="shared" si="238"/>
        <v/>
      </c>
      <c r="K3825" t="str">
        <f t="shared" si="239"/>
        <v>MISSING WHARTON</v>
      </c>
    </row>
    <row r="3826" spans="1:11">
      <c r="A3826" t="s">
        <v>118</v>
      </c>
      <c r="B3826" t="s">
        <v>1626</v>
      </c>
      <c r="C3826" t="s">
        <v>493</v>
      </c>
      <c r="D3826" t="s">
        <v>494</v>
      </c>
      <c r="E3826" s="8">
        <v>7340</v>
      </c>
      <c r="F3826" s="8">
        <v>63920</v>
      </c>
      <c r="G3826" s="8">
        <f t="shared" si="236"/>
        <v>469172800</v>
      </c>
      <c r="H3826" s="5">
        <v>0.3429</v>
      </c>
      <c r="I3826" s="8">
        <f t="shared" si="237"/>
        <v>469172800</v>
      </c>
      <c r="J3826" s="8">
        <f t="shared" si="238"/>
        <v>160879353.12</v>
      </c>
      <c r="K3826" t="str">
        <f t="shared" si="239"/>
        <v>MATCHED</v>
      </c>
    </row>
    <row r="3827" spans="1:11">
      <c r="A3827" t="s">
        <v>118</v>
      </c>
      <c r="B3827" t="s">
        <v>1626</v>
      </c>
      <c r="C3827" t="s">
        <v>495</v>
      </c>
      <c r="D3827" t="s">
        <v>496</v>
      </c>
      <c r="E3827" s="8">
        <v>340</v>
      </c>
      <c r="F3827" s="8">
        <v>169260</v>
      </c>
      <c r="G3827" s="8">
        <f t="shared" si="236"/>
        <v>57548400</v>
      </c>
      <c r="H3827" s="5">
        <v>0.3558</v>
      </c>
      <c r="I3827" s="8">
        <f t="shared" si="237"/>
        <v>57548400</v>
      </c>
      <c r="J3827" s="8">
        <f t="shared" si="238"/>
        <v>20475720.72</v>
      </c>
      <c r="K3827" t="str">
        <f t="shared" si="239"/>
        <v>MATCHED</v>
      </c>
    </row>
    <row r="3828" spans="1:11">
      <c r="A3828" t="s">
        <v>118</v>
      </c>
      <c r="B3828" t="s">
        <v>1626</v>
      </c>
      <c r="C3828" t="s">
        <v>497</v>
      </c>
      <c r="D3828" t="s">
        <v>498</v>
      </c>
      <c r="E3828" s="8">
        <v>3380</v>
      </c>
      <c r="F3828" s="8">
        <v>42230</v>
      </c>
      <c r="G3828" s="8">
        <f t="shared" si="236"/>
        <v>142737400</v>
      </c>
      <c r="H3828" s="5">
        <v>0.3167</v>
      </c>
      <c r="I3828" s="8">
        <f t="shared" si="237"/>
        <v>142737400</v>
      </c>
      <c r="J3828" s="8">
        <f t="shared" si="238"/>
        <v>45204934.58</v>
      </c>
      <c r="K3828" t="str">
        <f t="shared" si="239"/>
        <v>MATCHED</v>
      </c>
    </row>
    <row r="3829" spans="1:11">
      <c r="A3829" t="s">
        <v>118</v>
      </c>
      <c r="B3829" t="s">
        <v>1626</v>
      </c>
      <c r="C3829" t="s">
        <v>499</v>
      </c>
      <c r="D3829" t="s">
        <v>500</v>
      </c>
      <c r="E3829" s="8">
        <v>27200</v>
      </c>
      <c r="F3829" s="8">
        <v>56770</v>
      </c>
      <c r="G3829" s="8">
        <f t="shared" si="236"/>
        <v>1544144000</v>
      </c>
      <c r="H3829" s="5">
        <v>0.2065</v>
      </c>
      <c r="I3829" s="8">
        <f t="shared" si="237"/>
        <v>1544144000</v>
      </c>
      <c r="J3829" s="8">
        <f t="shared" si="238"/>
        <v>318865736</v>
      </c>
      <c r="K3829" t="str">
        <f t="shared" si="239"/>
        <v>MATCHED</v>
      </c>
    </row>
    <row r="3830" spans="1:11">
      <c r="A3830" t="s">
        <v>118</v>
      </c>
      <c r="B3830" t="s">
        <v>1626</v>
      </c>
      <c r="C3830" t="s">
        <v>501</v>
      </c>
      <c r="D3830" t="s">
        <v>502</v>
      </c>
      <c r="E3830" s="8">
        <v>25410</v>
      </c>
      <c r="F3830" s="8">
        <v>41900</v>
      </c>
      <c r="G3830" s="8">
        <f t="shared" si="236"/>
        <v>1064679000</v>
      </c>
      <c r="H3830" s="5">
        <v>0.3393</v>
      </c>
      <c r="I3830" s="8">
        <f t="shared" si="237"/>
        <v>1064679000</v>
      </c>
      <c r="J3830" s="8">
        <f t="shared" si="238"/>
        <v>361245584.7</v>
      </c>
      <c r="K3830" t="str">
        <f t="shared" si="239"/>
        <v>MATCHED</v>
      </c>
    </row>
    <row r="3831" spans="1:11">
      <c r="A3831" t="s">
        <v>118</v>
      </c>
      <c r="B3831" t="s">
        <v>1626</v>
      </c>
      <c r="C3831" t="s">
        <v>1457</v>
      </c>
      <c r="D3831" t="s">
        <v>1458</v>
      </c>
      <c r="E3831" s="8">
        <v>160</v>
      </c>
      <c r="F3831" s="8">
        <v>44010</v>
      </c>
      <c r="G3831" s="8">
        <f t="shared" si="236"/>
        <v>7041600</v>
      </c>
      <c r="H3831" s="5">
        <v>0.2567</v>
      </c>
      <c r="I3831" s="8">
        <f t="shared" si="237"/>
        <v>7041600</v>
      </c>
      <c r="J3831" s="8">
        <f t="shared" si="238"/>
        <v>1807578.72</v>
      </c>
      <c r="K3831" t="str">
        <f t="shared" si="239"/>
        <v>MATCHED</v>
      </c>
    </row>
    <row r="3832" spans="1:11">
      <c r="A3832" t="s">
        <v>118</v>
      </c>
      <c r="B3832" t="s">
        <v>1626</v>
      </c>
      <c r="C3832" t="s">
        <v>503</v>
      </c>
      <c r="D3832" t="s">
        <v>504</v>
      </c>
      <c r="E3832" s="8">
        <v>6260</v>
      </c>
      <c r="F3832" s="8">
        <v>37170</v>
      </c>
      <c r="G3832" s="8">
        <f t="shared" si="236"/>
        <v>232684200</v>
      </c>
      <c r="H3832" s="5">
        <v>0.3288</v>
      </c>
      <c r="I3832" s="8">
        <f t="shared" si="237"/>
        <v>232684200</v>
      </c>
      <c r="J3832" s="8">
        <f t="shared" si="238"/>
        <v>76506564.96</v>
      </c>
      <c r="K3832" t="str">
        <f t="shared" si="239"/>
        <v>MATCHED</v>
      </c>
    </row>
    <row r="3833" spans="1:11">
      <c r="A3833" t="s">
        <v>118</v>
      </c>
      <c r="B3833" t="s">
        <v>1626</v>
      </c>
      <c r="C3833" t="s">
        <v>1134</v>
      </c>
      <c r="D3833" t="s">
        <v>1135</v>
      </c>
      <c r="E3833" s="8">
        <v>6490</v>
      </c>
      <c r="F3833" s="8">
        <v>33160</v>
      </c>
      <c r="G3833" s="8">
        <f t="shared" si="236"/>
        <v>215208400</v>
      </c>
      <c r="H3833" s="5"/>
      <c r="I3833" s="8" t="str">
        <f t="shared" si="237"/>
        <v/>
      </c>
      <c r="J3833" s="8" t="str">
        <f t="shared" si="238"/>
        <v/>
      </c>
      <c r="K3833" t="str">
        <f t="shared" si="239"/>
        <v>MISSING WHARTON</v>
      </c>
    </row>
    <row r="3834" spans="1:11">
      <c r="A3834" t="s">
        <v>118</v>
      </c>
      <c r="B3834" t="s">
        <v>1626</v>
      </c>
      <c r="C3834" t="s">
        <v>796</v>
      </c>
      <c r="D3834" t="s">
        <v>797</v>
      </c>
      <c r="E3834" s="8">
        <v>390</v>
      </c>
      <c r="F3834" s="8">
        <v>47330</v>
      </c>
      <c r="G3834" s="8">
        <f t="shared" si="236"/>
        <v>18458700</v>
      </c>
      <c r="H3834" s="5">
        <v>0.1018</v>
      </c>
      <c r="I3834" s="8">
        <f t="shared" si="237"/>
        <v>18458700</v>
      </c>
      <c r="J3834" s="8">
        <f t="shared" si="238"/>
        <v>1879095.66</v>
      </c>
      <c r="K3834" t="str">
        <f t="shared" si="239"/>
        <v>MATCHED</v>
      </c>
    </row>
    <row r="3835" spans="1:11">
      <c r="A3835" t="s">
        <v>118</v>
      </c>
      <c r="B3835" t="s">
        <v>1626</v>
      </c>
      <c r="C3835" t="s">
        <v>798</v>
      </c>
      <c r="D3835" t="s">
        <v>799</v>
      </c>
      <c r="E3835" s="8">
        <v>500</v>
      </c>
      <c r="F3835" s="8">
        <v>91300</v>
      </c>
      <c r="G3835" s="8">
        <f t="shared" si="236"/>
        <v>45650000</v>
      </c>
      <c r="H3835" s="5">
        <v>0.095</v>
      </c>
      <c r="I3835" s="8">
        <f t="shared" si="237"/>
        <v>45650000</v>
      </c>
      <c r="J3835" s="8">
        <f t="shared" si="238"/>
        <v>4336750</v>
      </c>
      <c r="K3835" t="str">
        <f t="shared" si="239"/>
        <v>MATCHED</v>
      </c>
    </row>
    <row r="3836" spans="1:11">
      <c r="A3836" t="s">
        <v>118</v>
      </c>
      <c r="B3836" t="s">
        <v>1626</v>
      </c>
      <c r="C3836" t="s">
        <v>1408</v>
      </c>
      <c r="D3836" t="s">
        <v>1409</v>
      </c>
      <c r="E3836" s="8">
        <v>5330</v>
      </c>
      <c r="F3836" s="8">
        <v>33960</v>
      </c>
      <c r="G3836" s="8">
        <f t="shared" si="236"/>
        <v>181006800</v>
      </c>
      <c r="H3836" s="5">
        <v>0.1972</v>
      </c>
      <c r="I3836" s="8">
        <f t="shared" si="237"/>
        <v>181006800</v>
      </c>
      <c r="J3836" s="8">
        <f t="shared" si="238"/>
        <v>35694540.96</v>
      </c>
      <c r="K3836" t="str">
        <f t="shared" si="239"/>
        <v>MATCHED</v>
      </c>
    </row>
    <row r="3837" spans="1:11">
      <c r="A3837" t="s">
        <v>118</v>
      </c>
      <c r="B3837" t="s">
        <v>1626</v>
      </c>
      <c r="C3837" t="s">
        <v>1138</v>
      </c>
      <c r="D3837" t="s">
        <v>1139</v>
      </c>
      <c r="E3837" s="8">
        <v>1470</v>
      </c>
      <c r="F3837" s="8">
        <v>35040</v>
      </c>
      <c r="G3837" s="8">
        <f t="shared" si="236"/>
        <v>51508800</v>
      </c>
      <c r="H3837" s="5">
        <v>0.2533</v>
      </c>
      <c r="I3837" s="8">
        <f t="shared" si="237"/>
        <v>51508800</v>
      </c>
      <c r="J3837" s="8">
        <f t="shared" si="238"/>
        <v>13047179.04</v>
      </c>
      <c r="K3837" t="str">
        <f t="shared" si="239"/>
        <v>MATCHED</v>
      </c>
    </row>
    <row r="3838" spans="1:11">
      <c r="A3838" t="s">
        <v>118</v>
      </c>
      <c r="B3838" t="s">
        <v>1626</v>
      </c>
      <c r="C3838" t="s">
        <v>1140</v>
      </c>
      <c r="D3838" t="s">
        <v>1141</v>
      </c>
      <c r="E3838" s="8"/>
      <c r="F3838" s="8">
        <v>60840</v>
      </c>
      <c r="G3838" s="8" t="str">
        <f t="shared" si="236"/>
        <v/>
      </c>
      <c r="H3838" s="5">
        <v>0.3938</v>
      </c>
      <c r="I3838" s="8" t="str">
        <f t="shared" si="237"/>
        <v/>
      </c>
      <c r="J3838" s="8" t="str">
        <f t="shared" si="238"/>
        <v/>
      </c>
      <c r="K3838" t="str">
        <f t="shared" si="239"/>
        <v>MISSING OEWS</v>
      </c>
    </row>
    <row r="3839" spans="1:11">
      <c r="A3839" t="s">
        <v>118</v>
      </c>
      <c r="B3839" t="s">
        <v>1626</v>
      </c>
      <c r="C3839" t="s">
        <v>1142</v>
      </c>
      <c r="D3839" t="s">
        <v>1143</v>
      </c>
      <c r="E3839" s="8"/>
      <c r="F3839" s="8">
        <v>31920</v>
      </c>
      <c r="G3839" s="8" t="str">
        <f t="shared" si="236"/>
        <v/>
      </c>
      <c r="H3839" s="5"/>
      <c r="I3839" s="8" t="str">
        <f t="shared" si="237"/>
        <v/>
      </c>
      <c r="J3839" s="8" t="str">
        <f t="shared" si="238"/>
        <v/>
      </c>
      <c r="K3839" t="str">
        <f t="shared" si="239"/>
        <v>MISSING OEWS</v>
      </c>
    </row>
    <row r="3840" spans="1:11">
      <c r="A3840" t="s">
        <v>118</v>
      </c>
      <c r="B3840" t="s">
        <v>1626</v>
      </c>
      <c r="C3840" t="s">
        <v>804</v>
      </c>
      <c r="D3840" t="s">
        <v>805</v>
      </c>
      <c r="E3840" s="8">
        <v>1770</v>
      </c>
      <c r="F3840" s="8">
        <v>106040</v>
      </c>
      <c r="G3840" s="8">
        <f t="shared" si="236"/>
        <v>187690800</v>
      </c>
      <c r="H3840" s="5">
        <v>0.0864</v>
      </c>
      <c r="I3840" s="8">
        <f t="shared" si="237"/>
        <v>187690800</v>
      </c>
      <c r="J3840" s="8">
        <f t="shared" si="238"/>
        <v>16216485.12</v>
      </c>
      <c r="K3840" t="str">
        <f t="shared" si="239"/>
        <v>MATCHED</v>
      </c>
    </row>
    <row r="3841" spans="1:11">
      <c r="A3841" t="s">
        <v>118</v>
      </c>
      <c r="B3841" t="s">
        <v>1626</v>
      </c>
      <c r="C3841" t="s">
        <v>507</v>
      </c>
      <c r="D3841" t="s">
        <v>508</v>
      </c>
      <c r="E3841" s="8">
        <v>1110</v>
      </c>
      <c r="F3841" s="8">
        <v>43620</v>
      </c>
      <c r="G3841" s="8">
        <f t="shared" si="236"/>
        <v>48418200</v>
      </c>
      <c r="H3841" s="5">
        <v>0</v>
      </c>
      <c r="I3841" s="8">
        <f t="shared" si="237"/>
        <v>48418200</v>
      </c>
      <c r="J3841" s="8">
        <f t="shared" si="238"/>
        <v>0</v>
      </c>
      <c r="K3841" t="str">
        <f t="shared" si="239"/>
        <v>MATCHED</v>
      </c>
    </row>
    <row r="3842" spans="1:11">
      <c r="A3842" t="s">
        <v>118</v>
      </c>
      <c r="B3842" t="s">
        <v>1626</v>
      </c>
      <c r="C3842" t="s">
        <v>509</v>
      </c>
      <c r="D3842" t="s">
        <v>510</v>
      </c>
      <c r="E3842" s="8">
        <v>25420</v>
      </c>
      <c r="F3842" s="8">
        <v>37280</v>
      </c>
      <c r="G3842" s="8">
        <f t="shared" ref="G3842:G3905" si="240">IF(OR(E3842="",F3842=""),"",E3842*F3842)</f>
        <v>947657600</v>
      </c>
      <c r="H3842" s="5">
        <v>0.0452</v>
      </c>
      <c r="I3842" s="8">
        <f t="shared" ref="I3842:I3905" si="241">IF(G3842="","",IF(ISNUMBER(H3842),G3842,""))</f>
        <v>947657600</v>
      </c>
      <c r="J3842" s="8">
        <f t="shared" ref="J3842:J3905" si="242">IF(I3842="","",I3842*H3842)</f>
        <v>42834123.52</v>
      </c>
      <c r="K3842" t="str">
        <f t="shared" ref="K3842:K3905" si="243">IF(G3842="","MISSING OEWS",IF(ISNUMBER(H3842),"MATCHED","MISSING WHARTON"))</f>
        <v>MATCHED</v>
      </c>
    </row>
    <row r="3843" spans="1:11">
      <c r="A3843" t="s">
        <v>118</v>
      </c>
      <c r="B3843" t="s">
        <v>1626</v>
      </c>
      <c r="C3843" t="s">
        <v>511</v>
      </c>
      <c r="D3843" t="s">
        <v>512</v>
      </c>
      <c r="E3843" s="8">
        <v>44980</v>
      </c>
      <c r="F3843" s="8">
        <v>41530</v>
      </c>
      <c r="G3843" s="8">
        <f t="shared" si="240"/>
        <v>1868019400</v>
      </c>
      <c r="H3843" s="5">
        <v>0.049</v>
      </c>
      <c r="I3843" s="8">
        <f t="shared" si="241"/>
        <v>1868019400</v>
      </c>
      <c r="J3843" s="8">
        <f t="shared" si="242"/>
        <v>91532950.6</v>
      </c>
      <c r="K3843" t="str">
        <f t="shared" si="243"/>
        <v>MATCHED</v>
      </c>
    </row>
    <row r="3844" spans="1:11">
      <c r="A3844" t="s">
        <v>118</v>
      </c>
      <c r="B3844" t="s">
        <v>1626</v>
      </c>
      <c r="C3844" t="s">
        <v>515</v>
      </c>
      <c r="D3844" t="s">
        <v>516</v>
      </c>
      <c r="E3844" s="8">
        <v>180</v>
      </c>
      <c r="F3844" s="8">
        <v>37190</v>
      </c>
      <c r="G3844" s="8">
        <f t="shared" si="240"/>
        <v>6694200</v>
      </c>
      <c r="H3844" s="5">
        <v>0.0792</v>
      </c>
      <c r="I3844" s="8">
        <f t="shared" si="241"/>
        <v>6694200</v>
      </c>
      <c r="J3844" s="8">
        <f t="shared" si="242"/>
        <v>530180.64</v>
      </c>
      <c r="K3844" t="str">
        <f t="shared" si="243"/>
        <v>MATCHED</v>
      </c>
    </row>
    <row r="3845" spans="1:11">
      <c r="A3845" t="s">
        <v>118</v>
      </c>
      <c r="B3845" t="s">
        <v>1626</v>
      </c>
      <c r="C3845" t="s">
        <v>517</v>
      </c>
      <c r="D3845" t="s">
        <v>518</v>
      </c>
      <c r="E3845" s="8">
        <v>4540</v>
      </c>
      <c r="F3845" s="8">
        <v>40470</v>
      </c>
      <c r="G3845" s="8">
        <f t="shared" si="240"/>
        <v>183733800</v>
      </c>
      <c r="H3845" s="5">
        <v>0.2233</v>
      </c>
      <c r="I3845" s="8">
        <f t="shared" si="241"/>
        <v>183733800</v>
      </c>
      <c r="J3845" s="8">
        <f t="shared" si="242"/>
        <v>41027757.54</v>
      </c>
      <c r="K3845" t="str">
        <f t="shared" si="243"/>
        <v>MATCHED</v>
      </c>
    </row>
    <row r="3846" spans="1:11">
      <c r="A3846" t="s">
        <v>118</v>
      </c>
      <c r="B3846" t="s">
        <v>1626</v>
      </c>
      <c r="C3846" t="s">
        <v>810</v>
      </c>
      <c r="D3846" t="s">
        <v>811</v>
      </c>
      <c r="E3846" s="8">
        <v>310</v>
      </c>
      <c r="F3846" s="8">
        <v>56790</v>
      </c>
      <c r="G3846" s="8">
        <f t="shared" si="240"/>
        <v>17604900</v>
      </c>
      <c r="H3846" s="5">
        <v>0.0679</v>
      </c>
      <c r="I3846" s="8">
        <f t="shared" si="241"/>
        <v>17604900</v>
      </c>
      <c r="J3846" s="8">
        <f t="shared" si="242"/>
        <v>1195372.71</v>
      </c>
      <c r="K3846" t="str">
        <f t="shared" si="243"/>
        <v>MATCHED</v>
      </c>
    </row>
    <row r="3847" spans="1:11">
      <c r="A3847" t="s">
        <v>118</v>
      </c>
      <c r="B3847" t="s">
        <v>1626</v>
      </c>
      <c r="C3847" t="s">
        <v>918</v>
      </c>
      <c r="D3847" t="s">
        <v>919</v>
      </c>
      <c r="E3847" s="8"/>
      <c r="F3847" s="8">
        <v>38460</v>
      </c>
      <c r="G3847" s="8" t="str">
        <f t="shared" si="240"/>
        <v/>
      </c>
      <c r="H3847" s="5">
        <v>0.2375</v>
      </c>
      <c r="I3847" s="8" t="str">
        <f t="shared" si="241"/>
        <v/>
      </c>
      <c r="J3847" s="8" t="str">
        <f t="shared" si="242"/>
        <v/>
      </c>
      <c r="K3847" t="str">
        <f t="shared" si="243"/>
        <v>MISSING OEWS</v>
      </c>
    </row>
    <row r="3848" spans="1:11">
      <c r="A3848" t="s">
        <v>118</v>
      </c>
      <c r="B3848" t="s">
        <v>1626</v>
      </c>
      <c r="C3848" t="s">
        <v>519</v>
      </c>
      <c r="D3848" t="s">
        <v>520</v>
      </c>
      <c r="E3848" s="8">
        <v>2970</v>
      </c>
      <c r="F3848" s="8">
        <v>41870</v>
      </c>
      <c r="G3848" s="8">
        <f t="shared" si="240"/>
        <v>124353900</v>
      </c>
      <c r="H3848" s="5"/>
      <c r="I3848" s="8" t="str">
        <f t="shared" si="241"/>
        <v/>
      </c>
      <c r="J3848" s="8" t="str">
        <f t="shared" si="242"/>
        <v/>
      </c>
      <c r="K3848" t="str">
        <f t="shared" si="243"/>
        <v>MISSING WHARTON</v>
      </c>
    </row>
    <row r="3849" spans="1:11">
      <c r="A3849" t="s">
        <v>120</v>
      </c>
      <c r="B3849" t="s">
        <v>1629</v>
      </c>
      <c r="C3849" t="s">
        <v>235</v>
      </c>
      <c r="D3849" t="s">
        <v>236</v>
      </c>
      <c r="E3849" s="8">
        <v>40180</v>
      </c>
      <c r="F3849" s="8">
        <v>263000</v>
      </c>
      <c r="G3849" s="8">
        <f t="shared" si="240"/>
        <v>10567340000</v>
      </c>
      <c r="H3849" s="5">
        <v>0.4775</v>
      </c>
      <c r="I3849" s="8">
        <f t="shared" si="241"/>
        <v>10567340000</v>
      </c>
      <c r="J3849" s="8">
        <f t="shared" si="242"/>
        <v>5045904850</v>
      </c>
      <c r="K3849" t="str">
        <f t="shared" si="243"/>
        <v>MATCHED</v>
      </c>
    </row>
    <row r="3850" spans="1:11">
      <c r="A3850" t="s">
        <v>120</v>
      </c>
      <c r="B3850" t="s">
        <v>1629</v>
      </c>
      <c r="C3850" t="s">
        <v>237</v>
      </c>
      <c r="D3850" t="s">
        <v>238</v>
      </c>
      <c r="E3850" s="8">
        <v>438720</v>
      </c>
      <c r="F3850" s="8">
        <v>170710</v>
      </c>
      <c r="G3850" s="8">
        <f t="shared" si="240"/>
        <v>74893891200</v>
      </c>
      <c r="H3850" s="5">
        <v>0.5382</v>
      </c>
      <c r="I3850" s="8">
        <f t="shared" si="241"/>
        <v>74893891200</v>
      </c>
      <c r="J3850" s="8">
        <f t="shared" si="242"/>
        <v>40307892243.84</v>
      </c>
      <c r="K3850" t="str">
        <f t="shared" si="243"/>
        <v>MATCHED</v>
      </c>
    </row>
    <row r="3851" spans="1:11">
      <c r="A3851" t="s">
        <v>120</v>
      </c>
      <c r="B3851" t="s">
        <v>1629</v>
      </c>
      <c r="C3851" t="s">
        <v>920</v>
      </c>
      <c r="D3851" t="s">
        <v>921</v>
      </c>
      <c r="E3851" s="8">
        <v>10700</v>
      </c>
      <c r="F3851" s="8">
        <v>150950</v>
      </c>
      <c r="G3851" s="8">
        <f t="shared" si="240"/>
        <v>1615165000</v>
      </c>
      <c r="H3851" s="5">
        <v>0.5583</v>
      </c>
      <c r="I3851" s="8">
        <f t="shared" si="241"/>
        <v>1615165000</v>
      </c>
      <c r="J3851" s="8">
        <f t="shared" si="242"/>
        <v>901746619.5</v>
      </c>
      <c r="K3851" t="str">
        <f t="shared" si="243"/>
        <v>MATCHED</v>
      </c>
    </row>
    <row r="3852" spans="1:11">
      <c r="A3852" t="s">
        <v>120</v>
      </c>
      <c r="B3852" t="s">
        <v>1629</v>
      </c>
      <c r="C3852" t="s">
        <v>239</v>
      </c>
      <c r="D3852" t="s">
        <v>240</v>
      </c>
      <c r="E3852" s="8">
        <v>96660</v>
      </c>
      <c r="F3852" s="8">
        <v>184720</v>
      </c>
      <c r="G3852" s="8">
        <f t="shared" si="240"/>
        <v>17855035200</v>
      </c>
      <c r="H3852" s="5">
        <v>0.445</v>
      </c>
      <c r="I3852" s="8">
        <f t="shared" si="241"/>
        <v>17855035200</v>
      </c>
      <c r="J3852" s="8">
        <f t="shared" si="242"/>
        <v>7945490664</v>
      </c>
      <c r="K3852" t="str">
        <f t="shared" si="243"/>
        <v>MATCHED</v>
      </c>
    </row>
    <row r="3853" spans="1:11">
      <c r="A3853" t="s">
        <v>120</v>
      </c>
      <c r="B3853" t="s">
        <v>1629</v>
      </c>
      <c r="C3853" t="s">
        <v>241</v>
      </c>
      <c r="D3853" t="s">
        <v>242</v>
      </c>
      <c r="E3853" s="8">
        <v>85240</v>
      </c>
      <c r="F3853" s="8">
        <v>189440</v>
      </c>
      <c r="G3853" s="8">
        <f t="shared" si="240"/>
        <v>16147865600</v>
      </c>
      <c r="H3853" s="5">
        <v>0.3735</v>
      </c>
      <c r="I3853" s="8">
        <f t="shared" si="241"/>
        <v>16147865600</v>
      </c>
      <c r="J3853" s="8">
        <f t="shared" si="242"/>
        <v>6031227801.6</v>
      </c>
      <c r="K3853" t="str">
        <f t="shared" si="243"/>
        <v>MATCHED</v>
      </c>
    </row>
    <row r="3854" spans="1:11">
      <c r="A3854" t="s">
        <v>120</v>
      </c>
      <c r="B3854" t="s">
        <v>1629</v>
      </c>
      <c r="C3854" t="s">
        <v>522</v>
      </c>
      <c r="D3854" t="s">
        <v>523</v>
      </c>
      <c r="E3854" s="8">
        <v>15460</v>
      </c>
      <c r="F3854" s="8">
        <v>189190</v>
      </c>
      <c r="G3854" s="8">
        <f t="shared" si="240"/>
        <v>2924877400</v>
      </c>
      <c r="H3854" s="5">
        <v>0.53</v>
      </c>
      <c r="I3854" s="8">
        <f t="shared" si="241"/>
        <v>2924877400</v>
      </c>
      <c r="J3854" s="8">
        <f t="shared" si="242"/>
        <v>1550185022</v>
      </c>
      <c r="K3854" t="str">
        <f t="shared" si="243"/>
        <v>MATCHED</v>
      </c>
    </row>
    <row r="3855" spans="1:11">
      <c r="A3855" t="s">
        <v>120</v>
      </c>
      <c r="B3855" t="s">
        <v>1629</v>
      </c>
      <c r="C3855" t="s">
        <v>922</v>
      </c>
      <c r="D3855" t="s">
        <v>923</v>
      </c>
      <c r="E3855" s="8">
        <v>1230</v>
      </c>
      <c r="F3855" s="8">
        <v>154080</v>
      </c>
      <c r="G3855" s="8">
        <f t="shared" si="240"/>
        <v>189518400</v>
      </c>
      <c r="H3855" s="5">
        <v>0.5594</v>
      </c>
      <c r="I3855" s="8">
        <f t="shared" si="241"/>
        <v>189518400</v>
      </c>
      <c r="J3855" s="8">
        <f t="shared" si="242"/>
        <v>106016592.96</v>
      </c>
      <c r="K3855" t="str">
        <f t="shared" si="243"/>
        <v>MATCHED</v>
      </c>
    </row>
    <row r="3856" spans="1:11">
      <c r="A3856" t="s">
        <v>120</v>
      </c>
      <c r="B3856" t="s">
        <v>1629</v>
      </c>
      <c r="C3856" t="s">
        <v>243</v>
      </c>
      <c r="D3856" t="s">
        <v>244</v>
      </c>
      <c r="E3856" s="8">
        <v>30480</v>
      </c>
      <c r="F3856" s="8">
        <v>144490</v>
      </c>
      <c r="G3856" s="8">
        <f t="shared" si="240"/>
        <v>4404055200</v>
      </c>
      <c r="H3856" s="5">
        <v>0.4444</v>
      </c>
      <c r="I3856" s="8">
        <f t="shared" si="241"/>
        <v>4404055200</v>
      </c>
      <c r="J3856" s="8">
        <f t="shared" si="242"/>
        <v>1957162130.88</v>
      </c>
      <c r="K3856" t="str">
        <f t="shared" si="243"/>
        <v>MATCHED</v>
      </c>
    </row>
    <row r="3857" spans="1:11">
      <c r="A3857" t="s">
        <v>120</v>
      </c>
      <c r="B3857" t="s">
        <v>1629</v>
      </c>
      <c r="C3857" t="s">
        <v>245</v>
      </c>
      <c r="D3857" t="s">
        <v>246</v>
      </c>
      <c r="E3857" s="8">
        <v>8160</v>
      </c>
      <c r="F3857" s="8">
        <v>139730</v>
      </c>
      <c r="G3857" s="8">
        <f t="shared" si="240"/>
        <v>1140196800</v>
      </c>
      <c r="H3857" s="5">
        <v>0.2907</v>
      </c>
      <c r="I3857" s="8">
        <f t="shared" si="241"/>
        <v>1140196800</v>
      </c>
      <c r="J3857" s="8">
        <f t="shared" si="242"/>
        <v>331455209.76</v>
      </c>
      <c r="K3857" t="str">
        <f t="shared" si="243"/>
        <v>MATCHED</v>
      </c>
    </row>
    <row r="3858" spans="1:11">
      <c r="A3858" t="s">
        <v>120</v>
      </c>
      <c r="B3858" t="s">
        <v>1629</v>
      </c>
      <c r="C3858" t="s">
        <v>247</v>
      </c>
      <c r="D3858" t="s">
        <v>248</v>
      </c>
      <c r="E3858" s="8">
        <v>209760</v>
      </c>
      <c r="F3858" s="8">
        <v>197530</v>
      </c>
      <c r="G3858" s="8">
        <f t="shared" si="240"/>
        <v>41433892800</v>
      </c>
      <c r="H3858" s="5">
        <v>0.5265</v>
      </c>
      <c r="I3858" s="8">
        <f t="shared" si="241"/>
        <v>41433892800</v>
      </c>
      <c r="J3858" s="8">
        <f t="shared" si="242"/>
        <v>21814944559.2</v>
      </c>
      <c r="K3858" t="str">
        <f t="shared" si="243"/>
        <v>MATCHED</v>
      </c>
    </row>
    <row r="3859" spans="1:11">
      <c r="A3859" t="s">
        <v>120</v>
      </c>
      <c r="B3859" t="s">
        <v>1629</v>
      </c>
      <c r="C3859" t="s">
        <v>249</v>
      </c>
      <c r="D3859" t="s">
        <v>250</v>
      </c>
      <c r="E3859" s="8">
        <v>122870</v>
      </c>
      <c r="F3859" s="8">
        <v>199740</v>
      </c>
      <c r="G3859" s="8">
        <f t="shared" si="240"/>
        <v>24542053800</v>
      </c>
      <c r="H3859" s="5">
        <v>0.7221</v>
      </c>
      <c r="I3859" s="8">
        <f t="shared" si="241"/>
        <v>24542053800</v>
      </c>
      <c r="J3859" s="8">
        <f t="shared" si="242"/>
        <v>17721817048.98</v>
      </c>
      <c r="K3859" t="str">
        <f t="shared" si="243"/>
        <v>MATCHED</v>
      </c>
    </row>
    <row r="3860" spans="1:11">
      <c r="A3860" t="s">
        <v>120</v>
      </c>
      <c r="B3860" t="s">
        <v>1629</v>
      </c>
      <c r="C3860" t="s">
        <v>251</v>
      </c>
      <c r="D3860" t="s">
        <v>252</v>
      </c>
      <c r="E3860" s="8">
        <v>9320</v>
      </c>
      <c r="F3860" s="8">
        <v>160390</v>
      </c>
      <c r="G3860" s="8">
        <f t="shared" si="240"/>
        <v>1494834800</v>
      </c>
      <c r="H3860" s="5">
        <v>0.3636</v>
      </c>
      <c r="I3860" s="8">
        <f t="shared" si="241"/>
        <v>1494834800</v>
      </c>
      <c r="J3860" s="8">
        <f t="shared" si="242"/>
        <v>543521933.28</v>
      </c>
      <c r="K3860" t="str">
        <f t="shared" si="243"/>
        <v>MATCHED</v>
      </c>
    </row>
    <row r="3861" spans="1:11">
      <c r="A3861" t="s">
        <v>120</v>
      </c>
      <c r="B3861" t="s">
        <v>1629</v>
      </c>
      <c r="C3861" t="s">
        <v>253</v>
      </c>
      <c r="D3861" t="s">
        <v>254</v>
      </c>
      <c r="E3861" s="8">
        <v>7400</v>
      </c>
      <c r="F3861" s="8">
        <v>173450</v>
      </c>
      <c r="G3861" s="8">
        <f t="shared" si="240"/>
        <v>1283530000</v>
      </c>
      <c r="H3861" s="5">
        <v>0.6944</v>
      </c>
      <c r="I3861" s="8">
        <f t="shared" si="241"/>
        <v>1283530000</v>
      </c>
      <c r="J3861" s="8">
        <f t="shared" si="242"/>
        <v>891283232</v>
      </c>
      <c r="K3861" t="str">
        <f t="shared" si="243"/>
        <v>MATCHED</v>
      </c>
    </row>
    <row r="3862" spans="1:11">
      <c r="A3862" t="s">
        <v>120</v>
      </c>
      <c r="B3862" t="s">
        <v>1629</v>
      </c>
      <c r="C3862" t="s">
        <v>255</v>
      </c>
      <c r="D3862" t="s">
        <v>256</v>
      </c>
      <c r="E3862" s="8">
        <v>8450</v>
      </c>
      <c r="F3862" s="8">
        <v>146050</v>
      </c>
      <c r="G3862" s="8">
        <f t="shared" si="240"/>
        <v>1234122500</v>
      </c>
      <c r="H3862" s="5">
        <v>0.5783</v>
      </c>
      <c r="I3862" s="8">
        <f t="shared" si="241"/>
        <v>1234122500</v>
      </c>
      <c r="J3862" s="8">
        <f t="shared" si="242"/>
        <v>713693041.75</v>
      </c>
      <c r="K3862" t="str">
        <f t="shared" si="243"/>
        <v>MATCHED</v>
      </c>
    </row>
    <row r="3863" spans="1:11">
      <c r="A3863" t="s">
        <v>120</v>
      </c>
      <c r="B3863" t="s">
        <v>1629</v>
      </c>
      <c r="C3863" t="s">
        <v>524</v>
      </c>
      <c r="D3863" t="s">
        <v>525</v>
      </c>
      <c r="E3863" s="8">
        <v>3160</v>
      </c>
      <c r="F3863" s="8">
        <v>180280</v>
      </c>
      <c r="G3863" s="8">
        <f t="shared" si="240"/>
        <v>569684800</v>
      </c>
      <c r="H3863" s="5">
        <v>0.5771</v>
      </c>
      <c r="I3863" s="8">
        <f t="shared" si="241"/>
        <v>569684800</v>
      </c>
      <c r="J3863" s="8">
        <f t="shared" si="242"/>
        <v>328765098.08</v>
      </c>
      <c r="K3863" t="str">
        <f t="shared" si="243"/>
        <v>MATCHED</v>
      </c>
    </row>
    <row r="3864" spans="1:11">
      <c r="A3864" t="s">
        <v>120</v>
      </c>
      <c r="B3864" t="s">
        <v>1629</v>
      </c>
      <c r="C3864" t="s">
        <v>257</v>
      </c>
      <c r="D3864" t="s">
        <v>258</v>
      </c>
      <c r="E3864" s="8">
        <v>32900</v>
      </c>
      <c r="F3864" s="8">
        <v>186680</v>
      </c>
      <c r="G3864" s="8">
        <f t="shared" si="240"/>
        <v>6141772000</v>
      </c>
      <c r="H3864" s="5">
        <v>0.5962</v>
      </c>
      <c r="I3864" s="8">
        <f t="shared" si="241"/>
        <v>6141772000</v>
      </c>
      <c r="J3864" s="8">
        <f t="shared" si="242"/>
        <v>3661724466.4</v>
      </c>
      <c r="K3864" t="str">
        <f t="shared" si="243"/>
        <v>MATCHED</v>
      </c>
    </row>
    <row r="3865" spans="1:11">
      <c r="A3865" t="s">
        <v>120</v>
      </c>
      <c r="B3865" t="s">
        <v>1629</v>
      </c>
      <c r="C3865" t="s">
        <v>526</v>
      </c>
      <c r="D3865" t="s">
        <v>527</v>
      </c>
      <c r="E3865" s="8">
        <v>6710</v>
      </c>
      <c r="F3865" s="8">
        <v>166430</v>
      </c>
      <c r="G3865" s="8">
        <f t="shared" si="240"/>
        <v>1116745300</v>
      </c>
      <c r="H3865" s="5">
        <v>0.6833</v>
      </c>
      <c r="I3865" s="8">
        <f t="shared" si="241"/>
        <v>1116745300</v>
      </c>
      <c r="J3865" s="8">
        <f t="shared" si="242"/>
        <v>763072063.49</v>
      </c>
      <c r="K3865" t="str">
        <f t="shared" si="243"/>
        <v>MATCHED</v>
      </c>
    </row>
    <row r="3866" spans="1:11">
      <c r="A3866" t="s">
        <v>120</v>
      </c>
      <c r="B3866" t="s">
        <v>1629</v>
      </c>
      <c r="C3866" t="s">
        <v>259</v>
      </c>
      <c r="D3866" t="s">
        <v>260</v>
      </c>
      <c r="E3866" s="8">
        <v>530</v>
      </c>
      <c r="F3866" s="8">
        <v>71160</v>
      </c>
      <c r="G3866" s="8">
        <f t="shared" si="240"/>
        <v>37714800</v>
      </c>
      <c r="H3866" s="5">
        <v>0.22</v>
      </c>
      <c r="I3866" s="8">
        <f t="shared" si="241"/>
        <v>37714800</v>
      </c>
      <c r="J3866" s="8">
        <f t="shared" si="242"/>
        <v>8297256</v>
      </c>
      <c r="K3866" t="str">
        <f t="shared" si="243"/>
        <v>MATCHED</v>
      </c>
    </row>
    <row r="3867" spans="1:11">
      <c r="A3867" t="s">
        <v>120</v>
      </c>
      <c r="B3867" t="s">
        <v>1629</v>
      </c>
      <c r="C3867" t="s">
        <v>528</v>
      </c>
      <c r="D3867" t="s">
        <v>529</v>
      </c>
      <c r="E3867" s="8">
        <v>16430</v>
      </c>
      <c r="F3867" s="8">
        <v>138870</v>
      </c>
      <c r="G3867" s="8">
        <f t="shared" si="240"/>
        <v>2281634100</v>
      </c>
      <c r="H3867" s="5">
        <v>0.374</v>
      </c>
      <c r="I3867" s="8">
        <f t="shared" si="241"/>
        <v>2281634100</v>
      </c>
      <c r="J3867" s="8">
        <f t="shared" si="242"/>
        <v>853331153.4</v>
      </c>
      <c r="K3867" t="str">
        <f t="shared" si="243"/>
        <v>MATCHED</v>
      </c>
    </row>
    <row r="3868" spans="1:11">
      <c r="A3868" t="s">
        <v>120</v>
      </c>
      <c r="B3868" t="s">
        <v>1629</v>
      </c>
      <c r="C3868" t="s">
        <v>1630</v>
      </c>
      <c r="D3868" t="s">
        <v>1631</v>
      </c>
      <c r="E3868" s="8">
        <v>50</v>
      </c>
      <c r="F3868" s="8">
        <v>172110</v>
      </c>
      <c r="G3868" s="8">
        <f t="shared" si="240"/>
        <v>8605500</v>
      </c>
      <c r="H3868" s="5">
        <v>0.4448</v>
      </c>
      <c r="I3868" s="8">
        <f t="shared" si="241"/>
        <v>8605500</v>
      </c>
      <c r="J3868" s="8">
        <f t="shared" si="242"/>
        <v>3827726.4</v>
      </c>
      <c r="K3868" t="str">
        <f t="shared" si="243"/>
        <v>MATCHED</v>
      </c>
    </row>
    <row r="3869" spans="1:11">
      <c r="A3869" t="s">
        <v>120</v>
      </c>
      <c r="B3869" t="s">
        <v>1629</v>
      </c>
      <c r="C3869" t="s">
        <v>1563</v>
      </c>
      <c r="D3869" t="s">
        <v>1564</v>
      </c>
      <c r="E3869" s="8">
        <v>780</v>
      </c>
      <c r="F3869" s="8">
        <v>156470</v>
      </c>
      <c r="G3869" s="8">
        <f t="shared" si="240"/>
        <v>122046600</v>
      </c>
      <c r="H3869" s="5"/>
      <c r="I3869" s="8" t="str">
        <f t="shared" si="241"/>
        <v/>
      </c>
      <c r="J3869" s="8" t="str">
        <f t="shared" si="242"/>
        <v/>
      </c>
      <c r="K3869" t="str">
        <f t="shared" si="243"/>
        <v>MISSING WHARTON</v>
      </c>
    </row>
    <row r="3870" spans="1:11">
      <c r="A3870" t="s">
        <v>120</v>
      </c>
      <c r="B3870" t="s">
        <v>1629</v>
      </c>
      <c r="C3870" t="s">
        <v>530</v>
      </c>
      <c r="D3870" t="s">
        <v>531</v>
      </c>
      <c r="E3870" s="8">
        <v>79510</v>
      </c>
      <c r="F3870" s="8">
        <v>185050</v>
      </c>
      <c r="G3870" s="8">
        <f t="shared" si="240"/>
        <v>14713325500</v>
      </c>
      <c r="H3870" s="5">
        <v>0.263</v>
      </c>
      <c r="I3870" s="8">
        <f t="shared" si="241"/>
        <v>14713325500</v>
      </c>
      <c r="J3870" s="8">
        <f t="shared" si="242"/>
        <v>3869604606.5</v>
      </c>
      <c r="K3870" t="str">
        <f t="shared" si="243"/>
        <v>MATCHED</v>
      </c>
    </row>
    <row r="3871" spans="1:11">
      <c r="A3871" t="s">
        <v>120</v>
      </c>
      <c r="B3871" t="s">
        <v>1629</v>
      </c>
      <c r="C3871" t="s">
        <v>1144</v>
      </c>
      <c r="D3871" t="s">
        <v>1145</v>
      </c>
      <c r="E3871" s="8">
        <v>1140</v>
      </c>
      <c r="F3871" s="8">
        <v>92980</v>
      </c>
      <c r="G3871" s="8">
        <f t="shared" si="240"/>
        <v>105997200</v>
      </c>
      <c r="H3871" s="5">
        <v>0.3821</v>
      </c>
      <c r="I3871" s="8">
        <f t="shared" si="241"/>
        <v>105997200</v>
      </c>
      <c r="J3871" s="8">
        <f t="shared" si="242"/>
        <v>40501530.12</v>
      </c>
      <c r="K3871" t="str">
        <f t="shared" si="243"/>
        <v>MATCHED</v>
      </c>
    </row>
    <row r="3872" spans="1:11">
      <c r="A3872" t="s">
        <v>120</v>
      </c>
      <c r="B3872" t="s">
        <v>1629</v>
      </c>
      <c r="C3872" t="s">
        <v>1460</v>
      </c>
      <c r="D3872" t="s">
        <v>1461</v>
      </c>
      <c r="E3872" s="8">
        <v>60</v>
      </c>
      <c r="F3872" s="8">
        <v>89730</v>
      </c>
      <c r="G3872" s="8">
        <f t="shared" si="240"/>
        <v>5383800</v>
      </c>
      <c r="H3872" s="5">
        <v>0.3176</v>
      </c>
      <c r="I3872" s="8">
        <f t="shared" si="241"/>
        <v>5383800</v>
      </c>
      <c r="J3872" s="8">
        <f t="shared" si="242"/>
        <v>1709894.88</v>
      </c>
      <c r="K3872" t="str">
        <f t="shared" si="243"/>
        <v>MATCHED</v>
      </c>
    </row>
    <row r="3873" spans="1:11">
      <c r="A3873" t="s">
        <v>120</v>
      </c>
      <c r="B3873" t="s">
        <v>1629</v>
      </c>
      <c r="C3873" t="s">
        <v>1146</v>
      </c>
      <c r="D3873" t="s">
        <v>1147</v>
      </c>
      <c r="E3873" s="8">
        <v>17440</v>
      </c>
      <c r="F3873" s="8">
        <v>178810</v>
      </c>
      <c r="G3873" s="8">
        <f t="shared" si="240"/>
        <v>3118446400</v>
      </c>
      <c r="H3873" s="5">
        <v>0.4417</v>
      </c>
      <c r="I3873" s="8">
        <f t="shared" si="241"/>
        <v>3118446400</v>
      </c>
      <c r="J3873" s="8">
        <f t="shared" si="242"/>
        <v>1377417774.88</v>
      </c>
      <c r="K3873" t="str">
        <f t="shared" si="243"/>
        <v>MATCHED</v>
      </c>
    </row>
    <row r="3874" spans="1:11">
      <c r="A3874" t="s">
        <v>120</v>
      </c>
      <c r="B3874" t="s">
        <v>1629</v>
      </c>
      <c r="C3874" t="s">
        <v>261</v>
      </c>
      <c r="D3874" t="s">
        <v>262</v>
      </c>
      <c r="E3874" s="8">
        <v>52240</v>
      </c>
      <c r="F3874" s="8">
        <v>207580</v>
      </c>
      <c r="G3874" s="8">
        <f t="shared" si="240"/>
        <v>10843979200</v>
      </c>
      <c r="H3874" s="5">
        <v>0.382</v>
      </c>
      <c r="I3874" s="8">
        <f t="shared" si="241"/>
        <v>10843979200</v>
      </c>
      <c r="J3874" s="8">
        <f t="shared" si="242"/>
        <v>4142400054.4</v>
      </c>
      <c r="K3874" t="str">
        <f t="shared" si="243"/>
        <v>MATCHED</v>
      </c>
    </row>
    <row r="3875" spans="1:11">
      <c r="A3875" t="s">
        <v>120</v>
      </c>
      <c r="B3875" t="s">
        <v>1629</v>
      </c>
      <c r="C3875" t="s">
        <v>532</v>
      </c>
      <c r="D3875" t="s">
        <v>533</v>
      </c>
      <c r="E3875" s="8">
        <v>7200</v>
      </c>
      <c r="F3875" s="8">
        <v>110630</v>
      </c>
      <c r="G3875" s="8">
        <f t="shared" si="240"/>
        <v>796536000</v>
      </c>
      <c r="H3875" s="5">
        <v>0.3833</v>
      </c>
      <c r="I3875" s="8">
        <f t="shared" si="241"/>
        <v>796536000</v>
      </c>
      <c r="J3875" s="8">
        <f t="shared" si="242"/>
        <v>305312248.8</v>
      </c>
      <c r="K3875" t="str">
        <f t="shared" si="243"/>
        <v>MATCHED</v>
      </c>
    </row>
    <row r="3876" spans="1:11">
      <c r="A3876" t="s">
        <v>120</v>
      </c>
      <c r="B3876" t="s">
        <v>1629</v>
      </c>
      <c r="C3876" t="s">
        <v>926</v>
      </c>
      <c r="D3876" t="s">
        <v>927</v>
      </c>
      <c r="E3876" s="8">
        <v>1200</v>
      </c>
      <c r="F3876" s="8">
        <v>102180</v>
      </c>
      <c r="G3876" s="8">
        <f t="shared" si="240"/>
        <v>122616000</v>
      </c>
      <c r="H3876" s="5">
        <v>0.3656</v>
      </c>
      <c r="I3876" s="8">
        <f t="shared" si="241"/>
        <v>122616000</v>
      </c>
      <c r="J3876" s="8">
        <f t="shared" si="242"/>
        <v>44828409.6</v>
      </c>
      <c r="K3876" t="str">
        <f t="shared" si="243"/>
        <v>MATCHED</v>
      </c>
    </row>
    <row r="3877" spans="1:11">
      <c r="A3877" t="s">
        <v>120</v>
      </c>
      <c r="B3877" t="s">
        <v>1629</v>
      </c>
      <c r="C3877" t="s">
        <v>816</v>
      </c>
      <c r="D3877" t="s">
        <v>817</v>
      </c>
      <c r="E3877" s="8">
        <v>600</v>
      </c>
      <c r="F3877" s="8">
        <v>145760</v>
      </c>
      <c r="G3877" s="8">
        <f t="shared" si="240"/>
        <v>87456000</v>
      </c>
      <c r="H3877" s="5">
        <v>0.4174</v>
      </c>
      <c r="I3877" s="8">
        <f t="shared" si="241"/>
        <v>87456000</v>
      </c>
      <c r="J3877" s="8">
        <f t="shared" si="242"/>
        <v>36504134.4</v>
      </c>
      <c r="K3877" t="str">
        <f t="shared" si="243"/>
        <v>MATCHED</v>
      </c>
    </row>
    <row r="3878" spans="1:11">
      <c r="A3878" t="s">
        <v>120</v>
      </c>
      <c r="B3878" t="s">
        <v>1629</v>
      </c>
      <c r="C3878" t="s">
        <v>1148</v>
      </c>
      <c r="D3878" t="s">
        <v>1149</v>
      </c>
      <c r="E3878" s="8"/>
      <c r="F3878" s="8">
        <v>112000</v>
      </c>
      <c r="G3878" s="8" t="str">
        <f t="shared" si="240"/>
        <v/>
      </c>
      <c r="H3878" s="5">
        <v>0.4143</v>
      </c>
      <c r="I3878" s="8" t="str">
        <f t="shared" si="241"/>
        <v/>
      </c>
      <c r="J3878" s="8" t="str">
        <f t="shared" si="242"/>
        <v/>
      </c>
      <c r="K3878" t="str">
        <f t="shared" si="243"/>
        <v>MISSING OEWS</v>
      </c>
    </row>
    <row r="3879" spans="1:11">
      <c r="A3879" t="s">
        <v>120</v>
      </c>
      <c r="B3879" t="s">
        <v>1629</v>
      </c>
      <c r="C3879" t="s">
        <v>263</v>
      </c>
      <c r="D3879" t="s">
        <v>264</v>
      </c>
      <c r="E3879" s="8">
        <v>86940</v>
      </c>
      <c r="F3879" s="8">
        <v>182770</v>
      </c>
      <c r="G3879" s="8">
        <f t="shared" si="240"/>
        <v>15890023800</v>
      </c>
      <c r="H3879" s="5">
        <v>0.4896</v>
      </c>
      <c r="I3879" s="8">
        <f t="shared" si="241"/>
        <v>15890023800</v>
      </c>
      <c r="J3879" s="8">
        <f t="shared" si="242"/>
        <v>7779755652.48</v>
      </c>
      <c r="K3879" t="str">
        <f t="shared" si="243"/>
        <v>MATCHED</v>
      </c>
    </row>
    <row r="3880" spans="1:11">
      <c r="A3880" t="s">
        <v>120</v>
      </c>
      <c r="B3880" t="s">
        <v>1629</v>
      </c>
      <c r="C3880" t="s">
        <v>1565</v>
      </c>
      <c r="D3880" t="s">
        <v>1566</v>
      </c>
      <c r="E3880" s="8"/>
      <c r="F3880" s="8">
        <v>80340</v>
      </c>
      <c r="G3880" s="8" t="str">
        <f t="shared" si="240"/>
        <v/>
      </c>
      <c r="H3880" s="5">
        <v>0.4714</v>
      </c>
      <c r="I3880" s="8" t="str">
        <f t="shared" si="241"/>
        <v/>
      </c>
      <c r="J3880" s="8" t="str">
        <f t="shared" si="242"/>
        <v/>
      </c>
      <c r="K3880" t="str">
        <f t="shared" si="243"/>
        <v>MISSING OEWS</v>
      </c>
    </row>
    <row r="3881" spans="1:11">
      <c r="A3881" t="s">
        <v>120</v>
      </c>
      <c r="B3881" t="s">
        <v>1629</v>
      </c>
      <c r="C3881" t="s">
        <v>265</v>
      </c>
      <c r="D3881" t="s">
        <v>266</v>
      </c>
      <c r="E3881" s="8">
        <v>39610</v>
      </c>
      <c r="F3881" s="8">
        <v>94960</v>
      </c>
      <c r="G3881" s="8">
        <f t="shared" si="240"/>
        <v>3761365600</v>
      </c>
      <c r="H3881" s="5">
        <v>0.5876</v>
      </c>
      <c r="I3881" s="8">
        <f t="shared" si="241"/>
        <v>3761365600</v>
      </c>
      <c r="J3881" s="8">
        <f t="shared" si="242"/>
        <v>2210178426.56</v>
      </c>
      <c r="K3881" t="str">
        <f t="shared" si="243"/>
        <v>MATCHED</v>
      </c>
    </row>
    <row r="3882" spans="1:11">
      <c r="A3882" t="s">
        <v>120</v>
      </c>
      <c r="B3882" t="s">
        <v>1629</v>
      </c>
      <c r="C3882" t="s">
        <v>818</v>
      </c>
      <c r="D3882" t="s">
        <v>819</v>
      </c>
      <c r="E3882" s="8">
        <v>4320</v>
      </c>
      <c r="F3882" s="8">
        <v>61900</v>
      </c>
      <c r="G3882" s="8">
        <f t="shared" si="240"/>
        <v>267408000</v>
      </c>
      <c r="H3882" s="5">
        <v>0.6983</v>
      </c>
      <c r="I3882" s="8">
        <f t="shared" si="241"/>
        <v>267408000</v>
      </c>
      <c r="J3882" s="8">
        <f t="shared" si="242"/>
        <v>186731006.4</v>
      </c>
      <c r="K3882" t="str">
        <f t="shared" si="243"/>
        <v>MATCHED</v>
      </c>
    </row>
    <row r="3883" spans="1:11">
      <c r="A3883" t="s">
        <v>120</v>
      </c>
      <c r="B3883" t="s">
        <v>1629</v>
      </c>
      <c r="C3883" t="s">
        <v>267</v>
      </c>
      <c r="D3883" t="s">
        <v>268</v>
      </c>
      <c r="E3883" s="8">
        <v>41520</v>
      </c>
      <c r="F3883" s="8">
        <v>100520</v>
      </c>
      <c r="G3883" s="8">
        <f t="shared" si="240"/>
        <v>4173590400</v>
      </c>
      <c r="H3883" s="5">
        <v>0.4611</v>
      </c>
      <c r="I3883" s="8">
        <f t="shared" si="241"/>
        <v>4173590400</v>
      </c>
      <c r="J3883" s="8">
        <f t="shared" si="242"/>
        <v>1924442533.44</v>
      </c>
      <c r="K3883" t="str">
        <f t="shared" si="243"/>
        <v>MATCHED</v>
      </c>
    </row>
    <row r="3884" spans="1:11">
      <c r="A3884" t="s">
        <v>120</v>
      </c>
      <c r="B3884" t="s">
        <v>1629</v>
      </c>
      <c r="C3884" t="s">
        <v>534</v>
      </c>
      <c r="D3884" t="s">
        <v>535</v>
      </c>
      <c r="E3884" s="8">
        <v>9560</v>
      </c>
      <c r="F3884" s="8">
        <v>96990</v>
      </c>
      <c r="G3884" s="8">
        <f t="shared" si="240"/>
        <v>927224400</v>
      </c>
      <c r="H3884" s="5">
        <v>0.6393</v>
      </c>
      <c r="I3884" s="8">
        <f t="shared" si="241"/>
        <v>927224400</v>
      </c>
      <c r="J3884" s="8">
        <f t="shared" si="242"/>
        <v>592774558.92</v>
      </c>
      <c r="K3884" t="str">
        <f t="shared" si="243"/>
        <v>MATCHED</v>
      </c>
    </row>
    <row r="3885" spans="1:11">
      <c r="A3885" t="s">
        <v>120</v>
      </c>
      <c r="B3885" t="s">
        <v>1629</v>
      </c>
      <c r="C3885" t="s">
        <v>269</v>
      </c>
      <c r="D3885" t="s">
        <v>270</v>
      </c>
      <c r="E3885" s="8">
        <v>124990</v>
      </c>
      <c r="F3885" s="8">
        <v>92230</v>
      </c>
      <c r="G3885" s="8">
        <f t="shared" si="240"/>
        <v>11527827700</v>
      </c>
      <c r="H3885" s="5">
        <v>0.7808</v>
      </c>
      <c r="I3885" s="8">
        <f t="shared" si="241"/>
        <v>11527827700</v>
      </c>
      <c r="J3885" s="8">
        <f t="shared" si="242"/>
        <v>9000927868.16</v>
      </c>
      <c r="K3885" t="str">
        <f t="shared" si="243"/>
        <v>MATCHED</v>
      </c>
    </row>
    <row r="3886" spans="1:11">
      <c r="A3886" t="s">
        <v>120</v>
      </c>
      <c r="B3886" t="s">
        <v>1629</v>
      </c>
      <c r="C3886" t="s">
        <v>820</v>
      </c>
      <c r="D3886" t="s">
        <v>821</v>
      </c>
      <c r="E3886" s="8">
        <v>590</v>
      </c>
      <c r="F3886" s="8">
        <v>113940</v>
      </c>
      <c r="G3886" s="8">
        <f t="shared" si="240"/>
        <v>67224600</v>
      </c>
      <c r="H3886" s="5">
        <v>0.5536</v>
      </c>
      <c r="I3886" s="8">
        <f t="shared" si="241"/>
        <v>67224600</v>
      </c>
      <c r="J3886" s="8">
        <f t="shared" si="242"/>
        <v>37215538.56</v>
      </c>
      <c r="K3886" t="str">
        <f t="shared" si="243"/>
        <v>MATCHED</v>
      </c>
    </row>
    <row r="3887" spans="1:11">
      <c r="A3887" t="s">
        <v>120</v>
      </c>
      <c r="B3887" t="s">
        <v>1629</v>
      </c>
      <c r="C3887" t="s">
        <v>273</v>
      </c>
      <c r="D3887" t="s">
        <v>274</v>
      </c>
      <c r="E3887" s="8">
        <v>38600</v>
      </c>
      <c r="F3887" s="8">
        <v>92970</v>
      </c>
      <c r="G3887" s="8">
        <f t="shared" si="240"/>
        <v>3588642000</v>
      </c>
      <c r="H3887" s="5">
        <v>0.6943</v>
      </c>
      <c r="I3887" s="8">
        <f t="shared" si="241"/>
        <v>3588642000</v>
      </c>
      <c r="J3887" s="8">
        <f t="shared" si="242"/>
        <v>2491594140.6</v>
      </c>
      <c r="K3887" t="str">
        <f t="shared" si="243"/>
        <v>MATCHED</v>
      </c>
    </row>
    <row r="3888" spans="1:11">
      <c r="A3888" t="s">
        <v>120</v>
      </c>
      <c r="B3888" t="s">
        <v>1629</v>
      </c>
      <c r="C3888" t="s">
        <v>275</v>
      </c>
      <c r="D3888" t="s">
        <v>276</v>
      </c>
      <c r="E3888" s="8">
        <v>305210</v>
      </c>
      <c r="F3888" s="8">
        <v>118240</v>
      </c>
      <c r="G3888" s="8">
        <f t="shared" si="240"/>
        <v>36088030400</v>
      </c>
      <c r="H3888" s="5">
        <v>0.6375</v>
      </c>
      <c r="I3888" s="8">
        <f t="shared" si="241"/>
        <v>36088030400</v>
      </c>
      <c r="J3888" s="8">
        <f t="shared" si="242"/>
        <v>23006119380</v>
      </c>
      <c r="K3888" t="str">
        <f t="shared" si="243"/>
        <v>MATCHED</v>
      </c>
    </row>
    <row r="3889" spans="1:11">
      <c r="A3889" t="s">
        <v>120</v>
      </c>
      <c r="B3889" t="s">
        <v>1629</v>
      </c>
      <c r="C3889" t="s">
        <v>277</v>
      </c>
      <c r="D3889" t="s">
        <v>278</v>
      </c>
      <c r="E3889" s="8">
        <v>360500</v>
      </c>
      <c r="F3889" s="8">
        <v>125910</v>
      </c>
      <c r="G3889" s="8">
        <f t="shared" si="240"/>
        <v>45390555000</v>
      </c>
      <c r="H3889" s="5">
        <v>0.5773</v>
      </c>
      <c r="I3889" s="8">
        <f t="shared" si="241"/>
        <v>45390555000</v>
      </c>
      <c r="J3889" s="8">
        <f t="shared" si="242"/>
        <v>26203967401.5</v>
      </c>
      <c r="K3889" t="str">
        <f t="shared" si="243"/>
        <v>MATCHED</v>
      </c>
    </row>
    <row r="3890" spans="1:11">
      <c r="A3890" t="s">
        <v>120</v>
      </c>
      <c r="B3890" t="s">
        <v>1629</v>
      </c>
      <c r="C3890" t="s">
        <v>279</v>
      </c>
      <c r="D3890" t="s">
        <v>280</v>
      </c>
      <c r="E3890" s="8">
        <v>13090</v>
      </c>
      <c r="F3890" s="8">
        <v>75310</v>
      </c>
      <c r="G3890" s="8">
        <f t="shared" si="240"/>
        <v>985807900</v>
      </c>
      <c r="H3890" s="5">
        <v>0.4476</v>
      </c>
      <c r="I3890" s="8">
        <f t="shared" si="241"/>
        <v>985807900</v>
      </c>
      <c r="J3890" s="8">
        <f t="shared" si="242"/>
        <v>441247616.04</v>
      </c>
      <c r="K3890" t="str">
        <f t="shared" si="243"/>
        <v>MATCHED</v>
      </c>
    </row>
    <row r="3891" spans="1:11">
      <c r="A3891" t="s">
        <v>120</v>
      </c>
      <c r="B3891" t="s">
        <v>1629</v>
      </c>
      <c r="C3891" t="s">
        <v>928</v>
      </c>
      <c r="D3891" t="s">
        <v>929</v>
      </c>
      <c r="E3891" s="8">
        <v>3770</v>
      </c>
      <c r="F3891" s="8">
        <v>84550</v>
      </c>
      <c r="G3891" s="8">
        <f t="shared" si="240"/>
        <v>318753500</v>
      </c>
      <c r="H3891" s="5">
        <v>0.5571</v>
      </c>
      <c r="I3891" s="8">
        <f t="shared" si="241"/>
        <v>318753500</v>
      </c>
      <c r="J3891" s="8">
        <f t="shared" si="242"/>
        <v>177577574.85</v>
      </c>
      <c r="K3891" t="str">
        <f t="shared" si="243"/>
        <v>MATCHED</v>
      </c>
    </row>
    <row r="3892" spans="1:11">
      <c r="A3892" t="s">
        <v>120</v>
      </c>
      <c r="B3892" t="s">
        <v>1629</v>
      </c>
      <c r="C3892" t="s">
        <v>281</v>
      </c>
      <c r="D3892" t="s">
        <v>282</v>
      </c>
      <c r="E3892" s="8">
        <v>15740</v>
      </c>
      <c r="F3892" s="8">
        <v>91880</v>
      </c>
      <c r="G3892" s="8">
        <f t="shared" si="240"/>
        <v>1446191200</v>
      </c>
      <c r="H3892" s="5">
        <v>0.6167</v>
      </c>
      <c r="I3892" s="8">
        <f t="shared" si="241"/>
        <v>1446191200</v>
      </c>
      <c r="J3892" s="8">
        <f t="shared" si="242"/>
        <v>891866113.04</v>
      </c>
      <c r="K3892" t="str">
        <f t="shared" si="243"/>
        <v>MATCHED</v>
      </c>
    </row>
    <row r="3893" spans="1:11">
      <c r="A3893" t="s">
        <v>120</v>
      </c>
      <c r="B3893" t="s">
        <v>1629</v>
      </c>
      <c r="C3893" t="s">
        <v>283</v>
      </c>
      <c r="D3893" t="s">
        <v>284</v>
      </c>
      <c r="E3893" s="8">
        <v>54120</v>
      </c>
      <c r="F3893" s="8">
        <v>89740</v>
      </c>
      <c r="G3893" s="8">
        <f t="shared" si="240"/>
        <v>4856728800</v>
      </c>
      <c r="H3893" s="5">
        <v>0.565</v>
      </c>
      <c r="I3893" s="8">
        <f t="shared" si="241"/>
        <v>4856728800</v>
      </c>
      <c r="J3893" s="8">
        <f t="shared" si="242"/>
        <v>2744051772</v>
      </c>
      <c r="K3893" t="str">
        <f t="shared" si="243"/>
        <v>MATCHED</v>
      </c>
    </row>
    <row r="3894" spans="1:11">
      <c r="A3894" t="s">
        <v>120</v>
      </c>
      <c r="B3894" t="s">
        <v>1629</v>
      </c>
      <c r="C3894" t="s">
        <v>285</v>
      </c>
      <c r="D3894" t="s">
        <v>286</v>
      </c>
      <c r="E3894" s="8">
        <v>248820</v>
      </c>
      <c r="F3894" s="8">
        <v>91520</v>
      </c>
      <c r="G3894" s="8">
        <f t="shared" si="240"/>
        <v>22772006400</v>
      </c>
      <c r="H3894" s="5">
        <v>0.7792</v>
      </c>
      <c r="I3894" s="8">
        <f t="shared" si="241"/>
        <v>22772006400</v>
      </c>
      <c r="J3894" s="8">
        <f t="shared" si="242"/>
        <v>17743947386.88</v>
      </c>
      <c r="K3894" t="str">
        <f t="shared" si="243"/>
        <v>MATCHED</v>
      </c>
    </row>
    <row r="3895" spans="1:11">
      <c r="A3895" t="s">
        <v>120</v>
      </c>
      <c r="B3895" t="s">
        <v>1629</v>
      </c>
      <c r="C3895" t="s">
        <v>287</v>
      </c>
      <c r="D3895" t="s">
        <v>288</v>
      </c>
      <c r="E3895" s="8">
        <v>149460</v>
      </c>
      <c r="F3895" s="8">
        <v>103710</v>
      </c>
      <c r="G3895" s="8">
        <f t="shared" si="240"/>
        <v>15500496600</v>
      </c>
      <c r="H3895" s="5">
        <v>0.6599</v>
      </c>
      <c r="I3895" s="8">
        <f t="shared" si="241"/>
        <v>15500496600</v>
      </c>
      <c r="J3895" s="8">
        <f t="shared" si="242"/>
        <v>10228777706.34</v>
      </c>
      <c r="K3895" t="str">
        <f t="shared" si="243"/>
        <v>MATCHED</v>
      </c>
    </row>
    <row r="3896" spans="1:11">
      <c r="A3896" t="s">
        <v>120</v>
      </c>
      <c r="B3896" t="s">
        <v>1629</v>
      </c>
      <c r="C3896" t="s">
        <v>289</v>
      </c>
      <c r="D3896" t="s">
        <v>290</v>
      </c>
      <c r="E3896" s="8">
        <v>474030</v>
      </c>
      <c r="F3896" s="8">
        <v>98030</v>
      </c>
      <c r="G3896" s="8">
        <f t="shared" si="240"/>
        <v>46469160900</v>
      </c>
      <c r="H3896" s="5">
        <v>0.795</v>
      </c>
      <c r="I3896" s="8">
        <f t="shared" si="241"/>
        <v>46469160900</v>
      </c>
      <c r="J3896" s="8">
        <f t="shared" si="242"/>
        <v>36942982915.5</v>
      </c>
      <c r="K3896" t="str">
        <f t="shared" si="243"/>
        <v>MATCHED</v>
      </c>
    </row>
    <row r="3897" spans="1:11">
      <c r="A3897" t="s">
        <v>120</v>
      </c>
      <c r="B3897" t="s">
        <v>1629</v>
      </c>
      <c r="C3897" t="s">
        <v>822</v>
      </c>
      <c r="D3897" t="s">
        <v>823</v>
      </c>
      <c r="E3897" s="8">
        <v>3540</v>
      </c>
      <c r="F3897" s="8">
        <v>84620</v>
      </c>
      <c r="G3897" s="8">
        <f t="shared" si="240"/>
        <v>299554800</v>
      </c>
      <c r="H3897" s="5">
        <v>0.6102</v>
      </c>
      <c r="I3897" s="8">
        <f t="shared" si="241"/>
        <v>299554800</v>
      </c>
      <c r="J3897" s="8">
        <f t="shared" si="242"/>
        <v>182788338.96</v>
      </c>
      <c r="K3897" t="str">
        <f t="shared" si="243"/>
        <v>MATCHED</v>
      </c>
    </row>
    <row r="3898" spans="1:11">
      <c r="A3898" t="s">
        <v>120</v>
      </c>
      <c r="B3898" t="s">
        <v>1629</v>
      </c>
      <c r="C3898" t="s">
        <v>824</v>
      </c>
      <c r="D3898" t="s">
        <v>825</v>
      </c>
      <c r="E3898" s="8">
        <v>4330</v>
      </c>
      <c r="F3898" s="8">
        <v>106910</v>
      </c>
      <c r="G3898" s="8">
        <f t="shared" si="240"/>
        <v>462920300</v>
      </c>
      <c r="H3898" s="5">
        <v>0.8</v>
      </c>
      <c r="I3898" s="8">
        <f t="shared" si="241"/>
        <v>462920300</v>
      </c>
      <c r="J3898" s="8">
        <f t="shared" si="242"/>
        <v>370336240</v>
      </c>
      <c r="K3898" t="str">
        <f t="shared" si="243"/>
        <v>MATCHED</v>
      </c>
    </row>
    <row r="3899" spans="1:11">
      <c r="A3899" t="s">
        <v>120</v>
      </c>
      <c r="B3899" t="s">
        <v>1629</v>
      </c>
      <c r="C3899" t="s">
        <v>826</v>
      </c>
      <c r="D3899" t="s">
        <v>827</v>
      </c>
      <c r="E3899" s="8">
        <v>900</v>
      </c>
      <c r="F3899" s="8">
        <v>90010</v>
      </c>
      <c r="G3899" s="8">
        <f t="shared" si="240"/>
        <v>81009000</v>
      </c>
      <c r="H3899" s="5">
        <v>0.8182</v>
      </c>
      <c r="I3899" s="8">
        <f t="shared" si="241"/>
        <v>81009000</v>
      </c>
      <c r="J3899" s="8">
        <f t="shared" si="242"/>
        <v>66281563.8</v>
      </c>
      <c r="K3899" t="str">
        <f t="shared" si="243"/>
        <v>MATCHED</v>
      </c>
    </row>
    <row r="3900" spans="1:11">
      <c r="A3900" t="s">
        <v>120</v>
      </c>
      <c r="B3900" t="s">
        <v>1629</v>
      </c>
      <c r="C3900" t="s">
        <v>536</v>
      </c>
      <c r="D3900" t="s">
        <v>537</v>
      </c>
      <c r="E3900" s="8">
        <v>54250</v>
      </c>
      <c r="F3900" s="8">
        <v>113730</v>
      </c>
      <c r="G3900" s="8">
        <f t="shared" si="240"/>
        <v>6169852500</v>
      </c>
      <c r="H3900" s="5">
        <v>0.6904</v>
      </c>
      <c r="I3900" s="8">
        <f t="shared" si="241"/>
        <v>6169852500</v>
      </c>
      <c r="J3900" s="8">
        <f t="shared" si="242"/>
        <v>4259666166</v>
      </c>
      <c r="K3900" t="str">
        <f t="shared" si="243"/>
        <v>MATCHED</v>
      </c>
    </row>
    <row r="3901" spans="1:11">
      <c r="A3901" t="s">
        <v>120</v>
      </c>
      <c r="B3901" t="s">
        <v>1629</v>
      </c>
      <c r="C3901" t="s">
        <v>930</v>
      </c>
      <c r="D3901" t="s">
        <v>931</v>
      </c>
      <c r="E3901" s="8">
        <v>8680</v>
      </c>
      <c r="F3901" s="8">
        <v>105820</v>
      </c>
      <c r="G3901" s="8">
        <f t="shared" si="240"/>
        <v>918517600</v>
      </c>
      <c r="H3901" s="5">
        <v>0.6857</v>
      </c>
      <c r="I3901" s="8">
        <f t="shared" si="241"/>
        <v>918517600</v>
      </c>
      <c r="J3901" s="8">
        <f t="shared" si="242"/>
        <v>629827518.32</v>
      </c>
      <c r="K3901" t="str">
        <f t="shared" si="243"/>
        <v>MATCHED</v>
      </c>
    </row>
    <row r="3902" spans="1:11">
      <c r="A3902" t="s">
        <v>120</v>
      </c>
      <c r="B3902" t="s">
        <v>1629</v>
      </c>
      <c r="C3902" t="s">
        <v>1602</v>
      </c>
      <c r="D3902" t="s">
        <v>1603</v>
      </c>
      <c r="E3902" s="8">
        <v>980</v>
      </c>
      <c r="F3902" s="8">
        <v>90520</v>
      </c>
      <c r="G3902" s="8">
        <f t="shared" si="240"/>
        <v>88709600</v>
      </c>
      <c r="H3902" s="5">
        <v>0.95</v>
      </c>
      <c r="I3902" s="8">
        <f t="shared" si="241"/>
        <v>88709600</v>
      </c>
      <c r="J3902" s="8">
        <f t="shared" si="242"/>
        <v>84274120</v>
      </c>
      <c r="K3902" t="str">
        <f t="shared" si="243"/>
        <v>MATCHED</v>
      </c>
    </row>
    <row r="3903" spans="1:11">
      <c r="A3903" t="s">
        <v>120</v>
      </c>
      <c r="B3903" t="s">
        <v>1629</v>
      </c>
      <c r="C3903" t="s">
        <v>828</v>
      </c>
      <c r="D3903" t="s">
        <v>829</v>
      </c>
      <c r="E3903" s="8">
        <v>5770</v>
      </c>
      <c r="F3903" s="8">
        <v>126810</v>
      </c>
      <c r="G3903" s="8">
        <f t="shared" si="240"/>
        <v>731693700</v>
      </c>
      <c r="H3903" s="5">
        <v>0.7767</v>
      </c>
      <c r="I3903" s="8">
        <f t="shared" si="241"/>
        <v>731693700</v>
      </c>
      <c r="J3903" s="8">
        <f t="shared" si="242"/>
        <v>568306496.79</v>
      </c>
      <c r="K3903" t="str">
        <f t="shared" si="243"/>
        <v>MATCHED</v>
      </c>
    </row>
    <row r="3904" spans="1:11">
      <c r="A3904" t="s">
        <v>120</v>
      </c>
      <c r="B3904" t="s">
        <v>1629</v>
      </c>
      <c r="C3904" t="s">
        <v>1150</v>
      </c>
      <c r="D3904" t="s">
        <v>1151</v>
      </c>
      <c r="E3904" s="8">
        <v>2430</v>
      </c>
      <c r="F3904" s="8">
        <v>83760</v>
      </c>
      <c r="G3904" s="8">
        <f t="shared" si="240"/>
        <v>203536800</v>
      </c>
      <c r="H3904" s="5">
        <v>0.5647</v>
      </c>
      <c r="I3904" s="8">
        <f t="shared" si="241"/>
        <v>203536800</v>
      </c>
      <c r="J3904" s="8">
        <f t="shared" si="242"/>
        <v>114937230.96</v>
      </c>
      <c r="K3904" t="str">
        <f t="shared" si="243"/>
        <v>MATCHED</v>
      </c>
    </row>
    <row r="3905" spans="1:11">
      <c r="A3905" t="s">
        <v>120</v>
      </c>
      <c r="B3905" t="s">
        <v>1629</v>
      </c>
      <c r="C3905" t="s">
        <v>932</v>
      </c>
      <c r="D3905" t="s">
        <v>933</v>
      </c>
      <c r="E3905" s="8">
        <v>2930</v>
      </c>
      <c r="F3905" s="8">
        <v>52500</v>
      </c>
      <c r="G3905" s="8">
        <f t="shared" si="240"/>
        <v>153825000</v>
      </c>
      <c r="H3905" s="5">
        <v>0.7587</v>
      </c>
      <c r="I3905" s="8">
        <f t="shared" si="241"/>
        <v>153825000</v>
      </c>
      <c r="J3905" s="8">
        <f t="shared" si="242"/>
        <v>116707027.5</v>
      </c>
      <c r="K3905" t="str">
        <f t="shared" si="243"/>
        <v>MATCHED</v>
      </c>
    </row>
    <row r="3906" spans="1:11">
      <c r="A3906" t="s">
        <v>120</v>
      </c>
      <c r="B3906" t="s">
        <v>1629</v>
      </c>
      <c r="C3906" t="s">
        <v>934</v>
      </c>
      <c r="D3906" t="s">
        <v>935</v>
      </c>
      <c r="E3906" s="8">
        <v>4300</v>
      </c>
      <c r="F3906" s="8">
        <v>72300</v>
      </c>
      <c r="G3906" s="8">
        <f t="shared" ref="G3906:G3969" si="244">IF(OR(E3906="",F3906=""),"",E3906*F3906)</f>
        <v>310890000</v>
      </c>
      <c r="H3906" s="5">
        <v>0.805</v>
      </c>
      <c r="I3906" s="8">
        <f t="shared" ref="I3906:I3969" si="245">IF(G3906="","",IF(ISNUMBER(H3906),G3906,""))</f>
        <v>310890000</v>
      </c>
      <c r="J3906" s="8">
        <f t="shared" ref="J3906:J3969" si="246">IF(I3906="","",I3906*H3906)</f>
        <v>250266450</v>
      </c>
      <c r="K3906" t="str">
        <f t="shared" ref="K3906:K3969" si="247">IF(G3906="","MISSING OEWS",IF(ISNUMBER(H3906),"MATCHED","MISSING WHARTON"))</f>
        <v>MATCHED</v>
      </c>
    </row>
    <row r="3907" spans="1:11">
      <c r="A3907" t="s">
        <v>120</v>
      </c>
      <c r="B3907" t="s">
        <v>1629</v>
      </c>
      <c r="C3907" t="s">
        <v>1415</v>
      </c>
      <c r="D3907" t="s">
        <v>1416</v>
      </c>
      <c r="E3907" s="8">
        <v>74040</v>
      </c>
      <c r="F3907" s="8">
        <v>60640</v>
      </c>
      <c r="G3907" s="8">
        <f t="shared" si="244"/>
        <v>4489785600</v>
      </c>
      <c r="H3907" s="5">
        <v>0.9083</v>
      </c>
      <c r="I3907" s="8">
        <f t="shared" si="245"/>
        <v>4489785600</v>
      </c>
      <c r="J3907" s="8">
        <f t="shared" si="246"/>
        <v>4078072260.48</v>
      </c>
      <c r="K3907" t="str">
        <f t="shared" si="247"/>
        <v>MATCHED</v>
      </c>
    </row>
    <row r="3908" spans="1:11">
      <c r="A3908" t="s">
        <v>120</v>
      </c>
      <c r="B3908" t="s">
        <v>1629</v>
      </c>
      <c r="C3908" t="s">
        <v>538</v>
      </c>
      <c r="D3908" t="s">
        <v>539</v>
      </c>
      <c r="E3908" s="8">
        <v>9770</v>
      </c>
      <c r="F3908" s="8">
        <v>105340</v>
      </c>
      <c r="G3908" s="8">
        <f t="shared" si="244"/>
        <v>1029171800</v>
      </c>
      <c r="H3908" s="5">
        <v>0.6192</v>
      </c>
      <c r="I3908" s="8">
        <f t="shared" si="245"/>
        <v>1029171800</v>
      </c>
      <c r="J3908" s="8">
        <f t="shared" si="246"/>
        <v>637263178.56</v>
      </c>
      <c r="K3908" t="str">
        <f t="shared" si="247"/>
        <v>MATCHED</v>
      </c>
    </row>
    <row r="3909" spans="1:11">
      <c r="A3909" t="s">
        <v>120</v>
      </c>
      <c r="B3909" t="s">
        <v>1629</v>
      </c>
      <c r="C3909" t="s">
        <v>291</v>
      </c>
      <c r="D3909" t="s">
        <v>292</v>
      </c>
      <c r="E3909" s="8">
        <v>180630</v>
      </c>
      <c r="F3909" s="8">
        <v>120460</v>
      </c>
      <c r="G3909" s="8">
        <f t="shared" si="244"/>
        <v>21758689800</v>
      </c>
      <c r="H3909" s="5">
        <v>0.6388</v>
      </c>
      <c r="I3909" s="8">
        <f t="shared" si="245"/>
        <v>21758689800</v>
      </c>
      <c r="J3909" s="8">
        <f t="shared" si="246"/>
        <v>13899451044.24</v>
      </c>
      <c r="K3909" t="str">
        <f t="shared" si="247"/>
        <v>MATCHED</v>
      </c>
    </row>
    <row r="3910" spans="1:11">
      <c r="A3910" t="s">
        <v>120</v>
      </c>
      <c r="B3910" t="s">
        <v>1629</v>
      </c>
      <c r="C3910" t="s">
        <v>540</v>
      </c>
      <c r="D3910" t="s">
        <v>541</v>
      </c>
      <c r="E3910" s="8">
        <v>78770</v>
      </c>
      <c r="F3910" s="8">
        <v>136520</v>
      </c>
      <c r="G3910" s="8">
        <f t="shared" si="244"/>
        <v>10753680400</v>
      </c>
      <c r="H3910" s="5">
        <v>0.6292</v>
      </c>
      <c r="I3910" s="8">
        <f t="shared" si="245"/>
        <v>10753680400</v>
      </c>
      <c r="J3910" s="8">
        <f t="shared" si="246"/>
        <v>6766215707.68</v>
      </c>
      <c r="K3910" t="str">
        <f t="shared" si="247"/>
        <v>MATCHED</v>
      </c>
    </row>
    <row r="3911" spans="1:11">
      <c r="A3911" t="s">
        <v>120</v>
      </c>
      <c r="B3911" t="s">
        <v>1629</v>
      </c>
      <c r="C3911" t="s">
        <v>1152</v>
      </c>
      <c r="D3911" t="s">
        <v>1153</v>
      </c>
      <c r="E3911" s="8">
        <v>15420</v>
      </c>
      <c r="F3911" s="8">
        <v>158760</v>
      </c>
      <c r="G3911" s="8">
        <f t="shared" si="244"/>
        <v>2448079200</v>
      </c>
      <c r="H3911" s="5">
        <v>0.39</v>
      </c>
      <c r="I3911" s="8">
        <f t="shared" si="245"/>
        <v>2448079200</v>
      </c>
      <c r="J3911" s="8">
        <f t="shared" si="246"/>
        <v>954750888</v>
      </c>
      <c r="K3911" t="str">
        <f t="shared" si="247"/>
        <v>MATCHED</v>
      </c>
    </row>
    <row r="3912" spans="1:11">
      <c r="A3912" t="s">
        <v>120</v>
      </c>
      <c r="B3912" t="s">
        <v>1629</v>
      </c>
      <c r="C3912" t="s">
        <v>542</v>
      </c>
      <c r="D3912" t="s">
        <v>543</v>
      </c>
      <c r="E3912" s="8">
        <v>42410</v>
      </c>
      <c r="F3912" s="8">
        <v>82820</v>
      </c>
      <c r="G3912" s="8">
        <f t="shared" si="244"/>
        <v>3512396200</v>
      </c>
      <c r="H3912" s="5">
        <v>0.7096</v>
      </c>
      <c r="I3912" s="8">
        <f t="shared" si="245"/>
        <v>3512396200</v>
      </c>
      <c r="J3912" s="8">
        <f t="shared" si="246"/>
        <v>2492396343.52</v>
      </c>
      <c r="K3912" t="str">
        <f t="shared" si="247"/>
        <v>MATCHED</v>
      </c>
    </row>
    <row r="3913" spans="1:11">
      <c r="A3913" t="s">
        <v>120</v>
      </c>
      <c r="B3913" t="s">
        <v>1629</v>
      </c>
      <c r="C3913" t="s">
        <v>293</v>
      </c>
      <c r="D3913" t="s">
        <v>294</v>
      </c>
      <c r="E3913" s="8">
        <v>211730</v>
      </c>
      <c r="F3913" s="8">
        <v>66500</v>
      </c>
      <c r="G3913" s="8">
        <f t="shared" si="244"/>
        <v>14080045000</v>
      </c>
      <c r="H3913" s="5">
        <v>0.6062</v>
      </c>
      <c r="I3913" s="8">
        <f t="shared" si="245"/>
        <v>14080045000</v>
      </c>
      <c r="J3913" s="8">
        <f t="shared" si="246"/>
        <v>8535323279</v>
      </c>
      <c r="K3913" t="str">
        <f t="shared" si="247"/>
        <v>MATCHED</v>
      </c>
    </row>
    <row r="3914" spans="1:11">
      <c r="A3914" t="s">
        <v>120</v>
      </c>
      <c r="B3914" t="s">
        <v>1629</v>
      </c>
      <c r="C3914" t="s">
        <v>544</v>
      </c>
      <c r="D3914" t="s">
        <v>545</v>
      </c>
      <c r="E3914" s="8">
        <v>65320</v>
      </c>
      <c r="F3914" s="8">
        <v>142370</v>
      </c>
      <c r="G3914" s="8">
        <f t="shared" si="244"/>
        <v>9299608400</v>
      </c>
      <c r="H3914" s="5">
        <v>0.6278</v>
      </c>
      <c r="I3914" s="8">
        <f t="shared" si="245"/>
        <v>9299608400</v>
      </c>
      <c r="J3914" s="8">
        <f t="shared" si="246"/>
        <v>5838294153.52</v>
      </c>
      <c r="K3914" t="str">
        <f t="shared" si="247"/>
        <v>MATCHED</v>
      </c>
    </row>
    <row r="3915" spans="1:11">
      <c r="A3915" t="s">
        <v>120</v>
      </c>
      <c r="B3915" t="s">
        <v>1629</v>
      </c>
      <c r="C3915" t="s">
        <v>546</v>
      </c>
      <c r="D3915" t="s">
        <v>547</v>
      </c>
      <c r="E3915" s="8">
        <v>17380</v>
      </c>
      <c r="F3915" s="8">
        <v>120140</v>
      </c>
      <c r="G3915" s="8">
        <f t="shared" si="244"/>
        <v>2088033200</v>
      </c>
      <c r="H3915" s="5">
        <v>0.8389</v>
      </c>
      <c r="I3915" s="8">
        <f t="shared" si="245"/>
        <v>2088033200</v>
      </c>
      <c r="J3915" s="8">
        <f t="shared" si="246"/>
        <v>1751651051.48</v>
      </c>
      <c r="K3915" t="str">
        <f t="shared" si="247"/>
        <v>MATCHED</v>
      </c>
    </row>
    <row r="3916" spans="1:11">
      <c r="A3916" t="s">
        <v>120</v>
      </c>
      <c r="B3916" t="s">
        <v>1629</v>
      </c>
      <c r="C3916" t="s">
        <v>548</v>
      </c>
      <c r="D3916" t="s">
        <v>549</v>
      </c>
      <c r="E3916" s="8">
        <v>24320</v>
      </c>
      <c r="F3916" s="8">
        <v>148250</v>
      </c>
      <c r="G3916" s="8">
        <f t="shared" si="244"/>
        <v>3605440000</v>
      </c>
      <c r="H3916" s="5">
        <v>0.8502</v>
      </c>
      <c r="I3916" s="8">
        <f t="shared" si="245"/>
        <v>3605440000</v>
      </c>
      <c r="J3916" s="8">
        <f t="shared" si="246"/>
        <v>3065345088</v>
      </c>
      <c r="K3916" t="str">
        <f t="shared" si="247"/>
        <v>MATCHED</v>
      </c>
    </row>
    <row r="3917" spans="1:11">
      <c r="A3917" t="s">
        <v>120</v>
      </c>
      <c r="B3917" t="s">
        <v>1629</v>
      </c>
      <c r="C3917" t="s">
        <v>295</v>
      </c>
      <c r="D3917" t="s">
        <v>296</v>
      </c>
      <c r="E3917" s="8">
        <v>81880</v>
      </c>
      <c r="F3917" s="8">
        <v>110260</v>
      </c>
      <c r="G3917" s="8">
        <f t="shared" si="244"/>
        <v>9028088800</v>
      </c>
      <c r="H3917" s="5">
        <v>0.695</v>
      </c>
      <c r="I3917" s="8">
        <f t="shared" si="245"/>
        <v>9028088800</v>
      </c>
      <c r="J3917" s="8">
        <f t="shared" si="246"/>
        <v>6274521716</v>
      </c>
      <c r="K3917" t="str">
        <f t="shared" si="247"/>
        <v>MATCHED</v>
      </c>
    </row>
    <row r="3918" spans="1:11">
      <c r="A3918" t="s">
        <v>120</v>
      </c>
      <c r="B3918" t="s">
        <v>1629</v>
      </c>
      <c r="C3918" t="s">
        <v>550</v>
      </c>
      <c r="D3918" t="s">
        <v>551</v>
      </c>
      <c r="E3918" s="8">
        <v>38700</v>
      </c>
      <c r="F3918" s="8">
        <v>104810</v>
      </c>
      <c r="G3918" s="8">
        <f t="shared" si="244"/>
        <v>4056147000</v>
      </c>
      <c r="H3918" s="5">
        <v>0.6824</v>
      </c>
      <c r="I3918" s="8">
        <f t="shared" si="245"/>
        <v>4056147000</v>
      </c>
      <c r="J3918" s="8">
        <f t="shared" si="246"/>
        <v>2767914712.8</v>
      </c>
      <c r="K3918" t="str">
        <f t="shared" si="247"/>
        <v>MATCHED</v>
      </c>
    </row>
    <row r="3919" spans="1:11">
      <c r="A3919" t="s">
        <v>120</v>
      </c>
      <c r="B3919" t="s">
        <v>1629</v>
      </c>
      <c r="C3919" t="s">
        <v>297</v>
      </c>
      <c r="D3919" t="s">
        <v>298</v>
      </c>
      <c r="E3919" s="8">
        <v>698420</v>
      </c>
      <c r="F3919" s="8">
        <v>143040</v>
      </c>
      <c r="G3919" s="8">
        <f t="shared" si="244"/>
        <v>99901996800</v>
      </c>
      <c r="H3919" s="5">
        <v>0.5211</v>
      </c>
      <c r="I3919" s="8">
        <f t="shared" si="245"/>
        <v>99901996800</v>
      </c>
      <c r="J3919" s="8">
        <f t="shared" si="246"/>
        <v>52058930532.48</v>
      </c>
      <c r="K3919" t="str">
        <f t="shared" si="247"/>
        <v>MATCHED</v>
      </c>
    </row>
    <row r="3920" spans="1:11">
      <c r="A3920" t="s">
        <v>120</v>
      </c>
      <c r="B3920" t="s">
        <v>1629</v>
      </c>
      <c r="C3920" t="s">
        <v>552</v>
      </c>
      <c r="D3920" t="s">
        <v>553</v>
      </c>
      <c r="E3920" s="8">
        <v>78350</v>
      </c>
      <c r="F3920" s="8">
        <v>107870</v>
      </c>
      <c r="G3920" s="8">
        <f t="shared" si="244"/>
        <v>8451614500</v>
      </c>
      <c r="H3920" s="5">
        <v>0.8117</v>
      </c>
      <c r="I3920" s="8">
        <f t="shared" si="245"/>
        <v>8451614500</v>
      </c>
      <c r="J3920" s="8">
        <f t="shared" si="246"/>
        <v>6860175489.65</v>
      </c>
      <c r="K3920" t="str">
        <f t="shared" si="247"/>
        <v>MATCHED</v>
      </c>
    </row>
    <row r="3921" spans="1:11">
      <c r="A3921" t="s">
        <v>120</v>
      </c>
      <c r="B3921" t="s">
        <v>1629</v>
      </c>
      <c r="C3921" t="s">
        <v>830</v>
      </c>
      <c r="D3921" t="s">
        <v>831</v>
      </c>
      <c r="E3921" s="8">
        <v>30770</v>
      </c>
      <c r="F3921" s="8">
        <v>93450</v>
      </c>
      <c r="G3921" s="8">
        <f t="shared" si="244"/>
        <v>2875456500</v>
      </c>
      <c r="H3921" s="5">
        <v>0.8276</v>
      </c>
      <c r="I3921" s="8">
        <f t="shared" si="245"/>
        <v>2875456500</v>
      </c>
      <c r="J3921" s="8">
        <f t="shared" si="246"/>
        <v>2379727799.4</v>
      </c>
      <c r="K3921" t="str">
        <f t="shared" si="247"/>
        <v>MATCHED</v>
      </c>
    </row>
    <row r="3922" spans="1:11">
      <c r="A3922" t="s">
        <v>120</v>
      </c>
      <c r="B3922" t="s">
        <v>1629</v>
      </c>
      <c r="C3922" t="s">
        <v>832</v>
      </c>
      <c r="D3922" t="s">
        <v>833</v>
      </c>
      <c r="E3922" s="8">
        <v>33430</v>
      </c>
      <c r="F3922" s="8">
        <v>108930</v>
      </c>
      <c r="G3922" s="8">
        <f t="shared" si="244"/>
        <v>3641529900</v>
      </c>
      <c r="H3922" s="5">
        <v>0.6827</v>
      </c>
      <c r="I3922" s="8">
        <f t="shared" si="245"/>
        <v>3641529900</v>
      </c>
      <c r="J3922" s="8">
        <f t="shared" si="246"/>
        <v>2486072462.73</v>
      </c>
      <c r="K3922" t="str">
        <f t="shared" si="247"/>
        <v>MATCHED</v>
      </c>
    </row>
    <row r="3923" spans="1:11">
      <c r="A3923" t="s">
        <v>120</v>
      </c>
      <c r="B3923" t="s">
        <v>1629</v>
      </c>
      <c r="C3923" t="s">
        <v>299</v>
      </c>
      <c r="D3923" t="s">
        <v>300</v>
      </c>
      <c r="E3923" s="8">
        <v>123970</v>
      </c>
      <c r="F3923" s="8">
        <v>125890</v>
      </c>
      <c r="G3923" s="8">
        <f t="shared" si="244"/>
        <v>15606583300</v>
      </c>
      <c r="H3923" s="5">
        <v>0.7425</v>
      </c>
      <c r="I3923" s="8">
        <f t="shared" si="245"/>
        <v>15606583300</v>
      </c>
      <c r="J3923" s="8">
        <f t="shared" si="246"/>
        <v>11587888100.25</v>
      </c>
      <c r="K3923" t="str">
        <f t="shared" si="247"/>
        <v>MATCHED</v>
      </c>
    </row>
    <row r="3924" spans="1:11">
      <c r="A3924" t="s">
        <v>120</v>
      </c>
      <c r="B3924" t="s">
        <v>1629</v>
      </c>
      <c r="C3924" t="s">
        <v>1604</v>
      </c>
      <c r="D3924" t="s">
        <v>1605</v>
      </c>
      <c r="E3924" s="8">
        <v>3910</v>
      </c>
      <c r="F3924" s="8">
        <v>131900</v>
      </c>
      <c r="G3924" s="8">
        <f t="shared" si="244"/>
        <v>515729000</v>
      </c>
      <c r="H3924" s="5">
        <v>0.74</v>
      </c>
      <c r="I3924" s="8">
        <f t="shared" si="245"/>
        <v>515729000</v>
      </c>
      <c r="J3924" s="8">
        <f t="shared" si="246"/>
        <v>381639460</v>
      </c>
      <c r="K3924" t="str">
        <f t="shared" si="247"/>
        <v>MATCHED</v>
      </c>
    </row>
    <row r="3925" spans="1:11">
      <c r="A3925" t="s">
        <v>120</v>
      </c>
      <c r="B3925" t="s">
        <v>1629</v>
      </c>
      <c r="C3925" t="s">
        <v>1154</v>
      </c>
      <c r="D3925" t="s">
        <v>1155</v>
      </c>
      <c r="E3925" s="8">
        <v>270</v>
      </c>
      <c r="F3925" s="8">
        <v>153860</v>
      </c>
      <c r="G3925" s="8">
        <f t="shared" si="244"/>
        <v>41542200</v>
      </c>
      <c r="H3925" s="5">
        <v>0.5318</v>
      </c>
      <c r="I3925" s="8">
        <f t="shared" si="245"/>
        <v>41542200</v>
      </c>
      <c r="J3925" s="8">
        <f t="shared" si="246"/>
        <v>22092141.96</v>
      </c>
      <c r="K3925" t="str">
        <f t="shared" si="247"/>
        <v>MATCHED</v>
      </c>
    </row>
    <row r="3926" spans="1:11">
      <c r="A3926" t="s">
        <v>120</v>
      </c>
      <c r="B3926" t="s">
        <v>1629</v>
      </c>
      <c r="C3926" t="s">
        <v>554</v>
      </c>
      <c r="D3926" t="s">
        <v>555</v>
      </c>
      <c r="E3926" s="8">
        <v>25060</v>
      </c>
      <c r="F3926" s="8">
        <v>105200</v>
      </c>
      <c r="G3926" s="8">
        <f t="shared" si="244"/>
        <v>2636312000</v>
      </c>
      <c r="H3926" s="5">
        <v>0.6031</v>
      </c>
      <c r="I3926" s="8">
        <f t="shared" si="245"/>
        <v>2636312000</v>
      </c>
      <c r="J3926" s="8">
        <f t="shared" si="246"/>
        <v>1589959767.2</v>
      </c>
      <c r="K3926" t="str">
        <f t="shared" si="247"/>
        <v>MATCHED</v>
      </c>
    </row>
    <row r="3927" spans="1:11">
      <c r="A3927" t="s">
        <v>120</v>
      </c>
      <c r="B3927" t="s">
        <v>1629</v>
      </c>
      <c r="C3927" t="s">
        <v>1156</v>
      </c>
      <c r="D3927" t="s">
        <v>1157</v>
      </c>
      <c r="E3927" s="8">
        <v>9440</v>
      </c>
      <c r="F3927" s="8">
        <v>128320</v>
      </c>
      <c r="G3927" s="8">
        <f t="shared" si="244"/>
        <v>1211340800</v>
      </c>
      <c r="H3927" s="5">
        <v>0.7282</v>
      </c>
      <c r="I3927" s="8">
        <f t="shared" si="245"/>
        <v>1211340800</v>
      </c>
      <c r="J3927" s="8">
        <f t="shared" si="246"/>
        <v>882098370.56</v>
      </c>
      <c r="K3927" t="str">
        <f t="shared" si="247"/>
        <v>MATCHED</v>
      </c>
    </row>
    <row r="3928" spans="1:11">
      <c r="A3928" t="s">
        <v>120</v>
      </c>
      <c r="B3928" t="s">
        <v>1629</v>
      </c>
      <c r="C3928" t="s">
        <v>556</v>
      </c>
      <c r="D3928" t="s">
        <v>557</v>
      </c>
      <c r="E3928" s="8">
        <v>69730</v>
      </c>
      <c r="F3928" s="8">
        <v>130900</v>
      </c>
      <c r="G3928" s="8">
        <f t="shared" si="244"/>
        <v>9127657000</v>
      </c>
      <c r="H3928" s="5">
        <v>0.8228</v>
      </c>
      <c r="I3928" s="8">
        <f t="shared" si="245"/>
        <v>9127657000</v>
      </c>
      <c r="J3928" s="8">
        <f t="shared" si="246"/>
        <v>7510236179.6</v>
      </c>
      <c r="K3928" t="str">
        <f t="shared" si="247"/>
        <v>MATCHED</v>
      </c>
    </row>
    <row r="3929" spans="1:11">
      <c r="A3929" t="s">
        <v>120</v>
      </c>
      <c r="B3929" t="s">
        <v>1629</v>
      </c>
      <c r="C3929" t="s">
        <v>1158</v>
      </c>
      <c r="D3929" t="s">
        <v>1159</v>
      </c>
      <c r="E3929" s="8">
        <v>1430</v>
      </c>
      <c r="F3929" s="8">
        <v>96290</v>
      </c>
      <c r="G3929" s="8">
        <f t="shared" si="244"/>
        <v>137694700</v>
      </c>
      <c r="H3929" s="5">
        <v>0.7711</v>
      </c>
      <c r="I3929" s="8">
        <f t="shared" si="245"/>
        <v>137694700</v>
      </c>
      <c r="J3929" s="8">
        <f t="shared" si="246"/>
        <v>106176383.17</v>
      </c>
      <c r="K3929" t="str">
        <f t="shared" si="247"/>
        <v>MATCHED</v>
      </c>
    </row>
    <row r="3930" spans="1:11">
      <c r="A3930" t="s">
        <v>120</v>
      </c>
      <c r="B3930" t="s">
        <v>1629</v>
      </c>
      <c r="C3930" t="s">
        <v>834</v>
      </c>
      <c r="D3930" t="s">
        <v>835</v>
      </c>
      <c r="E3930" s="8">
        <v>94960</v>
      </c>
      <c r="F3930" s="8">
        <v>105280</v>
      </c>
      <c r="G3930" s="8">
        <f t="shared" si="244"/>
        <v>9997388800</v>
      </c>
      <c r="H3930" s="5">
        <v>0.5375</v>
      </c>
      <c r="I3930" s="8">
        <f t="shared" si="245"/>
        <v>9997388800</v>
      </c>
      <c r="J3930" s="8">
        <f t="shared" si="246"/>
        <v>5373596480</v>
      </c>
      <c r="K3930" t="str">
        <f t="shared" si="247"/>
        <v>MATCHED</v>
      </c>
    </row>
    <row r="3931" spans="1:11">
      <c r="A3931" t="s">
        <v>120</v>
      </c>
      <c r="B3931" t="s">
        <v>1629</v>
      </c>
      <c r="C3931" t="s">
        <v>936</v>
      </c>
      <c r="D3931" t="s">
        <v>937</v>
      </c>
      <c r="E3931" s="8">
        <v>12030</v>
      </c>
      <c r="F3931" s="8">
        <v>91940</v>
      </c>
      <c r="G3931" s="8">
        <f t="shared" si="244"/>
        <v>1106038200</v>
      </c>
      <c r="H3931" s="5">
        <v>0.3342</v>
      </c>
      <c r="I3931" s="8">
        <f t="shared" si="245"/>
        <v>1106038200</v>
      </c>
      <c r="J3931" s="8">
        <f t="shared" si="246"/>
        <v>369637966.44</v>
      </c>
      <c r="K3931" t="str">
        <f t="shared" si="247"/>
        <v>MATCHED</v>
      </c>
    </row>
    <row r="3932" spans="1:11">
      <c r="A3932" t="s">
        <v>120</v>
      </c>
      <c r="B3932" t="s">
        <v>1629</v>
      </c>
      <c r="C3932" t="s">
        <v>558</v>
      </c>
      <c r="D3932" t="s">
        <v>559</v>
      </c>
      <c r="E3932" s="8">
        <v>4990</v>
      </c>
      <c r="F3932" s="8">
        <v>81210</v>
      </c>
      <c r="G3932" s="8">
        <f t="shared" si="244"/>
        <v>405237900</v>
      </c>
      <c r="H3932" s="5">
        <v>0.7929</v>
      </c>
      <c r="I3932" s="8">
        <f t="shared" si="245"/>
        <v>405237900</v>
      </c>
      <c r="J3932" s="8">
        <f t="shared" si="246"/>
        <v>321313130.91</v>
      </c>
      <c r="K3932" t="str">
        <f t="shared" si="247"/>
        <v>MATCHED</v>
      </c>
    </row>
    <row r="3933" spans="1:11">
      <c r="A3933" t="s">
        <v>120</v>
      </c>
      <c r="B3933" t="s">
        <v>1629</v>
      </c>
      <c r="C3933" t="s">
        <v>560</v>
      </c>
      <c r="D3933" t="s">
        <v>561</v>
      </c>
      <c r="E3933" s="8">
        <v>38170</v>
      </c>
      <c r="F3933" s="8">
        <v>78430</v>
      </c>
      <c r="G3933" s="8">
        <f t="shared" si="244"/>
        <v>2993673100</v>
      </c>
      <c r="H3933" s="5">
        <v>0.3682</v>
      </c>
      <c r="I3933" s="8">
        <f t="shared" si="245"/>
        <v>2993673100</v>
      </c>
      <c r="J3933" s="8">
        <f t="shared" si="246"/>
        <v>1102270435.42</v>
      </c>
      <c r="K3933" t="str">
        <f t="shared" si="247"/>
        <v>MATCHED</v>
      </c>
    </row>
    <row r="3934" spans="1:11">
      <c r="A3934" t="s">
        <v>120</v>
      </c>
      <c r="B3934" t="s">
        <v>1629</v>
      </c>
      <c r="C3934" t="s">
        <v>1160</v>
      </c>
      <c r="D3934" t="s">
        <v>1161</v>
      </c>
      <c r="E3934" s="8">
        <v>20150</v>
      </c>
      <c r="F3934" s="8">
        <v>144180</v>
      </c>
      <c r="G3934" s="8">
        <f t="shared" si="244"/>
        <v>2905227000</v>
      </c>
      <c r="H3934" s="5">
        <v>0.5333</v>
      </c>
      <c r="I3934" s="8">
        <f t="shared" si="245"/>
        <v>2905227000</v>
      </c>
      <c r="J3934" s="8">
        <f t="shared" si="246"/>
        <v>1549357559.1</v>
      </c>
      <c r="K3934" t="str">
        <f t="shared" si="247"/>
        <v>MATCHED</v>
      </c>
    </row>
    <row r="3935" spans="1:11">
      <c r="A3935" t="s">
        <v>120</v>
      </c>
      <c r="B3935" t="s">
        <v>1629</v>
      </c>
      <c r="C3935" t="s">
        <v>836</v>
      </c>
      <c r="D3935" t="s">
        <v>837</v>
      </c>
      <c r="E3935" s="8">
        <v>410</v>
      </c>
      <c r="F3935" s="8">
        <v>111420</v>
      </c>
      <c r="G3935" s="8">
        <f t="shared" si="244"/>
        <v>45682200</v>
      </c>
      <c r="H3935" s="5">
        <v>0.1</v>
      </c>
      <c r="I3935" s="8">
        <f t="shared" si="245"/>
        <v>45682200</v>
      </c>
      <c r="J3935" s="8">
        <f t="shared" si="246"/>
        <v>4568220</v>
      </c>
      <c r="K3935" t="str">
        <f t="shared" si="247"/>
        <v>MATCHED</v>
      </c>
    </row>
    <row r="3936" spans="1:11">
      <c r="A3936" t="s">
        <v>120</v>
      </c>
      <c r="B3936" t="s">
        <v>1629</v>
      </c>
      <c r="C3936" t="s">
        <v>1162</v>
      </c>
      <c r="D3936" t="s">
        <v>1163</v>
      </c>
      <c r="E3936" s="8">
        <v>6500</v>
      </c>
      <c r="F3936" s="8">
        <v>122690</v>
      </c>
      <c r="G3936" s="8">
        <f t="shared" si="244"/>
        <v>797485000</v>
      </c>
      <c r="H3936" s="5">
        <v>0.4067</v>
      </c>
      <c r="I3936" s="8">
        <f t="shared" si="245"/>
        <v>797485000</v>
      </c>
      <c r="J3936" s="8">
        <f t="shared" si="246"/>
        <v>324337149.5</v>
      </c>
      <c r="K3936" t="str">
        <f t="shared" si="247"/>
        <v>MATCHED</v>
      </c>
    </row>
    <row r="3937" spans="1:11">
      <c r="A3937" t="s">
        <v>120</v>
      </c>
      <c r="B3937" t="s">
        <v>1629</v>
      </c>
      <c r="C3937" t="s">
        <v>562</v>
      </c>
      <c r="D3937" t="s">
        <v>563</v>
      </c>
      <c r="E3937" s="8">
        <v>5280</v>
      </c>
      <c r="F3937" s="8">
        <v>138410</v>
      </c>
      <c r="G3937" s="8">
        <f t="shared" si="244"/>
        <v>730804800</v>
      </c>
      <c r="H3937" s="5">
        <v>0.3615</v>
      </c>
      <c r="I3937" s="8">
        <f t="shared" si="245"/>
        <v>730804800</v>
      </c>
      <c r="J3937" s="8">
        <f t="shared" si="246"/>
        <v>264185935.2</v>
      </c>
      <c r="K3937" t="str">
        <f t="shared" si="247"/>
        <v>MATCHED</v>
      </c>
    </row>
    <row r="3938" spans="1:11">
      <c r="A3938" t="s">
        <v>120</v>
      </c>
      <c r="B3938" t="s">
        <v>1629</v>
      </c>
      <c r="C3938" t="s">
        <v>564</v>
      </c>
      <c r="D3938" t="s">
        <v>565</v>
      </c>
      <c r="E3938" s="8">
        <v>208300</v>
      </c>
      <c r="F3938" s="8">
        <v>109940</v>
      </c>
      <c r="G3938" s="8">
        <f t="shared" si="244"/>
        <v>22900502000</v>
      </c>
      <c r="H3938" s="5">
        <v>0.4218</v>
      </c>
      <c r="I3938" s="8">
        <f t="shared" si="245"/>
        <v>22900502000</v>
      </c>
      <c r="J3938" s="8">
        <f t="shared" si="246"/>
        <v>9659431743.6</v>
      </c>
      <c r="K3938" t="str">
        <f t="shared" si="247"/>
        <v>MATCHED</v>
      </c>
    </row>
    <row r="3939" spans="1:11">
      <c r="A3939" t="s">
        <v>120</v>
      </c>
      <c r="B3939" t="s">
        <v>1629</v>
      </c>
      <c r="C3939" t="s">
        <v>838</v>
      </c>
      <c r="D3939" t="s">
        <v>839</v>
      </c>
      <c r="E3939" s="8">
        <v>30320</v>
      </c>
      <c r="F3939" s="8">
        <v>168670</v>
      </c>
      <c r="G3939" s="8">
        <f t="shared" si="244"/>
        <v>5114074400</v>
      </c>
      <c r="H3939" s="5">
        <v>0.3639</v>
      </c>
      <c r="I3939" s="8">
        <f t="shared" si="245"/>
        <v>5114074400</v>
      </c>
      <c r="J3939" s="8">
        <f t="shared" si="246"/>
        <v>1861011674.16</v>
      </c>
      <c r="K3939" t="str">
        <f t="shared" si="247"/>
        <v>MATCHED</v>
      </c>
    </row>
    <row r="3940" spans="1:11">
      <c r="A3940" t="s">
        <v>120</v>
      </c>
      <c r="B3940" t="s">
        <v>1629</v>
      </c>
      <c r="C3940" t="s">
        <v>566</v>
      </c>
      <c r="D3940" t="s">
        <v>567</v>
      </c>
      <c r="E3940" s="8">
        <v>70260</v>
      </c>
      <c r="F3940" s="8">
        <v>126270</v>
      </c>
      <c r="G3940" s="8">
        <f t="shared" si="244"/>
        <v>8871730200</v>
      </c>
      <c r="H3940" s="5">
        <v>0.3523</v>
      </c>
      <c r="I3940" s="8">
        <f t="shared" si="245"/>
        <v>8871730200</v>
      </c>
      <c r="J3940" s="8">
        <f t="shared" si="246"/>
        <v>3125510549.46</v>
      </c>
      <c r="K3940" t="str">
        <f t="shared" si="247"/>
        <v>MATCHED</v>
      </c>
    </row>
    <row r="3941" spans="1:11">
      <c r="A3941" t="s">
        <v>120</v>
      </c>
      <c r="B3941" t="s">
        <v>1629</v>
      </c>
      <c r="C3941" t="s">
        <v>568</v>
      </c>
      <c r="D3941" t="s">
        <v>569</v>
      </c>
      <c r="E3941" s="8">
        <v>22560</v>
      </c>
      <c r="F3941" s="8">
        <v>146990</v>
      </c>
      <c r="G3941" s="8">
        <f t="shared" si="244"/>
        <v>3316094400</v>
      </c>
      <c r="H3941" s="5">
        <v>0.4536</v>
      </c>
      <c r="I3941" s="8">
        <f t="shared" si="245"/>
        <v>3316094400</v>
      </c>
      <c r="J3941" s="8">
        <f t="shared" si="246"/>
        <v>1504180419.84</v>
      </c>
      <c r="K3941" t="str">
        <f t="shared" si="247"/>
        <v>MATCHED</v>
      </c>
    </row>
    <row r="3942" spans="1:11">
      <c r="A3942" t="s">
        <v>120</v>
      </c>
      <c r="B3942" t="s">
        <v>1629</v>
      </c>
      <c r="C3942" t="s">
        <v>570</v>
      </c>
      <c r="D3942" t="s">
        <v>571</v>
      </c>
      <c r="E3942" s="8">
        <v>18250</v>
      </c>
      <c r="F3942" s="8">
        <v>113500</v>
      </c>
      <c r="G3942" s="8">
        <f t="shared" si="244"/>
        <v>2071375000</v>
      </c>
      <c r="H3942" s="5">
        <v>0.5196</v>
      </c>
      <c r="I3942" s="8">
        <f t="shared" si="245"/>
        <v>2071375000</v>
      </c>
      <c r="J3942" s="8">
        <f t="shared" si="246"/>
        <v>1076286450</v>
      </c>
      <c r="K3942" t="str">
        <f t="shared" si="247"/>
        <v>MATCHED</v>
      </c>
    </row>
    <row r="3943" spans="1:11">
      <c r="A3943" t="s">
        <v>120</v>
      </c>
      <c r="B3943" t="s">
        <v>1629</v>
      </c>
      <c r="C3943" t="s">
        <v>572</v>
      </c>
      <c r="D3943" t="s">
        <v>573</v>
      </c>
      <c r="E3943" s="8">
        <v>4990</v>
      </c>
      <c r="F3943" s="8">
        <v>122100</v>
      </c>
      <c r="G3943" s="8">
        <f t="shared" si="244"/>
        <v>609279000</v>
      </c>
      <c r="H3943" s="5">
        <v>0.2672</v>
      </c>
      <c r="I3943" s="8">
        <f t="shared" si="245"/>
        <v>609279000</v>
      </c>
      <c r="J3943" s="8">
        <f t="shared" si="246"/>
        <v>162799348.8</v>
      </c>
      <c r="K3943" t="str">
        <f t="shared" si="247"/>
        <v>MATCHED</v>
      </c>
    </row>
    <row r="3944" spans="1:11">
      <c r="A3944" t="s">
        <v>120</v>
      </c>
      <c r="B3944" t="s">
        <v>1629</v>
      </c>
      <c r="C3944" t="s">
        <v>301</v>
      </c>
      <c r="D3944" t="s">
        <v>302</v>
      </c>
      <c r="E3944" s="8">
        <v>52400</v>
      </c>
      <c r="F3944" s="8">
        <v>118810</v>
      </c>
      <c r="G3944" s="8">
        <f t="shared" si="244"/>
        <v>6225644000</v>
      </c>
      <c r="H3944" s="5">
        <v>0.4786</v>
      </c>
      <c r="I3944" s="8">
        <f t="shared" si="245"/>
        <v>6225644000</v>
      </c>
      <c r="J3944" s="8">
        <f t="shared" si="246"/>
        <v>2979593218.4</v>
      </c>
      <c r="K3944" t="str">
        <f t="shared" si="247"/>
        <v>MATCHED</v>
      </c>
    </row>
    <row r="3945" spans="1:11">
      <c r="A3945" t="s">
        <v>120</v>
      </c>
      <c r="B3945" t="s">
        <v>1629</v>
      </c>
      <c r="C3945" t="s">
        <v>938</v>
      </c>
      <c r="D3945" t="s">
        <v>939</v>
      </c>
      <c r="E3945" s="8">
        <v>1810</v>
      </c>
      <c r="F3945" s="8">
        <v>130960</v>
      </c>
      <c r="G3945" s="8">
        <f t="shared" si="244"/>
        <v>237037600</v>
      </c>
      <c r="H3945" s="5">
        <v>0.2417</v>
      </c>
      <c r="I3945" s="8">
        <f t="shared" si="245"/>
        <v>237037600</v>
      </c>
      <c r="J3945" s="8">
        <f t="shared" si="246"/>
        <v>57291987.92</v>
      </c>
      <c r="K3945" t="str">
        <f t="shared" si="247"/>
        <v>MATCHED</v>
      </c>
    </row>
    <row r="3946" spans="1:11">
      <c r="A3946" t="s">
        <v>120</v>
      </c>
      <c r="B3946" t="s">
        <v>1629</v>
      </c>
      <c r="C3946" t="s">
        <v>574</v>
      </c>
      <c r="D3946" t="s">
        <v>575</v>
      </c>
      <c r="E3946" s="8">
        <v>5770</v>
      </c>
      <c r="F3946" s="8">
        <v>124960</v>
      </c>
      <c r="G3946" s="8">
        <f t="shared" si="244"/>
        <v>721019200</v>
      </c>
      <c r="H3946" s="5">
        <v>0.269</v>
      </c>
      <c r="I3946" s="8">
        <f t="shared" si="245"/>
        <v>721019200</v>
      </c>
      <c r="J3946" s="8">
        <f t="shared" si="246"/>
        <v>193954164.8</v>
      </c>
      <c r="K3946" t="str">
        <f t="shared" si="247"/>
        <v>MATCHED</v>
      </c>
    </row>
    <row r="3947" spans="1:11">
      <c r="A3947" t="s">
        <v>120</v>
      </c>
      <c r="B3947" t="s">
        <v>1629</v>
      </c>
      <c r="C3947" t="s">
        <v>576</v>
      </c>
      <c r="D3947" t="s">
        <v>577</v>
      </c>
      <c r="E3947" s="8">
        <v>94960</v>
      </c>
      <c r="F3947" s="8">
        <v>119290</v>
      </c>
      <c r="G3947" s="8">
        <f t="shared" si="244"/>
        <v>11327778400</v>
      </c>
      <c r="H3947" s="5">
        <v>0.3008</v>
      </c>
      <c r="I3947" s="8">
        <f t="shared" si="245"/>
        <v>11327778400</v>
      </c>
      <c r="J3947" s="8">
        <f t="shared" si="246"/>
        <v>3407395742.72</v>
      </c>
      <c r="K3947" t="str">
        <f t="shared" si="247"/>
        <v>MATCHED</v>
      </c>
    </row>
    <row r="3948" spans="1:11">
      <c r="A3948" t="s">
        <v>120</v>
      </c>
      <c r="B3948" t="s">
        <v>1629</v>
      </c>
      <c r="C3948" t="s">
        <v>578</v>
      </c>
      <c r="D3948" t="s">
        <v>579</v>
      </c>
      <c r="E3948" s="8">
        <v>2370</v>
      </c>
      <c r="F3948" s="8">
        <v>113790</v>
      </c>
      <c r="G3948" s="8">
        <f t="shared" si="244"/>
        <v>269682300</v>
      </c>
      <c r="H3948" s="5">
        <v>0.2861</v>
      </c>
      <c r="I3948" s="8">
        <f t="shared" si="245"/>
        <v>269682300</v>
      </c>
      <c r="J3948" s="8">
        <f t="shared" si="246"/>
        <v>77156106.03</v>
      </c>
      <c r="K3948" t="str">
        <f t="shared" si="247"/>
        <v>MATCHED</v>
      </c>
    </row>
    <row r="3949" spans="1:11">
      <c r="A3949" t="s">
        <v>120</v>
      </c>
      <c r="B3949" t="s">
        <v>1629</v>
      </c>
      <c r="C3949" t="s">
        <v>840</v>
      </c>
      <c r="D3949" t="s">
        <v>841</v>
      </c>
      <c r="E3949" s="8">
        <v>6410</v>
      </c>
      <c r="F3949" s="8">
        <v>152570</v>
      </c>
      <c r="G3949" s="8">
        <f t="shared" si="244"/>
        <v>977973700</v>
      </c>
      <c r="H3949" s="5">
        <v>0.2825</v>
      </c>
      <c r="I3949" s="8">
        <f t="shared" si="245"/>
        <v>977973700</v>
      </c>
      <c r="J3949" s="8">
        <f t="shared" si="246"/>
        <v>276277570.25</v>
      </c>
      <c r="K3949" t="str">
        <f t="shared" si="247"/>
        <v>MATCHED</v>
      </c>
    </row>
    <row r="3950" spans="1:11">
      <c r="A3950" t="s">
        <v>120</v>
      </c>
      <c r="B3950" t="s">
        <v>1629</v>
      </c>
      <c r="C3950" t="s">
        <v>580</v>
      </c>
      <c r="D3950" t="s">
        <v>581</v>
      </c>
      <c r="E3950" s="8">
        <v>3450</v>
      </c>
      <c r="F3950" s="8">
        <v>122730</v>
      </c>
      <c r="G3950" s="8">
        <f t="shared" si="244"/>
        <v>423418500</v>
      </c>
      <c r="H3950" s="5">
        <v>0.3065</v>
      </c>
      <c r="I3950" s="8">
        <f t="shared" si="245"/>
        <v>423418500</v>
      </c>
      <c r="J3950" s="8">
        <f t="shared" si="246"/>
        <v>129777770.25</v>
      </c>
      <c r="K3950" t="str">
        <f t="shared" si="247"/>
        <v>MATCHED</v>
      </c>
    </row>
    <row r="3951" spans="1:11">
      <c r="A3951" t="s">
        <v>120</v>
      </c>
      <c r="B3951" t="s">
        <v>1629</v>
      </c>
      <c r="C3951" t="s">
        <v>582</v>
      </c>
      <c r="D3951" t="s">
        <v>583</v>
      </c>
      <c r="E3951" s="8">
        <v>42750</v>
      </c>
      <c r="F3951" s="8">
        <v>123120</v>
      </c>
      <c r="G3951" s="8">
        <f t="shared" si="244"/>
        <v>5263380000</v>
      </c>
      <c r="H3951" s="5">
        <v>0.315</v>
      </c>
      <c r="I3951" s="8">
        <f t="shared" si="245"/>
        <v>5263380000</v>
      </c>
      <c r="J3951" s="8">
        <f t="shared" si="246"/>
        <v>1657964700</v>
      </c>
      <c r="K3951" t="str">
        <f t="shared" si="247"/>
        <v>MATCHED</v>
      </c>
    </row>
    <row r="3952" spans="1:11">
      <c r="A3952" t="s">
        <v>120</v>
      </c>
      <c r="B3952" t="s">
        <v>1629</v>
      </c>
      <c r="C3952" t="s">
        <v>584</v>
      </c>
      <c r="D3952" t="s">
        <v>585</v>
      </c>
      <c r="E3952" s="8">
        <v>75130</v>
      </c>
      <c r="F3952" s="8">
        <v>70490</v>
      </c>
      <c r="G3952" s="8">
        <f t="shared" si="244"/>
        <v>5295913700</v>
      </c>
      <c r="H3952" s="5">
        <v>0.7</v>
      </c>
      <c r="I3952" s="8">
        <f t="shared" si="245"/>
        <v>5295913700</v>
      </c>
      <c r="J3952" s="8">
        <f t="shared" si="246"/>
        <v>3707139590</v>
      </c>
      <c r="K3952" t="str">
        <f t="shared" si="247"/>
        <v>MATCHED</v>
      </c>
    </row>
    <row r="3953" spans="1:11">
      <c r="A3953" t="s">
        <v>120</v>
      </c>
      <c r="B3953" t="s">
        <v>1629</v>
      </c>
      <c r="C3953" t="s">
        <v>842</v>
      </c>
      <c r="D3953" t="s">
        <v>843</v>
      </c>
      <c r="E3953" s="8">
        <v>6250</v>
      </c>
      <c r="F3953" s="8">
        <v>82520</v>
      </c>
      <c r="G3953" s="8">
        <f t="shared" si="244"/>
        <v>515750000</v>
      </c>
      <c r="H3953" s="5">
        <v>0.5217</v>
      </c>
      <c r="I3953" s="8">
        <f t="shared" si="245"/>
        <v>515750000</v>
      </c>
      <c r="J3953" s="8">
        <f t="shared" si="246"/>
        <v>269066775</v>
      </c>
      <c r="K3953" t="str">
        <f t="shared" si="247"/>
        <v>MATCHED</v>
      </c>
    </row>
    <row r="3954" spans="1:11">
      <c r="A3954" t="s">
        <v>120</v>
      </c>
      <c r="B3954" t="s">
        <v>1629</v>
      </c>
      <c r="C3954" t="s">
        <v>586</v>
      </c>
      <c r="D3954" t="s">
        <v>587</v>
      </c>
      <c r="E3954" s="8">
        <v>9130</v>
      </c>
      <c r="F3954" s="8">
        <v>81790</v>
      </c>
      <c r="G3954" s="8">
        <f t="shared" si="244"/>
        <v>746742700</v>
      </c>
      <c r="H3954" s="5">
        <v>0.71</v>
      </c>
      <c r="I3954" s="8">
        <f t="shared" si="245"/>
        <v>746742700</v>
      </c>
      <c r="J3954" s="8">
        <f t="shared" si="246"/>
        <v>530187317</v>
      </c>
      <c r="K3954" t="str">
        <f t="shared" si="247"/>
        <v>MATCHED</v>
      </c>
    </row>
    <row r="3955" spans="1:11">
      <c r="A3955" t="s">
        <v>120</v>
      </c>
      <c r="B3955" t="s">
        <v>1629</v>
      </c>
      <c r="C3955" t="s">
        <v>588</v>
      </c>
      <c r="D3955" t="s">
        <v>589</v>
      </c>
      <c r="E3955" s="8">
        <v>3050</v>
      </c>
      <c r="F3955" s="8">
        <v>73130</v>
      </c>
      <c r="G3955" s="8">
        <f t="shared" si="244"/>
        <v>223046500</v>
      </c>
      <c r="H3955" s="5"/>
      <c r="I3955" s="8" t="str">
        <f t="shared" si="245"/>
        <v/>
      </c>
      <c r="J3955" s="8" t="str">
        <f t="shared" si="246"/>
        <v/>
      </c>
      <c r="K3955" t="str">
        <f t="shared" si="247"/>
        <v>MISSING WHARTON</v>
      </c>
    </row>
    <row r="3956" spans="1:11">
      <c r="A3956" t="s">
        <v>120</v>
      </c>
      <c r="B3956" t="s">
        <v>1629</v>
      </c>
      <c r="C3956" t="s">
        <v>1164</v>
      </c>
      <c r="D3956" t="s">
        <v>1165</v>
      </c>
      <c r="E3956" s="8">
        <v>4030</v>
      </c>
      <c r="F3956" s="8">
        <v>84150</v>
      </c>
      <c r="G3956" s="8">
        <f t="shared" si="244"/>
        <v>339124500</v>
      </c>
      <c r="H3956" s="5">
        <v>0.175</v>
      </c>
      <c r="I3956" s="8">
        <f t="shared" si="245"/>
        <v>339124500</v>
      </c>
      <c r="J3956" s="8">
        <f t="shared" si="246"/>
        <v>59346787.5</v>
      </c>
      <c r="K3956" t="str">
        <f t="shared" si="247"/>
        <v>MATCHED</v>
      </c>
    </row>
    <row r="3957" spans="1:11">
      <c r="A3957" t="s">
        <v>120</v>
      </c>
      <c r="B3957" t="s">
        <v>1629</v>
      </c>
      <c r="C3957" t="s">
        <v>590</v>
      </c>
      <c r="D3957" t="s">
        <v>591</v>
      </c>
      <c r="E3957" s="8">
        <v>36310</v>
      </c>
      <c r="F3957" s="8">
        <v>68400</v>
      </c>
      <c r="G3957" s="8">
        <f t="shared" si="244"/>
        <v>2483604000</v>
      </c>
      <c r="H3957" s="5">
        <v>0.4567</v>
      </c>
      <c r="I3957" s="8">
        <f t="shared" si="245"/>
        <v>2483604000</v>
      </c>
      <c r="J3957" s="8">
        <f t="shared" si="246"/>
        <v>1134261946.8</v>
      </c>
      <c r="K3957" t="str">
        <f t="shared" si="247"/>
        <v>MATCHED</v>
      </c>
    </row>
    <row r="3958" spans="1:11">
      <c r="A3958" t="s">
        <v>120</v>
      </c>
      <c r="B3958" t="s">
        <v>1629</v>
      </c>
      <c r="C3958" t="s">
        <v>592</v>
      </c>
      <c r="D3958" t="s">
        <v>593</v>
      </c>
      <c r="E3958" s="8">
        <v>20640</v>
      </c>
      <c r="F3958" s="8">
        <v>77700</v>
      </c>
      <c r="G3958" s="8">
        <f t="shared" si="244"/>
        <v>1603728000</v>
      </c>
      <c r="H3958" s="5">
        <v>0.4</v>
      </c>
      <c r="I3958" s="8">
        <f t="shared" si="245"/>
        <v>1603728000</v>
      </c>
      <c r="J3958" s="8">
        <f t="shared" si="246"/>
        <v>641491200</v>
      </c>
      <c r="K3958" t="str">
        <f t="shared" si="247"/>
        <v>MATCHED</v>
      </c>
    </row>
    <row r="3959" spans="1:11">
      <c r="A3959" t="s">
        <v>120</v>
      </c>
      <c r="B3959" t="s">
        <v>1629</v>
      </c>
      <c r="C3959" t="s">
        <v>594</v>
      </c>
      <c r="D3959" t="s">
        <v>595</v>
      </c>
      <c r="E3959" s="8">
        <v>4250</v>
      </c>
      <c r="F3959" s="8">
        <v>83190</v>
      </c>
      <c r="G3959" s="8">
        <f t="shared" si="244"/>
        <v>353557500</v>
      </c>
      <c r="H3959" s="5">
        <v>0.1781</v>
      </c>
      <c r="I3959" s="8">
        <f t="shared" si="245"/>
        <v>353557500</v>
      </c>
      <c r="J3959" s="8">
        <f t="shared" si="246"/>
        <v>62968590.75</v>
      </c>
      <c r="K3959" t="str">
        <f t="shared" si="247"/>
        <v>MATCHED</v>
      </c>
    </row>
    <row r="3960" spans="1:11">
      <c r="A3960" t="s">
        <v>120</v>
      </c>
      <c r="B3960" t="s">
        <v>1629</v>
      </c>
      <c r="C3960" t="s">
        <v>596</v>
      </c>
      <c r="D3960" t="s">
        <v>597</v>
      </c>
      <c r="E3960" s="8">
        <v>6800</v>
      </c>
      <c r="F3960" s="8">
        <v>62740</v>
      </c>
      <c r="G3960" s="8">
        <f t="shared" si="244"/>
        <v>426632000</v>
      </c>
      <c r="H3960" s="5">
        <v>0.4615</v>
      </c>
      <c r="I3960" s="8">
        <f t="shared" si="245"/>
        <v>426632000</v>
      </c>
      <c r="J3960" s="8">
        <f t="shared" si="246"/>
        <v>196890668</v>
      </c>
      <c r="K3960" t="str">
        <f t="shared" si="247"/>
        <v>MATCHED</v>
      </c>
    </row>
    <row r="3961" spans="1:11">
      <c r="A3961" t="s">
        <v>120</v>
      </c>
      <c r="B3961" t="s">
        <v>1629</v>
      </c>
      <c r="C3961" t="s">
        <v>598</v>
      </c>
      <c r="D3961" t="s">
        <v>599</v>
      </c>
      <c r="E3961" s="8">
        <v>8190</v>
      </c>
      <c r="F3961" s="8">
        <v>74300</v>
      </c>
      <c r="G3961" s="8">
        <f t="shared" si="244"/>
        <v>608517000</v>
      </c>
      <c r="H3961" s="5">
        <v>0.2855</v>
      </c>
      <c r="I3961" s="8">
        <f t="shared" si="245"/>
        <v>608517000</v>
      </c>
      <c r="J3961" s="8">
        <f t="shared" si="246"/>
        <v>173731603.5</v>
      </c>
      <c r="K3961" t="str">
        <f t="shared" si="247"/>
        <v>MATCHED</v>
      </c>
    </row>
    <row r="3962" spans="1:11">
      <c r="A3962" t="s">
        <v>120</v>
      </c>
      <c r="B3962" t="s">
        <v>1629</v>
      </c>
      <c r="C3962" t="s">
        <v>600</v>
      </c>
      <c r="D3962" t="s">
        <v>601</v>
      </c>
      <c r="E3962" s="8">
        <v>10980</v>
      </c>
      <c r="F3962" s="8">
        <v>81060</v>
      </c>
      <c r="G3962" s="8">
        <f t="shared" si="244"/>
        <v>890038800</v>
      </c>
      <c r="H3962" s="5">
        <v>0.3125</v>
      </c>
      <c r="I3962" s="8">
        <f t="shared" si="245"/>
        <v>890038800</v>
      </c>
      <c r="J3962" s="8">
        <f t="shared" si="246"/>
        <v>278137125</v>
      </c>
      <c r="K3962" t="str">
        <f t="shared" si="247"/>
        <v>MATCHED</v>
      </c>
    </row>
    <row r="3963" spans="1:11">
      <c r="A3963" t="s">
        <v>120</v>
      </c>
      <c r="B3963" t="s">
        <v>1629</v>
      </c>
      <c r="C3963" t="s">
        <v>602</v>
      </c>
      <c r="D3963" t="s">
        <v>603</v>
      </c>
      <c r="E3963" s="8">
        <v>4280</v>
      </c>
      <c r="F3963" s="8">
        <v>68320</v>
      </c>
      <c r="G3963" s="8">
        <f t="shared" si="244"/>
        <v>292409600</v>
      </c>
      <c r="H3963" s="5">
        <v>0.1733</v>
      </c>
      <c r="I3963" s="8">
        <f t="shared" si="245"/>
        <v>292409600</v>
      </c>
      <c r="J3963" s="8">
        <f t="shared" si="246"/>
        <v>50674583.68</v>
      </c>
      <c r="K3963" t="str">
        <f t="shared" si="247"/>
        <v>MATCHED</v>
      </c>
    </row>
    <row r="3964" spans="1:11">
      <c r="A3964" t="s">
        <v>120</v>
      </c>
      <c r="B3964" t="s">
        <v>1629</v>
      </c>
      <c r="C3964" t="s">
        <v>604</v>
      </c>
      <c r="D3964" t="s">
        <v>605</v>
      </c>
      <c r="E3964" s="8">
        <v>16340</v>
      </c>
      <c r="F3964" s="8">
        <v>75530</v>
      </c>
      <c r="G3964" s="8">
        <f t="shared" si="244"/>
        <v>1234160200</v>
      </c>
      <c r="H3964" s="5">
        <v>0.1404</v>
      </c>
      <c r="I3964" s="8">
        <f t="shared" si="245"/>
        <v>1234160200</v>
      </c>
      <c r="J3964" s="8">
        <f t="shared" si="246"/>
        <v>173276092.08</v>
      </c>
      <c r="K3964" t="str">
        <f t="shared" si="247"/>
        <v>MATCHED</v>
      </c>
    </row>
    <row r="3965" spans="1:11">
      <c r="A3965" t="s">
        <v>120</v>
      </c>
      <c r="B3965" t="s">
        <v>1629</v>
      </c>
      <c r="C3965" t="s">
        <v>606</v>
      </c>
      <c r="D3965" t="s">
        <v>607</v>
      </c>
      <c r="E3965" s="8">
        <v>38180</v>
      </c>
      <c r="F3965" s="8">
        <v>55640</v>
      </c>
      <c r="G3965" s="8">
        <f t="shared" si="244"/>
        <v>2124335200</v>
      </c>
      <c r="H3965" s="5">
        <v>0.6783</v>
      </c>
      <c r="I3965" s="8">
        <f t="shared" si="245"/>
        <v>2124335200</v>
      </c>
      <c r="J3965" s="8">
        <f t="shared" si="246"/>
        <v>1440936566.16</v>
      </c>
      <c r="K3965" t="str">
        <f t="shared" si="247"/>
        <v>MATCHED</v>
      </c>
    </row>
    <row r="3966" spans="1:11">
      <c r="A3966" t="s">
        <v>120</v>
      </c>
      <c r="B3966" t="s">
        <v>1629</v>
      </c>
      <c r="C3966" t="s">
        <v>303</v>
      </c>
      <c r="D3966" t="s">
        <v>304</v>
      </c>
      <c r="E3966" s="8">
        <v>1460</v>
      </c>
      <c r="F3966" s="8">
        <v>78530</v>
      </c>
      <c r="G3966" s="8">
        <f t="shared" si="244"/>
        <v>114653800</v>
      </c>
      <c r="H3966" s="5">
        <v>0.2333</v>
      </c>
      <c r="I3966" s="8">
        <f t="shared" si="245"/>
        <v>114653800</v>
      </c>
      <c r="J3966" s="8">
        <f t="shared" si="246"/>
        <v>26748731.54</v>
      </c>
      <c r="K3966" t="str">
        <f t="shared" si="247"/>
        <v>MATCHED</v>
      </c>
    </row>
    <row r="3967" spans="1:11">
      <c r="A3967" t="s">
        <v>120</v>
      </c>
      <c r="B3967" t="s">
        <v>1629</v>
      </c>
      <c r="C3967" t="s">
        <v>305</v>
      </c>
      <c r="D3967" t="s">
        <v>306</v>
      </c>
      <c r="E3967" s="8">
        <v>1870</v>
      </c>
      <c r="F3967" s="8">
        <v>100540</v>
      </c>
      <c r="G3967" s="8">
        <f t="shared" si="244"/>
        <v>188009800</v>
      </c>
      <c r="H3967" s="5">
        <v>0.1269</v>
      </c>
      <c r="I3967" s="8">
        <f t="shared" si="245"/>
        <v>188009800</v>
      </c>
      <c r="J3967" s="8">
        <f t="shared" si="246"/>
        <v>23858443.62</v>
      </c>
      <c r="K3967" t="str">
        <f t="shared" si="247"/>
        <v>MATCHED</v>
      </c>
    </row>
    <row r="3968" spans="1:11">
      <c r="A3968" t="s">
        <v>120</v>
      </c>
      <c r="B3968" t="s">
        <v>1629</v>
      </c>
      <c r="C3968" t="s">
        <v>307</v>
      </c>
      <c r="D3968" t="s">
        <v>308</v>
      </c>
      <c r="E3968" s="8">
        <v>5270</v>
      </c>
      <c r="F3968" s="8">
        <v>92760</v>
      </c>
      <c r="G3968" s="8">
        <f t="shared" si="244"/>
        <v>488845200</v>
      </c>
      <c r="H3968" s="5">
        <v>0.0519</v>
      </c>
      <c r="I3968" s="8">
        <f t="shared" si="245"/>
        <v>488845200</v>
      </c>
      <c r="J3968" s="8">
        <f t="shared" si="246"/>
        <v>25371065.88</v>
      </c>
      <c r="K3968" t="str">
        <f t="shared" si="247"/>
        <v>MATCHED</v>
      </c>
    </row>
    <row r="3969" spans="1:11">
      <c r="A3969" t="s">
        <v>120</v>
      </c>
      <c r="B3969" t="s">
        <v>1629</v>
      </c>
      <c r="C3969" t="s">
        <v>1166</v>
      </c>
      <c r="D3969" t="s">
        <v>1167</v>
      </c>
      <c r="E3969" s="8">
        <v>23380</v>
      </c>
      <c r="F3969" s="8">
        <v>135140</v>
      </c>
      <c r="G3969" s="8">
        <f t="shared" si="244"/>
        <v>3159573200</v>
      </c>
      <c r="H3969" s="5">
        <v>0.1667</v>
      </c>
      <c r="I3969" s="8">
        <f t="shared" si="245"/>
        <v>3159573200</v>
      </c>
      <c r="J3969" s="8">
        <f t="shared" si="246"/>
        <v>526700852.44</v>
      </c>
      <c r="K3969" t="str">
        <f t="shared" si="247"/>
        <v>MATCHED</v>
      </c>
    </row>
    <row r="3970" spans="1:11">
      <c r="A3970" t="s">
        <v>120</v>
      </c>
      <c r="B3970" t="s">
        <v>1629</v>
      </c>
      <c r="C3970" t="s">
        <v>1168</v>
      </c>
      <c r="D3970" t="s">
        <v>1169</v>
      </c>
      <c r="E3970" s="8">
        <v>6790</v>
      </c>
      <c r="F3970" s="8">
        <v>92700</v>
      </c>
      <c r="G3970" s="8">
        <f t="shared" ref="G3970:G4033" si="248">IF(OR(E3970="",F3970=""),"",E3970*F3970)</f>
        <v>629433000</v>
      </c>
      <c r="H3970" s="5">
        <v>0.05</v>
      </c>
      <c r="I3970" s="8">
        <f t="shared" ref="I3970:I4033" si="249">IF(G3970="","",IF(ISNUMBER(H3970),G3970,""))</f>
        <v>629433000</v>
      </c>
      <c r="J3970" s="8">
        <f t="shared" ref="J3970:J4033" si="250">IF(I3970="","",I3970*H3970)</f>
        <v>31471650</v>
      </c>
      <c r="K3970" t="str">
        <f t="shared" ref="K3970:K4033" si="251">IF(G3970="","MISSING OEWS",IF(ISNUMBER(H3970),"MATCHED","MISSING WHARTON"))</f>
        <v>MATCHED</v>
      </c>
    </row>
    <row r="3971" spans="1:11">
      <c r="A3971" t="s">
        <v>120</v>
      </c>
      <c r="B3971" t="s">
        <v>1629</v>
      </c>
      <c r="C3971" t="s">
        <v>844</v>
      </c>
      <c r="D3971" t="s">
        <v>845</v>
      </c>
      <c r="E3971" s="8">
        <v>2890</v>
      </c>
      <c r="F3971" s="8">
        <v>102790</v>
      </c>
      <c r="G3971" s="8">
        <f t="shared" si="248"/>
        <v>297063100</v>
      </c>
      <c r="H3971" s="5">
        <v>0.15</v>
      </c>
      <c r="I3971" s="8">
        <f t="shared" si="249"/>
        <v>297063100</v>
      </c>
      <c r="J3971" s="8">
        <f t="shared" si="250"/>
        <v>44559465</v>
      </c>
      <c r="K3971" t="str">
        <f t="shared" si="251"/>
        <v>MATCHED</v>
      </c>
    </row>
    <row r="3972" spans="1:11">
      <c r="A3972" t="s">
        <v>120</v>
      </c>
      <c r="B3972" t="s">
        <v>1629</v>
      </c>
      <c r="C3972" t="s">
        <v>309</v>
      </c>
      <c r="D3972" t="s">
        <v>310</v>
      </c>
      <c r="E3972" s="8">
        <v>20310</v>
      </c>
      <c r="F3972" s="8">
        <v>113390</v>
      </c>
      <c r="G3972" s="8">
        <f t="shared" si="248"/>
        <v>2302950900</v>
      </c>
      <c r="H3972" s="5">
        <v>0.4037</v>
      </c>
      <c r="I3972" s="8">
        <f t="shared" si="249"/>
        <v>2302950900</v>
      </c>
      <c r="J3972" s="8">
        <f t="shared" si="250"/>
        <v>929701278.33</v>
      </c>
      <c r="K3972" t="str">
        <f t="shared" si="251"/>
        <v>MATCHED</v>
      </c>
    </row>
    <row r="3973" spans="1:11">
      <c r="A3973" t="s">
        <v>120</v>
      </c>
      <c r="B3973" t="s">
        <v>1629</v>
      </c>
      <c r="C3973" t="s">
        <v>1632</v>
      </c>
      <c r="D3973" t="s">
        <v>1633</v>
      </c>
      <c r="E3973" s="8">
        <v>1430</v>
      </c>
      <c r="F3973" s="8">
        <v>81210</v>
      </c>
      <c r="G3973" s="8">
        <f t="shared" si="248"/>
        <v>116130300</v>
      </c>
      <c r="H3973" s="5">
        <v>0.2122</v>
      </c>
      <c r="I3973" s="8">
        <f t="shared" si="249"/>
        <v>116130300</v>
      </c>
      <c r="J3973" s="8">
        <f t="shared" si="250"/>
        <v>24642849.66</v>
      </c>
      <c r="K3973" t="str">
        <f t="shared" si="251"/>
        <v>MATCHED</v>
      </c>
    </row>
    <row r="3974" spans="1:11">
      <c r="A3974" t="s">
        <v>120</v>
      </c>
      <c r="B3974" t="s">
        <v>1629</v>
      </c>
      <c r="C3974" t="s">
        <v>311</v>
      </c>
      <c r="D3974" t="s">
        <v>312</v>
      </c>
      <c r="E3974" s="8">
        <v>680</v>
      </c>
      <c r="F3974" s="8">
        <v>69080</v>
      </c>
      <c r="G3974" s="8">
        <f t="shared" si="248"/>
        <v>46974400</v>
      </c>
      <c r="H3974" s="5">
        <v>0.056</v>
      </c>
      <c r="I3974" s="8">
        <f t="shared" si="249"/>
        <v>46974400</v>
      </c>
      <c r="J3974" s="8">
        <f t="shared" si="250"/>
        <v>2630566.4</v>
      </c>
      <c r="K3974" t="str">
        <f t="shared" si="251"/>
        <v>MATCHED</v>
      </c>
    </row>
    <row r="3975" spans="1:11">
      <c r="A3975" t="s">
        <v>120</v>
      </c>
      <c r="B3975" t="s">
        <v>1629</v>
      </c>
      <c r="C3975" t="s">
        <v>1170</v>
      </c>
      <c r="D3975" t="s">
        <v>1171</v>
      </c>
      <c r="E3975" s="8">
        <v>1680</v>
      </c>
      <c r="F3975" s="8">
        <v>120090</v>
      </c>
      <c r="G3975" s="8">
        <f t="shared" si="248"/>
        <v>201751200</v>
      </c>
      <c r="H3975" s="5">
        <v>0.3433</v>
      </c>
      <c r="I3975" s="8">
        <f t="shared" si="249"/>
        <v>201751200</v>
      </c>
      <c r="J3975" s="8">
        <f t="shared" si="250"/>
        <v>69261186.96</v>
      </c>
      <c r="K3975" t="str">
        <f t="shared" si="251"/>
        <v>MATCHED</v>
      </c>
    </row>
    <row r="3976" spans="1:11">
      <c r="A3976" t="s">
        <v>120</v>
      </c>
      <c r="B3976" t="s">
        <v>1629</v>
      </c>
      <c r="C3976" t="s">
        <v>1172</v>
      </c>
      <c r="D3976" t="s">
        <v>1173</v>
      </c>
      <c r="E3976" s="8">
        <v>63180</v>
      </c>
      <c r="F3976" s="8">
        <v>132710</v>
      </c>
      <c r="G3976" s="8">
        <f t="shared" si="248"/>
        <v>8384617800</v>
      </c>
      <c r="H3976" s="5">
        <v>0.1857</v>
      </c>
      <c r="I3976" s="8">
        <f t="shared" si="249"/>
        <v>8384617800</v>
      </c>
      <c r="J3976" s="8">
        <f t="shared" si="250"/>
        <v>1557023525.46</v>
      </c>
      <c r="K3976" t="str">
        <f t="shared" si="251"/>
        <v>MATCHED</v>
      </c>
    </row>
    <row r="3977" spans="1:11">
      <c r="A3977" t="s">
        <v>120</v>
      </c>
      <c r="B3977" t="s">
        <v>1629</v>
      </c>
      <c r="C3977" t="s">
        <v>1174</v>
      </c>
      <c r="D3977" t="s">
        <v>1175</v>
      </c>
      <c r="E3977" s="8">
        <v>2580</v>
      </c>
      <c r="F3977" s="8">
        <v>129550</v>
      </c>
      <c r="G3977" s="8">
        <f t="shared" si="248"/>
        <v>334239000</v>
      </c>
      <c r="H3977" s="5"/>
      <c r="I3977" s="8" t="str">
        <f t="shared" si="249"/>
        <v/>
      </c>
      <c r="J3977" s="8" t="str">
        <f t="shared" si="250"/>
        <v/>
      </c>
      <c r="K3977" t="str">
        <f t="shared" si="251"/>
        <v>MISSING WHARTON</v>
      </c>
    </row>
    <row r="3978" spans="1:11">
      <c r="A3978" t="s">
        <v>120</v>
      </c>
      <c r="B3978" t="s">
        <v>1629</v>
      </c>
      <c r="C3978" t="s">
        <v>1634</v>
      </c>
      <c r="D3978" t="s">
        <v>1635</v>
      </c>
      <c r="E3978" s="8">
        <v>1140</v>
      </c>
      <c r="F3978" s="8">
        <v>128370</v>
      </c>
      <c r="G3978" s="8">
        <f t="shared" si="248"/>
        <v>146341800</v>
      </c>
      <c r="H3978" s="5">
        <v>0.3324</v>
      </c>
      <c r="I3978" s="8">
        <f t="shared" si="249"/>
        <v>146341800</v>
      </c>
      <c r="J3978" s="8">
        <f t="shared" si="250"/>
        <v>48644014.32</v>
      </c>
      <c r="K3978" t="str">
        <f t="shared" si="251"/>
        <v>MATCHED</v>
      </c>
    </row>
    <row r="3979" spans="1:11">
      <c r="A3979" t="s">
        <v>120</v>
      </c>
      <c r="B3979" t="s">
        <v>1629</v>
      </c>
      <c r="C3979" t="s">
        <v>846</v>
      </c>
      <c r="D3979" t="s">
        <v>847</v>
      </c>
      <c r="E3979" s="8">
        <v>9920</v>
      </c>
      <c r="F3979" s="8">
        <v>178620</v>
      </c>
      <c r="G3979" s="8">
        <f t="shared" si="248"/>
        <v>1771910400</v>
      </c>
      <c r="H3979" s="5">
        <v>0.44</v>
      </c>
      <c r="I3979" s="8">
        <f t="shared" si="249"/>
        <v>1771910400</v>
      </c>
      <c r="J3979" s="8">
        <f t="shared" si="250"/>
        <v>779640576</v>
      </c>
      <c r="K3979" t="str">
        <f t="shared" si="251"/>
        <v>MATCHED</v>
      </c>
    </row>
    <row r="3980" spans="1:11">
      <c r="A3980" t="s">
        <v>120</v>
      </c>
      <c r="B3980" t="s">
        <v>1629</v>
      </c>
      <c r="C3980" t="s">
        <v>848</v>
      </c>
      <c r="D3980" t="s">
        <v>849</v>
      </c>
      <c r="E3980" s="8">
        <v>3630</v>
      </c>
      <c r="F3980" s="8">
        <v>94790</v>
      </c>
      <c r="G3980" s="8">
        <f t="shared" si="248"/>
        <v>344087700</v>
      </c>
      <c r="H3980" s="5">
        <v>0.5759</v>
      </c>
      <c r="I3980" s="8">
        <f t="shared" si="249"/>
        <v>344087700</v>
      </c>
      <c r="J3980" s="8">
        <f t="shared" si="250"/>
        <v>198160106.43</v>
      </c>
      <c r="K3980" t="str">
        <f t="shared" si="251"/>
        <v>MATCHED</v>
      </c>
    </row>
    <row r="3981" spans="1:11">
      <c r="A3981" t="s">
        <v>120</v>
      </c>
      <c r="B3981" t="s">
        <v>1629</v>
      </c>
      <c r="C3981" t="s">
        <v>608</v>
      </c>
      <c r="D3981" t="s">
        <v>609</v>
      </c>
      <c r="E3981" s="8">
        <v>24680</v>
      </c>
      <c r="F3981" s="8">
        <v>100060</v>
      </c>
      <c r="G3981" s="8">
        <f t="shared" si="248"/>
        <v>2469480800</v>
      </c>
      <c r="H3981" s="5">
        <v>0.1808</v>
      </c>
      <c r="I3981" s="8">
        <f t="shared" si="249"/>
        <v>2469480800</v>
      </c>
      <c r="J3981" s="8">
        <f t="shared" si="250"/>
        <v>446482128.64</v>
      </c>
      <c r="K3981" t="str">
        <f t="shared" si="251"/>
        <v>MATCHED</v>
      </c>
    </row>
    <row r="3982" spans="1:11">
      <c r="A3982" t="s">
        <v>120</v>
      </c>
      <c r="B3982" t="s">
        <v>1629</v>
      </c>
      <c r="C3982" t="s">
        <v>1176</v>
      </c>
      <c r="D3982" t="s">
        <v>1177</v>
      </c>
      <c r="E3982" s="8">
        <v>3760</v>
      </c>
      <c r="F3982" s="8">
        <v>138400</v>
      </c>
      <c r="G3982" s="8">
        <f t="shared" si="248"/>
        <v>520384000</v>
      </c>
      <c r="H3982" s="5">
        <v>0.2062</v>
      </c>
      <c r="I3982" s="8">
        <f t="shared" si="249"/>
        <v>520384000</v>
      </c>
      <c r="J3982" s="8">
        <f t="shared" si="250"/>
        <v>107303180.8</v>
      </c>
      <c r="K3982" t="str">
        <f t="shared" si="251"/>
        <v>MATCHED</v>
      </c>
    </row>
    <row r="3983" spans="1:11">
      <c r="A3983" t="s">
        <v>120</v>
      </c>
      <c r="B3983" t="s">
        <v>1629</v>
      </c>
      <c r="C3983" t="s">
        <v>610</v>
      </c>
      <c r="D3983" t="s">
        <v>611</v>
      </c>
      <c r="E3983" s="8">
        <v>34500</v>
      </c>
      <c r="F3983" s="8">
        <v>91030</v>
      </c>
      <c r="G3983" s="8">
        <f t="shared" si="248"/>
        <v>3140535000</v>
      </c>
      <c r="H3983" s="5">
        <v>0.4662</v>
      </c>
      <c r="I3983" s="8">
        <f t="shared" si="249"/>
        <v>3140535000</v>
      </c>
      <c r="J3983" s="8">
        <f t="shared" si="250"/>
        <v>1464117417</v>
      </c>
      <c r="K3983" t="str">
        <f t="shared" si="251"/>
        <v>MATCHED</v>
      </c>
    </row>
    <row r="3984" spans="1:11">
      <c r="A3984" t="s">
        <v>120</v>
      </c>
      <c r="B3984" t="s">
        <v>1629</v>
      </c>
      <c r="C3984" t="s">
        <v>612</v>
      </c>
      <c r="D3984" t="s">
        <v>613</v>
      </c>
      <c r="E3984" s="8">
        <v>11620</v>
      </c>
      <c r="F3984" s="8">
        <v>100200</v>
      </c>
      <c r="G3984" s="8">
        <f t="shared" si="248"/>
        <v>1164324000</v>
      </c>
      <c r="H3984" s="5">
        <v>0.2937</v>
      </c>
      <c r="I3984" s="8">
        <f t="shared" si="249"/>
        <v>1164324000</v>
      </c>
      <c r="J3984" s="8">
        <f t="shared" si="250"/>
        <v>341961958.8</v>
      </c>
      <c r="K3984" t="str">
        <f t="shared" si="251"/>
        <v>MATCHED</v>
      </c>
    </row>
    <row r="3985" spans="1:11">
      <c r="A3985" t="s">
        <v>120</v>
      </c>
      <c r="B3985" t="s">
        <v>1629</v>
      </c>
      <c r="C3985" t="s">
        <v>1636</v>
      </c>
      <c r="D3985" t="s">
        <v>1637</v>
      </c>
      <c r="E3985" s="8">
        <v>1720</v>
      </c>
      <c r="F3985" s="8">
        <v>118060</v>
      </c>
      <c r="G3985" s="8">
        <f t="shared" si="248"/>
        <v>203063200</v>
      </c>
      <c r="H3985" s="5">
        <v>0.366</v>
      </c>
      <c r="I3985" s="8">
        <f t="shared" si="249"/>
        <v>203063200</v>
      </c>
      <c r="J3985" s="8">
        <f t="shared" si="250"/>
        <v>74321131.2</v>
      </c>
      <c r="K3985" t="str">
        <f t="shared" si="251"/>
        <v>MATCHED</v>
      </c>
    </row>
    <row r="3986" spans="1:11">
      <c r="A3986" t="s">
        <v>120</v>
      </c>
      <c r="B3986" t="s">
        <v>1629</v>
      </c>
      <c r="C3986" t="s">
        <v>850</v>
      </c>
      <c r="D3986" t="s">
        <v>851</v>
      </c>
      <c r="E3986" s="8">
        <v>4400</v>
      </c>
      <c r="F3986" s="8">
        <v>138190</v>
      </c>
      <c r="G3986" s="8">
        <f t="shared" si="248"/>
        <v>608036000</v>
      </c>
      <c r="H3986" s="5">
        <v>0.5312</v>
      </c>
      <c r="I3986" s="8">
        <f t="shared" si="249"/>
        <v>608036000</v>
      </c>
      <c r="J3986" s="8">
        <f t="shared" si="250"/>
        <v>322988723.2</v>
      </c>
      <c r="K3986" t="str">
        <f t="shared" si="251"/>
        <v>MATCHED</v>
      </c>
    </row>
    <row r="3987" spans="1:11">
      <c r="A3987" t="s">
        <v>120</v>
      </c>
      <c r="B3987" t="s">
        <v>1629</v>
      </c>
      <c r="C3987" t="s">
        <v>614</v>
      </c>
      <c r="D3987" t="s">
        <v>615</v>
      </c>
      <c r="E3987" s="8">
        <v>5810</v>
      </c>
      <c r="F3987" s="8">
        <v>161420</v>
      </c>
      <c r="G3987" s="8">
        <f t="shared" si="248"/>
        <v>937850200</v>
      </c>
      <c r="H3987" s="5">
        <v>0.5271</v>
      </c>
      <c r="I3987" s="8">
        <f t="shared" si="249"/>
        <v>937850200</v>
      </c>
      <c r="J3987" s="8">
        <f t="shared" si="250"/>
        <v>494340840.42</v>
      </c>
      <c r="K3987" t="str">
        <f t="shared" si="251"/>
        <v>MATCHED</v>
      </c>
    </row>
    <row r="3988" spans="1:11">
      <c r="A3988" t="s">
        <v>120</v>
      </c>
      <c r="B3988" t="s">
        <v>1629</v>
      </c>
      <c r="C3988" t="s">
        <v>1567</v>
      </c>
      <c r="D3988" t="s">
        <v>1568</v>
      </c>
      <c r="E3988" s="8">
        <v>4770</v>
      </c>
      <c r="F3988" s="8">
        <v>85950</v>
      </c>
      <c r="G3988" s="8">
        <f t="shared" si="248"/>
        <v>409981500</v>
      </c>
      <c r="H3988" s="5">
        <v>0.7375</v>
      </c>
      <c r="I3988" s="8">
        <f t="shared" si="249"/>
        <v>409981500</v>
      </c>
      <c r="J3988" s="8">
        <f t="shared" si="250"/>
        <v>302361356.25</v>
      </c>
      <c r="K3988" t="str">
        <f t="shared" si="251"/>
        <v>MATCHED</v>
      </c>
    </row>
    <row r="3989" spans="1:11">
      <c r="A3989" t="s">
        <v>120</v>
      </c>
      <c r="B3989" t="s">
        <v>1629</v>
      </c>
      <c r="C3989" t="s">
        <v>1638</v>
      </c>
      <c r="D3989" t="s">
        <v>1639</v>
      </c>
      <c r="E3989" s="8">
        <v>590</v>
      </c>
      <c r="F3989" s="8">
        <v>184340</v>
      </c>
      <c r="G3989" s="8">
        <f t="shared" si="248"/>
        <v>108760600</v>
      </c>
      <c r="H3989" s="5">
        <v>0.488</v>
      </c>
      <c r="I3989" s="8">
        <f t="shared" si="249"/>
        <v>108760600</v>
      </c>
      <c r="J3989" s="8">
        <f t="shared" si="250"/>
        <v>53075172.8</v>
      </c>
      <c r="K3989" t="str">
        <f t="shared" si="251"/>
        <v>MATCHED</v>
      </c>
    </row>
    <row r="3990" spans="1:11">
      <c r="A3990" t="s">
        <v>120</v>
      </c>
      <c r="B3990" t="s">
        <v>1629</v>
      </c>
      <c r="C3990" t="s">
        <v>1606</v>
      </c>
      <c r="D3990" t="s">
        <v>1607</v>
      </c>
      <c r="E3990" s="8">
        <v>2070</v>
      </c>
      <c r="F3990" s="8">
        <v>113700</v>
      </c>
      <c r="G3990" s="8">
        <f t="shared" si="248"/>
        <v>235359000</v>
      </c>
      <c r="H3990" s="5">
        <v>0.1883</v>
      </c>
      <c r="I3990" s="8">
        <f t="shared" si="249"/>
        <v>235359000</v>
      </c>
      <c r="J3990" s="8">
        <f t="shared" si="250"/>
        <v>44318099.7</v>
      </c>
      <c r="K3990" t="str">
        <f t="shared" si="251"/>
        <v>MATCHED</v>
      </c>
    </row>
    <row r="3991" spans="1:11">
      <c r="A3991" t="s">
        <v>120</v>
      </c>
      <c r="B3991" t="s">
        <v>1629</v>
      </c>
      <c r="C3991" t="s">
        <v>1640</v>
      </c>
      <c r="D3991" t="s">
        <v>1641</v>
      </c>
      <c r="E3991" s="8"/>
      <c r="F3991" s="8">
        <v>141850</v>
      </c>
      <c r="G3991" s="8" t="str">
        <f t="shared" si="248"/>
        <v/>
      </c>
      <c r="H3991" s="5">
        <v>0.3447</v>
      </c>
      <c r="I3991" s="8" t="str">
        <f t="shared" si="249"/>
        <v/>
      </c>
      <c r="J3991" s="8" t="str">
        <f t="shared" si="250"/>
        <v/>
      </c>
      <c r="K3991" t="str">
        <f t="shared" si="251"/>
        <v>MISSING OEWS</v>
      </c>
    </row>
    <row r="3992" spans="1:11">
      <c r="A3992" t="s">
        <v>120</v>
      </c>
      <c r="B3992" t="s">
        <v>1629</v>
      </c>
      <c r="C3992" t="s">
        <v>1642</v>
      </c>
      <c r="D3992" t="s">
        <v>1643</v>
      </c>
      <c r="E3992" s="8">
        <v>440</v>
      </c>
      <c r="F3992" s="8">
        <v>122930</v>
      </c>
      <c r="G3992" s="8">
        <f t="shared" si="248"/>
        <v>54089200</v>
      </c>
      <c r="H3992" s="5">
        <v>0.1333</v>
      </c>
      <c r="I3992" s="8">
        <f t="shared" si="249"/>
        <v>54089200</v>
      </c>
      <c r="J3992" s="8">
        <f t="shared" si="250"/>
        <v>7210090.36</v>
      </c>
      <c r="K3992" t="str">
        <f t="shared" si="251"/>
        <v>MATCHED</v>
      </c>
    </row>
    <row r="3993" spans="1:11">
      <c r="A3993" t="s">
        <v>120</v>
      </c>
      <c r="B3993" t="s">
        <v>1629</v>
      </c>
      <c r="C3993" t="s">
        <v>1644</v>
      </c>
      <c r="D3993" t="s">
        <v>1645</v>
      </c>
      <c r="E3993" s="8">
        <v>840</v>
      </c>
      <c r="F3993" s="8">
        <v>132470</v>
      </c>
      <c r="G3993" s="8">
        <f t="shared" si="248"/>
        <v>111274800</v>
      </c>
      <c r="H3993" s="5">
        <v>0.3423</v>
      </c>
      <c r="I3993" s="8">
        <f t="shared" si="249"/>
        <v>111274800</v>
      </c>
      <c r="J3993" s="8">
        <f t="shared" si="250"/>
        <v>38089364.04</v>
      </c>
      <c r="K3993" t="str">
        <f t="shared" si="251"/>
        <v>MATCHED</v>
      </c>
    </row>
    <row r="3994" spans="1:11">
      <c r="A3994" t="s">
        <v>120</v>
      </c>
      <c r="B3994" t="s">
        <v>1629</v>
      </c>
      <c r="C3994" t="s">
        <v>852</v>
      </c>
      <c r="D3994" t="s">
        <v>853</v>
      </c>
      <c r="E3994" s="8">
        <v>5020</v>
      </c>
      <c r="F3994" s="8">
        <v>105350</v>
      </c>
      <c r="G3994" s="8">
        <f t="shared" si="248"/>
        <v>528857000</v>
      </c>
      <c r="H3994" s="5">
        <v>0.554</v>
      </c>
      <c r="I3994" s="8">
        <f t="shared" si="249"/>
        <v>528857000</v>
      </c>
      <c r="J3994" s="8">
        <f t="shared" si="250"/>
        <v>292986778</v>
      </c>
      <c r="K3994" t="str">
        <f t="shared" si="251"/>
        <v>MATCHED</v>
      </c>
    </row>
    <row r="3995" spans="1:11">
      <c r="A3995" t="s">
        <v>120</v>
      </c>
      <c r="B3995" t="s">
        <v>1629</v>
      </c>
      <c r="C3995" t="s">
        <v>1646</v>
      </c>
      <c r="D3995" t="s">
        <v>1647</v>
      </c>
      <c r="E3995" s="8">
        <v>5980</v>
      </c>
      <c r="F3995" s="8">
        <v>71300</v>
      </c>
      <c r="G3995" s="8">
        <f t="shared" si="248"/>
        <v>426374000</v>
      </c>
      <c r="H3995" s="5">
        <v>0.18</v>
      </c>
      <c r="I3995" s="8">
        <f t="shared" si="249"/>
        <v>426374000</v>
      </c>
      <c r="J3995" s="8">
        <f t="shared" si="250"/>
        <v>76747320</v>
      </c>
      <c r="K3995" t="str">
        <f t="shared" si="251"/>
        <v>MATCHED</v>
      </c>
    </row>
    <row r="3996" spans="1:11">
      <c r="A3996" t="s">
        <v>120</v>
      </c>
      <c r="B3996" t="s">
        <v>1629</v>
      </c>
      <c r="C3996" t="s">
        <v>1648</v>
      </c>
      <c r="D3996" t="s">
        <v>1649</v>
      </c>
      <c r="E3996" s="8">
        <v>90</v>
      </c>
      <c r="F3996" s="8">
        <v>101630</v>
      </c>
      <c r="G3996" s="8">
        <f t="shared" si="248"/>
        <v>9146700</v>
      </c>
      <c r="H3996" s="5">
        <v>0.6083</v>
      </c>
      <c r="I3996" s="8">
        <f t="shared" si="249"/>
        <v>9146700</v>
      </c>
      <c r="J3996" s="8">
        <f t="shared" si="250"/>
        <v>5563937.61</v>
      </c>
      <c r="K3996" t="str">
        <f t="shared" si="251"/>
        <v>MATCHED</v>
      </c>
    </row>
    <row r="3997" spans="1:11">
      <c r="A3997" t="s">
        <v>120</v>
      </c>
      <c r="B3997" t="s">
        <v>1629</v>
      </c>
      <c r="C3997" t="s">
        <v>1650</v>
      </c>
      <c r="D3997" t="s">
        <v>1651</v>
      </c>
      <c r="E3997" s="8">
        <v>910</v>
      </c>
      <c r="F3997" s="8">
        <v>77920</v>
      </c>
      <c r="G3997" s="8">
        <f t="shared" si="248"/>
        <v>70907200</v>
      </c>
      <c r="H3997" s="5">
        <v>0.4952</v>
      </c>
      <c r="I3997" s="8">
        <f t="shared" si="249"/>
        <v>70907200</v>
      </c>
      <c r="J3997" s="8">
        <f t="shared" si="250"/>
        <v>35113245.44</v>
      </c>
      <c r="K3997" t="str">
        <f t="shared" si="251"/>
        <v>MATCHED</v>
      </c>
    </row>
    <row r="3998" spans="1:11">
      <c r="A3998" t="s">
        <v>120</v>
      </c>
      <c r="B3998" t="s">
        <v>1629</v>
      </c>
      <c r="C3998" t="s">
        <v>1652</v>
      </c>
      <c r="D3998" t="s">
        <v>1653</v>
      </c>
      <c r="E3998" s="8">
        <v>670</v>
      </c>
      <c r="F3998" s="8">
        <v>154760</v>
      </c>
      <c r="G3998" s="8">
        <f t="shared" si="248"/>
        <v>103689200</v>
      </c>
      <c r="H3998" s="5">
        <v>0.5036</v>
      </c>
      <c r="I3998" s="8">
        <f t="shared" si="249"/>
        <v>103689200</v>
      </c>
      <c r="J3998" s="8">
        <f t="shared" si="250"/>
        <v>52217881.12</v>
      </c>
      <c r="K3998" t="str">
        <f t="shared" si="251"/>
        <v>MATCHED</v>
      </c>
    </row>
    <row r="3999" spans="1:11">
      <c r="A3999" t="s">
        <v>120</v>
      </c>
      <c r="B3999" t="s">
        <v>1629</v>
      </c>
      <c r="C3999" t="s">
        <v>1178</v>
      </c>
      <c r="D3999" t="s">
        <v>1179</v>
      </c>
      <c r="E3999" s="8">
        <v>5390</v>
      </c>
      <c r="F3999" s="8">
        <v>119090</v>
      </c>
      <c r="G3999" s="8">
        <f t="shared" si="248"/>
        <v>641895100</v>
      </c>
      <c r="H3999" s="5">
        <v>0.5545</v>
      </c>
      <c r="I3999" s="8">
        <f t="shared" si="249"/>
        <v>641895100</v>
      </c>
      <c r="J3999" s="8">
        <f t="shared" si="250"/>
        <v>355930832.95</v>
      </c>
      <c r="K3999" t="str">
        <f t="shared" si="251"/>
        <v>MATCHED</v>
      </c>
    </row>
    <row r="4000" spans="1:11">
      <c r="A4000" t="s">
        <v>120</v>
      </c>
      <c r="B4000" t="s">
        <v>1629</v>
      </c>
      <c r="C4000" t="s">
        <v>313</v>
      </c>
      <c r="D4000" t="s">
        <v>314</v>
      </c>
      <c r="E4000" s="8">
        <v>4510</v>
      </c>
      <c r="F4000" s="8">
        <v>51240</v>
      </c>
      <c r="G4000" s="8">
        <f t="shared" si="248"/>
        <v>231092400</v>
      </c>
      <c r="H4000" s="5">
        <v>0.374</v>
      </c>
      <c r="I4000" s="8">
        <f t="shared" si="249"/>
        <v>231092400</v>
      </c>
      <c r="J4000" s="8">
        <f t="shared" si="250"/>
        <v>86428557.6</v>
      </c>
      <c r="K4000" t="str">
        <f t="shared" si="251"/>
        <v>MATCHED</v>
      </c>
    </row>
    <row r="4001" spans="1:11">
      <c r="A4001" t="s">
        <v>120</v>
      </c>
      <c r="B4001" t="s">
        <v>1629</v>
      </c>
      <c r="C4001" t="s">
        <v>315</v>
      </c>
      <c r="D4001" t="s">
        <v>316</v>
      </c>
      <c r="E4001" s="8">
        <v>860</v>
      </c>
      <c r="F4001" s="8">
        <v>62150</v>
      </c>
      <c r="G4001" s="8">
        <f t="shared" si="248"/>
        <v>53449000</v>
      </c>
      <c r="H4001" s="5">
        <v>0.2969</v>
      </c>
      <c r="I4001" s="8">
        <f t="shared" si="249"/>
        <v>53449000</v>
      </c>
      <c r="J4001" s="8">
        <f t="shared" si="250"/>
        <v>15869008.1</v>
      </c>
      <c r="K4001" t="str">
        <f t="shared" si="251"/>
        <v>MATCHED</v>
      </c>
    </row>
    <row r="4002" spans="1:11">
      <c r="A4002" t="s">
        <v>120</v>
      </c>
      <c r="B4002" t="s">
        <v>1629</v>
      </c>
      <c r="C4002" t="s">
        <v>317</v>
      </c>
      <c r="D4002" t="s">
        <v>318</v>
      </c>
      <c r="E4002" s="8">
        <v>29110</v>
      </c>
      <c r="F4002" s="8">
        <v>64340</v>
      </c>
      <c r="G4002" s="8">
        <f t="shared" si="248"/>
        <v>1872937400</v>
      </c>
      <c r="H4002" s="5">
        <v>0.2778</v>
      </c>
      <c r="I4002" s="8">
        <f t="shared" si="249"/>
        <v>1872937400</v>
      </c>
      <c r="J4002" s="8">
        <f t="shared" si="250"/>
        <v>520302009.72</v>
      </c>
      <c r="K4002" t="str">
        <f t="shared" si="251"/>
        <v>MATCHED</v>
      </c>
    </row>
    <row r="4003" spans="1:11">
      <c r="A4003" t="s">
        <v>120</v>
      </c>
      <c r="B4003" t="s">
        <v>1629</v>
      </c>
      <c r="C4003" t="s">
        <v>616</v>
      </c>
      <c r="D4003" t="s">
        <v>617</v>
      </c>
      <c r="E4003" s="8">
        <v>17990</v>
      </c>
      <c r="F4003" s="8">
        <v>59040</v>
      </c>
      <c r="G4003" s="8">
        <f t="shared" si="248"/>
        <v>1062129600</v>
      </c>
      <c r="H4003" s="5">
        <v>0.25</v>
      </c>
      <c r="I4003" s="8">
        <f t="shared" si="249"/>
        <v>1062129600</v>
      </c>
      <c r="J4003" s="8">
        <f t="shared" si="250"/>
        <v>265532400</v>
      </c>
      <c r="K4003" t="str">
        <f t="shared" si="251"/>
        <v>MATCHED</v>
      </c>
    </row>
    <row r="4004" spans="1:11">
      <c r="A4004" t="s">
        <v>120</v>
      </c>
      <c r="B4004" t="s">
        <v>1629</v>
      </c>
      <c r="C4004" t="s">
        <v>618</v>
      </c>
      <c r="D4004" t="s">
        <v>619</v>
      </c>
      <c r="E4004" s="8">
        <v>16390</v>
      </c>
      <c r="F4004" s="8">
        <v>56300</v>
      </c>
      <c r="G4004" s="8">
        <f t="shared" si="248"/>
        <v>922757000</v>
      </c>
      <c r="H4004" s="5">
        <v>0.2635</v>
      </c>
      <c r="I4004" s="8">
        <f t="shared" si="249"/>
        <v>922757000</v>
      </c>
      <c r="J4004" s="8">
        <f t="shared" si="250"/>
        <v>243146469.5</v>
      </c>
      <c r="K4004" t="str">
        <f t="shared" si="251"/>
        <v>MATCHED</v>
      </c>
    </row>
    <row r="4005" spans="1:11">
      <c r="A4005" t="s">
        <v>120</v>
      </c>
      <c r="B4005" t="s">
        <v>1629</v>
      </c>
      <c r="C4005" t="s">
        <v>620</v>
      </c>
      <c r="D4005" t="s">
        <v>621</v>
      </c>
      <c r="E4005" s="8">
        <v>3740</v>
      </c>
      <c r="F4005" s="8">
        <v>58790</v>
      </c>
      <c r="G4005" s="8">
        <f t="shared" si="248"/>
        <v>219874600</v>
      </c>
      <c r="H4005" s="5">
        <v>0.3617</v>
      </c>
      <c r="I4005" s="8">
        <f t="shared" si="249"/>
        <v>219874600</v>
      </c>
      <c r="J4005" s="8">
        <f t="shared" si="250"/>
        <v>79528642.82</v>
      </c>
      <c r="K4005" t="str">
        <f t="shared" si="251"/>
        <v>MATCHED</v>
      </c>
    </row>
    <row r="4006" spans="1:11">
      <c r="A4006" t="s">
        <v>120</v>
      </c>
      <c r="B4006" t="s">
        <v>1629</v>
      </c>
      <c r="C4006" t="s">
        <v>622</v>
      </c>
      <c r="D4006" t="s">
        <v>623</v>
      </c>
      <c r="E4006" s="8">
        <v>330</v>
      </c>
      <c r="F4006" s="8">
        <v>57000</v>
      </c>
      <c r="G4006" s="8">
        <f t="shared" si="248"/>
        <v>18810000</v>
      </c>
      <c r="H4006" s="5">
        <v>0.4562</v>
      </c>
      <c r="I4006" s="8">
        <f t="shared" si="249"/>
        <v>18810000</v>
      </c>
      <c r="J4006" s="8">
        <f t="shared" si="250"/>
        <v>8581122</v>
      </c>
      <c r="K4006" t="str">
        <f t="shared" si="251"/>
        <v>MATCHED</v>
      </c>
    </row>
    <row r="4007" spans="1:11">
      <c r="A4007" t="s">
        <v>120</v>
      </c>
      <c r="B4007" t="s">
        <v>1629</v>
      </c>
      <c r="C4007" t="s">
        <v>854</v>
      </c>
      <c r="D4007" t="s">
        <v>855</v>
      </c>
      <c r="E4007" s="8">
        <v>1770</v>
      </c>
      <c r="F4007" s="8">
        <v>99560</v>
      </c>
      <c r="G4007" s="8">
        <f t="shared" si="248"/>
        <v>176221200</v>
      </c>
      <c r="H4007" s="5">
        <v>0.1619</v>
      </c>
      <c r="I4007" s="8">
        <f t="shared" si="249"/>
        <v>176221200</v>
      </c>
      <c r="J4007" s="8">
        <f t="shared" si="250"/>
        <v>28530212.28</v>
      </c>
      <c r="K4007" t="str">
        <f t="shared" si="251"/>
        <v>MATCHED</v>
      </c>
    </row>
    <row r="4008" spans="1:11">
      <c r="A4008" t="s">
        <v>120</v>
      </c>
      <c r="B4008" t="s">
        <v>1629</v>
      </c>
      <c r="C4008" t="s">
        <v>1180</v>
      </c>
      <c r="D4008" t="s">
        <v>1181</v>
      </c>
      <c r="E4008" s="8">
        <v>10930</v>
      </c>
      <c r="F4008" s="8">
        <v>72390</v>
      </c>
      <c r="G4008" s="8">
        <f t="shared" si="248"/>
        <v>791222700</v>
      </c>
      <c r="H4008" s="5">
        <v>0.7087</v>
      </c>
      <c r="I4008" s="8">
        <f t="shared" si="249"/>
        <v>791222700</v>
      </c>
      <c r="J4008" s="8">
        <f t="shared" si="250"/>
        <v>560739527.49</v>
      </c>
      <c r="K4008" t="str">
        <f t="shared" si="251"/>
        <v>MATCHED</v>
      </c>
    </row>
    <row r="4009" spans="1:11">
      <c r="A4009" t="s">
        <v>120</v>
      </c>
      <c r="B4009" t="s">
        <v>1629</v>
      </c>
      <c r="C4009" t="s">
        <v>856</v>
      </c>
      <c r="D4009" t="s">
        <v>857</v>
      </c>
      <c r="E4009" s="8">
        <v>810</v>
      </c>
      <c r="F4009" s="8">
        <v>54670</v>
      </c>
      <c r="G4009" s="8">
        <f t="shared" si="248"/>
        <v>44282700</v>
      </c>
      <c r="H4009" s="5">
        <v>0.181</v>
      </c>
      <c r="I4009" s="8">
        <f t="shared" si="249"/>
        <v>44282700</v>
      </c>
      <c r="J4009" s="8">
        <f t="shared" si="250"/>
        <v>8015168.7</v>
      </c>
      <c r="K4009" t="str">
        <f t="shared" si="251"/>
        <v>MATCHED</v>
      </c>
    </row>
    <row r="4010" spans="1:11">
      <c r="A4010" t="s">
        <v>120</v>
      </c>
      <c r="B4010" t="s">
        <v>1629</v>
      </c>
      <c r="C4010" t="s">
        <v>1513</v>
      </c>
      <c r="D4010" t="s">
        <v>1514</v>
      </c>
      <c r="E4010" s="8">
        <v>490</v>
      </c>
      <c r="F4010" s="8">
        <v>69780</v>
      </c>
      <c r="G4010" s="8">
        <f t="shared" si="248"/>
        <v>34192200</v>
      </c>
      <c r="H4010" s="5">
        <v>0.1571</v>
      </c>
      <c r="I4010" s="8">
        <f t="shared" si="249"/>
        <v>34192200</v>
      </c>
      <c r="J4010" s="8">
        <f t="shared" si="250"/>
        <v>5371594.62</v>
      </c>
      <c r="K4010" t="str">
        <f t="shared" si="251"/>
        <v>MATCHED</v>
      </c>
    </row>
    <row r="4011" spans="1:11">
      <c r="A4011" t="s">
        <v>120</v>
      </c>
      <c r="B4011" t="s">
        <v>1629</v>
      </c>
      <c r="C4011" t="s">
        <v>624</v>
      </c>
      <c r="D4011" t="s">
        <v>625</v>
      </c>
      <c r="E4011" s="8">
        <v>16010</v>
      </c>
      <c r="F4011" s="8">
        <v>69080</v>
      </c>
      <c r="G4011" s="8">
        <f t="shared" si="248"/>
        <v>1105970800</v>
      </c>
      <c r="H4011" s="5">
        <v>0.5519</v>
      </c>
      <c r="I4011" s="8">
        <f t="shared" si="249"/>
        <v>1105970800</v>
      </c>
      <c r="J4011" s="8">
        <f t="shared" si="250"/>
        <v>610385284.52</v>
      </c>
      <c r="K4011" t="str">
        <f t="shared" si="251"/>
        <v>MATCHED</v>
      </c>
    </row>
    <row r="4012" spans="1:11">
      <c r="A4012" t="s">
        <v>120</v>
      </c>
      <c r="B4012" t="s">
        <v>1629</v>
      </c>
      <c r="C4012" t="s">
        <v>319</v>
      </c>
      <c r="D4012" t="s">
        <v>320</v>
      </c>
      <c r="E4012" s="8">
        <v>14590</v>
      </c>
      <c r="F4012" s="8">
        <v>94940</v>
      </c>
      <c r="G4012" s="8">
        <f t="shared" si="248"/>
        <v>1385174600</v>
      </c>
      <c r="H4012" s="5">
        <v>0.2786</v>
      </c>
      <c r="I4012" s="8">
        <f t="shared" si="249"/>
        <v>1385174600</v>
      </c>
      <c r="J4012" s="8">
        <f t="shared" si="250"/>
        <v>385909643.56</v>
      </c>
      <c r="K4012" t="str">
        <f t="shared" si="251"/>
        <v>MATCHED</v>
      </c>
    </row>
    <row r="4013" spans="1:11">
      <c r="A4013" t="s">
        <v>120</v>
      </c>
      <c r="B4013" t="s">
        <v>1629</v>
      </c>
      <c r="C4013" t="s">
        <v>626</v>
      </c>
      <c r="D4013" t="s">
        <v>627</v>
      </c>
      <c r="E4013" s="8">
        <v>3620</v>
      </c>
      <c r="F4013" s="8">
        <v>69900</v>
      </c>
      <c r="G4013" s="8">
        <f t="shared" si="248"/>
        <v>253038000</v>
      </c>
      <c r="H4013" s="5">
        <v>0.2712</v>
      </c>
      <c r="I4013" s="8">
        <f t="shared" si="249"/>
        <v>253038000</v>
      </c>
      <c r="J4013" s="8">
        <f t="shared" si="250"/>
        <v>68623905.6</v>
      </c>
      <c r="K4013" t="str">
        <f t="shared" si="251"/>
        <v>MATCHED</v>
      </c>
    </row>
    <row r="4014" spans="1:11">
      <c r="A4014" t="s">
        <v>120</v>
      </c>
      <c r="B4014" t="s">
        <v>1629</v>
      </c>
      <c r="C4014" t="s">
        <v>1464</v>
      </c>
      <c r="D4014" t="s">
        <v>1465</v>
      </c>
      <c r="E4014" s="8">
        <v>1590</v>
      </c>
      <c r="F4014" s="8">
        <v>61050</v>
      </c>
      <c r="G4014" s="8">
        <f t="shared" si="248"/>
        <v>97069500</v>
      </c>
      <c r="H4014" s="5">
        <v>0.3176</v>
      </c>
      <c r="I4014" s="8">
        <f t="shared" si="249"/>
        <v>97069500</v>
      </c>
      <c r="J4014" s="8">
        <f t="shared" si="250"/>
        <v>30829273.2</v>
      </c>
      <c r="K4014" t="str">
        <f t="shared" si="251"/>
        <v>MATCHED</v>
      </c>
    </row>
    <row r="4015" spans="1:11">
      <c r="A4015" t="s">
        <v>120</v>
      </c>
      <c r="B4015" t="s">
        <v>1629</v>
      </c>
      <c r="C4015" t="s">
        <v>1466</v>
      </c>
      <c r="D4015" t="s">
        <v>1467</v>
      </c>
      <c r="E4015" s="8"/>
      <c r="F4015" s="8">
        <v>94520</v>
      </c>
      <c r="G4015" s="8" t="str">
        <f t="shared" si="248"/>
        <v/>
      </c>
      <c r="H4015" s="5">
        <v>0.2618</v>
      </c>
      <c r="I4015" s="8" t="str">
        <f t="shared" si="249"/>
        <v/>
      </c>
      <c r="J4015" s="8" t="str">
        <f t="shared" si="250"/>
        <v/>
      </c>
      <c r="K4015" t="str">
        <f t="shared" si="251"/>
        <v>MISSING OEWS</v>
      </c>
    </row>
    <row r="4016" spans="1:11">
      <c r="A4016" t="s">
        <v>120</v>
      </c>
      <c r="B4016" t="s">
        <v>1629</v>
      </c>
      <c r="C4016" t="s">
        <v>1608</v>
      </c>
      <c r="D4016" t="s">
        <v>1609</v>
      </c>
      <c r="E4016" s="8">
        <v>4050</v>
      </c>
      <c r="F4016" s="8">
        <v>64290</v>
      </c>
      <c r="G4016" s="8">
        <f t="shared" si="248"/>
        <v>260374500</v>
      </c>
      <c r="H4016" s="5">
        <v>0.1862</v>
      </c>
      <c r="I4016" s="8">
        <f t="shared" si="249"/>
        <v>260374500</v>
      </c>
      <c r="J4016" s="8">
        <f t="shared" si="250"/>
        <v>48481731.9</v>
      </c>
      <c r="K4016" t="str">
        <f t="shared" si="251"/>
        <v>MATCHED</v>
      </c>
    </row>
    <row r="4017" spans="1:11">
      <c r="A4017" t="s">
        <v>120</v>
      </c>
      <c r="B4017" t="s">
        <v>1629</v>
      </c>
      <c r="C4017" t="s">
        <v>1468</v>
      </c>
      <c r="D4017" t="s">
        <v>1469</v>
      </c>
      <c r="E4017" s="8"/>
      <c r="F4017" s="8">
        <v>47370</v>
      </c>
      <c r="G4017" s="8" t="str">
        <f t="shared" si="248"/>
        <v/>
      </c>
      <c r="H4017" s="5"/>
      <c r="I4017" s="8" t="str">
        <f t="shared" si="249"/>
        <v/>
      </c>
      <c r="J4017" s="8" t="str">
        <f t="shared" si="250"/>
        <v/>
      </c>
      <c r="K4017" t="str">
        <f t="shared" si="251"/>
        <v>MISSING OEWS</v>
      </c>
    </row>
    <row r="4018" spans="1:11">
      <c r="A4018" t="s">
        <v>120</v>
      </c>
      <c r="B4018" t="s">
        <v>1629</v>
      </c>
      <c r="C4018" t="s">
        <v>1610</v>
      </c>
      <c r="D4018" t="s">
        <v>1611</v>
      </c>
      <c r="E4018" s="8">
        <v>720</v>
      </c>
      <c r="F4018" s="8">
        <v>62430</v>
      </c>
      <c r="G4018" s="8">
        <f t="shared" si="248"/>
        <v>44949600</v>
      </c>
      <c r="H4018" s="5">
        <v>0.2457</v>
      </c>
      <c r="I4018" s="8">
        <f t="shared" si="249"/>
        <v>44949600</v>
      </c>
      <c r="J4018" s="8">
        <f t="shared" si="250"/>
        <v>11044116.72</v>
      </c>
      <c r="K4018" t="str">
        <f t="shared" si="251"/>
        <v>MATCHED</v>
      </c>
    </row>
    <row r="4019" spans="1:11">
      <c r="A4019" t="s">
        <v>120</v>
      </c>
      <c r="B4019" t="s">
        <v>1629</v>
      </c>
      <c r="C4019" t="s">
        <v>1417</v>
      </c>
      <c r="D4019" t="s">
        <v>1418</v>
      </c>
      <c r="E4019" s="8">
        <v>1180</v>
      </c>
      <c r="F4019" s="8">
        <v>77960</v>
      </c>
      <c r="G4019" s="8">
        <f t="shared" si="248"/>
        <v>91992800</v>
      </c>
      <c r="H4019" s="5">
        <v>0.2206</v>
      </c>
      <c r="I4019" s="8">
        <f t="shared" si="249"/>
        <v>91992800</v>
      </c>
      <c r="J4019" s="8">
        <f t="shared" si="250"/>
        <v>20293611.68</v>
      </c>
      <c r="K4019" t="str">
        <f t="shared" si="251"/>
        <v>MATCHED</v>
      </c>
    </row>
    <row r="4020" spans="1:11">
      <c r="A4020" t="s">
        <v>120</v>
      </c>
      <c r="B4020" t="s">
        <v>1629</v>
      </c>
      <c r="C4020" t="s">
        <v>1612</v>
      </c>
      <c r="D4020" t="s">
        <v>1613</v>
      </c>
      <c r="E4020" s="8">
        <v>2000</v>
      </c>
      <c r="F4020" s="8">
        <v>43170</v>
      </c>
      <c r="G4020" s="8">
        <f t="shared" si="248"/>
        <v>86340000</v>
      </c>
      <c r="H4020" s="5">
        <v>0.1615</v>
      </c>
      <c r="I4020" s="8">
        <f t="shared" si="249"/>
        <v>86340000</v>
      </c>
      <c r="J4020" s="8">
        <f t="shared" si="250"/>
        <v>13943910</v>
      </c>
      <c r="K4020" t="str">
        <f t="shared" si="251"/>
        <v>MATCHED</v>
      </c>
    </row>
    <row r="4021" spans="1:11">
      <c r="A4021" t="s">
        <v>120</v>
      </c>
      <c r="B4021" t="s">
        <v>1629</v>
      </c>
      <c r="C4021" t="s">
        <v>1614</v>
      </c>
      <c r="D4021" t="s">
        <v>1615</v>
      </c>
      <c r="E4021" s="8">
        <v>1180</v>
      </c>
      <c r="F4021" s="8">
        <v>61460</v>
      </c>
      <c r="G4021" s="8">
        <f t="shared" si="248"/>
        <v>72522800</v>
      </c>
      <c r="H4021" s="5"/>
      <c r="I4021" s="8" t="str">
        <f t="shared" si="249"/>
        <v/>
      </c>
      <c r="J4021" s="8" t="str">
        <f t="shared" si="250"/>
        <v/>
      </c>
      <c r="K4021" t="str">
        <f t="shared" si="251"/>
        <v>MISSING WHARTON</v>
      </c>
    </row>
    <row r="4022" spans="1:11">
      <c r="A4022" t="s">
        <v>120</v>
      </c>
      <c r="B4022" t="s">
        <v>1629</v>
      </c>
      <c r="C4022" t="s">
        <v>1419</v>
      </c>
      <c r="D4022" t="s">
        <v>1420</v>
      </c>
      <c r="E4022" s="8">
        <v>2140</v>
      </c>
      <c r="F4022" s="8">
        <v>82980</v>
      </c>
      <c r="G4022" s="8">
        <f t="shared" si="248"/>
        <v>177577200</v>
      </c>
      <c r="H4022" s="5">
        <v>0.5875</v>
      </c>
      <c r="I4022" s="8">
        <f t="shared" si="249"/>
        <v>177577200</v>
      </c>
      <c r="J4022" s="8">
        <f t="shared" si="250"/>
        <v>104326605</v>
      </c>
      <c r="K4022" t="str">
        <f t="shared" si="251"/>
        <v>MATCHED</v>
      </c>
    </row>
    <row r="4023" spans="1:11">
      <c r="A4023" t="s">
        <v>120</v>
      </c>
      <c r="B4023" t="s">
        <v>1629</v>
      </c>
      <c r="C4023" t="s">
        <v>940</v>
      </c>
      <c r="D4023" t="s">
        <v>941</v>
      </c>
      <c r="E4023" s="8">
        <v>2000</v>
      </c>
      <c r="F4023" s="8">
        <v>53070</v>
      </c>
      <c r="G4023" s="8">
        <f t="shared" si="248"/>
        <v>106140000</v>
      </c>
      <c r="H4023" s="5">
        <v>0.4</v>
      </c>
      <c r="I4023" s="8">
        <f t="shared" si="249"/>
        <v>106140000</v>
      </c>
      <c r="J4023" s="8">
        <f t="shared" si="250"/>
        <v>42456000</v>
      </c>
      <c r="K4023" t="str">
        <f t="shared" si="251"/>
        <v>MATCHED</v>
      </c>
    </row>
    <row r="4024" spans="1:11">
      <c r="A4024" t="s">
        <v>120</v>
      </c>
      <c r="B4024" t="s">
        <v>1629</v>
      </c>
      <c r="C4024" t="s">
        <v>1569</v>
      </c>
      <c r="D4024" t="s">
        <v>1570</v>
      </c>
      <c r="E4024" s="8">
        <v>1240</v>
      </c>
      <c r="F4024" s="8">
        <v>67380</v>
      </c>
      <c r="G4024" s="8">
        <f t="shared" si="248"/>
        <v>83551200</v>
      </c>
      <c r="H4024" s="5">
        <v>0.2672</v>
      </c>
      <c r="I4024" s="8">
        <f t="shared" si="249"/>
        <v>83551200</v>
      </c>
      <c r="J4024" s="8">
        <f t="shared" si="250"/>
        <v>22324880.64</v>
      </c>
      <c r="K4024" t="str">
        <f t="shared" si="251"/>
        <v>MATCHED</v>
      </c>
    </row>
    <row r="4025" spans="1:11">
      <c r="A4025" t="s">
        <v>120</v>
      </c>
      <c r="B4025" t="s">
        <v>1629</v>
      </c>
      <c r="C4025" t="s">
        <v>942</v>
      </c>
      <c r="D4025" t="s">
        <v>943</v>
      </c>
      <c r="E4025" s="8">
        <v>1710</v>
      </c>
      <c r="F4025" s="8">
        <v>56730</v>
      </c>
      <c r="G4025" s="8">
        <f t="shared" si="248"/>
        <v>97008300</v>
      </c>
      <c r="H4025" s="5"/>
      <c r="I4025" s="8" t="str">
        <f t="shared" si="249"/>
        <v/>
      </c>
      <c r="J4025" s="8" t="str">
        <f t="shared" si="250"/>
        <v/>
      </c>
      <c r="K4025" t="str">
        <f t="shared" si="251"/>
        <v>MISSING WHARTON</v>
      </c>
    </row>
    <row r="4026" spans="1:11">
      <c r="A4026" t="s">
        <v>120</v>
      </c>
      <c r="B4026" t="s">
        <v>1629</v>
      </c>
      <c r="C4026" t="s">
        <v>1182</v>
      </c>
      <c r="D4026" t="s">
        <v>1183</v>
      </c>
      <c r="E4026" s="8"/>
      <c r="F4026" s="8">
        <v>65920</v>
      </c>
      <c r="G4026" s="8" t="str">
        <f t="shared" si="248"/>
        <v/>
      </c>
      <c r="H4026" s="5">
        <v>0.1786</v>
      </c>
      <c r="I4026" s="8" t="str">
        <f t="shared" si="249"/>
        <v/>
      </c>
      <c r="J4026" s="8" t="str">
        <f t="shared" si="250"/>
        <v/>
      </c>
      <c r="K4026" t="str">
        <f t="shared" si="251"/>
        <v>MISSING OEWS</v>
      </c>
    </row>
    <row r="4027" spans="1:11">
      <c r="A4027" t="s">
        <v>120</v>
      </c>
      <c r="B4027" t="s">
        <v>1629</v>
      </c>
      <c r="C4027" t="s">
        <v>628</v>
      </c>
      <c r="D4027" t="s">
        <v>629</v>
      </c>
      <c r="E4027" s="8">
        <v>471640</v>
      </c>
      <c r="F4027" s="8">
        <v>193110</v>
      </c>
      <c r="G4027" s="8">
        <f t="shared" si="248"/>
        <v>91078400400</v>
      </c>
      <c r="H4027" s="5">
        <v>0.45</v>
      </c>
      <c r="I4027" s="8">
        <f t="shared" si="249"/>
        <v>91078400400</v>
      </c>
      <c r="J4027" s="8">
        <f t="shared" si="250"/>
        <v>40985280180</v>
      </c>
      <c r="K4027" t="str">
        <f t="shared" si="251"/>
        <v>MATCHED</v>
      </c>
    </row>
    <row r="4028" spans="1:11">
      <c r="A4028" t="s">
        <v>120</v>
      </c>
      <c r="B4028" t="s">
        <v>1629</v>
      </c>
      <c r="C4028" t="s">
        <v>1421</v>
      </c>
      <c r="D4028" t="s">
        <v>1422</v>
      </c>
      <c r="E4028" s="8">
        <v>4470</v>
      </c>
      <c r="F4028" s="8">
        <v>92620</v>
      </c>
      <c r="G4028" s="8">
        <f t="shared" si="248"/>
        <v>414011400</v>
      </c>
      <c r="H4028" s="5">
        <v>0.4375</v>
      </c>
      <c r="I4028" s="8">
        <f t="shared" si="249"/>
        <v>414011400</v>
      </c>
      <c r="J4028" s="8">
        <f t="shared" si="250"/>
        <v>181129987.5</v>
      </c>
      <c r="K4028" t="str">
        <f t="shared" si="251"/>
        <v>MATCHED</v>
      </c>
    </row>
    <row r="4029" spans="1:11">
      <c r="A4029" t="s">
        <v>120</v>
      </c>
      <c r="B4029" t="s">
        <v>1629</v>
      </c>
      <c r="C4029" t="s">
        <v>630</v>
      </c>
      <c r="D4029" t="s">
        <v>631</v>
      </c>
      <c r="E4029" s="8">
        <v>310490</v>
      </c>
      <c r="F4029" s="8">
        <v>67730</v>
      </c>
      <c r="G4029" s="8">
        <f t="shared" si="248"/>
        <v>21029487700</v>
      </c>
      <c r="H4029" s="5">
        <v>0.5917</v>
      </c>
      <c r="I4029" s="8">
        <f t="shared" si="249"/>
        <v>21029487700</v>
      </c>
      <c r="J4029" s="8">
        <f t="shared" si="250"/>
        <v>12443147872.09</v>
      </c>
      <c r="K4029" t="str">
        <f t="shared" si="251"/>
        <v>MATCHED</v>
      </c>
    </row>
    <row r="4030" spans="1:11">
      <c r="A4030" t="s">
        <v>120</v>
      </c>
      <c r="B4030" t="s">
        <v>1629</v>
      </c>
      <c r="C4030" t="s">
        <v>632</v>
      </c>
      <c r="D4030" t="s">
        <v>633</v>
      </c>
      <c r="E4030" s="8">
        <v>20950</v>
      </c>
      <c r="F4030" s="8">
        <v>59420</v>
      </c>
      <c r="G4030" s="8">
        <f t="shared" si="248"/>
        <v>1244849000</v>
      </c>
      <c r="H4030" s="5">
        <v>0.8794</v>
      </c>
      <c r="I4030" s="8">
        <f t="shared" si="249"/>
        <v>1244849000</v>
      </c>
      <c r="J4030" s="8">
        <f t="shared" si="250"/>
        <v>1094720210.6</v>
      </c>
      <c r="K4030" t="str">
        <f t="shared" si="251"/>
        <v>MATCHED</v>
      </c>
    </row>
    <row r="4031" spans="1:11">
      <c r="A4031" t="s">
        <v>120</v>
      </c>
      <c r="B4031" t="s">
        <v>1629</v>
      </c>
      <c r="C4031" t="s">
        <v>634</v>
      </c>
      <c r="D4031" t="s">
        <v>635</v>
      </c>
      <c r="E4031" s="8">
        <v>12200</v>
      </c>
      <c r="F4031" s="8">
        <v>72410</v>
      </c>
      <c r="G4031" s="8">
        <f t="shared" si="248"/>
        <v>883402000</v>
      </c>
      <c r="H4031" s="5"/>
      <c r="I4031" s="8" t="str">
        <f t="shared" si="249"/>
        <v/>
      </c>
      <c r="J4031" s="8" t="str">
        <f t="shared" si="250"/>
        <v/>
      </c>
      <c r="K4031" t="str">
        <f t="shared" si="251"/>
        <v>MISSING WHARTON</v>
      </c>
    </row>
    <row r="4032" spans="1:11">
      <c r="A4032" t="s">
        <v>120</v>
      </c>
      <c r="B4032" t="s">
        <v>1629</v>
      </c>
      <c r="C4032" t="s">
        <v>1654</v>
      </c>
      <c r="D4032" t="s">
        <v>1655</v>
      </c>
      <c r="E4032" s="8">
        <v>490</v>
      </c>
      <c r="F4032" s="8">
        <v>192690</v>
      </c>
      <c r="G4032" s="8">
        <f t="shared" si="248"/>
        <v>94418100</v>
      </c>
      <c r="H4032" s="5">
        <v>0.4259</v>
      </c>
      <c r="I4032" s="8">
        <f t="shared" si="249"/>
        <v>94418100</v>
      </c>
      <c r="J4032" s="8">
        <f t="shared" si="250"/>
        <v>40212668.79</v>
      </c>
      <c r="K4032" t="str">
        <f t="shared" si="251"/>
        <v>MATCHED</v>
      </c>
    </row>
    <row r="4033" spans="1:11">
      <c r="A4033" t="s">
        <v>120</v>
      </c>
      <c r="B4033" t="s">
        <v>1629</v>
      </c>
      <c r="C4033" t="s">
        <v>1656</v>
      </c>
      <c r="D4033" t="s">
        <v>1657</v>
      </c>
      <c r="E4033" s="8">
        <v>1340</v>
      </c>
      <c r="F4033" s="8">
        <v>280110</v>
      </c>
      <c r="G4033" s="8">
        <f t="shared" si="248"/>
        <v>375347400</v>
      </c>
      <c r="H4033" s="5">
        <v>0.4196</v>
      </c>
      <c r="I4033" s="8">
        <f t="shared" si="249"/>
        <v>375347400</v>
      </c>
      <c r="J4033" s="8">
        <f t="shared" si="250"/>
        <v>157495769.04</v>
      </c>
      <c r="K4033" t="str">
        <f t="shared" si="251"/>
        <v>MATCHED</v>
      </c>
    </row>
    <row r="4034" spans="1:11">
      <c r="A4034" t="s">
        <v>120</v>
      </c>
      <c r="B4034" t="s">
        <v>1629</v>
      </c>
      <c r="C4034" t="s">
        <v>1515</v>
      </c>
      <c r="D4034" t="s">
        <v>1516</v>
      </c>
      <c r="E4034" s="8"/>
      <c r="F4034" s="8">
        <v>57310</v>
      </c>
      <c r="G4034" s="8" t="str">
        <f t="shared" ref="G4034:G4097" si="252">IF(OR(E4034="",F4034=""),"",E4034*F4034)</f>
        <v/>
      </c>
      <c r="H4034" s="5">
        <v>0.3875</v>
      </c>
      <c r="I4034" s="8" t="str">
        <f t="shared" ref="I4034:I4097" si="253">IF(G4034="","",IF(ISNUMBER(H4034),G4034,""))</f>
        <v/>
      </c>
      <c r="J4034" s="8" t="str">
        <f t="shared" ref="J4034:J4097" si="254">IF(I4034="","",I4034*H4034)</f>
        <v/>
      </c>
      <c r="K4034" t="str">
        <f t="shared" ref="K4034:K4097" si="255">IF(G4034="","MISSING OEWS",IF(ISNUMBER(H4034),"MATCHED","MISSING WHARTON"))</f>
        <v>MISSING OEWS</v>
      </c>
    </row>
    <row r="4035" spans="1:11">
      <c r="A4035" t="s">
        <v>120</v>
      </c>
      <c r="B4035" t="s">
        <v>1629</v>
      </c>
      <c r="C4035" t="s">
        <v>1658</v>
      </c>
      <c r="D4035" t="s">
        <v>1659</v>
      </c>
      <c r="E4035" s="8">
        <v>180</v>
      </c>
      <c r="F4035" s="8">
        <v>148120</v>
      </c>
      <c r="G4035" s="8">
        <f t="shared" si="252"/>
        <v>26661600</v>
      </c>
      <c r="H4035" s="5"/>
      <c r="I4035" s="8" t="str">
        <f t="shared" si="253"/>
        <v/>
      </c>
      <c r="J4035" s="8" t="str">
        <f t="shared" si="254"/>
        <v/>
      </c>
      <c r="K4035" t="str">
        <f t="shared" si="255"/>
        <v>MISSING WHARTON</v>
      </c>
    </row>
    <row r="4036" spans="1:11">
      <c r="A4036" t="s">
        <v>120</v>
      </c>
      <c r="B4036" t="s">
        <v>1629</v>
      </c>
      <c r="C4036" t="s">
        <v>1660</v>
      </c>
      <c r="D4036" t="s">
        <v>1661</v>
      </c>
      <c r="E4036" s="8">
        <v>130</v>
      </c>
      <c r="F4036" s="8">
        <v>44920</v>
      </c>
      <c r="G4036" s="8">
        <f t="shared" si="252"/>
        <v>5839600</v>
      </c>
      <c r="H4036" s="5">
        <v>0.1176</v>
      </c>
      <c r="I4036" s="8">
        <f t="shared" si="253"/>
        <v>5839600</v>
      </c>
      <c r="J4036" s="8">
        <f t="shared" si="254"/>
        <v>686736.96</v>
      </c>
      <c r="K4036" t="str">
        <f t="shared" si="255"/>
        <v>MATCHED</v>
      </c>
    </row>
    <row r="4037" spans="1:11">
      <c r="A4037" t="s">
        <v>120</v>
      </c>
      <c r="B4037" t="s">
        <v>1629</v>
      </c>
      <c r="C4037" t="s">
        <v>321</v>
      </c>
      <c r="D4037" t="s">
        <v>322</v>
      </c>
      <c r="E4037" s="8">
        <v>500</v>
      </c>
      <c r="F4037" s="8">
        <v>49880</v>
      </c>
      <c r="G4037" s="8">
        <f t="shared" si="252"/>
        <v>24940000</v>
      </c>
      <c r="H4037" s="5">
        <v>0.33</v>
      </c>
      <c r="I4037" s="8">
        <f t="shared" si="253"/>
        <v>24940000</v>
      </c>
      <c r="J4037" s="8">
        <f t="shared" si="254"/>
        <v>8230200</v>
      </c>
      <c r="K4037" t="str">
        <f t="shared" si="255"/>
        <v>MATCHED</v>
      </c>
    </row>
    <row r="4038" spans="1:11">
      <c r="A4038" t="s">
        <v>120</v>
      </c>
      <c r="B4038" t="s">
        <v>1629</v>
      </c>
      <c r="C4038" t="s">
        <v>1423</v>
      </c>
      <c r="D4038" t="s">
        <v>1424</v>
      </c>
      <c r="E4038" s="8"/>
      <c r="F4038" s="8">
        <v>43930</v>
      </c>
      <c r="G4038" s="8" t="str">
        <f t="shared" si="252"/>
        <v/>
      </c>
      <c r="H4038" s="5">
        <v>0.3974</v>
      </c>
      <c r="I4038" s="8" t="str">
        <f t="shared" si="253"/>
        <v/>
      </c>
      <c r="J4038" s="8" t="str">
        <f t="shared" si="254"/>
        <v/>
      </c>
      <c r="K4038" t="str">
        <f t="shared" si="255"/>
        <v>MISSING OEWS</v>
      </c>
    </row>
    <row r="4039" spans="1:11">
      <c r="A4039" t="s">
        <v>120</v>
      </c>
      <c r="B4039" t="s">
        <v>1629</v>
      </c>
      <c r="C4039" t="s">
        <v>1517</v>
      </c>
      <c r="D4039" t="s">
        <v>1518</v>
      </c>
      <c r="E4039" s="8">
        <v>1530</v>
      </c>
      <c r="F4039" s="8">
        <v>87310</v>
      </c>
      <c r="G4039" s="8">
        <f t="shared" si="252"/>
        <v>133584300</v>
      </c>
      <c r="H4039" s="5"/>
      <c r="I4039" s="8" t="str">
        <f t="shared" si="253"/>
        <v/>
      </c>
      <c r="J4039" s="8" t="str">
        <f t="shared" si="254"/>
        <v/>
      </c>
      <c r="K4039" t="str">
        <f t="shared" si="255"/>
        <v>MISSING WHARTON</v>
      </c>
    </row>
    <row r="4040" spans="1:11">
      <c r="A4040" t="s">
        <v>120</v>
      </c>
      <c r="B4040" t="s">
        <v>1629</v>
      </c>
      <c r="C4040" t="s">
        <v>1470</v>
      </c>
      <c r="D4040" t="s">
        <v>1471</v>
      </c>
      <c r="E4040" s="8">
        <v>790</v>
      </c>
      <c r="F4040" s="8">
        <v>77190</v>
      </c>
      <c r="G4040" s="8">
        <f t="shared" si="252"/>
        <v>60980100</v>
      </c>
      <c r="H4040" s="5">
        <v>0.4154</v>
      </c>
      <c r="I4040" s="8">
        <f t="shared" si="253"/>
        <v>60980100</v>
      </c>
      <c r="J4040" s="8">
        <f t="shared" si="254"/>
        <v>25331133.54</v>
      </c>
      <c r="K4040" t="str">
        <f t="shared" si="255"/>
        <v>MATCHED</v>
      </c>
    </row>
    <row r="4041" spans="1:11">
      <c r="A4041" t="s">
        <v>120</v>
      </c>
      <c r="B4041" t="s">
        <v>1629</v>
      </c>
      <c r="C4041" t="s">
        <v>1425</v>
      </c>
      <c r="D4041" t="s">
        <v>1426</v>
      </c>
      <c r="E4041" s="8">
        <v>70</v>
      </c>
      <c r="F4041" s="8">
        <v>83360</v>
      </c>
      <c r="G4041" s="8">
        <f t="shared" si="252"/>
        <v>5835200</v>
      </c>
      <c r="H4041" s="5">
        <v>0.2833</v>
      </c>
      <c r="I4041" s="8">
        <f t="shared" si="253"/>
        <v>5835200</v>
      </c>
      <c r="J4041" s="8">
        <f t="shared" si="254"/>
        <v>1653112.16</v>
      </c>
      <c r="K4041" t="str">
        <f t="shared" si="255"/>
        <v>MATCHED</v>
      </c>
    </row>
    <row r="4042" spans="1:11">
      <c r="A4042" t="s">
        <v>120</v>
      </c>
      <c r="B4042" t="s">
        <v>1629</v>
      </c>
      <c r="C4042" t="s">
        <v>1472</v>
      </c>
      <c r="D4042" t="s">
        <v>1473</v>
      </c>
      <c r="E4042" s="8">
        <v>230</v>
      </c>
      <c r="F4042" s="8">
        <v>41740</v>
      </c>
      <c r="G4042" s="8">
        <f t="shared" si="252"/>
        <v>9600200</v>
      </c>
      <c r="H4042" s="5">
        <v>0.1808</v>
      </c>
      <c r="I4042" s="8">
        <f t="shared" si="253"/>
        <v>9600200</v>
      </c>
      <c r="J4042" s="8">
        <f t="shared" si="254"/>
        <v>1735716.16</v>
      </c>
      <c r="K4042" t="str">
        <f t="shared" si="255"/>
        <v>MATCHED</v>
      </c>
    </row>
    <row r="4043" spans="1:11">
      <c r="A4043" t="s">
        <v>120</v>
      </c>
      <c r="B4043" t="s">
        <v>1629</v>
      </c>
      <c r="C4043" t="s">
        <v>1184</v>
      </c>
      <c r="D4043" t="s">
        <v>1185</v>
      </c>
      <c r="E4043" s="8">
        <v>1280</v>
      </c>
      <c r="F4043" s="8">
        <v>88650</v>
      </c>
      <c r="G4043" s="8">
        <f t="shared" si="252"/>
        <v>113472000</v>
      </c>
      <c r="H4043" s="5">
        <v>0.4167</v>
      </c>
      <c r="I4043" s="8">
        <f t="shared" si="253"/>
        <v>113472000</v>
      </c>
      <c r="J4043" s="8">
        <f t="shared" si="254"/>
        <v>47283782.4</v>
      </c>
      <c r="K4043" t="str">
        <f t="shared" si="255"/>
        <v>MATCHED</v>
      </c>
    </row>
    <row r="4044" spans="1:11">
      <c r="A4044" t="s">
        <v>120</v>
      </c>
      <c r="B4044" t="s">
        <v>1629</v>
      </c>
      <c r="C4044" t="s">
        <v>1573</v>
      </c>
      <c r="D4044" t="s">
        <v>1574</v>
      </c>
      <c r="E4044" s="8"/>
      <c r="F4044" s="8">
        <v>46780</v>
      </c>
      <c r="G4044" s="8" t="str">
        <f t="shared" si="252"/>
        <v/>
      </c>
      <c r="H4044" s="5">
        <v>0.6329</v>
      </c>
      <c r="I4044" s="8" t="str">
        <f t="shared" si="253"/>
        <v/>
      </c>
      <c r="J4044" s="8" t="str">
        <f t="shared" si="254"/>
        <v/>
      </c>
      <c r="K4044" t="str">
        <f t="shared" si="255"/>
        <v>MISSING OEWS</v>
      </c>
    </row>
    <row r="4045" spans="1:11">
      <c r="A4045" t="s">
        <v>120</v>
      </c>
      <c r="B4045" t="s">
        <v>1629</v>
      </c>
      <c r="C4045" t="s">
        <v>1662</v>
      </c>
      <c r="D4045" t="s">
        <v>1663</v>
      </c>
      <c r="E4045" s="8"/>
      <c r="F4045" s="8">
        <v>82760</v>
      </c>
      <c r="G4045" s="8" t="str">
        <f t="shared" si="252"/>
        <v/>
      </c>
      <c r="H4045" s="5">
        <v>0.33</v>
      </c>
      <c r="I4045" s="8" t="str">
        <f t="shared" si="253"/>
        <v/>
      </c>
      <c r="J4045" s="8" t="str">
        <f t="shared" si="254"/>
        <v/>
      </c>
      <c r="K4045" t="str">
        <f t="shared" si="255"/>
        <v>MISSING OEWS</v>
      </c>
    </row>
    <row r="4046" spans="1:11">
      <c r="A4046" t="s">
        <v>120</v>
      </c>
      <c r="B4046" t="s">
        <v>1629</v>
      </c>
      <c r="C4046" t="s">
        <v>944</v>
      </c>
      <c r="D4046" t="s">
        <v>945</v>
      </c>
      <c r="E4046" s="8">
        <v>3100</v>
      </c>
      <c r="F4046" s="8">
        <v>88730</v>
      </c>
      <c r="G4046" s="8">
        <f t="shared" si="252"/>
        <v>275063000</v>
      </c>
      <c r="H4046" s="5">
        <v>0.5783</v>
      </c>
      <c r="I4046" s="8">
        <f t="shared" si="253"/>
        <v>275063000</v>
      </c>
      <c r="J4046" s="8">
        <f t="shared" si="254"/>
        <v>159068932.9</v>
      </c>
      <c r="K4046" t="str">
        <f t="shared" si="255"/>
        <v>MATCHED</v>
      </c>
    </row>
    <row r="4047" spans="1:11">
      <c r="A4047" t="s">
        <v>120</v>
      </c>
      <c r="B4047" t="s">
        <v>1629</v>
      </c>
      <c r="C4047" t="s">
        <v>1664</v>
      </c>
      <c r="D4047" t="s">
        <v>1665</v>
      </c>
      <c r="E4047" s="8">
        <v>280</v>
      </c>
      <c r="F4047" s="8">
        <v>39450</v>
      </c>
      <c r="G4047" s="8">
        <f t="shared" si="252"/>
        <v>11046000</v>
      </c>
      <c r="H4047" s="5">
        <v>0.2083</v>
      </c>
      <c r="I4047" s="8">
        <f t="shared" si="253"/>
        <v>11046000</v>
      </c>
      <c r="J4047" s="8">
        <f t="shared" si="254"/>
        <v>2300881.8</v>
      </c>
      <c r="K4047" t="str">
        <f t="shared" si="255"/>
        <v>MATCHED</v>
      </c>
    </row>
    <row r="4048" spans="1:11">
      <c r="A4048" t="s">
        <v>120</v>
      </c>
      <c r="B4048" t="s">
        <v>1629</v>
      </c>
      <c r="C4048" t="s">
        <v>1427</v>
      </c>
      <c r="D4048" t="s">
        <v>1428</v>
      </c>
      <c r="E4048" s="8">
        <v>1340</v>
      </c>
      <c r="F4048" s="8">
        <v>87390</v>
      </c>
      <c r="G4048" s="8">
        <f t="shared" si="252"/>
        <v>117102600</v>
      </c>
      <c r="H4048" s="5"/>
      <c r="I4048" s="8" t="str">
        <f t="shared" si="253"/>
        <v/>
      </c>
      <c r="J4048" s="8" t="str">
        <f t="shared" si="254"/>
        <v/>
      </c>
      <c r="K4048" t="str">
        <f t="shared" si="255"/>
        <v>MISSING WHARTON</v>
      </c>
    </row>
    <row r="4049" spans="1:11">
      <c r="A4049" t="s">
        <v>120</v>
      </c>
      <c r="B4049" t="s">
        <v>1629</v>
      </c>
      <c r="C4049" t="s">
        <v>946</v>
      </c>
      <c r="D4049" t="s">
        <v>947</v>
      </c>
      <c r="E4049" s="8">
        <v>27420</v>
      </c>
      <c r="F4049" s="8">
        <v>126600</v>
      </c>
      <c r="G4049" s="8">
        <f t="shared" si="252"/>
        <v>3471372000</v>
      </c>
      <c r="H4049" s="5">
        <v>0.3688</v>
      </c>
      <c r="I4049" s="8">
        <f t="shared" si="253"/>
        <v>3471372000</v>
      </c>
      <c r="J4049" s="8">
        <f t="shared" si="254"/>
        <v>1280241993.6</v>
      </c>
      <c r="K4049" t="str">
        <f t="shared" si="255"/>
        <v>MATCHED</v>
      </c>
    </row>
    <row r="4050" spans="1:11">
      <c r="A4050" t="s">
        <v>120</v>
      </c>
      <c r="B4050" t="s">
        <v>1629</v>
      </c>
      <c r="C4050" t="s">
        <v>1186</v>
      </c>
      <c r="D4050" t="s">
        <v>1187</v>
      </c>
      <c r="E4050" s="8">
        <v>90</v>
      </c>
      <c r="F4050" s="8">
        <v>56890</v>
      </c>
      <c r="G4050" s="8">
        <f t="shared" si="252"/>
        <v>5120100</v>
      </c>
      <c r="H4050" s="5">
        <v>0.22</v>
      </c>
      <c r="I4050" s="8">
        <f t="shared" si="253"/>
        <v>5120100</v>
      </c>
      <c r="J4050" s="8">
        <f t="shared" si="254"/>
        <v>1126422</v>
      </c>
      <c r="K4050" t="str">
        <f t="shared" si="255"/>
        <v>MATCHED</v>
      </c>
    </row>
    <row r="4051" spans="1:11">
      <c r="A4051" t="s">
        <v>120</v>
      </c>
      <c r="B4051" t="s">
        <v>1629</v>
      </c>
      <c r="C4051" t="s">
        <v>948</v>
      </c>
      <c r="D4051" t="s">
        <v>949</v>
      </c>
      <c r="E4051" s="8">
        <v>780</v>
      </c>
      <c r="F4051" s="8">
        <v>69250</v>
      </c>
      <c r="G4051" s="8">
        <f t="shared" si="252"/>
        <v>54015000</v>
      </c>
      <c r="H4051" s="5">
        <v>0.2281</v>
      </c>
      <c r="I4051" s="8">
        <f t="shared" si="253"/>
        <v>54015000</v>
      </c>
      <c r="J4051" s="8">
        <f t="shared" si="254"/>
        <v>12320821.5</v>
      </c>
      <c r="K4051" t="str">
        <f t="shared" si="255"/>
        <v>MATCHED</v>
      </c>
    </row>
    <row r="4052" spans="1:11">
      <c r="A4052" t="s">
        <v>120</v>
      </c>
      <c r="B4052" t="s">
        <v>1629</v>
      </c>
      <c r="C4052" t="s">
        <v>1188</v>
      </c>
      <c r="D4052" t="s">
        <v>1189</v>
      </c>
      <c r="E4052" s="8">
        <v>4560</v>
      </c>
      <c r="F4052" s="8">
        <v>100050</v>
      </c>
      <c r="G4052" s="8">
        <f t="shared" si="252"/>
        <v>456228000</v>
      </c>
      <c r="H4052" s="5">
        <v>0.7071</v>
      </c>
      <c r="I4052" s="8">
        <f t="shared" si="253"/>
        <v>456228000</v>
      </c>
      <c r="J4052" s="8">
        <f t="shared" si="254"/>
        <v>322598818.8</v>
      </c>
      <c r="K4052" t="str">
        <f t="shared" si="255"/>
        <v>MATCHED</v>
      </c>
    </row>
    <row r="4053" spans="1:11">
      <c r="A4053" t="s">
        <v>120</v>
      </c>
      <c r="B4053" t="s">
        <v>1629</v>
      </c>
      <c r="C4053" t="s">
        <v>950</v>
      </c>
      <c r="D4053" t="s">
        <v>951</v>
      </c>
      <c r="E4053" s="8">
        <v>390</v>
      </c>
      <c r="F4053" s="8">
        <v>77040</v>
      </c>
      <c r="G4053" s="8">
        <f t="shared" si="252"/>
        <v>30045600</v>
      </c>
      <c r="H4053" s="5"/>
      <c r="I4053" s="8" t="str">
        <f t="shared" si="253"/>
        <v/>
      </c>
      <c r="J4053" s="8" t="str">
        <f t="shared" si="254"/>
        <v/>
      </c>
      <c r="K4053" t="str">
        <f t="shared" si="255"/>
        <v>MISSING WHARTON</v>
      </c>
    </row>
    <row r="4054" spans="1:11">
      <c r="A4054" t="s">
        <v>120</v>
      </c>
      <c r="B4054" t="s">
        <v>1629</v>
      </c>
      <c r="C4054" t="s">
        <v>952</v>
      </c>
      <c r="D4054" t="s">
        <v>953</v>
      </c>
      <c r="E4054" s="8">
        <v>8070</v>
      </c>
      <c r="F4054" s="8">
        <v>104180</v>
      </c>
      <c r="G4054" s="8">
        <f t="shared" si="252"/>
        <v>840732600</v>
      </c>
      <c r="H4054" s="5">
        <v>0.3029</v>
      </c>
      <c r="I4054" s="8">
        <f t="shared" si="253"/>
        <v>840732600</v>
      </c>
      <c r="J4054" s="8">
        <f t="shared" si="254"/>
        <v>254657904.54</v>
      </c>
      <c r="K4054" t="str">
        <f t="shared" si="255"/>
        <v>MATCHED</v>
      </c>
    </row>
    <row r="4055" spans="1:11">
      <c r="A4055" t="s">
        <v>120</v>
      </c>
      <c r="B4055" t="s">
        <v>1629</v>
      </c>
      <c r="C4055" t="s">
        <v>1190</v>
      </c>
      <c r="D4055" t="s">
        <v>1191</v>
      </c>
      <c r="E4055" s="8">
        <v>1040</v>
      </c>
      <c r="F4055" s="8"/>
      <c r="G4055" s="8" t="str">
        <f t="shared" si="252"/>
        <v/>
      </c>
      <c r="H4055" s="5">
        <v>0.1875</v>
      </c>
      <c r="I4055" s="8" t="str">
        <f t="shared" si="253"/>
        <v/>
      </c>
      <c r="J4055" s="8" t="str">
        <f t="shared" si="254"/>
        <v/>
      </c>
      <c r="K4055" t="str">
        <f t="shared" si="255"/>
        <v>MISSING OEWS</v>
      </c>
    </row>
    <row r="4056" spans="1:11">
      <c r="A4056" t="s">
        <v>120</v>
      </c>
      <c r="B4056" t="s">
        <v>1629</v>
      </c>
      <c r="C4056" t="s">
        <v>1192</v>
      </c>
      <c r="D4056" t="s">
        <v>1193</v>
      </c>
      <c r="E4056" s="8">
        <v>320</v>
      </c>
      <c r="F4056" s="8">
        <v>41830</v>
      </c>
      <c r="G4056" s="8">
        <f t="shared" si="252"/>
        <v>13385600</v>
      </c>
      <c r="H4056" s="5">
        <v>0.1188</v>
      </c>
      <c r="I4056" s="8">
        <f t="shared" si="253"/>
        <v>13385600</v>
      </c>
      <c r="J4056" s="8">
        <f t="shared" si="254"/>
        <v>1590209.28</v>
      </c>
      <c r="K4056" t="str">
        <f t="shared" si="255"/>
        <v>MATCHED</v>
      </c>
    </row>
    <row r="4057" spans="1:11">
      <c r="A4057" t="s">
        <v>120</v>
      </c>
      <c r="B4057" t="s">
        <v>1629</v>
      </c>
      <c r="C4057" t="s">
        <v>858</v>
      </c>
      <c r="D4057" t="s">
        <v>859</v>
      </c>
      <c r="E4057" s="8">
        <v>69970</v>
      </c>
      <c r="F4057" s="8">
        <v>76960</v>
      </c>
      <c r="G4057" s="8">
        <f t="shared" si="252"/>
        <v>5384891200</v>
      </c>
      <c r="H4057" s="5">
        <v>0.7375</v>
      </c>
      <c r="I4057" s="8">
        <f t="shared" si="253"/>
        <v>5384891200</v>
      </c>
      <c r="J4057" s="8">
        <f t="shared" si="254"/>
        <v>3971357260</v>
      </c>
      <c r="K4057" t="str">
        <f t="shared" si="255"/>
        <v>MATCHED</v>
      </c>
    </row>
    <row r="4058" spans="1:11">
      <c r="A4058" t="s">
        <v>120</v>
      </c>
      <c r="B4058" t="s">
        <v>1629</v>
      </c>
      <c r="C4058" t="s">
        <v>954</v>
      </c>
      <c r="D4058" t="s">
        <v>955</v>
      </c>
      <c r="E4058" s="8">
        <v>44310</v>
      </c>
      <c r="F4058" s="8">
        <v>78410</v>
      </c>
      <c r="G4058" s="8">
        <f t="shared" si="252"/>
        <v>3474347100</v>
      </c>
      <c r="H4058" s="5">
        <v>0.3133</v>
      </c>
      <c r="I4058" s="8">
        <f t="shared" si="253"/>
        <v>3474347100</v>
      </c>
      <c r="J4058" s="8">
        <f t="shared" si="254"/>
        <v>1088512946.43</v>
      </c>
      <c r="K4058" t="str">
        <f t="shared" si="255"/>
        <v>MATCHED</v>
      </c>
    </row>
    <row r="4059" spans="1:11">
      <c r="A4059" t="s">
        <v>120</v>
      </c>
      <c r="B4059" t="s">
        <v>1629</v>
      </c>
      <c r="C4059" t="s">
        <v>956</v>
      </c>
      <c r="D4059" t="s">
        <v>957</v>
      </c>
      <c r="E4059" s="8">
        <v>21440</v>
      </c>
      <c r="F4059" s="8">
        <v>37830</v>
      </c>
      <c r="G4059" s="8">
        <f t="shared" si="252"/>
        <v>811075200</v>
      </c>
      <c r="H4059" s="5">
        <v>0.038</v>
      </c>
      <c r="I4059" s="8">
        <f t="shared" si="253"/>
        <v>811075200</v>
      </c>
      <c r="J4059" s="8">
        <f t="shared" si="254"/>
        <v>30820857.6</v>
      </c>
      <c r="K4059" t="str">
        <f t="shared" si="255"/>
        <v>MATCHED</v>
      </c>
    </row>
    <row r="4060" spans="1:11">
      <c r="A4060" t="s">
        <v>120</v>
      </c>
      <c r="B4060" t="s">
        <v>1629</v>
      </c>
      <c r="C4060" t="s">
        <v>1194</v>
      </c>
      <c r="D4060" t="s">
        <v>1195</v>
      </c>
      <c r="E4060" s="8">
        <v>530</v>
      </c>
      <c r="F4060" s="8">
        <v>82000</v>
      </c>
      <c r="G4060" s="8">
        <f t="shared" si="252"/>
        <v>43460000</v>
      </c>
      <c r="H4060" s="5">
        <v>0.2167</v>
      </c>
      <c r="I4060" s="8">
        <f t="shared" si="253"/>
        <v>43460000</v>
      </c>
      <c r="J4060" s="8">
        <f t="shared" si="254"/>
        <v>9417782</v>
      </c>
      <c r="K4060" t="str">
        <f t="shared" si="255"/>
        <v>MATCHED</v>
      </c>
    </row>
    <row r="4061" spans="1:11">
      <c r="A4061" t="s">
        <v>120</v>
      </c>
      <c r="B4061" t="s">
        <v>1629</v>
      </c>
      <c r="C4061" t="s">
        <v>958</v>
      </c>
      <c r="D4061" t="s">
        <v>959</v>
      </c>
      <c r="E4061" s="8">
        <v>2000</v>
      </c>
      <c r="F4061" s="8">
        <v>72570</v>
      </c>
      <c r="G4061" s="8">
        <f t="shared" si="252"/>
        <v>145140000</v>
      </c>
      <c r="H4061" s="5"/>
      <c r="I4061" s="8" t="str">
        <f t="shared" si="253"/>
        <v/>
      </c>
      <c r="J4061" s="8" t="str">
        <f t="shared" si="254"/>
        <v/>
      </c>
      <c r="K4061" t="str">
        <f t="shared" si="255"/>
        <v>MISSING WHARTON</v>
      </c>
    </row>
    <row r="4062" spans="1:11">
      <c r="A4062" t="s">
        <v>120</v>
      </c>
      <c r="B4062" t="s">
        <v>1629</v>
      </c>
      <c r="C4062" t="s">
        <v>1474</v>
      </c>
      <c r="D4062" t="s">
        <v>1475</v>
      </c>
      <c r="E4062" s="8">
        <v>5530</v>
      </c>
      <c r="F4062" s="8"/>
      <c r="G4062" s="8" t="str">
        <f t="shared" si="252"/>
        <v/>
      </c>
      <c r="H4062" s="5">
        <v>0.1</v>
      </c>
      <c r="I4062" s="8" t="str">
        <f t="shared" si="253"/>
        <v/>
      </c>
      <c r="J4062" s="8" t="str">
        <f t="shared" si="254"/>
        <v/>
      </c>
      <c r="K4062" t="str">
        <f t="shared" si="255"/>
        <v>MISSING OEWS</v>
      </c>
    </row>
    <row r="4063" spans="1:11">
      <c r="A4063" t="s">
        <v>120</v>
      </c>
      <c r="B4063" t="s">
        <v>1629</v>
      </c>
      <c r="C4063" t="s">
        <v>960</v>
      </c>
      <c r="D4063" t="s">
        <v>961</v>
      </c>
      <c r="E4063" s="8">
        <v>17990</v>
      </c>
      <c r="F4063" s="8">
        <v>120860</v>
      </c>
      <c r="G4063" s="8">
        <f t="shared" si="252"/>
        <v>2174271400</v>
      </c>
      <c r="H4063" s="5">
        <v>0.3463</v>
      </c>
      <c r="I4063" s="8">
        <f t="shared" si="253"/>
        <v>2174271400</v>
      </c>
      <c r="J4063" s="8">
        <f t="shared" si="254"/>
        <v>752950185.82</v>
      </c>
      <c r="K4063" t="str">
        <f t="shared" si="255"/>
        <v>MATCHED</v>
      </c>
    </row>
    <row r="4064" spans="1:11">
      <c r="A4064" t="s">
        <v>120</v>
      </c>
      <c r="B4064" t="s">
        <v>1629</v>
      </c>
      <c r="C4064" t="s">
        <v>1577</v>
      </c>
      <c r="D4064" t="s">
        <v>1578</v>
      </c>
      <c r="E4064" s="8"/>
      <c r="F4064" s="8">
        <v>104180</v>
      </c>
      <c r="G4064" s="8" t="str">
        <f t="shared" si="252"/>
        <v/>
      </c>
      <c r="H4064" s="5">
        <v>0.5433</v>
      </c>
      <c r="I4064" s="8" t="str">
        <f t="shared" si="253"/>
        <v/>
      </c>
      <c r="J4064" s="8" t="str">
        <f t="shared" si="254"/>
        <v/>
      </c>
      <c r="K4064" t="str">
        <f t="shared" si="255"/>
        <v>MISSING OEWS</v>
      </c>
    </row>
    <row r="4065" spans="1:11">
      <c r="A4065" t="s">
        <v>120</v>
      </c>
      <c r="B4065" t="s">
        <v>1629</v>
      </c>
      <c r="C4065" t="s">
        <v>1478</v>
      </c>
      <c r="D4065" t="s">
        <v>1479</v>
      </c>
      <c r="E4065" s="8">
        <v>50</v>
      </c>
      <c r="F4065" s="8"/>
      <c r="G4065" s="8" t="str">
        <f t="shared" si="252"/>
        <v/>
      </c>
      <c r="H4065" s="5">
        <v>0.1733</v>
      </c>
      <c r="I4065" s="8" t="str">
        <f t="shared" si="253"/>
        <v/>
      </c>
      <c r="J4065" s="8" t="str">
        <f t="shared" si="254"/>
        <v/>
      </c>
      <c r="K4065" t="str">
        <f t="shared" si="255"/>
        <v>MISSING OEWS</v>
      </c>
    </row>
    <row r="4066" spans="1:11">
      <c r="A4066" t="s">
        <v>120</v>
      </c>
      <c r="B4066" t="s">
        <v>1629</v>
      </c>
      <c r="C4066" t="s">
        <v>1196</v>
      </c>
      <c r="D4066" t="s">
        <v>1197</v>
      </c>
      <c r="E4066" s="8"/>
      <c r="F4066" s="8"/>
      <c r="G4066" s="8" t="str">
        <f t="shared" si="252"/>
        <v/>
      </c>
      <c r="H4066" s="5"/>
      <c r="I4066" s="8" t="str">
        <f t="shared" si="253"/>
        <v/>
      </c>
      <c r="J4066" s="8" t="str">
        <f t="shared" si="254"/>
        <v/>
      </c>
      <c r="K4066" t="str">
        <f t="shared" si="255"/>
        <v>MISSING OEWS</v>
      </c>
    </row>
    <row r="4067" spans="1:11">
      <c r="A4067" t="s">
        <v>120</v>
      </c>
      <c r="B4067" t="s">
        <v>1629</v>
      </c>
      <c r="C4067" t="s">
        <v>1480</v>
      </c>
      <c r="D4067" t="s">
        <v>1481</v>
      </c>
      <c r="E4067" s="8">
        <v>210</v>
      </c>
      <c r="F4067" s="8">
        <v>65070</v>
      </c>
      <c r="G4067" s="8">
        <f t="shared" si="252"/>
        <v>13664700</v>
      </c>
      <c r="H4067" s="5">
        <v>0.7021</v>
      </c>
      <c r="I4067" s="8">
        <f t="shared" si="253"/>
        <v>13664700</v>
      </c>
      <c r="J4067" s="8">
        <f t="shared" si="254"/>
        <v>9593985.87</v>
      </c>
      <c r="K4067" t="str">
        <f t="shared" si="255"/>
        <v>MATCHED</v>
      </c>
    </row>
    <row r="4068" spans="1:11">
      <c r="A4068" t="s">
        <v>120</v>
      </c>
      <c r="B4068" t="s">
        <v>1629</v>
      </c>
      <c r="C4068" t="s">
        <v>1198</v>
      </c>
      <c r="D4068" t="s">
        <v>1199</v>
      </c>
      <c r="E4068" s="8">
        <v>730</v>
      </c>
      <c r="F4068" s="8">
        <v>104030</v>
      </c>
      <c r="G4068" s="8">
        <f t="shared" si="252"/>
        <v>75941900</v>
      </c>
      <c r="H4068" s="5">
        <v>0.71</v>
      </c>
      <c r="I4068" s="8">
        <f t="shared" si="253"/>
        <v>75941900</v>
      </c>
      <c r="J4068" s="8">
        <f t="shared" si="254"/>
        <v>53918749</v>
      </c>
      <c r="K4068" t="str">
        <f t="shared" si="255"/>
        <v>MATCHED</v>
      </c>
    </row>
    <row r="4069" spans="1:11">
      <c r="A4069" t="s">
        <v>120</v>
      </c>
      <c r="B4069" t="s">
        <v>1629</v>
      </c>
      <c r="C4069" t="s">
        <v>323</v>
      </c>
      <c r="D4069" t="s">
        <v>324</v>
      </c>
      <c r="E4069" s="8">
        <v>62010</v>
      </c>
      <c r="F4069" s="8">
        <v>95830</v>
      </c>
      <c r="G4069" s="8">
        <f t="shared" si="252"/>
        <v>5942418300</v>
      </c>
      <c r="H4069" s="5">
        <v>0.575</v>
      </c>
      <c r="I4069" s="8">
        <f t="shared" si="253"/>
        <v>5942418300</v>
      </c>
      <c r="J4069" s="8">
        <f t="shared" si="254"/>
        <v>3416890522.5</v>
      </c>
      <c r="K4069" t="str">
        <f t="shared" si="255"/>
        <v>MATCHED</v>
      </c>
    </row>
    <row r="4070" spans="1:11">
      <c r="A4070" t="s">
        <v>120</v>
      </c>
      <c r="B4070" t="s">
        <v>1629</v>
      </c>
      <c r="C4070" t="s">
        <v>1200</v>
      </c>
      <c r="D4070" t="s">
        <v>1201</v>
      </c>
      <c r="E4070" s="8">
        <v>18260</v>
      </c>
      <c r="F4070" s="8">
        <v>87290</v>
      </c>
      <c r="G4070" s="8">
        <f t="shared" si="252"/>
        <v>1593915400</v>
      </c>
      <c r="H4070" s="5">
        <v>0.6643</v>
      </c>
      <c r="I4070" s="8">
        <f t="shared" si="253"/>
        <v>1593915400</v>
      </c>
      <c r="J4070" s="8">
        <f t="shared" si="254"/>
        <v>1058838000.22</v>
      </c>
      <c r="K4070" t="str">
        <f t="shared" si="255"/>
        <v>MATCHED</v>
      </c>
    </row>
    <row r="4071" spans="1:11">
      <c r="A4071" t="s">
        <v>120</v>
      </c>
      <c r="B4071" t="s">
        <v>1629</v>
      </c>
      <c r="C4071" t="s">
        <v>636</v>
      </c>
      <c r="D4071" t="s">
        <v>637</v>
      </c>
      <c r="E4071" s="8">
        <v>18320</v>
      </c>
      <c r="F4071" s="8">
        <v>100510</v>
      </c>
      <c r="G4071" s="8">
        <f t="shared" si="252"/>
        <v>1841343200</v>
      </c>
      <c r="H4071" s="5">
        <v>0.71</v>
      </c>
      <c r="I4071" s="8">
        <f t="shared" si="253"/>
        <v>1841343200</v>
      </c>
      <c r="J4071" s="8">
        <f t="shared" si="254"/>
        <v>1307353672</v>
      </c>
      <c r="K4071" t="str">
        <f t="shared" si="255"/>
        <v>MATCHED</v>
      </c>
    </row>
    <row r="4072" spans="1:11">
      <c r="A4072" t="s">
        <v>120</v>
      </c>
      <c r="B4072" t="s">
        <v>1629</v>
      </c>
      <c r="C4072" t="s">
        <v>860</v>
      </c>
      <c r="D4072" t="s">
        <v>861</v>
      </c>
      <c r="E4072" s="8">
        <v>13230</v>
      </c>
      <c r="F4072" s="8">
        <v>87330</v>
      </c>
      <c r="G4072" s="8">
        <f t="shared" si="252"/>
        <v>1155375900</v>
      </c>
      <c r="H4072" s="5">
        <v>0.7744</v>
      </c>
      <c r="I4072" s="8">
        <f t="shared" si="253"/>
        <v>1155375900</v>
      </c>
      <c r="J4072" s="8">
        <f t="shared" si="254"/>
        <v>894723096.96</v>
      </c>
      <c r="K4072" t="str">
        <f t="shared" si="255"/>
        <v>MATCHED</v>
      </c>
    </row>
    <row r="4073" spans="1:11">
      <c r="A4073" t="s">
        <v>120</v>
      </c>
      <c r="B4073" t="s">
        <v>1629</v>
      </c>
      <c r="C4073" t="s">
        <v>1202</v>
      </c>
      <c r="D4073" t="s">
        <v>1203</v>
      </c>
      <c r="E4073" s="8">
        <v>21620</v>
      </c>
      <c r="F4073" s="8">
        <v>68560</v>
      </c>
      <c r="G4073" s="8">
        <f t="shared" si="252"/>
        <v>1482267200</v>
      </c>
      <c r="H4073" s="5">
        <v>0.6294</v>
      </c>
      <c r="I4073" s="8">
        <f t="shared" si="253"/>
        <v>1482267200</v>
      </c>
      <c r="J4073" s="8">
        <f t="shared" si="254"/>
        <v>932938975.68</v>
      </c>
      <c r="K4073" t="str">
        <f t="shared" si="255"/>
        <v>MATCHED</v>
      </c>
    </row>
    <row r="4074" spans="1:11">
      <c r="A4074" t="s">
        <v>120</v>
      </c>
      <c r="B4074" t="s">
        <v>1629</v>
      </c>
      <c r="C4074" t="s">
        <v>1581</v>
      </c>
      <c r="D4074" t="s">
        <v>1582</v>
      </c>
      <c r="E4074" s="8">
        <v>80</v>
      </c>
      <c r="F4074" s="8">
        <v>89450</v>
      </c>
      <c r="G4074" s="8">
        <f t="shared" si="252"/>
        <v>7156000</v>
      </c>
      <c r="H4074" s="5">
        <v>0.8143</v>
      </c>
      <c r="I4074" s="8">
        <f t="shared" si="253"/>
        <v>7156000</v>
      </c>
      <c r="J4074" s="8">
        <f t="shared" si="254"/>
        <v>5827130.8</v>
      </c>
      <c r="K4074" t="str">
        <f t="shared" si="255"/>
        <v>MATCHED</v>
      </c>
    </row>
    <row r="4075" spans="1:11">
      <c r="A4075" t="s">
        <v>120</v>
      </c>
      <c r="B4075" t="s">
        <v>1629</v>
      </c>
      <c r="C4075" t="s">
        <v>1204</v>
      </c>
      <c r="D4075" t="s">
        <v>1205</v>
      </c>
      <c r="E4075" s="8">
        <v>1180</v>
      </c>
      <c r="F4075" s="8">
        <v>76930</v>
      </c>
      <c r="G4075" s="8">
        <f t="shared" si="252"/>
        <v>90777400</v>
      </c>
      <c r="H4075" s="5"/>
      <c r="I4075" s="8" t="str">
        <f t="shared" si="253"/>
        <v/>
      </c>
      <c r="J4075" s="8" t="str">
        <f t="shared" si="254"/>
        <v/>
      </c>
      <c r="K4075" t="str">
        <f t="shared" si="255"/>
        <v>MISSING WHARTON</v>
      </c>
    </row>
    <row r="4076" spans="1:11">
      <c r="A4076" t="s">
        <v>120</v>
      </c>
      <c r="B4076" t="s">
        <v>1629</v>
      </c>
      <c r="C4076" t="s">
        <v>962</v>
      </c>
      <c r="D4076" t="s">
        <v>963</v>
      </c>
      <c r="E4076" s="8">
        <v>5380</v>
      </c>
      <c r="F4076" s="8">
        <v>74540</v>
      </c>
      <c r="G4076" s="8">
        <f t="shared" si="252"/>
        <v>401025200</v>
      </c>
      <c r="H4076" s="5">
        <v>0.5483</v>
      </c>
      <c r="I4076" s="8">
        <f t="shared" si="253"/>
        <v>401025200</v>
      </c>
      <c r="J4076" s="8">
        <f t="shared" si="254"/>
        <v>219882117.16</v>
      </c>
      <c r="K4076" t="str">
        <f t="shared" si="255"/>
        <v>MATCHED</v>
      </c>
    </row>
    <row r="4077" spans="1:11">
      <c r="A4077" t="s">
        <v>120</v>
      </c>
      <c r="B4077" t="s">
        <v>1629</v>
      </c>
      <c r="C4077" t="s">
        <v>1429</v>
      </c>
      <c r="D4077" t="s">
        <v>1430</v>
      </c>
      <c r="E4077" s="8">
        <v>410</v>
      </c>
      <c r="F4077" s="8">
        <v>71930</v>
      </c>
      <c r="G4077" s="8">
        <f t="shared" si="252"/>
        <v>29491300</v>
      </c>
      <c r="H4077" s="5">
        <v>0.6138</v>
      </c>
      <c r="I4077" s="8">
        <f t="shared" si="253"/>
        <v>29491300</v>
      </c>
      <c r="J4077" s="8">
        <f t="shared" si="254"/>
        <v>18101759.94</v>
      </c>
      <c r="K4077" t="str">
        <f t="shared" si="255"/>
        <v>MATCHED</v>
      </c>
    </row>
    <row r="4078" spans="1:11">
      <c r="A4078" t="s">
        <v>120</v>
      </c>
      <c r="B4078" t="s">
        <v>1629</v>
      </c>
      <c r="C4078" t="s">
        <v>964</v>
      </c>
      <c r="D4078" t="s">
        <v>965</v>
      </c>
      <c r="E4078" s="8">
        <v>1020</v>
      </c>
      <c r="F4078" s="8">
        <v>96330</v>
      </c>
      <c r="G4078" s="8">
        <f t="shared" si="252"/>
        <v>98256600</v>
      </c>
      <c r="H4078" s="5">
        <v>0.5607</v>
      </c>
      <c r="I4078" s="8">
        <f t="shared" si="253"/>
        <v>98256600</v>
      </c>
      <c r="J4078" s="8">
        <f t="shared" si="254"/>
        <v>55092475.62</v>
      </c>
      <c r="K4078" t="str">
        <f t="shared" si="255"/>
        <v>MATCHED</v>
      </c>
    </row>
    <row r="4079" spans="1:11">
      <c r="A4079" t="s">
        <v>120</v>
      </c>
      <c r="B4079" t="s">
        <v>1629</v>
      </c>
      <c r="C4079" t="s">
        <v>966</v>
      </c>
      <c r="D4079" t="s">
        <v>967</v>
      </c>
      <c r="E4079" s="8">
        <v>980</v>
      </c>
      <c r="F4079" s="8">
        <v>79650</v>
      </c>
      <c r="G4079" s="8">
        <f t="shared" si="252"/>
        <v>78057000</v>
      </c>
      <c r="H4079" s="5">
        <v>0.0594</v>
      </c>
      <c r="I4079" s="8">
        <f t="shared" si="253"/>
        <v>78057000</v>
      </c>
      <c r="J4079" s="8">
        <f t="shared" si="254"/>
        <v>4636585.8</v>
      </c>
      <c r="K4079" t="str">
        <f t="shared" si="255"/>
        <v>MATCHED</v>
      </c>
    </row>
    <row r="4080" spans="1:11">
      <c r="A4080" t="s">
        <v>120</v>
      </c>
      <c r="B4080" t="s">
        <v>1629</v>
      </c>
      <c r="C4080" t="s">
        <v>968</v>
      </c>
      <c r="D4080" t="s">
        <v>969</v>
      </c>
      <c r="E4080" s="8">
        <v>30850</v>
      </c>
      <c r="F4080" s="8">
        <v>51720</v>
      </c>
      <c r="G4080" s="8">
        <f t="shared" si="252"/>
        <v>1595562000</v>
      </c>
      <c r="H4080" s="5">
        <v>0.3207</v>
      </c>
      <c r="I4080" s="8">
        <f t="shared" si="253"/>
        <v>1595562000</v>
      </c>
      <c r="J4080" s="8">
        <f t="shared" si="254"/>
        <v>511696733.4</v>
      </c>
      <c r="K4080" t="str">
        <f t="shared" si="255"/>
        <v>MATCHED</v>
      </c>
    </row>
    <row r="4081" spans="1:11">
      <c r="A4081" t="s">
        <v>120</v>
      </c>
      <c r="B4081" t="s">
        <v>1629</v>
      </c>
      <c r="C4081" t="s">
        <v>970</v>
      </c>
      <c r="D4081" t="s">
        <v>971</v>
      </c>
      <c r="E4081" s="8">
        <v>2770</v>
      </c>
      <c r="F4081" s="8">
        <v>80440</v>
      </c>
      <c r="G4081" s="8">
        <f t="shared" si="252"/>
        <v>222818800</v>
      </c>
      <c r="H4081" s="5">
        <v>0.3458</v>
      </c>
      <c r="I4081" s="8">
        <f t="shared" si="253"/>
        <v>222818800</v>
      </c>
      <c r="J4081" s="8">
        <f t="shared" si="254"/>
        <v>77050741.04</v>
      </c>
      <c r="K4081" t="str">
        <f t="shared" si="255"/>
        <v>MATCHED</v>
      </c>
    </row>
    <row r="4082" spans="1:11">
      <c r="A4082" t="s">
        <v>120</v>
      </c>
      <c r="B4082" t="s">
        <v>1629</v>
      </c>
      <c r="C4082" t="s">
        <v>1206</v>
      </c>
      <c r="D4082" t="s">
        <v>1207</v>
      </c>
      <c r="E4082" s="8">
        <v>3220</v>
      </c>
      <c r="F4082" s="8">
        <v>70980</v>
      </c>
      <c r="G4082" s="8">
        <f t="shared" si="252"/>
        <v>228555600</v>
      </c>
      <c r="H4082" s="5">
        <v>0.6065</v>
      </c>
      <c r="I4082" s="8">
        <f t="shared" si="253"/>
        <v>228555600</v>
      </c>
      <c r="J4082" s="8">
        <f t="shared" si="254"/>
        <v>138618971.4</v>
      </c>
      <c r="K4082" t="str">
        <f t="shared" si="255"/>
        <v>MATCHED</v>
      </c>
    </row>
    <row r="4083" spans="1:11">
      <c r="A4083" t="s">
        <v>120</v>
      </c>
      <c r="B4083" t="s">
        <v>1629</v>
      </c>
      <c r="C4083" t="s">
        <v>1519</v>
      </c>
      <c r="D4083" t="s">
        <v>1520</v>
      </c>
      <c r="E4083" s="8">
        <v>640</v>
      </c>
      <c r="F4083" s="8">
        <v>65780</v>
      </c>
      <c r="G4083" s="8">
        <f t="shared" si="252"/>
        <v>42099200</v>
      </c>
      <c r="H4083" s="5"/>
      <c r="I4083" s="8" t="str">
        <f t="shared" si="253"/>
        <v/>
      </c>
      <c r="J4083" s="8" t="str">
        <f t="shared" si="254"/>
        <v/>
      </c>
      <c r="K4083" t="str">
        <f t="shared" si="255"/>
        <v>MISSING WHARTON</v>
      </c>
    </row>
    <row r="4084" spans="1:11">
      <c r="A4084" t="s">
        <v>120</v>
      </c>
      <c r="B4084" t="s">
        <v>1629</v>
      </c>
      <c r="C4084" t="s">
        <v>1666</v>
      </c>
      <c r="D4084" t="s">
        <v>1667</v>
      </c>
      <c r="E4084" s="8"/>
      <c r="F4084" s="8">
        <v>79680</v>
      </c>
      <c r="G4084" s="8" t="str">
        <f t="shared" si="252"/>
        <v/>
      </c>
      <c r="H4084" s="5">
        <v>0.4273</v>
      </c>
      <c r="I4084" s="8" t="str">
        <f t="shared" si="253"/>
        <v/>
      </c>
      <c r="J4084" s="8" t="str">
        <f t="shared" si="254"/>
        <v/>
      </c>
      <c r="K4084" t="str">
        <f t="shared" si="255"/>
        <v>MISSING OEWS</v>
      </c>
    </row>
    <row r="4085" spans="1:11">
      <c r="A4085" t="s">
        <v>120</v>
      </c>
      <c r="B4085" t="s">
        <v>1629</v>
      </c>
      <c r="C4085" t="s">
        <v>1212</v>
      </c>
      <c r="D4085" t="s">
        <v>1213</v>
      </c>
      <c r="E4085" s="8">
        <v>990</v>
      </c>
      <c r="F4085" s="8">
        <v>76880</v>
      </c>
      <c r="G4085" s="8">
        <f t="shared" si="252"/>
        <v>76111200</v>
      </c>
      <c r="H4085" s="5">
        <v>0.4679</v>
      </c>
      <c r="I4085" s="8">
        <f t="shared" si="253"/>
        <v>76111200</v>
      </c>
      <c r="J4085" s="8">
        <f t="shared" si="254"/>
        <v>35612430.48</v>
      </c>
      <c r="K4085" t="str">
        <f t="shared" si="255"/>
        <v>MATCHED</v>
      </c>
    </row>
    <row r="4086" spans="1:11">
      <c r="A4086" t="s">
        <v>120</v>
      </c>
      <c r="B4086" t="s">
        <v>1629</v>
      </c>
      <c r="C4086" t="s">
        <v>1214</v>
      </c>
      <c r="D4086" t="s">
        <v>1215</v>
      </c>
      <c r="E4086" s="8">
        <v>1890</v>
      </c>
      <c r="F4086" s="8">
        <v>130330</v>
      </c>
      <c r="G4086" s="8">
        <f t="shared" si="252"/>
        <v>246323700</v>
      </c>
      <c r="H4086" s="5">
        <v>0.4381</v>
      </c>
      <c r="I4086" s="8">
        <f t="shared" si="253"/>
        <v>246323700</v>
      </c>
      <c r="J4086" s="8">
        <f t="shared" si="254"/>
        <v>107914412.97</v>
      </c>
      <c r="K4086" t="str">
        <f t="shared" si="255"/>
        <v>MATCHED</v>
      </c>
    </row>
    <row r="4087" spans="1:11">
      <c r="A4087" t="s">
        <v>120</v>
      </c>
      <c r="B4087" t="s">
        <v>1629</v>
      </c>
      <c r="C4087" t="s">
        <v>638</v>
      </c>
      <c r="D4087" t="s">
        <v>639</v>
      </c>
      <c r="E4087" s="8">
        <v>510</v>
      </c>
      <c r="F4087" s="8">
        <v>143130</v>
      </c>
      <c r="G4087" s="8">
        <f t="shared" si="252"/>
        <v>72996300</v>
      </c>
      <c r="H4087" s="5">
        <v>0.1495</v>
      </c>
      <c r="I4087" s="8">
        <f t="shared" si="253"/>
        <v>72996300</v>
      </c>
      <c r="J4087" s="8">
        <f t="shared" si="254"/>
        <v>10912946.85</v>
      </c>
      <c r="K4087" t="str">
        <f t="shared" si="255"/>
        <v>MATCHED</v>
      </c>
    </row>
    <row r="4088" spans="1:11">
      <c r="A4088" t="s">
        <v>120</v>
      </c>
      <c r="B4088" t="s">
        <v>1629</v>
      </c>
      <c r="C4088" t="s">
        <v>1616</v>
      </c>
      <c r="D4088" t="s">
        <v>1617</v>
      </c>
      <c r="E4088" s="8">
        <v>200</v>
      </c>
      <c r="F4088" s="8">
        <v>95170</v>
      </c>
      <c r="G4088" s="8">
        <f t="shared" si="252"/>
        <v>19034000</v>
      </c>
      <c r="H4088" s="5">
        <v>0.1829</v>
      </c>
      <c r="I4088" s="8">
        <f t="shared" si="253"/>
        <v>19034000</v>
      </c>
      <c r="J4088" s="8">
        <f t="shared" si="254"/>
        <v>3481318.6</v>
      </c>
      <c r="K4088" t="str">
        <f t="shared" si="255"/>
        <v>MATCHED</v>
      </c>
    </row>
    <row r="4089" spans="1:11">
      <c r="A4089" t="s">
        <v>120</v>
      </c>
      <c r="B4089" t="s">
        <v>1629</v>
      </c>
      <c r="C4089" t="s">
        <v>1583</v>
      </c>
      <c r="D4089" t="s">
        <v>1584</v>
      </c>
      <c r="E4089" s="8">
        <v>320</v>
      </c>
      <c r="F4089" s="8">
        <v>103800</v>
      </c>
      <c r="G4089" s="8">
        <f t="shared" si="252"/>
        <v>33216000</v>
      </c>
      <c r="H4089" s="5">
        <v>0.1958</v>
      </c>
      <c r="I4089" s="8">
        <f t="shared" si="253"/>
        <v>33216000</v>
      </c>
      <c r="J4089" s="8">
        <f t="shared" si="254"/>
        <v>6503692.8</v>
      </c>
      <c r="K4089" t="str">
        <f t="shared" si="255"/>
        <v>MATCHED</v>
      </c>
    </row>
    <row r="4090" spans="1:11">
      <c r="A4090" t="s">
        <v>120</v>
      </c>
      <c r="B4090" t="s">
        <v>1629</v>
      </c>
      <c r="C4090" t="s">
        <v>1431</v>
      </c>
      <c r="D4090" t="s">
        <v>1432</v>
      </c>
      <c r="E4090" s="8"/>
      <c r="F4090" s="8">
        <v>94290</v>
      </c>
      <c r="G4090" s="8" t="str">
        <f t="shared" si="252"/>
        <v/>
      </c>
      <c r="H4090" s="5">
        <v>0.3227</v>
      </c>
      <c r="I4090" s="8" t="str">
        <f t="shared" si="253"/>
        <v/>
      </c>
      <c r="J4090" s="8" t="str">
        <f t="shared" si="254"/>
        <v/>
      </c>
      <c r="K4090" t="str">
        <f t="shared" si="255"/>
        <v>MISSING OEWS</v>
      </c>
    </row>
    <row r="4091" spans="1:11">
      <c r="A4091" t="s">
        <v>120</v>
      </c>
      <c r="B4091" t="s">
        <v>1629</v>
      </c>
      <c r="C4091" t="s">
        <v>1433</v>
      </c>
      <c r="D4091" t="s">
        <v>1434</v>
      </c>
      <c r="E4091" s="8">
        <v>50</v>
      </c>
      <c r="F4091" s="8">
        <v>119930</v>
      </c>
      <c r="G4091" s="8">
        <f t="shared" si="252"/>
        <v>5996500</v>
      </c>
      <c r="H4091" s="5">
        <v>0.0864</v>
      </c>
      <c r="I4091" s="8">
        <f t="shared" si="253"/>
        <v>5996500</v>
      </c>
      <c r="J4091" s="8">
        <f t="shared" si="254"/>
        <v>518097.6</v>
      </c>
      <c r="K4091" t="str">
        <f t="shared" si="255"/>
        <v>MATCHED</v>
      </c>
    </row>
    <row r="4092" spans="1:11">
      <c r="A4092" t="s">
        <v>120</v>
      </c>
      <c r="B4092" t="s">
        <v>1629</v>
      </c>
      <c r="C4092" t="s">
        <v>1668</v>
      </c>
      <c r="D4092" t="s">
        <v>1669</v>
      </c>
      <c r="E4092" s="8"/>
      <c r="F4092" s="8">
        <v>106450</v>
      </c>
      <c r="G4092" s="8" t="str">
        <f t="shared" si="252"/>
        <v/>
      </c>
      <c r="H4092" s="5">
        <v>0.1958</v>
      </c>
      <c r="I4092" s="8" t="str">
        <f t="shared" si="253"/>
        <v/>
      </c>
      <c r="J4092" s="8" t="str">
        <f t="shared" si="254"/>
        <v/>
      </c>
      <c r="K4092" t="str">
        <f t="shared" si="255"/>
        <v>MISSING OEWS</v>
      </c>
    </row>
    <row r="4093" spans="1:11">
      <c r="A4093" t="s">
        <v>120</v>
      </c>
      <c r="B4093" t="s">
        <v>1629</v>
      </c>
      <c r="C4093" t="s">
        <v>1670</v>
      </c>
      <c r="D4093" t="s">
        <v>1671</v>
      </c>
      <c r="E4093" s="8"/>
      <c r="F4093" s="8">
        <v>72520</v>
      </c>
      <c r="G4093" s="8" t="str">
        <f t="shared" si="252"/>
        <v/>
      </c>
      <c r="H4093" s="5">
        <v>0.14</v>
      </c>
      <c r="I4093" s="8" t="str">
        <f t="shared" si="253"/>
        <v/>
      </c>
      <c r="J4093" s="8" t="str">
        <f t="shared" si="254"/>
        <v/>
      </c>
      <c r="K4093" t="str">
        <f t="shared" si="255"/>
        <v>MISSING OEWS</v>
      </c>
    </row>
    <row r="4094" spans="1:11">
      <c r="A4094" t="s">
        <v>120</v>
      </c>
      <c r="B4094" t="s">
        <v>1629</v>
      </c>
      <c r="C4094" t="s">
        <v>1618</v>
      </c>
      <c r="D4094" t="s">
        <v>1619</v>
      </c>
      <c r="E4094" s="8"/>
      <c r="F4094" s="8">
        <v>94140</v>
      </c>
      <c r="G4094" s="8" t="str">
        <f t="shared" si="252"/>
        <v/>
      </c>
      <c r="H4094" s="5">
        <v>0.1775</v>
      </c>
      <c r="I4094" s="8" t="str">
        <f t="shared" si="253"/>
        <v/>
      </c>
      <c r="J4094" s="8" t="str">
        <f t="shared" si="254"/>
        <v/>
      </c>
      <c r="K4094" t="str">
        <f t="shared" si="255"/>
        <v>MISSING OEWS</v>
      </c>
    </row>
    <row r="4095" spans="1:11">
      <c r="A4095" t="s">
        <v>120</v>
      </c>
      <c r="B4095" t="s">
        <v>1629</v>
      </c>
      <c r="C4095" t="s">
        <v>325</v>
      </c>
      <c r="D4095" t="s">
        <v>326</v>
      </c>
      <c r="E4095" s="8">
        <v>75700</v>
      </c>
      <c r="F4095" s="8">
        <v>143120</v>
      </c>
      <c r="G4095" s="8">
        <f t="shared" si="252"/>
        <v>10834184000</v>
      </c>
      <c r="H4095" s="5">
        <v>0.163</v>
      </c>
      <c r="I4095" s="8">
        <f t="shared" si="253"/>
        <v>10834184000</v>
      </c>
      <c r="J4095" s="8">
        <f t="shared" si="254"/>
        <v>1765971992</v>
      </c>
      <c r="K4095" t="str">
        <f t="shared" si="255"/>
        <v>MATCHED</v>
      </c>
    </row>
    <row r="4096" spans="1:11">
      <c r="A4096" t="s">
        <v>120</v>
      </c>
      <c r="B4096" t="s">
        <v>1629</v>
      </c>
      <c r="C4096" t="s">
        <v>862</v>
      </c>
      <c r="D4096" t="s">
        <v>863</v>
      </c>
      <c r="E4096" s="8">
        <v>13480</v>
      </c>
      <c r="F4096" s="8">
        <v>98590</v>
      </c>
      <c r="G4096" s="8">
        <f t="shared" si="252"/>
        <v>1328993200</v>
      </c>
      <c r="H4096" s="5">
        <v>0.1958</v>
      </c>
      <c r="I4096" s="8">
        <f t="shared" si="253"/>
        <v>1328993200</v>
      </c>
      <c r="J4096" s="8">
        <f t="shared" si="254"/>
        <v>260216868.56</v>
      </c>
      <c r="K4096" t="str">
        <f t="shared" si="255"/>
        <v>MATCHED</v>
      </c>
    </row>
    <row r="4097" spans="1:11">
      <c r="A4097" t="s">
        <v>120</v>
      </c>
      <c r="B4097" t="s">
        <v>1629</v>
      </c>
      <c r="C4097" t="s">
        <v>1216</v>
      </c>
      <c r="D4097" t="s">
        <v>1217</v>
      </c>
      <c r="E4097" s="8"/>
      <c r="F4097" s="8">
        <v>252500</v>
      </c>
      <c r="G4097" s="8" t="str">
        <f t="shared" si="252"/>
        <v/>
      </c>
      <c r="H4097" s="5">
        <v>0.1167</v>
      </c>
      <c r="I4097" s="8" t="str">
        <f t="shared" si="253"/>
        <v/>
      </c>
      <c r="J4097" s="8" t="str">
        <f t="shared" si="254"/>
        <v/>
      </c>
      <c r="K4097" t="str">
        <f t="shared" si="255"/>
        <v>MISSING OEWS</v>
      </c>
    </row>
    <row r="4098" spans="1:11">
      <c r="A4098" t="s">
        <v>120</v>
      </c>
      <c r="B4098" t="s">
        <v>1629</v>
      </c>
      <c r="C4098" t="s">
        <v>1218</v>
      </c>
      <c r="D4098" t="s">
        <v>1219</v>
      </c>
      <c r="E4098" s="8">
        <v>1700</v>
      </c>
      <c r="F4098" s="8">
        <v>142430</v>
      </c>
      <c r="G4098" s="8">
        <f t="shared" ref="G4098:G4161" si="256">IF(OR(E4098="",F4098=""),"",E4098*F4098)</f>
        <v>242131000</v>
      </c>
      <c r="H4098" s="5">
        <v>0.313</v>
      </c>
      <c r="I4098" s="8">
        <f t="shared" ref="I4098:I4161" si="257">IF(G4098="","",IF(ISNUMBER(H4098),G4098,""))</f>
        <v>242131000</v>
      </c>
      <c r="J4098" s="8">
        <f t="shared" ref="J4098:J4161" si="258">IF(I4098="","",I4098*H4098)</f>
        <v>75787003</v>
      </c>
      <c r="K4098" t="str">
        <f t="shared" ref="K4098:K4161" si="259">IF(G4098="","MISSING OEWS",IF(ISNUMBER(H4098),"MATCHED","MISSING WHARTON"))</f>
        <v>MATCHED</v>
      </c>
    </row>
    <row r="4099" spans="1:11">
      <c r="A4099" t="s">
        <v>120</v>
      </c>
      <c r="B4099" t="s">
        <v>1629</v>
      </c>
      <c r="C4099" t="s">
        <v>1672</v>
      </c>
      <c r="D4099" t="s">
        <v>1673</v>
      </c>
      <c r="E4099" s="8"/>
      <c r="F4099" s="8">
        <v>119570</v>
      </c>
      <c r="G4099" s="8" t="str">
        <f t="shared" si="256"/>
        <v/>
      </c>
      <c r="H4099" s="5">
        <v>0.2222</v>
      </c>
      <c r="I4099" s="8" t="str">
        <f t="shared" si="257"/>
        <v/>
      </c>
      <c r="J4099" s="8" t="str">
        <f t="shared" si="258"/>
        <v/>
      </c>
      <c r="K4099" t="str">
        <f t="shared" si="259"/>
        <v>MISSING OEWS</v>
      </c>
    </row>
    <row r="4100" spans="1:11">
      <c r="A4100" t="s">
        <v>120</v>
      </c>
      <c r="B4100" t="s">
        <v>1629</v>
      </c>
      <c r="C4100" t="s">
        <v>1674</v>
      </c>
      <c r="D4100" t="s">
        <v>1675</v>
      </c>
      <c r="E4100" s="8">
        <v>110</v>
      </c>
      <c r="F4100" s="8">
        <v>222920</v>
      </c>
      <c r="G4100" s="8">
        <f t="shared" si="256"/>
        <v>24521200</v>
      </c>
      <c r="H4100" s="5">
        <v>0.2237</v>
      </c>
      <c r="I4100" s="8">
        <f t="shared" si="257"/>
        <v>24521200</v>
      </c>
      <c r="J4100" s="8">
        <f t="shared" si="258"/>
        <v>5485392.44</v>
      </c>
      <c r="K4100" t="str">
        <f t="shared" si="259"/>
        <v>MATCHED</v>
      </c>
    </row>
    <row r="4101" spans="1:11">
      <c r="A4101" t="s">
        <v>120</v>
      </c>
      <c r="B4101" t="s">
        <v>1629</v>
      </c>
      <c r="C4101" t="s">
        <v>1676</v>
      </c>
      <c r="D4101" t="s">
        <v>1677</v>
      </c>
      <c r="E4101" s="8">
        <v>40</v>
      </c>
      <c r="F4101" s="8">
        <v>127720</v>
      </c>
      <c r="G4101" s="8">
        <f t="shared" si="256"/>
        <v>5108800</v>
      </c>
      <c r="H4101" s="5">
        <v>0.1941</v>
      </c>
      <c r="I4101" s="8">
        <f t="shared" si="257"/>
        <v>5108800</v>
      </c>
      <c r="J4101" s="8">
        <f t="shared" si="258"/>
        <v>991618.08</v>
      </c>
      <c r="K4101" t="str">
        <f t="shared" si="259"/>
        <v>MATCHED</v>
      </c>
    </row>
    <row r="4102" spans="1:11">
      <c r="A4102" t="s">
        <v>120</v>
      </c>
      <c r="B4102" t="s">
        <v>1629</v>
      </c>
      <c r="C4102" t="s">
        <v>1439</v>
      </c>
      <c r="D4102" t="s">
        <v>1440</v>
      </c>
      <c r="E4102" s="8">
        <v>300</v>
      </c>
      <c r="F4102" s="8">
        <v>242790</v>
      </c>
      <c r="G4102" s="8">
        <f t="shared" si="256"/>
        <v>72837000</v>
      </c>
      <c r="H4102" s="5">
        <v>0.2711</v>
      </c>
      <c r="I4102" s="8">
        <f t="shared" si="257"/>
        <v>72837000</v>
      </c>
      <c r="J4102" s="8">
        <f t="shared" si="258"/>
        <v>19746110.7</v>
      </c>
      <c r="K4102" t="str">
        <f t="shared" si="259"/>
        <v>MATCHED</v>
      </c>
    </row>
    <row r="4103" spans="1:11">
      <c r="A4103" t="s">
        <v>120</v>
      </c>
      <c r="B4103" t="s">
        <v>1629</v>
      </c>
      <c r="C4103" t="s">
        <v>1678</v>
      </c>
      <c r="D4103" t="s">
        <v>1679</v>
      </c>
      <c r="E4103" s="8">
        <v>240</v>
      </c>
      <c r="F4103" s="8">
        <v>229370</v>
      </c>
      <c r="G4103" s="8">
        <f t="shared" si="256"/>
        <v>55048800</v>
      </c>
      <c r="H4103" s="5">
        <v>0.1375</v>
      </c>
      <c r="I4103" s="8">
        <f t="shared" si="257"/>
        <v>55048800</v>
      </c>
      <c r="J4103" s="8">
        <f t="shared" si="258"/>
        <v>7569210</v>
      </c>
      <c r="K4103" t="str">
        <f t="shared" si="259"/>
        <v>MATCHED</v>
      </c>
    </row>
    <row r="4104" spans="1:11">
      <c r="A4104" t="s">
        <v>120</v>
      </c>
      <c r="B4104" t="s">
        <v>1629</v>
      </c>
      <c r="C4104" t="s">
        <v>1680</v>
      </c>
      <c r="D4104" t="s">
        <v>1681</v>
      </c>
      <c r="E4104" s="8">
        <v>90</v>
      </c>
      <c r="F4104" s="8">
        <v>275520</v>
      </c>
      <c r="G4104" s="8">
        <f t="shared" si="256"/>
        <v>24796800</v>
      </c>
      <c r="H4104" s="5">
        <v>0.4317</v>
      </c>
      <c r="I4104" s="8">
        <f t="shared" si="257"/>
        <v>24796800</v>
      </c>
      <c r="J4104" s="8">
        <f t="shared" si="258"/>
        <v>10704778.56</v>
      </c>
      <c r="K4104" t="str">
        <f t="shared" si="259"/>
        <v>MATCHED</v>
      </c>
    </row>
    <row r="4105" spans="1:11">
      <c r="A4105" t="s">
        <v>120</v>
      </c>
      <c r="B4105" t="s">
        <v>1629</v>
      </c>
      <c r="C4105" t="s">
        <v>1220</v>
      </c>
      <c r="D4105" t="s">
        <v>1221</v>
      </c>
      <c r="E4105" s="8">
        <v>1680</v>
      </c>
      <c r="F4105" s="8">
        <v>230600</v>
      </c>
      <c r="G4105" s="8">
        <f t="shared" si="256"/>
        <v>387408000</v>
      </c>
      <c r="H4105" s="5">
        <v>0.2008</v>
      </c>
      <c r="I4105" s="8">
        <f t="shared" si="257"/>
        <v>387408000</v>
      </c>
      <c r="J4105" s="8">
        <f t="shared" si="258"/>
        <v>77791526.4</v>
      </c>
      <c r="K4105" t="str">
        <f t="shared" si="259"/>
        <v>MATCHED</v>
      </c>
    </row>
    <row r="4106" spans="1:11">
      <c r="A4106" t="s">
        <v>120</v>
      </c>
      <c r="B4106" t="s">
        <v>1629</v>
      </c>
      <c r="C4106" t="s">
        <v>1682</v>
      </c>
      <c r="D4106" t="s">
        <v>1683</v>
      </c>
      <c r="E4106" s="8">
        <v>60</v>
      </c>
      <c r="F4106" s="8"/>
      <c r="G4106" s="8" t="str">
        <f t="shared" si="256"/>
        <v/>
      </c>
      <c r="H4106" s="5"/>
      <c r="I4106" s="8" t="str">
        <f t="shared" si="257"/>
        <v/>
      </c>
      <c r="J4106" s="8" t="str">
        <f t="shared" si="258"/>
        <v/>
      </c>
      <c r="K4106" t="str">
        <f t="shared" si="259"/>
        <v>MISSING OEWS</v>
      </c>
    </row>
    <row r="4107" spans="1:11">
      <c r="A4107" t="s">
        <v>120</v>
      </c>
      <c r="B4107" t="s">
        <v>1629</v>
      </c>
      <c r="C4107" t="s">
        <v>1222</v>
      </c>
      <c r="D4107" t="s">
        <v>1223</v>
      </c>
      <c r="E4107" s="8">
        <v>40</v>
      </c>
      <c r="F4107" s="8">
        <v>88160</v>
      </c>
      <c r="G4107" s="8">
        <f t="shared" si="256"/>
        <v>3526400</v>
      </c>
      <c r="H4107" s="5">
        <v>0.1583</v>
      </c>
      <c r="I4107" s="8">
        <f t="shared" si="257"/>
        <v>3526400</v>
      </c>
      <c r="J4107" s="8">
        <f t="shared" si="258"/>
        <v>558229.12</v>
      </c>
      <c r="K4107" t="str">
        <f t="shared" si="259"/>
        <v>MATCHED</v>
      </c>
    </row>
    <row r="4108" spans="1:11">
      <c r="A4108" t="s">
        <v>120</v>
      </c>
      <c r="B4108" t="s">
        <v>1629</v>
      </c>
      <c r="C4108" t="s">
        <v>1224</v>
      </c>
      <c r="D4108" t="s">
        <v>1225</v>
      </c>
      <c r="E4108" s="8">
        <v>12500</v>
      </c>
      <c r="F4108" s="8">
        <v>63900</v>
      </c>
      <c r="G4108" s="8">
        <f t="shared" si="256"/>
        <v>798750000</v>
      </c>
      <c r="H4108" s="5">
        <v>0.1612</v>
      </c>
      <c r="I4108" s="8">
        <f t="shared" si="257"/>
        <v>798750000</v>
      </c>
      <c r="J4108" s="8">
        <f t="shared" si="258"/>
        <v>128758500</v>
      </c>
      <c r="K4108" t="str">
        <f t="shared" si="259"/>
        <v>MATCHED</v>
      </c>
    </row>
    <row r="4109" spans="1:11">
      <c r="A4109" t="s">
        <v>120</v>
      </c>
      <c r="B4109" t="s">
        <v>1629</v>
      </c>
      <c r="C4109" t="s">
        <v>1441</v>
      </c>
      <c r="D4109" t="s">
        <v>1442</v>
      </c>
      <c r="E4109" s="8"/>
      <c r="F4109" s="8">
        <v>64180</v>
      </c>
      <c r="G4109" s="8" t="str">
        <f t="shared" si="256"/>
        <v/>
      </c>
      <c r="H4109" s="5">
        <v>0.304</v>
      </c>
      <c r="I4109" s="8" t="str">
        <f t="shared" si="257"/>
        <v/>
      </c>
      <c r="J4109" s="8" t="str">
        <f t="shared" si="258"/>
        <v/>
      </c>
      <c r="K4109" t="str">
        <f t="shared" si="259"/>
        <v>MISSING OEWS</v>
      </c>
    </row>
    <row r="4110" spans="1:11">
      <c r="A4110" t="s">
        <v>120</v>
      </c>
      <c r="B4110" t="s">
        <v>1629</v>
      </c>
      <c r="C4110" t="s">
        <v>1684</v>
      </c>
      <c r="D4110" t="s">
        <v>1685</v>
      </c>
      <c r="E4110" s="8"/>
      <c r="F4110" s="8">
        <v>81100</v>
      </c>
      <c r="G4110" s="8" t="str">
        <f t="shared" si="256"/>
        <v/>
      </c>
      <c r="H4110" s="5">
        <v>0.345</v>
      </c>
      <c r="I4110" s="8" t="str">
        <f t="shared" si="257"/>
        <v/>
      </c>
      <c r="J4110" s="8" t="str">
        <f t="shared" si="258"/>
        <v/>
      </c>
      <c r="K4110" t="str">
        <f t="shared" si="259"/>
        <v>MISSING OEWS</v>
      </c>
    </row>
    <row r="4111" spans="1:11">
      <c r="A4111" t="s">
        <v>120</v>
      </c>
      <c r="B4111" t="s">
        <v>1629</v>
      </c>
      <c r="C4111" t="s">
        <v>1686</v>
      </c>
      <c r="D4111" t="s">
        <v>1687</v>
      </c>
      <c r="E4111" s="8">
        <v>70</v>
      </c>
      <c r="F4111" s="8">
        <v>109910</v>
      </c>
      <c r="G4111" s="8">
        <f t="shared" si="256"/>
        <v>7693700</v>
      </c>
      <c r="H4111" s="5">
        <v>0.2647</v>
      </c>
      <c r="I4111" s="8">
        <f t="shared" si="257"/>
        <v>7693700</v>
      </c>
      <c r="J4111" s="8">
        <f t="shared" si="258"/>
        <v>2036522.39</v>
      </c>
      <c r="K4111" t="str">
        <f t="shared" si="259"/>
        <v>MATCHED</v>
      </c>
    </row>
    <row r="4112" spans="1:11">
      <c r="A4112" t="s">
        <v>120</v>
      </c>
      <c r="B4112" t="s">
        <v>1629</v>
      </c>
      <c r="C4112" t="s">
        <v>1226</v>
      </c>
      <c r="D4112" t="s">
        <v>1227</v>
      </c>
      <c r="E4112" s="8">
        <v>1060</v>
      </c>
      <c r="F4112" s="8">
        <v>83260</v>
      </c>
      <c r="G4112" s="8">
        <f t="shared" si="256"/>
        <v>88255600</v>
      </c>
      <c r="H4112" s="5">
        <v>0.315</v>
      </c>
      <c r="I4112" s="8">
        <f t="shared" si="257"/>
        <v>88255600</v>
      </c>
      <c r="J4112" s="8">
        <f t="shared" si="258"/>
        <v>27800514</v>
      </c>
      <c r="K4112" t="str">
        <f t="shared" si="259"/>
        <v>MATCHED</v>
      </c>
    </row>
    <row r="4113" spans="1:11">
      <c r="A4113" t="s">
        <v>120</v>
      </c>
      <c r="B4113" t="s">
        <v>1629</v>
      </c>
      <c r="C4113" t="s">
        <v>1688</v>
      </c>
      <c r="D4113" t="s">
        <v>1689</v>
      </c>
      <c r="E4113" s="8"/>
      <c r="F4113" s="8">
        <v>71290</v>
      </c>
      <c r="G4113" s="8" t="str">
        <f t="shared" si="256"/>
        <v/>
      </c>
      <c r="H4113" s="5">
        <v>0.4239</v>
      </c>
      <c r="I4113" s="8" t="str">
        <f t="shared" si="257"/>
        <v/>
      </c>
      <c r="J4113" s="8" t="str">
        <f t="shared" si="258"/>
        <v/>
      </c>
      <c r="K4113" t="str">
        <f t="shared" si="259"/>
        <v>MISSING OEWS</v>
      </c>
    </row>
    <row r="4114" spans="1:11">
      <c r="A4114" t="s">
        <v>120</v>
      </c>
      <c r="B4114" t="s">
        <v>1629</v>
      </c>
      <c r="C4114" t="s">
        <v>1690</v>
      </c>
      <c r="D4114" t="s">
        <v>1691</v>
      </c>
      <c r="E4114" s="8"/>
      <c r="F4114" s="8">
        <v>126600</v>
      </c>
      <c r="G4114" s="8" t="str">
        <f t="shared" si="256"/>
        <v/>
      </c>
      <c r="H4114" s="5">
        <v>0.435</v>
      </c>
      <c r="I4114" s="8" t="str">
        <f t="shared" si="257"/>
        <v/>
      </c>
      <c r="J4114" s="8" t="str">
        <f t="shared" si="258"/>
        <v/>
      </c>
      <c r="K4114" t="str">
        <f t="shared" si="259"/>
        <v>MISSING OEWS</v>
      </c>
    </row>
    <row r="4115" spans="1:11">
      <c r="A4115" t="s">
        <v>120</v>
      </c>
      <c r="B4115" t="s">
        <v>1629</v>
      </c>
      <c r="C4115" t="s">
        <v>640</v>
      </c>
      <c r="D4115" t="s">
        <v>641</v>
      </c>
      <c r="E4115" s="8"/>
      <c r="F4115" s="8">
        <v>57200</v>
      </c>
      <c r="G4115" s="8" t="str">
        <f t="shared" si="256"/>
        <v/>
      </c>
      <c r="H4115" s="5">
        <v>0.0792</v>
      </c>
      <c r="I4115" s="8" t="str">
        <f t="shared" si="257"/>
        <v/>
      </c>
      <c r="J4115" s="8" t="str">
        <f t="shared" si="258"/>
        <v/>
      </c>
      <c r="K4115" t="str">
        <f t="shared" si="259"/>
        <v>MISSING OEWS</v>
      </c>
    </row>
    <row r="4116" spans="1:11">
      <c r="A4116" t="s">
        <v>120</v>
      </c>
      <c r="B4116" t="s">
        <v>1629</v>
      </c>
      <c r="C4116" t="s">
        <v>642</v>
      </c>
      <c r="D4116" t="s">
        <v>643</v>
      </c>
      <c r="E4116" s="8">
        <v>220</v>
      </c>
      <c r="F4116" s="8">
        <v>66600</v>
      </c>
      <c r="G4116" s="8">
        <f t="shared" si="256"/>
        <v>14652000</v>
      </c>
      <c r="H4116" s="5">
        <v>0</v>
      </c>
      <c r="I4116" s="8">
        <f t="shared" si="257"/>
        <v>14652000</v>
      </c>
      <c r="J4116" s="8">
        <f t="shared" si="258"/>
        <v>0</v>
      </c>
      <c r="K4116" t="str">
        <f t="shared" si="259"/>
        <v>MATCHED</v>
      </c>
    </row>
    <row r="4117" spans="1:11">
      <c r="A4117" t="s">
        <v>120</v>
      </c>
      <c r="B4117" t="s">
        <v>1629</v>
      </c>
      <c r="C4117" t="s">
        <v>1228</v>
      </c>
      <c r="D4117" t="s">
        <v>1229</v>
      </c>
      <c r="E4117" s="8">
        <v>1260</v>
      </c>
      <c r="F4117" s="8">
        <v>48190</v>
      </c>
      <c r="G4117" s="8">
        <f t="shared" si="256"/>
        <v>60719400</v>
      </c>
      <c r="H4117" s="5">
        <v>0.6357</v>
      </c>
      <c r="I4117" s="8">
        <f t="shared" si="257"/>
        <v>60719400</v>
      </c>
      <c r="J4117" s="8">
        <f t="shared" si="258"/>
        <v>38599322.58</v>
      </c>
      <c r="K4117" t="str">
        <f t="shared" si="259"/>
        <v>MATCHED</v>
      </c>
    </row>
    <row r="4118" spans="1:11">
      <c r="A4118" t="s">
        <v>120</v>
      </c>
      <c r="B4118" t="s">
        <v>1629</v>
      </c>
      <c r="C4118" t="s">
        <v>1692</v>
      </c>
      <c r="D4118" t="s">
        <v>1693</v>
      </c>
      <c r="E4118" s="8"/>
      <c r="F4118" s="8">
        <v>37030</v>
      </c>
      <c r="G4118" s="8" t="str">
        <f t="shared" si="256"/>
        <v/>
      </c>
      <c r="H4118" s="5">
        <v>0.0594</v>
      </c>
      <c r="I4118" s="8" t="str">
        <f t="shared" si="257"/>
        <v/>
      </c>
      <c r="J4118" s="8" t="str">
        <f t="shared" si="258"/>
        <v/>
      </c>
      <c r="K4118" t="str">
        <f t="shared" si="259"/>
        <v>MISSING OEWS</v>
      </c>
    </row>
    <row r="4119" spans="1:11">
      <c r="A4119" t="s">
        <v>120</v>
      </c>
      <c r="B4119" t="s">
        <v>1629</v>
      </c>
      <c r="C4119" t="s">
        <v>1694</v>
      </c>
      <c r="D4119" t="s">
        <v>1695</v>
      </c>
      <c r="E4119" s="8">
        <v>130</v>
      </c>
      <c r="F4119" s="8">
        <v>79750</v>
      </c>
      <c r="G4119" s="8">
        <f t="shared" si="256"/>
        <v>10367500</v>
      </c>
      <c r="H4119" s="5">
        <v>0.1188</v>
      </c>
      <c r="I4119" s="8">
        <f t="shared" si="257"/>
        <v>10367500</v>
      </c>
      <c r="J4119" s="8">
        <f t="shared" si="258"/>
        <v>1231659</v>
      </c>
      <c r="K4119" t="str">
        <f t="shared" si="259"/>
        <v>MATCHED</v>
      </c>
    </row>
    <row r="4120" spans="1:11">
      <c r="A4120" t="s">
        <v>120</v>
      </c>
      <c r="B4120" t="s">
        <v>1629</v>
      </c>
      <c r="C4120" t="s">
        <v>327</v>
      </c>
      <c r="D4120" t="s">
        <v>328</v>
      </c>
      <c r="E4120" s="8">
        <v>117310</v>
      </c>
      <c r="F4120" s="8">
        <v>48620</v>
      </c>
      <c r="G4120" s="8">
        <f t="shared" si="256"/>
        <v>5703612200</v>
      </c>
      <c r="H4120" s="5">
        <v>0.2065</v>
      </c>
      <c r="I4120" s="8">
        <f t="shared" si="257"/>
        <v>5703612200</v>
      </c>
      <c r="J4120" s="8">
        <f t="shared" si="258"/>
        <v>1177795919.3</v>
      </c>
      <c r="K4120" t="str">
        <f t="shared" si="259"/>
        <v>MATCHED</v>
      </c>
    </row>
    <row r="4121" spans="1:11">
      <c r="A4121" t="s">
        <v>120</v>
      </c>
      <c r="B4121" t="s">
        <v>1629</v>
      </c>
      <c r="C4121" t="s">
        <v>1488</v>
      </c>
      <c r="D4121" t="s">
        <v>1489</v>
      </c>
      <c r="E4121" s="8"/>
      <c r="F4121" s="8">
        <v>54150</v>
      </c>
      <c r="G4121" s="8" t="str">
        <f t="shared" si="256"/>
        <v/>
      </c>
      <c r="H4121" s="5">
        <v>0.19</v>
      </c>
      <c r="I4121" s="8" t="str">
        <f t="shared" si="257"/>
        <v/>
      </c>
      <c r="J4121" s="8" t="str">
        <f t="shared" si="258"/>
        <v/>
      </c>
      <c r="K4121" t="str">
        <f t="shared" si="259"/>
        <v>MISSING OEWS</v>
      </c>
    </row>
    <row r="4122" spans="1:11">
      <c r="A4122" t="s">
        <v>120</v>
      </c>
      <c r="B4122" t="s">
        <v>1629</v>
      </c>
      <c r="C4122" t="s">
        <v>1230</v>
      </c>
      <c r="D4122" t="s">
        <v>1231</v>
      </c>
      <c r="E4122" s="8">
        <v>1220</v>
      </c>
      <c r="F4122" s="8">
        <v>67670</v>
      </c>
      <c r="G4122" s="8">
        <f t="shared" si="256"/>
        <v>82557400</v>
      </c>
      <c r="H4122" s="5">
        <v>0.1239</v>
      </c>
      <c r="I4122" s="8">
        <f t="shared" si="257"/>
        <v>82557400</v>
      </c>
      <c r="J4122" s="8">
        <f t="shared" si="258"/>
        <v>10228861.86</v>
      </c>
      <c r="K4122" t="str">
        <f t="shared" si="259"/>
        <v>MATCHED</v>
      </c>
    </row>
    <row r="4123" spans="1:11">
      <c r="A4123" t="s">
        <v>120</v>
      </c>
      <c r="B4123" t="s">
        <v>1629</v>
      </c>
      <c r="C4123" t="s">
        <v>1232</v>
      </c>
      <c r="D4123" t="s">
        <v>1233</v>
      </c>
      <c r="E4123" s="8">
        <v>19340</v>
      </c>
      <c r="F4123" s="8">
        <v>51950</v>
      </c>
      <c r="G4123" s="8">
        <f t="shared" si="256"/>
        <v>1004713000</v>
      </c>
      <c r="H4123" s="5">
        <v>0.9353</v>
      </c>
      <c r="I4123" s="8">
        <f t="shared" si="257"/>
        <v>1004713000</v>
      </c>
      <c r="J4123" s="8">
        <f t="shared" si="258"/>
        <v>939708068.9</v>
      </c>
      <c r="K4123" t="str">
        <f t="shared" si="259"/>
        <v>MATCHED</v>
      </c>
    </row>
    <row r="4124" spans="1:11">
      <c r="A4124" t="s">
        <v>120</v>
      </c>
      <c r="B4124" t="s">
        <v>1629</v>
      </c>
      <c r="C4124" t="s">
        <v>1240</v>
      </c>
      <c r="D4124" t="s">
        <v>1241</v>
      </c>
      <c r="E4124" s="8">
        <v>1360</v>
      </c>
      <c r="F4124" s="8">
        <v>81090</v>
      </c>
      <c r="G4124" s="8">
        <f t="shared" si="256"/>
        <v>110282400</v>
      </c>
      <c r="H4124" s="5">
        <v>0.2977</v>
      </c>
      <c r="I4124" s="8">
        <f t="shared" si="257"/>
        <v>110282400</v>
      </c>
      <c r="J4124" s="8">
        <f t="shared" si="258"/>
        <v>32831070.48</v>
      </c>
      <c r="K4124" t="str">
        <f t="shared" si="259"/>
        <v>MATCHED</v>
      </c>
    </row>
    <row r="4125" spans="1:11">
      <c r="A4125" t="s">
        <v>120</v>
      </c>
      <c r="B4125" t="s">
        <v>1629</v>
      </c>
      <c r="C4125" t="s">
        <v>1242</v>
      </c>
      <c r="D4125" t="s">
        <v>1243</v>
      </c>
      <c r="E4125" s="8">
        <v>2190</v>
      </c>
      <c r="F4125" s="8">
        <v>68490</v>
      </c>
      <c r="G4125" s="8">
        <f t="shared" si="256"/>
        <v>149993100</v>
      </c>
      <c r="H4125" s="5">
        <v>0.7969</v>
      </c>
      <c r="I4125" s="8">
        <f t="shared" si="257"/>
        <v>149993100</v>
      </c>
      <c r="J4125" s="8">
        <f t="shared" si="258"/>
        <v>119529501.39</v>
      </c>
      <c r="K4125" t="str">
        <f t="shared" si="259"/>
        <v>MATCHED</v>
      </c>
    </row>
    <row r="4126" spans="1:11">
      <c r="A4126" t="s">
        <v>120</v>
      </c>
      <c r="B4126" t="s">
        <v>1629</v>
      </c>
      <c r="C4126" t="s">
        <v>1696</v>
      </c>
      <c r="D4126" t="s">
        <v>1697</v>
      </c>
      <c r="E4126" s="8"/>
      <c r="F4126" s="8">
        <v>75400</v>
      </c>
      <c r="G4126" s="8" t="str">
        <f t="shared" si="256"/>
        <v/>
      </c>
      <c r="H4126" s="5">
        <v>0.1435</v>
      </c>
      <c r="I4126" s="8" t="str">
        <f t="shared" si="257"/>
        <v/>
      </c>
      <c r="J4126" s="8" t="str">
        <f t="shared" si="258"/>
        <v/>
      </c>
      <c r="K4126" t="str">
        <f t="shared" si="259"/>
        <v>MISSING OEWS</v>
      </c>
    </row>
    <row r="4127" spans="1:11">
      <c r="A4127" t="s">
        <v>120</v>
      </c>
      <c r="B4127" t="s">
        <v>1629</v>
      </c>
      <c r="C4127" t="s">
        <v>1244</v>
      </c>
      <c r="D4127" t="s">
        <v>1245</v>
      </c>
      <c r="E4127" s="8">
        <v>80</v>
      </c>
      <c r="F4127" s="8">
        <v>101030</v>
      </c>
      <c r="G4127" s="8">
        <f t="shared" si="256"/>
        <v>8082400</v>
      </c>
      <c r="H4127" s="5">
        <v>0.5421</v>
      </c>
      <c r="I4127" s="8">
        <f t="shared" si="257"/>
        <v>8082400</v>
      </c>
      <c r="J4127" s="8">
        <f t="shared" si="258"/>
        <v>4381469.04</v>
      </c>
      <c r="K4127" t="str">
        <f t="shared" si="259"/>
        <v>MATCHED</v>
      </c>
    </row>
    <row r="4128" spans="1:11">
      <c r="A4128" t="s">
        <v>120</v>
      </c>
      <c r="B4128" t="s">
        <v>1629</v>
      </c>
      <c r="C4128" t="s">
        <v>1246</v>
      </c>
      <c r="D4128" t="s">
        <v>1247</v>
      </c>
      <c r="E4128" s="8">
        <v>560</v>
      </c>
      <c r="F4128" s="8">
        <v>91260</v>
      </c>
      <c r="G4128" s="8">
        <f t="shared" si="256"/>
        <v>51105600</v>
      </c>
      <c r="H4128" s="5">
        <v>0.2347</v>
      </c>
      <c r="I4128" s="8">
        <f t="shared" si="257"/>
        <v>51105600</v>
      </c>
      <c r="J4128" s="8">
        <f t="shared" si="258"/>
        <v>11994484.32</v>
      </c>
      <c r="K4128" t="str">
        <f t="shared" si="259"/>
        <v>MATCHED</v>
      </c>
    </row>
    <row r="4129" spans="1:11">
      <c r="A4129" t="s">
        <v>120</v>
      </c>
      <c r="B4129" t="s">
        <v>1629</v>
      </c>
      <c r="C4129" t="s">
        <v>972</v>
      </c>
      <c r="D4129" t="s">
        <v>973</v>
      </c>
      <c r="E4129" s="8">
        <v>2860</v>
      </c>
      <c r="F4129" s="8">
        <v>38500</v>
      </c>
      <c r="G4129" s="8">
        <f t="shared" si="256"/>
        <v>110110000</v>
      </c>
      <c r="H4129" s="5">
        <v>0.118</v>
      </c>
      <c r="I4129" s="8">
        <f t="shared" si="257"/>
        <v>110110000</v>
      </c>
      <c r="J4129" s="8">
        <f t="shared" si="258"/>
        <v>12992980</v>
      </c>
      <c r="K4129" t="str">
        <f t="shared" si="259"/>
        <v>MATCHED</v>
      </c>
    </row>
    <row r="4130" spans="1:11">
      <c r="A4130" t="s">
        <v>120</v>
      </c>
      <c r="B4130" t="s">
        <v>1629</v>
      </c>
      <c r="C4130" t="s">
        <v>1443</v>
      </c>
      <c r="D4130" t="s">
        <v>1444</v>
      </c>
      <c r="E4130" s="8">
        <v>430</v>
      </c>
      <c r="F4130" s="8">
        <v>47570</v>
      </c>
      <c r="G4130" s="8">
        <f t="shared" si="256"/>
        <v>20455100</v>
      </c>
      <c r="H4130" s="5">
        <v>0.05</v>
      </c>
      <c r="I4130" s="8">
        <f t="shared" si="257"/>
        <v>20455100</v>
      </c>
      <c r="J4130" s="8">
        <f t="shared" si="258"/>
        <v>1022755</v>
      </c>
      <c r="K4130" t="str">
        <f t="shared" si="259"/>
        <v>MATCHED</v>
      </c>
    </row>
    <row r="4131" spans="1:11">
      <c r="A4131" t="s">
        <v>120</v>
      </c>
      <c r="B4131" t="s">
        <v>1629</v>
      </c>
      <c r="C4131" t="s">
        <v>1698</v>
      </c>
      <c r="D4131" t="s">
        <v>1699</v>
      </c>
      <c r="E4131" s="8">
        <v>80</v>
      </c>
      <c r="F4131" s="8">
        <v>91250</v>
      </c>
      <c r="G4131" s="8">
        <f t="shared" si="256"/>
        <v>7300000</v>
      </c>
      <c r="H4131" s="5">
        <v>0.0905</v>
      </c>
      <c r="I4131" s="8">
        <f t="shared" si="257"/>
        <v>7300000</v>
      </c>
      <c r="J4131" s="8">
        <f t="shared" si="258"/>
        <v>660650</v>
      </c>
      <c r="K4131" t="str">
        <f t="shared" si="259"/>
        <v>MATCHED</v>
      </c>
    </row>
    <row r="4132" spans="1:11">
      <c r="A4132" t="s">
        <v>120</v>
      </c>
      <c r="B4132" t="s">
        <v>1629</v>
      </c>
      <c r="C4132" t="s">
        <v>1490</v>
      </c>
      <c r="D4132" t="s">
        <v>1491</v>
      </c>
      <c r="E4132" s="8"/>
      <c r="F4132" s="8">
        <v>74390</v>
      </c>
      <c r="G4132" s="8" t="str">
        <f t="shared" si="256"/>
        <v/>
      </c>
      <c r="H4132" s="5">
        <v>0.0679</v>
      </c>
      <c r="I4132" s="8" t="str">
        <f t="shared" si="257"/>
        <v/>
      </c>
      <c r="J4132" s="8" t="str">
        <f t="shared" si="258"/>
        <v/>
      </c>
      <c r="K4132" t="str">
        <f t="shared" si="259"/>
        <v>MISSING OEWS</v>
      </c>
    </row>
    <row r="4133" spans="1:11">
      <c r="A4133" t="s">
        <v>120</v>
      </c>
      <c r="B4133" t="s">
        <v>1629</v>
      </c>
      <c r="C4133" t="s">
        <v>1248</v>
      </c>
      <c r="D4133" t="s">
        <v>1249</v>
      </c>
      <c r="E4133" s="8"/>
      <c r="F4133" s="8">
        <v>56770</v>
      </c>
      <c r="G4133" s="8" t="str">
        <f t="shared" si="256"/>
        <v/>
      </c>
      <c r="H4133" s="5">
        <v>0.2219</v>
      </c>
      <c r="I4133" s="8" t="str">
        <f t="shared" si="257"/>
        <v/>
      </c>
      <c r="J4133" s="8" t="str">
        <f t="shared" si="258"/>
        <v/>
      </c>
      <c r="K4133" t="str">
        <f t="shared" si="259"/>
        <v>MISSING OEWS</v>
      </c>
    </row>
    <row r="4134" spans="1:11">
      <c r="A4134" t="s">
        <v>120</v>
      </c>
      <c r="B4134" t="s">
        <v>1629</v>
      </c>
      <c r="C4134" t="s">
        <v>1250</v>
      </c>
      <c r="D4134" t="s">
        <v>1251</v>
      </c>
      <c r="E4134" s="8">
        <v>3530</v>
      </c>
      <c r="F4134" s="8">
        <v>48210</v>
      </c>
      <c r="G4134" s="8">
        <f t="shared" si="256"/>
        <v>170181300</v>
      </c>
      <c r="H4134" s="5">
        <v>0.4025</v>
      </c>
      <c r="I4134" s="8">
        <f t="shared" si="257"/>
        <v>170181300</v>
      </c>
      <c r="J4134" s="8">
        <f t="shared" si="258"/>
        <v>68497973.25</v>
      </c>
      <c r="K4134" t="str">
        <f t="shared" si="259"/>
        <v>MATCHED</v>
      </c>
    </row>
    <row r="4135" spans="1:11">
      <c r="A4135" t="s">
        <v>120</v>
      </c>
      <c r="B4135" t="s">
        <v>1629</v>
      </c>
      <c r="C4135" t="s">
        <v>1252</v>
      </c>
      <c r="D4135" t="s">
        <v>1253</v>
      </c>
      <c r="E4135" s="8">
        <v>510</v>
      </c>
      <c r="F4135" s="8">
        <v>51670</v>
      </c>
      <c r="G4135" s="8">
        <f t="shared" si="256"/>
        <v>26351700</v>
      </c>
      <c r="H4135" s="5">
        <v>0.1188</v>
      </c>
      <c r="I4135" s="8">
        <f t="shared" si="257"/>
        <v>26351700</v>
      </c>
      <c r="J4135" s="8">
        <f t="shared" si="258"/>
        <v>3130581.96</v>
      </c>
      <c r="K4135" t="str">
        <f t="shared" si="259"/>
        <v>MATCHED</v>
      </c>
    </row>
    <row r="4136" spans="1:11">
      <c r="A4136" t="s">
        <v>120</v>
      </c>
      <c r="B4136" t="s">
        <v>1629</v>
      </c>
      <c r="C4136" t="s">
        <v>1622</v>
      </c>
      <c r="D4136" t="s">
        <v>1623</v>
      </c>
      <c r="E4136" s="8">
        <v>2320</v>
      </c>
      <c r="F4136" s="8">
        <v>43680</v>
      </c>
      <c r="G4136" s="8">
        <f t="shared" si="256"/>
        <v>101337600</v>
      </c>
      <c r="H4136" s="5">
        <v>0.8733</v>
      </c>
      <c r="I4136" s="8">
        <f t="shared" si="257"/>
        <v>101337600</v>
      </c>
      <c r="J4136" s="8">
        <f t="shared" si="258"/>
        <v>88498126.08</v>
      </c>
      <c r="K4136" t="str">
        <f t="shared" si="259"/>
        <v>MATCHED</v>
      </c>
    </row>
    <row r="4137" spans="1:11">
      <c r="A4137" t="s">
        <v>120</v>
      </c>
      <c r="B4137" t="s">
        <v>1629</v>
      </c>
      <c r="C4137" t="s">
        <v>1254</v>
      </c>
      <c r="D4137" t="s">
        <v>1255</v>
      </c>
      <c r="E4137" s="8">
        <v>114500</v>
      </c>
      <c r="F4137" s="8">
        <v>39880</v>
      </c>
      <c r="G4137" s="8">
        <f t="shared" si="256"/>
        <v>4566260000</v>
      </c>
      <c r="H4137" s="5">
        <v>0.1696</v>
      </c>
      <c r="I4137" s="8">
        <f t="shared" si="257"/>
        <v>4566260000</v>
      </c>
      <c r="J4137" s="8">
        <f t="shared" si="258"/>
        <v>774437696</v>
      </c>
      <c r="K4137" t="str">
        <f t="shared" si="259"/>
        <v>MATCHED</v>
      </c>
    </row>
    <row r="4138" spans="1:11">
      <c r="A4138" t="s">
        <v>120</v>
      </c>
      <c r="B4138" t="s">
        <v>1629</v>
      </c>
      <c r="C4138" t="s">
        <v>1447</v>
      </c>
      <c r="D4138" t="s">
        <v>1448</v>
      </c>
      <c r="E4138" s="8">
        <v>940</v>
      </c>
      <c r="F4138" s="8">
        <v>44380</v>
      </c>
      <c r="G4138" s="8">
        <f t="shared" si="256"/>
        <v>41717200</v>
      </c>
      <c r="H4138" s="5">
        <v>0.0792</v>
      </c>
      <c r="I4138" s="8">
        <f t="shared" si="257"/>
        <v>41717200</v>
      </c>
      <c r="J4138" s="8">
        <f t="shared" si="258"/>
        <v>3304002.24</v>
      </c>
      <c r="K4138" t="str">
        <f t="shared" si="259"/>
        <v>MATCHED</v>
      </c>
    </row>
    <row r="4139" spans="1:11">
      <c r="A4139" t="s">
        <v>120</v>
      </c>
      <c r="B4139" t="s">
        <v>1629</v>
      </c>
      <c r="C4139" t="s">
        <v>1256</v>
      </c>
      <c r="D4139" t="s">
        <v>1257</v>
      </c>
      <c r="E4139" s="8">
        <v>500</v>
      </c>
      <c r="F4139" s="8">
        <v>61880</v>
      </c>
      <c r="G4139" s="8">
        <f t="shared" si="256"/>
        <v>30940000</v>
      </c>
      <c r="H4139" s="5">
        <v>0.2542</v>
      </c>
      <c r="I4139" s="8">
        <f t="shared" si="257"/>
        <v>30940000</v>
      </c>
      <c r="J4139" s="8">
        <f t="shared" si="258"/>
        <v>7864948</v>
      </c>
      <c r="K4139" t="str">
        <f t="shared" si="259"/>
        <v>MATCHED</v>
      </c>
    </row>
    <row r="4140" spans="1:11">
      <c r="A4140" t="s">
        <v>120</v>
      </c>
      <c r="B4140" t="s">
        <v>1629</v>
      </c>
      <c r="C4140" t="s">
        <v>644</v>
      </c>
      <c r="D4140" t="s">
        <v>645</v>
      </c>
      <c r="E4140" s="8">
        <v>870</v>
      </c>
      <c r="F4140" s="8">
        <v>83530</v>
      </c>
      <c r="G4140" s="8">
        <f t="shared" si="256"/>
        <v>72671100</v>
      </c>
      <c r="H4140" s="5">
        <v>0.3929</v>
      </c>
      <c r="I4140" s="8">
        <f t="shared" si="257"/>
        <v>72671100</v>
      </c>
      <c r="J4140" s="8">
        <f t="shared" si="258"/>
        <v>28552475.19</v>
      </c>
      <c r="K4140" t="str">
        <f t="shared" si="259"/>
        <v>MATCHED</v>
      </c>
    </row>
    <row r="4141" spans="1:11">
      <c r="A4141" t="s">
        <v>120</v>
      </c>
      <c r="B4141" t="s">
        <v>1629</v>
      </c>
      <c r="C4141" t="s">
        <v>866</v>
      </c>
      <c r="D4141" t="s">
        <v>867</v>
      </c>
      <c r="E4141" s="8">
        <v>120</v>
      </c>
      <c r="F4141" s="8">
        <v>89240</v>
      </c>
      <c r="G4141" s="8">
        <f t="shared" si="256"/>
        <v>10708800</v>
      </c>
      <c r="H4141" s="5"/>
      <c r="I4141" s="8" t="str">
        <f t="shared" si="257"/>
        <v/>
      </c>
      <c r="J4141" s="8" t="str">
        <f t="shared" si="258"/>
        <v/>
      </c>
      <c r="K4141" t="str">
        <f t="shared" si="259"/>
        <v>MISSING WHARTON</v>
      </c>
    </row>
    <row r="4142" spans="1:11">
      <c r="A4142" t="s">
        <v>120</v>
      </c>
      <c r="B4142" t="s">
        <v>1629</v>
      </c>
      <c r="C4142" t="s">
        <v>868</v>
      </c>
      <c r="D4142" t="s">
        <v>869</v>
      </c>
      <c r="E4142" s="8">
        <v>240</v>
      </c>
      <c r="F4142" s="8">
        <v>64030</v>
      </c>
      <c r="G4142" s="8">
        <f t="shared" si="256"/>
        <v>15367200</v>
      </c>
      <c r="H4142" s="5">
        <v>0.0317</v>
      </c>
      <c r="I4142" s="8">
        <f t="shared" si="257"/>
        <v>15367200</v>
      </c>
      <c r="J4142" s="8">
        <f t="shared" si="258"/>
        <v>487140.24</v>
      </c>
      <c r="K4142" t="str">
        <f t="shared" si="259"/>
        <v>MATCHED</v>
      </c>
    </row>
    <row r="4143" spans="1:11">
      <c r="A4143" t="s">
        <v>120</v>
      </c>
      <c r="B4143" t="s">
        <v>1629</v>
      </c>
      <c r="C4143" t="s">
        <v>974</v>
      </c>
      <c r="D4143" t="s">
        <v>975</v>
      </c>
      <c r="E4143" s="8">
        <v>390</v>
      </c>
      <c r="F4143" s="8">
        <v>95250</v>
      </c>
      <c r="G4143" s="8">
        <f t="shared" si="256"/>
        <v>37147500</v>
      </c>
      <c r="H4143" s="5">
        <v>0.125</v>
      </c>
      <c r="I4143" s="8">
        <f t="shared" si="257"/>
        <v>37147500</v>
      </c>
      <c r="J4143" s="8">
        <f t="shared" si="258"/>
        <v>4643437.5</v>
      </c>
      <c r="K4143" t="str">
        <f t="shared" si="259"/>
        <v>MATCHED</v>
      </c>
    </row>
    <row r="4144" spans="1:11">
      <c r="A4144" t="s">
        <v>120</v>
      </c>
      <c r="B4144" t="s">
        <v>1629</v>
      </c>
      <c r="C4144" t="s">
        <v>870</v>
      </c>
      <c r="D4144" t="s">
        <v>871</v>
      </c>
      <c r="E4144" s="8">
        <v>2550</v>
      </c>
      <c r="F4144" s="8">
        <v>78610</v>
      </c>
      <c r="G4144" s="8">
        <f t="shared" si="256"/>
        <v>200455500</v>
      </c>
      <c r="H4144" s="5">
        <v>0.3324</v>
      </c>
      <c r="I4144" s="8">
        <f t="shared" si="257"/>
        <v>200455500</v>
      </c>
      <c r="J4144" s="8">
        <f t="shared" si="258"/>
        <v>66631408.2</v>
      </c>
      <c r="K4144" t="str">
        <f t="shared" si="259"/>
        <v>MATCHED</v>
      </c>
    </row>
    <row r="4145" spans="1:11">
      <c r="A4145" t="s">
        <v>120</v>
      </c>
      <c r="B4145" t="s">
        <v>1629</v>
      </c>
      <c r="C4145" t="s">
        <v>329</v>
      </c>
      <c r="D4145" t="s">
        <v>330</v>
      </c>
      <c r="E4145" s="8">
        <v>14050</v>
      </c>
      <c r="F4145" s="8">
        <v>53680</v>
      </c>
      <c r="G4145" s="8">
        <f t="shared" si="256"/>
        <v>754204000</v>
      </c>
      <c r="H4145" s="5">
        <v>0.1357</v>
      </c>
      <c r="I4145" s="8">
        <f t="shared" si="257"/>
        <v>754204000</v>
      </c>
      <c r="J4145" s="8">
        <f t="shared" si="258"/>
        <v>102345482.8</v>
      </c>
      <c r="K4145" t="str">
        <f t="shared" si="259"/>
        <v>MATCHED</v>
      </c>
    </row>
    <row r="4146" spans="1:11">
      <c r="A4146" t="s">
        <v>120</v>
      </c>
      <c r="B4146" t="s">
        <v>1629</v>
      </c>
      <c r="C4146" t="s">
        <v>976</v>
      </c>
      <c r="D4146" t="s">
        <v>977</v>
      </c>
      <c r="E4146" s="8"/>
      <c r="F4146" s="8">
        <v>39220</v>
      </c>
      <c r="G4146" s="8" t="str">
        <f t="shared" si="256"/>
        <v/>
      </c>
      <c r="H4146" s="5">
        <v>0</v>
      </c>
      <c r="I4146" s="8" t="str">
        <f t="shared" si="257"/>
        <v/>
      </c>
      <c r="J4146" s="8" t="str">
        <f t="shared" si="258"/>
        <v/>
      </c>
      <c r="K4146" t="str">
        <f t="shared" si="259"/>
        <v>MISSING OEWS</v>
      </c>
    </row>
    <row r="4147" spans="1:11">
      <c r="A4147" t="s">
        <v>120</v>
      </c>
      <c r="B4147" t="s">
        <v>1629</v>
      </c>
      <c r="C4147" t="s">
        <v>1529</v>
      </c>
      <c r="D4147" t="s">
        <v>1530</v>
      </c>
      <c r="E4147" s="8"/>
      <c r="F4147" s="8">
        <v>46650</v>
      </c>
      <c r="G4147" s="8" t="str">
        <f t="shared" si="256"/>
        <v/>
      </c>
      <c r="H4147" s="5">
        <v>0.2942</v>
      </c>
      <c r="I4147" s="8" t="str">
        <f t="shared" si="257"/>
        <v/>
      </c>
      <c r="J4147" s="8" t="str">
        <f t="shared" si="258"/>
        <v/>
      </c>
      <c r="K4147" t="str">
        <f t="shared" si="259"/>
        <v>MISSING OEWS</v>
      </c>
    </row>
    <row r="4148" spans="1:11">
      <c r="A4148" t="s">
        <v>120</v>
      </c>
      <c r="B4148" t="s">
        <v>1629</v>
      </c>
      <c r="C4148" t="s">
        <v>872</v>
      </c>
      <c r="D4148" t="s">
        <v>873</v>
      </c>
      <c r="E4148" s="8">
        <v>1070</v>
      </c>
      <c r="F4148" s="8">
        <v>104710</v>
      </c>
      <c r="G4148" s="8">
        <f t="shared" si="256"/>
        <v>112039700</v>
      </c>
      <c r="H4148" s="5">
        <v>0.3357</v>
      </c>
      <c r="I4148" s="8">
        <f t="shared" si="257"/>
        <v>112039700</v>
      </c>
      <c r="J4148" s="8">
        <f t="shared" si="258"/>
        <v>37611727.29</v>
      </c>
      <c r="K4148" t="str">
        <f t="shared" si="259"/>
        <v>MATCHED</v>
      </c>
    </row>
    <row r="4149" spans="1:11">
      <c r="A4149" t="s">
        <v>120</v>
      </c>
      <c r="B4149" t="s">
        <v>1629</v>
      </c>
      <c r="C4149" t="s">
        <v>978</v>
      </c>
      <c r="D4149" t="s">
        <v>979</v>
      </c>
      <c r="E4149" s="8">
        <v>330</v>
      </c>
      <c r="F4149" s="8">
        <v>100730</v>
      </c>
      <c r="G4149" s="8">
        <f t="shared" si="256"/>
        <v>33240900</v>
      </c>
      <c r="H4149" s="5">
        <v>0.281</v>
      </c>
      <c r="I4149" s="8">
        <f t="shared" si="257"/>
        <v>33240900</v>
      </c>
      <c r="J4149" s="8">
        <f t="shared" si="258"/>
        <v>9340692.9</v>
      </c>
      <c r="K4149" t="str">
        <f t="shared" si="259"/>
        <v>MATCHED</v>
      </c>
    </row>
    <row r="4150" spans="1:11">
      <c r="A4150" t="s">
        <v>120</v>
      </c>
      <c r="B4150" t="s">
        <v>1629</v>
      </c>
      <c r="C4150" t="s">
        <v>980</v>
      </c>
      <c r="D4150" t="s">
        <v>981</v>
      </c>
      <c r="E4150" s="8">
        <v>1210</v>
      </c>
      <c r="F4150" s="8">
        <v>54270</v>
      </c>
      <c r="G4150" s="8">
        <f t="shared" si="256"/>
        <v>65666700</v>
      </c>
      <c r="H4150" s="5">
        <v>0.4173</v>
      </c>
      <c r="I4150" s="8">
        <f t="shared" si="257"/>
        <v>65666700</v>
      </c>
      <c r="J4150" s="8">
        <f t="shared" si="258"/>
        <v>27402713.91</v>
      </c>
      <c r="K4150" t="str">
        <f t="shared" si="259"/>
        <v>MATCHED</v>
      </c>
    </row>
    <row r="4151" spans="1:11">
      <c r="A4151" t="s">
        <v>120</v>
      </c>
      <c r="B4151" t="s">
        <v>1629</v>
      </c>
      <c r="C4151" t="s">
        <v>1258</v>
      </c>
      <c r="D4151" t="s">
        <v>1259</v>
      </c>
      <c r="E4151" s="8"/>
      <c r="F4151" s="8">
        <v>32500</v>
      </c>
      <c r="G4151" s="8" t="str">
        <f t="shared" si="256"/>
        <v/>
      </c>
      <c r="H4151" s="5">
        <v>0.05</v>
      </c>
      <c r="I4151" s="8" t="str">
        <f t="shared" si="257"/>
        <v/>
      </c>
      <c r="J4151" s="8" t="str">
        <f t="shared" si="258"/>
        <v/>
      </c>
      <c r="K4151" t="str">
        <f t="shared" si="259"/>
        <v>MISSING OEWS</v>
      </c>
    </row>
    <row r="4152" spans="1:11">
      <c r="A4152" t="s">
        <v>120</v>
      </c>
      <c r="B4152" t="s">
        <v>1629</v>
      </c>
      <c r="C4152" t="s">
        <v>982</v>
      </c>
      <c r="D4152" t="s">
        <v>983</v>
      </c>
      <c r="E4152" s="8">
        <v>640</v>
      </c>
      <c r="F4152" s="8">
        <v>39360</v>
      </c>
      <c r="G4152" s="8">
        <f t="shared" si="256"/>
        <v>25190400</v>
      </c>
      <c r="H4152" s="5">
        <v>0.25</v>
      </c>
      <c r="I4152" s="8">
        <f t="shared" si="257"/>
        <v>25190400</v>
      </c>
      <c r="J4152" s="8">
        <f t="shared" si="258"/>
        <v>6297600</v>
      </c>
      <c r="K4152" t="str">
        <f t="shared" si="259"/>
        <v>MATCHED</v>
      </c>
    </row>
    <row r="4153" spans="1:11">
      <c r="A4153" t="s">
        <v>120</v>
      </c>
      <c r="B4153" t="s">
        <v>1629</v>
      </c>
      <c r="C4153" t="s">
        <v>984</v>
      </c>
      <c r="D4153" t="s">
        <v>985</v>
      </c>
      <c r="E4153" s="8">
        <v>420</v>
      </c>
      <c r="F4153" s="8">
        <v>53080</v>
      </c>
      <c r="G4153" s="8">
        <f t="shared" si="256"/>
        <v>22293600</v>
      </c>
      <c r="H4153" s="5">
        <v>0.1175</v>
      </c>
      <c r="I4153" s="8">
        <f t="shared" si="257"/>
        <v>22293600</v>
      </c>
      <c r="J4153" s="8">
        <f t="shared" si="258"/>
        <v>2619498</v>
      </c>
      <c r="K4153" t="str">
        <f t="shared" si="259"/>
        <v>MATCHED</v>
      </c>
    </row>
    <row r="4154" spans="1:11">
      <c r="A4154" t="s">
        <v>120</v>
      </c>
      <c r="B4154" t="s">
        <v>1629</v>
      </c>
      <c r="C4154" t="s">
        <v>1262</v>
      </c>
      <c r="D4154" t="s">
        <v>1263</v>
      </c>
      <c r="E4154" s="8"/>
      <c r="F4154" s="8">
        <v>49590</v>
      </c>
      <c r="G4154" s="8" t="str">
        <f t="shared" si="256"/>
        <v/>
      </c>
      <c r="H4154" s="5"/>
      <c r="I4154" s="8" t="str">
        <f t="shared" si="257"/>
        <v/>
      </c>
      <c r="J4154" s="8" t="str">
        <f t="shared" si="258"/>
        <v/>
      </c>
      <c r="K4154" t="str">
        <f t="shared" si="259"/>
        <v>MISSING OEWS</v>
      </c>
    </row>
    <row r="4155" spans="1:11">
      <c r="A4155" t="s">
        <v>120</v>
      </c>
      <c r="B4155" t="s">
        <v>1629</v>
      </c>
      <c r="C4155" t="s">
        <v>986</v>
      </c>
      <c r="D4155" t="s">
        <v>987</v>
      </c>
      <c r="E4155" s="8">
        <v>190</v>
      </c>
      <c r="F4155" s="8">
        <v>44170</v>
      </c>
      <c r="G4155" s="8">
        <f t="shared" si="256"/>
        <v>8392300</v>
      </c>
      <c r="H4155" s="5">
        <v>0.0613</v>
      </c>
      <c r="I4155" s="8">
        <f t="shared" si="257"/>
        <v>8392300</v>
      </c>
      <c r="J4155" s="8">
        <f t="shared" si="258"/>
        <v>514447.99</v>
      </c>
      <c r="K4155" t="str">
        <f t="shared" si="259"/>
        <v>MATCHED</v>
      </c>
    </row>
    <row r="4156" spans="1:11">
      <c r="A4156" t="s">
        <v>120</v>
      </c>
      <c r="B4156" t="s">
        <v>1629</v>
      </c>
      <c r="C4156" t="s">
        <v>1264</v>
      </c>
      <c r="D4156" t="s">
        <v>1265</v>
      </c>
      <c r="E4156" s="8">
        <v>320</v>
      </c>
      <c r="F4156" s="8">
        <v>36790</v>
      </c>
      <c r="G4156" s="8">
        <f t="shared" si="256"/>
        <v>11772800</v>
      </c>
      <c r="H4156" s="5">
        <v>0.1425</v>
      </c>
      <c r="I4156" s="8">
        <f t="shared" si="257"/>
        <v>11772800</v>
      </c>
      <c r="J4156" s="8">
        <f t="shared" si="258"/>
        <v>1677624</v>
      </c>
      <c r="K4156" t="str">
        <f t="shared" si="259"/>
        <v>MATCHED</v>
      </c>
    </row>
    <row r="4157" spans="1:11">
      <c r="A4157" t="s">
        <v>120</v>
      </c>
      <c r="B4157" t="s">
        <v>1629</v>
      </c>
      <c r="C4157" t="s">
        <v>988</v>
      </c>
      <c r="D4157" t="s">
        <v>989</v>
      </c>
      <c r="E4157" s="8">
        <v>2320</v>
      </c>
      <c r="F4157" s="8">
        <v>31450</v>
      </c>
      <c r="G4157" s="8">
        <f t="shared" si="256"/>
        <v>72964000</v>
      </c>
      <c r="H4157" s="5">
        <v>0.2031</v>
      </c>
      <c r="I4157" s="8">
        <f t="shared" si="257"/>
        <v>72964000</v>
      </c>
      <c r="J4157" s="8">
        <f t="shared" si="258"/>
        <v>14818988.4</v>
      </c>
      <c r="K4157" t="str">
        <f t="shared" si="259"/>
        <v>MATCHED</v>
      </c>
    </row>
    <row r="4158" spans="1:11">
      <c r="A4158" t="s">
        <v>120</v>
      </c>
      <c r="B4158" t="s">
        <v>1629</v>
      </c>
      <c r="C4158" t="s">
        <v>990</v>
      </c>
      <c r="D4158" t="s">
        <v>991</v>
      </c>
      <c r="E4158" s="8"/>
      <c r="F4158" s="8">
        <v>73230</v>
      </c>
      <c r="G4158" s="8" t="str">
        <f t="shared" si="256"/>
        <v/>
      </c>
      <c r="H4158" s="5">
        <v>0.152</v>
      </c>
      <c r="I4158" s="8" t="str">
        <f t="shared" si="257"/>
        <v/>
      </c>
      <c r="J4158" s="8" t="str">
        <f t="shared" si="258"/>
        <v/>
      </c>
      <c r="K4158" t="str">
        <f t="shared" si="259"/>
        <v>MISSING OEWS</v>
      </c>
    </row>
    <row r="4159" spans="1:11">
      <c r="A4159" t="s">
        <v>120</v>
      </c>
      <c r="B4159" t="s">
        <v>1629</v>
      </c>
      <c r="C4159" t="s">
        <v>1268</v>
      </c>
      <c r="D4159" t="s">
        <v>1269</v>
      </c>
      <c r="E4159" s="8">
        <v>240</v>
      </c>
      <c r="F4159" s="8">
        <v>28710</v>
      </c>
      <c r="G4159" s="8">
        <f t="shared" si="256"/>
        <v>6890400</v>
      </c>
      <c r="H4159" s="5">
        <v>0.0417</v>
      </c>
      <c r="I4159" s="8">
        <f t="shared" si="257"/>
        <v>6890400</v>
      </c>
      <c r="J4159" s="8">
        <f t="shared" si="258"/>
        <v>287329.68</v>
      </c>
      <c r="K4159" t="str">
        <f t="shared" si="259"/>
        <v>MATCHED</v>
      </c>
    </row>
    <row r="4160" spans="1:11">
      <c r="A4160" t="s">
        <v>120</v>
      </c>
      <c r="B4160" t="s">
        <v>1629</v>
      </c>
      <c r="C4160" t="s">
        <v>1270</v>
      </c>
      <c r="D4160" t="s">
        <v>1271</v>
      </c>
      <c r="E4160" s="8">
        <v>190</v>
      </c>
      <c r="F4160" s="8">
        <v>41040</v>
      </c>
      <c r="G4160" s="8">
        <f t="shared" si="256"/>
        <v>7797600</v>
      </c>
      <c r="H4160" s="5">
        <v>0</v>
      </c>
      <c r="I4160" s="8">
        <f t="shared" si="257"/>
        <v>7797600</v>
      </c>
      <c r="J4160" s="8">
        <f t="shared" si="258"/>
        <v>0</v>
      </c>
      <c r="K4160" t="str">
        <f t="shared" si="259"/>
        <v>MATCHED</v>
      </c>
    </row>
    <row r="4161" spans="1:11">
      <c r="A4161" t="s">
        <v>120</v>
      </c>
      <c r="B4161" t="s">
        <v>1629</v>
      </c>
      <c r="C4161" t="s">
        <v>1272</v>
      </c>
      <c r="D4161" t="s">
        <v>1273</v>
      </c>
      <c r="E4161" s="8"/>
      <c r="F4161" s="8">
        <v>39250</v>
      </c>
      <c r="G4161" s="8" t="str">
        <f t="shared" si="256"/>
        <v/>
      </c>
      <c r="H4161" s="5">
        <v>0.3023</v>
      </c>
      <c r="I4161" s="8" t="str">
        <f t="shared" si="257"/>
        <v/>
      </c>
      <c r="J4161" s="8" t="str">
        <f t="shared" si="258"/>
        <v/>
      </c>
      <c r="K4161" t="str">
        <f t="shared" si="259"/>
        <v>MISSING OEWS</v>
      </c>
    </row>
    <row r="4162" spans="1:11">
      <c r="A4162" t="s">
        <v>120</v>
      </c>
      <c r="B4162" t="s">
        <v>1629</v>
      </c>
      <c r="C4162" t="s">
        <v>1274</v>
      </c>
      <c r="D4162" t="s">
        <v>1275</v>
      </c>
      <c r="E4162" s="8">
        <v>40</v>
      </c>
      <c r="F4162" s="8">
        <v>73120</v>
      </c>
      <c r="G4162" s="8">
        <f t="shared" ref="G4162:G4225" si="260">IF(OR(E4162="",F4162=""),"",E4162*F4162)</f>
        <v>2924800</v>
      </c>
      <c r="H4162" s="5"/>
      <c r="I4162" s="8" t="str">
        <f t="shared" ref="I4162:I4225" si="261">IF(G4162="","",IF(ISNUMBER(H4162),G4162,""))</f>
        <v/>
      </c>
      <c r="J4162" s="8" t="str">
        <f t="shared" ref="J4162:J4225" si="262">IF(I4162="","",I4162*H4162)</f>
        <v/>
      </c>
      <c r="K4162" t="str">
        <f t="shared" ref="K4162:K4225" si="263">IF(G4162="","MISSING OEWS",IF(ISNUMBER(H4162),"MATCHED","MISSING WHARTON"))</f>
        <v>MISSING WHARTON</v>
      </c>
    </row>
    <row r="4163" spans="1:11">
      <c r="A4163" t="s">
        <v>120</v>
      </c>
      <c r="B4163" t="s">
        <v>1629</v>
      </c>
      <c r="C4163" t="s">
        <v>331</v>
      </c>
      <c r="D4163" t="s">
        <v>332</v>
      </c>
      <c r="E4163" s="8">
        <v>860</v>
      </c>
      <c r="F4163" s="8">
        <v>62580</v>
      </c>
      <c r="G4163" s="8">
        <f t="shared" si="260"/>
        <v>53818800</v>
      </c>
      <c r="H4163" s="5">
        <v>0.2269</v>
      </c>
      <c r="I4163" s="8">
        <f t="shared" si="261"/>
        <v>53818800</v>
      </c>
      <c r="J4163" s="8">
        <f t="shared" si="262"/>
        <v>12211485.72</v>
      </c>
      <c r="K4163" t="str">
        <f t="shared" si="263"/>
        <v>MATCHED</v>
      </c>
    </row>
    <row r="4164" spans="1:11">
      <c r="A4164" t="s">
        <v>120</v>
      </c>
      <c r="B4164" t="s">
        <v>1629</v>
      </c>
      <c r="C4164" t="s">
        <v>333</v>
      </c>
      <c r="D4164" t="s">
        <v>334</v>
      </c>
      <c r="E4164" s="8">
        <v>890</v>
      </c>
      <c r="F4164" s="8">
        <v>61640</v>
      </c>
      <c r="G4164" s="8">
        <f t="shared" si="260"/>
        <v>54859600</v>
      </c>
      <c r="H4164" s="5">
        <v>0.2357</v>
      </c>
      <c r="I4164" s="8">
        <f t="shared" si="261"/>
        <v>54859600</v>
      </c>
      <c r="J4164" s="8">
        <f t="shared" si="262"/>
        <v>12930407.72</v>
      </c>
      <c r="K4164" t="str">
        <f t="shared" si="263"/>
        <v>MATCHED</v>
      </c>
    </row>
    <row r="4165" spans="1:11">
      <c r="A4165" t="s">
        <v>120</v>
      </c>
      <c r="B4165" t="s">
        <v>1629</v>
      </c>
      <c r="C4165" t="s">
        <v>335</v>
      </c>
      <c r="D4165" t="s">
        <v>336</v>
      </c>
      <c r="E4165" s="8">
        <v>19050</v>
      </c>
      <c r="F4165" s="8">
        <v>39850</v>
      </c>
      <c r="G4165" s="8">
        <f t="shared" si="260"/>
        <v>759142500</v>
      </c>
      <c r="H4165" s="5">
        <v>0</v>
      </c>
      <c r="I4165" s="8">
        <f t="shared" si="261"/>
        <v>759142500</v>
      </c>
      <c r="J4165" s="8">
        <f t="shared" si="262"/>
        <v>0</v>
      </c>
      <c r="K4165" t="str">
        <f t="shared" si="263"/>
        <v>MATCHED</v>
      </c>
    </row>
    <row r="4166" spans="1:11">
      <c r="A4166" t="s">
        <v>120</v>
      </c>
      <c r="B4166" t="s">
        <v>1629</v>
      </c>
      <c r="C4166" t="s">
        <v>337</v>
      </c>
      <c r="D4166" t="s">
        <v>338</v>
      </c>
      <c r="E4166" s="8">
        <v>2470</v>
      </c>
      <c r="F4166" s="8">
        <v>37660</v>
      </c>
      <c r="G4166" s="8">
        <f t="shared" si="260"/>
        <v>93020200</v>
      </c>
      <c r="H4166" s="5">
        <v>0</v>
      </c>
      <c r="I4166" s="8">
        <f t="shared" si="261"/>
        <v>93020200</v>
      </c>
      <c r="J4166" s="8">
        <f t="shared" si="262"/>
        <v>0</v>
      </c>
      <c r="K4166" t="str">
        <f t="shared" si="263"/>
        <v>MATCHED</v>
      </c>
    </row>
    <row r="4167" spans="1:11">
      <c r="A4167" t="s">
        <v>120</v>
      </c>
      <c r="B4167" t="s">
        <v>1629</v>
      </c>
      <c r="C4167" t="s">
        <v>646</v>
      </c>
      <c r="D4167" t="s">
        <v>647</v>
      </c>
      <c r="E4167" s="8">
        <v>100</v>
      </c>
      <c r="F4167" s="8">
        <v>45140</v>
      </c>
      <c r="G4167" s="8">
        <f t="shared" si="260"/>
        <v>4514000</v>
      </c>
      <c r="H4167" s="5"/>
      <c r="I4167" s="8" t="str">
        <f t="shared" si="261"/>
        <v/>
      </c>
      <c r="J4167" s="8" t="str">
        <f t="shared" si="262"/>
        <v/>
      </c>
      <c r="K4167" t="str">
        <f t="shared" si="263"/>
        <v>MISSING WHARTON</v>
      </c>
    </row>
    <row r="4168" spans="1:11">
      <c r="A4168" t="s">
        <v>120</v>
      </c>
      <c r="B4168" t="s">
        <v>1629</v>
      </c>
      <c r="C4168" t="s">
        <v>341</v>
      </c>
      <c r="D4168" t="s">
        <v>342</v>
      </c>
      <c r="E4168" s="8">
        <v>10490</v>
      </c>
      <c r="F4168" s="8">
        <v>45610</v>
      </c>
      <c r="G4168" s="8">
        <f t="shared" si="260"/>
        <v>478448900</v>
      </c>
      <c r="H4168" s="5">
        <v>0</v>
      </c>
      <c r="I4168" s="8">
        <f t="shared" si="261"/>
        <v>478448900</v>
      </c>
      <c r="J4168" s="8">
        <f t="shared" si="262"/>
        <v>0</v>
      </c>
      <c r="K4168" t="str">
        <f t="shared" si="263"/>
        <v>MATCHED</v>
      </c>
    </row>
    <row r="4169" spans="1:11">
      <c r="A4169" t="s">
        <v>120</v>
      </c>
      <c r="B4169" t="s">
        <v>1629</v>
      </c>
      <c r="C4169" t="s">
        <v>343</v>
      </c>
      <c r="D4169" t="s">
        <v>344</v>
      </c>
      <c r="E4169" s="8">
        <v>270</v>
      </c>
      <c r="F4169" s="8">
        <v>48330</v>
      </c>
      <c r="G4169" s="8">
        <f t="shared" si="260"/>
        <v>13049100</v>
      </c>
      <c r="H4169" s="5">
        <v>0</v>
      </c>
      <c r="I4169" s="8">
        <f t="shared" si="261"/>
        <v>13049100</v>
      </c>
      <c r="J4169" s="8">
        <f t="shared" si="262"/>
        <v>0</v>
      </c>
      <c r="K4169" t="str">
        <f t="shared" si="263"/>
        <v>MATCHED</v>
      </c>
    </row>
    <row r="4170" spans="1:11">
      <c r="A4170" t="s">
        <v>120</v>
      </c>
      <c r="B4170" t="s">
        <v>1629</v>
      </c>
      <c r="C4170" t="s">
        <v>874</v>
      </c>
      <c r="D4170" t="s">
        <v>875</v>
      </c>
      <c r="E4170" s="8"/>
      <c r="F4170" s="8">
        <v>46180</v>
      </c>
      <c r="G4170" s="8" t="str">
        <f t="shared" si="260"/>
        <v/>
      </c>
      <c r="H4170" s="5"/>
      <c r="I4170" s="8" t="str">
        <f t="shared" si="261"/>
        <v/>
      </c>
      <c r="J4170" s="8" t="str">
        <f t="shared" si="262"/>
        <v/>
      </c>
      <c r="K4170" t="str">
        <f t="shared" si="263"/>
        <v>MISSING OEWS</v>
      </c>
    </row>
    <row r="4171" spans="1:11">
      <c r="A4171" t="s">
        <v>120</v>
      </c>
      <c r="B4171" t="s">
        <v>1629</v>
      </c>
      <c r="C4171" t="s">
        <v>349</v>
      </c>
      <c r="D4171" t="s">
        <v>350</v>
      </c>
      <c r="E4171" s="8">
        <v>970</v>
      </c>
      <c r="F4171" s="8">
        <v>51470</v>
      </c>
      <c r="G4171" s="8">
        <f t="shared" si="260"/>
        <v>49925900</v>
      </c>
      <c r="H4171" s="5">
        <v>0.2765</v>
      </c>
      <c r="I4171" s="8">
        <f t="shared" si="261"/>
        <v>49925900</v>
      </c>
      <c r="J4171" s="8">
        <f t="shared" si="262"/>
        <v>13804511.35</v>
      </c>
      <c r="K4171" t="str">
        <f t="shared" si="263"/>
        <v>MATCHED</v>
      </c>
    </row>
    <row r="4172" spans="1:11">
      <c r="A4172" t="s">
        <v>120</v>
      </c>
      <c r="B4172" t="s">
        <v>1629</v>
      </c>
      <c r="C4172" t="s">
        <v>351</v>
      </c>
      <c r="D4172" t="s">
        <v>352</v>
      </c>
      <c r="E4172" s="8">
        <v>430</v>
      </c>
      <c r="F4172" s="8">
        <v>50760</v>
      </c>
      <c r="G4172" s="8">
        <f t="shared" si="260"/>
        <v>21826800</v>
      </c>
      <c r="H4172" s="5">
        <v>0.05</v>
      </c>
      <c r="I4172" s="8">
        <f t="shared" si="261"/>
        <v>21826800</v>
      </c>
      <c r="J4172" s="8">
        <f t="shared" si="262"/>
        <v>1091340</v>
      </c>
      <c r="K4172" t="str">
        <f t="shared" si="263"/>
        <v>MATCHED</v>
      </c>
    </row>
    <row r="4173" spans="1:11">
      <c r="A4173" t="s">
        <v>120</v>
      </c>
      <c r="B4173" t="s">
        <v>1629</v>
      </c>
      <c r="C4173" t="s">
        <v>353</v>
      </c>
      <c r="D4173" t="s">
        <v>354</v>
      </c>
      <c r="E4173" s="8">
        <v>36180</v>
      </c>
      <c r="F4173" s="8">
        <v>34480</v>
      </c>
      <c r="G4173" s="8">
        <f t="shared" si="260"/>
        <v>1247486400</v>
      </c>
      <c r="H4173" s="5">
        <v>0.1614</v>
      </c>
      <c r="I4173" s="8">
        <f t="shared" si="261"/>
        <v>1247486400</v>
      </c>
      <c r="J4173" s="8">
        <f t="shared" si="262"/>
        <v>201344304.96</v>
      </c>
      <c r="K4173" t="str">
        <f t="shared" si="263"/>
        <v>MATCHED</v>
      </c>
    </row>
    <row r="4174" spans="1:11">
      <c r="A4174" t="s">
        <v>120</v>
      </c>
      <c r="B4174" t="s">
        <v>1629</v>
      </c>
      <c r="C4174" t="s">
        <v>1276</v>
      </c>
      <c r="D4174" t="s">
        <v>1277</v>
      </c>
      <c r="E4174" s="8">
        <v>150</v>
      </c>
      <c r="F4174" s="8">
        <v>38360</v>
      </c>
      <c r="G4174" s="8">
        <f t="shared" si="260"/>
        <v>5754000</v>
      </c>
      <c r="H4174" s="5">
        <v>0.2109</v>
      </c>
      <c r="I4174" s="8">
        <f t="shared" si="261"/>
        <v>5754000</v>
      </c>
      <c r="J4174" s="8">
        <f t="shared" si="262"/>
        <v>1213518.6</v>
      </c>
      <c r="K4174" t="str">
        <f t="shared" si="263"/>
        <v>MATCHED</v>
      </c>
    </row>
    <row r="4175" spans="1:11">
      <c r="A4175" t="s">
        <v>120</v>
      </c>
      <c r="B4175" t="s">
        <v>1629</v>
      </c>
      <c r="C4175" t="s">
        <v>876</v>
      </c>
      <c r="D4175" t="s">
        <v>877</v>
      </c>
      <c r="E4175" s="8"/>
      <c r="F4175" s="8">
        <v>33860</v>
      </c>
      <c r="G4175" s="8" t="str">
        <f t="shared" si="260"/>
        <v/>
      </c>
      <c r="H4175" s="5">
        <v>0.25</v>
      </c>
      <c r="I4175" s="8" t="str">
        <f t="shared" si="261"/>
        <v/>
      </c>
      <c r="J4175" s="8" t="str">
        <f t="shared" si="262"/>
        <v/>
      </c>
      <c r="K4175" t="str">
        <f t="shared" si="263"/>
        <v>MISSING OEWS</v>
      </c>
    </row>
    <row r="4176" spans="1:11">
      <c r="A4176" t="s">
        <v>120</v>
      </c>
      <c r="B4176" t="s">
        <v>1629</v>
      </c>
      <c r="C4176" t="s">
        <v>1591</v>
      </c>
      <c r="D4176" t="s">
        <v>1592</v>
      </c>
      <c r="E4176" s="8">
        <v>110</v>
      </c>
      <c r="F4176" s="8"/>
      <c r="G4176" s="8" t="str">
        <f t="shared" si="260"/>
        <v/>
      </c>
      <c r="H4176" s="5">
        <v>0.1238</v>
      </c>
      <c r="I4176" s="8" t="str">
        <f t="shared" si="261"/>
        <v/>
      </c>
      <c r="J4176" s="8" t="str">
        <f t="shared" si="262"/>
        <v/>
      </c>
      <c r="K4176" t="str">
        <f t="shared" si="263"/>
        <v>MISSING OEWS</v>
      </c>
    </row>
    <row r="4177" spans="1:11">
      <c r="A4177" t="s">
        <v>120</v>
      </c>
      <c r="B4177" t="s">
        <v>1629</v>
      </c>
      <c r="C4177" t="s">
        <v>1593</v>
      </c>
      <c r="D4177" t="s">
        <v>1594</v>
      </c>
      <c r="E4177" s="8">
        <v>90</v>
      </c>
      <c r="F4177" s="8">
        <v>42430</v>
      </c>
      <c r="G4177" s="8">
        <f t="shared" si="260"/>
        <v>3818700</v>
      </c>
      <c r="H4177" s="5"/>
      <c r="I4177" s="8" t="str">
        <f t="shared" si="261"/>
        <v/>
      </c>
      <c r="J4177" s="8" t="str">
        <f t="shared" si="262"/>
        <v/>
      </c>
      <c r="K4177" t="str">
        <f t="shared" si="263"/>
        <v>MISSING WHARTON</v>
      </c>
    </row>
    <row r="4178" spans="1:11">
      <c r="A4178" t="s">
        <v>120</v>
      </c>
      <c r="B4178" t="s">
        <v>1629</v>
      </c>
      <c r="C4178" t="s">
        <v>1700</v>
      </c>
      <c r="D4178" t="s">
        <v>1701</v>
      </c>
      <c r="E4178" s="8">
        <v>140</v>
      </c>
      <c r="F4178" s="8">
        <v>45910</v>
      </c>
      <c r="G4178" s="8">
        <f t="shared" si="260"/>
        <v>6427400</v>
      </c>
      <c r="H4178" s="5">
        <v>0.1583</v>
      </c>
      <c r="I4178" s="8">
        <f t="shared" si="261"/>
        <v>6427400</v>
      </c>
      <c r="J4178" s="8">
        <f t="shared" si="262"/>
        <v>1017457.42</v>
      </c>
      <c r="K4178" t="str">
        <f t="shared" si="263"/>
        <v>MATCHED</v>
      </c>
    </row>
    <row r="4179" spans="1:11">
      <c r="A4179" t="s">
        <v>120</v>
      </c>
      <c r="B4179" t="s">
        <v>1629</v>
      </c>
      <c r="C4179" t="s">
        <v>992</v>
      </c>
      <c r="D4179" t="s">
        <v>993</v>
      </c>
      <c r="E4179" s="8">
        <v>240</v>
      </c>
      <c r="F4179" s="8">
        <v>52910</v>
      </c>
      <c r="G4179" s="8">
        <f t="shared" si="260"/>
        <v>12698400</v>
      </c>
      <c r="H4179" s="5">
        <v>0.1239</v>
      </c>
      <c r="I4179" s="8">
        <f t="shared" si="261"/>
        <v>12698400</v>
      </c>
      <c r="J4179" s="8">
        <f t="shared" si="262"/>
        <v>1573331.76</v>
      </c>
      <c r="K4179" t="str">
        <f t="shared" si="263"/>
        <v>MATCHED</v>
      </c>
    </row>
    <row r="4180" spans="1:11">
      <c r="A4180" t="s">
        <v>120</v>
      </c>
      <c r="B4180" t="s">
        <v>1629</v>
      </c>
      <c r="C4180" t="s">
        <v>1595</v>
      </c>
      <c r="D4180" t="s">
        <v>1596</v>
      </c>
      <c r="E4180" s="8">
        <v>210</v>
      </c>
      <c r="F4180" s="8">
        <v>85420</v>
      </c>
      <c r="G4180" s="8">
        <f t="shared" si="260"/>
        <v>17938200</v>
      </c>
      <c r="H4180" s="5">
        <v>0.0786</v>
      </c>
      <c r="I4180" s="8">
        <f t="shared" si="261"/>
        <v>17938200</v>
      </c>
      <c r="J4180" s="8">
        <f t="shared" si="262"/>
        <v>1409942.52</v>
      </c>
      <c r="K4180" t="str">
        <f t="shared" si="263"/>
        <v>MATCHED</v>
      </c>
    </row>
    <row r="4181" spans="1:11">
      <c r="A4181" t="s">
        <v>120</v>
      </c>
      <c r="B4181" t="s">
        <v>1629</v>
      </c>
      <c r="C4181" t="s">
        <v>1278</v>
      </c>
      <c r="D4181" t="s">
        <v>1279</v>
      </c>
      <c r="E4181" s="8">
        <v>580</v>
      </c>
      <c r="F4181" s="8">
        <v>42300</v>
      </c>
      <c r="G4181" s="8">
        <f t="shared" si="260"/>
        <v>24534000</v>
      </c>
      <c r="H4181" s="5">
        <v>0.3177</v>
      </c>
      <c r="I4181" s="8">
        <f t="shared" si="261"/>
        <v>24534000</v>
      </c>
      <c r="J4181" s="8">
        <f t="shared" si="262"/>
        <v>7794451.8</v>
      </c>
      <c r="K4181" t="str">
        <f t="shared" si="263"/>
        <v>MATCHED</v>
      </c>
    </row>
    <row r="4182" spans="1:11">
      <c r="A4182" t="s">
        <v>120</v>
      </c>
      <c r="B4182" t="s">
        <v>1629</v>
      </c>
      <c r="C4182" t="s">
        <v>996</v>
      </c>
      <c r="D4182" t="s">
        <v>997</v>
      </c>
      <c r="E4182" s="8">
        <v>680</v>
      </c>
      <c r="F4182" s="8">
        <v>42940</v>
      </c>
      <c r="G4182" s="8">
        <f t="shared" si="260"/>
        <v>29199200</v>
      </c>
      <c r="H4182" s="5">
        <v>0.105</v>
      </c>
      <c r="I4182" s="8">
        <f t="shared" si="261"/>
        <v>29199200</v>
      </c>
      <c r="J4182" s="8">
        <f t="shared" si="262"/>
        <v>3065916</v>
      </c>
      <c r="K4182" t="str">
        <f t="shared" si="263"/>
        <v>MATCHED</v>
      </c>
    </row>
    <row r="4183" spans="1:11">
      <c r="A4183" t="s">
        <v>120</v>
      </c>
      <c r="B4183" t="s">
        <v>1629</v>
      </c>
      <c r="C4183" t="s">
        <v>998</v>
      </c>
      <c r="D4183" t="s">
        <v>999</v>
      </c>
      <c r="E4183" s="8">
        <v>110</v>
      </c>
      <c r="F4183" s="8">
        <v>90800</v>
      </c>
      <c r="G4183" s="8">
        <f t="shared" si="260"/>
        <v>9988000</v>
      </c>
      <c r="H4183" s="5">
        <v>0.0636</v>
      </c>
      <c r="I4183" s="8">
        <f t="shared" si="261"/>
        <v>9988000</v>
      </c>
      <c r="J4183" s="8">
        <f t="shared" si="262"/>
        <v>635236.8</v>
      </c>
      <c r="K4183" t="str">
        <f t="shared" si="263"/>
        <v>MATCHED</v>
      </c>
    </row>
    <row r="4184" spans="1:11">
      <c r="A4184" t="s">
        <v>120</v>
      </c>
      <c r="B4184" t="s">
        <v>1629</v>
      </c>
      <c r="C4184" t="s">
        <v>1500</v>
      </c>
      <c r="D4184" t="s">
        <v>1501</v>
      </c>
      <c r="E4184" s="8">
        <v>160</v>
      </c>
      <c r="F4184" s="8">
        <v>39680</v>
      </c>
      <c r="G4184" s="8">
        <f t="shared" si="260"/>
        <v>6348800</v>
      </c>
      <c r="H4184" s="5"/>
      <c r="I4184" s="8" t="str">
        <f t="shared" si="261"/>
        <v/>
      </c>
      <c r="J4184" s="8" t="str">
        <f t="shared" si="262"/>
        <v/>
      </c>
      <c r="K4184" t="str">
        <f t="shared" si="263"/>
        <v>MISSING WHARTON</v>
      </c>
    </row>
    <row r="4185" spans="1:11">
      <c r="A4185" t="s">
        <v>120</v>
      </c>
      <c r="B4185" t="s">
        <v>1629</v>
      </c>
      <c r="C4185" t="s">
        <v>355</v>
      </c>
      <c r="D4185" t="s">
        <v>356</v>
      </c>
      <c r="E4185" s="8">
        <v>3180</v>
      </c>
      <c r="F4185" s="8">
        <v>58310</v>
      </c>
      <c r="G4185" s="8">
        <f t="shared" si="260"/>
        <v>185425800</v>
      </c>
      <c r="H4185" s="5">
        <v>0.4476</v>
      </c>
      <c r="I4185" s="8">
        <f t="shared" si="261"/>
        <v>185425800</v>
      </c>
      <c r="J4185" s="8">
        <f t="shared" si="262"/>
        <v>82996588.08</v>
      </c>
      <c r="K4185" t="str">
        <f t="shared" si="263"/>
        <v>MATCHED</v>
      </c>
    </row>
    <row r="4186" spans="1:11">
      <c r="A4186" t="s">
        <v>120</v>
      </c>
      <c r="B4186" t="s">
        <v>1629</v>
      </c>
      <c r="C4186" t="s">
        <v>357</v>
      </c>
      <c r="D4186" t="s">
        <v>358</v>
      </c>
      <c r="E4186" s="8">
        <v>15660</v>
      </c>
      <c r="F4186" s="8">
        <v>115760</v>
      </c>
      <c r="G4186" s="8">
        <f t="shared" si="260"/>
        <v>1812801600</v>
      </c>
      <c r="H4186" s="5">
        <v>0.4833</v>
      </c>
      <c r="I4186" s="8">
        <f t="shared" si="261"/>
        <v>1812801600</v>
      </c>
      <c r="J4186" s="8">
        <f t="shared" si="262"/>
        <v>876127013.28</v>
      </c>
      <c r="K4186" t="str">
        <f t="shared" si="263"/>
        <v>MATCHED</v>
      </c>
    </row>
    <row r="4187" spans="1:11">
      <c r="A4187" t="s">
        <v>120</v>
      </c>
      <c r="B4187" t="s">
        <v>1629</v>
      </c>
      <c r="C4187" t="s">
        <v>648</v>
      </c>
      <c r="D4187" t="s">
        <v>649</v>
      </c>
      <c r="E4187" s="8">
        <v>3220</v>
      </c>
      <c r="F4187" s="8">
        <v>35610</v>
      </c>
      <c r="G4187" s="8">
        <f t="shared" si="260"/>
        <v>114664200</v>
      </c>
      <c r="H4187" s="5">
        <v>0.6672</v>
      </c>
      <c r="I4187" s="8">
        <f t="shared" si="261"/>
        <v>114664200</v>
      </c>
      <c r="J4187" s="8">
        <f t="shared" si="262"/>
        <v>76503954.24</v>
      </c>
      <c r="K4187" t="str">
        <f t="shared" si="263"/>
        <v>MATCHED</v>
      </c>
    </row>
    <row r="4188" spans="1:11">
      <c r="A4188" t="s">
        <v>120</v>
      </c>
      <c r="B4188" t="s">
        <v>1629</v>
      </c>
      <c r="C4188" t="s">
        <v>878</v>
      </c>
      <c r="D4188" t="s">
        <v>879</v>
      </c>
      <c r="E4188" s="8">
        <v>830</v>
      </c>
      <c r="F4188" s="8">
        <v>36270</v>
      </c>
      <c r="G4188" s="8">
        <f t="shared" si="260"/>
        <v>30104100</v>
      </c>
      <c r="H4188" s="5">
        <v>0.7719</v>
      </c>
      <c r="I4188" s="8">
        <f t="shared" si="261"/>
        <v>30104100</v>
      </c>
      <c r="J4188" s="8">
        <f t="shared" si="262"/>
        <v>23237354.79</v>
      </c>
      <c r="K4188" t="str">
        <f t="shared" si="263"/>
        <v>MATCHED</v>
      </c>
    </row>
    <row r="4189" spans="1:11">
      <c r="A4189" t="s">
        <v>120</v>
      </c>
      <c r="B4189" t="s">
        <v>1629</v>
      </c>
      <c r="C4189" t="s">
        <v>1000</v>
      </c>
      <c r="D4189" t="s">
        <v>1001</v>
      </c>
      <c r="E4189" s="8">
        <v>170</v>
      </c>
      <c r="F4189" s="8">
        <v>54270</v>
      </c>
      <c r="G4189" s="8">
        <f t="shared" si="260"/>
        <v>9225900</v>
      </c>
      <c r="H4189" s="5">
        <v>0.3737</v>
      </c>
      <c r="I4189" s="8">
        <f t="shared" si="261"/>
        <v>9225900</v>
      </c>
      <c r="J4189" s="8">
        <f t="shared" si="262"/>
        <v>3447718.83</v>
      </c>
      <c r="K4189" t="str">
        <f t="shared" si="263"/>
        <v>MATCHED</v>
      </c>
    </row>
    <row r="4190" spans="1:11">
      <c r="A4190" t="s">
        <v>120</v>
      </c>
      <c r="B4190" t="s">
        <v>1629</v>
      </c>
      <c r="C4190" t="s">
        <v>359</v>
      </c>
      <c r="D4190" t="s">
        <v>360</v>
      </c>
      <c r="E4190" s="8">
        <v>15990</v>
      </c>
      <c r="F4190" s="8">
        <v>39860</v>
      </c>
      <c r="G4190" s="8">
        <f t="shared" si="260"/>
        <v>637361400</v>
      </c>
      <c r="H4190" s="5">
        <v>0.4938</v>
      </c>
      <c r="I4190" s="8">
        <f t="shared" si="261"/>
        <v>637361400</v>
      </c>
      <c r="J4190" s="8">
        <f t="shared" si="262"/>
        <v>314729059.32</v>
      </c>
      <c r="K4190" t="str">
        <f t="shared" si="263"/>
        <v>MATCHED</v>
      </c>
    </row>
    <row r="4191" spans="1:11">
      <c r="A4191" t="s">
        <v>120</v>
      </c>
      <c r="B4191" t="s">
        <v>1629</v>
      </c>
      <c r="C4191" t="s">
        <v>1002</v>
      </c>
      <c r="D4191" t="s">
        <v>1003</v>
      </c>
      <c r="E4191" s="8">
        <v>48190</v>
      </c>
      <c r="F4191" s="8">
        <v>81920</v>
      </c>
      <c r="G4191" s="8">
        <f t="shared" si="260"/>
        <v>3947724800</v>
      </c>
      <c r="H4191" s="5">
        <v>0.6725</v>
      </c>
      <c r="I4191" s="8">
        <f t="shared" si="261"/>
        <v>3947724800</v>
      </c>
      <c r="J4191" s="8">
        <f t="shared" si="262"/>
        <v>2654844928</v>
      </c>
      <c r="K4191" t="str">
        <f t="shared" si="263"/>
        <v>MATCHED</v>
      </c>
    </row>
    <row r="4192" spans="1:11">
      <c r="A4192" t="s">
        <v>120</v>
      </c>
      <c r="B4192" t="s">
        <v>1629</v>
      </c>
      <c r="C4192" t="s">
        <v>1004</v>
      </c>
      <c r="D4192" t="s">
        <v>1005</v>
      </c>
      <c r="E4192" s="8">
        <v>1690</v>
      </c>
      <c r="F4192" s="8">
        <v>94920</v>
      </c>
      <c r="G4192" s="8">
        <f t="shared" si="260"/>
        <v>160414800</v>
      </c>
      <c r="H4192" s="5">
        <v>0.6684</v>
      </c>
      <c r="I4192" s="8">
        <f t="shared" si="261"/>
        <v>160414800</v>
      </c>
      <c r="J4192" s="8">
        <f t="shared" si="262"/>
        <v>107221252.32</v>
      </c>
      <c r="K4192" t="str">
        <f t="shared" si="263"/>
        <v>MATCHED</v>
      </c>
    </row>
    <row r="4193" spans="1:11">
      <c r="A4193" t="s">
        <v>120</v>
      </c>
      <c r="B4193" t="s">
        <v>1629</v>
      </c>
      <c r="C4193" t="s">
        <v>650</v>
      </c>
      <c r="D4193" t="s">
        <v>651</v>
      </c>
      <c r="E4193" s="8">
        <v>4870</v>
      </c>
      <c r="F4193" s="8">
        <v>142860</v>
      </c>
      <c r="G4193" s="8">
        <f t="shared" si="260"/>
        <v>695728200</v>
      </c>
      <c r="H4193" s="5">
        <v>0.845</v>
      </c>
      <c r="I4193" s="8">
        <f t="shared" si="261"/>
        <v>695728200</v>
      </c>
      <c r="J4193" s="8">
        <f t="shared" si="262"/>
        <v>587890329</v>
      </c>
      <c r="K4193" t="str">
        <f t="shared" si="263"/>
        <v>MATCHED</v>
      </c>
    </row>
    <row r="4194" spans="1:11">
      <c r="A4194" t="s">
        <v>120</v>
      </c>
      <c r="B4194" t="s">
        <v>1629</v>
      </c>
      <c r="C4194" t="s">
        <v>1533</v>
      </c>
      <c r="D4194" t="s">
        <v>1534</v>
      </c>
      <c r="E4194" s="8">
        <v>200</v>
      </c>
      <c r="F4194" s="8">
        <v>61840</v>
      </c>
      <c r="G4194" s="8">
        <f t="shared" si="260"/>
        <v>12368000</v>
      </c>
      <c r="H4194" s="5">
        <v>0.925</v>
      </c>
      <c r="I4194" s="8">
        <f t="shared" si="261"/>
        <v>12368000</v>
      </c>
      <c r="J4194" s="8">
        <f t="shared" si="262"/>
        <v>11440400</v>
      </c>
      <c r="K4194" t="str">
        <f t="shared" si="263"/>
        <v>MATCHED</v>
      </c>
    </row>
    <row r="4195" spans="1:11">
      <c r="A4195" t="s">
        <v>120</v>
      </c>
      <c r="B4195" t="s">
        <v>1629</v>
      </c>
      <c r="C4195" t="s">
        <v>361</v>
      </c>
      <c r="D4195" t="s">
        <v>362</v>
      </c>
      <c r="E4195" s="8">
        <v>293050</v>
      </c>
      <c r="F4195" s="8">
        <v>99500</v>
      </c>
      <c r="G4195" s="8">
        <f t="shared" si="260"/>
        <v>29158475000</v>
      </c>
      <c r="H4195" s="5">
        <v>0.73</v>
      </c>
      <c r="I4195" s="8">
        <f t="shared" si="261"/>
        <v>29158475000</v>
      </c>
      <c r="J4195" s="8">
        <f t="shared" si="262"/>
        <v>21285686750</v>
      </c>
      <c r="K4195" t="str">
        <f t="shared" si="263"/>
        <v>MATCHED</v>
      </c>
    </row>
    <row r="4196" spans="1:11">
      <c r="A4196" t="s">
        <v>120</v>
      </c>
      <c r="B4196" t="s">
        <v>1629</v>
      </c>
      <c r="C4196" t="s">
        <v>652</v>
      </c>
      <c r="D4196" t="s">
        <v>653</v>
      </c>
      <c r="E4196" s="8">
        <v>35090</v>
      </c>
      <c r="F4196" s="8">
        <v>123610</v>
      </c>
      <c r="G4196" s="8">
        <f t="shared" si="260"/>
        <v>4337474900</v>
      </c>
      <c r="H4196" s="5">
        <v>0.6463</v>
      </c>
      <c r="I4196" s="8">
        <f t="shared" si="261"/>
        <v>4337474900</v>
      </c>
      <c r="J4196" s="8">
        <f t="shared" si="262"/>
        <v>2803310027.87</v>
      </c>
      <c r="K4196" t="str">
        <f t="shared" si="263"/>
        <v>MATCHED</v>
      </c>
    </row>
    <row r="4197" spans="1:11">
      <c r="A4197" t="s">
        <v>120</v>
      </c>
      <c r="B4197" t="s">
        <v>1629</v>
      </c>
      <c r="C4197" t="s">
        <v>363</v>
      </c>
      <c r="D4197" t="s">
        <v>364</v>
      </c>
      <c r="E4197" s="8">
        <v>21160</v>
      </c>
      <c r="F4197" s="8">
        <v>98150</v>
      </c>
      <c r="G4197" s="8">
        <f t="shared" si="260"/>
        <v>2076854000</v>
      </c>
      <c r="H4197" s="5">
        <v>0.5105</v>
      </c>
      <c r="I4197" s="8">
        <f t="shared" si="261"/>
        <v>2076854000</v>
      </c>
      <c r="J4197" s="8">
        <f t="shared" si="262"/>
        <v>1060233967</v>
      </c>
      <c r="K4197" t="str">
        <f t="shared" si="263"/>
        <v>MATCHED</v>
      </c>
    </row>
    <row r="4198" spans="1:11">
      <c r="A4198" t="s">
        <v>120</v>
      </c>
      <c r="B4198" t="s">
        <v>1629</v>
      </c>
      <c r="C4198" t="s">
        <v>1006</v>
      </c>
      <c r="D4198" t="s">
        <v>1007</v>
      </c>
      <c r="E4198" s="8">
        <v>23590</v>
      </c>
      <c r="F4198" s="8">
        <v>43920</v>
      </c>
      <c r="G4198" s="8">
        <f t="shared" si="260"/>
        <v>1036072800</v>
      </c>
      <c r="H4198" s="5">
        <v>0.3062</v>
      </c>
      <c r="I4198" s="8">
        <f t="shared" si="261"/>
        <v>1036072800</v>
      </c>
      <c r="J4198" s="8">
        <f t="shared" si="262"/>
        <v>317245491.36</v>
      </c>
      <c r="K4198" t="str">
        <f t="shared" si="263"/>
        <v>MATCHED</v>
      </c>
    </row>
    <row r="4199" spans="1:11">
      <c r="A4199" t="s">
        <v>120</v>
      </c>
      <c r="B4199" t="s">
        <v>1629</v>
      </c>
      <c r="C4199" t="s">
        <v>1008</v>
      </c>
      <c r="D4199" t="s">
        <v>1009</v>
      </c>
      <c r="E4199" s="8">
        <v>530</v>
      </c>
      <c r="F4199" s="8">
        <v>77060</v>
      </c>
      <c r="G4199" s="8">
        <f t="shared" si="260"/>
        <v>40841800</v>
      </c>
      <c r="H4199" s="5">
        <v>0.5816</v>
      </c>
      <c r="I4199" s="8">
        <f t="shared" si="261"/>
        <v>40841800</v>
      </c>
      <c r="J4199" s="8">
        <f t="shared" si="262"/>
        <v>23753590.88</v>
      </c>
      <c r="K4199" t="str">
        <f t="shared" si="263"/>
        <v>MATCHED</v>
      </c>
    </row>
    <row r="4200" spans="1:11">
      <c r="A4200" t="s">
        <v>120</v>
      </c>
      <c r="B4200" t="s">
        <v>1629</v>
      </c>
      <c r="C4200" t="s">
        <v>654</v>
      </c>
      <c r="D4200" t="s">
        <v>655</v>
      </c>
      <c r="E4200" s="8">
        <v>3140</v>
      </c>
      <c r="F4200" s="8">
        <v>79290</v>
      </c>
      <c r="G4200" s="8">
        <f t="shared" si="260"/>
        <v>248970600</v>
      </c>
      <c r="H4200" s="5">
        <v>0.5939</v>
      </c>
      <c r="I4200" s="8">
        <f t="shared" si="261"/>
        <v>248970600</v>
      </c>
      <c r="J4200" s="8">
        <f t="shared" si="262"/>
        <v>147863639.34</v>
      </c>
      <c r="K4200" t="str">
        <f t="shared" si="263"/>
        <v>MATCHED</v>
      </c>
    </row>
    <row r="4201" spans="1:11">
      <c r="A4201" t="s">
        <v>120</v>
      </c>
      <c r="B4201" t="s">
        <v>1629</v>
      </c>
      <c r="C4201" t="s">
        <v>656</v>
      </c>
      <c r="D4201" t="s">
        <v>657</v>
      </c>
      <c r="E4201" s="8">
        <v>12910</v>
      </c>
      <c r="F4201" s="8">
        <v>144910</v>
      </c>
      <c r="G4201" s="8">
        <f t="shared" si="260"/>
        <v>1870788100</v>
      </c>
      <c r="H4201" s="5">
        <v>0.518</v>
      </c>
      <c r="I4201" s="8">
        <f t="shared" si="261"/>
        <v>1870788100</v>
      </c>
      <c r="J4201" s="8">
        <f t="shared" si="262"/>
        <v>969068235.8</v>
      </c>
      <c r="K4201" t="str">
        <f t="shared" si="263"/>
        <v>MATCHED</v>
      </c>
    </row>
    <row r="4202" spans="1:11">
      <c r="A4202" t="s">
        <v>120</v>
      </c>
      <c r="B4202" t="s">
        <v>1629</v>
      </c>
      <c r="C4202" t="s">
        <v>1010</v>
      </c>
      <c r="D4202" t="s">
        <v>1011</v>
      </c>
      <c r="E4202" s="8">
        <v>2560</v>
      </c>
      <c r="F4202" s="8">
        <v>38940</v>
      </c>
      <c r="G4202" s="8">
        <f t="shared" si="260"/>
        <v>99686400</v>
      </c>
      <c r="H4202" s="5">
        <v>0.9625</v>
      </c>
      <c r="I4202" s="8">
        <f t="shared" si="261"/>
        <v>99686400</v>
      </c>
      <c r="J4202" s="8">
        <f t="shared" si="262"/>
        <v>95948160</v>
      </c>
      <c r="K4202" t="str">
        <f t="shared" si="263"/>
        <v>MATCHED</v>
      </c>
    </row>
    <row r="4203" spans="1:11">
      <c r="A4203" t="s">
        <v>120</v>
      </c>
      <c r="B4203" t="s">
        <v>1629</v>
      </c>
      <c r="C4203" t="s">
        <v>1012</v>
      </c>
      <c r="D4203" t="s">
        <v>1013</v>
      </c>
      <c r="E4203" s="8">
        <v>160</v>
      </c>
      <c r="F4203" s="8">
        <v>46130</v>
      </c>
      <c r="G4203" s="8">
        <f t="shared" si="260"/>
        <v>7380800</v>
      </c>
      <c r="H4203" s="5">
        <v>0.3167</v>
      </c>
      <c r="I4203" s="8">
        <f t="shared" si="261"/>
        <v>7380800</v>
      </c>
      <c r="J4203" s="8">
        <f t="shared" si="262"/>
        <v>2337499.36</v>
      </c>
      <c r="K4203" t="str">
        <f t="shared" si="263"/>
        <v>MATCHED</v>
      </c>
    </row>
    <row r="4204" spans="1:11">
      <c r="A4204" t="s">
        <v>120</v>
      </c>
      <c r="B4204" t="s">
        <v>1629</v>
      </c>
      <c r="C4204" t="s">
        <v>365</v>
      </c>
      <c r="D4204" t="s">
        <v>366</v>
      </c>
      <c r="E4204" s="8">
        <v>5870</v>
      </c>
      <c r="F4204" s="8">
        <v>76490</v>
      </c>
      <c r="G4204" s="8">
        <f t="shared" si="260"/>
        <v>448996300</v>
      </c>
      <c r="H4204" s="5"/>
      <c r="I4204" s="8" t="str">
        <f t="shared" si="261"/>
        <v/>
      </c>
      <c r="J4204" s="8" t="str">
        <f t="shared" si="262"/>
        <v/>
      </c>
      <c r="K4204" t="str">
        <f t="shared" si="263"/>
        <v>MISSING WHARTON</v>
      </c>
    </row>
    <row r="4205" spans="1:11">
      <c r="A4205" t="s">
        <v>120</v>
      </c>
      <c r="B4205" t="s">
        <v>1629</v>
      </c>
      <c r="C4205" t="s">
        <v>367</v>
      </c>
      <c r="D4205" t="s">
        <v>368</v>
      </c>
      <c r="E4205" s="8">
        <v>112670</v>
      </c>
      <c r="F4205" s="8">
        <v>78700</v>
      </c>
      <c r="G4205" s="8">
        <f t="shared" si="260"/>
        <v>8867129000</v>
      </c>
      <c r="H4205" s="5">
        <v>0.5034</v>
      </c>
      <c r="I4205" s="8">
        <f t="shared" si="261"/>
        <v>8867129000</v>
      </c>
      <c r="J4205" s="8">
        <f t="shared" si="262"/>
        <v>4463712738.6</v>
      </c>
      <c r="K4205" t="str">
        <f t="shared" si="263"/>
        <v>MATCHED</v>
      </c>
    </row>
    <row r="4206" spans="1:11">
      <c r="A4206" t="s">
        <v>120</v>
      </c>
      <c r="B4206" t="s">
        <v>1629</v>
      </c>
      <c r="C4206" t="s">
        <v>1014</v>
      </c>
      <c r="D4206" t="s">
        <v>1015</v>
      </c>
      <c r="E4206" s="8">
        <v>850</v>
      </c>
      <c r="F4206" s="8">
        <v>39480</v>
      </c>
      <c r="G4206" s="8">
        <f t="shared" si="260"/>
        <v>33558000</v>
      </c>
      <c r="H4206" s="5">
        <v>0.7579</v>
      </c>
      <c r="I4206" s="8">
        <f t="shared" si="261"/>
        <v>33558000</v>
      </c>
      <c r="J4206" s="8">
        <f t="shared" si="262"/>
        <v>25433608.2</v>
      </c>
      <c r="K4206" t="str">
        <f t="shared" si="263"/>
        <v>MATCHED</v>
      </c>
    </row>
    <row r="4207" spans="1:11">
      <c r="A4207" t="s">
        <v>120</v>
      </c>
      <c r="B4207" t="s">
        <v>1629</v>
      </c>
      <c r="C4207" t="s">
        <v>880</v>
      </c>
      <c r="D4207" t="s">
        <v>881</v>
      </c>
      <c r="E4207" s="8">
        <v>12340</v>
      </c>
      <c r="F4207" s="8">
        <v>50760</v>
      </c>
      <c r="G4207" s="8">
        <f t="shared" si="260"/>
        <v>626378400</v>
      </c>
      <c r="H4207" s="5">
        <v>0.9</v>
      </c>
      <c r="I4207" s="8">
        <f t="shared" si="261"/>
        <v>626378400</v>
      </c>
      <c r="J4207" s="8">
        <f t="shared" si="262"/>
        <v>563740560</v>
      </c>
      <c r="K4207" t="str">
        <f t="shared" si="263"/>
        <v>MATCHED</v>
      </c>
    </row>
    <row r="4208" spans="1:11">
      <c r="A4208" t="s">
        <v>120</v>
      </c>
      <c r="B4208" t="s">
        <v>1629</v>
      </c>
      <c r="C4208" t="s">
        <v>369</v>
      </c>
      <c r="D4208" t="s">
        <v>370</v>
      </c>
      <c r="E4208" s="8">
        <v>62400</v>
      </c>
      <c r="F4208" s="8">
        <v>52950</v>
      </c>
      <c r="G4208" s="8">
        <f t="shared" si="260"/>
        <v>3304080000</v>
      </c>
      <c r="H4208" s="5">
        <v>0.8617</v>
      </c>
      <c r="I4208" s="8">
        <f t="shared" si="261"/>
        <v>3304080000</v>
      </c>
      <c r="J4208" s="8">
        <f t="shared" si="262"/>
        <v>2847125736</v>
      </c>
      <c r="K4208" t="str">
        <f t="shared" si="263"/>
        <v>MATCHED</v>
      </c>
    </row>
    <row r="4209" spans="1:11">
      <c r="A4209" t="s">
        <v>120</v>
      </c>
      <c r="B4209" t="s">
        <v>1629</v>
      </c>
      <c r="C4209" t="s">
        <v>371</v>
      </c>
      <c r="D4209" t="s">
        <v>372</v>
      </c>
      <c r="E4209" s="8">
        <v>205160</v>
      </c>
      <c r="F4209" s="8">
        <v>54660</v>
      </c>
      <c r="G4209" s="8">
        <f t="shared" si="260"/>
        <v>11214045600</v>
      </c>
      <c r="H4209" s="5">
        <v>0.9517</v>
      </c>
      <c r="I4209" s="8">
        <f t="shared" si="261"/>
        <v>11214045600</v>
      </c>
      <c r="J4209" s="8">
        <f t="shared" si="262"/>
        <v>10672407197.52</v>
      </c>
      <c r="K4209" t="str">
        <f t="shared" si="263"/>
        <v>MATCHED</v>
      </c>
    </row>
    <row r="4210" spans="1:11">
      <c r="A4210" t="s">
        <v>120</v>
      </c>
      <c r="B4210" t="s">
        <v>1629</v>
      </c>
      <c r="C4210" t="s">
        <v>373</v>
      </c>
      <c r="D4210" t="s">
        <v>374</v>
      </c>
      <c r="E4210" s="8">
        <v>23800</v>
      </c>
      <c r="F4210" s="8">
        <v>57910</v>
      </c>
      <c r="G4210" s="8">
        <f t="shared" si="260"/>
        <v>1378258000</v>
      </c>
      <c r="H4210" s="5">
        <v>0.9409</v>
      </c>
      <c r="I4210" s="8">
        <f t="shared" si="261"/>
        <v>1378258000</v>
      </c>
      <c r="J4210" s="8">
        <f t="shared" si="262"/>
        <v>1296802952.2</v>
      </c>
      <c r="K4210" t="str">
        <f t="shared" si="263"/>
        <v>MATCHED</v>
      </c>
    </row>
    <row r="4211" spans="1:11">
      <c r="A4211" t="s">
        <v>120</v>
      </c>
      <c r="B4211" t="s">
        <v>1629</v>
      </c>
      <c r="C4211" t="s">
        <v>375</v>
      </c>
      <c r="D4211" t="s">
        <v>376</v>
      </c>
      <c r="E4211" s="8">
        <v>2820</v>
      </c>
      <c r="F4211" s="8">
        <v>56770</v>
      </c>
      <c r="G4211" s="8">
        <f t="shared" si="260"/>
        <v>160091400</v>
      </c>
      <c r="H4211" s="5">
        <v>0.8237</v>
      </c>
      <c r="I4211" s="8">
        <f t="shared" si="261"/>
        <v>160091400</v>
      </c>
      <c r="J4211" s="8">
        <f t="shared" si="262"/>
        <v>131867286.18</v>
      </c>
      <c r="K4211" t="str">
        <f t="shared" si="263"/>
        <v>MATCHED</v>
      </c>
    </row>
    <row r="4212" spans="1:11">
      <c r="A4212" t="s">
        <v>120</v>
      </c>
      <c r="B4212" t="s">
        <v>1629</v>
      </c>
      <c r="C4212" t="s">
        <v>882</v>
      </c>
      <c r="D4212" t="s">
        <v>883</v>
      </c>
      <c r="E4212" s="8"/>
      <c r="F4212" s="8">
        <v>40780</v>
      </c>
      <c r="G4212" s="8" t="str">
        <f t="shared" si="260"/>
        <v/>
      </c>
      <c r="H4212" s="5">
        <v>0.9138</v>
      </c>
      <c r="I4212" s="8" t="str">
        <f t="shared" si="261"/>
        <v/>
      </c>
      <c r="J4212" s="8" t="str">
        <f t="shared" si="262"/>
        <v/>
      </c>
      <c r="K4212" t="str">
        <f t="shared" si="263"/>
        <v>MISSING OEWS</v>
      </c>
    </row>
    <row r="4213" spans="1:11">
      <c r="A4213" t="s">
        <v>120</v>
      </c>
      <c r="B4213" t="s">
        <v>1629</v>
      </c>
      <c r="C4213" t="s">
        <v>884</v>
      </c>
      <c r="D4213" t="s">
        <v>885</v>
      </c>
      <c r="E4213" s="8">
        <v>2240</v>
      </c>
      <c r="F4213" s="8">
        <v>51550</v>
      </c>
      <c r="G4213" s="8">
        <f t="shared" si="260"/>
        <v>115472000</v>
      </c>
      <c r="H4213" s="5"/>
      <c r="I4213" s="8" t="str">
        <f t="shared" si="261"/>
        <v/>
      </c>
      <c r="J4213" s="8" t="str">
        <f t="shared" si="262"/>
        <v/>
      </c>
      <c r="K4213" t="str">
        <f t="shared" si="263"/>
        <v>MISSING WHARTON</v>
      </c>
    </row>
    <row r="4214" spans="1:11">
      <c r="A4214" t="s">
        <v>120</v>
      </c>
      <c r="B4214" t="s">
        <v>1629</v>
      </c>
      <c r="C4214" t="s">
        <v>1453</v>
      </c>
      <c r="D4214" t="s">
        <v>1454</v>
      </c>
      <c r="E4214" s="8">
        <v>460</v>
      </c>
      <c r="F4214" s="8">
        <v>54690</v>
      </c>
      <c r="G4214" s="8">
        <f t="shared" si="260"/>
        <v>25157400</v>
      </c>
      <c r="H4214" s="5">
        <v>0.95</v>
      </c>
      <c r="I4214" s="8">
        <f t="shared" si="261"/>
        <v>25157400</v>
      </c>
      <c r="J4214" s="8">
        <f t="shared" si="262"/>
        <v>23899530</v>
      </c>
      <c r="K4214" t="str">
        <f t="shared" si="263"/>
        <v>MATCHED</v>
      </c>
    </row>
    <row r="4215" spans="1:11">
      <c r="A4215" t="s">
        <v>120</v>
      </c>
      <c r="B4215" t="s">
        <v>1629</v>
      </c>
      <c r="C4215" t="s">
        <v>1284</v>
      </c>
      <c r="D4215" t="s">
        <v>1285</v>
      </c>
      <c r="E4215" s="8">
        <v>600</v>
      </c>
      <c r="F4215" s="8">
        <v>49590</v>
      </c>
      <c r="G4215" s="8">
        <f t="shared" si="260"/>
        <v>29754000</v>
      </c>
      <c r="H4215" s="5">
        <v>0.85</v>
      </c>
      <c r="I4215" s="8">
        <f t="shared" si="261"/>
        <v>29754000</v>
      </c>
      <c r="J4215" s="8">
        <f t="shared" si="262"/>
        <v>25290900</v>
      </c>
      <c r="K4215" t="str">
        <f t="shared" si="263"/>
        <v>MATCHED</v>
      </c>
    </row>
    <row r="4216" spans="1:11">
      <c r="A4216" t="s">
        <v>120</v>
      </c>
      <c r="B4216" t="s">
        <v>1629</v>
      </c>
      <c r="C4216" t="s">
        <v>1504</v>
      </c>
      <c r="D4216" t="s">
        <v>1505</v>
      </c>
      <c r="E4216" s="8">
        <v>290</v>
      </c>
      <c r="F4216" s="8">
        <v>56290</v>
      </c>
      <c r="G4216" s="8">
        <f t="shared" si="260"/>
        <v>16324100</v>
      </c>
      <c r="H4216" s="5">
        <v>0.8867</v>
      </c>
      <c r="I4216" s="8">
        <f t="shared" si="261"/>
        <v>16324100</v>
      </c>
      <c r="J4216" s="8">
        <f t="shared" si="262"/>
        <v>14474579.47</v>
      </c>
      <c r="K4216" t="str">
        <f t="shared" si="263"/>
        <v>MATCHED</v>
      </c>
    </row>
    <row r="4217" spans="1:11">
      <c r="A4217" t="s">
        <v>120</v>
      </c>
      <c r="B4217" t="s">
        <v>1629</v>
      </c>
      <c r="C4217" t="s">
        <v>1016</v>
      </c>
      <c r="D4217" t="s">
        <v>1017</v>
      </c>
      <c r="E4217" s="8">
        <v>270</v>
      </c>
      <c r="F4217" s="8">
        <v>48570</v>
      </c>
      <c r="G4217" s="8">
        <f t="shared" si="260"/>
        <v>13113900</v>
      </c>
      <c r="H4217" s="5">
        <v>0.9469</v>
      </c>
      <c r="I4217" s="8">
        <f t="shared" si="261"/>
        <v>13113900</v>
      </c>
      <c r="J4217" s="8">
        <f t="shared" si="262"/>
        <v>12417551.91</v>
      </c>
      <c r="K4217" t="str">
        <f t="shared" si="263"/>
        <v>MATCHED</v>
      </c>
    </row>
    <row r="4218" spans="1:11">
      <c r="A4218" t="s">
        <v>120</v>
      </c>
      <c r="B4218" t="s">
        <v>1629</v>
      </c>
      <c r="C4218" t="s">
        <v>377</v>
      </c>
      <c r="D4218" t="s">
        <v>378</v>
      </c>
      <c r="E4218" s="8">
        <v>183700</v>
      </c>
      <c r="F4218" s="8">
        <v>48490</v>
      </c>
      <c r="G4218" s="8">
        <f t="shared" si="260"/>
        <v>8907613000</v>
      </c>
      <c r="H4218" s="5">
        <v>0.82</v>
      </c>
      <c r="I4218" s="8">
        <f t="shared" si="261"/>
        <v>8907613000</v>
      </c>
      <c r="J4218" s="8">
        <f t="shared" si="262"/>
        <v>7304242660</v>
      </c>
      <c r="K4218" t="str">
        <f t="shared" si="263"/>
        <v>MATCHED</v>
      </c>
    </row>
    <row r="4219" spans="1:11">
      <c r="A4219" t="s">
        <v>120</v>
      </c>
      <c r="B4219" t="s">
        <v>1629</v>
      </c>
      <c r="C4219" t="s">
        <v>1535</v>
      </c>
      <c r="D4219" t="s">
        <v>1536</v>
      </c>
      <c r="E4219" s="8">
        <v>2550</v>
      </c>
      <c r="F4219" s="8">
        <v>47100</v>
      </c>
      <c r="G4219" s="8">
        <f t="shared" si="260"/>
        <v>120105000</v>
      </c>
      <c r="H4219" s="5">
        <v>0.7912</v>
      </c>
      <c r="I4219" s="8">
        <f t="shared" si="261"/>
        <v>120105000</v>
      </c>
      <c r="J4219" s="8">
        <f t="shared" si="262"/>
        <v>95027076</v>
      </c>
      <c r="K4219" t="str">
        <f t="shared" si="263"/>
        <v>MATCHED</v>
      </c>
    </row>
    <row r="4220" spans="1:11">
      <c r="A4220" t="s">
        <v>120</v>
      </c>
      <c r="B4220" t="s">
        <v>1629</v>
      </c>
      <c r="C4220" t="s">
        <v>379</v>
      </c>
      <c r="D4220" t="s">
        <v>380</v>
      </c>
      <c r="E4220" s="8">
        <v>13400</v>
      </c>
      <c r="F4220" s="8">
        <v>46320</v>
      </c>
      <c r="G4220" s="8">
        <f t="shared" si="260"/>
        <v>620688000</v>
      </c>
      <c r="H4220" s="5">
        <v>0.7526</v>
      </c>
      <c r="I4220" s="8">
        <f t="shared" si="261"/>
        <v>620688000</v>
      </c>
      <c r="J4220" s="8">
        <f t="shared" si="262"/>
        <v>467129788.8</v>
      </c>
      <c r="K4220" t="str">
        <f t="shared" si="263"/>
        <v>MATCHED</v>
      </c>
    </row>
    <row r="4221" spans="1:11">
      <c r="A4221" t="s">
        <v>120</v>
      </c>
      <c r="B4221" t="s">
        <v>1629</v>
      </c>
      <c r="C4221" t="s">
        <v>1506</v>
      </c>
      <c r="D4221" t="s">
        <v>1507</v>
      </c>
      <c r="E4221" s="8">
        <v>230</v>
      </c>
      <c r="F4221" s="8">
        <v>34060</v>
      </c>
      <c r="G4221" s="8">
        <f t="shared" si="260"/>
        <v>7833800</v>
      </c>
      <c r="H4221" s="5">
        <v>0.665</v>
      </c>
      <c r="I4221" s="8">
        <f t="shared" si="261"/>
        <v>7833800</v>
      </c>
      <c r="J4221" s="8">
        <f t="shared" si="262"/>
        <v>5209477</v>
      </c>
      <c r="K4221" t="str">
        <f t="shared" si="263"/>
        <v>MATCHED</v>
      </c>
    </row>
    <row r="4222" spans="1:11">
      <c r="A4222" t="s">
        <v>120</v>
      </c>
      <c r="B4222" t="s">
        <v>1629</v>
      </c>
      <c r="C4222" t="s">
        <v>1286</v>
      </c>
      <c r="D4222" t="s">
        <v>1287</v>
      </c>
      <c r="E4222" s="8">
        <v>16470</v>
      </c>
      <c r="F4222" s="8">
        <v>39900</v>
      </c>
      <c r="G4222" s="8">
        <f t="shared" si="260"/>
        <v>657153000</v>
      </c>
      <c r="H4222" s="5">
        <v>0.7088</v>
      </c>
      <c r="I4222" s="8">
        <f t="shared" si="261"/>
        <v>657153000</v>
      </c>
      <c r="J4222" s="8">
        <f t="shared" si="262"/>
        <v>465790046.4</v>
      </c>
      <c r="K4222" t="str">
        <f t="shared" si="263"/>
        <v>MATCHED</v>
      </c>
    </row>
    <row r="4223" spans="1:11">
      <c r="A4223" t="s">
        <v>120</v>
      </c>
      <c r="B4223" t="s">
        <v>1629</v>
      </c>
      <c r="C4223" t="s">
        <v>1599</v>
      </c>
      <c r="D4223" t="s">
        <v>1600</v>
      </c>
      <c r="E4223" s="8">
        <v>70</v>
      </c>
      <c r="F4223" s="8">
        <v>51540</v>
      </c>
      <c r="G4223" s="8">
        <f t="shared" si="260"/>
        <v>3607800</v>
      </c>
      <c r="H4223" s="5">
        <v>0.547</v>
      </c>
      <c r="I4223" s="8">
        <f t="shared" si="261"/>
        <v>3607800</v>
      </c>
      <c r="J4223" s="8">
        <f t="shared" si="262"/>
        <v>1973466.6</v>
      </c>
      <c r="K4223" t="str">
        <f t="shared" si="263"/>
        <v>MATCHED</v>
      </c>
    </row>
    <row r="4224" spans="1:11">
      <c r="A4224" t="s">
        <v>120</v>
      </c>
      <c r="B4224" t="s">
        <v>1629</v>
      </c>
      <c r="C4224" t="s">
        <v>1018</v>
      </c>
      <c r="D4224" t="s">
        <v>1019</v>
      </c>
      <c r="E4224" s="8">
        <v>6560</v>
      </c>
      <c r="F4224" s="8">
        <v>52480</v>
      </c>
      <c r="G4224" s="8">
        <f t="shared" si="260"/>
        <v>344268800</v>
      </c>
      <c r="H4224" s="5">
        <v>0.9111</v>
      </c>
      <c r="I4224" s="8">
        <f t="shared" si="261"/>
        <v>344268800</v>
      </c>
      <c r="J4224" s="8">
        <f t="shared" si="262"/>
        <v>313663303.68</v>
      </c>
      <c r="K4224" t="str">
        <f t="shared" si="263"/>
        <v>MATCHED</v>
      </c>
    </row>
    <row r="4225" spans="1:11">
      <c r="A4225" t="s">
        <v>120</v>
      </c>
      <c r="B4225" t="s">
        <v>1629</v>
      </c>
      <c r="C4225" t="s">
        <v>1624</v>
      </c>
      <c r="D4225" t="s">
        <v>1625</v>
      </c>
      <c r="E4225" s="8">
        <v>40</v>
      </c>
      <c r="F4225" s="8">
        <v>49590</v>
      </c>
      <c r="G4225" s="8">
        <f t="shared" si="260"/>
        <v>1983600</v>
      </c>
      <c r="H4225" s="5">
        <v>0.7633</v>
      </c>
      <c r="I4225" s="8">
        <f t="shared" si="261"/>
        <v>1983600</v>
      </c>
      <c r="J4225" s="8">
        <f t="shared" si="262"/>
        <v>1514081.88</v>
      </c>
      <c r="K4225" t="str">
        <f t="shared" si="263"/>
        <v>MATCHED</v>
      </c>
    </row>
    <row r="4226" spans="1:11">
      <c r="A4226" t="s">
        <v>120</v>
      </c>
      <c r="B4226" t="s">
        <v>1629</v>
      </c>
      <c r="C4226" t="s">
        <v>381</v>
      </c>
      <c r="D4226" t="s">
        <v>382</v>
      </c>
      <c r="E4226" s="8">
        <v>3500</v>
      </c>
      <c r="F4226" s="8">
        <v>53270</v>
      </c>
      <c r="G4226" s="8">
        <f t="shared" ref="G4226:G4289" si="264">IF(OR(E4226="",F4226=""),"",E4226*F4226)</f>
        <v>186445000</v>
      </c>
      <c r="H4226" s="5">
        <v>0.9553</v>
      </c>
      <c r="I4226" s="8">
        <f t="shared" ref="I4226:I4289" si="265">IF(G4226="","",IF(ISNUMBER(H4226),G4226,""))</f>
        <v>186445000</v>
      </c>
      <c r="J4226" s="8">
        <f t="shared" ref="J4226:J4289" si="266">IF(I4226="","",I4226*H4226)</f>
        <v>178110908.5</v>
      </c>
      <c r="K4226" t="str">
        <f t="shared" ref="K4226:K4289" si="267">IF(G4226="","MISSING OEWS",IF(ISNUMBER(H4226),"MATCHED","MISSING WHARTON"))</f>
        <v>MATCHED</v>
      </c>
    </row>
    <row r="4227" spans="1:11">
      <c r="A4227" t="s">
        <v>120</v>
      </c>
      <c r="B4227" t="s">
        <v>1629</v>
      </c>
      <c r="C4227" t="s">
        <v>383</v>
      </c>
      <c r="D4227" t="s">
        <v>384</v>
      </c>
      <c r="E4227" s="8">
        <v>6300</v>
      </c>
      <c r="F4227" s="8">
        <v>53370</v>
      </c>
      <c r="G4227" s="8">
        <f t="shared" si="264"/>
        <v>336231000</v>
      </c>
      <c r="H4227" s="5">
        <v>0.8342</v>
      </c>
      <c r="I4227" s="8">
        <f t="shared" si="265"/>
        <v>336231000</v>
      </c>
      <c r="J4227" s="8">
        <f t="shared" si="266"/>
        <v>280483900.2</v>
      </c>
      <c r="K4227" t="str">
        <f t="shared" si="267"/>
        <v>MATCHED</v>
      </c>
    </row>
    <row r="4228" spans="1:11">
      <c r="A4228" t="s">
        <v>120</v>
      </c>
      <c r="B4228" t="s">
        <v>1629</v>
      </c>
      <c r="C4228" t="s">
        <v>385</v>
      </c>
      <c r="D4228" t="s">
        <v>386</v>
      </c>
      <c r="E4228" s="8">
        <v>103420</v>
      </c>
      <c r="F4228" s="8">
        <v>40650</v>
      </c>
      <c r="G4228" s="8">
        <f t="shared" si="264"/>
        <v>4204023000</v>
      </c>
      <c r="H4228" s="5">
        <v>0.7368</v>
      </c>
      <c r="I4228" s="8">
        <f t="shared" si="265"/>
        <v>4204023000</v>
      </c>
      <c r="J4228" s="8">
        <f t="shared" si="266"/>
        <v>3097524146.4</v>
      </c>
      <c r="K4228" t="str">
        <f t="shared" si="267"/>
        <v>MATCHED</v>
      </c>
    </row>
    <row r="4229" spans="1:11">
      <c r="A4229" t="s">
        <v>120</v>
      </c>
      <c r="B4229" t="s">
        <v>1629</v>
      </c>
      <c r="C4229" t="s">
        <v>1537</v>
      </c>
      <c r="D4229" t="s">
        <v>1538</v>
      </c>
      <c r="E4229" s="8">
        <v>110</v>
      </c>
      <c r="F4229" s="8">
        <v>59900</v>
      </c>
      <c r="G4229" s="8">
        <f t="shared" si="264"/>
        <v>6589000</v>
      </c>
      <c r="H4229" s="5">
        <v>0.7714</v>
      </c>
      <c r="I4229" s="8">
        <f t="shared" si="265"/>
        <v>6589000</v>
      </c>
      <c r="J4229" s="8">
        <f t="shared" si="266"/>
        <v>5082754.6</v>
      </c>
      <c r="K4229" t="str">
        <f t="shared" si="267"/>
        <v>MATCHED</v>
      </c>
    </row>
    <row r="4230" spans="1:11">
      <c r="A4230" t="s">
        <v>120</v>
      </c>
      <c r="B4230" t="s">
        <v>1629</v>
      </c>
      <c r="C4230" t="s">
        <v>658</v>
      </c>
      <c r="D4230" t="s">
        <v>659</v>
      </c>
      <c r="E4230" s="8">
        <v>3660</v>
      </c>
      <c r="F4230" s="8">
        <v>56320</v>
      </c>
      <c r="G4230" s="8">
        <f t="shared" si="264"/>
        <v>206131200</v>
      </c>
      <c r="H4230" s="5"/>
      <c r="I4230" s="8" t="str">
        <f t="shared" si="265"/>
        <v/>
      </c>
      <c r="J4230" s="8" t="str">
        <f t="shared" si="266"/>
        <v/>
      </c>
      <c r="K4230" t="str">
        <f t="shared" si="267"/>
        <v>MISSING WHARTON</v>
      </c>
    </row>
    <row r="4231" spans="1:11">
      <c r="A4231" t="s">
        <v>120</v>
      </c>
      <c r="B4231" t="s">
        <v>1629</v>
      </c>
      <c r="C4231" t="s">
        <v>1288</v>
      </c>
      <c r="D4231" t="s">
        <v>1289</v>
      </c>
      <c r="E4231" s="8">
        <v>3320</v>
      </c>
      <c r="F4231" s="8">
        <v>54850</v>
      </c>
      <c r="G4231" s="8">
        <f t="shared" si="264"/>
        <v>182102000</v>
      </c>
      <c r="H4231" s="5">
        <v>0.6384</v>
      </c>
      <c r="I4231" s="8">
        <f t="shared" si="265"/>
        <v>182102000</v>
      </c>
      <c r="J4231" s="8">
        <f t="shared" si="266"/>
        <v>116253916.8</v>
      </c>
      <c r="K4231" t="str">
        <f t="shared" si="267"/>
        <v>MATCHED</v>
      </c>
    </row>
    <row r="4232" spans="1:11">
      <c r="A4232" t="s">
        <v>120</v>
      </c>
      <c r="B4232" t="s">
        <v>1629</v>
      </c>
      <c r="C4232" t="s">
        <v>886</v>
      </c>
      <c r="D4232" t="s">
        <v>887</v>
      </c>
      <c r="E4232" s="8">
        <v>5760</v>
      </c>
      <c r="F4232" s="8">
        <v>37540</v>
      </c>
      <c r="G4232" s="8">
        <f t="shared" si="264"/>
        <v>216230400</v>
      </c>
      <c r="H4232" s="5">
        <v>0.2235</v>
      </c>
      <c r="I4232" s="8">
        <f t="shared" si="265"/>
        <v>216230400</v>
      </c>
      <c r="J4232" s="8">
        <f t="shared" si="266"/>
        <v>48327494.4</v>
      </c>
      <c r="K4232" t="str">
        <f t="shared" si="267"/>
        <v>MATCHED</v>
      </c>
    </row>
    <row r="4233" spans="1:11">
      <c r="A4233" t="s">
        <v>120</v>
      </c>
      <c r="B4233" t="s">
        <v>1629</v>
      </c>
      <c r="C4233" t="s">
        <v>387</v>
      </c>
      <c r="D4233" t="s">
        <v>388</v>
      </c>
      <c r="E4233" s="8">
        <v>5680</v>
      </c>
      <c r="F4233" s="8">
        <v>53750</v>
      </c>
      <c r="G4233" s="8">
        <f t="shared" si="264"/>
        <v>305300000</v>
      </c>
      <c r="H4233" s="5">
        <v>0.8192</v>
      </c>
      <c r="I4233" s="8">
        <f t="shared" si="265"/>
        <v>305300000</v>
      </c>
      <c r="J4233" s="8">
        <f t="shared" si="266"/>
        <v>250101760</v>
      </c>
      <c r="K4233" t="str">
        <f t="shared" si="267"/>
        <v>MATCHED</v>
      </c>
    </row>
    <row r="4234" spans="1:11">
      <c r="A4234" t="s">
        <v>120</v>
      </c>
      <c r="B4234" t="s">
        <v>1629</v>
      </c>
      <c r="C4234" t="s">
        <v>888</v>
      </c>
      <c r="D4234" t="s">
        <v>889</v>
      </c>
      <c r="E4234" s="8"/>
      <c r="F4234" s="8">
        <v>50500</v>
      </c>
      <c r="G4234" s="8" t="str">
        <f t="shared" si="264"/>
        <v/>
      </c>
      <c r="H4234" s="5">
        <v>0.3654</v>
      </c>
      <c r="I4234" s="8" t="str">
        <f t="shared" si="265"/>
        <v/>
      </c>
      <c r="J4234" s="8" t="str">
        <f t="shared" si="266"/>
        <v/>
      </c>
      <c r="K4234" t="str">
        <f t="shared" si="267"/>
        <v>MISSING OEWS</v>
      </c>
    </row>
    <row r="4235" spans="1:11">
      <c r="A4235" t="s">
        <v>120</v>
      </c>
      <c r="B4235" t="s">
        <v>1629</v>
      </c>
      <c r="C4235" t="s">
        <v>389</v>
      </c>
      <c r="D4235" t="s">
        <v>390</v>
      </c>
      <c r="E4235" s="8">
        <v>25640</v>
      </c>
      <c r="F4235" s="8">
        <v>64620</v>
      </c>
      <c r="G4235" s="8">
        <f t="shared" si="264"/>
        <v>1656856800</v>
      </c>
      <c r="H4235" s="5">
        <v>0.7794</v>
      </c>
      <c r="I4235" s="8">
        <f t="shared" si="265"/>
        <v>1656856800</v>
      </c>
      <c r="J4235" s="8">
        <f t="shared" si="266"/>
        <v>1291354189.92</v>
      </c>
      <c r="K4235" t="str">
        <f t="shared" si="267"/>
        <v>MATCHED</v>
      </c>
    </row>
    <row r="4236" spans="1:11">
      <c r="A4236" t="s">
        <v>120</v>
      </c>
      <c r="B4236" t="s">
        <v>1629</v>
      </c>
      <c r="C4236" t="s">
        <v>391</v>
      </c>
      <c r="D4236" t="s">
        <v>392</v>
      </c>
      <c r="E4236" s="8">
        <v>20410</v>
      </c>
      <c r="F4236" s="8">
        <v>48960</v>
      </c>
      <c r="G4236" s="8">
        <f t="shared" si="264"/>
        <v>999273600</v>
      </c>
      <c r="H4236" s="5">
        <v>0.6455</v>
      </c>
      <c r="I4236" s="8">
        <f t="shared" si="265"/>
        <v>999273600</v>
      </c>
      <c r="J4236" s="8">
        <f t="shared" si="266"/>
        <v>645031108.8</v>
      </c>
      <c r="K4236" t="str">
        <f t="shared" si="267"/>
        <v>MATCHED</v>
      </c>
    </row>
    <row r="4237" spans="1:11">
      <c r="A4237" t="s">
        <v>120</v>
      </c>
      <c r="B4237" t="s">
        <v>1629</v>
      </c>
      <c r="C4237" t="s">
        <v>393</v>
      </c>
      <c r="D4237" t="s">
        <v>394</v>
      </c>
      <c r="E4237" s="8">
        <v>1330</v>
      </c>
      <c r="F4237" s="8">
        <v>49000</v>
      </c>
      <c r="G4237" s="8">
        <f t="shared" si="264"/>
        <v>65170000</v>
      </c>
      <c r="H4237" s="5">
        <v>0.2932</v>
      </c>
      <c r="I4237" s="8">
        <f t="shared" si="265"/>
        <v>65170000</v>
      </c>
      <c r="J4237" s="8">
        <f t="shared" si="266"/>
        <v>19107844</v>
      </c>
      <c r="K4237" t="str">
        <f t="shared" si="267"/>
        <v>MATCHED</v>
      </c>
    </row>
    <row r="4238" spans="1:11">
      <c r="A4238" t="s">
        <v>120</v>
      </c>
      <c r="B4238" t="s">
        <v>1629</v>
      </c>
      <c r="C4238" t="s">
        <v>395</v>
      </c>
      <c r="D4238" t="s">
        <v>396</v>
      </c>
      <c r="E4238" s="8">
        <v>59700</v>
      </c>
      <c r="F4238" s="8">
        <v>84390</v>
      </c>
      <c r="G4238" s="8">
        <f t="shared" si="264"/>
        <v>5038083000</v>
      </c>
      <c r="H4238" s="5">
        <v>0.7955</v>
      </c>
      <c r="I4238" s="8">
        <f t="shared" si="265"/>
        <v>5038083000</v>
      </c>
      <c r="J4238" s="8">
        <f t="shared" si="266"/>
        <v>4007795026.5</v>
      </c>
      <c r="K4238" t="str">
        <f t="shared" si="267"/>
        <v>MATCHED</v>
      </c>
    </row>
    <row r="4239" spans="1:11">
      <c r="A4239" t="s">
        <v>120</v>
      </c>
      <c r="B4239" t="s">
        <v>1629</v>
      </c>
      <c r="C4239" t="s">
        <v>890</v>
      </c>
      <c r="D4239" t="s">
        <v>891</v>
      </c>
      <c r="E4239" s="8">
        <v>127630</v>
      </c>
      <c r="F4239" s="8">
        <v>60830</v>
      </c>
      <c r="G4239" s="8">
        <f t="shared" si="264"/>
        <v>7763732900</v>
      </c>
      <c r="H4239" s="5">
        <v>0.8679</v>
      </c>
      <c r="I4239" s="8">
        <f t="shared" si="265"/>
        <v>7763732900</v>
      </c>
      <c r="J4239" s="8">
        <f t="shared" si="266"/>
        <v>6738143783.91</v>
      </c>
      <c r="K4239" t="str">
        <f t="shared" si="267"/>
        <v>MATCHED</v>
      </c>
    </row>
    <row r="4240" spans="1:11">
      <c r="A4240" t="s">
        <v>120</v>
      </c>
      <c r="B4240" t="s">
        <v>1629</v>
      </c>
      <c r="C4240" t="s">
        <v>1290</v>
      </c>
      <c r="D4240" t="s">
        <v>1291</v>
      </c>
      <c r="E4240" s="8">
        <v>13830</v>
      </c>
      <c r="F4240" s="8">
        <v>46470</v>
      </c>
      <c r="G4240" s="8">
        <f t="shared" si="264"/>
        <v>642680100</v>
      </c>
      <c r="H4240" s="5">
        <v>0.9031</v>
      </c>
      <c r="I4240" s="8">
        <f t="shared" si="265"/>
        <v>642680100</v>
      </c>
      <c r="J4240" s="8">
        <f t="shared" si="266"/>
        <v>580404398.31</v>
      </c>
      <c r="K4240" t="str">
        <f t="shared" si="267"/>
        <v>MATCHED</v>
      </c>
    </row>
    <row r="4241" spans="1:11">
      <c r="A4241" t="s">
        <v>120</v>
      </c>
      <c r="B4241" t="s">
        <v>1629</v>
      </c>
      <c r="C4241" t="s">
        <v>397</v>
      </c>
      <c r="D4241" t="s">
        <v>398</v>
      </c>
      <c r="E4241" s="8">
        <v>188270</v>
      </c>
      <c r="F4241" s="8">
        <v>52480</v>
      </c>
      <c r="G4241" s="8">
        <f t="shared" si="264"/>
        <v>9880409600</v>
      </c>
      <c r="H4241" s="5">
        <v>0.8031</v>
      </c>
      <c r="I4241" s="8">
        <f t="shared" si="265"/>
        <v>9880409600</v>
      </c>
      <c r="J4241" s="8">
        <f t="shared" si="266"/>
        <v>7934956949.76</v>
      </c>
      <c r="K4241" t="str">
        <f t="shared" si="267"/>
        <v>MATCHED</v>
      </c>
    </row>
    <row r="4242" spans="1:11">
      <c r="A4242" t="s">
        <v>120</v>
      </c>
      <c r="B4242" t="s">
        <v>1629</v>
      </c>
      <c r="C4242" t="s">
        <v>399</v>
      </c>
      <c r="D4242" t="s">
        <v>400</v>
      </c>
      <c r="E4242" s="8">
        <v>25470</v>
      </c>
      <c r="F4242" s="8">
        <v>43260</v>
      </c>
      <c r="G4242" s="8">
        <f t="shared" si="264"/>
        <v>1101832200</v>
      </c>
      <c r="H4242" s="5">
        <v>0.75</v>
      </c>
      <c r="I4242" s="8">
        <f t="shared" si="265"/>
        <v>1101832200</v>
      </c>
      <c r="J4242" s="8">
        <f t="shared" si="266"/>
        <v>826374150</v>
      </c>
      <c r="K4242" t="str">
        <f t="shared" si="267"/>
        <v>MATCHED</v>
      </c>
    </row>
    <row r="4243" spans="1:11">
      <c r="A4243" t="s">
        <v>120</v>
      </c>
      <c r="B4243" t="s">
        <v>1629</v>
      </c>
      <c r="C4243" t="s">
        <v>1455</v>
      </c>
      <c r="D4243" t="s">
        <v>1456</v>
      </c>
      <c r="E4243" s="8">
        <v>1880</v>
      </c>
      <c r="F4243" s="8">
        <v>57070</v>
      </c>
      <c r="G4243" s="8">
        <f t="shared" si="264"/>
        <v>107291600</v>
      </c>
      <c r="H4243" s="5">
        <v>0.835</v>
      </c>
      <c r="I4243" s="8">
        <f t="shared" si="265"/>
        <v>107291600</v>
      </c>
      <c r="J4243" s="8">
        <f t="shared" si="266"/>
        <v>89588486</v>
      </c>
      <c r="K4243" t="str">
        <f t="shared" si="267"/>
        <v>MATCHED</v>
      </c>
    </row>
    <row r="4244" spans="1:11">
      <c r="A4244" t="s">
        <v>120</v>
      </c>
      <c r="B4244" t="s">
        <v>1629</v>
      </c>
      <c r="C4244" t="s">
        <v>1292</v>
      </c>
      <c r="D4244" t="s">
        <v>1293</v>
      </c>
      <c r="E4244" s="8">
        <v>360</v>
      </c>
      <c r="F4244" s="8">
        <v>67940</v>
      </c>
      <c r="G4244" s="8">
        <f t="shared" si="264"/>
        <v>24458400</v>
      </c>
      <c r="H4244" s="5">
        <v>0.9417</v>
      </c>
      <c r="I4244" s="8">
        <f t="shared" si="265"/>
        <v>24458400</v>
      </c>
      <c r="J4244" s="8">
        <f t="shared" si="266"/>
        <v>23032475.28</v>
      </c>
      <c r="K4244" t="str">
        <f t="shared" si="267"/>
        <v>MATCHED</v>
      </c>
    </row>
    <row r="4245" spans="1:11">
      <c r="A4245" t="s">
        <v>120</v>
      </c>
      <c r="B4245" t="s">
        <v>1629</v>
      </c>
      <c r="C4245" t="s">
        <v>1020</v>
      </c>
      <c r="D4245" t="s">
        <v>1021</v>
      </c>
      <c r="E4245" s="8">
        <v>5730</v>
      </c>
      <c r="F4245" s="8">
        <v>49770</v>
      </c>
      <c r="G4245" s="8">
        <f t="shared" si="264"/>
        <v>285182100</v>
      </c>
      <c r="H4245" s="5">
        <v>0.9519</v>
      </c>
      <c r="I4245" s="8">
        <f t="shared" si="265"/>
        <v>285182100</v>
      </c>
      <c r="J4245" s="8">
        <f t="shared" si="266"/>
        <v>271464840.99</v>
      </c>
      <c r="K4245" t="str">
        <f t="shared" si="267"/>
        <v>MATCHED</v>
      </c>
    </row>
    <row r="4246" spans="1:11">
      <c r="A4246" t="s">
        <v>120</v>
      </c>
      <c r="B4246" t="s">
        <v>1629</v>
      </c>
      <c r="C4246" t="s">
        <v>892</v>
      </c>
      <c r="D4246" t="s">
        <v>893</v>
      </c>
      <c r="E4246" s="8">
        <v>7760</v>
      </c>
      <c r="F4246" s="8">
        <v>41750</v>
      </c>
      <c r="G4246" s="8">
        <f t="shared" si="264"/>
        <v>323980000</v>
      </c>
      <c r="H4246" s="5">
        <v>0.231</v>
      </c>
      <c r="I4246" s="8">
        <f t="shared" si="265"/>
        <v>323980000</v>
      </c>
      <c r="J4246" s="8">
        <f t="shared" si="266"/>
        <v>74839380</v>
      </c>
      <c r="K4246" t="str">
        <f t="shared" si="267"/>
        <v>MATCHED</v>
      </c>
    </row>
    <row r="4247" spans="1:11">
      <c r="A4247" t="s">
        <v>120</v>
      </c>
      <c r="B4247" t="s">
        <v>1629</v>
      </c>
      <c r="C4247" t="s">
        <v>401</v>
      </c>
      <c r="D4247" t="s">
        <v>402</v>
      </c>
      <c r="E4247" s="8">
        <v>194890</v>
      </c>
      <c r="F4247" s="8">
        <v>47980</v>
      </c>
      <c r="G4247" s="8">
        <f t="shared" si="264"/>
        <v>9350822200</v>
      </c>
      <c r="H4247" s="5">
        <v>0.7452</v>
      </c>
      <c r="I4247" s="8">
        <f t="shared" si="265"/>
        <v>9350822200</v>
      </c>
      <c r="J4247" s="8">
        <f t="shared" si="266"/>
        <v>6968232703.44</v>
      </c>
      <c r="K4247" t="str">
        <f t="shared" si="267"/>
        <v>MATCHED</v>
      </c>
    </row>
    <row r="4248" spans="1:11">
      <c r="A4248" t="s">
        <v>120</v>
      </c>
      <c r="B4248" t="s">
        <v>1629</v>
      </c>
      <c r="C4248" t="s">
        <v>660</v>
      </c>
      <c r="D4248" t="s">
        <v>661</v>
      </c>
      <c r="E4248" s="8">
        <v>2040</v>
      </c>
      <c r="F4248" s="8">
        <v>45300</v>
      </c>
      <c r="G4248" s="8">
        <f t="shared" si="264"/>
        <v>92412000</v>
      </c>
      <c r="H4248" s="5">
        <v>0.2639</v>
      </c>
      <c r="I4248" s="8">
        <f t="shared" si="265"/>
        <v>92412000</v>
      </c>
      <c r="J4248" s="8">
        <f t="shared" si="266"/>
        <v>24387526.8</v>
      </c>
      <c r="K4248" t="str">
        <f t="shared" si="267"/>
        <v>MATCHED</v>
      </c>
    </row>
    <row r="4249" spans="1:11">
      <c r="A4249" t="s">
        <v>120</v>
      </c>
      <c r="B4249" t="s">
        <v>1629</v>
      </c>
      <c r="C4249" t="s">
        <v>1294</v>
      </c>
      <c r="D4249" t="s">
        <v>1295</v>
      </c>
      <c r="E4249" s="8">
        <v>1090</v>
      </c>
      <c r="F4249" s="8">
        <v>66830</v>
      </c>
      <c r="G4249" s="8">
        <f t="shared" si="264"/>
        <v>72844700</v>
      </c>
      <c r="H4249" s="5">
        <v>0.9273</v>
      </c>
      <c r="I4249" s="8">
        <f t="shared" si="265"/>
        <v>72844700</v>
      </c>
      <c r="J4249" s="8">
        <f t="shared" si="266"/>
        <v>67548890.31</v>
      </c>
      <c r="K4249" t="str">
        <f t="shared" si="267"/>
        <v>MATCHED</v>
      </c>
    </row>
    <row r="4250" spans="1:11">
      <c r="A4250" t="s">
        <v>120</v>
      </c>
      <c r="B4250" t="s">
        <v>1629</v>
      </c>
      <c r="C4250" t="s">
        <v>1545</v>
      </c>
      <c r="D4250" t="s">
        <v>1546</v>
      </c>
      <c r="E4250" s="8">
        <v>800</v>
      </c>
      <c r="F4250" s="8">
        <v>60250</v>
      </c>
      <c r="G4250" s="8">
        <f t="shared" si="264"/>
        <v>48200000</v>
      </c>
      <c r="H4250" s="5">
        <v>0.8679</v>
      </c>
      <c r="I4250" s="8">
        <f t="shared" si="265"/>
        <v>48200000</v>
      </c>
      <c r="J4250" s="8">
        <f t="shared" si="266"/>
        <v>41832780</v>
      </c>
      <c r="K4250" t="str">
        <f t="shared" si="267"/>
        <v>MATCHED</v>
      </c>
    </row>
    <row r="4251" spans="1:11">
      <c r="A4251" t="s">
        <v>120</v>
      </c>
      <c r="B4251" t="s">
        <v>1629</v>
      </c>
      <c r="C4251" t="s">
        <v>662</v>
      </c>
      <c r="D4251" t="s">
        <v>663</v>
      </c>
      <c r="E4251" s="8">
        <v>10830</v>
      </c>
      <c r="F4251" s="8">
        <v>48530</v>
      </c>
      <c r="G4251" s="8">
        <f t="shared" si="264"/>
        <v>525579900</v>
      </c>
      <c r="H4251" s="5"/>
      <c r="I4251" s="8" t="str">
        <f t="shared" si="265"/>
        <v/>
      </c>
      <c r="J4251" s="8" t="str">
        <f t="shared" si="266"/>
        <v/>
      </c>
      <c r="K4251" t="str">
        <f t="shared" si="267"/>
        <v>MISSING WHARTON</v>
      </c>
    </row>
    <row r="4252" spans="1:11">
      <c r="A4252" t="s">
        <v>120</v>
      </c>
      <c r="B4252" t="s">
        <v>1629</v>
      </c>
      <c r="C4252" t="s">
        <v>403</v>
      </c>
      <c r="D4252" t="s">
        <v>404</v>
      </c>
      <c r="E4252" s="8">
        <v>470</v>
      </c>
      <c r="F4252" s="8">
        <v>65810</v>
      </c>
      <c r="G4252" s="8">
        <f t="shared" si="264"/>
        <v>30930700</v>
      </c>
      <c r="H4252" s="5">
        <v>0.22</v>
      </c>
      <c r="I4252" s="8">
        <f t="shared" si="265"/>
        <v>30930700</v>
      </c>
      <c r="J4252" s="8">
        <f t="shared" si="266"/>
        <v>6804754</v>
      </c>
      <c r="K4252" t="str">
        <f t="shared" si="267"/>
        <v>MATCHED</v>
      </c>
    </row>
    <row r="4253" spans="1:11">
      <c r="A4253" t="s">
        <v>120</v>
      </c>
      <c r="B4253" t="s">
        <v>1629</v>
      </c>
      <c r="C4253" t="s">
        <v>405</v>
      </c>
      <c r="D4253" t="s">
        <v>406</v>
      </c>
      <c r="E4253" s="8">
        <v>930</v>
      </c>
      <c r="F4253" s="8">
        <v>53230</v>
      </c>
      <c r="G4253" s="8">
        <f t="shared" si="264"/>
        <v>49503900</v>
      </c>
      <c r="H4253" s="5">
        <v>0.15</v>
      </c>
      <c r="I4253" s="8">
        <f t="shared" si="265"/>
        <v>49503900</v>
      </c>
      <c r="J4253" s="8">
        <f t="shared" si="266"/>
        <v>7425585</v>
      </c>
      <c r="K4253" t="str">
        <f t="shared" si="267"/>
        <v>MATCHED</v>
      </c>
    </row>
    <row r="4254" spans="1:11">
      <c r="A4254" t="s">
        <v>120</v>
      </c>
      <c r="B4254" t="s">
        <v>1629</v>
      </c>
      <c r="C4254" t="s">
        <v>407</v>
      </c>
      <c r="D4254" t="s">
        <v>408</v>
      </c>
      <c r="E4254" s="8"/>
      <c r="F4254" s="8">
        <v>66060</v>
      </c>
      <c r="G4254" s="8" t="str">
        <f t="shared" si="264"/>
        <v/>
      </c>
      <c r="H4254" s="5">
        <v>0.0396</v>
      </c>
      <c r="I4254" s="8" t="str">
        <f t="shared" si="265"/>
        <v/>
      </c>
      <c r="J4254" s="8" t="str">
        <f t="shared" si="266"/>
        <v/>
      </c>
      <c r="K4254" t="str">
        <f t="shared" si="267"/>
        <v>MISSING OEWS</v>
      </c>
    </row>
    <row r="4255" spans="1:11">
      <c r="A4255" t="s">
        <v>120</v>
      </c>
      <c r="B4255" t="s">
        <v>1629</v>
      </c>
      <c r="C4255" t="s">
        <v>409</v>
      </c>
      <c r="D4255" t="s">
        <v>410</v>
      </c>
      <c r="E4255" s="8">
        <v>390</v>
      </c>
      <c r="F4255" s="8">
        <v>43680</v>
      </c>
      <c r="G4255" s="8">
        <f t="shared" si="264"/>
        <v>17035200</v>
      </c>
      <c r="H4255" s="5">
        <v>0.1583</v>
      </c>
      <c r="I4255" s="8">
        <f t="shared" si="265"/>
        <v>17035200</v>
      </c>
      <c r="J4255" s="8">
        <f t="shared" si="266"/>
        <v>2696672.16</v>
      </c>
      <c r="K4255" t="str">
        <f t="shared" si="267"/>
        <v>MATCHED</v>
      </c>
    </row>
    <row r="4256" spans="1:11">
      <c r="A4256" t="s">
        <v>120</v>
      </c>
      <c r="B4256" t="s">
        <v>1629</v>
      </c>
      <c r="C4256" t="s">
        <v>411</v>
      </c>
      <c r="D4256" t="s">
        <v>412</v>
      </c>
      <c r="E4256" s="8">
        <v>120</v>
      </c>
      <c r="F4256" s="8">
        <v>48020</v>
      </c>
      <c r="G4256" s="8">
        <f t="shared" si="264"/>
        <v>5762400</v>
      </c>
      <c r="H4256" s="5">
        <v>0.0559</v>
      </c>
      <c r="I4256" s="8">
        <f t="shared" si="265"/>
        <v>5762400</v>
      </c>
      <c r="J4256" s="8">
        <f t="shared" si="266"/>
        <v>322118.16</v>
      </c>
      <c r="K4256" t="str">
        <f t="shared" si="267"/>
        <v>MATCHED</v>
      </c>
    </row>
    <row r="4257" spans="1:11">
      <c r="A4257" t="s">
        <v>120</v>
      </c>
      <c r="B4257" t="s">
        <v>1629</v>
      </c>
      <c r="C4257" t="s">
        <v>413</v>
      </c>
      <c r="D4257" t="s">
        <v>414</v>
      </c>
      <c r="E4257" s="8">
        <v>1560</v>
      </c>
      <c r="F4257" s="8">
        <v>40030</v>
      </c>
      <c r="G4257" s="8">
        <f t="shared" si="264"/>
        <v>62446800</v>
      </c>
      <c r="H4257" s="5">
        <v>0.0633</v>
      </c>
      <c r="I4257" s="8">
        <f t="shared" si="265"/>
        <v>62446800</v>
      </c>
      <c r="J4257" s="8">
        <f t="shared" si="266"/>
        <v>3952882.44</v>
      </c>
      <c r="K4257" t="str">
        <f t="shared" si="267"/>
        <v>MATCHED</v>
      </c>
    </row>
    <row r="4258" spans="1:11">
      <c r="A4258" t="s">
        <v>120</v>
      </c>
      <c r="B4258" t="s">
        <v>1629</v>
      </c>
      <c r="C4258" t="s">
        <v>415</v>
      </c>
      <c r="D4258" t="s">
        <v>416</v>
      </c>
      <c r="E4258" s="8">
        <v>670</v>
      </c>
      <c r="F4258" s="8">
        <v>43790</v>
      </c>
      <c r="G4258" s="8">
        <f t="shared" si="264"/>
        <v>29339300</v>
      </c>
      <c r="H4258" s="5">
        <v>0.0864</v>
      </c>
      <c r="I4258" s="8">
        <f t="shared" si="265"/>
        <v>29339300</v>
      </c>
      <c r="J4258" s="8">
        <f t="shared" si="266"/>
        <v>2534915.52</v>
      </c>
      <c r="K4258" t="str">
        <f t="shared" si="267"/>
        <v>MATCHED</v>
      </c>
    </row>
    <row r="4259" spans="1:11">
      <c r="A4259" t="s">
        <v>120</v>
      </c>
      <c r="B4259" t="s">
        <v>1629</v>
      </c>
      <c r="C4259" t="s">
        <v>417</v>
      </c>
      <c r="D4259" t="s">
        <v>418</v>
      </c>
      <c r="E4259" s="8">
        <v>370</v>
      </c>
      <c r="F4259" s="8">
        <v>48060</v>
      </c>
      <c r="G4259" s="8">
        <f t="shared" si="264"/>
        <v>17782200</v>
      </c>
      <c r="H4259" s="5"/>
      <c r="I4259" s="8" t="str">
        <f t="shared" si="265"/>
        <v/>
      </c>
      <c r="J4259" s="8" t="str">
        <f t="shared" si="266"/>
        <v/>
      </c>
      <c r="K4259" t="str">
        <f t="shared" si="267"/>
        <v>MISSING WHARTON</v>
      </c>
    </row>
    <row r="4260" spans="1:11">
      <c r="A4260" t="s">
        <v>120</v>
      </c>
      <c r="B4260" t="s">
        <v>1629</v>
      </c>
      <c r="C4260" t="s">
        <v>1702</v>
      </c>
      <c r="D4260" t="s">
        <v>1703</v>
      </c>
      <c r="E4260" s="8">
        <v>50</v>
      </c>
      <c r="F4260" s="8">
        <v>40800</v>
      </c>
      <c r="G4260" s="8">
        <f t="shared" si="264"/>
        <v>2040000</v>
      </c>
      <c r="H4260" s="5">
        <v>0</v>
      </c>
      <c r="I4260" s="8">
        <f t="shared" si="265"/>
        <v>2040000</v>
      </c>
      <c r="J4260" s="8">
        <f t="shared" si="266"/>
        <v>0</v>
      </c>
      <c r="K4260" t="str">
        <f t="shared" si="267"/>
        <v>MATCHED</v>
      </c>
    </row>
    <row r="4261" spans="1:11">
      <c r="A4261" t="s">
        <v>120</v>
      </c>
      <c r="B4261" t="s">
        <v>1629</v>
      </c>
      <c r="C4261" t="s">
        <v>664</v>
      </c>
      <c r="D4261" t="s">
        <v>665</v>
      </c>
      <c r="E4261" s="8">
        <v>10230</v>
      </c>
      <c r="F4261" s="8">
        <v>91020</v>
      </c>
      <c r="G4261" s="8">
        <f t="shared" si="264"/>
        <v>931134600</v>
      </c>
      <c r="H4261" s="5">
        <v>0.265</v>
      </c>
      <c r="I4261" s="8">
        <f t="shared" si="265"/>
        <v>931134600</v>
      </c>
      <c r="J4261" s="8">
        <f t="shared" si="266"/>
        <v>246750669</v>
      </c>
      <c r="K4261" t="str">
        <f t="shared" si="267"/>
        <v>MATCHED</v>
      </c>
    </row>
    <row r="4262" spans="1:11">
      <c r="A4262" t="s">
        <v>120</v>
      </c>
      <c r="B4262" t="s">
        <v>1629</v>
      </c>
      <c r="C4262" t="s">
        <v>427</v>
      </c>
      <c r="D4262" t="s">
        <v>428</v>
      </c>
      <c r="E4262" s="8">
        <v>5120</v>
      </c>
      <c r="F4262" s="8">
        <v>59520</v>
      </c>
      <c r="G4262" s="8">
        <f t="shared" si="264"/>
        <v>304742400</v>
      </c>
      <c r="H4262" s="5">
        <v>0.081</v>
      </c>
      <c r="I4262" s="8">
        <f t="shared" si="265"/>
        <v>304742400</v>
      </c>
      <c r="J4262" s="8">
        <f t="shared" si="266"/>
        <v>24684134.4</v>
      </c>
      <c r="K4262" t="str">
        <f t="shared" si="267"/>
        <v>MATCHED</v>
      </c>
    </row>
    <row r="4263" spans="1:11">
      <c r="A4263" t="s">
        <v>120</v>
      </c>
      <c r="B4263" t="s">
        <v>1629</v>
      </c>
      <c r="C4263" t="s">
        <v>668</v>
      </c>
      <c r="D4263" t="s">
        <v>669</v>
      </c>
      <c r="E4263" s="8"/>
      <c r="F4263" s="8">
        <v>60560</v>
      </c>
      <c r="G4263" s="8" t="str">
        <f t="shared" si="264"/>
        <v/>
      </c>
      <c r="H4263" s="5">
        <v>0</v>
      </c>
      <c r="I4263" s="8" t="str">
        <f t="shared" si="265"/>
        <v/>
      </c>
      <c r="J4263" s="8" t="str">
        <f t="shared" si="266"/>
        <v/>
      </c>
      <c r="K4263" t="str">
        <f t="shared" si="267"/>
        <v>MISSING OEWS</v>
      </c>
    </row>
    <row r="4264" spans="1:11">
      <c r="A4264" t="s">
        <v>120</v>
      </c>
      <c r="B4264" t="s">
        <v>1629</v>
      </c>
      <c r="C4264" t="s">
        <v>670</v>
      </c>
      <c r="D4264" t="s">
        <v>671</v>
      </c>
      <c r="E4264" s="8">
        <v>8500</v>
      </c>
      <c r="F4264" s="8">
        <v>53170</v>
      </c>
      <c r="G4264" s="8">
        <f t="shared" si="264"/>
        <v>451945000</v>
      </c>
      <c r="H4264" s="5">
        <v>0.0297</v>
      </c>
      <c r="I4264" s="8">
        <f t="shared" si="265"/>
        <v>451945000</v>
      </c>
      <c r="J4264" s="8">
        <f t="shared" si="266"/>
        <v>13422766.5</v>
      </c>
      <c r="K4264" t="str">
        <f t="shared" si="267"/>
        <v>MATCHED</v>
      </c>
    </row>
    <row r="4265" spans="1:11">
      <c r="A4265" t="s">
        <v>120</v>
      </c>
      <c r="B4265" t="s">
        <v>1629</v>
      </c>
      <c r="C4265" t="s">
        <v>672</v>
      </c>
      <c r="D4265" t="s">
        <v>673</v>
      </c>
      <c r="E4265" s="8"/>
      <c r="F4265" s="8">
        <v>43300</v>
      </c>
      <c r="G4265" s="8" t="str">
        <f t="shared" si="264"/>
        <v/>
      </c>
      <c r="H4265" s="5">
        <v>0</v>
      </c>
      <c r="I4265" s="8" t="str">
        <f t="shared" si="265"/>
        <v/>
      </c>
      <c r="J4265" s="8" t="str">
        <f t="shared" si="266"/>
        <v/>
      </c>
      <c r="K4265" t="str">
        <f t="shared" si="267"/>
        <v>MISSING OEWS</v>
      </c>
    </row>
    <row r="4266" spans="1:11">
      <c r="A4266" t="s">
        <v>120</v>
      </c>
      <c r="B4266" t="s">
        <v>1629</v>
      </c>
      <c r="C4266" t="s">
        <v>429</v>
      </c>
      <c r="D4266" t="s">
        <v>430</v>
      </c>
      <c r="E4266" s="8">
        <v>2730</v>
      </c>
      <c r="F4266" s="8">
        <v>64820</v>
      </c>
      <c r="G4266" s="8">
        <f t="shared" si="264"/>
        <v>176958600</v>
      </c>
      <c r="H4266" s="5">
        <v>0.0589</v>
      </c>
      <c r="I4266" s="8">
        <f t="shared" si="265"/>
        <v>176958600</v>
      </c>
      <c r="J4266" s="8">
        <f t="shared" si="266"/>
        <v>10422861.54</v>
      </c>
      <c r="K4266" t="str">
        <f t="shared" si="267"/>
        <v>MATCHED</v>
      </c>
    </row>
    <row r="4267" spans="1:11">
      <c r="A4267" t="s">
        <v>120</v>
      </c>
      <c r="B4267" t="s">
        <v>1629</v>
      </c>
      <c r="C4267" t="s">
        <v>431</v>
      </c>
      <c r="D4267" t="s">
        <v>432</v>
      </c>
      <c r="E4267" s="8">
        <v>6620</v>
      </c>
      <c r="F4267" s="8">
        <v>76630</v>
      </c>
      <c r="G4267" s="8">
        <f t="shared" si="264"/>
        <v>507290600</v>
      </c>
      <c r="H4267" s="5">
        <v>0.0786</v>
      </c>
      <c r="I4267" s="8">
        <f t="shared" si="265"/>
        <v>507290600</v>
      </c>
      <c r="J4267" s="8">
        <f t="shared" si="266"/>
        <v>39873041.16</v>
      </c>
      <c r="K4267" t="str">
        <f t="shared" si="267"/>
        <v>MATCHED</v>
      </c>
    </row>
    <row r="4268" spans="1:11">
      <c r="A4268" t="s">
        <v>120</v>
      </c>
      <c r="B4268" t="s">
        <v>1629</v>
      </c>
      <c r="C4268" t="s">
        <v>1042</v>
      </c>
      <c r="D4268" t="s">
        <v>1043</v>
      </c>
      <c r="E4268" s="8"/>
      <c r="F4268" s="8">
        <v>73370</v>
      </c>
      <c r="G4268" s="8" t="str">
        <f t="shared" si="264"/>
        <v/>
      </c>
      <c r="H4268" s="5">
        <v>0</v>
      </c>
      <c r="I4268" s="8" t="str">
        <f t="shared" si="265"/>
        <v/>
      </c>
      <c r="J4268" s="8" t="str">
        <f t="shared" si="266"/>
        <v/>
      </c>
      <c r="K4268" t="str">
        <f t="shared" si="267"/>
        <v>MISSING OEWS</v>
      </c>
    </row>
    <row r="4269" spans="1:11">
      <c r="A4269" t="s">
        <v>120</v>
      </c>
      <c r="B4269" t="s">
        <v>1629</v>
      </c>
      <c r="C4269" t="s">
        <v>674</v>
      </c>
      <c r="D4269" t="s">
        <v>675</v>
      </c>
      <c r="E4269" s="8">
        <v>240</v>
      </c>
      <c r="F4269" s="8">
        <v>54520</v>
      </c>
      <c r="G4269" s="8">
        <f t="shared" si="264"/>
        <v>13084800</v>
      </c>
      <c r="H4269" s="5">
        <v>0</v>
      </c>
      <c r="I4269" s="8">
        <f t="shared" si="265"/>
        <v>13084800</v>
      </c>
      <c r="J4269" s="8">
        <f t="shared" si="266"/>
        <v>0</v>
      </c>
      <c r="K4269" t="str">
        <f t="shared" si="267"/>
        <v>MATCHED</v>
      </c>
    </row>
    <row r="4270" spans="1:11">
      <c r="A4270" t="s">
        <v>120</v>
      </c>
      <c r="B4270" t="s">
        <v>1629</v>
      </c>
      <c r="C4270" t="s">
        <v>676</v>
      </c>
      <c r="D4270" t="s">
        <v>677</v>
      </c>
      <c r="E4270" s="8">
        <v>40</v>
      </c>
      <c r="F4270" s="8">
        <v>73880</v>
      </c>
      <c r="G4270" s="8">
        <f t="shared" si="264"/>
        <v>2955200</v>
      </c>
      <c r="H4270" s="5">
        <v>0.0731</v>
      </c>
      <c r="I4270" s="8">
        <f t="shared" si="265"/>
        <v>2955200</v>
      </c>
      <c r="J4270" s="8">
        <f t="shared" si="266"/>
        <v>216025.12</v>
      </c>
      <c r="K4270" t="str">
        <f t="shared" si="267"/>
        <v>MATCHED</v>
      </c>
    </row>
    <row r="4271" spans="1:11">
      <c r="A4271" t="s">
        <v>120</v>
      </c>
      <c r="B4271" t="s">
        <v>1629</v>
      </c>
      <c r="C4271" t="s">
        <v>678</v>
      </c>
      <c r="D4271" t="s">
        <v>679</v>
      </c>
      <c r="E4271" s="8">
        <v>670</v>
      </c>
      <c r="F4271" s="8">
        <v>61100</v>
      </c>
      <c r="G4271" s="8">
        <f t="shared" si="264"/>
        <v>40937000</v>
      </c>
      <c r="H4271" s="5">
        <v>0.0368</v>
      </c>
      <c r="I4271" s="8">
        <f t="shared" si="265"/>
        <v>40937000</v>
      </c>
      <c r="J4271" s="8">
        <f t="shared" si="266"/>
        <v>1506481.6</v>
      </c>
      <c r="K4271" t="str">
        <f t="shared" si="267"/>
        <v>MATCHED</v>
      </c>
    </row>
    <row r="4272" spans="1:11">
      <c r="A4272" t="s">
        <v>120</v>
      </c>
      <c r="B4272" t="s">
        <v>1629</v>
      </c>
      <c r="C4272" t="s">
        <v>1044</v>
      </c>
      <c r="D4272" t="s">
        <v>1045</v>
      </c>
      <c r="E4272" s="8">
        <v>1030</v>
      </c>
      <c r="F4272" s="8">
        <v>52160</v>
      </c>
      <c r="G4272" s="8">
        <f t="shared" si="264"/>
        <v>53724800</v>
      </c>
      <c r="H4272" s="5">
        <v>0</v>
      </c>
      <c r="I4272" s="8">
        <f t="shared" si="265"/>
        <v>53724800</v>
      </c>
      <c r="J4272" s="8">
        <f t="shared" si="266"/>
        <v>0</v>
      </c>
      <c r="K4272" t="str">
        <f t="shared" si="267"/>
        <v>MATCHED</v>
      </c>
    </row>
    <row r="4273" spans="1:11">
      <c r="A4273" t="s">
        <v>120</v>
      </c>
      <c r="B4273" t="s">
        <v>1629</v>
      </c>
      <c r="C4273" t="s">
        <v>680</v>
      </c>
      <c r="D4273" t="s">
        <v>681</v>
      </c>
      <c r="E4273" s="8"/>
      <c r="F4273" s="8">
        <v>45970</v>
      </c>
      <c r="G4273" s="8" t="str">
        <f t="shared" si="264"/>
        <v/>
      </c>
      <c r="H4273" s="5">
        <v>0</v>
      </c>
      <c r="I4273" s="8" t="str">
        <f t="shared" si="265"/>
        <v/>
      </c>
      <c r="J4273" s="8" t="str">
        <f t="shared" si="266"/>
        <v/>
      </c>
      <c r="K4273" t="str">
        <f t="shared" si="267"/>
        <v>MISSING OEWS</v>
      </c>
    </row>
    <row r="4274" spans="1:11">
      <c r="A4274" t="s">
        <v>120</v>
      </c>
      <c r="B4274" t="s">
        <v>1629</v>
      </c>
      <c r="C4274" t="s">
        <v>682</v>
      </c>
      <c r="D4274" t="s">
        <v>683</v>
      </c>
      <c r="E4274" s="8">
        <v>3350</v>
      </c>
      <c r="F4274" s="8">
        <v>69080</v>
      </c>
      <c r="G4274" s="8">
        <f t="shared" si="264"/>
        <v>231418000</v>
      </c>
      <c r="H4274" s="5">
        <v>0.04</v>
      </c>
      <c r="I4274" s="8">
        <f t="shared" si="265"/>
        <v>231418000</v>
      </c>
      <c r="J4274" s="8">
        <f t="shared" si="266"/>
        <v>9256720</v>
      </c>
      <c r="K4274" t="str">
        <f t="shared" si="267"/>
        <v>MATCHED</v>
      </c>
    </row>
    <row r="4275" spans="1:11">
      <c r="A4275" t="s">
        <v>120</v>
      </c>
      <c r="B4275" t="s">
        <v>1629</v>
      </c>
      <c r="C4275" t="s">
        <v>1048</v>
      </c>
      <c r="D4275" t="s">
        <v>1049</v>
      </c>
      <c r="E4275" s="8"/>
      <c r="F4275" s="8">
        <v>60960</v>
      </c>
      <c r="G4275" s="8" t="str">
        <f t="shared" si="264"/>
        <v/>
      </c>
      <c r="H4275" s="5">
        <v>0</v>
      </c>
      <c r="I4275" s="8" t="str">
        <f t="shared" si="265"/>
        <v/>
      </c>
      <c r="J4275" s="8" t="str">
        <f t="shared" si="266"/>
        <v/>
      </c>
      <c r="K4275" t="str">
        <f t="shared" si="267"/>
        <v>MISSING OEWS</v>
      </c>
    </row>
    <row r="4276" spans="1:11">
      <c r="A4276" t="s">
        <v>120</v>
      </c>
      <c r="B4276" t="s">
        <v>1629</v>
      </c>
      <c r="C4276" t="s">
        <v>1050</v>
      </c>
      <c r="D4276" t="s">
        <v>1051</v>
      </c>
      <c r="E4276" s="8"/>
      <c r="F4276" s="8">
        <v>76450</v>
      </c>
      <c r="G4276" s="8" t="str">
        <f t="shared" si="264"/>
        <v/>
      </c>
      <c r="H4276" s="5">
        <v>0</v>
      </c>
      <c r="I4276" s="8" t="str">
        <f t="shared" si="265"/>
        <v/>
      </c>
      <c r="J4276" s="8" t="str">
        <f t="shared" si="266"/>
        <v/>
      </c>
      <c r="K4276" t="str">
        <f t="shared" si="267"/>
        <v>MISSING OEWS</v>
      </c>
    </row>
    <row r="4277" spans="1:11">
      <c r="A4277" t="s">
        <v>120</v>
      </c>
      <c r="B4277" t="s">
        <v>1629</v>
      </c>
      <c r="C4277" t="s">
        <v>684</v>
      </c>
      <c r="D4277" t="s">
        <v>685</v>
      </c>
      <c r="E4277" s="8">
        <v>640</v>
      </c>
      <c r="F4277" s="8">
        <v>65210</v>
      </c>
      <c r="G4277" s="8">
        <f t="shared" si="264"/>
        <v>41734400</v>
      </c>
      <c r="H4277" s="5">
        <v>0.0687</v>
      </c>
      <c r="I4277" s="8">
        <f t="shared" si="265"/>
        <v>41734400</v>
      </c>
      <c r="J4277" s="8">
        <f t="shared" si="266"/>
        <v>2867153.28</v>
      </c>
      <c r="K4277" t="str">
        <f t="shared" si="267"/>
        <v>MATCHED</v>
      </c>
    </row>
    <row r="4278" spans="1:11">
      <c r="A4278" t="s">
        <v>120</v>
      </c>
      <c r="B4278" t="s">
        <v>1629</v>
      </c>
      <c r="C4278" t="s">
        <v>686</v>
      </c>
      <c r="D4278" t="s">
        <v>687</v>
      </c>
      <c r="E4278" s="8">
        <v>400</v>
      </c>
      <c r="F4278" s="8">
        <v>53930</v>
      </c>
      <c r="G4278" s="8">
        <f t="shared" si="264"/>
        <v>21572000</v>
      </c>
      <c r="H4278" s="5">
        <v>0</v>
      </c>
      <c r="I4278" s="8">
        <f t="shared" si="265"/>
        <v>21572000</v>
      </c>
      <c r="J4278" s="8">
        <f t="shared" si="266"/>
        <v>0</v>
      </c>
      <c r="K4278" t="str">
        <f t="shared" si="267"/>
        <v>MATCHED</v>
      </c>
    </row>
    <row r="4279" spans="1:11">
      <c r="A4279" t="s">
        <v>120</v>
      </c>
      <c r="B4279" t="s">
        <v>1629</v>
      </c>
      <c r="C4279" t="s">
        <v>894</v>
      </c>
      <c r="D4279" t="s">
        <v>895</v>
      </c>
      <c r="E4279" s="8"/>
      <c r="F4279" s="8">
        <v>66750</v>
      </c>
      <c r="G4279" s="8" t="str">
        <f t="shared" si="264"/>
        <v/>
      </c>
      <c r="H4279" s="5">
        <v>0.0635</v>
      </c>
      <c r="I4279" s="8" t="str">
        <f t="shared" si="265"/>
        <v/>
      </c>
      <c r="J4279" s="8" t="str">
        <f t="shared" si="266"/>
        <v/>
      </c>
      <c r="K4279" t="str">
        <f t="shared" si="267"/>
        <v>MISSING OEWS</v>
      </c>
    </row>
    <row r="4280" spans="1:11">
      <c r="A4280" t="s">
        <v>120</v>
      </c>
      <c r="B4280" t="s">
        <v>1629</v>
      </c>
      <c r="C4280" t="s">
        <v>688</v>
      </c>
      <c r="D4280" t="s">
        <v>689</v>
      </c>
      <c r="E4280" s="8">
        <v>120</v>
      </c>
      <c r="F4280" s="8">
        <v>44270</v>
      </c>
      <c r="G4280" s="8">
        <f t="shared" si="264"/>
        <v>5312400</v>
      </c>
      <c r="H4280" s="5">
        <v>0.0396</v>
      </c>
      <c r="I4280" s="8">
        <f t="shared" si="265"/>
        <v>5312400</v>
      </c>
      <c r="J4280" s="8">
        <f t="shared" si="266"/>
        <v>210371.04</v>
      </c>
      <c r="K4280" t="str">
        <f t="shared" si="267"/>
        <v>MATCHED</v>
      </c>
    </row>
    <row r="4281" spans="1:11">
      <c r="A4281" t="s">
        <v>120</v>
      </c>
      <c r="B4281" t="s">
        <v>1629</v>
      </c>
      <c r="C4281" t="s">
        <v>690</v>
      </c>
      <c r="D4281" t="s">
        <v>691</v>
      </c>
      <c r="E4281" s="8">
        <v>160</v>
      </c>
      <c r="F4281" s="8">
        <v>52950</v>
      </c>
      <c r="G4281" s="8">
        <f t="shared" si="264"/>
        <v>8472000</v>
      </c>
      <c r="H4281" s="5">
        <v>0</v>
      </c>
      <c r="I4281" s="8">
        <f t="shared" si="265"/>
        <v>8472000</v>
      </c>
      <c r="J4281" s="8">
        <f t="shared" si="266"/>
        <v>0</v>
      </c>
      <c r="K4281" t="str">
        <f t="shared" si="267"/>
        <v>MATCHED</v>
      </c>
    </row>
    <row r="4282" spans="1:11">
      <c r="A4282" t="s">
        <v>120</v>
      </c>
      <c r="B4282" t="s">
        <v>1629</v>
      </c>
      <c r="C4282" t="s">
        <v>692</v>
      </c>
      <c r="D4282" t="s">
        <v>693</v>
      </c>
      <c r="E4282" s="8">
        <v>70</v>
      </c>
      <c r="F4282" s="8">
        <v>27650</v>
      </c>
      <c r="G4282" s="8">
        <f t="shared" si="264"/>
        <v>1935500</v>
      </c>
      <c r="H4282" s="5"/>
      <c r="I4282" s="8" t="str">
        <f t="shared" si="265"/>
        <v/>
      </c>
      <c r="J4282" s="8" t="str">
        <f t="shared" si="266"/>
        <v/>
      </c>
      <c r="K4282" t="str">
        <f t="shared" si="267"/>
        <v>MISSING WHARTON</v>
      </c>
    </row>
    <row r="4283" spans="1:11">
      <c r="A4283" t="s">
        <v>120</v>
      </c>
      <c r="B4283" t="s">
        <v>1629</v>
      </c>
      <c r="C4283" t="s">
        <v>694</v>
      </c>
      <c r="D4283" t="s">
        <v>695</v>
      </c>
      <c r="E4283" s="8">
        <v>57320</v>
      </c>
      <c r="F4283" s="8">
        <v>77730</v>
      </c>
      <c r="G4283" s="8">
        <f t="shared" si="264"/>
        <v>4455483600</v>
      </c>
      <c r="H4283" s="5">
        <v>0.3737</v>
      </c>
      <c r="I4283" s="8">
        <f t="shared" si="265"/>
        <v>4455483600</v>
      </c>
      <c r="J4283" s="8">
        <f t="shared" si="266"/>
        <v>1665014221.32</v>
      </c>
      <c r="K4283" t="str">
        <f t="shared" si="267"/>
        <v>MATCHED</v>
      </c>
    </row>
    <row r="4284" spans="1:11">
      <c r="A4284" t="s">
        <v>120</v>
      </c>
      <c r="B4284" t="s">
        <v>1629</v>
      </c>
      <c r="C4284" t="s">
        <v>1060</v>
      </c>
      <c r="D4284" t="s">
        <v>1061</v>
      </c>
      <c r="E4284" s="8">
        <v>190</v>
      </c>
      <c r="F4284" s="8"/>
      <c r="G4284" s="8" t="str">
        <f t="shared" si="264"/>
        <v/>
      </c>
      <c r="H4284" s="5">
        <v>0.0475</v>
      </c>
      <c r="I4284" s="8" t="str">
        <f t="shared" si="265"/>
        <v/>
      </c>
      <c r="J4284" s="8" t="str">
        <f t="shared" si="266"/>
        <v/>
      </c>
      <c r="K4284" t="str">
        <f t="shared" si="267"/>
        <v>MISSING OEWS</v>
      </c>
    </row>
    <row r="4285" spans="1:11">
      <c r="A4285" t="s">
        <v>120</v>
      </c>
      <c r="B4285" t="s">
        <v>1629</v>
      </c>
      <c r="C4285" t="s">
        <v>698</v>
      </c>
      <c r="D4285" t="s">
        <v>699</v>
      </c>
      <c r="E4285" s="8">
        <v>1610</v>
      </c>
      <c r="F4285" s="8">
        <v>73790</v>
      </c>
      <c r="G4285" s="8">
        <f t="shared" si="264"/>
        <v>118801900</v>
      </c>
      <c r="H4285" s="5">
        <v>0.0452</v>
      </c>
      <c r="I4285" s="8">
        <f t="shared" si="265"/>
        <v>118801900</v>
      </c>
      <c r="J4285" s="8">
        <f t="shared" si="266"/>
        <v>5369845.88</v>
      </c>
      <c r="K4285" t="str">
        <f t="shared" si="267"/>
        <v>MATCHED</v>
      </c>
    </row>
    <row r="4286" spans="1:11">
      <c r="A4286" t="s">
        <v>120</v>
      </c>
      <c r="B4286" t="s">
        <v>1629</v>
      </c>
      <c r="C4286" t="s">
        <v>896</v>
      </c>
      <c r="D4286" t="s">
        <v>897</v>
      </c>
      <c r="E4286" s="8">
        <v>320</v>
      </c>
      <c r="F4286" s="8">
        <v>62620</v>
      </c>
      <c r="G4286" s="8">
        <f t="shared" si="264"/>
        <v>20038400</v>
      </c>
      <c r="H4286" s="5">
        <v>0.0864</v>
      </c>
      <c r="I4286" s="8">
        <f t="shared" si="265"/>
        <v>20038400</v>
      </c>
      <c r="J4286" s="8">
        <f t="shared" si="266"/>
        <v>1731317.76</v>
      </c>
      <c r="K4286" t="str">
        <f t="shared" si="267"/>
        <v>MATCHED</v>
      </c>
    </row>
    <row r="4287" spans="1:11">
      <c r="A4287" t="s">
        <v>120</v>
      </c>
      <c r="B4287" t="s">
        <v>1629</v>
      </c>
      <c r="C4287" t="s">
        <v>702</v>
      </c>
      <c r="D4287" t="s">
        <v>703</v>
      </c>
      <c r="E4287" s="8">
        <v>880</v>
      </c>
      <c r="F4287" s="8">
        <v>63590</v>
      </c>
      <c r="G4287" s="8">
        <f t="shared" si="264"/>
        <v>55959200</v>
      </c>
      <c r="H4287" s="5">
        <v>0.0825</v>
      </c>
      <c r="I4287" s="8">
        <f t="shared" si="265"/>
        <v>55959200</v>
      </c>
      <c r="J4287" s="8">
        <f t="shared" si="266"/>
        <v>4616634</v>
      </c>
      <c r="K4287" t="str">
        <f t="shared" si="267"/>
        <v>MATCHED</v>
      </c>
    </row>
    <row r="4288" spans="1:11">
      <c r="A4288" t="s">
        <v>120</v>
      </c>
      <c r="B4288" t="s">
        <v>1629</v>
      </c>
      <c r="C4288" t="s">
        <v>704</v>
      </c>
      <c r="D4288" t="s">
        <v>705</v>
      </c>
      <c r="E4288" s="8"/>
      <c r="F4288" s="8">
        <v>65570</v>
      </c>
      <c r="G4288" s="8" t="str">
        <f t="shared" si="264"/>
        <v/>
      </c>
      <c r="H4288" s="5">
        <v>0</v>
      </c>
      <c r="I4288" s="8" t="str">
        <f t="shared" si="265"/>
        <v/>
      </c>
      <c r="J4288" s="8" t="str">
        <f t="shared" si="266"/>
        <v/>
      </c>
      <c r="K4288" t="str">
        <f t="shared" si="267"/>
        <v>MISSING OEWS</v>
      </c>
    </row>
    <row r="4289" spans="1:11">
      <c r="A4289" t="s">
        <v>120</v>
      </c>
      <c r="B4289" t="s">
        <v>1629</v>
      </c>
      <c r="C4289" t="s">
        <v>706</v>
      </c>
      <c r="D4289" t="s">
        <v>707</v>
      </c>
      <c r="E4289" s="8">
        <v>210</v>
      </c>
      <c r="F4289" s="8">
        <v>79540</v>
      </c>
      <c r="G4289" s="8">
        <f t="shared" si="264"/>
        <v>16703400</v>
      </c>
      <c r="H4289" s="5">
        <v>0.0432</v>
      </c>
      <c r="I4289" s="8">
        <f t="shared" si="265"/>
        <v>16703400</v>
      </c>
      <c r="J4289" s="8">
        <f t="shared" si="266"/>
        <v>721586.88</v>
      </c>
      <c r="K4289" t="str">
        <f t="shared" si="267"/>
        <v>MATCHED</v>
      </c>
    </row>
    <row r="4290" spans="1:11">
      <c r="A4290" t="s">
        <v>120</v>
      </c>
      <c r="B4290" t="s">
        <v>1629</v>
      </c>
      <c r="C4290" t="s">
        <v>708</v>
      </c>
      <c r="D4290" t="s">
        <v>709</v>
      </c>
      <c r="E4290" s="8">
        <v>120</v>
      </c>
      <c r="F4290" s="8">
        <v>69630</v>
      </c>
      <c r="G4290" s="8">
        <f t="shared" ref="G4290:G4353" si="268">IF(OR(E4290="",F4290=""),"",E4290*F4290)</f>
        <v>8355600</v>
      </c>
      <c r="H4290" s="5">
        <v>0.05</v>
      </c>
      <c r="I4290" s="8">
        <f t="shared" ref="I4290:I4353" si="269">IF(G4290="","",IF(ISNUMBER(H4290),G4290,""))</f>
        <v>8355600</v>
      </c>
      <c r="J4290" s="8">
        <f t="shared" ref="J4290:J4353" si="270">IF(I4290="","",I4290*H4290)</f>
        <v>417780</v>
      </c>
      <c r="K4290" t="str">
        <f t="shared" ref="K4290:K4353" si="271">IF(G4290="","MISSING OEWS",IF(ISNUMBER(H4290),"MATCHED","MISSING WHARTON"))</f>
        <v>MATCHED</v>
      </c>
    </row>
    <row r="4291" spans="1:11">
      <c r="A4291" t="s">
        <v>120</v>
      </c>
      <c r="B4291" t="s">
        <v>1629</v>
      </c>
      <c r="C4291" t="s">
        <v>710</v>
      </c>
      <c r="D4291" t="s">
        <v>711</v>
      </c>
      <c r="E4291" s="8"/>
      <c r="F4291" s="8">
        <v>53650</v>
      </c>
      <c r="G4291" s="8" t="str">
        <f t="shared" si="268"/>
        <v/>
      </c>
      <c r="H4291" s="5">
        <v>0</v>
      </c>
      <c r="I4291" s="8" t="str">
        <f t="shared" si="269"/>
        <v/>
      </c>
      <c r="J4291" s="8" t="str">
        <f t="shared" si="270"/>
        <v/>
      </c>
      <c r="K4291" t="str">
        <f t="shared" si="271"/>
        <v>MISSING OEWS</v>
      </c>
    </row>
    <row r="4292" spans="1:11">
      <c r="A4292" t="s">
        <v>120</v>
      </c>
      <c r="B4292" t="s">
        <v>1629</v>
      </c>
      <c r="C4292" t="s">
        <v>712</v>
      </c>
      <c r="D4292" t="s">
        <v>713</v>
      </c>
      <c r="E4292" s="8">
        <v>1790</v>
      </c>
      <c r="F4292" s="8">
        <v>59610</v>
      </c>
      <c r="G4292" s="8">
        <f t="shared" si="268"/>
        <v>106701900</v>
      </c>
      <c r="H4292" s="5">
        <v>0.0233</v>
      </c>
      <c r="I4292" s="8">
        <f t="shared" si="269"/>
        <v>106701900</v>
      </c>
      <c r="J4292" s="8">
        <f t="shared" si="270"/>
        <v>2486154.27</v>
      </c>
      <c r="K4292" t="str">
        <f t="shared" si="271"/>
        <v>MATCHED</v>
      </c>
    </row>
    <row r="4293" spans="1:11">
      <c r="A4293" t="s">
        <v>120</v>
      </c>
      <c r="B4293" t="s">
        <v>1629</v>
      </c>
      <c r="C4293" t="s">
        <v>714</v>
      </c>
      <c r="D4293" t="s">
        <v>715</v>
      </c>
      <c r="E4293" s="8"/>
      <c r="F4293" s="8">
        <v>74610</v>
      </c>
      <c r="G4293" s="8" t="str">
        <f t="shared" si="268"/>
        <v/>
      </c>
      <c r="H4293" s="5">
        <v>0.095</v>
      </c>
      <c r="I4293" s="8" t="str">
        <f t="shared" si="269"/>
        <v/>
      </c>
      <c r="J4293" s="8" t="str">
        <f t="shared" si="270"/>
        <v/>
      </c>
      <c r="K4293" t="str">
        <f t="shared" si="271"/>
        <v>MISSING OEWS</v>
      </c>
    </row>
    <row r="4294" spans="1:11">
      <c r="A4294" t="s">
        <v>120</v>
      </c>
      <c r="B4294" t="s">
        <v>1629</v>
      </c>
      <c r="C4294" t="s">
        <v>726</v>
      </c>
      <c r="D4294" t="s">
        <v>727</v>
      </c>
      <c r="E4294" s="8">
        <v>200</v>
      </c>
      <c r="F4294" s="8">
        <v>61080</v>
      </c>
      <c r="G4294" s="8">
        <f t="shared" si="268"/>
        <v>12216000</v>
      </c>
      <c r="H4294" s="5">
        <v>0</v>
      </c>
      <c r="I4294" s="8">
        <f t="shared" si="269"/>
        <v>12216000</v>
      </c>
      <c r="J4294" s="8">
        <f t="shared" si="270"/>
        <v>0</v>
      </c>
      <c r="K4294" t="str">
        <f t="shared" si="271"/>
        <v>MATCHED</v>
      </c>
    </row>
    <row r="4295" spans="1:11">
      <c r="A4295" t="s">
        <v>120</v>
      </c>
      <c r="B4295" t="s">
        <v>1629</v>
      </c>
      <c r="C4295" t="s">
        <v>728</v>
      </c>
      <c r="D4295" t="s">
        <v>729</v>
      </c>
      <c r="E4295" s="8">
        <v>370</v>
      </c>
      <c r="F4295" s="8">
        <v>42580</v>
      </c>
      <c r="G4295" s="8">
        <f t="shared" si="268"/>
        <v>15754600</v>
      </c>
      <c r="H4295" s="5">
        <v>0</v>
      </c>
      <c r="I4295" s="8">
        <f t="shared" si="269"/>
        <v>15754600</v>
      </c>
      <c r="J4295" s="8">
        <f t="shared" si="270"/>
        <v>0</v>
      </c>
      <c r="K4295" t="str">
        <f t="shared" si="271"/>
        <v>MATCHED</v>
      </c>
    </row>
    <row r="4296" spans="1:11">
      <c r="A4296" t="s">
        <v>120</v>
      </c>
      <c r="B4296" t="s">
        <v>1629</v>
      </c>
      <c r="C4296" t="s">
        <v>730</v>
      </c>
      <c r="D4296" t="s">
        <v>731</v>
      </c>
      <c r="E4296" s="8">
        <v>200</v>
      </c>
      <c r="F4296" s="8">
        <v>51630</v>
      </c>
      <c r="G4296" s="8">
        <f t="shared" si="268"/>
        <v>10326000</v>
      </c>
      <c r="H4296" s="5"/>
      <c r="I4296" s="8" t="str">
        <f t="shared" si="269"/>
        <v/>
      </c>
      <c r="J4296" s="8" t="str">
        <f t="shared" si="270"/>
        <v/>
      </c>
      <c r="K4296" t="str">
        <f t="shared" si="271"/>
        <v>MISSING WHARTON</v>
      </c>
    </row>
    <row r="4297" spans="1:11">
      <c r="A4297" t="s">
        <v>120</v>
      </c>
      <c r="B4297" t="s">
        <v>1629</v>
      </c>
      <c r="C4297" t="s">
        <v>433</v>
      </c>
      <c r="D4297" t="s">
        <v>434</v>
      </c>
      <c r="E4297" s="8">
        <v>7060</v>
      </c>
      <c r="F4297" s="8">
        <v>91610</v>
      </c>
      <c r="G4297" s="8">
        <f t="shared" si="268"/>
        <v>646766600</v>
      </c>
      <c r="H4297" s="5">
        <v>0.3523</v>
      </c>
      <c r="I4297" s="8">
        <f t="shared" si="269"/>
        <v>646766600</v>
      </c>
      <c r="J4297" s="8">
        <f t="shared" si="270"/>
        <v>227855873.18</v>
      </c>
      <c r="K4297" t="str">
        <f t="shared" si="271"/>
        <v>MATCHED</v>
      </c>
    </row>
    <row r="4298" spans="1:11">
      <c r="A4298" t="s">
        <v>120</v>
      </c>
      <c r="B4298" t="s">
        <v>1629</v>
      </c>
      <c r="C4298" t="s">
        <v>1064</v>
      </c>
      <c r="D4298" t="s">
        <v>1065</v>
      </c>
      <c r="E4298" s="8">
        <v>3780</v>
      </c>
      <c r="F4298" s="8">
        <v>50930</v>
      </c>
      <c r="G4298" s="8">
        <f t="shared" si="268"/>
        <v>192515400</v>
      </c>
      <c r="H4298" s="5">
        <v>0.284</v>
      </c>
      <c r="I4298" s="8">
        <f t="shared" si="269"/>
        <v>192515400</v>
      </c>
      <c r="J4298" s="8">
        <f t="shared" si="270"/>
        <v>54674373.6</v>
      </c>
      <c r="K4298" t="str">
        <f t="shared" si="271"/>
        <v>MATCHED</v>
      </c>
    </row>
    <row r="4299" spans="1:11">
      <c r="A4299" t="s">
        <v>120</v>
      </c>
      <c r="B4299" t="s">
        <v>1629</v>
      </c>
      <c r="C4299" t="s">
        <v>898</v>
      </c>
      <c r="D4299" t="s">
        <v>899</v>
      </c>
      <c r="E4299" s="8">
        <v>780</v>
      </c>
      <c r="F4299" s="8">
        <v>70070</v>
      </c>
      <c r="G4299" s="8">
        <f t="shared" si="268"/>
        <v>54654600</v>
      </c>
      <c r="H4299" s="5">
        <v>0.1583</v>
      </c>
      <c r="I4299" s="8">
        <f t="shared" si="269"/>
        <v>54654600</v>
      </c>
      <c r="J4299" s="8">
        <f t="shared" si="270"/>
        <v>8651823.18</v>
      </c>
      <c r="K4299" t="str">
        <f t="shared" si="271"/>
        <v>MATCHED</v>
      </c>
    </row>
    <row r="4300" spans="1:11">
      <c r="A4300" t="s">
        <v>120</v>
      </c>
      <c r="B4300" t="s">
        <v>1629</v>
      </c>
      <c r="C4300" t="s">
        <v>900</v>
      </c>
      <c r="D4300" t="s">
        <v>901</v>
      </c>
      <c r="E4300" s="8">
        <v>6040</v>
      </c>
      <c r="F4300" s="8">
        <v>66640</v>
      </c>
      <c r="G4300" s="8">
        <f t="shared" si="268"/>
        <v>402505600</v>
      </c>
      <c r="H4300" s="5">
        <v>0.195</v>
      </c>
      <c r="I4300" s="8">
        <f t="shared" si="269"/>
        <v>402505600</v>
      </c>
      <c r="J4300" s="8">
        <f t="shared" si="270"/>
        <v>78488592</v>
      </c>
      <c r="K4300" t="str">
        <f t="shared" si="271"/>
        <v>MATCHED</v>
      </c>
    </row>
    <row r="4301" spans="1:11">
      <c r="A4301" t="s">
        <v>120</v>
      </c>
      <c r="B4301" t="s">
        <v>1629</v>
      </c>
      <c r="C4301" t="s">
        <v>1296</v>
      </c>
      <c r="D4301" t="s">
        <v>1297</v>
      </c>
      <c r="E4301" s="8">
        <v>1770</v>
      </c>
      <c r="F4301" s="8">
        <v>89170</v>
      </c>
      <c r="G4301" s="8">
        <f t="shared" si="268"/>
        <v>157830900</v>
      </c>
      <c r="H4301" s="5">
        <v>0.2</v>
      </c>
      <c r="I4301" s="8">
        <f t="shared" si="269"/>
        <v>157830900</v>
      </c>
      <c r="J4301" s="8">
        <f t="shared" si="270"/>
        <v>31566180</v>
      </c>
      <c r="K4301" t="str">
        <f t="shared" si="271"/>
        <v>MATCHED</v>
      </c>
    </row>
    <row r="4302" spans="1:11">
      <c r="A4302" t="s">
        <v>120</v>
      </c>
      <c r="B4302" t="s">
        <v>1629</v>
      </c>
      <c r="C4302" t="s">
        <v>732</v>
      </c>
      <c r="D4302" t="s">
        <v>733</v>
      </c>
      <c r="E4302" s="8">
        <v>50</v>
      </c>
      <c r="F4302" s="8">
        <v>60970</v>
      </c>
      <c r="G4302" s="8">
        <f t="shared" si="268"/>
        <v>3048500</v>
      </c>
      <c r="H4302" s="5">
        <v>0.0667</v>
      </c>
      <c r="I4302" s="8">
        <f t="shared" si="269"/>
        <v>3048500</v>
      </c>
      <c r="J4302" s="8">
        <f t="shared" si="270"/>
        <v>203334.95</v>
      </c>
      <c r="K4302" t="str">
        <f t="shared" si="271"/>
        <v>MATCHED</v>
      </c>
    </row>
    <row r="4303" spans="1:11">
      <c r="A4303" t="s">
        <v>120</v>
      </c>
      <c r="B4303" t="s">
        <v>1629</v>
      </c>
      <c r="C4303" t="s">
        <v>902</v>
      </c>
      <c r="D4303" t="s">
        <v>903</v>
      </c>
      <c r="E4303" s="8"/>
      <c r="F4303" s="8">
        <v>60110</v>
      </c>
      <c r="G4303" s="8" t="str">
        <f t="shared" si="268"/>
        <v/>
      </c>
      <c r="H4303" s="5">
        <v>0.2033</v>
      </c>
      <c r="I4303" s="8" t="str">
        <f t="shared" si="269"/>
        <v/>
      </c>
      <c r="J4303" s="8" t="str">
        <f t="shared" si="270"/>
        <v/>
      </c>
      <c r="K4303" t="str">
        <f t="shared" si="271"/>
        <v>MISSING OEWS</v>
      </c>
    </row>
    <row r="4304" spans="1:11">
      <c r="A4304" t="s">
        <v>120</v>
      </c>
      <c r="B4304" t="s">
        <v>1629</v>
      </c>
      <c r="C4304" t="s">
        <v>734</v>
      </c>
      <c r="D4304" t="s">
        <v>735</v>
      </c>
      <c r="E4304" s="8">
        <v>5110</v>
      </c>
      <c r="F4304" s="8">
        <v>73000</v>
      </c>
      <c r="G4304" s="8">
        <f t="shared" si="268"/>
        <v>373030000</v>
      </c>
      <c r="H4304" s="5">
        <v>0.19</v>
      </c>
      <c r="I4304" s="8">
        <f t="shared" si="269"/>
        <v>373030000</v>
      </c>
      <c r="J4304" s="8">
        <f t="shared" si="270"/>
        <v>70875700</v>
      </c>
      <c r="K4304" t="str">
        <f t="shared" si="271"/>
        <v>MATCHED</v>
      </c>
    </row>
    <row r="4305" spans="1:11">
      <c r="A4305" t="s">
        <v>120</v>
      </c>
      <c r="B4305" t="s">
        <v>1629</v>
      </c>
      <c r="C4305" t="s">
        <v>904</v>
      </c>
      <c r="D4305" t="s">
        <v>905</v>
      </c>
      <c r="E4305" s="8">
        <v>560</v>
      </c>
      <c r="F4305" s="8">
        <v>90700</v>
      </c>
      <c r="G4305" s="8">
        <f t="shared" si="268"/>
        <v>50792000</v>
      </c>
      <c r="H4305" s="5">
        <v>0.2219</v>
      </c>
      <c r="I4305" s="8">
        <f t="shared" si="269"/>
        <v>50792000</v>
      </c>
      <c r="J4305" s="8">
        <f t="shared" si="270"/>
        <v>11270744.8</v>
      </c>
      <c r="K4305" t="str">
        <f t="shared" si="271"/>
        <v>MATCHED</v>
      </c>
    </row>
    <row r="4306" spans="1:11">
      <c r="A4306" t="s">
        <v>120</v>
      </c>
      <c r="B4306" t="s">
        <v>1629</v>
      </c>
      <c r="C4306" t="s">
        <v>1298</v>
      </c>
      <c r="D4306" t="s">
        <v>1299</v>
      </c>
      <c r="E4306" s="8">
        <v>40</v>
      </c>
      <c r="F4306" s="8">
        <v>63190</v>
      </c>
      <c r="G4306" s="8">
        <f t="shared" si="268"/>
        <v>2527600</v>
      </c>
      <c r="H4306" s="5">
        <v>0.1583</v>
      </c>
      <c r="I4306" s="8">
        <f t="shared" si="269"/>
        <v>2527600</v>
      </c>
      <c r="J4306" s="8">
        <f t="shared" si="270"/>
        <v>400119.08</v>
      </c>
      <c r="K4306" t="str">
        <f t="shared" si="271"/>
        <v>MATCHED</v>
      </c>
    </row>
    <row r="4307" spans="1:11">
      <c r="A4307" t="s">
        <v>120</v>
      </c>
      <c r="B4307" t="s">
        <v>1629</v>
      </c>
      <c r="C4307" t="s">
        <v>1066</v>
      </c>
      <c r="D4307" t="s">
        <v>1067</v>
      </c>
      <c r="E4307" s="8">
        <v>1070</v>
      </c>
      <c r="F4307" s="8">
        <v>71140</v>
      </c>
      <c r="G4307" s="8">
        <f t="shared" si="268"/>
        <v>76119800</v>
      </c>
      <c r="H4307" s="5">
        <v>0.2591</v>
      </c>
      <c r="I4307" s="8">
        <f t="shared" si="269"/>
        <v>76119800</v>
      </c>
      <c r="J4307" s="8">
        <f t="shared" si="270"/>
        <v>19722640.18</v>
      </c>
      <c r="K4307" t="str">
        <f t="shared" si="271"/>
        <v>MATCHED</v>
      </c>
    </row>
    <row r="4308" spans="1:11">
      <c r="A4308" t="s">
        <v>120</v>
      </c>
      <c r="B4308" t="s">
        <v>1629</v>
      </c>
      <c r="C4308" t="s">
        <v>1068</v>
      </c>
      <c r="D4308" t="s">
        <v>1069</v>
      </c>
      <c r="E4308" s="8">
        <v>550</v>
      </c>
      <c r="F4308" s="8">
        <v>66850</v>
      </c>
      <c r="G4308" s="8">
        <f t="shared" si="268"/>
        <v>36767500</v>
      </c>
      <c r="H4308" s="5">
        <v>0.2219</v>
      </c>
      <c r="I4308" s="8">
        <f t="shared" si="269"/>
        <v>36767500</v>
      </c>
      <c r="J4308" s="8">
        <f t="shared" si="270"/>
        <v>8158708.25</v>
      </c>
      <c r="K4308" t="str">
        <f t="shared" si="271"/>
        <v>MATCHED</v>
      </c>
    </row>
    <row r="4309" spans="1:11">
      <c r="A4309" t="s">
        <v>120</v>
      </c>
      <c r="B4309" t="s">
        <v>1629</v>
      </c>
      <c r="C4309" t="s">
        <v>435</v>
      </c>
      <c r="D4309" t="s">
        <v>436</v>
      </c>
      <c r="E4309" s="8">
        <v>3100</v>
      </c>
      <c r="F4309" s="8">
        <v>85960</v>
      </c>
      <c r="G4309" s="8">
        <f t="shared" si="268"/>
        <v>266476000</v>
      </c>
      <c r="H4309" s="5">
        <v>0.0434</v>
      </c>
      <c r="I4309" s="8">
        <f t="shared" si="269"/>
        <v>266476000</v>
      </c>
      <c r="J4309" s="8">
        <f t="shared" si="270"/>
        <v>11565058.4</v>
      </c>
      <c r="K4309" t="str">
        <f t="shared" si="271"/>
        <v>MATCHED</v>
      </c>
    </row>
    <row r="4310" spans="1:11">
      <c r="A4310" t="s">
        <v>120</v>
      </c>
      <c r="B4310" t="s">
        <v>1629</v>
      </c>
      <c r="C4310" t="s">
        <v>1070</v>
      </c>
      <c r="D4310" t="s">
        <v>1071</v>
      </c>
      <c r="E4310" s="8"/>
      <c r="F4310" s="8">
        <v>41400</v>
      </c>
      <c r="G4310" s="8" t="str">
        <f t="shared" si="268"/>
        <v/>
      </c>
      <c r="H4310" s="5">
        <v>0.028</v>
      </c>
      <c r="I4310" s="8" t="str">
        <f t="shared" si="269"/>
        <v/>
      </c>
      <c r="J4310" s="8" t="str">
        <f t="shared" si="270"/>
        <v/>
      </c>
      <c r="K4310" t="str">
        <f t="shared" si="271"/>
        <v>MISSING OEWS</v>
      </c>
    </row>
    <row r="4311" spans="1:11">
      <c r="A4311" t="s">
        <v>120</v>
      </c>
      <c r="B4311" t="s">
        <v>1629</v>
      </c>
      <c r="C4311" t="s">
        <v>736</v>
      </c>
      <c r="D4311" t="s">
        <v>737</v>
      </c>
      <c r="E4311" s="8">
        <v>1830</v>
      </c>
      <c r="F4311" s="8">
        <v>62370</v>
      </c>
      <c r="G4311" s="8">
        <f t="shared" si="268"/>
        <v>114137100</v>
      </c>
      <c r="H4311" s="5">
        <v>0.0233</v>
      </c>
      <c r="I4311" s="8">
        <f t="shared" si="269"/>
        <v>114137100</v>
      </c>
      <c r="J4311" s="8">
        <f t="shared" si="270"/>
        <v>2659394.43</v>
      </c>
      <c r="K4311" t="str">
        <f t="shared" si="271"/>
        <v>MATCHED</v>
      </c>
    </row>
    <row r="4312" spans="1:11">
      <c r="A4312" t="s">
        <v>120</v>
      </c>
      <c r="B4312" t="s">
        <v>1629</v>
      </c>
      <c r="C4312" t="s">
        <v>437</v>
      </c>
      <c r="D4312" t="s">
        <v>438</v>
      </c>
      <c r="E4312" s="8">
        <v>1820</v>
      </c>
      <c r="F4312" s="8">
        <v>60690</v>
      </c>
      <c r="G4312" s="8">
        <f t="shared" si="268"/>
        <v>110455800</v>
      </c>
      <c r="H4312" s="5">
        <v>0</v>
      </c>
      <c r="I4312" s="8">
        <f t="shared" si="269"/>
        <v>110455800</v>
      </c>
      <c r="J4312" s="8">
        <f t="shared" si="270"/>
        <v>0</v>
      </c>
      <c r="K4312" t="str">
        <f t="shared" si="271"/>
        <v>MATCHED</v>
      </c>
    </row>
    <row r="4313" spans="1:11">
      <c r="A4313" t="s">
        <v>120</v>
      </c>
      <c r="B4313" t="s">
        <v>1629</v>
      </c>
      <c r="C4313" t="s">
        <v>439</v>
      </c>
      <c r="D4313" t="s">
        <v>440</v>
      </c>
      <c r="E4313" s="8">
        <v>220</v>
      </c>
      <c r="F4313" s="8">
        <v>79190</v>
      </c>
      <c r="G4313" s="8">
        <f t="shared" si="268"/>
        <v>17421800</v>
      </c>
      <c r="H4313" s="5">
        <v>0.1357</v>
      </c>
      <c r="I4313" s="8">
        <f t="shared" si="269"/>
        <v>17421800</v>
      </c>
      <c r="J4313" s="8">
        <f t="shared" si="270"/>
        <v>2364138.26</v>
      </c>
      <c r="K4313" t="str">
        <f t="shared" si="271"/>
        <v>MATCHED</v>
      </c>
    </row>
    <row r="4314" spans="1:11">
      <c r="A4314" t="s">
        <v>120</v>
      </c>
      <c r="B4314" t="s">
        <v>1629</v>
      </c>
      <c r="C4314" t="s">
        <v>441</v>
      </c>
      <c r="D4314" t="s">
        <v>442</v>
      </c>
      <c r="E4314" s="8">
        <v>1630</v>
      </c>
      <c r="F4314" s="8">
        <v>84640</v>
      </c>
      <c r="G4314" s="8">
        <f t="shared" si="268"/>
        <v>137963200</v>
      </c>
      <c r="H4314" s="5">
        <v>0.1425</v>
      </c>
      <c r="I4314" s="8">
        <f t="shared" si="269"/>
        <v>137963200</v>
      </c>
      <c r="J4314" s="8">
        <f t="shared" si="270"/>
        <v>19659756</v>
      </c>
      <c r="K4314" t="str">
        <f t="shared" si="271"/>
        <v>MATCHED</v>
      </c>
    </row>
    <row r="4315" spans="1:11">
      <c r="A4315" t="s">
        <v>120</v>
      </c>
      <c r="B4315" t="s">
        <v>1629</v>
      </c>
      <c r="C4315" t="s">
        <v>1300</v>
      </c>
      <c r="D4315" t="s">
        <v>1301</v>
      </c>
      <c r="E4315" s="8"/>
      <c r="F4315" s="8">
        <v>50080</v>
      </c>
      <c r="G4315" s="8" t="str">
        <f t="shared" si="268"/>
        <v/>
      </c>
      <c r="H4315" s="5">
        <v>0.0475</v>
      </c>
      <c r="I4315" s="8" t="str">
        <f t="shared" si="269"/>
        <v/>
      </c>
      <c r="J4315" s="8" t="str">
        <f t="shared" si="270"/>
        <v/>
      </c>
      <c r="K4315" t="str">
        <f t="shared" si="271"/>
        <v>MISSING OEWS</v>
      </c>
    </row>
    <row r="4316" spans="1:11">
      <c r="A4316" t="s">
        <v>120</v>
      </c>
      <c r="B4316" t="s">
        <v>1629</v>
      </c>
      <c r="C4316" t="s">
        <v>1074</v>
      </c>
      <c r="D4316" t="s">
        <v>1075</v>
      </c>
      <c r="E4316" s="8">
        <v>160</v>
      </c>
      <c r="F4316" s="8">
        <v>65840</v>
      </c>
      <c r="G4316" s="8">
        <f t="shared" si="268"/>
        <v>10534400</v>
      </c>
      <c r="H4316" s="5">
        <v>0.0731</v>
      </c>
      <c r="I4316" s="8">
        <f t="shared" si="269"/>
        <v>10534400</v>
      </c>
      <c r="J4316" s="8">
        <f t="shared" si="270"/>
        <v>770064.64</v>
      </c>
      <c r="K4316" t="str">
        <f t="shared" si="271"/>
        <v>MATCHED</v>
      </c>
    </row>
    <row r="4317" spans="1:11">
      <c r="A4317" t="s">
        <v>120</v>
      </c>
      <c r="B4317" t="s">
        <v>1629</v>
      </c>
      <c r="C4317" t="s">
        <v>1076</v>
      </c>
      <c r="D4317" t="s">
        <v>1077</v>
      </c>
      <c r="E4317" s="8">
        <v>80</v>
      </c>
      <c r="F4317" s="8">
        <v>50980</v>
      </c>
      <c r="G4317" s="8">
        <f t="shared" si="268"/>
        <v>4078400</v>
      </c>
      <c r="H4317" s="5">
        <v>0.1179</v>
      </c>
      <c r="I4317" s="8">
        <f t="shared" si="269"/>
        <v>4078400</v>
      </c>
      <c r="J4317" s="8">
        <f t="shared" si="270"/>
        <v>480843.36</v>
      </c>
      <c r="K4317" t="str">
        <f t="shared" si="271"/>
        <v>MATCHED</v>
      </c>
    </row>
    <row r="4318" spans="1:11">
      <c r="A4318" t="s">
        <v>120</v>
      </c>
      <c r="B4318" t="s">
        <v>1629</v>
      </c>
      <c r="C4318" t="s">
        <v>738</v>
      </c>
      <c r="D4318" t="s">
        <v>739</v>
      </c>
      <c r="E4318" s="8"/>
      <c r="F4318" s="8">
        <v>39170</v>
      </c>
      <c r="G4318" s="8" t="str">
        <f t="shared" si="268"/>
        <v/>
      </c>
      <c r="H4318" s="5">
        <v>0</v>
      </c>
      <c r="I4318" s="8" t="str">
        <f t="shared" si="269"/>
        <v/>
      </c>
      <c r="J4318" s="8" t="str">
        <f t="shared" si="270"/>
        <v/>
      </c>
      <c r="K4318" t="str">
        <f t="shared" si="271"/>
        <v>MISSING OEWS</v>
      </c>
    </row>
    <row r="4319" spans="1:11">
      <c r="A4319" t="s">
        <v>120</v>
      </c>
      <c r="B4319" t="s">
        <v>1629</v>
      </c>
      <c r="C4319" t="s">
        <v>740</v>
      </c>
      <c r="D4319" t="s">
        <v>741</v>
      </c>
      <c r="E4319" s="8">
        <v>360</v>
      </c>
      <c r="F4319" s="8">
        <v>63750</v>
      </c>
      <c r="G4319" s="8">
        <f t="shared" si="268"/>
        <v>22950000</v>
      </c>
      <c r="H4319" s="5">
        <v>0.0731</v>
      </c>
      <c r="I4319" s="8">
        <f t="shared" si="269"/>
        <v>22950000</v>
      </c>
      <c r="J4319" s="8">
        <f t="shared" si="270"/>
        <v>1677645</v>
      </c>
      <c r="K4319" t="str">
        <f t="shared" si="271"/>
        <v>MATCHED</v>
      </c>
    </row>
    <row r="4320" spans="1:11">
      <c r="A4320" t="s">
        <v>120</v>
      </c>
      <c r="B4320" t="s">
        <v>1629</v>
      </c>
      <c r="C4320" t="s">
        <v>443</v>
      </c>
      <c r="D4320" t="s">
        <v>444</v>
      </c>
      <c r="E4320" s="8">
        <v>2900</v>
      </c>
      <c r="F4320" s="8">
        <v>76580</v>
      </c>
      <c r="G4320" s="8">
        <f t="shared" si="268"/>
        <v>222082000</v>
      </c>
      <c r="H4320" s="5">
        <v>0.0867</v>
      </c>
      <c r="I4320" s="8">
        <f t="shared" si="269"/>
        <v>222082000</v>
      </c>
      <c r="J4320" s="8">
        <f t="shared" si="270"/>
        <v>19254509.4</v>
      </c>
      <c r="K4320" t="str">
        <f t="shared" si="271"/>
        <v>MATCHED</v>
      </c>
    </row>
    <row r="4321" spans="1:11">
      <c r="A4321" t="s">
        <v>120</v>
      </c>
      <c r="B4321" t="s">
        <v>1629</v>
      </c>
      <c r="C4321" t="s">
        <v>906</v>
      </c>
      <c r="D4321" t="s">
        <v>907</v>
      </c>
      <c r="E4321" s="8"/>
      <c r="F4321" s="8">
        <v>61600</v>
      </c>
      <c r="G4321" s="8" t="str">
        <f t="shared" si="268"/>
        <v/>
      </c>
      <c r="H4321" s="5">
        <v>0.1226</v>
      </c>
      <c r="I4321" s="8" t="str">
        <f t="shared" si="269"/>
        <v/>
      </c>
      <c r="J4321" s="8" t="str">
        <f t="shared" si="270"/>
        <v/>
      </c>
      <c r="K4321" t="str">
        <f t="shared" si="271"/>
        <v>MISSING OEWS</v>
      </c>
    </row>
    <row r="4322" spans="1:11">
      <c r="A4322" t="s">
        <v>120</v>
      </c>
      <c r="B4322" t="s">
        <v>1629</v>
      </c>
      <c r="C4322" t="s">
        <v>445</v>
      </c>
      <c r="D4322" t="s">
        <v>446</v>
      </c>
      <c r="E4322" s="8">
        <v>4310</v>
      </c>
      <c r="F4322" s="8">
        <v>72380</v>
      </c>
      <c r="G4322" s="8">
        <f t="shared" si="268"/>
        <v>311957800</v>
      </c>
      <c r="H4322" s="5">
        <v>0.25</v>
      </c>
      <c r="I4322" s="8">
        <f t="shared" si="269"/>
        <v>311957800</v>
      </c>
      <c r="J4322" s="8">
        <f t="shared" si="270"/>
        <v>77989450</v>
      </c>
      <c r="K4322" t="str">
        <f t="shared" si="271"/>
        <v>MATCHED</v>
      </c>
    </row>
    <row r="4323" spans="1:11">
      <c r="A4323" t="s">
        <v>120</v>
      </c>
      <c r="B4323" t="s">
        <v>1629</v>
      </c>
      <c r="C4323" t="s">
        <v>447</v>
      </c>
      <c r="D4323" t="s">
        <v>448</v>
      </c>
      <c r="E4323" s="8">
        <v>960</v>
      </c>
      <c r="F4323" s="8">
        <v>75530</v>
      </c>
      <c r="G4323" s="8">
        <f t="shared" si="268"/>
        <v>72508800</v>
      </c>
      <c r="H4323" s="5">
        <v>0.0528</v>
      </c>
      <c r="I4323" s="8">
        <f t="shared" si="269"/>
        <v>72508800</v>
      </c>
      <c r="J4323" s="8">
        <f t="shared" si="270"/>
        <v>3828464.64</v>
      </c>
      <c r="K4323" t="str">
        <f t="shared" si="271"/>
        <v>MATCHED</v>
      </c>
    </row>
    <row r="4324" spans="1:11">
      <c r="A4324" t="s">
        <v>120</v>
      </c>
      <c r="B4324" t="s">
        <v>1629</v>
      </c>
      <c r="C4324" t="s">
        <v>742</v>
      </c>
      <c r="D4324" t="s">
        <v>743</v>
      </c>
      <c r="E4324" s="8">
        <v>500</v>
      </c>
      <c r="F4324" s="8">
        <v>69670</v>
      </c>
      <c r="G4324" s="8">
        <f t="shared" si="268"/>
        <v>34835000</v>
      </c>
      <c r="H4324" s="5">
        <v>0</v>
      </c>
      <c r="I4324" s="8">
        <f t="shared" si="269"/>
        <v>34835000</v>
      </c>
      <c r="J4324" s="8">
        <f t="shared" si="270"/>
        <v>0</v>
      </c>
      <c r="K4324" t="str">
        <f t="shared" si="271"/>
        <v>MATCHED</v>
      </c>
    </row>
    <row r="4325" spans="1:11">
      <c r="A4325" t="s">
        <v>120</v>
      </c>
      <c r="B4325" t="s">
        <v>1629</v>
      </c>
      <c r="C4325" t="s">
        <v>744</v>
      </c>
      <c r="D4325" t="s">
        <v>745</v>
      </c>
      <c r="E4325" s="8">
        <v>260</v>
      </c>
      <c r="F4325" s="8">
        <v>70090</v>
      </c>
      <c r="G4325" s="8">
        <f t="shared" si="268"/>
        <v>18223400</v>
      </c>
      <c r="H4325" s="5">
        <v>0</v>
      </c>
      <c r="I4325" s="8">
        <f t="shared" si="269"/>
        <v>18223400</v>
      </c>
      <c r="J4325" s="8">
        <f t="shared" si="270"/>
        <v>0</v>
      </c>
      <c r="K4325" t="str">
        <f t="shared" si="271"/>
        <v>MATCHED</v>
      </c>
    </row>
    <row r="4326" spans="1:11">
      <c r="A4326" t="s">
        <v>120</v>
      </c>
      <c r="B4326" t="s">
        <v>1629</v>
      </c>
      <c r="C4326" t="s">
        <v>908</v>
      </c>
      <c r="D4326" t="s">
        <v>909</v>
      </c>
      <c r="E4326" s="8">
        <v>2490</v>
      </c>
      <c r="F4326" s="8">
        <v>57770</v>
      </c>
      <c r="G4326" s="8">
        <f t="shared" si="268"/>
        <v>143847300</v>
      </c>
      <c r="H4326" s="5">
        <v>0.0475</v>
      </c>
      <c r="I4326" s="8">
        <f t="shared" si="269"/>
        <v>143847300</v>
      </c>
      <c r="J4326" s="8">
        <f t="shared" si="270"/>
        <v>6832746.75</v>
      </c>
      <c r="K4326" t="str">
        <f t="shared" si="271"/>
        <v>MATCHED</v>
      </c>
    </row>
    <row r="4327" spans="1:11">
      <c r="A4327" t="s">
        <v>120</v>
      </c>
      <c r="B4327" t="s">
        <v>1629</v>
      </c>
      <c r="C4327" t="s">
        <v>1308</v>
      </c>
      <c r="D4327" t="s">
        <v>1309</v>
      </c>
      <c r="E4327" s="8"/>
      <c r="F4327" s="8">
        <v>52650</v>
      </c>
      <c r="G4327" s="8" t="str">
        <f t="shared" si="268"/>
        <v/>
      </c>
      <c r="H4327" s="5">
        <v>0.1733</v>
      </c>
      <c r="I4327" s="8" t="str">
        <f t="shared" si="269"/>
        <v/>
      </c>
      <c r="J4327" s="8" t="str">
        <f t="shared" si="270"/>
        <v/>
      </c>
      <c r="K4327" t="str">
        <f t="shared" si="271"/>
        <v>MISSING OEWS</v>
      </c>
    </row>
    <row r="4328" spans="1:11">
      <c r="A4328" t="s">
        <v>120</v>
      </c>
      <c r="B4328" t="s">
        <v>1629</v>
      </c>
      <c r="C4328" t="s">
        <v>1310</v>
      </c>
      <c r="D4328" t="s">
        <v>1311</v>
      </c>
      <c r="E4328" s="8">
        <v>1000</v>
      </c>
      <c r="F4328" s="8">
        <v>76970</v>
      </c>
      <c r="G4328" s="8">
        <f t="shared" si="268"/>
        <v>76970000</v>
      </c>
      <c r="H4328" s="5">
        <v>0.2368</v>
      </c>
      <c r="I4328" s="8">
        <f t="shared" si="269"/>
        <v>76970000</v>
      </c>
      <c r="J4328" s="8">
        <f t="shared" si="270"/>
        <v>18226496</v>
      </c>
      <c r="K4328" t="str">
        <f t="shared" si="271"/>
        <v>MATCHED</v>
      </c>
    </row>
    <row r="4329" spans="1:11">
      <c r="A4329" t="s">
        <v>120</v>
      </c>
      <c r="B4329" t="s">
        <v>1629</v>
      </c>
      <c r="C4329" t="s">
        <v>746</v>
      </c>
      <c r="D4329" t="s">
        <v>747</v>
      </c>
      <c r="E4329" s="8">
        <v>880</v>
      </c>
      <c r="F4329" s="8">
        <v>76480</v>
      </c>
      <c r="G4329" s="8">
        <f t="shared" si="268"/>
        <v>67302400</v>
      </c>
      <c r="H4329" s="5"/>
      <c r="I4329" s="8" t="str">
        <f t="shared" si="269"/>
        <v/>
      </c>
      <c r="J4329" s="8" t="str">
        <f t="shared" si="270"/>
        <v/>
      </c>
      <c r="K4329" t="str">
        <f t="shared" si="271"/>
        <v>MISSING WHARTON</v>
      </c>
    </row>
    <row r="4330" spans="1:11">
      <c r="A4330" t="s">
        <v>120</v>
      </c>
      <c r="B4330" t="s">
        <v>1629</v>
      </c>
      <c r="C4330" t="s">
        <v>449</v>
      </c>
      <c r="D4330" t="s">
        <v>450</v>
      </c>
      <c r="E4330" s="8">
        <v>26580</v>
      </c>
      <c r="F4330" s="8">
        <v>59920</v>
      </c>
      <c r="G4330" s="8">
        <f t="shared" si="268"/>
        <v>1592673600</v>
      </c>
      <c r="H4330" s="5">
        <v>0.0867</v>
      </c>
      <c r="I4330" s="8">
        <f t="shared" si="269"/>
        <v>1592673600</v>
      </c>
      <c r="J4330" s="8">
        <f t="shared" si="270"/>
        <v>138084801.12</v>
      </c>
      <c r="K4330" t="str">
        <f t="shared" si="271"/>
        <v>MATCHED</v>
      </c>
    </row>
    <row r="4331" spans="1:11">
      <c r="A4331" t="s">
        <v>120</v>
      </c>
      <c r="B4331" t="s">
        <v>1629</v>
      </c>
      <c r="C4331" t="s">
        <v>910</v>
      </c>
      <c r="D4331" t="s">
        <v>911</v>
      </c>
      <c r="E4331" s="8">
        <v>380</v>
      </c>
      <c r="F4331" s="8">
        <v>70630</v>
      </c>
      <c r="G4331" s="8">
        <f t="shared" si="268"/>
        <v>26839400</v>
      </c>
      <c r="H4331" s="5">
        <v>0</v>
      </c>
      <c r="I4331" s="8">
        <f t="shared" si="269"/>
        <v>26839400</v>
      </c>
      <c r="J4331" s="8">
        <f t="shared" si="270"/>
        <v>0</v>
      </c>
      <c r="K4331" t="str">
        <f t="shared" si="271"/>
        <v>MATCHED</v>
      </c>
    </row>
    <row r="4332" spans="1:11">
      <c r="A4332" t="s">
        <v>120</v>
      </c>
      <c r="B4332" t="s">
        <v>1629</v>
      </c>
      <c r="C4332" t="s">
        <v>1082</v>
      </c>
      <c r="D4332" t="s">
        <v>1083</v>
      </c>
      <c r="E4332" s="8"/>
      <c r="F4332" s="8">
        <v>61410</v>
      </c>
      <c r="G4332" s="8" t="str">
        <f t="shared" si="268"/>
        <v/>
      </c>
      <c r="H4332" s="5">
        <v>0.2868</v>
      </c>
      <c r="I4332" s="8" t="str">
        <f t="shared" si="269"/>
        <v/>
      </c>
      <c r="J4332" s="8" t="str">
        <f t="shared" si="270"/>
        <v/>
      </c>
      <c r="K4332" t="str">
        <f t="shared" si="271"/>
        <v>MISSING OEWS</v>
      </c>
    </row>
    <row r="4333" spans="1:11">
      <c r="A4333" t="s">
        <v>120</v>
      </c>
      <c r="B4333" t="s">
        <v>1629</v>
      </c>
      <c r="C4333" t="s">
        <v>1084</v>
      </c>
      <c r="D4333" t="s">
        <v>1085</v>
      </c>
      <c r="E4333" s="8">
        <v>240</v>
      </c>
      <c r="F4333" s="8">
        <v>79540</v>
      </c>
      <c r="G4333" s="8">
        <f t="shared" si="268"/>
        <v>19089600</v>
      </c>
      <c r="H4333" s="5">
        <v>0</v>
      </c>
      <c r="I4333" s="8">
        <f t="shared" si="269"/>
        <v>19089600</v>
      </c>
      <c r="J4333" s="8">
        <f t="shared" si="270"/>
        <v>0</v>
      </c>
      <c r="K4333" t="str">
        <f t="shared" si="271"/>
        <v>MATCHED</v>
      </c>
    </row>
    <row r="4334" spans="1:11">
      <c r="A4334" t="s">
        <v>120</v>
      </c>
      <c r="B4334" t="s">
        <v>1629</v>
      </c>
      <c r="C4334" t="s">
        <v>1086</v>
      </c>
      <c r="D4334" t="s">
        <v>1087</v>
      </c>
      <c r="E4334" s="8"/>
      <c r="F4334" s="8">
        <v>84200</v>
      </c>
      <c r="G4334" s="8" t="str">
        <f t="shared" si="268"/>
        <v/>
      </c>
      <c r="H4334" s="5">
        <v>0.0679</v>
      </c>
      <c r="I4334" s="8" t="str">
        <f t="shared" si="269"/>
        <v/>
      </c>
      <c r="J4334" s="8" t="str">
        <f t="shared" si="270"/>
        <v/>
      </c>
      <c r="K4334" t="str">
        <f t="shared" si="271"/>
        <v>MISSING OEWS</v>
      </c>
    </row>
    <row r="4335" spans="1:11">
      <c r="A4335" t="s">
        <v>120</v>
      </c>
      <c r="B4335" t="s">
        <v>1629</v>
      </c>
      <c r="C4335" t="s">
        <v>748</v>
      </c>
      <c r="D4335" t="s">
        <v>749</v>
      </c>
      <c r="E4335" s="8">
        <v>600</v>
      </c>
      <c r="F4335" s="8">
        <v>68120</v>
      </c>
      <c r="G4335" s="8">
        <f t="shared" si="268"/>
        <v>40872000</v>
      </c>
      <c r="H4335" s="5">
        <v>0</v>
      </c>
      <c r="I4335" s="8">
        <f t="shared" si="269"/>
        <v>40872000</v>
      </c>
      <c r="J4335" s="8">
        <f t="shared" si="270"/>
        <v>0</v>
      </c>
      <c r="K4335" t="str">
        <f t="shared" si="271"/>
        <v>MATCHED</v>
      </c>
    </row>
    <row r="4336" spans="1:11">
      <c r="A4336" t="s">
        <v>120</v>
      </c>
      <c r="B4336" t="s">
        <v>1629</v>
      </c>
      <c r="C4336" t="s">
        <v>451</v>
      </c>
      <c r="D4336" t="s">
        <v>452</v>
      </c>
      <c r="E4336" s="8">
        <v>770</v>
      </c>
      <c r="F4336" s="8">
        <v>45190</v>
      </c>
      <c r="G4336" s="8">
        <f t="shared" si="268"/>
        <v>34796300</v>
      </c>
      <c r="H4336" s="5">
        <v>0.0594</v>
      </c>
      <c r="I4336" s="8">
        <f t="shared" si="269"/>
        <v>34796300</v>
      </c>
      <c r="J4336" s="8">
        <f t="shared" si="270"/>
        <v>2066900.22</v>
      </c>
      <c r="K4336" t="str">
        <f t="shared" si="271"/>
        <v>MATCHED</v>
      </c>
    </row>
    <row r="4337" spans="1:11">
      <c r="A4337" t="s">
        <v>120</v>
      </c>
      <c r="B4337" t="s">
        <v>1629</v>
      </c>
      <c r="C4337" t="s">
        <v>453</v>
      </c>
      <c r="D4337" t="s">
        <v>454</v>
      </c>
      <c r="E4337" s="8">
        <v>7950</v>
      </c>
      <c r="F4337" s="8">
        <v>53100</v>
      </c>
      <c r="G4337" s="8">
        <f t="shared" si="268"/>
        <v>422145000</v>
      </c>
      <c r="H4337" s="5">
        <v>0.1667</v>
      </c>
      <c r="I4337" s="8">
        <f t="shared" si="269"/>
        <v>422145000</v>
      </c>
      <c r="J4337" s="8">
        <f t="shared" si="270"/>
        <v>70371571.5</v>
      </c>
      <c r="K4337" t="str">
        <f t="shared" si="271"/>
        <v>MATCHED</v>
      </c>
    </row>
    <row r="4338" spans="1:11">
      <c r="A4338" t="s">
        <v>120</v>
      </c>
      <c r="B4338" t="s">
        <v>1629</v>
      </c>
      <c r="C4338" t="s">
        <v>455</v>
      </c>
      <c r="D4338" t="s">
        <v>456</v>
      </c>
      <c r="E4338" s="8">
        <v>12750</v>
      </c>
      <c r="F4338" s="8">
        <v>83170</v>
      </c>
      <c r="G4338" s="8">
        <f t="shared" si="268"/>
        <v>1060417500</v>
      </c>
      <c r="H4338" s="5">
        <v>0.3775</v>
      </c>
      <c r="I4338" s="8">
        <f t="shared" si="269"/>
        <v>1060417500</v>
      </c>
      <c r="J4338" s="8">
        <f t="shared" si="270"/>
        <v>400307606.25</v>
      </c>
      <c r="K4338" t="str">
        <f t="shared" si="271"/>
        <v>MATCHED</v>
      </c>
    </row>
    <row r="4339" spans="1:11">
      <c r="A4339" t="s">
        <v>120</v>
      </c>
      <c r="B4339" t="s">
        <v>1629</v>
      </c>
      <c r="C4339" t="s">
        <v>1314</v>
      </c>
      <c r="D4339" t="s">
        <v>1315</v>
      </c>
      <c r="E4339" s="8">
        <v>540</v>
      </c>
      <c r="F4339" s="8">
        <v>84730</v>
      </c>
      <c r="G4339" s="8">
        <f t="shared" si="268"/>
        <v>45754200</v>
      </c>
      <c r="H4339" s="5">
        <v>0.0317</v>
      </c>
      <c r="I4339" s="8">
        <f t="shared" si="269"/>
        <v>45754200</v>
      </c>
      <c r="J4339" s="8">
        <f t="shared" si="270"/>
        <v>1450408.14</v>
      </c>
      <c r="K4339" t="str">
        <f t="shared" si="271"/>
        <v>MATCHED</v>
      </c>
    </row>
    <row r="4340" spans="1:11">
      <c r="A4340" t="s">
        <v>120</v>
      </c>
      <c r="B4340" t="s">
        <v>1629</v>
      </c>
      <c r="C4340" t="s">
        <v>912</v>
      </c>
      <c r="D4340" t="s">
        <v>913</v>
      </c>
      <c r="E4340" s="8">
        <v>6610</v>
      </c>
      <c r="F4340" s="8">
        <v>55920</v>
      </c>
      <c r="G4340" s="8">
        <f t="shared" si="268"/>
        <v>369631200</v>
      </c>
      <c r="H4340" s="5">
        <v>0.0559</v>
      </c>
      <c r="I4340" s="8">
        <f t="shared" si="269"/>
        <v>369631200</v>
      </c>
      <c r="J4340" s="8">
        <f t="shared" si="270"/>
        <v>20662384.08</v>
      </c>
      <c r="K4340" t="str">
        <f t="shared" si="271"/>
        <v>MATCHED</v>
      </c>
    </row>
    <row r="4341" spans="1:11">
      <c r="A4341" t="s">
        <v>120</v>
      </c>
      <c r="B4341" t="s">
        <v>1629</v>
      </c>
      <c r="C4341" t="s">
        <v>1318</v>
      </c>
      <c r="D4341" t="s">
        <v>1319</v>
      </c>
      <c r="E4341" s="8">
        <v>580</v>
      </c>
      <c r="F4341" s="8">
        <v>60220</v>
      </c>
      <c r="G4341" s="8">
        <f t="shared" si="268"/>
        <v>34927600</v>
      </c>
      <c r="H4341" s="5">
        <v>0.0583</v>
      </c>
      <c r="I4341" s="8">
        <f t="shared" si="269"/>
        <v>34927600</v>
      </c>
      <c r="J4341" s="8">
        <f t="shared" si="270"/>
        <v>2036279.08</v>
      </c>
      <c r="K4341" t="str">
        <f t="shared" si="271"/>
        <v>MATCHED</v>
      </c>
    </row>
    <row r="4342" spans="1:11">
      <c r="A4342" t="s">
        <v>120</v>
      </c>
      <c r="B4342" t="s">
        <v>1629</v>
      </c>
      <c r="C4342" t="s">
        <v>1092</v>
      </c>
      <c r="D4342" t="s">
        <v>1093</v>
      </c>
      <c r="E4342" s="8">
        <v>370</v>
      </c>
      <c r="F4342" s="8">
        <v>66770</v>
      </c>
      <c r="G4342" s="8">
        <f t="shared" si="268"/>
        <v>24704900</v>
      </c>
      <c r="H4342" s="5">
        <v>0</v>
      </c>
      <c r="I4342" s="8">
        <f t="shared" si="269"/>
        <v>24704900</v>
      </c>
      <c r="J4342" s="8">
        <f t="shared" si="270"/>
        <v>0</v>
      </c>
      <c r="K4342" t="str">
        <f t="shared" si="271"/>
        <v>MATCHED</v>
      </c>
    </row>
    <row r="4343" spans="1:11">
      <c r="A4343" t="s">
        <v>120</v>
      </c>
      <c r="B4343" t="s">
        <v>1629</v>
      </c>
      <c r="C4343" t="s">
        <v>1094</v>
      </c>
      <c r="D4343" t="s">
        <v>1095</v>
      </c>
      <c r="E4343" s="8"/>
      <c r="F4343" s="8">
        <v>49790</v>
      </c>
      <c r="G4343" s="8" t="str">
        <f t="shared" si="268"/>
        <v/>
      </c>
      <c r="H4343" s="5">
        <v>0</v>
      </c>
      <c r="I4343" s="8" t="str">
        <f t="shared" si="269"/>
        <v/>
      </c>
      <c r="J4343" s="8" t="str">
        <f t="shared" si="270"/>
        <v/>
      </c>
      <c r="K4343" t="str">
        <f t="shared" si="271"/>
        <v>MISSING OEWS</v>
      </c>
    </row>
    <row r="4344" spans="1:11">
      <c r="A4344" t="s">
        <v>120</v>
      </c>
      <c r="B4344" t="s">
        <v>1629</v>
      </c>
      <c r="C4344" t="s">
        <v>457</v>
      </c>
      <c r="D4344" t="s">
        <v>458</v>
      </c>
      <c r="E4344" s="8">
        <v>15860</v>
      </c>
      <c r="F4344" s="8">
        <v>48640</v>
      </c>
      <c r="G4344" s="8">
        <f t="shared" si="268"/>
        <v>771430400</v>
      </c>
      <c r="H4344" s="5">
        <v>0.15</v>
      </c>
      <c r="I4344" s="8">
        <f t="shared" si="269"/>
        <v>771430400</v>
      </c>
      <c r="J4344" s="8">
        <f t="shared" si="270"/>
        <v>115714560</v>
      </c>
      <c r="K4344" t="str">
        <f t="shared" si="271"/>
        <v>MATCHED</v>
      </c>
    </row>
    <row r="4345" spans="1:11">
      <c r="A4345" t="s">
        <v>120</v>
      </c>
      <c r="B4345" t="s">
        <v>1629</v>
      </c>
      <c r="C4345" t="s">
        <v>1322</v>
      </c>
      <c r="D4345" t="s">
        <v>1323</v>
      </c>
      <c r="E4345" s="8"/>
      <c r="F4345" s="8">
        <v>32820</v>
      </c>
      <c r="G4345" s="8" t="str">
        <f t="shared" si="268"/>
        <v/>
      </c>
      <c r="H4345" s="5">
        <v>0.1444</v>
      </c>
      <c r="I4345" s="8" t="str">
        <f t="shared" si="269"/>
        <v/>
      </c>
      <c r="J4345" s="8" t="str">
        <f t="shared" si="270"/>
        <v/>
      </c>
      <c r="K4345" t="str">
        <f t="shared" si="271"/>
        <v>MISSING OEWS</v>
      </c>
    </row>
    <row r="4346" spans="1:11">
      <c r="A4346" t="s">
        <v>120</v>
      </c>
      <c r="B4346" t="s">
        <v>1629</v>
      </c>
      <c r="C4346" t="s">
        <v>1100</v>
      </c>
      <c r="D4346" t="s">
        <v>1101</v>
      </c>
      <c r="E4346" s="8">
        <v>280</v>
      </c>
      <c r="F4346" s="8">
        <v>51490</v>
      </c>
      <c r="G4346" s="8">
        <f t="shared" si="268"/>
        <v>14417200</v>
      </c>
      <c r="H4346" s="5">
        <v>0.0297</v>
      </c>
      <c r="I4346" s="8">
        <f t="shared" si="269"/>
        <v>14417200</v>
      </c>
      <c r="J4346" s="8">
        <f t="shared" si="270"/>
        <v>428190.84</v>
      </c>
      <c r="K4346" t="str">
        <f t="shared" si="271"/>
        <v>MATCHED</v>
      </c>
    </row>
    <row r="4347" spans="1:11">
      <c r="A4347" t="s">
        <v>120</v>
      </c>
      <c r="B4347" t="s">
        <v>1629</v>
      </c>
      <c r="C4347" t="s">
        <v>752</v>
      </c>
      <c r="D4347" t="s">
        <v>753</v>
      </c>
      <c r="E4347" s="8">
        <v>100</v>
      </c>
      <c r="F4347" s="8">
        <v>54660</v>
      </c>
      <c r="G4347" s="8">
        <f t="shared" si="268"/>
        <v>5466000</v>
      </c>
      <c r="H4347" s="5">
        <v>0</v>
      </c>
      <c r="I4347" s="8">
        <f t="shared" si="269"/>
        <v>5466000</v>
      </c>
      <c r="J4347" s="8">
        <f t="shared" si="270"/>
        <v>0</v>
      </c>
      <c r="K4347" t="str">
        <f t="shared" si="271"/>
        <v>MATCHED</v>
      </c>
    </row>
    <row r="4348" spans="1:11">
      <c r="A4348" t="s">
        <v>120</v>
      </c>
      <c r="B4348" t="s">
        <v>1629</v>
      </c>
      <c r="C4348" t="s">
        <v>756</v>
      </c>
      <c r="D4348" t="s">
        <v>757</v>
      </c>
      <c r="E4348" s="8">
        <v>4100</v>
      </c>
      <c r="F4348" s="8">
        <v>72310</v>
      </c>
      <c r="G4348" s="8">
        <f t="shared" si="268"/>
        <v>296471000</v>
      </c>
      <c r="H4348" s="5">
        <v>0.0897</v>
      </c>
      <c r="I4348" s="8">
        <f t="shared" si="269"/>
        <v>296471000</v>
      </c>
      <c r="J4348" s="8">
        <f t="shared" si="270"/>
        <v>26593448.7</v>
      </c>
      <c r="K4348" t="str">
        <f t="shared" si="271"/>
        <v>MATCHED</v>
      </c>
    </row>
    <row r="4349" spans="1:11">
      <c r="A4349" t="s">
        <v>120</v>
      </c>
      <c r="B4349" t="s">
        <v>1629</v>
      </c>
      <c r="C4349" t="s">
        <v>1334</v>
      </c>
      <c r="D4349" t="s">
        <v>1335</v>
      </c>
      <c r="E4349" s="8">
        <v>800</v>
      </c>
      <c r="F4349" s="8">
        <v>70960</v>
      </c>
      <c r="G4349" s="8">
        <f t="shared" si="268"/>
        <v>56768000</v>
      </c>
      <c r="H4349" s="5">
        <v>0.0594</v>
      </c>
      <c r="I4349" s="8">
        <f t="shared" si="269"/>
        <v>56768000</v>
      </c>
      <c r="J4349" s="8">
        <f t="shared" si="270"/>
        <v>3372019.2</v>
      </c>
      <c r="K4349" t="str">
        <f t="shared" si="271"/>
        <v>MATCHED</v>
      </c>
    </row>
    <row r="4350" spans="1:11">
      <c r="A4350" t="s">
        <v>120</v>
      </c>
      <c r="B4350" t="s">
        <v>1629</v>
      </c>
      <c r="C4350" t="s">
        <v>1106</v>
      </c>
      <c r="D4350" t="s">
        <v>1107</v>
      </c>
      <c r="E4350" s="8">
        <v>310</v>
      </c>
      <c r="F4350" s="8">
        <v>46740</v>
      </c>
      <c r="G4350" s="8">
        <f t="shared" si="268"/>
        <v>14489400</v>
      </c>
      <c r="H4350" s="5">
        <v>0.0288</v>
      </c>
      <c r="I4350" s="8">
        <f t="shared" si="269"/>
        <v>14489400</v>
      </c>
      <c r="J4350" s="8">
        <f t="shared" si="270"/>
        <v>417294.72</v>
      </c>
      <c r="K4350" t="str">
        <f t="shared" si="271"/>
        <v>MATCHED</v>
      </c>
    </row>
    <row r="4351" spans="1:11">
      <c r="A4351" t="s">
        <v>120</v>
      </c>
      <c r="B4351" t="s">
        <v>1629</v>
      </c>
      <c r="C4351" t="s">
        <v>1108</v>
      </c>
      <c r="D4351" t="s">
        <v>1109</v>
      </c>
      <c r="E4351" s="8">
        <v>820</v>
      </c>
      <c r="F4351" s="8">
        <v>49290</v>
      </c>
      <c r="G4351" s="8">
        <f t="shared" si="268"/>
        <v>40417800</v>
      </c>
      <c r="H4351" s="5">
        <v>0.169</v>
      </c>
      <c r="I4351" s="8">
        <f t="shared" si="269"/>
        <v>40417800</v>
      </c>
      <c r="J4351" s="8">
        <f t="shared" si="270"/>
        <v>6830608.2</v>
      </c>
      <c r="K4351" t="str">
        <f t="shared" si="271"/>
        <v>MATCHED</v>
      </c>
    </row>
    <row r="4352" spans="1:11">
      <c r="A4352" t="s">
        <v>120</v>
      </c>
      <c r="B4352" t="s">
        <v>1629</v>
      </c>
      <c r="C4352" t="s">
        <v>760</v>
      </c>
      <c r="D4352" t="s">
        <v>761</v>
      </c>
      <c r="E4352" s="8">
        <v>300</v>
      </c>
      <c r="F4352" s="8">
        <v>77480</v>
      </c>
      <c r="G4352" s="8">
        <f t="shared" si="268"/>
        <v>23244000</v>
      </c>
      <c r="H4352" s="5">
        <v>0.0559</v>
      </c>
      <c r="I4352" s="8">
        <f t="shared" si="269"/>
        <v>23244000</v>
      </c>
      <c r="J4352" s="8">
        <f t="shared" si="270"/>
        <v>1299339.6</v>
      </c>
      <c r="K4352" t="str">
        <f t="shared" si="271"/>
        <v>MATCHED</v>
      </c>
    </row>
    <row r="4353" spans="1:11">
      <c r="A4353" t="s">
        <v>120</v>
      </c>
      <c r="B4353" t="s">
        <v>1629</v>
      </c>
      <c r="C4353" t="s">
        <v>465</v>
      </c>
      <c r="D4353" t="s">
        <v>466</v>
      </c>
      <c r="E4353" s="8">
        <v>3810</v>
      </c>
      <c r="F4353" s="8">
        <v>63100</v>
      </c>
      <c r="G4353" s="8">
        <f t="shared" si="268"/>
        <v>240411000</v>
      </c>
      <c r="H4353" s="5">
        <v>0.0233</v>
      </c>
      <c r="I4353" s="8">
        <f t="shared" si="269"/>
        <v>240411000</v>
      </c>
      <c r="J4353" s="8">
        <f t="shared" si="270"/>
        <v>5601576.3</v>
      </c>
      <c r="K4353" t="str">
        <f t="shared" si="271"/>
        <v>MATCHED</v>
      </c>
    </row>
    <row r="4354" spans="1:11">
      <c r="A4354" t="s">
        <v>120</v>
      </c>
      <c r="B4354" t="s">
        <v>1629</v>
      </c>
      <c r="C4354" t="s">
        <v>762</v>
      </c>
      <c r="D4354" t="s">
        <v>763</v>
      </c>
      <c r="E4354" s="8">
        <v>240</v>
      </c>
      <c r="F4354" s="8">
        <v>67100</v>
      </c>
      <c r="G4354" s="8">
        <f t="shared" ref="G4354:G4417" si="272">IF(OR(E4354="",F4354=""),"",E4354*F4354)</f>
        <v>16104000</v>
      </c>
      <c r="H4354" s="5">
        <v>0.0983</v>
      </c>
      <c r="I4354" s="8">
        <f t="shared" ref="I4354:I4417" si="273">IF(G4354="","",IF(ISNUMBER(H4354),G4354,""))</f>
        <v>16104000</v>
      </c>
      <c r="J4354" s="8">
        <f t="shared" ref="J4354:J4417" si="274">IF(I4354="","",I4354*H4354)</f>
        <v>1583023.2</v>
      </c>
      <c r="K4354" t="str">
        <f t="shared" ref="K4354:K4417" si="275">IF(G4354="","MISSING OEWS",IF(ISNUMBER(H4354),"MATCHED","MISSING WHARTON"))</f>
        <v>MATCHED</v>
      </c>
    </row>
    <row r="4355" spans="1:11">
      <c r="A4355" t="s">
        <v>120</v>
      </c>
      <c r="B4355" t="s">
        <v>1629</v>
      </c>
      <c r="C4355" t="s">
        <v>1340</v>
      </c>
      <c r="D4355" t="s">
        <v>1341</v>
      </c>
      <c r="E4355" s="8">
        <v>30</v>
      </c>
      <c r="F4355" s="8">
        <v>72570</v>
      </c>
      <c r="G4355" s="8">
        <f t="shared" si="272"/>
        <v>2177100</v>
      </c>
      <c r="H4355" s="5">
        <v>0.025</v>
      </c>
      <c r="I4355" s="8">
        <f t="shared" si="273"/>
        <v>2177100</v>
      </c>
      <c r="J4355" s="8">
        <f t="shared" si="274"/>
        <v>54427.5</v>
      </c>
      <c r="K4355" t="str">
        <f t="shared" si="275"/>
        <v>MATCHED</v>
      </c>
    </row>
    <row r="4356" spans="1:11">
      <c r="A4356" t="s">
        <v>120</v>
      </c>
      <c r="B4356" t="s">
        <v>1629</v>
      </c>
      <c r="C4356" t="s">
        <v>764</v>
      </c>
      <c r="D4356" t="s">
        <v>765</v>
      </c>
      <c r="E4356" s="8"/>
      <c r="F4356" s="8">
        <v>55760</v>
      </c>
      <c r="G4356" s="8" t="str">
        <f t="shared" si="272"/>
        <v/>
      </c>
      <c r="H4356" s="5"/>
      <c r="I4356" s="8" t="str">
        <f t="shared" si="273"/>
        <v/>
      </c>
      <c r="J4356" s="8" t="str">
        <f t="shared" si="274"/>
        <v/>
      </c>
      <c r="K4356" t="str">
        <f t="shared" si="275"/>
        <v>MISSING OEWS</v>
      </c>
    </row>
    <row r="4357" spans="1:11">
      <c r="A4357" t="s">
        <v>120</v>
      </c>
      <c r="B4357" t="s">
        <v>1629</v>
      </c>
      <c r="C4357" t="s">
        <v>1342</v>
      </c>
      <c r="D4357" t="s">
        <v>1343</v>
      </c>
      <c r="E4357" s="8">
        <v>1250</v>
      </c>
      <c r="F4357" s="8">
        <v>50380</v>
      </c>
      <c r="G4357" s="8">
        <f t="shared" si="272"/>
        <v>62975000</v>
      </c>
      <c r="H4357" s="5">
        <v>0.42</v>
      </c>
      <c r="I4357" s="8">
        <f t="shared" si="273"/>
        <v>62975000</v>
      </c>
      <c r="J4357" s="8">
        <f t="shared" si="274"/>
        <v>26449500</v>
      </c>
      <c r="K4357" t="str">
        <f t="shared" si="275"/>
        <v>MATCHED</v>
      </c>
    </row>
    <row r="4358" spans="1:11">
      <c r="A4358" t="s">
        <v>120</v>
      </c>
      <c r="B4358" t="s">
        <v>1629</v>
      </c>
      <c r="C4358" t="s">
        <v>1344</v>
      </c>
      <c r="D4358" t="s">
        <v>1345</v>
      </c>
      <c r="E4358" s="8">
        <v>12500</v>
      </c>
      <c r="F4358" s="8">
        <v>43930</v>
      </c>
      <c r="G4358" s="8">
        <f t="shared" si="272"/>
        <v>549125000</v>
      </c>
      <c r="H4358" s="5">
        <v>0.3348</v>
      </c>
      <c r="I4358" s="8">
        <f t="shared" si="273"/>
        <v>549125000</v>
      </c>
      <c r="J4358" s="8">
        <f t="shared" si="274"/>
        <v>183847050</v>
      </c>
      <c r="K4358" t="str">
        <f t="shared" si="275"/>
        <v>MATCHED</v>
      </c>
    </row>
    <row r="4359" spans="1:11">
      <c r="A4359" t="s">
        <v>120</v>
      </c>
      <c r="B4359" t="s">
        <v>1629</v>
      </c>
      <c r="C4359" t="s">
        <v>1346</v>
      </c>
      <c r="D4359" t="s">
        <v>1347</v>
      </c>
      <c r="E4359" s="8">
        <v>1080</v>
      </c>
      <c r="F4359" s="8">
        <v>41350</v>
      </c>
      <c r="G4359" s="8">
        <f t="shared" si="272"/>
        <v>44658000</v>
      </c>
      <c r="H4359" s="5">
        <v>0.0385</v>
      </c>
      <c r="I4359" s="8">
        <f t="shared" si="273"/>
        <v>44658000</v>
      </c>
      <c r="J4359" s="8">
        <f t="shared" si="274"/>
        <v>1719333</v>
      </c>
      <c r="K4359" t="str">
        <f t="shared" si="275"/>
        <v>MATCHED</v>
      </c>
    </row>
    <row r="4360" spans="1:11">
      <c r="A4360" t="s">
        <v>120</v>
      </c>
      <c r="B4360" t="s">
        <v>1629</v>
      </c>
      <c r="C4360" t="s">
        <v>1116</v>
      </c>
      <c r="D4360" t="s">
        <v>1117</v>
      </c>
      <c r="E4360" s="8"/>
      <c r="F4360" s="8">
        <v>35250</v>
      </c>
      <c r="G4360" s="8" t="str">
        <f t="shared" si="272"/>
        <v/>
      </c>
      <c r="H4360" s="5">
        <v>0</v>
      </c>
      <c r="I4360" s="8" t="str">
        <f t="shared" si="273"/>
        <v/>
      </c>
      <c r="J4360" s="8" t="str">
        <f t="shared" si="274"/>
        <v/>
      </c>
      <c r="K4360" t="str">
        <f t="shared" si="275"/>
        <v>MISSING OEWS</v>
      </c>
    </row>
    <row r="4361" spans="1:11">
      <c r="A4361" t="s">
        <v>120</v>
      </c>
      <c r="B4361" t="s">
        <v>1629</v>
      </c>
      <c r="C4361" t="s">
        <v>1348</v>
      </c>
      <c r="D4361" t="s">
        <v>1349</v>
      </c>
      <c r="E4361" s="8"/>
      <c r="F4361" s="8">
        <v>36060</v>
      </c>
      <c r="G4361" s="8" t="str">
        <f t="shared" si="272"/>
        <v/>
      </c>
      <c r="H4361" s="5">
        <v>0</v>
      </c>
      <c r="I4361" s="8" t="str">
        <f t="shared" si="273"/>
        <v/>
      </c>
      <c r="J4361" s="8" t="str">
        <f t="shared" si="274"/>
        <v/>
      </c>
      <c r="K4361" t="str">
        <f t="shared" si="275"/>
        <v>MISSING OEWS</v>
      </c>
    </row>
    <row r="4362" spans="1:11">
      <c r="A4362" t="s">
        <v>120</v>
      </c>
      <c r="B4362" t="s">
        <v>1629</v>
      </c>
      <c r="C4362" t="s">
        <v>1118</v>
      </c>
      <c r="D4362" t="s">
        <v>1119</v>
      </c>
      <c r="E4362" s="8">
        <v>2290</v>
      </c>
      <c r="F4362" s="8">
        <v>40510</v>
      </c>
      <c r="G4362" s="8">
        <f t="shared" si="272"/>
        <v>92767900</v>
      </c>
      <c r="H4362" s="5">
        <v>0.0365</v>
      </c>
      <c r="I4362" s="8">
        <f t="shared" si="273"/>
        <v>92767900</v>
      </c>
      <c r="J4362" s="8">
        <f t="shared" si="274"/>
        <v>3386028.35</v>
      </c>
      <c r="K4362" t="str">
        <f t="shared" si="275"/>
        <v>MATCHED</v>
      </c>
    </row>
    <row r="4363" spans="1:11">
      <c r="A4363" t="s">
        <v>120</v>
      </c>
      <c r="B4363" t="s">
        <v>1629</v>
      </c>
      <c r="C4363" t="s">
        <v>1354</v>
      </c>
      <c r="D4363" t="s">
        <v>1355</v>
      </c>
      <c r="E4363" s="8">
        <v>60</v>
      </c>
      <c r="F4363" s="8">
        <v>37700</v>
      </c>
      <c r="G4363" s="8">
        <f t="shared" si="272"/>
        <v>2262000</v>
      </c>
      <c r="H4363" s="5">
        <v>0</v>
      </c>
      <c r="I4363" s="8">
        <f t="shared" si="273"/>
        <v>2262000</v>
      </c>
      <c r="J4363" s="8">
        <f t="shared" si="274"/>
        <v>0</v>
      </c>
      <c r="K4363" t="str">
        <f t="shared" si="275"/>
        <v>MATCHED</v>
      </c>
    </row>
    <row r="4364" spans="1:11">
      <c r="A4364" t="s">
        <v>120</v>
      </c>
      <c r="B4364" t="s">
        <v>1629</v>
      </c>
      <c r="C4364" t="s">
        <v>1356</v>
      </c>
      <c r="D4364" t="s">
        <v>1357</v>
      </c>
      <c r="E4364" s="8">
        <v>110</v>
      </c>
      <c r="F4364" s="8">
        <v>49050</v>
      </c>
      <c r="G4364" s="8">
        <f t="shared" si="272"/>
        <v>5395500</v>
      </c>
      <c r="H4364" s="5">
        <v>0.0432</v>
      </c>
      <c r="I4364" s="8">
        <f t="shared" si="273"/>
        <v>5395500</v>
      </c>
      <c r="J4364" s="8">
        <f t="shared" si="274"/>
        <v>233085.6</v>
      </c>
      <c r="K4364" t="str">
        <f t="shared" si="275"/>
        <v>MATCHED</v>
      </c>
    </row>
    <row r="4365" spans="1:11">
      <c r="A4365" t="s">
        <v>120</v>
      </c>
      <c r="B4365" t="s">
        <v>1629</v>
      </c>
      <c r="C4365" t="s">
        <v>1368</v>
      </c>
      <c r="D4365" t="s">
        <v>1369</v>
      </c>
      <c r="E4365" s="8">
        <v>70</v>
      </c>
      <c r="F4365" s="8">
        <v>53630</v>
      </c>
      <c r="G4365" s="8">
        <f t="shared" si="272"/>
        <v>3754100</v>
      </c>
      <c r="H4365" s="5">
        <v>0.1625</v>
      </c>
      <c r="I4365" s="8">
        <f t="shared" si="273"/>
        <v>3754100</v>
      </c>
      <c r="J4365" s="8">
        <f t="shared" si="274"/>
        <v>610041.25</v>
      </c>
      <c r="K4365" t="str">
        <f t="shared" si="275"/>
        <v>MATCHED</v>
      </c>
    </row>
    <row r="4366" spans="1:11">
      <c r="A4366" t="s">
        <v>120</v>
      </c>
      <c r="B4366" t="s">
        <v>1629</v>
      </c>
      <c r="C4366" t="s">
        <v>1120</v>
      </c>
      <c r="D4366" t="s">
        <v>1121</v>
      </c>
      <c r="E4366" s="8"/>
      <c r="F4366" s="8">
        <v>46560</v>
      </c>
      <c r="G4366" s="8" t="str">
        <f t="shared" si="272"/>
        <v/>
      </c>
      <c r="H4366" s="5">
        <v>0.0432</v>
      </c>
      <c r="I4366" s="8" t="str">
        <f t="shared" si="273"/>
        <v/>
      </c>
      <c r="J4366" s="8" t="str">
        <f t="shared" si="274"/>
        <v/>
      </c>
      <c r="K4366" t="str">
        <f t="shared" si="275"/>
        <v>MISSING OEWS</v>
      </c>
    </row>
    <row r="4367" spans="1:11">
      <c r="A4367" t="s">
        <v>120</v>
      </c>
      <c r="B4367" t="s">
        <v>1629</v>
      </c>
      <c r="C4367" t="s">
        <v>1370</v>
      </c>
      <c r="D4367" t="s">
        <v>1371</v>
      </c>
      <c r="E4367" s="8">
        <v>120</v>
      </c>
      <c r="F4367" s="8">
        <v>34380</v>
      </c>
      <c r="G4367" s="8">
        <f t="shared" si="272"/>
        <v>4125600</v>
      </c>
      <c r="H4367" s="5"/>
      <c r="I4367" s="8" t="str">
        <f t="shared" si="273"/>
        <v/>
      </c>
      <c r="J4367" s="8" t="str">
        <f t="shared" si="274"/>
        <v/>
      </c>
      <c r="K4367" t="str">
        <f t="shared" si="275"/>
        <v>MISSING WHARTON</v>
      </c>
    </row>
    <row r="4368" spans="1:11">
      <c r="A4368" t="s">
        <v>120</v>
      </c>
      <c r="B4368" t="s">
        <v>1629</v>
      </c>
      <c r="C4368" t="s">
        <v>1122</v>
      </c>
      <c r="D4368" t="s">
        <v>1123</v>
      </c>
      <c r="E4368" s="8">
        <v>350</v>
      </c>
      <c r="F4368" s="8">
        <v>64720</v>
      </c>
      <c r="G4368" s="8">
        <f t="shared" si="272"/>
        <v>22652000</v>
      </c>
      <c r="H4368" s="5">
        <v>0.13</v>
      </c>
      <c r="I4368" s="8">
        <f t="shared" si="273"/>
        <v>22652000</v>
      </c>
      <c r="J4368" s="8">
        <f t="shared" si="274"/>
        <v>2944760</v>
      </c>
      <c r="K4368" t="str">
        <f t="shared" si="275"/>
        <v>MATCHED</v>
      </c>
    </row>
    <row r="4369" spans="1:11">
      <c r="A4369" t="s">
        <v>120</v>
      </c>
      <c r="B4369" t="s">
        <v>1629</v>
      </c>
      <c r="C4369" t="s">
        <v>766</v>
      </c>
      <c r="D4369" t="s">
        <v>767</v>
      </c>
      <c r="E4369" s="8">
        <v>880</v>
      </c>
      <c r="F4369" s="8">
        <v>77130</v>
      </c>
      <c r="G4369" s="8">
        <f t="shared" si="272"/>
        <v>67874400</v>
      </c>
      <c r="H4369" s="5">
        <v>0.1618</v>
      </c>
      <c r="I4369" s="8">
        <f t="shared" si="273"/>
        <v>67874400</v>
      </c>
      <c r="J4369" s="8">
        <f t="shared" si="274"/>
        <v>10982077.92</v>
      </c>
      <c r="K4369" t="str">
        <f t="shared" si="275"/>
        <v>MATCHED</v>
      </c>
    </row>
    <row r="4370" spans="1:11">
      <c r="A4370" t="s">
        <v>120</v>
      </c>
      <c r="B4370" t="s">
        <v>1629</v>
      </c>
      <c r="C4370" t="s">
        <v>768</v>
      </c>
      <c r="D4370" t="s">
        <v>769</v>
      </c>
      <c r="E4370" s="8">
        <v>340</v>
      </c>
      <c r="F4370" s="8">
        <v>85860</v>
      </c>
      <c r="G4370" s="8">
        <f t="shared" si="272"/>
        <v>29192400</v>
      </c>
      <c r="H4370" s="5">
        <v>0.104</v>
      </c>
      <c r="I4370" s="8">
        <f t="shared" si="273"/>
        <v>29192400</v>
      </c>
      <c r="J4370" s="8">
        <f t="shared" si="274"/>
        <v>3036009.6</v>
      </c>
      <c r="K4370" t="str">
        <f t="shared" si="275"/>
        <v>MATCHED</v>
      </c>
    </row>
    <row r="4371" spans="1:11">
      <c r="A4371" t="s">
        <v>120</v>
      </c>
      <c r="B4371" t="s">
        <v>1629</v>
      </c>
      <c r="C4371" t="s">
        <v>770</v>
      </c>
      <c r="D4371" t="s">
        <v>771</v>
      </c>
      <c r="E4371" s="8">
        <v>1780</v>
      </c>
      <c r="F4371" s="8">
        <v>61920</v>
      </c>
      <c r="G4371" s="8">
        <f t="shared" si="272"/>
        <v>110217600</v>
      </c>
      <c r="H4371" s="5">
        <v>0.1188</v>
      </c>
      <c r="I4371" s="8">
        <f t="shared" si="273"/>
        <v>110217600</v>
      </c>
      <c r="J4371" s="8">
        <f t="shared" si="274"/>
        <v>13093850.88</v>
      </c>
      <c r="K4371" t="str">
        <f t="shared" si="275"/>
        <v>MATCHED</v>
      </c>
    </row>
    <row r="4372" spans="1:11">
      <c r="A4372" t="s">
        <v>120</v>
      </c>
      <c r="B4372" t="s">
        <v>1629</v>
      </c>
      <c r="C4372" t="s">
        <v>772</v>
      </c>
      <c r="D4372" t="s">
        <v>773</v>
      </c>
      <c r="E4372" s="8">
        <v>820</v>
      </c>
      <c r="F4372" s="8">
        <v>71930</v>
      </c>
      <c r="G4372" s="8">
        <f t="shared" si="272"/>
        <v>58982600</v>
      </c>
      <c r="H4372" s="5">
        <v>0.1</v>
      </c>
      <c r="I4372" s="8">
        <f t="shared" si="273"/>
        <v>58982600</v>
      </c>
      <c r="J4372" s="8">
        <f t="shared" si="274"/>
        <v>5898260</v>
      </c>
      <c r="K4372" t="str">
        <f t="shared" si="275"/>
        <v>MATCHED</v>
      </c>
    </row>
    <row r="4373" spans="1:11">
      <c r="A4373" t="s">
        <v>120</v>
      </c>
      <c r="B4373" t="s">
        <v>1629</v>
      </c>
      <c r="C4373" t="s">
        <v>776</v>
      </c>
      <c r="D4373" t="s">
        <v>777</v>
      </c>
      <c r="E4373" s="8">
        <v>70</v>
      </c>
      <c r="F4373" s="8">
        <v>87940</v>
      </c>
      <c r="G4373" s="8">
        <f t="shared" si="272"/>
        <v>6155800</v>
      </c>
      <c r="H4373" s="5">
        <v>0.1583</v>
      </c>
      <c r="I4373" s="8">
        <f t="shared" si="273"/>
        <v>6155800</v>
      </c>
      <c r="J4373" s="8">
        <f t="shared" si="274"/>
        <v>974463.14</v>
      </c>
      <c r="K4373" t="str">
        <f t="shared" si="275"/>
        <v>MATCHED</v>
      </c>
    </row>
    <row r="4374" spans="1:11">
      <c r="A4374" t="s">
        <v>120</v>
      </c>
      <c r="B4374" t="s">
        <v>1629</v>
      </c>
      <c r="C4374" t="s">
        <v>778</v>
      </c>
      <c r="D4374" t="s">
        <v>779</v>
      </c>
      <c r="E4374" s="8">
        <v>70</v>
      </c>
      <c r="F4374" s="8">
        <v>71300</v>
      </c>
      <c r="G4374" s="8">
        <f t="shared" si="272"/>
        <v>4991000</v>
      </c>
      <c r="H4374" s="5">
        <v>0.1</v>
      </c>
      <c r="I4374" s="8">
        <f t="shared" si="273"/>
        <v>4991000</v>
      </c>
      <c r="J4374" s="8">
        <f t="shared" si="274"/>
        <v>499100</v>
      </c>
      <c r="K4374" t="str">
        <f t="shared" si="275"/>
        <v>MATCHED</v>
      </c>
    </row>
    <row r="4375" spans="1:11">
      <c r="A4375" t="s">
        <v>120</v>
      </c>
      <c r="B4375" t="s">
        <v>1629</v>
      </c>
      <c r="C4375" t="s">
        <v>1378</v>
      </c>
      <c r="D4375" t="s">
        <v>1379</v>
      </c>
      <c r="E4375" s="8">
        <v>670</v>
      </c>
      <c r="F4375" s="8">
        <v>71140</v>
      </c>
      <c r="G4375" s="8">
        <f t="shared" si="272"/>
        <v>47663800</v>
      </c>
      <c r="H4375" s="5">
        <v>0.113</v>
      </c>
      <c r="I4375" s="8">
        <f t="shared" si="273"/>
        <v>47663800</v>
      </c>
      <c r="J4375" s="8">
        <f t="shared" si="274"/>
        <v>5386009.4</v>
      </c>
      <c r="K4375" t="str">
        <f t="shared" si="275"/>
        <v>MATCHED</v>
      </c>
    </row>
    <row r="4376" spans="1:11">
      <c r="A4376" t="s">
        <v>120</v>
      </c>
      <c r="B4376" t="s">
        <v>1629</v>
      </c>
      <c r="C4376" t="s">
        <v>469</v>
      </c>
      <c r="D4376" t="s">
        <v>470</v>
      </c>
      <c r="E4376" s="8">
        <v>440</v>
      </c>
      <c r="F4376" s="8">
        <v>60760</v>
      </c>
      <c r="G4376" s="8">
        <f t="shared" si="272"/>
        <v>26734400</v>
      </c>
      <c r="H4376" s="5">
        <v>0.0452</v>
      </c>
      <c r="I4376" s="8">
        <f t="shared" si="273"/>
        <v>26734400</v>
      </c>
      <c r="J4376" s="8">
        <f t="shared" si="274"/>
        <v>1208394.88</v>
      </c>
      <c r="K4376" t="str">
        <f t="shared" si="275"/>
        <v>MATCHED</v>
      </c>
    </row>
    <row r="4377" spans="1:11">
      <c r="A4377" t="s">
        <v>120</v>
      </c>
      <c r="B4377" t="s">
        <v>1629</v>
      </c>
      <c r="C4377" t="s">
        <v>471</v>
      </c>
      <c r="D4377" t="s">
        <v>472</v>
      </c>
      <c r="E4377" s="8">
        <v>120</v>
      </c>
      <c r="F4377" s="8">
        <v>57740</v>
      </c>
      <c r="G4377" s="8">
        <f t="shared" si="272"/>
        <v>6928800</v>
      </c>
      <c r="H4377" s="5">
        <v>0.0864</v>
      </c>
      <c r="I4377" s="8">
        <f t="shared" si="273"/>
        <v>6928800</v>
      </c>
      <c r="J4377" s="8">
        <f t="shared" si="274"/>
        <v>598648.32</v>
      </c>
      <c r="K4377" t="str">
        <f t="shared" si="275"/>
        <v>MATCHED</v>
      </c>
    </row>
    <row r="4378" spans="1:11">
      <c r="A4378" t="s">
        <v>120</v>
      </c>
      <c r="B4378" t="s">
        <v>1629</v>
      </c>
      <c r="C4378" t="s">
        <v>473</v>
      </c>
      <c r="D4378" t="s">
        <v>474</v>
      </c>
      <c r="E4378" s="8">
        <v>510</v>
      </c>
      <c r="F4378" s="8">
        <v>58650</v>
      </c>
      <c r="G4378" s="8">
        <f t="shared" si="272"/>
        <v>29911500</v>
      </c>
      <c r="H4378" s="5">
        <v>0.1026</v>
      </c>
      <c r="I4378" s="8">
        <f t="shared" si="273"/>
        <v>29911500</v>
      </c>
      <c r="J4378" s="8">
        <f t="shared" si="274"/>
        <v>3068919.9</v>
      </c>
      <c r="K4378" t="str">
        <f t="shared" si="275"/>
        <v>MATCHED</v>
      </c>
    </row>
    <row r="4379" spans="1:11">
      <c r="A4379" t="s">
        <v>120</v>
      </c>
      <c r="B4379" t="s">
        <v>1629</v>
      </c>
      <c r="C4379" t="s">
        <v>477</v>
      </c>
      <c r="D4379" t="s">
        <v>478</v>
      </c>
      <c r="E4379" s="8">
        <v>40</v>
      </c>
      <c r="F4379" s="8">
        <v>49160</v>
      </c>
      <c r="G4379" s="8">
        <f t="shared" si="272"/>
        <v>1966400</v>
      </c>
      <c r="H4379" s="5">
        <v>0.0339</v>
      </c>
      <c r="I4379" s="8">
        <f t="shared" si="273"/>
        <v>1966400</v>
      </c>
      <c r="J4379" s="8">
        <f t="shared" si="274"/>
        <v>66660.96</v>
      </c>
      <c r="K4379" t="str">
        <f t="shared" si="275"/>
        <v>MATCHED</v>
      </c>
    </row>
    <row r="4380" spans="1:11">
      <c r="A4380" t="s">
        <v>120</v>
      </c>
      <c r="B4380" t="s">
        <v>1629</v>
      </c>
      <c r="C4380" t="s">
        <v>479</v>
      </c>
      <c r="D4380" t="s">
        <v>480</v>
      </c>
      <c r="E4380" s="8">
        <v>60</v>
      </c>
      <c r="F4380" s="8">
        <v>45090</v>
      </c>
      <c r="G4380" s="8">
        <f t="shared" si="272"/>
        <v>2705400</v>
      </c>
      <c r="H4380" s="5">
        <v>0.0679</v>
      </c>
      <c r="I4380" s="8">
        <f t="shared" si="273"/>
        <v>2705400</v>
      </c>
      <c r="J4380" s="8">
        <f t="shared" si="274"/>
        <v>183696.66</v>
      </c>
      <c r="K4380" t="str">
        <f t="shared" si="275"/>
        <v>MATCHED</v>
      </c>
    </row>
    <row r="4381" spans="1:11">
      <c r="A4381" t="s">
        <v>120</v>
      </c>
      <c r="B4381" t="s">
        <v>1629</v>
      </c>
      <c r="C4381" t="s">
        <v>481</v>
      </c>
      <c r="D4381" t="s">
        <v>482</v>
      </c>
      <c r="E4381" s="8">
        <v>57860</v>
      </c>
      <c r="F4381" s="8">
        <v>59710</v>
      </c>
      <c r="G4381" s="8">
        <f t="shared" si="272"/>
        <v>3454820600</v>
      </c>
      <c r="H4381" s="5">
        <v>0.2969</v>
      </c>
      <c r="I4381" s="8">
        <f t="shared" si="273"/>
        <v>3454820600</v>
      </c>
      <c r="J4381" s="8">
        <f t="shared" si="274"/>
        <v>1025736236.14</v>
      </c>
      <c r="K4381" t="str">
        <f t="shared" si="275"/>
        <v>MATCHED</v>
      </c>
    </row>
    <row r="4382" spans="1:11">
      <c r="A4382" t="s">
        <v>120</v>
      </c>
      <c r="B4382" t="s">
        <v>1629</v>
      </c>
      <c r="C4382" t="s">
        <v>1380</v>
      </c>
      <c r="D4382" t="s">
        <v>1381</v>
      </c>
      <c r="E4382" s="8">
        <v>460</v>
      </c>
      <c r="F4382" s="8">
        <v>62240</v>
      </c>
      <c r="G4382" s="8">
        <f t="shared" si="272"/>
        <v>28630400</v>
      </c>
      <c r="H4382" s="5">
        <v>0.0924</v>
      </c>
      <c r="I4382" s="8">
        <f t="shared" si="273"/>
        <v>28630400</v>
      </c>
      <c r="J4382" s="8">
        <f t="shared" si="274"/>
        <v>2645448.96</v>
      </c>
      <c r="K4382" t="str">
        <f t="shared" si="275"/>
        <v>MATCHED</v>
      </c>
    </row>
    <row r="4383" spans="1:11">
      <c r="A4383" t="s">
        <v>120</v>
      </c>
      <c r="B4383" t="s">
        <v>1629</v>
      </c>
      <c r="C4383" t="s">
        <v>1382</v>
      </c>
      <c r="D4383" t="s">
        <v>1383</v>
      </c>
      <c r="E4383" s="8">
        <v>30</v>
      </c>
      <c r="F4383" s="8">
        <v>45740</v>
      </c>
      <c r="G4383" s="8">
        <f t="shared" si="272"/>
        <v>1372200</v>
      </c>
      <c r="H4383" s="5">
        <v>0</v>
      </c>
      <c r="I4383" s="8">
        <f t="shared" si="273"/>
        <v>1372200</v>
      </c>
      <c r="J4383" s="8">
        <f t="shared" si="274"/>
        <v>0</v>
      </c>
      <c r="K4383" t="str">
        <f t="shared" si="275"/>
        <v>MATCHED</v>
      </c>
    </row>
    <row r="4384" spans="1:11">
      <c r="A4384" t="s">
        <v>120</v>
      </c>
      <c r="B4384" t="s">
        <v>1629</v>
      </c>
      <c r="C4384" t="s">
        <v>483</v>
      </c>
      <c r="D4384" t="s">
        <v>484</v>
      </c>
      <c r="E4384" s="8">
        <v>1630</v>
      </c>
      <c r="F4384" s="8">
        <v>48940</v>
      </c>
      <c r="G4384" s="8">
        <f t="shared" si="272"/>
        <v>79772200</v>
      </c>
      <c r="H4384" s="5">
        <v>0.0475</v>
      </c>
      <c r="I4384" s="8">
        <f t="shared" si="273"/>
        <v>79772200</v>
      </c>
      <c r="J4384" s="8">
        <f t="shared" si="274"/>
        <v>3789179.5</v>
      </c>
      <c r="K4384" t="str">
        <f t="shared" si="275"/>
        <v>MATCHED</v>
      </c>
    </row>
    <row r="4385" spans="1:11">
      <c r="A4385" t="s">
        <v>120</v>
      </c>
      <c r="B4385" t="s">
        <v>1629</v>
      </c>
      <c r="C4385" t="s">
        <v>1130</v>
      </c>
      <c r="D4385" t="s">
        <v>1131</v>
      </c>
      <c r="E4385" s="8">
        <v>360</v>
      </c>
      <c r="F4385" s="8">
        <v>48820</v>
      </c>
      <c r="G4385" s="8">
        <f t="shared" si="272"/>
        <v>17575200</v>
      </c>
      <c r="H4385" s="5">
        <v>0</v>
      </c>
      <c r="I4385" s="8">
        <f t="shared" si="273"/>
        <v>17575200</v>
      </c>
      <c r="J4385" s="8">
        <f t="shared" si="274"/>
        <v>0</v>
      </c>
      <c r="K4385" t="str">
        <f t="shared" si="275"/>
        <v>MATCHED</v>
      </c>
    </row>
    <row r="4386" spans="1:11">
      <c r="A4386" t="s">
        <v>120</v>
      </c>
      <c r="B4386" t="s">
        <v>1629</v>
      </c>
      <c r="C4386" t="s">
        <v>782</v>
      </c>
      <c r="D4386" t="s">
        <v>783</v>
      </c>
      <c r="E4386" s="8">
        <v>870</v>
      </c>
      <c r="F4386" s="8">
        <v>64090</v>
      </c>
      <c r="G4386" s="8">
        <f t="shared" si="272"/>
        <v>55758300</v>
      </c>
      <c r="H4386" s="5">
        <v>0.0317</v>
      </c>
      <c r="I4386" s="8">
        <f t="shared" si="273"/>
        <v>55758300</v>
      </c>
      <c r="J4386" s="8">
        <f t="shared" si="274"/>
        <v>1767538.11</v>
      </c>
      <c r="K4386" t="str">
        <f t="shared" si="275"/>
        <v>MATCHED</v>
      </c>
    </row>
    <row r="4387" spans="1:11">
      <c r="A4387" t="s">
        <v>120</v>
      </c>
      <c r="B4387" t="s">
        <v>1629</v>
      </c>
      <c r="C4387" t="s">
        <v>1388</v>
      </c>
      <c r="D4387" t="s">
        <v>1389</v>
      </c>
      <c r="E4387" s="8">
        <v>300</v>
      </c>
      <c r="F4387" s="8">
        <v>75070</v>
      </c>
      <c r="G4387" s="8">
        <f t="shared" si="272"/>
        <v>22521000</v>
      </c>
      <c r="H4387" s="5">
        <v>0.1875</v>
      </c>
      <c r="I4387" s="8">
        <f t="shared" si="273"/>
        <v>22521000</v>
      </c>
      <c r="J4387" s="8">
        <f t="shared" si="274"/>
        <v>4222687.5</v>
      </c>
      <c r="K4387" t="str">
        <f t="shared" si="275"/>
        <v>MATCHED</v>
      </c>
    </row>
    <row r="4388" spans="1:11">
      <c r="A4388" t="s">
        <v>120</v>
      </c>
      <c r="B4388" t="s">
        <v>1629</v>
      </c>
      <c r="C4388" t="s">
        <v>1390</v>
      </c>
      <c r="D4388" t="s">
        <v>1391</v>
      </c>
      <c r="E4388" s="8">
        <v>2330</v>
      </c>
      <c r="F4388" s="8">
        <v>45040</v>
      </c>
      <c r="G4388" s="8">
        <f t="shared" si="272"/>
        <v>104943200</v>
      </c>
      <c r="H4388" s="5">
        <v>0.5391</v>
      </c>
      <c r="I4388" s="8">
        <f t="shared" si="273"/>
        <v>104943200</v>
      </c>
      <c r="J4388" s="8">
        <f t="shared" si="274"/>
        <v>56574879.12</v>
      </c>
      <c r="K4388" t="str">
        <f t="shared" si="275"/>
        <v>MATCHED</v>
      </c>
    </row>
    <row r="4389" spans="1:11">
      <c r="A4389" t="s">
        <v>120</v>
      </c>
      <c r="B4389" t="s">
        <v>1629</v>
      </c>
      <c r="C4389" t="s">
        <v>784</v>
      </c>
      <c r="D4389" t="s">
        <v>785</v>
      </c>
      <c r="E4389" s="8">
        <v>1560</v>
      </c>
      <c r="F4389" s="8">
        <v>63430</v>
      </c>
      <c r="G4389" s="8">
        <f t="shared" si="272"/>
        <v>98950800</v>
      </c>
      <c r="H4389" s="5">
        <v>0.2111</v>
      </c>
      <c r="I4389" s="8">
        <f t="shared" si="273"/>
        <v>98950800</v>
      </c>
      <c r="J4389" s="8">
        <f t="shared" si="274"/>
        <v>20888513.88</v>
      </c>
      <c r="K4389" t="str">
        <f t="shared" si="275"/>
        <v>MATCHED</v>
      </c>
    </row>
    <row r="4390" spans="1:11">
      <c r="A4390" t="s">
        <v>120</v>
      </c>
      <c r="B4390" t="s">
        <v>1629</v>
      </c>
      <c r="C4390" t="s">
        <v>1132</v>
      </c>
      <c r="D4390" t="s">
        <v>1133</v>
      </c>
      <c r="E4390" s="8">
        <v>840</v>
      </c>
      <c r="F4390" s="8">
        <v>79360</v>
      </c>
      <c r="G4390" s="8">
        <f t="shared" si="272"/>
        <v>66662400</v>
      </c>
      <c r="H4390" s="5">
        <v>0.5938</v>
      </c>
      <c r="I4390" s="8">
        <f t="shared" si="273"/>
        <v>66662400</v>
      </c>
      <c r="J4390" s="8">
        <f t="shared" si="274"/>
        <v>39584133.12</v>
      </c>
      <c r="K4390" t="str">
        <f t="shared" si="275"/>
        <v>MATCHED</v>
      </c>
    </row>
    <row r="4391" spans="1:11">
      <c r="A4391" t="s">
        <v>120</v>
      </c>
      <c r="B4391" t="s">
        <v>1629</v>
      </c>
      <c r="C4391" t="s">
        <v>485</v>
      </c>
      <c r="D4391" t="s">
        <v>486</v>
      </c>
      <c r="E4391" s="8">
        <v>40</v>
      </c>
      <c r="F4391" s="8">
        <v>48160</v>
      </c>
      <c r="G4391" s="8">
        <f t="shared" si="272"/>
        <v>1926400</v>
      </c>
      <c r="H4391" s="5">
        <v>0.0864</v>
      </c>
      <c r="I4391" s="8">
        <f t="shared" si="273"/>
        <v>1926400</v>
      </c>
      <c r="J4391" s="8">
        <f t="shared" si="274"/>
        <v>166440.96</v>
      </c>
      <c r="K4391" t="str">
        <f t="shared" si="275"/>
        <v>MATCHED</v>
      </c>
    </row>
    <row r="4392" spans="1:11">
      <c r="A4392" t="s">
        <v>120</v>
      </c>
      <c r="B4392" t="s">
        <v>1629</v>
      </c>
      <c r="C4392" t="s">
        <v>1396</v>
      </c>
      <c r="D4392" t="s">
        <v>1397</v>
      </c>
      <c r="E4392" s="8">
        <v>290</v>
      </c>
      <c r="F4392" s="8">
        <v>42930</v>
      </c>
      <c r="G4392" s="8">
        <f t="shared" si="272"/>
        <v>12449700</v>
      </c>
      <c r="H4392" s="5">
        <v>0.0633</v>
      </c>
      <c r="I4392" s="8">
        <f t="shared" si="273"/>
        <v>12449700</v>
      </c>
      <c r="J4392" s="8">
        <f t="shared" si="274"/>
        <v>788066.01</v>
      </c>
      <c r="K4392" t="str">
        <f t="shared" si="275"/>
        <v>MATCHED</v>
      </c>
    </row>
    <row r="4393" spans="1:11">
      <c r="A4393" t="s">
        <v>120</v>
      </c>
      <c r="B4393" t="s">
        <v>1629</v>
      </c>
      <c r="C4393" t="s">
        <v>786</v>
      </c>
      <c r="D4393" t="s">
        <v>787</v>
      </c>
      <c r="E4393" s="8"/>
      <c r="F4393" s="8">
        <v>50020</v>
      </c>
      <c r="G4393" s="8" t="str">
        <f t="shared" si="272"/>
        <v/>
      </c>
      <c r="H4393" s="5">
        <v>0.0125</v>
      </c>
      <c r="I4393" s="8" t="str">
        <f t="shared" si="273"/>
        <v/>
      </c>
      <c r="J4393" s="8" t="str">
        <f t="shared" si="274"/>
        <v/>
      </c>
      <c r="K4393" t="str">
        <f t="shared" si="275"/>
        <v>MISSING OEWS</v>
      </c>
    </row>
    <row r="4394" spans="1:11">
      <c r="A4394" t="s">
        <v>120</v>
      </c>
      <c r="B4394" t="s">
        <v>1629</v>
      </c>
      <c r="C4394" t="s">
        <v>487</v>
      </c>
      <c r="D4394" t="s">
        <v>488</v>
      </c>
      <c r="E4394" s="8">
        <v>70</v>
      </c>
      <c r="F4394" s="8">
        <v>48100</v>
      </c>
      <c r="G4394" s="8">
        <f t="shared" si="272"/>
        <v>3367000</v>
      </c>
      <c r="H4394" s="5">
        <v>0</v>
      </c>
      <c r="I4394" s="8">
        <f t="shared" si="273"/>
        <v>3367000</v>
      </c>
      <c r="J4394" s="8">
        <f t="shared" si="274"/>
        <v>0</v>
      </c>
      <c r="K4394" t="str">
        <f t="shared" si="275"/>
        <v>MATCHED</v>
      </c>
    </row>
    <row r="4395" spans="1:11">
      <c r="A4395" t="s">
        <v>120</v>
      </c>
      <c r="B4395" t="s">
        <v>1629</v>
      </c>
      <c r="C4395" t="s">
        <v>489</v>
      </c>
      <c r="D4395" t="s">
        <v>490</v>
      </c>
      <c r="E4395" s="8">
        <v>2770</v>
      </c>
      <c r="F4395" s="8">
        <v>40800</v>
      </c>
      <c r="G4395" s="8">
        <f t="shared" si="272"/>
        <v>113016000</v>
      </c>
      <c r="H4395" s="5">
        <v>0.0838</v>
      </c>
      <c r="I4395" s="8">
        <f t="shared" si="273"/>
        <v>113016000</v>
      </c>
      <c r="J4395" s="8">
        <f t="shared" si="274"/>
        <v>9470740.8</v>
      </c>
      <c r="K4395" t="str">
        <f t="shared" si="275"/>
        <v>MATCHED</v>
      </c>
    </row>
    <row r="4396" spans="1:11">
      <c r="A4396" t="s">
        <v>120</v>
      </c>
      <c r="B4396" t="s">
        <v>1629</v>
      </c>
      <c r="C4396" t="s">
        <v>491</v>
      </c>
      <c r="D4396" t="s">
        <v>492</v>
      </c>
      <c r="E4396" s="8">
        <v>4950</v>
      </c>
      <c r="F4396" s="8">
        <v>50550</v>
      </c>
      <c r="G4396" s="8">
        <f t="shared" si="272"/>
        <v>250222500</v>
      </c>
      <c r="H4396" s="5"/>
      <c r="I4396" s="8" t="str">
        <f t="shared" si="273"/>
        <v/>
      </c>
      <c r="J4396" s="8" t="str">
        <f t="shared" si="274"/>
        <v/>
      </c>
      <c r="K4396" t="str">
        <f t="shared" si="275"/>
        <v>MISSING WHARTON</v>
      </c>
    </row>
    <row r="4397" spans="1:11">
      <c r="A4397" t="s">
        <v>120</v>
      </c>
      <c r="B4397" t="s">
        <v>1629</v>
      </c>
      <c r="C4397" t="s">
        <v>493</v>
      </c>
      <c r="D4397" t="s">
        <v>494</v>
      </c>
      <c r="E4397" s="8">
        <v>6530</v>
      </c>
      <c r="F4397" s="8">
        <v>71120</v>
      </c>
      <c r="G4397" s="8">
        <f t="shared" si="272"/>
        <v>464413600</v>
      </c>
      <c r="H4397" s="5">
        <v>0.3429</v>
      </c>
      <c r="I4397" s="8">
        <f t="shared" si="273"/>
        <v>464413600</v>
      </c>
      <c r="J4397" s="8">
        <f t="shared" si="274"/>
        <v>159247423.44</v>
      </c>
      <c r="K4397" t="str">
        <f t="shared" si="275"/>
        <v>MATCHED</v>
      </c>
    </row>
    <row r="4398" spans="1:11">
      <c r="A4398" t="s">
        <v>120</v>
      </c>
      <c r="B4398" t="s">
        <v>1629</v>
      </c>
      <c r="C4398" t="s">
        <v>1402</v>
      </c>
      <c r="D4398" t="s">
        <v>1403</v>
      </c>
      <c r="E4398" s="8">
        <v>100</v>
      </c>
      <c r="F4398" s="8">
        <v>146030</v>
      </c>
      <c r="G4398" s="8">
        <f t="shared" si="272"/>
        <v>14603000</v>
      </c>
      <c r="H4398" s="5">
        <v>0.5423</v>
      </c>
      <c r="I4398" s="8">
        <f t="shared" si="273"/>
        <v>14603000</v>
      </c>
      <c r="J4398" s="8">
        <f t="shared" si="274"/>
        <v>7919206.9</v>
      </c>
      <c r="K4398" t="str">
        <f t="shared" si="275"/>
        <v>MATCHED</v>
      </c>
    </row>
    <row r="4399" spans="1:11">
      <c r="A4399" t="s">
        <v>120</v>
      </c>
      <c r="B4399" t="s">
        <v>1629</v>
      </c>
      <c r="C4399" t="s">
        <v>495</v>
      </c>
      <c r="D4399" t="s">
        <v>496</v>
      </c>
      <c r="E4399" s="8">
        <v>2720</v>
      </c>
      <c r="F4399" s="8">
        <v>140730</v>
      </c>
      <c r="G4399" s="8">
        <f t="shared" si="272"/>
        <v>382785600</v>
      </c>
      <c r="H4399" s="5">
        <v>0.3558</v>
      </c>
      <c r="I4399" s="8">
        <f t="shared" si="273"/>
        <v>382785600</v>
      </c>
      <c r="J4399" s="8">
        <f t="shared" si="274"/>
        <v>136195116.48</v>
      </c>
      <c r="K4399" t="str">
        <f t="shared" si="275"/>
        <v>MATCHED</v>
      </c>
    </row>
    <row r="4400" spans="1:11">
      <c r="A4400" t="s">
        <v>120</v>
      </c>
      <c r="B4400" t="s">
        <v>1629</v>
      </c>
      <c r="C4400" t="s">
        <v>1547</v>
      </c>
      <c r="D4400" t="s">
        <v>1548</v>
      </c>
      <c r="E4400" s="8"/>
      <c r="F4400" s="8">
        <v>162980</v>
      </c>
      <c r="G4400" s="8" t="str">
        <f t="shared" si="272"/>
        <v/>
      </c>
      <c r="H4400" s="5">
        <v>0.5261</v>
      </c>
      <c r="I4400" s="8" t="str">
        <f t="shared" si="273"/>
        <v/>
      </c>
      <c r="J4400" s="8" t="str">
        <f t="shared" si="274"/>
        <v/>
      </c>
      <c r="K4400" t="str">
        <f t="shared" si="275"/>
        <v>MISSING OEWS</v>
      </c>
    </row>
    <row r="4401" spans="1:11">
      <c r="A4401" t="s">
        <v>120</v>
      </c>
      <c r="B4401" t="s">
        <v>1629</v>
      </c>
      <c r="C4401" t="s">
        <v>1404</v>
      </c>
      <c r="D4401" t="s">
        <v>1405</v>
      </c>
      <c r="E4401" s="8"/>
      <c r="F4401" s="8">
        <v>95880</v>
      </c>
      <c r="G4401" s="8" t="str">
        <f t="shared" si="272"/>
        <v/>
      </c>
      <c r="H4401" s="5">
        <v>0.35</v>
      </c>
      <c r="I4401" s="8" t="str">
        <f t="shared" si="273"/>
        <v/>
      </c>
      <c r="J4401" s="8" t="str">
        <f t="shared" si="274"/>
        <v/>
      </c>
      <c r="K4401" t="str">
        <f t="shared" si="275"/>
        <v>MISSING OEWS</v>
      </c>
    </row>
    <row r="4402" spans="1:11">
      <c r="A4402" t="s">
        <v>120</v>
      </c>
      <c r="B4402" t="s">
        <v>1629</v>
      </c>
      <c r="C4402" t="s">
        <v>497</v>
      </c>
      <c r="D4402" t="s">
        <v>498</v>
      </c>
      <c r="E4402" s="8">
        <v>450</v>
      </c>
      <c r="F4402" s="8">
        <v>41940</v>
      </c>
      <c r="G4402" s="8">
        <f t="shared" si="272"/>
        <v>18873000</v>
      </c>
      <c r="H4402" s="5">
        <v>0.3167</v>
      </c>
      <c r="I4402" s="8">
        <f t="shared" si="273"/>
        <v>18873000</v>
      </c>
      <c r="J4402" s="8">
        <f t="shared" si="274"/>
        <v>5977079.1</v>
      </c>
      <c r="K4402" t="str">
        <f t="shared" si="275"/>
        <v>MATCHED</v>
      </c>
    </row>
    <row r="4403" spans="1:11">
      <c r="A4403" t="s">
        <v>120</v>
      </c>
      <c r="B4403" t="s">
        <v>1629</v>
      </c>
      <c r="C4403" t="s">
        <v>499</v>
      </c>
      <c r="D4403" t="s">
        <v>500</v>
      </c>
      <c r="E4403" s="8">
        <v>19370</v>
      </c>
      <c r="F4403" s="8">
        <v>58290</v>
      </c>
      <c r="G4403" s="8">
        <f t="shared" si="272"/>
        <v>1129077300</v>
      </c>
      <c r="H4403" s="5">
        <v>0.2065</v>
      </c>
      <c r="I4403" s="8">
        <f t="shared" si="273"/>
        <v>1129077300</v>
      </c>
      <c r="J4403" s="8">
        <f t="shared" si="274"/>
        <v>233154462.45</v>
      </c>
      <c r="K4403" t="str">
        <f t="shared" si="275"/>
        <v>MATCHED</v>
      </c>
    </row>
    <row r="4404" spans="1:11">
      <c r="A4404" t="s">
        <v>120</v>
      </c>
      <c r="B4404" t="s">
        <v>1629</v>
      </c>
      <c r="C4404" t="s">
        <v>501</v>
      </c>
      <c r="D4404" t="s">
        <v>502</v>
      </c>
      <c r="E4404" s="8">
        <v>12310</v>
      </c>
      <c r="F4404" s="8">
        <v>45100</v>
      </c>
      <c r="G4404" s="8">
        <f t="shared" si="272"/>
        <v>555181000</v>
      </c>
      <c r="H4404" s="5">
        <v>0.3393</v>
      </c>
      <c r="I4404" s="8">
        <f t="shared" si="273"/>
        <v>555181000</v>
      </c>
      <c r="J4404" s="8">
        <f t="shared" si="274"/>
        <v>188372913.3</v>
      </c>
      <c r="K4404" t="str">
        <f t="shared" si="275"/>
        <v>MATCHED</v>
      </c>
    </row>
    <row r="4405" spans="1:11">
      <c r="A4405" t="s">
        <v>120</v>
      </c>
      <c r="B4405" t="s">
        <v>1629</v>
      </c>
      <c r="C4405" t="s">
        <v>503</v>
      </c>
      <c r="D4405" t="s">
        <v>504</v>
      </c>
      <c r="E4405" s="8">
        <v>780</v>
      </c>
      <c r="F4405" s="8">
        <v>56190</v>
      </c>
      <c r="G4405" s="8">
        <f t="shared" si="272"/>
        <v>43828200</v>
      </c>
      <c r="H4405" s="5">
        <v>0.3288</v>
      </c>
      <c r="I4405" s="8">
        <f t="shared" si="273"/>
        <v>43828200</v>
      </c>
      <c r="J4405" s="8">
        <f t="shared" si="274"/>
        <v>14410712.16</v>
      </c>
      <c r="K4405" t="str">
        <f t="shared" si="275"/>
        <v>MATCHED</v>
      </c>
    </row>
    <row r="4406" spans="1:11">
      <c r="A4406" t="s">
        <v>120</v>
      </c>
      <c r="B4406" t="s">
        <v>1629</v>
      </c>
      <c r="C4406" t="s">
        <v>1134</v>
      </c>
      <c r="D4406" t="s">
        <v>1135</v>
      </c>
      <c r="E4406" s="8">
        <v>840</v>
      </c>
      <c r="F4406" s="8">
        <v>38200</v>
      </c>
      <c r="G4406" s="8">
        <f t="shared" si="272"/>
        <v>32088000</v>
      </c>
      <c r="H4406" s="5"/>
      <c r="I4406" s="8" t="str">
        <f t="shared" si="273"/>
        <v/>
      </c>
      <c r="J4406" s="8" t="str">
        <f t="shared" si="274"/>
        <v/>
      </c>
      <c r="K4406" t="str">
        <f t="shared" si="275"/>
        <v>MISSING WHARTON</v>
      </c>
    </row>
    <row r="4407" spans="1:11">
      <c r="A4407" t="s">
        <v>120</v>
      </c>
      <c r="B4407" t="s">
        <v>1629</v>
      </c>
      <c r="C4407" t="s">
        <v>792</v>
      </c>
      <c r="D4407" t="s">
        <v>793</v>
      </c>
      <c r="E4407" s="8"/>
      <c r="F4407" s="8">
        <v>52830</v>
      </c>
      <c r="G4407" s="8" t="str">
        <f t="shared" si="272"/>
        <v/>
      </c>
      <c r="H4407" s="5">
        <v>0.3977</v>
      </c>
      <c r="I4407" s="8" t="str">
        <f t="shared" si="273"/>
        <v/>
      </c>
      <c r="J4407" s="8" t="str">
        <f t="shared" si="274"/>
        <v/>
      </c>
      <c r="K4407" t="str">
        <f t="shared" si="275"/>
        <v>MISSING OEWS</v>
      </c>
    </row>
    <row r="4408" spans="1:11">
      <c r="A4408" t="s">
        <v>120</v>
      </c>
      <c r="B4408" t="s">
        <v>1629</v>
      </c>
      <c r="C4408" t="s">
        <v>796</v>
      </c>
      <c r="D4408" t="s">
        <v>797</v>
      </c>
      <c r="E4408" s="8">
        <v>320</v>
      </c>
      <c r="F4408" s="8">
        <v>59560</v>
      </c>
      <c r="G4408" s="8">
        <f t="shared" si="272"/>
        <v>19059200</v>
      </c>
      <c r="H4408" s="5">
        <v>0.1018</v>
      </c>
      <c r="I4408" s="8">
        <f t="shared" si="273"/>
        <v>19059200</v>
      </c>
      <c r="J4408" s="8">
        <f t="shared" si="274"/>
        <v>1940226.56</v>
      </c>
      <c r="K4408" t="str">
        <f t="shared" si="275"/>
        <v>MATCHED</v>
      </c>
    </row>
    <row r="4409" spans="1:11">
      <c r="A4409" t="s">
        <v>120</v>
      </c>
      <c r="B4409" t="s">
        <v>1629</v>
      </c>
      <c r="C4409" t="s">
        <v>798</v>
      </c>
      <c r="D4409" t="s">
        <v>799</v>
      </c>
      <c r="E4409" s="8">
        <v>420</v>
      </c>
      <c r="F4409" s="8">
        <v>77110</v>
      </c>
      <c r="G4409" s="8">
        <f t="shared" si="272"/>
        <v>32386200</v>
      </c>
      <c r="H4409" s="5">
        <v>0.095</v>
      </c>
      <c r="I4409" s="8">
        <f t="shared" si="273"/>
        <v>32386200</v>
      </c>
      <c r="J4409" s="8">
        <f t="shared" si="274"/>
        <v>3076689</v>
      </c>
      <c r="K4409" t="str">
        <f t="shared" si="275"/>
        <v>MATCHED</v>
      </c>
    </row>
    <row r="4410" spans="1:11">
      <c r="A4410" t="s">
        <v>120</v>
      </c>
      <c r="B4410" t="s">
        <v>1629</v>
      </c>
      <c r="C4410" t="s">
        <v>800</v>
      </c>
      <c r="D4410" t="s">
        <v>801</v>
      </c>
      <c r="E4410" s="8">
        <v>50</v>
      </c>
      <c r="F4410" s="8">
        <v>105960</v>
      </c>
      <c r="G4410" s="8">
        <f t="shared" si="272"/>
        <v>5298000</v>
      </c>
      <c r="H4410" s="5">
        <v>0.0971</v>
      </c>
      <c r="I4410" s="8">
        <f t="shared" si="273"/>
        <v>5298000</v>
      </c>
      <c r="J4410" s="8">
        <f t="shared" si="274"/>
        <v>514435.8</v>
      </c>
      <c r="K4410" t="str">
        <f t="shared" si="275"/>
        <v>MATCHED</v>
      </c>
    </row>
    <row r="4411" spans="1:11">
      <c r="A4411" t="s">
        <v>120</v>
      </c>
      <c r="B4411" t="s">
        <v>1629</v>
      </c>
      <c r="C4411" t="s">
        <v>1408</v>
      </c>
      <c r="D4411" t="s">
        <v>1409</v>
      </c>
      <c r="E4411" s="8">
        <v>100</v>
      </c>
      <c r="F4411" s="8">
        <v>35960</v>
      </c>
      <c r="G4411" s="8">
        <f t="shared" si="272"/>
        <v>3596000</v>
      </c>
      <c r="H4411" s="5">
        <v>0.1972</v>
      </c>
      <c r="I4411" s="8">
        <f t="shared" si="273"/>
        <v>3596000</v>
      </c>
      <c r="J4411" s="8">
        <f t="shared" si="274"/>
        <v>709131.2</v>
      </c>
      <c r="K4411" t="str">
        <f t="shared" si="275"/>
        <v>MATCHED</v>
      </c>
    </row>
    <row r="4412" spans="1:11">
      <c r="A4412" t="s">
        <v>120</v>
      </c>
      <c r="B4412" t="s">
        <v>1629</v>
      </c>
      <c r="C4412" t="s">
        <v>1410</v>
      </c>
      <c r="D4412" t="s">
        <v>1411</v>
      </c>
      <c r="E4412" s="8"/>
      <c r="F4412" s="8">
        <v>57500</v>
      </c>
      <c r="G4412" s="8" t="str">
        <f t="shared" si="272"/>
        <v/>
      </c>
      <c r="H4412" s="5">
        <v>0.0528</v>
      </c>
      <c r="I4412" s="8" t="str">
        <f t="shared" si="273"/>
        <v/>
      </c>
      <c r="J4412" s="8" t="str">
        <f t="shared" si="274"/>
        <v/>
      </c>
      <c r="K4412" t="str">
        <f t="shared" si="275"/>
        <v>MISSING OEWS</v>
      </c>
    </row>
    <row r="4413" spans="1:11">
      <c r="A4413" t="s">
        <v>120</v>
      </c>
      <c r="B4413" t="s">
        <v>1629</v>
      </c>
      <c r="C4413" t="s">
        <v>1140</v>
      </c>
      <c r="D4413" t="s">
        <v>1141</v>
      </c>
      <c r="E4413" s="8">
        <v>1000</v>
      </c>
      <c r="F4413" s="8">
        <v>66760</v>
      </c>
      <c r="G4413" s="8">
        <f t="shared" si="272"/>
        <v>66760000</v>
      </c>
      <c r="H4413" s="5">
        <v>0.3938</v>
      </c>
      <c r="I4413" s="8">
        <f t="shared" si="273"/>
        <v>66760000</v>
      </c>
      <c r="J4413" s="8">
        <f t="shared" si="274"/>
        <v>26290088</v>
      </c>
      <c r="K4413" t="str">
        <f t="shared" si="275"/>
        <v>MATCHED</v>
      </c>
    </row>
    <row r="4414" spans="1:11">
      <c r="A4414" t="s">
        <v>120</v>
      </c>
      <c r="B4414" t="s">
        <v>1629</v>
      </c>
      <c r="C4414" t="s">
        <v>1412</v>
      </c>
      <c r="D4414" t="s">
        <v>1413</v>
      </c>
      <c r="E4414" s="8"/>
      <c r="F4414" s="8">
        <v>79200</v>
      </c>
      <c r="G4414" s="8" t="str">
        <f t="shared" si="272"/>
        <v/>
      </c>
      <c r="H4414" s="5">
        <v>0.2192</v>
      </c>
      <c r="I4414" s="8" t="str">
        <f t="shared" si="273"/>
        <v/>
      </c>
      <c r="J4414" s="8" t="str">
        <f t="shared" si="274"/>
        <v/>
      </c>
      <c r="K4414" t="str">
        <f t="shared" si="275"/>
        <v>MISSING OEWS</v>
      </c>
    </row>
    <row r="4415" spans="1:11">
      <c r="A4415" t="s">
        <v>120</v>
      </c>
      <c r="B4415" t="s">
        <v>1629</v>
      </c>
      <c r="C4415" t="s">
        <v>1142</v>
      </c>
      <c r="D4415" t="s">
        <v>1143</v>
      </c>
      <c r="E4415" s="8"/>
      <c r="F4415" s="8">
        <v>68890</v>
      </c>
      <c r="G4415" s="8" t="str">
        <f t="shared" si="272"/>
        <v/>
      </c>
      <c r="H4415" s="5"/>
      <c r="I4415" s="8" t="str">
        <f t="shared" si="273"/>
        <v/>
      </c>
      <c r="J4415" s="8" t="str">
        <f t="shared" si="274"/>
        <v/>
      </c>
      <c r="K4415" t="str">
        <f t="shared" si="275"/>
        <v>MISSING OEWS</v>
      </c>
    </row>
    <row r="4416" spans="1:11">
      <c r="A4416" t="s">
        <v>120</v>
      </c>
      <c r="B4416" t="s">
        <v>1629</v>
      </c>
      <c r="C4416" t="s">
        <v>804</v>
      </c>
      <c r="D4416" t="s">
        <v>805</v>
      </c>
      <c r="E4416" s="8">
        <v>80</v>
      </c>
      <c r="F4416" s="8">
        <v>76560</v>
      </c>
      <c r="G4416" s="8">
        <f t="shared" si="272"/>
        <v>6124800</v>
      </c>
      <c r="H4416" s="5">
        <v>0.0864</v>
      </c>
      <c r="I4416" s="8">
        <f t="shared" si="273"/>
        <v>6124800</v>
      </c>
      <c r="J4416" s="8">
        <f t="shared" si="274"/>
        <v>529182.72</v>
      </c>
      <c r="K4416" t="str">
        <f t="shared" si="275"/>
        <v>MATCHED</v>
      </c>
    </row>
    <row r="4417" spans="1:11">
      <c r="A4417" t="s">
        <v>120</v>
      </c>
      <c r="B4417" t="s">
        <v>1629</v>
      </c>
      <c r="C4417" t="s">
        <v>505</v>
      </c>
      <c r="D4417" t="s">
        <v>506</v>
      </c>
      <c r="E4417" s="8"/>
      <c r="F4417" s="8">
        <v>70180</v>
      </c>
      <c r="G4417" s="8" t="str">
        <f t="shared" si="272"/>
        <v/>
      </c>
      <c r="H4417" s="5">
        <v>0</v>
      </c>
      <c r="I4417" s="8" t="str">
        <f t="shared" si="273"/>
        <v/>
      </c>
      <c r="J4417" s="8" t="str">
        <f t="shared" si="274"/>
        <v/>
      </c>
      <c r="K4417" t="str">
        <f t="shared" si="275"/>
        <v>MISSING OEWS</v>
      </c>
    </row>
    <row r="4418" spans="1:11">
      <c r="A4418" t="s">
        <v>120</v>
      </c>
      <c r="B4418" t="s">
        <v>1629</v>
      </c>
      <c r="C4418" t="s">
        <v>507</v>
      </c>
      <c r="D4418" t="s">
        <v>508</v>
      </c>
      <c r="E4418" s="8">
        <v>7900</v>
      </c>
      <c r="F4418" s="8">
        <v>44000</v>
      </c>
      <c r="G4418" s="8">
        <f t="shared" ref="G4418:G4481" si="276">IF(OR(E4418="",F4418=""),"",E4418*F4418)</f>
        <v>347600000</v>
      </c>
      <c r="H4418" s="5">
        <v>0</v>
      </c>
      <c r="I4418" s="8">
        <f t="shared" ref="I4418:I4481" si="277">IF(G4418="","",IF(ISNUMBER(H4418),G4418,""))</f>
        <v>347600000</v>
      </c>
      <c r="J4418" s="8">
        <f t="shared" ref="J4418:J4481" si="278">IF(I4418="","",I4418*H4418)</f>
        <v>0</v>
      </c>
      <c r="K4418" t="str">
        <f t="shared" ref="K4418:K4481" si="279">IF(G4418="","MISSING OEWS",IF(ISNUMBER(H4418),"MATCHED","MISSING WHARTON"))</f>
        <v>MATCHED</v>
      </c>
    </row>
    <row r="4419" spans="1:11">
      <c r="A4419" t="s">
        <v>120</v>
      </c>
      <c r="B4419" t="s">
        <v>1629</v>
      </c>
      <c r="C4419" t="s">
        <v>509</v>
      </c>
      <c r="D4419" t="s">
        <v>510</v>
      </c>
      <c r="E4419" s="8">
        <v>1160</v>
      </c>
      <c r="F4419" s="8">
        <v>39330</v>
      </c>
      <c r="G4419" s="8">
        <f t="shared" si="276"/>
        <v>45622800</v>
      </c>
      <c r="H4419" s="5">
        <v>0.0452</v>
      </c>
      <c r="I4419" s="8">
        <f t="shared" si="277"/>
        <v>45622800</v>
      </c>
      <c r="J4419" s="8">
        <f t="shared" si="278"/>
        <v>2062150.56</v>
      </c>
      <c r="K4419" t="str">
        <f t="shared" si="279"/>
        <v>MATCHED</v>
      </c>
    </row>
    <row r="4420" spans="1:11">
      <c r="A4420" t="s">
        <v>120</v>
      </c>
      <c r="B4420" t="s">
        <v>1629</v>
      </c>
      <c r="C4420" t="s">
        <v>511</v>
      </c>
      <c r="D4420" t="s">
        <v>512</v>
      </c>
      <c r="E4420" s="8">
        <v>41450</v>
      </c>
      <c r="F4420" s="8">
        <v>44070</v>
      </c>
      <c r="G4420" s="8">
        <f t="shared" si="276"/>
        <v>1826701500</v>
      </c>
      <c r="H4420" s="5">
        <v>0.049</v>
      </c>
      <c r="I4420" s="8">
        <f t="shared" si="277"/>
        <v>1826701500</v>
      </c>
      <c r="J4420" s="8">
        <f t="shared" si="278"/>
        <v>89508373.5</v>
      </c>
      <c r="K4420" t="str">
        <f t="shared" si="279"/>
        <v>MATCHED</v>
      </c>
    </row>
    <row r="4421" spans="1:11">
      <c r="A4421" t="s">
        <v>120</v>
      </c>
      <c r="B4421" t="s">
        <v>1629</v>
      </c>
      <c r="C4421" t="s">
        <v>513</v>
      </c>
      <c r="D4421" t="s">
        <v>514</v>
      </c>
      <c r="E4421" s="8">
        <v>70</v>
      </c>
      <c r="F4421" s="8">
        <v>45010</v>
      </c>
      <c r="G4421" s="8">
        <f t="shared" si="276"/>
        <v>3150700</v>
      </c>
      <c r="H4421" s="5">
        <v>0.0731</v>
      </c>
      <c r="I4421" s="8">
        <f t="shared" si="277"/>
        <v>3150700</v>
      </c>
      <c r="J4421" s="8">
        <f t="shared" si="278"/>
        <v>230316.17</v>
      </c>
      <c r="K4421" t="str">
        <f t="shared" si="279"/>
        <v>MATCHED</v>
      </c>
    </row>
    <row r="4422" spans="1:11">
      <c r="A4422" t="s">
        <v>120</v>
      </c>
      <c r="B4422" t="s">
        <v>1629</v>
      </c>
      <c r="C4422" t="s">
        <v>515</v>
      </c>
      <c r="D4422" t="s">
        <v>516</v>
      </c>
      <c r="E4422" s="8">
        <v>4290</v>
      </c>
      <c r="F4422" s="8">
        <v>35180</v>
      </c>
      <c r="G4422" s="8">
        <f t="shared" si="276"/>
        <v>150922200</v>
      </c>
      <c r="H4422" s="5">
        <v>0.0792</v>
      </c>
      <c r="I4422" s="8">
        <f t="shared" si="277"/>
        <v>150922200</v>
      </c>
      <c r="J4422" s="8">
        <f t="shared" si="278"/>
        <v>11953038.24</v>
      </c>
      <c r="K4422" t="str">
        <f t="shared" si="279"/>
        <v>MATCHED</v>
      </c>
    </row>
    <row r="4423" spans="1:11">
      <c r="A4423" t="s">
        <v>120</v>
      </c>
      <c r="B4423" t="s">
        <v>1629</v>
      </c>
      <c r="C4423" t="s">
        <v>517</v>
      </c>
      <c r="D4423" t="s">
        <v>518</v>
      </c>
      <c r="E4423" s="8">
        <v>19730</v>
      </c>
      <c r="F4423" s="8">
        <v>39060</v>
      </c>
      <c r="G4423" s="8">
        <f t="shared" si="276"/>
        <v>770653800</v>
      </c>
      <c r="H4423" s="5">
        <v>0.2233</v>
      </c>
      <c r="I4423" s="8">
        <f t="shared" si="277"/>
        <v>770653800</v>
      </c>
      <c r="J4423" s="8">
        <f t="shared" si="278"/>
        <v>172086993.54</v>
      </c>
      <c r="K4423" t="str">
        <f t="shared" si="279"/>
        <v>MATCHED</v>
      </c>
    </row>
    <row r="4424" spans="1:11">
      <c r="A4424" t="s">
        <v>120</v>
      </c>
      <c r="B4424" t="s">
        <v>1629</v>
      </c>
      <c r="C4424" t="s">
        <v>812</v>
      </c>
      <c r="D4424" t="s">
        <v>813</v>
      </c>
      <c r="E4424" s="8"/>
      <c r="F4424" s="8">
        <v>69030</v>
      </c>
      <c r="G4424" s="8" t="str">
        <f t="shared" si="276"/>
        <v/>
      </c>
      <c r="H4424" s="5">
        <v>0</v>
      </c>
      <c r="I4424" s="8" t="str">
        <f t="shared" si="277"/>
        <v/>
      </c>
      <c r="J4424" s="8" t="str">
        <f t="shared" si="278"/>
        <v/>
      </c>
      <c r="K4424" t="str">
        <f t="shared" si="279"/>
        <v>MISSING OEWS</v>
      </c>
    </row>
    <row r="4425" spans="1:11">
      <c r="A4425" t="s">
        <v>120</v>
      </c>
      <c r="B4425" t="s">
        <v>1629</v>
      </c>
      <c r="C4425" t="s">
        <v>918</v>
      </c>
      <c r="D4425" t="s">
        <v>919</v>
      </c>
      <c r="E4425" s="8">
        <v>200</v>
      </c>
      <c r="F4425" s="8">
        <v>58610</v>
      </c>
      <c r="G4425" s="8">
        <f t="shared" si="276"/>
        <v>11722000</v>
      </c>
      <c r="H4425" s="5">
        <v>0.2375</v>
      </c>
      <c r="I4425" s="8">
        <f t="shared" si="277"/>
        <v>11722000</v>
      </c>
      <c r="J4425" s="8">
        <f t="shared" si="278"/>
        <v>2783975</v>
      </c>
      <c r="K4425" t="str">
        <f t="shared" si="279"/>
        <v>MATCHED</v>
      </c>
    </row>
    <row r="4426" spans="1:11">
      <c r="A4426" t="s">
        <v>120</v>
      </c>
      <c r="B4426" t="s">
        <v>1629</v>
      </c>
      <c r="C4426" t="s">
        <v>814</v>
      </c>
      <c r="D4426" t="s">
        <v>815</v>
      </c>
      <c r="E4426" s="8"/>
      <c r="F4426" s="8">
        <v>48790</v>
      </c>
      <c r="G4426" s="8" t="str">
        <f t="shared" si="276"/>
        <v/>
      </c>
      <c r="H4426" s="5">
        <v>0.05</v>
      </c>
      <c r="I4426" s="8" t="str">
        <f t="shared" si="277"/>
        <v/>
      </c>
      <c r="J4426" s="8" t="str">
        <f t="shared" si="278"/>
        <v/>
      </c>
      <c r="K4426" t="str">
        <f t="shared" si="279"/>
        <v>MISSING OEWS</v>
      </c>
    </row>
    <row r="4427" spans="1:11">
      <c r="A4427" t="s">
        <v>120</v>
      </c>
      <c r="B4427" t="s">
        <v>1629</v>
      </c>
      <c r="C4427" t="s">
        <v>519</v>
      </c>
      <c r="D4427" t="s">
        <v>520</v>
      </c>
      <c r="E4427" s="8">
        <v>220</v>
      </c>
      <c r="F4427" s="8">
        <v>56240</v>
      </c>
      <c r="G4427" s="8">
        <f t="shared" si="276"/>
        <v>12372800</v>
      </c>
      <c r="H4427" s="5"/>
      <c r="I4427" s="8" t="str">
        <f t="shared" si="277"/>
        <v/>
      </c>
      <c r="J4427" s="8" t="str">
        <f t="shared" si="278"/>
        <v/>
      </c>
      <c r="K4427" t="str">
        <f t="shared" si="279"/>
        <v>MISSING WHARTON</v>
      </c>
    </row>
    <row r="4428" spans="1:11">
      <c r="A4428" t="s">
        <v>122</v>
      </c>
      <c r="B4428" t="s">
        <v>1704</v>
      </c>
      <c r="C4428" t="s">
        <v>235</v>
      </c>
      <c r="D4428" t="s">
        <v>236</v>
      </c>
      <c r="E4428" s="8">
        <v>15470</v>
      </c>
      <c r="F4428" s="8">
        <v>413600</v>
      </c>
      <c r="G4428" s="8">
        <f t="shared" si="276"/>
        <v>6398392000</v>
      </c>
      <c r="H4428" s="5">
        <v>0.4775</v>
      </c>
      <c r="I4428" s="8">
        <f t="shared" si="277"/>
        <v>6398392000</v>
      </c>
      <c r="J4428" s="8">
        <f t="shared" si="278"/>
        <v>3055232180</v>
      </c>
      <c r="K4428" t="str">
        <f t="shared" si="279"/>
        <v>MATCHED</v>
      </c>
    </row>
    <row r="4429" spans="1:11">
      <c r="A4429" t="s">
        <v>122</v>
      </c>
      <c r="B4429" t="s">
        <v>1704</v>
      </c>
      <c r="C4429" t="s">
        <v>237</v>
      </c>
      <c r="D4429" t="s">
        <v>238</v>
      </c>
      <c r="E4429" s="8">
        <v>124740</v>
      </c>
      <c r="F4429" s="8">
        <v>197930</v>
      </c>
      <c r="G4429" s="8">
        <f t="shared" si="276"/>
        <v>24689788200</v>
      </c>
      <c r="H4429" s="5">
        <v>0.5382</v>
      </c>
      <c r="I4429" s="8">
        <f t="shared" si="277"/>
        <v>24689788200</v>
      </c>
      <c r="J4429" s="8">
        <f t="shared" si="278"/>
        <v>13288044009.24</v>
      </c>
      <c r="K4429" t="str">
        <f t="shared" si="279"/>
        <v>MATCHED</v>
      </c>
    </row>
    <row r="4430" spans="1:11">
      <c r="A4430" t="s">
        <v>122</v>
      </c>
      <c r="B4430" t="s">
        <v>1704</v>
      </c>
      <c r="C4430" t="s">
        <v>920</v>
      </c>
      <c r="D4430" t="s">
        <v>921</v>
      </c>
      <c r="E4430" s="8">
        <v>2200</v>
      </c>
      <c r="F4430" s="8">
        <v>185500</v>
      </c>
      <c r="G4430" s="8">
        <f t="shared" si="276"/>
        <v>408100000</v>
      </c>
      <c r="H4430" s="5">
        <v>0.5583</v>
      </c>
      <c r="I4430" s="8">
        <f t="shared" si="277"/>
        <v>408100000</v>
      </c>
      <c r="J4430" s="8">
        <f t="shared" si="278"/>
        <v>227842230</v>
      </c>
      <c r="K4430" t="str">
        <f t="shared" si="279"/>
        <v>MATCHED</v>
      </c>
    </row>
    <row r="4431" spans="1:11">
      <c r="A4431" t="s">
        <v>122</v>
      </c>
      <c r="B4431" t="s">
        <v>1704</v>
      </c>
      <c r="C4431" t="s">
        <v>239</v>
      </c>
      <c r="D4431" t="s">
        <v>240</v>
      </c>
      <c r="E4431" s="8">
        <v>52430</v>
      </c>
      <c r="F4431" s="8">
        <v>194000</v>
      </c>
      <c r="G4431" s="8">
        <f t="shared" si="276"/>
        <v>10171420000</v>
      </c>
      <c r="H4431" s="5">
        <v>0.445</v>
      </c>
      <c r="I4431" s="8">
        <f t="shared" si="277"/>
        <v>10171420000</v>
      </c>
      <c r="J4431" s="8">
        <f t="shared" si="278"/>
        <v>4526281900</v>
      </c>
      <c r="K4431" t="str">
        <f t="shared" si="279"/>
        <v>MATCHED</v>
      </c>
    </row>
    <row r="4432" spans="1:11">
      <c r="A4432" t="s">
        <v>122</v>
      </c>
      <c r="B4432" t="s">
        <v>1704</v>
      </c>
      <c r="C4432" t="s">
        <v>241</v>
      </c>
      <c r="D4432" t="s">
        <v>242</v>
      </c>
      <c r="E4432" s="8">
        <v>37750</v>
      </c>
      <c r="F4432" s="8">
        <v>181030</v>
      </c>
      <c r="G4432" s="8">
        <f t="shared" si="276"/>
        <v>6833882500</v>
      </c>
      <c r="H4432" s="5">
        <v>0.3735</v>
      </c>
      <c r="I4432" s="8">
        <f t="shared" si="277"/>
        <v>6833882500</v>
      </c>
      <c r="J4432" s="8">
        <f t="shared" si="278"/>
        <v>2552455113.75</v>
      </c>
      <c r="K4432" t="str">
        <f t="shared" si="279"/>
        <v>MATCHED</v>
      </c>
    </row>
    <row r="4433" spans="1:11">
      <c r="A4433" t="s">
        <v>122</v>
      </c>
      <c r="B4433" t="s">
        <v>1704</v>
      </c>
      <c r="C4433" t="s">
        <v>522</v>
      </c>
      <c r="D4433" t="s">
        <v>523</v>
      </c>
      <c r="E4433" s="8">
        <v>7710</v>
      </c>
      <c r="F4433" s="8">
        <v>189140</v>
      </c>
      <c r="G4433" s="8">
        <f t="shared" si="276"/>
        <v>1458269400</v>
      </c>
      <c r="H4433" s="5">
        <v>0.53</v>
      </c>
      <c r="I4433" s="8">
        <f t="shared" si="277"/>
        <v>1458269400</v>
      </c>
      <c r="J4433" s="8">
        <f t="shared" si="278"/>
        <v>772882782</v>
      </c>
      <c r="K4433" t="str">
        <f t="shared" si="279"/>
        <v>MATCHED</v>
      </c>
    </row>
    <row r="4434" spans="1:11">
      <c r="A4434" t="s">
        <v>122</v>
      </c>
      <c r="B4434" t="s">
        <v>1704</v>
      </c>
      <c r="C4434" t="s">
        <v>922</v>
      </c>
      <c r="D4434" t="s">
        <v>923</v>
      </c>
      <c r="E4434" s="8">
        <v>1540</v>
      </c>
      <c r="F4434" s="8">
        <v>156170</v>
      </c>
      <c r="G4434" s="8">
        <f t="shared" si="276"/>
        <v>240501800</v>
      </c>
      <c r="H4434" s="5">
        <v>0.5594</v>
      </c>
      <c r="I4434" s="8">
        <f t="shared" si="277"/>
        <v>240501800</v>
      </c>
      <c r="J4434" s="8">
        <f t="shared" si="278"/>
        <v>134536706.92</v>
      </c>
      <c r="K4434" t="str">
        <f t="shared" si="279"/>
        <v>MATCHED</v>
      </c>
    </row>
    <row r="4435" spans="1:11">
      <c r="A4435" t="s">
        <v>122</v>
      </c>
      <c r="B4435" t="s">
        <v>1704</v>
      </c>
      <c r="C4435" t="s">
        <v>243</v>
      </c>
      <c r="D4435" t="s">
        <v>244</v>
      </c>
      <c r="E4435" s="8">
        <v>14780</v>
      </c>
      <c r="F4435" s="8">
        <v>164310</v>
      </c>
      <c r="G4435" s="8">
        <f t="shared" si="276"/>
        <v>2428501800</v>
      </c>
      <c r="H4435" s="5">
        <v>0.4444</v>
      </c>
      <c r="I4435" s="8">
        <f t="shared" si="277"/>
        <v>2428501800</v>
      </c>
      <c r="J4435" s="8">
        <f t="shared" si="278"/>
        <v>1079226199.92</v>
      </c>
      <c r="K4435" t="str">
        <f t="shared" si="279"/>
        <v>MATCHED</v>
      </c>
    </row>
    <row r="4436" spans="1:11">
      <c r="A4436" t="s">
        <v>122</v>
      </c>
      <c r="B4436" t="s">
        <v>1704</v>
      </c>
      <c r="C4436" t="s">
        <v>245</v>
      </c>
      <c r="D4436" t="s">
        <v>246</v>
      </c>
      <c r="E4436" s="8">
        <v>8960</v>
      </c>
      <c r="F4436" s="8">
        <v>135100</v>
      </c>
      <c r="G4436" s="8">
        <f t="shared" si="276"/>
        <v>1210496000</v>
      </c>
      <c r="H4436" s="5">
        <v>0.2907</v>
      </c>
      <c r="I4436" s="8">
        <f t="shared" si="277"/>
        <v>1210496000</v>
      </c>
      <c r="J4436" s="8">
        <f t="shared" si="278"/>
        <v>351891187.2</v>
      </c>
      <c r="K4436" t="str">
        <f t="shared" si="279"/>
        <v>MATCHED</v>
      </c>
    </row>
    <row r="4437" spans="1:11">
      <c r="A4437" t="s">
        <v>122</v>
      </c>
      <c r="B4437" t="s">
        <v>1704</v>
      </c>
      <c r="C4437" t="s">
        <v>247</v>
      </c>
      <c r="D4437" t="s">
        <v>248</v>
      </c>
      <c r="E4437" s="8">
        <v>73160</v>
      </c>
      <c r="F4437" s="8">
        <v>209900</v>
      </c>
      <c r="G4437" s="8">
        <f t="shared" si="276"/>
        <v>15356284000</v>
      </c>
      <c r="H4437" s="5">
        <v>0.5265</v>
      </c>
      <c r="I4437" s="8">
        <f t="shared" si="277"/>
        <v>15356284000</v>
      </c>
      <c r="J4437" s="8">
        <f t="shared" si="278"/>
        <v>8085083526</v>
      </c>
      <c r="K4437" t="str">
        <f t="shared" si="279"/>
        <v>MATCHED</v>
      </c>
    </row>
    <row r="4438" spans="1:11">
      <c r="A4438" t="s">
        <v>122</v>
      </c>
      <c r="B4438" t="s">
        <v>1704</v>
      </c>
      <c r="C4438" t="s">
        <v>249</v>
      </c>
      <c r="D4438" t="s">
        <v>250</v>
      </c>
      <c r="E4438" s="8">
        <v>94170</v>
      </c>
      <c r="F4438" s="8">
        <v>202070</v>
      </c>
      <c r="G4438" s="8">
        <f t="shared" si="276"/>
        <v>19028931900</v>
      </c>
      <c r="H4438" s="5">
        <v>0.7221</v>
      </c>
      <c r="I4438" s="8">
        <f t="shared" si="277"/>
        <v>19028931900</v>
      </c>
      <c r="J4438" s="8">
        <f t="shared" si="278"/>
        <v>13740791724.99</v>
      </c>
      <c r="K4438" t="str">
        <f t="shared" si="279"/>
        <v>MATCHED</v>
      </c>
    </row>
    <row r="4439" spans="1:11">
      <c r="A4439" t="s">
        <v>122</v>
      </c>
      <c r="B4439" t="s">
        <v>1704</v>
      </c>
      <c r="C4439" t="s">
        <v>251</v>
      </c>
      <c r="D4439" t="s">
        <v>252</v>
      </c>
      <c r="E4439" s="8">
        <v>7120</v>
      </c>
      <c r="F4439" s="8">
        <v>175320</v>
      </c>
      <c r="G4439" s="8">
        <f t="shared" si="276"/>
        <v>1248278400</v>
      </c>
      <c r="H4439" s="5">
        <v>0.3636</v>
      </c>
      <c r="I4439" s="8">
        <f t="shared" si="277"/>
        <v>1248278400</v>
      </c>
      <c r="J4439" s="8">
        <f t="shared" si="278"/>
        <v>453874026.24</v>
      </c>
      <c r="K4439" t="str">
        <f t="shared" si="279"/>
        <v>MATCHED</v>
      </c>
    </row>
    <row r="4440" spans="1:11">
      <c r="A4440" t="s">
        <v>122</v>
      </c>
      <c r="B4440" t="s">
        <v>1704</v>
      </c>
      <c r="C4440" t="s">
        <v>253</v>
      </c>
      <c r="D4440" t="s">
        <v>254</v>
      </c>
      <c r="E4440" s="8">
        <v>16750</v>
      </c>
      <c r="F4440" s="8">
        <v>178770</v>
      </c>
      <c r="G4440" s="8">
        <f t="shared" si="276"/>
        <v>2994397500</v>
      </c>
      <c r="H4440" s="5">
        <v>0.6944</v>
      </c>
      <c r="I4440" s="8">
        <f t="shared" si="277"/>
        <v>2994397500</v>
      </c>
      <c r="J4440" s="8">
        <f t="shared" si="278"/>
        <v>2079309624</v>
      </c>
      <c r="K4440" t="str">
        <f t="shared" si="279"/>
        <v>MATCHED</v>
      </c>
    </row>
    <row r="4441" spans="1:11">
      <c r="A4441" t="s">
        <v>122</v>
      </c>
      <c r="B4441" t="s">
        <v>1704</v>
      </c>
      <c r="C4441" t="s">
        <v>255</v>
      </c>
      <c r="D4441" t="s">
        <v>256</v>
      </c>
      <c r="E4441" s="8">
        <v>17630</v>
      </c>
      <c r="F4441" s="8">
        <v>164170</v>
      </c>
      <c r="G4441" s="8">
        <f t="shared" si="276"/>
        <v>2894317100</v>
      </c>
      <c r="H4441" s="5">
        <v>0.5783</v>
      </c>
      <c r="I4441" s="8">
        <f t="shared" si="277"/>
        <v>2894317100</v>
      </c>
      <c r="J4441" s="8">
        <f t="shared" si="278"/>
        <v>1673783578.93</v>
      </c>
      <c r="K4441" t="str">
        <f t="shared" si="279"/>
        <v>MATCHED</v>
      </c>
    </row>
    <row r="4442" spans="1:11">
      <c r="A4442" t="s">
        <v>122</v>
      </c>
      <c r="B4442" t="s">
        <v>1704</v>
      </c>
      <c r="C4442" t="s">
        <v>524</v>
      </c>
      <c r="D4442" t="s">
        <v>525</v>
      </c>
      <c r="E4442" s="8">
        <v>5500</v>
      </c>
      <c r="F4442" s="8">
        <v>174350</v>
      </c>
      <c r="G4442" s="8">
        <f t="shared" si="276"/>
        <v>958925000</v>
      </c>
      <c r="H4442" s="5">
        <v>0.5771</v>
      </c>
      <c r="I4442" s="8">
        <f t="shared" si="277"/>
        <v>958925000</v>
      </c>
      <c r="J4442" s="8">
        <f t="shared" si="278"/>
        <v>553395617.5</v>
      </c>
      <c r="K4442" t="str">
        <f t="shared" si="279"/>
        <v>MATCHED</v>
      </c>
    </row>
    <row r="4443" spans="1:11">
      <c r="A4443" t="s">
        <v>122</v>
      </c>
      <c r="B4443" t="s">
        <v>1704</v>
      </c>
      <c r="C4443" t="s">
        <v>257</v>
      </c>
      <c r="D4443" t="s">
        <v>258</v>
      </c>
      <c r="E4443" s="8">
        <v>33150</v>
      </c>
      <c r="F4443" s="8">
        <v>184820</v>
      </c>
      <c r="G4443" s="8">
        <f t="shared" si="276"/>
        <v>6126783000</v>
      </c>
      <c r="H4443" s="5">
        <v>0.5962</v>
      </c>
      <c r="I4443" s="8">
        <f t="shared" si="277"/>
        <v>6126783000</v>
      </c>
      <c r="J4443" s="8">
        <f t="shared" si="278"/>
        <v>3652788024.6</v>
      </c>
      <c r="K4443" t="str">
        <f t="shared" si="279"/>
        <v>MATCHED</v>
      </c>
    </row>
    <row r="4444" spans="1:11">
      <c r="A4444" t="s">
        <v>122</v>
      </c>
      <c r="B4444" t="s">
        <v>1704</v>
      </c>
      <c r="C4444" t="s">
        <v>526</v>
      </c>
      <c r="D4444" t="s">
        <v>527</v>
      </c>
      <c r="E4444" s="8">
        <v>6510</v>
      </c>
      <c r="F4444" s="8">
        <v>152340</v>
      </c>
      <c r="G4444" s="8">
        <f t="shared" si="276"/>
        <v>991733400</v>
      </c>
      <c r="H4444" s="5">
        <v>0.6833</v>
      </c>
      <c r="I4444" s="8">
        <f t="shared" si="277"/>
        <v>991733400</v>
      </c>
      <c r="J4444" s="8">
        <f t="shared" si="278"/>
        <v>677651432.22</v>
      </c>
      <c r="K4444" t="str">
        <f t="shared" si="279"/>
        <v>MATCHED</v>
      </c>
    </row>
    <row r="4445" spans="1:11">
      <c r="A4445" t="s">
        <v>122</v>
      </c>
      <c r="B4445" t="s">
        <v>1704</v>
      </c>
      <c r="C4445" t="s">
        <v>259</v>
      </c>
      <c r="D4445" t="s">
        <v>260</v>
      </c>
      <c r="E4445" s="8">
        <v>270</v>
      </c>
      <c r="F4445" s="8">
        <v>123390</v>
      </c>
      <c r="G4445" s="8">
        <f t="shared" si="276"/>
        <v>33315300</v>
      </c>
      <c r="H4445" s="5">
        <v>0.22</v>
      </c>
      <c r="I4445" s="8">
        <f t="shared" si="277"/>
        <v>33315300</v>
      </c>
      <c r="J4445" s="8">
        <f t="shared" si="278"/>
        <v>7329366</v>
      </c>
      <c r="K4445" t="str">
        <f t="shared" si="279"/>
        <v>MATCHED</v>
      </c>
    </row>
    <row r="4446" spans="1:11">
      <c r="A4446" t="s">
        <v>122</v>
      </c>
      <c r="B4446" t="s">
        <v>1704</v>
      </c>
      <c r="C4446" t="s">
        <v>528</v>
      </c>
      <c r="D4446" t="s">
        <v>529</v>
      </c>
      <c r="E4446" s="8">
        <v>6530</v>
      </c>
      <c r="F4446" s="8">
        <v>153030</v>
      </c>
      <c r="G4446" s="8">
        <f t="shared" si="276"/>
        <v>999285900</v>
      </c>
      <c r="H4446" s="5">
        <v>0.374</v>
      </c>
      <c r="I4446" s="8">
        <f t="shared" si="277"/>
        <v>999285900</v>
      </c>
      <c r="J4446" s="8">
        <f t="shared" si="278"/>
        <v>373732926.6</v>
      </c>
      <c r="K4446" t="str">
        <f t="shared" si="279"/>
        <v>MATCHED</v>
      </c>
    </row>
    <row r="4447" spans="1:11">
      <c r="A4447" t="s">
        <v>122</v>
      </c>
      <c r="B4447" t="s">
        <v>1704</v>
      </c>
      <c r="C4447" t="s">
        <v>1705</v>
      </c>
      <c r="D4447" t="s">
        <v>1706</v>
      </c>
      <c r="E4447" s="8">
        <v>580</v>
      </c>
      <c r="F4447" s="8">
        <v>78710</v>
      </c>
      <c r="G4447" s="8">
        <f t="shared" si="276"/>
        <v>45651800</v>
      </c>
      <c r="H4447" s="5">
        <v>0.4</v>
      </c>
      <c r="I4447" s="8">
        <f t="shared" si="277"/>
        <v>45651800</v>
      </c>
      <c r="J4447" s="8">
        <f t="shared" si="278"/>
        <v>18260720</v>
      </c>
      <c r="K4447" t="str">
        <f t="shared" si="279"/>
        <v>MATCHED</v>
      </c>
    </row>
    <row r="4448" spans="1:11">
      <c r="A4448" t="s">
        <v>122</v>
      </c>
      <c r="B4448" t="s">
        <v>1704</v>
      </c>
      <c r="C4448" t="s">
        <v>1707</v>
      </c>
      <c r="D4448" t="s">
        <v>1708</v>
      </c>
      <c r="E4448" s="8">
        <v>210</v>
      </c>
      <c r="F4448" s="8">
        <v>130340</v>
      </c>
      <c r="G4448" s="8">
        <f t="shared" si="276"/>
        <v>27371400</v>
      </c>
      <c r="H4448" s="5">
        <v>0.3</v>
      </c>
      <c r="I4448" s="8">
        <f t="shared" si="277"/>
        <v>27371400</v>
      </c>
      <c r="J4448" s="8">
        <f t="shared" si="278"/>
        <v>8211420</v>
      </c>
      <c r="K4448" t="str">
        <f t="shared" si="279"/>
        <v>MATCHED</v>
      </c>
    </row>
    <row r="4449" spans="1:11">
      <c r="A4449" t="s">
        <v>122</v>
      </c>
      <c r="B4449" t="s">
        <v>1704</v>
      </c>
      <c r="C4449" t="s">
        <v>1630</v>
      </c>
      <c r="D4449" t="s">
        <v>1631</v>
      </c>
      <c r="E4449" s="8">
        <v>320</v>
      </c>
      <c r="F4449" s="8">
        <v>141310</v>
      </c>
      <c r="G4449" s="8">
        <f t="shared" si="276"/>
        <v>45219200</v>
      </c>
      <c r="H4449" s="5">
        <v>0.4448</v>
      </c>
      <c r="I4449" s="8">
        <f t="shared" si="277"/>
        <v>45219200</v>
      </c>
      <c r="J4449" s="8">
        <f t="shared" si="278"/>
        <v>20113500.16</v>
      </c>
      <c r="K4449" t="str">
        <f t="shared" si="279"/>
        <v>MATCHED</v>
      </c>
    </row>
    <row r="4450" spans="1:11">
      <c r="A4450" t="s">
        <v>122</v>
      </c>
      <c r="B4450" t="s">
        <v>1704</v>
      </c>
      <c r="C4450" t="s">
        <v>1563</v>
      </c>
      <c r="D4450" t="s">
        <v>1564</v>
      </c>
      <c r="E4450" s="8">
        <v>540</v>
      </c>
      <c r="F4450" s="8">
        <v>121960</v>
      </c>
      <c r="G4450" s="8">
        <f t="shared" si="276"/>
        <v>65858400</v>
      </c>
      <c r="H4450" s="5"/>
      <c r="I4450" s="8" t="str">
        <f t="shared" si="277"/>
        <v/>
      </c>
      <c r="J4450" s="8" t="str">
        <f t="shared" si="278"/>
        <v/>
      </c>
      <c r="K4450" t="str">
        <f t="shared" si="279"/>
        <v>MISSING WHARTON</v>
      </c>
    </row>
    <row r="4451" spans="1:11">
      <c r="A4451" t="s">
        <v>122</v>
      </c>
      <c r="B4451" t="s">
        <v>1704</v>
      </c>
      <c r="C4451" t="s">
        <v>530</v>
      </c>
      <c r="D4451" t="s">
        <v>531</v>
      </c>
      <c r="E4451" s="8">
        <v>14950</v>
      </c>
      <c r="F4451" s="8">
        <v>197390</v>
      </c>
      <c r="G4451" s="8">
        <f t="shared" si="276"/>
        <v>2950980500</v>
      </c>
      <c r="H4451" s="5">
        <v>0.263</v>
      </c>
      <c r="I4451" s="8">
        <f t="shared" si="277"/>
        <v>2950980500</v>
      </c>
      <c r="J4451" s="8">
        <f t="shared" si="278"/>
        <v>776107871.5</v>
      </c>
      <c r="K4451" t="str">
        <f t="shared" si="279"/>
        <v>MATCHED</v>
      </c>
    </row>
    <row r="4452" spans="1:11">
      <c r="A4452" t="s">
        <v>122</v>
      </c>
      <c r="B4452" t="s">
        <v>1704</v>
      </c>
      <c r="C4452" t="s">
        <v>1144</v>
      </c>
      <c r="D4452" t="s">
        <v>1145</v>
      </c>
      <c r="E4452" s="8">
        <v>7720</v>
      </c>
      <c r="F4452" s="8">
        <v>90810</v>
      </c>
      <c r="G4452" s="8">
        <f t="shared" si="276"/>
        <v>701053200</v>
      </c>
      <c r="H4452" s="5">
        <v>0.3821</v>
      </c>
      <c r="I4452" s="8">
        <f t="shared" si="277"/>
        <v>701053200</v>
      </c>
      <c r="J4452" s="8">
        <f t="shared" si="278"/>
        <v>267872427.72</v>
      </c>
      <c r="K4452" t="str">
        <f t="shared" si="279"/>
        <v>MATCHED</v>
      </c>
    </row>
    <row r="4453" spans="1:11">
      <c r="A4453" t="s">
        <v>122</v>
      </c>
      <c r="B4453" t="s">
        <v>1704</v>
      </c>
      <c r="C4453" t="s">
        <v>1709</v>
      </c>
      <c r="D4453" t="s">
        <v>1710</v>
      </c>
      <c r="E4453" s="8">
        <v>80</v>
      </c>
      <c r="F4453" s="8">
        <v>160550</v>
      </c>
      <c r="G4453" s="8">
        <f t="shared" si="276"/>
        <v>12844000</v>
      </c>
      <c r="H4453" s="5">
        <v>0.6474</v>
      </c>
      <c r="I4453" s="8">
        <f t="shared" si="277"/>
        <v>12844000</v>
      </c>
      <c r="J4453" s="8">
        <f t="shared" si="278"/>
        <v>8315205.6</v>
      </c>
      <c r="K4453" t="str">
        <f t="shared" si="279"/>
        <v>MATCHED</v>
      </c>
    </row>
    <row r="4454" spans="1:11">
      <c r="A4454" t="s">
        <v>122</v>
      </c>
      <c r="B4454" t="s">
        <v>1704</v>
      </c>
      <c r="C4454" t="s">
        <v>1460</v>
      </c>
      <c r="D4454" t="s">
        <v>1461</v>
      </c>
      <c r="E4454" s="8">
        <v>320</v>
      </c>
      <c r="F4454" s="8">
        <v>106280</v>
      </c>
      <c r="G4454" s="8">
        <f t="shared" si="276"/>
        <v>34009600</v>
      </c>
      <c r="H4454" s="5">
        <v>0.3176</v>
      </c>
      <c r="I4454" s="8">
        <f t="shared" si="277"/>
        <v>34009600</v>
      </c>
      <c r="J4454" s="8">
        <f t="shared" si="278"/>
        <v>10801448.96</v>
      </c>
      <c r="K4454" t="str">
        <f t="shared" si="279"/>
        <v>MATCHED</v>
      </c>
    </row>
    <row r="4455" spans="1:11">
      <c r="A4455" t="s">
        <v>122</v>
      </c>
      <c r="B4455" t="s">
        <v>1704</v>
      </c>
      <c r="C4455" t="s">
        <v>924</v>
      </c>
      <c r="D4455" t="s">
        <v>925</v>
      </c>
      <c r="E4455" s="8">
        <v>800</v>
      </c>
      <c r="F4455" s="8">
        <v>128760</v>
      </c>
      <c r="G4455" s="8">
        <f t="shared" si="276"/>
        <v>103008000</v>
      </c>
      <c r="H4455" s="5">
        <v>0.4729</v>
      </c>
      <c r="I4455" s="8">
        <f t="shared" si="277"/>
        <v>103008000</v>
      </c>
      <c r="J4455" s="8">
        <f t="shared" si="278"/>
        <v>48712483.2</v>
      </c>
      <c r="K4455" t="str">
        <f t="shared" si="279"/>
        <v>MATCHED</v>
      </c>
    </row>
    <row r="4456" spans="1:11">
      <c r="A4456" t="s">
        <v>122</v>
      </c>
      <c r="B4456" t="s">
        <v>1704</v>
      </c>
      <c r="C4456" t="s">
        <v>1146</v>
      </c>
      <c r="D4456" t="s">
        <v>1147</v>
      </c>
      <c r="E4456" s="8">
        <v>18960</v>
      </c>
      <c r="F4456" s="8">
        <v>177530</v>
      </c>
      <c r="G4456" s="8">
        <f t="shared" si="276"/>
        <v>3365968800</v>
      </c>
      <c r="H4456" s="5">
        <v>0.4417</v>
      </c>
      <c r="I4456" s="8">
        <f t="shared" si="277"/>
        <v>3365968800</v>
      </c>
      <c r="J4456" s="8">
        <f t="shared" si="278"/>
        <v>1486748418.96</v>
      </c>
      <c r="K4456" t="str">
        <f t="shared" si="279"/>
        <v>MATCHED</v>
      </c>
    </row>
    <row r="4457" spans="1:11">
      <c r="A4457" t="s">
        <v>122</v>
      </c>
      <c r="B4457" t="s">
        <v>1704</v>
      </c>
      <c r="C4457" t="s">
        <v>261</v>
      </c>
      <c r="D4457" t="s">
        <v>262</v>
      </c>
      <c r="E4457" s="8">
        <v>5080</v>
      </c>
      <c r="F4457" s="8">
        <v>214450</v>
      </c>
      <c r="G4457" s="8">
        <f t="shared" si="276"/>
        <v>1089406000</v>
      </c>
      <c r="H4457" s="5">
        <v>0.382</v>
      </c>
      <c r="I4457" s="8">
        <f t="shared" si="277"/>
        <v>1089406000</v>
      </c>
      <c r="J4457" s="8">
        <f t="shared" si="278"/>
        <v>416153092</v>
      </c>
      <c r="K4457" t="str">
        <f t="shared" si="279"/>
        <v>MATCHED</v>
      </c>
    </row>
    <row r="4458" spans="1:11">
      <c r="A4458" t="s">
        <v>122</v>
      </c>
      <c r="B4458" t="s">
        <v>1704</v>
      </c>
      <c r="C4458" t="s">
        <v>532</v>
      </c>
      <c r="D4458" t="s">
        <v>533</v>
      </c>
      <c r="E4458" s="8">
        <v>8920</v>
      </c>
      <c r="F4458" s="8">
        <v>129280</v>
      </c>
      <c r="G4458" s="8">
        <f t="shared" si="276"/>
        <v>1153177600</v>
      </c>
      <c r="H4458" s="5">
        <v>0.3833</v>
      </c>
      <c r="I4458" s="8">
        <f t="shared" si="277"/>
        <v>1153177600</v>
      </c>
      <c r="J4458" s="8">
        <f t="shared" si="278"/>
        <v>442012974.08</v>
      </c>
      <c r="K4458" t="str">
        <f t="shared" si="279"/>
        <v>MATCHED</v>
      </c>
    </row>
    <row r="4459" spans="1:11">
      <c r="A4459" t="s">
        <v>122</v>
      </c>
      <c r="B4459" t="s">
        <v>1704</v>
      </c>
      <c r="C4459" t="s">
        <v>926</v>
      </c>
      <c r="D4459" t="s">
        <v>927</v>
      </c>
      <c r="E4459" s="8">
        <v>5360</v>
      </c>
      <c r="F4459" s="8">
        <v>99110</v>
      </c>
      <c r="G4459" s="8">
        <f t="shared" si="276"/>
        <v>531229600</v>
      </c>
      <c r="H4459" s="5">
        <v>0.3656</v>
      </c>
      <c r="I4459" s="8">
        <f t="shared" si="277"/>
        <v>531229600</v>
      </c>
      <c r="J4459" s="8">
        <f t="shared" si="278"/>
        <v>194217541.76</v>
      </c>
      <c r="K4459" t="str">
        <f t="shared" si="279"/>
        <v>MATCHED</v>
      </c>
    </row>
    <row r="4460" spans="1:11">
      <c r="A4460" t="s">
        <v>122</v>
      </c>
      <c r="B4460" t="s">
        <v>1704</v>
      </c>
      <c r="C4460" t="s">
        <v>816</v>
      </c>
      <c r="D4460" t="s">
        <v>817</v>
      </c>
      <c r="E4460" s="8">
        <v>320</v>
      </c>
      <c r="F4460" s="8">
        <v>141920</v>
      </c>
      <c r="G4460" s="8">
        <f t="shared" si="276"/>
        <v>45414400</v>
      </c>
      <c r="H4460" s="5">
        <v>0.4174</v>
      </c>
      <c r="I4460" s="8">
        <f t="shared" si="277"/>
        <v>45414400</v>
      </c>
      <c r="J4460" s="8">
        <f t="shared" si="278"/>
        <v>18955970.56</v>
      </c>
      <c r="K4460" t="str">
        <f t="shared" si="279"/>
        <v>MATCHED</v>
      </c>
    </row>
    <row r="4461" spans="1:11">
      <c r="A4461" t="s">
        <v>122</v>
      </c>
      <c r="B4461" t="s">
        <v>1704</v>
      </c>
      <c r="C4461" t="s">
        <v>1148</v>
      </c>
      <c r="D4461" t="s">
        <v>1149</v>
      </c>
      <c r="E4461" s="8">
        <v>210</v>
      </c>
      <c r="F4461" s="8">
        <v>101420</v>
      </c>
      <c r="G4461" s="8">
        <f t="shared" si="276"/>
        <v>21298200</v>
      </c>
      <c r="H4461" s="5">
        <v>0.4143</v>
      </c>
      <c r="I4461" s="8">
        <f t="shared" si="277"/>
        <v>21298200</v>
      </c>
      <c r="J4461" s="8">
        <f t="shared" si="278"/>
        <v>8823844.26</v>
      </c>
      <c r="K4461" t="str">
        <f t="shared" si="279"/>
        <v>MATCHED</v>
      </c>
    </row>
    <row r="4462" spans="1:11">
      <c r="A4462" t="s">
        <v>122</v>
      </c>
      <c r="B4462" t="s">
        <v>1704</v>
      </c>
      <c r="C4462" t="s">
        <v>263</v>
      </c>
      <c r="D4462" t="s">
        <v>264</v>
      </c>
      <c r="E4462" s="8">
        <v>51180</v>
      </c>
      <c r="F4462" s="8">
        <v>180280</v>
      </c>
      <c r="G4462" s="8">
        <f t="shared" si="276"/>
        <v>9226730400</v>
      </c>
      <c r="H4462" s="5">
        <v>0.4896</v>
      </c>
      <c r="I4462" s="8">
        <f t="shared" si="277"/>
        <v>9226730400</v>
      </c>
      <c r="J4462" s="8">
        <f t="shared" si="278"/>
        <v>4517407203.84</v>
      </c>
      <c r="K4462" t="str">
        <f t="shared" si="279"/>
        <v>MATCHED</v>
      </c>
    </row>
    <row r="4463" spans="1:11">
      <c r="A4463" t="s">
        <v>122</v>
      </c>
      <c r="B4463" t="s">
        <v>1704</v>
      </c>
      <c r="C4463" t="s">
        <v>265</v>
      </c>
      <c r="D4463" t="s">
        <v>266</v>
      </c>
      <c r="E4463" s="8">
        <v>46080</v>
      </c>
      <c r="F4463" s="8">
        <v>93960</v>
      </c>
      <c r="G4463" s="8">
        <f t="shared" si="276"/>
        <v>4329676800</v>
      </c>
      <c r="H4463" s="5">
        <v>0.5876</v>
      </c>
      <c r="I4463" s="8">
        <f t="shared" si="277"/>
        <v>4329676800</v>
      </c>
      <c r="J4463" s="8">
        <f t="shared" si="278"/>
        <v>2544118087.68</v>
      </c>
      <c r="K4463" t="str">
        <f t="shared" si="279"/>
        <v>MATCHED</v>
      </c>
    </row>
    <row r="4464" spans="1:11">
      <c r="A4464" t="s">
        <v>122</v>
      </c>
      <c r="B4464" t="s">
        <v>1704</v>
      </c>
      <c r="C4464" t="s">
        <v>818</v>
      </c>
      <c r="D4464" t="s">
        <v>819</v>
      </c>
      <c r="E4464" s="8">
        <v>6530</v>
      </c>
      <c r="F4464" s="8">
        <v>72730</v>
      </c>
      <c r="G4464" s="8">
        <f t="shared" si="276"/>
        <v>474926900</v>
      </c>
      <c r="H4464" s="5">
        <v>0.6983</v>
      </c>
      <c r="I4464" s="8">
        <f t="shared" si="277"/>
        <v>474926900</v>
      </c>
      <c r="J4464" s="8">
        <f t="shared" si="278"/>
        <v>331641454.27</v>
      </c>
      <c r="K4464" t="str">
        <f t="shared" si="279"/>
        <v>MATCHED</v>
      </c>
    </row>
    <row r="4465" spans="1:11">
      <c r="A4465" t="s">
        <v>122</v>
      </c>
      <c r="B4465" t="s">
        <v>1704</v>
      </c>
      <c r="C4465" t="s">
        <v>1462</v>
      </c>
      <c r="D4465" t="s">
        <v>1463</v>
      </c>
      <c r="E4465" s="8"/>
      <c r="F4465" s="8">
        <v>65640</v>
      </c>
      <c r="G4465" s="8" t="str">
        <f t="shared" si="276"/>
        <v/>
      </c>
      <c r="H4465" s="5">
        <v>0.4714</v>
      </c>
      <c r="I4465" s="8" t="str">
        <f t="shared" si="277"/>
        <v/>
      </c>
      <c r="J4465" s="8" t="str">
        <f t="shared" si="278"/>
        <v/>
      </c>
      <c r="K4465" t="str">
        <f t="shared" si="279"/>
        <v>MISSING OEWS</v>
      </c>
    </row>
    <row r="4466" spans="1:11">
      <c r="A4466" t="s">
        <v>122</v>
      </c>
      <c r="B4466" t="s">
        <v>1704</v>
      </c>
      <c r="C4466" t="s">
        <v>267</v>
      </c>
      <c r="D4466" t="s">
        <v>268</v>
      </c>
      <c r="E4466" s="8">
        <v>23550</v>
      </c>
      <c r="F4466" s="8">
        <v>96620</v>
      </c>
      <c r="G4466" s="8">
        <f t="shared" si="276"/>
        <v>2275401000</v>
      </c>
      <c r="H4466" s="5">
        <v>0.4611</v>
      </c>
      <c r="I4466" s="8">
        <f t="shared" si="277"/>
        <v>2275401000</v>
      </c>
      <c r="J4466" s="8">
        <f t="shared" si="278"/>
        <v>1049187401.1</v>
      </c>
      <c r="K4466" t="str">
        <f t="shared" si="279"/>
        <v>MATCHED</v>
      </c>
    </row>
    <row r="4467" spans="1:11">
      <c r="A4467" t="s">
        <v>122</v>
      </c>
      <c r="B4467" t="s">
        <v>1704</v>
      </c>
      <c r="C4467" t="s">
        <v>534</v>
      </c>
      <c r="D4467" t="s">
        <v>535</v>
      </c>
      <c r="E4467" s="8">
        <v>3640</v>
      </c>
      <c r="F4467" s="8">
        <v>90940</v>
      </c>
      <c r="G4467" s="8">
        <f t="shared" si="276"/>
        <v>331021600</v>
      </c>
      <c r="H4467" s="5">
        <v>0.6393</v>
      </c>
      <c r="I4467" s="8">
        <f t="shared" si="277"/>
        <v>331021600</v>
      </c>
      <c r="J4467" s="8">
        <f t="shared" si="278"/>
        <v>211622108.88</v>
      </c>
      <c r="K4467" t="str">
        <f t="shared" si="279"/>
        <v>MATCHED</v>
      </c>
    </row>
    <row r="4468" spans="1:11">
      <c r="A4468" t="s">
        <v>122</v>
      </c>
      <c r="B4468" t="s">
        <v>1704</v>
      </c>
      <c r="C4468" t="s">
        <v>269</v>
      </c>
      <c r="D4468" t="s">
        <v>270</v>
      </c>
      <c r="E4468" s="8">
        <v>73460</v>
      </c>
      <c r="F4468" s="8">
        <v>87580</v>
      </c>
      <c r="G4468" s="8">
        <f t="shared" si="276"/>
        <v>6433626800</v>
      </c>
      <c r="H4468" s="5">
        <v>0.7808</v>
      </c>
      <c r="I4468" s="8">
        <f t="shared" si="277"/>
        <v>6433626800</v>
      </c>
      <c r="J4468" s="8">
        <f t="shared" si="278"/>
        <v>5023375805.44</v>
      </c>
      <c r="K4468" t="str">
        <f t="shared" si="279"/>
        <v>MATCHED</v>
      </c>
    </row>
    <row r="4469" spans="1:11">
      <c r="A4469" t="s">
        <v>122</v>
      </c>
      <c r="B4469" t="s">
        <v>1704</v>
      </c>
      <c r="C4469" t="s">
        <v>820</v>
      </c>
      <c r="D4469" t="s">
        <v>821</v>
      </c>
      <c r="E4469" s="8">
        <v>2190</v>
      </c>
      <c r="F4469" s="8">
        <v>105790</v>
      </c>
      <c r="G4469" s="8">
        <f t="shared" si="276"/>
        <v>231680100</v>
      </c>
      <c r="H4469" s="5">
        <v>0.5536</v>
      </c>
      <c r="I4469" s="8">
        <f t="shared" si="277"/>
        <v>231680100</v>
      </c>
      <c r="J4469" s="8">
        <f t="shared" si="278"/>
        <v>128258103.36</v>
      </c>
      <c r="K4469" t="str">
        <f t="shared" si="279"/>
        <v>MATCHED</v>
      </c>
    </row>
    <row r="4470" spans="1:11">
      <c r="A4470" t="s">
        <v>122</v>
      </c>
      <c r="B4470" t="s">
        <v>1704</v>
      </c>
      <c r="C4470" t="s">
        <v>273</v>
      </c>
      <c r="D4470" t="s">
        <v>274</v>
      </c>
      <c r="E4470" s="8">
        <v>29300</v>
      </c>
      <c r="F4470" s="8">
        <v>96770</v>
      </c>
      <c r="G4470" s="8">
        <f t="shared" si="276"/>
        <v>2835361000</v>
      </c>
      <c r="H4470" s="5">
        <v>0.6943</v>
      </c>
      <c r="I4470" s="8">
        <f t="shared" si="277"/>
        <v>2835361000</v>
      </c>
      <c r="J4470" s="8">
        <f t="shared" si="278"/>
        <v>1968591142.3</v>
      </c>
      <c r="K4470" t="str">
        <f t="shared" si="279"/>
        <v>MATCHED</v>
      </c>
    </row>
    <row r="4471" spans="1:11">
      <c r="A4471" t="s">
        <v>122</v>
      </c>
      <c r="B4471" t="s">
        <v>1704</v>
      </c>
      <c r="C4471" t="s">
        <v>275</v>
      </c>
      <c r="D4471" t="s">
        <v>276</v>
      </c>
      <c r="E4471" s="8">
        <v>50570</v>
      </c>
      <c r="F4471" s="8">
        <v>122540</v>
      </c>
      <c r="G4471" s="8">
        <f t="shared" si="276"/>
        <v>6196847800</v>
      </c>
      <c r="H4471" s="5">
        <v>0.6375</v>
      </c>
      <c r="I4471" s="8">
        <f t="shared" si="277"/>
        <v>6196847800</v>
      </c>
      <c r="J4471" s="8">
        <f t="shared" si="278"/>
        <v>3950490472.5</v>
      </c>
      <c r="K4471" t="str">
        <f t="shared" si="279"/>
        <v>MATCHED</v>
      </c>
    </row>
    <row r="4472" spans="1:11">
      <c r="A4472" t="s">
        <v>122</v>
      </c>
      <c r="B4472" t="s">
        <v>1704</v>
      </c>
      <c r="C4472" t="s">
        <v>277</v>
      </c>
      <c r="D4472" t="s">
        <v>278</v>
      </c>
      <c r="E4472" s="8">
        <v>52380</v>
      </c>
      <c r="F4472" s="8">
        <v>113090</v>
      </c>
      <c r="G4472" s="8">
        <f t="shared" si="276"/>
        <v>5923654200</v>
      </c>
      <c r="H4472" s="5">
        <v>0.5773</v>
      </c>
      <c r="I4472" s="8">
        <f t="shared" si="277"/>
        <v>5923654200</v>
      </c>
      <c r="J4472" s="8">
        <f t="shared" si="278"/>
        <v>3419725569.66</v>
      </c>
      <c r="K4472" t="str">
        <f t="shared" si="279"/>
        <v>MATCHED</v>
      </c>
    </row>
    <row r="4473" spans="1:11">
      <c r="A4473" t="s">
        <v>122</v>
      </c>
      <c r="B4473" t="s">
        <v>1704</v>
      </c>
      <c r="C4473" t="s">
        <v>279</v>
      </c>
      <c r="D4473" t="s">
        <v>280</v>
      </c>
      <c r="E4473" s="8">
        <v>3530</v>
      </c>
      <c r="F4473" s="8">
        <v>90770</v>
      </c>
      <c r="G4473" s="8">
        <f t="shared" si="276"/>
        <v>320418100</v>
      </c>
      <c r="H4473" s="5">
        <v>0.4476</v>
      </c>
      <c r="I4473" s="8">
        <f t="shared" si="277"/>
        <v>320418100</v>
      </c>
      <c r="J4473" s="8">
        <f t="shared" si="278"/>
        <v>143419141.56</v>
      </c>
      <c r="K4473" t="str">
        <f t="shared" si="279"/>
        <v>MATCHED</v>
      </c>
    </row>
    <row r="4474" spans="1:11">
      <c r="A4474" t="s">
        <v>122</v>
      </c>
      <c r="B4474" t="s">
        <v>1704</v>
      </c>
      <c r="C4474" t="s">
        <v>928</v>
      </c>
      <c r="D4474" t="s">
        <v>929</v>
      </c>
      <c r="E4474" s="8">
        <v>2870</v>
      </c>
      <c r="F4474" s="8">
        <v>78770</v>
      </c>
      <c r="G4474" s="8">
        <f t="shared" si="276"/>
        <v>226069900</v>
      </c>
      <c r="H4474" s="5">
        <v>0.5571</v>
      </c>
      <c r="I4474" s="8">
        <f t="shared" si="277"/>
        <v>226069900</v>
      </c>
      <c r="J4474" s="8">
        <f t="shared" si="278"/>
        <v>125943541.29</v>
      </c>
      <c r="K4474" t="str">
        <f t="shared" si="279"/>
        <v>MATCHED</v>
      </c>
    </row>
    <row r="4475" spans="1:11">
      <c r="A4475" t="s">
        <v>122</v>
      </c>
      <c r="B4475" t="s">
        <v>1704</v>
      </c>
      <c r="C4475" t="s">
        <v>281</v>
      </c>
      <c r="D4475" t="s">
        <v>282</v>
      </c>
      <c r="E4475" s="8">
        <v>13920</v>
      </c>
      <c r="F4475" s="8">
        <v>91730</v>
      </c>
      <c r="G4475" s="8">
        <f t="shared" si="276"/>
        <v>1276881600</v>
      </c>
      <c r="H4475" s="5">
        <v>0.6167</v>
      </c>
      <c r="I4475" s="8">
        <f t="shared" si="277"/>
        <v>1276881600</v>
      </c>
      <c r="J4475" s="8">
        <f t="shared" si="278"/>
        <v>787452882.72</v>
      </c>
      <c r="K4475" t="str">
        <f t="shared" si="279"/>
        <v>MATCHED</v>
      </c>
    </row>
    <row r="4476" spans="1:11">
      <c r="A4476" t="s">
        <v>122</v>
      </c>
      <c r="B4476" t="s">
        <v>1704</v>
      </c>
      <c r="C4476" t="s">
        <v>283</v>
      </c>
      <c r="D4476" t="s">
        <v>284</v>
      </c>
      <c r="E4476" s="8">
        <v>24530</v>
      </c>
      <c r="F4476" s="8">
        <v>86600</v>
      </c>
      <c r="G4476" s="8">
        <f t="shared" si="276"/>
        <v>2124298000</v>
      </c>
      <c r="H4476" s="5">
        <v>0.565</v>
      </c>
      <c r="I4476" s="8">
        <f t="shared" si="277"/>
        <v>2124298000</v>
      </c>
      <c r="J4476" s="8">
        <f t="shared" si="278"/>
        <v>1200228370</v>
      </c>
      <c r="K4476" t="str">
        <f t="shared" si="279"/>
        <v>MATCHED</v>
      </c>
    </row>
    <row r="4477" spans="1:11">
      <c r="A4477" t="s">
        <v>122</v>
      </c>
      <c r="B4477" t="s">
        <v>1704</v>
      </c>
      <c r="C4477" t="s">
        <v>285</v>
      </c>
      <c r="D4477" t="s">
        <v>286</v>
      </c>
      <c r="E4477" s="8">
        <v>74470</v>
      </c>
      <c r="F4477" s="8">
        <v>104380</v>
      </c>
      <c r="G4477" s="8">
        <f t="shared" si="276"/>
        <v>7773178600</v>
      </c>
      <c r="H4477" s="5">
        <v>0.7792</v>
      </c>
      <c r="I4477" s="8">
        <f t="shared" si="277"/>
        <v>7773178600</v>
      </c>
      <c r="J4477" s="8">
        <f t="shared" si="278"/>
        <v>6056860765.12</v>
      </c>
      <c r="K4477" t="str">
        <f t="shared" si="279"/>
        <v>MATCHED</v>
      </c>
    </row>
    <row r="4478" spans="1:11">
      <c r="A4478" t="s">
        <v>122</v>
      </c>
      <c r="B4478" t="s">
        <v>1704</v>
      </c>
      <c r="C4478" t="s">
        <v>287</v>
      </c>
      <c r="D4478" t="s">
        <v>288</v>
      </c>
      <c r="E4478" s="8">
        <v>64250</v>
      </c>
      <c r="F4478" s="8">
        <v>96970</v>
      </c>
      <c r="G4478" s="8">
        <f t="shared" si="276"/>
        <v>6230322500</v>
      </c>
      <c r="H4478" s="5">
        <v>0.6599</v>
      </c>
      <c r="I4478" s="8">
        <f t="shared" si="277"/>
        <v>6230322500</v>
      </c>
      <c r="J4478" s="8">
        <f t="shared" si="278"/>
        <v>4111389817.75</v>
      </c>
      <c r="K4478" t="str">
        <f t="shared" si="279"/>
        <v>MATCHED</v>
      </c>
    </row>
    <row r="4479" spans="1:11">
      <c r="A4479" t="s">
        <v>122</v>
      </c>
      <c r="B4479" t="s">
        <v>1704</v>
      </c>
      <c r="C4479" t="s">
        <v>289</v>
      </c>
      <c r="D4479" t="s">
        <v>290</v>
      </c>
      <c r="E4479" s="8">
        <v>105120</v>
      </c>
      <c r="F4479" s="8">
        <v>97900</v>
      </c>
      <c r="G4479" s="8">
        <f t="shared" si="276"/>
        <v>10291248000</v>
      </c>
      <c r="H4479" s="5">
        <v>0.795</v>
      </c>
      <c r="I4479" s="8">
        <f t="shared" si="277"/>
        <v>10291248000</v>
      </c>
      <c r="J4479" s="8">
        <f t="shared" si="278"/>
        <v>8181542160</v>
      </c>
      <c r="K4479" t="str">
        <f t="shared" si="279"/>
        <v>MATCHED</v>
      </c>
    </row>
    <row r="4480" spans="1:11">
      <c r="A4480" t="s">
        <v>122</v>
      </c>
      <c r="B4480" t="s">
        <v>1704</v>
      </c>
      <c r="C4480" t="s">
        <v>822</v>
      </c>
      <c r="D4480" t="s">
        <v>823</v>
      </c>
      <c r="E4480" s="8">
        <v>870</v>
      </c>
      <c r="F4480" s="8">
        <v>90100</v>
      </c>
      <c r="G4480" s="8">
        <f t="shared" si="276"/>
        <v>78387000</v>
      </c>
      <c r="H4480" s="5">
        <v>0.6102</v>
      </c>
      <c r="I4480" s="8">
        <f t="shared" si="277"/>
        <v>78387000</v>
      </c>
      <c r="J4480" s="8">
        <f t="shared" si="278"/>
        <v>47831747.4</v>
      </c>
      <c r="K4480" t="str">
        <f t="shared" si="279"/>
        <v>MATCHED</v>
      </c>
    </row>
    <row r="4481" spans="1:11">
      <c r="A4481" t="s">
        <v>122</v>
      </c>
      <c r="B4481" t="s">
        <v>1704</v>
      </c>
      <c r="C4481" t="s">
        <v>824</v>
      </c>
      <c r="D4481" t="s">
        <v>825</v>
      </c>
      <c r="E4481" s="8">
        <v>3380</v>
      </c>
      <c r="F4481" s="8">
        <v>95820</v>
      </c>
      <c r="G4481" s="8">
        <f t="shared" si="276"/>
        <v>323871600</v>
      </c>
      <c r="H4481" s="5">
        <v>0.8</v>
      </c>
      <c r="I4481" s="8">
        <f t="shared" si="277"/>
        <v>323871600</v>
      </c>
      <c r="J4481" s="8">
        <f t="shared" si="278"/>
        <v>259097280</v>
      </c>
      <c r="K4481" t="str">
        <f t="shared" si="279"/>
        <v>MATCHED</v>
      </c>
    </row>
    <row r="4482" spans="1:11">
      <c r="A4482" t="s">
        <v>122</v>
      </c>
      <c r="B4482" t="s">
        <v>1704</v>
      </c>
      <c r="C4482" t="s">
        <v>826</v>
      </c>
      <c r="D4482" t="s">
        <v>827</v>
      </c>
      <c r="E4482" s="8">
        <v>7830</v>
      </c>
      <c r="F4482" s="8">
        <v>97770</v>
      </c>
      <c r="G4482" s="8">
        <f t="shared" ref="G4482:G4545" si="280">IF(OR(E4482="",F4482=""),"",E4482*F4482)</f>
        <v>765539100</v>
      </c>
      <c r="H4482" s="5">
        <v>0.8182</v>
      </c>
      <c r="I4482" s="8">
        <f t="shared" ref="I4482:I4545" si="281">IF(G4482="","",IF(ISNUMBER(H4482),G4482,""))</f>
        <v>765539100</v>
      </c>
      <c r="J4482" s="8">
        <f t="shared" ref="J4482:J4545" si="282">IF(I4482="","",I4482*H4482)</f>
        <v>626364091.62</v>
      </c>
      <c r="K4482" t="str">
        <f t="shared" ref="K4482:K4545" si="283">IF(G4482="","MISSING OEWS",IF(ISNUMBER(H4482),"MATCHED","MISSING WHARTON"))</f>
        <v>MATCHED</v>
      </c>
    </row>
    <row r="4483" spans="1:11">
      <c r="A4483" t="s">
        <v>122</v>
      </c>
      <c r="B4483" t="s">
        <v>1704</v>
      </c>
      <c r="C4483" t="s">
        <v>536</v>
      </c>
      <c r="D4483" t="s">
        <v>537</v>
      </c>
      <c r="E4483" s="8">
        <v>44850</v>
      </c>
      <c r="F4483" s="8">
        <v>109180</v>
      </c>
      <c r="G4483" s="8">
        <f t="shared" si="280"/>
        <v>4896723000</v>
      </c>
      <c r="H4483" s="5">
        <v>0.6904</v>
      </c>
      <c r="I4483" s="8">
        <f t="shared" si="281"/>
        <v>4896723000</v>
      </c>
      <c r="J4483" s="8">
        <f t="shared" si="282"/>
        <v>3380697559.2</v>
      </c>
      <c r="K4483" t="str">
        <f t="shared" si="283"/>
        <v>MATCHED</v>
      </c>
    </row>
    <row r="4484" spans="1:11">
      <c r="A4484" t="s">
        <v>122</v>
      </c>
      <c r="B4484" t="s">
        <v>1704</v>
      </c>
      <c r="C4484" t="s">
        <v>930</v>
      </c>
      <c r="D4484" t="s">
        <v>931</v>
      </c>
      <c r="E4484" s="8">
        <v>4680</v>
      </c>
      <c r="F4484" s="8">
        <v>122670</v>
      </c>
      <c r="G4484" s="8">
        <f t="shared" si="280"/>
        <v>574095600</v>
      </c>
      <c r="H4484" s="5">
        <v>0.6857</v>
      </c>
      <c r="I4484" s="8">
        <f t="shared" si="281"/>
        <v>574095600</v>
      </c>
      <c r="J4484" s="8">
        <f t="shared" si="282"/>
        <v>393657352.92</v>
      </c>
      <c r="K4484" t="str">
        <f t="shared" si="283"/>
        <v>MATCHED</v>
      </c>
    </row>
    <row r="4485" spans="1:11">
      <c r="A4485" t="s">
        <v>122</v>
      </c>
      <c r="B4485" t="s">
        <v>1704</v>
      </c>
      <c r="C4485" t="s">
        <v>1602</v>
      </c>
      <c r="D4485" t="s">
        <v>1603</v>
      </c>
      <c r="E4485" s="8">
        <v>2940</v>
      </c>
      <c r="F4485" s="8">
        <v>89250</v>
      </c>
      <c r="G4485" s="8">
        <f t="shared" si="280"/>
        <v>262395000</v>
      </c>
      <c r="H4485" s="5">
        <v>0.95</v>
      </c>
      <c r="I4485" s="8">
        <f t="shared" si="281"/>
        <v>262395000</v>
      </c>
      <c r="J4485" s="8">
        <f t="shared" si="282"/>
        <v>249275250</v>
      </c>
      <c r="K4485" t="str">
        <f t="shared" si="283"/>
        <v>MATCHED</v>
      </c>
    </row>
    <row r="4486" spans="1:11">
      <c r="A4486" t="s">
        <v>122</v>
      </c>
      <c r="B4486" t="s">
        <v>1704</v>
      </c>
      <c r="C4486" t="s">
        <v>828</v>
      </c>
      <c r="D4486" t="s">
        <v>829</v>
      </c>
      <c r="E4486" s="8">
        <v>6700</v>
      </c>
      <c r="F4486" s="8">
        <v>118270</v>
      </c>
      <c r="G4486" s="8">
        <f t="shared" si="280"/>
        <v>792409000</v>
      </c>
      <c r="H4486" s="5">
        <v>0.7767</v>
      </c>
      <c r="I4486" s="8">
        <f t="shared" si="281"/>
        <v>792409000</v>
      </c>
      <c r="J4486" s="8">
        <f t="shared" si="282"/>
        <v>615464070.3</v>
      </c>
      <c r="K4486" t="str">
        <f t="shared" si="283"/>
        <v>MATCHED</v>
      </c>
    </row>
    <row r="4487" spans="1:11">
      <c r="A4487" t="s">
        <v>122</v>
      </c>
      <c r="B4487" t="s">
        <v>1704</v>
      </c>
      <c r="C4487" t="s">
        <v>1150</v>
      </c>
      <c r="D4487" t="s">
        <v>1151</v>
      </c>
      <c r="E4487" s="8">
        <v>5030</v>
      </c>
      <c r="F4487" s="8">
        <v>98320</v>
      </c>
      <c r="G4487" s="8">
        <f t="shared" si="280"/>
        <v>494549600</v>
      </c>
      <c r="H4487" s="5">
        <v>0.5647</v>
      </c>
      <c r="I4487" s="8">
        <f t="shared" si="281"/>
        <v>494549600</v>
      </c>
      <c r="J4487" s="8">
        <f t="shared" si="282"/>
        <v>279272159.12</v>
      </c>
      <c r="K4487" t="str">
        <f t="shared" si="283"/>
        <v>MATCHED</v>
      </c>
    </row>
    <row r="4488" spans="1:11">
      <c r="A4488" t="s">
        <v>122</v>
      </c>
      <c r="B4488" t="s">
        <v>1704</v>
      </c>
      <c r="C4488" t="s">
        <v>932</v>
      </c>
      <c r="D4488" t="s">
        <v>933</v>
      </c>
      <c r="E4488" s="8">
        <v>900</v>
      </c>
      <c r="F4488" s="8">
        <v>62450</v>
      </c>
      <c r="G4488" s="8">
        <f t="shared" si="280"/>
        <v>56205000</v>
      </c>
      <c r="H4488" s="5">
        <v>0.7587</v>
      </c>
      <c r="I4488" s="8">
        <f t="shared" si="281"/>
        <v>56205000</v>
      </c>
      <c r="J4488" s="8">
        <f t="shared" si="282"/>
        <v>42642733.5</v>
      </c>
      <c r="K4488" t="str">
        <f t="shared" si="283"/>
        <v>MATCHED</v>
      </c>
    </row>
    <row r="4489" spans="1:11">
      <c r="A4489" t="s">
        <v>122</v>
      </c>
      <c r="B4489" t="s">
        <v>1704</v>
      </c>
      <c r="C4489" t="s">
        <v>934</v>
      </c>
      <c r="D4489" t="s">
        <v>935</v>
      </c>
      <c r="E4489" s="8">
        <v>12320</v>
      </c>
      <c r="F4489" s="8">
        <v>93680</v>
      </c>
      <c r="G4489" s="8">
        <f t="shared" si="280"/>
        <v>1154137600</v>
      </c>
      <c r="H4489" s="5">
        <v>0.805</v>
      </c>
      <c r="I4489" s="8">
        <f t="shared" si="281"/>
        <v>1154137600</v>
      </c>
      <c r="J4489" s="8">
        <f t="shared" si="282"/>
        <v>929080768</v>
      </c>
      <c r="K4489" t="str">
        <f t="shared" si="283"/>
        <v>MATCHED</v>
      </c>
    </row>
    <row r="4490" spans="1:11">
      <c r="A4490" t="s">
        <v>122</v>
      </c>
      <c r="B4490" t="s">
        <v>1704</v>
      </c>
      <c r="C4490" t="s">
        <v>1415</v>
      </c>
      <c r="D4490" t="s">
        <v>1416</v>
      </c>
      <c r="E4490" s="8">
        <v>40</v>
      </c>
      <c r="F4490" s="8">
        <v>85980</v>
      </c>
      <c r="G4490" s="8">
        <f t="shared" si="280"/>
        <v>3439200</v>
      </c>
      <c r="H4490" s="5">
        <v>0.9083</v>
      </c>
      <c r="I4490" s="8">
        <f t="shared" si="281"/>
        <v>3439200</v>
      </c>
      <c r="J4490" s="8">
        <f t="shared" si="282"/>
        <v>3123825.36</v>
      </c>
      <c r="K4490" t="str">
        <f t="shared" si="283"/>
        <v>MATCHED</v>
      </c>
    </row>
    <row r="4491" spans="1:11">
      <c r="A4491" t="s">
        <v>122</v>
      </c>
      <c r="B4491" t="s">
        <v>1704</v>
      </c>
      <c r="C4491" t="s">
        <v>538</v>
      </c>
      <c r="D4491" t="s">
        <v>539</v>
      </c>
      <c r="E4491" s="8">
        <v>9310</v>
      </c>
      <c r="F4491" s="8">
        <v>99420</v>
      </c>
      <c r="G4491" s="8">
        <f t="shared" si="280"/>
        <v>925600200</v>
      </c>
      <c r="H4491" s="5">
        <v>0.6192</v>
      </c>
      <c r="I4491" s="8">
        <f t="shared" si="281"/>
        <v>925600200</v>
      </c>
      <c r="J4491" s="8">
        <f t="shared" si="282"/>
        <v>573131643.84</v>
      </c>
      <c r="K4491" t="str">
        <f t="shared" si="283"/>
        <v>MATCHED</v>
      </c>
    </row>
    <row r="4492" spans="1:11">
      <c r="A4492" t="s">
        <v>122</v>
      </c>
      <c r="B4492" t="s">
        <v>1704</v>
      </c>
      <c r="C4492" t="s">
        <v>291</v>
      </c>
      <c r="D4492" t="s">
        <v>292</v>
      </c>
      <c r="E4492" s="8">
        <v>60580</v>
      </c>
      <c r="F4492" s="8">
        <v>116720</v>
      </c>
      <c r="G4492" s="8">
        <f t="shared" si="280"/>
        <v>7070897600</v>
      </c>
      <c r="H4492" s="5">
        <v>0.6388</v>
      </c>
      <c r="I4492" s="8">
        <f t="shared" si="281"/>
        <v>7070897600</v>
      </c>
      <c r="J4492" s="8">
        <f t="shared" si="282"/>
        <v>4516889386.88</v>
      </c>
      <c r="K4492" t="str">
        <f t="shared" si="283"/>
        <v>MATCHED</v>
      </c>
    </row>
    <row r="4493" spans="1:11">
      <c r="A4493" t="s">
        <v>122</v>
      </c>
      <c r="B4493" t="s">
        <v>1704</v>
      </c>
      <c r="C4493" t="s">
        <v>540</v>
      </c>
      <c r="D4493" t="s">
        <v>541</v>
      </c>
      <c r="E4493" s="8">
        <v>19390</v>
      </c>
      <c r="F4493" s="8">
        <v>130550</v>
      </c>
      <c r="G4493" s="8">
        <f t="shared" si="280"/>
        <v>2531364500</v>
      </c>
      <c r="H4493" s="5">
        <v>0.6292</v>
      </c>
      <c r="I4493" s="8">
        <f t="shared" si="281"/>
        <v>2531364500</v>
      </c>
      <c r="J4493" s="8">
        <f t="shared" si="282"/>
        <v>1592734543.4</v>
      </c>
      <c r="K4493" t="str">
        <f t="shared" si="283"/>
        <v>MATCHED</v>
      </c>
    </row>
    <row r="4494" spans="1:11">
      <c r="A4494" t="s">
        <v>122</v>
      </c>
      <c r="B4494" t="s">
        <v>1704</v>
      </c>
      <c r="C4494" t="s">
        <v>1152</v>
      </c>
      <c r="D4494" t="s">
        <v>1153</v>
      </c>
      <c r="E4494" s="8">
        <v>530</v>
      </c>
      <c r="F4494" s="8">
        <v>170050</v>
      </c>
      <c r="G4494" s="8">
        <f t="shared" si="280"/>
        <v>90126500</v>
      </c>
      <c r="H4494" s="5">
        <v>0.39</v>
      </c>
      <c r="I4494" s="8">
        <f t="shared" si="281"/>
        <v>90126500</v>
      </c>
      <c r="J4494" s="8">
        <f t="shared" si="282"/>
        <v>35149335</v>
      </c>
      <c r="K4494" t="str">
        <f t="shared" si="283"/>
        <v>MATCHED</v>
      </c>
    </row>
    <row r="4495" spans="1:11">
      <c r="A4495" t="s">
        <v>122</v>
      </c>
      <c r="B4495" t="s">
        <v>1704</v>
      </c>
      <c r="C4495" t="s">
        <v>542</v>
      </c>
      <c r="D4495" t="s">
        <v>543</v>
      </c>
      <c r="E4495" s="8">
        <v>8650</v>
      </c>
      <c r="F4495" s="8">
        <v>92040</v>
      </c>
      <c r="G4495" s="8">
        <f t="shared" si="280"/>
        <v>796146000</v>
      </c>
      <c r="H4495" s="5">
        <v>0.7096</v>
      </c>
      <c r="I4495" s="8">
        <f t="shared" si="281"/>
        <v>796146000</v>
      </c>
      <c r="J4495" s="8">
        <f t="shared" si="282"/>
        <v>564945201.6</v>
      </c>
      <c r="K4495" t="str">
        <f t="shared" si="283"/>
        <v>MATCHED</v>
      </c>
    </row>
    <row r="4496" spans="1:11">
      <c r="A4496" t="s">
        <v>122</v>
      </c>
      <c r="B4496" t="s">
        <v>1704</v>
      </c>
      <c r="C4496" t="s">
        <v>293</v>
      </c>
      <c r="D4496" t="s">
        <v>294</v>
      </c>
      <c r="E4496" s="8">
        <v>39110</v>
      </c>
      <c r="F4496" s="8">
        <v>71380</v>
      </c>
      <c r="G4496" s="8">
        <f t="shared" si="280"/>
        <v>2791671800</v>
      </c>
      <c r="H4496" s="5">
        <v>0.6062</v>
      </c>
      <c r="I4496" s="8">
        <f t="shared" si="281"/>
        <v>2791671800</v>
      </c>
      <c r="J4496" s="8">
        <f t="shared" si="282"/>
        <v>1692311445.16</v>
      </c>
      <c r="K4496" t="str">
        <f t="shared" si="283"/>
        <v>MATCHED</v>
      </c>
    </row>
    <row r="4497" spans="1:11">
      <c r="A4497" t="s">
        <v>122</v>
      </c>
      <c r="B4497" t="s">
        <v>1704</v>
      </c>
      <c r="C4497" t="s">
        <v>544</v>
      </c>
      <c r="D4497" t="s">
        <v>545</v>
      </c>
      <c r="E4497" s="8">
        <v>16910</v>
      </c>
      <c r="F4497" s="8">
        <v>144590</v>
      </c>
      <c r="G4497" s="8">
        <f t="shared" si="280"/>
        <v>2445016900</v>
      </c>
      <c r="H4497" s="5">
        <v>0.6278</v>
      </c>
      <c r="I4497" s="8">
        <f t="shared" si="281"/>
        <v>2445016900</v>
      </c>
      <c r="J4497" s="8">
        <f t="shared" si="282"/>
        <v>1534981609.82</v>
      </c>
      <c r="K4497" t="str">
        <f t="shared" si="283"/>
        <v>MATCHED</v>
      </c>
    </row>
    <row r="4498" spans="1:11">
      <c r="A4498" t="s">
        <v>122</v>
      </c>
      <c r="B4498" t="s">
        <v>1704</v>
      </c>
      <c r="C4498" t="s">
        <v>546</v>
      </c>
      <c r="D4498" t="s">
        <v>547</v>
      </c>
      <c r="E4498" s="8">
        <v>5320</v>
      </c>
      <c r="F4498" s="8">
        <v>119400</v>
      </c>
      <c r="G4498" s="8">
        <f t="shared" si="280"/>
        <v>635208000</v>
      </c>
      <c r="H4498" s="5">
        <v>0.8389</v>
      </c>
      <c r="I4498" s="8">
        <f t="shared" si="281"/>
        <v>635208000</v>
      </c>
      <c r="J4498" s="8">
        <f t="shared" si="282"/>
        <v>532875991.2</v>
      </c>
      <c r="K4498" t="str">
        <f t="shared" si="283"/>
        <v>MATCHED</v>
      </c>
    </row>
    <row r="4499" spans="1:11">
      <c r="A4499" t="s">
        <v>122</v>
      </c>
      <c r="B4499" t="s">
        <v>1704</v>
      </c>
      <c r="C4499" t="s">
        <v>548</v>
      </c>
      <c r="D4499" t="s">
        <v>549</v>
      </c>
      <c r="E4499" s="8">
        <v>6830</v>
      </c>
      <c r="F4499" s="8">
        <v>142890</v>
      </c>
      <c r="G4499" s="8">
        <f t="shared" si="280"/>
        <v>975938700</v>
      </c>
      <c r="H4499" s="5">
        <v>0.8502</v>
      </c>
      <c r="I4499" s="8">
        <f t="shared" si="281"/>
        <v>975938700</v>
      </c>
      <c r="J4499" s="8">
        <f t="shared" si="282"/>
        <v>829743082.74</v>
      </c>
      <c r="K4499" t="str">
        <f t="shared" si="283"/>
        <v>MATCHED</v>
      </c>
    </row>
    <row r="4500" spans="1:11">
      <c r="A4500" t="s">
        <v>122</v>
      </c>
      <c r="B4500" t="s">
        <v>1704</v>
      </c>
      <c r="C4500" t="s">
        <v>295</v>
      </c>
      <c r="D4500" t="s">
        <v>296</v>
      </c>
      <c r="E4500" s="8">
        <v>23490</v>
      </c>
      <c r="F4500" s="8">
        <v>108490</v>
      </c>
      <c r="G4500" s="8">
        <f t="shared" si="280"/>
        <v>2548430100</v>
      </c>
      <c r="H4500" s="5">
        <v>0.695</v>
      </c>
      <c r="I4500" s="8">
        <f t="shared" si="281"/>
        <v>2548430100</v>
      </c>
      <c r="J4500" s="8">
        <f t="shared" si="282"/>
        <v>1771158919.5</v>
      </c>
      <c r="K4500" t="str">
        <f t="shared" si="283"/>
        <v>MATCHED</v>
      </c>
    </row>
    <row r="4501" spans="1:11">
      <c r="A4501" t="s">
        <v>122</v>
      </c>
      <c r="B4501" t="s">
        <v>1704</v>
      </c>
      <c r="C4501" t="s">
        <v>550</v>
      </c>
      <c r="D4501" t="s">
        <v>551</v>
      </c>
      <c r="E4501" s="8">
        <v>3290</v>
      </c>
      <c r="F4501" s="8">
        <v>110990</v>
      </c>
      <c r="G4501" s="8">
        <f t="shared" si="280"/>
        <v>365157100</v>
      </c>
      <c r="H4501" s="5">
        <v>0.6824</v>
      </c>
      <c r="I4501" s="8">
        <f t="shared" si="281"/>
        <v>365157100</v>
      </c>
      <c r="J4501" s="8">
        <f t="shared" si="282"/>
        <v>249183205.04</v>
      </c>
      <c r="K4501" t="str">
        <f t="shared" si="283"/>
        <v>MATCHED</v>
      </c>
    </row>
    <row r="4502" spans="1:11">
      <c r="A4502" t="s">
        <v>122</v>
      </c>
      <c r="B4502" t="s">
        <v>1704</v>
      </c>
      <c r="C4502" t="s">
        <v>297</v>
      </c>
      <c r="D4502" t="s">
        <v>298</v>
      </c>
      <c r="E4502" s="8">
        <v>103450</v>
      </c>
      <c r="F4502" s="8">
        <v>156760</v>
      </c>
      <c r="G4502" s="8">
        <f t="shared" si="280"/>
        <v>16216822000</v>
      </c>
      <c r="H4502" s="5">
        <v>0.5211</v>
      </c>
      <c r="I4502" s="8">
        <f t="shared" si="281"/>
        <v>16216822000</v>
      </c>
      <c r="J4502" s="8">
        <f t="shared" si="282"/>
        <v>8450585944.2</v>
      </c>
      <c r="K4502" t="str">
        <f t="shared" si="283"/>
        <v>MATCHED</v>
      </c>
    </row>
    <row r="4503" spans="1:11">
      <c r="A4503" t="s">
        <v>122</v>
      </c>
      <c r="B4503" t="s">
        <v>1704</v>
      </c>
      <c r="C4503" t="s">
        <v>552</v>
      </c>
      <c r="D4503" t="s">
        <v>553</v>
      </c>
      <c r="E4503" s="8">
        <v>10290</v>
      </c>
      <c r="F4503" s="8">
        <v>121240</v>
      </c>
      <c r="G4503" s="8">
        <f t="shared" si="280"/>
        <v>1247559600</v>
      </c>
      <c r="H4503" s="5">
        <v>0.8117</v>
      </c>
      <c r="I4503" s="8">
        <f t="shared" si="281"/>
        <v>1247559600</v>
      </c>
      <c r="J4503" s="8">
        <f t="shared" si="282"/>
        <v>1012644127.32</v>
      </c>
      <c r="K4503" t="str">
        <f t="shared" si="283"/>
        <v>MATCHED</v>
      </c>
    </row>
    <row r="4504" spans="1:11">
      <c r="A4504" t="s">
        <v>122</v>
      </c>
      <c r="B4504" t="s">
        <v>1704</v>
      </c>
      <c r="C4504" t="s">
        <v>830</v>
      </c>
      <c r="D4504" t="s">
        <v>831</v>
      </c>
      <c r="E4504" s="8">
        <v>2900</v>
      </c>
      <c r="F4504" s="8">
        <v>114890</v>
      </c>
      <c r="G4504" s="8">
        <f t="shared" si="280"/>
        <v>333181000</v>
      </c>
      <c r="H4504" s="5">
        <v>0.8276</v>
      </c>
      <c r="I4504" s="8">
        <f t="shared" si="281"/>
        <v>333181000</v>
      </c>
      <c r="J4504" s="8">
        <f t="shared" si="282"/>
        <v>275740595.6</v>
      </c>
      <c r="K4504" t="str">
        <f t="shared" si="283"/>
        <v>MATCHED</v>
      </c>
    </row>
    <row r="4505" spans="1:11">
      <c r="A4505" t="s">
        <v>122</v>
      </c>
      <c r="B4505" t="s">
        <v>1704</v>
      </c>
      <c r="C4505" t="s">
        <v>832</v>
      </c>
      <c r="D4505" t="s">
        <v>833</v>
      </c>
      <c r="E4505" s="8">
        <v>6280</v>
      </c>
      <c r="F4505" s="8">
        <v>132060</v>
      </c>
      <c r="G4505" s="8">
        <f t="shared" si="280"/>
        <v>829336800</v>
      </c>
      <c r="H4505" s="5">
        <v>0.6827</v>
      </c>
      <c r="I4505" s="8">
        <f t="shared" si="281"/>
        <v>829336800</v>
      </c>
      <c r="J4505" s="8">
        <f t="shared" si="282"/>
        <v>566188233.36</v>
      </c>
      <c r="K4505" t="str">
        <f t="shared" si="283"/>
        <v>MATCHED</v>
      </c>
    </row>
    <row r="4506" spans="1:11">
      <c r="A4506" t="s">
        <v>122</v>
      </c>
      <c r="B4506" t="s">
        <v>1704</v>
      </c>
      <c r="C4506" t="s">
        <v>299</v>
      </c>
      <c r="D4506" t="s">
        <v>300</v>
      </c>
      <c r="E4506" s="8">
        <v>25080</v>
      </c>
      <c r="F4506" s="8">
        <v>133260</v>
      </c>
      <c r="G4506" s="8">
        <f t="shared" si="280"/>
        <v>3342160800</v>
      </c>
      <c r="H4506" s="5">
        <v>0.7425</v>
      </c>
      <c r="I4506" s="8">
        <f t="shared" si="281"/>
        <v>3342160800</v>
      </c>
      <c r="J4506" s="8">
        <f t="shared" si="282"/>
        <v>2481554394</v>
      </c>
      <c r="K4506" t="str">
        <f t="shared" si="283"/>
        <v>MATCHED</v>
      </c>
    </row>
    <row r="4507" spans="1:11">
      <c r="A4507" t="s">
        <v>122</v>
      </c>
      <c r="B4507" t="s">
        <v>1704</v>
      </c>
      <c r="C4507" t="s">
        <v>1604</v>
      </c>
      <c r="D4507" t="s">
        <v>1605</v>
      </c>
      <c r="E4507" s="8">
        <v>1150</v>
      </c>
      <c r="F4507" s="8">
        <v>140690</v>
      </c>
      <c r="G4507" s="8">
        <f t="shared" si="280"/>
        <v>161793500</v>
      </c>
      <c r="H4507" s="5">
        <v>0.74</v>
      </c>
      <c r="I4507" s="8">
        <f t="shared" si="281"/>
        <v>161793500</v>
      </c>
      <c r="J4507" s="8">
        <f t="shared" si="282"/>
        <v>119727190</v>
      </c>
      <c r="K4507" t="str">
        <f t="shared" si="283"/>
        <v>MATCHED</v>
      </c>
    </row>
    <row r="4508" spans="1:11">
      <c r="A4508" t="s">
        <v>122</v>
      </c>
      <c r="B4508" t="s">
        <v>1704</v>
      </c>
      <c r="C4508" t="s">
        <v>1154</v>
      </c>
      <c r="D4508" t="s">
        <v>1155</v>
      </c>
      <c r="E4508" s="8">
        <v>30</v>
      </c>
      <c r="F4508" s="8">
        <v>124370</v>
      </c>
      <c r="G4508" s="8">
        <f t="shared" si="280"/>
        <v>3731100</v>
      </c>
      <c r="H4508" s="5">
        <v>0.5318</v>
      </c>
      <c r="I4508" s="8">
        <f t="shared" si="281"/>
        <v>3731100</v>
      </c>
      <c r="J4508" s="8">
        <f t="shared" si="282"/>
        <v>1984198.98</v>
      </c>
      <c r="K4508" t="str">
        <f t="shared" si="283"/>
        <v>MATCHED</v>
      </c>
    </row>
    <row r="4509" spans="1:11">
      <c r="A4509" t="s">
        <v>122</v>
      </c>
      <c r="B4509" t="s">
        <v>1704</v>
      </c>
      <c r="C4509" t="s">
        <v>554</v>
      </c>
      <c r="D4509" t="s">
        <v>555</v>
      </c>
      <c r="E4509" s="8">
        <v>10550</v>
      </c>
      <c r="F4509" s="8">
        <v>103130</v>
      </c>
      <c r="G4509" s="8">
        <f t="shared" si="280"/>
        <v>1088021500</v>
      </c>
      <c r="H4509" s="5">
        <v>0.6031</v>
      </c>
      <c r="I4509" s="8">
        <f t="shared" si="281"/>
        <v>1088021500</v>
      </c>
      <c r="J4509" s="8">
        <f t="shared" si="282"/>
        <v>656185766.65</v>
      </c>
      <c r="K4509" t="str">
        <f t="shared" si="283"/>
        <v>MATCHED</v>
      </c>
    </row>
    <row r="4510" spans="1:11">
      <c r="A4510" t="s">
        <v>122</v>
      </c>
      <c r="B4510" t="s">
        <v>1704</v>
      </c>
      <c r="C4510" t="s">
        <v>1156</v>
      </c>
      <c r="D4510" t="s">
        <v>1157</v>
      </c>
      <c r="E4510" s="8">
        <v>1390</v>
      </c>
      <c r="F4510" s="8">
        <v>124470</v>
      </c>
      <c r="G4510" s="8">
        <f t="shared" si="280"/>
        <v>173013300</v>
      </c>
      <c r="H4510" s="5">
        <v>0.7282</v>
      </c>
      <c r="I4510" s="8">
        <f t="shared" si="281"/>
        <v>173013300</v>
      </c>
      <c r="J4510" s="8">
        <f t="shared" si="282"/>
        <v>125988285.06</v>
      </c>
      <c r="K4510" t="str">
        <f t="shared" si="283"/>
        <v>MATCHED</v>
      </c>
    </row>
    <row r="4511" spans="1:11">
      <c r="A4511" t="s">
        <v>122</v>
      </c>
      <c r="B4511" t="s">
        <v>1704</v>
      </c>
      <c r="C4511" t="s">
        <v>556</v>
      </c>
      <c r="D4511" t="s">
        <v>557</v>
      </c>
      <c r="E4511" s="8">
        <v>28620</v>
      </c>
      <c r="F4511" s="8">
        <v>135910</v>
      </c>
      <c r="G4511" s="8">
        <f t="shared" si="280"/>
        <v>3889744200</v>
      </c>
      <c r="H4511" s="5">
        <v>0.8228</v>
      </c>
      <c r="I4511" s="8">
        <f t="shared" si="281"/>
        <v>3889744200</v>
      </c>
      <c r="J4511" s="8">
        <f t="shared" si="282"/>
        <v>3200481527.76</v>
      </c>
      <c r="K4511" t="str">
        <f t="shared" si="283"/>
        <v>MATCHED</v>
      </c>
    </row>
    <row r="4512" spans="1:11">
      <c r="A4512" t="s">
        <v>122</v>
      </c>
      <c r="B4512" t="s">
        <v>1704</v>
      </c>
      <c r="C4512" t="s">
        <v>1158</v>
      </c>
      <c r="D4512" t="s">
        <v>1159</v>
      </c>
      <c r="E4512" s="8">
        <v>130</v>
      </c>
      <c r="F4512" s="8">
        <v>80880</v>
      </c>
      <c r="G4512" s="8">
        <f t="shared" si="280"/>
        <v>10514400</v>
      </c>
      <c r="H4512" s="5">
        <v>0.7711</v>
      </c>
      <c r="I4512" s="8">
        <f t="shared" si="281"/>
        <v>10514400</v>
      </c>
      <c r="J4512" s="8">
        <f t="shared" si="282"/>
        <v>8107653.84</v>
      </c>
      <c r="K4512" t="str">
        <f t="shared" si="283"/>
        <v>MATCHED</v>
      </c>
    </row>
    <row r="4513" spans="1:11">
      <c r="A4513" t="s">
        <v>122</v>
      </c>
      <c r="B4513" t="s">
        <v>1704</v>
      </c>
      <c r="C4513" t="s">
        <v>834</v>
      </c>
      <c r="D4513" t="s">
        <v>835</v>
      </c>
      <c r="E4513" s="8">
        <v>840</v>
      </c>
      <c r="F4513" s="8">
        <v>133140</v>
      </c>
      <c r="G4513" s="8">
        <f t="shared" si="280"/>
        <v>111837600</v>
      </c>
      <c r="H4513" s="5">
        <v>0.5375</v>
      </c>
      <c r="I4513" s="8">
        <f t="shared" si="281"/>
        <v>111837600</v>
      </c>
      <c r="J4513" s="8">
        <f t="shared" si="282"/>
        <v>60112710</v>
      </c>
      <c r="K4513" t="str">
        <f t="shared" si="283"/>
        <v>MATCHED</v>
      </c>
    </row>
    <row r="4514" spans="1:11">
      <c r="A4514" t="s">
        <v>122</v>
      </c>
      <c r="B4514" t="s">
        <v>1704</v>
      </c>
      <c r="C4514" t="s">
        <v>936</v>
      </c>
      <c r="D4514" t="s">
        <v>937</v>
      </c>
      <c r="E4514" s="8">
        <v>40</v>
      </c>
      <c r="F4514" s="8">
        <v>126610</v>
      </c>
      <c r="G4514" s="8">
        <f t="shared" si="280"/>
        <v>5064400</v>
      </c>
      <c r="H4514" s="5">
        <v>0.3342</v>
      </c>
      <c r="I4514" s="8">
        <f t="shared" si="281"/>
        <v>5064400</v>
      </c>
      <c r="J4514" s="8">
        <f t="shared" si="282"/>
        <v>1692522.48</v>
      </c>
      <c r="K4514" t="str">
        <f t="shared" si="283"/>
        <v>MATCHED</v>
      </c>
    </row>
    <row r="4515" spans="1:11">
      <c r="A4515" t="s">
        <v>122</v>
      </c>
      <c r="B4515" t="s">
        <v>1704</v>
      </c>
      <c r="C4515" t="s">
        <v>558</v>
      </c>
      <c r="D4515" t="s">
        <v>559</v>
      </c>
      <c r="E4515" s="8">
        <v>300</v>
      </c>
      <c r="F4515" s="8">
        <v>101700</v>
      </c>
      <c r="G4515" s="8">
        <f t="shared" si="280"/>
        <v>30510000</v>
      </c>
      <c r="H4515" s="5">
        <v>0.7929</v>
      </c>
      <c r="I4515" s="8">
        <f t="shared" si="281"/>
        <v>30510000</v>
      </c>
      <c r="J4515" s="8">
        <f t="shared" si="282"/>
        <v>24191379</v>
      </c>
      <c r="K4515" t="str">
        <f t="shared" si="283"/>
        <v>MATCHED</v>
      </c>
    </row>
    <row r="4516" spans="1:11">
      <c r="A4516" t="s">
        <v>122</v>
      </c>
      <c r="B4516" t="s">
        <v>1704</v>
      </c>
      <c r="C4516" t="s">
        <v>560</v>
      </c>
      <c r="D4516" t="s">
        <v>561</v>
      </c>
      <c r="E4516" s="8">
        <v>300</v>
      </c>
      <c r="F4516" s="8">
        <v>94010</v>
      </c>
      <c r="G4516" s="8">
        <f t="shared" si="280"/>
        <v>28203000</v>
      </c>
      <c r="H4516" s="5">
        <v>0.3682</v>
      </c>
      <c r="I4516" s="8">
        <f t="shared" si="281"/>
        <v>28203000</v>
      </c>
      <c r="J4516" s="8">
        <f t="shared" si="282"/>
        <v>10384344.6</v>
      </c>
      <c r="K4516" t="str">
        <f t="shared" si="283"/>
        <v>MATCHED</v>
      </c>
    </row>
    <row r="4517" spans="1:11">
      <c r="A4517" t="s">
        <v>122</v>
      </c>
      <c r="B4517" t="s">
        <v>1704</v>
      </c>
      <c r="C4517" t="s">
        <v>1160</v>
      </c>
      <c r="D4517" t="s">
        <v>1161</v>
      </c>
      <c r="E4517" s="8">
        <v>860</v>
      </c>
      <c r="F4517" s="8">
        <v>146310</v>
      </c>
      <c r="G4517" s="8">
        <f t="shared" si="280"/>
        <v>125826600</v>
      </c>
      <c r="H4517" s="5">
        <v>0.5333</v>
      </c>
      <c r="I4517" s="8">
        <f t="shared" si="281"/>
        <v>125826600</v>
      </c>
      <c r="J4517" s="8">
        <f t="shared" si="282"/>
        <v>67103325.78</v>
      </c>
      <c r="K4517" t="str">
        <f t="shared" si="283"/>
        <v>MATCHED</v>
      </c>
    </row>
    <row r="4518" spans="1:11">
      <c r="A4518" t="s">
        <v>122</v>
      </c>
      <c r="B4518" t="s">
        <v>1704</v>
      </c>
      <c r="C4518" t="s">
        <v>836</v>
      </c>
      <c r="D4518" t="s">
        <v>837</v>
      </c>
      <c r="E4518" s="8">
        <v>120</v>
      </c>
      <c r="F4518" s="8">
        <v>125030</v>
      </c>
      <c r="G4518" s="8">
        <f t="shared" si="280"/>
        <v>15003600</v>
      </c>
      <c r="H4518" s="5">
        <v>0.1</v>
      </c>
      <c r="I4518" s="8">
        <f t="shared" si="281"/>
        <v>15003600</v>
      </c>
      <c r="J4518" s="8">
        <f t="shared" si="282"/>
        <v>1500360</v>
      </c>
      <c r="K4518" t="str">
        <f t="shared" si="283"/>
        <v>MATCHED</v>
      </c>
    </row>
    <row r="4519" spans="1:11">
      <c r="A4519" t="s">
        <v>122</v>
      </c>
      <c r="B4519" t="s">
        <v>1704</v>
      </c>
      <c r="C4519" t="s">
        <v>1162</v>
      </c>
      <c r="D4519" t="s">
        <v>1163</v>
      </c>
      <c r="E4519" s="8">
        <v>1230</v>
      </c>
      <c r="F4519" s="8">
        <v>130420</v>
      </c>
      <c r="G4519" s="8">
        <f t="shared" si="280"/>
        <v>160416600</v>
      </c>
      <c r="H4519" s="5">
        <v>0.4067</v>
      </c>
      <c r="I4519" s="8">
        <f t="shared" si="281"/>
        <v>160416600</v>
      </c>
      <c r="J4519" s="8">
        <f t="shared" si="282"/>
        <v>65241431.22</v>
      </c>
      <c r="K4519" t="str">
        <f t="shared" si="283"/>
        <v>MATCHED</v>
      </c>
    </row>
    <row r="4520" spans="1:11">
      <c r="A4520" t="s">
        <v>122</v>
      </c>
      <c r="B4520" t="s">
        <v>1704</v>
      </c>
      <c r="C4520" t="s">
        <v>562</v>
      </c>
      <c r="D4520" t="s">
        <v>563</v>
      </c>
      <c r="E4520" s="8">
        <v>1360</v>
      </c>
      <c r="F4520" s="8">
        <v>144510</v>
      </c>
      <c r="G4520" s="8">
        <f t="shared" si="280"/>
        <v>196533600</v>
      </c>
      <c r="H4520" s="5">
        <v>0.3615</v>
      </c>
      <c r="I4520" s="8">
        <f t="shared" si="281"/>
        <v>196533600</v>
      </c>
      <c r="J4520" s="8">
        <f t="shared" si="282"/>
        <v>71046896.4</v>
      </c>
      <c r="K4520" t="str">
        <f t="shared" si="283"/>
        <v>MATCHED</v>
      </c>
    </row>
    <row r="4521" spans="1:11">
      <c r="A4521" t="s">
        <v>122</v>
      </c>
      <c r="B4521" t="s">
        <v>1704</v>
      </c>
      <c r="C4521" t="s">
        <v>564</v>
      </c>
      <c r="D4521" t="s">
        <v>565</v>
      </c>
      <c r="E4521" s="8">
        <v>3040</v>
      </c>
      <c r="F4521" s="8">
        <v>124330</v>
      </c>
      <c r="G4521" s="8">
        <f t="shared" si="280"/>
        <v>377963200</v>
      </c>
      <c r="H4521" s="5">
        <v>0.4218</v>
      </c>
      <c r="I4521" s="8">
        <f t="shared" si="281"/>
        <v>377963200</v>
      </c>
      <c r="J4521" s="8">
        <f t="shared" si="282"/>
        <v>159424877.76</v>
      </c>
      <c r="K4521" t="str">
        <f t="shared" si="283"/>
        <v>MATCHED</v>
      </c>
    </row>
    <row r="4522" spans="1:11">
      <c r="A4522" t="s">
        <v>122</v>
      </c>
      <c r="B4522" t="s">
        <v>1704</v>
      </c>
      <c r="C4522" t="s">
        <v>838</v>
      </c>
      <c r="D4522" t="s">
        <v>839</v>
      </c>
      <c r="E4522" s="8">
        <v>3930</v>
      </c>
      <c r="F4522" s="8">
        <v>164480</v>
      </c>
      <c r="G4522" s="8">
        <f t="shared" si="280"/>
        <v>646406400</v>
      </c>
      <c r="H4522" s="5">
        <v>0.3639</v>
      </c>
      <c r="I4522" s="8">
        <f t="shared" si="281"/>
        <v>646406400</v>
      </c>
      <c r="J4522" s="8">
        <f t="shared" si="282"/>
        <v>235227288.96</v>
      </c>
      <c r="K4522" t="str">
        <f t="shared" si="283"/>
        <v>MATCHED</v>
      </c>
    </row>
    <row r="4523" spans="1:11">
      <c r="A4523" t="s">
        <v>122</v>
      </c>
      <c r="B4523" t="s">
        <v>1704</v>
      </c>
      <c r="C4523" t="s">
        <v>566</v>
      </c>
      <c r="D4523" t="s">
        <v>567</v>
      </c>
      <c r="E4523" s="8">
        <v>10260</v>
      </c>
      <c r="F4523" s="8">
        <v>134640</v>
      </c>
      <c r="G4523" s="8">
        <f t="shared" si="280"/>
        <v>1381406400</v>
      </c>
      <c r="H4523" s="5">
        <v>0.3523</v>
      </c>
      <c r="I4523" s="8">
        <f t="shared" si="281"/>
        <v>1381406400</v>
      </c>
      <c r="J4523" s="8">
        <f t="shared" si="282"/>
        <v>486669474.72</v>
      </c>
      <c r="K4523" t="str">
        <f t="shared" si="283"/>
        <v>MATCHED</v>
      </c>
    </row>
    <row r="4524" spans="1:11">
      <c r="A4524" t="s">
        <v>122</v>
      </c>
      <c r="B4524" t="s">
        <v>1704</v>
      </c>
      <c r="C4524" t="s">
        <v>568</v>
      </c>
      <c r="D4524" t="s">
        <v>569</v>
      </c>
      <c r="E4524" s="8">
        <v>2940</v>
      </c>
      <c r="F4524" s="8">
        <v>148370</v>
      </c>
      <c r="G4524" s="8">
        <f t="shared" si="280"/>
        <v>436207800</v>
      </c>
      <c r="H4524" s="5">
        <v>0.4536</v>
      </c>
      <c r="I4524" s="8">
        <f t="shared" si="281"/>
        <v>436207800</v>
      </c>
      <c r="J4524" s="8">
        <f t="shared" si="282"/>
        <v>197863858.08</v>
      </c>
      <c r="K4524" t="str">
        <f t="shared" si="283"/>
        <v>MATCHED</v>
      </c>
    </row>
    <row r="4525" spans="1:11">
      <c r="A4525" t="s">
        <v>122</v>
      </c>
      <c r="B4525" t="s">
        <v>1704</v>
      </c>
      <c r="C4525" t="s">
        <v>570</v>
      </c>
      <c r="D4525" t="s">
        <v>571</v>
      </c>
      <c r="E4525" s="8">
        <v>1040</v>
      </c>
      <c r="F4525" s="8">
        <v>122120</v>
      </c>
      <c r="G4525" s="8">
        <f t="shared" si="280"/>
        <v>127004800</v>
      </c>
      <c r="H4525" s="5">
        <v>0.5196</v>
      </c>
      <c r="I4525" s="8">
        <f t="shared" si="281"/>
        <v>127004800</v>
      </c>
      <c r="J4525" s="8">
        <f t="shared" si="282"/>
        <v>65991694.08</v>
      </c>
      <c r="K4525" t="str">
        <f t="shared" si="283"/>
        <v>MATCHED</v>
      </c>
    </row>
    <row r="4526" spans="1:11">
      <c r="A4526" t="s">
        <v>122</v>
      </c>
      <c r="B4526" t="s">
        <v>1704</v>
      </c>
      <c r="C4526" t="s">
        <v>572</v>
      </c>
      <c r="D4526" t="s">
        <v>573</v>
      </c>
      <c r="E4526" s="8">
        <v>1050</v>
      </c>
      <c r="F4526" s="8">
        <v>130480</v>
      </c>
      <c r="G4526" s="8">
        <f t="shared" si="280"/>
        <v>137004000</v>
      </c>
      <c r="H4526" s="5">
        <v>0.2672</v>
      </c>
      <c r="I4526" s="8">
        <f t="shared" si="281"/>
        <v>137004000</v>
      </c>
      <c r="J4526" s="8">
        <f t="shared" si="282"/>
        <v>36607468.8</v>
      </c>
      <c r="K4526" t="str">
        <f t="shared" si="283"/>
        <v>MATCHED</v>
      </c>
    </row>
    <row r="4527" spans="1:11">
      <c r="A4527" t="s">
        <v>122</v>
      </c>
      <c r="B4527" t="s">
        <v>1704</v>
      </c>
      <c r="C4527" t="s">
        <v>301</v>
      </c>
      <c r="D4527" t="s">
        <v>302</v>
      </c>
      <c r="E4527" s="8">
        <v>15380</v>
      </c>
      <c r="F4527" s="8">
        <v>124560</v>
      </c>
      <c r="G4527" s="8">
        <f t="shared" si="280"/>
        <v>1915732800</v>
      </c>
      <c r="H4527" s="5">
        <v>0.4786</v>
      </c>
      <c r="I4527" s="8">
        <f t="shared" si="281"/>
        <v>1915732800</v>
      </c>
      <c r="J4527" s="8">
        <f t="shared" si="282"/>
        <v>916869718.08</v>
      </c>
      <c r="K4527" t="str">
        <f t="shared" si="283"/>
        <v>MATCHED</v>
      </c>
    </row>
    <row r="4528" spans="1:11">
      <c r="A4528" t="s">
        <v>122</v>
      </c>
      <c r="B4528" t="s">
        <v>1704</v>
      </c>
      <c r="C4528" t="s">
        <v>938</v>
      </c>
      <c r="D4528" t="s">
        <v>939</v>
      </c>
      <c r="E4528" s="8">
        <v>60</v>
      </c>
      <c r="F4528" s="8">
        <v>169480</v>
      </c>
      <c r="G4528" s="8">
        <f t="shared" si="280"/>
        <v>10168800</v>
      </c>
      <c r="H4528" s="5">
        <v>0.2417</v>
      </c>
      <c r="I4528" s="8">
        <f t="shared" si="281"/>
        <v>10168800</v>
      </c>
      <c r="J4528" s="8">
        <f t="shared" si="282"/>
        <v>2457798.96</v>
      </c>
      <c r="K4528" t="str">
        <f t="shared" si="283"/>
        <v>MATCHED</v>
      </c>
    </row>
    <row r="4529" spans="1:11">
      <c r="A4529" t="s">
        <v>122</v>
      </c>
      <c r="B4529" t="s">
        <v>1704</v>
      </c>
      <c r="C4529" t="s">
        <v>574</v>
      </c>
      <c r="D4529" t="s">
        <v>575</v>
      </c>
      <c r="E4529" s="8">
        <v>1740</v>
      </c>
      <c r="F4529" s="8">
        <v>127190</v>
      </c>
      <c r="G4529" s="8">
        <f t="shared" si="280"/>
        <v>221310600</v>
      </c>
      <c r="H4529" s="5">
        <v>0.269</v>
      </c>
      <c r="I4529" s="8">
        <f t="shared" si="281"/>
        <v>221310600</v>
      </c>
      <c r="J4529" s="8">
        <f t="shared" si="282"/>
        <v>59532551.4</v>
      </c>
      <c r="K4529" t="str">
        <f t="shared" si="283"/>
        <v>MATCHED</v>
      </c>
    </row>
    <row r="4530" spans="1:11">
      <c r="A4530" t="s">
        <v>122</v>
      </c>
      <c r="B4530" t="s">
        <v>1704</v>
      </c>
      <c r="C4530" t="s">
        <v>576</v>
      </c>
      <c r="D4530" t="s">
        <v>577</v>
      </c>
      <c r="E4530" s="8">
        <v>11950</v>
      </c>
      <c r="F4530" s="8">
        <v>129140</v>
      </c>
      <c r="G4530" s="8">
        <f t="shared" si="280"/>
        <v>1543223000</v>
      </c>
      <c r="H4530" s="5">
        <v>0.3008</v>
      </c>
      <c r="I4530" s="8">
        <f t="shared" si="281"/>
        <v>1543223000</v>
      </c>
      <c r="J4530" s="8">
        <f t="shared" si="282"/>
        <v>464201478.4</v>
      </c>
      <c r="K4530" t="str">
        <f t="shared" si="283"/>
        <v>MATCHED</v>
      </c>
    </row>
    <row r="4531" spans="1:11">
      <c r="A4531" t="s">
        <v>122</v>
      </c>
      <c r="B4531" t="s">
        <v>1704</v>
      </c>
      <c r="C4531" t="s">
        <v>578</v>
      </c>
      <c r="D4531" t="s">
        <v>579</v>
      </c>
      <c r="E4531" s="8">
        <v>350</v>
      </c>
      <c r="F4531" s="8">
        <v>131450</v>
      </c>
      <c r="G4531" s="8">
        <f t="shared" si="280"/>
        <v>46007500</v>
      </c>
      <c r="H4531" s="5">
        <v>0.2861</v>
      </c>
      <c r="I4531" s="8">
        <f t="shared" si="281"/>
        <v>46007500</v>
      </c>
      <c r="J4531" s="8">
        <f t="shared" si="282"/>
        <v>13162745.75</v>
      </c>
      <c r="K4531" t="str">
        <f t="shared" si="283"/>
        <v>MATCHED</v>
      </c>
    </row>
    <row r="4532" spans="1:11">
      <c r="A4532" t="s">
        <v>122</v>
      </c>
      <c r="B4532" t="s">
        <v>1704</v>
      </c>
      <c r="C4532" t="s">
        <v>840</v>
      </c>
      <c r="D4532" t="s">
        <v>841</v>
      </c>
      <c r="E4532" s="8">
        <v>340</v>
      </c>
      <c r="F4532" s="8">
        <v>142540</v>
      </c>
      <c r="G4532" s="8">
        <f t="shared" si="280"/>
        <v>48463600</v>
      </c>
      <c r="H4532" s="5">
        <v>0.2825</v>
      </c>
      <c r="I4532" s="8">
        <f t="shared" si="281"/>
        <v>48463600</v>
      </c>
      <c r="J4532" s="8">
        <f t="shared" si="282"/>
        <v>13690967</v>
      </c>
      <c r="K4532" t="str">
        <f t="shared" si="283"/>
        <v>MATCHED</v>
      </c>
    </row>
    <row r="4533" spans="1:11">
      <c r="A4533" t="s">
        <v>122</v>
      </c>
      <c r="B4533" t="s">
        <v>1704</v>
      </c>
      <c r="C4533" t="s">
        <v>580</v>
      </c>
      <c r="D4533" t="s">
        <v>581</v>
      </c>
      <c r="E4533" s="8">
        <v>1670</v>
      </c>
      <c r="F4533" s="8">
        <v>177950</v>
      </c>
      <c r="G4533" s="8">
        <f t="shared" si="280"/>
        <v>297176500</v>
      </c>
      <c r="H4533" s="5">
        <v>0.3065</v>
      </c>
      <c r="I4533" s="8">
        <f t="shared" si="281"/>
        <v>297176500</v>
      </c>
      <c r="J4533" s="8">
        <f t="shared" si="282"/>
        <v>91084597.25</v>
      </c>
      <c r="K4533" t="str">
        <f t="shared" si="283"/>
        <v>MATCHED</v>
      </c>
    </row>
    <row r="4534" spans="1:11">
      <c r="A4534" t="s">
        <v>122</v>
      </c>
      <c r="B4534" t="s">
        <v>1704</v>
      </c>
      <c r="C4534" t="s">
        <v>582</v>
      </c>
      <c r="D4534" t="s">
        <v>583</v>
      </c>
      <c r="E4534" s="8">
        <v>8330</v>
      </c>
      <c r="F4534" s="8">
        <v>130650</v>
      </c>
      <c r="G4534" s="8">
        <f t="shared" si="280"/>
        <v>1088314500</v>
      </c>
      <c r="H4534" s="5">
        <v>0.315</v>
      </c>
      <c r="I4534" s="8">
        <f t="shared" si="281"/>
        <v>1088314500</v>
      </c>
      <c r="J4534" s="8">
        <f t="shared" si="282"/>
        <v>342819067.5</v>
      </c>
      <c r="K4534" t="str">
        <f t="shared" si="283"/>
        <v>MATCHED</v>
      </c>
    </row>
    <row r="4535" spans="1:11">
      <c r="A4535" t="s">
        <v>122</v>
      </c>
      <c r="B4535" t="s">
        <v>1704</v>
      </c>
      <c r="C4535" t="s">
        <v>584</v>
      </c>
      <c r="D4535" t="s">
        <v>585</v>
      </c>
      <c r="E4535" s="8">
        <v>2150</v>
      </c>
      <c r="F4535" s="8">
        <v>81480</v>
      </c>
      <c r="G4535" s="8">
        <f t="shared" si="280"/>
        <v>175182000</v>
      </c>
      <c r="H4535" s="5">
        <v>0.7</v>
      </c>
      <c r="I4535" s="8">
        <f t="shared" si="281"/>
        <v>175182000</v>
      </c>
      <c r="J4535" s="8">
        <f t="shared" si="282"/>
        <v>122627400</v>
      </c>
      <c r="K4535" t="str">
        <f t="shared" si="283"/>
        <v>MATCHED</v>
      </c>
    </row>
    <row r="4536" spans="1:11">
      <c r="A4536" t="s">
        <v>122</v>
      </c>
      <c r="B4536" t="s">
        <v>1704</v>
      </c>
      <c r="C4536" t="s">
        <v>842</v>
      </c>
      <c r="D4536" t="s">
        <v>843</v>
      </c>
      <c r="E4536" s="8">
        <v>300</v>
      </c>
      <c r="F4536" s="8">
        <v>83610</v>
      </c>
      <c r="G4536" s="8">
        <f t="shared" si="280"/>
        <v>25083000</v>
      </c>
      <c r="H4536" s="5">
        <v>0.5217</v>
      </c>
      <c r="I4536" s="8">
        <f t="shared" si="281"/>
        <v>25083000</v>
      </c>
      <c r="J4536" s="8">
        <f t="shared" si="282"/>
        <v>13085801.1</v>
      </c>
      <c r="K4536" t="str">
        <f t="shared" si="283"/>
        <v>MATCHED</v>
      </c>
    </row>
    <row r="4537" spans="1:11">
      <c r="A4537" t="s">
        <v>122</v>
      </c>
      <c r="B4537" t="s">
        <v>1704</v>
      </c>
      <c r="C4537" t="s">
        <v>586</v>
      </c>
      <c r="D4537" t="s">
        <v>587</v>
      </c>
      <c r="E4537" s="8">
        <v>620</v>
      </c>
      <c r="F4537" s="8">
        <v>83800</v>
      </c>
      <c r="G4537" s="8">
        <f t="shared" si="280"/>
        <v>51956000</v>
      </c>
      <c r="H4537" s="5">
        <v>0.71</v>
      </c>
      <c r="I4537" s="8">
        <f t="shared" si="281"/>
        <v>51956000</v>
      </c>
      <c r="J4537" s="8">
        <f t="shared" si="282"/>
        <v>36888760</v>
      </c>
      <c r="K4537" t="str">
        <f t="shared" si="283"/>
        <v>MATCHED</v>
      </c>
    </row>
    <row r="4538" spans="1:11">
      <c r="A4538" t="s">
        <v>122</v>
      </c>
      <c r="B4538" t="s">
        <v>1704</v>
      </c>
      <c r="C4538" t="s">
        <v>588</v>
      </c>
      <c r="D4538" t="s">
        <v>589</v>
      </c>
      <c r="E4538" s="8">
        <v>300</v>
      </c>
      <c r="F4538" s="8">
        <v>76330</v>
      </c>
      <c r="G4538" s="8">
        <f t="shared" si="280"/>
        <v>22899000</v>
      </c>
      <c r="H4538" s="5"/>
      <c r="I4538" s="8" t="str">
        <f t="shared" si="281"/>
        <v/>
      </c>
      <c r="J4538" s="8" t="str">
        <f t="shared" si="282"/>
        <v/>
      </c>
      <c r="K4538" t="str">
        <f t="shared" si="283"/>
        <v>MISSING WHARTON</v>
      </c>
    </row>
    <row r="4539" spans="1:11">
      <c r="A4539" t="s">
        <v>122</v>
      </c>
      <c r="B4539" t="s">
        <v>1704</v>
      </c>
      <c r="C4539" t="s">
        <v>590</v>
      </c>
      <c r="D4539" t="s">
        <v>591</v>
      </c>
      <c r="E4539" s="8">
        <v>220</v>
      </c>
      <c r="F4539" s="8">
        <v>77070</v>
      </c>
      <c r="G4539" s="8">
        <f t="shared" si="280"/>
        <v>16955400</v>
      </c>
      <c r="H4539" s="5">
        <v>0.4567</v>
      </c>
      <c r="I4539" s="8">
        <f t="shared" si="281"/>
        <v>16955400</v>
      </c>
      <c r="J4539" s="8">
        <f t="shared" si="282"/>
        <v>7743531.18</v>
      </c>
      <c r="K4539" t="str">
        <f t="shared" si="283"/>
        <v>MATCHED</v>
      </c>
    </row>
    <row r="4540" spans="1:11">
      <c r="A4540" t="s">
        <v>122</v>
      </c>
      <c r="B4540" t="s">
        <v>1704</v>
      </c>
      <c r="C4540" t="s">
        <v>592</v>
      </c>
      <c r="D4540" t="s">
        <v>593</v>
      </c>
      <c r="E4540" s="8">
        <v>2210</v>
      </c>
      <c r="F4540" s="8">
        <v>84180</v>
      </c>
      <c r="G4540" s="8">
        <f t="shared" si="280"/>
        <v>186037800</v>
      </c>
      <c r="H4540" s="5">
        <v>0.4</v>
      </c>
      <c r="I4540" s="8">
        <f t="shared" si="281"/>
        <v>186037800</v>
      </c>
      <c r="J4540" s="8">
        <f t="shared" si="282"/>
        <v>74415120</v>
      </c>
      <c r="K4540" t="str">
        <f t="shared" si="283"/>
        <v>MATCHED</v>
      </c>
    </row>
    <row r="4541" spans="1:11">
      <c r="A4541" t="s">
        <v>122</v>
      </c>
      <c r="B4541" t="s">
        <v>1704</v>
      </c>
      <c r="C4541" t="s">
        <v>594</v>
      </c>
      <c r="D4541" t="s">
        <v>595</v>
      </c>
      <c r="E4541" s="8">
        <v>50</v>
      </c>
      <c r="F4541" s="8">
        <v>76370</v>
      </c>
      <c r="G4541" s="8">
        <f t="shared" si="280"/>
        <v>3818500</v>
      </c>
      <c r="H4541" s="5">
        <v>0.1781</v>
      </c>
      <c r="I4541" s="8">
        <f t="shared" si="281"/>
        <v>3818500</v>
      </c>
      <c r="J4541" s="8">
        <f t="shared" si="282"/>
        <v>680074.85</v>
      </c>
      <c r="K4541" t="str">
        <f t="shared" si="283"/>
        <v>MATCHED</v>
      </c>
    </row>
    <row r="4542" spans="1:11">
      <c r="A4542" t="s">
        <v>122</v>
      </c>
      <c r="B4542" t="s">
        <v>1704</v>
      </c>
      <c r="C4542" t="s">
        <v>596</v>
      </c>
      <c r="D4542" t="s">
        <v>597</v>
      </c>
      <c r="E4542" s="8">
        <v>100</v>
      </c>
      <c r="F4542" s="8">
        <v>87530</v>
      </c>
      <c r="G4542" s="8">
        <f t="shared" si="280"/>
        <v>8753000</v>
      </c>
      <c r="H4542" s="5">
        <v>0.4615</v>
      </c>
      <c r="I4542" s="8">
        <f t="shared" si="281"/>
        <v>8753000</v>
      </c>
      <c r="J4542" s="8">
        <f t="shared" si="282"/>
        <v>4039509.5</v>
      </c>
      <c r="K4542" t="str">
        <f t="shared" si="283"/>
        <v>MATCHED</v>
      </c>
    </row>
    <row r="4543" spans="1:11">
      <c r="A4543" t="s">
        <v>122</v>
      </c>
      <c r="B4543" t="s">
        <v>1704</v>
      </c>
      <c r="C4543" t="s">
        <v>598</v>
      </c>
      <c r="D4543" t="s">
        <v>599</v>
      </c>
      <c r="E4543" s="8">
        <v>2540</v>
      </c>
      <c r="F4543" s="8">
        <v>85460</v>
      </c>
      <c r="G4543" s="8">
        <f t="shared" si="280"/>
        <v>217068400</v>
      </c>
      <c r="H4543" s="5">
        <v>0.2855</v>
      </c>
      <c r="I4543" s="8">
        <f t="shared" si="281"/>
        <v>217068400</v>
      </c>
      <c r="J4543" s="8">
        <f t="shared" si="282"/>
        <v>61973028.2</v>
      </c>
      <c r="K4543" t="str">
        <f t="shared" si="283"/>
        <v>MATCHED</v>
      </c>
    </row>
    <row r="4544" spans="1:11">
      <c r="A4544" t="s">
        <v>122</v>
      </c>
      <c r="B4544" t="s">
        <v>1704</v>
      </c>
      <c r="C4544" t="s">
        <v>600</v>
      </c>
      <c r="D4544" t="s">
        <v>601</v>
      </c>
      <c r="E4544" s="8">
        <v>650</v>
      </c>
      <c r="F4544" s="8">
        <v>83190</v>
      </c>
      <c r="G4544" s="8">
        <f t="shared" si="280"/>
        <v>54073500</v>
      </c>
      <c r="H4544" s="5">
        <v>0.3125</v>
      </c>
      <c r="I4544" s="8">
        <f t="shared" si="281"/>
        <v>54073500</v>
      </c>
      <c r="J4544" s="8">
        <f t="shared" si="282"/>
        <v>16897968.75</v>
      </c>
      <c r="K4544" t="str">
        <f t="shared" si="283"/>
        <v>MATCHED</v>
      </c>
    </row>
    <row r="4545" spans="1:11">
      <c r="A4545" t="s">
        <v>122</v>
      </c>
      <c r="B4545" t="s">
        <v>1704</v>
      </c>
      <c r="C4545" t="s">
        <v>602</v>
      </c>
      <c r="D4545" t="s">
        <v>603</v>
      </c>
      <c r="E4545" s="8">
        <v>50</v>
      </c>
      <c r="F4545" s="8">
        <v>82780</v>
      </c>
      <c r="G4545" s="8">
        <f t="shared" si="280"/>
        <v>4139000</v>
      </c>
      <c r="H4545" s="5">
        <v>0.1733</v>
      </c>
      <c r="I4545" s="8">
        <f t="shared" si="281"/>
        <v>4139000</v>
      </c>
      <c r="J4545" s="8">
        <f t="shared" si="282"/>
        <v>717288.7</v>
      </c>
      <c r="K4545" t="str">
        <f t="shared" si="283"/>
        <v>MATCHED</v>
      </c>
    </row>
    <row r="4546" spans="1:11">
      <c r="A4546" t="s">
        <v>122</v>
      </c>
      <c r="B4546" t="s">
        <v>1704</v>
      </c>
      <c r="C4546" t="s">
        <v>604</v>
      </c>
      <c r="D4546" t="s">
        <v>605</v>
      </c>
      <c r="E4546" s="8">
        <v>1330</v>
      </c>
      <c r="F4546" s="8">
        <v>77110</v>
      </c>
      <c r="G4546" s="8">
        <f t="shared" ref="G4546:G4609" si="284">IF(OR(E4546="",F4546=""),"",E4546*F4546)</f>
        <v>102556300</v>
      </c>
      <c r="H4546" s="5">
        <v>0.1404</v>
      </c>
      <c r="I4546" s="8">
        <f t="shared" ref="I4546:I4609" si="285">IF(G4546="","",IF(ISNUMBER(H4546),G4546,""))</f>
        <v>102556300</v>
      </c>
      <c r="J4546" s="8">
        <f t="shared" ref="J4546:J4609" si="286">IF(I4546="","",I4546*H4546)</f>
        <v>14398904.52</v>
      </c>
      <c r="K4546" t="str">
        <f t="shared" ref="K4546:K4609" si="287">IF(G4546="","MISSING OEWS",IF(ISNUMBER(H4546),"MATCHED","MISSING WHARTON"))</f>
        <v>MATCHED</v>
      </c>
    </row>
    <row r="4547" spans="1:11">
      <c r="A4547" t="s">
        <v>122</v>
      </c>
      <c r="B4547" t="s">
        <v>1704</v>
      </c>
      <c r="C4547" t="s">
        <v>606</v>
      </c>
      <c r="D4547" t="s">
        <v>607</v>
      </c>
      <c r="E4547" s="8"/>
      <c r="F4547" s="8">
        <v>77130</v>
      </c>
      <c r="G4547" s="8" t="str">
        <f t="shared" si="284"/>
        <v/>
      </c>
      <c r="H4547" s="5">
        <v>0.6783</v>
      </c>
      <c r="I4547" s="8" t="str">
        <f t="shared" si="285"/>
        <v/>
      </c>
      <c r="J4547" s="8" t="str">
        <f t="shared" si="286"/>
        <v/>
      </c>
      <c r="K4547" t="str">
        <f t="shared" si="287"/>
        <v>MISSING OEWS</v>
      </c>
    </row>
    <row r="4548" spans="1:11">
      <c r="A4548" t="s">
        <v>122</v>
      </c>
      <c r="B4548" t="s">
        <v>1704</v>
      </c>
      <c r="C4548" t="s">
        <v>303</v>
      </c>
      <c r="D4548" t="s">
        <v>304</v>
      </c>
      <c r="E4548" s="8">
        <v>90</v>
      </c>
      <c r="F4548" s="8">
        <v>105800</v>
      </c>
      <c r="G4548" s="8">
        <f t="shared" si="284"/>
        <v>9522000</v>
      </c>
      <c r="H4548" s="5">
        <v>0.2333</v>
      </c>
      <c r="I4548" s="8">
        <f t="shared" si="285"/>
        <v>9522000</v>
      </c>
      <c r="J4548" s="8">
        <f t="shared" si="286"/>
        <v>2221482.6</v>
      </c>
      <c r="K4548" t="str">
        <f t="shared" si="287"/>
        <v>MATCHED</v>
      </c>
    </row>
    <row r="4549" spans="1:11">
      <c r="A4549" t="s">
        <v>122</v>
      </c>
      <c r="B4549" t="s">
        <v>1704</v>
      </c>
      <c r="C4549" t="s">
        <v>305</v>
      </c>
      <c r="D4549" t="s">
        <v>306</v>
      </c>
      <c r="E4549" s="8">
        <v>1610</v>
      </c>
      <c r="F4549" s="8">
        <v>112920</v>
      </c>
      <c r="G4549" s="8">
        <f t="shared" si="284"/>
        <v>181801200</v>
      </c>
      <c r="H4549" s="5">
        <v>0.1269</v>
      </c>
      <c r="I4549" s="8">
        <f t="shared" si="285"/>
        <v>181801200</v>
      </c>
      <c r="J4549" s="8">
        <f t="shared" si="286"/>
        <v>23070572.28</v>
      </c>
      <c r="K4549" t="str">
        <f t="shared" si="287"/>
        <v>MATCHED</v>
      </c>
    </row>
    <row r="4550" spans="1:11">
      <c r="A4550" t="s">
        <v>122</v>
      </c>
      <c r="B4550" t="s">
        <v>1704</v>
      </c>
      <c r="C4550" t="s">
        <v>307</v>
      </c>
      <c r="D4550" t="s">
        <v>308</v>
      </c>
      <c r="E4550" s="8">
        <v>300</v>
      </c>
      <c r="F4550" s="8">
        <v>103500</v>
      </c>
      <c r="G4550" s="8">
        <f t="shared" si="284"/>
        <v>31050000</v>
      </c>
      <c r="H4550" s="5">
        <v>0.0519</v>
      </c>
      <c r="I4550" s="8">
        <f t="shared" si="285"/>
        <v>31050000</v>
      </c>
      <c r="J4550" s="8">
        <f t="shared" si="286"/>
        <v>1611495</v>
      </c>
      <c r="K4550" t="str">
        <f t="shared" si="287"/>
        <v>MATCHED</v>
      </c>
    </row>
    <row r="4551" spans="1:11">
      <c r="A4551" t="s">
        <v>122</v>
      </c>
      <c r="B4551" t="s">
        <v>1704</v>
      </c>
      <c r="C4551" t="s">
        <v>1166</v>
      </c>
      <c r="D4551" t="s">
        <v>1167</v>
      </c>
      <c r="E4551" s="8"/>
      <c r="F4551" s="8">
        <v>116220</v>
      </c>
      <c r="G4551" s="8" t="str">
        <f t="shared" si="284"/>
        <v/>
      </c>
      <c r="H4551" s="5">
        <v>0.1667</v>
      </c>
      <c r="I4551" s="8" t="str">
        <f t="shared" si="285"/>
        <v/>
      </c>
      <c r="J4551" s="8" t="str">
        <f t="shared" si="286"/>
        <v/>
      </c>
      <c r="K4551" t="str">
        <f t="shared" si="287"/>
        <v>MISSING OEWS</v>
      </c>
    </row>
    <row r="4552" spans="1:11">
      <c r="A4552" t="s">
        <v>122</v>
      </c>
      <c r="B4552" t="s">
        <v>1704</v>
      </c>
      <c r="C4552" t="s">
        <v>1168</v>
      </c>
      <c r="D4552" t="s">
        <v>1169</v>
      </c>
      <c r="E4552" s="8">
        <v>320</v>
      </c>
      <c r="F4552" s="8">
        <v>114990</v>
      </c>
      <c r="G4552" s="8">
        <f t="shared" si="284"/>
        <v>36796800</v>
      </c>
      <c r="H4552" s="5">
        <v>0.05</v>
      </c>
      <c r="I4552" s="8">
        <f t="shared" si="285"/>
        <v>36796800</v>
      </c>
      <c r="J4552" s="8">
        <f t="shared" si="286"/>
        <v>1839840</v>
      </c>
      <c r="K4552" t="str">
        <f t="shared" si="287"/>
        <v>MATCHED</v>
      </c>
    </row>
    <row r="4553" spans="1:11">
      <c r="A4553" t="s">
        <v>122</v>
      </c>
      <c r="B4553" t="s">
        <v>1704</v>
      </c>
      <c r="C4553" t="s">
        <v>309</v>
      </c>
      <c r="D4553" t="s">
        <v>310</v>
      </c>
      <c r="E4553" s="8">
        <v>690</v>
      </c>
      <c r="F4553" s="8">
        <v>132760</v>
      </c>
      <c r="G4553" s="8">
        <f t="shared" si="284"/>
        <v>91604400</v>
      </c>
      <c r="H4553" s="5">
        <v>0.4037</v>
      </c>
      <c r="I4553" s="8">
        <f t="shared" si="285"/>
        <v>91604400</v>
      </c>
      <c r="J4553" s="8">
        <f t="shared" si="286"/>
        <v>36980696.28</v>
      </c>
      <c r="K4553" t="str">
        <f t="shared" si="287"/>
        <v>MATCHED</v>
      </c>
    </row>
    <row r="4554" spans="1:11">
      <c r="A4554" t="s">
        <v>122</v>
      </c>
      <c r="B4554" t="s">
        <v>1704</v>
      </c>
      <c r="C4554" t="s">
        <v>311</v>
      </c>
      <c r="D4554" t="s">
        <v>312</v>
      </c>
      <c r="E4554" s="8">
        <v>270</v>
      </c>
      <c r="F4554" s="8">
        <v>97140</v>
      </c>
      <c r="G4554" s="8">
        <f t="shared" si="284"/>
        <v>26227800</v>
      </c>
      <c r="H4554" s="5">
        <v>0.056</v>
      </c>
      <c r="I4554" s="8">
        <f t="shared" si="285"/>
        <v>26227800</v>
      </c>
      <c r="J4554" s="8">
        <f t="shared" si="286"/>
        <v>1468756.8</v>
      </c>
      <c r="K4554" t="str">
        <f t="shared" si="287"/>
        <v>MATCHED</v>
      </c>
    </row>
    <row r="4555" spans="1:11">
      <c r="A4555" t="s">
        <v>122</v>
      </c>
      <c r="B4555" t="s">
        <v>1704</v>
      </c>
      <c r="C4555" t="s">
        <v>1170</v>
      </c>
      <c r="D4555" t="s">
        <v>1171</v>
      </c>
      <c r="E4555" s="8">
        <v>210</v>
      </c>
      <c r="F4555" s="8"/>
      <c r="G4555" s="8" t="str">
        <f t="shared" si="284"/>
        <v/>
      </c>
      <c r="H4555" s="5">
        <v>0.3433</v>
      </c>
      <c r="I4555" s="8" t="str">
        <f t="shared" si="285"/>
        <v/>
      </c>
      <c r="J4555" s="8" t="str">
        <f t="shared" si="286"/>
        <v/>
      </c>
      <c r="K4555" t="str">
        <f t="shared" si="287"/>
        <v>MISSING OEWS</v>
      </c>
    </row>
    <row r="4556" spans="1:11">
      <c r="A4556" t="s">
        <v>122</v>
      </c>
      <c r="B4556" t="s">
        <v>1704</v>
      </c>
      <c r="C4556" t="s">
        <v>1172</v>
      </c>
      <c r="D4556" t="s">
        <v>1173</v>
      </c>
      <c r="E4556" s="8">
        <v>2510</v>
      </c>
      <c r="F4556" s="8">
        <v>138180</v>
      </c>
      <c r="G4556" s="8">
        <f t="shared" si="284"/>
        <v>346831800</v>
      </c>
      <c r="H4556" s="5">
        <v>0.1857</v>
      </c>
      <c r="I4556" s="8">
        <f t="shared" si="285"/>
        <v>346831800</v>
      </c>
      <c r="J4556" s="8">
        <f t="shared" si="286"/>
        <v>64406665.26</v>
      </c>
      <c r="K4556" t="str">
        <f t="shared" si="287"/>
        <v>MATCHED</v>
      </c>
    </row>
    <row r="4557" spans="1:11">
      <c r="A4557" t="s">
        <v>122</v>
      </c>
      <c r="B4557" t="s">
        <v>1704</v>
      </c>
      <c r="C4557" t="s">
        <v>1174</v>
      </c>
      <c r="D4557" t="s">
        <v>1175</v>
      </c>
      <c r="E4557" s="8"/>
      <c r="F4557" s="8">
        <v>106560</v>
      </c>
      <c r="G4557" s="8" t="str">
        <f t="shared" si="284"/>
        <v/>
      </c>
      <c r="H4557" s="5"/>
      <c r="I4557" s="8" t="str">
        <f t="shared" si="285"/>
        <v/>
      </c>
      <c r="J4557" s="8" t="str">
        <f t="shared" si="286"/>
        <v/>
      </c>
      <c r="K4557" t="str">
        <f t="shared" si="287"/>
        <v>MISSING OEWS</v>
      </c>
    </row>
    <row r="4558" spans="1:11">
      <c r="A4558" t="s">
        <v>122</v>
      </c>
      <c r="B4558" t="s">
        <v>1704</v>
      </c>
      <c r="C4558" t="s">
        <v>848</v>
      </c>
      <c r="D4558" t="s">
        <v>849</v>
      </c>
      <c r="E4558" s="8">
        <v>100</v>
      </c>
      <c r="F4558" s="8">
        <v>102790</v>
      </c>
      <c r="G4558" s="8">
        <f t="shared" si="284"/>
        <v>10279000</v>
      </c>
      <c r="H4558" s="5">
        <v>0.5759</v>
      </c>
      <c r="I4558" s="8">
        <f t="shared" si="285"/>
        <v>10279000</v>
      </c>
      <c r="J4558" s="8">
        <f t="shared" si="286"/>
        <v>5919676.1</v>
      </c>
      <c r="K4558" t="str">
        <f t="shared" si="287"/>
        <v>MATCHED</v>
      </c>
    </row>
    <row r="4559" spans="1:11">
      <c r="A4559" t="s">
        <v>122</v>
      </c>
      <c r="B4559" t="s">
        <v>1704</v>
      </c>
      <c r="C4559" t="s">
        <v>608</v>
      </c>
      <c r="D4559" t="s">
        <v>609</v>
      </c>
      <c r="E4559" s="8">
        <v>2690</v>
      </c>
      <c r="F4559" s="8">
        <v>123440</v>
      </c>
      <c r="G4559" s="8">
        <f t="shared" si="284"/>
        <v>332053600</v>
      </c>
      <c r="H4559" s="5">
        <v>0.1808</v>
      </c>
      <c r="I4559" s="8">
        <f t="shared" si="285"/>
        <v>332053600</v>
      </c>
      <c r="J4559" s="8">
        <f t="shared" si="286"/>
        <v>60035290.88</v>
      </c>
      <c r="K4559" t="str">
        <f t="shared" si="287"/>
        <v>MATCHED</v>
      </c>
    </row>
    <row r="4560" spans="1:11">
      <c r="A4560" t="s">
        <v>122</v>
      </c>
      <c r="B4560" t="s">
        <v>1704</v>
      </c>
      <c r="C4560" t="s">
        <v>1176</v>
      </c>
      <c r="D4560" t="s">
        <v>1177</v>
      </c>
      <c r="E4560" s="8">
        <v>590</v>
      </c>
      <c r="F4560" s="8">
        <v>124770</v>
      </c>
      <c r="G4560" s="8">
        <f t="shared" si="284"/>
        <v>73614300</v>
      </c>
      <c r="H4560" s="5">
        <v>0.2062</v>
      </c>
      <c r="I4560" s="8">
        <f t="shared" si="285"/>
        <v>73614300</v>
      </c>
      <c r="J4560" s="8">
        <f t="shared" si="286"/>
        <v>15179268.66</v>
      </c>
      <c r="K4560" t="str">
        <f t="shared" si="287"/>
        <v>MATCHED</v>
      </c>
    </row>
    <row r="4561" spans="1:11">
      <c r="A4561" t="s">
        <v>122</v>
      </c>
      <c r="B4561" t="s">
        <v>1704</v>
      </c>
      <c r="C4561" t="s">
        <v>610</v>
      </c>
      <c r="D4561" t="s">
        <v>611</v>
      </c>
      <c r="E4561" s="8">
        <v>1410</v>
      </c>
      <c r="F4561" s="8">
        <v>118310</v>
      </c>
      <c r="G4561" s="8">
        <f t="shared" si="284"/>
        <v>166817100</v>
      </c>
      <c r="H4561" s="5">
        <v>0.4662</v>
      </c>
      <c r="I4561" s="8">
        <f t="shared" si="285"/>
        <v>166817100</v>
      </c>
      <c r="J4561" s="8">
        <f t="shared" si="286"/>
        <v>77770132.02</v>
      </c>
      <c r="K4561" t="str">
        <f t="shared" si="287"/>
        <v>MATCHED</v>
      </c>
    </row>
    <row r="4562" spans="1:11">
      <c r="A4562" t="s">
        <v>122</v>
      </c>
      <c r="B4562" t="s">
        <v>1704</v>
      </c>
      <c r="C4562" t="s">
        <v>612</v>
      </c>
      <c r="D4562" t="s">
        <v>613</v>
      </c>
      <c r="E4562" s="8">
        <v>910</v>
      </c>
      <c r="F4562" s="8">
        <v>171000</v>
      </c>
      <c r="G4562" s="8">
        <f t="shared" si="284"/>
        <v>155610000</v>
      </c>
      <c r="H4562" s="5">
        <v>0.2937</v>
      </c>
      <c r="I4562" s="8">
        <f t="shared" si="285"/>
        <v>155610000</v>
      </c>
      <c r="J4562" s="8">
        <f t="shared" si="286"/>
        <v>45702657</v>
      </c>
      <c r="K4562" t="str">
        <f t="shared" si="287"/>
        <v>MATCHED</v>
      </c>
    </row>
    <row r="4563" spans="1:11">
      <c r="A4563" t="s">
        <v>122</v>
      </c>
      <c r="B4563" t="s">
        <v>1704</v>
      </c>
      <c r="C4563" t="s">
        <v>850</v>
      </c>
      <c r="D4563" t="s">
        <v>851</v>
      </c>
      <c r="E4563" s="8">
        <v>400</v>
      </c>
      <c r="F4563" s="8">
        <v>188610</v>
      </c>
      <c r="G4563" s="8">
        <f t="shared" si="284"/>
        <v>75444000</v>
      </c>
      <c r="H4563" s="5">
        <v>0.5312</v>
      </c>
      <c r="I4563" s="8">
        <f t="shared" si="285"/>
        <v>75444000</v>
      </c>
      <c r="J4563" s="8">
        <f t="shared" si="286"/>
        <v>40075852.8</v>
      </c>
      <c r="K4563" t="str">
        <f t="shared" si="287"/>
        <v>MATCHED</v>
      </c>
    </row>
    <row r="4564" spans="1:11">
      <c r="A4564" t="s">
        <v>122</v>
      </c>
      <c r="B4564" t="s">
        <v>1704</v>
      </c>
      <c r="C4564" t="s">
        <v>614</v>
      </c>
      <c r="D4564" t="s">
        <v>615</v>
      </c>
      <c r="E4564" s="8">
        <v>170</v>
      </c>
      <c r="F4564" s="8">
        <v>179250</v>
      </c>
      <c r="G4564" s="8">
        <f t="shared" si="284"/>
        <v>30472500</v>
      </c>
      <c r="H4564" s="5">
        <v>0.5271</v>
      </c>
      <c r="I4564" s="8">
        <f t="shared" si="285"/>
        <v>30472500</v>
      </c>
      <c r="J4564" s="8">
        <f t="shared" si="286"/>
        <v>16062054.75</v>
      </c>
      <c r="K4564" t="str">
        <f t="shared" si="287"/>
        <v>MATCHED</v>
      </c>
    </row>
    <row r="4565" spans="1:11">
      <c r="A4565" t="s">
        <v>122</v>
      </c>
      <c r="B4565" t="s">
        <v>1704</v>
      </c>
      <c r="C4565" t="s">
        <v>1567</v>
      </c>
      <c r="D4565" t="s">
        <v>1568</v>
      </c>
      <c r="E4565" s="8">
        <v>60</v>
      </c>
      <c r="F4565" s="8">
        <v>99470</v>
      </c>
      <c r="G4565" s="8">
        <f t="shared" si="284"/>
        <v>5968200</v>
      </c>
      <c r="H4565" s="5">
        <v>0.7375</v>
      </c>
      <c r="I4565" s="8">
        <f t="shared" si="285"/>
        <v>5968200</v>
      </c>
      <c r="J4565" s="8">
        <f t="shared" si="286"/>
        <v>4401547.5</v>
      </c>
      <c r="K4565" t="str">
        <f t="shared" si="287"/>
        <v>MATCHED</v>
      </c>
    </row>
    <row r="4566" spans="1:11">
      <c r="A4566" t="s">
        <v>122</v>
      </c>
      <c r="B4566" t="s">
        <v>1704</v>
      </c>
      <c r="C4566" t="s">
        <v>1638</v>
      </c>
      <c r="D4566" t="s">
        <v>1639</v>
      </c>
      <c r="E4566" s="8">
        <v>30</v>
      </c>
      <c r="F4566" s="8">
        <v>152660</v>
      </c>
      <c r="G4566" s="8">
        <f t="shared" si="284"/>
        <v>4579800</v>
      </c>
      <c r="H4566" s="5">
        <v>0.488</v>
      </c>
      <c r="I4566" s="8">
        <f t="shared" si="285"/>
        <v>4579800</v>
      </c>
      <c r="J4566" s="8">
        <f t="shared" si="286"/>
        <v>2234942.4</v>
      </c>
      <c r="K4566" t="str">
        <f t="shared" si="287"/>
        <v>MATCHED</v>
      </c>
    </row>
    <row r="4567" spans="1:11">
      <c r="A4567" t="s">
        <v>122</v>
      </c>
      <c r="B4567" t="s">
        <v>1704</v>
      </c>
      <c r="C4567" t="s">
        <v>1606</v>
      </c>
      <c r="D4567" t="s">
        <v>1607</v>
      </c>
      <c r="E4567" s="8">
        <v>580</v>
      </c>
      <c r="F4567" s="8">
        <v>88450</v>
      </c>
      <c r="G4567" s="8">
        <f t="shared" si="284"/>
        <v>51301000</v>
      </c>
      <c r="H4567" s="5">
        <v>0.1883</v>
      </c>
      <c r="I4567" s="8">
        <f t="shared" si="285"/>
        <v>51301000</v>
      </c>
      <c r="J4567" s="8">
        <f t="shared" si="286"/>
        <v>9659978.3</v>
      </c>
      <c r="K4567" t="str">
        <f t="shared" si="287"/>
        <v>MATCHED</v>
      </c>
    </row>
    <row r="4568" spans="1:11">
      <c r="A4568" t="s">
        <v>122</v>
      </c>
      <c r="B4568" t="s">
        <v>1704</v>
      </c>
      <c r="C4568" t="s">
        <v>1640</v>
      </c>
      <c r="D4568" t="s">
        <v>1641</v>
      </c>
      <c r="E4568" s="8">
        <v>150</v>
      </c>
      <c r="F4568" s="8">
        <v>80060</v>
      </c>
      <c r="G4568" s="8">
        <f t="shared" si="284"/>
        <v>12009000</v>
      </c>
      <c r="H4568" s="5">
        <v>0.3447</v>
      </c>
      <c r="I4568" s="8">
        <f t="shared" si="285"/>
        <v>12009000</v>
      </c>
      <c r="J4568" s="8">
        <f t="shared" si="286"/>
        <v>4139502.3</v>
      </c>
      <c r="K4568" t="str">
        <f t="shared" si="287"/>
        <v>MATCHED</v>
      </c>
    </row>
    <row r="4569" spans="1:11">
      <c r="A4569" t="s">
        <v>122</v>
      </c>
      <c r="B4569" t="s">
        <v>1704</v>
      </c>
      <c r="C4569" t="s">
        <v>1642</v>
      </c>
      <c r="D4569" t="s">
        <v>1643</v>
      </c>
      <c r="E4569" s="8">
        <v>80</v>
      </c>
      <c r="F4569" s="8">
        <v>135040</v>
      </c>
      <c r="G4569" s="8">
        <f t="shared" si="284"/>
        <v>10803200</v>
      </c>
      <c r="H4569" s="5">
        <v>0.1333</v>
      </c>
      <c r="I4569" s="8">
        <f t="shared" si="285"/>
        <v>10803200</v>
      </c>
      <c r="J4569" s="8">
        <f t="shared" si="286"/>
        <v>1440066.56</v>
      </c>
      <c r="K4569" t="str">
        <f t="shared" si="287"/>
        <v>MATCHED</v>
      </c>
    </row>
    <row r="4570" spans="1:11">
      <c r="A4570" t="s">
        <v>122</v>
      </c>
      <c r="B4570" t="s">
        <v>1704</v>
      </c>
      <c r="C4570" t="s">
        <v>1178</v>
      </c>
      <c r="D4570" t="s">
        <v>1179</v>
      </c>
      <c r="E4570" s="8">
        <v>780</v>
      </c>
      <c r="F4570" s="8">
        <v>184110</v>
      </c>
      <c r="G4570" s="8">
        <f t="shared" si="284"/>
        <v>143605800</v>
      </c>
      <c r="H4570" s="5">
        <v>0.5545</v>
      </c>
      <c r="I4570" s="8">
        <f t="shared" si="285"/>
        <v>143605800</v>
      </c>
      <c r="J4570" s="8">
        <f t="shared" si="286"/>
        <v>79629416.1</v>
      </c>
      <c r="K4570" t="str">
        <f t="shared" si="287"/>
        <v>MATCHED</v>
      </c>
    </row>
    <row r="4571" spans="1:11">
      <c r="A4571" t="s">
        <v>122</v>
      </c>
      <c r="B4571" t="s">
        <v>1704</v>
      </c>
      <c r="C4571" t="s">
        <v>313</v>
      </c>
      <c r="D4571" t="s">
        <v>314</v>
      </c>
      <c r="E4571" s="8">
        <v>410</v>
      </c>
      <c r="F4571" s="8">
        <v>63200</v>
      </c>
      <c r="G4571" s="8">
        <f t="shared" si="284"/>
        <v>25912000</v>
      </c>
      <c r="H4571" s="5">
        <v>0.374</v>
      </c>
      <c r="I4571" s="8">
        <f t="shared" si="285"/>
        <v>25912000</v>
      </c>
      <c r="J4571" s="8">
        <f t="shared" si="286"/>
        <v>9691088</v>
      </c>
      <c r="K4571" t="str">
        <f t="shared" si="287"/>
        <v>MATCHED</v>
      </c>
    </row>
    <row r="4572" spans="1:11">
      <c r="A4572" t="s">
        <v>122</v>
      </c>
      <c r="B4572" t="s">
        <v>1704</v>
      </c>
      <c r="C4572" t="s">
        <v>315</v>
      </c>
      <c r="D4572" t="s">
        <v>316</v>
      </c>
      <c r="E4572" s="8">
        <v>660</v>
      </c>
      <c r="F4572" s="8">
        <v>71090</v>
      </c>
      <c r="G4572" s="8">
        <f t="shared" si="284"/>
        <v>46919400</v>
      </c>
      <c r="H4572" s="5">
        <v>0.2969</v>
      </c>
      <c r="I4572" s="8">
        <f t="shared" si="285"/>
        <v>46919400</v>
      </c>
      <c r="J4572" s="8">
        <f t="shared" si="286"/>
        <v>13930369.86</v>
      </c>
      <c r="K4572" t="str">
        <f t="shared" si="287"/>
        <v>MATCHED</v>
      </c>
    </row>
    <row r="4573" spans="1:11">
      <c r="A4573" t="s">
        <v>122</v>
      </c>
      <c r="B4573" t="s">
        <v>1704</v>
      </c>
      <c r="C4573" t="s">
        <v>317</v>
      </c>
      <c r="D4573" t="s">
        <v>318</v>
      </c>
      <c r="E4573" s="8">
        <v>250</v>
      </c>
      <c r="F4573" s="8">
        <v>65490</v>
      </c>
      <c r="G4573" s="8">
        <f t="shared" si="284"/>
        <v>16372500</v>
      </c>
      <c r="H4573" s="5">
        <v>0.2778</v>
      </c>
      <c r="I4573" s="8">
        <f t="shared" si="285"/>
        <v>16372500</v>
      </c>
      <c r="J4573" s="8">
        <f t="shared" si="286"/>
        <v>4548280.5</v>
      </c>
      <c r="K4573" t="str">
        <f t="shared" si="287"/>
        <v>MATCHED</v>
      </c>
    </row>
    <row r="4574" spans="1:11">
      <c r="A4574" t="s">
        <v>122</v>
      </c>
      <c r="B4574" t="s">
        <v>1704</v>
      </c>
      <c r="C4574" t="s">
        <v>616</v>
      </c>
      <c r="D4574" t="s">
        <v>617</v>
      </c>
      <c r="E4574" s="8">
        <v>1160</v>
      </c>
      <c r="F4574" s="8">
        <v>69020</v>
      </c>
      <c r="G4574" s="8">
        <f t="shared" si="284"/>
        <v>80063200</v>
      </c>
      <c r="H4574" s="5">
        <v>0.25</v>
      </c>
      <c r="I4574" s="8">
        <f t="shared" si="285"/>
        <v>80063200</v>
      </c>
      <c r="J4574" s="8">
        <f t="shared" si="286"/>
        <v>20015800</v>
      </c>
      <c r="K4574" t="str">
        <f t="shared" si="287"/>
        <v>MATCHED</v>
      </c>
    </row>
    <row r="4575" spans="1:11">
      <c r="A4575" t="s">
        <v>122</v>
      </c>
      <c r="B4575" t="s">
        <v>1704</v>
      </c>
      <c r="C4575" t="s">
        <v>618</v>
      </c>
      <c r="D4575" t="s">
        <v>619</v>
      </c>
      <c r="E4575" s="8">
        <v>310</v>
      </c>
      <c r="F4575" s="8">
        <v>67890</v>
      </c>
      <c r="G4575" s="8">
        <f t="shared" si="284"/>
        <v>21045900</v>
      </c>
      <c r="H4575" s="5">
        <v>0.2635</v>
      </c>
      <c r="I4575" s="8">
        <f t="shared" si="285"/>
        <v>21045900</v>
      </c>
      <c r="J4575" s="8">
        <f t="shared" si="286"/>
        <v>5545594.65</v>
      </c>
      <c r="K4575" t="str">
        <f t="shared" si="287"/>
        <v>MATCHED</v>
      </c>
    </row>
    <row r="4576" spans="1:11">
      <c r="A4576" t="s">
        <v>122</v>
      </c>
      <c r="B4576" t="s">
        <v>1704</v>
      </c>
      <c r="C4576" t="s">
        <v>620</v>
      </c>
      <c r="D4576" t="s">
        <v>621</v>
      </c>
      <c r="E4576" s="8">
        <v>90</v>
      </c>
      <c r="F4576" s="8">
        <v>92210</v>
      </c>
      <c r="G4576" s="8">
        <f t="shared" si="284"/>
        <v>8298900</v>
      </c>
      <c r="H4576" s="5">
        <v>0.3617</v>
      </c>
      <c r="I4576" s="8">
        <f t="shared" si="285"/>
        <v>8298900</v>
      </c>
      <c r="J4576" s="8">
        <f t="shared" si="286"/>
        <v>3001712.13</v>
      </c>
      <c r="K4576" t="str">
        <f t="shared" si="287"/>
        <v>MATCHED</v>
      </c>
    </row>
    <row r="4577" spans="1:11">
      <c r="A4577" t="s">
        <v>122</v>
      </c>
      <c r="B4577" t="s">
        <v>1704</v>
      </c>
      <c r="C4577" t="s">
        <v>854</v>
      </c>
      <c r="D4577" t="s">
        <v>855</v>
      </c>
      <c r="E4577" s="8">
        <v>90</v>
      </c>
      <c r="F4577" s="8">
        <v>114380</v>
      </c>
      <c r="G4577" s="8">
        <f t="shared" si="284"/>
        <v>10294200</v>
      </c>
      <c r="H4577" s="5">
        <v>0.1619</v>
      </c>
      <c r="I4577" s="8">
        <f t="shared" si="285"/>
        <v>10294200</v>
      </c>
      <c r="J4577" s="8">
        <f t="shared" si="286"/>
        <v>1666630.98</v>
      </c>
      <c r="K4577" t="str">
        <f t="shared" si="287"/>
        <v>MATCHED</v>
      </c>
    </row>
    <row r="4578" spans="1:11">
      <c r="A4578" t="s">
        <v>122</v>
      </c>
      <c r="B4578" t="s">
        <v>1704</v>
      </c>
      <c r="C4578" t="s">
        <v>1180</v>
      </c>
      <c r="D4578" t="s">
        <v>1181</v>
      </c>
      <c r="E4578" s="8">
        <v>190</v>
      </c>
      <c r="F4578" s="8">
        <v>56040</v>
      </c>
      <c r="G4578" s="8">
        <f t="shared" si="284"/>
        <v>10647600</v>
      </c>
      <c r="H4578" s="5">
        <v>0.7087</v>
      </c>
      <c r="I4578" s="8">
        <f t="shared" si="285"/>
        <v>10647600</v>
      </c>
      <c r="J4578" s="8">
        <f t="shared" si="286"/>
        <v>7545954.12</v>
      </c>
      <c r="K4578" t="str">
        <f t="shared" si="287"/>
        <v>MATCHED</v>
      </c>
    </row>
    <row r="4579" spans="1:11">
      <c r="A4579" t="s">
        <v>122</v>
      </c>
      <c r="B4579" t="s">
        <v>1704</v>
      </c>
      <c r="C4579" t="s">
        <v>624</v>
      </c>
      <c r="D4579" t="s">
        <v>625</v>
      </c>
      <c r="E4579" s="8">
        <v>800</v>
      </c>
      <c r="F4579" s="8">
        <v>75090</v>
      </c>
      <c r="G4579" s="8">
        <f t="shared" si="284"/>
        <v>60072000</v>
      </c>
      <c r="H4579" s="5">
        <v>0.5519</v>
      </c>
      <c r="I4579" s="8">
        <f t="shared" si="285"/>
        <v>60072000</v>
      </c>
      <c r="J4579" s="8">
        <f t="shared" si="286"/>
        <v>33153736.8</v>
      </c>
      <c r="K4579" t="str">
        <f t="shared" si="287"/>
        <v>MATCHED</v>
      </c>
    </row>
    <row r="4580" spans="1:11">
      <c r="A4580" t="s">
        <v>122</v>
      </c>
      <c r="B4580" t="s">
        <v>1704</v>
      </c>
      <c r="C4580" t="s">
        <v>319</v>
      </c>
      <c r="D4580" t="s">
        <v>320</v>
      </c>
      <c r="E4580" s="8">
        <v>6070</v>
      </c>
      <c r="F4580" s="8">
        <v>104280</v>
      </c>
      <c r="G4580" s="8">
        <f t="shared" si="284"/>
        <v>632979600</v>
      </c>
      <c r="H4580" s="5">
        <v>0.2786</v>
      </c>
      <c r="I4580" s="8">
        <f t="shared" si="285"/>
        <v>632979600</v>
      </c>
      <c r="J4580" s="8">
        <f t="shared" si="286"/>
        <v>176348116.56</v>
      </c>
      <c r="K4580" t="str">
        <f t="shared" si="287"/>
        <v>MATCHED</v>
      </c>
    </row>
    <row r="4581" spans="1:11">
      <c r="A4581" t="s">
        <v>122</v>
      </c>
      <c r="B4581" t="s">
        <v>1704</v>
      </c>
      <c r="C4581" t="s">
        <v>626</v>
      </c>
      <c r="D4581" t="s">
        <v>627</v>
      </c>
      <c r="E4581" s="8">
        <v>910</v>
      </c>
      <c r="F4581" s="8">
        <v>70340</v>
      </c>
      <c r="G4581" s="8">
        <f t="shared" si="284"/>
        <v>64009400</v>
      </c>
      <c r="H4581" s="5">
        <v>0.2712</v>
      </c>
      <c r="I4581" s="8">
        <f t="shared" si="285"/>
        <v>64009400</v>
      </c>
      <c r="J4581" s="8">
        <f t="shared" si="286"/>
        <v>17359349.28</v>
      </c>
      <c r="K4581" t="str">
        <f t="shared" si="287"/>
        <v>MATCHED</v>
      </c>
    </row>
    <row r="4582" spans="1:11">
      <c r="A4582" t="s">
        <v>122</v>
      </c>
      <c r="B4582" t="s">
        <v>1704</v>
      </c>
      <c r="C4582" t="s">
        <v>1464</v>
      </c>
      <c r="D4582" t="s">
        <v>1465</v>
      </c>
      <c r="E4582" s="8">
        <v>1060</v>
      </c>
      <c r="F4582" s="8">
        <v>62600</v>
      </c>
      <c r="G4582" s="8">
        <f t="shared" si="284"/>
        <v>66356000</v>
      </c>
      <c r="H4582" s="5">
        <v>0.3176</v>
      </c>
      <c r="I4582" s="8">
        <f t="shared" si="285"/>
        <v>66356000</v>
      </c>
      <c r="J4582" s="8">
        <f t="shared" si="286"/>
        <v>21074665.6</v>
      </c>
      <c r="K4582" t="str">
        <f t="shared" si="287"/>
        <v>MATCHED</v>
      </c>
    </row>
    <row r="4583" spans="1:11">
      <c r="A4583" t="s">
        <v>122</v>
      </c>
      <c r="B4583" t="s">
        <v>1704</v>
      </c>
      <c r="C4583" t="s">
        <v>1711</v>
      </c>
      <c r="D4583" t="s">
        <v>1712</v>
      </c>
      <c r="E4583" s="8">
        <v>350</v>
      </c>
      <c r="F4583" s="8">
        <v>70600</v>
      </c>
      <c r="G4583" s="8">
        <f t="shared" si="284"/>
        <v>24710000</v>
      </c>
      <c r="H4583" s="5">
        <v>0.0594</v>
      </c>
      <c r="I4583" s="8">
        <f t="shared" si="285"/>
        <v>24710000</v>
      </c>
      <c r="J4583" s="8">
        <f t="shared" si="286"/>
        <v>1467774</v>
      </c>
      <c r="K4583" t="str">
        <f t="shared" si="287"/>
        <v>MATCHED</v>
      </c>
    </row>
    <row r="4584" spans="1:11">
      <c r="A4584" t="s">
        <v>122</v>
      </c>
      <c r="B4584" t="s">
        <v>1704</v>
      </c>
      <c r="C4584" t="s">
        <v>1466</v>
      </c>
      <c r="D4584" t="s">
        <v>1467</v>
      </c>
      <c r="E4584" s="8">
        <v>1070</v>
      </c>
      <c r="F4584" s="8">
        <v>48790</v>
      </c>
      <c r="G4584" s="8">
        <f t="shared" si="284"/>
        <v>52205300</v>
      </c>
      <c r="H4584" s="5">
        <v>0.2618</v>
      </c>
      <c r="I4584" s="8">
        <f t="shared" si="285"/>
        <v>52205300</v>
      </c>
      <c r="J4584" s="8">
        <f t="shared" si="286"/>
        <v>13667347.54</v>
      </c>
      <c r="K4584" t="str">
        <f t="shared" si="287"/>
        <v>MATCHED</v>
      </c>
    </row>
    <row r="4585" spans="1:11">
      <c r="A4585" t="s">
        <v>122</v>
      </c>
      <c r="B4585" t="s">
        <v>1704</v>
      </c>
      <c r="C4585" t="s">
        <v>1608</v>
      </c>
      <c r="D4585" t="s">
        <v>1609</v>
      </c>
      <c r="E4585" s="8">
        <v>2850</v>
      </c>
      <c r="F4585" s="8">
        <v>63450</v>
      </c>
      <c r="G4585" s="8">
        <f t="shared" si="284"/>
        <v>180832500</v>
      </c>
      <c r="H4585" s="5">
        <v>0.1862</v>
      </c>
      <c r="I4585" s="8">
        <f t="shared" si="285"/>
        <v>180832500</v>
      </c>
      <c r="J4585" s="8">
        <f t="shared" si="286"/>
        <v>33671011.5</v>
      </c>
      <c r="K4585" t="str">
        <f t="shared" si="287"/>
        <v>MATCHED</v>
      </c>
    </row>
    <row r="4586" spans="1:11">
      <c r="A4586" t="s">
        <v>122</v>
      </c>
      <c r="B4586" t="s">
        <v>1704</v>
      </c>
      <c r="C4586" t="s">
        <v>1468</v>
      </c>
      <c r="D4586" t="s">
        <v>1469</v>
      </c>
      <c r="E4586" s="8">
        <v>190</v>
      </c>
      <c r="F4586" s="8">
        <v>63920</v>
      </c>
      <c r="G4586" s="8">
        <f t="shared" si="284"/>
        <v>12144800</v>
      </c>
      <c r="H4586" s="5"/>
      <c r="I4586" s="8" t="str">
        <f t="shared" si="285"/>
        <v/>
      </c>
      <c r="J4586" s="8" t="str">
        <f t="shared" si="286"/>
        <v/>
      </c>
      <c r="K4586" t="str">
        <f t="shared" si="287"/>
        <v>MISSING WHARTON</v>
      </c>
    </row>
    <row r="4587" spans="1:11">
      <c r="A4587" t="s">
        <v>122</v>
      </c>
      <c r="B4587" t="s">
        <v>1704</v>
      </c>
      <c r="C4587" t="s">
        <v>1610</v>
      </c>
      <c r="D4587" t="s">
        <v>1611</v>
      </c>
      <c r="E4587" s="8">
        <v>2930</v>
      </c>
      <c r="F4587" s="8">
        <v>56750</v>
      </c>
      <c r="G4587" s="8">
        <f t="shared" si="284"/>
        <v>166277500</v>
      </c>
      <c r="H4587" s="5">
        <v>0.2457</v>
      </c>
      <c r="I4587" s="8">
        <f t="shared" si="285"/>
        <v>166277500</v>
      </c>
      <c r="J4587" s="8">
        <f t="shared" si="286"/>
        <v>40854381.75</v>
      </c>
      <c r="K4587" t="str">
        <f t="shared" si="287"/>
        <v>MATCHED</v>
      </c>
    </row>
    <row r="4588" spans="1:11">
      <c r="A4588" t="s">
        <v>122</v>
      </c>
      <c r="B4588" t="s">
        <v>1704</v>
      </c>
      <c r="C4588" t="s">
        <v>1417</v>
      </c>
      <c r="D4588" t="s">
        <v>1418</v>
      </c>
      <c r="E4588" s="8">
        <v>4000</v>
      </c>
      <c r="F4588" s="8">
        <v>63130</v>
      </c>
      <c r="G4588" s="8">
        <f t="shared" si="284"/>
        <v>252520000</v>
      </c>
      <c r="H4588" s="5">
        <v>0.2206</v>
      </c>
      <c r="I4588" s="8">
        <f t="shared" si="285"/>
        <v>252520000</v>
      </c>
      <c r="J4588" s="8">
        <f t="shared" si="286"/>
        <v>55705912</v>
      </c>
      <c r="K4588" t="str">
        <f t="shared" si="287"/>
        <v>MATCHED</v>
      </c>
    </row>
    <row r="4589" spans="1:11">
      <c r="A4589" t="s">
        <v>122</v>
      </c>
      <c r="B4589" t="s">
        <v>1704</v>
      </c>
      <c r="C4589" t="s">
        <v>1612</v>
      </c>
      <c r="D4589" t="s">
        <v>1613</v>
      </c>
      <c r="E4589" s="8">
        <v>1600</v>
      </c>
      <c r="F4589" s="8">
        <v>71990</v>
      </c>
      <c r="G4589" s="8">
        <f t="shared" si="284"/>
        <v>115184000</v>
      </c>
      <c r="H4589" s="5">
        <v>0.1615</v>
      </c>
      <c r="I4589" s="8">
        <f t="shared" si="285"/>
        <v>115184000</v>
      </c>
      <c r="J4589" s="8">
        <f t="shared" si="286"/>
        <v>18602216</v>
      </c>
      <c r="K4589" t="str">
        <f t="shared" si="287"/>
        <v>MATCHED</v>
      </c>
    </row>
    <row r="4590" spans="1:11">
      <c r="A4590" t="s">
        <v>122</v>
      </c>
      <c r="B4590" t="s">
        <v>1704</v>
      </c>
      <c r="C4590" t="s">
        <v>1614</v>
      </c>
      <c r="D4590" t="s">
        <v>1615</v>
      </c>
      <c r="E4590" s="8">
        <v>720</v>
      </c>
      <c r="F4590" s="8">
        <v>59500</v>
      </c>
      <c r="G4590" s="8">
        <f t="shared" si="284"/>
        <v>42840000</v>
      </c>
      <c r="H4590" s="5"/>
      <c r="I4590" s="8" t="str">
        <f t="shared" si="285"/>
        <v/>
      </c>
      <c r="J4590" s="8" t="str">
        <f t="shared" si="286"/>
        <v/>
      </c>
      <c r="K4590" t="str">
        <f t="shared" si="287"/>
        <v>MISSING WHARTON</v>
      </c>
    </row>
    <row r="4591" spans="1:11">
      <c r="A4591" t="s">
        <v>122</v>
      </c>
      <c r="B4591" t="s">
        <v>1704</v>
      </c>
      <c r="C4591" t="s">
        <v>1419</v>
      </c>
      <c r="D4591" t="s">
        <v>1420</v>
      </c>
      <c r="E4591" s="8">
        <v>1370</v>
      </c>
      <c r="F4591" s="8">
        <v>73870</v>
      </c>
      <c r="G4591" s="8">
        <f t="shared" si="284"/>
        <v>101201900</v>
      </c>
      <c r="H4591" s="5">
        <v>0.5875</v>
      </c>
      <c r="I4591" s="8">
        <f t="shared" si="285"/>
        <v>101201900</v>
      </c>
      <c r="J4591" s="8">
        <f t="shared" si="286"/>
        <v>59456116.25</v>
      </c>
      <c r="K4591" t="str">
        <f t="shared" si="287"/>
        <v>MATCHED</v>
      </c>
    </row>
    <row r="4592" spans="1:11">
      <c r="A4592" t="s">
        <v>122</v>
      </c>
      <c r="B4592" t="s">
        <v>1704</v>
      </c>
      <c r="C4592" t="s">
        <v>940</v>
      </c>
      <c r="D4592" t="s">
        <v>941</v>
      </c>
      <c r="E4592" s="8">
        <v>7550</v>
      </c>
      <c r="F4592" s="8">
        <v>48420</v>
      </c>
      <c r="G4592" s="8">
        <f t="shared" si="284"/>
        <v>365571000</v>
      </c>
      <c r="H4592" s="5">
        <v>0.4</v>
      </c>
      <c r="I4592" s="8">
        <f t="shared" si="285"/>
        <v>365571000</v>
      </c>
      <c r="J4592" s="8">
        <f t="shared" si="286"/>
        <v>146228400</v>
      </c>
      <c r="K4592" t="str">
        <f t="shared" si="287"/>
        <v>MATCHED</v>
      </c>
    </row>
    <row r="4593" spans="1:11">
      <c r="A4593" t="s">
        <v>122</v>
      </c>
      <c r="B4593" t="s">
        <v>1704</v>
      </c>
      <c r="C4593" t="s">
        <v>1569</v>
      </c>
      <c r="D4593" t="s">
        <v>1570</v>
      </c>
      <c r="E4593" s="8">
        <v>1480</v>
      </c>
      <c r="F4593" s="8">
        <v>58480</v>
      </c>
      <c r="G4593" s="8">
        <f t="shared" si="284"/>
        <v>86550400</v>
      </c>
      <c r="H4593" s="5">
        <v>0.2672</v>
      </c>
      <c r="I4593" s="8">
        <f t="shared" si="285"/>
        <v>86550400</v>
      </c>
      <c r="J4593" s="8">
        <f t="shared" si="286"/>
        <v>23126266.88</v>
      </c>
      <c r="K4593" t="str">
        <f t="shared" si="287"/>
        <v>MATCHED</v>
      </c>
    </row>
    <row r="4594" spans="1:11">
      <c r="A4594" t="s">
        <v>122</v>
      </c>
      <c r="B4594" t="s">
        <v>1704</v>
      </c>
      <c r="C4594" t="s">
        <v>942</v>
      </c>
      <c r="D4594" t="s">
        <v>943</v>
      </c>
      <c r="E4594" s="8">
        <v>1630</v>
      </c>
      <c r="F4594" s="8">
        <v>56540</v>
      </c>
      <c r="G4594" s="8">
        <f t="shared" si="284"/>
        <v>92160200</v>
      </c>
      <c r="H4594" s="5"/>
      <c r="I4594" s="8" t="str">
        <f t="shared" si="285"/>
        <v/>
      </c>
      <c r="J4594" s="8" t="str">
        <f t="shared" si="286"/>
        <v/>
      </c>
      <c r="K4594" t="str">
        <f t="shared" si="287"/>
        <v>MISSING WHARTON</v>
      </c>
    </row>
    <row r="4595" spans="1:11">
      <c r="A4595" t="s">
        <v>122</v>
      </c>
      <c r="B4595" t="s">
        <v>1704</v>
      </c>
      <c r="C4595" t="s">
        <v>1182</v>
      </c>
      <c r="D4595" t="s">
        <v>1183</v>
      </c>
      <c r="E4595" s="8">
        <v>610</v>
      </c>
      <c r="F4595" s="8">
        <v>67950</v>
      </c>
      <c r="G4595" s="8">
        <f t="shared" si="284"/>
        <v>41449500</v>
      </c>
      <c r="H4595" s="5">
        <v>0.1786</v>
      </c>
      <c r="I4595" s="8">
        <f t="shared" si="285"/>
        <v>41449500</v>
      </c>
      <c r="J4595" s="8">
        <f t="shared" si="286"/>
        <v>7402880.7</v>
      </c>
      <c r="K4595" t="str">
        <f t="shared" si="287"/>
        <v>MATCHED</v>
      </c>
    </row>
    <row r="4596" spans="1:11">
      <c r="A4596" t="s">
        <v>122</v>
      </c>
      <c r="B4596" t="s">
        <v>1704</v>
      </c>
      <c r="C4596" t="s">
        <v>1713</v>
      </c>
      <c r="D4596" t="s">
        <v>1714</v>
      </c>
      <c r="E4596" s="8">
        <v>70</v>
      </c>
      <c r="F4596" s="8">
        <v>73480</v>
      </c>
      <c r="G4596" s="8">
        <f t="shared" si="284"/>
        <v>5143600</v>
      </c>
      <c r="H4596" s="5">
        <v>0.2974</v>
      </c>
      <c r="I4596" s="8">
        <f t="shared" si="285"/>
        <v>5143600</v>
      </c>
      <c r="J4596" s="8">
        <f t="shared" si="286"/>
        <v>1529706.64</v>
      </c>
      <c r="K4596" t="str">
        <f t="shared" si="287"/>
        <v>MATCHED</v>
      </c>
    </row>
    <row r="4597" spans="1:11">
      <c r="A4597" t="s">
        <v>122</v>
      </c>
      <c r="B4597" t="s">
        <v>1704</v>
      </c>
      <c r="C4597" t="s">
        <v>628</v>
      </c>
      <c r="D4597" t="s">
        <v>629</v>
      </c>
      <c r="E4597" s="8">
        <v>24980</v>
      </c>
      <c r="F4597" s="8">
        <v>245000</v>
      </c>
      <c r="G4597" s="8">
        <f t="shared" si="284"/>
        <v>6120100000</v>
      </c>
      <c r="H4597" s="5">
        <v>0.45</v>
      </c>
      <c r="I4597" s="8">
        <f t="shared" si="285"/>
        <v>6120100000</v>
      </c>
      <c r="J4597" s="8">
        <f t="shared" si="286"/>
        <v>2754045000</v>
      </c>
      <c r="K4597" t="str">
        <f t="shared" si="287"/>
        <v>MATCHED</v>
      </c>
    </row>
    <row r="4598" spans="1:11">
      <c r="A4598" t="s">
        <v>122</v>
      </c>
      <c r="B4598" t="s">
        <v>1704</v>
      </c>
      <c r="C4598" t="s">
        <v>1421</v>
      </c>
      <c r="D4598" t="s">
        <v>1422</v>
      </c>
      <c r="E4598" s="8">
        <v>70</v>
      </c>
      <c r="F4598" s="8">
        <v>75050</v>
      </c>
      <c r="G4598" s="8">
        <f t="shared" si="284"/>
        <v>5253500</v>
      </c>
      <c r="H4598" s="5">
        <v>0.4375</v>
      </c>
      <c r="I4598" s="8">
        <f t="shared" si="285"/>
        <v>5253500</v>
      </c>
      <c r="J4598" s="8">
        <f t="shared" si="286"/>
        <v>2298406.25</v>
      </c>
      <c r="K4598" t="str">
        <f t="shared" si="287"/>
        <v>MATCHED</v>
      </c>
    </row>
    <row r="4599" spans="1:11">
      <c r="A4599" t="s">
        <v>122</v>
      </c>
      <c r="B4599" t="s">
        <v>1704</v>
      </c>
      <c r="C4599" t="s">
        <v>630</v>
      </c>
      <c r="D4599" t="s">
        <v>631</v>
      </c>
      <c r="E4599" s="8">
        <v>6970</v>
      </c>
      <c r="F4599" s="8">
        <v>94320</v>
      </c>
      <c r="G4599" s="8">
        <f t="shared" si="284"/>
        <v>657410400</v>
      </c>
      <c r="H4599" s="5">
        <v>0.5917</v>
      </c>
      <c r="I4599" s="8">
        <f t="shared" si="285"/>
        <v>657410400</v>
      </c>
      <c r="J4599" s="8">
        <f t="shared" si="286"/>
        <v>388989733.68</v>
      </c>
      <c r="K4599" t="str">
        <f t="shared" si="287"/>
        <v>MATCHED</v>
      </c>
    </row>
    <row r="4600" spans="1:11">
      <c r="A4600" t="s">
        <v>122</v>
      </c>
      <c r="B4600" t="s">
        <v>1704</v>
      </c>
      <c r="C4600" t="s">
        <v>632</v>
      </c>
      <c r="D4600" t="s">
        <v>633</v>
      </c>
      <c r="E4600" s="8">
        <v>560</v>
      </c>
      <c r="F4600" s="8">
        <v>63890</v>
      </c>
      <c r="G4600" s="8">
        <f t="shared" si="284"/>
        <v>35778400</v>
      </c>
      <c r="H4600" s="5">
        <v>0.8794</v>
      </c>
      <c r="I4600" s="8">
        <f t="shared" si="285"/>
        <v>35778400</v>
      </c>
      <c r="J4600" s="8">
        <f t="shared" si="286"/>
        <v>31463524.96</v>
      </c>
      <c r="K4600" t="str">
        <f t="shared" si="287"/>
        <v>MATCHED</v>
      </c>
    </row>
    <row r="4601" spans="1:11">
      <c r="A4601" t="s">
        <v>122</v>
      </c>
      <c r="B4601" t="s">
        <v>1704</v>
      </c>
      <c r="C4601" t="s">
        <v>634</v>
      </c>
      <c r="D4601" t="s">
        <v>635</v>
      </c>
      <c r="E4601" s="8">
        <v>810</v>
      </c>
      <c r="F4601" s="8">
        <v>93210</v>
      </c>
      <c r="G4601" s="8">
        <f t="shared" si="284"/>
        <v>75500100</v>
      </c>
      <c r="H4601" s="5"/>
      <c r="I4601" s="8" t="str">
        <f t="shared" si="285"/>
        <v/>
      </c>
      <c r="J4601" s="8" t="str">
        <f t="shared" si="286"/>
        <v/>
      </c>
      <c r="K4601" t="str">
        <f t="shared" si="287"/>
        <v>MISSING WHARTON</v>
      </c>
    </row>
    <row r="4602" spans="1:11">
      <c r="A4602" t="s">
        <v>122</v>
      </c>
      <c r="B4602" t="s">
        <v>1704</v>
      </c>
      <c r="C4602" t="s">
        <v>1660</v>
      </c>
      <c r="D4602" t="s">
        <v>1661</v>
      </c>
      <c r="E4602" s="8">
        <v>550</v>
      </c>
      <c r="F4602" s="8">
        <v>45790</v>
      </c>
      <c r="G4602" s="8">
        <f t="shared" si="284"/>
        <v>25184500</v>
      </c>
      <c r="H4602" s="5">
        <v>0.1176</v>
      </c>
      <c r="I4602" s="8">
        <f t="shared" si="285"/>
        <v>25184500</v>
      </c>
      <c r="J4602" s="8">
        <f t="shared" si="286"/>
        <v>2961697.2</v>
      </c>
      <c r="K4602" t="str">
        <f t="shared" si="287"/>
        <v>MATCHED</v>
      </c>
    </row>
    <row r="4603" spans="1:11">
      <c r="A4603" t="s">
        <v>122</v>
      </c>
      <c r="B4603" t="s">
        <v>1704</v>
      </c>
      <c r="C4603" t="s">
        <v>1715</v>
      </c>
      <c r="D4603" t="s">
        <v>1716</v>
      </c>
      <c r="E4603" s="8">
        <v>90</v>
      </c>
      <c r="F4603" s="8">
        <v>69330</v>
      </c>
      <c r="G4603" s="8">
        <f t="shared" si="284"/>
        <v>6239700</v>
      </c>
      <c r="H4603" s="5">
        <v>0.27</v>
      </c>
      <c r="I4603" s="8">
        <f t="shared" si="285"/>
        <v>6239700</v>
      </c>
      <c r="J4603" s="8">
        <f t="shared" si="286"/>
        <v>1684719</v>
      </c>
      <c r="K4603" t="str">
        <f t="shared" si="287"/>
        <v>MATCHED</v>
      </c>
    </row>
    <row r="4604" spans="1:11">
      <c r="A4604" t="s">
        <v>122</v>
      </c>
      <c r="B4604" t="s">
        <v>1704</v>
      </c>
      <c r="C4604" t="s">
        <v>1571</v>
      </c>
      <c r="D4604" t="s">
        <v>1572</v>
      </c>
      <c r="E4604" s="8"/>
      <c r="F4604" s="8">
        <v>60990</v>
      </c>
      <c r="G4604" s="8" t="str">
        <f t="shared" si="284"/>
        <v/>
      </c>
      <c r="H4604" s="5">
        <v>0.3372</v>
      </c>
      <c r="I4604" s="8" t="str">
        <f t="shared" si="285"/>
        <v/>
      </c>
      <c r="J4604" s="8" t="str">
        <f t="shared" si="286"/>
        <v/>
      </c>
      <c r="K4604" t="str">
        <f t="shared" si="287"/>
        <v>MISSING OEWS</v>
      </c>
    </row>
    <row r="4605" spans="1:11">
      <c r="A4605" t="s">
        <v>122</v>
      </c>
      <c r="B4605" t="s">
        <v>1704</v>
      </c>
      <c r="C4605" t="s">
        <v>321</v>
      </c>
      <c r="D4605" t="s">
        <v>322</v>
      </c>
      <c r="E4605" s="8">
        <v>450</v>
      </c>
      <c r="F4605" s="8">
        <v>54960</v>
      </c>
      <c r="G4605" s="8">
        <f t="shared" si="284"/>
        <v>24732000</v>
      </c>
      <c r="H4605" s="5">
        <v>0.33</v>
      </c>
      <c r="I4605" s="8">
        <f t="shared" si="285"/>
        <v>24732000</v>
      </c>
      <c r="J4605" s="8">
        <f t="shared" si="286"/>
        <v>8161560</v>
      </c>
      <c r="K4605" t="str">
        <f t="shared" si="287"/>
        <v>MATCHED</v>
      </c>
    </row>
    <row r="4606" spans="1:11">
      <c r="A4606" t="s">
        <v>122</v>
      </c>
      <c r="B4606" t="s">
        <v>1704</v>
      </c>
      <c r="C4606" t="s">
        <v>1717</v>
      </c>
      <c r="D4606" t="s">
        <v>1718</v>
      </c>
      <c r="E4606" s="8">
        <v>60</v>
      </c>
      <c r="F4606" s="8">
        <v>34740</v>
      </c>
      <c r="G4606" s="8">
        <f t="shared" si="284"/>
        <v>2084400</v>
      </c>
      <c r="H4606" s="5">
        <v>0.1972</v>
      </c>
      <c r="I4606" s="8">
        <f t="shared" si="285"/>
        <v>2084400</v>
      </c>
      <c r="J4606" s="8">
        <f t="shared" si="286"/>
        <v>411043.68</v>
      </c>
      <c r="K4606" t="str">
        <f t="shared" si="287"/>
        <v>MATCHED</v>
      </c>
    </row>
    <row r="4607" spans="1:11">
      <c r="A4607" t="s">
        <v>122</v>
      </c>
      <c r="B4607" t="s">
        <v>1704</v>
      </c>
      <c r="C4607" t="s">
        <v>1423</v>
      </c>
      <c r="D4607" t="s">
        <v>1424</v>
      </c>
      <c r="E4607" s="8">
        <v>110</v>
      </c>
      <c r="F4607" s="8">
        <v>43090</v>
      </c>
      <c r="G4607" s="8">
        <f t="shared" si="284"/>
        <v>4739900</v>
      </c>
      <c r="H4607" s="5">
        <v>0.3974</v>
      </c>
      <c r="I4607" s="8">
        <f t="shared" si="285"/>
        <v>4739900</v>
      </c>
      <c r="J4607" s="8">
        <f t="shared" si="286"/>
        <v>1883636.26</v>
      </c>
      <c r="K4607" t="str">
        <f t="shared" si="287"/>
        <v>MATCHED</v>
      </c>
    </row>
    <row r="4608" spans="1:11">
      <c r="A4608" t="s">
        <v>122</v>
      </c>
      <c r="B4608" t="s">
        <v>1704</v>
      </c>
      <c r="C4608" t="s">
        <v>1517</v>
      </c>
      <c r="D4608" t="s">
        <v>1518</v>
      </c>
      <c r="E4608" s="8">
        <v>220</v>
      </c>
      <c r="F4608" s="8">
        <v>48010</v>
      </c>
      <c r="G4608" s="8">
        <f t="shared" si="284"/>
        <v>10562200</v>
      </c>
      <c r="H4608" s="5"/>
      <c r="I4608" s="8" t="str">
        <f t="shared" si="285"/>
        <v/>
      </c>
      <c r="J4608" s="8" t="str">
        <f t="shared" si="286"/>
        <v/>
      </c>
      <c r="K4608" t="str">
        <f t="shared" si="287"/>
        <v>MISSING WHARTON</v>
      </c>
    </row>
    <row r="4609" spans="1:11">
      <c r="A4609" t="s">
        <v>122</v>
      </c>
      <c r="B4609" t="s">
        <v>1704</v>
      </c>
      <c r="C4609" t="s">
        <v>1470</v>
      </c>
      <c r="D4609" t="s">
        <v>1471</v>
      </c>
      <c r="E4609" s="8">
        <v>200</v>
      </c>
      <c r="F4609" s="8">
        <v>91840</v>
      </c>
      <c r="G4609" s="8">
        <f t="shared" si="284"/>
        <v>18368000</v>
      </c>
      <c r="H4609" s="5">
        <v>0.4154</v>
      </c>
      <c r="I4609" s="8">
        <f t="shared" si="285"/>
        <v>18368000</v>
      </c>
      <c r="J4609" s="8">
        <f t="shared" si="286"/>
        <v>7630067.2</v>
      </c>
      <c r="K4609" t="str">
        <f t="shared" si="287"/>
        <v>MATCHED</v>
      </c>
    </row>
    <row r="4610" spans="1:11">
      <c r="A4610" t="s">
        <v>122</v>
      </c>
      <c r="B4610" t="s">
        <v>1704</v>
      </c>
      <c r="C4610" t="s">
        <v>1425</v>
      </c>
      <c r="D4610" t="s">
        <v>1426</v>
      </c>
      <c r="E4610" s="8">
        <v>30</v>
      </c>
      <c r="F4610" s="8">
        <v>82060</v>
      </c>
      <c r="G4610" s="8">
        <f t="shared" ref="G4610:G4673" si="288">IF(OR(E4610="",F4610=""),"",E4610*F4610)</f>
        <v>2461800</v>
      </c>
      <c r="H4610" s="5">
        <v>0.2833</v>
      </c>
      <c r="I4610" s="8">
        <f t="shared" ref="I4610:I4673" si="289">IF(G4610="","",IF(ISNUMBER(H4610),G4610,""))</f>
        <v>2461800</v>
      </c>
      <c r="J4610" s="8">
        <f t="shared" ref="J4610:J4673" si="290">IF(I4610="","",I4610*H4610)</f>
        <v>697427.94</v>
      </c>
      <c r="K4610" t="str">
        <f t="shared" ref="K4610:K4673" si="291">IF(G4610="","MISSING OEWS",IF(ISNUMBER(H4610),"MATCHED","MISSING WHARTON"))</f>
        <v>MATCHED</v>
      </c>
    </row>
    <row r="4611" spans="1:11">
      <c r="A4611" t="s">
        <v>122</v>
      </c>
      <c r="B4611" t="s">
        <v>1704</v>
      </c>
      <c r="C4611" t="s">
        <v>1184</v>
      </c>
      <c r="D4611" t="s">
        <v>1185</v>
      </c>
      <c r="E4611" s="8">
        <v>130</v>
      </c>
      <c r="F4611" s="8">
        <v>88860</v>
      </c>
      <c r="G4611" s="8">
        <f t="shared" si="288"/>
        <v>11551800</v>
      </c>
      <c r="H4611" s="5">
        <v>0.4167</v>
      </c>
      <c r="I4611" s="8">
        <f t="shared" si="289"/>
        <v>11551800</v>
      </c>
      <c r="J4611" s="8">
        <f t="shared" si="290"/>
        <v>4813635.06</v>
      </c>
      <c r="K4611" t="str">
        <f t="shared" si="291"/>
        <v>MATCHED</v>
      </c>
    </row>
    <row r="4612" spans="1:11">
      <c r="A4612" t="s">
        <v>122</v>
      </c>
      <c r="B4612" t="s">
        <v>1704</v>
      </c>
      <c r="C4612" t="s">
        <v>944</v>
      </c>
      <c r="D4612" t="s">
        <v>945</v>
      </c>
      <c r="E4612" s="8">
        <v>1500</v>
      </c>
      <c r="F4612" s="8">
        <v>76920</v>
      </c>
      <c r="G4612" s="8">
        <f t="shared" si="288"/>
        <v>115380000</v>
      </c>
      <c r="H4612" s="5">
        <v>0.5783</v>
      </c>
      <c r="I4612" s="8">
        <f t="shared" si="289"/>
        <v>115380000</v>
      </c>
      <c r="J4612" s="8">
        <f t="shared" si="290"/>
        <v>66724254</v>
      </c>
      <c r="K4612" t="str">
        <f t="shared" si="291"/>
        <v>MATCHED</v>
      </c>
    </row>
    <row r="4613" spans="1:11">
      <c r="A4613" t="s">
        <v>122</v>
      </c>
      <c r="B4613" t="s">
        <v>1704</v>
      </c>
      <c r="C4613" t="s">
        <v>1664</v>
      </c>
      <c r="D4613" t="s">
        <v>1665</v>
      </c>
      <c r="E4613" s="8">
        <v>740</v>
      </c>
      <c r="F4613" s="8">
        <v>38830</v>
      </c>
      <c r="G4613" s="8">
        <f t="shared" si="288"/>
        <v>28734200</v>
      </c>
      <c r="H4613" s="5">
        <v>0.2083</v>
      </c>
      <c r="I4613" s="8">
        <f t="shared" si="289"/>
        <v>28734200</v>
      </c>
      <c r="J4613" s="8">
        <f t="shared" si="290"/>
        <v>5985333.86</v>
      </c>
      <c r="K4613" t="str">
        <f t="shared" si="291"/>
        <v>MATCHED</v>
      </c>
    </row>
    <row r="4614" spans="1:11">
      <c r="A4614" t="s">
        <v>122</v>
      </c>
      <c r="B4614" t="s">
        <v>1704</v>
      </c>
      <c r="C4614" t="s">
        <v>1427</v>
      </c>
      <c r="D4614" t="s">
        <v>1428</v>
      </c>
      <c r="E4614" s="8">
        <v>250</v>
      </c>
      <c r="F4614" s="8">
        <v>65480</v>
      </c>
      <c r="G4614" s="8">
        <f t="shared" si="288"/>
        <v>16370000</v>
      </c>
      <c r="H4614" s="5"/>
      <c r="I4614" s="8" t="str">
        <f t="shared" si="289"/>
        <v/>
      </c>
      <c r="J4614" s="8" t="str">
        <f t="shared" si="290"/>
        <v/>
      </c>
      <c r="K4614" t="str">
        <f t="shared" si="291"/>
        <v>MISSING WHARTON</v>
      </c>
    </row>
    <row r="4615" spans="1:11">
      <c r="A4615" t="s">
        <v>122</v>
      </c>
      <c r="B4615" t="s">
        <v>1704</v>
      </c>
      <c r="C4615" t="s">
        <v>946</v>
      </c>
      <c r="D4615" t="s">
        <v>947</v>
      </c>
      <c r="E4615" s="8">
        <v>3240</v>
      </c>
      <c r="F4615" s="8">
        <v>154350</v>
      </c>
      <c r="G4615" s="8">
        <f t="shared" si="288"/>
        <v>500094000</v>
      </c>
      <c r="H4615" s="5">
        <v>0.3688</v>
      </c>
      <c r="I4615" s="8">
        <f t="shared" si="289"/>
        <v>500094000</v>
      </c>
      <c r="J4615" s="8">
        <f t="shared" si="290"/>
        <v>184434667.2</v>
      </c>
      <c r="K4615" t="str">
        <f t="shared" si="291"/>
        <v>MATCHED</v>
      </c>
    </row>
    <row r="4616" spans="1:11">
      <c r="A4616" t="s">
        <v>122</v>
      </c>
      <c r="B4616" t="s">
        <v>1704</v>
      </c>
      <c r="C4616" t="s">
        <v>948</v>
      </c>
      <c r="D4616" t="s">
        <v>949</v>
      </c>
      <c r="E4616" s="8"/>
      <c r="F4616" s="8">
        <v>93390</v>
      </c>
      <c r="G4616" s="8" t="str">
        <f t="shared" si="288"/>
        <v/>
      </c>
      <c r="H4616" s="5">
        <v>0.2281</v>
      </c>
      <c r="I4616" s="8" t="str">
        <f t="shared" si="289"/>
        <v/>
      </c>
      <c r="J4616" s="8" t="str">
        <f t="shared" si="290"/>
        <v/>
      </c>
      <c r="K4616" t="str">
        <f t="shared" si="291"/>
        <v>MISSING OEWS</v>
      </c>
    </row>
    <row r="4617" spans="1:11">
      <c r="A4617" t="s">
        <v>122</v>
      </c>
      <c r="B4617" t="s">
        <v>1704</v>
      </c>
      <c r="C4617" t="s">
        <v>1188</v>
      </c>
      <c r="D4617" t="s">
        <v>1189</v>
      </c>
      <c r="E4617" s="8">
        <v>610</v>
      </c>
      <c r="F4617" s="8"/>
      <c r="G4617" s="8" t="str">
        <f t="shared" si="288"/>
        <v/>
      </c>
      <c r="H4617" s="5">
        <v>0.7071</v>
      </c>
      <c r="I4617" s="8" t="str">
        <f t="shared" si="289"/>
        <v/>
      </c>
      <c r="J4617" s="8" t="str">
        <f t="shared" si="290"/>
        <v/>
      </c>
      <c r="K4617" t="str">
        <f t="shared" si="291"/>
        <v>MISSING OEWS</v>
      </c>
    </row>
    <row r="4618" spans="1:11">
      <c r="A4618" t="s">
        <v>122</v>
      </c>
      <c r="B4618" t="s">
        <v>1704</v>
      </c>
      <c r="C4618" t="s">
        <v>950</v>
      </c>
      <c r="D4618" t="s">
        <v>951</v>
      </c>
      <c r="E4618" s="8">
        <v>40</v>
      </c>
      <c r="F4618" s="8">
        <v>66300</v>
      </c>
      <c r="G4618" s="8">
        <f t="shared" si="288"/>
        <v>2652000</v>
      </c>
      <c r="H4618" s="5"/>
      <c r="I4618" s="8" t="str">
        <f t="shared" si="289"/>
        <v/>
      </c>
      <c r="J4618" s="8" t="str">
        <f t="shared" si="290"/>
        <v/>
      </c>
      <c r="K4618" t="str">
        <f t="shared" si="291"/>
        <v>MISSING WHARTON</v>
      </c>
    </row>
    <row r="4619" spans="1:11">
      <c r="A4619" t="s">
        <v>122</v>
      </c>
      <c r="B4619" t="s">
        <v>1704</v>
      </c>
      <c r="C4619" t="s">
        <v>952</v>
      </c>
      <c r="D4619" t="s">
        <v>953</v>
      </c>
      <c r="E4619" s="8">
        <v>3820</v>
      </c>
      <c r="F4619" s="8">
        <v>105210</v>
      </c>
      <c r="G4619" s="8">
        <f t="shared" si="288"/>
        <v>401902200</v>
      </c>
      <c r="H4619" s="5">
        <v>0.3029</v>
      </c>
      <c r="I4619" s="8">
        <f t="shared" si="289"/>
        <v>401902200</v>
      </c>
      <c r="J4619" s="8">
        <f t="shared" si="290"/>
        <v>121736176.38</v>
      </c>
      <c r="K4619" t="str">
        <f t="shared" si="291"/>
        <v>MATCHED</v>
      </c>
    </row>
    <row r="4620" spans="1:11">
      <c r="A4620" t="s">
        <v>122</v>
      </c>
      <c r="B4620" t="s">
        <v>1704</v>
      </c>
      <c r="C4620" t="s">
        <v>1190</v>
      </c>
      <c r="D4620" t="s">
        <v>1191</v>
      </c>
      <c r="E4620" s="8">
        <v>3890</v>
      </c>
      <c r="F4620" s="8">
        <v>113240</v>
      </c>
      <c r="G4620" s="8">
        <f t="shared" si="288"/>
        <v>440503600</v>
      </c>
      <c r="H4620" s="5">
        <v>0.1875</v>
      </c>
      <c r="I4620" s="8">
        <f t="shared" si="289"/>
        <v>440503600</v>
      </c>
      <c r="J4620" s="8">
        <f t="shared" si="290"/>
        <v>82594425</v>
      </c>
      <c r="K4620" t="str">
        <f t="shared" si="291"/>
        <v>MATCHED</v>
      </c>
    </row>
    <row r="4621" spans="1:11">
      <c r="A4621" t="s">
        <v>122</v>
      </c>
      <c r="B4621" t="s">
        <v>1704</v>
      </c>
      <c r="C4621" t="s">
        <v>1192</v>
      </c>
      <c r="D4621" t="s">
        <v>1193</v>
      </c>
      <c r="E4621" s="8">
        <v>90</v>
      </c>
      <c r="F4621" s="8">
        <v>55390</v>
      </c>
      <c r="G4621" s="8">
        <f t="shared" si="288"/>
        <v>4985100</v>
      </c>
      <c r="H4621" s="5">
        <v>0.1188</v>
      </c>
      <c r="I4621" s="8">
        <f t="shared" si="289"/>
        <v>4985100</v>
      </c>
      <c r="J4621" s="8">
        <f t="shared" si="290"/>
        <v>592229.88</v>
      </c>
      <c r="K4621" t="str">
        <f t="shared" si="291"/>
        <v>MATCHED</v>
      </c>
    </row>
    <row r="4622" spans="1:11">
      <c r="A4622" t="s">
        <v>122</v>
      </c>
      <c r="B4622" t="s">
        <v>1704</v>
      </c>
      <c r="C4622" t="s">
        <v>858</v>
      </c>
      <c r="D4622" t="s">
        <v>859</v>
      </c>
      <c r="E4622" s="8">
        <v>8590</v>
      </c>
      <c r="F4622" s="8">
        <v>83060</v>
      </c>
      <c r="G4622" s="8">
        <f t="shared" si="288"/>
        <v>713485400</v>
      </c>
      <c r="H4622" s="5">
        <v>0.7375</v>
      </c>
      <c r="I4622" s="8">
        <f t="shared" si="289"/>
        <v>713485400</v>
      </c>
      <c r="J4622" s="8">
        <f t="shared" si="290"/>
        <v>526195482.5</v>
      </c>
      <c r="K4622" t="str">
        <f t="shared" si="291"/>
        <v>MATCHED</v>
      </c>
    </row>
    <row r="4623" spans="1:11">
      <c r="A4623" t="s">
        <v>122</v>
      </c>
      <c r="B4623" t="s">
        <v>1704</v>
      </c>
      <c r="C4623" t="s">
        <v>954</v>
      </c>
      <c r="D4623" t="s">
        <v>955</v>
      </c>
      <c r="E4623" s="8">
        <v>1870</v>
      </c>
      <c r="F4623" s="8">
        <v>92420</v>
      </c>
      <c r="G4623" s="8">
        <f t="shared" si="288"/>
        <v>172825400</v>
      </c>
      <c r="H4623" s="5">
        <v>0.3133</v>
      </c>
      <c r="I4623" s="8">
        <f t="shared" si="289"/>
        <v>172825400</v>
      </c>
      <c r="J4623" s="8">
        <f t="shared" si="290"/>
        <v>54146197.82</v>
      </c>
      <c r="K4623" t="str">
        <f t="shared" si="291"/>
        <v>MATCHED</v>
      </c>
    </row>
    <row r="4624" spans="1:11">
      <c r="A4624" t="s">
        <v>122</v>
      </c>
      <c r="B4624" t="s">
        <v>1704</v>
      </c>
      <c r="C4624" t="s">
        <v>956</v>
      </c>
      <c r="D4624" t="s">
        <v>957</v>
      </c>
      <c r="E4624" s="8">
        <v>4720</v>
      </c>
      <c r="F4624" s="8">
        <v>60640</v>
      </c>
      <c r="G4624" s="8">
        <f t="shared" si="288"/>
        <v>286220800</v>
      </c>
      <c r="H4624" s="5">
        <v>0.038</v>
      </c>
      <c r="I4624" s="8">
        <f t="shared" si="289"/>
        <v>286220800</v>
      </c>
      <c r="J4624" s="8">
        <f t="shared" si="290"/>
        <v>10876390.4</v>
      </c>
      <c r="K4624" t="str">
        <f t="shared" si="291"/>
        <v>MATCHED</v>
      </c>
    </row>
    <row r="4625" spans="1:11">
      <c r="A4625" t="s">
        <v>122</v>
      </c>
      <c r="B4625" t="s">
        <v>1704</v>
      </c>
      <c r="C4625" t="s">
        <v>1194</v>
      </c>
      <c r="D4625" t="s">
        <v>1195</v>
      </c>
      <c r="E4625" s="8">
        <v>50</v>
      </c>
      <c r="F4625" s="8">
        <v>84860</v>
      </c>
      <c r="G4625" s="8">
        <f t="shared" si="288"/>
        <v>4243000</v>
      </c>
      <c r="H4625" s="5">
        <v>0.2167</v>
      </c>
      <c r="I4625" s="8">
        <f t="shared" si="289"/>
        <v>4243000</v>
      </c>
      <c r="J4625" s="8">
        <f t="shared" si="290"/>
        <v>919458.1</v>
      </c>
      <c r="K4625" t="str">
        <f t="shared" si="291"/>
        <v>MATCHED</v>
      </c>
    </row>
    <row r="4626" spans="1:11">
      <c r="A4626" t="s">
        <v>122</v>
      </c>
      <c r="B4626" t="s">
        <v>1704</v>
      </c>
      <c r="C4626" t="s">
        <v>958</v>
      </c>
      <c r="D4626" t="s">
        <v>959</v>
      </c>
      <c r="E4626" s="8">
        <v>690</v>
      </c>
      <c r="F4626" s="8">
        <v>91170</v>
      </c>
      <c r="G4626" s="8">
        <f t="shared" si="288"/>
        <v>62907300</v>
      </c>
      <c r="H4626" s="5"/>
      <c r="I4626" s="8" t="str">
        <f t="shared" si="289"/>
        <v/>
      </c>
      <c r="J4626" s="8" t="str">
        <f t="shared" si="290"/>
        <v/>
      </c>
      <c r="K4626" t="str">
        <f t="shared" si="291"/>
        <v>MISSING WHARTON</v>
      </c>
    </row>
    <row r="4627" spans="1:11">
      <c r="A4627" t="s">
        <v>122</v>
      </c>
      <c r="B4627" t="s">
        <v>1704</v>
      </c>
      <c r="C4627" t="s">
        <v>960</v>
      </c>
      <c r="D4627" t="s">
        <v>961</v>
      </c>
      <c r="E4627" s="8">
        <v>2350</v>
      </c>
      <c r="F4627" s="8">
        <v>240800</v>
      </c>
      <c r="G4627" s="8">
        <f t="shared" si="288"/>
        <v>565880000</v>
      </c>
      <c r="H4627" s="5">
        <v>0.3463</v>
      </c>
      <c r="I4627" s="8">
        <f t="shared" si="289"/>
        <v>565880000</v>
      </c>
      <c r="J4627" s="8">
        <f t="shared" si="290"/>
        <v>195964244</v>
      </c>
      <c r="K4627" t="str">
        <f t="shared" si="291"/>
        <v>MATCHED</v>
      </c>
    </row>
    <row r="4628" spans="1:11">
      <c r="A4628" t="s">
        <v>122</v>
      </c>
      <c r="B4628" t="s">
        <v>1704</v>
      </c>
      <c r="C4628" t="s">
        <v>1198</v>
      </c>
      <c r="D4628" t="s">
        <v>1199</v>
      </c>
      <c r="E4628" s="8"/>
      <c r="F4628" s="8">
        <v>89100</v>
      </c>
      <c r="G4628" s="8" t="str">
        <f t="shared" si="288"/>
        <v/>
      </c>
      <c r="H4628" s="5">
        <v>0.71</v>
      </c>
      <c r="I4628" s="8" t="str">
        <f t="shared" si="289"/>
        <v/>
      </c>
      <c r="J4628" s="8" t="str">
        <f t="shared" si="290"/>
        <v/>
      </c>
      <c r="K4628" t="str">
        <f t="shared" si="291"/>
        <v>MISSING OEWS</v>
      </c>
    </row>
    <row r="4629" spans="1:11">
      <c r="A4629" t="s">
        <v>122</v>
      </c>
      <c r="B4629" t="s">
        <v>1704</v>
      </c>
      <c r="C4629" t="s">
        <v>323</v>
      </c>
      <c r="D4629" t="s">
        <v>324</v>
      </c>
      <c r="E4629" s="8">
        <v>13420</v>
      </c>
      <c r="F4629" s="8">
        <v>99790</v>
      </c>
      <c r="G4629" s="8">
        <f t="shared" si="288"/>
        <v>1339181800</v>
      </c>
      <c r="H4629" s="5">
        <v>0.575</v>
      </c>
      <c r="I4629" s="8">
        <f t="shared" si="289"/>
        <v>1339181800</v>
      </c>
      <c r="J4629" s="8">
        <f t="shared" si="290"/>
        <v>770029535</v>
      </c>
      <c r="K4629" t="str">
        <f t="shared" si="291"/>
        <v>MATCHED</v>
      </c>
    </row>
    <row r="4630" spans="1:11">
      <c r="A4630" t="s">
        <v>122</v>
      </c>
      <c r="B4630" t="s">
        <v>1704</v>
      </c>
      <c r="C4630" t="s">
        <v>1200</v>
      </c>
      <c r="D4630" t="s">
        <v>1201</v>
      </c>
      <c r="E4630" s="8">
        <v>1170</v>
      </c>
      <c r="F4630" s="8">
        <v>103660</v>
      </c>
      <c r="G4630" s="8">
        <f t="shared" si="288"/>
        <v>121282200</v>
      </c>
      <c r="H4630" s="5">
        <v>0.6643</v>
      </c>
      <c r="I4630" s="8">
        <f t="shared" si="289"/>
        <v>121282200</v>
      </c>
      <c r="J4630" s="8">
        <f t="shared" si="290"/>
        <v>80567765.46</v>
      </c>
      <c r="K4630" t="str">
        <f t="shared" si="291"/>
        <v>MATCHED</v>
      </c>
    </row>
    <row r="4631" spans="1:11">
      <c r="A4631" t="s">
        <v>122</v>
      </c>
      <c r="B4631" t="s">
        <v>1704</v>
      </c>
      <c r="C4631" t="s">
        <v>636</v>
      </c>
      <c r="D4631" t="s">
        <v>637</v>
      </c>
      <c r="E4631" s="8">
        <v>1560</v>
      </c>
      <c r="F4631" s="8">
        <v>96940</v>
      </c>
      <c r="G4631" s="8">
        <f t="shared" si="288"/>
        <v>151226400</v>
      </c>
      <c r="H4631" s="5">
        <v>0.71</v>
      </c>
      <c r="I4631" s="8">
        <f t="shared" si="289"/>
        <v>151226400</v>
      </c>
      <c r="J4631" s="8">
        <f t="shared" si="290"/>
        <v>107370744</v>
      </c>
      <c r="K4631" t="str">
        <f t="shared" si="291"/>
        <v>MATCHED</v>
      </c>
    </row>
    <row r="4632" spans="1:11">
      <c r="A4632" t="s">
        <v>122</v>
      </c>
      <c r="B4632" t="s">
        <v>1704</v>
      </c>
      <c r="C4632" t="s">
        <v>860</v>
      </c>
      <c r="D4632" t="s">
        <v>861</v>
      </c>
      <c r="E4632" s="8">
        <v>1620</v>
      </c>
      <c r="F4632" s="8">
        <v>91160</v>
      </c>
      <c r="G4632" s="8">
        <f t="shared" si="288"/>
        <v>147679200</v>
      </c>
      <c r="H4632" s="5">
        <v>0.7744</v>
      </c>
      <c r="I4632" s="8">
        <f t="shared" si="289"/>
        <v>147679200</v>
      </c>
      <c r="J4632" s="8">
        <f t="shared" si="290"/>
        <v>114362772.48</v>
      </c>
      <c r="K4632" t="str">
        <f t="shared" si="291"/>
        <v>MATCHED</v>
      </c>
    </row>
    <row r="4633" spans="1:11">
      <c r="A4633" t="s">
        <v>122</v>
      </c>
      <c r="B4633" t="s">
        <v>1704</v>
      </c>
      <c r="C4633" t="s">
        <v>1202</v>
      </c>
      <c r="D4633" t="s">
        <v>1203</v>
      </c>
      <c r="E4633" s="8">
        <v>290</v>
      </c>
      <c r="F4633" s="8">
        <v>63600</v>
      </c>
      <c r="G4633" s="8">
        <f t="shared" si="288"/>
        <v>18444000</v>
      </c>
      <c r="H4633" s="5">
        <v>0.6294</v>
      </c>
      <c r="I4633" s="8">
        <f t="shared" si="289"/>
        <v>18444000</v>
      </c>
      <c r="J4633" s="8">
        <f t="shared" si="290"/>
        <v>11608653.6</v>
      </c>
      <c r="K4633" t="str">
        <f t="shared" si="291"/>
        <v>MATCHED</v>
      </c>
    </row>
    <row r="4634" spans="1:11">
      <c r="A4634" t="s">
        <v>122</v>
      </c>
      <c r="B4634" t="s">
        <v>1704</v>
      </c>
      <c r="C4634" t="s">
        <v>1204</v>
      </c>
      <c r="D4634" t="s">
        <v>1205</v>
      </c>
      <c r="E4634" s="8">
        <v>430</v>
      </c>
      <c r="F4634" s="8">
        <v>106800</v>
      </c>
      <c r="G4634" s="8">
        <f t="shared" si="288"/>
        <v>45924000</v>
      </c>
      <c r="H4634" s="5"/>
      <c r="I4634" s="8" t="str">
        <f t="shared" si="289"/>
        <v/>
      </c>
      <c r="J4634" s="8" t="str">
        <f t="shared" si="290"/>
        <v/>
      </c>
      <c r="K4634" t="str">
        <f t="shared" si="291"/>
        <v>MISSING WHARTON</v>
      </c>
    </row>
    <row r="4635" spans="1:11">
      <c r="A4635" t="s">
        <v>122</v>
      </c>
      <c r="B4635" t="s">
        <v>1704</v>
      </c>
      <c r="C4635" t="s">
        <v>962</v>
      </c>
      <c r="D4635" t="s">
        <v>963</v>
      </c>
      <c r="E4635" s="8">
        <v>590</v>
      </c>
      <c r="F4635" s="8">
        <v>74150</v>
      </c>
      <c r="G4635" s="8">
        <f t="shared" si="288"/>
        <v>43748500</v>
      </c>
      <c r="H4635" s="5">
        <v>0.5483</v>
      </c>
      <c r="I4635" s="8">
        <f t="shared" si="289"/>
        <v>43748500</v>
      </c>
      <c r="J4635" s="8">
        <f t="shared" si="290"/>
        <v>23987302.55</v>
      </c>
      <c r="K4635" t="str">
        <f t="shared" si="291"/>
        <v>MATCHED</v>
      </c>
    </row>
    <row r="4636" spans="1:11">
      <c r="A4636" t="s">
        <v>122</v>
      </c>
      <c r="B4636" t="s">
        <v>1704</v>
      </c>
      <c r="C4636" t="s">
        <v>1429</v>
      </c>
      <c r="D4636" t="s">
        <v>1430</v>
      </c>
      <c r="E4636" s="8">
        <v>60</v>
      </c>
      <c r="F4636" s="8">
        <v>81790</v>
      </c>
      <c r="G4636" s="8">
        <f t="shared" si="288"/>
        <v>4907400</v>
      </c>
      <c r="H4636" s="5">
        <v>0.6138</v>
      </c>
      <c r="I4636" s="8">
        <f t="shared" si="289"/>
        <v>4907400</v>
      </c>
      <c r="J4636" s="8">
        <f t="shared" si="290"/>
        <v>3012162.12</v>
      </c>
      <c r="K4636" t="str">
        <f t="shared" si="291"/>
        <v>MATCHED</v>
      </c>
    </row>
    <row r="4637" spans="1:11">
      <c r="A4637" t="s">
        <v>122</v>
      </c>
      <c r="B4637" t="s">
        <v>1704</v>
      </c>
      <c r="C4637" t="s">
        <v>964</v>
      </c>
      <c r="D4637" t="s">
        <v>965</v>
      </c>
      <c r="E4637" s="8">
        <v>100</v>
      </c>
      <c r="F4637" s="8"/>
      <c r="G4637" s="8" t="str">
        <f t="shared" si="288"/>
        <v/>
      </c>
      <c r="H4637" s="5">
        <v>0.5607</v>
      </c>
      <c r="I4637" s="8" t="str">
        <f t="shared" si="289"/>
        <v/>
      </c>
      <c r="J4637" s="8" t="str">
        <f t="shared" si="290"/>
        <v/>
      </c>
      <c r="K4637" t="str">
        <f t="shared" si="291"/>
        <v>MISSING OEWS</v>
      </c>
    </row>
    <row r="4638" spans="1:11">
      <c r="A4638" t="s">
        <v>122</v>
      </c>
      <c r="B4638" t="s">
        <v>1704</v>
      </c>
      <c r="C4638" t="s">
        <v>968</v>
      </c>
      <c r="D4638" t="s">
        <v>969</v>
      </c>
      <c r="E4638" s="8">
        <v>600</v>
      </c>
      <c r="F4638" s="8">
        <v>80220</v>
      </c>
      <c r="G4638" s="8">
        <f t="shared" si="288"/>
        <v>48132000</v>
      </c>
      <c r="H4638" s="5">
        <v>0.3207</v>
      </c>
      <c r="I4638" s="8">
        <f t="shared" si="289"/>
        <v>48132000</v>
      </c>
      <c r="J4638" s="8">
        <f t="shared" si="290"/>
        <v>15435932.4</v>
      </c>
      <c r="K4638" t="str">
        <f t="shared" si="291"/>
        <v>MATCHED</v>
      </c>
    </row>
    <row r="4639" spans="1:11">
      <c r="A4639" t="s">
        <v>122</v>
      </c>
      <c r="B4639" t="s">
        <v>1704</v>
      </c>
      <c r="C4639" t="s">
        <v>970</v>
      </c>
      <c r="D4639" t="s">
        <v>971</v>
      </c>
      <c r="E4639" s="8">
        <v>240</v>
      </c>
      <c r="F4639" s="8">
        <v>78440</v>
      </c>
      <c r="G4639" s="8">
        <f t="shared" si="288"/>
        <v>18825600</v>
      </c>
      <c r="H4639" s="5">
        <v>0.3458</v>
      </c>
      <c r="I4639" s="8">
        <f t="shared" si="289"/>
        <v>18825600</v>
      </c>
      <c r="J4639" s="8">
        <f t="shared" si="290"/>
        <v>6509892.48</v>
      </c>
      <c r="K4639" t="str">
        <f t="shared" si="291"/>
        <v>MATCHED</v>
      </c>
    </row>
    <row r="4640" spans="1:11">
      <c r="A4640" t="s">
        <v>122</v>
      </c>
      <c r="B4640" t="s">
        <v>1704</v>
      </c>
      <c r="C4640" t="s">
        <v>1206</v>
      </c>
      <c r="D4640" t="s">
        <v>1207</v>
      </c>
      <c r="E4640" s="8">
        <v>430</v>
      </c>
      <c r="F4640" s="8">
        <v>95930</v>
      </c>
      <c r="G4640" s="8">
        <f t="shared" si="288"/>
        <v>41249900</v>
      </c>
      <c r="H4640" s="5">
        <v>0.6065</v>
      </c>
      <c r="I4640" s="8">
        <f t="shared" si="289"/>
        <v>41249900</v>
      </c>
      <c r="J4640" s="8">
        <f t="shared" si="290"/>
        <v>25018064.35</v>
      </c>
      <c r="K4640" t="str">
        <f t="shared" si="291"/>
        <v>MATCHED</v>
      </c>
    </row>
    <row r="4641" spans="1:11">
      <c r="A4641" t="s">
        <v>122</v>
      </c>
      <c r="B4641" t="s">
        <v>1704</v>
      </c>
      <c r="C4641" t="s">
        <v>1519</v>
      </c>
      <c r="D4641" t="s">
        <v>1520</v>
      </c>
      <c r="E4641" s="8">
        <v>60</v>
      </c>
      <c r="F4641" s="8">
        <v>74030</v>
      </c>
      <c r="G4641" s="8">
        <f t="shared" si="288"/>
        <v>4441800</v>
      </c>
      <c r="H4641" s="5"/>
      <c r="I4641" s="8" t="str">
        <f t="shared" si="289"/>
        <v/>
      </c>
      <c r="J4641" s="8" t="str">
        <f t="shared" si="290"/>
        <v/>
      </c>
      <c r="K4641" t="str">
        <f t="shared" si="291"/>
        <v>MISSING WHARTON</v>
      </c>
    </row>
    <row r="4642" spans="1:11">
      <c r="A4642" t="s">
        <v>122</v>
      </c>
      <c r="B4642" t="s">
        <v>1704</v>
      </c>
      <c r="C4642" t="s">
        <v>1666</v>
      </c>
      <c r="D4642" t="s">
        <v>1667</v>
      </c>
      <c r="E4642" s="8">
        <v>200</v>
      </c>
      <c r="F4642" s="8">
        <v>103280</v>
      </c>
      <c r="G4642" s="8">
        <f t="shared" si="288"/>
        <v>20656000</v>
      </c>
      <c r="H4642" s="5">
        <v>0.4273</v>
      </c>
      <c r="I4642" s="8">
        <f t="shared" si="289"/>
        <v>20656000</v>
      </c>
      <c r="J4642" s="8">
        <f t="shared" si="290"/>
        <v>8826308.8</v>
      </c>
      <c r="K4642" t="str">
        <f t="shared" si="291"/>
        <v>MATCHED</v>
      </c>
    </row>
    <row r="4643" spans="1:11">
      <c r="A4643" t="s">
        <v>122</v>
      </c>
      <c r="B4643" t="s">
        <v>1704</v>
      </c>
      <c r="C4643" t="s">
        <v>1208</v>
      </c>
      <c r="D4643" t="s">
        <v>1209</v>
      </c>
      <c r="E4643" s="8">
        <v>140</v>
      </c>
      <c r="F4643" s="8"/>
      <c r="G4643" s="8" t="str">
        <f t="shared" si="288"/>
        <v/>
      </c>
      <c r="H4643" s="5">
        <v>0.07</v>
      </c>
      <c r="I4643" s="8" t="str">
        <f t="shared" si="289"/>
        <v/>
      </c>
      <c r="J4643" s="8" t="str">
        <f t="shared" si="290"/>
        <v/>
      </c>
      <c r="K4643" t="str">
        <f t="shared" si="291"/>
        <v>MISSING OEWS</v>
      </c>
    </row>
    <row r="4644" spans="1:11">
      <c r="A4644" t="s">
        <v>122</v>
      </c>
      <c r="B4644" t="s">
        <v>1704</v>
      </c>
      <c r="C4644" t="s">
        <v>1212</v>
      </c>
      <c r="D4644" t="s">
        <v>1213</v>
      </c>
      <c r="E4644" s="8">
        <v>800</v>
      </c>
      <c r="F4644" s="8">
        <v>80360</v>
      </c>
      <c r="G4644" s="8">
        <f t="shared" si="288"/>
        <v>64288000</v>
      </c>
      <c r="H4644" s="5">
        <v>0.4679</v>
      </c>
      <c r="I4644" s="8">
        <f t="shared" si="289"/>
        <v>64288000</v>
      </c>
      <c r="J4644" s="8">
        <f t="shared" si="290"/>
        <v>30080355.2</v>
      </c>
      <c r="K4644" t="str">
        <f t="shared" si="291"/>
        <v>MATCHED</v>
      </c>
    </row>
    <row r="4645" spans="1:11">
      <c r="A4645" t="s">
        <v>122</v>
      </c>
      <c r="B4645" t="s">
        <v>1704</v>
      </c>
      <c r="C4645" t="s">
        <v>1482</v>
      </c>
      <c r="D4645" t="s">
        <v>1483</v>
      </c>
      <c r="E4645" s="8">
        <v>60</v>
      </c>
      <c r="F4645" s="8">
        <v>152520</v>
      </c>
      <c r="G4645" s="8">
        <f t="shared" si="288"/>
        <v>9151200</v>
      </c>
      <c r="H4645" s="5">
        <v>0.07</v>
      </c>
      <c r="I4645" s="8">
        <f t="shared" si="289"/>
        <v>9151200</v>
      </c>
      <c r="J4645" s="8">
        <f t="shared" si="290"/>
        <v>640584</v>
      </c>
      <c r="K4645" t="str">
        <f t="shared" si="291"/>
        <v>MATCHED</v>
      </c>
    </row>
    <row r="4646" spans="1:11">
      <c r="A4646" t="s">
        <v>122</v>
      </c>
      <c r="B4646" t="s">
        <v>1704</v>
      </c>
      <c r="C4646" t="s">
        <v>1214</v>
      </c>
      <c r="D4646" t="s">
        <v>1215</v>
      </c>
      <c r="E4646" s="8">
        <v>4710</v>
      </c>
      <c r="F4646" s="8">
        <v>145290</v>
      </c>
      <c r="G4646" s="8">
        <f t="shared" si="288"/>
        <v>684315900</v>
      </c>
      <c r="H4646" s="5">
        <v>0.4381</v>
      </c>
      <c r="I4646" s="8">
        <f t="shared" si="289"/>
        <v>684315900</v>
      </c>
      <c r="J4646" s="8">
        <f t="shared" si="290"/>
        <v>299798795.79</v>
      </c>
      <c r="K4646" t="str">
        <f t="shared" si="291"/>
        <v>MATCHED</v>
      </c>
    </row>
    <row r="4647" spans="1:11">
      <c r="A4647" t="s">
        <v>122</v>
      </c>
      <c r="B4647" t="s">
        <v>1704</v>
      </c>
      <c r="C4647" t="s">
        <v>638</v>
      </c>
      <c r="D4647" t="s">
        <v>639</v>
      </c>
      <c r="E4647" s="8">
        <v>350</v>
      </c>
      <c r="F4647" s="8">
        <v>136730</v>
      </c>
      <c r="G4647" s="8">
        <f t="shared" si="288"/>
        <v>47855500</v>
      </c>
      <c r="H4647" s="5">
        <v>0.1495</v>
      </c>
      <c r="I4647" s="8">
        <f t="shared" si="289"/>
        <v>47855500</v>
      </c>
      <c r="J4647" s="8">
        <f t="shared" si="290"/>
        <v>7154397.25</v>
      </c>
      <c r="K4647" t="str">
        <f t="shared" si="291"/>
        <v>MATCHED</v>
      </c>
    </row>
    <row r="4648" spans="1:11">
      <c r="A4648" t="s">
        <v>122</v>
      </c>
      <c r="B4648" t="s">
        <v>1704</v>
      </c>
      <c r="C4648" t="s">
        <v>1719</v>
      </c>
      <c r="D4648" t="s">
        <v>1720</v>
      </c>
      <c r="E4648" s="8">
        <v>40</v>
      </c>
      <c r="F4648" s="8">
        <v>185440</v>
      </c>
      <c r="G4648" s="8">
        <f t="shared" si="288"/>
        <v>7417600</v>
      </c>
      <c r="H4648" s="5">
        <v>0.2136</v>
      </c>
      <c r="I4648" s="8">
        <f t="shared" si="289"/>
        <v>7417600</v>
      </c>
      <c r="J4648" s="8">
        <f t="shared" si="290"/>
        <v>1584399.36</v>
      </c>
      <c r="K4648" t="str">
        <f t="shared" si="291"/>
        <v>MATCHED</v>
      </c>
    </row>
    <row r="4649" spans="1:11">
      <c r="A4649" t="s">
        <v>122</v>
      </c>
      <c r="B4649" t="s">
        <v>1704</v>
      </c>
      <c r="C4649" t="s">
        <v>1616</v>
      </c>
      <c r="D4649" t="s">
        <v>1617</v>
      </c>
      <c r="E4649" s="8">
        <v>570</v>
      </c>
      <c r="F4649" s="8">
        <v>101040</v>
      </c>
      <c r="G4649" s="8">
        <f t="shared" si="288"/>
        <v>57592800</v>
      </c>
      <c r="H4649" s="5">
        <v>0.1829</v>
      </c>
      <c r="I4649" s="8">
        <f t="shared" si="289"/>
        <v>57592800</v>
      </c>
      <c r="J4649" s="8">
        <f t="shared" si="290"/>
        <v>10533723.12</v>
      </c>
      <c r="K4649" t="str">
        <f t="shared" si="291"/>
        <v>MATCHED</v>
      </c>
    </row>
    <row r="4650" spans="1:11">
      <c r="A4650" t="s">
        <v>122</v>
      </c>
      <c r="B4650" t="s">
        <v>1704</v>
      </c>
      <c r="C4650" t="s">
        <v>1583</v>
      </c>
      <c r="D4650" t="s">
        <v>1584</v>
      </c>
      <c r="E4650" s="8">
        <v>670</v>
      </c>
      <c r="F4650" s="8">
        <v>102610</v>
      </c>
      <c r="G4650" s="8">
        <f t="shared" si="288"/>
        <v>68748700</v>
      </c>
      <c r="H4650" s="5">
        <v>0.1958</v>
      </c>
      <c r="I4650" s="8">
        <f t="shared" si="289"/>
        <v>68748700</v>
      </c>
      <c r="J4650" s="8">
        <f t="shared" si="290"/>
        <v>13460995.46</v>
      </c>
      <c r="K4650" t="str">
        <f t="shared" si="291"/>
        <v>MATCHED</v>
      </c>
    </row>
    <row r="4651" spans="1:11">
      <c r="A4651" t="s">
        <v>122</v>
      </c>
      <c r="B4651" t="s">
        <v>1704</v>
      </c>
      <c r="C4651" t="s">
        <v>1433</v>
      </c>
      <c r="D4651" t="s">
        <v>1434</v>
      </c>
      <c r="E4651" s="8">
        <v>200</v>
      </c>
      <c r="F4651" s="8">
        <v>85560</v>
      </c>
      <c r="G4651" s="8">
        <f t="shared" si="288"/>
        <v>17112000</v>
      </c>
      <c r="H4651" s="5">
        <v>0.0864</v>
      </c>
      <c r="I4651" s="8">
        <f t="shared" si="289"/>
        <v>17112000</v>
      </c>
      <c r="J4651" s="8">
        <f t="shared" si="290"/>
        <v>1478476.8</v>
      </c>
      <c r="K4651" t="str">
        <f t="shared" si="291"/>
        <v>MATCHED</v>
      </c>
    </row>
    <row r="4652" spans="1:11">
      <c r="A4652" t="s">
        <v>122</v>
      </c>
      <c r="B4652" t="s">
        <v>1704</v>
      </c>
      <c r="C4652" t="s">
        <v>1668</v>
      </c>
      <c r="D4652" t="s">
        <v>1669</v>
      </c>
      <c r="E4652" s="8">
        <v>530</v>
      </c>
      <c r="F4652" s="8">
        <v>88550</v>
      </c>
      <c r="G4652" s="8">
        <f t="shared" si="288"/>
        <v>46931500</v>
      </c>
      <c r="H4652" s="5">
        <v>0.1958</v>
      </c>
      <c r="I4652" s="8">
        <f t="shared" si="289"/>
        <v>46931500</v>
      </c>
      <c r="J4652" s="8">
        <f t="shared" si="290"/>
        <v>9189187.7</v>
      </c>
      <c r="K4652" t="str">
        <f t="shared" si="291"/>
        <v>MATCHED</v>
      </c>
    </row>
    <row r="4653" spans="1:11">
      <c r="A4653" t="s">
        <v>122</v>
      </c>
      <c r="B4653" t="s">
        <v>1704</v>
      </c>
      <c r="C4653" t="s">
        <v>1618</v>
      </c>
      <c r="D4653" t="s">
        <v>1619</v>
      </c>
      <c r="E4653" s="8">
        <v>100</v>
      </c>
      <c r="F4653" s="8">
        <v>72610</v>
      </c>
      <c r="G4653" s="8">
        <f t="shared" si="288"/>
        <v>7261000</v>
      </c>
      <c r="H4653" s="5">
        <v>0.1775</v>
      </c>
      <c r="I4653" s="8">
        <f t="shared" si="289"/>
        <v>7261000</v>
      </c>
      <c r="J4653" s="8">
        <f t="shared" si="290"/>
        <v>1288827.5</v>
      </c>
      <c r="K4653" t="str">
        <f t="shared" si="291"/>
        <v>MATCHED</v>
      </c>
    </row>
    <row r="4654" spans="1:11">
      <c r="A4654" t="s">
        <v>122</v>
      </c>
      <c r="B4654" t="s">
        <v>1704</v>
      </c>
      <c r="C4654" t="s">
        <v>325</v>
      </c>
      <c r="D4654" t="s">
        <v>326</v>
      </c>
      <c r="E4654" s="8">
        <v>70</v>
      </c>
      <c r="F4654" s="8">
        <v>144800</v>
      </c>
      <c r="G4654" s="8">
        <f t="shared" si="288"/>
        <v>10136000</v>
      </c>
      <c r="H4654" s="5">
        <v>0.163</v>
      </c>
      <c r="I4654" s="8">
        <f t="shared" si="289"/>
        <v>10136000</v>
      </c>
      <c r="J4654" s="8">
        <f t="shared" si="290"/>
        <v>1652168</v>
      </c>
      <c r="K4654" t="str">
        <f t="shared" si="291"/>
        <v>MATCHED</v>
      </c>
    </row>
    <row r="4655" spans="1:11">
      <c r="A4655" t="s">
        <v>122</v>
      </c>
      <c r="B4655" t="s">
        <v>1704</v>
      </c>
      <c r="C4655" t="s">
        <v>862</v>
      </c>
      <c r="D4655" t="s">
        <v>863</v>
      </c>
      <c r="E4655" s="8">
        <v>22900</v>
      </c>
      <c r="F4655" s="8">
        <v>103540</v>
      </c>
      <c r="G4655" s="8">
        <f t="shared" si="288"/>
        <v>2371066000</v>
      </c>
      <c r="H4655" s="5">
        <v>0.1958</v>
      </c>
      <c r="I4655" s="8">
        <f t="shared" si="289"/>
        <v>2371066000</v>
      </c>
      <c r="J4655" s="8">
        <f t="shared" si="290"/>
        <v>464254722.8</v>
      </c>
      <c r="K4655" t="str">
        <f t="shared" si="291"/>
        <v>MATCHED</v>
      </c>
    </row>
    <row r="4656" spans="1:11">
      <c r="A4656" t="s">
        <v>122</v>
      </c>
      <c r="B4656" t="s">
        <v>1704</v>
      </c>
      <c r="C4656" t="s">
        <v>1218</v>
      </c>
      <c r="D4656" t="s">
        <v>1219</v>
      </c>
      <c r="E4656" s="8">
        <v>1810</v>
      </c>
      <c r="F4656" s="8">
        <v>140690</v>
      </c>
      <c r="G4656" s="8">
        <f t="shared" si="288"/>
        <v>254648900</v>
      </c>
      <c r="H4656" s="5">
        <v>0.313</v>
      </c>
      <c r="I4656" s="8">
        <f t="shared" si="289"/>
        <v>254648900</v>
      </c>
      <c r="J4656" s="8">
        <f t="shared" si="290"/>
        <v>79705105.7</v>
      </c>
      <c r="K4656" t="str">
        <f t="shared" si="291"/>
        <v>MATCHED</v>
      </c>
    </row>
    <row r="4657" spans="1:11">
      <c r="A4657" t="s">
        <v>122</v>
      </c>
      <c r="B4657" t="s">
        <v>1704</v>
      </c>
      <c r="C4657" t="s">
        <v>1721</v>
      </c>
      <c r="D4657" t="s">
        <v>1722</v>
      </c>
      <c r="E4657" s="8">
        <v>280</v>
      </c>
      <c r="F4657" s="8"/>
      <c r="G4657" s="8" t="str">
        <f t="shared" si="288"/>
        <v/>
      </c>
      <c r="H4657" s="5">
        <v>0.2346</v>
      </c>
      <c r="I4657" s="8" t="str">
        <f t="shared" si="289"/>
        <v/>
      </c>
      <c r="J4657" s="8" t="str">
        <f t="shared" si="290"/>
        <v/>
      </c>
      <c r="K4657" t="str">
        <f t="shared" si="291"/>
        <v>MISSING OEWS</v>
      </c>
    </row>
    <row r="4658" spans="1:11">
      <c r="A4658" t="s">
        <v>122</v>
      </c>
      <c r="B4658" t="s">
        <v>1704</v>
      </c>
      <c r="C4658" t="s">
        <v>1723</v>
      </c>
      <c r="D4658" t="s">
        <v>1724</v>
      </c>
      <c r="E4658" s="8">
        <v>320</v>
      </c>
      <c r="F4658" s="8"/>
      <c r="G4658" s="8" t="str">
        <f t="shared" si="288"/>
        <v/>
      </c>
      <c r="H4658" s="5">
        <v>0.1794</v>
      </c>
      <c r="I4658" s="8" t="str">
        <f t="shared" si="289"/>
        <v/>
      </c>
      <c r="J4658" s="8" t="str">
        <f t="shared" si="290"/>
        <v/>
      </c>
      <c r="K4658" t="str">
        <f t="shared" si="291"/>
        <v>MISSING OEWS</v>
      </c>
    </row>
    <row r="4659" spans="1:11">
      <c r="A4659" t="s">
        <v>122</v>
      </c>
      <c r="B4659" t="s">
        <v>1704</v>
      </c>
      <c r="C4659" t="s">
        <v>1725</v>
      </c>
      <c r="D4659" t="s">
        <v>1726</v>
      </c>
      <c r="E4659" s="8">
        <v>1160</v>
      </c>
      <c r="F4659" s="8">
        <v>245300</v>
      </c>
      <c r="G4659" s="8">
        <f t="shared" si="288"/>
        <v>284548000</v>
      </c>
      <c r="H4659" s="5">
        <v>0.2885</v>
      </c>
      <c r="I4659" s="8">
        <f t="shared" si="289"/>
        <v>284548000</v>
      </c>
      <c r="J4659" s="8">
        <f t="shared" si="290"/>
        <v>82092098</v>
      </c>
      <c r="K4659" t="str">
        <f t="shared" si="291"/>
        <v>MATCHED</v>
      </c>
    </row>
    <row r="4660" spans="1:11">
      <c r="A4660" t="s">
        <v>122</v>
      </c>
      <c r="B4660" t="s">
        <v>1704</v>
      </c>
      <c r="C4660" t="s">
        <v>1674</v>
      </c>
      <c r="D4660" t="s">
        <v>1675</v>
      </c>
      <c r="E4660" s="8">
        <v>160</v>
      </c>
      <c r="F4660" s="8">
        <v>322670</v>
      </c>
      <c r="G4660" s="8">
        <f t="shared" si="288"/>
        <v>51627200</v>
      </c>
      <c r="H4660" s="5">
        <v>0.2237</v>
      </c>
      <c r="I4660" s="8">
        <f t="shared" si="289"/>
        <v>51627200</v>
      </c>
      <c r="J4660" s="8">
        <f t="shared" si="290"/>
        <v>11549004.64</v>
      </c>
      <c r="K4660" t="str">
        <f t="shared" si="291"/>
        <v>MATCHED</v>
      </c>
    </row>
    <row r="4661" spans="1:11">
      <c r="A4661" t="s">
        <v>122</v>
      </c>
      <c r="B4661" t="s">
        <v>1704</v>
      </c>
      <c r="C4661" t="s">
        <v>1727</v>
      </c>
      <c r="D4661" t="s">
        <v>1728</v>
      </c>
      <c r="E4661" s="8">
        <v>50</v>
      </c>
      <c r="F4661" s="8">
        <v>249910</v>
      </c>
      <c r="G4661" s="8">
        <f t="shared" si="288"/>
        <v>12495500</v>
      </c>
      <c r="H4661" s="5">
        <v>0.33</v>
      </c>
      <c r="I4661" s="8">
        <f t="shared" si="289"/>
        <v>12495500</v>
      </c>
      <c r="J4661" s="8">
        <f t="shared" si="290"/>
        <v>4123515</v>
      </c>
      <c r="K4661" t="str">
        <f t="shared" si="291"/>
        <v>MATCHED</v>
      </c>
    </row>
    <row r="4662" spans="1:11">
      <c r="A4662" t="s">
        <v>122</v>
      </c>
      <c r="B4662" t="s">
        <v>1704</v>
      </c>
      <c r="C4662" t="s">
        <v>1676</v>
      </c>
      <c r="D4662" t="s">
        <v>1677</v>
      </c>
      <c r="E4662" s="8">
        <v>30</v>
      </c>
      <c r="F4662" s="8">
        <v>285160</v>
      </c>
      <c r="G4662" s="8">
        <f t="shared" si="288"/>
        <v>8554800</v>
      </c>
      <c r="H4662" s="5">
        <v>0.1941</v>
      </c>
      <c r="I4662" s="8">
        <f t="shared" si="289"/>
        <v>8554800</v>
      </c>
      <c r="J4662" s="8">
        <f t="shared" si="290"/>
        <v>1660486.68</v>
      </c>
      <c r="K4662" t="str">
        <f t="shared" si="291"/>
        <v>MATCHED</v>
      </c>
    </row>
    <row r="4663" spans="1:11">
      <c r="A4663" t="s">
        <v>122</v>
      </c>
      <c r="B4663" t="s">
        <v>1704</v>
      </c>
      <c r="C4663" t="s">
        <v>1678</v>
      </c>
      <c r="D4663" t="s">
        <v>1679</v>
      </c>
      <c r="E4663" s="8">
        <v>90</v>
      </c>
      <c r="F4663" s="8">
        <v>306590</v>
      </c>
      <c r="G4663" s="8">
        <f t="shared" si="288"/>
        <v>27593100</v>
      </c>
      <c r="H4663" s="5">
        <v>0.1375</v>
      </c>
      <c r="I4663" s="8">
        <f t="shared" si="289"/>
        <v>27593100</v>
      </c>
      <c r="J4663" s="8">
        <f t="shared" si="290"/>
        <v>3794051.25</v>
      </c>
      <c r="K4663" t="str">
        <f t="shared" si="291"/>
        <v>MATCHED</v>
      </c>
    </row>
    <row r="4664" spans="1:11">
      <c r="A4664" t="s">
        <v>122</v>
      </c>
      <c r="B4664" t="s">
        <v>1704</v>
      </c>
      <c r="C4664" t="s">
        <v>1220</v>
      </c>
      <c r="D4664" t="s">
        <v>1221</v>
      </c>
      <c r="E4664" s="8">
        <v>1620</v>
      </c>
      <c r="F4664" s="8">
        <v>271270</v>
      </c>
      <c r="G4664" s="8">
        <f t="shared" si="288"/>
        <v>439457400</v>
      </c>
      <c r="H4664" s="5">
        <v>0.2008</v>
      </c>
      <c r="I4664" s="8">
        <f t="shared" si="289"/>
        <v>439457400</v>
      </c>
      <c r="J4664" s="8">
        <f t="shared" si="290"/>
        <v>88243045.92</v>
      </c>
      <c r="K4664" t="str">
        <f t="shared" si="291"/>
        <v>MATCHED</v>
      </c>
    </row>
    <row r="4665" spans="1:11">
      <c r="A4665" t="s">
        <v>122</v>
      </c>
      <c r="B4665" t="s">
        <v>1704</v>
      </c>
      <c r="C4665" t="s">
        <v>1484</v>
      </c>
      <c r="D4665" t="s">
        <v>1485</v>
      </c>
      <c r="E4665" s="8"/>
      <c r="F4665" s="8"/>
      <c r="G4665" s="8" t="str">
        <f t="shared" si="288"/>
        <v/>
      </c>
      <c r="H4665" s="5">
        <v>0.0778</v>
      </c>
      <c r="I4665" s="8" t="str">
        <f t="shared" si="289"/>
        <v/>
      </c>
      <c r="J4665" s="8" t="str">
        <f t="shared" si="290"/>
        <v/>
      </c>
      <c r="K4665" t="str">
        <f t="shared" si="291"/>
        <v>MISSING OEWS</v>
      </c>
    </row>
    <row r="4666" spans="1:11">
      <c r="A4666" t="s">
        <v>122</v>
      </c>
      <c r="B4666" t="s">
        <v>1704</v>
      </c>
      <c r="C4666" t="s">
        <v>1222</v>
      </c>
      <c r="D4666" t="s">
        <v>1223</v>
      </c>
      <c r="E4666" s="8">
        <v>120</v>
      </c>
      <c r="F4666" s="8">
        <v>98030</v>
      </c>
      <c r="G4666" s="8">
        <f t="shared" si="288"/>
        <v>11763600</v>
      </c>
      <c r="H4666" s="5">
        <v>0.1583</v>
      </c>
      <c r="I4666" s="8">
        <f t="shared" si="289"/>
        <v>11763600</v>
      </c>
      <c r="J4666" s="8">
        <f t="shared" si="290"/>
        <v>1862177.88</v>
      </c>
      <c r="K4666" t="str">
        <f t="shared" si="291"/>
        <v>MATCHED</v>
      </c>
    </row>
    <row r="4667" spans="1:11">
      <c r="A4667" t="s">
        <v>122</v>
      </c>
      <c r="B4667" t="s">
        <v>1704</v>
      </c>
      <c r="C4667" t="s">
        <v>1486</v>
      </c>
      <c r="D4667" t="s">
        <v>1487</v>
      </c>
      <c r="E4667" s="8">
        <v>70</v>
      </c>
      <c r="F4667" s="8">
        <v>111560</v>
      </c>
      <c r="G4667" s="8">
        <f t="shared" si="288"/>
        <v>7809200</v>
      </c>
      <c r="H4667" s="5">
        <v>0.1875</v>
      </c>
      <c r="I4667" s="8">
        <f t="shared" si="289"/>
        <v>7809200</v>
      </c>
      <c r="J4667" s="8">
        <f t="shared" si="290"/>
        <v>1464225</v>
      </c>
      <c r="K4667" t="str">
        <f t="shared" si="291"/>
        <v>MATCHED</v>
      </c>
    </row>
    <row r="4668" spans="1:11">
      <c r="A4668" t="s">
        <v>122</v>
      </c>
      <c r="B4668" t="s">
        <v>1704</v>
      </c>
      <c r="C4668" t="s">
        <v>1224</v>
      </c>
      <c r="D4668" t="s">
        <v>1225</v>
      </c>
      <c r="E4668" s="8">
        <v>2250</v>
      </c>
      <c r="F4668" s="8">
        <v>66220</v>
      </c>
      <c r="G4668" s="8">
        <f t="shared" si="288"/>
        <v>148995000</v>
      </c>
      <c r="H4668" s="5">
        <v>0.1612</v>
      </c>
      <c r="I4668" s="8">
        <f t="shared" si="289"/>
        <v>148995000</v>
      </c>
      <c r="J4668" s="8">
        <f t="shared" si="290"/>
        <v>24017994</v>
      </c>
      <c r="K4668" t="str">
        <f t="shared" si="291"/>
        <v>MATCHED</v>
      </c>
    </row>
    <row r="4669" spans="1:11">
      <c r="A4669" t="s">
        <v>122</v>
      </c>
      <c r="B4669" t="s">
        <v>1704</v>
      </c>
      <c r="C4669" t="s">
        <v>1441</v>
      </c>
      <c r="D4669" t="s">
        <v>1442</v>
      </c>
      <c r="E4669" s="8">
        <v>140</v>
      </c>
      <c r="F4669" s="8"/>
      <c r="G4669" s="8" t="str">
        <f t="shared" si="288"/>
        <v/>
      </c>
      <c r="H4669" s="5">
        <v>0.304</v>
      </c>
      <c r="I4669" s="8" t="str">
        <f t="shared" si="289"/>
        <v/>
      </c>
      <c r="J4669" s="8" t="str">
        <f t="shared" si="290"/>
        <v/>
      </c>
      <c r="K4669" t="str">
        <f t="shared" si="291"/>
        <v>MISSING OEWS</v>
      </c>
    </row>
    <row r="4670" spans="1:11">
      <c r="A4670" t="s">
        <v>122</v>
      </c>
      <c r="B4670" t="s">
        <v>1704</v>
      </c>
      <c r="C4670" t="s">
        <v>1684</v>
      </c>
      <c r="D4670" t="s">
        <v>1685</v>
      </c>
      <c r="E4670" s="8">
        <v>180</v>
      </c>
      <c r="F4670" s="8">
        <v>118400</v>
      </c>
      <c r="G4670" s="8">
        <f t="shared" si="288"/>
        <v>21312000</v>
      </c>
      <c r="H4670" s="5">
        <v>0.345</v>
      </c>
      <c r="I4670" s="8">
        <f t="shared" si="289"/>
        <v>21312000</v>
      </c>
      <c r="J4670" s="8">
        <f t="shared" si="290"/>
        <v>7352640</v>
      </c>
      <c r="K4670" t="str">
        <f t="shared" si="291"/>
        <v>MATCHED</v>
      </c>
    </row>
    <row r="4671" spans="1:11">
      <c r="A4671" t="s">
        <v>122</v>
      </c>
      <c r="B4671" t="s">
        <v>1704</v>
      </c>
      <c r="C4671" t="s">
        <v>1226</v>
      </c>
      <c r="D4671" t="s">
        <v>1227</v>
      </c>
      <c r="E4671" s="8">
        <v>680</v>
      </c>
      <c r="F4671" s="8">
        <v>106570</v>
      </c>
      <c r="G4671" s="8">
        <f t="shared" si="288"/>
        <v>72467600</v>
      </c>
      <c r="H4671" s="5">
        <v>0.315</v>
      </c>
      <c r="I4671" s="8">
        <f t="shared" si="289"/>
        <v>72467600</v>
      </c>
      <c r="J4671" s="8">
        <f t="shared" si="290"/>
        <v>22827294</v>
      </c>
      <c r="K4671" t="str">
        <f t="shared" si="291"/>
        <v>MATCHED</v>
      </c>
    </row>
    <row r="4672" spans="1:11">
      <c r="A4672" t="s">
        <v>122</v>
      </c>
      <c r="B4672" t="s">
        <v>1704</v>
      </c>
      <c r="C4672" t="s">
        <v>1688</v>
      </c>
      <c r="D4672" t="s">
        <v>1689</v>
      </c>
      <c r="E4672" s="8">
        <v>100</v>
      </c>
      <c r="F4672" s="8">
        <v>109890</v>
      </c>
      <c r="G4672" s="8">
        <f t="shared" si="288"/>
        <v>10989000</v>
      </c>
      <c r="H4672" s="5">
        <v>0.4239</v>
      </c>
      <c r="I4672" s="8">
        <f t="shared" si="289"/>
        <v>10989000</v>
      </c>
      <c r="J4672" s="8">
        <f t="shared" si="290"/>
        <v>4658237.1</v>
      </c>
      <c r="K4672" t="str">
        <f t="shared" si="291"/>
        <v>MATCHED</v>
      </c>
    </row>
    <row r="4673" spans="1:11">
      <c r="A4673" t="s">
        <v>122</v>
      </c>
      <c r="B4673" t="s">
        <v>1704</v>
      </c>
      <c r="C4673" t="s">
        <v>640</v>
      </c>
      <c r="D4673" t="s">
        <v>641</v>
      </c>
      <c r="E4673" s="8">
        <v>40</v>
      </c>
      <c r="F4673" s="8">
        <v>59770</v>
      </c>
      <c r="G4673" s="8">
        <f t="shared" si="288"/>
        <v>2390800</v>
      </c>
      <c r="H4673" s="5">
        <v>0.0792</v>
      </c>
      <c r="I4673" s="8">
        <f t="shared" si="289"/>
        <v>2390800</v>
      </c>
      <c r="J4673" s="8">
        <f t="shared" si="290"/>
        <v>189351.36</v>
      </c>
      <c r="K4673" t="str">
        <f t="shared" si="291"/>
        <v>MATCHED</v>
      </c>
    </row>
    <row r="4674" spans="1:11">
      <c r="A4674" t="s">
        <v>122</v>
      </c>
      <c r="B4674" t="s">
        <v>1704</v>
      </c>
      <c r="C4674" t="s">
        <v>642</v>
      </c>
      <c r="D4674" t="s">
        <v>643</v>
      </c>
      <c r="E4674" s="8">
        <v>140</v>
      </c>
      <c r="F4674" s="8">
        <v>59670</v>
      </c>
      <c r="G4674" s="8">
        <f t="shared" ref="G4674:G4737" si="292">IF(OR(E4674="",F4674=""),"",E4674*F4674)</f>
        <v>8353800</v>
      </c>
      <c r="H4674" s="5">
        <v>0</v>
      </c>
      <c r="I4674" s="8">
        <f t="shared" ref="I4674:I4737" si="293">IF(G4674="","",IF(ISNUMBER(H4674),G4674,""))</f>
        <v>8353800</v>
      </c>
      <c r="J4674" s="8">
        <f t="shared" ref="J4674:J4737" si="294">IF(I4674="","",I4674*H4674)</f>
        <v>0</v>
      </c>
      <c r="K4674" t="str">
        <f t="shared" ref="K4674:K4737" si="295">IF(G4674="","MISSING OEWS",IF(ISNUMBER(H4674),"MATCHED","MISSING WHARTON"))</f>
        <v>MATCHED</v>
      </c>
    </row>
    <row r="4675" spans="1:11">
      <c r="A4675" t="s">
        <v>122</v>
      </c>
      <c r="B4675" t="s">
        <v>1704</v>
      </c>
      <c r="C4675" t="s">
        <v>1729</v>
      </c>
      <c r="D4675" t="s">
        <v>1730</v>
      </c>
      <c r="E4675" s="8"/>
      <c r="F4675" s="8">
        <v>32240</v>
      </c>
      <c r="G4675" s="8" t="str">
        <f t="shared" si="292"/>
        <v/>
      </c>
      <c r="H4675" s="5">
        <v>0.4154</v>
      </c>
      <c r="I4675" s="8" t="str">
        <f t="shared" si="293"/>
        <v/>
      </c>
      <c r="J4675" s="8" t="str">
        <f t="shared" si="294"/>
        <v/>
      </c>
      <c r="K4675" t="str">
        <f t="shared" si="295"/>
        <v>MISSING OEWS</v>
      </c>
    </row>
    <row r="4676" spans="1:11">
      <c r="A4676" t="s">
        <v>122</v>
      </c>
      <c r="B4676" t="s">
        <v>1704</v>
      </c>
      <c r="C4676" t="s">
        <v>1228</v>
      </c>
      <c r="D4676" t="s">
        <v>1229</v>
      </c>
      <c r="E4676" s="8">
        <v>2870</v>
      </c>
      <c r="F4676" s="8">
        <v>51640</v>
      </c>
      <c r="G4676" s="8">
        <f t="shared" si="292"/>
        <v>148206800</v>
      </c>
      <c r="H4676" s="5">
        <v>0.6357</v>
      </c>
      <c r="I4676" s="8">
        <f t="shared" si="293"/>
        <v>148206800</v>
      </c>
      <c r="J4676" s="8">
        <f t="shared" si="294"/>
        <v>94215062.76</v>
      </c>
      <c r="K4676" t="str">
        <f t="shared" si="295"/>
        <v>MATCHED</v>
      </c>
    </row>
    <row r="4677" spans="1:11">
      <c r="A4677" t="s">
        <v>122</v>
      </c>
      <c r="B4677" t="s">
        <v>1704</v>
      </c>
      <c r="C4677" t="s">
        <v>1692</v>
      </c>
      <c r="D4677" t="s">
        <v>1693</v>
      </c>
      <c r="E4677" s="8"/>
      <c r="F4677" s="8">
        <v>51790</v>
      </c>
      <c r="G4677" s="8" t="str">
        <f t="shared" si="292"/>
        <v/>
      </c>
      <c r="H4677" s="5">
        <v>0.0594</v>
      </c>
      <c r="I4677" s="8" t="str">
        <f t="shared" si="293"/>
        <v/>
      </c>
      <c r="J4677" s="8" t="str">
        <f t="shared" si="294"/>
        <v/>
      </c>
      <c r="K4677" t="str">
        <f t="shared" si="295"/>
        <v>MISSING OEWS</v>
      </c>
    </row>
    <row r="4678" spans="1:11">
      <c r="A4678" t="s">
        <v>122</v>
      </c>
      <c r="B4678" t="s">
        <v>1704</v>
      </c>
      <c r="C4678" t="s">
        <v>1694</v>
      </c>
      <c r="D4678" t="s">
        <v>1695</v>
      </c>
      <c r="E4678" s="8">
        <v>410</v>
      </c>
      <c r="F4678" s="8">
        <v>50030</v>
      </c>
      <c r="G4678" s="8">
        <f t="shared" si="292"/>
        <v>20512300</v>
      </c>
      <c r="H4678" s="5">
        <v>0.1188</v>
      </c>
      <c r="I4678" s="8">
        <f t="shared" si="293"/>
        <v>20512300</v>
      </c>
      <c r="J4678" s="8">
        <f t="shared" si="294"/>
        <v>2436861.24</v>
      </c>
      <c r="K4678" t="str">
        <f t="shared" si="295"/>
        <v>MATCHED</v>
      </c>
    </row>
    <row r="4679" spans="1:11">
      <c r="A4679" t="s">
        <v>122</v>
      </c>
      <c r="B4679" t="s">
        <v>1704</v>
      </c>
      <c r="C4679" t="s">
        <v>327</v>
      </c>
      <c r="D4679" t="s">
        <v>328</v>
      </c>
      <c r="E4679" s="8">
        <v>40</v>
      </c>
      <c r="F4679" s="8">
        <v>68100</v>
      </c>
      <c r="G4679" s="8">
        <f t="shared" si="292"/>
        <v>2724000</v>
      </c>
      <c r="H4679" s="5">
        <v>0.2065</v>
      </c>
      <c r="I4679" s="8">
        <f t="shared" si="293"/>
        <v>2724000</v>
      </c>
      <c r="J4679" s="8">
        <f t="shared" si="294"/>
        <v>562506</v>
      </c>
      <c r="K4679" t="str">
        <f t="shared" si="295"/>
        <v>MATCHED</v>
      </c>
    </row>
    <row r="4680" spans="1:11">
      <c r="A4680" t="s">
        <v>122</v>
      </c>
      <c r="B4680" t="s">
        <v>1704</v>
      </c>
      <c r="C4680" t="s">
        <v>1488</v>
      </c>
      <c r="D4680" t="s">
        <v>1489</v>
      </c>
      <c r="E4680" s="8"/>
      <c r="F4680" s="8">
        <v>58480</v>
      </c>
      <c r="G4680" s="8" t="str">
        <f t="shared" si="292"/>
        <v/>
      </c>
      <c r="H4680" s="5">
        <v>0.19</v>
      </c>
      <c r="I4680" s="8" t="str">
        <f t="shared" si="293"/>
        <v/>
      </c>
      <c r="J4680" s="8" t="str">
        <f t="shared" si="294"/>
        <v/>
      </c>
      <c r="K4680" t="str">
        <f t="shared" si="295"/>
        <v>MISSING OEWS</v>
      </c>
    </row>
    <row r="4681" spans="1:11">
      <c r="A4681" t="s">
        <v>122</v>
      </c>
      <c r="B4681" t="s">
        <v>1704</v>
      </c>
      <c r="C4681" t="s">
        <v>1230</v>
      </c>
      <c r="D4681" t="s">
        <v>1231</v>
      </c>
      <c r="E4681" s="8">
        <v>1920</v>
      </c>
      <c r="F4681" s="8">
        <v>67180</v>
      </c>
      <c r="G4681" s="8">
        <f t="shared" si="292"/>
        <v>128985600</v>
      </c>
      <c r="H4681" s="5">
        <v>0.1239</v>
      </c>
      <c r="I4681" s="8">
        <f t="shared" si="293"/>
        <v>128985600</v>
      </c>
      <c r="J4681" s="8">
        <f t="shared" si="294"/>
        <v>15981315.84</v>
      </c>
      <c r="K4681" t="str">
        <f t="shared" si="295"/>
        <v>MATCHED</v>
      </c>
    </row>
    <row r="4682" spans="1:11">
      <c r="A4682" t="s">
        <v>122</v>
      </c>
      <c r="B4682" t="s">
        <v>1704</v>
      </c>
      <c r="C4682" t="s">
        <v>1232</v>
      </c>
      <c r="D4682" t="s">
        <v>1233</v>
      </c>
      <c r="E4682" s="8">
        <v>14870</v>
      </c>
      <c r="F4682" s="8">
        <v>64590</v>
      </c>
      <c r="G4682" s="8">
        <f t="shared" si="292"/>
        <v>960453300</v>
      </c>
      <c r="H4682" s="5">
        <v>0.9353</v>
      </c>
      <c r="I4682" s="8">
        <f t="shared" si="293"/>
        <v>960453300</v>
      </c>
      <c r="J4682" s="8">
        <f t="shared" si="294"/>
        <v>898311971.49</v>
      </c>
      <c r="K4682" t="str">
        <f t="shared" si="295"/>
        <v>MATCHED</v>
      </c>
    </row>
    <row r="4683" spans="1:11">
      <c r="A4683" t="s">
        <v>122</v>
      </c>
      <c r="B4683" t="s">
        <v>1704</v>
      </c>
      <c r="C4683" t="s">
        <v>1234</v>
      </c>
      <c r="D4683" t="s">
        <v>1235</v>
      </c>
      <c r="E4683" s="8"/>
      <c r="F4683" s="8">
        <v>64770</v>
      </c>
      <c r="G4683" s="8" t="str">
        <f t="shared" si="292"/>
        <v/>
      </c>
      <c r="H4683" s="5">
        <v>0.2143</v>
      </c>
      <c r="I4683" s="8" t="str">
        <f t="shared" si="293"/>
        <v/>
      </c>
      <c r="J4683" s="8" t="str">
        <f t="shared" si="294"/>
        <v/>
      </c>
      <c r="K4683" t="str">
        <f t="shared" si="295"/>
        <v>MISSING OEWS</v>
      </c>
    </row>
    <row r="4684" spans="1:11">
      <c r="A4684" t="s">
        <v>122</v>
      </c>
      <c r="B4684" t="s">
        <v>1704</v>
      </c>
      <c r="C4684" t="s">
        <v>1240</v>
      </c>
      <c r="D4684" t="s">
        <v>1241</v>
      </c>
      <c r="E4684" s="8">
        <v>2310</v>
      </c>
      <c r="F4684" s="8">
        <v>56690</v>
      </c>
      <c r="G4684" s="8">
        <f t="shared" si="292"/>
        <v>130953900</v>
      </c>
      <c r="H4684" s="5">
        <v>0.2977</v>
      </c>
      <c r="I4684" s="8">
        <f t="shared" si="293"/>
        <v>130953900</v>
      </c>
      <c r="J4684" s="8">
        <f t="shared" si="294"/>
        <v>38984976.03</v>
      </c>
      <c r="K4684" t="str">
        <f t="shared" si="295"/>
        <v>MATCHED</v>
      </c>
    </row>
    <row r="4685" spans="1:11">
      <c r="A4685" t="s">
        <v>122</v>
      </c>
      <c r="B4685" t="s">
        <v>1704</v>
      </c>
      <c r="C4685" t="s">
        <v>1242</v>
      </c>
      <c r="D4685" t="s">
        <v>1243</v>
      </c>
      <c r="E4685" s="8">
        <v>2690</v>
      </c>
      <c r="F4685" s="8">
        <v>84340</v>
      </c>
      <c r="G4685" s="8">
        <f t="shared" si="292"/>
        <v>226874600</v>
      </c>
      <c r="H4685" s="5">
        <v>0.7969</v>
      </c>
      <c r="I4685" s="8">
        <f t="shared" si="293"/>
        <v>226874600</v>
      </c>
      <c r="J4685" s="8">
        <f t="shared" si="294"/>
        <v>180796368.74</v>
      </c>
      <c r="K4685" t="str">
        <f t="shared" si="295"/>
        <v>MATCHED</v>
      </c>
    </row>
    <row r="4686" spans="1:11">
      <c r="A4686" t="s">
        <v>122</v>
      </c>
      <c r="B4686" t="s">
        <v>1704</v>
      </c>
      <c r="C4686" t="s">
        <v>1696</v>
      </c>
      <c r="D4686" t="s">
        <v>1697</v>
      </c>
      <c r="E4686" s="8">
        <v>40</v>
      </c>
      <c r="F4686" s="8">
        <v>64470</v>
      </c>
      <c r="G4686" s="8">
        <f t="shared" si="292"/>
        <v>2578800</v>
      </c>
      <c r="H4686" s="5">
        <v>0.1435</v>
      </c>
      <c r="I4686" s="8">
        <f t="shared" si="293"/>
        <v>2578800</v>
      </c>
      <c r="J4686" s="8">
        <f t="shared" si="294"/>
        <v>370057.8</v>
      </c>
      <c r="K4686" t="str">
        <f t="shared" si="295"/>
        <v>MATCHED</v>
      </c>
    </row>
    <row r="4687" spans="1:11">
      <c r="A4687" t="s">
        <v>122</v>
      </c>
      <c r="B4687" t="s">
        <v>1704</v>
      </c>
      <c r="C4687" t="s">
        <v>1244</v>
      </c>
      <c r="D4687" t="s">
        <v>1245</v>
      </c>
      <c r="E4687" s="8">
        <v>60</v>
      </c>
      <c r="F4687" s="8">
        <v>122530</v>
      </c>
      <c r="G4687" s="8">
        <f t="shared" si="292"/>
        <v>7351800</v>
      </c>
      <c r="H4687" s="5">
        <v>0.5421</v>
      </c>
      <c r="I4687" s="8">
        <f t="shared" si="293"/>
        <v>7351800</v>
      </c>
      <c r="J4687" s="8">
        <f t="shared" si="294"/>
        <v>3985410.78</v>
      </c>
      <c r="K4687" t="str">
        <f t="shared" si="295"/>
        <v>MATCHED</v>
      </c>
    </row>
    <row r="4688" spans="1:11">
      <c r="A4688" t="s">
        <v>122</v>
      </c>
      <c r="B4688" t="s">
        <v>1704</v>
      </c>
      <c r="C4688" t="s">
        <v>1731</v>
      </c>
      <c r="D4688" t="s">
        <v>1732</v>
      </c>
      <c r="E4688" s="8">
        <v>310</v>
      </c>
      <c r="F4688" s="8">
        <v>71760</v>
      </c>
      <c r="G4688" s="8">
        <f t="shared" si="292"/>
        <v>22245600</v>
      </c>
      <c r="H4688" s="5">
        <v>0</v>
      </c>
      <c r="I4688" s="8">
        <f t="shared" si="293"/>
        <v>22245600</v>
      </c>
      <c r="J4688" s="8">
        <f t="shared" si="294"/>
        <v>0</v>
      </c>
      <c r="K4688" t="str">
        <f t="shared" si="295"/>
        <v>MATCHED</v>
      </c>
    </row>
    <row r="4689" spans="1:11">
      <c r="A4689" t="s">
        <v>122</v>
      </c>
      <c r="B4689" t="s">
        <v>1704</v>
      </c>
      <c r="C4689" t="s">
        <v>1246</v>
      </c>
      <c r="D4689" t="s">
        <v>1247</v>
      </c>
      <c r="E4689" s="8">
        <v>630</v>
      </c>
      <c r="F4689" s="8">
        <v>91150</v>
      </c>
      <c r="G4689" s="8">
        <f t="shared" si="292"/>
        <v>57424500</v>
      </c>
      <c r="H4689" s="5">
        <v>0.2347</v>
      </c>
      <c r="I4689" s="8">
        <f t="shared" si="293"/>
        <v>57424500</v>
      </c>
      <c r="J4689" s="8">
        <f t="shared" si="294"/>
        <v>13477530.15</v>
      </c>
      <c r="K4689" t="str">
        <f t="shared" si="295"/>
        <v>MATCHED</v>
      </c>
    </row>
    <row r="4690" spans="1:11">
      <c r="A4690" t="s">
        <v>122</v>
      </c>
      <c r="B4690" t="s">
        <v>1704</v>
      </c>
      <c r="C4690" t="s">
        <v>972</v>
      </c>
      <c r="D4690" t="s">
        <v>973</v>
      </c>
      <c r="E4690" s="8">
        <v>6690</v>
      </c>
      <c r="F4690" s="8">
        <v>39270</v>
      </c>
      <c r="G4690" s="8">
        <f t="shared" si="292"/>
        <v>262716300</v>
      </c>
      <c r="H4690" s="5">
        <v>0.118</v>
      </c>
      <c r="I4690" s="8">
        <f t="shared" si="293"/>
        <v>262716300</v>
      </c>
      <c r="J4690" s="8">
        <f t="shared" si="294"/>
        <v>31000523.4</v>
      </c>
      <c r="K4690" t="str">
        <f t="shared" si="295"/>
        <v>MATCHED</v>
      </c>
    </row>
    <row r="4691" spans="1:11">
      <c r="A4691" t="s">
        <v>122</v>
      </c>
      <c r="B4691" t="s">
        <v>1704</v>
      </c>
      <c r="C4691" t="s">
        <v>1443</v>
      </c>
      <c r="D4691" t="s">
        <v>1444</v>
      </c>
      <c r="E4691" s="8">
        <v>2220</v>
      </c>
      <c r="F4691" s="8">
        <v>43750</v>
      </c>
      <c r="G4691" s="8">
        <f t="shared" si="292"/>
        <v>97125000</v>
      </c>
      <c r="H4691" s="5">
        <v>0.05</v>
      </c>
      <c r="I4691" s="8">
        <f t="shared" si="293"/>
        <v>97125000</v>
      </c>
      <c r="J4691" s="8">
        <f t="shared" si="294"/>
        <v>4856250</v>
      </c>
      <c r="K4691" t="str">
        <f t="shared" si="295"/>
        <v>MATCHED</v>
      </c>
    </row>
    <row r="4692" spans="1:11">
      <c r="A4692" t="s">
        <v>122</v>
      </c>
      <c r="B4692" t="s">
        <v>1704</v>
      </c>
      <c r="C4692" t="s">
        <v>1733</v>
      </c>
      <c r="D4692" t="s">
        <v>1734</v>
      </c>
      <c r="E4692" s="8">
        <v>160</v>
      </c>
      <c r="F4692" s="8">
        <v>44800</v>
      </c>
      <c r="G4692" s="8">
        <f t="shared" si="292"/>
        <v>7168000</v>
      </c>
      <c r="H4692" s="5">
        <v>0.0417</v>
      </c>
      <c r="I4692" s="8">
        <f t="shared" si="293"/>
        <v>7168000</v>
      </c>
      <c r="J4692" s="8">
        <f t="shared" si="294"/>
        <v>298905.6</v>
      </c>
      <c r="K4692" t="str">
        <f t="shared" si="295"/>
        <v>MATCHED</v>
      </c>
    </row>
    <row r="4693" spans="1:11">
      <c r="A4693" t="s">
        <v>122</v>
      </c>
      <c r="B4693" t="s">
        <v>1704</v>
      </c>
      <c r="C4693" t="s">
        <v>1620</v>
      </c>
      <c r="D4693" t="s">
        <v>1621</v>
      </c>
      <c r="E4693" s="8">
        <v>190</v>
      </c>
      <c r="F4693" s="8">
        <v>45320</v>
      </c>
      <c r="G4693" s="8">
        <f t="shared" si="292"/>
        <v>8610800</v>
      </c>
      <c r="H4693" s="5">
        <v>0.1118</v>
      </c>
      <c r="I4693" s="8">
        <f t="shared" si="293"/>
        <v>8610800</v>
      </c>
      <c r="J4693" s="8">
        <f t="shared" si="294"/>
        <v>962687.44</v>
      </c>
      <c r="K4693" t="str">
        <f t="shared" si="295"/>
        <v>MATCHED</v>
      </c>
    </row>
    <row r="4694" spans="1:11">
      <c r="A4694" t="s">
        <v>122</v>
      </c>
      <c r="B4694" t="s">
        <v>1704</v>
      </c>
      <c r="C4694" t="s">
        <v>1735</v>
      </c>
      <c r="D4694" t="s">
        <v>1736</v>
      </c>
      <c r="E4694" s="8"/>
      <c r="F4694" s="8">
        <v>70790</v>
      </c>
      <c r="G4694" s="8" t="str">
        <f t="shared" si="292"/>
        <v/>
      </c>
      <c r="H4694" s="5">
        <v>0.1068</v>
      </c>
      <c r="I4694" s="8" t="str">
        <f t="shared" si="293"/>
        <v/>
      </c>
      <c r="J4694" s="8" t="str">
        <f t="shared" si="294"/>
        <v/>
      </c>
      <c r="K4694" t="str">
        <f t="shared" si="295"/>
        <v>MISSING OEWS</v>
      </c>
    </row>
    <row r="4695" spans="1:11">
      <c r="A4695" t="s">
        <v>122</v>
      </c>
      <c r="B4695" t="s">
        <v>1704</v>
      </c>
      <c r="C4695" t="s">
        <v>1698</v>
      </c>
      <c r="D4695" t="s">
        <v>1699</v>
      </c>
      <c r="E4695" s="8"/>
      <c r="F4695" s="8">
        <v>71560</v>
      </c>
      <c r="G4695" s="8" t="str">
        <f t="shared" si="292"/>
        <v/>
      </c>
      <c r="H4695" s="5">
        <v>0.0905</v>
      </c>
      <c r="I4695" s="8" t="str">
        <f t="shared" si="293"/>
        <v/>
      </c>
      <c r="J4695" s="8" t="str">
        <f t="shared" si="294"/>
        <v/>
      </c>
      <c r="K4695" t="str">
        <f t="shared" si="295"/>
        <v>MISSING OEWS</v>
      </c>
    </row>
    <row r="4696" spans="1:11">
      <c r="A4696" t="s">
        <v>122</v>
      </c>
      <c r="B4696" t="s">
        <v>1704</v>
      </c>
      <c r="C4696" t="s">
        <v>1248</v>
      </c>
      <c r="D4696" t="s">
        <v>1249</v>
      </c>
      <c r="E4696" s="8">
        <v>200</v>
      </c>
      <c r="F4696" s="8">
        <v>46920</v>
      </c>
      <c r="G4696" s="8">
        <f t="shared" si="292"/>
        <v>9384000</v>
      </c>
      <c r="H4696" s="5">
        <v>0.2219</v>
      </c>
      <c r="I4696" s="8">
        <f t="shared" si="293"/>
        <v>9384000</v>
      </c>
      <c r="J4696" s="8">
        <f t="shared" si="294"/>
        <v>2082309.6</v>
      </c>
      <c r="K4696" t="str">
        <f t="shared" si="295"/>
        <v>MATCHED</v>
      </c>
    </row>
    <row r="4697" spans="1:11">
      <c r="A4697" t="s">
        <v>122</v>
      </c>
      <c r="B4697" t="s">
        <v>1704</v>
      </c>
      <c r="C4697" t="s">
        <v>1250</v>
      </c>
      <c r="D4697" t="s">
        <v>1251</v>
      </c>
      <c r="E4697" s="8">
        <v>5060</v>
      </c>
      <c r="F4697" s="8">
        <v>47650</v>
      </c>
      <c r="G4697" s="8">
        <f t="shared" si="292"/>
        <v>241109000</v>
      </c>
      <c r="H4697" s="5">
        <v>0.4025</v>
      </c>
      <c r="I4697" s="8">
        <f t="shared" si="293"/>
        <v>241109000</v>
      </c>
      <c r="J4697" s="8">
        <f t="shared" si="294"/>
        <v>97046372.5</v>
      </c>
      <c r="K4697" t="str">
        <f t="shared" si="295"/>
        <v>MATCHED</v>
      </c>
    </row>
    <row r="4698" spans="1:11">
      <c r="A4698" t="s">
        <v>122</v>
      </c>
      <c r="B4698" t="s">
        <v>1704</v>
      </c>
      <c r="C4698" t="s">
        <v>1252</v>
      </c>
      <c r="D4698" t="s">
        <v>1253</v>
      </c>
      <c r="E4698" s="8">
        <v>390</v>
      </c>
      <c r="F4698" s="8">
        <v>51840</v>
      </c>
      <c r="G4698" s="8">
        <f t="shared" si="292"/>
        <v>20217600</v>
      </c>
      <c r="H4698" s="5">
        <v>0.1188</v>
      </c>
      <c r="I4698" s="8">
        <f t="shared" si="293"/>
        <v>20217600</v>
      </c>
      <c r="J4698" s="8">
        <f t="shared" si="294"/>
        <v>2401850.88</v>
      </c>
      <c r="K4698" t="str">
        <f t="shared" si="295"/>
        <v>MATCHED</v>
      </c>
    </row>
    <row r="4699" spans="1:11">
      <c r="A4699" t="s">
        <v>122</v>
      </c>
      <c r="B4699" t="s">
        <v>1704</v>
      </c>
      <c r="C4699" t="s">
        <v>1622</v>
      </c>
      <c r="D4699" t="s">
        <v>1623</v>
      </c>
      <c r="E4699" s="8">
        <v>550</v>
      </c>
      <c r="F4699" s="8">
        <v>50930</v>
      </c>
      <c r="G4699" s="8">
        <f t="shared" si="292"/>
        <v>28011500</v>
      </c>
      <c r="H4699" s="5">
        <v>0.8733</v>
      </c>
      <c r="I4699" s="8">
        <f t="shared" si="293"/>
        <v>28011500</v>
      </c>
      <c r="J4699" s="8">
        <f t="shared" si="294"/>
        <v>24462442.95</v>
      </c>
      <c r="K4699" t="str">
        <f t="shared" si="295"/>
        <v>MATCHED</v>
      </c>
    </row>
    <row r="4700" spans="1:11">
      <c r="A4700" t="s">
        <v>122</v>
      </c>
      <c r="B4700" t="s">
        <v>1704</v>
      </c>
      <c r="C4700" t="s">
        <v>1445</v>
      </c>
      <c r="D4700" t="s">
        <v>1446</v>
      </c>
      <c r="E4700" s="8">
        <v>140</v>
      </c>
      <c r="F4700" s="8">
        <v>49450</v>
      </c>
      <c r="G4700" s="8">
        <f t="shared" si="292"/>
        <v>6923000</v>
      </c>
      <c r="H4700" s="5">
        <v>0.5088</v>
      </c>
      <c r="I4700" s="8">
        <f t="shared" si="293"/>
        <v>6923000</v>
      </c>
      <c r="J4700" s="8">
        <f t="shared" si="294"/>
        <v>3522422.4</v>
      </c>
      <c r="K4700" t="str">
        <f t="shared" si="295"/>
        <v>MATCHED</v>
      </c>
    </row>
    <row r="4701" spans="1:11">
      <c r="A4701" t="s">
        <v>122</v>
      </c>
      <c r="B4701" t="s">
        <v>1704</v>
      </c>
      <c r="C4701" t="s">
        <v>1447</v>
      </c>
      <c r="D4701" t="s">
        <v>1448</v>
      </c>
      <c r="E4701" s="8">
        <v>330</v>
      </c>
      <c r="F4701" s="8">
        <v>57090</v>
      </c>
      <c r="G4701" s="8">
        <f t="shared" si="292"/>
        <v>18839700</v>
      </c>
      <c r="H4701" s="5">
        <v>0.0792</v>
      </c>
      <c r="I4701" s="8">
        <f t="shared" si="293"/>
        <v>18839700</v>
      </c>
      <c r="J4701" s="8">
        <f t="shared" si="294"/>
        <v>1492104.24</v>
      </c>
      <c r="K4701" t="str">
        <f t="shared" si="295"/>
        <v>MATCHED</v>
      </c>
    </row>
    <row r="4702" spans="1:11">
      <c r="A4702" t="s">
        <v>122</v>
      </c>
      <c r="B4702" t="s">
        <v>1704</v>
      </c>
      <c r="C4702" t="s">
        <v>1256</v>
      </c>
      <c r="D4702" t="s">
        <v>1257</v>
      </c>
      <c r="E4702" s="8">
        <v>860</v>
      </c>
      <c r="F4702" s="8">
        <v>42610</v>
      </c>
      <c r="G4702" s="8">
        <f t="shared" si="292"/>
        <v>36644600</v>
      </c>
      <c r="H4702" s="5">
        <v>0.2542</v>
      </c>
      <c r="I4702" s="8">
        <f t="shared" si="293"/>
        <v>36644600</v>
      </c>
      <c r="J4702" s="8">
        <f t="shared" si="294"/>
        <v>9315057.32</v>
      </c>
      <c r="K4702" t="str">
        <f t="shared" si="295"/>
        <v>MATCHED</v>
      </c>
    </row>
    <row r="4703" spans="1:11">
      <c r="A4703" t="s">
        <v>122</v>
      </c>
      <c r="B4703" t="s">
        <v>1704</v>
      </c>
      <c r="C4703" t="s">
        <v>644</v>
      </c>
      <c r="D4703" t="s">
        <v>645</v>
      </c>
      <c r="E4703" s="8">
        <v>1520</v>
      </c>
      <c r="F4703" s="8">
        <v>83880</v>
      </c>
      <c r="G4703" s="8">
        <f t="shared" si="292"/>
        <v>127497600</v>
      </c>
      <c r="H4703" s="5">
        <v>0.3929</v>
      </c>
      <c r="I4703" s="8">
        <f t="shared" si="293"/>
        <v>127497600</v>
      </c>
      <c r="J4703" s="8">
        <f t="shared" si="294"/>
        <v>50093807.04</v>
      </c>
      <c r="K4703" t="str">
        <f t="shared" si="295"/>
        <v>MATCHED</v>
      </c>
    </row>
    <row r="4704" spans="1:11">
      <c r="A4704" t="s">
        <v>122</v>
      </c>
      <c r="B4704" t="s">
        <v>1704</v>
      </c>
      <c r="C4704" t="s">
        <v>866</v>
      </c>
      <c r="D4704" t="s">
        <v>867</v>
      </c>
      <c r="E4704" s="8">
        <v>210</v>
      </c>
      <c r="F4704" s="8">
        <v>96240</v>
      </c>
      <c r="G4704" s="8">
        <f t="shared" si="292"/>
        <v>20210400</v>
      </c>
      <c r="H4704" s="5"/>
      <c r="I4704" s="8" t="str">
        <f t="shared" si="293"/>
        <v/>
      </c>
      <c r="J4704" s="8" t="str">
        <f t="shared" si="294"/>
        <v/>
      </c>
      <c r="K4704" t="str">
        <f t="shared" si="295"/>
        <v>MISSING WHARTON</v>
      </c>
    </row>
    <row r="4705" spans="1:11">
      <c r="A4705" t="s">
        <v>122</v>
      </c>
      <c r="B4705" t="s">
        <v>1704</v>
      </c>
      <c r="C4705" t="s">
        <v>870</v>
      </c>
      <c r="D4705" t="s">
        <v>871</v>
      </c>
      <c r="E4705" s="8">
        <v>1270</v>
      </c>
      <c r="F4705" s="8">
        <v>84770</v>
      </c>
      <c r="G4705" s="8">
        <f t="shared" si="292"/>
        <v>107657900</v>
      </c>
      <c r="H4705" s="5">
        <v>0.3324</v>
      </c>
      <c r="I4705" s="8">
        <f t="shared" si="293"/>
        <v>107657900</v>
      </c>
      <c r="J4705" s="8">
        <f t="shared" si="294"/>
        <v>35785485.96</v>
      </c>
      <c r="K4705" t="str">
        <f t="shared" si="295"/>
        <v>MATCHED</v>
      </c>
    </row>
    <row r="4706" spans="1:11">
      <c r="A4706" t="s">
        <v>122</v>
      </c>
      <c r="B4706" t="s">
        <v>1704</v>
      </c>
      <c r="C4706" t="s">
        <v>329</v>
      </c>
      <c r="D4706" t="s">
        <v>330</v>
      </c>
      <c r="E4706" s="8">
        <v>9700</v>
      </c>
      <c r="F4706" s="8">
        <v>50740</v>
      </c>
      <c r="G4706" s="8">
        <f t="shared" si="292"/>
        <v>492178000</v>
      </c>
      <c r="H4706" s="5">
        <v>0.1357</v>
      </c>
      <c r="I4706" s="8">
        <f t="shared" si="293"/>
        <v>492178000</v>
      </c>
      <c r="J4706" s="8">
        <f t="shared" si="294"/>
        <v>66788554.6</v>
      </c>
      <c r="K4706" t="str">
        <f t="shared" si="295"/>
        <v>MATCHED</v>
      </c>
    </row>
    <row r="4707" spans="1:11">
      <c r="A4707" t="s">
        <v>122</v>
      </c>
      <c r="B4707" t="s">
        <v>1704</v>
      </c>
      <c r="C4707" t="s">
        <v>1492</v>
      </c>
      <c r="D4707" t="s">
        <v>1493</v>
      </c>
      <c r="E4707" s="8"/>
      <c r="F4707" s="8">
        <v>27260</v>
      </c>
      <c r="G4707" s="8" t="str">
        <f t="shared" si="292"/>
        <v/>
      </c>
      <c r="H4707" s="5">
        <v>0.0633</v>
      </c>
      <c r="I4707" s="8" t="str">
        <f t="shared" si="293"/>
        <v/>
      </c>
      <c r="J4707" s="8" t="str">
        <f t="shared" si="294"/>
        <v/>
      </c>
      <c r="K4707" t="str">
        <f t="shared" si="295"/>
        <v>MISSING OEWS</v>
      </c>
    </row>
    <row r="4708" spans="1:11">
      <c r="A4708" t="s">
        <v>122</v>
      </c>
      <c r="B4708" t="s">
        <v>1704</v>
      </c>
      <c r="C4708" t="s">
        <v>872</v>
      </c>
      <c r="D4708" t="s">
        <v>873</v>
      </c>
      <c r="E4708" s="8">
        <v>1410</v>
      </c>
      <c r="F4708" s="8">
        <v>62770</v>
      </c>
      <c r="G4708" s="8">
        <f t="shared" si="292"/>
        <v>88505700</v>
      </c>
      <c r="H4708" s="5">
        <v>0.3357</v>
      </c>
      <c r="I4708" s="8">
        <f t="shared" si="293"/>
        <v>88505700</v>
      </c>
      <c r="J4708" s="8">
        <f t="shared" si="294"/>
        <v>29711363.49</v>
      </c>
      <c r="K4708" t="str">
        <f t="shared" si="295"/>
        <v>MATCHED</v>
      </c>
    </row>
    <row r="4709" spans="1:11">
      <c r="A4709" t="s">
        <v>122</v>
      </c>
      <c r="B4709" t="s">
        <v>1704</v>
      </c>
      <c r="C4709" t="s">
        <v>978</v>
      </c>
      <c r="D4709" t="s">
        <v>979</v>
      </c>
      <c r="E4709" s="8">
        <v>1660</v>
      </c>
      <c r="F4709" s="8">
        <v>87630</v>
      </c>
      <c r="G4709" s="8">
        <f t="shared" si="292"/>
        <v>145465800</v>
      </c>
      <c r="H4709" s="5">
        <v>0.281</v>
      </c>
      <c r="I4709" s="8">
        <f t="shared" si="293"/>
        <v>145465800</v>
      </c>
      <c r="J4709" s="8">
        <f t="shared" si="294"/>
        <v>40875889.8</v>
      </c>
      <c r="K4709" t="str">
        <f t="shared" si="295"/>
        <v>MATCHED</v>
      </c>
    </row>
    <row r="4710" spans="1:11">
      <c r="A4710" t="s">
        <v>122</v>
      </c>
      <c r="B4710" t="s">
        <v>1704</v>
      </c>
      <c r="C4710" t="s">
        <v>980</v>
      </c>
      <c r="D4710" t="s">
        <v>981</v>
      </c>
      <c r="E4710" s="8">
        <v>4300</v>
      </c>
      <c r="F4710" s="8">
        <v>49470</v>
      </c>
      <c r="G4710" s="8">
        <f t="shared" si="292"/>
        <v>212721000</v>
      </c>
      <c r="H4710" s="5">
        <v>0.4173</v>
      </c>
      <c r="I4710" s="8">
        <f t="shared" si="293"/>
        <v>212721000</v>
      </c>
      <c r="J4710" s="8">
        <f t="shared" si="294"/>
        <v>88768473.3</v>
      </c>
      <c r="K4710" t="str">
        <f t="shared" si="295"/>
        <v>MATCHED</v>
      </c>
    </row>
    <row r="4711" spans="1:11">
      <c r="A4711" t="s">
        <v>122</v>
      </c>
      <c r="B4711" t="s">
        <v>1704</v>
      </c>
      <c r="C4711" t="s">
        <v>982</v>
      </c>
      <c r="D4711" t="s">
        <v>983</v>
      </c>
      <c r="E4711" s="8">
        <v>710</v>
      </c>
      <c r="F4711" s="8">
        <v>41730</v>
      </c>
      <c r="G4711" s="8">
        <f t="shared" si="292"/>
        <v>29628300</v>
      </c>
      <c r="H4711" s="5">
        <v>0.25</v>
      </c>
      <c r="I4711" s="8">
        <f t="shared" si="293"/>
        <v>29628300</v>
      </c>
      <c r="J4711" s="8">
        <f t="shared" si="294"/>
        <v>7407075</v>
      </c>
      <c r="K4711" t="str">
        <f t="shared" si="295"/>
        <v>MATCHED</v>
      </c>
    </row>
    <row r="4712" spans="1:11">
      <c r="A4712" t="s">
        <v>122</v>
      </c>
      <c r="B4712" t="s">
        <v>1704</v>
      </c>
      <c r="C4712" t="s">
        <v>984</v>
      </c>
      <c r="D4712" t="s">
        <v>985</v>
      </c>
      <c r="E4712" s="8">
        <v>610</v>
      </c>
      <c r="F4712" s="8">
        <v>44700</v>
      </c>
      <c r="G4712" s="8">
        <f t="shared" si="292"/>
        <v>27267000</v>
      </c>
      <c r="H4712" s="5">
        <v>0.1175</v>
      </c>
      <c r="I4712" s="8">
        <f t="shared" si="293"/>
        <v>27267000</v>
      </c>
      <c r="J4712" s="8">
        <f t="shared" si="294"/>
        <v>3203872.5</v>
      </c>
      <c r="K4712" t="str">
        <f t="shared" si="295"/>
        <v>MATCHED</v>
      </c>
    </row>
    <row r="4713" spans="1:11">
      <c r="A4713" t="s">
        <v>122</v>
      </c>
      <c r="B4713" t="s">
        <v>1704</v>
      </c>
      <c r="C4713" t="s">
        <v>1262</v>
      </c>
      <c r="D4713" t="s">
        <v>1263</v>
      </c>
      <c r="E4713" s="8">
        <v>50</v>
      </c>
      <c r="F4713" s="8">
        <v>58000</v>
      </c>
      <c r="G4713" s="8">
        <f t="shared" si="292"/>
        <v>2900000</v>
      </c>
      <c r="H4713" s="5"/>
      <c r="I4713" s="8" t="str">
        <f t="shared" si="293"/>
        <v/>
      </c>
      <c r="J4713" s="8" t="str">
        <f t="shared" si="294"/>
        <v/>
      </c>
      <c r="K4713" t="str">
        <f t="shared" si="295"/>
        <v>MISSING WHARTON</v>
      </c>
    </row>
    <row r="4714" spans="1:11">
      <c r="A4714" t="s">
        <v>122</v>
      </c>
      <c r="B4714" t="s">
        <v>1704</v>
      </c>
      <c r="C4714" t="s">
        <v>986</v>
      </c>
      <c r="D4714" t="s">
        <v>987</v>
      </c>
      <c r="E4714" s="8">
        <v>1260</v>
      </c>
      <c r="F4714" s="8">
        <v>38400</v>
      </c>
      <c r="G4714" s="8">
        <f t="shared" si="292"/>
        <v>48384000</v>
      </c>
      <c r="H4714" s="5">
        <v>0.0613</v>
      </c>
      <c r="I4714" s="8">
        <f t="shared" si="293"/>
        <v>48384000</v>
      </c>
      <c r="J4714" s="8">
        <f t="shared" si="294"/>
        <v>2965939.2</v>
      </c>
      <c r="K4714" t="str">
        <f t="shared" si="295"/>
        <v>MATCHED</v>
      </c>
    </row>
    <row r="4715" spans="1:11">
      <c r="A4715" t="s">
        <v>122</v>
      </c>
      <c r="B4715" t="s">
        <v>1704</v>
      </c>
      <c r="C4715" t="s">
        <v>1264</v>
      </c>
      <c r="D4715" t="s">
        <v>1265</v>
      </c>
      <c r="E4715" s="8">
        <v>240</v>
      </c>
      <c r="F4715" s="8">
        <v>37800</v>
      </c>
      <c r="G4715" s="8">
        <f t="shared" si="292"/>
        <v>9072000</v>
      </c>
      <c r="H4715" s="5">
        <v>0.1425</v>
      </c>
      <c r="I4715" s="8">
        <f t="shared" si="293"/>
        <v>9072000</v>
      </c>
      <c r="J4715" s="8">
        <f t="shared" si="294"/>
        <v>1292760</v>
      </c>
      <c r="K4715" t="str">
        <f t="shared" si="295"/>
        <v>MATCHED</v>
      </c>
    </row>
    <row r="4716" spans="1:11">
      <c r="A4716" t="s">
        <v>122</v>
      </c>
      <c r="B4716" t="s">
        <v>1704</v>
      </c>
      <c r="C4716" t="s">
        <v>990</v>
      </c>
      <c r="D4716" t="s">
        <v>991</v>
      </c>
      <c r="E4716" s="8">
        <v>830</v>
      </c>
      <c r="F4716" s="8">
        <v>37050</v>
      </c>
      <c r="G4716" s="8">
        <f t="shared" si="292"/>
        <v>30751500</v>
      </c>
      <c r="H4716" s="5">
        <v>0.152</v>
      </c>
      <c r="I4716" s="8">
        <f t="shared" si="293"/>
        <v>30751500</v>
      </c>
      <c r="J4716" s="8">
        <f t="shared" si="294"/>
        <v>4674228</v>
      </c>
      <c r="K4716" t="str">
        <f t="shared" si="295"/>
        <v>MATCHED</v>
      </c>
    </row>
    <row r="4717" spans="1:11">
      <c r="A4717" t="s">
        <v>122</v>
      </c>
      <c r="B4717" t="s">
        <v>1704</v>
      </c>
      <c r="C4717" t="s">
        <v>1266</v>
      </c>
      <c r="D4717" t="s">
        <v>1267</v>
      </c>
      <c r="E4717" s="8">
        <v>650</v>
      </c>
      <c r="F4717" s="8">
        <v>33510</v>
      </c>
      <c r="G4717" s="8">
        <f t="shared" si="292"/>
        <v>21781500</v>
      </c>
      <c r="H4717" s="5">
        <v>0.1357</v>
      </c>
      <c r="I4717" s="8">
        <f t="shared" si="293"/>
        <v>21781500</v>
      </c>
      <c r="J4717" s="8">
        <f t="shared" si="294"/>
        <v>2955749.55</v>
      </c>
      <c r="K4717" t="str">
        <f t="shared" si="295"/>
        <v>MATCHED</v>
      </c>
    </row>
    <row r="4718" spans="1:11">
      <c r="A4718" t="s">
        <v>122</v>
      </c>
      <c r="B4718" t="s">
        <v>1704</v>
      </c>
      <c r="C4718" t="s">
        <v>1268</v>
      </c>
      <c r="D4718" t="s">
        <v>1269</v>
      </c>
      <c r="E4718" s="8">
        <v>290</v>
      </c>
      <c r="F4718" s="8">
        <v>39390</v>
      </c>
      <c r="G4718" s="8">
        <f t="shared" si="292"/>
        <v>11423100</v>
      </c>
      <c r="H4718" s="5">
        <v>0.0417</v>
      </c>
      <c r="I4718" s="8">
        <f t="shared" si="293"/>
        <v>11423100</v>
      </c>
      <c r="J4718" s="8">
        <f t="shared" si="294"/>
        <v>476343.27</v>
      </c>
      <c r="K4718" t="str">
        <f t="shared" si="295"/>
        <v>MATCHED</v>
      </c>
    </row>
    <row r="4719" spans="1:11">
      <c r="A4719" t="s">
        <v>122</v>
      </c>
      <c r="B4719" t="s">
        <v>1704</v>
      </c>
      <c r="C4719" t="s">
        <v>1270</v>
      </c>
      <c r="D4719" t="s">
        <v>1271</v>
      </c>
      <c r="E4719" s="8">
        <v>160</v>
      </c>
      <c r="F4719" s="8">
        <v>40770</v>
      </c>
      <c r="G4719" s="8">
        <f t="shared" si="292"/>
        <v>6523200</v>
      </c>
      <c r="H4719" s="5">
        <v>0</v>
      </c>
      <c r="I4719" s="8">
        <f t="shared" si="293"/>
        <v>6523200</v>
      </c>
      <c r="J4719" s="8">
        <f t="shared" si="294"/>
        <v>0</v>
      </c>
      <c r="K4719" t="str">
        <f t="shared" si="295"/>
        <v>MATCHED</v>
      </c>
    </row>
    <row r="4720" spans="1:11">
      <c r="A4720" t="s">
        <v>122</v>
      </c>
      <c r="B4720" t="s">
        <v>1704</v>
      </c>
      <c r="C4720" t="s">
        <v>1272</v>
      </c>
      <c r="D4720" t="s">
        <v>1273</v>
      </c>
      <c r="E4720" s="8">
        <v>210</v>
      </c>
      <c r="F4720" s="8">
        <v>33060</v>
      </c>
      <c r="G4720" s="8">
        <f t="shared" si="292"/>
        <v>6942600</v>
      </c>
      <c r="H4720" s="5">
        <v>0.3023</v>
      </c>
      <c r="I4720" s="8">
        <f t="shared" si="293"/>
        <v>6942600</v>
      </c>
      <c r="J4720" s="8">
        <f t="shared" si="294"/>
        <v>2098747.98</v>
      </c>
      <c r="K4720" t="str">
        <f t="shared" si="295"/>
        <v>MATCHED</v>
      </c>
    </row>
    <row r="4721" spans="1:11">
      <c r="A4721" t="s">
        <v>122</v>
      </c>
      <c r="B4721" t="s">
        <v>1704</v>
      </c>
      <c r="C4721" t="s">
        <v>331</v>
      </c>
      <c r="D4721" t="s">
        <v>332</v>
      </c>
      <c r="E4721" s="8">
        <v>450</v>
      </c>
      <c r="F4721" s="8">
        <v>58300</v>
      </c>
      <c r="G4721" s="8">
        <f t="shared" si="292"/>
        <v>26235000</v>
      </c>
      <c r="H4721" s="5">
        <v>0.2269</v>
      </c>
      <c r="I4721" s="8">
        <f t="shared" si="293"/>
        <v>26235000</v>
      </c>
      <c r="J4721" s="8">
        <f t="shared" si="294"/>
        <v>5952721.5</v>
      </c>
      <c r="K4721" t="str">
        <f t="shared" si="295"/>
        <v>MATCHED</v>
      </c>
    </row>
    <row r="4722" spans="1:11">
      <c r="A4722" t="s">
        <v>122</v>
      </c>
      <c r="B4722" t="s">
        <v>1704</v>
      </c>
      <c r="C4722" t="s">
        <v>333</v>
      </c>
      <c r="D4722" t="s">
        <v>334</v>
      </c>
      <c r="E4722" s="8">
        <v>100</v>
      </c>
      <c r="F4722" s="8">
        <v>69800</v>
      </c>
      <c r="G4722" s="8">
        <f t="shared" si="292"/>
        <v>6980000</v>
      </c>
      <c r="H4722" s="5">
        <v>0.2357</v>
      </c>
      <c r="I4722" s="8">
        <f t="shared" si="293"/>
        <v>6980000</v>
      </c>
      <c r="J4722" s="8">
        <f t="shared" si="294"/>
        <v>1645186</v>
      </c>
      <c r="K4722" t="str">
        <f t="shared" si="295"/>
        <v>MATCHED</v>
      </c>
    </row>
    <row r="4723" spans="1:11">
      <c r="A4723" t="s">
        <v>122</v>
      </c>
      <c r="B4723" t="s">
        <v>1704</v>
      </c>
      <c r="C4723" t="s">
        <v>335</v>
      </c>
      <c r="D4723" t="s">
        <v>336</v>
      </c>
      <c r="E4723" s="8">
        <v>6930</v>
      </c>
      <c r="F4723" s="8">
        <v>41590</v>
      </c>
      <c r="G4723" s="8">
        <f t="shared" si="292"/>
        <v>288218700</v>
      </c>
      <c r="H4723" s="5">
        <v>0</v>
      </c>
      <c r="I4723" s="8">
        <f t="shared" si="293"/>
        <v>288218700</v>
      </c>
      <c r="J4723" s="8">
        <f t="shared" si="294"/>
        <v>0</v>
      </c>
      <c r="K4723" t="str">
        <f t="shared" si="295"/>
        <v>MATCHED</v>
      </c>
    </row>
    <row r="4724" spans="1:11">
      <c r="A4724" t="s">
        <v>122</v>
      </c>
      <c r="B4724" t="s">
        <v>1704</v>
      </c>
      <c r="C4724" t="s">
        <v>339</v>
      </c>
      <c r="D4724" t="s">
        <v>340</v>
      </c>
      <c r="E4724" s="8">
        <v>180</v>
      </c>
      <c r="F4724" s="8">
        <v>46840</v>
      </c>
      <c r="G4724" s="8">
        <f t="shared" si="292"/>
        <v>8431200</v>
      </c>
      <c r="H4724" s="5">
        <v>0.1567</v>
      </c>
      <c r="I4724" s="8">
        <f t="shared" si="293"/>
        <v>8431200</v>
      </c>
      <c r="J4724" s="8">
        <f t="shared" si="294"/>
        <v>1321169.04</v>
      </c>
      <c r="K4724" t="str">
        <f t="shared" si="295"/>
        <v>MATCHED</v>
      </c>
    </row>
    <row r="4725" spans="1:11">
      <c r="A4725" t="s">
        <v>122</v>
      </c>
      <c r="B4725" t="s">
        <v>1704</v>
      </c>
      <c r="C4725" t="s">
        <v>341</v>
      </c>
      <c r="D4725" t="s">
        <v>342</v>
      </c>
      <c r="E4725" s="8">
        <v>1380</v>
      </c>
      <c r="F4725" s="8">
        <v>43820</v>
      </c>
      <c r="G4725" s="8">
        <f t="shared" si="292"/>
        <v>60471600</v>
      </c>
      <c r="H4725" s="5">
        <v>0</v>
      </c>
      <c r="I4725" s="8">
        <f t="shared" si="293"/>
        <v>60471600</v>
      </c>
      <c r="J4725" s="8">
        <f t="shared" si="294"/>
        <v>0</v>
      </c>
      <c r="K4725" t="str">
        <f t="shared" si="295"/>
        <v>MATCHED</v>
      </c>
    </row>
    <row r="4726" spans="1:11">
      <c r="A4726" t="s">
        <v>122</v>
      </c>
      <c r="B4726" t="s">
        <v>1704</v>
      </c>
      <c r="C4726" t="s">
        <v>874</v>
      </c>
      <c r="D4726" t="s">
        <v>875</v>
      </c>
      <c r="E4726" s="8"/>
      <c r="F4726" s="8">
        <v>37370</v>
      </c>
      <c r="G4726" s="8" t="str">
        <f t="shared" si="292"/>
        <v/>
      </c>
      <c r="H4726" s="5"/>
      <c r="I4726" s="8" t="str">
        <f t="shared" si="293"/>
        <v/>
      </c>
      <c r="J4726" s="8" t="str">
        <f t="shared" si="294"/>
        <v/>
      </c>
      <c r="K4726" t="str">
        <f t="shared" si="295"/>
        <v>MISSING OEWS</v>
      </c>
    </row>
    <row r="4727" spans="1:11">
      <c r="A4727" t="s">
        <v>122</v>
      </c>
      <c r="B4727" t="s">
        <v>1704</v>
      </c>
      <c r="C4727" t="s">
        <v>347</v>
      </c>
      <c r="D4727" t="s">
        <v>348</v>
      </c>
      <c r="E4727" s="8">
        <v>240</v>
      </c>
      <c r="F4727" s="8">
        <v>51860</v>
      </c>
      <c r="G4727" s="8">
        <f t="shared" si="292"/>
        <v>12446400</v>
      </c>
      <c r="H4727" s="5">
        <v>0.2974</v>
      </c>
      <c r="I4727" s="8">
        <f t="shared" si="293"/>
        <v>12446400</v>
      </c>
      <c r="J4727" s="8">
        <f t="shared" si="294"/>
        <v>3701559.36</v>
      </c>
      <c r="K4727" t="str">
        <f t="shared" si="295"/>
        <v>MATCHED</v>
      </c>
    </row>
    <row r="4728" spans="1:11">
      <c r="A4728" t="s">
        <v>122</v>
      </c>
      <c r="B4728" t="s">
        <v>1704</v>
      </c>
      <c r="C4728" t="s">
        <v>349</v>
      </c>
      <c r="D4728" t="s">
        <v>350</v>
      </c>
      <c r="E4728" s="8">
        <v>690</v>
      </c>
      <c r="F4728" s="8">
        <v>60190</v>
      </c>
      <c r="G4728" s="8">
        <f t="shared" si="292"/>
        <v>41531100</v>
      </c>
      <c r="H4728" s="5">
        <v>0.2765</v>
      </c>
      <c r="I4728" s="8">
        <f t="shared" si="293"/>
        <v>41531100</v>
      </c>
      <c r="J4728" s="8">
        <f t="shared" si="294"/>
        <v>11483349.15</v>
      </c>
      <c r="K4728" t="str">
        <f t="shared" si="295"/>
        <v>MATCHED</v>
      </c>
    </row>
    <row r="4729" spans="1:11">
      <c r="A4729" t="s">
        <v>122</v>
      </c>
      <c r="B4729" t="s">
        <v>1704</v>
      </c>
      <c r="C4729" t="s">
        <v>351</v>
      </c>
      <c r="D4729" t="s">
        <v>352</v>
      </c>
      <c r="E4729" s="8"/>
      <c r="F4729" s="8">
        <v>60320</v>
      </c>
      <c r="G4729" s="8" t="str">
        <f t="shared" si="292"/>
        <v/>
      </c>
      <c r="H4729" s="5">
        <v>0.05</v>
      </c>
      <c r="I4729" s="8" t="str">
        <f t="shared" si="293"/>
        <v/>
      </c>
      <c r="J4729" s="8" t="str">
        <f t="shared" si="294"/>
        <v/>
      </c>
      <c r="K4729" t="str">
        <f t="shared" si="295"/>
        <v>MISSING OEWS</v>
      </c>
    </row>
    <row r="4730" spans="1:11">
      <c r="A4730" t="s">
        <v>122</v>
      </c>
      <c r="B4730" t="s">
        <v>1704</v>
      </c>
      <c r="C4730" t="s">
        <v>353</v>
      </c>
      <c r="D4730" t="s">
        <v>354</v>
      </c>
      <c r="E4730" s="8"/>
      <c r="F4730" s="8">
        <v>47960</v>
      </c>
      <c r="G4730" s="8" t="str">
        <f t="shared" si="292"/>
        <v/>
      </c>
      <c r="H4730" s="5">
        <v>0.1614</v>
      </c>
      <c r="I4730" s="8" t="str">
        <f t="shared" si="293"/>
        <v/>
      </c>
      <c r="J4730" s="8" t="str">
        <f t="shared" si="294"/>
        <v/>
      </c>
      <c r="K4730" t="str">
        <f t="shared" si="295"/>
        <v>MISSING OEWS</v>
      </c>
    </row>
    <row r="4731" spans="1:11">
      <c r="A4731" t="s">
        <v>122</v>
      </c>
      <c r="B4731" t="s">
        <v>1704</v>
      </c>
      <c r="C4731" t="s">
        <v>1276</v>
      </c>
      <c r="D4731" t="s">
        <v>1277</v>
      </c>
      <c r="E4731" s="8"/>
      <c r="F4731" s="8">
        <v>33700</v>
      </c>
      <c r="G4731" s="8" t="str">
        <f t="shared" si="292"/>
        <v/>
      </c>
      <c r="H4731" s="5">
        <v>0.2109</v>
      </c>
      <c r="I4731" s="8" t="str">
        <f t="shared" si="293"/>
        <v/>
      </c>
      <c r="J4731" s="8" t="str">
        <f t="shared" si="294"/>
        <v/>
      </c>
      <c r="K4731" t="str">
        <f t="shared" si="295"/>
        <v>MISSING OEWS</v>
      </c>
    </row>
    <row r="4732" spans="1:11">
      <c r="A4732" t="s">
        <v>122</v>
      </c>
      <c r="B4732" t="s">
        <v>1704</v>
      </c>
      <c r="C4732" t="s">
        <v>876</v>
      </c>
      <c r="D4732" t="s">
        <v>877</v>
      </c>
      <c r="E4732" s="8">
        <v>420</v>
      </c>
      <c r="F4732" s="8">
        <v>35310</v>
      </c>
      <c r="G4732" s="8">
        <f t="shared" si="292"/>
        <v>14830200</v>
      </c>
      <c r="H4732" s="5">
        <v>0.25</v>
      </c>
      <c r="I4732" s="8">
        <f t="shared" si="293"/>
        <v>14830200</v>
      </c>
      <c r="J4732" s="8">
        <f t="shared" si="294"/>
        <v>3707550</v>
      </c>
      <c r="K4732" t="str">
        <f t="shared" si="295"/>
        <v>MATCHED</v>
      </c>
    </row>
    <row r="4733" spans="1:11">
      <c r="A4733" t="s">
        <v>122</v>
      </c>
      <c r="B4733" t="s">
        <v>1704</v>
      </c>
      <c r="C4733" t="s">
        <v>992</v>
      </c>
      <c r="D4733" t="s">
        <v>993</v>
      </c>
      <c r="E4733" s="8"/>
      <c r="F4733" s="8">
        <v>52970</v>
      </c>
      <c r="G4733" s="8" t="str">
        <f t="shared" si="292"/>
        <v/>
      </c>
      <c r="H4733" s="5">
        <v>0.1239</v>
      </c>
      <c r="I4733" s="8" t="str">
        <f t="shared" si="293"/>
        <v/>
      </c>
      <c r="J4733" s="8" t="str">
        <f t="shared" si="294"/>
        <v/>
      </c>
      <c r="K4733" t="str">
        <f t="shared" si="295"/>
        <v>MISSING OEWS</v>
      </c>
    </row>
    <row r="4734" spans="1:11">
      <c r="A4734" t="s">
        <v>122</v>
      </c>
      <c r="B4734" t="s">
        <v>1704</v>
      </c>
      <c r="C4734" t="s">
        <v>1449</v>
      </c>
      <c r="D4734" t="s">
        <v>1450</v>
      </c>
      <c r="E4734" s="8"/>
      <c r="F4734" s="8">
        <v>66890</v>
      </c>
      <c r="G4734" s="8" t="str">
        <f t="shared" si="292"/>
        <v/>
      </c>
      <c r="H4734" s="5">
        <v>0.1056</v>
      </c>
      <c r="I4734" s="8" t="str">
        <f t="shared" si="293"/>
        <v/>
      </c>
      <c r="J4734" s="8" t="str">
        <f t="shared" si="294"/>
        <v/>
      </c>
      <c r="K4734" t="str">
        <f t="shared" si="295"/>
        <v>MISSING OEWS</v>
      </c>
    </row>
    <row r="4735" spans="1:11">
      <c r="A4735" t="s">
        <v>122</v>
      </c>
      <c r="B4735" t="s">
        <v>1704</v>
      </c>
      <c r="C4735" t="s">
        <v>994</v>
      </c>
      <c r="D4735" t="s">
        <v>995</v>
      </c>
      <c r="E4735" s="8">
        <v>670</v>
      </c>
      <c r="F4735" s="8">
        <v>42260</v>
      </c>
      <c r="G4735" s="8">
        <f t="shared" si="292"/>
        <v>28314200</v>
      </c>
      <c r="H4735" s="5">
        <v>0.65</v>
      </c>
      <c r="I4735" s="8">
        <f t="shared" si="293"/>
        <v>28314200</v>
      </c>
      <c r="J4735" s="8">
        <f t="shared" si="294"/>
        <v>18404230</v>
      </c>
      <c r="K4735" t="str">
        <f t="shared" si="295"/>
        <v>MATCHED</v>
      </c>
    </row>
    <row r="4736" spans="1:11">
      <c r="A4736" t="s">
        <v>122</v>
      </c>
      <c r="B4736" t="s">
        <v>1704</v>
      </c>
      <c r="C4736" t="s">
        <v>1278</v>
      </c>
      <c r="D4736" t="s">
        <v>1279</v>
      </c>
      <c r="E4736" s="8"/>
      <c r="F4736" s="8">
        <v>45530</v>
      </c>
      <c r="G4736" s="8" t="str">
        <f t="shared" si="292"/>
        <v/>
      </c>
      <c r="H4736" s="5">
        <v>0.3177</v>
      </c>
      <c r="I4736" s="8" t="str">
        <f t="shared" si="293"/>
        <v/>
      </c>
      <c r="J4736" s="8" t="str">
        <f t="shared" si="294"/>
        <v/>
      </c>
      <c r="K4736" t="str">
        <f t="shared" si="295"/>
        <v>MISSING OEWS</v>
      </c>
    </row>
    <row r="4737" spans="1:11">
      <c r="A4737" t="s">
        <v>122</v>
      </c>
      <c r="B4737" t="s">
        <v>1704</v>
      </c>
      <c r="C4737" t="s">
        <v>996</v>
      </c>
      <c r="D4737" t="s">
        <v>997</v>
      </c>
      <c r="E4737" s="8">
        <v>890</v>
      </c>
      <c r="F4737" s="8">
        <v>35170</v>
      </c>
      <c r="G4737" s="8">
        <f t="shared" si="292"/>
        <v>31301300</v>
      </c>
      <c r="H4737" s="5">
        <v>0.105</v>
      </c>
      <c r="I4737" s="8">
        <f t="shared" si="293"/>
        <v>31301300</v>
      </c>
      <c r="J4737" s="8">
        <f t="shared" si="294"/>
        <v>3286636.5</v>
      </c>
      <c r="K4737" t="str">
        <f t="shared" si="295"/>
        <v>MATCHED</v>
      </c>
    </row>
    <row r="4738" spans="1:11">
      <c r="A4738" t="s">
        <v>122</v>
      </c>
      <c r="B4738" t="s">
        <v>1704</v>
      </c>
      <c r="C4738" t="s">
        <v>998</v>
      </c>
      <c r="D4738" t="s">
        <v>999</v>
      </c>
      <c r="E4738" s="8"/>
      <c r="F4738" s="8">
        <v>73450</v>
      </c>
      <c r="G4738" s="8" t="str">
        <f t="shared" ref="G4738:G4801" si="296">IF(OR(E4738="",F4738=""),"",E4738*F4738)</f>
        <v/>
      </c>
      <c r="H4738" s="5">
        <v>0.0636</v>
      </c>
      <c r="I4738" s="8" t="str">
        <f t="shared" ref="I4738:I4801" si="297">IF(G4738="","",IF(ISNUMBER(H4738),G4738,""))</f>
        <v/>
      </c>
      <c r="J4738" s="8" t="str">
        <f t="shared" ref="J4738:J4801" si="298">IF(I4738="","",I4738*H4738)</f>
        <v/>
      </c>
      <c r="K4738" t="str">
        <f t="shared" ref="K4738:K4801" si="299">IF(G4738="","MISSING OEWS",IF(ISNUMBER(H4738),"MATCHED","MISSING WHARTON"))</f>
        <v>MISSING OEWS</v>
      </c>
    </row>
    <row r="4739" spans="1:11">
      <c r="A4739" t="s">
        <v>122</v>
      </c>
      <c r="B4739" t="s">
        <v>1704</v>
      </c>
      <c r="C4739" t="s">
        <v>1280</v>
      </c>
      <c r="D4739" t="s">
        <v>1281</v>
      </c>
      <c r="E4739" s="8">
        <v>600</v>
      </c>
      <c r="F4739" s="8">
        <v>39760</v>
      </c>
      <c r="G4739" s="8">
        <f t="shared" si="296"/>
        <v>23856000</v>
      </c>
      <c r="H4739" s="5">
        <v>0.1667</v>
      </c>
      <c r="I4739" s="8">
        <f t="shared" si="297"/>
        <v>23856000</v>
      </c>
      <c r="J4739" s="8">
        <f t="shared" si="298"/>
        <v>3976795.2</v>
      </c>
      <c r="K4739" t="str">
        <f t="shared" si="299"/>
        <v>MATCHED</v>
      </c>
    </row>
    <row r="4740" spans="1:11">
      <c r="A4740" t="s">
        <v>122</v>
      </c>
      <c r="B4740" t="s">
        <v>1704</v>
      </c>
      <c r="C4740" t="s">
        <v>1282</v>
      </c>
      <c r="D4740" t="s">
        <v>1283</v>
      </c>
      <c r="E4740" s="8">
        <v>630</v>
      </c>
      <c r="F4740" s="8">
        <v>58200</v>
      </c>
      <c r="G4740" s="8">
        <f t="shared" si="296"/>
        <v>36666000</v>
      </c>
      <c r="H4740" s="5">
        <v>0.2917</v>
      </c>
      <c r="I4740" s="8">
        <f t="shared" si="297"/>
        <v>36666000</v>
      </c>
      <c r="J4740" s="8">
        <f t="shared" si="298"/>
        <v>10695472.2</v>
      </c>
      <c r="K4740" t="str">
        <f t="shared" si="299"/>
        <v>MATCHED</v>
      </c>
    </row>
    <row r="4741" spans="1:11">
      <c r="A4741" t="s">
        <v>122</v>
      </c>
      <c r="B4741" t="s">
        <v>1704</v>
      </c>
      <c r="C4741" t="s">
        <v>1500</v>
      </c>
      <c r="D4741" t="s">
        <v>1501</v>
      </c>
      <c r="E4741" s="8"/>
      <c r="F4741" s="8">
        <v>52960</v>
      </c>
      <c r="G4741" s="8" t="str">
        <f t="shared" si="296"/>
        <v/>
      </c>
      <c r="H4741" s="5"/>
      <c r="I4741" s="8" t="str">
        <f t="shared" si="297"/>
        <v/>
      </c>
      <c r="J4741" s="8" t="str">
        <f t="shared" si="298"/>
        <v/>
      </c>
      <c r="K4741" t="str">
        <f t="shared" si="299"/>
        <v>MISSING OEWS</v>
      </c>
    </row>
    <row r="4742" spans="1:11">
      <c r="A4742" t="s">
        <v>122</v>
      </c>
      <c r="B4742" t="s">
        <v>1704</v>
      </c>
      <c r="C4742" t="s">
        <v>355</v>
      </c>
      <c r="D4742" t="s">
        <v>356</v>
      </c>
      <c r="E4742" s="8">
        <v>4330</v>
      </c>
      <c r="F4742" s="8">
        <v>66550</v>
      </c>
      <c r="G4742" s="8">
        <f t="shared" si="296"/>
        <v>288161500</v>
      </c>
      <c r="H4742" s="5">
        <v>0.4476</v>
      </c>
      <c r="I4742" s="8">
        <f t="shared" si="297"/>
        <v>288161500</v>
      </c>
      <c r="J4742" s="8">
        <f t="shared" si="298"/>
        <v>128981087.4</v>
      </c>
      <c r="K4742" t="str">
        <f t="shared" si="299"/>
        <v>MATCHED</v>
      </c>
    </row>
    <row r="4743" spans="1:11">
      <c r="A4743" t="s">
        <v>122</v>
      </c>
      <c r="B4743" t="s">
        <v>1704</v>
      </c>
      <c r="C4743" t="s">
        <v>357</v>
      </c>
      <c r="D4743" t="s">
        <v>358</v>
      </c>
      <c r="E4743" s="8">
        <v>6750</v>
      </c>
      <c r="F4743" s="8">
        <v>123330</v>
      </c>
      <c r="G4743" s="8">
        <f t="shared" si="296"/>
        <v>832477500</v>
      </c>
      <c r="H4743" s="5">
        <v>0.4833</v>
      </c>
      <c r="I4743" s="8">
        <f t="shared" si="297"/>
        <v>832477500</v>
      </c>
      <c r="J4743" s="8">
        <f t="shared" si="298"/>
        <v>402336375.75</v>
      </c>
      <c r="K4743" t="str">
        <f t="shared" si="299"/>
        <v>MATCHED</v>
      </c>
    </row>
    <row r="4744" spans="1:11">
      <c r="A4744" t="s">
        <v>122</v>
      </c>
      <c r="B4744" t="s">
        <v>1704</v>
      </c>
      <c r="C4744" t="s">
        <v>648</v>
      </c>
      <c r="D4744" t="s">
        <v>649</v>
      </c>
      <c r="E4744" s="8">
        <v>2050</v>
      </c>
      <c r="F4744" s="8">
        <v>37750</v>
      </c>
      <c r="G4744" s="8">
        <f t="shared" si="296"/>
        <v>77387500</v>
      </c>
      <c r="H4744" s="5">
        <v>0.6672</v>
      </c>
      <c r="I4744" s="8">
        <f t="shared" si="297"/>
        <v>77387500</v>
      </c>
      <c r="J4744" s="8">
        <f t="shared" si="298"/>
        <v>51632940</v>
      </c>
      <c r="K4744" t="str">
        <f t="shared" si="299"/>
        <v>MATCHED</v>
      </c>
    </row>
    <row r="4745" spans="1:11">
      <c r="A4745" t="s">
        <v>122</v>
      </c>
      <c r="B4745" t="s">
        <v>1704</v>
      </c>
      <c r="C4745" t="s">
        <v>878</v>
      </c>
      <c r="D4745" t="s">
        <v>879</v>
      </c>
      <c r="E4745" s="8">
        <v>800</v>
      </c>
      <c r="F4745" s="8">
        <v>45520</v>
      </c>
      <c r="G4745" s="8">
        <f t="shared" si="296"/>
        <v>36416000</v>
      </c>
      <c r="H4745" s="5">
        <v>0.7719</v>
      </c>
      <c r="I4745" s="8">
        <f t="shared" si="297"/>
        <v>36416000</v>
      </c>
      <c r="J4745" s="8">
        <f t="shared" si="298"/>
        <v>28109510.4</v>
      </c>
      <c r="K4745" t="str">
        <f t="shared" si="299"/>
        <v>MATCHED</v>
      </c>
    </row>
    <row r="4746" spans="1:11">
      <c r="A4746" t="s">
        <v>122</v>
      </c>
      <c r="B4746" t="s">
        <v>1704</v>
      </c>
      <c r="C4746" t="s">
        <v>1000</v>
      </c>
      <c r="D4746" t="s">
        <v>1001</v>
      </c>
      <c r="E4746" s="8">
        <v>510</v>
      </c>
      <c r="F4746" s="8">
        <v>56570</v>
      </c>
      <c r="G4746" s="8">
        <f t="shared" si="296"/>
        <v>28850700</v>
      </c>
      <c r="H4746" s="5">
        <v>0.3737</v>
      </c>
      <c r="I4746" s="8">
        <f t="shared" si="297"/>
        <v>28850700</v>
      </c>
      <c r="J4746" s="8">
        <f t="shared" si="298"/>
        <v>10781506.59</v>
      </c>
      <c r="K4746" t="str">
        <f t="shared" si="299"/>
        <v>MATCHED</v>
      </c>
    </row>
    <row r="4747" spans="1:11">
      <c r="A4747" t="s">
        <v>122</v>
      </c>
      <c r="B4747" t="s">
        <v>1704</v>
      </c>
      <c r="C4747" t="s">
        <v>359</v>
      </c>
      <c r="D4747" t="s">
        <v>360</v>
      </c>
      <c r="E4747" s="8">
        <v>7960</v>
      </c>
      <c r="F4747" s="8">
        <v>42360</v>
      </c>
      <c r="G4747" s="8">
        <f t="shared" si="296"/>
        <v>337185600</v>
      </c>
      <c r="H4747" s="5">
        <v>0.4938</v>
      </c>
      <c r="I4747" s="8">
        <f t="shared" si="297"/>
        <v>337185600</v>
      </c>
      <c r="J4747" s="8">
        <f t="shared" si="298"/>
        <v>166502249.28</v>
      </c>
      <c r="K4747" t="str">
        <f t="shared" si="299"/>
        <v>MATCHED</v>
      </c>
    </row>
    <row r="4748" spans="1:11">
      <c r="A4748" t="s">
        <v>122</v>
      </c>
      <c r="B4748" t="s">
        <v>1704</v>
      </c>
      <c r="C4748" t="s">
        <v>1002</v>
      </c>
      <c r="D4748" t="s">
        <v>1003</v>
      </c>
      <c r="E4748" s="8">
        <v>740</v>
      </c>
      <c r="F4748" s="8">
        <v>90910</v>
      </c>
      <c r="G4748" s="8">
        <f t="shared" si="296"/>
        <v>67273400</v>
      </c>
      <c r="H4748" s="5">
        <v>0.6725</v>
      </c>
      <c r="I4748" s="8">
        <f t="shared" si="297"/>
        <v>67273400</v>
      </c>
      <c r="J4748" s="8">
        <f t="shared" si="298"/>
        <v>45241361.5</v>
      </c>
      <c r="K4748" t="str">
        <f t="shared" si="299"/>
        <v>MATCHED</v>
      </c>
    </row>
    <row r="4749" spans="1:11">
      <c r="A4749" t="s">
        <v>122</v>
      </c>
      <c r="B4749" t="s">
        <v>1704</v>
      </c>
      <c r="C4749" t="s">
        <v>1004</v>
      </c>
      <c r="D4749" t="s">
        <v>1005</v>
      </c>
      <c r="E4749" s="8">
        <v>3240</v>
      </c>
      <c r="F4749" s="8">
        <v>101420</v>
      </c>
      <c r="G4749" s="8">
        <f t="shared" si="296"/>
        <v>328600800</v>
      </c>
      <c r="H4749" s="5">
        <v>0.6684</v>
      </c>
      <c r="I4749" s="8">
        <f t="shared" si="297"/>
        <v>328600800</v>
      </c>
      <c r="J4749" s="8">
        <f t="shared" si="298"/>
        <v>219636774.72</v>
      </c>
      <c r="K4749" t="str">
        <f t="shared" si="299"/>
        <v>MATCHED</v>
      </c>
    </row>
    <row r="4750" spans="1:11">
      <c r="A4750" t="s">
        <v>122</v>
      </c>
      <c r="B4750" t="s">
        <v>1704</v>
      </c>
      <c r="C4750" t="s">
        <v>650</v>
      </c>
      <c r="D4750" t="s">
        <v>651</v>
      </c>
      <c r="E4750" s="8">
        <v>12610</v>
      </c>
      <c r="F4750" s="8">
        <v>119910</v>
      </c>
      <c r="G4750" s="8">
        <f t="shared" si="296"/>
        <v>1512065100</v>
      </c>
      <c r="H4750" s="5">
        <v>0.845</v>
      </c>
      <c r="I4750" s="8">
        <f t="shared" si="297"/>
        <v>1512065100</v>
      </c>
      <c r="J4750" s="8">
        <f t="shared" si="298"/>
        <v>1277695009.5</v>
      </c>
      <c r="K4750" t="str">
        <f t="shared" si="299"/>
        <v>MATCHED</v>
      </c>
    </row>
    <row r="4751" spans="1:11">
      <c r="A4751" t="s">
        <v>122</v>
      </c>
      <c r="B4751" t="s">
        <v>1704</v>
      </c>
      <c r="C4751" t="s">
        <v>1533</v>
      </c>
      <c r="D4751" t="s">
        <v>1534</v>
      </c>
      <c r="E4751" s="8">
        <v>2690</v>
      </c>
      <c r="F4751" s="8">
        <v>61440</v>
      </c>
      <c r="G4751" s="8">
        <f t="shared" si="296"/>
        <v>165273600</v>
      </c>
      <c r="H4751" s="5">
        <v>0.925</v>
      </c>
      <c r="I4751" s="8">
        <f t="shared" si="297"/>
        <v>165273600</v>
      </c>
      <c r="J4751" s="8">
        <f t="shared" si="298"/>
        <v>152878080</v>
      </c>
      <c r="K4751" t="str">
        <f t="shared" si="299"/>
        <v>MATCHED</v>
      </c>
    </row>
    <row r="4752" spans="1:11">
      <c r="A4752" t="s">
        <v>122</v>
      </c>
      <c r="B4752" t="s">
        <v>1704</v>
      </c>
      <c r="C4752" t="s">
        <v>361</v>
      </c>
      <c r="D4752" t="s">
        <v>362</v>
      </c>
      <c r="E4752" s="8">
        <v>28370</v>
      </c>
      <c r="F4752" s="8">
        <v>83840</v>
      </c>
      <c r="G4752" s="8">
        <f t="shared" si="296"/>
        <v>2378540800</v>
      </c>
      <c r="H4752" s="5">
        <v>0.73</v>
      </c>
      <c r="I4752" s="8">
        <f t="shared" si="297"/>
        <v>2378540800</v>
      </c>
      <c r="J4752" s="8">
        <f t="shared" si="298"/>
        <v>1736334784</v>
      </c>
      <c r="K4752" t="str">
        <f t="shared" si="299"/>
        <v>MATCHED</v>
      </c>
    </row>
    <row r="4753" spans="1:11">
      <c r="A4753" t="s">
        <v>122</v>
      </c>
      <c r="B4753" t="s">
        <v>1704</v>
      </c>
      <c r="C4753" t="s">
        <v>652</v>
      </c>
      <c r="D4753" t="s">
        <v>653</v>
      </c>
      <c r="E4753" s="8">
        <v>6170</v>
      </c>
      <c r="F4753" s="8">
        <v>116760</v>
      </c>
      <c r="G4753" s="8">
        <f t="shared" si="296"/>
        <v>720409200</v>
      </c>
      <c r="H4753" s="5">
        <v>0.6463</v>
      </c>
      <c r="I4753" s="8">
        <f t="shared" si="297"/>
        <v>720409200</v>
      </c>
      <c r="J4753" s="8">
        <f t="shared" si="298"/>
        <v>465600465.96</v>
      </c>
      <c r="K4753" t="str">
        <f t="shared" si="299"/>
        <v>MATCHED</v>
      </c>
    </row>
    <row r="4754" spans="1:11">
      <c r="A4754" t="s">
        <v>122</v>
      </c>
      <c r="B4754" t="s">
        <v>1704</v>
      </c>
      <c r="C4754" t="s">
        <v>363</v>
      </c>
      <c r="D4754" t="s">
        <v>364</v>
      </c>
      <c r="E4754" s="8">
        <v>30320</v>
      </c>
      <c r="F4754" s="8">
        <v>94530</v>
      </c>
      <c r="G4754" s="8">
        <f t="shared" si="296"/>
        <v>2866149600</v>
      </c>
      <c r="H4754" s="5">
        <v>0.5105</v>
      </c>
      <c r="I4754" s="8">
        <f t="shared" si="297"/>
        <v>2866149600</v>
      </c>
      <c r="J4754" s="8">
        <f t="shared" si="298"/>
        <v>1463169370.8</v>
      </c>
      <c r="K4754" t="str">
        <f t="shared" si="299"/>
        <v>MATCHED</v>
      </c>
    </row>
    <row r="4755" spans="1:11">
      <c r="A4755" t="s">
        <v>122</v>
      </c>
      <c r="B4755" t="s">
        <v>1704</v>
      </c>
      <c r="C4755" t="s">
        <v>1006</v>
      </c>
      <c r="D4755" t="s">
        <v>1007</v>
      </c>
      <c r="E4755" s="8">
        <v>670</v>
      </c>
      <c r="F4755" s="8">
        <v>50380</v>
      </c>
      <c r="G4755" s="8">
        <f t="shared" si="296"/>
        <v>33754600</v>
      </c>
      <c r="H4755" s="5">
        <v>0.3062</v>
      </c>
      <c r="I4755" s="8">
        <f t="shared" si="297"/>
        <v>33754600</v>
      </c>
      <c r="J4755" s="8">
        <f t="shared" si="298"/>
        <v>10335658.52</v>
      </c>
      <c r="K4755" t="str">
        <f t="shared" si="299"/>
        <v>MATCHED</v>
      </c>
    </row>
    <row r="4756" spans="1:11">
      <c r="A4756" t="s">
        <v>122</v>
      </c>
      <c r="B4756" t="s">
        <v>1704</v>
      </c>
      <c r="C4756" t="s">
        <v>1451</v>
      </c>
      <c r="D4756" t="s">
        <v>1452</v>
      </c>
      <c r="E4756" s="8">
        <v>70</v>
      </c>
      <c r="F4756" s="8">
        <v>65120</v>
      </c>
      <c r="G4756" s="8">
        <f t="shared" si="296"/>
        <v>4558400</v>
      </c>
      <c r="H4756" s="5">
        <v>0.2071</v>
      </c>
      <c r="I4756" s="8">
        <f t="shared" si="297"/>
        <v>4558400</v>
      </c>
      <c r="J4756" s="8">
        <f t="shared" si="298"/>
        <v>944044.64</v>
      </c>
      <c r="K4756" t="str">
        <f t="shared" si="299"/>
        <v>MATCHED</v>
      </c>
    </row>
    <row r="4757" spans="1:11">
      <c r="A4757" t="s">
        <v>122</v>
      </c>
      <c r="B4757" t="s">
        <v>1704</v>
      </c>
      <c r="C4757" t="s">
        <v>1008</v>
      </c>
      <c r="D4757" t="s">
        <v>1009</v>
      </c>
      <c r="E4757" s="8">
        <v>350</v>
      </c>
      <c r="F4757" s="8">
        <v>85980</v>
      </c>
      <c r="G4757" s="8">
        <f t="shared" si="296"/>
        <v>30093000</v>
      </c>
      <c r="H4757" s="5">
        <v>0.5816</v>
      </c>
      <c r="I4757" s="8">
        <f t="shared" si="297"/>
        <v>30093000</v>
      </c>
      <c r="J4757" s="8">
        <f t="shared" si="298"/>
        <v>17502088.8</v>
      </c>
      <c r="K4757" t="str">
        <f t="shared" si="299"/>
        <v>MATCHED</v>
      </c>
    </row>
    <row r="4758" spans="1:11">
      <c r="A4758" t="s">
        <v>122</v>
      </c>
      <c r="B4758" t="s">
        <v>1704</v>
      </c>
      <c r="C4758" t="s">
        <v>654</v>
      </c>
      <c r="D4758" t="s">
        <v>655</v>
      </c>
      <c r="E4758" s="8">
        <v>2340</v>
      </c>
      <c r="F4758" s="8">
        <v>94540</v>
      </c>
      <c r="G4758" s="8">
        <f t="shared" si="296"/>
        <v>221223600</v>
      </c>
      <c r="H4758" s="5">
        <v>0.5939</v>
      </c>
      <c r="I4758" s="8">
        <f t="shared" si="297"/>
        <v>221223600</v>
      </c>
      <c r="J4758" s="8">
        <f t="shared" si="298"/>
        <v>131384696.04</v>
      </c>
      <c r="K4758" t="str">
        <f t="shared" si="299"/>
        <v>MATCHED</v>
      </c>
    </row>
    <row r="4759" spans="1:11">
      <c r="A4759" t="s">
        <v>122</v>
      </c>
      <c r="B4759" t="s">
        <v>1704</v>
      </c>
      <c r="C4759" t="s">
        <v>656</v>
      </c>
      <c r="D4759" t="s">
        <v>657</v>
      </c>
      <c r="E4759" s="8">
        <v>1210</v>
      </c>
      <c r="F4759" s="8">
        <v>142420</v>
      </c>
      <c r="G4759" s="8">
        <f t="shared" si="296"/>
        <v>172328200</v>
      </c>
      <c r="H4759" s="5">
        <v>0.518</v>
      </c>
      <c r="I4759" s="8">
        <f t="shared" si="297"/>
        <v>172328200</v>
      </c>
      <c r="J4759" s="8">
        <f t="shared" si="298"/>
        <v>89266007.6</v>
      </c>
      <c r="K4759" t="str">
        <f t="shared" si="299"/>
        <v>MATCHED</v>
      </c>
    </row>
    <row r="4760" spans="1:11">
      <c r="A4760" t="s">
        <v>122</v>
      </c>
      <c r="B4760" t="s">
        <v>1704</v>
      </c>
      <c r="C4760" t="s">
        <v>1010</v>
      </c>
      <c r="D4760" t="s">
        <v>1011</v>
      </c>
      <c r="E4760" s="8"/>
      <c r="F4760" s="8">
        <v>45480</v>
      </c>
      <c r="G4760" s="8" t="str">
        <f t="shared" si="296"/>
        <v/>
      </c>
      <c r="H4760" s="5">
        <v>0.9625</v>
      </c>
      <c r="I4760" s="8" t="str">
        <f t="shared" si="297"/>
        <v/>
      </c>
      <c r="J4760" s="8" t="str">
        <f t="shared" si="298"/>
        <v/>
      </c>
      <c r="K4760" t="str">
        <f t="shared" si="299"/>
        <v>MISSING OEWS</v>
      </c>
    </row>
    <row r="4761" spans="1:11">
      <c r="A4761" t="s">
        <v>122</v>
      </c>
      <c r="B4761" t="s">
        <v>1704</v>
      </c>
      <c r="C4761" t="s">
        <v>365</v>
      </c>
      <c r="D4761" t="s">
        <v>366</v>
      </c>
      <c r="E4761" s="8">
        <v>4120</v>
      </c>
      <c r="F4761" s="8">
        <v>69020</v>
      </c>
      <c r="G4761" s="8">
        <f t="shared" si="296"/>
        <v>284362400</v>
      </c>
      <c r="H4761" s="5"/>
      <c r="I4761" s="8" t="str">
        <f t="shared" si="297"/>
        <v/>
      </c>
      <c r="J4761" s="8" t="str">
        <f t="shared" si="298"/>
        <v/>
      </c>
      <c r="K4761" t="str">
        <f t="shared" si="299"/>
        <v>MISSING WHARTON</v>
      </c>
    </row>
    <row r="4762" spans="1:11">
      <c r="A4762" t="s">
        <v>122</v>
      </c>
      <c r="B4762" t="s">
        <v>1704</v>
      </c>
      <c r="C4762" t="s">
        <v>367</v>
      </c>
      <c r="D4762" t="s">
        <v>368</v>
      </c>
      <c r="E4762" s="8">
        <v>55680</v>
      </c>
      <c r="F4762" s="8">
        <v>87600</v>
      </c>
      <c r="G4762" s="8">
        <f t="shared" si="296"/>
        <v>4877568000</v>
      </c>
      <c r="H4762" s="5">
        <v>0.5034</v>
      </c>
      <c r="I4762" s="8">
        <f t="shared" si="297"/>
        <v>4877568000</v>
      </c>
      <c r="J4762" s="8">
        <f t="shared" si="298"/>
        <v>2455367731.2</v>
      </c>
      <c r="K4762" t="str">
        <f t="shared" si="299"/>
        <v>MATCHED</v>
      </c>
    </row>
    <row r="4763" spans="1:11">
      <c r="A4763" t="s">
        <v>122</v>
      </c>
      <c r="B4763" t="s">
        <v>1704</v>
      </c>
      <c r="C4763" t="s">
        <v>1014</v>
      </c>
      <c r="D4763" t="s">
        <v>1015</v>
      </c>
      <c r="E4763" s="8">
        <v>720</v>
      </c>
      <c r="F4763" s="8">
        <v>42310</v>
      </c>
      <c r="G4763" s="8">
        <f t="shared" si="296"/>
        <v>30463200</v>
      </c>
      <c r="H4763" s="5">
        <v>0.7579</v>
      </c>
      <c r="I4763" s="8">
        <f t="shared" si="297"/>
        <v>30463200</v>
      </c>
      <c r="J4763" s="8">
        <f t="shared" si="298"/>
        <v>23088059.28</v>
      </c>
      <c r="K4763" t="str">
        <f t="shared" si="299"/>
        <v>MATCHED</v>
      </c>
    </row>
    <row r="4764" spans="1:11">
      <c r="A4764" t="s">
        <v>122</v>
      </c>
      <c r="B4764" t="s">
        <v>1704</v>
      </c>
      <c r="C4764" t="s">
        <v>1502</v>
      </c>
      <c r="D4764" t="s">
        <v>1503</v>
      </c>
      <c r="E4764" s="8">
        <v>60</v>
      </c>
      <c r="F4764" s="8">
        <v>50860</v>
      </c>
      <c r="G4764" s="8">
        <f t="shared" si="296"/>
        <v>3051600</v>
      </c>
      <c r="H4764" s="5">
        <v>0.9156</v>
      </c>
      <c r="I4764" s="8">
        <f t="shared" si="297"/>
        <v>3051600</v>
      </c>
      <c r="J4764" s="8">
        <f t="shared" si="298"/>
        <v>2794044.96</v>
      </c>
      <c r="K4764" t="str">
        <f t="shared" si="299"/>
        <v>MATCHED</v>
      </c>
    </row>
    <row r="4765" spans="1:11">
      <c r="A4765" t="s">
        <v>122</v>
      </c>
      <c r="B4765" t="s">
        <v>1704</v>
      </c>
      <c r="C4765" t="s">
        <v>880</v>
      </c>
      <c r="D4765" t="s">
        <v>881</v>
      </c>
      <c r="E4765" s="8">
        <v>11510</v>
      </c>
      <c r="F4765" s="8">
        <v>53870</v>
      </c>
      <c r="G4765" s="8">
        <f t="shared" si="296"/>
        <v>620043700</v>
      </c>
      <c r="H4765" s="5">
        <v>0.9</v>
      </c>
      <c r="I4765" s="8">
        <f t="shared" si="297"/>
        <v>620043700</v>
      </c>
      <c r="J4765" s="8">
        <f t="shared" si="298"/>
        <v>558039330</v>
      </c>
      <c r="K4765" t="str">
        <f t="shared" si="299"/>
        <v>MATCHED</v>
      </c>
    </row>
    <row r="4766" spans="1:11">
      <c r="A4766" t="s">
        <v>122</v>
      </c>
      <c r="B4766" t="s">
        <v>1704</v>
      </c>
      <c r="C4766" t="s">
        <v>369</v>
      </c>
      <c r="D4766" t="s">
        <v>370</v>
      </c>
      <c r="E4766" s="8">
        <v>27520</v>
      </c>
      <c r="F4766" s="8">
        <v>51860</v>
      </c>
      <c r="G4766" s="8">
        <f t="shared" si="296"/>
        <v>1427187200</v>
      </c>
      <c r="H4766" s="5">
        <v>0.8617</v>
      </c>
      <c r="I4766" s="8">
        <f t="shared" si="297"/>
        <v>1427187200</v>
      </c>
      <c r="J4766" s="8">
        <f t="shared" si="298"/>
        <v>1229807210.24</v>
      </c>
      <c r="K4766" t="str">
        <f t="shared" si="299"/>
        <v>MATCHED</v>
      </c>
    </row>
    <row r="4767" spans="1:11">
      <c r="A4767" t="s">
        <v>122</v>
      </c>
      <c r="B4767" t="s">
        <v>1704</v>
      </c>
      <c r="C4767" t="s">
        <v>371</v>
      </c>
      <c r="D4767" t="s">
        <v>372</v>
      </c>
      <c r="E4767" s="8">
        <v>71290</v>
      </c>
      <c r="F4767" s="8">
        <v>54740</v>
      </c>
      <c r="G4767" s="8">
        <f t="shared" si="296"/>
        <v>3902414600</v>
      </c>
      <c r="H4767" s="5">
        <v>0.9517</v>
      </c>
      <c r="I4767" s="8">
        <f t="shared" si="297"/>
        <v>3902414600</v>
      </c>
      <c r="J4767" s="8">
        <f t="shared" si="298"/>
        <v>3713927974.82</v>
      </c>
      <c r="K4767" t="str">
        <f t="shared" si="299"/>
        <v>MATCHED</v>
      </c>
    </row>
    <row r="4768" spans="1:11">
      <c r="A4768" t="s">
        <v>122</v>
      </c>
      <c r="B4768" t="s">
        <v>1704</v>
      </c>
      <c r="C4768" t="s">
        <v>373</v>
      </c>
      <c r="D4768" t="s">
        <v>374</v>
      </c>
      <c r="E4768" s="8">
        <v>14220</v>
      </c>
      <c r="F4768" s="8">
        <v>63370</v>
      </c>
      <c r="G4768" s="8">
        <f t="shared" si="296"/>
        <v>901121400</v>
      </c>
      <c r="H4768" s="5">
        <v>0.9409</v>
      </c>
      <c r="I4768" s="8">
        <f t="shared" si="297"/>
        <v>901121400</v>
      </c>
      <c r="J4768" s="8">
        <f t="shared" si="298"/>
        <v>847865125.26</v>
      </c>
      <c r="K4768" t="str">
        <f t="shared" si="299"/>
        <v>MATCHED</v>
      </c>
    </row>
    <row r="4769" spans="1:11">
      <c r="A4769" t="s">
        <v>122</v>
      </c>
      <c r="B4769" t="s">
        <v>1704</v>
      </c>
      <c r="C4769" t="s">
        <v>375</v>
      </c>
      <c r="D4769" t="s">
        <v>376</v>
      </c>
      <c r="E4769" s="8">
        <v>3040</v>
      </c>
      <c r="F4769" s="8">
        <v>55280</v>
      </c>
      <c r="G4769" s="8">
        <f t="shared" si="296"/>
        <v>168051200</v>
      </c>
      <c r="H4769" s="5">
        <v>0.8237</v>
      </c>
      <c r="I4769" s="8">
        <f t="shared" si="297"/>
        <v>168051200</v>
      </c>
      <c r="J4769" s="8">
        <f t="shared" si="298"/>
        <v>138423773.44</v>
      </c>
      <c r="K4769" t="str">
        <f t="shared" si="299"/>
        <v>MATCHED</v>
      </c>
    </row>
    <row r="4770" spans="1:11">
      <c r="A4770" t="s">
        <v>122</v>
      </c>
      <c r="B4770" t="s">
        <v>1704</v>
      </c>
      <c r="C4770" t="s">
        <v>882</v>
      </c>
      <c r="D4770" t="s">
        <v>883</v>
      </c>
      <c r="E4770" s="8">
        <v>4340</v>
      </c>
      <c r="F4770" s="8">
        <v>44680</v>
      </c>
      <c r="G4770" s="8">
        <f t="shared" si="296"/>
        <v>193911200</v>
      </c>
      <c r="H4770" s="5">
        <v>0.9138</v>
      </c>
      <c r="I4770" s="8">
        <f t="shared" si="297"/>
        <v>193911200</v>
      </c>
      <c r="J4770" s="8">
        <f t="shared" si="298"/>
        <v>177196054.56</v>
      </c>
      <c r="K4770" t="str">
        <f t="shared" si="299"/>
        <v>MATCHED</v>
      </c>
    </row>
    <row r="4771" spans="1:11">
      <c r="A4771" t="s">
        <v>122</v>
      </c>
      <c r="B4771" t="s">
        <v>1704</v>
      </c>
      <c r="C4771" t="s">
        <v>884</v>
      </c>
      <c r="D4771" t="s">
        <v>885</v>
      </c>
      <c r="E4771" s="8">
        <v>2670</v>
      </c>
      <c r="F4771" s="8">
        <v>56450</v>
      </c>
      <c r="G4771" s="8">
        <f t="shared" si="296"/>
        <v>150721500</v>
      </c>
      <c r="H4771" s="5"/>
      <c r="I4771" s="8" t="str">
        <f t="shared" si="297"/>
        <v/>
      </c>
      <c r="J4771" s="8" t="str">
        <f t="shared" si="298"/>
        <v/>
      </c>
      <c r="K4771" t="str">
        <f t="shared" si="299"/>
        <v>MISSING WHARTON</v>
      </c>
    </row>
    <row r="4772" spans="1:11">
      <c r="A4772" t="s">
        <v>122</v>
      </c>
      <c r="B4772" t="s">
        <v>1704</v>
      </c>
      <c r="C4772" t="s">
        <v>1453</v>
      </c>
      <c r="D4772" t="s">
        <v>1454</v>
      </c>
      <c r="E4772" s="8">
        <v>1430</v>
      </c>
      <c r="F4772" s="8">
        <v>72280</v>
      </c>
      <c r="G4772" s="8">
        <f t="shared" si="296"/>
        <v>103360400</v>
      </c>
      <c r="H4772" s="5">
        <v>0.95</v>
      </c>
      <c r="I4772" s="8">
        <f t="shared" si="297"/>
        <v>103360400</v>
      </c>
      <c r="J4772" s="8">
        <f t="shared" si="298"/>
        <v>98192380</v>
      </c>
      <c r="K4772" t="str">
        <f t="shared" si="299"/>
        <v>MATCHED</v>
      </c>
    </row>
    <row r="4773" spans="1:11">
      <c r="A4773" t="s">
        <v>122</v>
      </c>
      <c r="B4773" t="s">
        <v>1704</v>
      </c>
      <c r="C4773" t="s">
        <v>1284</v>
      </c>
      <c r="D4773" t="s">
        <v>1285</v>
      </c>
      <c r="E4773" s="8">
        <v>260</v>
      </c>
      <c r="F4773" s="8">
        <v>48940</v>
      </c>
      <c r="G4773" s="8">
        <f t="shared" si="296"/>
        <v>12724400</v>
      </c>
      <c r="H4773" s="5">
        <v>0.85</v>
      </c>
      <c r="I4773" s="8">
        <f t="shared" si="297"/>
        <v>12724400</v>
      </c>
      <c r="J4773" s="8">
        <f t="shared" si="298"/>
        <v>10815740</v>
      </c>
      <c r="K4773" t="str">
        <f t="shared" si="299"/>
        <v>MATCHED</v>
      </c>
    </row>
    <row r="4774" spans="1:11">
      <c r="A4774" t="s">
        <v>122</v>
      </c>
      <c r="B4774" t="s">
        <v>1704</v>
      </c>
      <c r="C4774" t="s">
        <v>1016</v>
      </c>
      <c r="D4774" t="s">
        <v>1017</v>
      </c>
      <c r="E4774" s="8">
        <v>1390</v>
      </c>
      <c r="F4774" s="8">
        <v>57380</v>
      </c>
      <c r="G4774" s="8">
        <f t="shared" si="296"/>
        <v>79758200</v>
      </c>
      <c r="H4774" s="5">
        <v>0.9469</v>
      </c>
      <c r="I4774" s="8">
        <f t="shared" si="297"/>
        <v>79758200</v>
      </c>
      <c r="J4774" s="8">
        <f t="shared" si="298"/>
        <v>75523039.58</v>
      </c>
      <c r="K4774" t="str">
        <f t="shared" si="299"/>
        <v>MATCHED</v>
      </c>
    </row>
    <row r="4775" spans="1:11">
      <c r="A4775" t="s">
        <v>122</v>
      </c>
      <c r="B4775" t="s">
        <v>1704</v>
      </c>
      <c r="C4775" t="s">
        <v>377</v>
      </c>
      <c r="D4775" t="s">
        <v>378</v>
      </c>
      <c r="E4775" s="8">
        <v>108330</v>
      </c>
      <c r="F4775" s="8">
        <v>51700</v>
      </c>
      <c r="G4775" s="8">
        <f t="shared" si="296"/>
        <v>5600661000</v>
      </c>
      <c r="H4775" s="5">
        <v>0.82</v>
      </c>
      <c r="I4775" s="8">
        <f t="shared" si="297"/>
        <v>5600661000</v>
      </c>
      <c r="J4775" s="8">
        <f t="shared" si="298"/>
        <v>4592542020</v>
      </c>
      <c r="K4775" t="str">
        <f t="shared" si="299"/>
        <v>MATCHED</v>
      </c>
    </row>
    <row r="4776" spans="1:11">
      <c r="A4776" t="s">
        <v>122</v>
      </c>
      <c r="B4776" t="s">
        <v>1704</v>
      </c>
      <c r="C4776" t="s">
        <v>1535</v>
      </c>
      <c r="D4776" t="s">
        <v>1536</v>
      </c>
      <c r="E4776" s="8">
        <v>320</v>
      </c>
      <c r="F4776" s="8">
        <v>53060</v>
      </c>
      <c r="G4776" s="8">
        <f t="shared" si="296"/>
        <v>16979200</v>
      </c>
      <c r="H4776" s="5">
        <v>0.7912</v>
      </c>
      <c r="I4776" s="8">
        <f t="shared" si="297"/>
        <v>16979200</v>
      </c>
      <c r="J4776" s="8">
        <f t="shared" si="298"/>
        <v>13433943.04</v>
      </c>
      <c r="K4776" t="str">
        <f t="shared" si="299"/>
        <v>MATCHED</v>
      </c>
    </row>
    <row r="4777" spans="1:11">
      <c r="A4777" t="s">
        <v>122</v>
      </c>
      <c r="B4777" t="s">
        <v>1704</v>
      </c>
      <c r="C4777" t="s">
        <v>379</v>
      </c>
      <c r="D4777" t="s">
        <v>380</v>
      </c>
      <c r="E4777" s="8">
        <v>1970</v>
      </c>
      <c r="F4777" s="8">
        <v>45790</v>
      </c>
      <c r="G4777" s="8">
        <f t="shared" si="296"/>
        <v>90206300</v>
      </c>
      <c r="H4777" s="5">
        <v>0.7526</v>
      </c>
      <c r="I4777" s="8">
        <f t="shared" si="297"/>
        <v>90206300</v>
      </c>
      <c r="J4777" s="8">
        <f t="shared" si="298"/>
        <v>67889261.38</v>
      </c>
      <c r="K4777" t="str">
        <f t="shared" si="299"/>
        <v>MATCHED</v>
      </c>
    </row>
    <row r="4778" spans="1:11">
      <c r="A4778" t="s">
        <v>122</v>
      </c>
      <c r="B4778" t="s">
        <v>1704</v>
      </c>
      <c r="C4778" t="s">
        <v>1506</v>
      </c>
      <c r="D4778" t="s">
        <v>1507</v>
      </c>
      <c r="E4778" s="8">
        <v>600</v>
      </c>
      <c r="F4778" s="8">
        <v>43180</v>
      </c>
      <c r="G4778" s="8">
        <f t="shared" si="296"/>
        <v>25908000</v>
      </c>
      <c r="H4778" s="5">
        <v>0.665</v>
      </c>
      <c r="I4778" s="8">
        <f t="shared" si="297"/>
        <v>25908000</v>
      </c>
      <c r="J4778" s="8">
        <f t="shared" si="298"/>
        <v>17228820</v>
      </c>
      <c r="K4778" t="str">
        <f t="shared" si="299"/>
        <v>MATCHED</v>
      </c>
    </row>
    <row r="4779" spans="1:11">
      <c r="A4779" t="s">
        <v>122</v>
      </c>
      <c r="B4779" t="s">
        <v>1704</v>
      </c>
      <c r="C4779" t="s">
        <v>1286</v>
      </c>
      <c r="D4779" t="s">
        <v>1287</v>
      </c>
      <c r="E4779" s="8">
        <v>4660</v>
      </c>
      <c r="F4779" s="8">
        <v>50840</v>
      </c>
      <c r="G4779" s="8">
        <f t="shared" si="296"/>
        <v>236914400</v>
      </c>
      <c r="H4779" s="5">
        <v>0.7088</v>
      </c>
      <c r="I4779" s="8">
        <f t="shared" si="297"/>
        <v>236914400</v>
      </c>
      <c r="J4779" s="8">
        <f t="shared" si="298"/>
        <v>167924926.72</v>
      </c>
      <c r="K4779" t="str">
        <f t="shared" si="299"/>
        <v>MATCHED</v>
      </c>
    </row>
    <row r="4780" spans="1:11">
      <c r="A4780" t="s">
        <v>122</v>
      </c>
      <c r="B4780" t="s">
        <v>1704</v>
      </c>
      <c r="C4780" t="s">
        <v>1018</v>
      </c>
      <c r="D4780" t="s">
        <v>1019</v>
      </c>
      <c r="E4780" s="8">
        <v>9360</v>
      </c>
      <c r="F4780" s="8">
        <v>55320</v>
      </c>
      <c r="G4780" s="8">
        <f t="shared" si="296"/>
        <v>517795200</v>
      </c>
      <c r="H4780" s="5">
        <v>0.9111</v>
      </c>
      <c r="I4780" s="8">
        <f t="shared" si="297"/>
        <v>517795200</v>
      </c>
      <c r="J4780" s="8">
        <f t="shared" si="298"/>
        <v>471763206.72</v>
      </c>
      <c r="K4780" t="str">
        <f t="shared" si="299"/>
        <v>MATCHED</v>
      </c>
    </row>
    <row r="4781" spans="1:11">
      <c r="A4781" t="s">
        <v>122</v>
      </c>
      <c r="B4781" t="s">
        <v>1704</v>
      </c>
      <c r="C4781" t="s">
        <v>1624</v>
      </c>
      <c r="D4781" t="s">
        <v>1625</v>
      </c>
      <c r="E4781" s="8">
        <v>780</v>
      </c>
      <c r="F4781" s="8">
        <v>53500</v>
      </c>
      <c r="G4781" s="8">
        <f t="shared" si="296"/>
        <v>41730000</v>
      </c>
      <c r="H4781" s="5">
        <v>0.7633</v>
      </c>
      <c r="I4781" s="8">
        <f t="shared" si="297"/>
        <v>41730000</v>
      </c>
      <c r="J4781" s="8">
        <f t="shared" si="298"/>
        <v>31852509</v>
      </c>
      <c r="K4781" t="str">
        <f t="shared" si="299"/>
        <v>MATCHED</v>
      </c>
    </row>
    <row r="4782" spans="1:11">
      <c r="A4782" t="s">
        <v>122</v>
      </c>
      <c r="B4782" t="s">
        <v>1704</v>
      </c>
      <c r="C4782" t="s">
        <v>381</v>
      </c>
      <c r="D4782" t="s">
        <v>382</v>
      </c>
      <c r="E4782" s="8">
        <v>2100</v>
      </c>
      <c r="F4782" s="8">
        <v>49970</v>
      </c>
      <c r="G4782" s="8">
        <f t="shared" si="296"/>
        <v>104937000</v>
      </c>
      <c r="H4782" s="5">
        <v>0.9553</v>
      </c>
      <c r="I4782" s="8">
        <f t="shared" si="297"/>
        <v>104937000</v>
      </c>
      <c r="J4782" s="8">
        <f t="shared" si="298"/>
        <v>100246316.1</v>
      </c>
      <c r="K4782" t="str">
        <f t="shared" si="299"/>
        <v>MATCHED</v>
      </c>
    </row>
    <row r="4783" spans="1:11">
      <c r="A4783" t="s">
        <v>122</v>
      </c>
      <c r="B4783" t="s">
        <v>1704</v>
      </c>
      <c r="C4783" t="s">
        <v>383</v>
      </c>
      <c r="D4783" t="s">
        <v>384</v>
      </c>
      <c r="E4783" s="8">
        <v>7570</v>
      </c>
      <c r="F4783" s="8">
        <v>53120</v>
      </c>
      <c r="G4783" s="8">
        <f t="shared" si="296"/>
        <v>402118400</v>
      </c>
      <c r="H4783" s="5">
        <v>0.8342</v>
      </c>
      <c r="I4783" s="8">
        <f t="shared" si="297"/>
        <v>402118400</v>
      </c>
      <c r="J4783" s="8">
        <f t="shared" si="298"/>
        <v>335447169.28</v>
      </c>
      <c r="K4783" t="str">
        <f t="shared" si="299"/>
        <v>MATCHED</v>
      </c>
    </row>
    <row r="4784" spans="1:11">
      <c r="A4784" t="s">
        <v>122</v>
      </c>
      <c r="B4784" t="s">
        <v>1704</v>
      </c>
      <c r="C4784" t="s">
        <v>385</v>
      </c>
      <c r="D4784" t="s">
        <v>386</v>
      </c>
      <c r="E4784" s="8">
        <v>7400</v>
      </c>
      <c r="F4784" s="8">
        <v>42880</v>
      </c>
      <c r="G4784" s="8">
        <f t="shared" si="296"/>
        <v>317312000</v>
      </c>
      <c r="H4784" s="5">
        <v>0.7368</v>
      </c>
      <c r="I4784" s="8">
        <f t="shared" si="297"/>
        <v>317312000</v>
      </c>
      <c r="J4784" s="8">
        <f t="shared" si="298"/>
        <v>233795481.6</v>
      </c>
      <c r="K4784" t="str">
        <f t="shared" si="299"/>
        <v>MATCHED</v>
      </c>
    </row>
    <row r="4785" spans="1:11">
      <c r="A4785" t="s">
        <v>122</v>
      </c>
      <c r="B4785" t="s">
        <v>1704</v>
      </c>
      <c r="C4785" t="s">
        <v>1537</v>
      </c>
      <c r="D4785" t="s">
        <v>1538</v>
      </c>
      <c r="E4785" s="8">
        <v>730</v>
      </c>
      <c r="F4785" s="8">
        <v>49360</v>
      </c>
      <c r="G4785" s="8">
        <f t="shared" si="296"/>
        <v>36032800</v>
      </c>
      <c r="H4785" s="5">
        <v>0.7714</v>
      </c>
      <c r="I4785" s="8">
        <f t="shared" si="297"/>
        <v>36032800</v>
      </c>
      <c r="J4785" s="8">
        <f t="shared" si="298"/>
        <v>27795701.92</v>
      </c>
      <c r="K4785" t="str">
        <f t="shared" si="299"/>
        <v>MATCHED</v>
      </c>
    </row>
    <row r="4786" spans="1:11">
      <c r="A4786" t="s">
        <v>122</v>
      </c>
      <c r="B4786" t="s">
        <v>1704</v>
      </c>
      <c r="C4786" t="s">
        <v>658</v>
      </c>
      <c r="D4786" t="s">
        <v>659</v>
      </c>
      <c r="E4786" s="8">
        <v>2160</v>
      </c>
      <c r="F4786" s="8">
        <v>57570</v>
      </c>
      <c r="G4786" s="8">
        <f t="shared" si="296"/>
        <v>124351200</v>
      </c>
      <c r="H4786" s="5"/>
      <c r="I4786" s="8" t="str">
        <f t="shared" si="297"/>
        <v/>
      </c>
      <c r="J4786" s="8" t="str">
        <f t="shared" si="298"/>
        <v/>
      </c>
      <c r="K4786" t="str">
        <f t="shared" si="299"/>
        <v>MISSING WHARTON</v>
      </c>
    </row>
    <row r="4787" spans="1:11">
      <c r="A4787" t="s">
        <v>122</v>
      </c>
      <c r="B4787" t="s">
        <v>1704</v>
      </c>
      <c r="C4787" t="s">
        <v>1288</v>
      </c>
      <c r="D4787" t="s">
        <v>1289</v>
      </c>
      <c r="E4787" s="8">
        <v>2420</v>
      </c>
      <c r="F4787" s="8">
        <v>59390</v>
      </c>
      <c r="G4787" s="8">
        <f t="shared" si="296"/>
        <v>143723800</v>
      </c>
      <c r="H4787" s="5">
        <v>0.6384</v>
      </c>
      <c r="I4787" s="8">
        <f t="shared" si="297"/>
        <v>143723800</v>
      </c>
      <c r="J4787" s="8">
        <f t="shared" si="298"/>
        <v>91753273.92</v>
      </c>
      <c r="K4787" t="str">
        <f t="shared" si="299"/>
        <v>MATCHED</v>
      </c>
    </row>
    <row r="4788" spans="1:11">
      <c r="A4788" t="s">
        <v>122</v>
      </c>
      <c r="B4788" t="s">
        <v>1704</v>
      </c>
      <c r="C4788" t="s">
        <v>886</v>
      </c>
      <c r="D4788" t="s">
        <v>887</v>
      </c>
      <c r="E4788" s="8">
        <v>1990</v>
      </c>
      <c r="F4788" s="8">
        <v>40320</v>
      </c>
      <c r="G4788" s="8">
        <f t="shared" si="296"/>
        <v>80236800</v>
      </c>
      <c r="H4788" s="5">
        <v>0.2235</v>
      </c>
      <c r="I4788" s="8">
        <f t="shared" si="297"/>
        <v>80236800</v>
      </c>
      <c r="J4788" s="8">
        <f t="shared" si="298"/>
        <v>17932924.8</v>
      </c>
      <c r="K4788" t="str">
        <f t="shared" si="299"/>
        <v>MATCHED</v>
      </c>
    </row>
    <row r="4789" spans="1:11">
      <c r="A4789" t="s">
        <v>122</v>
      </c>
      <c r="B4789" t="s">
        <v>1704</v>
      </c>
      <c r="C4789" t="s">
        <v>1737</v>
      </c>
      <c r="D4789" t="s">
        <v>1738</v>
      </c>
      <c r="E4789" s="8">
        <v>740</v>
      </c>
      <c r="F4789" s="8">
        <v>57310</v>
      </c>
      <c r="G4789" s="8">
        <f t="shared" si="296"/>
        <v>42409400</v>
      </c>
      <c r="H4789" s="5">
        <v>0.6694</v>
      </c>
      <c r="I4789" s="8">
        <f t="shared" si="297"/>
        <v>42409400</v>
      </c>
      <c r="J4789" s="8">
        <f t="shared" si="298"/>
        <v>28388852.36</v>
      </c>
      <c r="K4789" t="str">
        <f t="shared" si="299"/>
        <v>MATCHED</v>
      </c>
    </row>
    <row r="4790" spans="1:11">
      <c r="A4790" t="s">
        <v>122</v>
      </c>
      <c r="B4790" t="s">
        <v>1704</v>
      </c>
      <c r="C4790" t="s">
        <v>387</v>
      </c>
      <c r="D4790" t="s">
        <v>388</v>
      </c>
      <c r="E4790" s="8">
        <v>3900</v>
      </c>
      <c r="F4790" s="8">
        <v>56710</v>
      </c>
      <c r="G4790" s="8">
        <f t="shared" si="296"/>
        <v>221169000</v>
      </c>
      <c r="H4790" s="5">
        <v>0.8192</v>
      </c>
      <c r="I4790" s="8">
        <f t="shared" si="297"/>
        <v>221169000</v>
      </c>
      <c r="J4790" s="8">
        <f t="shared" si="298"/>
        <v>181181644.8</v>
      </c>
      <c r="K4790" t="str">
        <f t="shared" si="299"/>
        <v>MATCHED</v>
      </c>
    </row>
    <row r="4791" spans="1:11">
      <c r="A4791" t="s">
        <v>122</v>
      </c>
      <c r="B4791" t="s">
        <v>1704</v>
      </c>
      <c r="C4791" t="s">
        <v>888</v>
      </c>
      <c r="D4791" t="s">
        <v>889</v>
      </c>
      <c r="E4791" s="8"/>
      <c r="F4791" s="8">
        <v>66600</v>
      </c>
      <c r="G4791" s="8" t="str">
        <f t="shared" si="296"/>
        <v/>
      </c>
      <c r="H4791" s="5">
        <v>0.3654</v>
      </c>
      <c r="I4791" s="8" t="str">
        <f t="shared" si="297"/>
        <v/>
      </c>
      <c r="J4791" s="8" t="str">
        <f t="shared" si="298"/>
        <v/>
      </c>
      <c r="K4791" t="str">
        <f t="shared" si="299"/>
        <v>MISSING OEWS</v>
      </c>
    </row>
    <row r="4792" spans="1:11">
      <c r="A4792" t="s">
        <v>122</v>
      </c>
      <c r="B4792" t="s">
        <v>1704</v>
      </c>
      <c r="C4792" t="s">
        <v>389</v>
      </c>
      <c r="D4792" t="s">
        <v>390</v>
      </c>
      <c r="E4792" s="8">
        <v>22730</v>
      </c>
      <c r="F4792" s="8">
        <v>72630</v>
      </c>
      <c r="G4792" s="8">
        <f t="shared" si="296"/>
        <v>1650879900</v>
      </c>
      <c r="H4792" s="5">
        <v>0.7794</v>
      </c>
      <c r="I4792" s="8">
        <f t="shared" si="297"/>
        <v>1650879900</v>
      </c>
      <c r="J4792" s="8">
        <f t="shared" si="298"/>
        <v>1286695794.06</v>
      </c>
      <c r="K4792" t="str">
        <f t="shared" si="299"/>
        <v>MATCHED</v>
      </c>
    </row>
    <row r="4793" spans="1:11">
      <c r="A4793" t="s">
        <v>122</v>
      </c>
      <c r="B4793" t="s">
        <v>1704</v>
      </c>
      <c r="C4793" t="s">
        <v>391</v>
      </c>
      <c r="D4793" t="s">
        <v>392</v>
      </c>
      <c r="E4793" s="8">
        <v>9830</v>
      </c>
      <c r="F4793" s="8">
        <v>50330</v>
      </c>
      <c r="G4793" s="8">
        <f t="shared" si="296"/>
        <v>494743900</v>
      </c>
      <c r="H4793" s="5">
        <v>0.6455</v>
      </c>
      <c r="I4793" s="8">
        <f t="shared" si="297"/>
        <v>494743900</v>
      </c>
      <c r="J4793" s="8">
        <f t="shared" si="298"/>
        <v>319357187.45</v>
      </c>
      <c r="K4793" t="str">
        <f t="shared" si="299"/>
        <v>MATCHED</v>
      </c>
    </row>
    <row r="4794" spans="1:11">
      <c r="A4794" t="s">
        <v>122</v>
      </c>
      <c r="B4794" t="s">
        <v>1704</v>
      </c>
      <c r="C4794" t="s">
        <v>393</v>
      </c>
      <c r="D4794" t="s">
        <v>394</v>
      </c>
      <c r="E4794" s="8">
        <v>470</v>
      </c>
      <c r="F4794" s="8">
        <v>53120</v>
      </c>
      <c r="G4794" s="8">
        <f t="shared" si="296"/>
        <v>24966400</v>
      </c>
      <c r="H4794" s="5">
        <v>0.2932</v>
      </c>
      <c r="I4794" s="8">
        <f t="shared" si="297"/>
        <v>24966400</v>
      </c>
      <c r="J4794" s="8">
        <f t="shared" si="298"/>
        <v>7320148.48</v>
      </c>
      <c r="K4794" t="str">
        <f t="shared" si="299"/>
        <v>MATCHED</v>
      </c>
    </row>
    <row r="4795" spans="1:11">
      <c r="A4795" t="s">
        <v>122</v>
      </c>
      <c r="B4795" t="s">
        <v>1704</v>
      </c>
      <c r="C4795" t="s">
        <v>395</v>
      </c>
      <c r="D4795" t="s">
        <v>396</v>
      </c>
      <c r="E4795" s="8">
        <v>29140</v>
      </c>
      <c r="F4795" s="8">
        <v>88510</v>
      </c>
      <c r="G4795" s="8">
        <f t="shared" si="296"/>
        <v>2579181400</v>
      </c>
      <c r="H4795" s="5">
        <v>0.7955</v>
      </c>
      <c r="I4795" s="8">
        <f t="shared" si="297"/>
        <v>2579181400</v>
      </c>
      <c r="J4795" s="8">
        <f t="shared" si="298"/>
        <v>2051738803.7</v>
      </c>
      <c r="K4795" t="str">
        <f t="shared" si="299"/>
        <v>MATCHED</v>
      </c>
    </row>
    <row r="4796" spans="1:11">
      <c r="A4796" t="s">
        <v>122</v>
      </c>
      <c r="B4796" t="s">
        <v>1704</v>
      </c>
      <c r="C4796" t="s">
        <v>890</v>
      </c>
      <c r="D4796" t="s">
        <v>891</v>
      </c>
      <c r="E4796" s="8">
        <v>1100</v>
      </c>
      <c r="F4796" s="8">
        <v>69680</v>
      </c>
      <c r="G4796" s="8">
        <f t="shared" si="296"/>
        <v>76648000</v>
      </c>
      <c r="H4796" s="5">
        <v>0.8679</v>
      </c>
      <c r="I4796" s="8">
        <f t="shared" si="297"/>
        <v>76648000</v>
      </c>
      <c r="J4796" s="8">
        <f t="shared" si="298"/>
        <v>66522799.2</v>
      </c>
      <c r="K4796" t="str">
        <f t="shared" si="299"/>
        <v>MATCHED</v>
      </c>
    </row>
    <row r="4797" spans="1:11">
      <c r="A4797" t="s">
        <v>122</v>
      </c>
      <c r="B4797" t="s">
        <v>1704</v>
      </c>
      <c r="C4797" t="s">
        <v>1290</v>
      </c>
      <c r="D4797" t="s">
        <v>1291</v>
      </c>
      <c r="E4797" s="8">
        <v>16580</v>
      </c>
      <c r="F4797" s="8">
        <v>47950</v>
      </c>
      <c r="G4797" s="8">
        <f t="shared" si="296"/>
        <v>795011000</v>
      </c>
      <c r="H4797" s="5">
        <v>0.9031</v>
      </c>
      <c r="I4797" s="8">
        <f t="shared" si="297"/>
        <v>795011000</v>
      </c>
      <c r="J4797" s="8">
        <f t="shared" si="298"/>
        <v>717974434.1</v>
      </c>
      <c r="K4797" t="str">
        <f t="shared" si="299"/>
        <v>MATCHED</v>
      </c>
    </row>
    <row r="4798" spans="1:11">
      <c r="A4798" t="s">
        <v>122</v>
      </c>
      <c r="B4798" t="s">
        <v>1704</v>
      </c>
      <c r="C4798" t="s">
        <v>397</v>
      </c>
      <c r="D4798" t="s">
        <v>398</v>
      </c>
      <c r="E4798" s="8">
        <v>32630</v>
      </c>
      <c r="F4798" s="8">
        <v>55450</v>
      </c>
      <c r="G4798" s="8">
        <f t="shared" si="296"/>
        <v>1809333500</v>
      </c>
      <c r="H4798" s="5">
        <v>0.8031</v>
      </c>
      <c r="I4798" s="8">
        <f t="shared" si="297"/>
        <v>1809333500</v>
      </c>
      <c r="J4798" s="8">
        <f t="shared" si="298"/>
        <v>1453075733.85</v>
      </c>
      <c r="K4798" t="str">
        <f t="shared" si="299"/>
        <v>MATCHED</v>
      </c>
    </row>
    <row r="4799" spans="1:11">
      <c r="A4799" t="s">
        <v>122</v>
      </c>
      <c r="B4799" t="s">
        <v>1704</v>
      </c>
      <c r="C4799" t="s">
        <v>399</v>
      </c>
      <c r="D4799" t="s">
        <v>400</v>
      </c>
      <c r="E4799" s="8">
        <v>3610</v>
      </c>
      <c r="F4799" s="8">
        <v>47900</v>
      </c>
      <c r="G4799" s="8">
        <f t="shared" si="296"/>
        <v>172919000</v>
      </c>
      <c r="H4799" s="5">
        <v>0.75</v>
      </c>
      <c r="I4799" s="8">
        <f t="shared" si="297"/>
        <v>172919000</v>
      </c>
      <c r="J4799" s="8">
        <f t="shared" si="298"/>
        <v>129689250</v>
      </c>
      <c r="K4799" t="str">
        <f t="shared" si="299"/>
        <v>MATCHED</v>
      </c>
    </row>
    <row r="4800" spans="1:11">
      <c r="A4800" t="s">
        <v>122</v>
      </c>
      <c r="B4800" t="s">
        <v>1704</v>
      </c>
      <c r="C4800" t="s">
        <v>1292</v>
      </c>
      <c r="D4800" t="s">
        <v>1293</v>
      </c>
      <c r="E4800" s="8">
        <v>100</v>
      </c>
      <c r="F4800" s="8">
        <v>64490</v>
      </c>
      <c r="G4800" s="8">
        <f t="shared" si="296"/>
        <v>6449000</v>
      </c>
      <c r="H4800" s="5">
        <v>0.9417</v>
      </c>
      <c r="I4800" s="8">
        <f t="shared" si="297"/>
        <v>6449000</v>
      </c>
      <c r="J4800" s="8">
        <f t="shared" si="298"/>
        <v>6073023.3</v>
      </c>
      <c r="K4800" t="str">
        <f t="shared" si="299"/>
        <v>MATCHED</v>
      </c>
    </row>
    <row r="4801" spans="1:11">
      <c r="A4801" t="s">
        <v>122</v>
      </c>
      <c r="B4801" t="s">
        <v>1704</v>
      </c>
      <c r="C4801" t="s">
        <v>1020</v>
      </c>
      <c r="D4801" t="s">
        <v>1021</v>
      </c>
      <c r="E4801" s="8">
        <v>6710</v>
      </c>
      <c r="F4801" s="8">
        <v>53100</v>
      </c>
      <c r="G4801" s="8">
        <f t="shared" si="296"/>
        <v>356301000</v>
      </c>
      <c r="H4801" s="5">
        <v>0.9519</v>
      </c>
      <c r="I4801" s="8">
        <f t="shared" si="297"/>
        <v>356301000</v>
      </c>
      <c r="J4801" s="8">
        <f t="shared" si="298"/>
        <v>339162921.9</v>
      </c>
      <c r="K4801" t="str">
        <f t="shared" si="299"/>
        <v>MATCHED</v>
      </c>
    </row>
    <row r="4802" spans="1:11">
      <c r="A4802" t="s">
        <v>122</v>
      </c>
      <c r="B4802" t="s">
        <v>1704</v>
      </c>
      <c r="C4802" t="s">
        <v>892</v>
      </c>
      <c r="D4802" t="s">
        <v>893</v>
      </c>
      <c r="E4802" s="8">
        <v>1650</v>
      </c>
      <c r="F4802" s="8">
        <v>47740</v>
      </c>
      <c r="G4802" s="8">
        <f t="shared" ref="G4802:G4865" si="300">IF(OR(E4802="",F4802=""),"",E4802*F4802)</f>
        <v>78771000</v>
      </c>
      <c r="H4802" s="5">
        <v>0.231</v>
      </c>
      <c r="I4802" s="8">
        <f t="shared" ref="I4802:I4865" si="301">IF(G4802="","",IF(ISNUMBER(H4802),G4802,""))</f>
        <v>78771000</v>
      </c>
      <c r="J4802" s="8">
        <f t="shared" ref="J4802:J4865" si="302">IF(I4802="","",I4802*H4802)</f>
        <v>18196101</v>
      </c>
      <c r="K4802" t="str">
        <f t="shared" ref="K4802:K4865" si="303">IF(G4802="","MISSING OEWS",IF(ISNUMBER(H4802),"MATCHED","MISSING WHARTON"))</f>
        <v>MATCHED</v>
      </c>
    </row>
    <row r="4803" spans="1:11">
      <c r="A4803" t="s">
        <v>122</v>
      </c>
      <c r="B4803" t="s">
        <v>1704</v>
      </c>
      <c r="C4803" t="s">
        <v>401</v>
      </c>
      <c r="D4803" t="s">
        <v>402</v>
      </c>
      <c r="E4803" s="8">
        <v>33320</v>
      </c>
      <c r="F4803" s="8">
        <v>50280</v>
      </c>
      <c r="G4803" s="8">
        <f t="shared" si="300"/>
        <v>1675329600</v>
      </c>
      <c r="H4803" s="5">
        <v>0.7452</v>
      </c>
      <c r="I4803" s="8">
        <f t="shared" si="301"/>
        <v>1675329600</v>
      </c>
      <c r="J4803" s="8">
        <f t="shared" si="302"/>
        <v>1248455617.92</v>
      </c>
      <c r="K4803" t="str">
        <f t="shared" si="303"/>
        <v>MATCHED</v>
      </c>
    </row>
    <row r="4804" spans="1:11">
      <c r="A4804" t="s">
        <v>122</v>
      </c>
      <c r="B4804" t="s">
        <v>1704</v>
      </c>
      <c r="C4804" t="s">
        <v>660</v>
      </c>
      <c r="D4804" t="s">
        <v>661</v>
      </c>
      <c r="E4804" s="8">
        <v>620</v>
      </c>
      <c r="F4804" s="8">
        <v>49320</v>
      </c>
      <c r="G4804" s="8">
        <f t="shared" si="300"/>
        <v>30578400</v>
      </c>
      <c r="H4804" s="5">
        <v>0.2639</v>
      </c>
      <c r="I4804" s="8">
        <f t="shared" si="301"/>
        <v>30578400</v>
      </c>
      <c r="J4804" s="8">
        <f t="shared" si="302"/>
        <v>8069639.76</v>
      </c>
      <c r="K4804" t="str">
        <f t="shared" si="303"/>
        <v>MATCHED</v>
      </c>
    </row>
    <row r="4805" spans="1:11">
      <c r="A4805" t="s">
        <v>122</v>
      </c>
      <c r="B4805" t="s">
        <v>1704</v>
      </c>
      <c r="C4805" t="s">
        <v>1294</v>
      </c>
      <c r="D4805" t="s">
        <v>1295</v>
      </c>
      <c r="E4805" s="8">
        <v>200</v>
      </c>
      <c r="F4805" s="8">
        <v>57040</v>
      </c>
      <c r="G4805" s="8">
        <f t="shared" si="300"/>
        <v>11408000</v>
      </c>
      <c r="H4805" s="5">
        <v>0.9273</v>
      </c>
      <c r="I4805" s="8">
        <f t="shared" si="301"/>
        <v>11408000</v>
      </c>
      <c r="J4805" s="8">
        <f t="shared" si="302"/>
        <v>10578638.4</v>
      </c>
      <c r="K4805" t="str">
        <f t="shared" si="303"/>
        <v>MATCHED</v>
      </c>
    </row>
    <row r="4806" spans="1:11">
      <c r="A4806" t="s">
        <v>122</v>
      </c>
      <c r="B4806" t="s">
        <v>1704</v>
      </c>
      <c r="C4806" t="s">
        <v>1545</v>
      </c>
      <c r="D4806" t="s">
        <v>1546</v>
      </c>
      <c r="E4806" s="8">
        <v>50</v>
      </c>
      <c r="F4806" s="8">
        <v>61910</v>
      </c>
      <c r="G4806" s="8">
        <f t="shared" si="300"/>
        <v>3095500</v>
      </c>
      <c r="H4806" s="5">
        <v>0.8679</v>
      </c>
      <c r="I4806" s="8">
        <f t="shared" si="301"/>
        <v>3095500</v>
      </c>
      <c r="J4806" s="8">
        <f t="shared" si="302"/>
        <v>2686584.45</v>
      </c>
      <c r="K4806" t="str">
        <f t="shared" si="303"/>
        <v>MATCHED</v>
      </c>
    </row>
    <row r="4807" spans="1:11">
      <c r="A4807" t="s">
        <v>122</v>
      </c>
      <c r="B4807" t="s">
        <v>1704</v>
      </c>
      <c r="C4807" t="s">
        <v>662</v>
      </c>
      <c r="D4807" t="s">
        <v>663</v>
      </c>
      <c r="E4807" s="8">
        <v>5200</v>
      </c>
      <c r="F4807" s="8">
        <v>57800</v>
      </c>
      <c r="G4807" s="8">
        <f t="shared" si="300"/>
        <v>300560000</v>
      </c>
      <c r="H4807" s="5"/>
      <c r="I4807" s="8" t="str">
        <f t="shared" si="301"/>
        <v/>
      </c>
      <c r="J4807" s="8" t="str">
        <f t="shared" si="302"/>
        <v/>
      </c>
      <c r="K4807" t="str">
        <f t="shared" si="303"/>
        <v>MISSING WHARTON</v>
      </c>
    </row>
    <row r="4808" spans="1:11">
      <c r="A4808" t="s">
        <v>122</v>
      </c>
      <c r="B4808" t="s">
        <v>1704</v>
      </c>
      <c r="C4808" t="s">
        <v>403</v>
      </c>
      <c r="D4808" t="s">
        <v>404</v>
      </c>
      <c r="E4808" s="8">
        <v>240</v>
      </c>
      <c r="F4808" s="8">
        <v>68020</v>
      </c>
      <c r="G4808" s="8">
        <f t="shared" si="300"/>
        <v>16324800</v>
      </c>
      <c r="H4808" s="5">
        <v>0.22</v>
      </c>
      <c r="I4808" s="8">
        <f t="shared" si="301"/>
        <v>16324800</v>
      </c>
      <c r="J4808" s="8">
        <f t="shared" si="302"/>
        <v>3591456</v>
      </c>
      <c r="K4808" t="str">
        <f t="shared" si="303"/>
        <v>MATCHED</v>
      </c>
    </row>
    <row r="4809" spans="1:11">
      <c r="A4809" t="s">
        <v>122</v>
      </c>
      <c r="B4809" t="s">
        <v>1704</v>
      </c>
      <c r="C4809" t="s">
        <v>411</v>
      </c>
      <c r="D4809" t="s">
        <v>412</v>
      </c>
      <c r="E4809" s="8">
        <v>40</v>
      </c>
      <c r="F4809" s="8">
        <v>50310</v>
      </c>
      <c r="G4809" s="8">
        <f t="shared" si="300"/>
        <v>2012400</v>
      </c>
      <c r="H4809" s="5">
        <v>0.0559</v>
      </c>
      <c r="I4809" s="8">
        <f t="shared" si="301"/>
        <v>2012400</v>
      </c>
      <c r="J4809" s="8">
        <f t="shared" si="302"/>
        <v>112493.16</v>
      </c>
      <c r="K4809" t="str">
        <f t="shared" si="303"/>
        <v>MATCHED</v>
      </c>
    </row>
    <row r="4810" spans="1:11">
      <c r="A4810" t="s">
        <v>122</v>
      </c>
      <c r="B4810" t="s">
        <v>1704</v>
      </c>
      <c r="C4810" t="s">
        <v>413</v>
      </c>
      <c r="D4810" t="s">
        <v>414</v>
      </c>
      <c r="E4810" s="8">
        <v>490</v>
      </c>
      <c r="F4810" s="8">
        <v>40470</v>
      </c>
      <c r="G4810" s="8">
        <f t="shared" si="300"/>
        <v>19830300</v>
      </c>
      <c r="H4810" s="5">
        <v>0.0633</v>
      </c>
      <c r="I4810" s="8">
        <f t="shared" si="301"/>
        <v>19830300</v>
      </c>
      <c r="J4810" s="8">
        <f t="shared" si="302"/>
        <v>1255257.99</v>
      </c>
      <c r="K4810" t="str">
        <f t="shared" si="303"/>
        <v>MATCHED</v>
      </c>
    </row>
    <row r="4811" spans="1:11">
      <c r="A4811" t="s">
        <v>122</v>
      </c>
      <c r="B4811" t="s">
        <v>1704</v>
      </c>
      <c r="C4811" t="s">
        <v>415</v>
      </c>
      <c r="D4811" t="s">
        <v>416</v>
      </c>
      <c r="E4811" s="8"/>
      <c r="F4811" s="8">
        <v>47100</v>
      </c>
      <c r="G4811" s="8" t="str">
        <f t="shared" si="300"/>
        <v/>
      </c>
      <c r="H4811" s="5">
        <v>0.0864</v>
      </c>
      <c r="I4811" s="8" t="str">
        <f t="shared" si="301"/>
        <v/>
      </c>
      <c r="J4811" s="8" t="str">
        <f t="shared" si="302"/>
        <v/>
      </c>
      <c r="K4811" t="str">
        <f t="shared" si="303"/>
        <v>MISSING OEWS</v>
      </c>
    </row>
    <row r="4812" spans="1:11">
      <c r="A4812" t="s">
        <v>122</v>
      </c>
      <c r="B4812" t="s">
        <v>1704</v>
      </c>
      <c r="C4812" t="s">
        <v>417</v>
      </c>
      <c r="D4812" t="s">
        <v>418</v>
      </c>
      <c r="E4812" s="8"/>
      <c r="F4812" s="8">
        <v>58630</v>
      </c>
      <c r="G4812" s="8" t="str">
        <f t="shared" si="300"/>
        <v/>
      </c>
      <c r="H4812" s="5"/>
      <c r="I4812" s="8" t="str">
        <f t="shared" si="301"/>
        <v/>
      </c>
      <c r="J4812" s="8" t="str">
        <f t="shared" si="302"/>
        <v/>
      </c>
      <c r="K4812" t="str">
        <f t="shared" si="303"/>
        <v>MISSING OEWS</v>
      </c>
    </row>
    <row r="4813" spans="1:11">
      <c r="A4813" t="s">
        <v>122</v>
      </c>
      <c r="B4813" t="s">
        <v>1704</v>
      </c>
      <c r="C4813" t="s">
        <v>421</v>
      </c>
      <c r="D4813" t="s">
        <v>422</v>
      </c>
      <c r="E4813" s="8"/>
      <c r="F4813" s="8">
        <v>47100</v>
      </c>
      <c r="G4813" s="8" t="str">
        <f t="shared" si="300"/>
        <v/>
      </c>
      <c r="H4813" s="5">
        <v>0.2111</v>
      </c>
      <c r="I4813" s="8" t="str">
        <f t="shared" si="301"/>
        <v/>
      </c>
      <c r="J4813" s="8" t="str">
        <f t="shared" si="302"/>
        <v/>
      </c>
      <c r="K4813" t="str">
        <f t="shared" si="303"/>
        <v>MISSING OEWS</v>
      </c>
    </row>
    <row r="4814" spans="1:11">
      <c r="A4814" t="s">
        <v>122</v>
      </c>
      <c r="B4814" t="s">
        <v>1704</v>
      </c>
      <c r="C4814" t="s">
        <v>427</v>
      </c>
      <c r="D4814" t="s">
        <v>428</v>
      </c>
      <c r="E4814" s="8">
        <v>1370</v>
      </c>
      <c r="F4814" s="8">
        <v>66590</v>
      </c>
      <c r="G4814" s="8">
        <f t="shared" si="300"/>
        <v>91228300</v>
      </c>
      <c r="H4814" s="5">
        <v>0.081</v>
      </c>
      <c r="I4814" s="8">
        <f t="shared" si="301"/>
        <v>91228300</v>
      </c>
      <c r="J4814" s="8">
        <f t="shared" si="302"/>
        <v>7389492.3</v>
      </c>
      <c r="K4814" t="str">
        <f t="shared" si="303"/>
        <v>MATCHED</v>
      </c>
    </row>
    <row r="4815" spans="1:11">
      <c r="A4815" t="s">
        <v>122</v>
      </c>
      <c r="B4815" t="s">
        <v>1704</v>
      </c>
      <c r="C4815" t="s">
        <v>668</v>
      </c>
      <c r="D4815" t="s">
        <v>669</v>
      </c>
      <c r="E4815" s="8">
        <v>90</v>
      </c>
      <c r="F4815" s="8">
        <v>50770</v>
      </c>
      <c r="G4815" s="8">
        <f t="shared" si="300"/>
        <v>4569300</v>
      </c>
      <c r="H4815" s="5">
        <v>0</v>
      </c>
      <c r="I4815" s="8">
        <f t="shared" si="301"/>
        <v>4569300</v>
      </c>
      <c r="J4815" s="8">
        <f t="shared" si="302"/>
        <v>0</v>
      </c>
      <c r="K4815" t="str">
        <f t="shared" si="303"/>
        <v>MATCHED</v>
      </c>
    </row>
    <row r="4816" spans="1:11">
      <c r="A4816" t="s">
        <v>122</v>
      </c>
      <c r="B4816" t="s">
        <v>1704</v>
      </c>
      <c r="C4816" t="s">
        <v>670</v>
      </c>
      <c r="D4816" t="s">
        <v>671</v>
      </c>
      <c r="E4816" s="8">
        <v>1450</v>
      </c>
      <c r="F4816" s="8">
        <v>56530</v>
      </c>
      <c r="G4816" s="8">
        <f t="shared" si="300"/>
        <v>81968500</v>
      </c>
      <c r="H4816" s="5">
        <v>0.0297</v>
      </c>
      <c r="I4816" s="8">
        <f t="shared" si="301"/>
        <v>81968500</v>
      </c>
      <c r="J4816" s="8">
        <f t="shared" si="302"/>
        <v>2434464.45</v>
      </c>
      <c r="K4816" t="str">
        <f t="shared" si="303"/>
        <v>MATCHED</v>
      </c>
    </row>
    <row r="4817" spans="1:11">
      <c r="A4817" t="s">
        <v>122</v>
      </c>
      <c r="B4817" t="s">
        <v>1704</v>
      </c>
      <c r="C4817" t="s">
        <v>672</v>
      </c>
      <c r="D4817" t="s">
        <v>673</v>
      </c>
      <c r="E4817" s="8">
        <v>70</v>
      </c>
      <c r="F4817" s="8">
        <v>56900</v>
      </c>
      <c r="G4817" s="8">
        <f t="shared" si="300"/>
        <v>3983000</v>
      </c>
      <c r="H4817" s="5">
        <v>0</v>
      </c>
      <c r="I4817" s="8">
        <f t="shared" si="301"/>
        <v>3983000</v>
      </c>
      <c r="J4817" s="8">
        <f t="shared" si="302"/>
        <v>0</v>
      </c>
      <c r="K4817" t="str">
        <f t="shared" si="303"/>
        <v>MATCHED</v>
      </c>
    </row>
    <row r="4818" spans="1:11">
      <c r="A4818" t="s">
        <v>122</v>
      </c>
      <c r="B4818" t="s">
        <v>1704</v>
      </c>
      <c r="C4818" t="s">
        <v>429</v>
      </c>
      <c r="D4818" t="s">
        <v>430</v>
      </c>
      <c r="E4818" s="8">
        <v>960</v>
      </c>
      <c r="F4818" s="8">
        <v>63660</v>
      </c>
      <c r="G4818" s="8">
        <f t="shared" si="300"/>
        <v>61113600</v>
      </c>
      <c r="H4818" s="5">
        <v>0.0589</v>
      </c>
      <c r="I4818" s="8">
        <f t="shared" si="301"/>
        <v>61113600</v>
      </c>
      <c r="J4818" s="8">
        <f t="shared" si="302"/>
        <v>3599591.04</v>
      </c>
      <c r="K4818" t="str">
        <f t="shared" si="303"/>
        <v>MATCHED</v>
      </c>
    </row>
    <row r="4819" spans="1:11">
      <c r="A4819" t="s">
        <v>122</v>
      </c>
      <c r="B4819" t="s">
        <v>1704</v>
      </c>
      <c r="C4819" t="s">
        <v>431</v>
      </c>
      <c r="D4819" t="s">
        <v>432</v>
      </c>
      <c r="E4819" s="8">
        <v>1610</v>
      </c>
      <c r="F4819" s="8">
        <v>80670</v>
      </c>
      <c r="G4819" s="8">
        <f t="shared" si="300"/>
        <v>129878700</v>
      </c>
      <c r="H4819" s="5">
        <v>0.0786</v>
      </c>
      <c r="I4819" s="8">
        <f t="shared" si="301"/>
        <v>129878700</v>
      </c>
      <c r="J4819" s="8">
        <f t="shared" si="302"/>
        <v>10208465.82</v>
      </c>
      <c r="K4819" t="str">
        <f t="shared" si="303"/>
        <v>MATCHED</v>
      </c>
    </row>
    <row r="4820" spans="1:11">
      <c r="A4820" t="s">
        <v>122</v>
      </c>
      <c r="B4820" t="s">
        <v>1704</v>
      </c>
      <c r="C4820" t="s">
        <v>1042</v>
      </c>
      <c r="D4820" t="s">
        <v>1043</v>
      </c>
      <c r="E4820" s="8"/>
      <c r="F4820" s="8">
        <v>68270</v>
      </c>
      <c r="G4820" s="8" t="str">
        <f t="shared" si="300"/>
        <v/>
      </c>
      <c r="H4820" s="5">
        <v>0</v>
      </c>
      <c r="I4820" s="8" t="str">
        <f t="shared" si="301"/>
        <v/>
      </c>
      <c r="J4820" s="8" t="str">
        <f t="shared" si="302"/>
        <v/>
      </c>
      <c r="K4820" t="str">
        <f t="shared" si="303"/>
        <v>MISSING OEWS</v>
      </c>
    </row>
    <row r="4821" spans="1:11">
      <c r="A4821" t="s">
        <v>122</v>
      </c>
      <c r="B4821" t="s">
        <v>1704</v>
      </c>
      <c r="C4821" t="s">
        <v>678</v>
      </c>
      <c r="D4821" t="s">
        <v>679</v>
      </c>
      <c r="E4821" s="8">
        <v>480</v>
      </c>
      <c r="F4821" s="8">
        <v>59050</v>
      </c>
      <c r="G4821" s="8">
        <f t="shared" si="300"/>
        <v>28344000</v>
      </c>
      <c r="H4821" s="5">
        <v>0.0368</v>
      </c>
      <c r="I4821" s="8">
        <f t="shared" si="301"/>
        <v>28344000</v>
      </c>
      <c r="J4821" s="8">
        <f t="shared" si="302"/>
        <v>1043059.2</v>
      </c>
      <c r="K4821" t="str">
        <f t="shared" si="303"/>
        <v>MATCHED</v>
      </c>
    </row>
    <row r="4822" spans="1:11">
      <c r="A4822" t="s">
        <v>122</v>
      </c>
      <c r="B4822" t="s">
        <v>1704</v>
      </c>
      <c r="C4822" t="s">
        <v>686</v>
      </c>
      <c r="D4822" t="s">
        <v>687</v>
      </c>
      <c r="E4822" s="8"/>
      <c r="F4822" s="8">
        <v>62650</v>
      </c>
      <c r="G4822" s="8" t="str">
        <f t="shared" si="300"/>
        <v/>
      </c>
      <c r="H4822" s="5">
        <v>0</v>
      </c>
      <c r="I4822" s="8" t="str">
        <f t="shared" si="301"/>
        <v/>
      </c>
      <c r="J4822" s="8" t="str">
        <f t="shared" si="302"/>
        <v/>
      </c>
      <c r="K4822" t="str">
        <f t="shared" si="303"/>
        <v>MISSING OEWS</v>
      </c>
    </row>
    <row r="4823" spans="1:11">
      <c r="A4823" t="s">
        <v>122</v>
      </c>
      <c r="B4823" t="s">
        <v>1704</v>
      </c>
      <c r="C4823" t="s">
        <v>894</v>
      </c>
      <c r="D4823" t="s">
        <v>895</v>
      </c>
      <c r="E4823" s="8">
        <v>370</v>
      </c>
      <c r="F4823" s="8">
        <v>53820</v>
      </c>
      <c r="G4823" s="8">
        <f t="shared" si="300"/>
        <v>19913400</v>
      </c>
      <c r="H4823" s="5">
        <v>0.0635</v>
      </c>
      <c r="I4823" s="8">
        <f t="shared" si="301"/>
        <v>19913400</v>
      </c>
      <c r="J4823" s="8">
        <f t="shared" si="302"/>
        <v>1264500.9</v>
      </c>
      <c r="K4823" t="str">
        <f t="shared" si="303"/>
        <v>MATCHED</v>
      </c>
    </row>
    <row r="4824" spans="1:11">
      <c r="A4824" t="s">
        <v>122</v>
      </c>
      <c r="B4824" t="s">
        <v>1704</v>
      </c>
      <c r="C4824" t="s">
        <v>694</v>
      </c>
      <c r="D4824" t="s">
        <v>695</v>
      </c>
      <c r="E4824" s="8">
        <v>800</v>
      </c>
      <c r="F4824" s="8">
        <v>100270</v>
      </c>
      <c r="G4824" s="8">
        <f t="shared" si="300"/>
        <v>80216000</v>
      </c>
      <c r="H4824" s="5">
        <v>0.3737</v>
      </c>
      <c r="I4824" s="8">
        <f t="shared" si="301"/>
        <v>80216000</v>
      </c>
      <c r="J4824" s="8">
        <f t="shared" si="302"/>
        <v>29976719.2</v>
      </c>
      <c r="K4824" t="str">
        <f t="shared" si="303"/>
        <v>MATCHED</v>
      </c>
    </row>
    <row r="4825" spans="1:11">
      <c r="A4825" t="s">
        <v>122</v>
      </c>
      <c r="B4825" t="s">
        <v>1704</v>
      </c>
      <c r="C4825" t="s">
        <v>698</v>
      </c>
      <c r="D4825" t="s">
        <v>699</v>
      </c>
      <c r="E4825" s="8">
        <v>230</v>
      </c>
      <c r="F4825" s="8">
        <v>67210</v>
      </c>
      <c r="G4825" s="8">
        <f t="shared" si="300"/>
        <v>15458300</v>
      </c>
      <c r="H4825" s="5">
        <v>0.0452</v>
      </c>
      <c r="I4825" s="8">
        <f t="shared" si="301"/>
        <v>15458300</v>
      </c>
      <c r="J4825" s="8">
        <f t="shared" si="302"/>
        <v>698715.16</v>
      </c>
      <c r="K4825" t="str">
        <f t="shared" si="303"/>
        <v>MATCHED</v>
      </c>
    </row>
    <row r="4826" spans="1:11">
      <c r="A4826" t="s">
        <v>122</v>
      </c>
      <c r="B4826" t="s">
        <v>1704</v>
      </c>
      <c r="C4826" t="s">
        <v>702</v>
      </c>
      <c r="D4826" t="s">
        <v>703</v>
      </c>
      <c r="E4826" s="8">
        <v>160</v>
      </c>
      <c r="F4826" s="8">
        <v>54460</v>
      </c>
      <c r="G4826" s="8">
        <f t="shared" si="300"/>
        <v>8713600</v>
      </c>
      <c r="H4826" s="5">
        <v>0.0825</v>
      </c>
      <c r="I4826" s="8">
        <f t="shared" si="301"/>
        <v>8713600</v>
      </c>
      <c r="J4826" s="8">
        <f t="shared" si="302"/>
        <v>718872</v>
      </c>
      <c r="K4826" t="str">
        <f t="shared" si="303"/>
        <v>MATCHED</v>
      </c>
    </row>
    <row r="4827" spans="1:11">
      <c r="A4827" t="s">
        <v>122</v>
      </c>
      <c r="B4827" t="s">
        <v>1704</v>
      </c>
      <c r="C4827" t="s">
        <v>433</v>
      </c>
      <c r="D4827" t="s">
        <v>434</v>
      </c>
      <c r="E4827" s="8">
        <v>7350</v>
      </c>
      <c r="F4827" s="8">
        <v>93180</v>
      </c>
      <c r="G4827" s="8">
        <f t="shared" si="300"/>
        <v>684873000</v>
      </c>
      <c r="H4827" s="5">
        <v>0.3523</v>
      </c>
      <c r="I4827" s="8">
        <f t="shared" si="301"/>
        <v>684873000</v>
      </c>
      <c r="J4827" s="8">
        <f t="shared" si="302"/>
        <v>241280757.9</v>
      </c>
      <c r="K4827" t="str">
        <f t="shared" si="303"/>
        <v>MATCHED</v>
      </c>
    </row>
    <row r="4828" spans="1:11">
      <c r="A4828" t="s">
        <v>122</v>
      </c>
      <c r="B4828" t="s">
        <v>1704</v>
      </c>
      <c r="C4828" t="s">
        <v>1064</v>
      </c>
      <c r="D4828" t="s">
        <v>1065</v>
      </c>
      <c r="E4828" s="8">
        <v>350</v>
      </c>
      <c r="F4828" s="8">
        <v>64160</v>
      </c>
      <c r="G4828" s="8">
        <f t="shared" si="300"/>
        <v>22456000</v>
      </c>
      <c r="H4828" s="5">
        <v>0.284</v>
      </c>
      <c r="I4828" s="8">
        <f t="shared" si="301"/>
        <v>22456000</v>
      </c>
      <c r="J4828" s="8">
        <f t="shared" si="302"/>
        <v>6377504</v>
      </c>
      <c r="K4828" t="str">
        <f t="shared" si="303"/>
        <v>MATCHED</v>
      </c>
    </row>
    <row r="4829" spans="1:11">
      <c r="A4829" t="s">
        <v>122</v>
      </c>
      <c r="B4829" t="s">
        <v>1704</v>
      </c>
      <c r="C4829" t="s">
        <v>898</v>
      </c>
      <c r="D4829" t="s">
        <v>899</v>
      </c>
      <c r="E4829" s="8">
        <v>220</v>
      </c>
      <c r="F4829" s="8">
        <v>94050</v>
      </c>
      <c r="G4829" s="8">
        <f t="shared" si="300"/>
        <v>20691000</v>
      </c>
      <c r="H4829" s="5">
        <v>0.1583</v>
      </c>
      <c r="I4829" s="8">
        <f t="shared" si="301"/>
        <v>20691000</v>
      </c>
      <c r="J4829" s="8">
        <f t="shared" si="302"/>
        <v>3275385.3</v>
      </c>
      <c r="K4829" t="str">
        <f t="shared" si="303"/>
        <v>MATCHED</v>
      </c>
    </row>
    <row r="4830" spans="1:11">
      <c r="A4830" t="s">
        <v>122</v>
      </c>
      <c r="B4830" t="s">
        <v>1704</v>
      </c>
      <c r="C4830" t="s">
        <v>900</v>
      </c>
      <c r="D4830" t="s">
        <v>901</v>
      </c>
      <c r="E4830" s="8">
        <v>890</v>
      </c>
      <c r="F4830" s="8">
        <v>77000</v>
      </c>
      <c r="G4830" s="8">
        <f t="shared" si="300"/>
        <v>68530000</v>
      </c>
      <c r="H4830" s="5">
        <v>0.195</v>
      </c>
      <c r="I4830" s="8">
        <f t="shared" si="301"/>
        <v>68530000</v>
      </c>
      <c r="J4830" s="8">
        <f t="shared" si="302"/>
        <v>13363350</v>
      </c>
      <c r="K4830" t="str">
        <f t="shared" si="303"/>
        <v>MATCHED</v>
      </c>
    </row>
    <row r="4831" spans="1:11">
      <c r="A4831" t="s">
        <v>122</v>
      </c>
      <c r="B4831" t="s">
        <v>1704</v>
      </c>
      <c r="C4831" t="s">
        <v>1296</v>
      </c>
      <c r="D4831" t="s">
        <v>1297</v>
      </c>
      <c r="E4831" s="8">
        <v>70</v>
      </c>
      <c r="F4831" s="8">
        <v>77290</v>
      </c>
      <c r="G4831" s="8">
        <f t="shared" si="300"/>
        <v>5410300</v>
      </c>
      <c r="H4831" s="5">
        <v>0.2</v>
      </c>
      <c r="I4831" s="8">
        <f t="shared" si="301"/>
        <v>5410300</v>
      </c>
      <c r="J4831" s="8">
        <f t="shared" si="302"/>
        <v>1082060</v>
      </c>
      <c r="K4831" t="str">
        <f t="shared" si="303"/>
        <v>MATCHED</v>
      </c>
    </row>
    <row r="4832" spans="1:11">
      <c r="A4832" t="s">
        <v>122</v>
      </c>
      <c r="B4832" t="s">
        <v>1704</v>
      </c>
      <c r="C4832" t="s">
        <v>732</v>
      </c>
      <c r="D4832" t="s">
        <v>733</v>
      </c>
      <c r="E4832" s="8"/>
      <c r="F4832" s="8">
        <v>57890</v>
      </c>
      <c r="G4832" s="8" t="str">
        <f t="shared" si="300"/>
        <v/>
      </c>
      <c r="H4832" s="5">
        <v>0.0667</v>
      </c>
      <c r="I4832" s="8" t="str">
        <f t="shared" si="301"/>
        <v/>
      </c>
      <c r="J4832" s="8" t="str">
        <f t="shared" si="302"/>
        <v/>
      </c>
      <c r="K4832" t="str">
        <f t="shared" si="303"/>
        <v>MISSING OEWS</v>
      </c>
    </row>
    <row r="4833" spans="1:11">
      <c r="A4833" t="s">
        <v>122</v>
      </c>
      <c r="B4833" t="s">
        <v>1704</v>
      </c>
      <c r="C4833" t="s">
        <v>734</v>
      </c>
      <c r="D4833" t="s">
        <v>735</v>
      </c>
      <c r="E4833" s="8">
        <v>480</v>
      </c>
      <c r="F4833" s="8">
        <v>76430</v>
      </c>
      <c r="G4833" s="8">
        <f t="shared" si="300"/>
        <v>36686400</v>
      </c>
      <c r="H4833" s="5">
        <v>0.19</v>
      </c>
      <c r="I4833" s="8">
        <f t="shared" si="301"/>
        <v>36686400</v>
      </c>
      <c r="J4833" s="8">
        <f t="shared" si="302"/>
        <v>6970416</v>
      </c>
      <c r="K4833" t="str">
        <f t="shared" si="303"/>
        <v>MATCHED</v>
      </c>
    </row>
    <row r="4834" spans="1:11">
      <c r="A4834" t="s">
        <v>122</v>
      </c>
      <c r="B4834" t="s">
        <v>1704</v>
      </c>
      <c r="C4834" t="s">
        <v>904</v>
      </c>
      <c r="D4834" t="s">
        <v>905</v>
      </c>
      <c r="E4834" s="8">
        <v>950</v>
      </c>
      <c r="F4834" s="8">
        <v>93340</v>
      </c>
      <c r="G4834" s="8">
        <f t="shared" si="300"/>
        <v>88673000</v>
      </c>
      <c r="H4834" s="5">
        <v>0.2219</v>
      </c>
      <c r="I4834" s="8">
        <f t="shared" si="301"/>
        <v>88673000</v>
      </c>
      <c r="J4834" s="8">
        <f t="shared" si="302"/>
        <v>19676538.7</v>
      </c>
      <c r="K4834" t="str">
        <f t="shared" si="303"/>
        <v>MATCHED</v>
      </c>
    </row>
    <row r="4835" spans="1:11">
      <c r="A4835" t="s">
        <v>122</v>
      </c>
      <c r="B4835" t="s">
        <v>1704</v>
      </c>
      <c r="C4835" t="s">
        <v>1298</v>
      </c>
      <c r="D4835" t="s">
        <v>1299</v>
      </c>
      <c r="E4835" s="8">
        <v>110</v>
      </c>
      <c r="F4835" s="8">
        <v>53790</v>
      </c>
      <c r="G4835" s="8">
        <f t="shared" si="300"/>
        <v>5916900</v>
      </c>
      <c r="H4835" s="5">
        <v>0.1583</v>
      </c>
      <c r="I4835" s="8">
        <f t="shared" si="301"/>
        <v>5916900</v>
      </c>
      <c r="J4835" s="8">
        <f t="shared" si="302"/>
        <v>936645.27</v>
      </c>
      <c r="K4835" t="str">
        <f t="shared" si="303"/>
        <v>MATCHED</v>
      </c>
    </row>
    <row r="4836" spans="1:11">
      <c r="A4836" t="s">
        <v>122</v>
      </c>
      <c r="B4836" t="s">
        <v>1704</v>
      </c>
      <c r="C4836" t="s">
        <v>1068</v>
      </c>
      <c r="D4836" t="s">
        <v>1069</v>
      </c>
      <c r="E4836" s="8">
        <v>100</v>
      </c>
      <c r="F4836" s="8">
        <v>62660</v>
      </c>
      <c r="G4836" s="8">
        <f t="shared" si="300"/>
        <v>6266000</v>
      </c>
      <c r="H4836" s="5">
        <v>0.2219</v>
      </c>
      <c r="I4836" s="8">
        <f t="shared" si="301"/>
        <v>6266000</v>
      </c>
      <c r="J4836" s="8">
        <f t="shared" si="302"/>
        <v>1390425.4</v>
      </c>
      <c r="K4836" t="str">
        <f t="shared" si="303"/>
        <v>MATCHED</v>
      </c>
    </row>
    <row r="4837" spans="1:11">
      <c r="A4837" t="s">
        <v>122</v>
      </c>
      <c r="B4837" t="s">
        <v>1704</v>
      </c>
      <c r="C4837" t="s">
        <v>435</v>
      </c>
      <c r="D4837" t="s">
        <v>436</v>
      </c>
      <c r="E4837" s="8">
        <v>410</v>
      </c>
      <c r="F4837" s="8">
        <v>113770</v>
      </c>
      <c r="G4837" s="8">
        <f t="shared" si="300"/>
        <v>46645700</v>
      </c>
      <c r="H4837" s="5">
        <v>0.0434</v>
      </c>
      <c r="I4837" s="8">
        <f t="shared" si="301"/>
        <v>46645700</v>
      </c>
      <c r="J4837" s="8">
        <f t="shared" si="302"/>
        <v>2024423.38</v>
      </c>
      <c r="K4837" t="str">
        <f t="shared" si="303"/>
        <v>MATCHED</v>
      </c>
    </row>
    <row r="4838" spans="1:11">
      <c r="A4838" t="s">
        <v>122</v>
      </c>
      <c r="B4838" t="s">
        <v>1704</v>
      </c>
      <c r="C4838" t="s">
        <v>1070</v>
      </c>
      <c r="D4838" t="s">
        <v>1071</v>
      </c>
      <c r="E4838" s="8">
        <v>190</v>
      </c>
      <c r="F4838" s="8">
        <v>65930</v>
      </c>
      <c r="G4838" s="8">
        <f t="shared" si="300"/>
        <v>12526700</v>
      </c>
      <c r="H4838" s="5">
        <v>0.028</v>
      </c>
      <c r="I4838" s="8">
        <f t="shared" si="301"/>
        <v>12526700</v>
      </c>
      <c r="J4838" s="8">
        <f t="shared" si="302"/>
        <v>350747.6</v>
      </c>
      <c r="K4838" t="str">
        <f t="shared" si="303"/>
        <v>MATCHED</v>
      </c>
    </row>
    <row r="4839" spans="1:11">
      <c r="A4839" t="s">
        <v>122</v>
      </c>
      <c r="B4839" t="s">
        <v>1704</v>
      </c>
      <c r="C4839" t="s">
        <v>736</v>
      </c>
      <c r="D4839" t="s">
        <v>737</v>
      </c>
      <c r="E4839" s="8">
        <v>1960</v>
      </c>
      <c r="F4839" s="8">
        <v>60570</v>
      </c>
      <c r="G4839" s="8">
        <f t="shared" si="300"/>
        <v>118717200</v>
      </c>
      <c r="H4839" s="5">
        <v>0.0233</v>
      </c>
      <c r="I4839" s="8">
        <f t="shared" si="301"/>
        <v>118717200</v>
      </c>
      <c r="J4839" s="8">
        <f t="shared" si="302"/>
        <v>2766110.76</v>
      </c>
      <c r="K4839" t="str">
        <f t="shared" si="303"/>
        <v>MATCHED</v>
      </c>
    </row>
    <row r="4840" spans="1:11">
      <c r="A4840" t="s">
        <v>122</v>
      </c>
      <c r="B4840" t="s">
        <v>1704</v>
      </c>
      <c r="C4840" t="s">
        <v>437</v>
      </c>
      <c r="D4840" t="s">
        <v>438</v>
      </c>
      <c r="E4840" s="8">
        <v>1660</v>
      </c>
      <c r="F4840" s="8">
        <v>64250</v>
      </c>
      <c r="G4840" s="8">
        <f t="shared" si="300"/>
        <v>106655000</v>
      </c>
      <c r="H4840" s="5">
        <v>0</v>
      </c>
      <c r="I4840" s="8">
        <f t="shared" si="301"/>
        <v>106655000</v>
      </c>
      <c r="J4840" s="8">
        <f t="shared" si="302"/>
        <v>0</v>
      </c>
      <c r="K4840" t="str">
        <f t="shared" si="303"/>
        <v>MATCHED</v>
      </c>
    </row>
    <row r="4841" spans="1:11">
      <c r="A4841" t="s">
        <v>122</v>
      </c>
      <c r="B4841" t="s">
        <v>1704</v>
      </c>
      <c r="C4841" t="s">
        <v>439</v>
      </c>
      <c r="D4841" t="s">
        <v>440</v>
      </c>
      <c r="E4841" s="8">
        <v>170</v>
      </c>
      <c r="F4841" s="8">
        <v>59150</v>
      </c>
      <c r="G4841" s="8">
        <f t="shared" si="300"/>
        <v>10055500</v>
      </c>
      <c r="H4841" s="5">
        <v>0.1357</v>
      </c>
      <c r="I4841" s="8">
        <f t="shared" si="301"/>
        <v>10055500</v>
      </c>
      <c r="J4841" s="8">
        <f t="shared" si="302"/>
        <v>1364531.35</v>
      </c>
      <c r="K4841" t="str">
        <f t="shared" si="303"/>
        <v>MATCHED</v>
      </c>
    </row>
    <row r="4842" spans="1:11">
      <c r="A4842" t="s">
        <v>122</v>
      </c>
      <c r="B4842" t="s">
        <v>1704</v>
      </c>
      <c r="C4842" t="s">
        <v>441</v>
      </c>
      <c r="D4842" t="s">
        <v>442</v>
      </c>
      <c r="E4842" s="8">
        <v>930</v>
      </c>
      <c r="F4842" s="8">
        <v>61140</v>
      </c>
      <c r="G4842" s="8">
        <f t="shared" si="300"/>
        <v>56860200</v>
      </c>
      <c r="H4842" s="5">
        <v>0.1425</v>
      </c>
      <c r="I4842" s="8">
        <f t="shared" si="301"/>
        <v>56860200</v>
      </c>
      <c r="J4842" s="8">
        <f t="shared" si="302"/>
        <v>8102578.5</v>
      </c>
      <c r="K4842" t="str">
        <f t="shared" si="303"/>
        <v>MATCHED</v>
      </c>
    </row>
    <row r="4843" spans="1:11">
      <c r="A4843" t="s">
        <v>122</v>
      </c>
      <c r="B4843" t="s">
        <v>1704</v>
      </c>
      <c r="C4843" t="s">
        <v>1076</v>
      </c>
      <c r="D4843" t="s">
        <v>1077</v>
      </c>
      <c r="E4843" s="8">
        <v>110</v>
      </c>
      <c r="F4843" s="8">
        <v>65600</v>
      </c>
      <c r="G4843" s="8">
        <f t="shared" si="300"/>
        <v>7216000</v>
      </c>
      <c r="H4843" s="5">
        <v>0.1179</v>
      </c>
      <c r="I4843" s="8">
        <f t="shared" si="301"/>
        <v>7216000</v>
      </c>
      <c r="J4843" s="8">
        <f t="shared" si="302"/>
        <v>850766.4</v>
      </c>
      <c r="K4843" t="str">
        <f t="shared" si="303"/>
        <v>MATCHED</v>
      </c>
    </row>
    <row r="4844" spans="1:11">
      <c r="A4844" t="s">
        <v>122</v>
      </c>
      <c r="B4844" t="s">
        <v>1704</v>
      </c>
      <c r="C4844" t="s">
        <v>738</v>
      </c>
      <c r="D4844" t="s">
        <v>739</v>
      </c>
      <c r="E4844" s="8">
        <v>360</v>
      </c>
      <c r="F4844" s="8">
        <v>39190</v>
      </c>
      <c r="G4844" s="8">
        <f t="shared" si="300"/>
        <v>14108400</v>
      </c>
      <c r="H4844" s="5">
        <v>0</v>
      </c>
      <c r="I4844" s="8">
        <f t="shared" si="301"/>
        <v>14108400</v>
      </c>
      <c r="J4844" s="8">
        <f t="shared" si="302"/>
        <v>0</v>
      </c>
      <c r="K4844" t="str">
        <f t="shared" si="303"/>
        <v>MATCHED</v>
      </c>
    </row>
    <row r="4845" spans="1:11">
      <c r="A4845" t="s">
        <v>122</v>
      </c>
      <c r="B4845" t="s">
        <v>1704</v>
      </c>
      <c r="C4845" t="s">
        <v>740</v>
      </c>
      <c r="D4845" t="s">
        <v>741</v>
      </c>
      <c r="E4845" s="8">
        <v>720</v>
      </c>
      <c r="F4845" s="8">
        <v>71800</v>
      </c>
      <c r="G4845" s="8">
        <f t="shared" si="300"/>
        <v>51696000</v>
      </c>
      <c r="H4845" s="5">
        <v>0.0731</v>
      </c>
      <c r="I4845" s="8">
        <f t="shared" si="301"/>
        <v>51696000</v>
      </c>
      <c r="J4845" s="8">
        <f t="shared" si="302"/>
        <v>3778977.6</v>
      </c>
      <c r="K4845" t="str">
        <f t="shared" si="303"/>
        <v>MATCHED</v>
      </c>
    </row>
    <row r="4846" spans="1:11">
      <c r="A4846" t="s">
        <v>122</v>
      </c>
      <c r="B4846" t="s">
        <v>1704</v>
      </c>
      <c r="C4846" t="s">
        <v>443</v>
      </c>
      <c r="D4846" t="s">
        <v>444</v>
      </c>
      <c r="E4846" s="8">
        <v>2470</v>
      </c>
      <c r="F4846" s="8">
        <v>72990</v>
      </c>
      <c r="G4846" s="8">
        <f t="shared" si="300"/>
        <v>180285300</v>
      </c>
      <c r="H4846" s="5">
        <v>0.0867</v>
      </c>
      <c r="I4846" s="8">
        <f t="shared" si="301"/>
        <v>180285300</v>
      </c>
      <c r="J4846" s="8">
        <f t="shared" si="302"/>
        <v>15630735.51</v>
      </c>
      <c r="K4846" t="str">
        <f t="shared" si="303"/>
        <v>MATCHED</v>
      </c>
    </row>
    <row r="4847" spans="1:11">
      <c r="A4847" t="s">
        <v>122</v>
      </c>
      <c r="B4847" t="s">
        <v>1704</v>
      </c>
      <c r="C4847" t="s">
        <v>906</v>
      </c>
      <c r="D4847" t="s">
        <v>907</v>
      </c>
      <c r="E4847" s="8">
        <v>420</v>
      </c>
      <c r="F4847" s="8">
        <v>73310</v>
      </c>
      <c r="G4847" s="8">
        <f t="shared" si="300"/>
        <v>30790200</v>
      </c>
      <c r="H4847" s="5">
        <v>0.1226</v>
      </c>
      <c r="I4847" s="8">
        <f t="shared" si="301"/>
        <v>30790200</v>
      </c>
      <c r="J4847" s="8">
        <f t="shared" si="302"/>
        <v>3774878.52</v>
      </c>
      <c r="K4847" t="str">
        <f t="shared" si="303"/>
        <v>MATCHED</v>
      </c>
    </row>
    <row r="4848" spans="1:11">
      <c r="A4848" t="s">
        <v>122</v>
      </c>
      <c r="B4848" t="s">
        <v>1704</v>
      </c>
      <c r="C4848" t="s">
        <v>445</v>
      </c>
      <c r="D4848" t="s">
        <v>446</v>
      </c>
      <c r="E4848" s="8">
        <v>1580</v>
      </c>
      <c r="F4848" s="8">
        <v>75210</v>
      </c>
      <c r="G4848" s="8">
        <f t="shared" si="300"/>
        <v>118831800</v>
      </c>
      <c r="H4848" s="5">
        <v>0.25</v>
      </c>
      <c r="I4848" s="8">
        <f t="shared" si="301"/>
        <v>118831800</v>
      </c>
      <c r="J4848" s="8">
        <f t="shared" si="302"/>
        <v>29707950</v>
      </c>
      <c r="K4848" t="str">
        <f t="shared" si="303"/>
        <v>MATCHED</v>
      </c>
    </row>
    <row r="4849" spans="1:11">
      <c r="A4849" t="s">
        <v>122</v>
      </c>
      <c r="B4849" t="s">
        <v>1704</v>
      </c>
      <c r="C4849" t="s">
        <v>447</v>
      </c>
      <c r="D4849" t="s">
        <v>448</v>
      </c>
      <c r="E4849" s="8">
        <v>580</v>
      </c>
      <c r="F4849" s="8">
        <v>63220</v>
      </c>
      <c r="G4849" s="8">
        <f t="shared" si="300"/>
        <v>36667600</v>
      </c>
      <c r="H4849" s="5">
        <v>0.0528</v>
      </c>
      <c r="I4849" s="8">
        <f t="shared" si="301"/>
        <v>36667600</v>
      </c>
      <c r="J4849" s="8">
        <f t="shared" si="302"/>
        <v>1936049.28</v>
      </c>
      <c r="K4849" t="str">
        <f t="shared" si="303"/>
        <v>MATCHED</v>
      </c>
    </row>
    <row r="4850" spans="1:11">
      <c r="A4850" t="s">
        <v>122</v>
      </c>
      <c r="B4850" t="s">
        <v>1704</v>
      </c>
      <c r="C4850" t="s">
        <v>742</v>
      </c>
      <c r="D4850" t="s">
        <v>743</v>
      </c>
      <c r="E4850" s="8"/>
      <c r="F4850" s="8">
        <v>93030</v>
      </c>
      <c r="G4850" s="8" t="str">
        <f t="shared" si="300"/>
        <v/>
      </c>
      <c r="H4850" s="5">
        <v>0</v>
      </c>
      <c r="I4850" s="8" t="str">
        <f t="shared" si="301"/>
        <v/>
      </c>
      <c r="J4850" s="8" t="str">
        <f t="shared" si="302"/>
        <v/>
      </c>
      <c r="K4850" t="str">
        <f t="shared" si="303"/>
        <v>MISSING OEWS</v>
      </c>
    </row>
    <row r="4851" spans="1:11">
      <c r="A4851" t="s">
        <v>122</v>
      </c>
      <c r="B4851" t="s">
        <v>1704</v>
      </c>
      <c r="C4851" t="s">
        <v>744</v>
      </c>
      <c r="D4851" t="s">
        <v>745</v>
      </c>
      <c r="E4851" s="8">
        <v>1200</v>
      </c>
      <c r="F4851" s="8">
        <v>92130</v>
      </c>
      <c r="G4851" s="8">
        <f t="shared" si="300"/>
        <v>110556000</v>
      </c>
      <c r="H4851" s="5">
        <v>0</v>
      </c>
      <c r="I4851" s="8">
        <f t="shared" si="301"/>
        <v>110556000</v>
      </c>
      <c r="J4851" s="8">
        <f t="shared" si="302"/>
        <v>0</v>
      </c>
      <c r="K4851" t="str">
        <f t="shared" si="303"/>
        <v>MATCHED</v>
      </c>
    </row>
    <row r="4852" spans="1:11">
      <c r="A4852" t="s">
        <v>122</v>
      </c>
      <c r="B4852" t="s">
        <v>1704</v>
      </c>
      <c r="C4852" t="s">
        <v>908</v>
      </c>
      <c r="D4852" t="s">
        <v>909</v>
      </c>
      <c r="E4852" s="8">
        <v>140</v>
      </c>
      <c r="F4852" s="8">
        <v>78800</v>
      </c>
      <c r="G4852" s="8">
        <f t="shared" si="300"/>
        <v>11032000</v>
      </c>
      <c r="H4852" s="5">
        <v>0.0475</v>
      </c>
      <c r="I4852" s="8">
        <f t="shared" si="301"/>
        <v>11032000</v>
      </c>
      <c r="J4852" s="8">
        <f t="shared" si="302"/>
        <v>524020</v>
      </c>
      <c r="K4852" t="str">
        <f t="shared" si="303"/>
        <v>MATCHED</v>
      </c>
    </row>
    <row r="4853" spans="1:11">
      <c r="A4853" t="s">
        <v>122</v>
      </c>
      <c r="B4853" t="s">
        <v>1704</v>
      </c>
      <c r="C4853" t="s">
        <v>1310</v>
      </c>
      <c r="D4853" t="s">
        <v>1311</v>
      </c>
      <c r="E4853" s="8">
        <v>880</v>
      </c>
      <c r="F4853" s="8">
        <v>85520</v>
      </c>
      <c r="G4853" s="8">
        <f t="shared" si="300"/>
        <v>75257600</v>
      </c>
      <c r="H4853" s="5">
        <v>0.2368</v>
      </c>
      <c r="I4853" s="8">
        <f t="shared" si="301"/>
        <v>75257600</v>
      </c>
      <c r="J4853" s="8">
        <f t="shared" si="302"/>
        <v>17820999.68</v>
      </c>
      <c r="K4853" t="str">
        <f t="shared" si="303"/>
        <v>MATCHED</v>
      </c>
    </row>
    <row r="4854" spans="1:11">
      <c r="A4854" t="s">
        <v>122</v>
      </c>
      <c r="B4854" t="s">
        <v>1704</v>
      </c>
      <c r="C4854" t="s">
        <v>746</v>
      </c>
      <c r="D4854" t="s">
        <v>747</v>
      </c>
      <c r="E4854" s="8">
        <v>50</v>
      </c>
      <c r="F4854" s="8">
        <v>92260</v>
      </c>
      <c r="G4854" s="8">
        <f t="shared" si="300"/>
        <v>4613000</v>
      </c>
      <c r="H4854" s="5"/>
      <c r="I4854" s="8" t="str">
        <f t="shared" si="301"/>
        <v/>
      </c>
      <c r="J4854" s="8" t="str">
        <f t="shared" si="302"/>
        <v/>
      </c>
      <c r="K4854" t="str">
        <f t="shared" si="303"/>
        <v>MISSING WHARTON</v>
      </c>
    </row>
    <row r="4855" spans="1:11">
      <c r="A4855" t="s">
        <v>122</v>
      </c>
      <c r="B4855" t="s">
        <v>1704</v>
      </c>
      <c r="C4855" t="s">
        <v>449</v>
      </c>
      <c r="D4855" t="s">
        <v>450</v>
      </c>
      <c r="E4855" s="8">
        <v>23240</v>
      </c>
      <c r="F4855" s="8">
        <v>58890</v>
      </c>
      <c r="G4855" s="8">
        <f t="shared" si="300"/>
        <v>1368603600</v>
      </c>
      <c r="H4855" s="5">
        <v>0.0867</v>
      </c>
      <c r="I4855" s="8">
        <f t="shared" si="301"/>
        <v>1368603600</v>
      </c>
      <c r="J4855" s="8">
        <f t="shared" si="302"/>
        <v>118657932.12</v>
      </c>
      <c r="K4855" t="str">
        <f t="shared" si="303"/>
        <v>MATCHED</v>
      </c>
    </row>
    <row r="4856" spans="1:11">
      <c r="A4856" t="s">
        <v>122</v>
      </c>
      <c r="B4856" t="s">
        <v>1704</v>
      </c>
      <c r="C4856" t="s">
        <v>910</v>
      </c>
      <c r="D4856" t="s">
        <v>911</v>
      </c>
      <c r="E4856" s="8">
        <v>80</v>
      </c>
      <c r="F4856" s="8">
        <v>86620</v>
      </c>
      <c r="G4856" s="8">
        <f t="shared" si="300"/>
        <v>6929600</v>
      </c>
      <c r="H4856" s="5">
        <v>0</v>
      </c>
      <c r="I4856" s="8">
        <f t="shared" si="301"/>
        <v>6929600</v>
      </c>
      <c r="J4856" s="8">
        <f t="shared" si="302"/>
        <v>0</v>
      </c>
      <c r="K4856" t="str">
        <f t="shared" si="303"/>
        <v>MATCHED</v>
      </c>
    </row>
    <row r="4857" spans="1:11">
      <c r="A4857" t="s">
        <v>122</v>
      </c>
      <c r="B4857" t="s">
        <v>1704</v>
      </c>
      <c r="C4857" t="s">
        <v>1082</v>
      </c>
      <c r="D4857" t="s">
        <v>1083</v>
      </c>
      <c r="E4857" s="8">
        <v>120</v>
      </c>
      <c r="F4857" s="8">
        <v>48360</v>
      </c>
      <c r="G4857" s="8">
        <f t="shared" si="300"/>
        <v>5803200</v>
      </c>
      <c r="H4857" s="5">
        <v>0.2868</v>
      </c>
      <c r="I4857" s="8">
        <f t="shared" si="301"/>
        <v>5803200</v>
      </c>
      <c r="J4857" s="8">
        <f t="shared" si="302"/>
        <v>1664357.76</v>
      </c>
      <c r="K4857" t="str">
        <f t="shared" si="303"/>
        <v>MATCHED</v>
      </c>
    </row>
    <row r="4858" spans="1:11">
      <c r="A4858" t="s">
        <v>122</v>
      </c>
      <c r="B4858" t="s">
        <v>1704</v>
      </c>
      <c r="C4858" t="s">
        <v>1086</v>
      </c>
      <c r="D4858" t="s">
        <v>1087</v>
      </c>
      <c r="E4858" s="8">
        <v>50</v>
      </c>
      <c r="F4858" s="8">
        <v>62600</v>
      </c>
      <c r="G4858" s="8">
        <f t="shared" si="300"/>
        <v>3130000</v>
      </c>
      <c r="H4858" s="5">
        <v>0.0679</v>
      </c>
      <c r="I4858" s="8">
        <f t="shared" si="301"/>
        <v>3130000</v>
      </c>
      <c r="J4858" s="8">
        <f t="shared" si="302"/>
        <v>212527</v>
      </c>
      <c r="K4858" t="str">
        <f t="shared" si="303"/>
        <v>MATCHED</v>
      </c>
    </row>
    <row r="4859" spans="1:11">
      <c r="A4859" t="s">
        <v>122</v>
      </c>
      <c r="B4859" t="s">
        <v>1704</v>
      </c>
      <c r="C4859" t="s">
        <v>451</v>
      </c>
      <c r="D4859" t="s">
        <v>452</v>
      </c>
      <c r="E4859" s="8">
        <v>310</v>
      </c>
      <c r="F4859" s="8">
        <v>38900</v>
      </c>
      <c r="G4859" s="8">
        <f t="shared" si="300"/>
        <v>12059000</v>
      </c>
      <c r="H4859" s="5">
        <v>0.0594</v>
      </c>
      <c r="I4859" s="8">
        <f t="shared" si="301"/>
        <v>12059000</v>
      </c>
      <c r="J4859" s="8">
        <f t="shared" si="302"/>
        <v>716304.6</v>
      </c>
      <c r="K4859" t="str">
        <f t="shared" si="303"/>
        <v>MATCHED</v>
      </c>
    </row>
    <row r="4860" spans="1:11">
      <c r="A4860" t="s">
        <v>122</v>
      </c>
      <c r="B4860" t="s">
        <v>1704</v>
      </c>
      <c r="C4860" t="s">
        <v>453</v>
      </c>
      <c r="D4860" t="s">
        <v>454</v>
      </c>
      <c r="E4860" s="8">
        <v>1040</v>
      </c>
      <c r="F4860" s="8">
        <v>62650</v>
      </c>
      <c r="G4860" s="8">
        <f t="shared" si="300"/>
        <v>65156000</v>
      </c>
      <c r="H4860" s="5">
        <v>0.1667</v>
      </c>
      <c r="I4860" s="8">
        <f t="shared" si="301"/>
        <v>65156000</v>
      </c>
      <c r="J4860" s="8">
        <f t="shared" si="302"/>
        <v>10861505.2</v>
      </c>
      <c r="K4860" t="str">
        <f t="shared" si="303"/>
        <v>MATCHED</v>
      </c>
    </row>
    <row r="4861" spans="1:11">
      <c r="A4861" t="s">
        <v>122</v>
      </c>
      <c r="B4861" t="s">
        <v>1704</v>
      </c>
      <c r="C4861" t="s">
        <v>455</v>
      </c>
      <c r="D4861" t="s">
        <v>456</v>
      </c>
      <c r="E4861" s="8">
        <v>3630</v>
      </c>
      <c r="F4861" s="8">
        <v>95680</v>
      </c>
      <c r="G4861" s="8">
        <f t="shared" si="300"/>
        <v>347318400</v>
      </c>
      <c r="H4861" s="5">
        <v>0.3775</v>
      </c>
      <c r="I4861" s="8">
        <f t="shared" si="301"/>
        <v>347318400</v>
      </c>
      <c r="J4861" s="8">
        <f t="shared" si="302"/>
        <v>131112696</v>
      </c>
      <c r="K4861" t="str">
        <f t="shared" si="303"/>
        <v>MATCHED</v>
      </c>
    </row>
    <row r="4862" spans="1:11">
      <c r="A4862" t="s">
        <v>122</v>
      </c>
      <c r="B4862" t="s">
        <v>1704</v>
      </c>
      <c r="C4862" t="s">
        <v>912</v>
      </c>
      <c r="D4862" t="s">
        <v>913</v>
      </c>
      <c r="E4862" s="8">
        <v>530</v>
      </c>
      <c r="F4862" s="8">
        <v>49870</v>
      </c>
      <c r="G4862" s="8">
        <f t="shared" si="300"/>
        <v>26431100</v>
      </c>
      <c r="H4862" s="5">
        <v>0.0559</v>
      </c>
      <c r="I4862" s="8">
        <f t="shared" si="301"/>
        <v>26431100</v>
      </c>
      <c r="J4862" s="8">
        <f t="shared" si="302"/>
        <v>1477498.49</v>
      </c>
      <c r="K4862" t="str">
        <f t="shared" si="303"/>
        <v>MATCHED</v>
      </c>
    </row>
    <row r="4863" spans="1:11">
      <c r="A4863" t="s">
        <v>122</v>
      </c>
      <c r="B4863" t="s">
        <v>1704</v>
      </c>
      <c r="C4863" t="s">
        <v>457</v>
      </c>
      <c r="D4863" t="s">
        <v>458</v>
      </c>
      <c r="E4863" s="8">
        <v>3540</v>
      </c>
      <c r="F4863" s="8">
        <v>45850</v>
      </c>
      <c r="G4863" s="8">
        <f t="shared" si="300"/>
        <v>162309000</v>
      </c>
      <c r="H4863" s="5">
        <v>0.15</v>
      </c>
      <c r="I4863" s="8">
        <f t="shared" si="301"/>
        <v>162309000</v>
      </c>
      <c r="J4863" s="8">
        <f t="shared" si="302"/>
        <v>24346350</v>
      </c>
      <c r="K4863" t="str">
        <f t="shared" si="303"/>
        <v>MATCHED</v>
      </c>
    </row>
    <row r="4864" spans="1:11">
      <c r="A4864" t="s">
        <v>122</v>
      </c>
      <c r="B4864" t="s">
        <v>1704</v>
      </c>
      <c r="C4864" t="s">
        <v>1322</v>
      </c>
      <c r="D4864" t="s">
        <v>1323</v>
      </c>
      <c r="E4864" s="8">
        <v>200</v>
      </c>
      <c r="F4864" s="8">
        <v>40200</v>
      </c>
      <c r="G4864" s="8">
        <f t="shared" si="300"/>
        <v>8040000</v>
      </c>
      <c r="H4864" s="5">
        <v>0.1444</v>
      </c>
      <c r="I4864" s="8">
        <f t="shared" si="301"/>
        <v>8040000</v>
      </c>
      <c r="J4864" s="8">
        <f t="shared" si="302"/>
        <v>1160976</v>
      </c>
      <c r="K4864" t="str">
        <f t="shared" si="303"/>
        <v>MATCHED</v>
      </c>
    </row>
    <row r="4865" spans="1:11">
      <c r="A4865" t="s">
        <v>122</v>
      </c>
      <c r="B4865" t="s">
        <v>1704</v>
      </c>
      <c r="C4865" t="s">
        <v>459</v>
      </c>
      <c r="D4865" t="s">
        <v>460</v>
      </c>
      <c r="E4865" s="8"/>
      <c r="F4865" s="8">
        <v>54680</v>
      </c>
      <c r="G4865" s="8" t="str">
        <f t="shared" si="300"/>
        <v/>
      </c>
      <c r="H4865" s="5">
        <v>0.0475</v>
      </c>
      <c r="I4865" s="8" t="str">
        <f t="shared" si="301"/>
        <v/>
      </c>
      <c r="J4865" s="8" t="str">
        <f t="shared" si="302"/>
        <v/>
      </c>
      <c r="K4865" t="str">
        <f t="shared" si="303"/>
        <v>MISSING OEWS</v>
      </c>
    </row>
    <row r="4866" spans="1:11">
      <c r="A4866" t="s">
        <v>122</v>
      </c>
      <c r="B4866" t="s">
        <v>1704</v>
      </c>
      <c r="C4866" t="s">
        <v>461</v>
      </c>
      <c r="D4866" t="s">
        <v>462</v>
      </c>
      <c r="E4866" s="8">
        <v>70</v>
      </c>
      <c r="F4866" s="8">
        <v>42020</v>
      </c>
      <c r="G4866" s="8">
        <f t="shared" ref="G4866:G4929" si="304">IF(OR(E4866="",F4866=""),"",E4866*F4866)</f>
        <v>2941400</v>
      </c>
      <c r="H4866" s="5">
        <v>0.038</v>
      </c>
      <c r="I4866" s="8">
        <f t="shared" ref="I4866:I4929" si="305">IF(G4866="","",IF(ISNUMBER(H4866),G4866,""))</f>
        <v>2941400</v>
      </c>
      <c r="J4866" s="8">
        <f t="shared" ref="J4866:J4929" si="306">IF(I4866="","",I4866*H4866)</f>
        <v>111773.2</v>
      </c>
      <c r="K4866" t="str">
        <f t="shared" ref="K4866:K4929" si="307">IF(G4866="","MISSING OEWS",IF(ISNUMBER(H4866),"MATCHED","MISSING WHARTON"))</f>
        <v>MATCHED</v>
      </c>
    </row>
    <row r="4867" spans="1:11">
      <c r="A4867" t="s">
        <v>122</v>
      </c>
      <c r="B4867" t="s">
        <v>1704</v>
      </c>
      <c r="C4867" t="s">
        <v>463</v>
      </c>
      <c r="D4867" t="s">
        <v>464</v>
      </c>
      <c r="E4867" s="8"/>
      <c r="F4867" s="8">
        <v>39660</v>
      </c>
      <c r="G4867" s="8" t="str">
        <f t="shared" si="304"/>
        <v/>
      </c>
      <c r="H4867" s="5"/>
      <c r="I4867" s="8" t="str">
        <f t="shared" si="305"/>
        <v/>
      </c>
      <c r="J4867" s="8" t="str">
        <f t="shared" si="306"/>
        <v/>
      </c>
      <c r="K4867" t="str">
        <f t="shared" si="307"/>
        <v>MISSING OEWS</v>
      </c>
    </row>
    <row r="4868" spans="1:11">
      <c r="A4868" t="s">
        <v>122</v>
      </c>
      <c r="B4868" t="s">
        <v>1704</v>
      </c>
      <c r="C4868" t="s">
        <v>1096</v>
      </c>
      <c r="D4868" t="s">
        <v>1097</v>
      </c>
      <c r="E4868" s="8">
        <v>540</v>
      </c>
      <c r="F4868" s="8">
        <v>55600</v>
      </c>
      <c r="G4868" s="8">
        <f t="shared" si="304"/>
        <v>30024000</v>
      </c>
      <c r="H4868" s="5">
        <v>0</v>
      </c>
      <c r="I4868" s="8">
        <f t="shared" si="305"/>
        <v>30024000</v>
      </c>
      <c r="J4868" s="8">
        <f t="shared" si="306"/>
        <v>0</v>
      </c>
      <c r="K4868" t="str">
        <f t="shared" si="307"/>
        <v>MATCHED</v>
      </c>
    </row>
    <row r="4869" spans="1:11">
      <c r="A4869" t="s">
        <v>122</v>
      </c>
      <c r="B4869" t="s">
        <v>1704</v>
      </c>
      <c r="C4869" t="s">
        <v>1100</v>
      </c>
      <c r="D4869" t="s">
        <v>1101</v>
      </c>
      <c r="E4869" s="8">
        <v>380</v>
      </c>
      <c r="F4869" s="8">
        <v>46640</v>
      </c>
      <c r="G4869" s="8">
        <f t="shared" si="304"/>
        <v>17723200</v>
      </c>
      <c r="H4869" s="5">
        <v>0.0297</v>
      </c>
      <c r="I4869" s="8">
        <f t="shared" si="305"/>
        <v>17723200</v>
      </c>
      <c r="J4869" s="8">
        <f t="shared" si="306"/>
        <v>526379.04</v>
      </c>
      <c r="K4869" t="str">
        <f t="shared" si="307"/>
        <v>MATCHED</v>
      </c>
    </row>
    <row r="4870" spans="1:11">
      <c r="A4870" t="s">
        <v>122</v>
      </c>
      <c r="B4870" t="s">
        <v>1704</v>
      </c>
      <c r="C4870" t="s">
        <v>1102</v>
      </c>
      <c r="D4870" t="s">
        <v>1103</v>
      </c>
      <c r="E4870" s="8"/>
      <c r="F4870" s="8">
        <v>54340</v>
      </c>
      <c r="G4870" s="8" t="str">
        <f t="shared" si="304"/>
        <v/>
      </c>
      <c r="H4870" s="5">
        <v>0.0917</v>
      </c>
      <c r="I4870" s="8" t="str">
        <f t="shared" si="305"/>
        <v/>
      </c>
      <c r="J4870" s="8" t="str">
        <f t="shared" si="306"/>
        <v/>
      </c>
      <c r="K4870" t="str">
        <f t="shared" si="307"/>
        <v>MISSING OEWS</v>
      </c>
    </row>
    <row r="4871" spans="1:11">
      <c r="A4871" t="s">
        <v>122</v>
      </c>
      <c r="B4871" t="s">
        <v>1704</v>
      </c>
      <c r="C4871" t="s">
        <v>754</v>
      </c>
      <c r="D4871" t="s">
        <v>755</v>
      </c>
      <c r="E4871" s="8"/>
      <c r="F4871" s="8">
        <v>56170</v>
      </c>
      <c r="G4871" s="8" t="str">
        <f t="shared" si="304"/>
        <v/>
      </c>
      <c r="H4871" s="5">
        <v>0.0633</v>
      </c>
      <c r="I4871" s="8" t="str">
        <f t="shared" si="305"/>
        <v/>
      </c>
      <c r="J4871" s="8" t="str">
        <f t="shared" si="306"/>
        <v/>
      </c>
      <c r="K4871" t="str">
        <f t="shared" si="307"/>
        <v>MISSING OEWS</v>
      </c>
    </row>
    <row r="4872" spans="1:11">
      <c r="A4872" t="s">
        <v>122</v>
      </c>
      <c r="B4872" t="s">
        <v>1704</v>
      </c>
      <c r="C4872" t="s">
        <v>756</v>
      </c>
      <c r="D4872" t="s">
        <v>757</v>
      </c>
      <c r="E4872" s="8">
        <v>280</v>
      </c>
      <c r="F4872" s="8">
        <v>67980</v>
      </c>
      <c r="G4872" s="8">
        <f t="shared" si="304"/>
        <v>19034400</v>
      </c>
      <c r="H4872" s="5">
        <v>0.0897</v>
      </c>
      <c r="I4872" s="8">
        <f t="shared" si="305"/>
        <v>19034400</v>
      </c>
      <c r="J4872" s="8">
        <f t="shared" si="306"/>
        <v>1707385.68</v>
      </c>
      <c r="K4872" t="str">
        <f t="shared" si="307"/>
        <v>MATCHED</v>
      </c>
    </row>
    <row r="4873" spans="1:11">
      <c r="A4873" t="s">
        <v>122</v>
      </c>
      <c r="B4873" t="s">
        <v>1704</v>
      </c>
      <c r="C4873" t="s">
        <v>1334</v>
      </c>
      <c r="D4873" t="s">
        <v>1335</v>
      </c>
      <c r="E4873" s="8">
        <v>40</v>
      </c>
      <c r="F4873" s="8">
        <v>72670</v>
      </c>
      <c r="G4873" s="8">
        <f t="shared" si="304"/>
        <v>2906800</v>
      </c>
      <c r="H4873" s="5">
        <v>0.0594</v>
      </c>
      <c r="I4873" s="8">
        <f t="shared" si="305"/>
        <v>2906800</v>
      </c>
      <c r="J4873" s="8">
        <f t="shared" si="306"/>
        <v>172663.92</v>
      </c>
      <c r="K4873" t="str">
        <f t="shared" si="307"/>
        <v>MATCHED</v>
      </c>
    </row>
    <row r="4874" spans="1:11">
      <c r="A4874" t="s">
        <v>122</v>
      </c>
      <c r="B4874" t="s">
        <v>1704</v>
      </c>
      <c r="C4874" t="s">
        <v>1106</v>
      </c>
      <c r="D4874" t="s">
        <v>1107</v>
      </c>
      <c r="E4874" s="8">
        <v>70</v>
      </c>
      <c r="F4874" s="8">
        <v>50170</v>
      </c>
      <c r="G4874" s="8">
        <f t="shared" si="304"/>
        <v>3511900</v>
      </c>
      <c r="H4874" s="5">
        <v>0.0288</v>
      </c>
      <c r="I4874" s="8">
        <f t="shared" si="305"/>
        <v>3511900</v>
      </c>
      <c r="J4874" s="8">
        <f t="shared" si="306"/>
        <v>101142.72</v>
      </c>
      <c r="K4874" t="str">
        <f t="shared" si="307"/>
        <v>MATCHED</v>
      </c>
    </row>
    <row r="4875" spans="1:11">
      <c r="A4875" t="s">
        <v>122</v>
      </c>
      <c r="B4875" t="s">
        <v>1704</v>
      </c>
      <c r="C4875" t="s">
        <v>1108</v>
      </c>
      <c r="D4875" t="s">
        <v>1109</v>
      </c>
      <c r="E4875" s="8">
        <v>190</v>
      </c>
      <c r="F4875" s="8">
        <v>54190</v>
      </c>
      <c r="G4875" s="8">
        <f t="shared" si="304"/>
        <v>10296100</v>
      </c>
      <c r="H4875" s="5">
        <v>0.169</v>
      </c>
      <c r="I4875" s="8">
        <f t="shared" si="305"/>
        <v>10296100</v>
      </c>
      <c r="J4875" s="8">
        <f t="shared" si="306"/>
        <v>1740040.9</v>
      </c>
      <c r="K4875" t="str">
        <f t="shared" si="307"/>
        <v>MATCHED</v>
      </c>
    </row>
    <row r="4876" spans="1:11">
      <c r="A4876" t="s">
        <v>122</v>
      </c>
      <c r="B4876" t="s">
        <v>1704</v>
      </c>
      <c r="C4876" t="s">
        <v>760</v>
      </c>
      <c r="D4876" t="s">
        <v>761</v>
      </c>
      <c r="E4876" s="8">
        <v>210</v>
      </c>
      <c r="F4876" s="8">
        <v>64930</v>
      </c>
      <c r="G4876" s="8">
        <f t="shared" si="304"/>
        <v>13635300</v>
      </c>
      <c r="H4876" s="5">
        <v>0.0559</v>
      </c>
      <c r="I4876" s="8">
        <f t="shared" si="305"/>
        <v>13635300</v>
      </c>
      <c r="J4876" s="8">
        <f t="shared" si="306"/>
        <v>762213.27</v>
      </c>
      <c r="K4876" t="str">
        <f t="shared" si="307"/>
        <v>MATCHED</v>
      </c>
    </row>
    <row r="4877" spans="1:11">
      <c r="A4877" t="s">
        <v>122</v>
      </c>
      <c r="B4877" t="s">
        <v>1704</v>
      </c>
      <c r="C4877" t="s">
        <v>465</v>
      </c>
      <c r="D4877" t="s">
        <v>466</v>
      </c>
      <c r="E4877" s="8">
        <v>640</v>
      </c>
      <c r="F4877" s="8">
        <v>60970</v>
      </c>
      <c r="G4877" s="8">
        <f t="shared" si="304"/>
        <v>39020800</v>
      </c>
      <c r="H4877" s="5">
        <v>0.0233</v>
      </c>
      <c r="I4877" s="8">
        <f t="shared" si="305"/>
        <v>39020800</v>
      </c>
      <c r="J4877" s="8">
        <f t="shared" si="306"/>
        <v>909184.64</v>
      </c>
      <c r="K4877" t="str">
        <f t="shared" si="307"/>
        <v>MATCHED</v>
      </c>
    </row>
    <row r="4878" spans="1:11">
      <c r="A4878" t="s">
        <v>122</v>
      </c>
      <c r="B4878" t="s">
        <v>1704</v>
      </c>
      <c r="C4878" t="s">
        <v>1342</v>
      </c>
      <c r="D4878" t="s">
        <v>1343</v>
      </c>
      <c r="E4878" s="8">
        <v>550</v>
      </c>
      <c r="F4878" s="8">
        <v>51120</v>
      </c>
      <c r="G4878" s="8">
        <f t="shared" si="304"/>
        <v>28116000</v>
      </c>
      <c r="H4878" s="5">
        <v>0.42</v>
      </c>
      <c r="I4878" s="8">
        <f t="shared" si="305"/>
        <v>28116000</v>
      </c>
      <c r="J4878" s="8">
        <f t="shared" si="306"/>
        <v>11808720</v>
      </c>
      <c r="K4878" t="str">
        <f t="shared" si="307"/>
        <v>MATCHED</v>
      </c>
    </row>
    <row r="4879" spans="1:11">
      <c r="A4879" t="s">
        <v>122</v>
      </c>
      <c r="B4879" t="s">
        <v>1704</v>
      </c>
      <c r="C4879" t="s">
        <v>1344</v>
      </c>
      <c r="D4879" t="s">
        <v>1345</v>
      </c>
      <c r="E4879" s="8">
        <v>1050</v>
      </c>
      <c r="F4879" s="8">
        <v>51130</v>
      </c>
      <c r="G4879" s="8">
        <f t="shared" si="304"/>
        <v>53686500</v>
      </c>
      <c r="H4879" s="5">
        <v>0.3348</v>
      </c>
      <c r="I4879" s="8">
        <f t="shared" si="305"/>
        <v>53686500</v>
      </c>
      <c r="J4879" s="8">
        <f t="shared" si="306"/>
        <v>17974240.2</v>
      </c>
      <c r="K4879" t="str">
        <f t="shared" si="307"/>
        <v>MATCHED</v>
      </c>
    </row>
    <row r="4880" spans="1:11">
      <c r="A4880" t="s">
        <v>122</v>
      </c>
      <c r="B4880" t="s">
        <v>1704</v>
      </c>
      <c r="C4880" t="s">
        <v>1346</v>
      </c>
      <c r="D4880" t="s">
        <v>1347</v>
      </c>
      <c r="E4880" s="8">
        <v>90</v>
      </c>
      <c r="F4880" s="8">
        <v>44290</v>
      </c>
      <c r="G4880" s="8">
        <f t="shared" si="304"/>
        <v>3986100</v>
      </c>
      <c r="H4880" s="5">
        <v>0.0385</v>
      </c>
      <c r="I4880" s="8">
        <f t="shared" si="305"/>
        <v>3986100</v>
      </c>
      <c r="J4880" s="8">
        <f t="shared" si="306"/>
        <v>153464.85</v>
      </c>
      <c r="K4880" t="str">
        <f t="shared" si="307"/>
        <v>MATCHED</v>
      </c>
    </row>
    <row r="4881" spans="1:11">
      <c r="A4881" t="s">
        <v>122</v>
      </c>
      <c r="B4881" t="s">
        <v>1704</v>
      </c>
      <c r="C4881" t="s">
        <v>1116</v>
      </c>
      <c r="D4881" t="s">
        <v>1117</v>
      </c>
      <c r="E4881" s="8">
        <v>860</v>
      </c>
      <c r="F4881" s="8">
        <v>37400</v>
      </c>
      <c r="G4881" s="8">
        <f t="shared" si="304"/>
        <v>32164000</v>
      </c>
      <c r="H4881" s="5">
        <v>0</v>
      </c>
      <c r="I4881" s="8">
        <f t="shared" si="305"/>
        <v>32164000</v>
      </c>
      <c r="J4881" s="8">
        <f t="shared" si="306"/>
        <v>0</v>
      </c>
      <c r="K4881" t="str">
        <f t="shared" si="307"/>
        <v>MATCHED</v>
      </c>
    </row>
    <row r="4882" spans="1:11">
      <c r="A4882" t="s">
        <v>122</v>
      </c>
      <c r="B4882" t="s">
        <v>1704</v>
      </c>
      <c r="C4882" t="s">
        <v>1118</v>
      </c>
      <c r="D4882" t="s">
        <v>1119</v>
      </c>
      <c r="E4882" s="8"/>
      <c r="F4882" s="8">
        <v>33590</v>
      </c>
      <c r="G4882" s="8" t="str">
        <f t="shared" si="304"/>
        <v/>
      </c>
      <c r="H4882" s="5">
        <v>0.0365</v>
      </c>
      <c r="I4882" s="8" t="str">
        <f t="shared" si="305"/>
        <v/>
      </c>
      <c r="J4882" s="8" t="str">
        <f t="shared" si="306"/>
        <v/>
      </c>
      <c r="K4882" t="str">
        <f t="shared" si="307"/>
        <v>MISSING OEWS</v>
      </c>
    </row>
    <row r="4883" spans="1:11">
      <c r="A4883" t="s">
        <v>122</v>
      </c>
      <c r="B4883" t="s">
        <v>1704</v>
      </c>
      <c r="C4883" t="s">
        <v>1356</v>
      </c>
      <c r="D4883" t="s">
        <v>1357</v>
      </c>
      <c r="E4883" s="8">
        <v>60</v>
      </c>
      <c r="F4883" s="8">
        <v>53520</v>
      </c>
      <c r="G4883" s="8">
        <f t="shared" si="304"/>
        <v>3211200</v>
      </c>
      <c r="H4883" s="5">
        <v>0.0432</v>
      </c>
      <c r="I4883" s="8">
        <f t="shared" si="305"/>
        <v>3211200</v>
      </c>
      <c r="J4883" s="8">
        <f t="shared" si="306"/>
        <v>138723.84</v>
      </c>
      <c r="K4883" t="str">
        <f t="shared" si="307"/>
        <v>MATCHED</v>
      </c>
    </row>
    <row r="4884" spans="1:11">
      <c r="A4884" t="s">
        <v>122</v>
      </c>
      <c r="B4884" t="s">
        <v>1704</v>
      </c>
      <c r="C4884" t="s">
        <v>1368</v>
      </c>
      <c r="D4884" t="s">
        <v>1369</v>
      </c>
      <c r="E4884" s="8">
        <v>390</v>
      </c>
      <c r="F4884" s="8">
        <v>105820</v>
      </c>
      <c r="G4884" s="8">
        <f t="shared" si="304"/>
        <v>41269800</v>
      </c>
      <c r="H4884" s="5">
        <v>0.1625</v>
      </c>
      <c r="I4884" s="8">
        <f t="shared" si="305"/>
        <v>41269800</v>
      </c>
      <c r="J4884" s="8">
        <f t="shared" si="306"/>
        <v>6706342.5</v>
      </c>
      <c r="K4884" t="str">
        <f t="shared" si="307"/>
        <v>MATCHED</v>
      </c>
    </row>
    <row r="4885" spans="1:11">
      <c r="A4885" t="s">
        <v>122</v>
      </c>
      <c r="B4885" t="s">
        <v>1704</v>
      </c>
      <c r="C4885" t="s">
        <v>1370</v>
      </c>
      <c r="D4885" t="s">
        <v>1371</v>
      </c>
      <c r="E4885" s="8"/>
      <c r="F4885" s="8">
        <v>39880</v>
      </c>
      <c r="G4885" s="8" t="str">
        <f t="shared" si="304"/>
        <v/>
      </c>
      <c r="H4885" s="5"/>
      <c r="I4885" s="8" t="str">
        <f t="shared" si="305"/>
        <v/>
      </c>
      <c r="J4885" s="8" t="str">
        <f t="shared" si="306"/>
        <v/>
      </c>
      <c r="K4885" t="str">
        <f t="shared" si="307"/>
        <v>MISSING OEWS</v>
      </c>
    </row>
    <row r="4886" spans="1:11">
      <c r="A4886" t="s">
        <v>122</v>
      </c>
      <c r="B4886" t="s">
        <v>1704</v>
      </c>
      <c r="C4886" t="s">
        <v>1122</v>
      </c>
      <c r="D4886" t="s">
        <v>1123</v>
      </c>
      <c r="E4886" s="8"/>
      <c r="F4886" s="8">
        <v>40350</v>
      </c>
      <c r="G4886" s="8" t="str">
        <f t="shared" si="304"/>
        <v/>
      </c>
      <c r="H4886" s="5">
        <v>0.13</v>
      </c>
      <c r="I4886" s="8" t="str">
        <f t="shared" si="305"/>
        <v/>
      </c>
      <c r="J4886" s="8" t="str">
        <f t="shared" si="306"/>
        <v/>
      </c>
      <c r="K4886" t="str">
        <f t="shared" si="307"/>
        <v>MISSING OEWS</v>
      </c>
    </row>
    <row r="4887" spans="1:11">
      <c r="A4887" t="s">
        <v>122</v>
      </c>
      <c r="B4887" t="s">
        <v>1704</v>
      </c>
      <c r="C4887" t="s">
        <v>1124</v>
      </c>
      <c r="D4887" t="s">
        <v>1125</v>
      </c>
      <c r="E4887" s="8"/>
      <c r="F4887" s="8">
        <v>50330</v>
      </c>
      <c r="G4887" s="8" t="str">
        <f t="shared" si="304"/>
        <v/>
      </c>
      <c r="H4887" s="5">
        <v>0</v>
      </c>
      <c r="I4887" s="8" t="str">
        <f t="shared" si="305"/>
        <v/>
      </c>
      <c r="J4887" s="8" t="str">
        <f t="shared" si="306"/>
        <v/>
      </c>
      <c r="K4887" t="str">
        <f t="shared" si="307"/>
        <v>MISSING OEWS</v>
      </c>
    </row>
    <row r="4888" spans="1:11">
      <c r="A4888" t="s">
        <v>122</v>
      </c>
      <c r="B4888" t="s">
        <v>1704</v>
      </c>
      <c r="C4888" t="s">
        <v>914</v>
      </c>
      <c r="D4888" t="s">
        <v>915</v>
      </c>
      <c r="E4888" s="8">
        <v>50</v>
      </c>
      <c r="F4888" s="8">
        <v>122070</v>
      </c>
      <c r="G4888" s="8">
        <f t="shared" si="304"/>
        <v>6103500</v>
      </c>
      <c r="H4888" s="5">
        <v>0.1425</v>
      </c>
      <c r="I4888" s="8">
        <f t="shared" si="305"/>
        <v>6103500</v>
      </c>
      <c r="J4888" s="8">
        <f t="shared" si="306"/>
        <v>869748.75</v>
      </c>
      <c r="K4888" t="str">
        <f t="shared" si="307"/>
        <v>MATCHED</v>
      </c>
    </row>
    <row r="4889" spans="1:11">
      <c r="A4889" t="s">
        <v>122</v>
      </c>
      <c r="B4889" t="s">
        <v>1704</v>
      </c>
      <c r="C4889" t="s">
        <v>916</v>
      </c>
      <c r="D4889" t="s">
        <v>917</v>
      </c>
      <c r="E4889" s="8">
        <v>820</v>
      </c>
      <c r="F4889" s="8">
        <v>118030</v>
      </c>
      <c r="G4889" s="8">
        <f t="shared" si="304"/>
        <v>96784600</v>
      </c>
      <c r="H4889" s="5">
        <v>0.4267</v>
      </c>
      <c r="I4889" s="8">
        <f t="shared" si="305"/>
        <v>96784600</v>
      </c>
      <c r="J4889" s="8">
        <f t="shared" si="306"/>
        <v>41297988.82</v>
      </c>
      <c r="K4889" t="str">
        <f t="shared" si="307"/>
        <v>MATCHED</v>
      </c>
    </row>
    <row r="4890" spans="1:11">
      <c r="A4890" t="s">
        <v>122</v>
      </c>
      <c r="B4890" t="s">
        <v>1704</v>
      </c>
      <c r="C4890" t="s">
        <v>766</v>
      </c>
      <c r="D4890" t="s">
        <v>767</v>
      </c>
      <c r="E4890" s="8">
        <v>480</v>
      </c>
      <c r="F4890" s="8">
        <v>107350</v>
      </c>
      <c r="G4890" s="8">
        <f t="shared" si="304"/>
        <v>51528000</v>
      </c>
      <c r="H4890" s="5">
        <v>0.1618</v>
      </c>
      <c r="I4890" s="8">
        <f t="shared" si="305"/>
        <v>51528000</v>
      </c>
      <c r="J4890" s="8">
        <f t="shared" si="306"/>
        <v>8337230.4</v>
      </c>
      <c r="K4890" t="str">
        <f t="shared" si="307"/>
        <v>MATCHED</v>
      </c>
    </row>
    <row r="4891" spans="1:11">
      <c r="A4891" t="s">
        <v>122</v>
      </c>
      <c r="B4891" t="s">
        <v>1704</v>
      </c>
      <c r="C4891" t="s">
        <v>768</v>
      </c>
      <c r="D4891" t="s">
        <v>769</v>
      </c>
      <c r="E4891" s="8">
        <v>160</v>
      </c>
      <c r="F4891" s="8">
        <v>80650</v>
      </c>
      <c r="G4891" s="8">
        <f t="shared" si="304"/>
        <v>12904000</v>
      </c>
      <c r="H4891" s="5">
        <v>0.104</v>
      </c>
      <c r="I4891" s="8">
        <f t="shared" si="305"/>
        <v>12904000</v>
      </c>
      <c r="J4891" s="8">
        <f t="shared" si="306"/>
        <v>1342016</v>
      </c>
      <c r="K4891" t="str">
        <f t="shared" si="307"/>
        <v>MATCHED</v>
      </c>
    </row>
    <row r="4892" spans="1:11">
      <c r="A4892" t="s">
        <v>122</v>
      </c>
      <c r="B4892" t="s">
        <v>1704</v>
      </c>
      <c r="C4892" t="s">
        <v>770</v>
      </c>
      <c r="D4892" t="s">
        <v>771</v>
      </c>
      <c r="E4892" s="8"/>
      <c r="F4892" s="8">
        <v>67950</v>
      </c>
      <c r="G4892" s="8" t="str">
        <f t="shared" si="304"/>
        <v/>
      </c>
      <c r="H4892" s="5">
        <v>0.1188</v>
      </c>
      <c r="I4892" s="8" t="str">
        <f t="shared" si="305"/>
        <v/>
      </c>
      <c r="J4892" s="8" t="str">
        <f t="shared" si="306"/>
        <v/>
      </c>
      <c r="K4892" t="str">
        <f t="shared" si="307"/>
        <v>MISSING OEWS</v>
      </c>
    </row>
    <row r="4893" spans="1:11">
      <c r="A4893" t="s">
        <v>122</v>
      </c>
      <c r="B4893" t="s">
        <v>1704</v>
      </c>
      <c r="C4893" t="s">
        <v>774</v>
      </c>
      <c r="D4893" t="s">
        <v>775</v>
      </c>
      <c r="E4893" s="8">
        <v>420</v>
      </c>
      <c r="F4893" s="8">
        <v>96090</v>
      </c>
      <c r="G4893" s="8">
        <f t="shared" si="304"/>
        <v>40357800</v>
      </c>
      <c r="H4893" s="5">
        <v>0.15</v>
      </c>
      <c r="I4893" s="8">
        <f t="shared" si="305"/>
        <v>40357800</v>
      </c>
      <c r="J4893" s="8">
        <f t="shared" si="306"/>
        <v>6053670</v>
      </c>
      <c r="K4893" t="str">
        <f t="shared" si="307"/>
        <v>MATCHED</v>
      </c>
    </row>
    <row r="4894" spans="1:11">
      <c r="A4894" t="s">
        <v>122</v>
      </c>
      <c r="B4894" t="s">
        <v>1704</v>
      </c>
      <c r="C4894" t="s">
        <v>776</v>
      </c>
      <c r="D4894" t="s">
        <v>777</v>
      </c>
      <c r="E4894" s="8"/>
      <c r="F4894" s="8">
        <v>68790</v>
      </c>
      <c r="G4894" s="8" t="str">
        <f t="shared" si="304"/>
        <v/>
      </c>
      <c r="H4894" s="5">
        <v>0.1583</v>
      </c>
      <c r="I4894" s="8" t="str">
        <f t="shared" si="305"/>
        <v/>
      </c>
      <c r="J4894" s="8" t="str">
        <f t="shared" si="306"/>
        <v/>
      </c>
      <c r="K4894" t="str">
        <f t="shared" si="307"/>
        <v>MISSING OEWS</v>
      </c>
    </row>
    <row r="4895" spans="1:11">
      <c r="A4895" t="s">
        <v>122</v>
      </c>
      <c r="B4895" t="s">
        <v>1704</v>
      </c>
      <c r="C4895" t="s">
        <v>778</v>
      </c>
      <c r="D4895" t="s">
        <v>779</v>
      </c>
      <c r="E4895" s="8"/>
      <c r="F4895" s="8">
        <v>66450</v>
      </c>
      <c r="G4895" s="8" t="str">
        <f t="shared" si="304"/>
        <v/>
      </c>
      <c r="H4895" s="5">
        <v>0.1</v>
      </c>
      <c r="I4895" s="8" t="str">
        <f t="shared" si="305"/>
        <v/>
      </c>
      <c r="J4895" s="8" t="str">
        <f t="shared" si="306"/>
        <v/>
      </c>
      <c r="K4895" t="str">
        <f t="shared" si="307"/>
        <v>MISSING OEWS</v>
      </c>
    </row>
    <row r="4896" spans="1:11">
      <c r="A4896" t="s">
        <v>122</v>
      </c>
      <c r="B4896" t="s">
        <v>1704</v>
      </c>
      <c r="C4896" t="s">
        <v>469</v>
      </c>
      <c r="D4896" t="s">
        <v>470</v>
      </c>
      <c r="E4896" s="8">
        <v>250</v>
      </c>
      <c r="F4896" s="8">
        <v>56810</v>
      </c>
      <c r="G4896" s="8">
        <f t="shared" si="304"/>
        <v>14202500</v>
      </c>
      <c r="H4896" s="5">
        <v>0.0452</v>
      </c>
      <c r="I4896" s="8">
        <f t="shared" si="305"/>
        <v>14202500</v>
      </c>
      <c r="J4896" s="8">
        <f t="shared" si="306"/>
        <v>641953</v>
      </c>
      <c r="K4896" t="str">
        <f t="shared" si="307"/>
        <v>MATCHED</v>
      </c>
    </row>
    <row r="4897" spans="1:11">
      <c r="A4897" t="s">
        <v>122</v>
      </c>
      <c r="B4897" t="s">
        <v>1704</v>
      </c>
      <c r="C4897" t="s">
        <v>473</v>
      </c>
      <c r="D4897" t="s">
        <v>474</v>
      </c>
      <c r="E4897" s="8">
        <v>280</v>
      </c>
      <c r="F4897" s="8">
        <v>57070</v>
      </c>
      <c r="G4897" s="8">
        <f t="shared" si="304"/>
        <v>15979600</v>
      </c>
      <c r="H4897" s="5">
        <v>0.1026</v>
      </c>
      <c r="I4897" s="8">
        <f t="shared" si="305"/>
        <v>15979600</v>
      </c>
      <c r="J4897" s="8">
        <f t="shared" si="306"/>
        <v>1639506.96</v>
      </c>
      <c r="K4897" t="str">
        <f t="shared" si="307"/>
        <v>MATCHED</v>
      </c>
    </row>
    <row r="4898" spans="1:11">
      <c r="A4898" t="s">
        <v>122</v>
      </c>
      <c r="B4898" t="s">
        <v>1704</v>
      </c>
      <c r="C4898" t="s">
        <v>481</v>
      </c>
      <c r="D4898" t="s">
        <v>482</v>
      </c>
      <c r="E4898" s="8">
        <v>3900</v>
      </c>
      <c r="F4898" s="8">
        <v>58340</v>
      </c>
      <c r="G4898" s="8">
        <f t="shared" si="304"/>
        <v>227526000</v>
      </c>
      <c r="H4898" s="5">
        <v>0.2969</v>
      </c>
      <c r="I4898" s="8">
        <f t="shared" si="305"/>
        <v>227526000</v>
      </c>
      <c r="J4898" s="8">
        <f t="shared" si="306"/>
        <v>67552469.4</v>
      </c>
      <c r="K4898" t="str">
        <f t="shared" si="307"/>
        <v>MATCHED</v>
      </c>
    </row>
    <row r="4899" spans="1:11">
      <c r="A4899" t="s">
        <v>122</v>
      </c>
      <c r="B4899" t="s">
        <v>1704</v>
      </c>
      <c r="C4899" t="s">
        <v>1380</v>
      </c>
      <c r="D4899" t="s">
        <v>1381</v>
      </c>
      <c r="E4899" s="8">
        <v>380</v>
      </c>
      <c r="F4899" s="8">
        <v>86620</v>
      </c>
      <c r="G4899" s="8">
        <f t="shared" si="304"/>
        <v>32915600</v>
      </c>
      <c r="H4899" s="5">
        <v>0.0924</v>
      </c>
      <c r="I4899" s="8">
        <f t="shared" si="305"/>
        <v>32915600</v>
      </c>
      <c r="J4899" s="8">
        <f t="shared" si="306"/>
        <v>3041401.44</v>
      </c>
      <c r="K4899" t="str">
        <f t="shared" si="307"/>
        <v>MATCHED</v>
      </c>
    </row>
    <row r="4900" spans="1:11">
      <c r="A4900" t="s">
        <v>122</v>
      </c>
      <c r="B4900" t="s">
        <v>1704</v>
      </c>
      <c r="C4900" t="s">
        <v>1384</v>
      </c>
      <c r="D4900" t="s">
        <v>1385</v>
      </c>
      <c r="E4900" s="8">
        <v>170</v>
      </c>
      <c r="F4900" s="8">
        <v>59170</v>
      </c>
      <c r="G4900" s="8">
        <f t="shared" si="304"/>
        <v>10058900</v>
      </c>
      <c r="H4900" s="5">
        <v>0</v>
      </c>
      <c r="I4900" s="8">
        <f t="shared" si="305"/>
        <v>10058900</v>
      </c>
      <c r="J4900" s="8">
        <f t="shared" si="306"/>
        <v>0</v>
      </c>
      <c r="K4900" t="str">
        <f t="shared" si="307"/>
        <v>MATCHED</v>
      </c>
    </row>
    <row r="4901" spans="1:11">
      <c r="A4901" t="s">
        <v>122</v>
      </c>
      <c r="B4901" t="s">
        <v>1704</v>
      </c>
      <c r="C4901" t="s">
        <v>483</v>
      </c>
      <c r="D4901" t="s">
        <v>484</v>
      </c>
      <c r="E4901" s="8">
        <v>1060</v>
      </c>
      <c r="F4901" s="8">
        <v>49530</v>
      </c>
      <c r="G4901" s="8">
        <f t="shared" si="304"/>
        <v>52501800</v>
      </c>
      <c r="H4901" s="5">
        <v>0.0475</v>
      </c>
      <c r="I4901" s="8">
        <f t="shared" si="305"/>
        <v>52501800</v>
      </c>
      <c r="J4901" s="8">
        <f t="shared" si="306"/>
        <v>2493835.5</v>
      </c>
      <c r="K4901" t="str">
        <f t="shared" si="307"/>
        <v>MATCHED</v>
      </c>
    </row>
    <row r="4902" spans="1:11">
      <c r="A4902" t="s">
        <v>122</v>
      </c>
      <c r="B4902" t="s">
        <v>1704</v>
      </c>
      <c r="C4902" t="s">
        <v>782</v>
      </c>
      <c r="D4902" t="s">
        <v>783</v>
      </c>
      <c r="E4902" s="8">
        <v>110</v>
      </c>
      <c r="F4902" s="8">
        <v>58300</v>
      </c>
      <c r="G4902" s="8">
        <f t="shared" si="304"/>
        <v>6413000</v>
      </c>
      <c r="H4902" s="5">
        <v>0.0317</v>
      </c>
      <c r="I4902" s="8">
        <f t="shared" si="305"/>
        <v>6413000</v>
      </c>
      <c r="J4902" s="8">
        <f t="shared" si="306"/>
        <v>203292.1</v>
      </c>
      <c r="K4902" t="str">
        <f t="shared" si="307"/>
        <v>MATCHED</v>
      </c>
    </row>
    <row r="4903" spans="1:11">
      <c r="A4903" t="s">
        <v>122</v>
      </c>
      <c r="B4903" t="s">
        <v>1704</v>
      </c>
      <c r="C4903" t="s">
        <v>1390</v>
      </c>
      <c r="D4903" t="s">
        <v>1391</v>
      </c>
      <c r="E4903" s="8">
        <v>90</v>
      </c>
      <c r="F4903" s="8">
        <v>72040</v>
      </c>
      <c r="G4903" s="8">
        <f t="shared" si="304"/>
        <v>6483600</v>
      </c>
      <c r="H4903" s="5">
        <v>0.5391</v>
      </c>
      <c r="I4903" s="8">
        <f t="shared" si="305"/>
        <v>6483600</v>
      </c>
      <c r="J4903" s="8">
        <f t="shared" si="306"/>
        <v>3495308.76</v>
      </c>
      <c r="K4903" t="str">
        <f t="shared" si="307"/>
        <v>MATCHED</v>
      </c>
    </row>
    <row r="4904" spans="1:11">
      <c r="A4904" t="s">
        <v>122</v>
      </c>
      <c r="B4904" t="s">
        <v>1704</v>
      </c>
      <c r="C4904" t="s">
        <v>784</v>
      </c>
      <c r="D4904" t="s">
        <v>785</v>
      </c>
      <c r="E4904" s="8">
        <v>120</v>
      </c>
      <c r="F4904" s="8">
        <v>58670</v>
      </c>
      <c r="G4904" s="8">
        <f t="shared" si="304"/>
        <v>7040400</v>
      </c>
      <c r="H4904" s="5">
        <v>0.2111</v>
      </c>
      <c r="I4904" s="8">
        <f t="shared" si="305"/>
        <v>7040400</v>
      </c>
      <c r="J4904" s="8">
        <f t="shared" si="306"/>
        <v>1486228.44</v>
      </c>
      <c r="K4904" t="str">
        <f t="shared" si="307"/>
        <v>MATCHED</v>
      </c>
    </row>
    <row r="4905" spans="1:11">
      <c r="A4905" t="s">
        <v>122</v>
      </c>
      <c r="B4905" t="s">
        <v>1704</v>
      </c>
      <c r="C4905" t="s">
        <v>1132</v>
      </c>
      <c r="D4905" t="s">
        <v>1133</v>
      </c>
      <c r="E4905" s="8">
        <v>80</v>
      </c>
      <c r="F4905" s="8">
        <v>90810</v>
      </c>
      <c r="G4905" s="8">
        <f t="shared" si="304"/>
        <v>7264800</v>
      </c>
      <c r="H4905" s="5">
        <v>0.5938</v>
      </c>
      <c r="I4905" s="8">
        <f t="shared" si="305"/>
        <v>7264800</v>
      </c>
      <c r="J4905" s="8">
        <f t="shared" si="306"/>
        <v>4313838.24</v>
      </c>
      <c r="K4905" t="str">
        <f t="shared" si="307"/>
        <v>MATCHED</v>
      </c>
    </row>
    <row r="4906" spans="1:11">
      <c r="A4906" t="s">
        <v>122</v>
      </c>
      <c r="B4906" t="s">
        <v>1704</v>
      </c>
      <c r="C4906" t="s">
        <v>489</v>
      </c>
      <c r="D4906" t="s">
        <v>490</v>
      </c>
      <c r="E4906" s="8">
        <v>420</v>
      </c>
      <c r="F4906" s="8">
        <v>51030</v>
      </c>
      <c r="G4906" s="8">
        <f t="shared" si="304"/>
        <v>21432600</v>
      </c>
      <c r="H4906" s="5">
        <v>0.0838</v>
      </c>
      <c r="I4906" s="8">
        <f t="shared" si="305"/>
        <v>21432600</v>
      </c>
      <c r="J4906" s="8">
        <f t="shared" si="306"/>
        <v>1796051.88</v>
      </c>
      <c r="K4906" t="str">
        <f t="shared" si="307"/>
        <v>MATCHED</v>
      </c>
    </row>
    <row r="4907" spans="1:11">
      <c r="A4907" t="s">
        <v>122</v>
      </c>
      <c r="B4907" t="s">
        <v>1704</v>
      </c>
      <c r="C4907" t="s">
        <v>491</v>
      </c>
      <c r="D4907" t="s">
        <v>492</v>
      </c>
      <c r="E4907" s="8">
        <v>1480</v>
      </c>
      <c r="F4907" s="8">
        <v>54600</v>
      </c>
      <c r="G4907" s="8">
        <f t="shared" si="304"/>
        <v>80808000</v>
      </c>
      <c r="H4907" s="5"/>
      <c r="I4907" s="8" t="str">
        <f t="shared" si="305"/>
        <v/>
      </c>
      <c r="J4907" s="8" t="str">
        <f t="shared" si="306"/>
        <v/>
      </c>
      <c r="K4907" t="str">
        <f t="shared" si="307"/>
        <v>MISSING WHARTON</v>
      </c>
    </row>
    <row r="4908" spans="1:11">
      <c r="A4908" t="s">
        <v>122</v>
      </c>
      <c r="B4908" t="s">
        <v>1704</v>
      </c>
      <c r="C4908" t="s">
        <v>493</v>
      </c>
      <c r="D4908" t="s">
        <v>494</v>
      </c>
      <c r="E4908" s="8">
        <v>5320</v>
      </c>
      <c r="F4908" s="8">
        <v>76980</v>
      </c>
      <c r="G4908" s="8">
        <f t="shared" si="304"/>
        <v>409533600</v>
      </c>
      <c r="H4908" s="5">
        <v>0.3429</v>
      </c>
      <c r="I4908" s="8">
        <f t="shared" si="305"/>
        <v>409533600</v>
      </c>
      <c r="J4908" s="8">
        <f t="shared" si="306"/>
        <v>140429071.44</v>
      </c>
      <c r="K4908" t="str">
        <f t="shared" si="307"/>
        <v>MATCHED</v>
      </c>
    </row>
    <row r="4909" spans="1:11">
      <c r="A4909" t="s">
        <v>122</v>
      </c>
      <c r="B4909" t="s">
        <v>1704</v>
      </c>
      <c r="C4909" t="s">
        <v>1402</v>
      </c>
      <c r="D4909" t="s">
        <v>1403</v>
      </c>
      <c r="E4909" s="8">
        <v>600</v>
      </c>
      <c r="F4909" s="8">
        <v>195040</v>
      </c>
      <c r="G4909" s="8">
        <f t="shared" si="304"/>
        <v>117024000</v>
      </c>
      <c r="H4909" s="5">
        <v>0.5423</v>
      </c>
      <c r="I4909" s="8">
        <f t="shared" si="305"/>
        <v>117024000</v>
      </c>
      <c r="J4909" s="8">
        <f t="shared" si="306"/>
        <v>63462115.2</v>
      </c>
      <c r="K4909" t="str">
        <f t="shared" si="307"/>
        <v>MATCHED</v>
      </c>
    </row>
    <row r="4910" spans="1:11">
      <c r="A4910" t="s">
        <v>122</v>
      </c>
      <c r="B4910" t="s">
        <v>1704</v>
      </c>
      <c r="C4910" t="s">
        <v>495</v>
      </c>
      <c r="D4910" t="s">
        <v>496</v>
      </c>
      <c r="E4910" s="8">
        <v>1390</v>
      </c>
      <c r="F4910" s="8">
        <v>181750</v>
      </c>
      <c r="G4910" s="8">
        <f t="shared" si="304"/>
        <v>252632500</v>
      </c>
      <c r="H4910" s="5">
        <v>0.3558</v>
      </c>
      <c r="I4910" s="8">
        <f t="shared" si="305"/>
        <v>252632500</v>
      </c>
      <c r="J4910" s="8">
        <f t="shared" si="306"/>
        <v>89886643.5</v>
      </c>
      <c r="K4910" t="str">
        <f t="shared" si="307"/>
        <v>MATCHED</v>
      </c>
    </row>
    <row r="4911" spans="1:11">
      <c r="A4911" t="s">
        <v>122</v>
      </c>
      <c r="B4911" t="s">
        <v>1704</v>
      </c>
      <c r="C4911" t="s">
        <v>1549</v>
      </c>
      <c r="D4911" t="s">
        <v>1550</v>
      </c>
      <c r="E4911" s="8">
        <v>80</v>
      </c>
      <c r="F4911" s="8"/>
      <c r="G4911" s="8" t="str">
        <f t="shared" si="304"/>
        <v/>
      </c>
      <c r="H4911" s="5">
        <v>0.268</v>
      </c>
      <c r="I4911" s="8" t="str">
        <f t="shared" si="305"/>
        <v/>
      </c>
      <c r="J4911" s="8" t="str">
        <f t="shared" si="306"/>
        <v/>
      </c>
      <c r="K4911" t="str">
        <f t="shared" si="307"/>
        <v>MISSING OEWS</v>
      </c>
    </row>
    <row r="4912" spans="1:11">
      <c r="A4912" t="s">
        <v>122</v>
      </c>
      <c r="B4912" t="s">
        <v>1704</v>
      </c>
      <c r="C4912" t="s">
        <v>497</v>
      </c>
      <c r="D4912" t="s">
        <v>498</v>
      </c>
      <c r="E4912" s="8">
        <v>1770</v>
      </c>
      <c r="F4912" s="8">
        <v>46920</v>
      </c>
      <c r="G4912" s="8">
        <f t="shared" si="304"/>
        <v>83048400</v>
      </c>
      <c r="H4912" s="5">
        <v>0.3167</v>
      </c>
      <c r="I4912" s="8">
        <f t="shared" si="305"/>
        <v>83048400</v>
      </c>
      <c r="J4912" s="8">
        <f t="shared" si="306"/>
        <v>26301428.28</v>
      </c>
      <c r="K4912" t="str">
        <f t="shared" si="307"/>
        <v>MATCHED</v>
      </c>
    </row>
    <row r="4913" spans="1:11">
      <c r="A4913" t="s">
        <v>122</v>
      </c>
      <c r="B4913" t="s">
        <v>1704</v>
      </c>
      <c r="C4913" t="s">
        <v>499</v>
      </c>
      <c r="D4913" t="s">
        <v>500</v>
      </c>
      <c r="E4913" s="8">
        <v>9690</v>
      </c>
      <c r="F4913" s="8">
        <v>60580</v>
      </c>
      <c r="G4913" s="8">
        <f t="shared" si="304"/>
        <v>587020200</v>
      </c>
      <c r="H4913" s="5">
        <v>0.2065</v>
      </c>
      <c r="I4913" s="8">
        <f t="shared" si="305"/>
        <v>587020200</v>
      </c>
      <c r="J4913" s="8">
        <f t="shared" si="306"/>
        <v>121219671.3</v>
      </c>
      <c r="K4913" t="str">
        <f t="shared" si="307"/>
        <v>MATCHED</v>
      </c>
    </row>
    <row r="4914" spans="1:11">
      <c r="A4914" t="s">
        <v>122</v>
      </c>
      <c r="B4914" t="s">
        <v>1704</v>
      </c>
      <c r="C4914" t="s">
        <v>501</v>
      </c>
      <c r="D4914" t="s">
        <v>502</v>
      </c>
      <c r="E4914" s="8">
        <v>3960</v>
      </c>
      <c r="F4914" s="8">
        <v>44740</v>
      </c>
      <c r="G4914" s="8">
        <f t="shared" si="304"/>
        <v>177170400</v>
      </c>
      <c r="H4914" s="5">
        <v>0.3393</v>
      </c>
      <c r="I4914" s="8">
        <f t="shared" si="305"/>
        <v>177170400</v>
      </c>
      <c r="J4914" s="8">
        <f t="shared" si="306"/>
        <v>60113916.72</v>
      </c>
      <c r="K4914" t="str">
        <f t="shared" si="307"/>
        <v>MATCHED</v>
      </c>
    </row>
    <row r="4915" spans="1:11">
      <c r="A4915" t="s">
        <v>122</v>
      </c>
      <c r="B4915" t="s">
        <v>1704</v>
      </c>
      <c r="C4915" t="s">
        <v>1553</v>
      </c>
      <c r="D4915" t="s">
        <v>1554</v>
      </c>
      <c r="E4915" s="8">
        <v>130</v>
      </c>
      <c r="F4915" s="8">
        <v>39330</v>
      </c>
      <c r="G4915" s="8">
        <f t="shared" si="304"/>
        <v>5112900</v>
      </c>
      <c r="H4915" s="5">
        <v>0.2235</v>
      </c>
      <c r="I4915" s="8">
        <f t="shared" si="305"/>
        <v>5112900</v>
      </c>
      <c r="J4915" s="8">
        <f t="shared" si="306"/>
        <v>1142733.15</v>
      </c>
      <c r="K4915" t="str">
        <f t="shared" si="307"/>
        <v>MATCHED</v>
      </c>
    </row>
    <row r="4916" spans="1:11">
      <c r="A4916" t="s">
        <v>122</v>
      </c>
      <c r="B4916" t="s">
        <v>1704</v>
      </c>
      <c r="C4916" t="s">
        <v>1457</v>
      </c>
      <c r="D4916" t="s">
        <v>1458</v>
      </c>
      <c r="E4916" s="8">
        <v>240</v>
      </c>
      <c r="F4916" s="8">
        <v>39170</v>
      </c>
      <c r="G4916" s="8">
        <f t="shared" si="304"/>
        <v>9400800</v>
      </c>
      <c r="H4916" s="5">
        <v>0.2567</v>
      </c>
      <c r="I4916" s="8">
        <f t="shared" si="305"/>
        <v>9400800</v>
      </c>
      <c r="J4916" s="8">
        <f t="shared" si="306"/>
        <v>2413185.36</v>
      </c>
      <c r="K4916" t="str">
        <f t="shared" si="307"/>
        <v>MATCHED</v>
      </c>
    </row>
    <row r="4917" spans="1:11">
      <c r="A4917" t="s">
        <v>122</v>
      </c>
      <c r="B4917" t="s">
        <v>1704</v>
      </c>
      <c r="C4917" t="s">
        <v>503</v>
      </c>
      <c r="D4917" t="s">
        <v>504</v>
      </c>
      <c r="E4917" s="8">
        <v>1630</v>
      </c>
      <c r="F4917" s="8">
        <v>44480</v>
      </c>
      <c r="G4917" s="8">
        <f t="shared" si="304"/>
        <v>72502400</v>
      </c>
      <c r="H4917" s="5">
        <v>0.3288</v>
      </c>
      <c r="I4917" s="8">
        <f t="shared" si="305"/>
        <v>72502400</v>
      </c>
      <c r="J4917" s="8">
        <f t="shared" si="306"/>
        <v>23838789.12</v>
      </c>
      <c r="K4917" t="str">
        <f t="shared" si="307"/>
        <v>MATCHED</v>
      </c>
    </row>
    <row r="4918" spans="1:11">
      <c r="A4918" t="s">
        <v>122</v>
      </c>
      <c r="B4918" t="s">
        <v>1704</v>
      </c>
      <c r="C4918" t="s">
        <v>1134</v>
      </c>
      <c r="D4918" t="s">
        <v>1135</v>
      </c>
      <c r="E4918" s="8">
        <v>710</v>
      </c>
      <c r="F4918" s="8">
        <v>33000</v>
      </c>
      <c r="G4918" s="8">
        <f t="shared" si="304"/>
        <v>23430000</v>
      </c>
      <c r="H4918" s="5"/>
      <c r="I4918" s="8" t="str">
        <f t="shared" si="305"/>
        <v/>
      </c>
      <c r="J4918" s="8" t="str">
        <f t="shared" si="306"/>
        <v/>
      </c>
      <c r="K4918" t="str">
        <f t="shared" si="307"/>
        <v>MISSING WHARTON</v>
      </c>
    </row>
    <row r="4919" spans="1:11">
      <c r="A4919" t="s">
        <v>122</v>
      </c>
      <c r="B4919" t="s">
        <v>1704</v>
      </c>
      <c r="C4919" t="s">
        <v>796</v>
      </c>
      <c r="D4919" t="s">
        <v>797</v>
      </c>
      <c r="E4919" s="8">
        <v>1100</v>
      </c>
      <c r="F4919" s="8">
        <v>60250</v>
      </c>
      <c r="G4919" s="8">
        <f t="shared" si="304"/>
        <v>66275000</v>
      </c>
      <c r="H4919" s="5">
        <v>0.1018</v>
      </c>
      <c r="I4919" s="8">
        <f t="shared" si="305"/>
        <v>66275000</v>
      </c>
      <c r="J4919" s="8">
        <f t="shared" si="306"/>
        <v>6746795</v>
      </c>
      <c r="K4919" t="str">
        <f t="shared" si="307"/>
        <v>MATCHED</v>
      </c>
    </row>
    <row r="4920" spans="1:11">
      <c r="A4920" t="s">
        <v>122</v>
      </c>
      <c r="B4920" t="s">
        <v>1704</v>
      </c>
      <c r="C4920" t="s">
        <v>798</v>
      </c>
      <c r="D4920" t="s">
        <v>799</v>
      </c>
      <c r="E4920" s="8">
        <v>790</v>
      </c>
      <c r="F4920" s="8"/>
      <c r="G4920" s="8" t="str">
        <f t="shared" si="304"/>
        <v/>
      </c>
      <c r="H4920" s="5">
        <v>0.095</v>
      </c>
      <c r="I4920" s="8" t="str">
        <f t="shared" si="305"/>
        <v/>
      </c>
      <c r="J4920" s="8" t="str">
        <f t="shared" si="306"/>
        <v/>
      </c>
      <c r="K4920" t="str">
        <f t="shared" si="307"/>
        <v>MISSING OEWS</v>
      </c>
    </row>
    <row r="4921" spans="1:11">
      <c r="A4921" t="s">
        <v>122</v>
      </c>
      <c r="B4921" t="s">
        <v>1704</v>
      </c>
      <c r="C4921" t="s">
        <v>800</v>
      </c>
      <c r="D4921" t="s">
        <v>801</v>
      </c>
      <c r="E4921" s="8">
        <v>260</v>
      </c>
      <c r="F4921" s="8">
        <v>137420</v>
      </c>
      <c r="G4921" s="8">
        <f t="shared" si="304"/>
        <v>35729200</v>
      </c>
      <c r="H4921" s="5">
        <v>0.0971</v>
      </c>
      <c r="I4921" s="8">
        <f t="shared" si="305"/>
        <v>35729200</v>
      </c>
      <c r="J4921" s="8">
        <f t="shared" si="306"/>
        <v>3469305.32</v>
      </c>
      <c r="K4921" t="str">
        <f t="shared" si="307"/>
        <v>MATCHED</v>
      </c>
    </row>
    <row r="4922" spans="1:11">
      <c r="A4922" t="s">
        <v>122</v>
      </c>
      <c r="B4922" t="s">
        <v>1704</v>
      </c>
      <c r="C4922" t="s">
        <v>1408</v>
      </c>
      <c r="D4922" t="s">
        <v>1409</v>
      </c>
      <c r="E4922" s="8">
        <v>750</v>
      </c>
      <c r="F4922" s="8">
        <v>33560</v>
      </c>
      <c r="G4922" s="8">
        <f t="shared" si="304"/>
        <v>25170000</v>
      </c>
      <c r="H4922" s="5">
        <v>0.1972</v>
      </c>
      <c r="I4922" s="8">
        <f t="shared" si="305"/>
        <v>25170000</v>
      </c>
      <c r="J4922" s="8">
        <f t="shared" si="306"/>
        <v>4963524</v>
      </c>
      <c r="K4922" t="str">
        <f t="shared" si="307"/>
        <v>MATCHED</v>
      </c>
    </row>
    <row r="4923" spans="1:11">
      <c r="A4923" t="s">
        <v>122</v>
      </c>
      <c r="B4923" t="s">
        <v>1704</v>
      </c>
      <c r="C4923" t="s">
        <v>1138</v>
      </c>
      <c r="D4923" t="s">
        <v>1139</v>
      </c>
      <c r="E4923" s="8">
        <v>40</v>
      </c>
      <c r="F4923" s="8">
        <v>41470</v>
      </c>
      <c r="G4923" s="8">
        <f t="shared" si="304"/>
        <v>1658800</v>
      </c>
      <c r="H4923" s="5">
        <v>0.2533</v>
      </c>
      <c r="I4923" s="8">
        <f t="shared" si="305"/>
        <v>1658800</v>
      </c>
      <c r="J4923" s="8">
        <f t="shared" si="306"/>
        <v>420174.04</v>
      </c>
      <c r="K4923" t="str">
        <f t="shared" si="307"/>
        <v>MATCHED</v>
      </c>
    </row>
    <row r="4924" spans="1:11">
      <c r="A4924" t="s">
        <v>122</v>
      </c>
      <c r="B4924" t="s">
        <v>1704</v>
      </c>
      <c r="C4924" t="s">
        <v>1412</v>
      </c>
      <c r="D4924" t="s">
        <v>1413</v>
      </c>
      <c r="E4924" s="8">
        <v>60</v>
      </c>
      <c r="F4924" s="8">
        <v>92400</v>
      </c>
      <c r="G4924" s="8">
        <f t="shared" si="304"/>
        <v>5544000</v>
      </c>
      <c r="H4924" s="5">
        <v>0.2192</v>
      </c>
      <c r="I4924" s="8">
        <f t="shared" si="305"/>
        <v>5544000</v>
      </c>
      <c r="J4924" s="8">
        <f t="shared" si="306"/>
        <v>1215244.8</v>
      </c>
      <c r="K4924" t="str">
        <f t="shared" si="307"/>
        <v>MATCHED</v>
      </c>
    </row>
    <row r="4925" spans="1:11">
      <c r="A4925" t="s">
        <v>122</v>
      </c>
      <c r="B4925" t="s">
        <v>1704</v>
      </c>
      <c r="C4925" t="s">
        <v>1561</v>
      </c>
      <c r="D4925" t="s">
        <v>1562</v>
      </c>
      <c r="E4925" s="8">
        <v>70</v>
      </c>
      <c r="F4925" s="8">
        <v>54630</v>
      </c>
      <c r="G4925" s="8">
        <f t="shared" si="304"/>
        <v>3824100</v>
      </c>
      <c r="H4925" s="5">
        <v>0.275</v>
      </c>
      <c r="I4925" s="8">
        <f t="shared" si="305"/>
        <v>3824100</v>
      </c>
      <c r="J4925" s="8">
        <f t="shared" si="306"/>
        <v>1051627.5</v>
      </c>
      <c r="K4925" t="str">
        <f t="shared" si="307"/>
        <v>MATCHED</v>
      </c>
    </row>
    <row r="4926" spans="1:11">
      <c r="A4926" t="s">
        <v>122</v>
      </c>
      <c r="B4926" t="s">
        <v>1704</v>
      </c>
      <c r="C4926" t="s">
        <v>1142</v>
      </c>
      <c r="D4926" t="s">
        <v>1143</v>
      </c>
      <c r="E4926" s="8">
        <v>100</v>
      </c>
      <c r="F4926" s="8">
        <v>52850</v>
      </c>
      <c r="G4926" s="8">
        <f t="shared" si="304"/>
        <v>5285000</v>
      </c>
      <c r="H4926" s="5"/>
      <c r="I4926" s="8" t="str">
        <f t="shared" si="305"/>
        <v/>
      </c>
      <c r="J4926" s="8" t="str">
        <f t="shared" si="306"/>
        <v/>
      </c>
      <c r="K4926" t="str">
        <f t="shared" si="307"/>
        <v>MISSING WHARTON</v>
      </c>
    </row>
    <row r="4927" spans="1:11">
      <c r="A4927" t="s">
        <v>122</v>
      </c>
      <c r="B4927" t="s">
        <v>1704</v>
      </c>
      <c r="C4927" t="s">
        <v>804</v>
      </c>
      <c r="D4927" t="s">
        <v>805</v>
      </c>
      <c r="E4927" s="8"/>
      <c r="F4927" s="8">
        <v>54960</v>
      </c>
      <c r="G4927" s="8" t="str">
        <f t="shared" si="304"/>
        <v/>
      </c>
      <c r="H4927" s="5">
        <v>0.0864</v>
      </c>
      <c r="I4927" s="8" t="str">
        <f t="shared" si="305"/>
        <v/>
      </c>
      <c r="J4927" s="8" t="str">
        <f t="shared" si="306"/>
        <v/>
      </c>
      <c r="K4927" t="str">
        <f t="shared" si="307"/>
        <v>MISSING OEWS</v>
      </c>
    </row>
    <row r="4928" spans="1:11">
      <c r="A4928" t="s">
        <v>122</v>
      </c>
      <c r="B4928" t="s">
        <v>1704</v>
      </c>
      <c r="C4928" t="s">
        <v>507</v>
      </c>
      <c r="D4928" t="s">
        <v>508</v>
      </c>
      <c r="E4928" s="8">
        <v>3630</v>
      </c>
      <c r="F4928" s="8">
        <v>46110</v>
      </c>
      <c r="G4928" s="8">
        <f t="shared" si="304"/>
        <v>167379300</v>
      </c>
      <c r="H4928" s="5">
        <v>0</v>
      </c>
      <c r="I4928" s="8">
        <f t="shared" si="305"/>
        <v>167379300</v>
      </c>
      <c r="J4928" s="8">
        <f t="shared" si="306"/>
        <v>0</v>
      </c>
      <c r="K4928" t="str">
        <f t="shared" si="307"/>
        <v>MATCHED</v>
      </c>
    </row>
    <row r="4929" spans="1:11">
      <c r="A4929" t="s">
        <v>122</v>
      </c>
      <c r="B4929" t="s">
        <v>1704</v>
      </c>
      <c r="C4929" t="s">
        <v>509</v>
      </c>
      <c r="D4929" t="s">
        <v>510</v>
      </c>
      <c r="E4929" s="8">
        <v>550</v>
      </c>
      <c r="F4929" s="8">
        <v>38300</v>
      </c>
      <c r="G4929" s="8">
        <f t="shared" si="304"/>
        <v>21065000</v>
      </c>
      <c r="H4929" s="5">
        <v>0.0452</v>
      </c>
      <c r="I4929" s="8">
        <f t="shared" si="305"/>
        <v>21065000</v>
      </c>
      <c r="J4929" s="8">
        <f t="shared" si="306"/>
        <v>952138</v>
      </c>
      <c r="K4929" t="str">
        <f t="shared" si="307"/>
        <v>MATCHED</v>
      </c>
    </row>
    <row r="4930" spans="1:11">
      <c r="A4930" t="s">
        <v>122</v>
      </c>
      <c r="B4930" t="s">
        <v>1704</v>
      </c>
      <c r="C4930" t="s">
        <v>511</v>
      </c>
      <c r="D4930" t="s">
        <v>512</v>
      </c>
      <c r="E4930" s="8">
        <v>14810</v>
      </c>
      <c r="F4930" s="8">
        <v>42870</v>
      </c>
      <c r="G4930" s="8">
        <f t="shared" ref="G4930:G4993" si="308">IF(OR(E4930="",F4930=""),"",E4930*F4930)</f>
        <v>634904700</v>
      </c>
      <c r="H4930" s="5">
        <v>0.049</v>
      </c>
      <c r="I4930" s="8">
        <f t="shared" ref="I4930:I4993" si="309">IF(G4930="","",IF(ISNUMBER(H4930),G4930,""))</f>
        <v>634904700</v>
      </c>
      <c r="J4930" s="8">
        <f t="shared" ref="J4930:J4993" si="310">IF(I4930="","",I4930*H4930)</f>
        <v>31110330.3</v>
      </c>
      <c r="K4930" t="str">
        <f t="shared" ref="K4930:K4993" si="311">IF(G4930="","MISSING OEWS",IF(ISNUMBER(H4930),"MATCHED","MISSING WHARTON"))</f>
        <v>MATCHED</v>
      </c>
    </row>
    <row r="4931" spans="1:11">
      <c r="A4931" t="s">
        <v>122</v>
      </c>
      <c r="B4931" t="s">
        <v>1704</v>
      </c>
      <c r="C4931" t="s">
        <v>513</v>
      </c>
      <c r="D4931" t="s">
        <v>514</v>
      </c>
      <c r="E4931" s="8">
        <v>40</v>
      </c>
      <c r="F4931" s="8">
        <v>47960</v>
      </c>
      <c r="G4931" s="8">
        <f t="shared" si="308"/>
        <v>1918400</v>
      </c>
      <c r="H4931" s="5">
        <v>0.0731</v>
      </c>
      <c r="I4931" s="8">
        <f t="shared" si="309"/>
        <v>1918400</v>
      </c>
      <c r="J4931" s="8">
        <f t="shared" si="310"/>
        <v>140235.04</v>
      </c>
      <c r="K4931" t="str">
        <f t="shared" si="311"/>
        <v>MATCHED</v>
      </c>
    </row>
    <row r="4932" spans="1:11">
      <c r="A4932" t="s">
        <v>122</v>
      </c>
      <c r="B4932" t="s">
        <v>1704</v>
      </c>
      <c r="C4932" t="s">
        <v>515</v>
      </c>
      <c r="D4932" t="s">
        <v>516</v>
      </c>
      <c r="E4932" s="8">
        <v>2100</v>
      </c>
      <c r="F4932" s="8">
        <v>35560</v>
      </c>
      <c r="G4932" s="8">
        <f t="shared" si="308"/>
        <v>74676000</v>
      </c>
      <c r="H4932" s="5">
        <v>0.0792</v>
      </c>
      <c r="I4932" s="8">
        <f t="shared" si="309"/>
        <v>74676000</v>
      </c>
      <c r="J4932" s="8">
        <f t="shared" si="310"/>
        <v>5914339.2</v>
      </c>
      <c r="K4932" t="str">
        <f t="shared" si="311"/>
        <v>MATCHED</v>
      </c>
    </row>
    <row r="4933" spans="1:11">
      <c r="A4933" t="s">
        <v>122</v>
      </c>
      <c r="B4933" t="s">
        <v>1704</v>
      </c>
      <c r="C4933" t="s">
        <v>517</v>
      </c>
      <c r="D4933" t="s">
        <v>518</v>
      </c>
      <c r="E4933" s="8">
        <v>8980</v>
      </c>
      <c r="F4933" s="8">
        <v>41870</v>
      </c>
      <c r="G4933" s="8">
        <f t="shared" si="308"/>
        <v>375992600</v>
      </c>
      <c r="H4933" s="5">
        <v>0.2233</v>
      </c>
      <c r="I4933" s="8">
        <f t="shared" si="309"/>
        <v>375992600</v>
      </c>
      <c r="J4933" s="8">
        <f t="shared" si="310"/>
        <v>83959147.58</v>
      </c>
      <c r="K4933" t="str">
        <f t="shared" si="311"/>
        <v>MATCHED</v>
      </c>
    </row>
    <row r="4934" spans="1:11">
      <c r="A4934" t="s">
        <v>122</v>
      </c>
      <c r="B4934" t="s">
        <v>1704</v>
      </c>
      <c r="C4934" t="s">
        <v>918</v>
      </c>
      <c r="D4934" t="s">
        <v>919</v>
      </c>
      <c r="E4934" s="8"/>
      <c r="F4934" s="8">
        <v>57190</v>
      </c>
      <c r="G4934" s="8" t="str">
        <f t="shared" si="308"/>
        <v/>
      </c>
      <c r="H4934" s="5">
        <v>0.2375</v>
      </c>
      <c r="I4934" s="8" t="str">
        <f t="shared" si="309"/>
        <v/>
      </c>
      <c r="J4934" s="8" t="str">
        <f t="shared" si="310"/>
        <v/>
      </c>
      <c r="K4934" t="str">
        <f t="shared" si="311"/>
        <v>MISSING OEWS</v>
      </c>
    </row>
    <row r="4935" spans="1:11">
      <c r="A4935" t="s">
        <v>124</v>
      </c>
      <c r="B4935" t="s">
        <v>1739</v>
      </c>
      <c r="C4935" t="s">
        <v>235</v>
      </c>
      <c r="D4935" t="s">
        <v>236</v>
      </c>
      <c r="E4935" s="8">
        <v>9030</v>
      </c>
      <c r="F4935" s="8">
        <v>255800</v>
      </c>
      <c r="G4935" s="8">
        <f t="shared" si="308"/>
        <v>2309874000</v>
      </c>
      <c r="H4935" s="5">
        <v>0.4775</v>
      </c>
      <c r="I4935" s="8">
        <f t="shared" si="309"/>
        <v>2309874000</v>
      </c>
      <c r="J4935" s="8">
        <f t="shared" si="310"/>
        <v>1102964835</v>
      </c>
      <c r="K4935" t="str">
        <f t="shared" si="311"/>
        <v>MATCHED</v>
      </c>
    </row>
    <row r="4936" spans="1:11">
      <c r="A4936" t="s">
        <v>124</v>
      </c>
      <c r="B4936" t="s">
        <v>1739</v>
      </c>
      <c r="C4936" t="s">
        <v>237</v>
      </c>
      <c r="D4936" t="s">
        <v>238</v>
      </c>
      <c r="E4936" s="8">
        <v>249910</v>
      </c>
      <c r="F4936" s="8">
        <v>126300</v>
      </c>
      <c r="G4936" s="8">
        <f t="shared" si="308"/>
        <v>31563633000</v>
      </c>
      <c r="H4936" s="5">
        <v>0.5382</v>
      </c>
      <c r="I4936" s="8">
        <f t="shared" si="309"/>
        <v>31563633000</v>
      </c>
      <c r="J4936" s="8">
        <f t="shared" si="310"/>
        <v>16987547280.6</v>
      </c>
      <c r="K4936" t="str">
        <f t="shared" si="311"/>
        <v>MATCHED</v>
      </c>
    </row>
    <row r="4937" spans="1:11">
      <c r="A4937" t="s">
        <v>124</v>
      </c>
      <c r="B4937" t="s">
        <v>1739</v>
      </c>
      <c r="C4937" t="s">
        <v>239</v>
      </c>
      <c r="D4937" t="s">
        <v>240</v>
      </c>
      <c r="E4937" s="8">
        <v>18040</v>
      </c>
      <c r="F4937" s="8">
        <v>159980</v>
      </c>
      <c r="G4937" s="8">
        <f t="shared" si="308"/>
        <v>2886039200</v>
      </c>
      <c r="H4937" s="5">
        <v>0.445</v>
      </c>
      <c r="I4937" s="8">
        <f t="shared" si="309"/>
        <v>2886039200</v>
      </c>
      <c r="J4937" s="8">
        <f t="shared" si="310"/>
        <v>1284287444</v>
      </c>
      <c r="K4937" t="str">
        <f t="shared" si="311"/>
        <v>MATCHED</v>
      </c>
    </row>
    <row r="4938" spans="1:11">
      <c r="A4938" t="s">
        <v>124</v>
      </c>
      <c r="B4938" t="s">
        <v>1739</v>
      </c>
      <c r="C4938" t="s">
        <v>241</v>
      </c>
      <c r="D4938" t="s">
        <v>242</v>
      </c>
      <c r="E4938" s="8">
        <v>29720</v>
      </c>
      <c r="F4938" s="8">
        <v>149230</v>
      </c>
      <c r="G4938" s="8">
        <f t="shared" si="308"/>
        <v>4435115600</v>
      </c>
      <c r="H4938" s="5">
        <v>0.3735</v>
      </c>
      <c r="I4938" s="8">
        <f t="shared" si="309"/>
        <v>4435115600</v>
      </c>
      <c r="J4938" s="8">
        <f t="shared" si="310"/>
        <v>1656515676.6</v>
      </c>
      <c r="K4938" t="str">
        <f t="shared" si="311"/>
        <v>MATCHED</v>
      </c>
    </row>
    <row r="4939" spans="1:11">
      <c r="A4939" t="s">
        <v>124</v>
      </c>
      <c r="B4939" t="s">
        <v>1739</v>
      </c>
      <c r="C4939" t="s">
        <v>522</v>
      </c>
      <c r="D4939" t="s">
        <v>523</v>
      </c>
      <c r="E4939" s="8">
        <v>2190</v>
      </c>
      <c r="F4939" s="8">
        <v>161830</v>
      </c>
      <c r="G4939" s="8">
        <f t="shared" si="308"/>
        <v>354407700</v>
      </c>
      <c r="H4939" s="5">
        <v>0.53</v>
      </c>
      <c r="I4939" s="8">
        <f t="shared" si="309"/>
        <v>354407700</v>
      </c>
      <c r="J4939" s="8">
        <f t="shared" si="310"/>
        <v>187836081</v>
      </c>
      <c r="K4939" t="str">
        <f t="shared" si="311"/>
        <v>MATCHED</v>
      </c>
    </row>
    <row r="4940" spans="1:11">
      <c r="A4940" t="s">
        <v>124</v>
      </c>
      <c r="B4940" t="s">
        <v>1739</v>
      </c>
      <c r="C4940" t="s">
        <v>922</v>
      </c>
      <c r="D4940" t="s">
        <v>923</v>
      </c>
      <c r="E4940" s="8">
        <v>820</v>
      </c>
      <c r="F4940" s="8">
        <v>127110</v>
      </c>
      <c r="G4940" s="8">
        <f t="shared" si="308"/>
        <v>104230200</v>
      </c>
      <c r="H4940" s="5">
        <v>0.5594</v>
      </c>
      <c r="I4940" s="8">
        <f t="shared" si="309"/>
        <v>104230200</v>
      </c>
      <c r="J4940" s="8">
        <f t="shared" si="310"/>
        <v>58306373.88</v>
      </c>
      <c r="K4940" t="str">
        <f t="shared" si="311"/>
        <v>MATCHED</v>
      </c>
    </row>
    <row r="4941" spans="1:11">
      <c r="A4941" t="s">
        <v>124</v>
      </c>
      <c r="B4941" t="s">
        <v>1739</v>
      </c>
      <c r="C4941" t="s">
        <v>243</v>
      </c>
      <c r="D4941" t="s">
        <v>244</v>
      </c>
      <c r="E4941" s="8">
        <v>13620</v>
      </c>
      <c r="F4941" s="8">
        <v>135030</v>
      </c>
      <c r="G4941" s="8">
        <f t="shared" si="308"/>
        <v>1839108600</v>
      </c>
      <c r="H4941" s="5">
        <v>0.4444</v>
      </c>
      <c r="I4941" s="8">
        <f t="shared" si="309"/>
        <v>1839108600</v>
      </c>
      <c r="J4941" s="8">
        <f t="shared" si="310"/>
        <v>817299861.84</v>
      </c>
      <c r="K4941" t="str">
        <f t="shared" si="311"/>
        <v>MATCHED</v>
      </c>
    </row>
    <row r="4942" spans="1:11">
      <c r="A4942" t="s">
        <v>124</v>
      </c>
      <c r="B4942" t="s">
        <v>1739</v>
      </c>
      <c r="C4942" t="s">
        <v>245</v>
      </c>
      <c r="D4942" t="s">
        <v>246</v>
      </c>
      <c r="E4942" s="8">
        <v>11180</v>
      </c>
      <c r="F4942" s="8">
        <v>103810</v>
      </c>
      <c r="G4942" s="8">
        <f t="shared" si="308"/>
        <v>1160595800</v>
      </c>
      <c r="H4942" s="5">
        <v>0.2907</v>
      </c>
      <c r="I4942" s="8">
        <f t="shared" si="309"/>
        <v>1160595800</v>
      </c>
      <c r="J4942" s="8">
        <f t="shared" si="310"/>
        <v>337385199.06</v>
      </c>
      <c r="K4942" t="str">
        <f t="shared" si="311"/>
        <v>MATCHED</v>
      </c>
    </row>
    <row r="4943" spans="1:11">
      <c r="A4943" t="s">
        <v>124</v>
      </c>
      <c r="B4943" t="s">
        <v>1739</v>
      </c>
      <c r="C4943" t="s">
        <v>247</v>
      </c>
      <c r="D4943" t="s">
        <v>248</v>
      </c>
      <c r="E4943" s="8">
        <v>22550</v>
      </c>
      <c r="F4943" s="8">
        <v>181860</v>
      </c>
      <c r="G4943" s="8">
        <f t="shared" si="308"/>
        <v>4100943000</v>
      </c>
      <c r="H4943" s="5">
        <v>0.5265</v>
      </c>
      <c r="I4943" s="8">
        <f t="shared" si="309"/>
        <v>4100943000</v>
      </c>
      <c r="J4943" s="8">
        <f t="shared" si="310"/>
        <v>2159146489.5</v>
      </c>
      <c r="K4943" t="str">
        <f t="shared" si="311"/>
        <v>MATCHED</v>
      </c>
    </row>
    <row r="4944" spans="1:11">
      <c r="A4944" t="s">
        <v>124</v>
      </c>
      <c r="B4944" t="s">
        <v>1739</v>
      </c>
      <c r="C4944" t="s">
        <v>249</v>
      </c>
      <c r="D4944" t="s">
        <v>250</v>
      </c>
      <c r="E4944" s="8">
        <v>29950</v>
      </c>
      <c r="F4944" s="8">
        <v>187230</v>
      </c>
      <c r="G4944" s="8">
        <f t="shared" si="308"/>
        <v>5607538500</v>
      </c>
      <c r="H4944" s="5">
        <v>0.7221</v>
      </c>
      <c r="I4944" s="8">
        <f t="shared" si="309"/>
        <v>5607538500</v>
      </c>
      <c r="J4944" s="8">
        <f t="shared" si="310"/>
        <v>4049203550.85</v>
      </c>
      <c r="K4944" t="str">
        <f t="shared" si="311"/>
        <v>MATCHED</v>
      </c>
    </row>
    <row r="4945" spans="1:11">
      <c r="A4945" t="s">
        <v>124</v>
      </c>
      <c r="B4945" t="s">
        <v>1739</v>
      </c>
      <c r="C4945" t="s">
        <v>251</v>
      </c>
      <c r="D4945" t="s">
        <v>252</v>
      </c>
      <c r="E4945" s="8">
        <v>3750</v>
      </c>
      <c r="F4945" s="8">
        <v>139370</v>
      </c>
      <c r="G4945" s="8">
        <f t="shared" si="308"/>
        <v>522637500</v>
      </c>
      <c r="H4945" s="5">
        <v>0.3636</v>
      </c>
      <c r="I4945" s="8">
        <f t="shared" si="309"/>
        <v>522637500</v>
      </c>
      <c r="J4945" s="8">
        <f t="shared" si="310"/>
        <v>190030995</v>
      </c>
      <c r="K4945" t="str">
        <f t="shared" si="311"/>
        <v>MATCHED</v>
      </c>
    </row>
    <row r="4946" spans="1:11">
      <c r="A4946" t="s">
        <v>124</v>
      </c>
      <c r="B4946" t="s">
        <v>1739</v>
      </c>
      <c r="C4946" t="s">
        <v>253</v>
      </c>
      <c r="D4946" t="s">
        <v>254</v>
      </c>
      <c r="E4946" s="8">
        <v>2270</v>
      </c>
      <c r="F4946" s="8">
        <v>157230</v>
      </c>
      <c r="G4946" s="8">
        <f t="shared" si="308"/>
        <v>356912100</v>
      </c>
      <c r="H4946" s="5">
        <v>0.6944</v>
      </c>
      <c r="I4946" s="8">
        <f t="shared" si="309"/>
        <v>356912100</v>
      </c>
      <c r="J4946" s="8">
        <f t="shared" si="310"/>
        <v>247839762.24</v>
      </c>
      <c r="K4946" t="str">
        <f t="shared" si="311"/>
        <v>MATCHED</v>
      </c>
    </row>
    <row r="4947" spans="1:11">
      <c r="A4947" t="s">
        <v>124</v>
      </c>
      <c r="B4947" t="s">
        <v>1739</v>
      </c>
      <c r="C4947" t="s">
        <v>255</v>
      </c>
      <c r="D4947" t="s">
        <v>256</v>
      </c>
      <c r="E4947" s="8">
        <v>7020</v>
      </c>
      <c r="F4947" s="8">
        <v>119060</v>
      </c>
      <c r="G4947" s="8">
        <f t="shared" si="308"/>
        <v>835801200</v>
      </c>
      <c r="H4947" s="5">
        <v>0.5783</v>
      </c>
      <c r="I4947" s="8">
        <f t="shared" si="309"/>
        <v>835801200</v>
      </c>
      <c r="J4947" s="8">
        <f t="shared" si="310"/>
        <v>483343833.96</v>
      </c>
      <c r="K4947" t="str">
        <f t="shared" si="311"/>
        <v>MATCHED</v>
      </c>
    </row>
    <row r="4948" spans="1:11">
      <c r="A4948" t="s">
        <v>124</v>
      </c>
      <c r="B4948" t="s">
        <v>1739</v>
      </c>
      <c r="C4948" t="s">
        <v>524</v>
      </c>
      <c r="D4948" t="s">
        <v>525</v>
      </c>
      <c r="E4948" s="8">
        <v>1270</v>
      </c>
      <c r="F4948" s="8">
        <v>137830</v>
      </c>
      <c r="G4948" s="8">
        <f t="shared" si="308"/>
        <v>175044100</v>
      </c>
      <c r="H4948" s="5">
        <v>0.5771</v>
      </c>
      <c r="I4948" s="8">
        <f t="shared" si="309"/>
        <v>175044100</v>
      </c>
      <c r="J4948" s="8">
        <f t="shared" si="310"/>
        <v>101017950.11</v>
      </c>
      <c r="K4948" t="str">
        <f t="shared" si="311"/>
        <v>MATCHED</v>
      </c>
    </row>
    <row r="4949" spans="1:11">
      <c r="A4949" t="s">
        <v>124</v>
      </c>
      <c r="B4949" t="s">
        <v>1739</v>
      </c>
      <c r="C4949" t="s">
        <v>257</v>
      </c>
      <c r="D4949" t="s">
        <v>258</v>
      </c>
      <c r="E4949" s="8">
        <v>20070</v>
      </c>
      <c r="F4949" s="8">
        <v>140810</v>
      </c>
      <c r="G4949" s="8">
        <f t="shared" si="308"/>
        <v>2826056700</v>
      </c>
      <c r="H4949" s="5">
        <v>0.5962</v>
      </c>
      <c r="I4949" s="8">
        <f t="shared" si="309"/>
        <v>2826056700</v>
      </c>
      <c r="J4949" s="8">
        <f t="shared" si="310"/>
        <v>1684895004.54</v>
      </c>
      <c r="K4949" t="str">
        <f t="shared" si="311"/>
        <v>MATCHED</v>
      </c>
    </row>
    <row r="4950" spans="1:11">
      <c r="A4950" t="s">
        <v>124</v>
      </c>
      <c r="B4950" t="s">
        <v>1739</v>
      </c>
      <c r="C4950" t="s">
        <v>526</v>
      </c>
      <c r="D4950" t="s">
        <v>527</v>
      </c>
      <c r="E4950" s="8">
        <v>2720</v>
      </c>
      <c r="F4950" s="8">
        <v>133290</v>
      </c>
      <c r="G4950" s="8">
        <f t="shared" si="308"/>
        <v>362548800</v>
      </c>
      <c r="H4950" s="5">
        <v>0.6833</v>
      </c>
      <c r="I4950" s="8">
        <f t="shared" si="309"/>
        <v>362548800</v>
      </c>
      <c r="J4950" s="8">
        <f t="shared" si="310"/>
        <v>247729595.04</v>
      </c>
      <c r="K4950" t="str">
        <f t="shared" si="311"/>
        <v>MATCHED</v>
      </c>
    </row>
    <row r="4951" spans="1:11">
      <c r="A4951" t="s">
        <v>124</v>
      </c>
      <c r="B4951" t="s">
        <v>1739</v>
      </c>
      <c r="C4951" t="s">
        <v>259</v>
      </c>
      <c r="D4951" t="s">
        <v>260</v>
      </c>
      <c r="E4951" s="8">
        <v>210</v>
      </c>
      <c r="F4951" s="8"/>
      <c r="G4951" s="8" t="str">
        <f t="shared" si="308"/>
        <v/>
      </c>
      <c r="H4951" s="5">
        <v>0.22</v>
      </c>
      <c r="I4951" s="8" t="str">
        <f t="shared" si="309"/>
        <v/>
      </c>
      <c r="J4951" s="8" t="str">
        <f t="shared" si="310"/>
        <v/>
      </c>
      <c r="K4951" t="str">
        <f t="shared" si="311"/>
        <v>MISSING OEWS</v>
      </c>
    </row>
    <row r="4952" spans="1:11">
      <c r="A4952" t="s">
        <v>124</v>
      </c>
      <c r="B4952" t="s">
        <v>1739</v>
      </c>
      <c r="C4952" t="s">
        <v>528</v>
      </c>
      <c r="D4952" t="s">
        <v>529</v>
      </c>
      <c r="E4952" s="8">
        <v>6730</v>
      </c>
      <c r="F4952" s="8">
        <v>122300</v>
      </c>
      <c r="G4952" s="8">
        <f t="shared" si="308"/>
        <v>823079000</v>
      </c>
      <c r="H4952" s="5">
        <v>0.374</v>
      </c>
      <c r="I4952" s="8">
        <f t="shared" si="309"/>
        <v>823079000</v>
      </c>
      <c r="J4952" s="8">
        <f t="shared" si="310"/>
        <v>307831546</v>
      </c>
      <c r="K4952" t="str">
        <f t="shared" si="311"/>
        <v>MATCHED</v>
      </c>
    </row>
    <row r="4953" spans="1:11">
      <c r="A4953" t="s">
        <v>124</v>
      </c>
      <c r="B4953" t="s">
        <v>1739</v>
      </c>
      <c r="C4953" t="s">
        <v>1705</v>
      </c>
      <c r="D4953" t="s">
        <v>1706</v>
      </c>
      <c r="E4953" s="8">
        <v>40</v>
      </c>
      <c r="F4953" s="8">
        <v>77700</v>
      </c>
      <c r="G4953" s="8">
        <f t="shared" si="308"/>
        <v>3108000</v>
      </c>
      <c r="H4953" s="5">
        <v>0.4</v>
      </c>
      <c r="I4953" s="8">
        <f t="shared" si="309"/>
        <v>3108000</v>
      </c>
      <c r="J4953" s="8">
        <f t="shared" si="310"/>
        <v>1243200</v>
      </c>
      <c r="K4953" t="str">
        <f t="shared" si="311"/>
        <v>MATCHED</v>
      </c>
    </row>
    <row r="4954" spans="1:11">
      <c r="A4954" t="s">
        <v>124</v>
      </c>
      <c r="B4954" t="s">
        <v>1739</v>
      </c>
      <c r="C4954" t="s">
        <v>1707</v>
      </c>
      <c r="D4954" t="s">
        <v>1708</v>
      </c>
      <c r="E4954" s="8"/>
      <c r="F4954" s="8">
        <v>122220</v>
      </c>
      <c r="G4954" s="8" t="str">
        <f t="shared" si="308"/>
        <v/>
      </c>
      <c r="H4954" s="5">
        <v>0.3</v>
      </c>
      <c r="I4954" s="8" t="str">
        <f t="shared" si="309"/>
        <v/>
      </c>
      <c r="J4954" s="8" t="str">
        <f t="shared" si="310"/>
        <v/>
      </c>
      <c r="K4954" t="str">
        <f t="shared" si="311"/>
        <v>MISSING OEWS</v>
      </c>
    </row>
    <row r="4955" spans="1:11">
      <c r="A4955" t="s">
        <v>124</v>
      </c>
      <c r="B4955" t="s">
        <v>1739</v>
      </c>
      <c r="C4955" t="s">
        <v>1630</v>
      </c>
      <c r="D4955" t="s">
        <v>1631</v>
      </c>
      <c r="E4955" s="8">
        <v>50</v>
      </c>
      <c r="F4955" s="8"/>
      <c r="G4955" s="8" t="str">
        <f t="shared" si="308"/>
        <v/>
      </c>
      <c r="H4955" s="5">
        <v>0.4448</v>
      </c>
      <c r="I4955" s="8" t="str">
        <f t="shared" si="309"/>
        <v/>
      </c>
      <c r="J4955" s="8" t="str">
        <f t="shared" si="310"/>
        <v/>
      </c>
      <c r="K4955" t="str">
        <f t="shared" si="311"/>
        <v>MISSING OEWS</v>
      </c>
    </row>
    <row r="4956" spans="1:11">
      <c r="A4956" t="s">
        <v>124</v>
      </c>
      <c r="B4956" t="s">
        <v>1739</v>
      </c>
      <c r="C4956" t="s">
        <v>1563</v>
      </c>
      <c r="D4956" t="s">
        <v>1564</v>
      </c>
      <c r="E4956" s="8">
        <v>240</v>
      </c>
      <c r="F4956" s="8">
        <v>107260</v>
      </c>
      <c r="G4956" s="8">
        <f t="shared" si="308"/>
        <v>25742400</v>
      </c>
      <c r="H4956" s="5"/>
      <c r="I4956" s="8" t="str">
        <f t="shared" si="309"/>
        <v/>
      </c>
      <c r="J4956" s="8" t="str">
        <f t="shared" si="310"/>
        <v/>
      </c>
      <c r="K4956" t="str">
        <f t="shared" si="311"/>
        <v>MISSING WHARTON</v>
      </c>
    </row>
    <row r="4957" spans="1:11">
      <c r="A4957" t="s">
        <v>124</v>
      </c>
      <c r="B4957" t="s">
        <v>1739</v>
      </c>
      <c r="C4957" t="s">
        <v>530</v>
      </c>
      <c r="D4957" t="s">
        <v>531</v>
      </c>
      <c r="E4957" s="8">
        <v>2810</v>
      </c>
      <c r="F4957" s="8">
        <v>208760</v>
      </c>
      <c r="G4957" s="8">
        <f t="shared" si="308"/>
        <v>586615600</v>
      </c>
      <c r="H4957" s="5">
        <v>0.263</v>
      </c>
      <c r="I4957" s="8">
        <f t="shared" si="309"/>
        <v>586615600</v>
      </c>
      <c r="J4957" s="8">
        <f t="shared" si="310"/>
        <v>154279902.8</v>
      </c>
      <c r="K4957" t="str">
        <f t="shared" si="311"/>
        <v>MATCHED</v>
      </c>
    </row>
    <row r="4958" spans="1:11">
      <c r="A4958" t="s">
        <v>124</v>
      </c>
      <c r="B4958" t="s">
        <v>1739</v>
      </c>
      <c r="C4958" t="s">
        <v>1144</v>
      </c>
      <c r="D4958" t="s">
        <v>1145</v>
      </c>
      <c r="E4958" s="8">
        <v>2440</v>
      </c>
      <c r="F4958" s="8">
        <v>77540</v>
      </c>
      <c r="G4958" s="8">
        <f t="shared" si="308"/>
        <v>189197600</v>
      </c>
      <c r="H4958" s="5">
        <v>0.3821</v>
      </c>
      <c r="I4958" s="8">
        <f t="shared" si="309"/>
        <v>189197600</v>
      </c>
      <c r="J4958" s="8">
        <f t="shared" si="310"/>
        <v>72292402.96</v>
      </c>
      <c r="K4958" t="str">
        <f t="shared" si="311"/>
        <v>MATCHED</v>
      </c>
    </row>
    <row r="4959" spans="1:11">
      <c r="A4959" t="s">
        <v>124</v>
      </c>
      <c r="B4959" t="s">
        <v>1739</v>
      </c>
      <c r="C4959" t="s">
        <v>1709</v>
      </c>
      <c r="D4959" t="s">
        <v>1710</v>
      </c>
      <c r="E4959" s="8">
        <v>40</v>
      </c>
      <c r="F4959" s="8">
        <v>68410</v>
      </c>
      <c r="G4959" s="8">
        <f t="shared" si="308"/>
        <v>2736400</v>
      </c>
      <c r="H4959" s="5">
        <v>0.6474</v>
      </c>
      <c r="I4959" s="8">
        <f t="shared" si="309"/>
        <v>2736400</v>
      </c>
      <c r="J4959" s="8">
        <f t="shared" si="310"/>
        <v>1771545.36</v>
      </c>
      <c r="K4959" t="str">
        <f t="shared" si="311"/>
        <v>MATCHED</v>
      </c>
    </row>
    <row r="4960" spans="1:11">
      <c r="A4960" t="s">
        <v>124</v>
      </c>
      <c r="B4960" t="s">
        <v>1739</v>
      </c>
      <c r="C4960" t="s">
        <v>1460</v>
      </c>
      <c r="D4960" t="s">
        <v>1461</v>
      </c>
      <c r="E4960" s="8">
        <v>360</v>
      </c>
      <c r="F4960" s="8">
        <v>105050</v>
      </c>
      <c r="G4960" s="8">
        <f t="shared" si="308"/>
        <v>37818000</v>
      </c>
      <c r="H4960" s="5">
        <v>0.3176</v>
      </c>
      <c r="I4960" s="8">
        <f t="shared" si="309"/>
        <v>37818000</v>
      </c>
      <c r="J4960" s="8">
        <f t="shared" si="310"/>
        <v>12010996.8</v>
      </c>
      <c r="K4960" t="str">
        <f t="shared" si="311"/>
        <v>MATCHED</v>
      </c>
    </row>
    <row r="4961" spans="1:11">
      <c r="A4961" t="s">
        <v>124</v>
      </c>
      <c r="B4961" t="s">
        <v>1739</v>
      </c>
      <c r="C4961" t="s">
        <v>924</v>
      </c>
      <c r="D4961" t="s">
        <v>925</v>
      </c>
      <c r="E4961" s="8">
        <v>970</v>
      </c>
      <c r="F4961" s="8">
        <v>92280</v>
      </c>
      <c r="G4961" s="8">
        <f t="shared" si="308"/>
        <v>89511600</v>
      </c>
      <c r="H4961" s="5">
        <v>0.4729</v>
      </c>
      <c r="I4961" s="8">
        <f t="shared" si="309"/>
        <v>89511600</v>
      </c>
      <c r="J4961" s="8">
        <f t="shared" si="310"/>
        <v>42330035.64</v>
      </c>
      <c r="K4961" t="str">
        <f t="shared" si="311"/>
        <v>MATCHED</v>
      </c>
    </row>
    <row r="4962" spans="1:11">
      <c r="A4962" t="s">
        <v>124</v>
      </c>
      <c r="B4962" t="s">
        <v>1739</v>
      </c>
      <c r="C4962" t="s">
        <v>1146</v>
      </c>
      <c r="D4962" t="s">
        <v>1147</v>
      </c>
      <c r="E4962" s="8">
        <v>10750</v>
      </c>
      <c r="F4962" s="8">
        <v>160090</v>
      </c>
      <c r="G4962" s="8">
        <f t="shared" si="308"/>
        <v>1720967500</v>
      </c>
      <c r="H4962" s="5">
        <v>0.4417</v>
      </c>
      <c r="I4962" s="8">
        <f t="shared" si="309"/>
        <v>1720967500</v>
      </c>
      <c r="J4962" s="8">
        <f t="shared" si="310"/>
        <v>760151344.75</v>
      </c>
      <c r="K4962" t="str">
        <f t="shared" si="311"/>
        <v>MATCHED</v>
      </c>
    </row>
    <row r="4963" spans="1:11">
      <c r="A4963" t="s">
        <v>124</v>
      </c>
      <c r="B4963" t="s">
        <v>1739</v>
      </c>
      <c r="C4963" t="s">
        <v>261</v>
      </c>
      <c r="D4963" t="s">
        <v>262</v>
      </c>
      <c r="E4963" s="8">
        <v>1100</v>
      </c>
      <c r="F4963" s="8">
        <v>134300</v>
      </c>
      <c r="G4963" s="8">
        <f t="shared" si="308"/>
        <v>147730000</v>
      </c>
      <c r="H4963" s="5">
        <v>0.382</v>
      </c>
      <c r="I4963" s="8">
        <f t="shared" si="309"/>
        <v>147730000</v>
      </c>
      <c r="J4963" s="8">
        <f t="shared" si="310"/>
        <v>56432860</v>
      </c>
      <c r="K4963" t="str">
        <f t="shared" si="311"/>
        <v>MATCHED</v>
      </c>
    </row>
    <row r="4964" spans="1:11">
      <c r="A4964" t="s">
        <v>124</v>
      </c>
      <c r="B4964" t="s">
        <v>1739</v>
      </c>
      <c r="C4964" t="s">
        <v>532</v>
      </c>
      <c r="D4964" t="s">
        <v>533</v>
      </c>
      <c r="E4964" s="8">
        <v>5320</v>
      </c>
      <c r="F4964" s="8">
        <v>78770</v>
      </c>
      <c r="G4964" s="8">
        <f t="shared" si="308"/>
        <v>419056400</v>
      </c>
      <c r="H4964" s="5">
        <v>0.3833</v>
      </c>
      <c r="I4964" s="8">
        <f t="shared" si="309"/>
        <v>419056400</v>
      </c>
      <c r="J4964" s="8">
        <f t="shared" si="310"/>
        <v>160624318.12</v>
      </c>
      <c r="K4964" t="str">
        <f t="shared" si="311"/>
        <v>MATCHED</v>
      </c>
    </row>
    <row r="4965" spans="1:11">
      <c r="A4965" t="s">
        <v>124</v>
      </c>
      <c r="B4965" t="s">
        <v>1739</v>
      </c>
      <c r="C4965" t="s">
        <v>926</v>
      </c>
      <c r="D4965" t="s">
        <v>927</v>
      </c>
      <c r="E4965" s="8">
        <v>1480</v>
      </c>
      <c r="F4965" s="8">
        <v>97300</v>
      </c>
      <c r="G4965" s="8">
        <f t="shared" si="308"/>
        <v>144004000</v>
      </c>
      <c r="H4965" s="5">
        <v>0.3656</v>
      </c>
      <c r="I4965" s="8">
        <f t="shared" si="309"/>
        <v>144004000</v>
      </c>
      <c r="J4965" s="8">
        <f t="shared" si="310"/>
        <v>52647862.4</v>
      </c>
      <c r="K4965" t="str">
        <f t="shared" si="311"/>
        <v>MATCHED</v>
      </c>
    </row>
    <row r="4966" spans="1:11">
      <c r="A4966" t="s">
        <v>124</v>
      </c>
      <c r="B4966" t="s">
        <v>1739</v>
      </c>
      <c r="C4966" t="s">
        <v>816</v>
      </c>
      <c r="D4966" t="s">
        <v>817</v>
      </c>
      <c r="E4966" s="8">
        <v>200</v>
      </c>
      <c r="F4966" s="8">
        <v>115090</v>
      </c>
      <c r="G4966" s="8">
        <f t="shared" si="308"/>
        <v>23018000</v>
      </c>
      <c r="H4966" s="5">
        <v>0.4174</v>
      </c>
      <c r="I4966" s="8">
        <f t="shared" si="309"/>
        <v>23018000</v>
      </c>
      <c r="J4966" s="8">
        <f t="shared" si="310"/>
        <v>9607713.2</v>
      </c>
      <c r="K4966" t="str">
        <f t="shared" si="311"/>
        <v>MATCHED</v>
      </c>
    </row>
    <row r="4967" spans="1:11">
      <c r="A4967" t="s">
        <v>124</v>
      </c>
      <c r="B4967" t="s">
        <v>1739</v>
      </c>
      <c r="C4967" t="s">
        <v>263</v>
      </c>
      <c r="D4967" t="s">
        <v>264</v>
      </c>
      <c r="E4967" s="8">
        <v>30380</v>
      </c>
      <c r="F4967" s="8">
        <v>136980</v>
      </c>
      <c r="G4967" s="8">
        <f t="shared" si="308"/>
        <v>4161452400</v>
      </c>
      <c r="H4967" s="5">
        <v>0.4896</v>
      </c>
      <c r="I4967" s="8">
        <f t="shared" si="309"/>
        <v>4161452400</v>
      </c>
      <c r="J4967" s="8">
        <f t="shared" si="310"/>
        <v>2037447095.04</v>
      </c>
      <c r="K4967" t="str">
        <f t="shared" si="311"/>
        <v>MATCHED</v>
      </c>
    </row>
    <row r="4968" spans="1:11">
      <c r="A4968" t="s">
        <v>124</v>
      </c>
      <c r="B4968" t="s">
        <v>1739</v>
      </c>
      <c r="C4968" t="s">
        <v>1565</v>
      </c>
      <c r="D4968" t="s">
        <v>1566</v>
      </c>
      <c r="E4968" s="8"/>
      <c r="F4968" s="8">
        <v>125930</v>
      </c>
      <c r="G4968" s="8" t="str">
        <f t="shared" si="308"/>
        <v/>
      </c>
      <c r="H4968" s="5">
        <v>0.4714</v>
      </c>
      <c r="I4968" s="8" t="str">
        <f t="shared" si="309"/>
        <v/>
      </c>
      <c r="J4968" s="8" t="str">
        <f t="shared" si="310"/>
        <v/>
      </c>
      <c r="K4968" t="str">
        <f t="shared" si="311"/>
        <v>MISSING OEWS</v>
      </c>
    </row>
    <row r="4969" spans="1:11">
      <c r="A4969" t="s">
        <v>124</v>
      </c>
      <c r="B4969" t="s">
        <v>1739</v>
      </c>
      <c r="C4969" t="s">
        <v>265</v>
      </c>
      <c r="D4969" t="s">
        <v>266</v>
      </c>
      <c r="E4969" s="8">
        <v>17880</v>
      </c>
      <c r="F4969" s="8">
        <v>83970</v>
      </c>
      <c r="G4969" s="8">
        <f t="shared" si="308"/>
        <v>1501383600</v>
      </c>
      <c r="H4969" s="5">
        <v>0.5876</v>
      </c>
      <c r="I4969" s="8">
        <f t="shared" si="309"/>
        <v>1501383600</v>
      </c>
      <c r="J4969" s="8">
        <f t="shared" si="310"/>
        <v>882213003.36</v>
      </c>
      <c r="K4969" t="str">
        <f t="shared" si="311"/>
        <v>MATCHED</v>
      </c>
    </row>
    <row r="4970" spans="1:11">
      <c r="A4970" t="s">
        <v>124</v>
      </c>
      <c r="B4970" t="s">
        <v>1739</v>
      </c>
      <c r="C4970" t="s">
        <v>818</v>
      </c>
      <c r="D4970" t="s">
        <v>819</v>
      </c>
      <c r="E4970" s="8">
        <v>3450</v>
      </c>
      <c r="F4970" s="8">
        <v>67440</v>
      </c>
      <c r="G4970" s="8">
        <f t="shared" si="308"/>
        <v>232668000</v>
      </c>
      <c r="H4970" s="5">
        <v>0.6983</v>
      </c>
      <c r="I4970" s="8">
        <f t="shared" si="309"/>
        <v>232668000</v>
      </c>
      <c r="J4970" s="8">
        <f t="shared" si="310"/>
        <v>162472064.4</v>
      </c>
      <c r="K4970" t="str">
        <f t="shared" si="311"/>
        <v>MATCHED</v>
      </c>
    </row>
    <row r="4971" spans="1:11">
      <c r="A4971" t="s">
        <v>124</v>
      </c>
      <c r="B4971" t="s">
        <v>1739</v>
      </c>
      <c r="C4971" t="s">
        <v>1462</v>
      </c>
      <c r="D4971" t="s">
        <v>1463</v>
      </c>
      <c r="E4971" s="8">
        <v>200</v>
      </c>
      <c r="F4971" s="8">
        <v>83910</v>
      </c>
      <c r="G4971" s="8">
        <f t="shared" si="308"/>
        <v>16782000</v>
      </c>
      <c r="H4971" s="5">
        <v>0.4714</v>
      </c>
      <c r="I4971" s="8">
        <f t="shared" si="309"/>
        <v>16782000</v>
      </c>
      <c r="J4971" s="8">
        <f t="shared" si="310"/>
        <v>7911034.8</v>
      </c>
      <c r="K4971" t="str">
        <f t="shared" si="311"/>
        <v>MATCHED</v>
      </c>
    </row>
    <row r="4972" spans="1:11">
      <c r="A4972" t="s">
        <v>124</v>
      </c>
      <c r="B4972" t="s">
        <v>1739</v>
      </c>
      <c r="C4972" t="s">
        <v>267</v>
      </c>
      <c r="D4972" t="s">
        <v>268</v>
      </c>
      <c r="E4972" s="8">
        <v>20920</v>
      </c>
      <c r="F4972" s="8">
        <v>73100</v>
      </c>
      <c r="G4972" s="8">
        <f t="shared" si="308"/>
        <v>1529252000</v>
      </c>
      <c r="H4972" s="5">
        <v>0.4611</v>
      </c>
      <c r="I4972" s="8">
        <f t="shared" si="309"/>
        <v>1529252000</v>
      </c>
      <c r="J4972" s="8">
        <f t="shared" si="310"/>
        <v>705138097.2</v>
      </c>
      <c r="K4972" t="str">
        <f t="shared" si="311"/>
        <v>MATCHED</v>
      </c>
    </row>
    <row r="4973" spans="1:11">
      <c r="A4973" t="s">
        <v>124</v>
      </c>
      <c r="B4973" t="s">
        <v>1739</v>
      </c>
      <c r="C4973" t="s">
        <v>534</v>
      </c>
      <c r="D4973" t="s">
        <v>535</v>
      </c>
      <c r="E4973" s="8">
        <v>9990</v>
      </c>
      <c r="F4973" s="8">
        <v>80090</v>
      </c>
      <c r="G4973" s="8">
        <f t="shared" si="308"/>
        <v>800099100</v>
      </c>
      <c r="H4973" s="5">
        <v>0.6393</v>
      </c>
      <c r="I4973" s="8">
        <f t="shared" si="309"/>
        <v>800099100</v>
      </c>
      <c r="J4973" s="8">
        <f t="shared" si="310"/>
        <v>511503354.63</v>
      </c>
      <c r="K4973" t="str">
        <f t="shared" si="311"/>
        <v>MATCHED</v>
      </c>
    </row>
    <row r="4974" spans="1:11">
      <c r="A4974" t="s">
        <v>124</v>
      </c>
      <c r="B4974" t="s">
        <v>1739</v>
      </c>
      <c r="C4974" t="s">
        <v>269</v>
      </c>
      <c r="D4974" t="s">
        <v>270</v>
      </c>
      <c r="E4974" s="8">
        <v>160460</v>
      </c>
      <c r="F4974" s="8">
        <v>70290</v>
      </c>
      <c r="G4974" s="8">
        <f t="shared" si="308"/>
        <v>11278733400</v>
      </c>
      <c r="H4974" s="5">
        <v>0.7808</v>
      </c>
      <c r="I4974" s="8">
        <f t="shared" si="309"/>
        <v>11278733400</v>
      </c>
      <c r="J4974" s="8">
        <f t="shared" si="310"/>
        <v>8806435038.72</v>
      </c>
      <c r="K4974" t="str">
        <f t="shared" si="311"/>
        <v>MATCHED</v>
      </c>
    </row>
    <row r="4975" spans="1:11">
      <c r="A4975" t="s">
        <v>124</v>
      </c>
      <c r="B4975" t="s">
        <v>1739</v>
      </c>
      <c r="C4975" t="s">
        <v>820</v>
      </c>
      <c r="D4975" t="s">
        <v>821</v>
      </c>
      <c r="E4975" s="8">
        <v>690</v>
      </c>
      <c r="F4975" s="8">
        <v>86580</v>
      </c>
      <c r="G4975" s="8">
        <f t="shared" si="308"/>
        <v>59740200</v>
      </c>
      <c r="H4975" s="5">
        <v>0.5536</v>
      </c>
      <c r="I4975" s="8">
        <f t="shared" si="309"/>
        <v>59740200</v>
      </c>
      <c r="J4975" s="8">
        <f t="shared" si="310"/>
        <v>33072174.72</v>
      </c>
      <c r="K4975" t="str">
        <f t="shared" si="311"/>
        <v>MATCHED</v>
      </c>
    </row>
    <row r="4976" spans="1:11">
      <c r="A4976" t="s">
        <v>124</v>
      </c>
      <c r="B4976" t="s">
        <v>1739</v>
      </c>
      <c r="C4976" t="s">
        <v>273</v>
      </c>
      <c r="D4976" t="s">
        <v>274</v>
      </c>
      <c r="E4976" s="8">
        <v>10010</v>
      </c>
      <c r="F4976" s="8">
        <v>76820</v>
      </c>
      <c r="G4976" s="8">
        <f t="shared" si="308"/>
        <v>768968200</v>
      </c>
      <c r="H4976" s="5">
        <v>0.6943</v>
      </c>
      <c r="I4976" s="8">
        <f t="shared" si="309"/>
        <v>768968200</v>
      </c>
      <c r="J4976" s="8">
        <f t="shared" si="310"/>
        <v>533894621.26</v>
      </c>
      <c r="K4976" t="str">
        <f t="shared" si="311"/>
        <v>MATCHED</v>
      </c>
    </row>
    <row r="4977" spans="1:11">
      <c r="A4977" t="s">
        <v>124</v>
      </c>
      <c r="B4977" t="s">
        <v>1739</v>
      </c>
      <c r="C4977" t="s">
        <v>275</v>
      </c>
      <c r="D4977" t="s">
        <v>276</v>
      </c>
      <c r="E4977" s="8">
        <v>69900</v>
      </c>
      <c r="F4977" s="8">
        <v>106930</v>
      </c>
      <c r="G4977" s="8">
        <f t="shared" si="308"/>
        <v>7474407000</v>
      </c>
      <c r="H4977" s="5">
        <v>0.6375</v>
      </c>
      <c r="I4977" s="8">
        <f t="shared" si="309"/>
        <v>7474407000</v>
      </c>
      <c r="J4977" s="8">
        <f t="shared" si="310"/>
        <v>4764934462.5</v>
      </c>
      <c r="K4977" t="str">
        <f t="shared" si="311"/>
        <v>MATCHED</v>
      </c>
    </row>
    <row r="4978" spans="1:11">
      <c r="A4978" t="s">
        <v>124</v>
      </c>
      <c r="B4978" t="s">
        <v>1739</v>
      </c>
      <c r="C4978" t="s">
        <v>277</v>
      </c>
      <c r="D4978" t="s">
        <v>278</v>
      </c>
      <c r="E4978" s="8">
        <v>41760</v>
      </c>
      <c r="F4978" s="8">
        <v>107460</v>
      </c>
      <c r="G4978" s="8">
        <f t="shared" si="308"/>
        <v>4487529600</v>
      </c>
      <c r="H4978" s="5">
        <v>0.5773</v>
      </c>
      <c r="I4978" s="8">
        <f t="shared" si="309"/>
        <v>4487529600</v>
      </c>
      <c r="J4978" s="8">
        <f t="shared" si="310"/>
        <v>2590650838.08</v>
      </c>
      <c r="K4978" t="str">
        <f t="shared" si="311"/>
        <v>MATCHED</v>
      </c>
    </row>
    <row r="4979" spans="1:11">
      <c r="A4979" t="s">
        <v>124</v>
      </c>
      <c r="B4979" t="s">
        <v>1739</v>
      </c>
      <c r="C4979" t="s">
        <v>279</v>
      </c>
      <c r="D4979" t="s">
        <v>280</v>
      </c>
      <c r="E4979" s="8">
        <v>18400</v>
      </c>
      <c r="F4979" s="8">
        <v>69560</v>
      </c>
      <c r="G4979" s="8">
        <f t="shared" si="308"/>
        <v>1279904000</v>
      </c>
      <c r="H4979" s="5">
        <v>0.4476</v>
      </c>
      <c r="I4979" s="8">
        <f t="shared" si="309"/>
        <v>1279904000</v>
      </c>
      <c r="J4979" s="8">
        <f t="shared" si="310"/>
        <v>572885030.4</v>
      </c>
      <c r="K4979" t="str">
        <f t="shared" si="311"/>
        <v>MATCHED</v>
      </c>
    </row>
    <row r="4980" spans="1:11">
      <c r="A4980" t="s">
        <v>124</v>
      </c>
      <c r="B4980" t="s">
        <v>1739</v>
      </c>
      <c r="C4980" t="s">
        <v>928</v>
      </c>
      <c r="D4980" t="s">
        <v>929</v>
      </c>
      <c r="E4980" s="8">
        <v>2340</v>
      </c>
      <c r="F4980" s="8">
        <v>68530</v>
      </c>
      <c r="G4980" s="8">
        <f t="shared" si="308"/>
        <v>160360200</v>
      </c>
      <c r="H4980" s="5">
        <v>0.5571</v>
      </c>
      <c r="I4980" s="8">
        <f t="shared" si="309"/>
        <v>160360200</v>
      </c>
      <c r="J4980" s="8">
        <f t="shared" si="310"/>
        <v>89336667.42</v>
      </c>
      <c r="K4980" t="str">
        <f t="shared" si="311"/>
        <v>MATCHED</v>
      </c>
    </row>
    <row r="4981" spans="1:11">
      <c r="A4981" t="s">
        <v>124</v>
      </c>
      <c r="B4981" t="s">
        <v>1739</v>
      </c>
      <c r="C4981" t="s">
        <v>281</v>
      </c>
      <c r="D4981" t="s">
        <v>282</v>
      </c>
      <c r="E4981" s="8">
        <v>7760</v>
      </c>
      <c r="F4981" s="8">
        <v>75150</v>
      </c>
      <c r="G4981" s="8">
        <f t="shared" si="308"/>
        <v>583164000</v>
      </c>
      <c r="H4981" s="5">
        <v>0.6167</v>
      </c>
      <c r="I4981" s="8">
        <f t="shared" si="309"/>
        <v>583164000</v>
      </c>
      <c r="J4981" s="8">
        <f t="shared" si="310"/>
        <v>359637238.8</v>
      </c>
      <c r="K4981" t="str">
        <f t="shared" si="311"/>
        <v>MATCHED</v>
      </c>
    </row>
    <row r="4982" spans="1:11">
      <c r="A4982" t="s">
        <v>124</v>
      </c>
      <c r="B4982" t="s">
        <v>1739</v>
      </c>
      <c r="C4982" t="s">
        <v>283</v>
      </c>
      <c r="D4982" t="s">
        <v>284</v>
      </c>
      <c r="E4982" s="8">
        <v>31970</v>
      </c>
      <c r="F4982" s="8">
        <v>69430</v>
      </c>
      <c r="G4982" s="8">
        <f t="shared" si="308"/>
        <v>2219677100</v>
      </c>
      <c r="H4982" s="5">
        <v>0.565</v>
      </c>
      <c r="I4982" s="8">
        <f t="shared" si="309"/>
        <v>2219677100</v>
      </c>
      <c r="J4982" s="8">
        <f t="shared" si="310"/>
        <v>1254117561.5</v>
      </c>
      <c r="K4982" t="str">
        <f t="shared" si="311"/>
        <v>MATCHED</v>
      </c>
    </row>
    <row r="4983" spans="1:11">
      <c r="A4983" t="s">
        <v>124</v>
      </c>
      <c r="B4983" t="s">
        <v>1739</v>
      </c>
      <c r="C4983" t="s">
        <v>285</v>
      </c>
      <c r="D4983" t="s">
        <v>286</v>
      </c>
      <c r="E4983" s="8">
        <v>46150</v>
      </c>
      <c r="F4983" s="8">
        <v>80830</v>
      </c>
      <c r="G4983" s="8">
        <f t="shared" si="308"/>
        <v>3730304500</v>
      </c>
      <c r="H4983" s="5">
        <v>0.7792</v>
      </c>
      <c r="I4983" s="8">
        <f t="shared" si="309"/>
        <v>3730304500</v>
      </c>
      <c r="J4983" s="8">
        <f t="shared" si="310"/>
        <v>2906653266.4</v>
      </c>
      <c r="K4983" t="str">
        <f t="shared" si="311"/>
        <v>MATCHED</v>
      </c>
    </row>
    <row r="4984" spans="1:11">
      <c r="A4984" t="s">
        <v>124</v>
      </c>
      <c r="B4984" t="s">
        <v>1739</v>
      </c>
      <c r="C4984" t="s">
        <v>287</v>
      </c>
      <c r="D4984" t="s">
        <v>288</v>
      </c>
      <c r="E4984" s="8">
        <v>57610</v>
      </c>
      <c r="F4984" s="8">
        <v>83300</v>
      </c>
      <c r="G4984" s="8">
        <f t="shared" si="308"/>
        <v>4798913000</v>
      </c>
      <c r="H4984" s="5">
        <v>0.6599</v>
      </c>
      <c r="I4984" s="8">
        <f t="shared" si="309"/>
        <v>4798913000</v>
      </c>
      <c r="J4984" s="8">
        <f t="shared" si="310"/>
        <v>3166802688.7</v>
      </c>
      <c r="K4984" t="str">
        <f t="shared" si="311"/>
        <v>MATCHED</v>
      </c>
    </row>
    <row r="4985" spans="1:11">
      <c r="A4985" t="s">
        <v>124</v>
      </c>
      <c r="B4985" t="s">
        <v>1739</v>
      </c>
      <c r="C4985" t="s">
        <v>289</v>
      </c>
      <c r="D4985" t="s">
        <v>290</v>
      </c>
      <c r="E4985" s="8">
        <v>70720</v>
      </c>
      <c r="F4985" s="8">
        <v>92330</v>
      </c>
      <c r="G4985" s="8">
        <f t="shared" si="308"/>
        <v>6529577600</v>
      </c>
      <c r="H4985" s="5">
        <v>0.795</v>
      </c>
      <c r="I4985" s="8">
        <f t="shared" si="309"/>
        <v>6529577600</v>
      </c>
      <c r="J4985" s="8">
        <f t="shared" si="310"/>
        <v>5191014192</v>
      </c>
      <c r="K4985" t="str">
        <f t="shared" si="311"/>
        <v>MATCHED</v>
      </c>
    </row>
    <row r="4986" spans="1:11">
      <c r="A4986" t="s">
        <v>124</v>
      </c>
      <c r="B4986" t="s">
        <v>1739</v>
      </c>
      <c r="C4986" t="s">
        <v>822</v>
      </c>
      <c r="D4986" t="s">
        <v>823</v>
      </c>
      <c r="E4986" s="8">
        <v>420</v>
      </c>
      <c r="F4986" s="8">
        <v>67500</v>
      </c>
      <c r="G4986" s="8">
        <f t="shared" si="308"/>
        <v>28350000</v>
      </c>
      <c r="H4986" s="5">
        <v>0.6102</v>
      </c>
      <c r="I4986" s="8">
        <f t="shared" si="309"/>
        <v>28350000</v>
      </c>
      <c r="J4986" s="8">
        <f t="shared" si="310"/>
        <v>17299170</v>
      </c>
      <c r="K4986" t="str">
        <f t="shared" si="311"/>
        <v>MATCHED</v>
      </c>
    </row>
    <row r="4987" spans="1:11">
      <c r="A4987" t="s">
        <v>124</v>
      </c>
      <c r="B4987" t="s">
        <v>1739</v>
      </c>
      <c r="C4987" t="s">
        <v>824</v>
      </c>
      <c r="D4987" t="s">
        <v>825</v>
      </c>
      <c r="E4987" s="8">
        <v>1210</v>
      </c>
      <c r="F4987" s="8">
        <v>90040</v>
      </c>
      <c r="G4987" s="8">
        <f t="shared" si="308"/>
        <v>108948400</v>
      </c>
      <c r="H4987" s="5">
        <v>0.8</v>
      </c>
      <c r="I4987" s="8">
        <f t="shared" si="309"/>
        <v>108948400</v>
      </c>
      <c r="J4987" s="8">
        <f t="shared" si="310"/>
        <v>87158720</v>
      </c>
      <c r="K4987" t="str">
        <f t="shared" si="311"/>
        <v>MATCHED</v>
      </c>
    </row>
    <row r="4988" spans="1:11">
      <c r="A4988" t="s">
        <v>124</v>
      </c>
      <c r="B4988" t="s">
        <v>1739</v>
      </c>
      <c r="C4988" t="s">
        <v>826</v>
      </c>
      <c r="D4988" t="s">
        <v>827</v>
      </c>
      <c r="E4988" s="8">
        <v>2190</v>
      </c>
      <c r="F4988" s="8">
        <v>103430</v>
      </c>
      <c r="G4988" s="8">
        <f t="shared" si="308"/>
        <v>226511700</v>
      </c>
      <c r="H4988" s="5">
        <v>0.8182</v>
      </c>
      <c r="I4988" s="8">
        <f t="shared" si="309"/>
        <v>226511700</v>
      </c>
      <c r="J4988" s="8">
        <f t="shared" si="310"/>
        <v>185331872.94</v>
      </c>
      <c r="K4988" t="str">
        <f t="shared" si="311"/>
        <v>MATCHED</v>
      </c>
    </row>
    <row r="4989" spans="1:11">
      <c r="A4989" t="s">
        <v>124</v>
      </c>
      <c r="B4989" t="s">
        <v>1739</v>
      </c>
      <c r="C4989" t="s">
        <v>536</v>
      </c>
      <c r="D4989" t="s">
        <v>537</v>
      </c>
      <c r="E4989" s="8">
        <v>11580</v>
      </c>
      <c r="F4989" s="8">
        <v>108040</v>
      </c>
      <c r="G4989" s="8">
        <f t="shared" si="308"/>
        <v>1251103200</v>
      </c>
      <c r="H4989" s="5">
        <v>0.6904</v>
      </c>
      <c r="I4989" s="8">
        <f t="shared" si="309"/>
        <v>1251103200</v>
      </c>
      <c r="J4989" s="8">
        <f t="shared" si="310"/>
        <v>863761649.28</v>
      </c>
      <c r="K4989" t="str">
        <f t="shared" si="311"/>
        <v>MATCHED</v>
      </c>
    </row>
    <row r="4990" spans="1:11">
      <c r="A4990" t="s">
        <v>124</v>
      </c>
      <c r="B4990" t="s">
        <v>1739</v>
      </c>
      <c r="C4990" t="s">
        <v>930</v>
      </c>
      <c r="D4990" t="s">
        <v>931</v>
      </c>
      <c r="E4990" s="8"/>
      <c r="F4990" s="8">
        <v>136340</v>
      </c>
      <c r="G4990" s="8" t="str">
        <f t="shared" si="308"/>
        <v/>
      </c>
      <c r="H4990" s="5">
        <v>0.6857</v>
      </c>
      <c r="I4990" s="8" t="str">
        <f t="shared" si="309"/>
        <v/>
      </c>
      <c r="J4990" s="8" t="str">
        <f t="shared" si="310"/>
        <v/>
      </c>
      <c r="K4990" t="str">
        <f t="shared" si="311"/>
        <v>MISSING OEWS</v>
      </c>
    </row>
    <row r="4991" spans="1:11">
      <c r="A4991" t="s">
        <v>124</v>
      </c>
      <c r="B4991" t="s">
        <v>1739</v>
      </c>
      <c r="C4991" t="s">
        <v>1602</v>
      </c>
      <c r="D4991" t="s">
        <v>1603</v>
      </c>
      <c r="E4991" s="8"/>
      <c r="F4991" s="8">
        <v>81900</v>
      </c>
      <c r="G4991" s="8" t="str">
        <f t="shared" si="308"/>
        <v/>
      </c>
      <c r="H4991" s="5">
        <v>0.95</v>
      </c>
      <c r="I4991" s="8" t="str">
        <f t="shared" si="309"/>
        <v/>
      </c>
      <c r="J4991" s="8" t="str">
        <f t="shared" si="310"/>
        <v/>
      </c>
      <c r="K4991" t="str">
        <f t="shared" si="311"/>
        <v>MISSING OEWS</v>
      </c>
    </row>
    <row r="4992" spans="1:11">
      <c r="A4992" t="s">
        <v>124</v>
      </c>
      <c r="B4992" t="s">
        <v>1739</v>
      </c>
      <c r="C4992" t="s">
        <v>828</v>
      </c>
      <c r="D4992" t="s">
        <v>829</v>
      </c>
      <c r="E4992" s="8">
        <v>1370</v>
      </c>
      <c r="F4992" s="8">
        <v>118390</v>
      </c>
      <c r="G4992" s="8">
        <f t="shared" si="308"/>
        <v>162194300</v>
      </c>
      <c r="H4992" s="5">
        <v>0.7767</v>
      </c>
      <c r="I4992" s="8">
        <f t="shared" si="309"/>
        <v>162194300</v>
      </c>
      <c r="J4992" s="8">
        <f t="shared" si="310"/>
        <v>125976312.81</v>
      </c>
      <c r="K4992" t="str">
        <f t="shared" si="311"/>
        <v>MATCHED</v>
      </c>
    </row>
    <row r="4993" spans="1:11">
      <c r="A4993" t="s">
        <v>124</v>
      </c>
      <c r="B4993" t="s">
        <v>1739</v>
      </c>
      <c r="C4993" t="s">
        <v>1150</v>
      </c>
      <c r="D4993" t="s">
        <v>1151</v>
      </c>
      <c r="E4993" s="8">
        <v>1080</v>
      </c>
      <c r="F4993" s="8">
        <v>87150</v>
      </c>
      <c r="G4993" s="8">
        <f t="shared" si="308"/>
        <v>94122000</v>
      </c>
      <c r="H4993" s="5">
        <v>0.5647</v>
      </c>
      <c r="I4993" s="8">
        <f t="shared" si="309"/>
        <v>94122000</v>
      </c>
      <c r="J4993" s="8">
        <f t="shared" si="310"/>
        <v>53150693.4</v>
      </c>
      <c r="K4993" t="str">
        <f t="shared" si="311"/>
        <v>MATCHED</v>
      </c>
    </row>
    <row r="4994" spans="1:11">
      <c r="A4994" t="s">
        <v>124</v>
      </c>
      <c r="B4994" t="s">
        <v>1739</v>
      </c>
      <c r="C4994" t="s">
        <v>934</v>
      </c>
      <c r="D4994" t="s">
        <v>935</v>
      </c>
      <c r="E4994" s="8">
        <v>1220</v>
      </c>
      <c r="F4994" s="8">
        <v>73500</v>
      </c>
      <c r="G4994" s="8">
        <f t="shared" ref="G4994:G5057" si="312">IF(OR(E4994="",F4994=""),"",E4994*F4994)</f>
        <v>89670000</v>
      </c>
      <c r="H4994" s="5">
        <v>0.805</v>
      </c>
      <c r="I4994" s="8">
        <f t="shared" ref="I4994:I5057" si="313">IF(G4994="","",IF(ISNUMBER(H4994),G4994,""))</f>
        <v>89670000</v>
      </c>
      <c r="J4994" s="8">
        <f t="shared" ref="J4994:J5057" si="314">IF(I4994="","",I4994*H4994)</f>
        <v>72184350</v>
      </c>
      <c r="K4994" t="str">
        <f t="shared" ref="K4994:K5057" si="315">IF(G4994="","MISSING OEWS",IF(ISNUMBER(H4994),"MATCHED","MISSING WHARTON"))</f>
        <v>MATCHED</v>
      </c>
    </row>
    <row r="4995" spans="1:11">
      <c r="A4995" t="s">
        <v>124</v>
      </c>
      <c r="B4995" t="s">
        <v>1739</v>
      </c>
      <c r="C4995" t="s">
        <v>1415</v>
      </c>
      <c r="D4995" t="s">
        <v>1416</v>
      </c>
      <c r="E4995" s="8">
        <v>300</v>
      </c>
      <c r="F4995" s="8"/>
      <c r="G4995" s="8" t="str">
        <f t="shared" si="312"/>
        <v/>
      </c>
      <c r="H4995" s="5">
        <v>0.9083</v>
      </c>
      <c r="I4995" s="8" t="str">
        <f t="shared" si="313"/>
        <v/>
      </c>
      <c r="J4995" s="8" t="str">
        <f t="shared" si="314"/>
        <v/>
      </c>
      <c r="K4995" t="str">
        <f t="shared" si="315"/>
        <v>MISSING OEWS</v>
      </c>
    </row>
    <row r="4996" spans="1:11">
      <c r="A4996" t="s">
        <v>124</v>
      </c>
      <c r="B4996" t="s">
        <v>1739</v>
      </c>
      <c r="C4996" t="s">
        <v>538</v>
      </c>
      <c r="D4996" t="s">
        <v>539</v>
      </c>
      <c r="E4996" s="8">
        <v>4210</v>
      </c>
      <c r="F4996" s="8">
        <v>79400</v>
      </c>
      <c r="G4996" s="8">
        <f t="shared" si="312"/>
        <v>334274000</v>
      </c>
      <c r="H4996" s="5">
        <v>0.6192</v>
      </c>
      <c r="I4996" s="8">
        <f t="shared" si="313"/>
        <v>334274000</v>
      </c>
      <c r="J4996" s="8">
        <f t="shared" si="314"/>
        <v>206982460.8</v>
      </c>
      <c r="K4996" t="str">
        <f t="shared" si="315"/>
        <v>MATCHED</v>
      </c>
    </row>
    <row r="4997" spans="1:11">
      <c r="A4997" t="s">
        <v>124</v>
      </c>
      <c r="B4997" t="s">
        <v>1739</v>
      </c>
      <c r="C4997" t="s">
        <v>291</v>
      </c>
      <c r="D4997" t="s">
        <v>292</v>
      </c>
      <c r="E4997" s="8">
        <v>23380</v>
      </c>
      <c r="F4997" s="8">
        <v>115720</v>
      </c>
      <c r="G4997" s="8">
        <f t="shared" si="312"/>
        <v>2705533600</v>
      </c>
      <c r="H4997" s="5">
        <v>0.6388</v>
      </c>
      <c r="I4997" s="8">
        <f t="shared" si="313"/>
        <v>2705533600</v>
      </c>
      <c r="J4997" s="8">
        <f t="shared" si="314"/>
        <v>1728294863.68</v>
      </c>
      <c r="K4997" t="str">
        <f t="shared" si="315"/>
        <v>MATCHED</v>
      </c>
    </row>
    <row r="4998" spans="1:11">
      <c r="A4998" t="s">
        <v>124</v>
      </c>
      <c r="B4998" t="s">
        <v>1739</v>
      </c>
      <c r="C4998" t="s">
        <v>540</v>
      </c>
      <c r="D4998" t="s">
        <v>541</v>
      </c>
      <c r="E4998" s="8">
        <v>9020</v>
      </c>
      <c r="F4998" s="8">
        <v>121420</v>
      </c>
      <c r="G4998" s="8">
        <f t="shared" si="312"/>
        <v>1095208400</v>
      </c>
      <c r="H4998" s="5">
        <v>0.6292</v>
      </c>
      <c r="I4998" s="8">
        <f t="shared" si="313"/>
        <v>1095208400</v>
      </c>
      <c r="J4998" s="8">
        <f t="shared" si="314"/>
        <v>689105125.28</v>
      </c>
      <c r="K4998" t="str">
        <f t="shared" si="315"/>
        <v>MATCHED</v>
      </c>
    </row>
    <row r="4999" spans="1:11">
      <c r="A4999" t="s">
        <v>124</v>
      </c>
      <c r="B4999" t="s">
        <v>1739</v>
      </c>
      <c r="C4999" t="s">
        <v>1152</v>
      </c>
      <c r="D4999" t="s">
        <v>1153</v>
      </c>
      <c r="E4999" s="8">
        <v>510</v>
      </c>
      <c r="F4999" s="8">
        <v>159600</v>
      </c>
      <c r="G4999" s="8">
        <f t="shared" si="312"/>
        <v>81396000</v>
      </c>
      <c r="H4999" s="5">
        <v>0.39</v>
      </c>
      <c r="I4999" s="8">
        <f t="shared" si="313"/>
        <v>81396000</v>
      </c>
      <c r="J4999" s="8">
        <f t="shared" si="314"/>
        <v>31744440</v>
      </c>
      <c r="K4999" t="str">
        <f t="shared" si="315"/>
        <v>MATCHED</v>
      </c>
    </row>
    <row r="5000" spans="1:11">
      <c r="A5000" t="s">
        <v>124</v>
      </c>
      <c r="B5000" t="s">
        <v>1739</v>
      </c>
      <c r="C5000" t="s">
        <v>542</v>
      </c>
      <c r="D5000" t="s">
        <v>543</v>
      </c>
      <c r="E5000" s="8">
        <v>6980</v>
      </c>
      <c r="F5000" s="8">
        <v>76920</v>
      </c>
      <c r="G5000" s="8">
        <f t="shared" si="312"/>
        <v>536901600</v>
      </c>
      <c r="H5000" s="5">
        <v>0.7096</v>
      </c>
      <c r="I5000" s="8">
        <f t="shared" si="313"/>
        <v>536901600</v>
      </c>
      <c r="J5000" s="8">
        <f t="shared" si="314"/>
        <v>380985375.36</v>
      </c>
      <c r="K5000" t="str">
        <f t="shared" si="315"/>
        <v>MATCHED</v>
      </c>
    </row>
    <row r="5001" spans="1:11">
      <c r="A5001" t="s">
        <v>124</v>
      </c>
      <c r="B5001" t="s">
        <v>1739</v>
      </c>
      <c r="C5001" t="s">
        <v>293</v>
      </c>
      <c r="D5001" t="s">
        <v>294</v>
      </c>
      <c r="E5001" s="8">
        <v>53280</v>
      </c>
      <c r="F5001" s="8">
        <v>57720</v>
      </c>
      <c r="G5001" s="8">
        <f t="shared" si="312"/>
        <v>3075321600</v>
      </c>
      <c r="H5001" s="5">
        <v>0.6062</v>
      </c>
      <c r="I5001" s="8">
        <f t="shared" si="313"/>
        <v>3075321600</v>
      </c>
      <c r="J5001" s="8">
        <f t="shared" si="314"/>
        <v>1864259953.92</v>
      </c>
      <c r="K5001" t="str">
        <f t="shared" si="315"/>
        <v>MATCHED</v>
      </c>
    </row>
    <row r="5002" spans="1:11">
      <c r="A5002" t="s">
        <v>124</v>
      </c>
      <c r="B5002" t="s">
        <v>1739</v>
      </c>
      <c r="C5002" t="s">
        <v>544</v>
      </c>
      <c r="D5002" t="s">
        <v>545</v>
      </c>
      <c r="E5002" s="8">
        <v>10390</v>
      </c>
      <c r="F5002" s="8">
        <v>134190</v>
      </c>
      <c r="G5002" s="8">
        <f t="shared" si="312"/>
        <v>1394234100</v>
      </c>
      <c r="H5002" s="5">
        <v>0.6278</v>
      </c>
      <c r="I5002" s="8">
        <f t="shared" si="313"/>
        <v>1394234100</v>
      </c>
      <c r="J5002" s="8">
        <f t="shared" si="314"/>
        <v>875300167.98</v>
      </c>
      <c r="K5002" t="str">
        <f t="shared" si="315"/>
        <v>MATCHED</v>
      </c>
    </row>
    <row r="5003" spans="1:11">
      <c r="A5003" t="s">
        <v>124</v>
      </c>
      <c r="B5003" t="s">
        <v>1739</v>
      </c>
      <c r="C5003" t="s">
        <v>546</v>
      </c>
      <c r="D5003" t="s">
        <v>547</v>
      </c>
      <c r="E5003" s="8">
        <v>4060</v>
      </c>
      <c r="F5003" s="8">
        <v>112640</v>
      </c>
      <c r="G5003" s="8">
        <f t="shared" si="312"/>
        <v>457318400</v>
      </c>
      <c r="H5003" s="5">
        <v>0.8389</v>
      </c>
      <c r="I5003" s="8">
        <f t="shared" si="313"/>
        <v>457318400</v>
      </c>
      <c r="J5003" s="8">
        <f t="shared" si="314"/>
        <v>383644405.76</v>
      </c>
      <c r="K5003" t="str">
        <f t="shared" si="315"/>
        <v>MATCHED</v>
      </c>
    </row>
    <row r="5004" spans="1:11">
      <c r="A5004" t="s">
        <v>124</v>
      </c>
      <c r="B5004" t="s">
        <v>1739</v>
      </c>
      <c r="C5004" t="s">
        <v>548</v>
      </c>
      <c r="D5004" t="s">
        <v>549</v>
      </c>
      <c r="E5004" s="8">
        <v>4050</v>
      </c>
      <c r="F5004" s="8">
        <v>143770</v>
      </c>
      <c r="G5004" s="8">
        <f t="shared" si="312"/>
        <v>582268500</v>
      </c>
      <c r="H5004" s="5">
        <v>0.8502</v>
      </c>
      <c r="I5004" s="8">
        <f t="shared" si="313"/>
        <v>582268500</v>
      </c>
      <c r="J5004" s="8">
        <f t="shared" si="314"/>
        <v>495044678.7</v>
      </c>
      <c r="K5004" t="str">
        <f t="shared" si="315"/>
        <v>MATCHED</v>
      </c>
    </row>
    <row r="5005" spans="1:11">
      <c r="A5005" t="s">
        <v>124</v>
      </c>
      <c r="B5005" t="s">
        <v>1739</v>
      </c>
      <c r="C5005" t="s">
        <v>295</v>
      </c>
      <c r="D5005" t="s">
        <v>296</v>
      </c>
      <c r="E5005" s="8">
        <v>14820</v>
      </c>
      <c r="F5005" s="8">
        <v>104390</v>
      </c>
      <c r="G5005" s="8">
        <f t="shared" si="312"/>
        <v>1547059800</v>
      </c>
      <c r="H5005" s="5">
        <v>0.695</v>
      </c>
      <c r="I5005" s="8">
        <f t="shared" si="313"/>
        <v>1547059800</v>
      </c>
      <c r="J5005" s="8">
        <f t="shared" si="314"/>
        <v>1075206561</v>
      </c>
      <c r="K5005" t="str">
        <f t="shared" si="315"/>
        <v>MATCHED</v>
      </c>
    </row>
    <row r="5006" spans="1:11">
      <c r="A5006" t="s">
        <v>124</v>
      </c>
      <c r="B5006" t="s">
        <v>1739</v>
      </c>
      <c r="C5006" t="s">
        <v>550</v>
      </c>
      <c r="D5006" t="s">
        <v>551</v>
      </c>
      <c r="E5006" s="8">
        <v>3250</v>
      </c>
      <c r="F5006" s="8">
        <v>114040</v>
      </c>
      <c r="G5006" s="8">
        <f t="shared" si="312"/>
        <v>370630000</v>
      </c>
      <c r="H5006" s="5">
        <v>0.6824</v>
      </c>
      <c r="I5006" s="8">
        <f t="shared" si="313"/>
        <v>370630000</v>
      </c>
      <c r="J5006" s="8">
        <f t="shared" si="314"/>
        <v>252917912</v>
      </c>
      <c r="K5006" t="str">
        <f t="shared" si="315"/>
        <v>MATCHED</v>
      </c>
    </row>
    <row r="5007" spans="1:11">
      <c r="A5007" t="s">
        <v>124</v>
      </c>
      <c r="B5007" t="s">
        <v>1739</v>
      </c>
      <c r="C5007" t="s">
        <v>297</v>
      </c>
      <c r="D5007" t="s">
        <v>298</v>
      </c>
      <c r="E5007" s="8">
        <v>62560</v>
      </c>
      <c r="F5007" s="8">
        <v>144250</v>
      </c>
      <c r="G5007" s="8">
        <f t="shared" si="312"/>
        <v>9024280000</v>
      </c>
      <c r="H5007" s="5">
        <v>0.5211</v>
      </c>
      <c r="I5007" s="8">
        <f t="shared" si="313"/>
        <v>9024280000</v>
      </c>
      <c r="J5007" s="8">
        <f t="shared" si="314"/>
        <v>4702552308</v>
      </c>
      <c r="K5007" t="str">
        <f t="shared" si="315"/>
        <v>MATCHED</v>
      </c>
    </row>
    <row r="5008" spans="1:11">
      <c r="A5008" t="s">
        <v>124</v>
      </c>
      <c r="B5008" t="s">
        <v>1739</v>
      </c>
      <c r="C5008" t="s">
        <v>552</v>
      </c>
      <c r="D5008" t="s">
        <v>553</v>
      </c>
      <c r="E5008" s="8">
        <v>10930</v>
      </c>
      <c r="F5008" s="8">
        <v>105480</v>
      </c>
      <c r="G5008" s="8">
        <f t="shared" si="312"/>
        <v>1152896400</v>
      </c>
      <c r="H5008" s="5">
        <v>0.8117</v>
      </c>
      <c r="I5008" s="8">
        <f t="shared" si="313"/>
        <v>1152896400</v>
      </c>
      <c r="J5008" s="8">
        <f t="shared" si="314"/>
        <v>935806007.88</v>
      </c>
      <c r="K5008" t="str">
        <f t="shared" si="315"/>
        <v>MATCHED</v>
      </c>
    </row>
    <row r="5009" spans="1:11">
      <c r="A5009" t="s">
        <v>124</v>
      </c>
      <c r="B5009" t="s">
        <v>1739</v>
      </c>
      <c r="C5009" t="s">
        <v>830</v>
      </c>
      <c r="D5009" t="s">
        <v>831</v>
      </c>
      <c r="E5009" s="8">
        <v>3400</v>
      </c>
      <c r="F5009" s="8">
        <v>110430</v>
      </c>
      <c r="G5009" s="8">
        <f t="shared" si="312"/>
        <v>375462000</v>
      </c>
      <c r="H5009" s="5">
        <v>0.8276</v>
      </c>
      <c r="I5009" s="8">
        <f t="shared" si="313"/>
        <v>375462000</v>
      </c>
      <c r="J5009" s="8">
        <f t="shared" si="314"/>
        <v>310732351.2</v>
      </c>
      <c r="K5009" t="str">
        <f t="shared" si="315"/>
        <v>MATCHED</v>
      </c>
    </row>
    <row r="5010" spans="1:11">
      <c r="A5010" t="s">
        <v>124</v>
      </c>
      <c r="B5010" t="s">
        <v>1739</v>
      </c>
      <c r="C5010" t="s">
        <v>832</v>
      </c>
      <c r="D5010" t="s">
        <v>833</v>
      </c>
      <c r="E5010" s="8">
        <v>5730</v>
      </c>
      <c r="F5010" s="8">
        <v>115330</v>
      </c>
      <c r="G5010" s="8">
        <f t="shared" si="312"/>
        <v>660840900</v>
      </c>
      <c r="H5010" s="5">
        <v>0.6827</v>
      </c>
      <c r="I5010" s="8">
        <f t="shared" si="313"/>
        <v>660840900</v>
      </c>
      <c r="J5010" s="8">
        <f t="shared" si="314"/>
        <v>451156082.43</v>
      </c>
      <c r="K5010" t="str">
        <f t="shared" si="315"/>
        <v>MATCHED</v>
      </c>
    </row>
    <row r="5011" spans="1:11">
      <c r="A5011" t="s">
        <v>124</v>
      </c>
      <c r="B5011" t="s">
        <v>1739</v>
      </c>
      <c r="C5011" t="s">
        <v>299</v>
      </c>
      <c r="D5011" t="s">
        <v>300</v>
      </c>
      <c r="E5011" s="8">
        <v>23450</v>
      </c>
      <c r="F5011" s="8">
        <v>108000</v>
      </c>
      <c r="G5011" s="8">
        <f t="shared" si="312"/>
        <v>2532600000</v>
      </c>
      <c r="H5011" s="5">
        <v>0.7425</v>
      </c>
      <c r="I5011" s="8">
        <f t="shared" si="313"/>
        <v>2532600000</v>
      </c>
      <c r="J5011" s="8">
        <f t="shared" si="314"/>
        <v>1880455500</v>
      </c>
      <c r="K5011" t="str">
        <f t="shared" si="315"/>
        <v>MATCHED</v>
      </c>
    </row>
    <row r="5012" spans="1:11">
      <c r="A5012" t="s">
        <v>124</v>
      </c>
      <c r="B5012" t="s">
        <v>1739</v>
      </c>
      <c r="C5012" t="s">
        <v>1604</v>
      </c>
      <c r="D5012" t="s">
        <v>1605</v>
      </c>
      <c r="E5012" s="8">
        <v>370</v>
      </c>
      <c r="F5012" s="8">
        <v>132490</v>
      </c>
      <c r="G5012" s="8">
        <f t="shared" si="312"/>
        <v>49021300</v>
      </c>
      <c r="H5012" s="5">
        <v>0.74</v>
      </c>
      <c r="I5012" s="8">
        <f t="shared" si="313"/>
        <v>49021300</v>
      </c>
      <c r="J5012" s="8">
        <f t="shared" si="314"/>
        <v>36275762</v>
      </c>
      <c r="K5012" t="str">
        <f t="shared" si="315"/>
        <v>MATCHED</v>
      </c>
    </row>
    <row r="5013" spans="1:11">
      <c r="A5013" t="s">
        <v>124</v>
      </c>
      <c r="B5013" t="s">
        <v>1739</v>
      </c>
      <c r="C5013" t="s">
        <v>554</v>
      </c>
      <c r="D5013" t="s">
        <v>555</v>
      </c>
      <c r="E5013" s="8">
        <v>4660</v>
      </c>
      <c r="F5013" s="8">
        <v>85640</v>
      </c>
      <c r="G5013" s="8">
        <f t="shared" si="312"/>
        <v>399082400</v>
      </c>
      <c r="H5013" s="5">
        <v>0.6031</v>
      </c>
      <c r="I5013" s="8">
        <f t="shared" si="313"/>
        <v>399082400</v>
      </c>
      <c r="J5013" s="8">
        <f t="shared" si="314"/>
        <v>240686595.44</v>
      </c>
      <c r="K5013" t="str">
        <f t="shared" si="315"/>
        <v>MATCHED</v>
      </c>
    </row>
    <row r="5014" spans="1:11">
      <c r="A5014" t="s">
        <v>124</v>
      </c>
      <c r="B5014" t="s">
        <v>1739</v>
      </c>
      <c r="C5014" t="s">
        <v>1156</v>
      </c>
      <c r="D5014" t="s">
        <v>1157</v>
      </c>
      <c r="E5014" s="8">
        <v>470</v>
      </c>
      <c r="F5014" s="8">
        <v>108130</v>
      </c>
      <c r="G5014" s="8">
        <f t="shared" si="312"/>
        <v>50821100</v>
      </c>
      <c r="H5014" s="5">
        <v>0.7282</v>
      </c>
      <c r="I5014" s="8">
        <f t="shared" si="313"/>
        <v>50821100</v>
      </c>
      <c r="J5014" s="8">
        <f t="shared" si="314"/>
        <v>37007925.02</v>
      </c>
      <c r="K5014" t="str">
        <f t="shared" si="315"/>
        <v>MATCHED</v>
      </c>
    </row>
    <row r="5015" spans="1:11">
      <c r="A5015" t="s">
        <v>124</v>
      </c>
      <c r="B5015" t="s">
        <v>1739</v>
      </c>
      <c r="C5015" t="s">
        <v>556</v>
      </c>
      <c r="D5015" t="s">
        <v>557</v>
      </c>
      <c r="E5015" s="8">
        <v>15570</v>
      </c>
      <c r="F5015" s="8">
        <v>111260</v>
      </c>
      <c r="G5015" s="8">
        <f t="shared" si="312"/>
        <v>1732318200</v>
      </c>
      <c r="H5015" s="5">
        <v>0.8228</v>
      </c>
      <c r="I5015" s="8">
        <f t="shared" si="313"/>
        <v>1732318200</v>
      </c>
      <c r="J5015" s="8">
        <f t="shared" si="314"/>
        <v>1425351414.96</v>
      </c>
      <c r="K5015" t="str">
        <f t="shared" si="315"/>
        <v>MATCHED</v>
      </c>
    </row>
    <row r="5016" spans="1:11">
      <c r="A5016" t="s">
        <v>124</v>
      </c>
      <c r="B5016" t="s">
        <v>1739</v>
      </c>
      <c r="C5016" t="s">
        <v>1158</v>
      </c>
      <c r="D5016" t="s">
        <v>1159</v>
      </c>
      <c r="E5016" s="8">
        <v>200</v>
      </c>
      <c r="F5016" s="8">
        <v>88760</v>
      </c>
      <c r="G5016" s="8">
        <f t="shared" si="312"/>
        <v>17752000</v>
      </c>
      <c r="H5016" s="5">
        <v>0.7711</v>
      </c>
      <c r="I5016" s="8">
        <f t="shared" si="313"/>
        <v>17752000</v>
      </c>
      <c r="J5016" s="8">
        <f t="shared" si="314"/>
        <v>13688567.2</v>
      </c>
      <c r="K5016" t="str">
        <f t="shared" si="315"/>
        <v>MATCHED</v>
      </c>
    </row>
    <row r="5017" spans="1:11">
      <c r="A5017" t="s">
        <v>124</v>
      </c>
      <c r="B5017" t="s">
        <v>1739</v>
      </c>
      <c r="C5017" t="s">
        <v>834</v>
      </c>
      <c r="D5017" t="s">
        <v>835</v>
      </c>
      <c r="E5017" s="8">
        <v>670</v>
      </c>
      <c r="F5017" s="8">
        <v>129210</v>
      </c>
      <c r="G5017" s="8">
        <f t="shared" si="312"/>
        <v>86570700</v>
      </c>
      <c r="H5017" s="5">
        <v>0.5375</v>
      </c>
      <c r="I5017" s="8">
        <f t="shared" si="313"/>
        <v>86570700</v>
      </c>
      <c r="J5017" s="8">
        <f t="shared" si="314"/>
        <v>46531751.25</v>
      </c>
      <c r="K5017" t="str">
        <f t="shared" si="315"/>
        <v>MATCHED</v>
      </c>
    </row>
    <row r="5018" spans="1:11">
      <c r="A5018" t="s">
        <v>124</v>
      </c>
      <c r="B5018" t="s">
        <v>1739</v>
      </c>
      <c r="C5018" t="s">
        <v>936</v>
      </c>
      <c r="D5018" t="s">
        <v>937</v>
      </c>
      <c r="E5018" s="8">
        <v>4920</v>
      </c>
      <c r="F5018" s="8">
        <v>73030</v>
      </c>
      <c r="G5018" s="8">
        <f t="shared" si="312"/>
        <v>359307600</v>
      </c>
      <c r="H5018" s="5">
        <v>0.3342</v>
      </c>
      <c r="I5018" s="8">
        <f t="shared" si="313"/>
        <v>359307600</v>
      </c>
      <c r="J5018" s="8">
        <f t="shared" si="314"/>
        <v>120080599.92</v>
      </c>
      <c r="K5018" t="str">
        <f t="shared" si="315"/>
        <v>MATCHED</v>
      </c>
    </row>
    <row r="5019" spans="1:11">
      <c r="A5019" t="s">
        <v>124</v>
      </c>
      <c r="B5019" t="s">
        <v>1739</v>
      </c>
      <c r="C5019" t="s">
        <v>558</v>
      </c>
      <c r="D5019" t="s">
        <v>559</v>
      </c>
      <c r="E5019" s="8">
        <v>140</v>
      </c>
      <c r="F5019" s="8">
        <v>63020</v>
      </c>
      <c r="G5019" s="8">
        <f t="shared" si="312"/>
        <v>8822800</v>
      </c>
      <c r="H5019" s="5">
        <v>0.7929</v>
      </c>
      <c r="I5019" s="8">
        <f t="shared" si="313"/>
        <v>8822800</v>
      </c>
      <c r="J5019" s="8">
        <f t="shared" si="314"/>
        <v>6995598.12</v>
      </c>
      <c r="K5019" t="str">
        <f t="shared" si="315"/>
        <v>MATCHED</v>
      </c>
    </row>
    <row r="5020" spans="1:11">
      <c r="A5020" t="s">
        <v>124</v>
      </c>
      <c r="B5020" t="s">
        <v>1739</v>
      </c>
      <c r="C5020" t="s">
        <v>560</v>
      </c>
      <c r="D5020" t="s">
        <v>561</v>
      </c>
      <c r="E5020" s="8">
        <v>640</v>
      </c>
      <c r="F5020" s="8">
        <v>81950</v>
      </c>
      <c r="G5020" s="8">
        <f t="shared" si="312"/>
        <v>52448000</v>
      </c>
      <c r="H5020" s="5">
        <v>0.3682</v>
      </c>
      <c r="I5020" s="8">
        <f t="shared" si="313"/>
        <v>52448000</v>
      </c>
      <c r="J5020" s="8">
        <f t="shared" si="314"/>
        <v>19311353.6</v>
      </c>
      <c r="K5020" t="str">
        <f t="shared" si="315"/>
        <v>MATCHED</v>
      </c>
    </row>
    <row r="5021" spans="1:11">
      <c r="A5021" t="s">
        <v>124</v>
      </c>
      <c r="B5021" t="s">
        <v>1739</v>
      </c>
      <c r="C5021" t="s">
        <v>1160</v>
      </c>
      <c r="D5021" t="s">
        <v>1161</v>
      </c>
      <c r="E5021" s="8">
        <v>970</v>
      </c>
      <c r="F5021" s="8">
        <v>169540</v>
      </c>
      <c r="G5021" s="8">
        <f t="shared" si="312"/>
        <v>164453800</v>
      </c>
      <c r="H5021" s="5">
        <v>0.5333</v>
      </c>
      <c r="I5021" s="8">
        <f t="shared" si="313"/>
        <v>164453800</v>
      </c>
      <c r="J5021" s="8">
        <f t="shared" si="314"/>
        <v>87703211.54</v>
      </c>
      <c r="K5021" t="str">
        <f t="shared" si="315"/>
        <v>MATCHED</v>
      </c>
    </row>
    <row r="5022" spans="1:11">
      <c r="A5022" t="s">
        <v>124</v>
      </c>
      <c r="B5022" t="s">
        <v>1739</v>
      </c>
      <c r="C5022" t="s">
        <v>1162</v>
      </c>
      <c r="D5022" t="s">
        <v>1163</v>
      </c>
      <c r="E5022" s="8">
        <v>240</v>
      </c>
      <c r="F5022" s="8">
        <v>107660</v>
      </c>
      <c r="G5022" s="8">
        <f t="shared" si="312"/>
        <v>25838400</v>
      </c>
      <c r="H5022" s="5">
        <v>0.4067</v>
      </c>
      <c r="I5022" s="8">
        <f t="shared" si="313"/>
        <v>25838400</v>
      </c>
      <c r="J5022" s="8">
        <f t="shared" si="314"/>
        <v>10508477.28</v>
      </c>
      <c r="K5022" t="str">
        <f t="shared" si="315"/>
        <v>MATCHED</v>
      </c>
    </row>
    <row r="5023" spans="1:11">
      <c r="A5023" t="s">
        <v>124</v>
      </c>
      <c r="B5023" t="s">
        <v>1739</v>
      </c>
      <c r="C5023" t="s">
        <v>562</v>
      </c>
      <c r="D5023" t="s">
        <v>563</v>
      </c>
      <c r="E5023" s="8">
        <v>650</v>
      </c>
      <c r="F5023" s="8">
        <v>141780</v>
      </c>
      <c r="G5023" s="8">
        <f t="shared" si="312"/>
        <v>92157000</v>
      </c>
      <c r="H5023" s="5">
        <v>0.3615</v>
      </c>
      <c r="I5023" s="8">
        <f t="shared" si="313"/>
        <v>92157000</v>
      </c>
      <c r="J5023" s="8">
        <f t="shared" si="314"/>
        <v>33314755.5</v>
      </c>
      <c r="K5023" t="str">
        <f t="shared" si="315"/>
        <v>MATCHED</v>
      </c>
    </row>
    <row r="5024" spans="1:11">
      <c r="A5024" t="s">
        <v>124</v>
      </c>
      <c r="B5024" t="s">
        <v>1739</v>
      </c>
      <c r="C5024" t="s">
        <v>564</v>
      </c>
      <c r="D5024" t="s">
        <v>565</v>
      </c>
      <c r="E5024" s="8">
        <v>5170</v>
      </c>
      <c r="F5024" s="8">
        <v>115190</v>
      </c>
      <c r="G5024" s="8">
        <f t="shared" si="312"/>
        <v>595532300</v>
      </c>
      <c r="H5024" s="5">
        <v>0.4218</v>
      </c>
      <c r="I5024" s="8">
        <f t="shared" si="313"/>
        <v>595532300</v>
      </c>
      <c r="J5024" s="8">
        <f t="shared" si="314"/>
        <v>251195524.14</v>
      </c>
      <c r="K5024" t="str">
        <f t="shared" si="315"/>
        <v>MATCHED</v>
      </c>
    </row>
    <row r="5025" spans="1:11">
      <c r="A5025" t="s">
        <v>124</v>
      </c>
      <c r="B5025" t="s">
        <v>1739</v>
      </c>
      <c r="C5025" t="s">
        <v>838</v>
      </c>
      <c r="D5025" t="s">
        <v>839</v>
      </c>
      <c r="E5025" s="8">
        <v>1120</v>
      </c>
      <c r="F5025" s="8">
        <v>146650</v>
      </c>
      <c r="G5025" s="8">
        <f t="shared" si="312"/>
        <v>164248000</v>
      </c>
      <c r="H5025" s="5">
        <v>0.3639</v>
      </c>
      <c r="I5025" s="8">
        <f t="shared" si="313"/>
        <v>164248000</v>
      </c>
      <c r="J5025" s="8">
        <f t="shared" si="314"/>
        <v>59769847.2</v>
      </c>
      <c r="K5025" t="str">
        <f t="shared" si="315"/>
        <v>MATCHED</v>
      </c>
    </row>
    <row r="5026" spans="1:11">
      <c r="A5026" t="s">
        <v>124</v>
      </c>
      <c r="B5026" t="s">
        <v>1739</v>
      </c>
      <c r="C5026" t="s">
        <v>566</v>
      </c>
      <c r="D5026" t="s">
        <v>567</v>
      </c>
      <c r="E5026" s="8">
        <v>3830</v>
      </c>
      <c r="F5026" s="8">
        <v>134360</v>
      </c>
      <c r="G5026" s="8">
        <f t="shared" si="312"/>
        <v>514598800</v>
      </c>
      <c r="H5026" s="5">
        <v>0.3523</v>
      </c>
      <c r="I5026" s="8">
        <f t="shared" si="313"/>
        <v>514598800</v>
      </c>
      <c r="J5026" s="8">
        <f t="shared" si="314"/>
        <v>181293157.24</v>
      </c>
      <c r="K5026" t="str">
        <f t="shared" si="315"/>
        <v>MATCHED</v>
      </c>
    </row>
    <row r="5027" spans="1:11">
      <c r="A5027" t="s">
        <v>124</v>
      </c>
      <c r="B5027" t="s">
        <v>1739</v>
      </c>
      <c r="C5027" t="s">
        <v>568</v>
      </c>
      <c r="D5027" t="s">
        <v>569</v>
      </c>
      <c r="E5027" s="8">
        <v>1250</v>
      </c>
      <c r="F5027" s="8">
        <v>125560</v>
      </c>
      <c r="G5027" s="8">
        <f t="shared" si="312"/>
        <v>156950000</v>
      </c>
      <c r="H5027" s="5">
        <v>0.4536</v>
      </c>
      <c r="I5027" s="8">
        <f t="shared" si="313"/>
        <v>156950000</v>
      </c>
      <c r="J5027" s="8">
        <f t="shared" si="314"/>
        <v>71192520</v>
      </c>
      <c r="K5027" t="str">
        <f t="shared" si="315"/>
        <v>MATCHED</v>
      </c>
    </row>
    <row r="5028" spans="1:11">
      <c r="A5028" t="s">
        <v>124</v>
      </c>
      <c r="B5028" t="s">
        <v>1739</v>
      </c>
      <c r="C5028" t="s">
        <v>570</v>
      </c>
      <c r="D5028" t="s">
        <v>571</v>
      </c>
      <c r="E5028" s="8">
        <v>1670</v>
      </c>
      <c r="F5028" s="8">
        <v>112360</v>
      </c>
      <c r="G5028" s="8">
        <f t="shared" si="312"/>
        <v>187641200</v>
      </c>
      <c r="H5028" s="5">
        <v>0.5196</v>
      </c>
      <c r="I5028" s="8">
        <f t="shared" si="313"/>
        <v>187641200</v>
      </c>
      <c r="J5028" s="8">
        <f t="shared" si="314"/>
        <v>97498367.52</v>
      </c>
      <c r="K5028" t="str">
        <f t="shared" si="315"/>
        <v>MATCHED</v>
      </c>
    </row>
    <row r="5029" spans="1:11">
      <c r="A5029" t="s">
        <v>124</v>
      </c>
      <c r="B5029" t="s">
        <v>1739</v>
      </c>
      <c r="C5029" t="s">
        <v>572</v>
      </c>
      <c r="D5029" t="s">
        <v>573</v>
      </c>
      <c r="E5029" s="8">
        <v>900</v>
      </c>
      <c r="F5029" s="8">
        <v>112950</v>
      </c>
      <c r="G5029" s="8">
        <f t="shared" si="312"/>
        <v>101655000</v>
      </c>
      <c r="H5029" s="5">
        <v>0.2672</v>
      </c>
      <c r="I5029" s="8">
        <f t="shared" si="313"/>
        <v>101655000</v>
      </c>
      <c r="J5029" s="8">
        <f t="shared" si="314"/>
        <v>27162216</v>
      </c>
      <c r="K5029" t="str">
        <f t="shared" si="315"/>
        <v>MATCHED</v>
      </c>
    </row>
    <row r="5030" spans="1:11">
      <c r="A5030" t="s">
        <v>124</v>
      </c>
      <c r="B5030" t="s">
        <v>1739</v>
      </c>
      <c r="C5030" t="s">
        <v>301</v>
      </c>
      <c r="D5030" t="s">
        <v>302</v>
      </c>
      <c r="E5030" s="8">
        <v>8770</v>
      </c>
      <c r="F5030" s="8">
        <v>112460</v>
      </c>
      <c r="G5030" s="8">
        <f t="shared" si="312"/>
        <v>986274200</v>
      </c>
      <c r="H5030" s="5">
        <v>0.4786</v>
      </c>
      <c r="I5030" s="8">
        <f t="shared" si="313"/>
        <v>986274200</v>
      </c>
      <c r="J5030" s="8">
        <f t="shared" si="314"/>
        <v>472030832.12</v>
      </c>
      <c r="K5030" t="str">
        <f t="shared" si="315"/>
        <v>MATCHED</v>
      </c>
    </row>
    <row r="5031" spans="1:11">
      <c r="A5031" t="s">
        <v>124</v>
      </c>
      <c r="B5031" t="s">
        <v>1739</v>
      </c>
      <c r="C5031" t="s">
        <v>574</v>
      </c>
      <c r="D5031" t="s">
        <v>575</v>
      </c>
      <c r="E5031" s="8">
        <v>360</v>
      </c>
      <c r="F5031" s="8">
        <v>122420</v>
      </c>
      <c r="G5031" s="8">
        <f t="shared" si="312"/>
        <v>44071200</v>
      </c>
      <c r="H5031" s="5">
        <v>0.269</v>
      </c>
      <c r="I5031" s="8">
        <f t="shared" si="313"/>
        <v>44071200</v>
      </c>
      <c r="J5031" s="8">
        <f t="shared" si="314"/>
        <v>11855152.8</v>
      </c>
      <c r="K5031" t="str">
        <f t="shared" si="315"/>
        <v>MATCHED</v>
      </c>
    </row>
    <row r="5032" spans="1:11">
      <c r="A5032" t="s">
        <v>124</v>
      </c>
      <c r="B5032" t="s">
        <v>1739</v>
      </c>
      <c r="C5032" t="s">
        <v>576</v>
      </c>
      <c r="D5032" t="s">
        <v>577</v>
      </c>
      <c r="E5032" s="8">
        <v>7730</v>
      </c>
      <c r="F5032" s="8">
        <v>106620</v>
      </c>
      <c r="G5032" s="8">
        <f t="shared" si="312"/>
        <v>824172600</v>
      </c>
      <c r="H5032" s="5">
        <v>0.3008</v>
      </c>
      <c r="I5032" s="8">
        <f t="shared" si="313"/>
        <v>824172600</v>
      </c>
      <c r="J5032" s="8">
        <f t="shared" si="314"/>
        <v>247911118.08</v>
      </c>
      <c r="K5032" t="str">
        <f t="shared" si="315"/>
        <v>MATCHED</v>
      </c>
    </row>
    <row r="5033" spans="1:11">
      <c r="A5033" t="s">
        <v>124</v>
      </c>
      <c r="B5033" t="s">
        <v>1739</v>
      </c>
      <c r="C5033" t="s">
        <v>840</v>
      </c>
      <c r="D5033" t="s">
        <v>841</v>
      </c>
      <c r="E5033" s="8">
        <v>950</v>
      </c>
      <c r="F5033" s="8">
        <v>136480</v>
      </c>
      <c r="G5033" s="8">
        <f t="shared" si="312"/>
        <v>129656000</v>
      </c>
      <c r="H5033" s="5">
        <v>0.2825</v>
      </c>
      <c r="I5033" s="8">
        <f t="shared" si="313"/>
        <v>129656000</v>
      </c>
      <c r="J5033" s="8">
        <f t="shared" si="314"/>
        <v>36627820</v>
      </c>
      <c r="K5033" t="str">
        <f t="shared" si="315"/>
        <v>MATCHED</v>
      </c>
    </row>
    <row r="5034" spans="1:11">
      <c r="A5034" t="s">
        <v>124</v>
      </c>
      <c r="B5034" t="s">
        <v>1739</v>
      </c>
      <c r="C5034" t="s">
        <v>582</v>
      </c>
      <c r="D5034" t="s">
        <v>583</v>
      </c>
      <c r="E5034" s="8">
        <v>5850</v>
      </c>
      <c r="F5034" s="8">
        <v>111550</v>
      </c>
      <c r="G5034" s="8">
        <f t="shared" si="312"/>
        <v>652567500</v>
      </c>
      <c r="H5034" s="5">
        <v>0.315</v>
      </c>
      <c r="I5034" s="8">
        <f t="shared" si="313"/>
        <v>652567500</v>
      </c>
      <c r="J5034" s="8">
        <f t="shared" si="314"/>
        <v>205558762.5</v>
      </c>
      <c r="K5034" t="str">
        <f t="shared" si="315"/>
        <v>MATCHED</v>
      </c>
    </row>
    <row r="5035" spans="1:11">
      <c r="A5035" t="s">
        <v>124</v>
      </c>
      <c r="B5035" t="s">
        <v>1739</v>
      </c>
      <c r="C5035" t="s">
        <v>584</v>
      </c>
      <c r="D5035" t="s">
        <v>585</v>
      </c>
      <c r="E5035" s="8">
        <v>1310</v>
      </c>
      <c r="F5035" s="8">
        <v>70300</v>
      </c>
      <c r="G5035" s="8">
        <f t="shared" si="312"/>
        <v>92093000</v>
      </c>
      <c r="H5035" s="5">
        <v>0.7</v>
      </c>
      <c r="I5035" s="8">
        <f t="shared" si="313"/>
        <v>92093000</v>
      </c>
      <c r="J5035" s="8">
        <f t="shared" si="314"/>
        <v>64465100</v>
      </c>
      <c r="K5035" t="str">
        <f t="shared" si="315"/>
        <v>MATCHED</v>
      </c>
    </row>
    <row r="5036" spans="1:11">
      <c r="A5036" t="s">
        <v>124</v>
      </c>
      <c r="B5036" t="s">
        <v>1739</v>
      </c>
      <c r="C5036" t="s">
        <v>842</v>
      </c>
      <c r="D5036" t="s">
        <v>843</v>
      </c>
      <c r="E5036" s="8">
        <v>550</v>
      </c>
      <c r="F5036" s="8">
        <v>73080</v>
      </c>
      <c r="G5036" s="8">
        <f t="shared" si="312"/>
        <v>40194000</v>
      </c>
      <c r="H5036" s="5">
        <v>0.5217</v>
      </c>
      <c r="I5036" s="8">
        <f t="shared" si="313"/>
        <v>40194000</v>
      </c>
      <c r="J5036" s="8">
        <f t="shared" si="314"/>
        <v>20969209.8</v>
      </c>
      <c r="K5036" t="str">
        <f t="shared" si="315"/>
        <v>MATCHED</v>
      </c>
    </row>
    <row r="5037" spans="1:11">
      <c r="A5037" t="s">
        <v>124</v>
      </c>
      <c r="B5037" t="s">
        <v>1739</v>
      </c>
      <c r="C5037" t="s">
        <v>586</v>
      </c>
      <c r="D5037" t="s">
        <v>587</v>
      </c>
      <c r="E5037" s="8">
        <v>1280</v>
      </c>
      <c r="F5037" s="8">
        <v>69290</v>
      </c>
      <c r="G5037" s="8">
        <f t="shared" si="312"/>
        <v>88691200</v>
      </c>
      <c r="H5037" s="5">
        <v>0.71</v>
      </c>
      <c r="I5037" s="8">
        <f t="shared" si="313"/>
        <v>88691200</v>
      </c>
      <c r="J5037" s="8">
        <f t="shared" si="314"/>
        <v>62970752</v>
      </c>
      <c r="K5037" t="str">
        <f t="shared" si="315"/>
        <v>MATCHED</v>
      </c>
    </row>
    <row r="5038" spans="1:11">
      <c r="A5038" t="s">
        <v>124</v>
      </c>
      <c r="B5038" t="s">
        <v>1739</v>
      </c>
      <c r="C5038" t="s">
        <v>588</v>
      </c>
      <c r="D5038" t="s">
        <v>589</v>
      </c>
      <c r="E5038" s="8">
        <v>800</v>
      </c>
      <c r="F5038" s="8">
        <v>55860</v>
      </c>
      <c r="G5038" s="8">
        <f t="shared" si="312"/>
        <v>44688000</v>
      </c>
      <c r="H5038" s="5"/>
      <c r="I5038" s="8" t="str">
        <f t="shared" si="313"/>
        <v/>
      </c>
      <c r="J5038" s="8" t="str">
        <f t="shared" si="314"/>
        <v/>
      </c>
      <c r="K5038" t="str">
        <f t="shared" si="315"/>
        <v>MISSING WHARTON</v>
      </c>
    </row>
    <row r="5039" spans="1:11">
      <c r="A5039" t="s">
        <v>124</v>
      </c>
      <c r="B5039" t="s">
        <v>1739</v>
      </c>
      <c r="C5039" t="s">
        <v>1164</v>
      </c>
      <c r="D5039" t="s">
        <v>1165</v>
      </c>
      <c r="E5039" s="8">
        <v>80</v>
      </c>
      <c r="F5039" s="8">
        <v>83060</v>
      </c>
      <c r="G5039" s="8">
        <f t="shared" si="312"/>
        <v>6644800</v>
      </c>
      <c r="H5039" s="5">
        <v>0.175</v>
      </c>
      <c r="I5039" s="8">
        <f t="shared" si="313"/>
        <v>6644800</v>
      </c>
      <c r="J5039" s="8">
        <f t="shared" si="314"/>
        <v>1162840</v>
      </c>
      <c r="K5039" t="str">
        <f t="shared" si="315"/>
        <v>MATCHED</v>
      </c>
    </row>
    <row r="5040" spans="1:11">
      <c r="A5040" t="s">
        <v>124</v>
      </c>
      <c r="B5040" t="s">
        <v>1739</v>
      </c>
      <c r="C5040" t="s">
        <v>590</v>
      </c>
      <c r="D5040" t="s">
        <v>591</v>
      </c>
      <c r="E5040" s="8">
        <v>310</v>
      </c>
      <c r="F5040" s="8">
        <v>64750</v>
      </c>
      <c r="G5040" s="8">
        <f t="shared" si="312"/>
        <v>20072500</v>
      </c>
      <c r="H5040" s="5">
        <v>0.4567</v>
      </c>
      <c r="I5040" s="8">
        <f t="shared" si="313"/>
        <v>20072500</v>
      </c>
      <c r="J5040" s="8">
        <f t="shared" si="314"/>
        <v>9167110.75</v>
      </c>
      <c r="K5040" t="str">
        <f t="shared" si="315"/>
        <v>MATCHED</v>
      </c>
    </row>
    <row r="5041" spans="1:11">
      <c r="A5041" t="s">
        <v>124</v>
      </c>
      <c r="B5041" t="s">
        <v>1739</v>
      </c>
      <c r="C5041" t="s">
        <v>592</v>
      </c>
      <c r="D5041" t="s">
        <v>593</v>
      </c>
      <c r="E5041" s="8">
        <v>2140</v>
      </c>
      <c r="F5041" s="8">
        <v>78030</v>
      </c>
      <c r="G5041" s="8">
        <f t="shared" si="312"/>
        <v>166984200</v>
      </c>
      <c r="H5041" s="5">
        <v>0.4</v>
      </c>
      <c r="I5041" s="8">
        <f t="shared" si="313"/>
        <v>166984200</v>
      </c>
      <c r="J5041" s="8">
        <f t="shared" si="314"/>
        <v>66793680</v>
      </c>
      <c r="K5041" t="str">
        <f t="shared" si="315"/>
        <v>MATCHED</v>
      </c>
    </row>
    <row r="5042" spans="1:11">
      <c r="A5042" t="s">
        <v>124</v>
      </c>
      <c r="B5042" t="s">
        <v>1739</v>
      </c>
      <c r="C5042" t="s">
        <v>594</v>
      </c>
      <c r="D5042" t="s">
        <v>595</v>
      </c>
      <c r="E5042" s="8">
        <v>590</v>
      </c>
      <c r="F5042" s="8">
        <v>70310</v>
      </c>
      <c r="G5042" s="8">
        <f t="shared" si="312"/>
        <v>41482900</v>
      </c>
      <c r="H5042" s="5">
        <v>0.1781</v>
      </c>
      <c r="I5042" s="8">
        <f t="shared" si="313"/>
        <v>41482900</v>
      </c>
      <c r="J5042" s="8">
        <f t="shared" si="314"/>
        <v>7388104.49</v>
      </c>
      <c r="K5042" t="str">
        <f t="shared" si="315"/>
        <v>MATCHED</v>
      </c>
    </row>
    <row r="5043" spans="1:11">
      <c r="A5043" t="s">
        <v>124</v>
      </c>
      <c r="B5043" t="s">
        <v>1739</v>
      </c>
      <c r="C5043" t="s">
        <v>596</v>
      </c>
      <c r="D5043" t="s">
        <v>597</v>
      </c>
      <c r="E5043" s="8">
        <v>1650</v>
      </c>
      <c r="F5043" s="8">
        <v>57200</v>
      </c>
      <c r="G5043" s="8">
        <f t="shared" si="312"/>
        <v>94380000</v>
      </c>
      <c r="H5043" s="5">
        <v>0.4615</v>
      </c>
      <c r="I5043" s="8">
        <f t="shared" si="313"/>
        <v>94380000</v>
      </c>
      <c r="J5043" s="8">
        <f t="shared" si="314"/>
        <v>43556370</v>
      </c>
      <c r="K5043" t="str">
        <f t="shared" si="315"/>
        <v>MATCHED</v>
      </c>
    </row>
    <row r="5044" spans="1:11">
      <c r="A5044" t="s">
        <v>124</v>
      </c>
      <c r="B5044" t="s">
        <v>1739</v>
      </c>
      <c r="C5044" t="s">
        <v>598</v>
      </c>
      <c r="D5044" t="s">
        <v>599</v>
      </c>
      <c r="E5044" s="8">
        <v>1790</v>
      </c>
      <c r="F5044" s="8">
        <v>62210</v>
      </c>
      <c r="G5044" s="8">
        <f t="shared" si="312"/>
        <v>111355900</v>
      </c>
      <c r="H5044" s="5">
        <v>0.2855</v>
      </c>
      <c r="I5044" s="8">
        <f t="shared" si="313"/>
        <v>111355900</v>
      </c>
      <c r="J5044" s="8">
        <f t="shared" si="314"/>
        <v>31792109.45</v>
      </c>
      <c r="K5044" t="str">
        <f t="shared" si="315"/>
        <v>MATCHED</v>
      </c>
    </row>
    <row r="5045" spans="1:11">
      <c r="A5045" t="s">
        <v>124</v>
      </c>
      <c r="B5045" t="s">
        <v>1739</v>
      </c>
      <c r="C5045" t="s">
        <v>600</v>
      </c>
      <c r="D5045" t="s">
        <v>601</v>
      </c>
      <c r="E5045" s="8">
        <v>1560</v>
      </c>
      <c r="F5045" s="8">
        <v>74290</v>
      </c>
      <c r="G5045" s="8">
        <f t="shared" si="312"/>
        <v>115892400</v>
      </c>
      <c r="H5045" s="5">
        <v>0.3125</v>
      </c>
      <c r="I5045" s="8">
        <f t="shared" si="313"/>
        <v>115892400</v>
      </c>
      <c r="J5045" s="8">
        <f t="shared" si="314"/>
        <v>36216375</v>
      </c>
      <c r="K5045" t="str">
        <f t="shared" si="315"/>
        <v>MATCHED</v>
      </c>
    </row>
    <row r="5046" spans="1:11">
      <c r="A5046" t="s">
        <v>124</v>
      </c>
      <c r="B5046" t="s">
        <v>1739</v>
      </c>
      <c r="C5046" t="s">
        <v>602</v>
      </c>
      <c r="D5046" t="s">
        <v>603</v>
      </c>
      <c r="E5046" s="8">
        <v>210</v>
      </c>
      <c r="F5046" s="8">
        <v>76110</v>
      </c>
      <c r="G5046" s="8">
        <f t="shared" si="312"/>
        <v>15983100</v>
      </c>
      <c r="H5046" s="5">
        <v>0.1733</v>
      </c>
      <c r="I5046" s="8">
        <f t="shared" si="313"/>
        <v>15983100</v>
      </c>
      <c r="J5046" s="8">
        <f t="shared" si="314"/>
        <v>2769871.23</v>
      </c>
      <c r="K5046" t="str">
        <f t="shared" si="315"/>
        <v>MATCHED</v>
      </c>
    </row>
    <row r="5047" spans="1:11">
      <c r="A5047" t="s">
        <v>124</v>
      </c>
      <c r="B5047" t="s">
        <v>1739</v>
      </c>
      <c r="C5047" t="s">
        <v>604</v>
      </c>
      <c r="D5047" t="s">
        <v>605</v>
      </c>
      <c r="E5047" s="8">
        <v>1700</v>
      </c>
      <c r="F5047" s="8">
        <v>72820</v>
      </c>
      <c r="G5047" s="8">
        <f t="shared" si="312"/>
        <v>123794000</v>
      </c>
      <c r="H5047" s="5">
        <v>0.1404</v>
      </c>
      <c r="I5047" s="8">
        <f t="shared" si="313"/>
        <v>123794000</v>
      </c>
      <c r="J5047" s="8">
        <f t="shared" si="314"/>
        <v>17380677.6</v>
      </c>
      <c r="K5047" t="str">
        <f t="shared" si="315"/>
        <v>MATCHED</v>
      </c>
    </row>
    <row r="5048" spans="1:11">
      <c r="A5048" t="s">
        <v>124</v>
      </c>
      <c r="B5048" t="s">
        <v>1739</v>
      </c>
      <c r="C5048" t="s">
        <v>606</v>
      </c>
      <c r="D5048" t="s">
        <v>607</v>
      </c>
      <c r="E5048" s="8">
        <v>5560</v>
      </c>
      <c r="F5048" s="8">
        <v>51870</v>
      </c>
      <c r="G5048" s="8">
        <f t="shared" si="312"/>
        <v>288397200</v>
      </c>
      <c r="H5048" s="5">
        <v>0.6783</v>
      </c>
      <c r="I5048" s="8">
        <f t="shared" si="313"/>
        <v>288397200</v>
      </c>
      <c r="J5048" s="8">
        <f t="shared" si="314"/>
        <v>195619820.76</v>
      </c>
      <c r="K5048" t="str">
        <f t="shared" si="315"/>
        <v>MATCHED</v>
      </c>
    </row>
    <row r="5049" spans="1:11">
      <c r="A5049" t="s">
        <v>124</v>
      </c>
      <c r="B5049" t="s">
        <v>1739</v>
      </c>
      <c r="C5049" t="s">
        <v>305</v>
      </c>
      <c r="D5049" t="s">
        <v>306</v>
      </c>
      <c r="E5049" s="8">
        <v>120</v>
      </c>
      <c r="F5049" s="8">
        <v>84370</v>
      </c>
      <c r="G5049" s="8">
        <f t="shared" si="312"/>
        <v>10124400</v>
      </c>
      <c r="H5049" s="5">
        <v>0.1269</v>
      </c>
      <c r="I5049" s="8">
        <f t="shared" si="313"/>
        <v>10124400</v>
      </c>
      <c r="J5049" s="8">
        <f t="shared" si="314"/>
        <v>1284786.36</v>
      </c>
      <c r="K5049" t="str">
        <f t="shared" si="315"/>
        <v>MATCHED</v>
      </c>
    </row>
    <row r="5050" spans="1:11">
      <c r="A5050" t="s">
        <v>124</v>
      </c>
      <c r="B5050" t="s">
        <v>1739</v>
      </c>
      <c r="C5050" t="s">
        <v>307</v>
      </c>
      <c r="D5050" t="s">
        <v>308</v>
      </c>
      <c r="E5050" s="8">
        <v>150</v>
      </c>
      <c r="F5050" s="8">
        <v>72530</v>
      </c>
      <c r="G5050" s="8">
        <f t="shared" si="312"/>
        <v>10879500</v>
      </c>
      <c r="H5050" s="5">
        <v>0.0519</v>
      </c>
      <c r="I5050" s="8">
        <f t="shared" si="313"/>
        <v>10879500</v>
      </c>
      <c r="J5050" s="8">
        <f t="shared" si="314"/>
        <v>564646.05</v>
      </c>
      <c r="K5050" t="str">
        <f t="shared" si="315"/>
        <v>MATCHED</v>
      </c>
    </row>
    <row r="5051" spans="1:11">
      <c r="A5051" t="s">
        <v>124</v>
      </c>
      <c r="B5051" t="s">
        <v>1739</v>
      </c>
      <c r="C5051" t="s">
        <v>1166</v>
      </c>
      <c r="D5051" t="s">
        <v>1167</v>
      </c>
      <c r="E5051" s="8">
        <v>290</v>
      </c>
      <c r="F5051" s="8">
        <v>122980</v>
      </c>
      <c r="G5051" s="8">
        <f t="shared" si="312"/>
        <v>35664200</v>
      </c>
      <c r="H5051" s="5">
        <v>0.1667</v>
      </c>
      <c r="I5051" s="8">
        <f t="shared" si="313"/>
        <v>35664200</v>
      </c>
      <c r="J5051" s="8">
        <f t="shared" si="314"/>
        <v>5945222.14</v>
      </c>
      <c r="K5051" t="str">
        <f t="shared" si="315"/>
        <v>MATCHED</v>
      </c>
    </row>
    <row r="5052" spans="1:11">
      <c r="A5052" t="s">
        <v>124</v>
      </c>
      <c r="B5052" t="s">
        <v>1739</v>
      </c>
      <c r="C5052" t="s">
        <v>1168</v>
      </c>
      <c r="D5052" t="s">
        <v>1169</v>
      </c>
      <c r="E5052" s="8">
        <v>290</v>
      </c>
      <c r="F5052" s="8">
        <v>69710</v>
      </c>
      <c r="G5052" s="8">
        <f t="shared" si="312"/>
        <v>20215900</v>
      </c>
      <c r="H5052" s="5">
        <v>0.05</v>
      </c>
      <c r="I5052" s="8">
        <f t="shared" si="313"/>
        <v>20215900</v>
      </c>
      <c r="J5052" s="8">
        <f t="shared" si="314"/>
        <v>1010795</v>
      </c>
      <c r="K5052" t="str">
        <f t="shared" si="315"/>
        <v>MATCHED</v>
      </c>
    </row>
    <row r="5053" spans="1:11">
      <c r="A5053" t="s">
        <v>124</v>
      </c>
      <c r="B5053" t="s">
        <v>1739</v>
      </c>
      <c r="C5053" t="s">
        <v>309</v>
      </c>
      <c r="D5053" t="s">
        <v>310</v>
      </c>
      <c r="E5053" s="8">
        <v>900</v>
      </c>
      <c r="F5053" s="8">
        <v>103620</v>
      </c>
      <c r="G5053" s="8">
        <f t="shared" si="312"/>
        <v>93258000</v>
      </c>
      <c r="H5053" s="5">
        <v>0.4037</v>
      </c>
      <c r="I5053" s="8">
        <f t="shared" si="313"/>
        <v>93258000</v>
      </c>
      <c r="J5053" s="8">
        <f t="shared" si="314"/>
        <v>37648254.6</v>
      </c>
      <c r="K5053" t="str">
        <f t="shared" si="315"/>
        <v>MATCHED</v>
      </c>
    </row>
    <row r="5054" spans="1:11">
      <c r="A5054" t="s">
        <v>124</v>
      </c>
      <c r="B5054" t="s">
        <v>1739</v>
      </c>
      <c r="C5054" t="s">
        <v>1632</v>
      </c>
      <c r="D5054" t="s">
        <v>1633</v>
      </c>
      <c r="E5054" s="8">
        <v>170</v>
      </c>
      <c r="F5054" s="8">
        <v>70910</v>
      </c>
      <c r="G5054" s="8">
        <f t="shared" si="312"/>
        <v>12054700</v>
      </c>
      <c r="H5054" s="5">
        <v>0.2122</v>
      </c>
      <c r="I5054" s="8">
        <f t="shared" si="313"/>
        <v>12054700</v>
      </c>
      <c r="J5054" s="8">
        <f t="shared" si="314"/>
        <v>2558007.34</v>
      </c>
      <c r="K5054" t="str">
        <f t="shared" si="315"/>
        <v>MATCHED</v>
      </c>
    </row>
    <row r="5055" spans="1:11">
      <c r="A5055" t="s">
        <v>124</v>
      </c>
      <c r="B5055" t="s">
        <v>1739</v>
      </c>
      <c r="C5055" t="s">
        <v>1170</v>
      </c>
      <c r="D5055" t="s">
        <v>1171</v>
      </c>
      <c r="E5055" s="8">
        <v>290</v>
      </c>
      <c r="F5055" s="8">
        <v>102440</v>
      </c>
      <c r="G5055" s="8">
        <f t="shared" si="312"/>
        <v>29707600</v>
      </c>
      <c r="H5055" s="5">
        <v>0.3433</v>
      </c>
      <c r="I5055" s="8">
        <f t="shared" si="313"/>
        <v>29707600</v>
      </c>
      <c r="J5055" s="8">
        <f t="shared" si="314"/>
        <v>10198619.08</v>
      </c>
      <c r="K5055" t="str">
        <f t="shared" si="315"/>
        <v>MATCHED</v>
      </c>
    </row>
    <row r="5056" spans="1:11">
      <c r="A5056" t="s">
        <v>124</v>
      </c>
      <c r="B5056" t="s">
        <v>1739</v>
      </c>
      <c r="C5056" t="s">
        <v>1172</v>
      </c>
      <c r="D5056" t="s">
        <v>1173</v>
      </c>
      <c r="E5056" s="8">
        <v>1310</v>
      </c>
      <c r="F5056" s="8">
        <v>127790</v>
      </c>
      <c r="G5056" s="8">
        <f t="shared" si="312"/>
        <v>167404900</v>
      </c>
      <c r="H5056" s="5">
        <v>0.1857</v>
      </c>
      <c r="I5056" s="8">
        <f t="shared" si="313"/>
        <v>167404900</v>
      </c>
      <c r="J5056" s="8">
        <f t="shared" si="314"/>
        <v>31087089.93</v>
      </c>
      <c r="K5056" t="str">
        <f t="shared" si="315"/>
        <v>MATCHED</v>
      </c>
    </row>
    <row r="5057" spans="1:11">
      <c r="A5057" t="s">
        <v>124</v>
      </c>
      <c r="B5057" t="s">
        <v>1739</v>
      </c>
      <c r="C5057" t="s">
        <v>1174</v>
      </c>
      <c r="D5057" t="s">
        <v>1175</v>
      </c>
      <c r="E5057" s="8">
        <v>720</v>
      </c>
      <c r="F5057" s="8">
        <v>107070</v>
      </c>
      <c r="G5057" s="8">
        <f t="shared" si="312"/>
        <v>77090400</v>
      </c>
      <c r="H5057" s="5"/>
      <c r="I5057" s="8" t="str">
        <f t="shared" si="313"/>
        <v/>
      </c>
      <c r="J5057" s="8" t="str">
        <f t="shared" si="314"/>
        <v/>
      </c>
      <c r="K5057" t="str">
        <f t="shared" si="315"/>
        <v>MISSING WHARTON</v>
      </c>
    </row>
    <row r="5058" spans="1:11">
      <c r="A5058" t="s">
        <v>124</v>
      </c>
      <c r="B5058" t="s">
        <v>1739</v>
      </c>
      <c r="C5058" t="s">
        <v>846</v>
      </c>
      <c r="D5058" t="s">
        <v>847</v>
      </c>
      <c r="E5058" s="8"/>
      <c r="F5058" s="8">
        <v>205860</v>
      </c>
      <c r="G5058" s="8" t="str">
        <f t="shared" ref="G5058:G5121" si="316">IF(OR(E5058="",F5058=""),"",E5058*F5058)</f>
        <v/>
      </c>
      <c r="H5058" s="5">
        <v>0.44</v>
      </c>
      <c r="I5058" s="8" t="str">
        <f t="shared" ref="I5058:I5121" si="317">IF(G5058="","",IF(ISNUMBER(H5058),G5058,""))</f>
        <v/>
      </c>
      <c r="J5058" s="8" t="str">
        <f t="shared" ref="J5058:J5121" si="318">IF(I5058="","",I5058*H5058)</f>
        <v/>
      </c>
      <c r="K5058" t="str">
        <f t="shared" ref="K5058:K5121" si="319">IF(G5058="","MISSING OEWS",IF(ISNUMBER(H5058),"MATCHED","MISSING WHARTON"))</f>
        <v>MISSING OEWS</v>
      </c>
    </row>
    <row r="5059" spans="1:11">
      <c r="A5059" t="s">
        <v>124</v>
      </c>
      <c r="B5059" t="s">
        <v>1739</v>
      </c>
      <c r="C5059" t="s">
        <v>608</v>
      </c>
      <c r="D5059" t="s">
        <v>609</v>
      </c>
      <c r="E5059" s="8">
        <v>2700</v>
      </c>
      <c r="F5059" s="8">
        <v>72430</v>
      </c>
      <c r="G5059" s="8">
        <f t="shared" si="316"/>
        <v>195561000</v>
      </c>
      <c r="H5059" s="5">
        <v>0.1808</v>
      </c>
      <c r="I5059" s="8">
        <f t="shared" si="317"/>
        <v>195561000</v>
      </c>
      <c r="J5059" s="8">
        <f t="shared" si="318"/>
        <v>35357428.8</v>
      </c>
      <c r="K5059" t="str">
        <f t="shared" si="319"/>
        <v>MATCHED</v>
      </c>
    </row>
    <row r="5060" spans="1:11">
      <c r="A5060" t="s">
        <v>124</v>
      </c>
      <c r="B5060" t="s">
        <v>1739</v>
      </c>
      <c r="C5060" t="s">
        <v>610</v>
      </c>
      <c r="D5060" t="s">
        <v>611</v>
      </c>
      <c r="E5060" s="8">
        <v>1950</v>
      </c>
      <c r="F5060" s="8">
        <v>92190</v>
      </c>
      <c r="G5060" s="8">
        <f t="shared" si="316"/>
        <v>179770500</v>
      </c>
      <c r="H5060" s="5">
        <v>0.4662</v>
      </c>
      <c r="I5060" s="8">
        <f t="shared" si="317"/>
        <v>179770500</v>
      </c>
      <c r="J5060" s="8">
        <f t="shared" si="318"/>
        <v>83809007.1</v>
      </c>
      <c r="K5060" t="str">
        <f t="shared" si="319"/>
        <v>MATCHED</v>
      </c>
    </row>
    <row r="5061" spans="1:11">
      <c r="A5061" t="s">
        <v>124</v>
      </c>
      <c r="B5061" t="s">
        <v>1739</v>
      </c>
      <c r="C5061" t="s">
        <v>612</v>
      </c>
      <c r="D5061" t="s">
        <v>613</v>
      </c>
      <c r="E5061" s="8">
        <v>370</v>
      </c>
      <c r="F5061" s="8">
        <v>96850</v>
      </c>
      <c r="G5061" s="8">
        <f t="shared" si="316"/>
        <v>35834500</v>
      </c>
      <c r="H5061" s="5">
        <v>0.2937</v>
      </c>
      <c r="I5061" s="8">
        <f t="shared" si="317"/>
        <v>35834500</v>
      </c>
      <c r="J5061" s="8">
        <f t="shared" si="318"/>
        <v>10524592.65</v>
      </c>
      <c r="K5061" t="str">
        <f t="shared" si="319"/>
        <v>MATCHED</v>
      </c>
    </row>
    <row r="5062" spans="1:11">
      <c r="A5062" t="s">
        <v>124</v>
      </c>
      <c r="B5062" t="s">
        <v>1739</v>
      </c>
      <c r="C5062" t="s">
        <v>850</v>
      </c>
      <c r="D5062" t="s">
        <v>851</v>
      </c>
      <c r="E5062" s="8">
        <v>210</v>
      </c>
      <c r="F5062" s="8">
        <v>134490</v>
      </c>
      <c r="G5062" s="8">
        <f t="shared" si="316"/>
        <v>28242900</v>
      </c>
      <c r="H5062" s="5">
        <v>0.5312</v>
      </c>
      <c r="I5062" s="8">
        <f t="shared" si="317"/>
        <v>28242900</v>
      </c>
      <c r="J5062" s="8">
        <f t="shared" si="318"/>
        <v>15002628.48</v>
      </c>
      <c r="K5062" t="str">
        <f t="shared" si="319"/>
        <v>MATCHED</v>
      </c>
    </row>
    <row r="5063" spans="1:11">
      <c r="A5063" t="s">
        <v>124</v>
      </c>
      <c r="B5063" t="s">
        <v>1739</v>
      </c>
      <c r="C5063" t="s">
        <v>614</v>
      </c>
      <c r="D5063" t="s">
        <v>615</v>
      </c>
      <c r="E5063" s="8">
        <v>80</v>
      </c>
      <c r="F5063" s="8">
        <v>142890</v>
      </c>
      <c r="G5063" s="8">
        <f t="shared" si="316"/>
        <v>11431200</v>
      </c>
      <c r="H5063" s="5">
        <v>0.5271</v>
      </c>
      <c r="I5063" s="8">
        <f t="shared" si="317"/>
        <v>11431200</v>
      </c>
      <c r="J5063" s="8">
        <f t="shared" si="318"/>
        <v>6025385.52</v>
      </c>
      <c r="K5063" t="str">
        <f t="shared" si="319"/>
        <v>MATCHED</v>
      </c>
    </row>
    <row r="5064" spans="1:11">
      <c r="A5064" t="s">
        <v>124</v>
      </c>
      <c r="B5064" t="s">
        <v>1739</v>
      </c>
      <c r="C5064" t="s">
        <v>1567</v>
      </c>
      <c r="D5064" t="s">
        <v>1568</v>
      </c>
      <c r="E5064" s="8">
        <v>120</v>
      </c>
      <c r="F5064" s="8">
        <v>59210</v>
      </c>
      <c r="G5064" s="8">
        <f t="shared" si="316"/>
        <v>7105200</v>
      </c>
      <c r="H5064" s="5">
        <v>0.7375</v>
      </c>
      <c r="I5064" s="8">
        <f t="shared" si="317"/>
        <v>7105200</v>
      </c>
      <c r="J5064" s="8">
        <f t="shared" si="318"/>
        <v>5240085</v>
      </c>
      <c r="K5064" t="str">
        <f t="shared" si="319"/>
        <v>MATCHED</v>
      </c>
    </row>
    <row r="5065" spans="1:11">
      <c r="A5065" t="s">
        <v>124</v>
      </c>
      <c r="B5065" t="s">
        <v>1739</v>
      </c>
      <c r="C5065" t="s">
        <v>1606</v>
      </c>
      <c r="D5065" t="s">
        <v>1607</v>
      </c>
      <c r="E5065" s="8"/>
      <c r="F5065" s="8">
        <v>151460</v>
      </c>
      <c r="G5065" s="8" t="str">
        <f t="shared" si="316"/>
        <v/>
      </c>
      <c r="H5065" s="5">
        <v>0.1883</v>
      </c>
      <c r="I5065" s="8" t="str">
        <f t="shared" si="317"/>
        <v/>
      </c>
      <c r="J5065" s="8" t="str">
        <f t="shared" si="318"/>
        <v/>
      </c>
      <c r="K5065" t="str">
        <f t="shared" si="319"/>
        <v>MISSING OEWS</v>
      </c>
    </row>
    <row r="5066" spans="1:11">
      <c r="A5066" t="s">
        <v>124</v>
      </c>
      <c r="B5066" t="s">
        <v>1739</v>
      </c>
      <c r="C5066" t="s">
        <v>1640</v>
      </c>
      <c r="D5066" t="s">
        <v>1641</v>
      </c>
      <c r="E5066" s="8">
        <v>1160</v>
      </c>
      <c r="F5066" s="8">
        <v>109760</v>
      </c>
      <c r="G5066" s="8">
        <f t="shared" si="316"/>
        <v>127321600</v>
      </c>
      <c r="H5066" s="5">
        <v>0.3447</v>
      </c>
      <c r="I5066" s="8">
        <f t="shared" si="317"/>
        <v>127321600</v>
      </c>
      <c r="J5066" s="8">
        <f t="shared" si="318"/>
        <v>43887755.52</v>
      </c>
      <c r="K5066" t="str">
        <f t="shared" si="319"/>
        <v>MATCHED</v>
      </c>
    </row>
    <row r="5067" spans="1:11">
      <c r="A5067" t="s">
        <v>124</v>
      </c>
      <c r="B5067" t="s">
        <v>1739</v>
      </c>
      <c r="C5067" t="s">
        <v>852</v>
      </c>
      <c r="D5067" t="s">
        <v>853</v>
      </c>
      <c r="E5067" s="8"/>
      <c r="F5067" s="8">
        <v>70720</v>
      </c>
      <c r="G5067" s="8" t="str">
        <f t="shared" si="316"/>
        <v/>
      </c>
      <c r="H5067" s="5">
        <v>0.554</v>
      </c>
      <c r="I5067" s="8" t="str">
        <f t="shared" si="317"/>
        <v/>
      </c>
      <c r="J5067" s="8" t="str">
        <f t="shared" si="318"/>
        <v/>
      </c>
      <c r="K5067" t="str">
        <f t="shared" si="319"/>
        <v>MISSING OEWS</v>
      </c>
    </row>
    <row r="5068" spans="1:11">
      <c r="A5068" t="s">
        <v>124</v>
      </c>
      <c r="B5068" t="s">
        <v>1739</v>
      </c>
      <c r="C5068" t="s">
        <v>1178</v>
      </c>
      <c r="D5068" t="s">
        <v>1179</v>
      </c>
      <c r="E5068" s="8">
        <v>250</v>
      </c>
      <c r="F5068" s="8">
        <v>76590</v>
      </c>
      <c r="G5068" s="8">
        <f t="shared" si="316"/>
        <v>19147500</v>
      </c>
      <c r="H5068" s="5">
        <v>0.5545</v>
      </c>
      <c r="I5068" s="8">
        <f t="shared" si="317"/>
        <v>19147500</v>
      </c>
      <c r="J5068" s="8">
        <f t="shared" si="318"/>
        <v>10617288.75</v>
      </c>
      <c r="K5068" t="str">
        <f t="shared" si="319"/>
        <v>MATCHED</v>
      </c>
    </row>
    <row r="5069" spans="1:11">
      <c r="A5069" t="s">
        <v>124</v>
      </c>
      <c r="B5069" t="s">
        <v>1739</v>
      </c>
      <c r="C5069" t="s">
        <v>313</v>
      </c>
      <c r="D5069" t="s">
        <v>314</v>
      </c>
      <c r="E5069" s="8">
        <v>300</v>
      </c>
      <c r="F5069" s="8">
        <v>44680</v>
      </c>
      <c r="G5069" s="8">
        <f t="shared" si="316"/>
        <v>13404000</v>
      </c>
      <c r="H5069" s="5">
        <v>0.374</v>
      </c>
      <c r="I5069" s="8">
        <f t="shared" si="317"/>
        <v>13404000</v>
      </c>
      <c r="J5069" s="8">
        <f t="shared" si="318"/>
        <v>5013096</v>
      </c>
      <c r="K5069" t="str">
        <f t="shared" si="319"/>
        <v>MATCHED</v>
      </c>
    </row>
    <row r="5070" spans="1:11">
      <c r="A5070" t="s">
        <v>124</v>
      </c>
      <c r="B5070" t="s">
        <v>1739</v>
      </c>
      <c r="C5070" t="s">
        <v>315</v>
      </c>
      <c r="D5070" t="s">
        <v>316</v>
      </c>
      <c r="E5070" s="8">
        <v>200</v>
      </c>
      <c r="F5070" s="8">
        <v>53970</v>
      </c>
      <c r="G5070" s="8">
        <f t="shared" si="316"/>
        <v>10794000</v>
      </c>
      <c r="H5070" s="5">
        <v>0.2969</v>
      </c>
      <c r="I5070" s="8">
        <f t="shared" si="317"/>
        <v>10794000</v>
      </c>
      <c r="J5070" s="8">
        <f t="shared" si="318"/>
        <v>3204738.6</v>
      </c>
      <c r="K5070" t="str">
        <f t="shared" si="319"/>
        <v>MATCHED</v>
      </c>
    </row>
    <row r="5071" spans="1:11">
      <c r="A5071" t="s">
        <v>124</v>
      </c>
      <c r="B5071" t="s">
        <v>1739</v>
      </c>
      <c r="C5071" t="s">
        <v>317</v>
      </c>
      <c r="D5071" t="s">
        <v>318</v>
      </c>
      <c r="E5071" s="8"/>
      <c r="F5071" s="8">
        <v>59930</v>
      </c>
      <c r="G5071" s="8" t="str">
        <f t="shared" si="316"/>
        <v/>
      </c>
      <c r="H5071" s="5">
        <v>0.2778</v>
      </c>
      <c r="I5071" s="8" t="str">
        <f t="shared" si="317"/>
        <v/>
      </c>
      <c r="J5071" s="8" t="str">
        <f t="shared" si="318"/>
        <v/>
      </c>
      <c r="K5071" t="str">
        <f t="shared" si="319"/>
        <v>MISSING OEWS</v>
      </c>
    </row>
    <row r="5072" spans="1:11">
      <c r="A5072" t="s">
        <v>124</v>
      </c>
      <c r="B5072" t="s">
        <v>1739</v>
      </c>
      <c r="C5072" t="s">
        <v>616</v>
      </c>
      <c r="D5072" t="s">
        <v>617</v>
      </c>
      <c r="E5072" s="8">
        <v>2240</v>
      </c>
      <c r="F5072" s="8">
        <v>56500</v>
      </c>
      <c r="G5072" s="8">
        <f t="shared" si="316"/>
        <v>126560000</v>
      </c>
      <c r="H5072" s="5">
        <v>0.25</v>
      </c>
      <c r="I5072" s="8">
        <f t="shared" si="317"/>
        <v>126560000</v>
      </c>
      <c r="J5072" s="8">
        <f t="shared" si="318"/>
        <v>31640000</v>
      </c>
      <c r="K5072" t="str">
        <f t="shared" si="319"/>
        <v>MATCHED</v>
      </c>
    </row>
    <row r="5073" spans="1:11">
      <c r="A5073" t="s">
        <v>124</v>
      </c>
      <c r="B5073" t="s">
        <v>1739</v>
      </c>
      <c r="C5073" t="s">
        <v>618</v>
      </c>
      <c r="D5073" t="s">
        <v>619</v>
      </c>
      <c r="E5073" s="8">
        <v>3220</v>
      </c>
      <c r="F5073" s="8">
        <v>57200</v>
      </c>
      <c r="G5073" s="8">
        <f t="shared" si="316"/>
        <v>184184000</v>
      </c>
      <c r="H5073" s="5">
        <v>0.2635</v>
      </c>
      <c r="I5073" s="8">
        <f t="shared" si="317"/>
        <v>184184000</v>
      </c>
      <c r="J5073" s="8">
        <f t="shared" si="318"/>
        <v>48532484</v>
      </c>
      <c r="K5073" t="str">
        <f t="shared" si="319"/>
        <v>MATCHED</v>
      </c>
    </row>
    <row r="5074" spans="1:11">
      <c r="A5074" t="s">
        <v>124</v>
      </c>
      <c r="B5074" t="s">
        <v>1739</v>
      </c>
      <c r="C5074" t="s">
        <v>854</v>
      </c>
      <c r="D5074" t="s">
        <v>855</v>
      </c>
      <c r="E5074" s="8">
        <v>400</v>
      </c>
      <c r="F5074" s="8">
        <v>98830</v>
      </c>
      <c r="G5074" s="8">
        <f t="shared" si="316"/>
        <v>39532000</v>
      </c>
      <c r="H5074" s="5">
        <v>0.1619</v>
      </c>
      <c r="I5074" s="8">
        <f t="shared" si="317"/>
        <v>39532000</v>
      </c>
      <c r="J5074" s="8">
        <f t="shared" si="318"/>
        <v>6400230.8</v>
      </c>
      <c r="K5074" t="str">
        <f t="shared" si="319"/>
        <v>MATCHED</v>
      </c>
    </row>
    <row r="5075" spans="1:11">
      <c r="A5075" t="s">
        <v>124</v>
      </c>
      <c r="B5075" t="s">
        <v>1739</v>
      </c>
      <c r="C5075" t="s">
        <v>1180</v>
      </c>
      <c r="D5075" t="s">
        <v>1181</v>
      </c>
      <c r="E5075" s="8">
        <v>200</v>
      </c>
      <c r="F5075" s="8">
        <v>69330</v>
      </c>
      <c r="G5075" s="8">
        <f t="shared" si="316"/>
        <v>13866000</v>
      </c>
      <c r="H5075" s="5">
        <v>0.7087</v>
      </c>
      <c r="I5075" s="8">
        <f t="shared" si="317"/>
        <v>13866000</v>
      </c>
      <c r="J5075" s="8">
        <f t="shared" si="318"/>
        <v>9826834.2</v>
      </c>
      <c r="K5075" t="str">
        <f t="shared" si="319"/>
        <v>MATCHED</v>
      </c>
    </row>
    <row r="5076" spans="1:11">
      <c r="A5076" t="s">
        <v>124</v>
      </c>
      <c r="B5076" t="s">
        <v>1739</v>
      </c>
      <c r="C5076" t="s">
        <v>624</v>
      </c>
      <c r="D5076" t="s">
        <v>625</v>
      </c>
      <c r="E5076" s="8">
        <v>5630</v>
      </c>
      <c r="F5076" s="8">
        <v>58810</v>
      </c>
      <c r="G5076" s="8">
        <f t="shared" si="316"/>
        <v>331100300</v>
      </c>
      <c r="H5076" s="5">
        <v>0.5519</v>
      </c>
      <c r="I5076" s="8">
        <f t="shared" si="317"/>
        <v>331100300</v>
      </c>
      <c r="J5076" s="8">
        <f t="shared" si="318"/>
        <v>182734255.57</v>
      </c>
      <c r="K5076" t="str">
        <f t="shared" si="319"/>
        <v>MATCHED</v>
      </c>
    </row>
    <row r="5077" spans="1:11">
      <c r="A5077" t="s">
        <v>124</v>
      </c>
      <c r="B5077" t="s">
        <v>1739</v>
      </c>
      <c r="C5077" t="s">
        <v>319</v>
      </c>
      <c r="D5077" t="s">
        <v>320</v>
      </c>
      <c r="E5077" s="8">
        <v>6480</v>
      </c>
      <c r="F5077" s="8">
        <v>90070</v>
      </c>
      <c r="G5077" s="8">
        <f t="shared" si="316"/>
        <v>583653600</v>
      </c>
      <c r="H5077" s="5">
        <v>0.2786</v>
      </c>
      <c r="I5077" s="8">
        <f t="shared" si="317"/>
        <v>583653600</v>
      </c>
      <c r="J5077" s="8">
        <f t="shared" si="318"/>
        <v>162605892.96</v>
      </c>
      <c r="K5077" t="str">
        <f t="shared" si="319"/>
        <v>MATCHED</v>
      </c>
    </row>
    <row r="5078" spans="1:11">
      <c r="A5078" t="s">
        <v>124</v>
      </c>
      <c r="B5078" t="s">
        <v>1739</v>
      </c>
      <c r="C5078" t="s">
        <v>626</v>
      </c>
      <c r="D5078" t="s">
        <v>627</v>
      </c>
      <c r="E5078" s="8">
        <v>1150</v>
      </c>
      <c r="F5078" s="8">
        <v>63960</v>
      </c>
      <c r="G5078" s="8">
        <f t="shared" si="316"/>
        <v>73554000</v>
      </c>
      <c r="H5078" s="5">
        <v>0.2712</v>
      </c>
      <c r="I5078" s="8">
        <f t="shared" si="317"/>
        <v>73554000</v>
      </c>
      <c r="J5078" s="8">
        <f t="shared" si="318"/>
        <v>19947844.8</v>
      </c>
      <c r="K5078" t="str">
        <f t="shared" si="319"/>
        <v>MATCHED</v>
      </c>
    </row>
    <row r="5079" spans="1:11">
      <c r="A5079" t="s">
        <v>124</v>
      </c>
      <c r="B5079" t="s">
        <v>1739</v>
      </c>
      <c r="C5079" t="s">
        <v>1464</v>
      </c>
      <c r="D5079" t="s">
        <v>1465</v>
      </c>
      <c r="E5079" s="8">
        <v>2290</v>
      </c>
      <c r="F5079" s="8">
        <v>60610</v>
      </c>
      <c r="G5079" s="8">
        <f t="shared" si="316"/>
        <v>138796900</v>
      </c>
      <c r="H5079" s="5">
        <v>0.3176</v>
      </c>
      <c r="I5079" s="8">
        <f t="shared" si="317"/>
        <v>138796900</v>
      </c>
      <c r="J5079" s="8">
        <f t="shared" si="318"/>
        <v>44081895.44</v>
      </c>
      <c r="K5079" t="str">
        <f t="shared" si="319"/>
        <v>MATCHED</v>
      </c>
    </row>
    <row r="5080" spans="1:11">
      <c r="A5080" t="s">
        <v>124</v>
      </c>
      <c r="B5080" t="s">
        <v>1739</v>
      </c>
      <c r="C5080" t="s">
        <v>1711</v>
      </c>
      <c r="D5080" t="s">
        <v>1712</v>
      </c>
      <c r="E5080" s="8">
        <v>210</v>
      </c>
      <c r="F5080" s="8">
        <v>88850</v>
      </c>
      <c r="G5080" s="8">
        <f t="shared" si="316"/>
        <v>18658500</v>
      </c>
      <c r="H5080" s="5">
        <v>0.0594</v>
      </c>
      <c r="I5080" s="8">
        <f t="shared" si="317"/>
        <v>18658500</v>
      </c>
      <c r="J5080" s="8">
        <f t="shared" si="318"/>
        <v>1108314.9</v>
      </c>
      <c r="K5080" t="str">
        <f t="shared" si="319"/>
        <v>MATCHED</v>
      </c>
    </row>
    <row r="5081" spans="1:11">
      <c r="A5081" t="s">
        <v>124</v>
      </c>
      <c r="B5081" t="s">
        <v>1739</v>
      </c>
      <c r="C5081" t="s">
        <v>1466</v>
      </c>
      <c r="D5081" t="s">
        <v>1467</v>
      </c>
      <c r="E5081" s="8">
        <v>600</v>
      </c>
      <c r="F5081" s="8">
        <v>44930</v>
      </c>
      <c r="G5081" s="8">
        <f t="shared" si="316"/>
        <v>26958000</v>
      </c>
      <c r="H5081" s="5">
        <v>0.2618</v>
      </c>
      <c r="I5081" s="8">
        <f t="shared" si="317"/>
        <v>26958000</v>
      </c>
      <c r="J5081" s="8">
        <f t="shared" si="318"/>
        <v>7057604.4</v>
      </c>
      <c r="K5081" t="str">
        <f t="shared" si="319"/>
        <v>MATCHED</v>
      </c>
    </row>
    <row r="5082" spans="1:11">
      <c r="A5082" t="s">
        <v>124</v>
      </c>
      <c r="B5082" t="s">
        <v>1739</v>
      </c>
      <c r="C5082" t="s">
        <v>1608</v>
      </c>
      <c r="D5082" t="s">
        <v>1609</v>
      </c>
      <c r="E5082" s="8">
        <v>4600</v>
      </c>
      <c r="F5082" s="8">
        <v>62770</v>
      </c>
      <c r="G5082" s="8">
        <f t="shared" si="316"/>
        <v>288742000</v>
      </c>
      <c r="H5082" s="5">
        <v>0.1862</v>
      </c>
      <c r="I5082" s="8">
        <f t="shared" si="317"/>
        <v>288742000</v>
      </c>
      <c r="J5082" s="8">
        <f t="shared" si="318"/>
        <v>53763760.4</v>
      </c>
      <c r="K5082" t="str">
        <f t="shared" si="319"/>
        <v>MATCHED</v>
      </c>
    </row>
    <row r="5083" spans="1:11">
      <c r="A5083" t="s">
        <v>124</v>
      </c>
      <c r="B5083" t="s">
        <v>1739</v>
      </c>
      <c r="C5083" t="s">
        <v>1468</v>
      </c>
      <c r="D5083" t="s">
        <v>1469</v>
      </c>
      <c r="E5083" s="8">
        <v>850</v>
      </c>
      <c r="F5083" s="8">
        <v>64520</v>
      </c>
      <c r="G5083" s="8">
        <f t="shared" si="316"/>
        <v>54842000</v>
      </c>
      <c r="H5083" s="5"/>
      <c r="I5083" s="8" t="str">
        <f t="shared" si="317"/>
        <v/>
      </c>
      <c r="J5083" s="8" t="str">
        <f t="shared" si="318"/>
        <v/>
      </c>
      <c r="K5083" t="str">
        <f t="shared" si="319"/>
        <v>MISSING WHARTON</v>
      </c>
    </row>
    <row r="5084" spans="1:11">
      <c r="A5084" t="s">
        <v>124</v>
      </c>
      <c r="B5084" t="s">
        <v>1739</v>
      </c>
      <c r="C5084" t="s">
        <v>1610</v>
      </c>
      <c r="D5084" t="s">
        <v>1611</v>
      </c>
      <c r="E5084" s="8">
        <v>2110</v>
      </c>
      <c r="F5084" s="8">
        <v>70570</v>
      </c>
      <c r="G5084" s="8">
        <f t="shared" si="316"/>
        <v>148902700</v>
      </c>
      <c r="H5084" s="5">
        <v>0.2457</v>
      </c>
      <c r="I5084" s="8">
        <f t="shared" si="317"/>
        <v>148902700</v>
      </c>
      <c r="J5084" s="8">
        <f t="shared" si="318"/>
        <v>36585393.39</v>
      </c>
      <c r="K5084" t="str">
        <f t="shared" si="319"/>
        <v>MATCHED</v>
      </c>
    </row>
    <row r="5085" spans="1:11">
      <c r="A5085" t="s">
        <v>124</v>
      </c>
      <c r="B5085" t="s">
        <v>1739</v>
      </c>
      <c r="C5085" t="s">
        <v>1417</v>
      </c>
      <c r="D5085" t="s">
        <v>1418</v>
      </c>
      <c r="E5085" s="8">
        <v>3900</v>
      </c>
      <c r="F5085" s="8">
        <v>62350</v>
      </c>
      <c r="G5085" s="8">
        <f t="shared" si="316"/>
        <v>243165000</v>
      </c>
      <c r="H5085" s="5">
        <v>0.2206</v>
      </c>
      <c r="I5085" s="8">
        <f t="shared" si="317"/>
        <v>243165000</v>
      </c>
      <c r="J5085" s="8">
        <f t="shared" si="318"/>
        <v>53642199</v>
      </c>
      <c r="K5085" t="str">
        <f t="shared" si="319"/>
        <v>MATCHED</v>
      </c>
    </row>
    <row r="5086" spans="1:11">
      <c r="A5086" t="s">
        <v>124</v>
      </c>
      <c r="B5086" t="s">
        <v>1739</v>
      </c>
      <c r="C5086" t="s">
        <v>1612</v>
      </c>
      <c r="D5086" t="s">
        <v>1613</v>
      </c>
      <c r="E5086" s="8">
        <v>1470</v>
      </c>
      <c r="F5086" s="8">
        <v>62710</v>
      </c>
      <c r="G5086" s="8">
        <f t="shared" si="316"/>
        <v>92183700</v>
      </c>
      <c r="H5086" s="5">
        <v>0.1615</v>
      </c>
      <c r="I5086" s="8">
        <f t="shared" si="317"/>
        <v>92183700</v>
      </c>
      <c r="J5086" s="8">
        <f t="shared" si="318"/>
        <v>14887667.55</v>
      </c>
      <c r="K5086" t="str">
        <f t="shared" si="319"/>
        <v>MATCHED</v>
      </c>
    </row>
    <row r="5087" spans="1:11">
      <c r="A5087" t="s">
        <v>124</v>
      </c>
      <c r="B5087" t="s">
        <v>1739</v>
      </c>
      <c r="C5087" t="s">
        <v>1614</v>
      </c>
      <c r="D5087" t="s">
        <v>1615</v>
      </c>
      <c r="E5087" s="8">
        <v>380</v>
      </c>
      <c r="F5087" s="8">
        <v>61400</v>
      </c>
      <c r="G5087" s="8">
        <f t="shared" si="316"/>
        <v>23332000</v>
      </c>
      <c r="H5087" s="5"/>
      <c r="I5087" s="8" t="str">
        <f t="shared" si="317"/>
        <v/>
      </c>
      <c r="J5087" s="8" t="str">
        <f t="shared" si="318"/>
        <v/>
      </c>
      <c r="K5087" t="str">
        <f t="shared" si="319"/>
        <v>MISSING WHARTON</v>
      </c>
    </row>
    <row r="5088" spans="1:11">
      <c r="A5088" t="s">
        <v>124</v>
      </c>
      <c r="B5088" t="s">
        <v>1739</v>
      </c>
      <c r="C5088" t="s">
        <v>1419</v>
      </c>
      <c r="D5088" t="s">
        <v>1420</v>
      </c>
      <c r="E5088" s="8">
        <v>1100</v>
      </c>
      <c r="F5088" s="8">
        <v>67360</v>
      </c>
      <c r="G5088" s="8">
        <f t="shared" si="316"/>
        <v>74096000</v>
      </c>
      <c r="H5088" s="5">
        <v>0.5875</v>
      </c>
      <c r="I5088" s="8">
        <f t="shared" si="317"/>
        <v>74096000</v>
      </c>
      <c r="J5088" s="8">
        <f t="shared" si="318"/>
        <v>43531400</v>
      </c>
      <c r="K5088" t="str">
        <f t="shared" si="319"/>
        <v>MATCHED</v>
      </c>
    </row>
    <row r="5089" spans="1:11">
      <c r="A5089" t="s">
        <v>124</v>
      </c>
      <c r="B5089" t="s">
        <v>1739</v>
      </c>
      <c r="C5089" t="s">
        <v>1740</v>
      </c>
      <c r="D5089" t="s">
        <v>1741</v>
      </c>
      <c r="E5089" s="8">
        <v>530</v>
      </c>
      <c r="F5089" s="8">
        <v>54590</v>
      </c>
      <c r="G5089" s="8">
        <f t="shared" si="316"/>
        <v>28932700</v>
      </c>
      <c r="H5089" s="5">
        <v>0.4357</v>
      </c>
      <c r="I5089" s="8">
        <f t="shared" si="317"/>
        <v>28932700</v>
      </c>
      <c r="J5089" s="8">
        <f t="shared" si="318"/>
        <v>12605977.39</v>
      </c>
      <c r="K5089" t="str">
        <f t="shared" si="319"/>
        <v>MATCHED</v>
      </c>
    </row>
    <row r="5090" spans="1:11">
      <c r="A5090" t="s">
        <v>124</v>
      </c>
      <c r="B5090" t="s">
        <v>1739</v>
      </c>
      <c r="C5090" t="s">
        <v>940</v>
      </c>
      <c r="D5090" t="s">
        <v>941</v>
      </c>
      <c r="E5090" s="8">
        <v>3970</v>
      </c>
      <c r="F5090" s="8">
        <v>49260</v>
      </c>
      <c r="G5090" s="8">
        <f t="shared" si="316"/>
        <v>195562200</v>
      </c>
      <c r="H5090" s="5">
        <v>0.4</v>
      </c>
      <c r="I5090" s="8">
        <f t="shared" si="317"/>
        <v>195562200</v>
      </c>
      <c r="J5090" s="8">
        <f t="shared" si="318"/>
        <v>78224880</v>
      </c>
      <c r="K5090" t="str">
        <f t="shared" si="319"/>
        <v>MATCHED</v>
      </c>
    </row>
    <row r="5091" spans="1:11">
      <c r="A5091" t="s">
        <v>124</v>
      </c>
      <c r="B5091" t="s">
        <v>1739</v>
      </c>
      <c r="C5091" t="s">
        <v>1569</v>
      </c>
      <c r="D5091" t="s">
        <v>1570</v>
      </c>
      <c r="E5091" s="8">
        <v>1000</v>
      </c>
      <c r="F5091" s="8">
        <v>55600</v>
      </c>
      <c r="G5091" s="8">
        <f t="shared" si="316"/>
        <v>55600000</v>
      </c>
      <c r="H5091" s="5">
        <v>0.2672</v>
      </c>
      <c r="I5091" s="8">
        <f t="shared" si="317"/>
        <v>55600000</v>
      </c>
      <c r="J5091" s="8">
        <f t="shared" si="318"/>
        <v>14856320</v>
      </c>
      <c r="K5091" t="str">
        <f t="shared" si="319"/>
        <v>MATCHED</v>
      </c>
    </row>
    <row r="5092" spans="1:11">
      <c r="A5092" t="s">
        <v>124</v>
      </c>
      <c r="B5092" t="s">
        <v>1739</v>
      </c>
      <c r="C5092" t="s">
        <v>942</v>
      </c>
      <c r="D5092" t="s">
        <v>943</v>
      </c>
      <c r="E5092" s="8">
        <v>1230</v>
      </c>
      <c r="F5092" s="8">
        <v>50520</v>
      </c>
      <c r="G5092" s="8">
        <f t="shared" si="316"/>
        <v>62139600</v>
      </c>
      <c r="H5092" s="5"/>
      <c r="I5092" s="8" t="str">
        <f t="shared" si="317"/>
        <v/>
      </c>
      <c r="J5092" s="8" t="str">
        <f t="shared" si="318"/>
        <v/>
      </c>
      <c r="K5092" t="str">
        <f t="shared" si="319"/>
        <v>MISSING WHARTON</v>
      </c>
    </row>
    <row r="5093" spans="1:11">
      <c r="A5093" t="s">
        <v>124</v>
      </c>
      <c r="B5093" t="s">
        <v>1739</v>
      </c>
      <c r="C5093" t="s">
        <v>1182</v>
      </c>
      <c r="D5093" t="s">
        <v>1183</v>
      </c>
      <c r="E5093" s="8">
        <v>240</v>
      </c>
      <c r="F5093" s="8">
        <v>61880</v>
      </c>
      <c r="G5093" s="8">
        <f t="shared" si="316"/>
        <v>14851200</v>
      </c>
      <c r="H5093" s="5">
        <v>0.1786</v>
      </c>
      <c r="I5093" s="8">
        <f t="shared" si="317"/>
        <v>14851200</v>
      </c>
      <c r="J5093" s="8">
        <f t="shared" si="318"/>
        <v>2652424.32</v>
      </c>
      <c r="K5093" t="str">
        <f t="shared" si="319"/>
        <v>MATCHED</v>
      </c>
    </row>
    <row r="5094" spans="1:11">
      <c r="A5094" t="s">
        <v>124</v>
      </c>
      <c r="B5094" t="s">
        <v>1739</v>
      </c>
      <c r="C5094" t="s">
        <v>628</v>
      </c>
      <c r="D5094" t="s">
        <v>629</v>
      </c>
      <c r="E5094" s="8">
        <v>11630</v>
      </c>
      <c r="F5094" s="8">
        <v>170830</v>
      </c>
      <c r="G5094" s="8">
        <f t="shared" si="316"/>
        <v>1986752900</v>
      </c>
      <c r="H5094" s="5">
        <v>0.45</v>
      </c>
      <c r="I5094" s="8">
        <f t="shared" si="317"/>
        <v>1986752900</v>
      </c>
      <c r="J5094" s="8">
        <f t="shared" si="318"/>
        <v>894038805</v>
      </c>
      <c r="K5094" t="str">
        <f t="shared" si="319"/>
        <v>MATCHED</v>
      </c>
    </row>
    <row r="5095" spans="1:11">
      <c r="A5095" t="s">
        <v>124</v>
      </c>
      <c r="B5095" t="s">
        <v>1739</v>
      </c>
      <c r="C5095" t="s">
        <v>1421</v>
      </c>
      <c r="D5095" t="s">
        <v>1422</v>
      </c>
      <c r="E5095" s="8">
        <v>40</v>
      </c>
      <c r="F5095" s="8">
        <v>47010</v>
      </c>
      <c r="G5095" s="8">
        <f t="shared" si="316"/>
        <v>1880400</v>
      </c>
      <c r="H5095" s="5">
        <v>0.4375</v>
      </c>
      <c r="I5095" s="8">
        <f t="shared" si="317"/>
        <v>1880400</v>
      </c>
      <c r="J5095" s="8">
        <f t="shared" si="318"/>
        <v>822675</v>
      </c>
      <c r="K5095" t="str">
        <f t="shared" si="319"/>
        <v>MATCHED</v>
      </c>
    </row>
    <row r="5096" spans="1:11">
      <c r="A5096" t="s">
        <v>124</v>
      </c>
      <c r="B5096" t="s">
        <v>1739</v>
      </c>
      <c r="C5096" t="s">
        <v>630</v>
      </c>
      <c r="D5096" t="s">
        <v>631</v>
      </c>
      <c r="E5096" s="8">
        <v>5060</v>
      </c>
      <c r="F5096" s="8">
        <v>70570</v>
      </c>
      <c r="G5096" s="8">
        <f t="shared" si="316"/>
        <v>357084200</v>
      </c>
      <c r="H5096" s="5">
        <v>0.5917</v>
      </c>
      <c r="I5096" s="8">
        <f t="shared" si="317"/>
        <v>357084200</v>
      </c>
      <c r="J5096" s="8">
        <f t="shared" si="318"/>
        <v>211286721.14</v>
      </c>
      <c r="K5096" t="str">
        <f t="shared" si="319"/>
        <v>MATCHED</v>
      </c>
    </row>
    <row r="5097" spans="1:11">
      <c r="A5097" t="s">
        <v>124</v>
      </c>
      <c r="B5097" t="s">
        <v>1739</v>
      </c>
      <c r="C5097" t="s">
        <v>632</v>
      </c>
      <c r="D5097" t="s">
        <v>633</v>
      </c>
      <c r="E5097" s="8"/>
      <c r="F5097" s="8">
        <v>53810</v>
      </c>
      <c r="G5097" s="8" t="str">
        <f t="shared" si="316"/>
        <v/>
      </c>
      <c r="H5097" s="5">
        <v>0.8794</v>
      </c>
      <c r="I5097" s="8" t="str">
        <f t="shared" si="317"/>
        <v/>
      </c>
      <c r="J5097" s="8" t="str">
        <f t="shared" si="318"/>
        <v/>
      </c>
      <c r="K5097" t="str">
        <f t="shared" si="319"/>
        <v>MISSING OEWS</v>
      </c>
    </row>
    <row r="5098" spans="1:11">
      <c r="A5098" t="s">
        <v>124</v>
      </c>
      <c r="B5098" t="s">
        <v>1739</v>
      </c>
      <c r="C5098" t="s">
        <v>634</v>
      </c>
      <c r="D5098" t="s">
        <v>635</v>
      </c>
      <c r="E5098" s="8"/>
      <c r="F5098" s="8">
        <v>58770</v>
      </c>
      <c r="G5098" s="8" t="str">
        <f t="shared" si="316"/>
        <v/>
      </c>
      <c r="H5098" s="5"/>
      <c r="I5098" s="8" t="str">
        <f t="shared" si="317"/>
        <v/>
      </c>
      <c r="J5098" s="8" t="str">
        <f t="shared" si="318"/>
        <v/>
      </c>
      <c r="K5098" t="str">
        <f t="shared" si="319"/>
        <v>MISSING OEWS</v>
      </c>
    </row>
    <row r="5099" spans="1:11">
      <c r="A5099" t="s">
        <v>124</v>
      </c>
      <c r="B5099" t="s">
        <v>1739</v>
      </c>
      <c r="C5099" t="s">
        <v>1742</v>
      </c>
      <c r="D5099" t="s">
        <v>1743</v>
      </c>
      <c r="E5099" s="8">
        <v>40</v>
      </c>
      <c r="F5099" s="8">
        <v>88560</v>
      </c>
      <c r="G5099" s="8">
        <f t="shared" si="316"/>
        <v>3542400</v>
      </c>
      <c r="H5099" s="5">
        <v>0.3483</v>
      </c>
      <c r="I5099" s="8">
        <f t="shared" si="317"/>
        <v>3542400</v>
      </c>
      <c r="J5099" s="8">
        <f t="shared" si="318"/>
        <v>1233817.92</v>
      </c>
      <c r="K5099" t="str">
        <f t="shared" si="319"/>
        <v>MATCHED</v>
      </c>
    </row>
    <row r="5100" spans="1:11">
      <c r="A5100" t="s">
        <v>124</v>
      </c>
      <c r="B5100" t="s">
        <v>1739</v>
      </c>
      <c r="C5100" t="s">
        <v>1660</v>
      </c>
      <c r="D5100" t="s">
        <v>1661</v>
      </c>
      <c r="E5100" s="8">
        <v>1350</v>
      </c>
      <c r="F5100" s="8">
        <v>45810</v>
      </c>
      <c r="G5100" s="8">
        <f t="shared" si="316"/>
        <v>61843500</v>
      </c>
      <c r="H5100" s="5">
        <v>0.1176</v>
      </c>
      <c r="I5100" s="8">
        <f t="shared" si="317"/>
        <v>61843500</v>
      </c>
      <c r="J5100" s="8">
        <f t="shared" si="318"/>
        <v>7272795.6</v>
      </c>
      <c r="K5100" t="str">
        <f t="shared" si="319"/>
        <v>MATCHED</v>
      </c>
    </row>
    <row r="5101" spans="1:11">
      <c r="A5101" t="s">
        <v>124</v>
      </c>
      <c r="B5101" t="s">
        <v>1739</v>
      </c>
      <c r="C5101" t="s">
        <v>1744</v>
      </c>
      <c r="D5101" t="s">
        <v>1745</v>
      </c>
      <c r="E5101" s="8">
        <v>550</v>
      </c>
      <c r="F5101" s="8">
        <v>64140</v>
      </c>
      <c r="G5101" s="8">
        <f t="shared" si="316"/>
        <v>35277000</v>
      </c>
      <c r="H5101" s="5">
        <v>0.3016</v>
      </c>
      <c r="I5101" s="8">
        <f t="shared" si="317"/>
        <v>35277000</v>
      </c>
      <c r="J5101" s="8">
        <f t="shared" si="318"/>
        <v>10639543.2</v>
      </c>
      <c r="K5101" t="str">
        <f t="shared" si="319"/>
        <v>MATCHED</v>
      </c>
    </row>
    <row r="5102" spans="1:11">
      <c r="A5102" t="s">
        <v>124</v>
      </c>
      <c r="B5102" t="s">
        <v>1739</v>
      </c>
      <c r="C5102" t="s">
        <v>1746</v>
      </c>
      <c r="D5102" t="s">
        <v>1747</v>
      </c>
      <c r="E5102" s="8">
        <v>300</v>
      </c>
      <c r="F5102" s="8">
        <v>89340</v>
      </c>
      <c r="G5102" s="8">
        <f t="shared" si="316"/>
        <v>26802000</v>
      </c>
      <c r="H5102" s="5">
        <v>0.1992</v>
      </c>
      <c r="I5102" s="8">
        <f t="shared" si="317"/>
        <v>26802000</v>
      </c>
      <c r="J5102" s="8">
        <f t="shared" si="318"/>
        <v>5338958.4</v>
      </c>
      <c r="K5102" t="str">
        <f t="shared" si="319"/>
        <v>MATCHED</v>
      </c>
    </row>
    <row r="5103" spans="1:11">
      <c r="A5103" t="s">
        <v>124</v>
      </c>
      <c r="B5103" t="s">
        <v>1739</v>
      </c>
      <c r="C5103" t="s">
        <v>1748</v>
      </c>
      <c r="D5103" t="s">
        <v>1749</v>
      </c>
      <c r="E5103" s="8"/>
      <c r="F5103" s="8">
        <v>73500</v>
      </c>
      <c r="G5103" s="8" t="str">
        <f t="shared" si="316"/>
        <v/>
      </c>
      <c r="H5103" s="5">
        <v>0.2225</v>
      </c>
      <c r="I5103" s="8" t="str">
        <f t="shared" si="317"/>
        <v/>
      </c>
      <c r="J5103" s="8" t="str">
        <f t="shared" si="318"/>
        <v/>
      </c>
      <c r="K5103" t="str">
        <f t="shared" si="319"/>
        <v>MISSING OEWS</v>
      </c>
    </row>
    <row r="5104" spans="1:11">
      <c r="A5104" t="s">
        <v>124</v>
      </c>
      <c r="B5104" t="s">
        <v>1739</v>
      </c>
      <c r="C5104" t="s">
        <v>1715</v>
      </c>
      <c r="D5104" t="s">
        <v>1716</v>
      </c>
      <c r="E5104" s="8"/>
      <c r="F5104" s="8">
        <v>72920</v>
      </c>
      <c r="G5104" s="8" t="str">
        <f t="shared" si="316"/>
        <v/>
      </c>
      <c r="H5104" s="5">
        <v>0.27</v>
      </c>
      <c r="I5104" s="8" t="str">
        <f t="shared" si="317"/>
        <v/>
      </c>
      <c r="J5104" s="8" t="str">
        <f t="shared" si="318"/>
        <v/>
      </c>
      <c r="K5104" t="str">
        <f t="shared" si="319"/>
        <v>MISSING OEWS</v>
      </c>
    </row>
    <row r="5105" spans="1:11">
      <c r="A5105" t="s">
        <v>124</v>
      </c>
      <c r="B5105" t="s">
        <v>1739</v>
      </c>
      <c r="C5105" t="s">
        <v>1571</v>
      </c>
      <c r="D5105" t="s">
        <v>1572</v>
      </c>
      <c r="E5105" s="8">
        <v>210</v>
      </c>
      <c r="F5105" s="8">
        <v>58510</v>
      </c>
      <c r="G5105" s="8">
        <f t="shared" si="316"/>
        <v>12287100</v>
      </c>
      <c r="H5105" s="5">
        <v>0.3372</v>
      </c>
      <c r="I5105" s="8">
        <f t="shared" si="317"/>
        <v>12287100</v>
      </c>
      <c r="J5105" s="8">
        <f t="shared" si="318"/>
        <v>4143210.12</v>
      </c>
      <c r="K5105" t="str">
        <f t="shared" si="319"/>
        <v>MATCHED</v>
      </c>
    </row>
    <row r="5106" spans="1:11">
      <c r="A5106" t="s">
        <v>124</v>
      </c>
      <c r="B5106" t="s">
        <v>1739</v>
      </c>
      <c r="C5106" t="s">
        <v>321</v>
      </c>
      <c r="D5106" t="s">
        <v>322</v>
      </c>
      <c r="E5106" s="8">
        <v>1380</v>
      </c>
      <c r="F5106" s="8">
        <v>59180</v>
      </c>
      <c r="G5106" s="8">
        <f t="shared" si="316"/>
        <v>81668400</v>
      </c>
      <c r="H5106" s="5">
        <v>0.33</v>
      </c>
      <c r="I5106" s="8">
        <f t="shared" si="317"/>
        <v>81668400</v>
      </c>
      <c r="J5106" s="8">
        <f t="shared" si="318"/>
        <v>26950572</v>
      </c>
      <c r="K5106" t="str">
        <f t="shared" si="319"/>
        <v>MATCHED</v>
      </c>
    </row>
    <row r="5107" spans="1:11">
      <c r="A5107" t="s">
        <v>124</v>
      </c>
      <c r="B5107" t="s">
        <v>1739</v>
      </c>
      <c r="C5107" t="s">
        <v>1717</v>
      </c>
      <c r="D5107" t="s">
        <v>1718</v>
      </c>
      <c r="E5107" s="8">
        <v>88940</v>
      </c>
      <c r="F5107" s="8">
        <v>42010</v>
      </c>
      <c r="G5107" s="8">
        <f t="shared" si="316"/>
        <v>3736369400</v>
      </c>
      <c r="H5107" s="5">
        <v>0.1972</v>
      </c>
      <c r="I5107" s="8">
        <f t="shared" si="317"/>
        <v>3736369400</v>
      </c>
      <c r="J5107" s="8">
        <f t="shared" si="318"/>
        <v>736812045.68</v>
      </c>
      <c r="K5107" t="str">
        <f t="shared" si="319"/>
        <v>MATCHED</v>
      </c>
    </row>
    <row r="5108" spans="1:11">
      <c r="A5108" t="s">
        <v>124</v>
      </c>
      <c r="B5108" t="s">
        <v>1739</v>
      </c>
      <c r="C5108" t="s">
        <v>1423</v>
      </c>
      <c r="D5108" t="s">
        <v>1424</v>
      </c>
      <c r="E5108" s="8">
        <v>1280</v>
      </c>
      <c r="F5108" s="8">
        <v>51010</v>
      </c>
      <c r="G5108" s="8">
        <f t="shared" si="316"/>
        <v>65292800</v>
      </c>
      <c r="H5108" s="5">
        <v>0.3974</v>
      </c>
      <c r="I5108" s="8">
        <f t="shared" si="317"/>
        <v>65292800</v>
      </c>
      <c r="J5108" s="8">
        <f t="shared" si="318"/>
        <v>25947358.72</v>
      </c>
      <c r="K5108" t="str">
        <f t="shared" si="319"/>
        <v>MATCHED</v>
      </c>
    </row>
    <row r="5109" spans="1:11">
      <c r="A5109" t="s">
        <v>124</v>
      </c>
      <c r="B5109" t="s">
        <v>1739</v>
      </c>
      <c r="C5109" t="s">
        <v>1517</v>
      </c>
      <c r="D5109" t="s">
        <v>1518</v>
      </c>
      <c r="E5109" s="8">
        <v>1990</v>
      </c>
      <c r="F5109" s="8">
        <v>51200</v>
      </c>
      <c r="G5109" s="8">
        <f t="shared" si="316"/>
        <v>101888000</v>
      </c>
      <c r="H5109" s="5"/>
      <c r="I5109" s="8" t="str">
        <f t="shared" si="317"/>
        <v/>
      </c>
      <c r="J5109" s="8" t="str">
        <f t="shared" si="318"/>
        <v/>
      </c>
      <c r="K5109" t="str">
        <f t="shared" si="319"/>
        <v>MISSING WHARTON</v>
      </c>
    </row>
    <row r="5110" spans="1:11">
      <c r="A5110" t="s">
        <v>124</v>
      </c>
      <c r="B5110" t="s">
        <v>1739</v>
      </c>
      <c r="C5110" t="s">
        <v>1470</v>
      </c>
      <c r="D5110" t="s">
        <v>1471</v>
      </c>
      <c r="E5110" s="8">
        <v>170</v>
      </c>
      <c r="F5110" s="8">
        <v>68570</v>
      </c>
      <c r="G5110" s="8">
        <f t="shared" si="316"/>
        <v>11656900</v>
      </c>
      <c r="H5110" s="5">
        <v>0.4154</v>
      </c>
      <c r="I5110" s="8">
        <f t="shared" si="317"/>
        <v>11656900</v>
      </c>
      <c r="J5110" s="8">
        <f t="shared" si="318"/>
        <v>4842276.26</v>
      </c>
      <c r="K5110" t="str">
        <f t="shared" si="319"/>
        <v>MATCHED</v>
      </c>
    </row>
    <row r="5111" spans="1:11">
      <c r="A5111" t="s">
        <v>124</v>
      </c>
      <c r="B5111" t="s">
        <v>1739</v>
      </c>
      <c r="C5111" t="s">
        <v>1425</v>
      </c>
      <c r="D5111" t="s">
        <v>1426</v>
      </c>
      <c r="E5111" s="8">
        <v>30</v>
      </c>
      <c r="F5111" s="8"/>
      <c r="G5111" s="8" t="str">
        <f t="shared" si="316"/>
        <v/>
      </c>
      <c r="H5111" s="5">
        <v>0.2833</v>
      </c>
      <c r="I5111" s="8" t="str">
        <f t="shared" si="317"/>
        <v/>
      </c>
      <c r="J5111" s="8" t="str">
        <f t="shared" si="318"/>
        <v/>
      </c>
      <c r="K5111" t="str">
        <f t="shared" si="319"/>
        <v>MISSING OEWS</v>
      </c>
    </row>
    <row r="5112" spans="1:11">
      <c r="A5112" t="s">
        <v>124</v>
      </c>
      <c r="B5112" t="s">
        <v>1739</v>
      </c>
      <c r="C5112" t="s">
        <v>1472</v>
      </c>
      <c r="D5112" t="s">
        <v>1473</v>
      </c>
      <c r="E5112" s="8"/>
      <c r="F5112" s="8">
        <v>46460</v>
      </c>
      <c r="G5112" s="8" t="str">
        <f t="shared" si="316"/>
        <v/>
      </c>
      <c r="H5112" s="5">
        <v>0.1808</v>
      </c>
      <c r="I5112" s="8" t="str">
        <f t="shared" si="317"/>
        <v/>
      </c>
      <c r="J5112" s="8" t="str">
        <f t="shared" si="318"/>
        <v/>
      </c>
      <c r="K5112" t="str">
        <f t="shared" si="319"/>
        <v>MISSING OEWS</v>
      </c>
    </row>
    <row r="5113" spans="1:11">
      <c r="A5113" t="s">
        <v>124</v>
      </c>
      <c r="B5113" t="s">
        <v>1739</v>
      </c>
      <c r="C5113" t="s">
        <v>1184</v>
      </c>
      <c r="D5113" t="s">
        <v>1185</v>
      </c>
      <c r="E5113" s="8">
        <v>500</v>
      </c>
      <c r="F5113" s="8">
        <v>61430</v>
      </c>
      <c r="G5113" s="8">
        <f t="shared" si="316"/>
        <v>30715000</v>
      </c>
      <c r="H5113" s="5">
        <v>0.4167</v>
      </c>
      <c r="I5113" s="8">
        <f t="shared" si="317"/>
        <v>30715000</v>
      </c>
      <c r="J5113" s="8">
        <f t="shared" si="318"/>
        <v>12798940.5</v>
      </c>
      <c r="K5113" t="str">
        <f t="shared" si="319"/>
        <v>MATCHED</v>
      </c>
    </row>
    <row r="5114" spans="1:11">
      <c r="A5114" t="s">
        <v>124</v>
      </c>
      <c r="B5114" t="s">
        <v>1739</v>
      </c>
      <c r="C5114" t="s">
        <v>1573</v>
      </c>
      <c r="D5114" t="s">
        <v>1574</v>
      </c>
      <c r="E5114" s="8"/>
      <c r="F5114" s="8">
        <v>53020</v>
      </c>
      <c r="G5114" s="8" t="str">
        <f t="shared" si="316"/>
        <v/>
      </c>
      <c r="H5114" s="5">
        <v>0.6329</v>
      </c>
      <c r="I5114" s="8" t="str">
        <f t="shared" si="317"/>
        <v/>
      </c>
      <c r="J5114" s="8" t="str">
        <f t="shared" si="318"/>
        <v/>
      </c>
      <c r="K5114" t="str">
        <f t="shared" si="319"/>
        <v>MISSING OEWS</v>
      </c>
    </row>
    <row r="5115" spans="1:11">
      <c r="A5115" t="s">
        <v>124</v>
      </c>
      <c r="B5115" t="s">
        <v>1739</v>
      </c>
      <c r="C5115" t="s">
        <v>1750</v>
      </c>
      <c r="D5115" t="s">
        <v>1751</v>
      </c>
      <c r="E5115" s="8">
        <v>80</v>
      </c>
      <c r="F5115" s="8">
        <v>55380</v>
      </c>
      <c r="G5115" s="8">
        <f t="shared" si="316"/>
        <v>4430400</v>
      </c>
      <c r="H5115" s="5">
        <v>0.3675</v>
      </c>
      <c r="I5115" s="8">
        <f t="shared" si="317"/>
        <v>4430400</v>
      </c>
      <c r="J5115" s="8">
        <f t="shared" si="318"/>
        <v>1628172</v>
      </c>
      <c r="K5115" t="str">
        <f t="shared" si="319"/>
        <v>MATCHED</v>
      </c>
    </row>
    <row r="5116" spans="1:11">
      <c r="A5116" t="s">
        <v>124</v>
      </c>
      <c r="B5116" t="s">
        <v>1739</v>
      </c>
      <c r="C5116" t="s">
        <v>1664</v>
      </c>
      <c r="D5116" t="s">
        <v>1665</v>
      </c>
      <c r="E5116" s="8">
        <v>24840</v>
      </c>
      <c r="F5116" s="8">
        <v>40550</v>
      </c>
      <c r="G5116" s="8">
        <f t="shared" si="316"/>
        <v>1007262000</v>
      </c>
      <c r="H5116" s="5">
        <v>0.2083</v>
      </c>
      <c r="I5116" s="8">
        <f t="shared" si="317"/>
        <v>1007262000</v>
      </c>
      <c r="J5116" s="8">
        <f t="shared" si="318"/>
        <v>209812674.6</v>
      </c>
      <c r="K5116" t="str">
        <f t="shared" si="319"/>
        <v>MATCHED</v>
      </c>
    </row>
    <row r="5117" spans="1:11">
      <c r="A5117" t="s">
        <v>124</v>
      </c>
      <c r="B5117" t="s">
        <v>1739</v>
      </c>
      <c r="C5117" t="s">
        <v>1427</v>
      </c>
      <c r="D5117" t="s">
        <v>1428</v>
      </c>
      <c r="E5117" s="8">
        <v>270</v>
      </c>
      <c r="F5117" s="8">
        <v>51660</v>
      </c>
      <c r="G5117" s="8">
        <f t="shared" si="316"/>
        <v>13948200</v>
      </c>
      <c r="H5117" s="5"/>
      <c r="I5117" s="8" t="str">
        <f t="shared" si="317"/>
        <v/>
      </c>
      <c r="J5117" s="8" t="str">
        <f t="shared" si="318"/>
        <v/>
      </c>
      <c r="K5117" t="str">
        <f t="shared" si="319"/>
        <v>MISSING WHARTON</v>
      </c>
    </row>
    <row r="5118" spans="1:11">
      <c r="A5118" t="s">
        <v>124</v>
      </c>
      <c r="B5118" t="s">
        <v>1739</v>
      </c>
      <c r="C5118" t="s">
        <v>946</v>
      </c>
      <c r="D5118" t="s">
        <v>947</v>
      </c>
      <c r="E5118" s="8">
        <v>1520</v>
      </c>
      <c r="F5118" s="8">
        <v>145980</v>
      </c>
      <c r="G5118" s="8">
        <f t="shared" si="316"/>
        <v>221889600</v>
      </c>
      <c r="H5118" s="5">
        <v>0.3688</v>
      </c>
      <c r="I5118" s="8">
        <f t="shared" si="317"/>
        <v>221889600</v>
      </c>
      <c r="J5118" s="8">
        <f t="shared" si="318"/>
        <v>81832884.48</v>
      </c>
      <c r="K5118" t="str">
        <f t="shared" si="319"/>
        <v>MATCHED</v>
      </c>
    </row>
    <row r="5119" spans="1:11">
      <c r="A5119" t="s">
        <v>124</v>
      </c>
      <c r="B5119" t="s">
        <v>1739</v>
      </c>
      <c r="C5119" t="s">
        <v>948</v>
      </c>
      <c r="D5119" t="s">
        <v>949</v>
      </c>
      <c r="E5119" s="8">
        <v>190</v>
      </c>
      <c r="F5119" s="8"/>
      <c r="G5119" s="8" t="str">
        <f t="shared" si="316"/>
        <v/>
      </c>
      <c r="H5119" s="5">
        <v>0.2281</v>
      </c>
      <c r="I5119" s="8" t="str">
        <f t="shared" si="317"/>
        <v/>
      </c>
      <c r="J5119" s="8" t="str">
        <f t="shared" si="318"/>
        <v/>
      </c>
      <c r="K5119" t="str">
        <f t="shared" si="319"/>
        <v>MISSING OEWS</v>
      </c>
    </row>
    <row r="5120" spans="1:11">
      <c r="A5120" t="s">
        <v>124</v>
      </c>
      <c r="B5120" t="s">
        <v>1739</v>
      </c>
      <c r="C5120" t="s">
        <v>1188</v>
      </c>
      <c r="D5120" t="s">
        <v>1189</v>
      </c>
      <c r="E5120" s="8">
        <v>390</v>
      </c>
      <c r="F5120" s="8">
        <v>110960</v>
      </c>
      <c r="G5120" s="8">
        <f t="shared" si="316"/>
        <v>43274400</v>
      </c>
      <c r="H5120" s="5">
        <v>0.7071</v>
      </c>
      <c r="I5120" s="8">
        <f t="shared" si="317"/>
        <v>43274400</v>
      </c>
      <c r="J5120" s="8">
        <f t="shared" si="318"/>
        <v>30599328.24</v>
      </c>
      <c r="K5120" t="str">
        <f t="shared" si="319"/>
        <v>MATCHED</v>
      </c>
    </row>
    <row r="5121" spans="1:11">
      <c r="A5121" t="s">
        <v>124</v>
      </c>
      <c r="B5121" t="s">
        <v>1739</v>
      </c>
      <c r="C5121" t="s">
        <v>950</v>
      </c>
      <c r="D5121" t="s">
        <v>951</v>
      </c>
      <c r="E5121" s="8">
        <v>90</v>
      </c>
      <c r="F5121" s="8">
        <v>71300</v>
      </c>
      <c r="G5121" s="8">
        <f t="shared" si="316"/>
        <v>6417000</v>
      </c>
      <c r="H5121" s="5"/>
      <c r="I5121" s="8" t="str">
        <f t="shared" si="317"/>
        <v/>
      </c>
      <c r="J5121" s="8" t="str">
        <f t="shared" si="318"/>
        <v/>
      </c>
      <c r="K5121" t="str">
        <f t="shared" si="319"/>
        <v>MISSING WHARTON</v>
      </c>
    </row>
    <row r="5122" spans="1:11">
      <c r="A5122" t="s">
        <v>124</v>
      </c>
      <c r="B5122" t="s">
        <v>1739</v>
      </c>
      <c r="C5122" t="s">
        <v>952</v>
      </c>
      <c r="D5122" t="s">
        <v>953</v>
      </c>
      <c r="E5122" s="8">
        <v>890</v>
      </c>
      <c r="F5122" s="8">
        <v>106440</v>
      </c>
      <c r="G5122" s="8">
        <f t="shared" ref="G5122:G5185" si="320">IF(OR(E5122="",F5122=""),"",E5122*F5122)</f>
        <v>94731600</v>
      </c>
      <c r="H5122" s="5">
        <v>0.3029</v>
      </c>
      <c r="I5122" s="8">
        <f t="shared" ref="I5122:I5185" si="321">IF(G5122="","",IF(ISNUMBER(H5122),G5122,""))</f>
        <v>94731600</v>
      </c>
      <c r="J5122" s="8">
        <f t="shared" ref="J5122:J5185" si="322">IF(I5122="","",I5122*H5122)</f>
        <v>28694201.64</v>
      </c>
      <c r="K5122" t="str">
        <f t="shared" ref="K5122:K5185" si="323">IF(G5122="","MISSING OEWS",IF(ISNUMBER(H5122),"MATCHED","MISSING WHARTON"))</f>
        <v>MATCHED</v>
      </c>
    </row>
    <row r="5123" spans="1:11">
      <c r="A5123" t="s">
        <v>124</v>
      </c>
      <c r="B5123" t="s">
        <v>1739</v>
      </c>
      <c r="C5123" t="s">
        <v>1190</v>
      </c>
      <c r="D5123" t="s">
        <v>1191</v>
      </c>
      <c r="E5123" s="8">
        <v>70</v>
      </c>
      <c r="F5123" s="8">
        <v>104220</v>
      </c>
      <c r="G5123" s="8">
        <f t="shared" si="320"/>
        <v>7295400</v>
      </c>
      <c r="H5123" s="5">
        <v>0.1875</v>
      </c>
      <c r="I5123" s="8">
        <f t="shared" si="321"/>
        <v>7295400</v>
      </c>
      <c r="J5123" s="8">
        <f t="shared" si="322"/>
        <v>1367887.5</v>
      </c>
      <c r="K5123" t="str">
        <f t="shared" si="323"/>
        <v>MATCHED</v>
      </c>
    </row>
    <row r="5124" spans="1:11">
      <c r="A5124" t="s">
        <v>124</v>
      </c>
      <c r="B5124" t="s">
        <v>1739</v>
      </c>
      <c r="C5124" t="s">
        <v>1192</v>
      </c>
      <c r="D5124" t="s">
        <v>1193</v>
      </c>
      <c r="E5124" s="8">
        <v>700</v>
      </c>
      <c r="F5124" s="8">
        <v>35640</v>
      </c>
      <c r="G5124" s="8">
        <f t="shared" si="320"/>
        <v>24948000</v>
      </c>
      <c r="H5124" s="5">
        <v>0.1188</v>
      </c>
      <c r="I5124" s="8">
        <f t="shared" si="321"/>
        <v>24948000</v>
      </c>
      <c r="J5124" s="8">
        <f t="shared" si="322"/>
        <v>2963822.4</v>
      </c>
      <c r="K5124" t="str">
        <f t="shared" si="323"/>
        <v>MATCHED</v>
      </c>
    </row>
    <row r="5125" spans="1:11">
      <c r="A5125" t="s">
        <v>124</v>
      </c>
      <c r="B5125" t="s">
        <v>1739</v>
      </c>
      <c r="C5125" t="s">
        <v>858</v>
      </c>
      <c r="D5125" t="s">
        <v>859</v>
      </c>
      <c r="E5125" s="8">
        <v>8070</v>
      </c>
      <c r="F5125" s="8">
        <v>76020</v>
      </c>
      <c r="G5125" s="8">
        <f t="shared" si="320"/>
        <v>613481400</v>
      </c>
      <c r="H5125" s="5">
        <v>0.7375</v>
      </c>
      <c r="I5125" s="8">
        <f t="shared" si="321"/>
        <v>613481400</v>
      </c>
      <c r="J5125" s="8">
        <f t="shared" si="322"/>
        <v>452442532.5</v>
      </c>
      <c r="K5125" t="str">
        <f t="shared" si="323"/>
        <v>MATCHED</v>
      </c>
    </row>
    <row r="5126" spans="1:11">
      <c r="A5126" t="s">
        <v>124</v>
      </c>
      <c r="B5126" t="s">
        <v>1739</v>
      </c>
      <c r="C5126" t="s">
        <v>956</v>
      </c>
      <c r="D5126" t="s">
        <v>957</v>
      </c>
      <c r="E5126" s="8">
        <v>12690</v>
      </c>
      <c r="F5126" s="8">
        <v>36310</v>
      </c>
      <c r="G5126" s="8">
        <f t="shared" si="320"/>
        <v>460773900</v>
      </c>
      <c r="H5126" s="5">
        <v>0.038</v>
      </c>
      <c r="I5126" s="8">
        <f t="shared" si="321"/>
        <v>460773900</v>
      </c>
      <c r="J5126" s="8">
        <f t="shared" si="322"/>
        <v>17509408.2</v>
      </c>
      <c r="K5126" t="str">
        <f t="shared" si="323"/>
        <v>MATCHED</v>
      </c>
    </row>
    <row r="5127" spans="1:11">
      <c r="A5127" t="s">
        <v>124</v>
      </c>
      <c r="B5127" t="s">
        <v>1739</v>
      </c>
      <c r="C5127" t="s">
        <v>1194</v>
      </c>
      <c r="D5127" t="s">
        <v>1195</v>
      </c>
      <c r="E5127" s="8">
        <v>810</v>
      </c>
      <c r="F5127" s="8">
        <v>90010</v>
      </c>
      <c r="G5127" s="8">
        <f t="shared" si="320"/>
        <v>72908100</v>
      </c>
      <c r="H5127" s="5">
        <v>0.2167</v>
      </c>
      <c r="I5127" s="8">
        <f t="shared" si="321"/>
        <v>72908100</v>
      </c>
      <c r="J5127" s="8">
        <f t="shared" si="322"/>
        <v>15799185.27</v>
      </c>
      <c r="K5127" t="str">
        <f t="shared" si="323"/>
        <v>MATCHED</v>
      </c>
    </row>
    <row r="5128" spans="1:11">
      <c r="A5128" t="s">
        <v>124</v>
      </c>
      <c r="B5128" t="s">
        <v>1739</v>
      </c>
      <c r="C5128" t="s">
        <v>958</v>
      </c>
      <c r="D5128" t="s">
        <v>959</v>
      </c>
      <c r="E5128" s="8">
        <v>600</v>
      </c>
      <c r="F5128" s="8">
        <v>102160</v>
      </c>
      <c r="G5128" s="8">
        <f t="shared" si="320"/>
        <v>61296000</v>
      </c>
      <c r="H5128" s="5"/>
      <c r="I5128" s="8" t="str">
        <f t="shared" si="321"/>
        <v/>
      </c>
      <c r="J5128" s="8" t="str">
        <f t="shared" si="322"/>
        <v/>
      </c>
      <c r="K5128" t="str">
        <f t="shared" si="323"/>
        <v>MISSING WHARTON</v>
      </c>
    </row>
    <row r="5129" spans="1:11">
      <c r="A5129" t="s">
        <v>124</v>
      </c>
      <c r="B5129" t="s">
        <v>1739</v>
      </c>
      <c r="C5129" t="s">
        <v>960</v>
      </c>
      <c r="D5129" t="s">
        <v>961</v>
      </c>
      <c r="E5129" s="8">
        <v>3880</v>
      </c>
      <c r="F5129" s="8">
        <v>132270</v>
      </c>
      <c r="G5129" s="8">
        <f t="shared" si="320"/>
        <v>513207600</v>
      </c>
      <c r="H5129" s="5">
        <v>0.3463</v>
      </c>
      <c r="I5129" s="8">
        <f t="shared" si="321"/>
        <v>513207600</v>
      </c>
      <c r="J5129" s="8">
        <f t="shared" si="322"/>
        <v>177723791.88</v>
      </c>
      <c r="K5129" t="str">
        <f t="shared" si="323"/>
        <v>MATCHED</v>
      </c>
    </row>
    <row r="5130" spans="1:11">
      <c r="A5130" t="s">
        <v>124</v>
      </c>
      <c r="B5130" t="s">
        <v>1739</v>
      </c>
      <c r="C5130" t="s">
        <v>1476</v>
      </c>
      <c r="D5130" t="s">
        <v>1477</v>
      </c>
      <c r="E5130" s="8">
        <v>860</v>
      </c>
      <c r="F5130" s="8">
        <v>80600</v>
      </c>
      <c r="G5130" s="8">
        <f t="shared" si="320"/>
        <v>69316000</v>
      </c>
      <c r="H5130" s="5">
        <v>0.2018</v>
      </c>
      <c r="I5130" s="8">
        <f t="shared" si="321"/>
        <v>69316000</v>
      </c>
      <c r="J5130" s="8">
        <f t="shared" si="322"/>
        <v>13987968.8</v>
      </c>
      <c r="K5130" t="str">
        <f t="shared" si="323"/>
        <v>MATCHED</v>
      </c>
    </row>
    <row r="5131" spans="1:11">
      <c r="A5131" t="s">
        <v>124</v>
      </c>
      <c r="B5131" t="s">
        <v>1739</v>
      </c>
      <c r="C5131" t="s">
        <v>1575</v>
      </c>
      <c r="D5131" t="s">
        <v>1576</v>
      </c>
      <c r="E5131" s="8">
        <v>70</v>
      </c>
      <c r="F5131" s="8"/>
      <c r="G5131" s="8" t="str">
        <f t="shared" si="320"/>
        <v/>
      </c>
      <c r="H5131" s="5">
        <v>0</v>
      </c>
      <c r="I5131" s="8" t="str">
        <f t="shared" si="321"/>
        <v/>
      </c>
      <c r="J5131" s="8" t="str">
        <f t="shared" si="322"/>
        <v/>
      </c>
      <c r="K5131" t="str">
        <f t="shared" si="323"/>
        <v>MISSING OEWS</v>
      </c>
    </row>
    <row r="5132" spans="1:11">
      <c r="A5132" t="s">
        <v>124</v>
      </c>
      <c r="B5132" t="s">
        <v>1739</v>
      </c>
      <c r="C5132" t="s">
        <v>1478</v>
      </c>
      <c r="D5132" t="s">
        <v>1479</v>
      </c>
      <c r="E5132" s="8">
        <v>40</v>
      </c>
      <c r="F5132" s="8"/>
      <c r="G5132" s="8" t="str">
        <f t="shared" si="320"/>
        <v/>
      </c>
      <c r="H5132" s="5">
        <v>0.1733</v>
      </c>
      <c r="I5132" s="8" t="str">
        <f t="shared" si="321"/>
        <v/>
      </c>
      <c r="J5132" s="8" t="str">
        <f t="shared" si="322"/>
        <v/>
      </c>
      <c r="K5132" t="str">
        <f t="shared" si="323"/>
        <v>MISSING OEWS</v>
      </c>
    </row>
    <row r="5133" spans="1:11">
      <c r="A5133" t="s">
        <v>124</v>
      </c>
      <c r="B5133" t="s">
        <v>1739</v>
      </c>
      <c r="C5133" t="s">
        <v>1196</v>
      </c>
      <c r="D5133" t="s">
        <v>1197</v>
      </c>
      <c r="E5133" s="8">
        <v>100</v>
      </c>
      <c r="F5133" s="8"/>
      <c r="G5133" s="8" t="str">
        <f t="shared" si="320"/>
        <v/>
      </c>
      <c r="H5133" s="5"/>
      <c r="I5133" s="8" t="str">
        <f t="shared" si="321"/>
        <v/>
      </c>
      <c r="J5133" s="8" t="str">
        <f t="shared" si="322"/>
        <v/>
      </c>
      <c r="K5133" t="str">
        <f t="shared" si="323"/>
        <v>MISSING OEWS</v>
      </c>
    </row>
    <row r="5134" spans="1:11">
      <c r="A5134" t="s">
        <v>124</v>
      </c>
      <c r="B5134" t="s">
        <v>1739</v>
      </c>
      <c r="C5134" t="s">
        <v>1198</v>
      </c>
      <c r="D5134" t="s">
        <v>1199</v>
      </c>
      <c r="E5134" s="8">
        <v>190</v>
      </c>
      <c r="F5134" s="8">
        <v>136940</v>
      </c>
      <c r="G5134" s="8">
        <f t="shared" si="320"/>
        <v>26018600</v>
      </c>
      <c r="H5134" s="5">
        <v>0.71</v>
      </c>
      <c r="I5134" s="8">
        <f t="shared" si="321"/>
        <v>26018600</v>
      </c>
      <c r="J5134" s="8">
        <f t="shared" si="322"/>
        <v>18473206</v>
      </c>
      <c r="K5134" t="str">
        <f t="shared" si="323"/>
        <v>MATCHED</v>
      </c>
    </row>
    <row r="5135" spans="1:11">
      <c r="A5135" t="s">
        <v>124</v>
      </c>
      <c r="B5135" t="s">
        <v>1739</v>
      </c>
      <c r="C5135" t="s">
        <v>323</v>
      </c>
      <c r="D5135" t="s">
        <v>324</v>
      </c>
      <c r="E5135" s="8">
        <v>8260</v>
      </c>
      <c r="F5135" s="8">
        <v>82910</v>
      </c>
      <c r="G5135" s="8">
        <f t="shared" si="320"/>
        <v>684836600</v>
      </c>
      <c r="H5135" s="5">
        <v>0.575</v>
      </c>
      <c r="I5135" s="8">
        <f t="shared" si="321"/>
        <v>684836600</v>
      </c>
      <c r="J5135" s="8">
        <f t="shared" si="322"/>
        <v>393781045</v>
      </c>
      <c r="K5135" t="str">
        <f t="shared" si="323"/>
        <v>MATCHED</v>
      </c>
    </row>
    <row r="5136" spans="1:11">
      <c r="A5136" t="s">
        <v>124</v>
      </c>
      <c r="B5136" t="s">
        <v>1739</v>
      </c>
      <c r="C5136" t="s">
        <v>1200</v>
      </c>
      <c r="D5136" t="s">
        <v>1201</v>
      </c>
      <c r="E5136" s="8">
        <v>3270</v>
      </c>
      <c r="F5136" s="8">
        <v>86830</v>
      </c>
      <c r="G5136" s="8">
        <f t="shared" si="320"/>
        <v>283934100</v>
      </c>
      <c r="H5136" s="5">
        <v>0.6643</v>
      </c>
      <c r="I5136" s="8">
        <f t="shared" si="321"/>
        <v>283934100</v>
      </c>
      <c r="J5136" s="8">
        <f t="shared" si="322"/>
        <v>188617422.63</v>
      </c>
      <c r="K5136" t="str">
        <f t="shared" si="323"/>
        <v>MATCHED</v>
      </c>
    </row>
    <row r="5137" spans="1:11">
      <c r="A5137" t="s">
        <v>124</v>
      </c>
      <c r="B5137" t="s">
        <v>1739</v>
      </c>
      <c r="C5137" t="s">
        <v>636</v>
      </c>
      <c r="D5137" t="s">
        <v>637</v>
      </c>
      <c r="E5137" s="8">
        <v>4100</v>
      </c>
      <c r="F5137" s="8">
        <v>104520</v>
      </c>
      <c r="G5137" s="8">
        <f t="shared" si="320"/>
        <v>428532000</v>
      </c>
      <c r="H5137" s="5">
        <v>0.71</v>
      </c>
      <c r="I5137" s="8">
        <f t="shared" si="321"/>
        <v>428532000</v>
      </c>
      <c r="J5137" s="8">
        <f t="shared" si="322"/>
        <v>304257720</v>
      </c>
      <c r="K5137" t="str">
        <f t="shared" si="323"/>
        <v>MATCHED</v>
      </c>
    </row>
    <row r="5138" spans="1:11">
      <c r="A5138" t="s">
        <v>124</v>
      </c>
      <c r="B5138" t="s">
        <v>1739</v>
      </c>
      <c r="C5138" t="s">
        <v>860</v>
      </c>
      <c r="D5138" t="s">
        <v>861</v>
      </c>
      <c r="E5138" s="8">
        <v>2190</v>
      </c>
      <c r="F5138" s="8">
        <v>100490</v>
      </c>
      <c r="G5138" s="8">
        <f t="shared" si="320"/>
        <v>220073100</v>
      </c>
      <c r="H5138" s="5">
        <v>0.7744</v>
      </c>
      <c r="I5138" s="8">
        <f t="shared" si="321"/>
        <v>220073100</v>
      </c>
      <c r="J5138" s="8">
        <f t="shared" si="322"/>
        <v>170424608.64</v>
      </c>
      <c r="K5138" t="str">
        <f t="shared" si="323"/>
        <v>MATCHED</v>
      </c>
    </row>
    <row r="5139" spans="1:11">
      <c r="A5139" t="s">
        <v>124</v>
      </c>
      <c r="B5139" t="s">
        <v>1739</v>
      </c>
      <c r="C5139" t="s">
        <v>1202</v>
      </c>
      <c r="D5139" t="s">
        <v>1203</v>
      </c>
      <c r="E5139" s="8">
        <v>2170</v>
      </c>
      <c r="F5139" s="8">
        <v>55400</v>
      </c>
      <c r="G5139" s="8">
        <f t="shared" si="320"/>
        <v>120218000</v>
      </c>
      <c r="H5139" s="5">
        <v>0.6294</v>
      </c>
      <c r="I5139" s="8">
        <f t="shared" si="321"/>
        <v>120218000</v>
      </c>
      <c r="J5139" s="8">
        <f t="shared" si="322"/>
        <v>75665209.2</v>
      </c>
      <c r="K5139" t="str">
        <f t="shared" si="323"/>
        <v>MATCHED</v>
      </c>
    </row>
    <row r="5140" spans="1:11">
      <c r="A5140" t="s">
        <v>124</v>
      </c>
      <c r="B5140" t="s">
        <v>1739</v>
      </c>
      <c r="C5140" t="s">
        <v>1581</v>
      </c>
      <c r="D5140" t="s">
        <v>1582</v>
      </c>
      <c r="E5140" s="8">
        <v>3880</v>
      </c>
      <c r="F5140" s="8">
        <v>66400</v>
      </c>
      <c r="G5140" s="8">
        <f t="shared" si="320"/>
        <v>257632000</v>
      </c>
      <c r="H5140" s="5">
        <v>0.8143</v>
      </c>
      <c r="I5140" s="8">
        <f t="shared" si="321"/>
        <v>257632000</v>
      </c>
      <c r="J5140" s="8">
        <f t="shared" si="322"/>
        <v>209789737.6</v>
      </c>
      <c r="K5140" t="str">
        <f t="shared" si="323"/>
        <v>MATCHED</v>
      </c>
    </row>
    <row r="5141" spans="1:11">
      <c r="A5141" t="s">
        <v>124</v>
      </c>
      <c r="B5141" t="s">
        <v>1739</v>
      </c>
      <c r="C5141" t="s">
        <v>1204</v>
      </c>
      <c r="D5141" t="s">
        <v>1205</v>
      </c>
      <c r="E5141" s="8">
        <v>530</v>
      </c>
      <c r="F5141" s="8">
        <v>66470</v>
      </c>
      <c r="G5141" s="8">
        <f t="shared" si="320"/>
        <v>35229100</v>
      </c>
      <c r="H5141" s="5"/>
      <c r="I5141" s="8" t="str">
        <f t="shared" si="321"/>
        <v/>
      </c>
      <c r="J5141" s="8" t="str">
        <f t="shared" si="322"/>
        <v/>
      </c>
      <c r="K5141" t="str">
        <f t="shared" si="323"/>
        <v>MISSING WHARTON</v>
      </c>
    </row>
    <row r="5142" spans="1:11">
      <c r="A5142" t="s">
        <v>124</v>
      </c>
      <c r="B5142" t="s">
        <v>1739</v>
      </c>
      <c r="C5142" t="s">
        <v>962</v>
      </c>
      <c r="D5142" t="s">
        <v>963</v>
      </c>
      <c r="E5142" s="8">
        <v>6580</v>
      </c>
      <c r="F5142" s="8">
        <v>74080</v>
      </c>
      <c r="G5142" s="8">
        <f t="shared" si="320"/>
        <v>487446400</v>
      </c>
      <c r="H5142" s="5">
        <v>0.5483</v>
      </c>
      <c r="I5142" s="8">
        <f t="shared" si="321"/>
        <v>487446400</v>
      </c>
      <c r="J5142" s="8">
        <f t="shared" si="322"/>
        <v>267266861.12</v>
      </c>
      <c r="K5142" t="str">
        <f t="shared" si="323"/>
        <v>MATCHED</v>
      </c>
    </row>
    <row r="5143" spans="1:11">
      <c r="A5143" t="s">
        <v>124</v>
      </c>
      <c r="B5143" t="s">
        <v>1739</v>
      </c>
      <c r="C5143" t="s">
        <v>1429</v>
      </c>
      <c r="D5143" t="s">
        <v>1430</v>
      </c>
      <c r="E5143" s="8">
        <v>160</v>
      </c>
      <c r="F5143" s="8">
        <v>88440</v>
      </c>
      <c r="G5143" s="8">
        <f t="shared" si="320"/>
        <v>14150400</v>
      </c>
      <c r="H5143" s="5">
        <v>0.6138</v>
      </c>
      <c r="I5143" s="8">
        <f t="shared" si="321"/>
        <v>14150400</v>
      </c>
      <c r="J5143" s="8">
        <f t="shared" si="322"/>
        <v>8685515.52</v>
      </c>
      <c r="K5143" t="str">
        <f t="shared" si="323"/>
        <v>MATCHED</v>
      </c>
    </row>
    <row r="5144" spans="1:11">
      <c r="A5144" t="s">
        <v>124</v>
      </c>
      <c r="B5144" t="s">
        <v>1739</v>
      </c>
      <c r="C5144" t="s">
        <v>964</v>
      </c>
      <c r="D5144" t="s">
        <v>965</v>
      </c>
      <c r="E5144" s="8">
        <v>600</v>
      </c>
      <c r="F5144" s="8">
        <v>99110</v>
      </c>
      <c r="G5144" s="8">
        <f t="shared" si="320"/>
        <v>59466000</v>
      </c>
      <c r="H5144" s="5">
        <v>0.5607</v>
      </c>
      <c r="I5144" s="8">
        <f t="shared" si="321"/>
        <v>59466000</v>
      </c>
      <c r="J5144" s="8">
        <f t="shared" si="322"/>
        <v>33342586.2</v>
      </c>
      <c r="K5144" t="str">
        <f t="shared" si="323"/>
        <v>MATCHED</v>
      </c>
    </row>
    <row r="5145" spans="1:11">
      <c r="A5145" t="s">
        <v>124</v>
      </c>
      <c r="B5145" t="s">
        <v>1739</v>
      </c>
      <c r="C5145" t="s">
        <v>966</v>
      </c>
      <c r="D5145" t="s">
        <v>967</v>
      </c>
      <c r="E5145" s="8">
        <v>650</v>
      </c>
      <c r="F5145" s="8">
        <v>70160</v>
      </c>
      <c r="G5145" s="8">
        <f t="shared" si="320"/>
        <v>45604000</v>
      </c>
      <c r="H5145" s="5">
        <v>0.0594</v>
      </c>
      <c r="I5145" s="8">
        <f t="shared" si="321"/>
        <v>45604000</v>
      </c>
      <c r="J5145" s="8">
        <f t="shared" si="322"/>
        <v>2708877.6</v>
      </c>
      <c r="K5145" t="str">
        <f t="shared" si="323"/>
        <v>MATCHED</v>
      </c>
    </row>
    <row r="5146" spans="1:11">
      <c r="A5146" t="s">
        <v>124</v>
      </c>
      <c r="B5146" t="s">
        <v>1739</v>
      </c>
      <c r="C5146" t="s">
        <v>968</v>
      </c>
      <c r="D5146" t="s">
        <v>969</v>
      </c>
      <c r="E5146" s="8">
        <v>630</v>
      </c>
      <c r="F5146" s="8">
        <v>70150</v>
      </c>
      <c r="G5146" s="8">
        <f t="shared" si="320"/>
        <v>44194500</v>
      </c>
      <c r="H5146" s="5">
        <v>0.3207</v>
      </c>
      <c r="I5146" s="8">
        <f t="shared" si="321"/>
        <v>44194500</v>
      </c>
      <c r="J5146" s="8">
        <f t="shared" si="322"/>
        <v>14173176.15</v>
      </c>
      <c r="K5146" t="str">
        <f t="shared" si="323"/>
        <v>MATCHED</v>
      </c>
    </row>
    <row r="5147" spans="1:11">
      <c r="A5147" t="s">
        <v>124</v>
      </c>
      <c r="B5147" t="s">
        <v>1739</v>
      </c>
      <c r="C5147" t="s">
        <v>970</v>
      </c>
      <c r="D5147" t="s">
        <v>971</v>
      </c>
      <c r="E5147" s="8">
        <v>1740</v>
      </c>
      <c r="F5147" s="8">
        <v>113140</v>
      </c>
      <c r="G5147" s="8">
        <f t="shared" si="320"/>
        <v>196863600</v>
      </c>
      <c r="H5147" s="5">
        <v>0.3458</v>
      </c>
      <c r="I5147" s="8">
        <f t="shared" si="321"/>
        <v>196863600</v>
      </c>
      <c r="J5147" s="8">
        <f t="shared" si="322"/>
        <v>68075432.88</v>
      </c>
      <c r="K5147" t="str">
        <f t="shared" si="323"/>
        <v>MATCHED</v>
      </c>
    </row>
    <row r="5148" spans="1:11">
      <c r="A5148" t="s">
        <v>124</v>
      </c>
      <c r="B5148" t="s">
        <v>1739</v>
      </c>
      <c r="C5148" t="s">
        <v>1206</v>
      </c>
      <c r="D5148" t="s">
        <v>1207</v>
      </c>
      <c r="E5148" s="8">
        <v>820</v>
      </c>
      <c r="F5148" s="8">
        <v>108020</v>
      </c>
      <c r="G5148" s="8">
        <f t="shared" si="320"/>
        <v>88576400</v>
      </c>
      <c r="H5148" s="5">
        <v>0.6065</v>
      </c>
      <c r="I5148" s="8">
        <f t="shared" si="321"/>
        <v>88576400</v>
      </c>
      <c r="J5148" s="8">
        <f t="shared" si="322"/>
        <v>53721586.6</v>
      </c>
      <c r="K5148" t="str">
        <f t="shared" si="323"/>
        <v>MATCHED</v>
      </c>
    </row>
    <row r="5149" spans="1:11">
      <c r="A5149" t="s">
        <v>124</v>
      </c>
      <c r="B5149" t="s">
        <v>1739</v>
      </c>
      <c r="C5149" t="s">
        <v>1519</v>
      </c>
      <c r="D5149" t="s">
        <v>1520</v>
      </c>
      <c r="E5149" s="8"/>
      <c r="F5149" s="8">
        <v>67190</v>
      </c>
      <c r="G5149" s="8" t="str">
        <f t="shared" si="320"/>
        <v/>
      </c>
      <c r="H5149" s="5"/>
      <c r="I5149" s="8" t="str">
        <f t="shared" si="321"/>
        <v/>
      </c>
      <c r="J5149" s="8" t="str">
        <f t="shared" si="322"/>
        <v/>
      </c>
      <c r="K5149" t="str">
        <f t="shared" si="323"/>
        <v>MISSING OEWS</v>
      </c>
    </row>
    <row r="5150" spans="1:11">
      <c r="A5150" t="s">
        <v>124</v>
      </c>
      <c r="B5150" t="s">
        <v>1739</v>
      </c>
      <c r="C5150" t="s">
        <v>1666</v>
      </c>
      <c r="D5150" t="s">
        <v>1667</v>
      </c>
      <c r="E5150" s="8">
        <v>180</v>
      </c>
      <c r="F5150" s="8">
        <v>93630</v>
      </c>
      <c r="G5150" s="8">
        <f t="shared" si="320"/>
        <v>16853400</v>
      </c>
      <c r="H5150" s="5">
        <v>0.4273</v>
      </c>
      <c r="I5150" s="8">
        <f t="shared" si="321"/>
        <v>16853400</v>
      </c>
      <c r="J5150" s="8">
        <f t="shared" si="322"/>
        <v>7201457.82</v>
      </c>
      <c r="K5150" t="str">
        <f t="shared" si="323"/>
        <v>MATCHED</v>
      </c>
    </row>
    <row r="5151" spans="1:11">
      <c r="A5151" t="s">
        <v>124</v>
      </c>
      <c r="B5151" t="s">
        <v>1739</v>
      </c>
      <c r="C5151" t="s">
        <v>1208</v>
      </c>
      <c r="D5151" t="s">
        <v>1209</v>
      </c>
      <c r="E5151" s="8">
        <v>610</v>
      </c>
      <c r="F5151" s="8">
        <v>198560</v>
      </c>
      <c r="G5151" s="8">
        <f t="shared" si="320"/>
        <v>121121600</v>
      </c>
      <c r="H5151" s="5">
        <v>0.07</v>
      </c>
      <c r="I5151" s="8">
        <f t="shared" si="321"/>
        <v>121121600</v>
      </c>
      <c r="J5151" s="8">
        <f t="shared" si="322"/>
        <v>8478512</v>
      </c>
      <c r="K5151" t="str">
        <f t="shared" si="323"/>
        <v>MATCHED</v>
      </c>
    </row>
    <row r="5152" spans="1:11">
      <c r="A5152" t="s">
        <v>124</v>
      </c>
      <c r="B5152" t="s">
        <v>1739</v>
      </c>
      <c r="C5152" t="s">
        <v>1212</v>
      </c>
      <c r="D5152" t="s">
        <v>1213</v>
      </c>
      <c r="E5152" s="8">
        <v>1050</v>
      </c>
      <c r="F5152" s="8">
        <v>75130</v>
      </c>
      <c r="G5152" s="8">
        <f t="shared" si="320"/>
        <v>78886500</v>
      </c>
      <c r="H5152" s="5">
        <v>0.4679</v>
      </c>
      <c r="I5152" s="8">
        <f t="shared" si="321"/>
        <v>78886500</v>
      </c>
      <c r="J5152" s="8">
        <f t="shared" si="322"/>
        <v>36910993.35</v>
      </c>
      <c r="K5152" t="str">
        <f t="shared" si="323"/>
        <v>MATCHED</v>
      </c>
    </row>
    <row r="5153" spans="1:11">
      <c r="A5153" t="s">
        <v>124</v>
      </c>
      <c r="B5153" t="s">
        <v>1739</v>
      </c>
      <c r="C5153" t="s">
        <v>1482</v>
      </c>
      <c r="D5153" t="s">
        <v>1483</v>
      </c>
      <c r="E5153" s="8"/>
      <c r="F5153" s="8">
        <v>142240</v>
      </c>
      <c r="G5153" s="8" t="str">
        <f t="shared" si="320"/>
        <v/>
      </c>
      <c r="H5153" s="5">
        <v>0.07</v>
      </c>
      <c r="I5153" s="8" t="str">
        <f t="shared" si="321"/>
        <v/>
      </c>
      <c r="J5153" s="8" t="str">
        <f t="shared" si="322"/>
        <v/>
      </c>
      <c r="K5153" t="str">
        <f t="shared" si="323"/>
        <v>MISSING OEWS</v>
      </c>
    </row>
    <row r="5154" spans="1:11">
      <c r="A5154" t="s">
        <v>124</v>
      </c>
      <c r="B5154" t="s">
        <v>1739</v>
      </c>
      <c r="C5154" t="s">
        <v>1214</v>
      </c>
      <c r="D5154" t="s">
        <v>1215</v>
      </c>
      <c r="E5154" s="8">
        <v>3400</v>
      </c>
      <c r="F5154" s="8">
        <v>130820</v>
      </c>
      <c r="G5154" s="8">
        <f t="shared" si="320"/>
        <v>444788000</v>
      </c>
      <c r="H5154" s="5">
        <v>0.4381</v>
      </c>
      <c r="I5154" s="8">
        <f t="shared" si="321"/>
        <v>444788000</v>
      </c>
      <c r="J5154" s="8">
        <f t="shared" si="322"/>
        <v>194861622.8</v>
      </c>
      <c r="K5154" t="str">
        <f t="shared" si="323"/>
        <v>MATCHED</v>
      </c>
    </row>
    <row r="5155" spans="1:11">
      <c r="A5155" t="s">
        <v>124</v>
      </c>
      <c r="B5155" t="s">
        <v>1739</v>
      </c>
      <c r="C5155" t="s">
        <v>638</v>
      </c>
      <c r="D5155" t="s">
        <v>639</v>
      </c>
      <c r="E5155" s="8">
        <v>2310</v>
      </c>
      <c r="F5155" s="8">
        <v>159640</v>
      </c>
      <c r="G5155" s="8">
        <f t="shared" si="320"/>
        <v>368768400</v>
      </c>
      <c r="H5155" s="5">
        <v>0.1495</v>
      </c>
      <c r="I5155" s="8">
        <f t="shared" si="321"/>
        <v>368768400</v>
      </c>
      <c r="J5155" s="8">
        <f t="shared" si="322"/>
        <v>55130875.8</v>
      </c>
      <c r="K5155" t="str">
        <f t="shared" si="323"/>
        <v>MATCHED</v>
      </c>
    </row>
    <row r="5156" spans="1:11">
      <c r="A5156" t="s">
        <v>124</v>
      </c>
      <c r="B5156" t="s">
        <v>1739</v>
      </c>
      <c r="C5156" t="s">
        <v>1616</v>
      </c>
      <c r="D5156" t="s">
        <v>1617</v>
      </c>
      <c r="E5156" s="8">
        <v>2690</v>
      </c>
      <c r="F5156" s="8">
        <v>94970</v>
      </c>
      <c r="G5156" s="8">
        <f t="shared" si="320"/>
        <v>255469300</v>
      </c>
      <c r="H5156" s="5">
        <v>0.1829</v>
      </c>
      <c r="I5156" s="8">
        <f t="shared" si="321"/>
        <v>255469300</v>
      </c>
      <c r="J5156" s="8">
        <f t="shared" si="322"/>
        <v>46725334.97</v>
      </c>
      <c r="K5156" t="str">
        <f t="shared" si="323"/>
        <v>MATCHED</v>
      </c>
    </row>
    <row r="5157" spans="1:11">
      <c r="A5157" t="s">
        <v>124</v>
      </c>
      <c r="B5157" t="s">
        <v>1739</v>
      </c>
      <c r="C5157" t="s">
        <v>1583</v>
      </c>
      <c r="D5157" t="s">
        <v>1584</v>
      </c>
      <c r="E5157" s="8">
        <v>4530</v>
      </c>
      <c r="F5157" s="8">
        <v>89460</v>
      </c>
      <c r="G5157" s="8">
        <f t="shared" si="320"/>
        <v>405253800</v>
      </c>
      <c r="H5157" s="5">
        <v>0.1958</v>
      </c>
      <c r="I5157" s="8">
        <f t="shared" si="321"/>
        <v>405253800</v>
      </c>
      <c r="J5157" s="8">
        <f t="shared" si="322"/>
        <v>79348694.04</v>
      </c>
      <c r="K5157" t="str">
        <f t="shared" si="323"/>
        <v>MATCHED</v>
      </c>
    </row>
    <row r="5158" spans="1:11">
      <c r="A5158" t="s">
        <v>124</v>
      </c>
      <c r="B5158" t="s">
        <v>1739</v>
      </c>
      <c r="C5158" t="s">
        <v>1431</v>
      </c>
      <c r="D5158" t="s">
        <v>1432</v>
      </c>
      <c r="E5158" s="8">
        <v>350</v>
      </c>
      <c r="F5158" s="8">
        <v>85920</v>
      </c>
      <c r="G5158" s="8">
        <f t="shared" si="320"/>
        <v>30072000</v>
      </c>
      <c r="H5158" s="5">
        <v>0.3227</v>
      </c>
      <c r="I5158" s="8">
        <f t="shared" si="321"/>
        <v>30072000</v>
      </c>
      <c r="J5158" s="8">
        <f t="shared" si="322"/>
        <v>9704234.4</v>
      </c>
      <c r="K5158" t="str">
        <f t="shared" si="323"/>
        <v>MATCHED</v>
      </c>
    </row>
    <row r="5159" spans="1:11">
      <c r="A5159" t="s">
        <v>124</v>
      </c>
      <c r="B5159" t="s">
        <v>1739</v>
      </c>
      <c r="C5159" t="s">
        <v>1752</v>
      </c>
      <c r="D5159" t="s">
        <v>1753</v>
      </c>
      <c r="E5159" s="8">
        <v>190</v>
      </c>
      <c r="F5159" s="8">
        <v>77670</v>
      </c>
      <c r="G5159" s="8">
        <f t="shared" si="320"/>
        <v>14757300</v>
      </c>
      <c r="H5159" s="5">
        <v>0.2773</v>
      </c>
      <c r="I5159" s="8">
        <f t="shared" si="321"/>
        <v>14757300</v>
      </c>
      <c r="J5159" s="8">
        <f t="shared" si="322"/>
        <v>4092199.29</v>
      </c>
      <c r="K5159" t="str">
        <f t="shared" si="323"/>
        <v>MATCHED</v>
      </c>
    </row>
    <row r="5160" spans="1:11">
      <c r="A5160" t="s">
        <v>124</v>
      </c>
      <c r="B5160" t="s">
        <v>1739</v>
      </c>
      <c r="C5160" t="s">
        <v>1433</v>
      </c>
      <c r="D5160" t="s">
        <v>1434</v>
      </c>
      <c r="E5160" s="8">
        <v>3540</v>
      </c>
      <c r="F5160" s="8">
        <v>87690</v>
      </c>
      <c r="G5160" s="8">
        <f t="shared" si="320"/>
        <v>310422600</v>
      </c>
      <c r="H5160" s="5">
        <v>0.0864</v>
      </c>
      <c r="I5160" s="8">
        <f t="shared" si="321"/>
        <v>310422600</v>
      </c>
      <c r="J5160" s="8">
        <f t="shared" si="322"/>
        <v>26820512.64</v>
      </c>
      <c r="K5160" t="str">
        <f t="shared" si="323"/>
        <v>MATCHED</v>
      </c>
    </row>
    <row r="5161" spans="1:11">
      <c r="A5161" t="s">
        <v>124</v>
      </c>
      <c r="B5161" t="s">
        <v>1739</v>
      </c>
      <c r="C5161" t="s">
        <v>1668</v>
      </c>
      <c r="D5161" t="s">
        <v>1669</v>
      </c>
      <c r="E5161" s="8">
        <v>3970</v>
      </c>
      <c r="F5161" s="8">
        <v>103720</v>
      </c>
      <c r="G5161" s="8">
        <f t="shared" si="320"/>
        <v>411768400</v>
      </c>
      <c r="H5161" s="5">
        <v>0.1958</v>
      </c>
      <c r="I5161" s="8">
        <f t="shared" si="321"/>
        <v>411768400</v>
      </c>
      <c r="J5161" s="8">
        <f t="shared" si="322"/>
        <v>80624252.72</v>
      </c>
      <c r="K5161" t="str">
        <f t="shared" si="323"/>
        <v>MATCHED</v>
      </c>
    </row>
    <row r="5162" spans="1:11">
      <c r="A5162" t="s">
        <v>124</v>
      </c>
      <c r="B5162" t="s">
        <v>1739</v>
      </c>
      <c r="C5162" t="s">
        <v>1618</v>
      </c>
      <c r="D5162" t="s">
        <v>1619</v>
      </c>
      <c r="E5162" s="8">
        <v>300</v>
      </c>
      <c r="F5162" s="8">
        <v>93910</v>
      </c>
      <c r="G5162" s="8">
        <f t="shared" si="320"/>
        <v>28173000</v>
      </c>
      <c r="H5162" s="5">
        <v>0.1775</v>
      </c>
      <c r="I5162" s="8">
        <f t="shared" si="321"/>
        <v>28173000</v>
      </c>
      <c r="J5162" s="8">
        <f t="shared" si="322"/>
        <v>5000707.5</v>
      </c>
      <c r="K5162" t="str">
        <f t="shared" si="323"/>
        <v>MATCHED</v>
      </c>
    </row>
    <row r="5163" spans="1:11">
      <c r="A5163" t="s">
        <v>124</v>
      </c>
      <c r="B5163" t="s">
        <v>1739</v>
      </c>
      <c r="C5163" t="s">
        <v>325</v>
      </c>
      <c r="D5163" t="s">
        <v>326</v>
      </c>
      <c r="E5163" s="8"/>
      <c r="F5163" s="8">
        <v>154220</v>
      </c>
      <c r="G5163" s="8" t="str">
        <f t="shared" si="320"/>
        <v/>
      </c>
      <c r="H5163" s="5">
        <v>0.163</v>
      </c>
      <c r="I5163" s="8" t="str">
        <f t="shared" si="321"/>
        <v/>
      </c>
      <c r="J5163" s="8" t="str">
        <f t="shared" si="322"/>
        <v/>
      </c>
      <c r="K5163" t="str">
        <f t="shared" si="323"/>
        <v>MISSING OEWS</v>
      </c>
    </row>
    <row r="5164" spans="1:11">
      <c r="A5164" t="s">
        <v>124</v>
      </c>
      <c r="B5164" t="s">
        <v>1739</v>
      </c>
      <c r="C5164" t="s">
        <v>862</v>
      </c>
      <c r="D5164" t="s">
        <v>863</v>
      </c>
      <c r="E5164" s="8">
        <v>112160</v>
      </c>
      <c r="F5164" s="8">
        <v>95700</v>
      </c>
      <c r="G5164" s="8">
        <f t="shared" si="320"/>
        <v>10733712000</v>
      </c>
      <c r="H5164" s="5">
        <v>0.1958</v>
      </c>
      <c r="I5164" s="8">
        <f t="shared" si="321"/>
        <v>10733712000</v>
      </c>
      <c r="J5164" s="8">
        <f t="shared" si="322"/>
        <v>2101660809.6</v>
      </c>
      <c r="K5164" t="str">
        <f t="shared" si="323"/>
        <v>MATCHED</v>
      </c>
    </row>
    <row r="5165" spans="1:11">
      <c r="A5165" t="s">
        <v>124</v>
      </c>
      <c r="B5165" t="s">
        <v>1739</v>
      </c>
      <c r="C5165" t="s">
        <v>1216</v>
      </c>
      <c r="D5165" t="s">
        <v>1217</v>
      </c>
      <c r="E5165" s="8">
        <v>290</v>
      </c>
      <c r="F5165" s="8">
        <v>259490</v>
      </c>
      <c r="G5165" s="8">
        <f t="shared" si="320"/>
        <v>75252100</v>
      </c>
      <c r="H5165" s="5">
        <v>0.1167</v>
      </c>
      <c r="I5165" s="8">
        <f t="shared" si="321"/>
        <v>75252100</v>
      </c>
      <c r="J5165" s="8">
        <f t="shared" si="322"/>
        <v>8781920.07</v>
      </c>
      <c r="K5165" t="str">
        <f t="shared" si="323"/>
        <v>MATCHED</v>
      </c>
    </row>
    <row r="5166" spans="1:11">
      <c r="A5166" t="s">
        <v>124</v>
      </c>
      <c r="B5166" t="s">
        <v>1739</v>
      </c>
      <c r="C5166" t="s">
        <v>1218</v>
      </c>
      <c r="D5166" t="s">
        <v>1219</v>
      </c>
      <c r="E5166" s="8">
        <v>6060</v>
      </c>
      <c r="F5166" s="8">
        <v>134920</v>
      </c>
      <c r="G5166" s="8">
        <f t="shared" si="320"/>
        <v>817615200</v>
      </c>
      <c r="H5166" s="5">
        <v>0.313</v>
      </c>
      <c r="I5166" s="8">
        <f t="shared" si="321"/>
        <v>817615200</v>
      </c>
      <c r="J5166" s="8">
        <f t="shared" si="322"/>
        <v>255913557.6</v>
      </c>
      <c r="K5166" t="str">
        <f t="shared" si="323"/>
        <v>MATCHED</v>
      </c>
    </row>
    <row r="5167" spans="1:11">
      <c r="A5167" t="s">
        <v>124</v>
      </c>
      <c r="B5167" t="s">
        <v>1739</v>
      </c>
      <c r="C5167" t="s">
        <v>1435</v>
      </c>
      <c r="D5167" t="s">
        <v>1436</v>
      </c>
      <c r="E5167" s="8">
        <v>220</v>
      </c>
      <c r="F5167" s="8">
        <v>122980</v>
      </c>
      <c r="G5167" s="8">
        <f t="shared" si="320"/>
        <v>27055600</v>
      </c>
      <c r="H5167" s="5">
        <v>0.2568</v>
      </c>
      <c r="I5167" s="8">
        <f t="shared" si="321"/>
        <v>27055600</v>
      </c>
      <c r="J5167" s="8">
        <f t="shared" si="322"/>
        <v>6947878.08</v>
      </c>
      <c r="K5167" t="str">
        <f t="shared" si="323"/>
        <v>MATCHED</v>
      </c>
    </row>
    <row r="5168" spans="1:11">
      <c r="A5168" t="s">
        <v>124</v>
      </c>
      <c r="B5168" t="s">
        <v>1739</v>
      </c>
      <c r="C5168" t="s">
        <v>1725</v>
      </c>
      <c r="D5168" t="s">
        <v>1726</v>
      </c>
      <c r="E5168" s="8">
        <v>170</v>
      </c>
      <c r="F5168" s="8">
        <v>260740</v>
      </c>
      <c r="G5168" s="8">
        <f t="shared" si="320"/>
        <v>44325800</v>
      </c>
      <c r="H5168" s="5">
        <v>0.2885</v>
      </c>
      <c r="I5168" s="8">
        <f t="shared" si="321"/>
        <v>44325800</v>
      </c>
      <c r="J5168" s="8">
        <f t="shared" si="322"/>
        <v>12787993.3</v>
      </c>
      <c r="K5168" t="str">
        <f t="shared" si="323"/>
        <v>MATCHED</v>
      </c>
    </row>
    <row r="5169" spans="1:11">
      <c r="A5169" t="s">
        <v>124</v>
      </c>
      <c r="B5169" t="s">
        <v>1739</v>
      </c>
      <c r="C5169" t="s">
        <v>1674</v>
      </c>
      <c r="D5169" t="s">
        <v>1675</v>
      </c>
      <c r="E5169" s="8">
        <v>80</v>
      </c>
      <c r="F5169" s="8">
        <v>266510</v>
      </c>
      <c r="G5169" s="8">
        <f t="shared" si="320"/>
        <v>21320800</v>
      </c>
      <c r="H5169" s="5">
        <v>0.2237</v>
      </c>
      <c r="I5169" s="8">
        <f t="shared" si="321"/>
        <v>21320800</v>
      </c>
      <c r="J5169" s="8">
        <f t="shared" si="322"/>
        <v>4769462.96</v>
      </c>
      <c r="K5169" t="str">
        <f t="shared" si="323"/>
        <v>MATCHED</v>
      </c>
    </row>
    <row r="5170" spans="1:11">
      <c r="A5170" t="s">
        <v>124</v>
      </c>
      <c r="B5170" t="s">
        <v>1739</v>
      </c>
      <c r="C5170" t="s">
        <v>1678</v>
      </c>
      <c r="D5170" t="s">
        <v>1679</v>
      </c>
      <c r="E5170" s="8">
        <v>70</v>
      </c>
      <c r="F5170" s="8">
        <v>290290</v>
      </c>
      <c r="G5170" s="8">
        <f t="shared" si="320"/>
        <v>20320300</v>
      </c>
      <c r="H5170" s="5">
        <v>0.1375</v>
      </c>
      <c r="I5170" s="8">
        <f t="shared" si="321"/>
        <v>20320300</v>
      </c>
      <c r="J5170" s="8">
        <f t="shared" si="322"/>
        <v>2794041.25</v>
      </c>
      <c r="K5170" t="str">
        <f t="shared" si="323"/>
        <v>MATCHED</v>
      </c>
    </row>
    <row r="5171" spans="1:11">
      <c r="A5171" t="s">
        <v>124</v>
      </c>
      <c r="B5171" t="s">
        <v>1739</v>
      </c>
      <c r="C5171" t="s">
        <v>1680</v>
      </c>
      <c r="D5171" t="s">
        <v>1681</v>
      </c>
      <c r="E5171" s="8"/>
      <c r="F5171" s="8">
        <v>297040</v>
      </c>
      <c r="G5171" s="8" t="str">
        <f t="shared" si="320"/>
        <v/>
      </c>
      <c r="H5171" s="5">
        <v>0.4317</v>
      </c>
      <c r="I5171" s="8" t="str">
        <f t="shared" si="321"/>
        <v/>
      </c>
      <c r="J5171" s="8" t="str">
        <f t="shared" si="322"/>
        <v/>
      </c>
      <c r="K5171" t="str">
        <f t="shared" si="323"/>
        <v>MISSING OEWS</v>
      </c>
    </row>
    <row r="5172" spans="1:11">
      <c r="A5172" t="s">
        <v>124</v>
      </c>
      <c r="B5172" t="s">
        <v>1739</v>
      </c>
      <c r="C5172" t="s">
        <v>1220</v>
      </c>
      <c r="D5172" t="s">
        <v>1221</v>
      </c>
      <c r="E5172" s="8">
        <v>2110</v>
      </c>
      <c r="F5172" s="8">
        <v>271800</v>
      </c>
      <c r="G5172" s="8">
        <f t="shared" si="320"/>
        <v>573498000</v>
      </c>
      <c r="H5172" s="5">
        <v>0.2008</v>
      </c>
      <c r="I5172" s="8">
        <f t="shared" si="321"/>
        <v>573498000</v>
      </c>
      <c r="J5172" s="8">
        <f t="shared" si="322"/>
        <v>115158398.4</v>
      </c>
      <c r="K5172" t="str">
        <f t="shared" si="323"/>
        <v>MATCHED</v>
      </c>
    </row>
    <row r="5173" spans="1:11">
      <c r="A5173" t="s">
        <v>124</v>
      </c>
      <c r="B5173" t="s">
        <v>1739</v>
      </c>
      <c r="C5173" t="s">
        <v>1754</v>
      </c>
      <c r="D5173" t="s">
        <v>1755</v>
      </c>
      <c r="E5173" s="8">
        <v>50</v>
      </c>
      <c r="F5173" s="8">
        <v>77670</v>
      </c>
      <c r="G5173" s="8">
        <f t="shared" si="320"/>
        <v>3883500</v>
      </c>
      <c r="H5173" s="5">
        <v>0.0528</v>
      </c>
      <c r="I5173" s="8">
        <f t="shared" si="321"/>
        <v>3883500</v>
      </c>
      <c r="J5173" s="8">
        <f t="shared" si="322"/>
        <v>205048.8</v>
      </c>
      <c r="K5173" t="str">
        <f t="shared" si="323"/>
        <v>MATCHED</v>
      </c>
    </row>
    <row r="5174" spans="1:11">
      <c r="A5174" t="s">
        <v>124</v>
      </c>
      <c r="B5174" t="s">
        <v>1739</v>
      </c>
      <c r="C5174" t="s">
        <v>1222</v>
      </c>
      <c r="D5174" t="s">
        <v>1223</v>
      </c>
      <c r="E5174" s="8">
        <v>2060</v>
      </c>
      <c r="F5174" s="8">
        <v>98510</v>
      </c>
      <c r="G5174" s="8">
        <f t="shared" si="320"/>
        <v>202930600</v>
      </c>
      <c r="H5174" s="5">
        <v>0.1583</v>
      </c>
      <c r="I5174" s="8">
        <f t="shared" si="321"/>
        <v>202930600</v>
      </c>
      <c r="J5174" s="8">
        <f t="shared" si="322"/>
        <v>32123913.98</v>
      </c>
      <c r="K5174" t="str">
        <f t="shared" si="323"/>
        <v>MATCHED</v>
      </c>
    </row>
    <row r="5175" spans="1:11">
      <c r="A5175" t="s">
        <v>124</v>
      </c>
      <c r="B5175" t="s">
        <v>1739</v>
      </c>
      <c r="C5175" t="s">
        <v>1486</v>
      </c>
      <c r="D5175" t="s">
        <v>1487</v>
      </c>
      <c r="E5175" s="8">
        <v>120</v>
      </c>
      <c r="F5175" s="8">
        <v>96410</v>
      </c>
      <c r="G5175" s="8">
        <f t="shared" si="320"/>
        <v>11569200</v>
      </c>
      <c r="H5175" s="5">
        <v>0.1875</v>
      </c>
      <c r="I5175" s="8">
        <f t="shared" si="321"/>
        <v>11569200</v>
      </c>
      <c r="J5175" s="8">
        <f t="shared" si="322"/>
        <v>2169225</v>
      </c>
      <c r="K5175" t="str">
        <f t="shared" si="323"/>
        <v>MATCHED</v>
      </c>
    </row>
    <row r="5176" spans="1:11">
      <c r="A5176" t="s">
        <v>124</v>
      </c>
      <c r="B5176" t="s">
        <v>1739</v>
      </c>
      <c r="C5176" t="s">
        <v>1224</v>
      </c>
      <c r="D5176" t="s">
        <v>1225</v>
      </c>
      <c r="E5176" s="8">
        <v>11540</v>
      </c>
      <c r="F5176" s="8">
        <v>62850</v>
      </c>
      <c r="G5176" s="8">
        <f t="shared" si="320"/>
        <v>725289000</v>
      </c>
      <c r="H5176" s="5">
        <v>0.1612</v>
      </c>
      <c r="I5176" s="8">
        <f t="shared" si="321"/>
        <v>725289000</v>
      </c>
      <c r="J5176" s="8">
        <f t="shared" si="322"/>
        <v>116916586.8</v>
      </c>
      <c r="K5176" t="str">
        <f t="shared" si="323"/>
        <v>MATCHED</v>
      </c>
    </row>
    <row r="5177" spans="1:11">
      <c r="A5177" t="s">
        <v>124</v>
      </c>
      <c r="B5177" t="s">
        <v>1739</v>
      </c>
      <c r="C5177" t="s">
        <v>1441</v>
      </c>
      <c r="D5177" t="s">
        <v>1442</v>
      </c>
      <c r="E5177" s="8">
        <v>850</v>
      </c>
      <c r="F5177" s="8">
        <v>82920</v>
      </c>
      <c r="G5177" s="8">
        <f t="shared" si="320"/>
        <v>70482000</v>
      </c>
      <c r="H5177" s="5">
        <v>0.304</v>
      </c>
      <c r="I5177" s="8">
        <f t="shared" si="321"/>
        <v>70482000</v>
      </c>
      <c r="J5177" s="8">
        <f t="shared" si="322"/>
        <v>21426528</v>
      </c>
      <c r="K5177" t="str">
        <f t="shared" si="323"/>
        <v>MATCHED</v>
      </c>
    </row>
    <row r="5178" spans="1:11">
      <c r="A5178" t="s">
        <v>124</v>
      </c>
      <c r="B5178" t="s">
        <v>1739</v>
      </c>
      <c r="C5178" t="s">
        <v>1684</v>
      </c>
      <c r="D5178" t="s">
        <v>1685</v>
      </c>
      <c r="E5178" s="8">
        <v>1730</v>
      </c>
      <c r="F5178" s="8">
        <v>95650</v>
      </c>
      <c r="G5178" s="8">
        <f t="shared" si="320"/>
        <v>165474500</v>
      </c>
      <c r="H5178" s="5">
        <v>0.345</v>
      </c>
      <c r="I5178" s="8">
        <f t="shared" si="321"/>
        <v>165474500</v>
      </c>
      <c r="J5178" s="8">
        <f t="shared" si="322"/>
        <v>57088702.5</v>
      </c>
      <c r="K5178" t="str">
        <f t="shared" si="323"/>
        <v>MATCHED</v>
      </c>
    </row>
    <row r="5179" spans="1:11">
      <c r="A5179" t="s">
        <v>124</v>
      </c>
      <c r="B5179" t="s">
        <v>1739</v>
      </c>
      <c r="C5179" t="s">
        <v>1686</v>
      </c>
      <c r="D5179" t="s">
        <v>1687</v>
      </c>
      <c r="E5179" s="8">
        <v>80</v>
      </c>
      <c r="F5179" s="8">
        <v>113200</v>
      </c>
      <c r="G5179" s="8">
        <f t="shared" si="320"/>
        <v>9056000</v>
      </c>
      <c r="H5179" s="5">
        <v>0.2647</v>
      </c>
      <c r="I5179" s="8">
        <f t="shared" si="321"/>
        <v>9056000</v>
      </c>
      <c r="J5179" s="8">
        <f t="shared" si="322"/>
        <v>2397123.2</v>
      </c>
      <c r="K5179" t="str">
        <f t="shared" si="323"/>
        <v>MATCHED</v>
      </c>
    </row>
    <row r="5180" spans="1:11">
      <c r="A5180" t="s">
        <v>124</v>
      </c>
      <c r="B5180" t="s">
        <v>1739</v>
      </c>
      <c r="C5180" t="s">
        <v>1226</v>
      </c>
      <c r="D5180" t="s">
        <v>1227</v>
      </c>
      <c r="E5180" s="8">
        <v>7780</v>
      </c>
      <c r="F5180" s="8">
        <v>81970</v>
      </c>
      <c r="G5180" s="8">
        <f t="shared" si="320"/>
        <v>637726600</v>
      </c>
      <c r="H5180" s="5">
        <v>0.315</v>
      </c>
      <c r="I5180" s="8">
        <f t="shared" si="321"/>
        <v>637726600</v>
      </c>
      <c r="J5180" s="8">
        <f t="shared" si="322"/>
        <v>200883879</v>
      </c>
      <c r="K5180" t="str">
        <f t="shared" si="323"/>
        <v>MATCHED</v>
      </c>
    </row>
    <row r="5181" spans="1:11">
      <c r="A5181" t="s">
        <v>124</v>
      </c>
      <c r="B5181" t="s">
        <v>1739</v>
      </c>
      <c r="C5181" t="s">
        <v>1688</v>
      </c>
      <c r="D5181" t="s">
        <v>1689</v>
      </c>
      <c r="E5181" s="8">
        <v>1330</v>
      </c>
      <c r="F5181" s="8">
        <v>90020</v>
      </c>
      <c r="G5181" s="8">
        <f t="shared" si="320"/>
        <v>119726600</v>
      </c>
      <c r="H5181" s="5">
        <v>0.4239</v>
      </c>
      <c r="I5181" s="8">
        <f t="shared" si="321"/>
        <v>119726600</v>
      </c>
      <c r="J5181" s="8">
        <f t="shared" si="322"/>
        <v>50752105.74</v>
      </c>
      <c r="K5181" t="str">
        <f t="shared" si="323"/>
        <v>MATCHED</v>
      </c>
    </row>
    <row r="5182" spans="1:11">
      <c r="A5182" t="s">
        <v>124</v>
      </c>
      <c r="B5182" t="s">
        <v>1739</v>
      </c>
      <c r="C5182" t="s">
        <v>1690</v>
      </c>
      <c r="D5182" t="s">
        <v>1691</v>
      </c>
      <c r="E5182" s="8">
        <v>40</v>
      </c>
      <c r="F5182" s="8">
        <v>153860</v>
      </c>
      <c r="G5182" s="8">
        <f t="shared" si="320"/>
        <v>6154400</v>
      </c>
      <c r="H5182" s="5">
        <v>0.435</v>
      </c>
      <c r="I5182" s="8">
        <f t="shared" si="321"/>
        <v>6154400</v>
      </c>
      <c r="J5182" s="8">
        <f t="shared" si="322"/>
        <v>2677164</v>
      </c>
      <c r="K5182" t="str">
        <f t="shared" si="323"/>
        <v>MATCHED</v>
      </c>
    </row>
    <row r="5183" spans="1:11">
      <c r="A5183" t="s">
        <v>124</v>
      </c>
      <c r="B5183" t="s">
        <v>1739</v>
      </c>
      <c r="C5183" t="s">
        <v>640</v>
      </c>
      <c r="D5183" t="s">
        <v>641</v>
      </c>
      <c r="E5183" s="8"/>
      <c r="F5183" s="8">
        <v>47370</v>
      </c>
      <c r="G5183" s="8" t="str">
        <f t="shared" si="320"/>
        <v/>
      </c>
      <c r="H5183" s="5">
        <v>0.0792</v>
      </c>
      <c r="I5183" s="8" t="str">
        <f t="shared" si="321"/>
        <v/>
      </c>
      <c r="J5183" s="8" t="str">
        <f t="shared" si="322"/>
        <v/>
      </c>
      <c r="K5183" t="str">
        <f t="shared" si="323"/>
        <v>MISSING OEWS</v>
      </c>
    </row>
    <row r="5184" spans="1:11">
      <c r="A5184" t="s">
        <v>124</v>
      </c>
      <c r="B5184" t="s">
        <v>1739</v>
      </c>
      <c r="C5184" t="s">
        <v>642</v>
      </c>
      <c r="D5184" t="s">
        <v>643</v>
      </c>
      <c r="E5184" s="8">
        <v>1050</v>
      </c>
      <c r="F5184" s="8">
        <v>58160</v>
      </c>
      <c r="G5184" s="8">
        <f t="shared" si="320"/>
        <v>61068000</v>
      </c>
      <c r="H5184" s="5">
        <v>0</v>
      </c>
      <c r="I5184" s="8">
        <f t="shared" si="321"/>
        <v>61068000</v>
      </c>
      <c r="J5184" s="8">
        <f t="shared" si="322"/>
        <v>0</v>
      </c>
      <c r="K5184" t="str">
        <f t="shared" si="323"/>
        <v>MATCHED</v>
      </c>
    </row>
    <row r="5185" spans="1:11">
      <c r="A5185" t="s">
        <v>124</v>
      </c>
      <c r="B5185" t="s">
        <v>1739</v>
      </c>
      <c r="C5185" t="s">
        <v>1729</v>
      </c>
      <c r="D5185" t="s">
        <v>1730</v>
      </c>
      <c r="E5185" s="8">
        <v>1560</v>
      </c>
      <c r="F5185" s="8">
        <v>33420</v>
      </c>
      <c r="G5185" s="8">
        <f t="shared" si="320"/>
        <v>52135200</v>
      </c>
      <c r="H5185" s="5">
        <v>0.4154</v>
      </c>
      <c r="I5185" s="8">
        <f t="shared" si="321"/>
        <v>52135200</v>
      </c>
      <c r="J5185" s="8">
        <f t="shared" si="322"/>
        <v>21656962.08</v>
      </c>
      <c r="K5185" t="str">
        <f t="shared" si="323"/>
        <v>MATCHED</v>
      </c>
    </row>
    <row r="5186" spans="1:11">
      <c r="A5186" t="s">
        <v>124</v>
      </c>
      <c r="B5186" t="s">
        <v>1739</v>
      </c>
      <c r="C5186" t="s">
        <v>1228</v>
      </c>
      <c r="D5186" t="s">
        <v>1229</v>
      </c>
      <c r="E5186" s="8">
        <v>3340</v>
      </c>
      <c r="F5186" s="8">
        <v>46410</v>
      </c>
      <c r="G5186" s="8">
        <f t="shared" ref="G5186:G5249" si="324">IF(OR(E5186="",F5186=""),"",E5186*F5186)</f>
        <v>155009400</v>
      </c>
      <c r="H5186" s="5">
        <v>0.6357</v>
      </c>
      <c r="I5186" s="8">
        <f t="shared" ref="I5186:I5249" si="325">IF(G5186="","",IF(ISNUMBER(H5186),G5186,""))</f>
        <v>155009400</v>
      </c>
      <c r="J5186" s="8">
        <f t="shared" ref="J5186:J5249" si="326">IF(I5186="","",I5186*H5186)</f>
        <v>98539475.58</v>
      </c>
      <c r="K5186" t="str">
        <f t="shared" ref="K5186:K5249" si="327">IF(G5186="","MISSING OEWS",IF(ISNUMBER(H5186),"MATCHED","MISSING WHARTON"))</f>
        <v>MATCHED</v>
      </c>
    </row>
    <row r="5187" spans="1:11">
      <c r="A5187" t="s">
        <v>124</v>
      </c>
      <c r="B5187" t="s">
        <v>1739</v>
      </c>
      <c r="C5187" t="s">
        <v>1692</v>
      </c>
      <c r="D5187" t="s">
        <v>1693</v>
      </c>
      <c r="E5187" s="8">
        <v>1840</v>
      </c>
      <c r="F5187" s="8">
        <v>48320</v>
      </c>
      <c r="G5187" s="8">
        <f t="shared" si="324"/>
        <v>88908800</v>
      </c>
      <c r="H5187" s="5">
        <v>0.0594</v>
      </c>
      <c r="I5187" s="8">
        <f t="shared" si="325"/>
        <v>88908800</v>
      </c>
      <c r="J5187" s="8">
        <f t="shared" si="326"/>
        <v>5281182.72</v>
      </c>
      <c r="K5187" t="str">
        <f t="shared" si="327"/>
        <v>MATCHED</v>
      </c>
    </row>
    <row r="5188" spans="1:11">
      <c r="A5188" t="s">
        <v>124</v>
      </c>
      <c r="B5188" t="s">
        <v>1739</v>
      </c>
      <c r="C5188" t="s">
        <v>1694</v>
      </c>
      <c r="D5188" t="s">
        <v>1695</v>
      </c>
      <c r="E5188" s="8">
        <v>4600</v>
      </c>
      <c r="F5188" s="8">
        <v>69910</v>
      </c>
      <c r="G5188" s="8">
        <f t="shared" si="324"/>
        <v>321586000</v>
      </c>
      <c r="H5188" s="5">
        <v>0.1188</v>
      </c>
      <c r="I5188" s="8">
        <f t="shared" si="325"/>
        <v>321586000</v>
      </c>
      <c r="J5188" s="8">
        <f t="shared" si="326"/>
        <v>38204416.8</v>
      </c>
      <c r="K5188" t="str">
        <f t="shared" si="327"/>
        <v>MATCHED</v>
      </c>
    </row>
    <row r="5189" spans="1:11">
      <c r="A5189" t="s">
        <v>124</v>
      </c>
      <c r="B5189" t="s">
        <v>1739</v>
      </c>
      <c r="C5189" t="s">
        <v>327</v>
      </c>
      <c r="D5189" t="s">
        <v>328</v>
      </c>
      <c r="E5189" s="8"/>
      <c r="F5189" s="8">
        <v>50000</v>
      </c>
      <c r="G5189" s="8" t="str">
        <f t="shared" si="324"/>
        <v/>
      </c>
      <c r="H5189" s="5">
        <v>0.2065</v>
      </c>
      <c r="I5189" s="8" t="str">
        <f t="shared" si="325"/>
        <v/>
      </c>
      <c r="J5189" s="8" t="str">
        <f t="shared" si="326"/>
        <v/>
      </c>
      <c r="K5189" t="str">
        <f t="shared" si="327"/>
        <v>MISSING OEWS</v>
      </c>
    </row>
    <row r="5190" spans="1:11">
      <c r="A5190" t="s">
        <v>124</v>
      </c>
      <c r="B5190" t="s">
        <v>1739</v>
      </c>
      <c r="C5190" t="s">
        <v>1488</v>
      </c>
      <c r="D5190" t="s">
        <v>1489</v>
      </c>
      <c r="E5190" s="8">
        <v>340</v>
      </c>
      <c r="F5190" s="8">
        <v>57770</v>
      </c>
      <c r="G5190" s="8">
        <f t="shared" si="324"/>
        <v>19641800</v>
      </c>
      <c r="H5190" s="5">
        <v>0.19</v>
      </c>
      <c r="I5190" s="8">
        <f t="shared" si="325"/>
        <v>19641800</v>
      </c>
      <c r="J5190" s="8">
        <f t="shared" si="326"/>
        <v>3731942</v>
      </c>
      <c r="K5190" t="str">
        <f t="shared" si="327"/>
        <v>MATCHED</v>
      </c>
    </row>
    <row r="5191" spans="1:11">
      <c r="A5191" t="s">
        <v>124</v>
      </c>
      <c r="B5191" t="s">
        <v>1739</v>
      </c>
      <c r="C5191" t="s">
        <v>1230</v>
      </c>
      <c r="D5191" t="s">
        <v>1231</v>
      </c>
      <c r="E5191" s="8">
        <v>29790</v>
      </c>
      <c r="F5191" s="8">
        <v>74990</v>
      </c>
      <c r="G5191" s="8">
        <f t="shared" si="324"/>
        <v>2233952100</v>
      </c>
      <c r="H5191" s="5">
        <v>0.1239</v>
      </c>
      <c r="I5191" s="8">
        <f t="shared" si="325"/>
        <v>2233952100</v>
      </c>
      <c r="J5191" s="8">
        <f t="shared" si="326"/>
        <v>276786665.19</v>
      </c>
      <c r="K5191" t="str">
        <f t="shared" si="327"/>
        <v>MATCHED</v>
      </c>
    </row>
    <row r="5192" spans="1:11">
      <c r="A5192" t="s">
        <v>124</v>
      </c>
      <c r="B5192" t="s">
        <v>1739</v>
      </c>
      <c r="C5192" t="s">
        <v>1232</v>
      </c>
      <c r="D5192" t="s">
        <v>1233</v>
      </c>
      <c r="E5192" s="8">
        <v>16040</v>
      </c>
      <c r="F5192" s="8">
        <v>55100</v>
      </c>
      <c r="G5192" s="8">
        <f t="shared" si="324"/>
        <v>883804000</v>
      </c>
      <c r="H5192" s="5">
        <v>0.9353</v>
      </c>
      <c r="I5192" s="8">
        <f t="shared" si="325"/>
        <v>883804000</v>
      </c>
      <c r="J5192" s="8">
        <f t="shared" si="326"/>
        <v>826621881.2</v>
      </c>
      <c r="K5192" t="str">
        <f t="shared" si="327"/>
        <v>MATCHED</v>
      </c>
    </row>
    <row r="5193" spans="1:11">
      <c r="A5193" t="s">
        <v>124</v>
      </c>
      <c r="B5193" t="s">
        <v>1739</v>
      </c>
      <c r="C5193" t="s">
        <v>1234</v>
      </c>
      <c r="D5193" t="s">
        <v>1235</v>
      </c>
      <c r="E5193" s="8">
        <v>100</v>
      </c>
      <c r="F5193" s="8">
        <v>51390</v>
      </c>
      <c r="G5193" s="8">
        <f t="shared" si="324"/>
        <v>5139000</v>
      </c>
      <c r="H5193" s="5">
        <v>0.2143</v>
      </c>
      <c r="I5193" s="8">
        <f t="shared" si="325"/>
        <v>5139000</v>
      </c>
      <c r="J5193" s="8">
        <f t="shared" si="326"/>
        <v>1101287.7</v>
      </c>
      <c r="K5193" t="str">
        <f t="shared" si="327"/>
        <v>MATCHED</v>
      </c>
    </row>
    <row r="5194" spans="1:11">
      <c r="A5194" t="s">
        <v>124</v>
      </c>
      <c r="B5194" t="s">
        <v>1739</v>
      </c>
      <c r="C5194" t="s">
        <v>1236</v>
      </c>
      <c r="D5194" t="s">
        <v>1237</v>
      </c>
      <c r="E5194" s="8">
        <v>140</v>
      </c>
      <c r="F5194" s="8">
        <v>75980</v>
      </c>
      <c r="G5194" s="8">
        <f t="shared" si="324"/>
        <v>10637200</v>
      </c>
      <c r="H5194" s="5">
        <v>0.1267</v>
      </c>
      <c r="I5194" s="8">
        <f t="shared" si="325"/>
        <v>10637200</v>
      </c>
      <c r="J5194" s="8">
        <f t="shared" si="326"/>
        <v>1347733.24</v>
      </c>
      <c r="K5194" t="str">
        <f t="shared" si="327"/>
        <v>MATCHED</v>
      </c>
    </row>
    <row r="5195" spans="1:11">
      <c r="A5195" t="s">
        <v>124</v>
      </c>
      <c r="B5195" t="s">
        <v>1739</v>
      </c>
      <c r="C5195" t="s">
        <v>1240</v>
      </c>
      <c r="D5195" t="s">
        <v>1241</v>
      </c>
      <c r="E5195" s="8">
        <v>4190</v>
      </c>
      <c r="F5195" s="8">
        <v>55650</v>
      </c>
      <c r="G5195" s="8">
        <f t="shared" si="324"/>
        <v>233173500</v>
      </c>
      <c r="H5195" s="5">
        <v>0.2977</v>
      </c>
      <c r="I5195" s="8">
        <f t="shared" si="325"/>
        <v>233173500</v>
      </c>
      <c r="J5195" s="8">
        <f t="shared" si="326"/>
        <v>69415750.95</v>
      </c>
      <c r="K5195" t="str">
        <f t="shared" si="327"/>
        <v>MATCHED</v>
      </c>
    </row>
    <row r="5196" spans="1:11">
      <c r="A5196" t="s">
        <v>124</v>
      </c>
      <c r="B5196" t="s">
        <v>1739</v>
      </c>
      <c r="C5196" t="s">
        <v>1242</v>
      </c>
      <c r="D5196" t="s">
        <v>1243</v>
      </c>
      <c r="E5196" s="8">
        <v>1430</v>
      </c>
      <c r="F5196" s="8">
        <v>88120</v>
      </c>
      <c r="G5196" s="8">
        <f t="shared" si="324"/>
        <v>126011600</v>
      </c>
      <c r="H5196" s="5">
        <v>0.7969</v>
      </c>
      <c r="I5196" s="8">
        <f t="shared" si="325"/>
        <v>126011600</v>
      </c>
      <c r="J5196" s="8">
        <f t="shared" si="326"/>
        <v>100418644.04</v>
      </c>
      <c r="K5196" t="str">
        <f t="shared" si="327"/>
        <v>MATCHED</v>
      </c>
    </row>
    <row r="5197" spans="1:11">
      <c r="A5197" t="s">
        <v>124</v>
      </c>
      <c r="B5197" t="s">
        <v>1739</v>
      </c>
      <c r="C5197" t="s">
        <v>1696</v>
      </c>
      <c r="D5197" t="s">
        <v>1697</v>
      </c>
      <c r="E5197" s="8">
        <v>140</v>
      </c>
      <c r="F5197" s="8">
        <v>58500</v>
      </c>
      <c r="G5197" s="8">
        <f t="shared" si="324"/>
        <v>8190000</v>
      </c>
      <c r="H5197" s="5">
        <v>0.1435</v>
      </c>
      <c r="I5197" s="8">
        <f t="shared" si="325"/>
        <v>8190000</v>
      </c>
      <c r="J5197" s="8">
        <f t="shared" si="326"/>
        <v>1175265</v>
      </c>
      <c r="K5197" t="str">
        <f t="shared" si="327"/>
        <v>MATCHED</v>
      </c>
    </row>
    <row r="5198" spans="1:11">
      <c r="A5198" t="s">
        <v>124</v>
      </c>
      <c r="B5198" t="s">
        <v>1739</v>
      </c>
      <c r="C5198" t="s">
        <v>1731</v>
      </c>
      <c r="D5198" t="s">
        <v>1732</v>
      </c>
      <c r="E5198" s="8">
        <v>340</v>
      </c>
      <c r="F5198" s="8">
        <v>96660</v>
      </c>
      <c r="G5198" s="8">
        <f t="shared" si="324"/>
        <v>32864400</v>
      </c>
      <c r="H5198" s="5">
        <v>0</v>
      </c>
      <c r="I5198" s="8">
        <f t="shared" si="325"/>
        <v>32864400</v>
      </c>
      <c r="J5198" s="8">
        <f t="shared" si="326"/>
        <v>0</v>
      </c>
      <c r="K5198" t="str">
        <f t="shared" si="327"/>
        <v>MATCHED</v>
      </c>
    </row>
    <row r="5199" spans="1:11">
      <c r="A5199" t="s">
        <v>124</v>
      </c>
      <c r="B5199" t="s">
        <v>1739</v>
      </c>
      <c r="C5199" t="s">
        <v>1246</v>
      </c>
      <c r="D5199" t="s">
        <v>1247</v>
      </c>
      <c r="E5199" s="8">
        <v>830</v>
      </c>
      <c r="F5199" s="8">
        <v>65100</v>
      </c>
      <c r="G5199" s="8">
        <f t="shared" si="324"/>
        <v>54033000</v>
      </c>
      <c r="H5199" s="5">
        <v>0.2347</v>
      </c>
      <c r="I5199" s="8">
        <f t="shared" si="325"/>
        <v>54033000</v>
      </c>
      <c r="J5199" s="8">
        <f t="shared" si="326"/>
        <v>12681545.1</v>
      </c>
      <c r="K5199" t="str">
        <f t="shared" si="327"/>
        <v>MATCHED</v>
      </c>
    </row>
    <row r="5200" spans="1:11">
      <c r="A5200" t="s">
        <v>124</v>
      </c>
      <c r="B5200" t="s">
        <v>1739</v>
      </c>
      <c r="C5200" t="s">
        <v>972</v>
      </c>
      <c r="D5200" t="s">
        <v>973</v>
      </c>
      <c r="E5200" s="8">
        <v>36410</v>
      </c>
      <c r="F5200" s="8">
        <v>37270</v>
      </c>
      <c r="G5200" s="8">
        <f t="shared" si="324"/>
        <v>1357000700</v>
      </c>
      <c r="H5200" s="5">
        <v>0.118</v>
      </c>
      <c r="I5200" s="8">
        <f t="shared" si="325"/>
        <v>1357000700</v>
      </c>
      <c r="J5200" s="8">
        <f t="shared" si="326"/>
        <v>160126082.6</v>
      </c>
      <c r="K5200" t="str">
        <f t="shared" si="327"/>
        <v>MATCHED</v>
      </c>
    </row>
    <row r="5201" spans="1:11">
      <c r="A5201" t="s">
        <v>124</v>
      </c>
      <c r="B5201" t="s">
        <v>1739</v>
      </c>
      <c r="C5201" t="s">
        <v>1443</v>
      </c>
      <c r="D5201" t="s">
        <v>1444</v>
      </c>
      <c r="E5201" s="8">
        <v>48650</v>
      </c>
      <c r="F5201" s="8">
        <v>48170</v>
      </c>
      <c r="G5201" s="8">
        <f t="shared" si="324"/>
        <v>2343470500</v>
      </c>
      <c r="H5201" s="5">
        <v>0.05</v>
      </c>
      <c r="I5201" s="8">
        <f t="shared" si="325"/>
        <v>2343470500</v>
      </c>
      <c r="J5201" s="8">
        <f t="shared" si="326"/>
        <v>117173525</v>
      </c>
      <c r="K5201" t="str">
        <f t="shared" si="327"/>
        <v>MATCHED</v>
      </c>
    </row>
    <row r="5202" spans="1:11">
      <c r="A5202" t="s">
        <v>124</v>
      </c>
      <c r="B5202" t="s">
        <v>1739</v>
      </c>
      <c r="C5202" t="s">
        <v>1733</v>
      </c>
      <c r="D5202" t="s">
        <v>1734</v>
      </c>
      <c r="E5202" s="8">
        <v>1050</v>
      </c>
      <c r="F5202" s="8">
        <v>41730</v>
      </c>
      <c r="G5202" s="8">
        <f t="shared" si="324"/>
        <v>43816500</v>
      </c>
      <c r="H5202" s="5">
        <v>0.0417</v>
      </c>
      <c r="I5202" s="8">
        <f t="shared" si="325"/>
        <v>43816500</v>
      </c>
      <c r="J5202" s="8">
        <f t="shared" si="326"/>
        <v>1827148.05</v>
      </c>
      <c r="K5202" t="str">
        <f t="shared" si="327"/>
        <v>MATCHED</v>
      </c>
    </row>
    <row r="5203" spans="1:11">
      <c r="A5203" t="s">
        <v>124</v>
      </c>
      <c r="B5203" t="s">
        <v>1739</v>
      </c>
      <c r="C5203" t="s">
        <v>1620</v>
      </c>
      <c r="D5203" t="s">
        <v>1621</v>
      </c>
      <c r="E5203" s="8">
        <v>270</v>
      </c>
      <c r="F5203" s="8">
        <v>42940</v>
      </c>
      <c r="G5203" s="8">
        <f t="shared" si="324"/>
        <v>11593800</v>
      </c>
      <c r="H5203" s="5">
        <v>0.1118</v>
      </c>
      <c r="I5203" s="8">
        <f t="shared" si="325"/>
        <v>11593800</v>
      </c>
      <c r="J5203" s="8">
        <f t="shared" si="326"/>
        <v>1296186.84</v>
      </c>
      <c r="K5203" t="str">
        <f t="shared" si="327"/>
        <v>MATCHED</v>
      </c>
    </row>
    <row r="5204" spans="1:11">
      <c r="A5204" t="s">
        <v>124</v>
      </c>
      <c r="B5204" t="s">
        <v>1739</v>
      </c>
      <c r="C5204" t="s">
        <v>1735</v>
      </c>
      <c r="D5204" t="s">
        <v>1736</v>
      </c>
      <c r="E5204" s="8"/>
      <c r="F5204" s="8">
        <v>70880</v>
      </c>
      <c r="G5204" s="8" t="str">
        <f t="shared" si="324"/>
        <v/>
      </c>
      <c r="H5204" s="5">
        <v>0.1068</v>
      </c>
      <c r="I5204" s="8" t="str">
        <f t="shared" si="325"/>
        <v/>
      </c>
      <c r="J5204" s="8" t="str">
        <f t="shared" si="326"/>
        <v/>
      </c>
      <c r="K5204" t="str">
        <f t="shared" si="327"/>
        <v>MISSING OEWS</v>
      </c>
    </row>
    <row r="5205" spans="1:11">
      <c r="A5205" t="s">
        <v>124</v>
      </c>
      <c r="B5205" t="s">
        <v>1739</v>
      </c>
      <c r="C5205" t="s">
        <v>1698</v>
      </c>
      <c r="D5205" t="s">
        <v>1699</v>
      </c>
      <c r="E5205" s="8">
        <v>1150</v>
      </c>
      <c r="F5205" s="8">
        <v>63410</v>
      </c>
      <c r="G5205" s="8">
        <f t="shared" si="324"/>
        <v>72921500</v>
      </c>
      <c r="H5205" s="5">
        <v>0.0905</v>
      </c>
      <c r="I5205" s="8">
        <f t="shared" si="325"/>
        <v>72921500</v>
      </c>
      <c r="J5205" s="8">
        <f t="shared" si="326"/>
        <v>6599395.75</v>
      </c>
      <c r="K5205" t="str">
        <f t="shared" si="327"/>
        <v>MATCHED</v>
      </c>
    </row>
    <row r="5206" spans="1:11">
      <c r="A5206" t="s">
        <v>124</v>
      </c>
      <c r="B5206" t="s">
        <v>1739</v>
      </c>
      <c r="C5206" t="s">
        <v>1756</v>
      </c>
      <c r="D5206" t="s">
        <v>1757</v>
      </c>
      <c r="E5206" s="8">
        <v>270</v>
      </c>
      <c r="F5206" s="8">
        <v>36720</v>
      </c>
      <c r="G5206" s="8">
        <f t="shared" si="324"/>
        <v>9914400</v>
      </c>
      <c r="H5206" s="5">
        <v>0.15</v>
      </c>
      <c r="I5206" s="8">
        <f t="shared" si="325"/>
        <v>9914400</v>
      </c>
      <c r="J5206" s="8">
        <f t="shared" si="326"/>
        <v>1487160</v>
      </c>
      <c r="K5206" t="str">
        <f t="shared" si="327"/>
        <v>MATCHED</v>
      </c>
    </row>
    <row r="5207" spans="1:11">
      <c r="A5207" t="s">
        <v>124</v>
      </c>
      <c r="B5207" t="s">
        <v>1739</v>
      </c>
      <c r="C5207" t="s">
        <v>1490</v>
      </c>
      <c r="D5207" t="s">
        <v>1491</v>
      </c>
      <c r="E5207" s="8"/>
      <c r="F5207" s="8">
        <v>75740</v>
      </c>
      <c r="G5207" s="8" t="str">
        <f t="shared" si="324"/>
        <v/>
      </c>
      <c r="H5207" s="5">
        <v>0.0679</v>
      </c>
      <c r="I5207" s="8" t="str">
        <f t="shared" si="325"/>
        <v/>
      </c>
      <c r="J5207" s="8" t="str">
        <f t="shared" si="326"/>
        <v/>
      </c>
      <c r="K5207" t="str">
        <f t="shared" si="327"/>
        <v>MISSING OEWS</v>
      </c>
    </row>
    <row r="5208" spans="1:11">
      <c r="A5208" t="s">
        <v>124</v>
      </c>
      <c r="B5208" t="s">
        <v>1739</v>
      </c>
      <c r="C5208" t="s">
        <v>1248</v>
      </c>
      <c r="D5208" t="s">
        <v>1249</v>
      </c>
      <c r="E5208" s="8">
        <v>4090</v>
      </c>
      <c r="F5208" s="8">
        <v>52080</v>
      </c>
      <c r="G5208" s="8">
        <f t="shared" si="324"/>
        <v>213007200</v>
      </c>
      <c r="H5208" s="5">
        <v>0.2219</v>
      </c>
      <c r="I5208" s="8">
        <f t="shared" si="325"/>
        <v>213007200</v>
      </c>
      <c r="J5208" s="8">
        <f t="shared" si="326"/>
        <v>47266297.68</v>
      </c>
      <c r="K5208" t="str">
        <f t="shared" si="327"/>
        <v>MATCHED</v>
      </c>
    </row>
    <row r="5209" spans="1:11">
      <c r="A5209" t="s">
        <v>124</v>
      </c>
      <c r="B5209" t="s">
        <v>1739</v>
      </c>
      <c r="C5209" t="s">
        <v>1250</v>
      </c>
      <c r="D5209" t="s">
        <v>1251</v>
      </c>
      <c r="E5209" s="8">
        <v>15060</v>
      </c>
      <c r="F5209" s="8">
        <v>46610</v>
      </c>
      <c r="G5209" s="8">
        <f t="shared" si="324"/>
        <v>701946600</v>
      </c>
      <c r="H5209" s="5">
        <v>0.4025</v>
      </c>
      <c r="I5209" s="8">
        <f t="shared" si="325"/>
        <v>701946600</v>
      </c>
      <c r="J5209" s="8">
        <f t="shared" si="326"/>
        <v>282533506.5</v>
      </c>
      <c r="K5209" t="str">
        <f t="shared" si="327"/>
        <v>MATCHED</v>
      </c>
    </row>
    <row r="5210" spans="1:11">
      <c r="A5210" t="s">
        <v>124</v>
      </c>
      <c r="B5210" t="s">
        <v>1739</v>
      </c>
      <c r="C5210" t="s">
        <v>1252</v>
      </c>
      <c r="D5210" t="s">
        <v>1253</v>
      </c>
      <c r="E5210" s="8">
        <v>1840</v>
      </c>
      <c r="F5210" s="8">
        <v>55130</v>
      </c>
      <c r="G5210" s="8">
        <f t="shared" si="324"/>
        <v>101439200</v>
      </c>
      <c r="H5210" s="5">
        <v>0.1188</v>
      </c>
      <c r="I5210" s="8">
        <f t="shared" si="325"/>
        <v>101439200</v>
      </c>
      <c r="J5210" s="8">
        <f t="shared" si="326"/>
        <v>12050976.96</v>
      </c>
      <c r="K5210" t="str">
        <f t="shared" si="327"/>
        <v>MATCHED</v>
      </c>
    </row>
    <row r="5211" spans="1:11">
      <c r="A5211" t="s">
        <v>124</v>
      </c>
      <c r="B5211" t="s">
        <v>1739</v>
      </c>
      <c r="C5211" t="s">
        <v>1622</v>
      </c>
      <c r="D5211" t="s">
        <v>1623</v>
      </c>
      <c r="E5211" s="8">
        <v>12570</v>
      </c>
      <c r="F5211" s="8">
        <v>33860</v>
      </c>
      <c r="G5211" s="8">
        <f t="shared" si="324"/>
        <v>425620200</v>
      </c>
      <c r="H5211" s="5">
        <v>0.8733</v>
      </c>
      <c r="I5211" s="8">
        <f t="shared" si="325"/>
        <v>425620200</v>
      </c>
      <c r="J5211" s="8">
        <f t="shared" si="326"/>
        <v>371694120.66</v>
      </c>
      <c r="K5211" t="str">
        <f t="shared" si="327"/>
        <v>MATCHED</v>
      </c>
    </row>
    <row r="5212" spans="1:11">
      <c r="A5212" t="s">
        <v>124</v>
      </c>
      <c r="B5212" t="s">
        <v>1739</v>
      </c>
      <c r="C5212" t="s">
        <v>1445</v>
      </c>
      <c r="D5212" t="s">
        <v>1446</v>
      </c>
      <c r="E5212" s="8">
        <v>70</v>
      </c>
      <c r="F5212" s="8">
        <v>38000</v>
      </c>
      <c r="G5212" s="8">
        <f t="shared" si="324"/>
        <v>2660000</v>
      </c>
      <c r="H5212" s="5">
        <v>0.5088</v>
      </c>
      <c r="I5212" s="8">
        <f t="shared" si="325"/>
        <v>2660000</v>
      </c>
      <c r="J5212" s="8">
        <f t="shared" si="326"/>
        <v>1353408</v>
      </c>
      <c r="K5212" t="str">
        <f t="shared" si="327"/>
        <v>MATCHED</v>
      </c>
    </row>
    <row r="5213" spans="1:11">
      <c r="A5213" t="s">
        <v>124</v>
      </c>
      <c r="B5213" t="s">
        <v>1739</v>
      </c>
      <c r="C5213" t="s">
        <v>1254</v>
      </c>
      <c r="D5213" t="s">
        <v>1255</v>
      </c>
      <c r="E5213" s="8"/>
      <c r="F5213" s="8">
        <v>41920</v>
      </c>
      <c r="G5213" s="8" t="str">
        <f t="shared" si="324"/>
        <v/>
      </c>
      <c r="H5213" s="5">
        <v>0.1696</v>
      </c>
      <c r="I5213" s="8" t="str">
        <f t="shared" si="325"/>
        <v/>
      </c>
      <c r="J5213" s="8" t="str">
        <f t="shared" si="326"/>
        <v/>
      </c>
      <c r="K5213" t="str">
        <f t="shared" si="327"/>
        <v>MISSING OEWS</v>
      </c>
    </row>
    <row r="5214" spans="1:11">
      <c r="A5214" t="s">
        <v>124</v>
      </c>
      <c r="B5214" t="s">
        <v>1739</v>
      </c>
      <c r="C5214" t="s">
        <v>1447</v>
      </c>
      <c r="D5214" t="s">
        <v>1448</v>
      </c>
      <c r="E5214" s="8">
        <v>2240</v>
      </c>
      <c r="F5214" s="8">
        <v>46800</v>
      </c>
      <c r="G5214" s="8">
        <f t="shared" si="324"/>
        <v>104832000</v>
      </c>
      <c r="H5214" s="5">
        <v>0.0792</v>
      </c>
      <c r="I5214" s="8">
        <f t="shared" si="325"/>
        <v>104832000</v>
      </c>
      <c r="J5214" s="8">
        <f t="shared" si="326"/>
        <v>8302694.4</v>
      </c>
      <c r="K5214" t="str">
        <f t="shared" si="327"/>
        <v>MATCHED</v>
      </c>
    </row>
    <row r="5215" spans="1:11">
      <c r="A5215" t="s">
        <v>124</v>
      </c>
      <c r="B5215" t="s">
        <v>1739</v>
      </c>
      <c r="C5215" t="s">
        <v>1256</v>
      </c>
      <c r="D5215" t="s">
        <v>1257</v>
      </c>
      <c r="E5215" s="8"/>
      <c r="F5215" s="8">
        <v>50060</v>
      </c>
      <c r="G5215" s="8" t="str">
        <f t="shared" si="324"/>
        <v/>
      </c>
      <c r="H5215" s="5">
        <v>0.2542</v>
      </c>
      <c r="I5215" s="8" t="str">
        <f t="shared" si="325"/>
        <v/>
      </c>
      <c r="J5215" s="8" t="str">
        <f t="shared" si="326"/>
        <v/>
      </c>
      <c r="K5215" t="str">
        <f t="shared" si="327"/>
        <v>MISSING OEWS</v>
      </c>
    </row>
    <row r="5216" spans="1:11">
      <c r="A5216" t="s">
        <v>124</v>
      </c>
      <c r="B5216" t="s">
        <v>1739</v>
      </c>
      <c r="C5216" t="s">
        <v>1758</v>
      </c>
      <c r="D5216" t="s">
        <v>1759</v>
      </c>
      <c r="E5216" s="8">
        <v>1070</v>
      </c>
      <c r="F5216" s="8">
        <v>67540</v>
      </c>
      <c r="G5216" s="8">
        <f t="shared" si="324"/>
        <v>72267800</v>
      </c>
      <c r="H5216" s="5">
        <v>0.1848</v>
      </c>
      <c r="I5216" s="8">
        <f t="shared" si="325"/>
        <v>72267800</v>
      </c>
      <c r="J5216" s="8">
        <f t="shared" si="326"/>
        <v>13355089.44</v>
      </c>
      <c r="K5216" t="str">
        <f t="shared" si="327"/>
        <v>MATCHED</v>
      </c>
    </row>
    <row r="5217" spans="1:11">
      <c r="A5217" t="s">
        <v>124</v>
      </c>
      <c r="B5217" t="s">
        <v>1739</v>
      </c>
      <c r="C5217" t="s">
        <v>864</v>
      </c>
      <c r="D5217" t="s">
        <v>865</v>
      </c>
      <c r="E5217" s="8">
        <v>3320</v>
      </c>
      <c r="F5217" s="8">
        <v>65830</v>
      </c>
      <c r="G5217" s="8">
        <f t="shared" si="324"/>
        <v>218555600</v>
      </c>
      <c r="H5217" s="5">
        <v>0.2267</v>
      </c>
      <c r="I5217" s="8">
        <f t="shared" si="325"/>
        <v>218555600</v>
      </c>
      <c r="J5217" s="8">
        <f t="shared" si="326"/>
        <v>49546554.52</v>
      </c>
      <c r="K5217" t="str">
        <f t="shared" si="327"/>
        <v>MATCHED</v>
      </c>
    </row>
    <row r="5218" spans="1:11">
      <c r="A5218" t="s">
        <v>124</v>
      </c>
      <c r="B5218" t="s">
        <v>1739</v>
      </c>
      <c r="C5218" t="s">
        <v>644</v>
      </c>
      <c r="D5218" t="s">
        <v>645</v>
      </c>
      <c r="E5218" s="8">
        <v>46930</v>
      </c>
      <c r="F5218" s="8">
        <v>54200</v>
      </c>
      <c r="G5218" s="8">
        <f t="shared" si="324"/>
        <v>2543606000</v>
      </c>
      <c r="H5218" s="5">
        <v>0.3929</v>
      </c>
      <c r="I5218" s="8">
        <f t="shared" si="325"/>
        <v>2543606000</v>
      </c>
      <c r="J5218" s="8">
        <f t="shared" si="326"/>
        <v>999382797.4</v>
      </c>
      <c r="K5218" t="str">
        <f t="shared" si="327"/>
        <v>MATCHED</v>
      </c>
    </row>
    <row r="5219" spans="1:11">
      <c r="A5219" t="s">
        <v>124</v>
      </c>
      <c r="B5219" t="s">
        <v>1739</v>
      </c>
      <c r="C5219" t="s">
        <v>866</v>
      </c>
      <c r="D5219" t="s">
        <v>867</v>
      </c>
      <c r="E5219" s="8">
        <v>2510</v>
      </c>
      <c r="F5219" s="8">
        <v>58070</v>
      </c>
      <c r="G5219" s="8">
        <f t="shared" si="324"/>
        <v>145755700</v>
      </c>
      <c r="H5219" s="5"/>
      <c r="I5219" s="8" t="str">
        <f t="shared" si="325"/>
        <v/>
      </c>
      <c r="J5219" s="8" t="str">
        <f t="shared" si="326"/>
        <v/>
      </c>
      <c r="K5219" t="str">
        <f t="shared" si="327"/>
        <v>MISSING WHARTON</v>
      </c>
    </row>
    <row r="5220" spans="1:11">
      <c r="A5220" t="s">
        <v>124</v>
      </c>
      <c r="B5220" t="s">
        <v>1739</v>
      </c>
      <c r="C5220" t="s">
        <v>868</v>
      </c>
      <c r="D5220" t="s">
        <v>869</v>
      </c>
      <c r="E5220" s="8">
        <v>19750</v>
      </c>
      <c r="F5220" s="8">
        <v>42100</v>
      </c>
      <c r="G5220" s="8">
        <f t="shared" si="324"/>
        <v>831475000</v>
      </c>
      <c r="H5220" s="5">
        <v>0.0317</v>
      </c>
      <c r="I5220" s="8">
        <f t="shared" si="325"/>
        <v>831475000</v>
      </c>
      <c r="J5220" s="8">
        <f t="shared" si="326"/>
        <v>26357757.5</v>
      </c>
      <c r="K5220" t="str">
        <f t="shared" si="327"/>
        <v>MATCHED</v>
      </c>
    </row>
    <row r="5221" spans="1:11">
      <c r="A5221" t="s">
        <v>124</v>
      </c>
      <c r="B5221" t="s">
        <v>1739</v>
      </c>
      <c r="C5221" t="s">
        <v>974</v>
      </c>
      <c r="D5221" t="s">
        <v>975</v>
      </c>
      <c r="E5221" s="8">
        <v>780</v>
      </c>
      <c r="F5221" s="8">
        <v>62110</v>
      </c>
      <c r="G5221" s="8">
        <f t="shared" si="324"/>
        <v>48445800</v>
      </c>
      <c r="H5221" s="5">
        <v>0.125</v>
      </c>
      <c r="I5221" s="8">
        <f t="shared" si="325"/>
        <v>48445800</v>
      </c>
      <c r="J5221" s="8">
        <f t="shared" si="326"/>
        <v>6055725</v>
      </c>
      <c r="K5221" t="str">
        <f t="shared" si="327"/>
        <v>MATCHED</v>
      </c>
    </row>
    <row r="5222" spans="1:11">
      <c r="A5222" t="s">
        <v>124</v>
      </c>
      <c r="B5222" t="s">
        <v>1739</v>
      </c>
      <c r="C5222" t="s">
        <v>1760</v>
      </c>
      <c r="D5222" t="s">
        <v>1761</v>
      </c>
      <c r="E5222" s="8">
        <v>16380</v>
      </c>
      <c r="F5222" s="8">
        <v>51490</v>
      </c>
      <c r="G5222" s="8">
        <f t="shared" si="324"/>
        <v>843406200</v>
      </c>
      <c r="H5222" s="5">
        <v>0.2</v>
      </c>
      <c r="I5222" s="8">
        <f t="shared" si="325"/>
        <v>843406200</v>
      </c>
      <c r="J5222" s="8">
        <f t="shared" si="326"/>
        <v>168681240</v>
      </c>
      <c r="K5222" t="str">
        <f t="shared" si="327"/>
        <v>MATCHED</v>
      </c>
    </row>
    <row r="5223" spans="1:11">
      <c r="A5223" t="s">
        <v>124</v>
      </c>
      <c r="B5223" t="s">
        <v>1739</v>
      </c>
      <c r="C5223" t="s">
        <v>1762</v>
      </c>
      <c r="D5223" t="s">
        <v>1763</v>
      </c>
      <c r="E5223" s="8"/>
      <c r="F5223" s="8">
        <v>44670</v>
      </c>
      <c r="G5223" s="8" t="str">
        <f t="shared" si="324"/>
        <v/>
      </c>
      <c r="H5223" s="5">
        <v>0.1781</v>
      </c>
      <c r="I5223" s="8" t="str">
        <f t="shared" si="325"/>
        <v/>
      </c>
      <c r="J5223" s="8" t="str">
        <f t="shared" si="326"/>
        <v/>
      </c>
      <c r="K5223" t="str">
        <f t="shared" si="327"/>
        <v>MISSING OEWS</v>
      </c>
    </row>
    <row r="5224" spans="1:11">
      <c r="A5224" t="s">
        <v>124</v>
      </c>
      <c r="B5224" t="s">
        <v>1739</v>
      </c>
      <c r="C5224" t="s">
        <v>870</v>
      </c>
      <c r="D5224" t="s">
        <v>871</v>
      </c>
      <c r="E5224" s="8">
        <v>7400</v>
      </c>
      <c r="F5224" s="8">
        <v>55530</v>
      </c>
      <c r="G5224" s="8">
        <f t="shared" si="324"/>
        <v>410922000</v>
      </c>
      <c r="H5224" s="5">
        <v>0.3324</v>
      </c>
      <c r="I5224" s="8">
        <f t="shared" si="325"/>
        <v>410922000</v>
      </c>
      <c r="J5224" s="8">
        <f t="shared" si="326"/>
        <v>136590472.8</v>
      </c>
      <c r="K5224" t="str">
        <f t="shared" si="327"/>
        <v>MATCHED</v>
      </c>
    </row>
    <row r="5225" spans="1:11">
      <c r="A5225" t="s">
        <v>124</v>
      </c>
      <c r="B5225" t="s">
        <v>1739</v>
      </c>
      <c r="C5225" t="s">
        <v>1764</v>
      </c>
      <c r="D5225" t="s">
        <v>1765</v>
      </c>
      <c r="E5225" s="8">
        <v>60</v>
      </c>
      <c r="F5225" s="8">
        <v>66270</v>
      </c>
      <c r="G5225" s="8">
        <f t="shared" si="324"/>
        <v>3976200</v>
      </c>
      <c r="H5225" s="5">
        <v>0.475</v>
      </c>
      <c r="I5225" s="8">
        <f t="shared" si="325"/>
        <v>3976200</v>
      </c>
      <c r="J5225" s="8">
        <f t="shared" si="326"/>
        <v>1888695</v>
      </c>
      <c r="K5225" t="str">
        <f t="shared" si="327"/>
        <v>MATCHED</v>
      </c>
    </row>
    <row r="5226" spans="1:11">
      <c r="A5226" t="s">
        <v>124</v>
      </c>
      <c r="B5226" t="s">
        <v>1739</v>
      </c>
      <c r="C5226" t="s">
        <v>329</v>
      </c>
      <c r="D5226" t="s">
        <v>330</v>
      </c>
      <c r="E5226" s="8">
        <v>797460</v>
      </c>
      <c r="F5226" s="8">
        <v>41330</v>
      </c>
      <c r="G5226" s="8">
        <f t="shared" si="324"/>
        <v>32959021800</v>
      </c>
      <c r="H5226" s="5">
        <v>0.1357</v>
      </c>
      <c r="I5226" s="8">
        <f t="shared" si="325"/>
        <v>32959021800</v>
      </c>
      <c r="J5226" s="8">
        <f t="shared" si="326"/>
        <v>4472539258.26</v>
      </c>
      <c r="K5226" t="str">
        <f t="shared" si="327"/>
        <v>MATCHED</v>
      </c>
    </row>
    <row r="5227" spans="1:11">
      <c r="A5227" t="s">
        <v>124</v>
      </c>
      <c r="B5227" t="s">
        <v>1739</v>
      </c>
      <c r="C5227" t="s">
        <v>976</v>
      </c>
      <c r="D5227" t="s">
        <v>977</v>
      </c>
      <c r="E5227" s="8">
        <v>44350</v>
      </c>
      <c r="F5227" s="8">
        <v>44370</v>
      </c>
      <c r="G5227" s="8">
        <f t="shared" si="324"/>
        <v>1967809500</v>
      </c>
      <c r="H5227" s="5">
        <v>0</v>
      </c>
      <c r="I5227" s="8">
        <f t="shared" si="325"/>
        <v>1967809500</v>
      </c>
      <c r="J5227" s="8">
        <f t="shared" si="326"/>
        <v>0</v>
      </c>
      <c r="K5227" t="str">
        <f t="shared" si="327"/>
        <v>MATCHED</v>
      </c>
    </row>
    <row r="5228" spans="1:11">
      <c r="A5228" t="s">
        <v>124</v>
      </c>
      <c r="B5228" t="s">
        <v>1739</v>
      </c>
      <c r="C5228" t="s">
        <v>1492</v>
      </c>
      <c r="D5228" t="s">
        <v>1493</v>
      </c>
      <c r="E5228" s="8">
        <v>3480</v>
      </c>
      <c r="F5228" s="8">
        <v>32060</v>
      </c>
      <c r="G5228" s="8">
        <f t="shared" si="324"/>
        <v>111568800</v>
      </c>
      <c r="H5228" s="5">
        <v>0.0633</v>
      </c>
      <c r="I5228" s="8">
        <f t="shared" si="325"/>
        <v>111568800</v>
      </c>
      <c r="J5228" s="8">
        <f t="shared" si="326"/>
        <v>7062305.04</v>
      </c>
      <c r="K5228" t="str">
        <f t="shared" si="327"/>
        <v>MATCHED</v>
      </c>
    </row>
    <row r="5229" spans="1:11">
      <c r="A5229" t="s">
        <v>124</v>
      </c>
      <c r="B5229" t="s">
        <v>1739</v>
      </c>
      <c r="C5229" t="s">
        <v>1529</v>
      </c>
      <c r="D5229" t="s">
        <v>1530</v>
      </c>
      <c r="E5229" s="8"/>
      <c r="F5229" s="8">
        <v>43400</v>
      </c>
      <c r="G5229" s="8" t="str">
        <f t="shared" si="324"/>
        <v/>
      </c>
      <c r="H5229" s="5">
        <v>0.2942</v>
      </c>
      <c r="I5229" s="8" t="str">
        <f t="shared" si="325"/>
        <v/>
      </c>
      <c r="J5229" s="8" t="str">
        <f t="shared" si="326"/>
        <v/>
      </c>
      <c r="K5229" t="str">
        <f t="shared" si="327"/>
        <v>MISSING OEWS</v>
      </c>
    </row>
    <row r="5230" spans="1:11">
      <c r="A5230" t="s">
        <v>124</v>
      </c>
      <c r="B5230" t="s">
        <v>1739</v>
      </c>
      <c r="C5230" t="s">
        <v>1531</v>
      </c>
      <c r="D5230" t="s">
        <v>1532</v>
      </c>
      <c r="E5230" s="8">
        <v>480</v>
      </c>
      <c r="F5230" s="8">
        <v>35300</v>
      </c>
      <c r="G5230" s="8">
        <f t="shared" si="324"/>
        <v>16944000</v>
      </c>
      <c r="H5230" s="5">
        <v>0.1611</v>
      </c>
      <c r="I5230" s="8">
        <f t="shared" si="325"/>
        <v>16944000</v>
      </c>
      <c r="J5230" s="8">
        <f t="shared" si="326"/>
        <v>2729678.4</v>
      </c>
      <c r="K5230" t="str">
        <f t="shared" si="327"/>
        <v>MATCHED</v>
      </c>
    </row>
    <row r="5231" spans="1:11">
      <c r="A5231" t="s">
        <v>124</v>
      </c>
      <c r="B5231" t="s">
        <v>1739</v>
      </c>
      <c r="C5231" t="s">
        <v>872</v>
      </c>
      <c r="D5231" t="s">
        <v>873</v>
      </c>
      <c r="E5231" s="8"/>
      <c r="F5231" s="8">
        <v>40380</v>
      </c>
      <c r="G5231" s="8" t="str">
        <f t="shared" si="324"/>
        <v/>
      </c>
      <c r="H5231" s="5">
        <v>0.3357</v>
      </c>
      <c r="I5231" s="8" t="str">
        <f t="shared" si="325"/>
        <v/>
      </c>
      <c r="J5231" s="8" t="str">
        <f t="shared" si="326"/>
        <v/>
      </c>
      <c r="K5231" t="str">
        <f t="shared" si="327"/>
        <v>MISSING OEWS</v>
      </c>
    </row>
    <row r="5232" spans="1:11">
      <c r="A5232" t="s">
        <v>124</v>
      </c>
      <c r="B5232" t="s">
        <v>1739</v>
      </c>
      <c r="C5232" t="s">
        <v>978</v>
      </c>
      <c r="D5232" t="s">
        <v>979</v>
      </c>
      <c r="E5232" s="8">
        <v>1710</v>
      </c>
      <c r="F5232" s="8">
        <v>79260</v>
      </c>
      <c r="G5232" s="8">
        <f t="shared" si="324"/>
        <v>135534600</v>
      </c>
      <c r="H5232" s="5">
        <v>0.281</v>
      </c>
      <c r="I5232" s="8">
        <f t="shared" si="325"/>
        <v>135534600</v>
      </c>
      <c r="J5232" s="8">
        <f t="shared" si="326"/>
        <v>38085222.6</v>
      </c>
      <c r="K5232" t="str">
        <f t="shared" si="327"/>
        <v>MATCHED</v>
      </c>
    </row>
    <row r="5233" spans="1:11">
      <c r="A5233" t="s">
        <v>124</v>
      </c>
      <c r="B5233" t="s">
        <v>1739</v>
      </c>
      <c r="C5233" t="s">
        <v>980</v>
      </c>
      <c r="D5233" t="s">
        <v>981</v>
      </c>
      <c r="E5233" s="8"/>
      <c r="F5233" s="8">
        <v>56720</v>
      </c>
      <c r="G5233" s="8" t="str">
        <f t="shared" si="324"/>
        <v/>
      </c>
      <c r="H5233" s="5">
        <v>0.4173</v>
      </c>
      <c r="I5233" s="8" t="str">
        <f t="shared" si="325"/>
        <v/>
      </c>
      <c r="J5233" s="8" t="str">
        <f t="shared" si="326"/>
        <v/>
      </c>
      <c r="K5233" t="str">
        <f t="shared" si="327"/>
        <v>MISSING OEWS</v>
      </c>
    </row>
    <row r="5234" spans="1:11">
      <c r="A5234" t="s">
        <v>124</v>
      </c>
      <c r="B5234" t="s">
        <v>1739</v>
      </c>
      <c r="C5234" t="s">
        <v>1258</v>
      </c>
      <c r="D5234" t="s">
        <v>1259</v>
      </c>
      <c r="E5234" s="8">
        <v>840</v>
      </c>
      <c r="F5234" s="8">
        <v>35830</v>
      </c>
      <c r="G5234" s="8">
        <f t="shared" si="324"/>
        <v>30097200</v>
      </c>
      <c r="H5234" s="5">
        <v>0.05</v>
      </c>
      <c r="I5234" s="8">
        <f t="shared" si="325"/>
        <v>30097200</v>
      </c>
      <c r="J5234" s="8">
        <f t="shared" si="326"/>
        <v>1504860</v>
      </c>
      <c r="K5234" t="str">
        <f t="shared" si="327"/>
        <v>MATCHED</v>
      </c>
    </row>
    <row r="5235" spans="1:11">
      <c r="A5235" t="s">
        <v>124</v>
      </c>
      <c r="B5235" t="s">
        <v>1739</v>
      </c>
      <c r="C5235" t="s">
        <v>982</v>
      </c>
      <c r="D5235" t="s">
        <v>983</v>
      </c>
      <c r="E5235" s="8">
        <v>9150</v>
      </c>
      <c r="F5235" s="8">
        <v>36670</v>
      </c>
      <c r="G5235" s="8">
        <f t="shared" si="324"/>
        <v>335530500</v>
      </c>
      <c r="H5235" s="5">
        <v>0.25</v>
      </c>
      <c r="I5235" s="8">
        <f t="shared" si="325"/>
        <v>335530500</v>
      </c>
      <c r="J5235" s="8">
        <f t="shared" si="326"/>
        <v>83882625</v>
      </c>
      <c r="K5235" t="str">
        <f t="shared" si="327"/>
        <v>MATCHED</v>
      </c>
    </row>
    <row r="5236" spans="1:11">
      <c r="A5236" t="s">
        <v>124</v>
      </c>
      <c r="B5236" t="s">
        <v>1739</v>
      </c>
      <c r="C5236" t="s">
        <v>984</v>
      </c>
      <c r="D5236" t="s">
        <v>985</v>
      </c>
      <c r="E5236" s="8">
        <v>7260</v>
      </c>
      <c r="F5236" s="8">
        <v>41810</v>
      </c>
      <c r="G5236" s="8">
        <f t="shared" si="324"/>
        <v>303540600</v>
      </c>
      <c r="H5236" s="5">
        <v>0.1175</v>
      </c>
      <c r="I5236" s="8">
        <f t="shared" si="325"/>
        <v>303540600</v>
      </c>
      <c r="J5236" s="8">
        <f t="shared" si="326"/>
        <v>35666020.5</v>
      </c>
      <c r="K5236" t="str">
        <f t="shared" si="327"/>
        <v>MATCHED</v>
      </c>
    </row>
    <row r="5237" spans="1:11">
      <c r="A5237" t="s">
        <v>124</v>
      </c>
      <c r="B5237" t="s">
        <v>1739</v>
      </c>
      <c r="C5237" t="s">
        <v>1260</v>
      </c>
      <c r="D5237" t="s">
        <v>1261</v>
      </c>
      <c r="E5237" s="8">
        <v>550</v>
      </c>
      <c r="F5237" s="8">
        <v>40760</v>
      </c>
      <c r="G5237" s="8">
        <f t="shared" si="324"/>
        <v>22418000</v>
      </c>
      <c r="H5237" s="5">
        <v>0.0864</v>
      </c>
      <c r="I5237" s="8">
        <f t="shared" si="325"/>
        <v>22418000</v>
      </c>
      <c r="J5237" s="8">
        <f t="shared" si="326"/>
        <v>1936915.2</v>
      </c>
      <c r="K5237" t="str">
        <f t="shared" si="327"/>
        <v>MATCHED</v>
      </c>
    </row>
    <row r="5238" spans="1:11">
      <c r="A5238" t="s">
        <v>124</v>
      </c>
      <c r="B5238" t="s">
        <v>1739</v>
      </c>
      <c r="C5238" t="s">
        <v>1262</v>
      </c>
      <c r="D5238" t="s">
        <v>1263</v>
      </c>
      <c r="E5238" s="8">
        <v>790</v>
      </c>
      <c r="F5238" s="8">
        <v>42090</v>
      </c>
      <c r="G5238" s="8">
        <f t="shared" si="324"/>
        <v>33251100</v>
      </c>
      <c r="H5238" s="5"/>
      <c r="I5238" s="8" t="str">
        <f t="shared" si="325"/>
        <v/>
      </c>
      <c r="J5238" s="8" t="str">
        <f t="shared" si="326"/>
        <v/>
      </c>
      <c r="K5238" t="str">
        <f t="shared" si="327"/>
        <v>MISSING WHARTON</v>
      </c>
    </row>
    <row r="5239" spans="1:11">
      <c r="A5239" t="s">
        <v>124</v>
      </c>
      <c r="B5239" t="s">
        <v>1739</v>
      </c>
      <c r="C5239" t="s">
        <v>986</v>
      </c>
      <c r="D5239" t="s">
        <v>987</v>
      </c>
      <c r="E5239" s="8">
        <v>8630</v>
      </c>
      <c r="F5239" s="8">
        <v>35880</v>
      </c>
      <c r="G5239" s="8">
        <f t="shared" si="324"/>
        <v>309644400</v>
      </c>
      <c r="H5239" s="5">
        <v>0.0613</v>
      </c>
      <c r="I5239" s="8">
        <f t="shared" si="325"/>
        <v>309644400</v>
      </c>
      <c r="J5239" s="8">
        <f t="shared" si="326"/>
        <v>18981201.72</v>
      </c>
      <c r="K5239" t="str">
        <f t="shared" si="327"/>
        <v>MATCHED</v>
      </c>
    </row>
    <row r="5240" spans="1:11">
      <c r="A5240" t="s">
        <v>124</v>
      </c>
      <c r="B5240" t="s">
        <v>1739</v>
      </c>
      <c r="C5240" t="s">
        <v>1264</v>
      </c>
      <c r="D5240" t="s">
        <v>1265</v>
      </c>
      <c r="E5240" s="8">
        <v>3790</v>
      </c>
      <c r="F5240" s="8">
        <v>41590</v>
      </c>
      <c r="G5240" s="8">
        <f t="shared" si="324"/>
        <v>157626100</v>
      </c>
      <c r="H5240" s="5">
        <v>0.1425</v>
      </c>
      <c r="I5240" s="8">
        <f t="shared" si="325"/>
        <v>157626100</v>
      </c>
      <c r="J5240" s="8">
        <f t="shared" si="326"/>
        <v>22461719.25</v>
      </c>
      <c r="K5240" t="str">
        <f t="shared" si="327"/>
        <v>MATCHED</v>
      </c>
    </row>
    <row r="5241" spans="1:11">
      <c r="A5241" t="s">
        <v>124</v>
      </c>
      <c r="B5241" t="s">
        <v>1739</v>
      </c>
      <c r="C5241" t="s">
        <v>988</v>
      </c>
      <c r="D5241" t="s">
        <v>989</v>
      </c>
      <c r="E5241" s="8">
        <v>9060</v>
      </c>
      <c r="F5241" s="8">
        <v>34010</v>
      </c>
      <c r="G5241" s="8">
        <f t="shared" si="324"/>
        <v>308130600</v>
      </c>
      <c r="H5241" s="5">
        <v>0.2031</v>
      </c>
      <c r="I5241" s="8">
        <f t="shared" si="325"/>
        <v>308130600</v>
      </c>
      <c r="J5241" s="8">
        <f t="shared" si="326"/>
        <v>62581324.86</v>
      </c>
      <c r="K5241" t="str">
        <f t="shared" si="327"/>
        <v>MATCHED</v>
      </c>
    </row>
    <row r="5242" spans="1:11">
      <c r="A5242" t="s">
        <v>124</v>
      </c>
      <c r="B5242" t="s">
        <v>1739</v>
      </c>
      <c r="C5242" t="s">
        <v>990</v>
      </c>
      <c r="D5242" t="s">
        <v>991</v>
      </c>
      <c r="E5242" s="8">
        <v>16130</v>
      </c>
      <c r="F5242" s="8">
        <v>40850</v>
      </c>
      <c r="G5242" s="8">
        <f t="shared" si="324"/>
        <v>658910500</v>
      </c>
      <c r="H5242" s="5">
        <v>0.152</v>
      </c>
      <c r="I5242" s="8">
        <f t="shared" si="325"/>
        <v>658910500</v>
      </c>
      <c r="J5242" s="8">
        <f t="shared" si="326"/>
        <v>100154396</v>
      </c>
      <c r="K5242" t="str">
        <f t="shared" si="327"/>
        <v>MATCHED</v>
      </c>
    </row>
    <row r="5243" spans="1:11">
      <c r="A5243" t="s">
        <v>124</v>
      </c>
      <c r="B5243" t="s">
        <v>1739</v>
      </c>
      <c r="C5243" t="s">
        <v>1266</v>
      </c>
      <c r="D5243" t="s">
        <v>1267</v>
      </c>
      <c r="E5243" s="8">
        <v>9720</v>
      </c>
      <c r="F5243" s="8">
        <v>38000</v>
      </c>
      <c r="G5243" s="8">
        <f t="shared" si="324"/>
        <v>369360000</v>
      </c>
      <c r="H5243" s="5">
        <v>0.1357</v>
      </c>
      <c r="I5243" s="8">
        <f t="shared" si="325"/>
        <v>369360000</v>
      </c>
      <c r="J5243" s="8">
        <f t="shared" si="326"/>
        <v>50122152</v>
      </c>
      <c r="K5243" t="str">
        <f t="shared" si="327"/>
        <v>MATCHED</v>
      </c>
    </row>
    <row r="5244" spans="1:11">
      <c r="A5244" t="s">
        <v>124</v>
      </c>
      <c r="B5244" t="s">
        <v>1739</v>
      </c>
      <c r="C5244" t="s">
        <v>1268</v>
      </c>
      <c r="D5244" t="s">
        <v>1269</v>
      </c>
      <c r="E5244" s="8">
        <v>7260</v>
      </c>
      <c r="F5244" s="8">
        <v>34620</v>
      </c>
      <c r="G5244" s="8">
        <f t="shared" si="324"/>
        <v>251341200</v>
      </c>
      <c r="H5244" s="5">
        <v>0.0417</v>
      </c>
      <c r="I5244" s="8">
        <f t="shared" si="325"/>
        <v>251341200</v>
      </c>
      <c r="J5244" s="8">
        <f t="shared" si="326"/>
        <v>10480928.04</v>
      </c>
      <c r="K5244" t="str">
        <f t="shared" si="327"/>
        <v>MATCHED</v>
      </c>
    </row>
    <row r="5245" spans="1:11">
      <c r="A5245" t="s">
        <v>124</v>
      </c>
      <c r="B5245" t="s">
        <v>1739</v>
      </c>
      <c r="C5245" t="s">
        <v>1270</v>
      </c>
      <c r="D5245" t="s">
        <v>1271</v>
      </c>
      <c r="E5245" s="8">
        <v>9390</v>
      </c>
      <c r="F5245" s="8">
        <v>35060</v>
      </c>
      <c r="G5245" s="8">
        <f t="shared" si="324"/>
        <v>329213400</v>
      </c>
      <c r="H5245" s="5">
        <v>0</v>
      </c>
      <c r="I5245" s="8">
        <f t="shared" si="325"/>
        <v>329213400</v>
      </c>
      <c r="J5245" s="8">
        <f t="shared" si="326"/>
        <v>0</v>
      </c>
      <c r="K5245" t="str">
        <f t="shared" si="327"/>
        <v>MATCHED</v>
      </c>
    </row>
    <row r="5246" spans="1:11">
      <c r="A5246" t="s">
        <v>124</v>
      </c>
      <c r="B5246" t="s">
        <v>1739</v>
      </c>
      <c r="C5246" t="s">
        <v>1272</v>
      </c>
      <c r="D5246" t="s">
        <v>1273</v>
      </c>
      <c r="E5246" s="8">
        <v>1290</v>
      </c>
      <c r="F5246" s="8">
        <v>32110</v>
      </c>
      <c r="G5246" s="8">
        <f t="shared" si="324"/>
        <v>41421900</v>
      </c>
      <c r="H5246" s="5">
        <v>0.3023</v>
      </c>
      <c r="I5246" s="8">
        <f t="shared" si="325"/>
        <v>41421900</v>
      </c>
      <c r="J5246" s="8">
        <f t="shared" si="326"/>
        <v>12521840.37</v>
      </c>
      <c r="K5246" t="str">
        <f t="shared" si="327"/>
        <v>MATCHED</v>
      </c>
    </row>
    <row r="5247" spans="1:11">
      <c r="A5247" t="s">
        <v>124</v>
      </c>
      <c r="B5247" t="s">
        <v>1739</v>
      </c>
      <c r="C5247" t="s">
        <v>1274</v>
      </c>
      <c r="D5247" t="s">
        <v>1275</v>
      </c>
      <c r="E5247" s="8">
        <v>4210</v>
      </c>
      <c r="F5247" s="8">
        <v>38510</v>
      </c>
      <c r="G5247" s="8">
        <f t="shared" si="324"/>
        <v>162127100</v>
      </c>
      <c r="H5247" s="5"/>
      <c r="I5247" s="8" t="str">
        <f t="shared" si="325"/>
        <v/>
      </c>
      <c r="J5247" s="8" t="str">
        <f t="shared" si="326"/>
        <v/>
      </c>
      <c r="K5247" t="str">
        <f t="shared" si="327"/>
        <v>MISSING WHARTON</v>
      </c>
    </row>
    <row r="5248" spans="1:11">
      <c r="A5248" t="s">
        <v>124</v>
      </c>
      <c r="B5248" t="s">
        <v>1739</v>
      </c>
      <c r="C5248" t="s">
        <v>331</v>
      </c>
      <c r="D5248" t="s">
        <v>332</v>
      </c>
      <c r="E5248" s="8">
        <v>72550</v>
      </c>
      <c r="F5248" s="8">
        <v>52470</v>
      </c>
      <c r="G5248" s="8">
        <f t="shared" si="324"/>
        <v>3806698500</v>
      </c>
      <c r="H5248" s="5">
        <v>0.2269</v>
      </c>
      <c r="I5248" s="8">
        <f t="shared" si="325"/>
        <v>3806698500</v>
      </c>
      <c r="J5248" s="8">
        <f t="shared" si="326"/>
        <v>863739889.65</v>
      </c>
      <c r="K5248" t="str">
        <f t="shared" si="327"/>
        <v>MATCHED</v>
      </c>
    </row>
    <row r="5249" spans="1:11">
      <c r="A5249" t="s">
        <v>124</v>
      </c>
      <c r="B5249" t="s">
        <v>1739</v>
      </c>
      <c r="C5249" t="s">
        <v>333</v>
      </c>
      <c r="D5249" t="s">
        <v>334</v>
      </c>
      <c r="E5249" s="8">
        <v>92130</v>
      </c>
      <c r="F5249" s="8">
        <v>59060</v>
      </c>
      <c r="G5249" s="8">
        <f t="shared" si="324"/>
        <v>5441197800</v>
      </c>
      <c r="H5249" s="5">
        <v>0.2357</v>
      </c>
      <c r="I5249" s="8">
        <f t="shared" si="325"/>
        <v>5441197800</v>
      </c>
      <c r="J5249" s="8">
        <f t="shared" si="326"/>
        <v>1282490321.46</v>
      </c>
      <c r="K5249" t="str">
        <f t="shared" si="327"/>
        <v>MATCHED</v>
      </c>
    </row>
    <row r="5250" spans="1:11">
      <c r="A5250" t="s">
        <v>124</v>
      </c>
      <c r="B5250" t="s">
        <v>1739</v>
      </c>
      <c r="C5250" t="s">
        <v>335</v>
      </c>
      <c r="D5250" t="s">
        <v>336</v>
      </c>
      <c r="E5250" s="8">
        <v>938540</v>
      </c>
      <c r="F5250" s="8">
        <v>36450</v>
      </c>
      <c r="G5250" s="8">
        <f t="shared" ref="G5250:G5313" si="328">IF(OR(E5250="",F5250=""),"",E5250*F5250)</f>
        <v>34209783000</v>
      </c>
      <c r="H5250" s="5">
        <v>0</v>
      </c>
      <c r="I5250" s="8">
        <f t="shared" ref="I5250:I5313" si="329">IF(G5250="","",IF(ISNUMBER(H5250),G5250,""))</f>
        <v>34209783000</v>
      </c>
      <c r="J5250" s="8">
        <f t="shared" ref="J5250:J5313" si="330">IF(I5250="","",I5250*H5250)</f>
        <v>0</v>
      </c>
      <c r="K5250" t="str">
        <f t="shared" ref="K5250:K5313" si="331">IF(G5250="","MISSING OEWS",IF(ISNUMBER(H5250),"MATCHED","MISSING WHARTON"))</f>
        <v>MATCHED</v>
      </c>
    </row>
    <row r="5251" spans="1:11">
      <c r="A5251" t="s">
        <v>124</v>
      </c>
      <c r="B5251" t="s">
        <v>1739</v>
      </c>
      <c r="C5251" t="s">
        <v>337</v>
      </c>
      <c r="D5251" t="s">
        <v>338</v>
      </c>
      <c r="E5251" s="8">
        <v>142530</v>
      </c>
      <c r="F5251" s="8">
        <v>36440</v>
      </c>
      <c r="G5251" s="8">
        <f t="shared" si="328"/>
        <v>5193793200</v>
      </c>
      <c r="H5251" s="5">
        <v>0</v>
      </c>
      <c r="I5251" s="8">
        <f t="shared" si="329"/>
        <v>5193793200</v>
      </c>
      <c r="J5251" s="8">
        <f t="shared" si="330"/>
        <v>0</v>
      </c>
      <c r="K5251" t="str">
        <f t="shared" si="331"/>
        <v>MATCHED</v>
      </c>
    </row>
    <row r="5252" spans="1:11">
      <c r="A5252" t="s">
        <v>124</v>
      </c>
      <c r="B5252" t="s">
        <v>1739</v>
      </c>
      <c r="C5252" t="s">
        <v>646</v>
      </c>
      <c r="D5252" t="s">
        <v>647</v>
      </c>
      <c r="E5252" s="8">
        <v>12690</v>
      </c>
      <c r="F5252" s="8">
        <v>47290</v>
      </c>
      <c r="G5252" s="8">
        <f t="shared" si="328"/>
        <v>600110100</v>
      </c>
      <c r="H5252" s="5"/>
      <c r="I5252" s="8" t="str">
        <f t="shared" si="329"/>
        <v/>
      </c>
      <c r="J5252" s="8" t="str">
        <f t="shared" si="330"/>
        <v/>
      </c>
      <c r="K5252" t="str">
        <f t="shared" si="331"/>
        <v>MISSING WHARTON</v>
      </c>
    </row>
    <row r="5253" spans="1:11">
      <c r="A5253" t="s">
        <v>124</v>
      </c>
      <c r="B5253" t="s">
        <v>1739</v>
      </c>
      <c r="C5253" t="s">
        <v>339</v>
      </c>
      <c r="D5253" t="s">
        <v>340</v>
      </c>
      <c r="E5253" s="8">
        <v>97070</v>
      </c>
      <c r="F5253" s="8">
        <v>46060</v>
      </c>
      <c r="G5253" s="8">
        <f t="shared" si="328"/>
        <v>4471044200</v>
      </c>
      <c r="H5253" s="5">
        <v>0.1567</v>
      </c>
      <c r="I5253" s="8">
        <f t="shared" si="329"/>
        <v>4471044200</v>
      </c>
      <c r="J5253" s="8">
        <f t="shared" si="330"/>
        <v>700612626.14</v>
      </c>
      <c r="K5253" t="str">
        <f t="shared" si="331"/>
        <v>MATCHED</v>
      </c>
    </row>
    <row r="5254" spans="1:11">
      <c r="A5254" t="s">
        <v>124</v>
      </c>
      <c r="B5254" t="s">
        <v>1739</v>
      </c>
      <c r="C5254" t="s">
        <v>341</v>
      </c>
      <c r="D5254" t="s">
        <v>342</v>
      </c>
      <c r="E5254" s="8">
        <v>599270</v>
      </c>
      <c r="F5254" s="8">
        <v>42750</v>
      </c>
      <c r="G5254" s="8">
        <f t="shared" si="328"/>
        <v>25618792500</v>
      </c>
      <c r="H5254" s="5">
        <v>0</v>
      </c>
      <c r="I5254" s="8">
        <f t="shared" si="329"/>
        <v>25618792500</v>
      </c>
      <c r="J5254" s="8">
        <f t="shared" si="330"/>
        <v>0</v>
      </c>
      <c r="K5254" t="str">
        <f t="shared" si="331"/>
        <v>MATCHED</v>
      </c>
    </row>
    <row r="5255" spans="1:11">
      <c r="A5255" t="s">
        <v>124</v>
      </c>
      <c r="B5255" t="s">
        <v>1739</v>
      </c>
      <c r="C5255" t="s">
        <v>343</v>
      </c>
      <c r="D5255" t="s">
        <v>344</v>
      </c>
      <c r="E5255" s="8">
        <v>15770</v>
      </c>
      <c r="F5255" s="8">
        <v>46510</v>
      </c>
      <c r="G5255" s="8">
        <f t="shared" si="328"/>
        <v>733462700</v>
      </c>
      <c r="H5255" s="5">
        <v>0</v>
      </c>
      <c r="I5255" s="8">
        <f t="shared" si="329"/>
        <v>733462700</v>
      </c>
      <c r="J5255" s="8">
        <f t="shared" si="330"/>
        <v>0</v>
      </c>
      <c r="K5255" t="str">
        <f t="shared" si="331"/>
        <v>MATCHED</v>
      </c>
    </row>
    <row r="5256" spans="1:11">
      <c r="A5256" t="s">
        <v>124</v>
      </c>
      <c r="B5256" t="s">
        <v>1739</v>
      </c>
      <c r="C5256" t="s">
        <v>345</v>
      </c>
      <c r="D5256" t="s">
        <v>346</v>
      </c>
      <c r="E5256" s="8">
        <v>50050</v>
      </c>
      <c r="F5256" s="8">
        <v>55170</v>
      </c>
      <c r="G5256" s="8">
        <f t="shared" si="328"/>
        <v>2761258500</v>
      </c>
      <c r="H5256" s="5">
        <v>0</v>
      </c>
      <c r="I5256" s="8">
        <f t="shared" si="329"/>
        <v>2761258500</v>
      </c>
      <c r="J5256" s="8">
        <f t="shared" si="330"/>
        <v>0</v>
      </c>
      <c r="K5256" t="str">
        <f t="shared" si="331"/>
        <v>MATCHED</v>
      </c>
    </row>
    <row r="5257" spans="1:11">
      <c r="A5257" t="s">
        <v>124</v>
      </c>
      <c r="B5257" t="s">
        <v>1739</v>
      </c>
      <c r="C5257" t="s">
        <v>874</v>
      </c>
      <c r="D5257" t="s">
        <v>875</v>
      </c>
      <c r="E5257" s="8">
        <v>4880</v>
      </c>
      <c r="F5257" s="8">
        <v>45910</v>
      </c>
      <c r="G5257" s="8">
        <f t="shared" si="328"/>
        <v>224040800</v>
      </c>
      <c r="H5257" s="5"/>
      <c r="I5257" s="8" t="str">
        <f t="shared" si="329"/>
        <v/>
      </c>
      <c r="J5257" s="8" t="str">
        <f t="shared" si="330"/>
        <v/>
      </c>
      <c r="K5257" t="str">
        <f t="shared" si="331"/>
        <v>MISSING WHARTON</v>
      </c>
    </row>
    <row r="5258" spans="1:11">
      <c r="A5258" t="s">
        <v>124</v>
      </c>
      <c r="B5258" t="s">
        <v>1739</v>
      </c>
      <c r="C5258" t="s">
        <v>1585</v>
      </c>
      <c r="D5258" t="s">
        <v>1586</v>
      </c>
      <c r="E5258" s="8">
        <v>100</v>
      </c>
      <c r="F5258" s="8">
        <v>54390</v>
      </c>
      <c r="G5258" s="8">
        <f t="shared" si="328"/>
        <v>5439000</v>
      </c>
      <c r="H5258" s="5">
        <v>0.34</v>
      </c>
      <c r="I5258" s="8">
        <f t="shared" si="329"/>
        <v>5439000</v>
      </c>
      <c r="J5258" s="8">
        <f t="shared" si="330"/>
        <v>1849260</v>
      </c>
      <c r="K5258" t="str">
        <f t="shared" si="331"/>
        <v>MATCHED</v>
      </c>
    </row>
    <row r="5259" spans="1:11">
      <c r="A5259" t="s">
        <v>124</v>
      </c>
      <c r="B5259" t="s">
        <v>1739</v>
      </c>
      <c r="C5259" t="s">
        <v>347</v>
      </c>
      <c r="D5259" t="s">
        <v>348</v>
      </c>
      <c r="E5259" s="8">
        <v>950</v>
      </c>
      <c r="F5259" s="8">
        <v>50720</v>
      </c>
      <c r="G5259" s="8">
        <f t="shared" si="328"/>
        <v>48184000</v>
      </c>
      <c r="H5259" s="5">
        <v>0.2974</v>
      </c>
      <c r="I5259" s="8">
        <f t="shared" si="329"/>
        <v>48184000</v>
      </c>
      <c r="J5259" s="8">
        <f t="shared" si="330"/>
        <v>14329921.6</v>
      </c>
      <c r="K5259" t="str">
        <f t="shared" si="331"/>
        <v>MATCHED</v>
      </c>
    </row>
    <row r="5260" spans="1:11">
      <c r="A5260" t="s">
        <v>124</v>
      </c>
      <c r="B5260" t="s">
        <v>1739</v>
      </c>
      <c r="C5260" t="s">
        <v>349</v>
      </c>
      <c r="D5260" t="s">
        <v>350</v>
      </c>
      <c r="E5260" s="8">
        <v>670</v>
      </c>
      <c r="F5260" s="8">
        <v>54930</v>
      </c>
      <c r="G5260" s="8">
        <f t="shared" si="328"/>
        <v>36803100</v>
      </c>
      <c r="H5260" s="5">
        <v>0.2765</v>
      </c>
      <c r="I5260" s="8">
        <f t="shared" si="329"/>
        <v>36803100</v>
      </c>
      <c r="J5260" s="8">
        <f t="shared" si="330"/>
        <v>10176057.15</v>
      </c>
      <c r="K5260" t="str">
        <f t="shared" si="331"/>
        <v>MATCHED</v>
      </c>
    </row>
    <row r="5261" spans="1:11">
      <c r="A5261" t="s">
        <v>124</v>
      </c>
      <c r="B5261" t="s">
        <v>1739</v>
      </c>
      <c r="C5261" t="s">
        <v>353</v>
      </c>
      <c r="D5261" t="s">
        <v>354</v>
      </c>
      <c r="E5261" s="8">
        <v>1550</v>
      </c>
      <c r="F5261" s="8">
        <v>40760</v>
      </c>
      <c r="G5261" s="8">
        <f t="shared" si="328"/>
        <v>63178000</v>
      </c>
      <c r="H5261" s="5">
        <v>0.1614</v>
      </c>
      <c r="I5261" s="8">
        <f t="shared" si="329"/>
        <v>63178000</v>
      </c>
      <c r="J5261" s="8">
        <f t="shared" si="330"/>
        <v>10196929.2</v>
      </c>
      <c r="K5261" t="str">
        <f t="shared" si="331"/>
        <v>MATCHED</v>
      </c>
    </row>
    <row r="5262" spans="1:11">
      <c r="A5262" t="s">
        <v>124</v>
      </c>
      <c r="B5262" t="s">
        <v>1739</v>
      </c>
      <c r="C5262" t="s">
        <v>1587</v>
      </c>
      <c r="D5262" t="s">
        <v>1588</v>
      </c>
      <c r="E5262" s="8">
        <v>90</v>
      </c>
      <c r="F5262" s="8">
        <v>48100</v>
      </c>
      <c r="G5262" s="8">
        <f t="shared" si="328"/>
        <v>4329000</v>
      </c>
      <c r="H5262" s="5"/>
      <c r="I5262" s="8" t="str">
        <f t="shared" si="329"/>
        <v/>
      </c>
      <c r="J5262" s="8" t="str">
        <f t="shared" si="330"/>
        <v/>
      </c>
      <c r="K5262" t="str">
        <f t="shared" si="331"/>
        <v>MISSING WHARTON</v>
      </c>
    </row>
    <row r="5263" spans="1:11">
      <c r="A5263" t="s">
        <v>124</v>
      </c>
      <c r="B5263" t="s">
        <v>1739</v>
      </c>
      <c r="C5263" t="s">
        <v>1276</v>
      </c>
      <c r="D5263" t="s">
        <v>1277</v>
      </c>
      <c r="E5263" s="8">
        <v>17010</v>
      </c>
      <c r="F5263" s="8">
        <v>36290</v>
      </c>
      <c r="G5263" s="8">
        <f t="shared" si="328"/>
        <v>617292900</v>
      </c>
      <c r="H5263" s="5">
        <v>0.2109</v>
      </c>
      <c r="I5263" s="8">
        <f t="shared" si="329"/>
        <v>617292900</v>
      </c>
      <c r="J5263" s="8">
        <f t="shared" si="330"/>
        <v>130187072.61</v>
      </c>
      <c r="K5263" t="str">
        <f t="shared" si="331"/>
        <v>MATCHED</v>
      </c>
    </row>
    <row r="5264" spans="1:11">
      <c r="A5264" t="s">
        <v>124</v>
      </c>
      <c r="B5264" t="s">
        <v>1739</v>
      </c>
      <c r="C5264" t="s">
        <v>876</v>
      </c>
      <c r="D5264" t="s">
        <v>877</v>
      </c>
      <c r="E5264" s="8">
        <v>5500</v>
      </c>
      <c r="F5264" s="8">
        <v>34790</v>
      </c>
      <c r="G5264" s="8">
        <f t="shared" si="328"/>
        <v>191345000</v>
      </c>
      <c r="H5264" s="5">
        <v>0.25</v>
      </c>
      <c r="I5264" s="8">
        <f t="shared" si="329"/>
        <v>191345000</v>
      </c>
      <c r="J5264" s="8">
        <f t="shared" si="330"/>
        <v>47836250</v>
      </c>
      <c r="K5264" t="str">
        <f t="shared" si="331"/>
        <v>MATCHED</v>
      </c>
    </row>
    <row r="5265" spans="1:11">
      <c r="A5265" t="s">
        <v>124</v>
      </c>
      <c r="B5265" t="s">
        <v>1739</v>
      </c>
      <c r="C5265" t="s">
        <v>1591</v>
      </c>
      <c r="D5265" t="s">
        <v>1592</v>
      </c>
      <c r="E5265" s="8">
        <v>80</v>
      </c>
      <c r="F5265" s="8">
        <v>87480</v>
      </c>
      <c r="G5265" s="8">
        <f t="shared" si="328"/>
        <v>6998400</v>
      </c>
      <c r="H5265" s="5">
        <v>0.1238</v>
      </c>
      <c r="I5265" s="8">
        <f t="shared" si="329"/>
        <v>6998400</v>
      </c>
      <c r="J5265" s="8">
        <f t="shared" si="330"/>
        <v>866401.92</v>
      </c>
      <c r="K5265" t="str">
        <f t="shared" si="331"/>
        <v>MATCHED</v>
      </c>
    </row>
    <row r="5266" spans="1:11">
      <c r="A5266" t="s">
        <v>124</v>
      </c>
      <c r="B5266" t="s">
        <v>1739</v>
      </c>
      <c r="C5266" t="s">
        <v>1494</v>
      </c>
      <c r="D5266" t="s">
        <v>1495</v>
      </c>
      <c r="E5266" s="8"/>
      <c r="F5266" s="8">
        <v>37240</v>
      </c>
      <c r="G5266" s="8" t="str">
        <f t="shared" si="328"/>
        <v/>
      </c>
      <c r="H5266" s="5">
        <v>0.0413</v>
      </c>
      <c r="I5266" s="8" t="str">
        <f t="shared" si="329"/>
        <v/>
      </c>
      <c r="J5266" s="8" t="str">
        <f t="shared" si="330"/>
        <v/>
      </c>
      <c r="K5266" t="str">
        <f t="shared" si="331"/>
        <v>MISSING OEWS</v>
      </c>
    </row>
    <row r="5267" spans="1:11">
      <c r="A5267" t="s">
        <v>124</v>
      </c>
      <c r="B5267" t="s">
        <v>1739</v>
      </c>
      <c r="C5267" t="s">
        <v>1593</v>
      </c>
      <c r="D5267" t="s">
        <v>1594</v>
      </c>
      <c r="E5267" s="8">
        <v>250</v>
      </c>
      <c r="F5267" s="8">
        <v>34730</v>
      </c>
      <c r="G5267" s="8">
        <f t="shared" si="328"/>
        <v>8682500</v>
      </c>
      <c r="H5267" s="5"/>
      <c r="I5267" s="8" t="str">
        <f t="shared" si="329"/>
        <v/>
      </c>
      <c r="J5267" s="8" t="str">
        <f t="shared" si="330"/>
        <v/>
      </c>
      <c r="K5267" t="str">
        <f t="shared" si="331"/>
        <v>MISSING WHARTON</v>
      </c>
    </row>
    <row r="5268" spans="1:11">
      <c r="A5268" t="s">
        <v>124</v>
      </c>
      <c r="B5268" t="s">
        <v>1739</v>
      </c>
      <c r="C5268" t="s">
        <v>1766</v>
      </c>
      <c r="D5268" t="s">
        <v>1767</v>
      </c>
      <c r="E5268" s="8"/>
      <c r="F5268" s="8">
        <v>57280</v>
      </c>
      <c r="G5268" s="8" t="str">
        <f t="shared" si="328"/>
        <v/>
      </c>
      <c r="H5268" s="5">
        <v>0.1727</v>
      </c>
      <c r="I5268" s="8" t="str">
        <f t="shared" si="329"/>
        <v/>
      </c>
      <c r="J5268" s="8" t="str">
        <f t="shared" si="330"/>
        <v/>
      </c>
      <c r="K5268" t="str">
        <f t="shared" si="331"/>
        <v>MISSING OEWS</v>
      </c>
    </row>
    <row r="5269" spans="1:11">
      <c r="A5269" t="s">
        <v>124</v>
      </c>
      <c r="B5269" t="s">
        <v>1739</v>
      </c>
      <c r="C5269" t="s">
        <v>992</v>
      </c>
      <c r="D5269" t="s">
        <v>993</v>
      </c>
      <c r="E5269" s="8">
        <v>970</v>
      </c>
      <c r="F5269" s="8">
        <v>51100</v>
      </c>
      <c r="G5269" s="8">
        <f t="shared" si="328"/>
        <v>49567000</v>
      </c>
      <c r="H5269" s="5">
        <v>0.1239</v>
      </c>
      <c r="I5269" s="8">
        <f t="shared" si="329"/>
        <v>49567000</v>
      </c>
      <c r="J5269" s="8">
        <f t="shared" si="330"/>
        <v>6141351.3</v>
      </c>
      <c r="K5269" t="str">
        <f t="shared" si="331"/>
        <v>MATCHED</v>
      </c>
    </row>
    <row r="5270" spans="1:11">
      <c r="A5270" t="s">
        <v>124</v>
      </c>
      <c r="B5270" t="s">
        <v>1739</v>
      </c>
      <c r="C5270" t="s">
        <v>1595</v>
      </c>
      <c r="D5270" t="s">
        <v>1596</v>
      </c>
      <c r="E5270" s="8">
        <v>80</v>
      </c>
      <c r="F5270" s="8">
        <v>133980</v>
      </c>
      <c r="G5270" s="8">
        <f t="shared" si="328"/>
        <v>10718400</v>
      </c>
      <c r="H5270" s="5">
        <v>0.0786</v>
      </c>
      <c r="I5270" s="8">
        <f t="shared" si="329"/>
        <v>10718400</v>
      </c>
      <c r="J5270" s="8">
        <f t="shared" si="330"/>
        <v>842466.24</v>
      </c>
      <c r="K5270" t="str">
        <f t="shared" si="331"/>
        <v>MATCHED</v>
      </c>
    </row>
    <row r="5271" spans="1:11">
      <c r="A5271" t="s">
        <v>124</v>
      </c>
      <c r="B5271" t="s">
        <v>1739</v>
      </c>
      <c r="C5271" t="s">
        <v>1768</v>
      </c>
      <c r="D5271" t="s">
        <v>1769</v>
      </c>
      <c r="E5271" s="8"/>
      <c r="F5271" s="8">
        <v>35140</v>
      </c>
      <c r="G5271" s="8" t="str">
        <f t="shared" si="328"/>
        <v/>
      </c>
      <c r="H5271" s="5">
        <v>0.2375</v>
      </c>
      <c r="I5271" s="8" t="str">
        <f t="shared" si="329"/>
        <v/>
      </c>
      <c r="J5271" s="8" t="str">
        <f t="shared" si="330"/>
        <v/>
      </c>
      <c r="K5271" t="str">
        <f t="shared" si="331"/>
        <v>MISSING OEWS</v>
      </c>
    </row>
    <row r="5272" spans="1:11">
      <c r="A5272" t="s">
        <v>124</v>
      </c>
      <c r="B5272" t="s">
        <v>1739</v>
      </c>
      <c r="C5272" t="s">
        <v>1449</v>
      </c>
      <c r="D5272" t="s">
        <v>1450</v>
      </c>
      <c r="E5272" s="8">
        <v>400</v>
      </c>
      <c r="F5272" s="8">
        <v>53920</v>
      </c>
      <c r="G5272" s="8">
        <f t="shared" si="328"/>
        <v>21568000</v>
      </c>
      <c r="H5272" s="5">
        <v>0.1056</v>
      </c>
      <c r="I5272" s="8">
        <f t="shared" si="329"/>
        <v>21568000</v>
      </c>
      <c r="J5272" s="8">
        <f t="shared" si="330"/>
        <v>2277580.8</v>
      </c>
      <c r="K5272" t="str">
        <f t="shared" si="331"/>
        <v>MATCHED</v>
      </c>
    </row>
    <row r="5273" spans="1:11">
      <c r="A5273" t="s">
        <v>124</v>
      </c>
      <c r="B5273" t="s">
        <v>1739</v>
      </c>
      <c r="C5273" t="s">
        <v>1498</v>
      </c>
      <c r="D5273" t="s">
        <v>1499</v>
      </c>
      <c r="E5273" s="8">
        <v>850</v>
      </c>
      <c r="F5273" s="8">
        <v>39220</v>
      </c>
      <c r="G5273" s="8">
        <f t="shared" si="328"/>
        <v>33337000</v>
      </c>
      <c r="H5273" s="5">
        <v>0.3353</v>
      </c>
      <c r="I5273" s="8">
        <f t="shared" si="329"/>
        <v>33337000</v>
      </c>
      <c r="J5273" s="8">
        <f t="shared" si="330"/>
        <v>11177896.1</v>
      </c>
      <c r="K5273" t="str">
        <f t="shared" si="331"/>
        <v>MATCHED</v>
      </c>
    </row>
    <row r="5274" spans="1:11">
      <c r="A5274" t="s">
        <v>124</v>
      </c>
      <c r="B5274" t="s">
        <v>1739</v>
      </c>
      <c r="C5274" t="s">
        <v>994</v>
      </c>
      <c r="D5274" t="s">
        <v>995</v>
      </c>
      <c r="E5274" s="8">
        <v>5120</v>
      </c>
      <c r="F5274" s="8">
        <v>42890</v>
      </c>
      <c r="G5274" s="8">
        <f t="shared" si="328"/>
        <v>219596800</v>
      </c>
      <c r="H5274" s="5">
        <v>0.65</v>
      </c>
      <c r="I5274" s="8">
        <f t="shared" si="329"/>
        <v>219596800</v>
      </c>
      <c r="J5274" s="8">
        <f t="shared" si="330"/>
        <v>142737920</v>
      </c>
      <c r="K5274" t="str">
        <f t="shared" si="331"/>
        <v>MATCHED</v>
      </c>
    </row>
    <row r="5275" spans="1:11">
      <c r="A5275" t="s">
        <v>124</v>
      </c>
      <c r="B5275" t="s">
        <v>1739</v>
      </c>
      <c r="C5275" t="s">
        <v>1278</v>
      </c>
      <c r="D5275" t="s">
        <v>1279</v>
      </c>
      <c r="E5275" s="8">
        <v>8580</v>
      </c>
      <c r="F5275" s="8">
        <v>51270</v>
      </c>
      <c r="G5275" s="8">
        <f t="shared" si="328"/>
        <v>439896600</v>
      </c>
      <c r="H5275" s="5">
        <v>0.3177</v>
      </c>
      <c r="I5275" s="8">
        <f t="shared" si="329"/>
        <v>439896600</v>
      </c>
      <c r="J5275" s="8">
        <f t="shared" si="330"/>
        <v>139755149.82</v>
      </c>
      <c r="K5275" t="str">
        <f t="shared" si="331"/>
        <v>MATCHED</v>
      </c>
    </row>
    <row r="5276" spans="1:11">
      <c r="A5276" t="s">
        <v>124</v>
      </c>
      <c r="B5276" t="s">
        <v>1739</v>
      </c>
      <c r="C5276" t="s">
        <v>996</v>
      </c>
      <c r="D5276" t="s">
        <v>997</v>
      </c>
      <c r="E5276" s="8">
        <v>6970</v>
      </c>
      <c r="F5276" s="8">
        <v>37180</v>
      </c>
      <c r="G5276" s="8">
        <f t="shared" si="328"/>
        <v>259144600</v>
      </c>
      <c r="H5276" s="5">
        <v>0.105</v>
      </c>
      <c r="I5276" s="8">
        <f t="shared" si="329"/>
        <v>259144600</v>
      </c>
      <c r="J5276" s="8">
        <f t="shared" si="330"/>
        <v>27210183</v>
      </c>
      <c r="K5276" t="str">
        <f t="shared" si="331"/>
        <v>MATCHED</v>
      </c>
    </row>
    <row r="5277" spans="1:11">
      <c r="A5277" t="s">
        <v>124</v>
      </c>
      <c r="B5277" t="s">
        <v>1739</v>
      </c>
      <c r="C5277" t="s">
        <v>998</v>
      </c>
      <c r="D5277" t="s">
        <v>999</v>
      </c>
      <c r="E5277" s="8">
        <v>1050</v>
      </c>
      <c r="F5277" s="8">
        <v>68110</v>
      </c>
      <c r="G5277" s="8">
        <f t="shared" si="328"/>
        <v>71515500</v>
      </c>
      <c r="H5277" s="5">
        <v>0.0636</v>
      </c>
      <c r="I5277" s="8">
        <f t="shared" si="329"/>
        <v>71515500</v>
      </c>
      <c r="J5277" s="8">
        <f t="shared" si="330"/>
        <v>4548385.8</v>
      </c>
      <c r="K5277" t="str">
        <f t="shared" si="331"/>
        <v>MATCHED</v>
      </c>
    </row>
    <row r="5278" spans="1:11">
      <c r="A5278" t="s">
        <v>124</v>
      </c>
      <c r="B5278" t="s">
        <v>1739</v>
      </c>
      <c r="C5278" t="s">
        <v>1280</v>
      </c>
      <c r="D5278" t="s">
        <v>1281</v>
      </c>
      <c r="E5278" s="8">
        <v>2960</v>
      </c>
      <c r="F5278" s="8">
        <v>36670</v>
      </c>
      <c r="G5278" s="8">
        <f t="shared" si="328"/>
        <v>108543200</v>
      </c>
      <c r="H5278" s="5">
        <v>0.1667</v>
      </c>
      <c r="I5278" s="8">
        <f t="shared" si="329"/>
        <v>108543200</v>
      </c>
      <c r="J5278" s="8">
        <f t="shared" si="330"/>
        <v>18094151.44</v>
      </c>
      <c r="K5278" t="str">
        <f t="shared" si="331"/>
        <v>MATCHED</v>
      </c>
    </row>
    <row r="5279" spans="1:11">
      <c r="A5279" t="s">
        <v>124</v>
      </c>
      <c r="B5279" t="s">
        <v>1739</v>
      </c>
      <c r="C5279" t="s">
        <v>1282</v>
      </c>
      <c r="D5279" t="s">
        <v>1283</v>
      </c>
      <c r="E5279" s="8">
        <v>350</v>
      </c>
      <c r="F5279" s="8">
        <v>43540</v>
      </c>
      <c r="G5279" s="8">
        <f t="shared" si="328"/>
        <v>15239000</v>
      </c>
      <c r="H5279" s="5">
        <v>0.2917</v>
      </c>
      <c r="I5279" s="8">
        <f t="shared" si="329"/>
        <v>15239000</v>
      </c>
      <c r="J5279" s="8">
        <f t="shared" si="330"/>
        <v>4445216.3</v>
      </c>
      <c r="K5279" t="str">
        <f t="shared" si="331"/>
        <v>MATCHED</v>
      </c>
    </row>
    <row r="5280" spans="1:11">
      <c r="A5280" t="s">
        <v>124</v>
      </c>
      <c r="B5280" t="s">
        <v>1739</v>
      </c>
      <c r="C5280" t="s">
        <v>1500</v>
      </c>
      <c r="D5280" t="s">
        <v>1501</v>
      </c>
      <c r="E5280" s="8">
        <v>1080</v>
      </c>
      <c r="F5280" s="8">
        <v>34440</v>
      </c>
      <c r="G5280" s="8">
        <f t="shared" si="328"/>
        <v>37195200</v>
      </c>
      <c r="H5280" s="5"/>
      <c r="I5280" s="8" t="str">
        <f t="shared" si="329"/>
        <v/>
      </c>
      <c r="J5280" s="8" t="str">
        <f t="shared" si="330"/>
        <v/>
      </c>
      <c r="K5280" t="str">
        <f t="shared" si="331"/>
        <v>MISSING WHARTON</v>
      </c>
    </row>
    <row r="5281" spans="1:11">
      <c r="A5281" t="s">
        <v>124</v>
      </c>
      <c r="B5281" t="s">
        <v>1739</v>
      </c>
      <c r="C5281" t="s">
        <v>355</v>
      </c>
      <c r="D5281" t="s">
        <v>356</v>
      </c>
      <c r="E5281" s="8">
        <v>7430</v>
      </c>
      <c r="F5281" s="8">
        <v>53790</v>
      </c>
      <c r="G5281" s="8">
        <f t="shared" si="328"/>
        <v>399659700</v>
      </c>
      <c r="H5281" s="5">
        <v>0.4476</v>
      </c>
      <c r="I5281" s="8">
        <f t="shared" si="329"/>
        <v>399659700</v>
      </c>
      <c r="J5281" s="8">
        <f t="shared" si="330"/>
        <v>178887681.72</v>
      </c>
      <c r="K5281" t="str">
        <f t="shared" si="331"/>
        <v>MATCHED</v>
      </c>
    </row>
    <row r="5282" spans="1:11">
      <c r="A5282" t="s">
        <v>124</v>
      </c>
      <c r="B5282" t="s">
        <v>1739</v>
      </c>
      <c r="C5282" t="s">
        <v>357</v>
      </c>
      <c r="D5282" t="s">
        <v>358</v>
      </c>
      <c r="E5282" s="8">
        <v>10760</v>
      </c>
      <c r="F5282" s="8">
        <v>84980</v>
      </c>
      <c r="G5282" s="8">
        <f t="shared" si="328"/>
        <v>914384800</v>
      </c>
      <c r="H5282" s="5">
        <v>0.4833</v>
      </c>
      <c r="I5282" s="8">
        <f t="shared" si="329"/>
        <v>914384800</v>
      </c>
      <c r="J5282" s="8">
        <f t="shared" si="330"/>
        <v>441922173.84</v>
      </c>
      <c r="K5282" t="str">
        <f t="shared" si="331"/>
        <v>MATCHED</v>
      </c>
    </row>
    <row r="5283" spans="1:11">
      <c r="A5283" t="s">
        <v>124</v>
      </c>
      <c r="B5283" t="s">
        <v>1739</v>
      </c>
      <c r="C5283" t="s">
        <v>648</v>
      </c>
      <c r="D5283" t="s">
        <v>649</v>
      </c>
      <c r="E5283" s="8">
        <v>11300</v>
      </c>
      <c r="F5283" s="8">
        <v>34560</v>
      </c>
      <c r="G5283" s="8">
        <f t="shared" si="328"/>
        <v>390528000</v>
      </c>
      <c r="H5283" s="5">
        <v>0.6672</v>
      </c>
      <c r="I5283" s="8">
        <f t="shared" si="329"/>
        <v>390528000</v>
      </c>
      <c r="J5283" s="8">
        <f t="shared" si="330"/>
        <v>260560281.6</v>
      </c>
      <c r="K5283" t="str">
        <f t="shared" si="331"/>
        <v>MATCHED</v>
      </c>
    </row>
    <row r="5284" spans="1:11">
      <c r="A5284" t="s">
        <v>124</v>
      </c>
      <c r="B5284" t="s">
        <v>1739</v>
      </c>
      <c r="C5284" t="s">
        <v>878</v>
      </c>
      <c r="D5284" t="s">
        <v>879</v>
      </c>
      <c r="E5284" s="8">
        <v>21980</v>
      </c>
      <c r="F5284" s="8">
        <v>38700</v>
      </c>
      <c r="G5284" s="8">
        <f t="shared" si="328"/>
        <v>850626000</v>
      </c>
      <c r="H5284" s="5">
        <v>0.7719</v>
      </c>
      <c r="I5284" s="8">
        <f t="shared" si="329"/>
        <v>850626000</v>
      </c>
      <c r="J5284" s="8">
        <f t="shared" si="330"/>
        <v>656598209.4</v>
      </c>
      <c r="K5284" t="str">
        <f t="shared" si="331"/>
        <v>MATCHED</v>
      </c>
    </row>
    <row r="5285" spans="1:11">
      <c r="A5285" t="s">
        <v>124</v>
      </c>
      <c r="B5285" t="s">
        <v>1739</v>
      </c>
      <c r="C5285" t="s">
        <v>1000</v>
      </c>
      <c r="D5285" t="s">
        <v>1001</v>
      </c>
      <c r="E5285" s="8">
        <v>740</v>
      </c>
      <c r="F5285" s="8">
        <v>42380</v>
      </c>
      <c r="G5285" s="8">
        <f t="shared" si="328"/>
        <v>31361200</v>
      </c>
      <c r="H5285" s="5">
        <v>0.3737</v>
      </c>
      <c r="I5285" s="8">
        <f t="shared" si="329"/>
        <v>31361200</v>
      </c>
      <c r="J5285" s="8">
        <f t="shared" si="330"/>
        <v>11719680.44</v>
      </c>
      <c r="K5285" t="str">
        <f t="shared" si="331"/>
        <v>MATCHED</v>
      </c>
    </row>
    <row r="5286" spans="1:11">
      <c r="A5286" t="s">
        <v>124</v>
      </c>
      <c r="B5286" t="s">
        <v>1739</v>
      </c>
      <c r="C5286" t="s">
        <v>359</v>
      </c>
      <c r="D5286" t="s">
        <v>360</v>
      </c>
      <c r="E5286" s="8">
        <v>34740</v>
      </c>
      <c r="F5286" s="8">
        <v>38780</v>
      </c>
      <c r="G5286" s="8">
        <f t="shared" si="328"/>
        <v>1347217200</v>
      </c>
      <c r="H5286" s="5">
        <v>0.4938</v>
      </c>
      <c r="I5286" s="8">
        <f t="shared" si="329"/>
        <v>1347217200</v>
      </c>
      <c r="J5286" s="8">
        <f t="shared" si="330"/>
        <v>665255853.36</v>
      </c>
      <c r="K5286" t="str">
        <f t="shared" si="331"/>
        <v>MATCHED</v>
      </c>
    </row>
    <row r="5287" spans="1:11">
      <c r="A5287" t="s">
        <v>124</v>
      </c>
      <c r="B5287" t="s">
        <v>1739</v>
      </c>
      <c r="C5287" t="s">
        <v>1002</v>
      </c>
      <c r="D5287" t="s">
        <v>1003</v>
      </c>
      <c r="E5287" s="8"/>
      <c r="F5287" s="8">
        <v>79040</v>
      </c>
      <c r="G5287" s="8" t="str">
        <f t="shared" si="328"/>
        <v/>
      </c>
      <c r="H5287" s="5">
        <v>0.6725</v>
      </c>
      <c r="I5287" s="8" t="str">
        <f t="shared" si="329"/>
        <v/>
      </c>
      <c r="J5287" s="8" t="str">
        <f t="shared" si="330"/>
        <v/>
      </c>
      <c r="K5287" t="str">
        <f t="shared" si="331"/>
        <v>MISSING OEWS</v>
      </c>
    </row>
    <row r="5288" spans="1:11">
      <c r="A5288" t="s">
        <v>124</v>
      </c>
      <c r="B5288" t="s">
        <v>1739</v>
      </c>
      <c r="C5288" t="s">
        <v>1004</v>
      </c>
      <c r="D5288" t="s">
        <v>1005</v>
      </c>
      <c r="E5288" s="8">
        <v>5190</v>
      </c>
      <c r="F5288" s="8">
        <v>67950</v>
      </c>
      <c r="G5288" s="8">
        <f t="shared" si="328"/>
        <v>352660500</v>
      </c>
      <c r="H5288" s="5">
        <v>0.6684</v>
      </c>
      <c r="I5288" s="8">
        <f t="shared" si="329"/>
        <v>352660500</v>
      </c>
      <c r="J5288" s="8">
        <f t="shared" si="330"/>
        <v>235718278.2</v>
      </c>
      <c r="K5288" t="str">
        <f t="shared" si="331"/>
        <v>MATCHED</v>
      </c>
    </row>
    <row r="5289" spans="1:11">
      <c r="A5289" t="s">
        <v>124</v>
      </c>
      <c r="B5289" t="s">
        <v>1739</v>
      </c>
      <c r="C5289" t="s">
        <v>1533</v>
      </c>
      <c r="D5289" t="s">
        <v>1534</v>
      </c>
      <c r="E5289" s="8">
        <v>46080</v>
      </c>
      <c r="F5289" s="8">
        <v>54320</v>
      </c>
      <c r="G5289" s="8">
        <f t="shared" si="328"/>
        <v>2503065600</v>
      </c>
      <c r="H5289" s="5">
        <v>0.925</v>
      </c>
      <c r="I5289" s="8">
        <f t="shared" si="329"/>
        <v>2503065600</v>
      </c>
      <c r="J5289" s="8">
        <f t="shared" si="330"/>
        <v>2315335680</v>
      </c>
      <c r="K5289" t="str">
        <f t="shared" si="331"/>
        <v>MATCHED</v>
      </c>
    </row>
    <row r="5290" spans="1:11">
      <c r="A5290" t="s">
        <v>124</v>
      </c>
      <c r="B5290" t="s">
        <v>1739</v>
      </c>
      <c r="C5290" t="s">
        <v>361</v>
      </c>
      <c r="D5290" t="s">
        <v>362</v>
      </c>
      <c r="E5290" s="8">
        <v>162520</v>
      </c>
      <c r="F5290" s="8">
        <v>73440</v>
      </c>
      <c r="G5290" s="8">
        <f t="shared" si="328"/>
        <v>11935468800</v>
      </c>
      <c r="H5290" s="5">
        <v>0.73</v>
      </c>
      <c r="I5290" s="8">
        <f t="shared" si="329"/>
        <v>11935468800</v>
      </c>
      <c r="J5290" s="8">
        <f t="shared" si="330"/>
        <v>8712892224</v>
      </c>
      <c r="K5290" t="str">
        <f t="shared" si="331"/>
        <v>MATCHED</v>
      </c>
    </row>
    <row r="5291" spans="1:11">
      <c r="A5291" t="s">
        <v>124</v>
      </c>
      <c r="B5291" t="s">
        <v>1739</v>
      </c>
      <c r="C5291" t="s">
        <v>652</v>
      </c>
      <c r="D5291" t="s">
        <v>653</v>
      </c>
      <c r="E5291" s="8">
        <v>2510</v>
      </c>
      <c r="F5291" s="8">
        <v>96860</v>
      </c>
      <c r="G5291" s="8">
        <f t="shared" si="328"/>
        <v>243118600</v>
      </c>
      <c r="H5291" s="5">
        <v>0.6463</v>
      </c>
      <c r="I5291" s="8">
        <f t="shared" si="329"/>
        <v>243118600</v>
      </c>
      <c r="J5291" s="8">
        <f t="shared" si="330"/>
        <v>157127551.18</v>
      </c>
      <c r="K5291" t="str">
        <f t="shared" si="331"/>
        <v>MATCHED</v>
      </c>
    </row>
    <row r="5292" spans="1:11">
      <c r="A5292" t="s">
        <v>124</v>
      </c>
      <c r="B5292" t="s">
        <v>1739</v>
      </c>
      <c r="C5292" t="s">
        <v>363</v>
      </c>
      <c r="D5292" t="s">
        <v>364</v>
      </c>
      <c r="E5292" s="8">
        <v>16810</v>
      </c>
      <c r="F5292" s="8">
        <v>77110</v>
      </c>
      <c r="G5292" s="8">
        <f t="shared" si="328"/>
        <v>1296219100</v>
      </c>
      <c r="H5292" s="5">
        <v>0.5105</v>
      </c>
      <c r="I5292" s="8">
        <f t="shared" si="329"/>
        <v>1296219100</v>
      </c>
      <c r="J5292" s="8">
        <f t="shared" si="330"/>
        <v>661719850.55</v>
      </c>
      <c r="K5292" t="str">
        <f t="shared" si="331"/>
        <v>MATCHED</v>
      </c>
    </row>
    <row r="5293" spans="1:11">
      <c r="A5293" t="s">
        <v>124</v>
      </c>
      <c r="B5293" t="s">
        <v>1739</v>
      </c>
      <c r="C5293" t="s">
        <v>1006</v>
      </c>
      <c r="D5293" t="s">
        <v>1007</v>
      </c>
      <c r="E5293" s="8"/>
      <c r="F5293" s="8">
        <v>52310</v>
      </c>
      <c r="G5293" s="8" t="str">
        <f t="shared" si="328"/>
        <v/>
      </c>
      <c r="H5293" s="5">
        <v>0.3062</v>
      </c>
      <c r="I5293" s="8" t="str">
        <f t="shared" si="329"/>
        <v/>
      </c>
      <c r="J5293" s="8" t="str">
        <f t="shared" si="330"/>
        <v/>
      </c>
      <c r="K5293" t="str">
        <f t="shared" si="331"/>
        <v>MISSING OEWS</v>
      </c>
    </row>
    <row r="5294" spans="1:11">
      <c r="A5294" t="s">
        <v>124</v>
      </c>
      <c r="B5294" t="s">
        <v>1739</v>
      </c>
      <c r="C5294" t="s">
        <v>1451</v>
      </c>
      <c r="D5294" t="s">
        <v>1452</v>
      </c>
      <c r="E5294" s="8"/>
      <c r="F5294" s="8">
        <v>94030</v>
      </c>
      <c r="G5294" s="8" t="str">
        <f t="shared" si="328"/>
        <v/>
      </c>
      <c r="H5294" s="5">
        <v>0.2071</v>
      </c>
      <c r="I5294" s="8" t="str">
        <f t="shared" si="329"/>
        <v/>
      </c>
      <c r="J5294" s="8" t="str">
        <f t="shared" si="330"/>
        <v/>
      </c>
      <c r="K5294" t="str">
        <f t="shared" si="331"/>
        <v>MISSING OEWS</v>
      </c>
    </row>
    <row r="5295" spans="1:11">
      <c r="A5295" t="s">
        <v>124</v>
      </c>
      <c r="B5295" t="s">
        <v>1739</v>
      </c>
      <c r="C5295" t="s">
        <v>1008</v>
      </c>
      <c r="D5295" t="s">
        <v>1009</v>
      </c>
      <c r="E5295" s="8">
        <v>140</v>
      </c>
      <c r="F5295" s="8">
        <v>81490</v>
      </c>
      <c r="G5295" s="8">
        <f t="shared" si="328"/>
        <v>11408600</v>
      </c>
      <c r="H5295" s="5">
        <v>0.5816</v>
      </c>
      <c r="I5295" s="8">
        <f t="shared" si="329"/>
        <v>11408600</v>
      </c>
      <c r="J5295" s="8">
        <f t="shared" si="330"/>
        <v>6635241.76</v>
      </c>
      <c r="K5295" t="str">
        <f t="shared" si="331"/>
        <v>MATCHED</v>
      </c>
    </row>
    <row r="5296" spans="1:11">
      <c r="A5296" t="s">
        <v>124</v>
      </c>
      <c r="B5296" t="s">
        <v>1739</v>
      </c>
      <c r="C5296" t="s">
        <v>654</v>
      </c>
      <c r="D5296" t="s">
        <v>655</v>
      </c>
      <c r="E5296" s="8"/>
      <c r="F5296" s="8">
        <v>48490</v>
      </c>
      <c r="G5296" s="8" t="str">
        <f t="shared" si="328"/>
        <v/>
      </c>
      <c r="H5296" s="5">
        <v>0.5939</v>
      </c>
      <c r="I5296" s="8" t="str">
        <f t="shared" si="329"/>
        <v/>
      </c>
      <c r="J5296" s="8" t="str">
        <f t="shared" si="330"/>
        <v/>
      </c>
      <c r="K5296" t="str">
        <f t="shared" si="331"/>
        <v>MISSING OEWS</v>
      </c>
    </row>
    <row r="5297" spans="1:11">
      <c r="A5297" t="s">
        <v>124</v>
      </c>
      <c r="B5297" t="s">
        <v>1739</v>
      </c>
      <c r="C5297" t="s">
        <v>656</v>
      </c>
      <c r="D5297" t="s">
        <v>657</v>
      </c>
      <c r="E5297" s="8">
        <v>890</v>
      </c>
      <c r="F5297" s="8">
        <v>124600</v>
      </c>
      <c r="G5297" s="8">
        <f t="shared" si="328"/>
        <v>110894000</v>
      </c>
      <c r="H5297" s="5">
        <v>0.518</v>
      </c>
      <c r="I5297" s="8">
        <f t="shared" si="329"/>
        <v>110894000</v>
      </c>
      <c r="J5297" s="8">
        <f t="shared" si="330"/>
        <v>57443092</v>
      </c>
      <c r="K5297" t="str">
        <f t="shared" si="331"/>
        <v>MATCHED</v>
      </c>
    </row>
    <row r="5298" spans="1:11">
      <c r="A5298" t="s">
        <v>124</v>
      </c>
      <c r="B5298" t="s">
        <v>1739</v>
      </c>
      <c r="C5298" t="s">
        <v>1010</v>
      </c>
      <c r="D5298" t="s">
        <v>1011</v>
      </c>
      <c r="E5298" s="8">
        <v>39850</v>
      </c>
      <c r="F5298" s="8">
        <v>34260</v>
      </c>
      <c r="G5298" s="8">
        <f t="shared" si="328"/>
        <v>1365261000</v>
      </c>
      <c r="H5298" s="5">
        <v>0.9625</v>
      </c>
      <c r="I5298" s="8">
        <f t="shared" si="329"/>
        <v>1365261000</v>
      </c>
      <c r="J5298" s="8">
        <f t="shared" si="330"/>
        <v>1314063712.5</v>
      </c>
      <c r="K5298" t="str">
        <f t="shared" si="331"/>
        <v>MATCHED</v>
      </c>
    </row>
    <row r="5299" spans="1:11">
      <c r="A5299" t="s">
        <v>124</v>
      </c>
      <c r="B5299" t="s">
        <v>1739</v>
      </c>
      <c r="C5299" t="s">
        <v>1012</v>
      </c>
      <c r="D5299" t="s">
        <v>1013</v>
      </c>
      <c r="E5299" s="8"/>
      <c r="F5299" s="8">
        <v>44500</v>
      </c>
      <c r="G5299" s="8" t="str">
        <f t="shared" si="328"/>
        <v/>
      </c>
      <c r="H5299" s="5">
        <v>0.3167</v>
      </c>
      <c r="I5299" s="8" t="str">
        <f t="shared" si="329"/>
        <v/>
      </c>
      <c r="J5299" s="8" t="str">
        <f t="shared" si="330"/>
        <v/>
      </c>
      <c r="K5299" t="str">
        <f t="shared" si="331"/>
        <v>MISSING OEWS</v>
      </c>
    </row>
    <row r="5300" spans="1:11">
      <c r="A5300" t="s">
        <v>124</v>
      </c>
      <c r="B5300" t="s">
        <v>1739</v>
      </c>
      <c r="C5300" t="s">
        <v>365</v>
      </c>
      <c r="D5300" t="s">
        <v>366</v>
      </c>
      <c r="E5300" s="8">
        <v>5260</v>
      </c>
      <c r="F5300" s="8">
        <v>65470</v>
      </c>
      <c r="G5300" s="8">
        <f t="shared" si="328"/>
        <v>344372200</v>
      </c>
      <c r="H5300" s="5"/>
      <c r="I5300" s="8" t="str">
        <f t="shared" si="329"/>
        <v/>
      </c>
      <c r="J5300" s="8" t="str">
        <f t="shared" si="330"/>
        <v/>
      </c>
      <c r="K5300" t="str">
        <f t="shared" si="331"/>
        <v>MISSING WHARTON</v>
      </c>
    </row>
    <row r="5301" spans="1:11">
      <c r="A5301" t="s">
        <v>124</v>
      </c>
      <c r="B5301" t="s">
        <v>1739</v>
      </c>
      <c r="C5301" t="s">
        <v>367</v>
      </c>
      <c r="D5301" t="s">
        <v>368</v>
      </c>
      <c r="E5301" s="8">
        <v>100080</v>
      </c>
      <c r="F5301" s="8">
        <v>68580</v>
      </c>
      <c r="G5301" s="8">
        <f t="shared" si="328"/>
        <v>6863486400</v>
      </c>
      <c r="H5301" s="5">
        <v>0.5034</v>
      </c>
      <c r="I5301" s="8">
        <f t="shared" si="329"/>
        <v>6863486400</v>
      </c>
      <c r="J5301" s="8">
        <f t="shared" si="330"/>
        <v>3455079053.76</v>
      </c>
      <c r="K5301" t="str">
        <f t="shared" si="331"/>
        <v>MATCHED</v>
      </c>
    </row>
    <row r="5302" spans="1:11">
      <c r="A5302" t="s">
        <v>124</v>
      </c>
      <c r="B5302" t="s">
        <v>1739</v>
      </c>
      <c r="C5302" t="s">
        <v>1014</v>
      </c>
      <c r="D5302" t="s">
        <v>1015</v>
      </c>
      <c r="E5302" s="8">
        <v>7550</v>
      </c>
      <c r="F5302" s="8">
        <v>36910</v>
      </c>
      <c r="G5302" s="8">
        <f t="shared" si="328"/>
        <v>278670500</v>
      </c>
      <c r="H5302" s="5">
        <v>0.7579</v>
      </c>
      <c r="I5302" s="8">
        <f t="shared" si="329"/>
        <v>278670500</v>
      </c>
      <c r="J5302" s="8">
        <f t="shared" si="330"/>
        <v>211204371.95</v>
      </c>
      <c r="K5302" t="str">
        <f t="shared" si="331"/>
        <v>MATCHED</v>
      </c>
    </row>
    <row r="5303" spans="1:11">
      <c r="A5303" t="s">
        <v>124</v>
      </c>
      <c r="B5303" t="s">
        <v>1739</v>
      </c>
      <c r="C5303" t="s">
        <v>1597</v>
      </c>
      <c r="D5303" t="s">
        <v>1598</v>
      </c>
      <c r="E5303" s="8">
        <v>30</v>
      </c>
      <c r="F5303" s="8">
        <v>53800</v>
      </c>
      <c r="G5303" s="8">
        <f t="shared" si="328"/>
        <v>1614000</v>
      </c>
      <c r="H5303" s="5"/>
      <c r="I5303" s="8" t="str">
        <f t="shared" si="329"/>
        <v/>
      </c>
      <c r="J5303" s="8" t="str">
        <f t="shared" si="330"/>
        <v/>
      </c>
      <c r="K5303" t="str">
        <f t="shared" si="331"/>
        <v>MISSING WHARTON</v>
      </c>
    </row>
    <row r="5304" spans="1:11">
      <c r="A5304" t="s">
        <v>124</v>
      </c>
      <c r="B5304" t="s">
        <v>1739</v>
      </c>
      <c r="C5304" t="s">
        <v>880</v>
      </c>
      <c r="D5304" t="s">
        <v>881</v>
      </c>
      <c r="E5304" s="8">
        <v>47930</v>
      </c>
      <c r="F5304" s="8">
        <v>42440</v>
      </c>
      <c r="G5304" s="8">
        <f t="shared" si="328"/>
        <v>2034149200</v>
      </c>
      <c r="H5304" s="5">
        <v>0.9</v>
      </c>
      <c r="I5304" s="8">
        <f t="shared" si="329"/>
        <v>2034149200</v>
      </c>
      <c r="J5304" s="8">
        <f t="shared" si="330"/>
        <v>1830734280</v>
      </c>
      <c r="K5304" t="str">
        <f t="shared" si="331"/>
        <v>MATCHED</v>
      </c>
    </row>
    <row r="5305" spans="1:11">
      <c r="A5305" t="s">
        <v>124</v>
      </c>
      <c r="B5305" t="s">
        <v>1739</v>
      </c>
      <c r="C5305" t="s">
        <v>369</v>
      </c>
      <c r="D5305" t="s">
        <v>370</v>
      </c>
      <c r="E5305" s="8">
        <v>28470</v>
      </c>
      <c r="F5305" s="8">
        <v>50420</v>
      </c>
      <c r="G5305" s="8">
        <f t="shared" si="328"/>
        <v>1435457400</v>
      </c>
      <c r="H5305" s="5">
        <v>0.8617</v>
      </c>
      <c r="I5305" s="8">
        <f t="shared" si="329"/>
        <v>1435457400</v>
      </c>
      <c r="J5305" s="8">
        <f t="shared" si="330"/>
        <v>1236933641.58</v>
      </c>
      <c r="K5305" t="str">
        <f t="shared" si="331"/>
        <v>MATCHED</v>
      </c>
    </row>
    <row r="5306" spans="1:11">
      <c r="A5306" t="s">
        <v>124</v>
      </c>
      <c r="B5306" t="s">
        <v>1739</v>
      </c>
      <c r="C5306" t="s">
        <v>371</v>
      </c>
      <c r="D5306" t="s">
        <v>372</v>
      </c>
      <c r="E5306" s="8">
        <v>87990</v>
      </c>
      <c r="F5306" s="8">
        <v>52330</v>
      </c>
      <c r="G5306" s="8">
        <f t="shared" si="328"/>
        <v>4604516700</v>
      </c>
      <c r="H5306" s="5">
        <v>0.9517</v>
      </c>
      <c r="I5306" s="8">
        <f t="shared" si="329"/>
        <v>4604516700</v>
      </c>
      <c r="J5306" s="8">
        <f t="shared" si="330"/>
        <v>4382118543.39</v>
      </c>
      <c r="K5306" t="str">
        <f t="shared" si="331"/>
        <v>MATCHED</v>
      </c>
    </row>
    <row r="5307" spans="1:11">
      <c r="A5307" t="s">
        <v>124</v>
      </c>
      <c r="B5307" t="s">
        <v>1739</v>
      </c>
      <c r="C5307" t="s">
        <v>373</v>
      </c>
      <c r="D5307" t="s">
        <v>374</v>
      </c>
      <c r="E5307" s="8">
        <v>18530</v>
      </c>
      <c r="F5307" s="8">
        <v>56780</v>
      </c>
      <c r="G5307" s="8">
        <f t="shared" si="328"/>
        <v>1052133400</v>
      </c>
      <c r="H5307" s="5">
        <v>0.9409</v>
      </c>
      <c r="I5307" s="8">
        <f t="shared" si="329"/>
        <v>1052133400</v>
      </c>
      <c r="J5307" s="8">
        <f t="shared" si="330"/>
        <v>989952316.06</v>
      </c>
      <c r="K5307" t="str">
        <f t="shared" si="331"/>
        <v>MATCHED</v>
      </c>
    </row>
    <row r="5308" spans="1:11">
      <c r="A5308" t="s">
        <v>124</v>
      </c>
      <c r="B5308" t="s">
        <v>1739</v>
      </c>
      <c r="C5308" t="s">
        <v>375</v>
      </c>
      <c r="D5308" t="s">
        <v>376</v>
      </c>
      <c r="E5308" s="8">
        <v>1950</v>
      </c>
      <c r="F5308" s="8">
        <v>52810</v>
      </c>
      <c r="G5308" s="8">
        <f t="shared" si="328"/>
        <v>102979500</v>
      </c>
      <c r="H5308" s="5">
        <v>0.8237</v>
      </c>
      <c r="I5308" s="8">
        <f t="shared" si="329"/>
        <v>102979500</v>
      </c>
      <c r="J5308" s="8">
        <f t="shared" si="330"/>
        <v>84824214.15</v>
      </c>
      <c r="K5308" t="str">
        <f t="shared" si="331"/>
        <v>MATCHED</v>
      </c>
    </row>
    <row r="5309" spans="1:11">
      <c r="A5309" t="s">
        <v>124</v>
      </c>
      <c r="B5309" t="s">
        <v>1739</v>
      </c>
      <c r="C5309" t="s">
        <v>882</v>
      </c>
      <c r="D5309" t="s">
        <v>883</v>
      </c>
      <c r="E5309" s="8">
        <v>2740</v>
      </c>
      <c r="F5309" s="8">
        <v>40270</v>
      </c>
      <c r="G5309" s="8">
        <f t="shared" si="328"/>
        <v>110339800</v>
      </c>
      <c r="H5309" s="5">
        <v>0.9138</v>
      </c>
      <c r="I5309" s="8">
        <f t="shared" si="329"/>
        <v>110339800</v>
      </c>
      <c r="J5309" s="8">
        <f t="shared" si="330"/>
        <v>100828509.24</v>
      </c>
      <c r="K5309" t="str">
        <f t="shared" si="331"/>
        <v>MATCHED</v>
      </c>
    </row>
    <row r="5310" spans="1:11">
      <c r="A5310" t="s">
        <v>124</v>
      </c>
      <c r="B5310" t="s">
        <v>1739</v>
      </c>
      <c r="C5310" t="s">
        <v>884</v>
      </c>
      <c r="D5310" t="s">
        <v>885</v>
      </c>
      <c r="E5310" s="8">
        <v>1530</v>
      </c>
      <c r="F5310" s="8">
        <v>54940</v>
      </c>
      <c r="G5310" s="8">
        <f t="shared" si="328"/>
        <v>84058200</v>
      </c>
      <c r="H5310" s="5"/>
      <c r="I5310" s="8" t="str">
        <f t="shared" si="329"/>
        <v/>
      </c>
      <c r="J5310" s="8" t="str">
        <f t="shared" si="330"/>
        <v/>
      </c>
      <c r="K5310" t="str">
        <f t="shared" si="331"/>
        <v>MISSING WHARTON</v>
      </c>
    </row>
    <row r="5311" spans="1:11">
      <c r="A5311" t="s">
        <v>124</v>
      </c>
      <c r="B5311" t="s">
        <v>1739</v>
      </c>
      <c r="C5311" t="s">
        <v>1453</v>
      </c>
      <c r="D5311" t="s">
        <v>1454</v>
      </c>
      <c r="E5311" s="8">
        <v>420</v>
      </c>
      <c r="F5311" s="8">
        <v>63100</v>
      </c>
      <c r="G5311" s="8">
        <f t="shared" si="328"/>
        <v>26502000</v>
      </c>
      <c r="H5311" s="5">
        <v>0.95</v>
      </c>
      <c r="I5311" s="8">
        <f t="shared" si="329"/>
        <v>26502000</v>
      </c>
      <c r="J5311" s="8">
        <f t="shared" si="330"/>
        <v>25176900</v>
      </c>
      <c r="K5311" t="str">
        <f t="shared" si="331"/>
        <v>MATCHED</v>
      </c>
    </row>
    <row r="5312" spans="1:11">
      <c r="A5312" t="s">
        <v>124</v>
      </c>
      <c r="B5312" t="s">
        <v>1739</v>
      </c>
      <c r="C5312" t="s">
        <v>1284</v>
      </c>
      <c r="D5312" t="s">
        <v>1285</v>
      </c>
      <c r="E5312" s="8">
        <v>540</v>
      </c>
      <c r="F5312" s="8">
        <v>38990</v>
      </c>
      <c r="G5312" s="8">
        <f t="shared" si="328"/>
        <v>21054600</v>
      </c>
      <c r="H5312" s="5">
        <v>0.85</v>
      </c>
      <c r="I5312" s="8">
        <f t="shared" si="329"/>
        <v>21054600</v>
      </c>
      <c r="J5312" s="8">
        <f t="shared" si="330"/>
        <v>17896410</v>
      </c>
      <c r="K5312" t="str">
        <f t="shared" si="331"/>
        <v>MATCHED</v>
      </c>
    </row>
    <row r="5313" spans="1:11">
      <c r="A5313" t="s">
        <v>124</v>
      </c>
      <c r="B5313" t="s">
        <v>1739</v>
      </c>
      <c r="C5313" t="s">
        <v>1504</v>
      </c>
      <c r="D5313" t="s">
        <v>1505</v>
      </c>
      <c r="E5313" s="8">
        <v>2570</v>
      </c>
      <c r="F5313" s="8">
        <v>35340</v>
      </c>
      <c r="G5313" s="8">
        <f t="shared" si="328"/>
        <v>90823800</v>
      </c>
      <c r="H5313" s="5">
        <v>0.8867</v>
      </c>
      <c r="I5313" s="8">
        <f t="shared" si="329"/>
        <v>90823800</v>
      </c>
      <c r="J5313" s="8">
        <f t="shared" si="330"/>
        <v>80533463.46</v>
      </c>
      <c r="K5313" t="str">
        <f t="shared" si="331"/>
        <v>MATCHED</v>
      </c>
    </row>
    <row r="5314" spans="1:11">
      <c r="A5314" t="s">
        <v>124</v>
      </c>
      <c r="B5314" t="s">
        <v>1739</v>
      </c>
      <c r="C5314" t="s">
        <v>1016</v>
      </c>
      <c r="D5314" t="s">
        <v>1017</v>
      </c>
      <c r="E5314" s="8">
        <v>1270</v>
      </c>
      <c r="F5314" s="8">
        <v>55760</v>
      </c>
      <c r="G5314" s="8">
        <f t="shared" ref="G5314:G5377" si="332">IF(OR(E5314="",F5314=""),"",E5314*F5314)</f>
        <v>70815200</v>
      </c>
      <c r="H5314" s="5">
        <v>0.9469</v>
      </c>
      <c r="I5314" s="8">
        <f t="shared" ref="I5314:I5377" si="333">IF(G5314="","",IF(ISNUMBER(H5314),G5314,""))</f>
        <v>70815200</v>
      </c>
      <c r="J5314" s="8">
        <f t="shared" ref="J5314:J5377" si="334">IF(I5314="","",I5314*H5314)</f>
        <v>67054912.88</v>
      </c>
      <c r="K5314" t="str">
        <f t="shared" ref="K5314:K5377" si="335">IF(G5314="","MISSING OEWS",IF(ISNUMBER(H5314),"MATCHED","MISSING WHARTON"))</f>
        <v>MATCHED</v>
      </c>
    </row>
    <row r="5315" spans="1:11">
      <c r="A5315" t="s">
        <v>124</v>
      </c>
      <c r="B5315" t="s">
        <v>1739</v>
      </c>
      <c r="C5315" t="s">
        <v>377</v>
      </c>
      <c r="D5315" t="s">
        <v>378</v>
      </c>
      <c r="E5315" s="8">
        <v>373980</v>
      </c>
      <c r="F5315" s="8">
        <v>41590</v>
      </c>
      <c r="G5315" s="8">
        <f t="shared" si="332"/>
        <v>15553828200</v>
      </c>
      <c r="H5315" s="5">
        <v>0.82</v>
      </c>
      <c r="I5315" s="8">
        <f t="shared" si="333"/>
        <v>15553828200</v>
      </c>
      <c r="J5315" s="8">
        <f t="shared" si="334"/>
        <v>12754139124</v>
      </c>
      <c r="K5315" t="str">
        <f t="shared" si="335"/>
        <v>MATCHED</v>
      </c>
    </row>
    <row r="5316" spans="1:11">
      <c r="A5316" t="s">
        <v>124</v>
      </c>
      <c r="B5316" t="s">
        <v>1739</v>
      </c>
      <c r="C5316" t="s">
        <v>1535</v>
      </c>
      <c r="D5316" t="s">
        <v>1536</v>
      </c>
      <c r="E5316" s="8">
        <v>2080</v>
      </c>
      <c r="F5316" s="8">
        <v>43290</v>
      </c>
      <c r="G5316" s="8">
        <f t="shared" si="332"/>
        <v>90043200</v>
      </c>
      <c r="H5316" s="5">
        <v>0.7912</v>
      </c>
      <c r="I5316" s="8">
        <f t="shared" si="333"/>
        <v>90043200</v>
      </c>
      <c r="J5316" s="8">
        <f t="shared" si="334"/>
        <v>71242179.84</v>
      </c>
      <c r="K5316" t="str">
        <f t="shared" si="335"/>
        <v>MATCHED</v>
      </c>
    </row>
    <row r="5317" spans="1:11">
      <c r="A5317" t="s">
        <v>124</v>
      </c>
      <c r="B5317" t="s">
        <v>1739</v>
      </c>
      <c r="C5317" t="s">
        <v>379</v>
      </c>
      <c r="D5317" t="s">
        <v>380</v>
      </c>
      <c r="E5317" s="8">
        <v>5090</v>
      </c>
      <c r="F5317" s="8">
        <v>43080</v>
      </c>
      <c r="G5317" s="8">
        <f t="shared" si="332"/>
        <v>219277200</v>
      </c>
      <c r="H5317" s="5">
        <v>0.7526</v>
      </c>
      <c r="I5317" s="8">
        <f t="shared" si="333"/>
        <v>219277200</v>
      </c>
      <c r="J5317" s="8">
        <f t="shared" si="334"/>
        <v>165028020.72</v>
      </c>
      <c r="K5317" t="str">
        <f t="shared" si="335"/>
        <v>MATCHED</v>
      </c>
    </row>
    <row r="5318" spans="1:11">
      <c r="A5318" t="s">
        <v>124</v>
      </c>
      <c r="B5318" t="s">
        <v>1739</v>
      </c>
      <c r="C5318" t="s">
        <v>1506</v>
      </c>
      <c r="D5318" t="s">
        <v>1507</v>
      </c>
      <c r="E5318" s="8">
        <v>1360</v>
      </c>
      <c r="F5318" s="8">
        <v>38740</v>
      </c>
      <c r="G5318" s="8">
        <f t="shared" si="332"/>
        <v>52686400</v>
      </c>
      <c r="H5318" s="5">
        <v>0.665</v>
      </c>
      <c r="I5318" s="8">
        <f t="shared" si="333"/>
        <v>52686400</v>
      </c>
      <c r="J5318" s="8">
        <f t="shared" si="334"/>
        <v>35036456</v>
      </c>
      <c r="K5318" t="str">
        <f t="shared" si="335"/>
        <v>MATCHED</v>
      </c>
    </row>
    <row r="5319" spans="1:11">
      <c r="A5319" t="s">
        <v>124</v>
      </c>
      <c r="B5319" t="s">
        <v>1739</v>
      </c>
      <c r="C5319" t="s">
        <v>1286</v>
      </c>
      <c r="D5319" t="s">
        <v>1287</v>
      </c>
      <c r="E5319" s="8">
        <v>6200</v>
      </c>
      <c r="F5319" s="8">
        <v>45130</v>
      </c>
      <c r="G5319" s="8">
        <f t="shared" si="332"/>
        <v>279806000</v>
      </c>
      <c r="H5319" s="5">
        <v>0.7088</v>
      </c>
      <c r="I5319" s="8">
        <f t="shared" si="333"/>
        <v>279806000</v>
      </c>
      <c r="J5319" s="8">
        <f t="shared" si="334"/>
        <v>198326492.8</v>
      </c>
      <c r="K5319" t="str">
        <f t="shared" si="335"/>
        <v>MATCHED</v>
      </c>
    </row>
    <row r="5320" spans="1:11">
      <c r="A5320" t="s">
        <v>124</v>
      </c>
      <c r="B5320" t="s">
        <v>1739</v>
      </c>
      <c r="C5320" t="s">
        <v>1599</v>
      </c>
      <c r="D5320" t="s">
        <v>1600</v>
      </c>
      <c r="E5320" s="8">
        <v>220</v>
      </c>
      <c r="F5320" s="8">
        <v>34980</v>
      </c>
      <c r="G5320" s="8">
        <f t="shared" si="332"/>
        <v>7695600</v>
      </c>
      <c r="H5320" s="5">
        <v>0.547</v>
      </c>
      <c r="I5320" s="8">
        <f t="shared" si="333"/>
        <v>7695600</v>
      </c>
      <c r="J5320" s="8">
        <f t="shared" si="334"/>
        <v>4209493.2</v>
      </c>
      <c r="K5320" t="str">
        <f t="shared" si="335"/>
        <v>MATCHED</v>
      </c>
    </row>
    <row r="5321" spans="1:11">
      <c r="A5321" t="s">
        <v>124</v>
      </c>
      <c r="B5321" t="s">
        <v>1739</v>
      </c>
      <c r="C5321" t="s">
        <v>1018</v>
      </c>
      <c r="D5321" t="s">
        <v>1019</v>
      </c>
      <c r="E5321" s="8">
        <v>1860</v>
      </c>
      <c r="F5321" s="8">
        <v>48710</v>
      </c>
      <c r="G5321" s="8">
        <f t="shared" si="332"/>
        <v>90600600</v>
      </c>
      <c r="H5321" s="5">
        <v>0.9111</v>
      </c>
      <c r="I5321" s="8">
        <f t="shared" si="333"/>
        <v>90600600</v>
      </c>
      <c r="J5321" s="8">
        <f t="shared" si="334"/>
        <v>82546206.66</v>
      </c>
      <c r="K5321" t="str">
        <f t="shared" si="335"/>
        <v>MATCHED</v>
      </c>
    </row>
    <row r="5322" spans="1:11">
      <c r="A5322" t="s">
        <v>124</v>
      </c>
      <c r="B5322" t="s">
        <v>1739</v>
      </c>
      <c r="C5322" t="s">
        <v>1624</v>
      </c>
      <c r="D5322" t="s">
        <v>1625</v>
      </c>
      <c r="E5322" s="8">
        <v>90</v>
      </c>
      <c r="F5322" s="8">
        <v>46230</v>
      </c>
      <c r="G5322" s="8">
        <f t="shared" si="332"/>
        <v>4160700</v>
      </c>
      <c r="H5322" s="5">
        <v>0.7633</v>
      </c>
      <c r="I5322" s="8">
        <f t="shared" si="333"/>
        <v>4160700</v>
      </c>
      <c r="J5322" s="8">
        <f t="shared" si="334"/>
        <v>3175862.31</v>
      </c>
      <c r="K5322" t="str">
        <f t="shared" si="335"/>
        <v>MATCHED</v>
      </c>
    </row>
    <row r="5323" spans="1:11">
      <c r="A5323" t="s">
        <v>124</v>
      </c>
      <c r="B5323" t="s">
        <v>1739</v>
      </c>
      <c r="C5323" t="s">
        <v>381</v>
      </c>
      <c r="D5323" t="s">
        <v>382</v>
      </c>
      <c r="E5323" s="8">
        <v>5720</v>
      </c>
      <c r="F5323" s="8">
        <v>47060</v>
      </c>
      <c r="G5323" s="8">
        <f t="shared" si="332"/>
        <v>269183200</v>
      </c>
      <c r="H5323" s="5">
        <v>0.9553</v>
      </c>
      <c r="I5323" s="8">
        <f t="shared" si="333"/>
        <v>269183200</v>
      </c>
      <c r="J5323" s="8">
        <f t="shared" si="334"/>
        <v>257150710.96</v>
      </c>
      <c r="K5323" t="str">
        <f t="shared" si="335"/>
        <v>MATCHED</v>
      </c>
    </row>
    <row r="5324" spans="1:11">
      <c r="A5324" t="s">
        <v>124</v>
      </c>
      <c r="B5324" t="s">
        <v>1739</v>
      </c>
      <c r="C5324" t="s">
        <v>383</v>
      </c>
      <c r="D5324" t="s">
        <v>384</v>
      </c>
      <c r="E5324" s="8">
        <v>9610</v>
      </c>
      <c r="F5324" s="8">
        <v>49100</v>
      </c>
      <c r="G5324" s="8">
        <f t="shared" si="332"/>
        <v>471851000</v>
      </c>
      <c r="H5324" s="5">
        <v>0.8342</v>
      </c>
      <c r="I5324" s="8">
        <f t="shared" si="333"/>
        <v>471851000</v>
      </c>
      <c r="J5324" s="8">
        <f t="shared" si="334"/>
        <v>393618104.2</v>
      </c>
      <c r="K5324" t="str">
        <f t="shared" si="335"/>
        <v>MATCHED</v>
      </c>
    </row>
    <row r="5325" spans="1:11">
      <c r="A5325" t="s">
        <v>124</v>
      </c>
      <c r="B5325" t="s">
        <v>1739</v>
      </c>
      <c r="C5325" t="s">
        <v>385</v>
      </c>
      <c r="D5325" t="s">
        <v>386</v>
      </c>
      <c r="E5325" s="8">
        <v>33470</v>
      </c>
      <c r="F5325" s="8">
        <v>41160</v>
      </c>
      <c r="G5325" s="8">
        <f t="shared" si="332"/>
        <v>1377625200</v>
      </c>
      <c r="H5325" s="5">
        <v>0.7368</v>
      </c>
      <c r="I5325" s="8">
        <f t="shared" si="333"/>
        <v>1377625200</v>
      </c>
      <c r="J5325" s="8">
        <f t="shared" si="334"/>
        <v>1015034247.36</v>
      </c>
      <c r="K5325" t="str">
        <f t="shared" si="335"/>
        <v>MATCHED</v>
      </c>
    </row>
    <row r="5326" spans="1:11">
      <c r="A5326" t="s">
        <v>124</v>
      </c>
      <c r="B5326" t="s">
        <v>1739</v>
      </c>
      <c r="C5326" t="s">
        <v>1537</v>
      </c>
      <c r="D5326" t="s">
        <v>1538</v>
      </c>
      <c r="E5326" s="8">
        <v>18080</v>
      </c>
      <c r="F5326" s="8">
        <v>47360</v>
      </c>
      <c r="G5326" s="8">
        <f t="shared" si="332"/>
        <v>856268800</v>
      </c>
      <c r="H5326" s="5">
        <v>0.7714</v>
      </c>
      <c r="I5326" s="8">
        <f t="shared" si="333"/>
        <v>856268800</v>
      </c>
      <c r="J5326" s="8">
        <f t="shared" si="334"/>
        <v>660525752.32</v>
      </c>
      <c r="K5326" t="str">
        <f t="shared" si="335"/>
        <v>MATCHED</v>
      </c>
    </row>
    <row r="5327" spans="1:11">
      <c r="A5327" t="s">
        <v>124</v>
      </c>
      <c r="B5327" t="s">
        <v>1739</v>
      </c>
      <c r="C5327" t="s">
        <v>658</v>
      </c>
      <c r="D5327" t="s">
        <v>659</v>
      </c>
      <c r="E5327" s="8">
        <v>5050</v>
      </c>
      <c r="F5327" s="8">
        <v>47850</v>
      </c>
      <c r="G5327" s="8">
        <f t="shared" si="332"/>
        <v>241642500</v>
      </c>
      <c r="H5327" s="5"/>
      <c r="I5327" s="8" t="str">
        <f t="shared" si="333"/>
        <v/>
      </c>
      <c r="J5327" s="8" t="str">
        <f t="shared" si="334"/>
        <v/>
      </c>
      <c r="K5327" t="str">
        <f t="shared" si="335"/>
        <v>MISSING WHARTON</v>
      </c>
    </row>
    <row r="5328" spans="1:11">
      <c r="A5328" t="s">
        <v>124</v>
      </c>
      <c r="B5328" t="s">
        <v>1739</v>
      </c>
      <c r="C5328" t="s">
        <v>1288</v>
      </c>
      <c r="D5328" t="s">
        <v>1289</v>
      </c>
      <c r="E5328" s="8">
        <v>800</v>
      </c>
      <c r="F5328" s="8">
        <v>55780</v>
      </c>
      <c r="G5328" s="8">
        <f t="shared" si="332"/>
        <v>44624000</v>
      </c>
      <c r="H5328" s="5">
        <v>0.6384</v>
      </c>
      <c r="I5328" s="8">
        <f t="shared" si="333"/>
        <v>44624000</v>
      </c>
      <c r="J5328" s="8">
        <f t="shared" si="334"/>
        <v>28487961.6</v>
      </c>
      <c r="K5328" t="str">
        <f t="shared" si="335"/>
        <v>MATCHED</v>
      </c>
    </row>
    <row r="5329" spans="1:11">
      <c r="A5329" t="s">
        <v>124</v>
      </c>
      <c r="B5329" t="s">
        <v>1739</v>
      </c>
      <c r="C5329" t="s">
        <v>886</v>
      </c>
      <c r="D5329" t="s">
        <v>887</v>
      </c>
      <c r="E5329" s="8">
        <v>3610</v>
      </c>
      <c r="F5329" s="8">
        <v>42240</v>
      </c>
      <c r="G5329" s="8">
        <f t="shared" si="332"/>
        <v>152486400</v>
      </c>
      <c r="H5329" s="5">
        <v>0.2235</v>
      </c>
      <c r="I5329" s="8">
        <f t="shared" si="333"/>
        <v>152486400</v>
      </c>
      <c r="J5329" s="8">
        <f t="shared" si="334"/>
        <v>34080710.4</v>
      </c>
      <c r="K5329" t="str">
        <f t="shared" si="335"/>
        <v>MATCHED</v>
      </c>
    </row>
    <row r="5330" spans="1:11">
      <c r="A5330" t="s">
        <v>124</v>
      </c>
      <c r="B5330" t="s">
        <v>1739</v>
      </c>
      <c r="C5330" t="s">
        <v>1737</v>
      </c>
      <c r="D5330" t="s">
        <v>1738</v>
      </c>
      <c r="E5330" s="8">
        <v>3220</v>
      </c>
      <c r="F5330" s="8">
        <v>55050</v>
      </c>
      <c r="G5330" s="8">
        <f t="shared" si="332"/>
        <v>177261000</v>
      </c>
      <c r="H5330" s="5">
        <v>0.6694</v>
      </c>
      <c r="I5330" s="8">
        <f t="shared" si="333"/>
        <v>177261000</v>
      </c>
      <c r="J5330" s="8">
        <f t="shared" si="334"/>
        <v>118658513.4</v>
      </c>
      <c r="K5330" t="str">
        <f t="shared" si="335"/>
        <v>MATCHED</v>
      </c>
    </row>
    <row r="5331" spans="1:11">
      <c r="A5331" t="s">
        <v>124</v>
      </c>
      <c r="B5331" t="s">
        <v>1739</v>
      </c>
      <c r="C5331" t="s">
        <v>387</v>
      </c>
      <c r="D5331" t="s">
        <v>388</v>
      </c>
      <c r="E5331" s="8">
        <v>20680</v>
      </c>
      <c r="F5331" s="8">
        <v>49090</v>
      </c>
      <c r="G5331" s="8">
        <f t="shared" si="332"/>
        <v>1015181200</v>
      </c>
      <c r="H5331" s="5">
        <v>0.8192</v>
      </c>
      <c r="I5331" s="8">
        <f t="shared" si="333"/>
        <v>1015181200</v>
      </c>
      <c r="J5331" s="8">
        <f t="shared" si="334"/>
        <v>831636439.04</v>
      </c>
      <c r="K5331" t="str">
        <f t="shared" si="335"/>
        <v>MATCHED</v>
      </c>
    </row>
    <row r="5332" spans="1:11">
      <c r="A5332" t="s">
        <v>124</v>
      </c>
      <c r="B5332" t="s">
        <v>1739</v>
      </c>
      <c r="C5332" t="s">
        <v>888</v>
      </c>
      <c r="D5332" t="s">
        <v>889</v>
      </c>
      <c r="E5332" s="8">
        <v>2830</v>
      </c>
      <c r="F5332" s="8">
        <v>41910</v>
      </c>
      <c r="G5332" s="8">
        <f t="shared" si="332"/>
        <v>118605300</v>
      </c>
      <c r="H5332" s="5">
        <v>0.3654</v>
      </c>
      <c r="I5332" s="8">
        <f t="shared" si="333"/>
        <v>118605300</v>
      </c>
      <c r="J5332" s="8">
        <f t="shared" si="334"/>
        <v>43338376.62</v>
      </c>
      <c r="K5332" t="str">
        <f t="shared" si="335"/>
        <v>MATCHED</v>
      </c>
    </row>
    <row r="5333" spans="1:11">
      <c r="A5333" t="s">
        <v>124</v>
      </c>
      <c r="B5333" t="s">
        <v>1739</v>
      </c>
      <c r="C5333" t="s">
        <v>389</v>
      </c>
      <c r="D5333" t="s">
        <v>390</v>
      </c>
      <c r="E5333" s="8">
        <v>21700</v>
      </c>
      <c r="F5333" s="8">
        <v>55880</v>
      </c>
      <c r="G5333" s="8">
        <f t="shared" si="332"/>
        <v>1212596000</v>
      </c>
      <c r="H5333" s="5">
        <v>0.7794</v>
      </c>
      <c r="I5333" s="8">
        <f t="shared" si="333"/>
        <v>1212596000</v>
      </c>
      <c r="J5333" s="8">
        <f t="shared" si="334"/>
        <v>945097322.4</v>
      </c>
      <c r="K5333" t="str">
        <f t="shared" si="335"/>
        <v>MATCHED</v>
      </c>
    </row>
    <row r="5334" spans="1:11">
      <c r="A5334" t="s">
        <v>124</v>
      </c>
      <c r="B5334" t="s">
        <v>1739</v>
      </c>
      <c r="C5334" t="s">
        <v>391</v>
      </c>
      <c r="D5334" t="s">
        <v>392</v>
      </c>
      <c r="E5334" s="8">
        <v>51740</v>
      </c>
      <c r="F5334" s="8">
        <v>41440</v>
      </c>
      <c r="G5334" s="8">
        <f t="shared" si="332"/>
        <v>2144105600</v>
      </c>
      <c r="H5334" s="5">
        <v>0.6455</v>
      </c>
      <c r="I5334" s="8">
        <f t="shared" si="333"/>
        <v>2144105600</v>
      </c>
      <c r="J5334" s="8">
        <f t="shared" si="334"/>
        <v>1384020164.8</v>
      </c>
      <c r="K5334" t="str">
        <f t="shared" si="335"/>
        <v>MATCHED</v>
      </c>
    </row>
    <row r="5335" spans="1:11">
      <c r="A5335" t="s">
        <v>124</v>
      </c>
      <c r="B5335" t="s">
        <v>1739</v>
      </c>
      <c r="C5335" t="s">
        <v>393</v>
      </c>
      <c r="D5335" t="s">
        <v>394</v>
      </c>
      <c r="E5335" s="8">
        <v>8490</v>
      </c>
      <c r="F5335" s="8">
        <v>42100</v>
      </c>
      <c r="G5335" s="8">
        <f t="shared" si="332"/>
        <v>357429000</v>
      </c>
      <c r="H5335" s="5">
        <v>0.2932</v>
      </c>
      <c r="I5335" s="8">
        <f t="shared" si="333"/>
        <v>357429000</v>
      </c>
      <c r="J5335" s="8">
        <f t="shared" si="334"/>
        <v>104798182.8</v>
      </c>
      <c r="K5335" t="str">
        <f t="shared" si="335"/>
        <v>MATCHED</v>
      </c>
    </row>
    <row r="5336" spans="1:11">
      <c r="A5336" t="s">
        <v>124</v>
      </c>
      <c r="B5336" t="s">
        <v>1739</v>
      </c>
      <c r="C5336" t="s">
        <v>395</v>
      </c>
      <c r="D5336" t="s">
        <v>396</v>
      </c>
      <c r="E5336" s="8">
        <v>19600</v>
      </c>
      <c r="F5336" s="8">
        <v>82910</v>
      </c>
      <c r="G5336" s="8">
        <f t="shared" si="332"/>
        <v>1625036000</v>
      </c>
      <c r="H5336" s="5">
        <v>0.7955</v>
      </c>
      <c r="I5336" s="8">
        <f t="shared" si="333"/>
        <v>1625036000</v>
      </c>
      <c r="J5336" s="8">
        <f t="shared" si="334"/>
        <v>1292716138</v>
      </c>
      <c r="K5336" t="str">
        <f t="shared" si="335"/>
        <v>MATCHED</v>
      </c>
    </row>
    <row r="5337" spans="1:11">
      <c r="A5337" t="s">
        <v>124</v>
      </c>
      <c r="B5337" t="s">
        <v>1739</v>
      </c>
      <c r="C5337" t="s">
        <v>890</v>
      </c>
      <c r="D5337" t="s">
        <v>891</v>
      </c>
      <c r="E5337" s="8">
        <v>2380</v>
      </c>
      <c r="F5337" s="8">
        <v>49800</v>
      </c>
      <c r="G5337" s="8">
        <f t="shared" si="332"/>
        <v>118524000</v>
      </c>
      <c r="H5337" s="5">
        <v>0.8679</v>
      </c>
      <c r="I5337" s="8">
        <f t="shared" si="333"/>
        <v>118524000</v>
      </c>
      <c r="J5337" s="8">
        <f t="shared" si="334"/>
        <v>102866979.6</v>
      </c>
      <c r="K5337" t="str">
        <f t="shared" si="335"/>
        <v>MATCHED</v>
      </c>
    </row>
    <row r="5338" spans="1:11">
      <c r="A5338" t="s">
        <v>124</v>
      </c>
      <c r="B5338" t="s">
        <v>1739</v>
      </c>
      <c r="C5338" t="s">
        <v>1290</v>
      </c>
      <c r="D5338" t="s">
        <v>1291</v>
      </c>
      <c r="E5338" s="8">
        <v>21220</v>
      </c>
      <c r="F5338" s="8">
        <v>45260</v>
      </c>
      <c r="G5338" s="8">
        <f t="shared" si="332"/>
        <v>960417200</v>
      </c>
      <c r="H5338" s="5">
        <v>0.9031</v>
      </c>
      <c r="I5338" s="8">
        <f t="shared" si="333"/>
        <v>960417200</v>
      </c>
      <c r="J5338" s="8">
        <f t="shared" si="334"/>
        <v>867352773.32</v>
      </c>
      <c r="K5338" t="str">
        <f t="shared" si="335"/>
        <v>MATCHED</v>
      </c>
    </row>
    <row r="5339" spans="1:11">
      <c r="A5339" t="s">
        <v>124</v>
      </c>
      <c r="B5339" t="s">
        <v>1739</v>
      </c>
      <c r="C5339" t="s">
        <v>397</v>
      </c>
      <c r="D5339" t="s">
        <v>398</v>
      </c>
      <c r="E5339" s="8">
        <v>109530</v>
      </c>
      <c r="F5339" s="8">
        <v>47040</v>
      </c>
      <c r="G5339" s="8">
        <f t="shared" si="332"/>
        <v>5152291200</v>
      </c>
      <c r="H5339" s="5">
        <v>0.8031</v>
      </c>
      <c r="I5339" s="8">
        <f t="shared" si="333"/>
        <v>5152291200</v>
      </c>
      <c r="J5339" s="8">
        <f t="shared" si="334"/>
        <v>4137805062.72</v>
      </c>
      <c r="K5339" t="str">
        <f t="shared" si="335"/>
        <v>MATCHED</v>
      </c>
    </row>
    <row r="5340" spans="1:11">
      <c r="A5340" t="s">
        <v>124</v>
      </c>
      <c r="B5340" t="s">
        <v>1739</v>
      </c>
      <c r="C5340" t="s">
        <v>399</v>
      </c>
      <c r="D5340" t="s">
        <v>400</v>
      </c>
      <c r="E5340" s="8">
        <v>21040</v>
      </c>
      <c r="F5340" s="8">
        <v>39740</v>
      </c>
      <c r="G5340" s="8">
        <f t="shared" si="332"/>
        <v>836129600</v>
      </c>
      <c r="H5340" s="5">
        <v>0.75</v>
      </c>
      <c r="I5340" s="8">
        <f t="shared" si="333"/>
        <v>836129600</v>
      </c>
      <c r="J5340" s="8">
        <f t="shared" si="334"/>
        <v>627097200</v>
      </c>
      <c r="K5340" t="str">
        <f t="shared" si="335"/>
        <v>MATCHED</v>
      </c>
    </row>
    <row r="5341" spans="1:11">
      <c r="A5341" t="s">
        <v>124</v>
      </c>
      <c r="B5341" t="s">
        <v>1739</v>
      </c>
      <c r="C5341" t="s">
        <v>1455</v>
      </c>
      <c r="D5341" t="s">
        <v>1456</v>
      </c>
      <c r="E5341" s="8">
        <v>2090</v>
      </c>
      <c r="F5341" s="8">
        <v>50150</v>
      </c>
      <c r="G5341" s="8">
        <f t="shared" si="332"/>
        <v>104813500</v>
      </c>
      <c r="H5341" s="5">
        <v>0.835</v>
      </c>
      <c r="I5341" s="8">
        <f t="shared" si="333"/>
        <v>104813500</v>
      </c>
      <c r="J5341" s="8">
        <f t="shared" si="334"/>
        <v>87519272.5</v>
      </c>
      <c r="K5341" t="str">
        <f t="shared" si="335"/>
        <v>MATCHED</v>
      </c>
    </row>
    <row r="5342" spans="1:11">
      <c r="A5342" t="s">
        <v>124</v>
      </c>
      <c r="B5342" t="s">
        <v>1739</v>
      </c>
      <c r="C5342" t="s">
        <v>1292</v>
      </c>
      <c r="D5342" t="s">
        <v>1293</v>
      </c>
      <c r="E5342" s="8">
        <v>150</v>
      </c>
      <c r="F5342" s="8">
        <v>71070</v>
      </c>
      <c r="G5342" s="8">
        <f t="shared" si="332"/>
        <v>10660500</v>
      </c>
      <c r="H5342" s="5">
        <v>0.9417</v>
      </c>
      <c r="I5342" s="8">
        <f t="shared" si="333"/>
        <v>10660500</v>
      </c>
      <c r="J5342" s="8">
        <f t="shared" si="334"/>
        <v>10038992.85</v>
      </c>
      <c r="K5342" t="str">
        <f t="shared" si="335"/>
        <v>MATCHED</v>
      </c>
    </row>
    <row r="5343" spans="1:11">
      <c r="A5343" t="s">
        <v>124</v>
      </c>
      <c r="B5343" t="s">
        <v>1739</v>
      </c>
      <c r="C5343" t="s">
        <v>1020</v>
      </c>
      <c r="D5343" t="s">
        <v>1021</v>
      </c>
      <c r="E5343" s="8">
        <v>11170</v>
      </c>
      <c r="F5343" s="8">
        <v>44450</v>
      </c>
      <c r="G5343" s="8">
        <f t="shared" si="332"/>
        <v>496506500</v>
      </c>
      <c r="H5343" s="5">
        <v>0.9519</v>
      </c>
      <c r="I5343" s="8">
        <f t="shared" si="333"/>
        <v>496506500</v>
      </c>
      <c r="J5343" s="8">
        <f t="shared" si="334"/>
        <v>472624537.35</v>
      </c>
      <c r="K5343" t="str">
        <f t="shared" si="335"/>
        <v>MATCHED</v>
      </c>
    </row>
    <row r="5344" spans="1:11">
      <c r="A5344" t="s">
        <v>124</v>
      </c>
      <c r="B5344" t="s">
        <v>1739</v>
      </c>
      <c r="C5344" t="s">
        <v>892</v>
      </c>
      <c r="D5344" t="s">
        <v>893</v>
      </c>
      <c r="E5344" s="8">
        <v>17830</v>
      </c>
      <c r="F5344" s="8">
        <v>39040</v>
      </c>
      <c r="G5344" s="8">
        <f t="shared" si="332"/>
        <v>696083200</v>
      </c>
      <c r="H5344" s="5">
        <v>0.231</v>
      </c>
      <c r="I5344" s="8">
        <f t="shared" si="333"/>
        <v>696083200</v>
      </c>
      <c r="J5344" s="8">
        <f t="shared" si="334"/>
        <v>160795219.2</v>
      </c>
      <c r="K5344" t="str">
        <f t="shared" si="335"/>
        <v>MATCHED</v>
      </c>
    </row>
    <row r="5345" spans="1:11">
      <c r="A5345" t="s">
        <v>124</v>
      </c>
      <c r="B5345" t="s">
        <v>1739</v>
      </c>
      <c r="C5345" t="s">
        <v>401</v>
      </c>
      <c r="D5345" t="s">
        <v>402</v>
      </c>
      <c r="E5345" s="8">
        <v>202990</v>
      </c>
      <c r="F5345" s="8">
        <v>45100</v>
      </c>
      <c r="G5345" s="8">
        <f t="shared" si="332"/>
        <v>9154849000</v>
      </c>
      <c r="H5345" s="5">
        <v>0.7452</v>
      </c>
      <c r="I5345" s="8">
        <f t="shared" si="333"/>
        <v>9154849000</v>
      </c>
      <c r="J5345" s="8">
        <f t="shared" si="334"/>
        <v>6822193474.8</v>
      </c>
      <c r="K5345" t="str">
        <f t="shared" si="335"/>
        <v>MATCHED</v>
      </c>
    </row>
    <row r="5346" spans="1:11">
      <c r="A5346" t="s">
        <v>124</v>
      </c>
      <c r="B5346" t="s">
        <v>1739</v>
      </c>
      <c r="C5346" t="s">
        <v>660</v>
      </c>
      <c r="D5346" t="s">
        <v>661</v>
      </c>
      <c r="E5346" s="8">
        <v>6610</v>
      </c>
      <c r="F5346" s="8">
        <v>41920</v>
      </c>
      <c r="G5346" s="8">
        <f t="shared" si="332"/>
        <v>277091200</v>
      </c>
      <c r="H5346" s="5">
        <v>0.2639</v>
      </c>
      <c r="I5346" s="8">
        <f t="shared" si="333"/>
        <v>277091200</v>
      </c>
      <c r="J5346" s="8">
        <f t="shared" si="334"/>
        <v>73124367.68</v>
      </c>
      <c r="K5346" t="str">
        <f t="shared" si="335"/>
        <v>MATCHED</v>
      </c>
    </row>
    <row r="5347" spans="1:11">
      <c r="A5347" t="s">
        <v>124</v>
      </c>
      <c r="B5347" t="s">
        <v>1739</v>
      </c>
      <c r="C5347" t="s">
        <v>1294</v>
      </c>
      <c r="D5347" t="s">
        <v>1295</v>
      </c>
      <c r="E5347" s="8">
        <v>530</v>
      </c>
      <c r="F5347" s="8">
        <v>57550</v>
      </c>
      <c r="G5347" s="8">
        <f t="shared" si="332"/>
        <v>30501500</v>
      </c>
      <c r="H5347" s="5">
        <v>0.9273</v>
      </c>
      <c r="I5347" s="8">
        <f t="shared" si="333"/>
        <v>30501500</v>
      </c>
      <c r="J5347" s="8">
        <f t="shared" si="334"/>
        <v>28284040.95</v>
      </c>
      <c r="K5347" t="str">
        <f t="shared" si="335"/>
        <v>MATCHED</v>
      </c>
    </row>
    <row r="5348" spans="1:11">
      <c r="A5348" t="s">
        <v>124</v>
      </c>
      <c r="B5348" t="s">
        <v>1739</v>
      </c>
      <c r="C5348" t="s">
        <v>662</v>
      </c>
      <c r="D5348" t="s">
        <v>663</v>
      </c>
      <c r="E5348" s="8">
        <v>10750</v>
      </c>
      <c r="F5348" s="8">
        <v>50700</v>
      </c>
      <c r="G5348" s="8">
        <f t="shared" si="332"/>
        <v>545025000</v>
      </c>
      <c r="H5348" s="5"/>
      <c r="I5348" s="8" t="str">
        <f t="shared" si="333"/>
        <v/>
      </c>
      <c r="J5348" s="8" t="str">
        <f t="shared" si="334"/>
        <v/>
      </c>
      <c r="K5348" t="str">
        <f t="shared" si="335"/>
        <v>MISSING WHARTON</v>
      </c>
    </row>
    <row r="5349" spans="1:11">
      <c r="A5349" t="s">
        <v>124</v>
      </c>
      <c r="B5349" t="s">
        <v>1739</v>
      </c>
      <c r="C5349" t="s">
        <v>403</v>
      </c>
      <c r="D5349" t="s">
        <v>404</v>
      </c>
      <c r="E5349" s="8">
        <v>920</v>
      </c>
      <c r="F5349" s="8">
        <v>66210</v>
      </c>
      <c r="G5349" s="8">
        <f t="shared" si="332"/>
        <v>60913200</v>
      </c>
      <c r="H5349" s="5">
        <v>0.22</v>
      </c>
      <c r="I5349" s="8">
        <f t="shared" si="333"/>
        <v>60913200</v>
      </c>
      <c r="J5349" s="8">
        <f t="shared" si="334"/>
        <v>13400904</v>
      </c>
      <c r="K5349" t="str">
        <f t="shared" si="335"/>
        <v>MATCHED</v>
      </c>
    </row>
    <row r="5350" spans="1:11">
      <c r="A5350" t="s">
        <v>124</v>
      </c>
      <c r="B5350" t="s">
        <v>1739</v>
      </c>
      <c r="C5350" t="s">
        <v>405</v>
      </c>
      <c r="D5350" t="s">
        <v>406</v>
      </c>
      <c r="E5350" s="8">
        <v>80</v>
      </c>
      <c r="F5350" s="8"/>
      <c r="G5350" s="8" t="str">
        <f t="shared" si="332"/>
        <v/>
      </c>
      <c r="H5350" s="5">
        <v>0.15</v>
      </c>
      <c r="I5350" s="8" t="str">
        <f t="shared" si="333"/>
        <v/>
      </c>
      <c r="J5350" s="8" t="str">
        <f t="shared" si="334"/>
        <v/>
      </c>
      <c r="K5350" t="str">
        <f t="shared" si="335"/>
        <v>MISSING OEWS</v>
      </c>
    </row>
    <row r="5351" spans="1:11">
      <c r="A5351" t="s">
        <v>124</v>
      </c>
      <c r="B5351" t="s">
        <v>1739</v>
      </c>
      <c r="C5351" t="s">
        <v>409</v>
      </c>
      <c r="D5351" t="s">
        <v>410</v>
      </c>
      <c r="E5351" s="8">
        <v>250</v>
      </c>
      <c r="F5351" s="8">
        <v>38710</v>
      </c>
      <c r="G5351" s="8">
        <f t="shared" si="332"/>
        <v>9677500</v>
      </c>
      <c r="H5351" s="5">
        <v>0.1583</v>
      </c>
      <c r="I5351" s="8">
        <f t="shared" si="333"/>
        <v>9677500</v>
      </c>
      <c r="J5351" s="8">
        <f t="shared" si="334"/>
        <v>1531948.25</v>
      </c>
      <c r="K5351" t="str">
        <f t="shared" si="335"/>
        <v>MATCHED</v>
      </c>
    </row>
    <row r="5352" spans="1:11">
      <c r="A5352" t="s">
        <v>124</v>
      </c>
      <c r="B5352" t="s">
        <v>1739</v>
      </c>
      <c r="C5352" t="s">
        <v>411</v>
      </c>
      <c r="D5352" t="s">
        <v>412</v>
      </c>
      <c r="E5352" s="8">
        <v>500</v>
      </c>
      <c r="F5352" s="8">
        <v>41980</v>
      </c>
      <c r="G5352" s="8">
        <f t="shared" si="332"/>
        <v>20990000</v>
      </c>
      <c r="H5352" s="5">
        <v>0.0559</v>
      </c>
      <c r="I5352" s="8">
        <f t="shared" si="333"/>
        <v>20990000</v>
      </c>
      <c r="J5352" s="8">
        <f t="shared" si="334"/>
        <v>1173341</v>
      </c>
      <c r="K5352" t="str">
        <f t="shared" si="335"/>
        <v>MATCHED</v>
      </c>
    </row>
    <row r="5353" spans="1:11">
      <c r="A5353" t="s">
        <v>124</v>
      </c>
      <c r="B5353" t="s">
        <v>1739</v>
      </c>
      <c r="C5353" t="s">
        <v>413</v>
      </c>
      <c r="D5353" t="s">
        <v>414</v>
      </c>
      <c r="E5353" s="8"/>
      <c r="F5353" s="8">
        <v>39500</v>
      </c>
      <c r="G5353" s="8" t="str">
        <f t="shared" si="332"/>
        <v/>
      </c>
      <c r="H5353" s="5">
        <v>0.0633</v>
      </c>
      <c r="I5353" s="8" t="str">
        <f t="shared" si="333"/>
        <v/>
      </c>
      <c r="J5353" s="8" t="str">
        <f t="shared" si="334"/>
        <v/>
      </c>
      <c r="K5353" t="str">
        <f t="shared" si="335"/>
        <v>MISSING OEWS</v>
      </c>
    </row>
    <row r="5354" spans="1:11">
      <c r="A5354" t="s">
        <v>124</v>
      </c>
      <c r="B5354" t="s">
        <v>1739</v>
      </c>
      <c r="C5354" t="s">
        <v>415</v>
      </c>
      <c r="D5354" t="s">
        <v>416</v>
      </c>
      <c r="E5354" s="8">
        <v>1560</v>
      </c>
      <c r="F5354" s="8">
        <v>40370</v>
      </c>
      <c r="G5354" s="8">
        <f t="shared" si="332"/>
        <v>62977200</v>
      </c>
      <c r="H5354" s="5">
        <v>0.0864</v>
      </c>
      <c r="I5354" s="8">
        <f t="shared" si="333"/>
        <v>62977200</v>
      </c>
      <c r="J5354" s="8">
        <f t="shared" si="334"/>
        <v>5441230.08</v>
      </c>
      <c r="K5354" t="str">
        <f t="shared" si="335"/>
        <v>MATCHED</v>
      </c>
    </row>
    <row r="5355" spans="1:11">
      <c r="A5355" t="s">
        <v>124</v>
      </c>
      <c r="B5355" t="s">
        <v>1739</v>
      </c>
      <c r="C5355" t="s">
        <v>417</v>
      </c>
      <c r="D5355" t="s">
        <v>418</v>
      </c>
      <c r="E5355" s="8">
        <v>280</v>
      </c>
      <c r="F5355" s="8">
        <v>45940</v>
      </c>
      <c r="G5355" s="8">
        <f t="shared" si="332"/>
        <v>12863200</v>
      </c>
      <c r="H5355" s="5"/>
      <c r="I5355" s="8" t="str">
        <f t="shared" si="333"/>
        <v/>
      </c>
      <c r="J5355" s="8" t="str">
        <f t="shared" si="334"/>
        <v/>
      </c>
      <c r="K5355" t="str">
        <f t="shared" si="335"/>
        <v>MISSING WHARTON</v>
      </c>
    </row>
    <row r="5356" spans="1:11">
      <c r="A5356" t="s">
        <v>124</v>
      </c>
      <c r="B5356" t="s">
        <v>1739</v>
      </c>
      <c r="C5356" t="s">
        <v>419</v>
      </c>
      <c r="D5356" t="s">
        <v>420</v>
      </c>
      <c r="E5356" s="8">
        <v>490</v>
      </c>
      <c r="F5356" s="8">
        <v>56540</v>
      </c>
      <c r="G5356" s="8">
        <f t="shared" si="332"/>
        <v>27704600</v>
      </c>
      <c r="H5356" s="5">
        <v>0</v>
      </c>
      <c r="I5356" s="8">
        <f t="shared" si="333"/>
        <v>27704600</v>
      </c>
      <c r="J5356" s="8">
        <f t="shared" si="334"/>
        <v>0</v>
      </c>
      <c r="K5356" t="str">
        <f t="shared" si="335"/>
        <v>MATCHED</v>
      </c>
    </row>
    <row r="5357" spans="1:11">
      <c r="A5357" t="s">
        <v>124</v>
      </c>
      <c r="B5357" t="s">
        <v>1739</v>
      </c>
      <c r="C5357" t="s">
        <v>421</v>
      </c>
      <c r="D5357" t="s">
        <v>422</v>
      </c>
      <c r="E5357" s="8"/>
      <c r="F5357" s="8">
        <v>60220</v>
      </c>
      <c r="G5357" s="8" t="str">
        <f t="shared" si="332"/>
        <v/>
      </c>
      <c r="H5357" s="5">
        <v>0.2111</v>
      </c>
      <c r="I5357" s="8" t="str">
        <f t="shared" si="333"/>
        <v/>
      </c>
      <c r="J5357" s="8" t="str">
        <f t="shared" si="334"/>
        <v/>
      </c>
      <c r="K5357" t="str">
        <f t="shared" si="335"/>
        <v>MISSING OEWS</v>
      </c>
    </row>
    <row r="5358" spans="1:11">
      <c r="A5358" t="s">
        <v>124</v>
      </c>
      <c r="B5358" t="s">
        <v>1739</v>
      </c>
      <c r="C5358" t="s">
        <v>423</v>
      </c>
      <c r="D5358" t="s">
        <v>424</v>
      </c>
      <c r="E5358" s="8">
        <v>130</v>
      </c>
      <c r="F5358" s="8">
        <v>56240</v>
      </c>
      <c r="G5358" s="8">
        <f t="shared" si="332"/>
        <v>7311200</v>
      </c>
      <c r="H5358" s="5">
        <v>0.1462</v>
      </c>
      <c r="I5358" s="8">
        <f t="shared" si="333"/>
        <v>7311200</v>
      </c>
      <c r="J5358" s="8">
        <f t="shared" si="334"/>
        <v>1068897.44</v>
      </c>
      <c r="K5358" t="str">
        <f t="shared" si="335"/>
        <v>MATCHED</v>
      </c>
    </row>
    <row r="5359" spans="1:11">
      <c r="A5359" t="s">
        <v>124</v>
      </c>
      <c r="B5359" t="s">
        <v>1739</v>
      </c>
      <c r="C5359" t="s">
        <v>425</v>
      </c>
      <c r="D5359" t="s">
        <v>426</v>
      </c>
      <c r="E5359" s="8"/>
      <c r="F5359" s="8">
        <v>54130</v>
      </c>
      <c r="G5359" s="8" t="str">
        <f t="shared" si="332"/>
        <v/>
      </c>
      <c r="H5359" s="5"/>
      <c r="I5359" s="8" t="str">
        <f t="shared" si="333"/>
        <v/>
      </c>
      <c r="J5359" s="8" t="str">
        <f t="shared" si="334"/>
        <v/>
      </c>
      <c r="K5359" t="str">
        <f t="shared" si="335"/>
        <v>MISSING OEWS</v>
      </c>
    </row>
    <row r="5360" spans="1:11">
      <c r="A5360" t="s">
        <v>124</v>
      </c>
      <c r="B5360" t="s">
        <v>1739</v>
      </c>
      <c r="C5360" t="s">
        <v>664</v>
      </c>
      <c r="D5360" t="s">
        <v>665</v>
      </c>
      <c r="E5360" s="8">
        <v>25960</v>
      </c>
      <c r="F5360" s="8">
        <v>73650</v>
      </c>
      <c r="G5360" s="8">
        <f t="shared" si="332"/>
        <v>1911954000</v>
      </c>
      <c r="H5360" s="5">
        <v>0.265</v>
      </c>
      <c r="I5360" s="8">
        <f t="shared" si="333"/>
        <v>1911954000</v>
      </c>
      <c r="J5360" s="8">
        <f t="shared" si="334"/>
        <v>506667810</v>
      </c>
      <c r="K5360" t="str">
        <f t="shared" si="335"/>
        <v>MATCHED</v>
      </c>
    </row>
    <row r="5361" spans="1:11">
      <c r="A5361" t="s">
        <v>124</v>
      </c>
      <c r="B5361" t="s">
        <v>1739</v>
      </c>
      <c r="C5361" t="s">
        <v>666</v>
      </c>
      <c r="D5361" t="s">
        <v>667</v>
      </c>
      <c r="E5361" s="8">
        <v>390</v>
      </c>
      <c r="F5361" s="8">
        <v>73260</v>
      </c>
      <c r="G5361" s="8">
        <f t="shared" si="332"/>
        <v>28571400</v>
      </c>
      <c r="H5361" s="5">
        <v>0</v>
      </c>
      <c r="I5361" s="8">
        <f t="shared" si="333"/>
        <v>28571400</v>
      </c>
      <c r="J5361" s="8">
        <f t="shared" si="334"/>
        <v>0</v>
      </c>
      <c r="K5361" t="str">
        <f t="shared" si="335"/>
        <v>MATCHED</v>
      </c>
    </row>
    <row r="5362" spans="1:11">
      <c r="A5362" t="s">
        <v>124</v>
      </c>
      <c r="B5362" t="s">
        <v>1739</v>
      </c>
      <c r="C5362" t="s">
        <v>1022</v>
      </c>
      <c r="D5362" t="s">
        <v>1023</v>
      </c>
      <c r="E5362" s="8">
        <v>890</v>
      </c>
      <c r="F5362" s="8">
        <v>58070</v>
      </c>
      <c r="G5362" s="8">
        <f t="shared" si="332"/>
        <v>51682300</v>
      </c>
      <c r="H5362" s="5">
        <v>0.05</v>
      </c>
      <c r="I5362" s="8">
        <f t="shared" si="333"/>
        <v>51682300</v>
      </c>
      <c r="J5362" s="8">
        <f t="shared" si="334"/>
        <v>2584115</v>
      </c>
      <c r="K5362" t="str">
        <f t="shared" si="335"/>
        <v>MATCHED</v>
      </c>
    </row>
    <row r="5363" spans="1:11">
      <c r="A5363" t="s">
        <v>124</v>
      </c>
      <c r="B5363" t="s">
        <v>1739</v>
      </c>
      <c r="C5363" t="s">
        <v>427</v>
      </c>
      <c r="D5363" t="s">
        <v>428</v>
      </c>
      <c r="E5363" s="8">
        <v>17220</v>
      </c>
      <c r="F5363" s="8">
        <v>60300</v>
      </c>
      <c r="G5363" s="8">
        <f t="shared" si="332"/>
        <v>1038366000</v>
      </c>
      <c r="H5363" s="5">
        <v>0.081</v>
      </c>
      <c r="I5363" s="8">
        <f t="shared" si="333"/>
        <v>1038366000</v>
      </c>
      <c r="J5363" s="8">
        <f t="shared" si="334"/>
        <v>84107646</v>
      </c>
      <c r="K5363" t="str">
        <f t="shared" si="335"/>
        <v>MATCHED</v>
      </c>
    </row>
    <row r="5364" spans="1:11">
      <c r="A5364" t="s">
        <v>124</v>
      </c>
      <c r="B5364" t="s">
        <v>1739</v>
      </c>
      <c r="C5364" t="s">
        <v>1026</v>
      </c>
      <c r="D5364" t="s">
        <v>1027</v>
      </c>
      <c r="E5364" s="8">
        <v>70</v>
      </c>
      <c r="F5364" s="8">
        <v>39330</v>
      </c>
      <c r="G5364" s="8">
        <f t="shared" si="332"/>
        <v>2753100</v>
      </c>
      <c r="H5364" s="5">
        <v>0.0438</v>
      </c>
      <c r="I5364" s="8">
        <f t="shared" si="333"/>
        <v>2753100</v>
      </c>
      <c r="J5364" s="8">
        <f t="shared" si="334"/>
        <v>120585.78</v>
      </c>
      <c r="K5364" t="str">
        <f t="shared" si="335"/>
        <v>MATCHED</v>
      </c>
    </row>
    <row r="5365" spans="1:11">
      <c r="A5365" t="s">
        <v>124</v>
      </c>
      <c r="B5365" t="s">
        <v>1739</v>
      </c>
      <c r="C5365" t="s">
        <v>1028</v>
      </c>
      <c r="D5365" t="s">
        <v>1029</v>
      </c>
      <c r="E5365" s="8">
        <v>60</v>
      </c>
      <c r="F5365" s="8">
        <v>42230</v>
      </c>
      <c r="G5365" s="8">
        <f t="shared" si="332"/>
        <v>2533800</v>
      </c>
      <c r="H5365" s="5">
        <v>0</v>
      </c>
      <c r="I5365" s="8">
        <f t="shared" si="333"/>
        <v>2533800</v>
      </c>
      <c r="J5365" s="8">
        <f t="shared" si="334"/>
        <v>0</v>
      </c>
      <c r="K5365" t="str">
        <f t="shared" si="335"/>
        <v>MATCHED</v>
      </c>
    </row>
    <row r="5366" spans="1:11">
      <c r="A5366" t="s">
        <v>124</v>
      </c>
      <c r="B5366" t="s">
        <v>1739</v>
      </c>
      <c r="C5366" t="s">
        <v>1030</v>
      </c>
      <c r="D5366" t="s">
        <v>1031</v>
      </c>
      <c r="E5366" s="8">
        <v>90</v>
      </c>
      <c r="F5366" s="8">
        <v>37270</v>
      </c>
      <c r="G5366" s="8">
        <f t="shared" si="332"/>
        <v>3354300</v>
      </c>
      <c r="H5366" s="5">
        <v>0</v>
      </c>
      <c r="I5366" s="8">
        <f t="shared" si="333"/>
        <v>3354300</v>
      </c>
      <c r="J5366" s="8">
        <f t="shared" si="334"/>
        <v>0</v>
      </c>
      <c r="K5366" t="str">
        <f t="shared" si="335"/>
        <v>MATCHED</v>
      </c>
    </row>
    <row r="5367" spans="1:11">
      <c r="A5367" t="s">
        <v>124</v>
      </c>
      <c r="B5367" t="s">
        <v>1739</v>
      </c>
      <c r="C5367" t="s">
        <v>1032</v>
      </c>
      <c r="D5367" t="s">
        <v>1033</v>
      </c>
      <c r="E5367" s="8"/>
      <c r="F5367" s="8">
        <v>64920</v>
      </c>
      <c r="G5367" s="8" t="str">
        <f t="shared" si="332"/>
        <v/>
      </c>
      <c r="H5367" s="5">
        <v>0.028</v>
      </c>
      <c r="I5367" s="8" t="str">
        <f t="shared" si="333"/>
        <v/>
      </c>
      <c r="J5367" s="8" t="str">
        <f t="shared" si="334"/>
        <v/>
      </c>
      <c r="K5367" t="str">
        <f t="shared" si="335"/>
        <v>MISSING OEWS</v>
      </c>
    </row>
    <row r="5368" spans="1:11">
      <c r="A5368" t="s">
        <v>124</v>
      </c>
      <c r="B5368" t="s">
        <v>1739</v>
      </c>
      <c r="C5368" t="s">
        <v>668</v>
      </c>
      <c r="D5368" t="s">
        <v>669</v>
      </c>
      <c r="E5368" s="8">
        <v>5250</v>
      </c>
      <c r="F5368" s="8">
        <v>56660</v>
      </c>
      <c r="G5368" s="8">
        <f t="shared" si="332"/>
        <v>297465000</v>
      </c>
      <c r="H5368" s="5">
        <v>0</v>
      </c>
      <c r="I5368" s="8">
        <f t="shared" si="333"/>
        <v>297465000</v>
      </c>
      <c r="J5368" s="8">
        <f t="shared" si="334"/>
        <v>0</v>
      </c>
      <c r="K5368" t="str">
        <f t="shared" si="335"/>
        <v>MATCHED</v>
      </c>
    </row>
    <row r="5369" spans="1:11">
      <c r="A5369" t="s">
        <v>124</v>
      </c>
      <c r="B5369" t="s">
        <v>1739</v>
      </c>
      <c r="C5369" t="s">
        <v>670</v>
      </c>
      <c r="D5369" t="s">
        <v>671</v>
      </c>
      <c r="E5369" s="8">
        <v>71860</v>
      </c>
      <c r="F5369" s="8">
        <v>44240</v>
      </c>
      <c r="G5369" s="8">
        <f t="shared" si="332"/>
        <v>3179086400</v>
      </c>
      <c r="H5369" s="5">
        <v>0.0297</v>
      </c>
      <c r="I5369" s="8">
        <f t="shared" si="333"/>
        <v>3179086400</v>
      </c>
      <c r="J5369" s="8">
        <f t="shared" si="334"/>
        <v>94418866.08</v>
      </c>
      <c r="K5369" t="str">
        <f t="shared" si="335"/>
        <v>MATCHED</v>
      </c>
    </row>
    <row r="5370" spans="1:11">
      <c r="A5370" t="s">
        <v>124</v>
      </c>
      <c r="B5370" t="s">
        <v>1739</v>
      </c>
      <c r="C5370" t="s">
        <v>672</v>
      </c>
      <c r="D5370" t="s">
        <v>673</v>
      </c>
      <c r="E5370" s="8">
        <v>440</v>
      </c>
      <c r="F5370" s="8">
        <v>51080</v>
      </c>
      <c r="G5370" s="8">
        <f t="shared" si="332"/>
        <v>22475200</v>
      </c>
      <c r="H5370" s="5">
        <v>0</v>
      </c>
      <c r="I5370" s="8">
        <f t="shared" si="333"/>
        <v>22475200</v>
      </c>
      <c r="J5370" s="8">
        <f t="shared" si="334"/>
        <v>0</v>
      </c>
      <c r="K5370" t="str">
        <f t="shared" si="335"/>
        <v>MATCHED</v>
      </c>
    </row>
    <row r="5371" spans="1:11">
      <c r="A5371" t="s">
        <v>124</v>
      </c>
      <c r="B5371" t="s">
        <v>1739</v>
      </c>
      <c r="C5371" t="s">
        <v>429</v>
      </c>
      <c r="D5371" t="s">
        <v>430</v>
      </c>
      <c r="E5371" s="8">
        <v>28600</v>
      </c>
      <c r="F5371" s="8">
        <v>56510</v>
      </c>
      <c r="G5371" s="8">
        <f t="shared" si="332"/>
        <v>1616186000</v>
      </c>
      <c r="H5371" s="5">
        <v>0.0589</v>
      </c>
      <c r="I5371" s="8">
        <f t="shared" si="333"/>
        <v>1616186000</v>
      </c>
      <c r="J5371" s="8">
        <f t="shared" si="334"/>
        <v>95193355.4</v>
      </c>
      <c r="K5371" t="str">
        <f t="shared" si="335"/>
        <v>MATCHED</v>
      </c>
    </row>
    <row r="5372" spans="1:11">
      <c r="A5372" t="s">
        <v>124</v>
      </c>
      <c r="B5372" t="s">
        <v>1739</v>
      </c>
      <c r="C5372" t="s">
        <v>1038</v>
      </c>
      <c r="D5372" t="s">
        <v>1039</v>
      </c>
      <c r="E5372" s="8">
        <v>1420</v>
      </c>
      <c r="F5372" s="8">
        <v>44760</v>
      </c>
      <c r="G5372" s="8">
        <f t="shared" si="332"/>
        <v>63559200</v>
      </c>
      <c r="H5372" s="5">
        <v>0</v>
      </c>
      <c r="I5372" s="8">
        <f t="shared" si="333"/>
        <v>63559200</v>
      </c>
      <c r="J5372" s="8">
        <f t="shared" si="334"/>
        <v>0</v>
      </c>
      <c r="K5372" t="str">
        <f t="shared" si="335"/>
        <v>MATCHED</v>
      </c>
    </row>
    <row r="5373" spans="1:11">
      <c r="A5373" t="s">
        <v>124</v>
      </c>
      <c r="B5373" t="s">
        <v>1739</v>
      </c>
      <c r="C5373" t="s">
        <v>431</v>
      </c>
      <c r="D5373" t="s">
        <v>432</v>
      </c>
      <c r="E5373" s="8">
        <v>24670</v>
      </c>
      <c r="F5373" s="8">
        <v>65190</v>
      </c>
      <c r="G5373" s="8">
        <f t="shared" si="332"/>
        <v>1608237300</v>
      </c>
      <c r="H5373" s="5">
        <v>0.0786</v>
      </c>
      <c r="I5373" s="8">
        <f t="shared" si="333"/>
        <v>1608237300</v>
      </c>
      <c r="J5373" s="8">
        <f t="shared" si="334"/>
        <v>126407451.78</v>
      </c>
      <c r="K5373" t="str">
        <f t="shared" si="335"/>
        <v>MATCHED</v>
      </c>
    </row>
    <row r="5374" spans="1:11">
      <c r="A5374" t="s">
        <v>124</v>
      </c>
      <c r="B5374" t="s">
        <v>1739</v>
      </c>
      <c r="C5374" t="s">
        <v>1042</v>
      </c>
      <c r="D5374" t="s">
        <v>1043</v>
      </c>
      <c r="E5374" s="8">
        <v>300</v>
      </c>
      <c r="F5374" s="8">
        <v>46520</v>
      </c>
      <c r="G5374" s="8">
        <f t="shared" si="332"/>
        <v>13956000</v>
      </c>
      <c r="H5374" s="5">
        <v>0</v>
      </c>
      <c r="I5374" s="8">
        <f t="shared" si="333"/>
        <v>13956000</v>
      </c>
      <c r="J5374" s="8">
        <f t="shared" si="334"/>
        <v>0</v>
      </c>
      <c r="K5374" t="str">
        <f t="shared" si="335"/>
        <v>MATCHED</v>
      </c>
    </row>
    <row r="5375" spans="1:11">
      <c r="A5375" t="s">
        <v>124</v>
      </c>
      <c r="B5375" t="s">
        <v>1739</v>
      </c>
      <c r="C5375" t="s">
        <v>674</v>
      </c>
      <c r="D5375" t="s">
        <v>675</v>
      </c>
      <c r="E5375" s="8"/>
      <c r="F5375" s="8">
        <v>48300</v>
      </c>
      <c r="G5375" s="8" t="str">
        <f t="shared" si="332"/>
        <v/>
      </c>
      <c r="H5375" s="5">
        <v>0</v>
      </c>
      <c r="I5375" s="8" t="str">
        <f t="shared" si="333"/>
        <v/>
      </c>
      <c r="J5375" s="8" t="str">
        <f t="shared" si="334"/>
        <v/>
      </c>
      <c r="K5375" t="str">
        <f t="shared" si="335"/>
        <v>MISSING OEWS</v>
      </c>
    </row>
    <row r="5376" spans="1:11">
      <c r="A5376" t="s">
        <v>124</v>
      </c>
      <c r="B5376" t="s">
        <v>1739</v>
      </c>
      <c r="C5376" t="s">
        <v>676</v>
      </c>
      <c r="D5376" t="s">
        <v>677</v>
      </c>
      <c r="E5376" s="8">
        <v>480</v>
      </c>
      <c r="F5376" s="8">
        <v>79510</v>
      </c>
      <c r="G5376" s="8">
        <f t="shared" si="332"/>
        <v>38164800</v>
      </c>
      <c r="H5376" s="5">
        <v>0.0731</v>
      </c>
      <c r="I5376" s="8">
        <f t="shared" si="333"/>
        <v>38164800</v>
      </c>
      <c r="J5376" s="8">
        <f t="shared" si="334"/>
        <v>2789846.88</v>
      </c>
      <c r="K5376" t="str">
        <f t="shared" si="335"/>
        <v>MATCHED</v>
      </c>
    </row>
    <row r="5377" spans="1:11">
      <c r="A5377" t="s">
        <v>124</v>
      </c>
      <c r="B5377" t="s">
        <v>1739</v>
      </c>
      <c r="C5377" t="s">
        <v>678</v>
      </c>
      <c r="D5377" t="s">
        <v>679</v>
      </c>
      <c r="E5377" s="8">
        <v>5810</v>
      </c>
      <c r="F5377" s="8">
        <v>48540</v>
      </c>
      <c r="G5377" s="8">
        <f t="shared" si="332"/>
        <v>282017400</v>
      </c>
      <c r="H5377" s="5">
        <v>0.0368</v>
      </c>
      <c r="I5377" s="8">
        <f t="shared" si="333"/>
        <v>282017400</v>
      </c>
      <c r="J5377" s="8">
        <f t="shared" si="334"/>
        <v>10378240.32</v>
      </c>
      <c r="K5377" t="str">
        <f t="shared" si="335"/>
        <v>MATCHED</v>
      </c>
    </row>
    <row r="5378" spans="1:11">
      <c r="A5378" t="s">
        <v>124</v>
      </c>
      <c r="B5378" t="s">
        <v>1739</v>
      </c>
      <c r="C5378" t="s">
        <v>680</v>
      </c>
      <c r="D5378" t="s">
        <v>681</v>
      </c>
      <c r="E5378" s="8">
        <v>80</v>
      </c>
      <c r="F5378" s="8">
        <v>38980</v>
      </c>
      <c r="G5378" s="8">
        <f t="shared" ref="G5378:G5441" si="336">IF(OR(E5378="",F5378=""),"",E5378*F5378)</f>
        <v>3118400</v>
      </c>
      <c r="H5378" s="5">
        <v>0</v>
      </c>
      <c r="I5378" s="8">
        <f t="shared" ref="I5378:I5441" si="337">IF(G5378="","",IF(ISNUMBER(H5378),G5378,""))</f>
        <v>3118400</v>
      </c>
      <c r="J5378" s="8">
        <f t="shared" ref="J5378:J5441" si="338">IF(I5378="","",I5378*H5378)</f>
        <v>0</v>
      </c>
      <c r="K5378" t="str">
        <f t="shared" ref="K5378:K5441" si="339">IF(G5378="","MISSING OEWS",IF(ISNUMBER(H5378),"MATCHED","MISSING WHARTON"))</f>
        <v>MATCHED</v>
      </c>
    </row>
    <row r="5379" spans="1:11">
      <c r="A5379" t="s">
        <v>124</v>
      </c>
      <c r="B5379" t="s">
        <v>1739</v>
      </c>
      <c r="C5379" t="s">
        <v>682</v>
      </c>
      <c r="D5379" t="s">
        <v>683</v>
      </c>
      <c r="E5379" s="8">
        <v>13310</v>
      </c>
      <c r="F5379" s="8">
        <v>62820</v>
      </c>
      <c r="G5379" s="8">
        <f t="shared" si="336"/>
        <v>836134200</v>
      </c>
      <c r="H5379" s="5">
        <v>0.04</v>
      </c>
      <c r="I5379" s="8">
        <f t="shared" si="337"/>
        <v>836134200</v>
      </c>
      <c r="J5379" s="8">
        <f t="shared" si="338"/>
        <v>33445368</v>
      </c>
      <c r="K5379" t="str">
        <f t="shared" si="339"/>
        <v>MATCHED</v>
      </c>
    </row>
    <row r="5380" spans="1:11">
      <c r="A5380" t="s">
        <v>124</v>
      </c>
      <c r="B5380" t="s">
        <v>1739</v>
      </c>
      <c r="C5380" t="s">
        <v>1046</v>
      </c>
      <c r="D5380" t="s">
        <v>1047</v>
      </c>
      <c r="E5380" s="8"/>
      <c r="F5380" s="8">
        <v>59770</v>
      </c>
      <c r="G5380" s="8" t="str">
        <f t="shared" si="336"/>
        <v/>
      </c>
      <c r="H5380" s="5">
        <v>0</v>
      </c>
      <c r="I5380" s="8" t="str">
        <f t="shared" si="337"/>
        <v/>
      </c>
      <c r="J5380" s="8" t="str">
        <f t="shared" si="338"/>
        <v/>
      </c>
      <c r="K5380" t="str">
        <f t="shared" si="339"/>
        <v>MISSING OEWS</v>
      </c>
    </row>
    <row r="5381" spans="1:11">
      <c r="A5381" t="s">
        <v>124</v>
      </c>
      <c r="B5381" t="s">
        <v>1739</v>
      </c>
      <c r="C5381" t="s">
        <v>1048</v>
      </c>
      <c r="D5381" t="s">
        <v>1049</v>
      </c>
      <c r="E5381" s="8">
        <v>320</v>
      </c>
      <c r="F5381" s="8">
        <v>57660</v>
      </c>
      <c r="G5381" s="8">
        <f t="shared" si="336"/>
        <v>18451200</v>
      </c>
      <c r="H5381" s="5">
        <v>0</v>
      </c>
      <c r="I5381" s="8">
        <f t="shared" si="337"/>
        <v>18451200</v>
      </c>
      <c r="J5381" s="8">
        <f t="shared" si="338"/>
        <v>0</v>
      </c>
      <c r="K5381" t="str">
        <f t="shared" si="339"/>
        <v>MATCHED</v>
      </c>
    </row>
    <row r="5382" spans="1:11">
      <c r="A5382" t="s">
        <v>124</v>
      </c>
      <c r="B5382" t="s">
        <v>1739</v>
      </c>
      <c r="C5382" t="s">
        <v>1050</v>
      </c>
      <c r="D5382" t="s">
        <v>1051</v>
      </c>
      <c r="E5382" s="8">
        <v>1010</v>
      </c>
      <c r="F5382" s="8">
        <v>48050</v>
      </c>
      <c r="G5382" s="8">
        <f t="shared" si="336"/>
        <v>48530500</v>
      </c>
      <c r="H5382" s="5">
        <v>0</v>
      </c>
      <c r="I5382" s="8">
        <f t="shared" si="337"/>
        <v>48530500</v>
      </c>
      <c r="J5382" s="8">
        <f t="shared" si="338"/>
        <v>0</v>
      </c>
      <c r="K5382" t="str">
        <f t="shared" si="339"/>
        <v>MATCHED</v>
      </c>
    </row>
    <row r="5383" spans="1:11">
      <c r="A5383" t="s">
        <v>124</v>
      </c>
      <c r="B5383" t="s">
        <v>1739</v>
      </c>
      <c r="C5383" t="s">
        <v>684</v>
      </c>
      <c r="D5383" t="s">
        <v>685</v>
      </c>
      <c r="E5383" s="8">
        <v>2230</v>
      </c>
      <c r="F5383" s="8">
        <v>55400</v>
      </c>
      <c r="G5383" s="8">
        <f t="shared" si="336"/>
        <v>123542000</v>
      </c>
      <c r="H5383" s="5">
        <v>0.0687</v>
      </c>
      <c r="I5383" s="8">
        <f t="shared" si="337"/>
        <v>123542000</v>
      </c>
      <c r="J5383" s="8">
        <f t="shared" si="338"/>
        <v>8487335.4</v>
      </c>
      <c r="K5383" t="str">
        <f t="shared" si="339"/>
        <v>MATCHED</v>
      </c>
    </row>
    <row r="5384" spans="1:11">
      <c r="A5384" t="s">
        <v>124</v>
      </c>
      <c r="B5384" t="s">
        <v>1739</v>
      </c>
      <c r="C5384" t="s">
        <v>686</v>
      </c>
      <c r="D5384" t="s">
        <v>687</v>
      </c>
      <c r="E5384" s="8"/>
      <c r="F5384" s="8">
        <v>59190</v>
      </c>
      <c r="G5384" s="8" t="str">
        <f t="shared" si="336"/>
        <v/>
      </c>
      <c r="H5384" s="5">
        <v>0</v>
      </c>
      <c r="I5384" s="8" t="str">
        <f t="shared" si="337"/>
        <v/>
      </c>
      <c r="J5384" s="8" t="str">
        <f t="shared" si="338"/>
        <v/>
      </c>
      <c r="K5384" t="str">
        <f t="shared" si="339"/>
        <v>MISSING OEWS</v>
      </c>
    </row>
    <row r="5385" spans="1:11">
      <c r="A5385" t="s">
        <v>124</v>
      </c>
      <c r="B5385" t="s">
        <v>1739</v>
      </c>
      <c r="C5385" t="s">
        <v>894</v>
      </c>
      <c r="D5385" t="s">
        <v>895</v>
      </c>
      <c r="E5385" s="8">
        <v>5770</v>
      </c>
      <c r="F5385" s="8">
        <v>48230</v>
      </c>
      <c r="G5385" s="8">
        <f t="shared" si="336"/>
        <v>278287100</v>
      </c>
      <c r="H5385" s="5">
        <v>0.0635</v>
      </c>
      <c r="I5385" s="8">
        <f t="shared" si="337"/>
        <v>278287100</v>
      </c>
      <c r="J5385" s="8">
        <f t="shared" si="338"/>
        <v>17671230.85</v>
      </c>
      <c r="K5385" t="str">
        <f t="shared" si="339"/>
        <v>MATCHED</v>
      </c>
    </row>
    <row r="5386" spans="1:11">
      <c r="A5386" t="s">
        <v>124</v>
      </c>
      <c r="B5386" t="s">
        <v>1739</v>
      </c>
      <c r="C5386" t="s">
        <v>1052</v>
      </c>
      <c r="D5386" t="s">
        <v>1053</v>
      </c>
      <c r="E5386" s="8"/>
      <c r="F5386" s="8">
        <v>51540</v>
      </c>
      <c r="G5386" s="8" t="str">
        <f t="shared" si="336"/>
        <v/>
      </c>
      <c r="H5386" s="5">
        <v>0</v>
      </c>
      <c r="I5386" s="8" t="str">
        <f t="shared" si="337"/>
        <v/>
      </c>
      <c r="J5386" s="8" t="str">
        <f t="shared" si="338"/>
        <v/>
      </c>
      <c r="K5386" t="str">
        <f t="shared" si="339"/>
        <v>MISSING OEWS</v>
      </c>
    </row>
    <row r="5387" spans="1:11">
      <c r="A5387" t="s">
        <v>124</v>
      </c>
      <c r="B5387" t="s">
        <v>1739</v>
      </c>
      <c r="C5387" t="s">
        <v>1054</v>
      </c>
      <c r="D5387" t="s">
        <v>1055</v>
      </c>
      <c r="E5387" s="8">
        <v>510</v>
      </c>
      <c r="F5387" s="8">
        <v>41390</v>
      </c>
      <c r="G5387" s="8">
        <f t="shared" si="336"/>
        <v>21108900</v>
      </c>
      <c r="H5387" s="5">
        <v>0</v>
      </c>
      <c r="I5387" s="8">
        <f t="shared" si="337"/>
        <v>21108900</v>
      </c>
      <c r="J5387" s="8">
        <f t="shared" si="338"/>
        <v>0</v>
      </c>
      <c r="K5387" t="str">
        <f t="shared" si="339"/>
        <v>MATCHED</v>
      </c>
    </row>
    <row r="5388" spans="1:11">
      <c r="A5388" t="s">
        <v>124</v>
      </c>
      <c r="B5388" t="s">
        <v>1739</v>
      </c>
      <c r="C5388" t="s">
        <v>688</v>
      </c>
      <c r="D5388" t="s">
        <v>689</v>
      </c>
      <c r="E5388" s="8">
        <v>2730</v>
      </c>
      <c r="F5388" s="8">
        <v>42350</v>
      </c>
      <c r="G5388" s="8">
        <f t="shared" si="336"/>
        <v>115615500</v>
      </c>
      <c r="H5388" s="5">
        <v>0.0396</v>
      </c>
      <c r="I5388" s="8">
        <f t="shared" si="337"/>
        <v>115615500</v>
      </c>
      <c r="J5388" s="8">
        <f t="shared" si="338"/>
        <v>4578373.8</v>
      </c>
      <c r="K5388" t="str">
        <f t="shared" si="339"/>
        <v>MATCHED</v>
      </c>
    </row>
    <row r="5389" spans="1:11">
      <c r="A5389" t="s">
        <v>124</v>
      </c>
      <c r="B5389" t="s">
        <v>1739</v>
      </c>
      <c r="C5389" t="s">
        <v>1056</v>
      </c>
      <c r="D5389" t="s">
        <v>1057</v>
      </c>
      <c r="E5389" s="8">
        <v>310</v>
      </c>
      <c r="F5389" s="8">
        <v>37200</v>
      </c>
      <c r="G5389" s="8">
        <f t="shared" si="336"/>
        <v>11532000</v>
      </c>
      <c r="H5389" s="5">
        <v>0</v>
      </c>
      <c r="I5389" s="8">
        <f t="shared" si="337"/>
        <v>11532000</v>
      </c>
      <c r="J5389" s="8">
        <f t="shared" si="338"/>
        <v>0</v>
      </c>
      <c r="K5389" t="str">
        <f t="shared" si="339"/>
        <v>MATCHED</v>
      </c>
    </row>
    <row r="5390" spans="1:11">
      <c r="A5390" t="s">
        <v>124</v>
      </c>
      <c r="B5390" t="s">
        <v>1739</v>
      </c>
      <c r="C5390" t="s">
        <v>690</v>
      </c>
      <c r="D5390" t="s">
        <v>691</v>
      </c>
      <c r="E5390" s="8">
        <v>670</v>
      </c>
      <c r="F5390" s="8">
        <v>42850</v>
      </c>
      <c r="G5390" s="8">
        <f t="shared" si="336"/>
        <v>28709500</v>
      </c>
      <c r="H5390" s="5">
        <v>0</v>
      </c>
      <c r="I5390" s="8">
        <f t="shared" si="337"/>
        <v>28709500</v>
      </c>
      <c r="J5390" s="8">
        <f t="shared" si="338"/>
        <v>0</v>
      </c>
      <c r="K5390" t="str">
        <f t="shared" si="339"/>
        <v>MATCHED</v>
      </c>
    </row>
    <row r="5391" spans="1:11">
      <c r="A5391" t="s">
        <v>124</v>
      </c>
      <c r="B5391" t="s">
        <v>1739</v>
      </c>
      <c r="C5391" t="s">
        <v>692</v>
      </c>
      <c r="D5391" t="s">
        <v>693</v>
      </c>
      <c r="E5391" s="8">
        <v>960</v>
      </c>
      <c r="F5391" s="8">
        <v>43600</v>
      </c>
      <c r="G5391" s="8">
        <f t="shared" si="336"/>
        <v>41856000</v>
      </c>
      <c r="H5391" s="5"/>
      <c r="I5391" s="8" t="str">
        <f t="shared" si="337"/>
        <v/>
      </c>
      <c r="J5391" s="8" t="str">
        <f t="shared" si="338"/>
        <v/>
      </c>
      <c r="K5391" t="str">
        <f t="shared" si="339"/>
        <v>MISSING WHARTON</v>
      </c>
    </row>
    <row r="5392" spans="1:11">
      <c r="A5392" t="s">
        <v>124</v>
      </c>
      <c r="B5392" t="s">
        <v>1739</v>
      </c>
      <c r="C5392" t="s">
        <v>694</v>
      </c>
      <c r="D5392" t="s">
        <v>695</v>
      </c>
      <c r="E5392" s="8">
        <v>2210</v>
      </c>
      <c r="F5392" s="8">
        <v>71460</v>
      </c>
      <c r="G5392" s="8">
        <f t="shared" si="336"/>
        <v>157926600</v>
      </c>
      <c r="H5392" s="5">
        <v>0.3737</v>
      </c>
      <c r="I5392" s="8">
        <f t="shared" si="337"/>
        <v>157926600</v>
      </c>
      <c r="J5392" s="8">
        <f t="shared" si="338"/>
        <v>59017170.42</v>
      </c>
      <c r="K5392" t="str">
        <f t="shared" si="339"/>
        <v>MATCHED</v>
      </c>
    </row>
    <row r="5393" spans="1:11">
      <c r="A5393" t="s">
        <v>124</v>
      </c>
      <c r="B5393" t="s">
        <v>1739</v>
      </c>
      <c r="C5393" t="s">
        <v>1060</v>
      </c>
      <c r="D5393" t="s">
        <v>1061</v>
      </c>
      <c r="E5393" s="8">
        <v>70</v>
      </c>
      <c r="F5393" s="8"/>
      <c r="G5393" s="8" t="str">
        <f t="shared" si="336"/>
        <v/>
      </c>
      <c r="H5393" s="5">
        <v>0.0475</v>
      </c>
      <c r="I5393" s="8" t="str">
        <f t="shared" si="337"/>
        <v/>
      </c>
      <c r="J5393" s="8" t="str">
        <f t="shared" si="338"/>
        <v/>
      </c>
      <c r="K5393" t="str">
        <f t="shared" si="339"/>
        <v>MISSING OEWS</v>
      </c>
    </row>
    <row r="5394" spans="1:11">
      <c r="A5394" t="s">
        <v>124</v>
      </c>
      <c r="B5394" t="s">
        <v>1739</v>
      </c>
      <c r="C5394" t="s">
        <v>696</v>
      </c>
      <c r="D5394" t="s">
        <v>697</v>
      </c>
      <c r="E5394" s="8">
        <v>850</v>
      </c>
      <c r="F5394" s="8">
        <v>42350</v>
      </c>
      <c r="G5394" s="8">
        <f t="shared" si="336"/>
        <v>35997500</v>
      </c>
      <c r="H5394" s="5">
        <v>0</v>
      </c>
      <c r="I5394" s="8">
        <f t="shared" si="337"/>
        <v>35997500</v>
      </c>
      <c r="J5394" s="8">
        <f t="shared" si="338"/>
        <v>0</v>
      </c>
      <c r="K5394" t="str">
        <f t="shared" si="339"/>
        <v>MATCHED</v>
      </c>
    </row>
    <row r="5395" spans="1:11">
      <c r="A5395" t="s">
        <v>124</v>
      </c>
      <c r="B5395" t="s">
        <v>1739</v>
      </c>
      <c r="C5395" t="s">
        <v>698</v>
      </c>
      <c r="D5395" t="s">
        <v>699</v>
      </c>
      <c r="E5395" s="8">
        <v>43070</v>
      </c>
      <c r="F5395" s="8">
        <v>54930</v>
      </c>
      <c r="G5395" s="8">
        <f t="shared" si="336"/>
        <v>2365835100</v>
      </c>
      <c r="H5395" s="5">
        <v>0.0452</v>
      </c>
      <c r="I5395" s="8">
        <f t="shared" si="337"/>
        <v>2365835100</v>
      </c>
      <c r="J5395" s="8">
        <f t="shared" si="338"/>
        <v>106935746.52</v>
      </c>
      <c r="K5395" t="str">
        <f t="shared" si="339"/>
        <v>MATCHED</v>
      </c>
    </row>
    <row r="5396" spans="1:11">
      <c r="A5396" t="s">
        <v>124</v>
      </c>
      <c r="B5396" t="s">
        <v>1739</v>
      </c>
      <c r="C5396" t="s">
        <v>1062</v>
      </c>
      <c r="D5396" t="s">
        <v>1063</v>
      </c>
      <c r="E5396" s="8">
        <v>1350</v>
      </c>
      <c r="F5396" s="8">
        <v>46780</v>
      </c>
      <c r="G5396" s="8">
        <f t="shared" si="336"/>
        <v>63153000</v>
      </c>
      <c r="H5396" s="5">
        <v>0</v>
      </c>
      <c r="I5396" s="8">
        <f t="shared" si="337"/>
        <v>63153000</v>
      </c>
      <c r="J5396" s="8">
        <f t="shared" si="338"/>
        <v>0</v>
      </c>
      <c r="K5396" t="str">
        <f t="shared" si="339"/>
        <v>MATCHED</v>
      </c>
    </row>
    <row r="5397" spans="1:11">
      <c r="A5397" t="s">
        <v>124</v>
      </c>
      <c r="B5397" t="s">
        <v>1739</v>
      </c>
      <c r="C5397" t="s">
        <v>896</v>
      </c>
      <c r="D5397" t="s">
        <v>897</v>
      </c>
      <c r="E5397" s="8">
        <v>18490</v>
      </c>
      <c r="F5397" s="8">
        <v>51160</v>
      </c>
      <c r="G5397" s="8">
        <f t="shared" si="336"/>
        <v>945948400</v>
      </c>
      <c r="H5397" s="5">
        <v>0.0864</v>
      </c>
      <c r="I5397" s="8">
        <f t="shared" si="337"/>
        <v>945948400</v>
      </c>
      <c r="J5397" s="8">
        <f t="shared" si="338"/>
        <v>81729941.76</v>
      </c>
      <c r="K5397" t="str">
        <f t="shared" si="339"/>
        <v>MATCHED</v>
      </c>
    </row>
    <row r="5398" spans="1:11">
      <c r="A5398" t="s">
        <v>124</v>
      </c>
      <c r="B5398" t="s">
        <v>1739</v>
      </c>
      <c r="C5398" t="s">
        <v>702</v>
      </c>
      <c r="D5398" t="s">
        <v>703</v>
      </c>
      <c r="E5398" s="8">
        <v>1990</v>
      </c>
      <c r="F5398" s="8">
        <v>48510</v>
      </c>
      <c r="G5398" s="8">
        <f t="shared" si="336"/>
        <v>96534900</v>
      </c>
      <c r="H5398" s="5">
        <v>0.0825</v>
      </c>
      <c r="I5398" s="8">
        <f t="shared" si="337"/>
        <v>96534900</v>
      </c>
      <c r="J5398" s="8">
        <f t="shared" si="338"/>
        <v>7964129.25</v>
      </c>
      <c r="K5398" t="str">
        <f t="shared" si="339"/>
        <v>MATCHED</v>
      </c>
    </row>
    <row r="5399" spans="1:11">
      <c r="A5399" t="s">
        <v>124</v>
      </c>
      <c r="B5399" t="s">
        <v>1739</v>
      </c>
      <c r="C5399" t="s">
        <v>708</v>
      </c>
      <c r="D5399" t="s">
        <v>709</v>
      </c>
      <c r="E5399" s="8">
        <v>350</v>
      </c>
      <c r="F5399" s="8">
        <v>59290</v>
      </c>
      <c r="G5399" s="8">
        <f t="shared" si="336"/>
        <v>20751500</v>
      </c>
      <c r="H5399" s="5">
        <v>0.05</v>
      </c>
      <c r="I5399" s="8">
        <f t="shared" si="337"/>
        <v>20751500</v>
      </c>
      <c r="J5399" s="8">
        <f t="shared" si="338"/>
        <v>1037575</v>
      </c>
      <c r="K5399" t="str">
        <f t="shared" si="339"/>
        <v>MATCHED</v>
      </c>
    </row>
    <row r="5400" spans="1:11">
      <c r="A5400" t="s">
        <v>124</v>
      </c>
      <c r="B5400" t="s">
        <v>1739</v>
      </c>
      <c r="C5400" t="s">
        <v>710</v>
      </c>
      <c r="D5400" t="s">
        <v>711</v>
      </c>
      <c r="E5400" s="8">
        <v>690</v>
      </c>
      <c r="F5400" s="8">
        <v>68610</v>
      </c>
      <c r="G5400" s="8">
        <f t="shared" si="336"/>
        <v>47340900</v>
      </c>
      <c r="H5400" s="5">
        <v>0</v>
      </c>
      <c r="I5400" s="8">
        <f t="shared" si="337"/>
        <v>47340900</v>
      </c>
      <c r="J5400" s="8">
        <f t="shared" si="338"/>
        <v>0</v>
      </c>
      <c r="K5400" t="str">
        <f t="shared" si="339"/>
        <v>MATCHED</v>
      </c>
    </row>
    <row r="5401" spans="1:11">
      <c r="A5401" t="s">
        <v>124</v>
      </c>
      <c r="B5401" t="s">
        <v>1739</v>
      </c>
      <c r="C5401" t="s">
        <v>712</v>
      </c>
      <c r="D5401" t="s">
        <v>713</v>
      </c>
      <c r="E5401" s="8">
        <v>390</v>
      </c>
      <c r="F5401" s="8">
        <v>56270</v>
      </c>
      <c r="G5401" s="8">
        <f t="shared" si="336"/>
        <v>21945300</v>
      </c>
      <c r="H5401" s="5">
        <v>0.0233</v>
      </c>
      <c r="I5401" s="8">
        <f t="shared" si="337"/>
        <v>21945300</v>
      </c>
      <c r="J5401" s="8">
        <f t="shared" si="338"/>
        <v>511325.49</v>
      </c>
      <c r="K5401" t="str">
        <f t="shared" si="339"/>
        <v>MATCHED</v>
      </c>
    </row>
    <row r="5402" spans="1:11">
      <c r="A5402" t="s">
        <v>124</v>
      </c>
      <c r="B5402" t="s">
        <v>1739</v>
      </c>
      <c r="C5402" t="s">
        <v>716</v>
      </c>
      <c r="D5402" t="s">
        <v>717</v>
      </c>
      <c r="E5402" s="8"/>
      <c r="F5402" s="8">
        <v>56420</v>
      </c>
      <c r="G5402" s="8" t="str">
        <f t="shared" si="336"/>
        <v/>
      </c>
      <c r="H5402" s="5">
        <v>0</v>
      </c>
      <c r="I5402" s="8" t="str">
        <f t="shared" si="337"/>
        <v/>
      </c>
      <c r="J5402" s="8" t="str">
        <f t="shared" si="338"/>
        <v/>
      </c>
      <c r="K5402" t="str">
        <f t="shared" si="339"/>
        <v>MISSING OEWS</v>
      </c>
    </row>
    <row r="5403" spans="1:11">
      <c r="A5403" t="s">
        <v>124</v>
      </c>
      <c r="B5403" t="s">
        <v>1739</v>
      </c>
      <c r="C5403" t="s">
        <v>722</v>
      </c>
      <c r="D5403" t="s">
        <v>723</v>
      </c>
      <c r="E5403" s="8"/>
      <c r="F5403" s="8">
        <v>65620</v>
      </c>
      <c r="G5403" s="8" t="str">
        <f t="shared" si="336"/>
        <v/>
      </c>
      <c r="H5403" s="5"/>
      <c r="I5403" s="8" t="str">
        <f t="shared" si="337"/>
        <v/>
      </c>
      <c r="J5403" s="8" t="str">
        <f t="shared" si="338"/>
        <v/>
      </c>
      <c r="K5403" t="str">
        <f t="shared" si="339"/>
        <v>MISSING OEWS</v>
      </c>
    </row>
    <row r="5404" spans="1:11">
      <c r="A5404" t="s">
        <v>124</v>
      </c>
      <c r="B5404" t="s">
        <v>1739</v>
      </c>
      <c r="C5404" t="s">
        <v>726</v>
      </c>
      <c r="D5404" t="s">
        <v>727</v>
      </c>
      <c r="E5404" s="8">
        <v>440</v>
      </c>
      <c r="F5404" s="8">
        <v>41310</v>
      </c>
      <c r="G5404" s="8">
        <f t="shared" si="336"/>
        <v>18176400</v>
      </c>
      <c r="H5404" s="5">
        <v>0</v>
      </c>
      <c r="I5404" s="8">
        <f t="shared" si="337"/>
        <v>18176400</v>
      </c>
      <c r="J5404" s="8">
        <f t="shared" si="338"/>
        <v>0</v>
      </c>
      <c r="K5404" t="str">
        <f t="shared" si="339"/>
        <v>MATCHED</v>
      </c>
    </row>
    <row r="5405" spans="1:11">
      <c r="A5405" t="s">
        <v>124</v>
      </c>
      <c r="B5405" t="s">
        <v>1739</v>
      </c>
      <c r="C5405" t="s">
        <v>728</v>
      </c>
      <c r="D5405" t="s">
        <v>729</v>
      </c>
      <c r="E5405" s="8">
        <v>70</v>
      </c>
      <c r="F5405" s="8">
        <v>44150</v>
      </c>
      <c r="G5405" s="8">
        <f t="shared" si="336"/>
        <v>3090500</v>
      </c>
      <c r="H5405" s="5">
        <v>0</v>
      </c>
      <c r="I5405" s="8">
        <f t="shared" si="337"/>
        <v>3090500</v>
      </c>
      <c r="J5405" s="8">
        <f t="shared" si="338"/>
        <v>0</v>
      </c>
      <c r="K5405" t="str">
        <f t="shared" si="339"/>
        <v>MATCHED</v>
      </c>
    </row>
    <row r="5406" spans="1:11">
      <c r="A5406" t="s">
        <v>124</v>
      </c>
      <c r="B5406" t="s">
        <v>1739</v>
      </c>
      <c r="C5406" t="s">
        <v>730</v>
      </c>
      <c r="D5406" t="s">
        <v>731</v>
      </c>
      <c r="E5406" s="8">
        <v>250</v>
      </c>
      <c r="F5406" s="8">
        <v>44240</v>
      </c>
      <c r="G5406" s="8">
        <f t="shared" si="336"/>
        <v>11060000</v>
      </c>
      <c r="H5406" s="5"/>
      <c r="I5406" s="8" t="str">
        <f t="shared" si="337"/>
        <v/>
      </c>
      <c r="J5406" s="8" t="str">
        <f t="shared" si="338"/>
        <v/>
      </c>
      <c r="K5406" t="str">
        <f t="shared" si="339"/>
        <v>MISSING WHARTON</v>
      </c>
    </row>
    <row r="5407" spans="1:11">
      <c r="A5407" t="s">
        <v>124</v>
      </c>
      <c r="B5407" t="s">
        <v>1739</v>
      </c>
      <c r="C5407" t="s">
        <v>433</v>
      </c>
      <c r="D5407" t="s">
        <v>434</v>
      </c>
      <c r="E5407" s="8">
        <v>23560</v>
      </c>
      <c r="F5407" s="8">
        <v>78310</v>
      </c>
      <c r="G5407" s="8">
        <f t="shared" si="336"/>
        <v>1844983600</v>
      </c>
      <c r="H5407" s="5">
        <v>0.3523</v>
      </c>
      <c r="I5407" s="8">
        <f t="shared" si="337"/>
        <v>1844983600</v>
      </c>
      <c r="J5407" s="8">
        <f t="shared" si="338"/>
        <v>649987722.28</v>
      </c>
      <c r="K5407" t="str">
        <f t="shared" si="339"/>
        <v>MATCHED</v>
      </c>
    </row>
    <row r="5408" spans="1:11">
      <c r="A5408" t="s">
        <v>124</v>
      </c>
      <c r="B5408" t="s">
        <v>1739</v>
      </c>
      <c r="C5408" t="s">
        <v>1064</v>
      </c>
      <c r="D5408" t="s">
        <v>1065</v>
      </c>
      <c r="E5408" s="8">
        <v>1940</v>
      </c>
      <c r="F5408" s="8">
        <v>53940</v>
      </c>
      <c r="G5408" s="8">
        <f t="shared" si="336"/>
        <v>104643600</v>
      </c>
      <c r="H5408" s="5">
        <v>0.284</v>
      </c>
      <c r="I5408" s="8">
        <f t="shared" si="337"/>
        <v>104643600</v>
      </c>
      <c r="J5408" s="8">
        <f t="shared" si="338"/>
        <v>29718782.4</v>
      </c>
      <c r="K5408" t="str">
        <f t="shared" si="339"/>
        <v>MATCHED</v>
      </c>
    </row>
    <row r="5409" spans="1:11">
      <c r="A5409" t="s">
        <v>124</v>
      </c>
      <c r="B5409" t="s">
        <v>1739</v>
      </c>
      <c r="C5409" t="s">
        <v>898</v>
      </c>
      <c r="D5409" t="s">
        <v>899</v>
      </c>
      <c r="E5409" s="8">
        <v>90</v>
      </c>
      <c r="F5409" s="8">
        <v>82220</v>
      </c>
      <c r="G5409" s="8">
        <f t="shared" si="336"/>
        <v>7399800</v>
      </c>
      <c r="H5409" s="5">
        <v>0.1583</v>
      </c>
      <c r="I5409" s="8">
        <f t="shared" si="337"/>
        <v>7399800</v>
      </c>
      <c r="J5409" s="8">
        <f t="shared" si="338"/>
        <v>1171388.34</v>
      </c>
      <c r="K5409" t="str">
        <f t="shared" si="339"/>
        <v>MATCHED</v>
      </c>
    </row>
    <row r="5410" spans="1:11">
      <c r="A5410" t="s">
        <v>124</v>
      </c>
      <c r="B5410" t="s">
        <v>1739</v>
      </c>
      <c r="C5410" t="s">
        <v>900</v>
      </c>
      <c r="D5410" t="s">
        <v>901</v>
      </c>
      <c r="E5410" s="8">
        <v>4980</v>
      </c>
      <c r="F5410" s="8">
        <v>57930</v>
      </c>
      <c r="G5410" s="8">
        <f t="shared" si="336"/>
        <v>288491400</v>
      </c>
      <c r="H5410" s="5">
        <v>0.195</v>
      </c>
      <c r="I5410" s="8">
        <f t="shared" si="337"/>
        <v>288491400</v>
      </c>
      <c r="J5410" s="8">
        <f t="shared" si="338"/>
        <v>56255823</v>
      </c>
      <c r="K5410" t="str">
        <f t="shared" si="339"/>
        <v>MATCHED</v>
      </c>
    </row>
    <row r="5411" spans="1:11">
      <c r="A5411" t="s">
        <v>124</v>
      </c>
      <c r="B5411" t="s">
        <v>1739</v>
      </c>
      <c r="C5411" t="s">
        <v>1296</v>
      </c>
      <c r="D5411" t="s">
        <v>1297</v>
      </c>
      <c r="E5411" s="8">
        <v>310</v>
      </c>
      <c r="F5411" s="8">
        <v>70300</v>
      </c>
      <c r="G5411" s="8">
        <f t="shared" si="336"/>
        <v>21793000</v>
      </c>
      <c r="H5411" s="5">
        <v>0.2</v>
      </c>
      <c r="I5411" s="8">
        <f t="shared" si="337"/>
        <v>21793000</v>
      </c>
      <c r="J5411" s="8">
        <f t="shared" si="338"/>
        <v>4358600</v>
      </c>
      <c r="K5411" t="str">
        <f t="shared" si="339"/>
        <v>MATCHED</v>
      </c>
    </row>
    <row r="5412" spans="1:11">
      <c r="A5412" t="s">
        <v>124</v>
      </c>
      <c r="B5412" t="s">
        <v>1739</v>
      </c>
      <c r="C5412" t="s">
        <v>732</v>
      </c>
      <c r="D5412" t="s">
        <v>733</v>
      </c>
      <c r="E5412" s="8">
        <v>200</v>
      </c>
      <c r="F5412" s="8">
        <v>64700</v>
      </c>
      <c r="G5412" s="8">
        <f t="shared" si="336"/>
        <v>12940000</v>
      </c>
      <c r="H5412" s="5">
        <v>0.0667</v>
      </c>
      <c r="I5412" s="8">
        <f t="shared" si="337"/>
        <v>12940000</v>
      </c>
      <c r="J5412" s="8">
        <f t="shared" si="338"/>
        <v>863098</v>
      </c>
      <c r="K5412" t="str">
        <f t="shared" si="339"/>
        <v>MATCHED</v>
      </c>
    </row>
    <row r="5413" spans="1:11">
      <c r="A5413" t="s">
        <v>124</v>
      </c>
      <c r="B5413" t="s">
        <v>1739</v>
      </c>
      <c r="C5413" t="s">
        <v>734</v>
      </c>
      <c r="D5413" t="s">
        <v>735</v>
      </c>
      <c r="E5413" s="8">
        <v>2570</v>
      </c>
      <c r="F5413" s="8">
        <v>66370</v>
      </c>
      <c r="G5413" s="8">
        <f t="shared" si="336"/>
        <v>170570900</v>
      </c>
      <c r="H5413" s="5">
        <v>0.19</v>
      </c>
      <c r="I5413" s="8">
        <f t="shared" si="337"/>
        <v>170570900</v>
      </c>
      <c r="J5413" s="8">
        <f t="shared" si="338"/>
        <v>32408471</v>
      </c>
      <c r="K5413" t="str">
        <f t="shared" si="339"/>
        <v>MATCHED</v>
      </c>
    </row>
    <row r="5414" spans="1:11">
      <c r="A5414" t="s">
        <v>124</v>
      </c>
      <c r="B5414" t="s">
        <v>1739</v>
      </c>
      <c r="C5414" t="s">
        <v>1298</v>
      </c>
      <c r="D5414" t="s">
        <v>1299</v>
      </c>
      <c r="E5414" s="8"/>
      <c r="F5414" s="8">
        <v>54840</v>
      </c>
      <c r="G5414" s="8" t="str">
        <f t="shared" si="336"/>
        <v/>
      </c>
      <c r="H5414" s="5">
        <v>0.1583</v>
      </c>
      <c r="I5414" s="8" t="str">
        <f t="shared" si="337"/>
        <v/>
      </c>
      <c r="J5414" s="8" t="str">
        <f t="shared" si="338"/>
        <v/>
      </c>
      <c r="K5414" t="str">
        <f t="shared" si="339"/>
        <v>MISSING OEWS</v>
      </c>
    </row>
    <row r="5415" spans="1:11">
      <c r="A5415" t="s">
        <v>124</v>
      </c>
      <c r="B5415" t="s">
        <v>1739</v>
      </c>
      <c r="C5415" t="s">
        <v>1066</v>
      </c>
      <c r="D5415" t="s">
        <v>1067</v>
      </c>
      <c r="E5415" s="8"/>
      <c r="F5415" s="8">
        <v>45920</v>
      </c>
      <c r="G5415" s="8" t="str">
        <f t="shared" si="336"/>
        <v/>
      </c>
      <c r="H5415" s="5">
        <v>0.2591</v>
      </c>
      <c r="I5415" s="8" t="str">
        <f t="shared" si="337"/>
        <v/>
      </c>
      <c r="J5415" s="8" t="str">
        <f t="shared" si="338"/>
        <v/>
      </c>
      <c r="K5415" t="str">
        <f t="shared" si="339"/>
        <v>MISSING OEWS</v>
      </c>
    </row>
    <row r="5416" spans="1:11">
      <c r="A5416" t="s">
        <v>124</v>
      </c>
      <c r="B5416" t="s">
        <v>1739</v>
      </c>
      <c r="C5416" t="s">
        <v>1068</v>
      </c>
      <c r="D5416" t="s">
        <v>1069</v>
      </c>
      <c r="E5416" s="8">
        <v>56920</v>
      </c>
      <c r="F5416" s="8">
        <v>60170</v>
      </c>
      <c r="G5416" s="8">
        <f t="shared" si="336"/>
        <v>3424876400</v>
      </c>
      <c r="H5416" s="5">
        <v>0.2219</v>
      </c>
      <c r="I5416" s="8">
        <f t="shared" si="337"/>
        <v>3424876400</v>
      </c>
      <c r="J5416" s="8">
        <f t="shared" si="338"/>
        <v>759980073.16</v>
      </c>
      <c r="K5416" t="str">
        <f t="shared" si="339"/>
        <v>MATCHED</v>
      </c>
    </row>
    <row r="5417" spans="1:11">
      <c r="A5417" t="s">
        <v>124</v>
      </c>
      <c r="B5417" t="s">
        <v>1739</v>
      </c>
      <c r="C5417" t="s">
        <v>435</v>
      </c>
      <c r="D5417" t="s">
        <v>436</v>
      </c>
      <c r="E5417" s="8">
        <v>3100</v>
      </c>
      <c r="F5417" s="8">
        <v>63110</v>
      </c>
      <c r="G5417" s="8">
        <f t="shared" si="336"/>
        <v>195641000</v>
      </c>
      <c r="H5417" s="5">
        <v>0.0434</v>
      </c>
      <c r="I5417" s="8">
        <f t="shared" si="337"/>
        <v>195641000</v>
      </c>
      <c r="J5417" s="8">
        <f t="shared" si="338"/>
        <v>8490819.4</v>
      </c>
      <c r="K5417" t="str">
        <f t="shared" si="339"/>
        <v>MATCHED</v>
      </c>
    </row>
    <row r="5418" spans="1:11">
      <c r="A5418" t="s">
        <v>124</v>
      </c>
      <c r="B5418" t="s">
        <v>1739</v>
      </c>
      <c r="C5418" t="s">
        <v>1070</v>
      </c>
      <c r="D5418" t="s">
        <v>1071</v>
      </c>
      <c r="E5418" s="8">
        <v>530</v>
      </c>
      <c r="F5418" s="8">
        <v>49220</v>
      </c>
      <c r="G5418" s="8">
        <f t="shared" si="336"/>
        <v>26086600</v>
      </c>
      <c r="H5418" s="5">
        <v>0.028</v>
      </c>
      <c r="I5418" s="8">
        <f t="shared" si="337"/>
        <v>26086600</v>
      </c>
      <c r="J5418" s="8">
        <f t="shared" si="338"/>
        <v>730424.8</v>
      </c>
      <c r="K5418" t="str">
        <f t="shared" si="339"/>
        <v>MATCHED</v>
      </c>
    </row>
    <row r="5419" spans="1:11">
      <c r="A5419" t="s">
        <v>124</v>
      </c>
      <c r="B5419" t="s">
        <v>1739</v>
      </c>
      <c r="C5419" t="s">
        <v>736</v>
      </c>
      <c r="D5419" t="s">
        <v>737</v>
      </c>
      <c r="E5419" s="8">
        <v>8540</v>
      </c>
      <c r="F5419" s="8">
        <v>52510</v>
      </c>
      <c r="G5419" s="8">
        <f t="shared" si="336"/>
        <v>448435400</v>
      </c>
      <c r="H5419" s="5">
        <v>0.0233</v>
      </c>
      <c r="I5419" s="8">
        <f t="shared" si="337"/>
        <v>448435400</v>
      </c>
      <c r="J5419" s="8">
        <f t="shared" si="338"/>
        <v>10448544.82</v>
      </c>
      <c r="K5419" t="str">
        <f t="shared" si="339"/>
        <v>MATCHED</v>
      </c>
    </row>
    <row r="5420" spans="1:11">
      <c r="A5420" t="s">
        <v>124</v>
      </c>
      <c r="B5420" t="s">
        <v>1739</v>
      </c>
      <c r="C5420" t="s">
        <v>437</v>
      </c>
      <c r="D5420" t="s">
        <v>438</v>
      </c>
      <c r="E5420" s="8">
        <v>20240</v>
      </c>
      <c r="F5420" s="8">
        <v>62180</v>
      </c>
      <c r="G5420" s="8">
        <f t="shared" si="336"/>
        <v>1258523200</v>
      </c>
      <c r="H5420" s="5">
        <v>0</v>
      </c>
      <c r="I5420" s="8">
        <f t="shared" si="337"/>
        <v>1258523200</v>
      </c>
      <c r="J5420" s="8">
        <f t="shared" si="338"/>
        <v>0</v>
      </c>
      <c r="K5420" t="str">
        <f t="shared" si="339"/>
        <v>MATCHED</v>
      </c>
    </row>
    <row r="5421" spans="1:11">
      <c r="A5421" t="s">
        <v>124</v>
      </c>
      <c r="B5421" t="s">
        <v>1739</v>
      </c>
      <c r="C5421" t="s">
        <v>439</v>
      </c>
      <c r="D5421" t="s">
        <v>440</v>
      </c>
      <c r="E5421" s="8"/>
      <c r="F5421" s="8">
        <v>46540</v>
      </c>
      <c r="G5421" s="8" t="str">
        <f t="shared" si="336"/>
        <v/>
      </c>
      <c r="H5421" s="5">
        <v>0.1357</v>
      </c>
      <c r="I5421" s="8" t="str">
        <f t="shared" si="337"/>
        <v/>
      </c>
      <c r="J5421" s="8" t="str">
        <f t="shared" si="338"/>
        <v/>
      </c>
      <c r="K5421" t="str">
        <f t="shared" si="339"/>
        <v>MISSING OEWS</v>
      </c>
    </row>
    <row r="5422" spans="1:11">
      <c r="A5422" t="s">
        <v>124</v>
      </c>
      <c r="B5422" t="s">
        <v>1739</v>
      </c>
      <c r="C5422" t="s">
        <v>441</v>
      </c>
      <c r="D5422" t="s">
        <v>442</v>
      </c>
      <c r="E5422" s="8">
        <v>5510</v>
      </c>
      <c r="F5422" s="8">
        <v>64780</v>
      </c>
      <c r="G5422" s="8">
        <f t="shared" si="336"/>
        <v>356937800</v>
      </c>
      <c r="H5422" s="5">
        <v>0.1425</v>
      </c>
      <c r="I5422" s="8">
        <f t="shared" si="337"/>
        <v>356937800</v>
      </c>
      <c r="J5422" s="8">
        <f t="shared" si="338"/>
        <v>50863636.5</v>
      </c>
      <c r="K5422" t="str">
        <f t="shared" si="339"/>
        <v>MATCHED</v>
      </c>
    </row>
    <row r="5423" spans="1:11">
      <c r="A5423" t="s">
        <v>124</v>
      </c>
      <c r="B5423" t="s">
        <v>1739</v>
      </c>
      <c r="C5423" t="s">
        <v>1074</v>
      </c>
      <c r="D5423" t="s">
        <v>1075</v>
      </c>
      <c r="E5423" s="8">
        <v>100</v>
      </c>
      <c r="F5423" s="8">
        <v>45780</v>
      </c>
      <c r="G5423" s="8">
        <f t="shared" si="336"/>
        <v>4578000</v>
      </c>
      <c r="H5423" s="5">
        <v>0.0731</v>
      </c>
      <c r="I5423" s="8">
        <f t="shared" si="337"/>
        <v>4578000</v>
      </c>
      <c r="J5423" s="8">
        <f t="shared" si="338"/>
        <v>334651.8</v>
      </c>
      <c r="K5423" t="str">
        <f t="shared" si="339"/>
        <v>MATCHED</v>
      </c>
    </row>
    <row r="5424" spans="1:11">
      <c r="A5424" t="s">
        <v>124</v>
      </c>
      <c r="B5424" t="s">
        <v>1739</v>
      </c>
      <c r="C5424" t="s">
        <v>1076</v>
      </c>
      <c r="D5424" t="s">
        <v>1077</v>
      </c>
      <c r="E5424" s="8">
        <v>6980</v>
      </c>
      <c r="F5424" s="8">
        <v>53380</v>
      </c>
      <c r="G5424" s="8">
        <f t="shared" si="336"/>
        <v>372592400</v>
      </c>
      <c r="H5424" s="5">
        <v>0.1179</v>
      </c>
      <c r="I5424" s="8">
        <f t="shared" si="337"/>
        <v>372592400</v>
      </c>
      <c r="J5424" s="8">
        <f t="shared" si="338"/>
        <v>43928643.96</v>
      </c>
      <c r="K5424" t="str">
        <f t="shared" si="339"/>
        <v>MATCHED</v>
      </c>
    </row>
    <row r="5425" spans="1:11">
      <c r="A5425" t="s">
        <v>124</v>
      </c>
      <c r="B5425" t="s">
        <v>1739</v>
      </c>
      <c r="C5425" t="s">
        <v>1304</v>
      </c>
      <c r="D5425" t="s">
        <v>1305</v>
      </c>
      <c r="E5425" s="8"/>
      <c r="F5425" s="8">
        <v>47100</v>
      </c>
      <c r="G5425" s="8" t="str">
        <f t="shared" si="336"/>
        <v/>
      </c>
      <c r="H5425" s="5">
        <v>0.0594</v>
      </c>
      <c r="I5425" s="8" t="str">
        <f t="shared" si="337"/>
        <v/>
      </c>
      <c r="J5425" s="8" t="str">
        <f t="shared" si="338"/>
        <v/>
      </c>
      <c r="K5425" t="str">
        <f t="shared" si="339"/>
        <v>MISSING OEWS</v>
      </c>
    </row>
    <row r="5426" spans="1:11">
      <c r="A5426" t="s">
        <v>124</v>
      </c>
      <c r="B5426" t="s">
        <v>1739</v>
      </c>
      <c r="C5426" t="s">
        <v>738</v>
      </c>
      <c r="D5426" t="s">
        <v>739</v>
      </c>
      <c r="E5426" s="8">
        <v>640</v>
      </c>
      <c r="F5426" s="8">
        <v>45140</v>
      </c>
      <c r="G5426" s="8">
        <f t="shared" si="336"/>
        <v>28889600</v>
      </c>
      <c r="H5426" s="5">
        <v>0</v>
      </c>
      <c r="I5426" s="8">
        <f t="shared" si="337"/>
        <v>28889600</v>
      </c>
      <c r="J5426" s="8">
        <f t="shared" si="338"/>
        <v>0</v>
      </c>
      <c r="K5426" t="str">
        <f t="shared" si="339"/>
        <v>MATCHED</v>
      </c>
    </row>
    <row r="5427" spans="1:11">
      <c r="A5427" t="s">
        <v>124</v>
      </c>
      <c r="B5427" t="s">
        <v>1739</v>
      </c>
      <c r="C5427" t="s">
        <v>740</v>
      </c>
      <c r="D5427" t="s">
        <v>741</v>
      </c>
      <c r="E5427" s="8"/>
      <c r="F5427" s="8">
        <v>57780</v>
      </c>
      <c r="G5427" s="8" t="str">
        <f t="shared" si="336"/>
        <v/>
      </c>
      <c r="H5427" s="5">
        <v>0.0731</v>
      </c>
      <c r="I5427" s="8" t="str">
        <f t="shared" si="337"/>
        <v/>
      </c>
      <c r="J5427" s="8" t="str">
        <f t="shared" si="338"/>
        <v/>
      </c>
      <c r="K5427" t="str">
        <f t="shared" si="339"/>
        <v>MISSING OEWS</v>
      </c>
    </row>
    <row r="5428" spans="1:11">
      <c r="A5428" t="s">
        <v>124</v>
      </c>
      <c r="B5428" t="s">
        <v>1739</v>
      </c>
      <c r="C5428" t="s">
        <v>443</v>
      </c>
      <c r="D5428" t="s">
        <v>444</v>
      </c>
      <c r="E5428" s="8">
        <v>9560</v>
      </c>
      <c r="F5428" s="8">
        <v>65020</v>
      </c>
      <c r="G5428" s="8">
        <f t="shared" si="336"/>
        <v>621591200</v>
      </c>
      <c r="H5428" s="5">
        <v>0.0867</v>
      </c>
      <c r="I5428" s="8">
        <f t="shared" si="337"/>
        <v>621591200</v>
      </c>
      <c r="J5428" s="8">
        <f t="shared" si="338"/>
        <v>53891957.04</v>
      </c>
      <c r="K5428" t="str">
        <f t="shared" si="339"/>
        <v>MATCHED</v>
      </c>
    </row>
    <row r="5429" spans="1:11">
      <c r="A5429" t="s">
        <v>124</v>
      </c>
      <c r="B5429" t="s">
        <v>1739</v>
      </c>
      <c r="C5429" t="s">
        <v>906</v>
      </c>
      <c r="D5429" t="s">
        <v>907</v>
      </c>
      <c r="E5429" s="8">
        <v>190</v>
      </c>
      <c r="F5429" s="8">
        <v>54880</v>
      </c>
      <c r="G5429" s="8">
        <f t="shared" si="336"/>
        <v>10427200</v>
      </c>
      <c r="H5429" s="5">
        <v>0.1226</v>
      </c>
      <c r="I5429" s="8">
        <f t="shared" si="337"/>
        <v>10427200</v>
      </c>
      <c r="J5429" s="8">
        <f t="shared" si="338"/>
        <v>1278374.72</v>
      </c>
      <c r="K5429" t="str">
        <f t="shared" si="339"/>
        <v>MATCHED</v>
      </c>
    </row>
    <row r="5430" spans="1:11">
      <c r="A5430" t="s">
        <v>124</v>
      </c>
      <c r="B5430" t="s">
        <v>1739</v>
      </c>
      <c r="C5430" t="s">
        <v>445</v>
      </c>
      <c r="D5430" t="s">
        <v>446</v>
      </c>
      <c r="E5430" s="8">
        <v>10110</v>
      </c>
      <c r="F5430" s="8">
        <v>62490</v>
      </c>
      <c r="G5430" s="8">
        <f t="shared" si="336"/>
        <v>631773900</v>
      </c>
      <c r="H5430" s="5">
        <v>0.25</v>
      </c>
      <c r="I5430" s="8">
        <f t="shared" si="337"/>
        <v>631773900</v>
      </c>
      <c r="J5430" s="8">
        <f t="shared" si="338"/>
        <v>157943475</v>
      </c>
      <c r="K5430" t="str">
        <f t="shared" si="339"/>
        <v>MATCHED</v>
      </c>
    </row>
    <row r="5431" spans="1:11">
      <c r="A5431" t="s">
        <v>124</v>
      </c>
      <c r="B5431" t="s">
        <v>1739</v>
      </c>
      <c r="C5431" t="s">
        <v>447</v>
      </c>
      <c r="D5431" t="s">
        <v>448</v>
      </c>
      <c r="E5431" s="8">
        <v>2090</v>
      </c>
      <c r="F5431" s="8">
        <v>56170</v>
      </c>
      <c r="G5431" s="8">
        <f t="shared" si="336"/>
        <v>117395300</v>
      </c>
      <c r="H5431" s="5">
        <v>0.0528</v>
      </c>
      <c r="I5431" s="8">
        <f t="shared" si="337"/>
        <v>117395300</v>
      </c>
      <c r="J5431" s="8">
        <f t="shared" si="338"/>
        <v>6198471.84</v>
      </c>
      <c r="K5431" t="str">
        <f t="shared" si="339"/>
        <v>MATCHED</v>
      </c>
    </row>
    <row r="5432" spans="1:11">
      <c r="A5432" t="s">
        <v>124</v>
      </c>
      <c r="B5432" t="s">
        <v>1739</v>
      </c>
      <c r="C5432" t="s">
        <v>742</v>
      </c>
      <c r="D5432" t="s">
        <v>743</v>
      </c>
      <c r="E5432" s="8">
        <v>1700</v>
      </c>
      <c r="F5432" s="8">
        <v>61120</v>
      </c>
      <c r="G5432" s="8">
        <f t="shared" si="336"/>
        <v>103904000</v>
      </c>
      <c r="H5432" s="5">
        <v>0</v>
      </c>
      <c r="I5432" s="8">
        <f t="shared" si="337"/>
        <v>103904000</v>
      </c>
      <c r="J5432" s="8">
        <f t="shared" si="338"/>
        <v>0</v>
      </c>
      <c r="K5432" t="str">
        <f t="shared" si="339"/>
        <v>MATCHED</v>
      </c>
    </row>
    <row r="5433" spans="1:11">
      <c r="A5433" t="s">
        <v>124</v>
      </c>
      <c r="B5433" t="s">
        <v>1739</v>
      </c>
      <c r="C5433" t="s">
        <v>744</v>
      </c>
      <c r="D5433" t="s">
        <v>745</v>
      </c>
      <c r="E5433" s="8">
        <v>470</v>
      </c>
      <c r="F5433" s="8">
        <v>74290</v>
      </c>
      <c r="G5433" s="8">
        <f t="shared" si="336"/>
        <v>34916300</v>
      </c>
      <c r="H5433" s="5">
        <v>0</v>
      </c>
      <c r="I5433" s="8">
        <f t="shared" si="337"/>
        <v>34916300</v>
      </c>
      <c r="J5433" s="8">
        <f t="shared" si="338"/>
        <v>0</v>
      </c>
      <c r="K5433" t="str">
        <f t="shared" si="339"/>
        <v>MATCHED</v>
      </c>
    </row>
    <row r="5434" spans="1:11">
      <c r="A5434" t="s">
        <v>124</v>
      </c>
      <c r="B5434" t="s">
        <v>1739</v>
      </c>
      <c r="C5434" t="s">
        <v>908</v>
      </c>
      <c r="D5434" t="s">
        <v>909</v>
      </c>
      <c r="E5434" s="8">
        <v>1390</v>
      </c>
      <c r="F5434" s="8">
        <v>52870</v>
      </c>
      <c r="G5434" s="8">
        <f t="shared" si="336"/>
        <v>73489300</v>
      </c>
      <c r="H5434" s="5">
        <v>0.0475</v>
      </c>
      <c r="I5434" s="8">
        <f t="shared" si="337"/>
        <v>73489300</v>
      </c>
      <c r="J5434" s="8">
        <f t="shared" si="338"/>
        <v>3490741.75</v>
      </c>
      <c r="K5434" t="str">
        <f t="shared" si="339"/>
        <v>MATCHED</v>
      </c>
    </row>
    <row r="5435" spans="1:11">
      <c r="A5435" t="s">
        <v>124</v>
      </c>
      <c r="B5435" t="s">
        <v>1739</v>
      </c>
      <c r="C5435" t="s">
        <v>1308</v>
      </c>
      <c r="D5435" t="s">
        <v>1309</v>
      </c>
      <c r="E5435" s="8">
        <v>30</v>
      </c>
      <c r="F5435" s="8">
        <v>62830</v>
      </c>
      <c r="G5435" s="8">
        <f t="shared" si="336"/>
        <v>1884900</v>
      </c>
      <c r="H5435" s="5">
        <v>0.1733</v>
      </c>
      <c r="I5435" s="8">
        <f t="shared" si="337"/>
        <v>1884900</v>
      </c>
      <c r="J5435" s="8">
        <f t="shared" si="338"/>
        <v>326653.17</v>
      </c>
      <c r="K5435" t="str">
        <f t="shared" si="339"/>
        <v>MATCHED</v>
      </c>
    </row>
    <row r="5436" spans="1:11">
      <c r="A5436" t="s">
        <v>124</v>
      </c>
      <c r="B5436" t="s">
        <v>1739</v>
      </c>
      <c r="C5436" t="s">
        <v>1310</v>
      </c>
      <c r="D5436" t="s">
        <v>1311</v>
      </c>
      <c r="E5436" s="8"/>
      <c r="F5436" s="8">
        <v>71800</v>
      </c>
      <c r="G5436" s="8" t="str">
        <f t="shared" si="336"/>
        <v/>
      </c>
      <c r="H5436" s="5">
        <v>0.2368</v>
      </c>
      <c r="I5436" s="8" t="str">
        <f t="shared" si="337"/>
        <v/>
      </c>
      <c r="J5436" s="8" t="str">
        <f t="shared" si="338"/>
        <v/>
      </c>
      <c r="K5436" t="str">
        <f t="shared" si="339"/>
        <v>MISSING OEWS</v>
      </c>
    </row>
    <row r="5437" spans="1:11">
      <c r="A5437" t="s">
        <v>124</v>
      </c>
      <c r="B5437" t="s">
        <v>1739</v>
      </c>
      <c r="C5437" t="s">
        <v>746</v>
      </c>
      <c r="D5437" t="s">
        <v>747</v>
      </c>
      <c r="E5437" s="8">
        <v>130</v>
      </c>
      <c r="F5437" s="8">
        <v>84870</v>
      </c>
      <c r="G5437" s="8">
        <f t="shared" si="336"/>
        <v>11033100</v>
      </c>
      <c r="H5437" s="5"/>
      <c r="I5437" s="8" t="str">
        <f t="shared" si="337"/>
        <v/>
      </c>
      <c r="J5437" s="8" t="str">
        <f t="shared" si="338"/>
        <v/>
      </c>
      <c r="K5437" t="str">
        <f t="shared" si="339"/>
        <v>MISSING WHARTON</v>
      </c>
    </row>
    <row r="5438" spans="1:11">
      <c r="A5438" t="s">
        <v>124</v>
      </c>
      <c r="B5438" t="s">
        <v>1739</v>
      </c>
      <c r="C5438" t="s">
        <v>449</v>
      </c>
      <c r="D5438" t="s">
        <v>450</v>
      </c>
      <c r="E5438" s="8">
        <v>86380</v>
      </c>
      <c r="F5438" s="8">
        <v>51720</v>
      </c>
      <c r="G5438" s="8">
        <f t="shared" si="336"/>
        <v>4467573600</v>
      </c>
      <c r="H5438" s="5">
        <v>0.0867</v>
      </c>
      <c r="I5438" s="8">
        <f t="shared" si="337"/>
        <v>4467573600</v>
      </c>
      <c r="J5438" s="8">
        <f t="shared" si="338"/>
        <v>387338631.12</v>
      </c>
      <c r="K5438" t="str">
        <f t="shared" si="339"/>
        <v>MATCHED</v>
      </c>
    </row>
    <row r="5439" spans="1:11">
      <c r="A5439" t="s">
        <v>124</v>
      </c>
      <c r="B5439" t="s">
        <v>1739</v>
      </c>
      <c r="C5439" t="s">
        <v>910</v>
      </c>
      <c r="D5439" t="s">
        <v>911</v>
      </c>
      <c r="E5439" s="8"/>
      <c r="F5439" s="8">
        <v>47240</v>
      </c>
      <c r="G5439" s="8" t="str">
        <f t="shared" si="336"/>
        <v/>
      </c>
      <c r="H5439" s="5">
        <v>0</v>
      </c>
      <c r="I5439" s="8" t="str">
        <f t="shared" si="337"/>
        <v/>
      </c>
      <c r="J5439" s="8" t="str">
        <f t="shared" si="338"/>
        <v/>
      </c>
      <c r="K5439" t="str">
        <f t="shared" si="339"/>
        <v>MISSING OEWS</v>
      </c>
    </row>
    <row r="5440" spans="1:11">
      <c r="A5440" t="s">
        <v>124</v>
      </c>
      <c r="B5440" t="s">
        <v>1739</v>
      </c>
      <c r="C5440" t="s">
        <v>1082</v>
      </c>
      <c r="D5440" t="s">
        <v>1083</v>
      </c>
      <c r="E5440" s="8">
        <v>160</v>
      </c>
      <c r="F5440" s="8">
        <v>47730</v>
      </c>
      <c r="G5440" s="8">
        <f t="shared" si="336"/>
        <v>7636800</v>
      </c>
      <c r="H5440" s="5">
        <v>0.2868</v>
      </c>
      <c r="I5440" s="8">
        <f t="shared" si="337"/>
        <v>7636800</v>
      </c>
      <c r="J5440" s="8">
        <f t="shared" si="338"/>
        <v>2190234.24</v>
      </c>
      <c r="K5440" t="str">
        <f t="shared" si="339"/>
        <v>MATCHED</v>
      </c>
    </row>
    <row r="5441" spans="1:11">
      <c r="A5441" t="s">
        <v>124</v>
      </c>
      <c r="B5441" t="s">
        <v>1739</v>
      </c>
      <c r="C5441" t="s">
        <v>1084</v>
      </c>
      <c r="D5441" t="s">
        <v>1085</v>
      </c>
      <c r="E5441" s="8">
        <v>1560</v>
      </c>
      <c r="F5441" s="8">
        <v>90020</v>
      </c>
      <c r="G5441" s="8">
        <f t="shared" si="336"/>
        <v>140431200</v>
      </c>
      <c r="H5441" s="5">
        <v>0</v>
      </c>
      <c r="I5441" s="8">
        <f t="shared" si="337"/>
        <v>140431200</v>
      </c>
      <c r="J5441" s="8">
        <f t="shared" si="338"/>
        <v>0</v>
      </c>
      <c r="K5441" t="str">
        <f t="shared" si="339"/>
        <v>MATCHED</v>
      </c>
    </row>
    <row r="5442" spans="1:11">
      <c r="A5442" t="s">
        <v>124</v>
      </c>
      <c r="B5442" t="s">
        <v>1739</v>
      </c>
      <c r="C5442" t="s">
        <v>1086</v>
      </c>
      <c r="D5442" t="s">
        <v>1087</v>
      </c>
      <c r="E5442" s="8">
        <v>10220</v>
      </c>
      <c r="F5442" s="8">
        <v>52080</v>
      </c>
      <c r="G5442" s="8">
        <f t="shared" ref="G5442:G5505" si="340">IF(OR(E5442="",F5442=""),"",E5442*F5442)</f>
        <v>532257600</v>
      </c>
      <c r="H5442" s="5">
        <v>0.0679</v>
      </c>
      <c r="I5442" s="8">
        <f t="shared" ref="I5442:I5505" si="341">IF(G5442="","",IF(ISNUMBER(H5442),G5442,""))</f>
        <v>532257600</v>
      </c>
      <c r="J5442" s="8">
        <f t="shared" ref="J5442:J5505" si="342">IF(I5442="","",I5442*H5442)</f>
        <v>36140291.04</v>
      </c>
      <c r="K5442" t="str">
        <f t="shared" ref="K5442:K5505" si="343">IF(G5442="","MISSING OEWS",IF(ISNUMBER(H5442),"MATCHED","MISSING WHARTON"))</f>
        <v>MATCHED</v>
      </c>
    </row>
    <row r="5443" spans="1:11">
      <c r="A5443" t="s">
        <v>124</v>
      </c>
      <c r="B5443" t="s">
        <v>1739</v>
      </c>
      <c r="C5443" t="s">
        <v>1088</v>
      </c>
      <c r="D5443" t="s">
        <v>1089</v>
      </c>
      <c r="E5443" s="8">
        <v>90</v>
      </c>
      <c r="F5443" s="8">
        <v>35970</v>
      </c>
      <c r="G5443" s="8">
        <f t="shared" si="340"/>
        <v>3237300</v>
      </c>
      <c r="H5443" s="5">
        <v>0.05</v>
      </c>
      <c r="I5443" s="8">
        <f t="shared" si="341"/>
        <v>3237300</v>
      </c>
      <c r="J5443" s="8">
        <f t="shared" si="342"/>
        <v>161865</v>
      </c>
      <c r="K5443" t="str">
        <f t="shared" si="343"/>
        <v>MATCHED</v>
      </c>
    </row>
    <row r="5444" spans="1:11">
      <c r="A5444" t="s">
        <v>124</v>
      </c>
      <c r="B5444" t="s">
        <v>1739</v>
      </c>
      <c r="C5444" t="s">
        <v>748</v>
      </c>
      <c r="D5444" t="s">
        <v>749</v>
      </c>
      <c r="E5444" s="8">
        <v>1510</v>
      </c>
      <c r="F5444" s="8">
        <v>80130</v>
      </c>
      <c r="G5444" s="8">
        <f t="shared" si="340"/>
        <v>120996300</v>
      </c>
      <c r="H5444" s="5">
        <v>0</v>
      </c>
      <c r="I5444" s="8">
        <f t="shared" si="341"/>
        <v>120996300</v>
      </c>
      <c r="J5444" s="8">
        <f t="shared" si="342"/>
        <v>0</v>
      </c>
      <c r="K5444" t="str">
        <f t="shared" si="343"/>
        <v>MATCHED</v>
      </c>
    </row>
    <row r="5445" spans="1:11">
      <c r="A5445" t="s">
        <v>124</v>
      </c>
      <c r="B5445" t="s">
        <v>1739</v>
      </c>
      <c r="C5445" t="s">
        <v>451</v>
      </c>
      <c r="D5445" t="s">
        <v>452</v>
      </c>
      <c r="E5445" s="8">
        <v>4400</v>
      </c>
      <c r="F5445" s="8">
        <v>40260</v>
      </c>
      <c r="G5445" s="8">
        <f t="shared" si="340"/>
        <v>177144000</v>
      </c>
      <c r="H5445" s="5">
        <v>0.0594</v>
      </c>
      <c r="I5445" s="8">
        <f t="shared" si="341"/>
        <v>177144000</v>
      </c>
      <c r="J5445" s="8">
        <f t="shared" si="342"/>
        <v>10522353.6</v>
      </c>
      <c r="K5445" t="str">
        <f t="shared" si="343"/>
        <v>MATCHED</v>
      </c>
    </row>
    <row r="5446" spans="1:11">
      <c r="A5446" t="s">
        <v>124</v>
      </c>
      <c r="B5446" t="s">
        <v>1739</v>
      </c>
      <c r="C5446" t="s">
        <v>453</v>
      </c>
      <c r="D5446" t="s">
        <v>454</v>
      </c>
      <c r="E5446" s="8">
        <v>33380</v>
      </c>
      <c r="F5446" s="8">
        <v>48300</v>
      </c>
      <c r="G5446" s="8">
        <f t="shared" si="340"/>
        <v>1612254000</v>
      </c>
      <c r="H5446" s="5">
        <v>0.1667</v>
      </c>
      <c r="I5446" s="8">
        <f t="shared" si="341"/>
        <v>1612254000</v>
      </c>
      <c r="J5446" s="8">
        <f t="shared" si="342"/>
        <v>268762741.8</v>
      </c>
      <c r="K5446" t="str">
        <f t="shared" si="343"/>
        <v>MATCHED</v>
      </c>
    </row>
    <row r="5447" spans="1:11">
      <c r="A5447" t="s">
        <v>124</v>
      </c>
      <c r="B5447" t="s">
        <v>1739</v>
      </c>
      <c r="C5447" t="s">
        <v>455</v>
      </c>
      <c r="D5447" t="s">
        <v>456</v>
      </c>
      <c r="E5447" s="8">
        <v>11650</v>
      </c>
      <c r="F5447" s="8">
        <v>68240</v>
      </c>
      <c r="G5447" s="8">
        <f t="shared" si="340"/>
        <v>794996000</v>
      </c>
      <c r="H5447" s="5">
        <v>0.3775</v>
      </c>
      <c r="I5447" s="8">
        <f t="shared" si="341"/>
        <v>794996000</v>
      </c>
      <c r="J5447" s="8">
        <f t="shared" si="342"/>
        <v>300110990</v>
      </c>
      <c r="K5447" t="str">
        <f t="shared" si="343"/>
        <v>MATCHED</v>
      </c>
    </row>
    <row r="5448" spans="1:11">
      <c r="A5448" t="s">
        <v>124</v>
      </c>
      <c r="B5448" t="s">
        <v>1739</v>
      </c>
      <c r="C5448" t="s">
        <v>1314</v>
      </c>
      <c r="D5448" t="s">
        <v>1315</v>
      </c>
      <c r="E5448" s="8">
        <v>640</v>
      </c>
      <c r="F5448" s="8">
        <v>50280</v>
      </c>
      <c r="G5448" s="8">
        <f t="shared" si="340"/>
        <v>32179200</v>
      </c>
      <c r="H5448" s="5">
        <v>0.0317</v>
      </c>
      <c r="I5448" s="8">
        <f t="shared" si="341"/>
        <v>32179200</v>
      </c>
      <c r="J5448" s="8">
        <f t="shared" si="342"/>
        <v>1020080.64</v>
      </c>
      <c r="K5448" t="str">
        <f t="shared" si="343"/>
        <v>MATCHED</v>
      </c>
    </row>
    <row r="5449" spans="1:11">
      <c r="A5449" t="s">
        <v>124</v>
      </c>
      <c r="B5449" t="s">
        <v>1739</v>
      </c>
      <c r="C5449" t="s">
        <v>1316</v>
      </c>
      <c r="D5449" t="s">
        <v>1317</v>
      </c>
      <c r="E5449" s="8">
        <v>150</v>
      </c>
      <c r="F5449" s="8">
        <v>57560</v>
      </c>
      <c r="G5449" s="8">
        <f t="shared" si="340"/>
        <v>8634000</v>
      </c>
      <c r="H5449" s="5">
        <v>0.0864</v>
      </c>
      <c r="I5449" s="8">
        <f t="shared" si="341"/>
        <v>8634000</v>
      </c>
      <c r="J5449" s="8">
        <f t="shared" si="342"/>
        <v>745977.6</v>
      </c>
      <c r="K5449" t="str">
        <f t="shared" si="343"/>
        <v>MATCHED</v>
      </c>
    </row>
    <row r="5450" spans="1:11">
      <c r="A5450" t="s">
        <v>124</v>
      </c>
      <c r="B5450" t="s">
        <v>1739</v>
      </c>
      <c r="C5450" t="s">
        <v>912</v>
      </c>
      <c r="D5450" t="s">
        <v>913</v>
      </c>
      <c r="E5450" s="8">
        <v>10030</v>
      </c>
      <c r="F5450" s="8">
        <v>40870</v>
      </c>
      <c r="G5450" s="8">
        <f t="shared" si="340"/>
        <v>409926100</v>
      </c>
      <c r="H5450" s="5">
        <v>0.0559</v>
      </c>
      <c r="I5450" s="8">
        <f t="shared" si="341"/>
        <v>409926100</v>
      </c>
      <c r="J5450" s="8">
        <f t="shared" si="342"/>
        <v>22914868.99</v>
      </c>
      <c r="K5450" t="str">
        <f t="shared" si="343"/>
        <v>MATCHED</v>
      </c>
    </row>
    <row r="5451" spans="1:11">
      <c r="A5451" t="s">
        <v>124</v>
      </c>
      <c r="B5451" t="s">
        <v>1739</v>
      </c>
      <c r="C5451" t="s">
        <v>1318</v>
      </c>
      <c r="D5451" t="s">
        <v>1319</v>
      </c>
      <c r="E5451" s="8">
        <v>590</v>
      </c>
      <c r="F5451" s="8">
        <v>44880</v>
      </c>
      <c r="G5451" s="8">
        <f t="shared" si="340"/>
        <v>26479200</v>
      </c>
      <c r="H5451" s="5">
        <v>0.0583</v>
      </c>
      <c r="I5451" s="8">
        <f t="shared" si="341"/>
        <v>26479200</v>
      </c>
      <c r="J5451" s="8">
        <f t="shared" si="342"/>
        <v>1543737.36</v>
      </c>
      <c r="K5451" t="str">
        <f t="shared" si="343"/>
        <v>MATCHED</v>
      </c>
    </row>
    <row r="5452" spans="1:11">
      <c r="A5452" t="s">
        <v>124</v>
      </c>
      <c r="B5452" t="s">
        <v>1739</v>
      </c>
      <c r="C5452" t="s">
        <v>1092</v>
      </c>
      <c r="D5452" t="s">
        <v>1093</v>
      </c>
      <c r="E5452" s="8">
        <v>2120</v>
      </c>
      <c r="F5452" s="8">
        <v>45260</v>
      </c>
      <c r="G5452" s="8">
        <f t="shared" si="340"/>
        <v>95951200</v>
      </c>
      <c r="H5452" s="5">
        <v>0</v>
      </c>
      <c r="I5452" s="8">
        <f t="shared" si="341"/>
        <v>95951200</v>
      </c>
      <c r="J5452" s="8">
        <f t="shared" si="342"/>
        <v>0</v>
      </c>
      <c r="K5452" t="str">
        <f t="shared" si="343"/>
        <v>MATCHED</v>
      </c>
    </row>
    <row r="5453" spans="1:11">
      <c r="A5453" t="s">
        <v>124</v>
      </c>
      <c r="B5453" t="s">
        <v>1739</v>
      </c>
      <c r="C5453" t="s">
        <v>1094</v>
      </c>
      <c r="D5453" t="s">
        <v>1095</v>
      </c>
      <c r="E5453" s="8">
        <v>300</v>
      </c>
      <c r="F5453" s="8">
        <v>39990</v>
      </c>
      <c r="G5453" s="8">
        <f t="shared" si="340"/>
        <v>11997000</v>
      </c>
      <c r="H5453" s="5">
        <v>0</v>
      </c>
      <c r="I5453" s="8">
        <f t="shared" si="341"/>
        <v>11997000</v>
      </c>
      <c r="J5453" s="8">
        <f t="shared" si="342"/>
        <v>0</v>
      </c>
      <c r="K5453" t="str">
        <f t="shared" si="343"/>
        <v>MATCHED</v>
      </c>
    </row>
    <row r="5454" spans="1:11">
      <c r="A5454" t="s">
        <v>124</v>
      </c>
      <c r="B5454" t="s">
        <v>1739</v>
      </c>
      <c r="C5454" t="s">
        <v>457</v>
      </c>
      <c r="D5454" t="s">
        <v>458</v>
      </c>
      <c r="E5454" s="8">
        <v>180220</v>
      </c>
      <c r="F5454" s="8">
        <v>37590</v>
      </c>
      <c r="G5454" s="8">
        <f t="shared" si="340"/>
        <v>6774469800</v>
      </c>
      <c r="H5454" s="5">
        <v>0.15</v>
      </c>
      <c r="I5454" s="8">
        <f t="shared" si="341"/>
        <v>6774469800</v>
      </c>
      <c r="J5454" s="8">
        <f t="shared" si="342"/>
        <v>1016170470</v>
      </c>
      <c r="K5454" t="str">
        <f t="shared" si="343"/>
        <v>MATCHED</v>
      </c>
    </row>
    <row r="5455" spans="1:11">
      <c r="A5455" t="s">
        <v>124</v>
      </c>
      <c r="B5455" t="s">
        <v>1739</v>
      </c>
      <c r="C5455" t="s">
        <v>1322</v>
      </c>
      <c r="D5455" t="s">
        <v>1323</v>
      </c>
      <c r="E5455" s="8"/>
      <c r="F5455" s="8">
        <v>31330</v>
      </c>
      <c r="G5455" s="8" t="str">
        <f t="shared" si="340"/>
        <v/>
      </c>
      <c r="H5455" s="5">
        <v>0.1444</v>
      </c>
      <c r="I5455" s="8" t="str">
        <f t="shared" si="341"/>
        <v/>
      </c>
      <c r="J5455" s="8" t="str">
        <f t="shared" si="342"/>
        <v/>
      </c>
      <c r="K5455" t="str">
        <f t="shared" si="343"/>
        <v>MISSING OEWS</v>
      </c>
    </row>
    <row r="5456" spans="1:11">
      <c r="A5456" t="s">
        <v>124</v>
      </c>
      <c r="B5456" t="s">
        <v>1739</v>
      </c>
      <c r="C5456" t="s">
        <v>1324</v>
      </c>
      <c r="D5456" t="s">
        <v>1325</v>
      </c>
      <c r="E5456" s="8">
        <v>190</v>
      </c>
      <c r="F5456" s="8">
        <v>38410</v>
      </c>
      <c r="G5456" s="8">
        <f t="shared" si="340"/>
        <v>7297900</v>
      </c>
      <c r="H5456" s="5">
        <v>0.1583</v>
      </c>
      <c r="I5456" s="8">
        <f t="shared" si="341"/>
        <v>7297900</v>
      </c>
      <c r="J5456" s="8">
        <f t="shared" si="342"/>
        <v>1155257.57</v>
      </c>
      <c r="K5456" t="str">
        <f t="shared" si="343"/>
        <v>MATCHED</v>
      </c>
    </row>
    <row r="5457" spans="1:11">
      <c r="A5457" t="s">
        <v>124</v>
      </c>
      <c r="B5457" t="s">
        <v>1739</v>
      </c>
      <c r="C5457" t="s">
        <v>1326</v>
      </c>
      <c r="D5457" t="s">
        <v>1327</v>
      </c>
      <c r="E5457" s="8">
        <v>5050</v>
      </c>
      <c r="F5457" s="8">
        <v>35610</v>
      </c>
      <c r="G5457" s="8">
        <f t="shared" si="340"/>
        <v>179830500</v>
      </c>
      <c r="H5457" s="5">
        <v>0</v>
      </c>
      <c r="I5457" s="8">
        <f t="shared" si="341"/>
        <v>179830500</v>
      </c>
      <c r="J5457" s="8">
        <f t="shared" si="342"/>
        <v>0</v>
      </c>
      <c r="K5457" t="str">
        <f t="shared" si="343"/>
        <v>MATCHED</v>
      </c>
    </row>
    <row r="5458" spans="1:11">
      <c r="A5458" t="s">
        <v>124</v>
      </c>
      <c r="B5458" t="s">
        <v>1739</v>
      </c>
      <c r="C5458" t="s">
        <v>1328</v>
      </c>
      <c r="D5458" t="s">
        <v>1329</v>
      </c>
      <c r="E5458" s="8">
        <v>1740</v>
      </c>
      <c r="F5458" s="8">
        <v>35750</v>
      </c>
      <c r="G5458" s="8">
        <f t="shared" si="340"/>
        <v>62205000</v>
      </c>
      <c r="H5458" s="5">
        <v>0</v>
      </c>
      <c r="I5458" s="8">
        <f t="shared" si="341"/>
        <v>62205000</v>
      </c>
      <c r="J5458" s="8">
        <f t="shared" si="342"/>
        <v>0</v>
      </c>
      <c r="K5458" t="str">
        <f t="shared" si="343"/>
        <v>MATCHED</v>
      </c>
    </row>
    <row r="5459" spans="1:11">
      <c r="A5459" t="s">
        <v>124</v>
      </c>
      <c r="B5459" t="s">
        <v>1739</v>
      </c>
      <c r="C5459" t="s">
        <v>459</v>
      </c>
      <c r="D5459" t="s">
        <v>460</v>
      </c>
      <c r="E5459" s="8">
        <v>760</v>
      </c>
      <c r="F5459" s="8">
        <v>36300</v>
      </c>
      <c r="G5459" s="8">
        <f t="shared" si="340"/>
        <v>27588000</v>
      </c>
      <c r="H5459" s="5">
        <v>0.0475</v>
      </c>
      <c r="I5459" s="8">
        <f t="shared" si="341"/>
        <v>27588000</v>
      </c>
      <c r="J5459" s="8">
        <f t="shared" si="342"/>
        <v>1310430</v>
      </c>
      <c r="K5459" t="str">
        <f t="shared" si="343"/>
        <v>MATCHED</v>
      </c>
    </row>
    <row r="5460" spans="1:11">
      <c r="A5460" t="s">
        <v>124</v>
      </c>
      <c r="B5460" t="s">
        <v>1739</v>
      </c>
      <c r="C5460" t="s">
        <v>461</v>
      </c>
      <c r="D5460" t="s">
        <v>462</v>
      </c>
      <c r="E5460" s="8">
        <v>9320</v>
      </c>
      <c r="F5460" s="8">
        <v>34990</v>
      </c>
      <c r="G5460" s="8">
        <f t="shared" si="340"/>
        <v>326106800</v>
      </c>
      <c r="H5460" s="5">
        <v>0.038</v>
      </c>
      <c r="I5460" s="8">
        <f t="shared" si="341"/>
        <v>326106800</v>
      </c>
      <c r="J5460" s="8">
        <f t="shared" si="342"/>
        <v>12392058.4</v>
      </c>
      <c r="K5460" t="str">
        <f t="shared" si="343"/>
        <v>MATCHED</v>
      </c>
    </row>
    <row r="5461" spans="1:11">
      <c r="A5461" t="s">
        <v>124</v>
      </c>
      <c r="B5461" t="s">
        <v>1739</v>
      </c>
      <c r="C5461" t="s">
        <v>1330</v>
      </c>
      <c r="D5461" t="s">
        <v>1331</v>
      </c>
      <c r="E5461" s="8">
        <v>870</v>
      </c>
      <c r="F5461" s="8">
        <v>37440</v>
      </c>
      <c r="G5461" s="8">
        <f t="shared" si="340"/>
        <v>32572800</v>
      </c>
      <c r="H5461" s="5">
        <v>0.1118</v>
      </c>
      <c r="I5461" s="8">
        <f t="shared" si="341"/>
        <v>32572800</v>
      </c>
      <c r="J5461" s="8">
        <f t="shared" si="342"/>
        <v>3641639.04</v>
      </c>
      <c r="K5461" t="str">
        <f t="shared" si="343"/>
        <v>MATCHED</v>
      </c>
    </row>
    <row r="5462" spans="1:11">
      <c r="A5462" t="s">
        <v>124</v>
      </c>
      <c r="B5462" t="s">
        <v>1739</v>
      </c>
      <c r="C5462" t="s">
        <v>463</v>
      </c>
      <c r="D5462" t="s">
        <v>464</v>
      </c>
      <c r="E5462" s="8">
        <v>1430</v>
      </c>
      <c r="F5462" s="8">
        <v>35760</v>
      </c>
      <c r="G5462" s="8">
        <f t="shared" si="340"/>
        <v>51136800</v>
      </c>
      <c r="H5462" s="5"/>
      <c r="I5462" s="8" t="str">
        <f t="shared" si="341"/>
        <v/>
      </c>
      <c r="J5462" s="8" t="str">
        <f t="shared" si="342"/>
        <v/>
      </c>
      <c r="K5462" t="str">
        <f t="shared" si="343"/>
        <v>MISSING WHARTON</v>
      </c>
    </row>
    <row r="5463" spans="1:11">
      <c r="A5463" t="s">
        <v>124</v>
      </c>
      <c r="B5463" t="s">
        <v>1739</v>
      </c>
      <c r="C5463" t="s">
        <v>1096</v>
      </c>
      <c r="D5463" t="s">
        <v>1097</v>
      </c>
      <c r="E5463" s="8">
        <v>850</v>
      </c>
      <c r="F5463" s="8">
        <v>38160</v>
      </c>
      <c r="G5463" s="8">
        <f t="shared" si="340"/>
        <v>32436000</v>
      </c>
      <c r="H5463" s="5">
        <v>0</v>
      </c>
      <c r="I5463" s="8">
        <f t="shared" si="341"/>
        <v>32436000</v>
      </c>
      <c r="J5463" s="8">
        <f t="shared" si="342"/>
        <v>0</v>
      </c>
      <c r="K5463" t="str">
        <f t="shared" si="343"/>
        <v>MATCHED</v>
      </c>
    </row>
    <row r="5464" spans="1:11">
      <c r="A5464" t="s">
        <v>124</v>
      </c>
      <c r="B5464" t="s">
        <v>1739</v>
      </c>
      <c r="C5464" t="s">
        <v>1098</v>
      </c>
      <c r="D5464" t="s">
        <v>1099</v>
      </c>
      <c r="E5464" s="8"/>
      <c r="F5464" s="8">
        <v>37750</v>
      </c>
      <c r="G5464" s="8" t="str">
        <f t="shared" si="340"/>
        <v/>
      </c>
      <c r="H5464" s="5">
        <v>0</v>
      </c>
      <c r="I5464" s="8" t="str">
        <f t="shared" si="341"/>
        <v/>
      </c>
      <c r="J5464" s="8" t="str">
        <f t="shared" si="342"/>
        <v/>
      </c>
      <c r="K5464" t="str">
        <f t="shared" si="343"/>
        <v>MISSING OEWS</v>
      </c>
    </row>
    <row r="5465" spans="1:11">
      <c r="A5465" t="s">
        <v>124</v>
      </c>
      <c r="B5465" t="s">
        <v>1739</v>
      </c>
      <c r="C5465" t="s">
        <v>750</v>
      </c>
      <c r="D5465" t="s">
        <v>751</v>
      </c>
      <c r="E5465" s="8">
        <v>370</v>
      </c>
      <c r="F5465" s="8">
        <v>43540</v>
      </c>
      <c r="G5465" s="8">
        <f t="shared" si="340"/>
        <v>16109800</v>
      </c>
      <c r="H5465" s="5">
        <v>0.1</v>
      </c>
      <c r="I5465" s="8">
        <f t="shared" si="341"/>
        <v>16109800</v>
      </c>
      <c r="J5465" s="8">
        <f t="shared" si="342"/>
        <v>1610980</v>
      </c>
      <c r="K5465" t="str">
        <f t="shared" si="343"/>
        <v>MATCHED</v>
      </c>
    </row>
    <row r="5466" spans="1:11">
      <c r="A5466" t="s">
        <v>124</v>
      </c>
      <c r="B5466" t="s">
        <v>1739</v>
      </c>
      <c r="C5466" t="s">
        <v>1100</v>
      </c>
      <c r="D5466" t="s">
        <v>1101</v>
      </c>
      <c r="E5466" s="8">
        <v>6490</v>
      </c>
      <c r="F5466" s="8">
        <v>37800</v>
      </c>
      <c r="G5466" s="8">
        <f t="shared" si="340"/>
        <v>245322000</v>
      </c>
      <c r="H5466" s="5">
        <v>0.0297</v>
      </c>
      <c r="I5466" s="8">
        <f t="shared" si="341"/>
        <v>245322000</v>
      </c>
      <c r="J5466" s="8">
        <f t="shared" si="342"/>
        <v>7286063.4</v>
      </c>
      <c r="K5466" t="str">
        <f t="shared" si="343"/>
        <v>MATCHED</v>
      </c>
    </row>
    <row r="5467" spans="1:11">
      <c r="A5467" t="s">
        <v>124</v>
      </c>
      <c r="B5467" t="s">
        <v>1739</v>
      </c>
      <c r="C5467" t="s">
        <v>752</v>
      </c>
      <c r="D5467" t="s">
        <v>753</v>
      </c>
      <c r="E5467" s="8">
        <v>80</v>
      </c>
      <c r="F5467" s="8">
        <v>35120</v>
      </c>
      <c r="G5467" s="8">
        <f t="shared" si="340"/>
        <v>2809600</v>
      </c>
      <c r="H5467" s="5">
        <v>0</v>
      </c>
      <c r="I5467" s="8">
        <f t="shared" si="341"/>
        <v>2809600</v>
      </c>
      <c r="J5467" s="8">
        <f t="shared" si="342"/>
        <v>0</v>
      </c>
      <c r="K5467" t="str">
        <f t="shared" si="343"/>
        <v>MATCHED</v>
      </c>
    </row>
    <row r="5468" spans="1:11">
      <c r="A5468" t="s">
        <v>124</v>
      </c>
      <c r="B5468" t="s">
        <v>1739</v>
      </c>
      <c r="C5468" t="s">
        <v>1102</v>
      </c>
      <c r="D5468" t="s">
        <v>1103</v>
      </c>
      <c r="E5468" s="8">
        <v>1280</v>
      </c>
      <c r="F5468" s="8">
        <v>39740</v>
      </c>
      <c r="G5468" s="8">
        <f t="shared" si="340"/>
        <v>50867200</v>
      </c>
      <c r="H5468" s="5">
        <v>0.0917</v>
      </c>
      <c r="I5468" s="8">
        <f t="shared" si="341"/>
        <v>50867200</v>
      </c>
      <c r="J5468" s="8">
        <f t="shared" si="342"/>
        <v>4664522.24</v>
      </c>
      <c r="K5468" t="str">
        <f t="shared" si="343"/>
        <v>MATCHED</v>
      </c>
    </row>
    <row r="5469" spans="1:11">
      <c r="A5469" t="s">
        <v>124</v>
      </c>
      <c r="B5469" t="s">
        <v>1739</v>
      </c>
      <c r="C5469" t="s">
        <v>1104</v>
      </c>
      <c r="D5469" t="s">
        <v>1105</v>
      </c>
      <c r="E5469" s="8">
        <v>200</v>
      </c>
      <c r="F5469" s="8">
        <v>47600</v>
      </c>
      <c r="G5469" s="8">
        <f t="shared" si="340"/>
        <v>9520000</v>
      </c>
      <c r="H5469" s="5">
        <v>0.0438</v>
      </c>
      <c r="I5469" s="8">
        <f t="shared" si="341"/>
        <v>9520000</v>
      </c>
      <c r="J5469" s="8">
        <f t="shared" si="342"/>
        <v>416976</v>
      </c>
      <c r="K5469" t="str">
        <f t="shared" si="343"/>
        <v>MATCHED</v>
      </c>
    </row>
    <row r="5470" spans="1:11">
      <c r="A5470" t="s">
        <v>124</v>
      </c>
      <c r="B5470" t="s">
        <v>1739</v>
      </c>
      <c r="C5470" t="s">
        <v>754</v>
      </c>
      <c r="D5470" t="s">
        <v>755</v>
      </c>
      <c r="E5470" s="8">
        <v>330</v>
      </c>
      <c r="F5470" s="8">
        <v>40630</v>
      </c>
      <c r="G5470" s="8">
        <f t="shared" si="340"/>
        <v>13407900</v>
      </c>
      <c r="H5470" s="5">
        <v>0.0633</v>
      </c>
      <c r="I5470" s="8">
        <f t="shared" si="341"/>
        <v>13407900</v>
      </c>
      <c r="J5470" s="8">
        <f t="shared" si="342"/>
        <v>848720.07</v>
      </c>
      <c r="K5470" t="str">
        <f t="shared" si="343"/>
        <v>MATCHED</v>
      </c>
    </row>
    <row r="5471" spans="1:11">
      <c r="A5471" t="s">
        <v>124</v>
      </c>
      <c r="B5471" t="s">
        <v>1739</v>
      </c>
      <c r="C5471" t="s">
        <v>756</v>
      </c>
      <c r="D5471" t="s">
        <v>757</v>
      </c>
      <c r="E5471" s="8">
        <v>8370</v>
      </c>
      <c r="F5471" s="8">
        <v>46170</v>
      </c>
      <c r="G5471" s="8">
        <f t="shared" si="340"/>
        <v>386442900</v>
      </c>
      <c r="H5471" s="5">
        <v>0.0897</v>
      </c>
      <c r="I5471" s="8">
        <f t="shared" si="341"/>
        <v>386442900</v>
      </c>
      <c r="J5471" s="8">
        <f t="shared" si="342"/>
        <v>34663928.13</v>
      </c>
      <c r="K5471" t="str">
        <f t="shared" si="343"/>
        <v>MATCHED</v>
      </c>
    </row>
    <row r="5472" spans="1:11">
      <c r="A5472" t="s">
        <v>124</v>
      </c>
      <c r="B5472" t="s">
        <v>1739</v>
      </c>
      <c r="C5472" t="s">
        <v>758</v>
      </c>
      <c r="D5472" t="s">
        <v>759</v>
      </c>
      <c r="E5472" s="8">
        <v>140</v>
      </c>
      <c r="F5472" s="8">
        <v>56660</v>
      </c>
      <c r="G5472" s="8">
        <f t="shared" si="340"/>
        <v>7932400</v>
      </c>
      <c r="H5472" s="5">
        <v>0.1267</v>
      </c>
      <c r="I5472" s="8">
        <f t="shared" si="341"/>
        <v>7932400</v>
      </c>
      <c r="J5472" s="8">
        <f t="shared" si="342"/>
        <v>1005035.08</v>
      </c>
      <c r="K5472" t="str">
        <f t="shared" si="343"/>
        <v>MATCHED</v>
      </c>
    </row>
    <row r="5473" spans="1:11">
      <c r="A5473" t="s">
        <v>124</v>
      </c>
      <c r="B5473" t="s">
        <v>1739</v>
      </c>
      <c r="C5473" t="s">
        <v>1332</v>
      </c>
      <c r="D5473" t="s">
        <v>1333</v>
      </c>
      <c r="E5473" s="8"/>
      <c r="F5473" s="8">
        <v>41430</v>
      </c>
      <c r="G5473" s="8" t="str">
        <f t="shared" si="340"/>
        <v/>
      </c>
      <c r="H5473" s="5">
        <v>0</v>
      </c>
      <c r="I5473" s="8" t="str">
        <f t="shared" si="341"/>
        <v/>
      </c>
      <c r="J5473" s="8" t="str">
        <f t="shared" si="342"/>
        <v/>
      </c>
      <c r="K5473" t="str">
        <f t="shared" si="343"/>
        <v>MISSING OEWS</v>
      </c>
    </row>
    <row r="5474" spans="1:11">
      <c r="A5474" t="s">
        <v>124</v>
      </c>
      <c r="B5474" t="s">
        <v>1739</v>
      </c>
      <c r="C5474" t="s">
        <v>1334</v>
      </c>
      <c r="D5474" t="s">
        <v>1335</v>
      </c>
      <c r="E5474" s="8">
        <v>40</v>
      </c>
      <c r="F5474" s="8">
        <v>72970</v>
      </c>
      <c r="G5474" s="8">
        <f t="shared" si="340"/>
        <v>2918800</v>
      </c>
      <c r="H5474" s="5">
        <v>0.0594</v>
      </c>
      <c r="I5474" s="8">
        <f t="shared" si="341"/>
        <v>2918800</v>
      </c>
      <c r="J5474" s="8">
        <f t="shared" si="342"/>
        <v>173376.72</v>
      </c>
      <c r="K5474" t="str">
        <f t="shared" si="343"/>
        <v>MATCHED</v>
      </c>
    </row>
    <row r="5475" spans="1:11">
      <c r="A5475" t="s">
        <v>124</v>
      </c>
      <c r="B5475" t="s">
        <v>1739</v>
      </c>
      <c r="C5475" t="s">
        <v>1338</v>
      </c>
      <c r="D5475" t="s">
        <v>1339</v>
      </c>
      <c r="E5475" s="8">
        <v>290</v>
      </c>
      <c r="F5475" s="8">
        <v>40410</v>
      </c>
      <c r="G5475" s="8">
        <f t="shared" si="340"/>
        <v>11718900</v>
      </c>
      <c r="H5475" s="5">
        <v>0</v>
      </c>
      <c r="I5475" s="8">
        <f t="shared" si="341"/>
        <v>11718900</v>
      </c>
      <c r="J5475" s="8">
        <f t="shared" si="342"/>
        <v>0</v>
      </c>
      <c r="K5475" t="str">
        <f t="shared" si="343"/>
        <v>MATCHED</v>
      </c>
    </row>
    <row r="5476" spans="1:11">
      <c r="A5476" t="s">
        <v>124</v>
      </c>
      <c r="B5476" t="s">
        <v>1739</v>
      </c>
      <c r="C5476" t="s">
        <v>1106</v>
      </c>
      <c r="D5476" t="s">
        <v>1107</v>
      </c>
      <c r="E5476" s="8">
        <v>8960</v>
      </c>
      <c r="F5476" s="8">
        <v>36900</v>
      </c>
      <c r="G5476" s="8">
        <f t="shared" si="340"/>
        <v>330624000</v>
      </c>
      <c r="H5476" s="5">
        <v>0.0288</v>
      </c>
      <c r="I5476" s="8">
        <f t="shared" si="341"/>
        <v>330624000</v>
      </c>
      <c r="J5476" s="8">
        <f t="shared" si="342"/>
        <v>9521971.2</v>
      </c>
      <c r="K5476" t="str">
        <f t="shared" si="343"/>
        <v>MATCHED</v>
      </c>
    </row>
    <row r="5477" spans="1:11">
      <c r="A5477" t="s">
        <v>124</v>
      </c>
      <c r="B5477" t="s">
        <v>1739</v>
      </c>
      <c r="C5477" t="s">
        <v>1108</v>
      </c>
      <c r="D5477" t="s">
        <v>1109</v>
      </c>
      <c r="E5477" s="8">
        <v>13830</v>
      </c>
      <c r="F5477" s="8">
        <v>38080</v>
      </c>
      <c r="G5477" s="8">
        <f t="shared" si="340"/>
        <v>526646400</v>
      </c>
      <c r="H5477" s="5">
        <v>0.169</v>
      </c>
      <c r="I5477" s="8">
        <f t="shared" si="341"/>
        <v>526646400</v>
      </c>
      <c r="J5477" s="8">
        <f t="shared" si="342"/>
        <v>89003241.6</v>
      </c>
      <c r="K5477" t="str">
        <f t="shared" si="343"/>
        <v>MATCHED</v>
      </c>
    </row>
    <row r="5478" spans="1:11">
      <c r="A5478" t="s">
        <v>124</v>
      </c>
      <c r="B5478" t="s">
        <v>1739</v>
      </c>
      <c r="C5478" t="s">
        <v>760</v>
      </c>
      <c r="D5478" t="s">
        <v>761</v>
      </c>
      <c r="E5478" s="8">
        <v>1120</v>
      </c>
      <c r="F5478" s="8">
        <v>50870</v>
      </c>
      <c r="G5478" s="8">
        <f t="shared" si="340"/>
        <v>56974400</v>
      </c>
      <c r="H5478" s="5">
        <v>0.0559</v>
      </c>
      <c r="I5478" s="8">
        <f t="shared" si="341"/>
        <v>56974400</v>
      </c>
      <c r="J5478" s="8">
        <f t="shared" si="342"/>
        <v>3184868.96</v>
      </c>
      <c r="K5478" t="str">
        <f t="shared" si="343"/>
        <v>MATCHED</v>
      </c>
    </row>
    <row r="5479" spans="1:11">
      <c r="A5479" t="s">
        <v>124</v>
      </c>
      <c r="B5479" t="s">
        <v>1739</v>
      </c>
      <c r="C5479" t="s">
        <v>465</v>
      </c>
      <c r="D5479" t="s">
        <v>466</v>
      </c>
      <c r="E5479" s="8">
        <v>18420</v>
      </c>
      <c r="F5479" s="8">
        <v>52500</v>
      </c>
      <c r="G5479" s="8">
        <f t="shared" si="340"/>
        <v>967050000</v>
      </c>
      <c r="H5479" s="5">
        <v>0.0233</v>
      </c>
      <c r="I5479" s="8">
        <f t="shared" si="341"/>
        <v>967050000</v>
      </c>
      <c r="J5479" s="8">
        <f t="shared" si="342"/>
        <v>22532265</v>
      </c>
      <c r="K5479" t="str">
        <f t="shared" si="343"/>
        <v>MATCHED</v>
      </c>
    </row>
    <row r="5480" spans="1:11">
      <c r="A5480" t="s">
        <v>124</v>
      </c>
      <c r="B5480" t="s">
        <v>1739</v>
      </c>
      <c r="C5480" t="s">
        <v>762</v>
      </c>
      <c r="D5480" t="s">
        <v>763</v>
      </c>
      <c r="E5480" s="8">
        <v>1240</v>
      </c>
      <c r="F5480" s="8">
        <v>42750</v>
      </c>
      <c r="G5480" s="8">
        <f t="shared" si="340"/>
        <v>53010000</v>
      </c>
      <c r="H5480" s="5">
        <v>0.0983</v>
      </c>
      <c r="I5480" s="8">
        <f t="shared" si="341"/>
        <v>53010000</v>
      </c>
      <c r="J5480" s="8">
        <f t="shared" si="342"/>
        <v>5210883</v>
      </c>
      <c r="K5480" t="str">
        <f t="shared" si="343"/>
        <v>MATCHED</v>
      </c>
    </row>
    <row r="5481" spans="1:11">
      <c r="A5481" t="s">
        <v>124</v>
      </c>
      <c r="B5481" t="s">
        <v>1739</v>
      </c>
      <c r="C5481" t="s">
        <v>1110</v>
      </c>
      <c r="D5481" t="s">
        <v>1111</v>
      </c>
      <c r="E5481" s="8">
        <v>340</v>
      </c>
      <c r="F5481" s="8">
        <v>42590</v>
      </c>
      <c r="G5481" s="8">
        <f t="shared" si="340"/>
        <v>14480600</v>
      </c>
      <c r="H5481" s="5">
        <v>0.0365</v>
      </c>
      <c r="I5481" s="8">
        <f t="shared" si="341"/>
        <v>14480600</v>
      </c>
      <c r="J5481" s="8">
        <f t="shared" si="342"/>
        <v>528541.9</v>
      </c>
      <c r="K5481" t="str">
        <f t="shared" si="343"/>
        <v>MATCHED</v>
      </c>
    </row>
    <row r="5482" spans="1:11">
      <c r="A5482" t="s">
        <v>124</v>
      </c>
      <c r="B5482" t="s">
        <v>1739</v>
      </c>
      <c r="C5482" t="s">
        <v>1112</v>
      </c>
      <c r="D5482" t="s">
        <v>1113</v>
      </c>
      <c r="E5482" s="8">
        <v>700</v>
      </c>
      <c r="F5482" s="8">
        <v>69490</v>
      </c>
      <c r="G5482" s="8">
        <f t="shared" si="340"/>
        <v>48643000</v>
      </c>
      <c r="H5482" s="5">
        <v>0.0679</v>
      </c>
      <c r="I5482" s="8">
        <f t="shared" si="341"/>
        <v>48643000</v>
      </c>
      <c r="J5482" s="8">
        <f t="shared" si="342"/>
        <v>3302859.7</v>
      </c>
      <c r="K5482" t="str">
        <f t="shared" si="343"/>
        <v>MATCHED</v>
      </c>
    </row>
    <row r="5483" spans="1:11">
      <c r="A5483" t="s">
        <v>124</v>
      </c>
      <c r="B5483" t="s">
        <v>1739</v>
      </c>
      <c r="C5483" t="s">
        <v>1340</v>
      </c>
      <c r="D5483" t="s">
        <v>1341</v>
      </c>
      <c r="E5483" s="8">
        <v>860</v>
      </c>
      <c r="F5483" s="8">
        <v>36180</v>
      </c>
      <c r="G5483" s="8">
        <f t="shared" si="340"/>
        <v>31114800</v>
      </c>
      <c r="H5483" s="5">
        <v>0.025</v>
      </c>
      <c r="I5483" s="8">
        <f t="shared" si="341"/>
        <v>31114800</v>
      </c>
      <c r="J5483" s="8">
        <f t="shared" si="342"/>
        <v>777870</v>
      </c>
      <c r="K5483" t="str">
        <f t="shared" si="343"/>
        <v>MATCHED</v>
      </c>
    </row>
    <row r="5484" spans="1:11">
      <c r="A5484" t="s">
        <v>124</v>
      </c>
      <c r="B5484" t="s">
        <v>1739</v>
      </c>
      <c r="C5484" t="s">
        <v>1114</v>
      </c>
      <c r="D5484" t="s">
        <v>1115</v>
      </c>
      <c r="E5484" s="8">
        <v>160</v>
      </c>
      <c r="F5484" s="8">
        <v>36010</v>
      </c>
      <c r="G5484" s="8">
        <f t="shared" si="340"/>
        <v>5761600</v>
      </c>
      <c r="H5484" s="5">
        <v>0</v>
      </c>
      <c r="I5484" s="8">
        <f t="shared" si="341"/>
        <v>5761600</v>
      </c>
      <c r="J5484" s="8">
        <f t="shared" si="342"/>
        <v>0</v>
      </c>
      <c r="K5484" t="str">
        <f t="shared" si="343"/>
        <v>MATCHED</v>
      </c>
    </row>
    <row r="5485" spans="1:11">
      <c r="A5485" t="s">
        <v>124</v>
      </c>
      <c r="B5485" t="s">
        <v>1739</v>
      </c>
      <c r="C5485" t="s">
        <v>764</v>
      </c>
      <c r="D5485" t="s">
        <v>765</v>
      </c>
      <c r="E5485" s="8">
        <v>2630</v>
      </c>
      <c r="F5485" s="8">
        <v>43510</v>
      </c>
      <c r="G5485" s="8">
        <f t="shared" si="340"/>
        <v>114431300</v>
      </c>
      <c r="H5485" s="5"/>
      <c r="I5485" s="8" t="str">
        <f t="shared" si="341"/>
        <v/>
      </c>
      <c r="J5485" s="8" t="str">
        <f t="shared" si="342"/>
        <v/>
      </c>
      <c r="K5485" t="str">
        <f t="shared" si="343"/>
        <v>MISSING WHARTON</v>
      </c>
    </row>
    <row r="5486" spans="1:11">
      <c r="A5486" t="s">
        <v>124</v>
      </c>
      <c r="B5486" t="s">
        <v>1739</v>
      </c>
      <c r="C5486" t="s">
        <v>1342</v>
      </c>
      <c r="D5486" t="s">
        <v>1343</v>
      </c>
      <c r="E5486" s="8">
        <v>740</v>
      </c>
      <c r="F5486" s="8">
        <v>44500</v>
      </c>
      <c r="G5486" s="8">
        <f t="shared" si="340"/>
        <v>32930000</v>
      </c>
      <c r="H5486" s="5">
        <v>0.42</v>
      </c>
      <c r="I5486" s="8">
        <f t="shared" si="341"/>
        <v>32930000</v>
      </c>
      <c r="J5486" s="8">
        <f t="shared" si="342"/>
        <v>13830600</v>
      </c>
      <c r="K5486" t="str">
        <f t="shared" si="343"/>
        <v>MATCHED</v>
      </c>
    </row>
    <row r="5487" spans="1:11">
      <c r="A5487" t="s">
        <v>124</v>
      </c>
      <c r="B5487" t="s">
        <v>1739</v>
      </c>
      <c r="C5487" t="s">
        <v>1344</v>
      </c>
      <c r="D5487" t="s">
        <v>1345</v>
      </c>
      <c r="E5487" s="8">
        <v>5390</v>
      </c>
      <c r="F5487" s="8">
        <v>42410</v>
      </c>
      <c r="G5487" s="8">
        <f t="shared" si="340"/>
        <v>228589900</v>
      </c>
      <c r="H5487" s="5">
        <v>0.3348</v>
      </c>
      <c r="I5487" s="8">
        <f t="shared" si="341"/>
        <v>228589900</v>
      </c>
      <c r="J5487" s="8">
        <f t="shared" si="342"/>
        <v>76531898.52</v>
      </c>
      <c r="K5487" t="str">
        <f t="shared" si="343"/>
        <v>MATCHED</v>
      </c>
    </row>
    <row r="5488" spans="1:11">
      <c r="A5488" t="s">
        <v>124</v>
      </c>
      <c r="B5488" t="s">
        <v>1739</v>
      </c>
      <c r="C5488" t="s">
        <v>1346</v>
      </c>
      <c r="D5488" t="s">
        <v>1347</v>
      </c>
      <c r="E5488" s="8">
        <v>1090</v>
      </c>
      <c r="F5488" s="8">
        <v>35970</v>
      </c>
      <c r="G5488" s="8">
        <f t="shared" si="340"/>
        <v>39207300</v>
      </c>
      <c r="H5488" s="5">
        <v>0.0385</v>
      </c>
      <c r="I5488" s="8">
        <f t="shared" si="341"/>
        <v>39207300</v>
      </c>
      <c r="J5488" s="8">
        <f t="shared" si="342"/>
        <v>1509481.05</v>
      </c>
      <c r="K5488" t="str">
        <f t="shared" si="343"/>
        <v>MATCHED</v>
      </c>
    </row>
    <row r="5489" spans="1:11">
      <c r="A5489" t="s">
        <v>124</v>
      </c>
      <c r="B5489" t="s">
        <v>1739</v>
      </c>
      <c r="C5489" t="s">
        <v>1116</v>
      </c>
      <c r="D5489" t="s">
        <v>1117</v>
      </c>
      <c r="E5489" s="8">
        <v>12240</v>
      </c>
      <c r="F5489" s="8">
        <v>34210</v>
      </c>
      <c r="G5489" s="8">
        <f t="shared" si="340"/>
        <v>418730400</v>
      </c>
      <c r="H5489" s="5">
        <v>0</v>
      </c>
      <c r="I5489" s="8">
        <f t="shared" si="341"/>
        <v>418730400</v>
      </c>
      <c r="J5489" s="8">
        <f t="shared" si="342"/>
        <v>0</v>
      </c>
      <c r="K5489" t="str">
        <f t="shared" si="343"/>
        <v>MATCHED</v>
      </c>
    </row>
    <row r="5490" spans="1:11">
      <c r="A5490" t="s">
        <v>124</v>
      </c>
      <c r="B5490" t="s">
        <v>1739</v>
      </c>
      <c r="C5490" t="s">
        <v>1348</v>
      </c>
      <c r="D5490" t="s">
        <v>1349</v>
      </c>
      <c r="E5490" s="8">
        <v>190</v>
      </c>
      <c r="F5490" s="8">
        <v>33670</v>
      </c>
      <c r="G5490" s="8">
        <f t="shared" si="340"/>
        <v>6397300</v>
      </c>
      <c r="H5490" s="5">
        <v>0</v>
      </c>
      <c r="I5490" s="8">
        <f t="shared" si="341"/>
        <v>6397300</v>
      </c>
      <c r="J5490" s="8">
        <f t="shared" si="342"/>
        <v>0</v>
      </c>
      <c r="K5490" t="str">
        <f t="shared" si="343"/>
        <v>MATCHED</v>
      </c>
    </row>
    <row r="5491" spans="1:11">
      <c r="A5491" t="s">
        <v>124</v>
      </c>
      <c r="B5491" t="s">
        <v>1739</v>
      </c>
      <c r="C5491" t="s">
        <v>1118</v>
      </c>
      <c r="D5491" t="s">
        <v>1119</v>
      </c>
      <c r="E5491" s="8">
        <v>3060</v>
      </c>
      <c r="F5491" s="8">
        <v>33490</v>
      </c>
      <c r="G5491" s="8">
        <f t="shared" si="340"/>
        <v>102479400</v>
      </c>
      <c r="H5491" s="5">
        <v>0.0365</v>
      </c>
      <c r="I5491" s="8">
        <f t="shared" si="341"/>
        <v>102479400</v>
      </c>
      <c r="J5491" s="8">
        <f t="shared" si="342"/>
        <v>3740498.1</v>
      </c>
      <c r="K5491" t="str">
        <f t="shared" si="343"/>
        <v>MATCHED</v>
      </c>
    </row>
    <row r="5492" spans="1:11">
      <c r="A5492" t="s">
        <v>124</v>
      </c>
      <c r="B5492" t="s">
        <v>1739</v>
      </c>
      <c r="C5492" t="s">
        <v>1350</v>
      </c>
      <c r="D5492" t="s">
        <v>1351</v>
      </c>
      <c r="E5492" s="8">
        <v>40</v>
      </c>
      <c r="F5492" s="8">
        <v>31360</v>
      </c>
      <c r="G5492" s="8">
        <f t="shared" si="340"/>
        <v>1254400</v>
      </c>
      <c r="H5492" s="5">
        <v>0</v>
      </c>
      <c r="I5492" s="8">
        <f t="shared" si="341"/>
        <v>1254400</v>
      </c>
      <c r="J5492" s="8">
        <f t="shared" si="342"/>
        <v>0</v>
      </c>
      <c r="K5492" t="str">
        <f t="shared" si="343"/>
        <v>MATCHED</v>
      </c>
    </row>
    <row r="5493" spans="1:11">
      <c r="A5493" t="s">
        <v>124</v>
      </c>
      <c r="B5493" t="s">
        <v>1739</v>
      </c>
      <c r="C5493" t="s">
        <v>1356</v>
      </c>
      <c r="D5493" t="s">
        <v>1357</v>
      </c>
      <c r="E5493" s="8">
        <v>90</v>
      </c>
      <c r="F5493" s="8">
        <v>45200</v>
      </c>
      <c r="G5493" s="8">
        <f t="shared" si="340"/>
        <v>4068000</v>
      </c>
      <c r="H5493" s="5">
        <v>0.0432</v>
      </c>
      <c r="I5493" s="8">
        <f t="shared" si="341"/>
        <v>4068000</v>
      </c>
      <c r="J5493" s="8">
        <f t="shared" si="342"/>
        <v>175737.6</v>
      </c>
      <c r="K5493" t="str">
        <f t="shared" si="343"/>
        <v>MATCHED</v>
      </c>
    </row>
    <row r="5494" spans="1:11">
      <c r="A5494" t="s">
        <v>124</v>
      </c>
      <c r="B5494" t="s">
        <v>1739</v>
      </c>
      <c r="C5494" t="s">
        <v>1360</v>
      </c>
      <c r="D5494" t="s">
        <v>1361</v>
      </c>
      <c r="E5494" s="8">
        <v>320</v>
      </c>
      <c r="F5494" s="8">
        <v>40810</v>
      </c>
      <c r="G5494" s="8">
        <f t="shared" si="340"/>
        <v>13059200</v>
      </c>
      <c r="H5494" s="5">
        <v>0.1056</v>
      </c>
      <c r="I5494" s="8">
        <f t="shared" si="341"/>
        <v>13059200</v>
      </c>
      <c r="J5494" s="8">
        <f t="shared" si="342"/>
        <v>1379051.52</v>
      </c>
      <c r="K5494" t="str">
        <f t="shared" si="343"/>
        <v>MATCHED</v>
      </c>
    </row>
    <row r="5495" spans="1:11">
      <c r="A5495" t="s">
        <v>124</v>
      </c>
      <c r="B5495" t="s">
        <v>1739</v>
      </c>
      <c r="C5495" t="s">
        <v>1362</v>
      </c>
      <c r="D5495" t="s">
        <v>1363</v>
      </c>
      <c r="E5495" s="8">
        <v>270</v>
      </c>
      <c r="F5495" s="8">
        <v>37340</v>
      </c>
      <c r="G5495" s="8">
        <f t="shared" si="340"/>
        <v>10081800</v>
      </c>
      <c r="H5495" s="5">
        <v>0.13</v>
      </c>
      <c r="I5495" s="8">
        <f t="shared" si="341"/>
        <v>10081800</v>
      </c>
      <c r="J5495" s="8">
        <f t="shared" si="342"/>
        <v>1310634</v>
      </c>
      <c r="K5495" t="str">
        <f t="shared" si="343"/>
        <v>MATCHED</v>
      </c>
    </row>
    <row r="5496" spans="1:11">
      <c r="A5496" t="s">
        <v>124</v>
      </c>
      <c r="B5496" t="s">
        <v>1739</v>
      </c>
      <c r="C5496" t="s">
        <v>1364</v>
      </c>
      <c r="D5496" t="s">
        <v>1365</v>
      </c>
      <c r="E5496" s="8">
        <v>310</v>
      </c>
      <c r="F5496" s="8">
        <v>39310</v>
      </c>
      <c r="G5496" s="8">
        <f t="shared" si="340"/>
        <v>12186100</v>
      </c>
      <c r="H5496" s="5">
        <v>0.0396</v>
      </c>
      <c r="I5496" s="8">
        <f t="shared" si="341"/>
        <v>12186100</v>
      </c>
      <c r="J5496" s="8">
        <f t="shared" si="342"/>
        <v>482569.56</v>
      </c>
      <c r="K5496" t="str">
        <f t="shared" si="343"/>
        <v>MATCHED</v>
      </c>
    </row>
    <row r="5497" spans="1:11">
      <c r="A5497" t="s">
        <v>124</v>
      </c>
      <c r="B5497" t="s">
        <v>1739</v>
      </c>
      <c r="C5497" t="s">
        <v>1366</v>
      </c>
      <c r="D5497" t="s">
        <v>1367</v>
      </c>
      <c r="E5497" s="8">
        <v>60</v>
      </c>
      <c r="F5497" s="8">
        <v>39270</v>
      </c>
      <c r="G5497" s="8">
        <f t="shared" si="340"/>
        <v>2356200</v>
      </c>
      <c r="H5497" s="5">
        <v>0.0905</v>
      </c>
      <c r="I5497" s="8">
        <f t="shared" si="341"/>
        <v>2356200</v>
      </c>
      <c r="J5497" s="8">
        <f t="shared" si="342"/>
        <v>213236.1</v>
      </c>
      <c r="K5497" t="str">
        <f t="shared" si="343"/>
        <v>MATCHED</v>
      </c>
    </row>
    <row r="5498" spans="1:11">
      <c r="A5498" t="s">
        <v>124</v>
      </c>
      <c r="B5498" t="s">
        <v>1739</v>
      </c>
      <c r="C5498" t="s">
        <v>1120</v>
      </c>
      <c r="D5498" t="s">
        <v>1121</v>
      </c>
      <c r="E5498" s="8">
        <v>430</v>
      </c>
      <c r="F5498" s="8">
        <v>51370</v>
      </c>
      <c r="G5498" s="8">
        <f t="shared" si="340"/>
        <v>22089100</v>
      </c>
      <c r="H5498" s="5">
        <v>0.0432</v>
      </c>
      <c r="I5498" s="8">
        <f t="shared" si="341"/>
        <v>22089100</v>
      </c>
      <c r="J5498" s="8">
        <f t="shared" si="342"/>
        <v>954249.12</v>
      </c>
      <c r="K5498" t="str">
        <f t="shared" si="343"/>
        <v>MATCHED</v>
      </c>
    </row>
    <row r="5499" spans="1:11">
      <c r="A5499" t="s">
        <v>124</v>
      </c>
      <c r="B5499" t="s">
        <v>1739</v>
      </c>
      <c r="C5499" t="s">
        <v>1370</v>
      </c>
      <c r="D5499" t="s">
        <v>1371</v>
      </c>
      <c r="E5499" s="8">
        <v>450</v>
      </c>
      <c r="F5499" s="8">
        <v>36190</v>
      </c>
      <c r="G5499" s="8">
        <f t="shared" si="340"/>
        <v>16285500</v>
      </c>
      <c r="H5499" s="5"/>
      <c r="I5499" s="8" t="str">
        <f t="shared" si="341"/>
        <v/>
      </c>
      <c r="J5499" s="8" t="str">
        <f t="shared" si="342"/>
        <v/>
      </c>
      <c r="K5499" t="str">
        <f t="shared" si="343"/>
        <v>MISSING WHARTON</v>
      </c>
    </row>
    <row r="5500" spans="1:11">
      <c r="A5500" t="s">
        <v>124</v>
      </c>
      <c r="B5500" t="s">
        <v>1739</v>
      </c>
      <c r="C5500" t="s">
        <v>1122</v>
      </c>
      <c r="D5500" t="s">
        <v>1123</v>
      </c>
      <c r="E5500" s="8">
        <v>1120</v>
      </c>
      <c r="F5500" s="8">
        <v>52770</v>
      </c>
      <c r="G5500" s="8">
        <f t="shared" si="340"/>
        <v>59102400</v>
      </c>
      <c r="H5500" s="5">
        <v>0.13</v>
      </c>
      <c r="I5500" s="8">
        <f t="shared" si="341"/>
        <v>59102400</v>
      </c>
      <c r="J5500" s="8">
        <f t="shared" si="342"/>
        <v>7683312</v>
      </c>
      <c r="K5500" t="str">
        <f t="shared" si="343"/>
        <v>MATCHED</v>
      </c>
    </row>
    <row r="5501" spans="1:11">
      <c r="A5501" t="s">
        <v>124</v>
      </c>
      <c r="B5501" t="s">
        <v>1739</v>
      </c>
      <c r="C5501" t="s">
        <v>1124</v>
      </c>
      <c r="D5501" t="s">
        <v>1125</v>
      </c>
      <c r="E5501" s="8">
        <v>90</v>
      </c>
      <c r="F5501" s="8">
        <v>48390</v>
      </c>
      <c r="G5501" s="8">
        <f t="shared" si="340"/>
        <v>4355100</v>
      </c>
      <c r="H5501" s="5">
        <v>0</v>
      </c>
      <c r="I5501" s="8">
        <f t="shared" si="341"/>
        <v>4355100</v>
      </c>
      <c r="J5501" s="8">
        <f t="shared" si="342"/>
        <v>0</v>
      </c>
      <c r="K5501" t="str">
        <f t="shared" si="343"/>
        <v>MATCHED</v>
      </c>
    </row>
    <row r="5502" spans="1:11">
      <c r="A5502" t="s">
        <v>124</v>
      </c>
      <c r="B5502" t="s">
        <v>1739</v>
      </c>
      <c r="C5502" t="s">
        <v>467</v>
      </c>
      <c r="D5502" t="s">
        <v>468</v>
      </c>
      <c r="E5502" s="8">
        <v>820</v>
      </c>
      <c r="F5502" s="8">
        <v>39760</v>
      </c>
      <c r="G5502" s="8">
        <f t="shared" si="340"/>
        <v>32603200</v>
      </c>
      <c r="H5502" s="5">
        <v>0</v>
      </c>
      <c r="I5502" s="8">
        <f t="shared" si="341"/>
        <v>32603200</v>
      </c>
      <c r="J5502" s="8">
        <f t="shared" si="342"/>
        <v>0</v>
      </c>
      <c r="K5502" t="str">
        <f t="shared" si="343"/>
        <v>MATCHED</v>
      </c>
    </row>
    <row r="5503" spans="1:11">
      <c r="A5503" t="s">
        <v>124</v>
      </c>
      <c r="B5503" t="s">
        <v>1739</v>
      </c>
      <c r="C5503" t="s">
        <v>1126</v>
      </c>
      <c r="D5503" t="s">
        <v>1127</v>
      </c>
      <c r="E5503" s="8">
        <v>2510</v>
      </c>
      <c r="F5503" s="8">
        <v>37480</v>
      </c>
      <c r="G5503" s="8">
        <f t="shared" si="340"/>
        <v>94074800</v>
      </c>
      <c r="H5503" s="5">
        <v>0.0365</v>
      </c>
      <c r="I5503" s="8">
        <f t="shared" si="341"/>
        <v>94074800</v>
      </c>
      <c r="J5503" s="8">
        <f t="shared" si="342"/>
        <v>3433730.2</v>
      </c>
      <c r="K5503" t="str">
        <f t="shared" si="343"/>
        <v>MATCHED</v>
      </c>
    </row>
    <row r="5504" spans="1:11">
      <c r="A5504" t="s">
        <v>124</v>
      </c>
      <c r="B5504" t="s">
        <v>1739</v>
      </c>
      <c r="C5504" t="s">
        <v>1376</v>
      </c>
      <c r="D5504" t="s">
        <v>1377</v>
      </c>
      <c r="E5504" s="8">
        <v>230</v>
      </c>
      <c r="F5504" s="8">
        <v>43270</v>
      </c>
      <c r="G5504" s="8">
        <f t="shared" si="340"/>
        <v>9952100</v>
      </c>
      <c r="H5504" s="5"/>
      <c r="I5504" s="8" t="str">
        <f t="shared" si="341"/>
        <v/>
      </c>
      <c r="J5504" s="8" t="str">
        <f t="shared" si="342"/>
        <v/>
      </c>
      <c r="K5504" t="str">
        <f t="shared" si="343"/>
        <v>MISSING WHARTON</v>
      </c>
    </row>
    <row r="5505" spans="1:11">
      <c r="A5505" t="s">
        <v>124</v>
      </c>
      <c r="B5505" t="s">
        <v>1739</v>
      </c>
      <c r="C5505" t="s">
        <v>766</v>
      </c>
      <c r="D5505" t="s">
        <v>767</v>
      </c>
      <c r="E5505" s="8">
        <v>1030</v>
      </c>
      <c r="F5505" s="8">
        <v>90170</v>
      </c>
      <c r="G5505" s="8">
        <f t="shared" si="340"/>
        <v>92875100</v>
      </c>
      <c r="H5505" s="5">
        <v>0.1618</v>
      </c>
      <c r="I5505" s="8">
        <f t="shared" si="341"/>
        <v>92875100</v>
      </c>
      <c r="J5505" s="8">
        <f t="shared" si="342"/>
        <v>15027191.18</v>
      </c>
      <c r="K5505" t="str">
        <f t="shared" si="343"/>
        <v>MATCHED</v>
      </c>
    </row>
    <row r="5506" spans="1:11">
      <c r="A5506" t="s">
        <v>124</v>
      </c>
      <c r="B5506" t="s">
        <v>1739</v>
      </c>
      <c r="C5506" t="s">
        <v>768</v>
      </c>
      <c r="D5506" t="s">
        <v>769</v>
      </c>
      <c r="E5506" s="8">
        <v>1360</v>
      </c>
      <c r="F5506" s="8">
        <v>87970</v>
      </c>
      <c r="G5506" s="8">
        <f t="shared" ref="G5506:G5569" si="344">IF(OR(E5506="",F5506=""),"",E5506*F5506)</f>
        <v>119639200</v>
      </c>
      <c r="H5506" s="5">
        <v>0.104</v>
      </c>
      <c r="I5506" s="8">
        <f t="shared" ref="I5506:I5569" si="345">IF(G5506="","",IF(ISNUMBER(H5506),G5506,""))</f>
        <v>119639200</v>
      </c>
      <c r="J5506" s="8">
        <f t="shared" ref="J5506:J5569" si="346">IF(I5506="","",I5506*H5506)</f>
        <v>12442476.8</v>
      </c>
      <c r="K5506" t="str">
        <f t="shared" ref="K5506:K5569" si="347">IF(G5506="","MISSING OEWS",IF(ISNUMBER(H5506),"MATCHED","MISSING WHARTON"))</f>
        <v>MATCHED</v>
      </c>
    </row>
    <row r="5507" spans="1:11">
      <c r="A5507" t="s">
        <v>124</v>
      </c>
      <c r="B5507" t="s">
        <v>1739</v>
      </c>
      <c r="C5507" t="s">
        <v>770</v>
      </c>
      <c r="D5507" t="s">
        <v>771</v>
      </c>
      <c r="E5507" s="8">
        <v>3470</v>
      </c>
      <c r="F5507" s="8">
        <v>61460</v>
      </c>
      <c r="G5507" s="8">
        <f t="shared" si="344"/>
        <v>213266200</v>
      </c>
      <c r="H5507" s="5">
        <v>0.1188</v>
      </c>
      <c r="I5507" s="8">
        <f t="shared" si="345"/>
        <v>213266200</v>
      </c>
      <c r="J5507" s="8">
        <f t="shared" si="346"/>
        <v>25336024.56</v>
      </c>
      <c r="K5507" t="str">
        <f t="shared" si="347"/>
        <v>MATCHED</v>
      </c>
    </row>
    <row r="5508" spans="1:11">
      <c r="A5508" t="s">
        <v>124</v>
      </c>
      <c r="B5508" t="s">
        <v>1739</v>
      </c>
      <c r="C5508" t="s">
        <v>772</v>
      </c>
      <c r="D5508" t="s">
        <v>773</v>
      </c>
      <c r="E5508" s="8">
        <v>290</v>
      </c>
      <c r="F5508" s="8">
        <v>57030</v>
      </c>
      <c r="G5508" s="8">
        <f t="shared" si="344"/>
        <v>16538700</v>
      </c>
      <c r="H5508" s="5">
        <v>0.1</v>
      </c>
      <c r="I5508" s="8">
        <f t="shared" si="345"/>
        <v>16538700</v>
      </c>
      <c r="J5508" s="8">
        <f t="shared" si="346"/>
        <v>1653870</v>
      </c>
      <c r="K5508" t="str">
        <f t="shared" si="347"/>
        <v>MATCHED</v>
      </c>
    </row>
    <row r="5509" spans="1:11">
      <c r="A5509" t="s">
        <v>124</v>
      </c>
      <c r="B5509" t="s">
        <v>1739</v>
      </c>
      <c r="C5509" t="s">
        <v>774</v>
      </c>
      <c r="D5509" t="s">
        <v>775</v>
      </c>
      <c r="E5509" s="8">
        <v>420</v>
      </c>
      <c r="F5509" s="8">
        <v>57940</v>
      </c>
      <c r="G5509" s="8">
        <f t="shared" si="344"/>
        <v>24334800</v>
      </c>
      <c r="H5509" s="5">
        <v>0.15</v>
      </c>
      <c r="I5509" s="8">
        <f t="shared" si="345"/>
        <v>24334800</v>
      </c>
      <c r="J5509" s="8">
        <f t="shared" si="346"/>
        <v>3650220</v>
      </c>
      <c r="K5509" t="str">
        <f t="shared" si="347"/>
        <v>MATCHED</v>
      </c>
    </row>
    <row r="5510" spans="1:11">
      <c r="A5510" t="s">
        <v>124</v>
      </c>
      <c r="B5510" t="s">
        <v>1739</v>
      </c>
      <c r="C5510" t="s">
        <v>776</v>
      </c>
      <c r="D5510" t="s">
        <v>777</v>
      </c>
      <c r="E5510" s="8"/>
      <c r="F5510" s="8">
        <v>71830</v>
      </c>
      <c r="G5510" s="8" t="str">
        <f t="shared" si="344"/>
        <v/>
      </c>
      <c r="H5510" s="5">
        <v>0.1583</v>
      </c>
      <c r="I5510" s="8" t="str">
        <f t="shared" si="345"/>
        <v/>
      </c>
      <c r="J5510" s="8" t="str">
        <f t="shared" si="346"/>
        <v/>
      </c>
      <c r="K5510" t="str">
        <f t="shared" si="347"/>
        <v>MISSING OEWS</v>
      </c>
    </row>
    <row r="5511" spans="1:11">
      <c r="A5511" t="s">
        <v>124</v>
      </c>
      <c r="B5511" t="s">
        <v>1739</v>
      </c>
      <c r="C5511" t="s">
        <v>778</v>
      </c>
      <c r="D5511" t="s">
        <v>779</v>
      </c>
      <c r="E5511" s="8">
        <v>1100</v>
      </c>
      <c r="F5511" s="8">
        <v>60690</v>
      </c>
      <c r="G5511" s="8">
        <f t="shared" si="344"/>
        <v>66759000</v>
      </c>
      <c r="H5511" s="5">
        <v>0.1</v>
      </c>
      <c r="I5511" s="8">
        <f t="shared" si="345"/>
        <v>66759000</v>
      </c>
      <c r="J5511" s="8">
        <f t="shared" si="346"/>
        <v>6675900</v>
      </c>
      <c r="K5511" t="str">
        <f t="shared" si="347"/>
        <v>MATCHED</v>
      </c>
    </row>
    <row r="5512" spans="1:11">
      <c r="A5512" t="s">
        <v>124</v>
      </c>
      <c r="B5512" t="s">
        <v>1739</v>
      </c>
      <c r="C5512" t="s">
        <v>1378</v>
      </c>
      <c r="D5512" t="s">
        <v>1379</v>
      </c>
      <c r="E5512" s="8">
        <v>2800</v>
      </c>
      <c r="F5512" s="8">
        <v>46090</v>
      </c>
      <c r="G5512" s="8">
        <f t="shared" si="344"/>
        <v>129052000</v>
      </c>
      <c r="H5512" s="5">
        <v>0.113</v>
      </c>
      <c r="I5512" s="8">
        <f t="shared" si="345"/>
        <v>129052000</v>
      </c>
      <c r="J5512" s="8">
        <f t="shared" si="346"/>
        <v>14582876</v>
      </c>
      <c r="K5512" t="str">
        <f t="shared" si="347"/>
        <v>MATCHED</v>
      </c>
    </row>
    <row r="5513" spans="1:11">
      <c r="A5513" t="s">
        <v>124</v>
      </c>
      <c r="B5513" t="s">
        <v>1739</v>
      </c>
      <c r="C5513" t="s">
        <v>469</v>
      </c>
      <c r="D5513" t="s">
        <v>470</v>
      </c>
      <c r="E5513" s="8">
        <v>1600</v>
      </c>
      <c r="F5513" s="8">
        <v>46540</v>
      </c>
      <c r="G5513" s="8">
        <f t="shared" si="344"/>
        <v>74464000</v>
      </c>
      <c r="H5513" s="5">
        <v>0.0452</v>
      </c>
      <c r="I5513" s="8">
        <f t="shared" si="345"/>
        <v>74464000</v>
      </c>
      <c r="J5513" s="8">
        <f t="shared" si="346"/>
        <v>3365772.8</v>
      </c>
      <c r="K5513" t="str">
        <f t="shared" si="347"/>
        <v>MATCHED</v>
      </c>
    </row>
    <row r="5514" spans="1:11">
      <c r="A5514" t="s">
        <v>124</v>
      </c>
      <c r="B5514" t="s">
        <v>1739</v>
      </c>
      <c r="C5514" t="s">
        <v>471</v>
      </c>
      <c r="D5514" t="s">
        <v>472</v>
      </c>
      <c r="E5514" s="8">
        <v>700</v>
      </c>
      <c r="F5514" s="8">
        <v>43580</v>
      </c>
      <c r="G5514" s="8">
        <f t="shared" si="344"/>
        <v>30506000</v>
      </c>
      <c r="H5514" s="5">
        <v>0.0864</v>
      </c>
      <c r="I5514" s="8">
        <f t="shared" si="345"/>
        <v>30506000</v>
      </c>
      <c r="J5514" s="8">
        <f t="shared" si="346"/>
        <v>2635718.4</v>
      </c>
      <c r="K5514" t="str">
        <f t="shared" si="347"/>
        <v>MATCHED</v>
      </c>
    </row>
    <row r="5515" spans="1:11">
      <c r="A5515" t="s">
        <v>124</v>
      </c>
      <c r="B5515" t="s">
        <v>1739</v>
      </c>
      <c r="C5515" t="s">
        <v>1128</v>
      </c>
      <c r="D5515" t="s">
        <v>1129</v>
      </c>
      <c r="E5515" s="8">
        <v>360</v>
      </c>
      <c r="F5515" s="8">
        <v>42630</v>
      </c>
      <c r="G5515" s="8">
        <f t="shared" si="344"/>
        <v>15346800</v>
      </c>
      <c r="H5515" s="5">
        <v>0.0475</v>
      </c>
      <c r="I5515" s="8">
        <f t="shared" si="345"/>
        <v>15346800</v>
      </c>
      <c r="J5515" s="8">
        <f t="shared" si="346"/>
        <v>728973</v>
      </c>
      <c r="K5515" t="str">
        <f t="shared" si="347"/>
        <v>MATCHED</v>
      </c>
    </row>
    <row r="5516" spans="1:11">
      <c r="A5516" t="s">
        <v>124</v>
      </c>
      <c r="B5516" t="s">
        <v>1739</v>
      </c>
      <c r="C5516" t="s">
        <v>473</v>
      </c>
      <c r="D5516" t="s">
        <v>474</v>
      </c>
      <c r="E5516" s="8">
        <v>3580</v>
      </c>
      <c r="F5516" s="8">
        <v>40960</v>
      </c>
      <c r="G5516" s="8">
        <f t="shared" si="344"/>
        <v>146636800</v>
      </c>
      <c r="H5516" s="5">
        <v>0.1026</v>
      </c>
      <c r="I5516" s="8">
        <f t="shared" si="345"/>
        <v>146636800</v>
      </c>
      <c r="J5516" s="8">
        <f t="shared" si="346"/>
        <v>15044935.68</v>
      </c>
      <c r="K5516" t="str">
        <f t="shared" si="347"/>
        <v>MATCHED</v>
      </c>
    </row>
    <row r="5517" spans="1:11">
      <c r="A5517" t="s">
        <v>124</v>
      </c>
      <c r="B5517" t="s">
        <v>1739</v>
      </c>
      <c r="C5517" t="s">
        <v>475</v>
      </c>
      <c r="D5517" t="s">
        <v>476</v>
      </c>
      <c r="E5517" s="8">
        <v>790</v>
      </c>
      <c r="F5517" s="8">
        <v>32660</v>
      </c>
      <c r="G5517" s="8">
        <f t="shared" si="344"/>
        <v>25801400</v>
      </c>
      <c r="H5517" s="5">
        <v>0</v>
      </c>
      <c r="I5517" s="8">
        <f t="shared" si="345"/>
        <v>25801400</v>
      </c>
      <c r="J5517" s="8">
        <f t="shared" si="346"/>
        <v>0</v>
      </c>
      <c r="K5517" t="str">
        <f t="shared" si="347"/>
        <v>MATCHED</v>
      </c>
    </row>
    <row r="5518" spans="1:11">
      <c r="A5518" t="s">
        <v>124</v>
      </c>
      <c r="B5518" t="s">
        <v>1739</v>
      </c>
      <c r="C5518" t="s">
        <v>477</v>
      </c>
      <c r="D5518" t="s">
        <v>478</v>
      </c>
      <c r="E5518" s="8">
        <v>1350</v>
      </c>
      <c r="F5518" s="8">
        <v>39960</v>
      </c>
      <c r="G5518" s="8">
        <f t="shared" si="344"/>
        <v>53946000</v>
      </c>
      <c r="H5518" s="5">
        <v>0.0339</v>
      </c>
      <c r="I5518" s="8">
        <f t="shared" si="345"/>
        <v>53946000</v>
      </c>
      <c r="J5518" s="8">
        <f t="shared" si="346"/>
        <v>1828769.4</v>
      </c>
      <c r="K5518" t="str">
        <f t="shared" si="347"/>
        <v>MATCHED</v>
      </c>
    </row>
    <row r="5519" spans="1:11">
      <c r="A5519" t="s">
        <v>124</v>
      </c>
      <c r="B5519" t="s">
        <v>1739</v>
      </c>
      <c r="C5519" t="s">
        <v>479</v>
      </c>
      <c r="D5519" t="s">
        <v>480</v>
      </c>
      <c r="E5519" s="8">
        <v>2400</v>
      </c>
      <c r="F5519" s="8">
        <v>33350</v>
      </c>
      <c r="G5519" s="8">
        <f t="shared" si="344"/>
        <v>80040000</v>
      </c>
      <c r="H5519" s="5">
        <v>0.0679</v>
      </c>
      <c r="I5519" s="8">
        <f t="shared" si="345"/>
        <v>80040000</v>
      </c>
      <c r="J5519" s="8">
        <f t="shared" si="346"/>
        <v>5434716</v>
      </c>
      <c r="K5519" t="str">
        <f t="shared" si="347"/>
        <v>MATCHED</v>
      </c>
    </row>
    <row r="5520" spans="1:11">
      <c r="A5520" t="s">
        <v>124</v>
      </c>
      <c r="B5520" t="s">
        <v>1739</v>
      </c>
      <c r="C5520" t="s">
        <v>780</v>
      </c>
      <c r="D5520" t="s">
        <v>781</v>
      </c>
      <c r="E5520" s="8"/>
      <c r="F5520" s="8">
        <v>41570</v>
      </c>
      <c r="G5520" s="8" t="str">
        <f t="shared" si="344"/>
        <v/>
      </c>
      <c r="H5520" s="5">
        <v>0.1056</v>
      </c>
      <c r="I5520" s="8" t="str">
        <f t="shared" si="345"/>
        <v/>
      </c>
      <c r="J5520" s="8" t="str">
        <f t="shared" si="346"/>
        <v/>
      </c>
      <c r="K5520" t="str">
        <f t="shared" si="347"/>
        <v>MISSING OEWS</v>
      </c>
    </row>
    <row r="5521" spans="1:11">
      <c r="A5521" t="s">
        <v>124</v>
      </c>
      <c r="B5521" t="s">
        <v>1739</v>
      </c>
      <c r="C5521" t="s">
        <v>481</v>
      </c>
      <c r="D5521" t="s">
        <v>482</v>
      </c>
      <c r="E5521" s="8">
        <v>48300</v>
      </c>
      <c r="F5521" s="8">
        <v>42020</v>
      </c>
      <c r="G5521" s="8">
        <f t="shared" si="344"/>
        <v>2029566000</v>
      </c>
      <c r="H5521" s="5">
        <v>0.2969</v>
      </c>
      <c r="I5521" s="8">
        <f t="shared" si="345"/>
        <v>2029566000</v>
      </c>
      <c r="J5521" s="8">
        <f t="shared" si="346"/>
        <v>602578145.4</v>
      </c>
      <c r="K5521" t="str">
        <f t="shared" si="347"/>
        <v>MATCHED</v>
      </c>
    </row>
    <row r="5522" spans="1:11">
      <c r="A5522" t="s">
        <v>124</v>
      </c>
      <c r="B5522" t="s">
        <v>1739</v>
      </c>
      <c r="C5522" t="s">
        <v>1382</v>
      </c>
      <c r="D5522" t="s">
        <v>1383</v>
      </c>
      <c r="E5522" s="8"/>
      <c r="F5522" s="8">
        <v>66500</v>
      </c>
      <c r="G5522" s="8" t="str">
        <f t="shared" si="344"/>
        <v/>
      </c>
      <c r="H5522" s="5">
        <v>0</v>
      </c>
      <c r="I5522" s="8" t="str">
        <f t="shared" si="345"/>
        <v/>
      </c>
      <c r="J5522" s="8" t="str">
        <f t="shared" si="346"/>
        <v/>
      </c>
      <c r="K5522" t="str">
        <f t="shared" si="347"/>
        <v>MISSING OEWS</v>
      </c>
    </row>
    <row r="5523" spans="1:11">
      <c r="A5523" t="s">
        <v>124</v>
      </c>
      <c r="B5523" t="s">
        <v>1739</v>
      </c>
      <c r="C5523" t="s">
        <v>1384</v>
      </c>
      <c r="D5523" t="s">
        <v>1385</v>
      </c>
      <c r="E5523" s="8">
        <v>270</v>
      </c>
      <c r="F5523" s="8">
        <v>49910</v>
      </c>
      <c r="G5523" s="8">
        <f t="shared" si="344"/>
        <v>13475700</v>
      </c>
      <c r="H5523" s="5">
        <v>0</v>
      </c>
      <c r="I5523" s="8">
        <f t="shared" si="345"/>
        <v>13475700</v>
      </c>
      <c r="J5523" s="8">
        <f t="shared" si="346"/>
        <v>0</v>
      </c>
      <c r="K5523" t="str">
        <f t="shared" si="347"/>
        <v>MATCHED</v>
      </c>
    </row>
    <row r="5524" spans="1:11">
      <c r="A5524" t="s">
        <v>124</v>
      </c>
      <c r="B5524" t="s">
        <v>1739</v>
      </c>
      <c r="C5524" t="s">
        <v>1386</v>
      </c>
      <c r="D5524" t="s">
        <v>1387</v>
      </c>
      <c r="E5524" s="8">
        <v>140</v>
      </c>
      <c r="F5524" s="8">
        <v>38170</v>
      </c>
      <c r="G5524" s="8">
        <f t="shared" si="344"/>
        <v>5343800</v>
      </c>
      <c r="H5524" s="5">
        <v>0</v>
      </c>
      <c r="I5524" s="8">
        <f t="shared" si="345"/>
        <v>5343800</v>
      </c>
      <c r="J5524" s="8">
        <f t="shared" si="346"/>
        <v>0</v>
      </c>
      <c r="K5524" t="str">
        <f t="shared" si="347"/>
        <v>MATCHED</v>
      </c>
    </row>
    <row r="5525" spans="1:11">
      <c r="A5525" t="s">
        <v>124</v>
      </c>
      <c r="B5525" t="s">
        <v>1739</v>
      </c>
      <c r="C5525" t="s">
        <v>483</v>
      </c>
      <c r="D5525" t="s">
        <v>484</v>
      </c>
      <c r="E5525" s="8">
        <v>34600</v>
      </c>
      <c r="F5525" s="8">
        <v>37600</v>
      </c>
      <c r="G5525" s="8">
        <f t="shared" si="344"/>
        <v>1300960000</v>
      </c>
      <c r="H5525" s="5">
        <v>0.0475</v>
      </c>
      <c r="I5525" s="8">
        <f t="shared" si="345"/>
        <v>1300960000</v>
      </c>
      <c r="J5525" s="8">
        <f t="shared" si="346"/>
        <v>61795600</v>
      </c>
      <c r="K5525" t="str">
        <f t="shared" si="347"/>
        <v>MATCHED</v>
      </c>
    </row>
    <row r="5526" spans="1:11">
      <c r="A5526" t="s">
        <v>124</v>
      </c>
      <c r="B5526" t="s">
        <v>1739</v>
      </c>
      <c r="C5526" t="s">
        <v>1130</v>
      </c>
      <c r="D5526" t="s">
        <v>1131</v>
      </c>
      <c r="E5526" s="8">
        <v>270</v>
      </c>
      <c r="F5526" s="8">
        <v>40760</v>
      </c>
      <c r="G5526" s="8">
        <f t="shared" si="344"/>
        <v>11005200</v>
      </c>
      <c r="H5526" s="5">
        <v>0</v>
      </c>
      <c r="I5526" s="8">
        <f t="shared" si="345"/>
        <v>11005200</v>
      </c>
      <c r="J5526" s="8">
        <f t="shared" si="346"/>
        <v>0</v>
      </c>
      <c r="K5526" t="str">
        <f t="shared" si="347"/>
        <v>MATCHED</v>
      </c>
    </row>
    <row r="5527" spans="1:11">
      <c r="A5527" t="s">
        <v>124</v>
      </c>
      <c r="B5527" t="s">
        <v>1739</v>
      </c>
      <c r="C5527" t="s">
        <v>782</v>
      </c>
      <c r="D5527" t="s">
        <v>783</v>
      </c>
      <c r="E5527" s="8">
        <v>4350</v>
      </c>
      <c r="F5527" s="8">
        <v>41930</v>
      </c>
      <c r="G5527" s="8">
        <f t="shared" si="344"/>
        <v>182395500</v>
      </c>
      <c r="H5527" s="5">
        <v>0.0317</v>
      </c>
      <c r="I5527" s="8">
        <f t="shared" si="345"/>
        <v>182395500</v>
      </c>
      <c r="J5527" s="8">
        <f t="shared" si="346"/>
        <v>5781937.35</v>
      </c>
      <c r="K5527" t="str">
        <f t="shared" si="347"/>
        <v>MATCHED</v>
      </c>
    </row>
    <row r="5528" spans="1:11">
      <c r="A5528" t="s">
        <v>124</v>
      </c>
      <c r="B5528" t="s">
        <v>1739</v>
      </c>
      <c r="C5528" t="s">
        <v>1388</v>
      </c>
      <c r="D5528" t="s">
        <v>1389</v>
      </c>
      <c r="E5528" s="8">
        <v>220</v>
      </c>
      <c r="F5528" s="8">
        <v>40780</v>
      </c>
      <c r="G5528" s="8">
        <f t="shared" si="344"/>
        <v>8971600</v>
      </c>
      <c r="H5528" s="5">
        <v>0.1875</v>
      </c>
      <c r="I5528" s="8">
        <f t="shared" si="345"/>
        <v>8971600</v>
      </c>
      <c r="J5528" s="8">
        <f t="shared" si="346"/>
        <v>1682175</v>
      </c>
      <c r="K5528" t="str">
        <f t="shared" si="347"/>
        <v>MATCHED</v>
      </c>
    </row>
    <row r="5529" spans="1:11">
      <c r="A5529" t="s">
        <v>124</v>
      </c>
      <c r="B5529" t="s">
        <v>1739</v>
      </c>
      <c r="C5529" t="s">
        <v>1390</v>
      </c>
      <c r="D5529" t="s">
        <v>1391</v>
      </c>
      <c r="E5529" s="8">
        <v>180</v>
      </c>
      <c r="F5529" s="8">
        <v>51240</v>
      </c>
      <c r="G5529" s="8">
        <f t="shared" si="344"/>
        <v>9223200</v>
      </c>
      <c r="H5529" s="5">
        <v>0.5391</v>
      </c>
      <c r="I5529" s="8">
        <f t="shared" si="345"/>
        <v>9223200</v>
      </c>
      <c r="J5529" s="8">
        <f t="shared" si="346"/>
        <v>4972227.12</v>
      </c>
      <c r="K5529" t="str">
        <f t="shared" si="347"/>
        <v>MATCHED</v>
      </c>
    </row>
    <row r="5530" spans="1:11">
      <c r="A5530" t="s">
        <v>124</v>
      </c>
      <c r="B5530" t="s">
        <v>1739</v>
      </c>
      <c r="C5530" t="s">
        <v>784</v>
      </c>
      <c r="D5530" t="s">
        <v>785</v>
      </c>
      <c r="E5530" s="8">
        <v>3710</v>
      </c>
      <c r="F5530" s="8">
        <v>40190</v>
      </c>
      <c r="G5530" s="8">
        <f t="shared" si="344"/>
        <v>149104900</v>
      </c>
      <c r="H5530" s="5">
        <v>0.2111</v>
      </c>
      <c r="I5530" s="8">
        <f t="shared" si="345"/>
        <v>149104900</v>
      </c>
      <c r="J5530" s="8">
        <f t="shared" si="346"/>
        <v>31476044.39</v>
      </c>
      <c r="K5530" t="str">
        <f t="shared" si="347"/>
        <v>MATCHED</v>
      </c>
    </row>
    <row r="5531" spans="1:11">
      <c r="A5531" t="s">
        <v>124</v>
      </c>
      <c r="B5531" t="s">
        <v>1739</v>
      </c>
      <c r="C5531" t="s">
        <v>1132</v>
      </c>
      <c r="D5531" t="s">
        <v>1133</v>
      </c>
      <c r="E5531" s="8">
        <v>310</v>
      </c>
      <c r="F5531" s="8">
        <v>61030</v>
      </c>
      <c r="G5531" s="8">
        <f t="shared" si="344"/>
        <v>18919300</v>
      </c>
      <c r="H5531" s="5">
        <v>0.5938</v>
      </c>
      <c r="I5531" s="8">
        <f t="shared" si="345"/>
        <v>18919300</v>
      </c>
      <c r="J5531" s="8">
        <f t="shared" si="346"/>
        <v>11234280.34</v>
      </c>
      <c r="K5531" t="str">
        <f t="shared" si="347"/>
        <v>MATCHED</v>
      </c>
    </row>
    <row r="5532" spans="1:11">
      <c r="A5532" t="s">
        <v>124</v>
      </c>
      <c r="B5532" t="s">
        <v>1739</v>
      </c>
      <c r="C5532" t="s">
        <v>1392</v>
      </c>
      <c r="D5532" t="s">
        <v>1393</v>
      </c>
      <c r="E5532" s="8">
        <v>510</v>
      </c>
      <c r="F5532" s="8">
        <v>36840</v>
      </c>
      <c r="G5532" s="8">
        <f t="shared" si="344"/>
        <v>18788400</v>
      </c>
      <c r="H5532" s="5">
        <v>0.0559</v>
      </c>
      <c r="I5532" s="8">
        <f t="shared" si="345"/>
        <v>18788400</v>
      </c>
      <c r="J5532" s="8">
        <f t="shared" si="346"/>
        <v>1050271.56</v>
      </c>
      <c r="K5532" t="str">
        <f t="shared" si="347"/>
        <v>MATCHED</v>
      </c>
    </row>
    <row r="5533" spans="1:11">
      <c r="A5533" t="s">
        <v>124</v>
      </c>
      <c r="B5533" t="s">
        <v>1739</v>
      </c>
      <c r="C5533" t="s">
        <v>485</v>
      </c>
      <c r="D5533" t="s">
        <v>486</v>
      </c>
      <c r="E5533" s="8">
        <v>980</v>
      </c>
      <c r="F5533" s="8">
        <v>39590</v>
      </c>
      <c r="G5533" s="8">
        <f t="shared" si="344"/>
        <v>38798200</v>
      </c>
      <c r="H5533" s="5">
        <v>0.0864</v>
      </c>
      <c r="I5533" s="8">
        <f t="shared" si="345"/>
        <v>38798200</v>
      </c>
      <c r="J5533" s="8">
        <f t="shared" si="346"/>
        <v>3352164.48</v>
      </c>
      <c r="K5533" t="str">
        <f t="shared" si="347"/>
        <v>MATCHED</v>
      </c>
    </row>
    <row r="5534" spans="1:11">
      <c r="A5534" t="s">
        <v>124</v>
      </c>
      <c r="B5534" t="s">
        <v>1739</v>
      </c>
      <c r="C5534" t="s">
        <v>1394</v>
      </c>
      <c r="D5534" t="s">
        <v>1395</v>
      </c>
      <c r="E5534" s="8">
        <v>40</v>
      </c>
      <c r="F5534" s="8">
        <v>45040</v>
      </c>
      <c r="G5534" s="8">
        <f t="shared" si="344"/>
        <v>1801600</v>
      </c>
      <c r="H5534" s="5">
        <v>0.05</v>
      </c>
      <c r="I5534" s="8">
        <f t="shared" si="345"/>
        <v>1801600</v>
      </c>
      <c r="J5534" s="8">
        <f t="shared" si="346"/>
        <v>90080</v>
      </c>
      <c r="K5534" t="str">
        <f t="shared" si="347"/>
        <v>MATCHED</v>
      </c>
    </row>
    <row r="5535" spans="1:11">
      <c r="A5535" t="s">
        <v>124</v>
      </c>
      <c r="B5535" t="s">
        <v>1739</v>
      </c>
      <c r="C5535" t="s">
        <v>1396</v>
      </c>
      <c r="D5535" t="s">
        <v>1397</v>
      </c>
      <c r="E5535" s="8">
        <v>80</v>
      </c>
      <c r="F5535" s="8">
        <v>40100</v>
      </c>
      <c r="G5535" s="8">
        <f t="shared" si="344"/>
        <v>3208000</v>
      </c>
      <c r="H5535" s="5">
        <v>0.0633</v>
      </c>
      <c r="I5535" s="8">
        <f t="shared" si="345"/>
        <v>3208000</v>
      </c>
      <c r="J5535" s="8">
        <f t="shared" si="346"/>
        <v>203066.4</v>
      </c>
      <c r="K5535" t="str">
        <f t="shared" si="347"/>
        <v>MATCHED</v>
      </c>
    </row>
    <row r="5536" spans="1:11">
      <c r="A5536" t="s">
        <v>124</v>
      </c>
      <c r="B5536" t="s">
        <v>1739</v>
      </c>
      <c r="C5536" t="s">
        <v>786</v>
      </c>
      <c r="D5536" t="s">
        <v>787</v>
      </c>
      <c r="E5536" s="8">
        <v>1020</v>
      </c>
      <c r="F5536" s="8">
        <v>35950</v>
      </c>
      <c r="G5536" s="8">
        <f t="shared" si="344"/>
        <v>36669000</v>
      </c>
      <c r="H5536" s="5">
        <v>0.0125</v>
      </c>
      <c r="I5536" s="8">
        <f t="shared" si="345"/>
        <v>36669000</v>
      </c>
      <c r="J5536" s="8">
        <f t="shared" si="346"/>
        <v>458362.5</v>
      </c>
      <c r="K5536" t="str">
        <f t="shared" si="347"/>
        <v>MATCHED</v>
      </c>
    </row>
    <row r="5537" spans="1:11">
      <c r="A5537" t="s">
        <v>124</v>
      </c>
      <c r="B5537" t="s">
        <v>1739</v>
      </c>
      <c r="C5537" t="s">
        <v>487</v>
      </c>
      <c r="D5537" t="s">
        <v>488</v>
      </c>
      <c r="E5537" s="8">
        <v>1660</v>
      </c>
      <c r="F5537" s="8">
        <v>37920</v>
      </c>
      <c r="G5537" s="8">
        <f t="shared" si="344"/>
        <v>62947200</v>
      </c>
      <c r="H5537" s="5">
        <v>0</v>
      </c>
      <c r="I5537" s="8">
        <f t="shared" si="345"/>
        <v>62947200</v>
      </c>
      <c r="J5537" s="8">
        <f t="shared" si="346"/>
        <v>0</v>
      </c>
      <c r="K5537" t="str">
        <f t="shared" si="347"/>
        <v>MATCHED</v>
      </c>
    </row>
    <row r="5538" spans="1:11">
      <c r="A5538" t="s">
        <v>124</v>
      </c>
      <c r="B5538" t="s">
        <v>1739</v>
      </c>
      <c r="C5538" t="s">
        <v>1398</v>
      </c>
      <c r="D5538" t="s">
        <v>1399</v>
      </c>
      <c r="E5538" s="8">
        <v>250</v>
      </c>
      <c r="F5538" s="8">
        <v>37850</v>
      </c>
      <c r="G5538" s="8">
        <f t="shared" si="344"/>
        <v>9462500</v>
      </c>
      <c r="H5538" s="5">
        <v>0</v>
      </c>
      <c r="I5538" s="8">
        <f t="shared" si="345"/>
        <v>9462500</v>
      </c>
      <c r="J5538" s="8">
        <f t="shared" si="346"/>
        <v>0</v>
      </c>
      <c r="K5538" t="str">
        <f t="shared" si="347"/>
        <v>MATCHED</v>
      </c>
    </row>
    <row r="5539" spans="1:11">
      <c r="A5539" t="s">
        <v>124</v>
      </c>
      <c r="B5539" t="s">
        <v>1739</v>
      </c>
      <c r="C5539" t="s">
        <v>489</v>
      </c>
      <c r="D5539" t="s">
        <v>490</v>
      </c>
      <c r="E5539" s="8">
        <v>18090</v>
      </c>
      <c r="F5539" s="8">
        <v>35590</v>
      </c>
      <c r="G5539" s="8">
        <f t="shared" si="344"/>
        <v>643823100</v>
      </c>
      <c r="H5539" s="5">
        <v>0.0838</v>
      </c>
      <c r="I5539" s="8">
        <f t="shared" si="345"/>
        <v>643823100</v>
      </c>
      <c r="J5539" s="8">
        <f t="shared" si="346"/>
        <v>53952375.78</v>
      </c>
      <c r="K5539" t="str">
        <f t="shared" si="347"/>
        <v>MATCHED</v>
      </c>
    </row>
    <row r="5540" spans="1:11">
      <c r="A5540" t="s">
        <v>124</v>
      </c>
      <c r="B5540" t="s">
        <v>1739</v>
      </c>
      <c r="C5540" t="s">
        <v>491</v>
      </c>
      <c r="D5540" t="s">
        <v>492</v>
      </c>
      <c r="E5540" s="8">
        <v>85390</v>
      </c>
      <c r="F5540" s="8">
        <v>39260</v>
      </c>
      <c r="G5540" s="8">
        <f t="shared" si="344"/>
        <v>3352411400</v>
      </c>
      <c r="H5540" s="5"/>
      <c r="I5540" s="8" t="str">
        <f t="shared" si="345"/>
        <v/>
      </c>
      <c r="J5540" s="8" t="str">
        <f t="shared" si="346"/>
        <v/>
      </c>
      <c r="K5540" t="str">
        <f t="shared" si="347"/>
        <v>MISSING WHARTON</v>
      </c>
    </row>
    <row r="5541" spans="1:11">
      <c r="A5541" t="s">
        <v>124</v>
      </c>
      <c r="B5541" t="s">
        <v>1739</v>
      </c>
      <c r="C5541" t="s">
        <v>493</v>
      </c>
      <c r="D5541" t="s">
        <v>494</v>
      </c>
      <c r="E5541" s="8">
        <v>25920</v>
      </c>
      <c r="F5541" s="8">
        <v>67620</v>
      </c>
      <c r="G5541" s="8">
        <f t="shared" si="344"/>
        <v>1752710400</v>
      </c>
      <c r="H5541" s="5">
        <v>0.3429</v>
      </c>
      <c r="I5541" s="8">
        <f t="shared" si="345"/>
        <v>1752710400</v>
      </c>
      <c r="J5541" s="8">
        <f t="shared" si="346"/>
        <v>601004396.16</v>
      </c>
      <c r="K5541" t="str">
        <f t="shared" si="347"/>
        <v>MATCHED</v>
      </c>
    </row>
    <row r="5542" spans="1:11">
      <c r="A5542" t="s">
        <v>124</v>
      </c>
      <c r="B5542" t="s">
        <v>1739</v>
      </c>
      <c r="C5542" t="s">
        <v>495</v>
      </c>
      <c r="D5542" t="s">
        <v>496</v>
      </c>
      <c r="E5542" s="8">
        <v>370</v>
      </c>
      <c r="F5542" s="8">
        <v>139020</v>
      </c>
      <c r="G5542" s="8">
        <f t="shared" si="344"/>
        <v>51437400</v>
      </c>
      <c r="H5542" s="5">
        <v>0.3558</v>
      </c>
      <c r="I5542" s="8">
        <f t="shared" si="345"/>
        <v>51437400</v>
      </c>
      <c r="J5542" s="8">
        <f t="shared" si="346"/>
        <v>18301426.92</v>
      </c>
      <c r="K5542" t="str">
        <f t="shared" si="347"/>
        <v>MATCHED</v>
      </c>
    </row>
    <row r="5543" spans="1:11">
      <c r="A5543" t="s">
        <v>124</v>
      </c>
      <c r="B5543" t="s">
        <v>1739</v>
      </c>
      <c r="C5543" t="s">
        <v>1404</v>
      </c>
      <c r="D5543" t="s">
        <v>1405</v>
      </c>
      <c r="E5543" s="8">
        <v>130</v>
      </c>
      <c r="F5543" s="8">
        <v>54510</v>
      </c>
      <c r="G5543" s="8">
        <f t="shared" si="344"/>
        <v>7086300</v>
      </c>
      <c r="H5543" s="5">
        <v>0.35</v>
      </c>
      <c r="I5543" s="8">
        <f t="shared" si="345"/>
        <v>7086300</v>
      </c>
      <c r="J5543" s="8">
        <f t="shared" si="346"/>
        <v>2480205</v>
      </c>
      <c r="K5543" t="str">
        <f t="shared" si="347"/>
        <v>MATCHED</v>
      </c>
    </row>
    <row r="5544" spans="1:11">
      <c r="A5544" t="s">
        <v>124</v>
      </c>
      <c r="B5544" t="s">
        <v>1739</v>
      </c>
      <c r="C5544" t="s">
        <v>1551</v>
      </c>
      <c r="D5544" t="s">
        <v>1552</v>
      </c>
      <c r="E5544" s="8">
        <v>60</v>
      </c>
      <c r="F5544" s="8">
        <v>32040</v>
      </c>
      <c r="G5544" s="8">
        <f t="shared" si="344"/>
        <v>1922400</v>
      </c>
      <c r="H5544" s="5">
        <v>0.0864</v>
      </c>
      <c r="I5544" s="8">
        <f t="shared" si="345"/>
        <v>1922400</v>
      </c>
      <c r="J5544" s="8">
        <f t="shared" si="346"/>
        <v>166095.36</v>
      </c>
      <c r="K5544" t="str">
        <f t="shared" si="347"/>
        <v>MATCHED</v>
      </c>
    </row>
    <row r="5545" spans="1:11">
      <c r="A5545" t="s">
        <v>124</v>
      </c>
      <c r="B5545" t="s">
        <v>1739</v>
      </c>
      <c r="C5545" t="s">
        <v>497</v>
      </c>
      <c r="D5545" t="s">
        <v>498</v>
      </c>
      <c r="E5545" s="8">
        <v>4040</v>
      </c>
      <c r="F5545" s="8">
        <v>42280</v>
      </c>
      <c r="G5545" s="8">
        <f t="shared" si="344"/>
        <v>170811200</v>
      </c>
      <c r="H5545" s="5">
        <v>0.3167</v>
      </c>
      <c r="I5545" s="8">
        <f t="shared" si="345"/>
        <v>170811200</v>
      </c>
      <c r="J5545" s="8">
        <f t="shared" si="346"/>
        <v>54095907.04</v>
      </c>
      <c r="K5545" t="str">
        <f t="shared" si="347"/>
        <v>MATCHED</v>
      </c>
    </row>
    <row r="5546" spans="1:11">
      <c r="A5546" t="s">
        <v>124</v>
      </c>
      <c r="B5546" t="s">
        <v>1739</v>
      </c>
      <c r="C5546" t="s">
        <v>499</v>
      </c>
      <c r="D5546" t="s">
        <v>500</v>
      </c>
      <c r="E5546" s="8">
        <v>104970</v>
      </c>
      <c r="F5546" s="8">
        <v>55190</v>
      </c>
      <c r="G5546" s="8">
        <f t="shared" si="344"/>
        <v>5793294300</v>
      </c>
      <c r="H5546" s="5">
        <v>0.2065</v>
      </c>
      <c r="I5546" s="8">
        <f t="shared" si="345"/>
        <v>5793294300</v>
      </c>
      <c r="J5546" s="8">
        <f t="shared" si="346"/>
        <v>1196315272.95</v>
      </c>
      <c r="K5546" t="str">
        <f t="shared" si="347"/>
        <v>MATCHED</v>
      </c>
    </row>
    <row r="5547" spans="1:11">
      <c r="A5547" t="s">
        <v>124</v>
      </c>
      <c r="B5547" t="s">
        <v>1739</v>
      </c>
      <c r="C5547" t="s">
        <v>501</v>
      </c>
      <c r="D5547" t="s">
        <v>502</v>
      </c>
      <c r="E5547" s="8">
        <v>26890</v>
      </c>
      <c r="F5547" s="8">
        <v>44360</v>
      </c>
      <c r="G5547" s="8">
        <f t="shared" si="344"/>
        <v>1192840400</v>
      </c>
      <c r="H5547" s="5">
        <v>0.3393</v>
      </c>
      <c r="I5547" s="8">
        <f t="shared" si="345"/>
        <v>1192840400</v>
      </c>
      <c r="J5547" s="8">
        <f t="shared" si="346"/>
        <v>404730747.72</v>
      </c>
      <c r="K5547" t="str">
        <f t="shared" si="347"/>
        <v>MATCHED</v>
      </c>
    </row>
    <row r="5548" spans="1:11">
      <c r="A5548" t="s">
        <v>124</v>
      </c>
      <c r="B5548" t="s">
        <v>1739</v>
      </c>
      <c r="C5548" t="s">
        <v>1553</v>
      </c>
      <c r="D5548" t="s">
        <v>1554</v>
      </c>
      <c r="E5548" s="8"/>
      <c r="F5548" s="8">
        <v>52660</v>
      </c>
      <c r="G5548" s="8" t="str">
        <f t="shared" si="344"/>
        <v/>
      </c>
      <c r="H5548" s="5">
        <v>0.2235</v>
      </c>
      <c r="I5548" s="8" t="str">
        <f t="shared" si="345"/>
        <v/>
      </c>
      <c r="J5548" s="8" t="str">
        <f t="shared" si="346"/>
        <v/>
      </c>
      <c r="K5548" t="str">
        <f t="shared" si="347"/>
        <v>MISSING OEWS</v>
      </c>
    </row>
    <row r="5549" spans="1:11">
      <c r="A5549" t="s">
        <v>124</v>
      </c>
      <c r="B5549" t="s">
        <v>1739</v>
      </c>
      <c r="C5549" t="s">
        <v>1457</v>
      </c>
      <c r="D5549" t="s">
        <v>1458</v>
      </c>
      <c r="E5549" s="8">
        <v>1260</v>
      </c>
      <c r="F5549" s="8">
        <v>50820</v>
      </c>
      <c r="G5549" s="8">
        <f t="shared" si="344"/>
        <v>64033200</v>
      </c>
      <c r="H5549" s="5">
        <v>0.2567</v>
      </c>
      <c r="I5549" s="8">
        <f t="shared" si="345"/>
        <v>64033200</v>
      </c>
      <c r="J5549" s="8">
        <f t="shared" si="346"/>
        <v>16437322.44</v>
      </c>
      <c r="K5549" t="str">
        <f t="shared" si="347"/>
        <v>MATCHED</v>
      </c>
    </row>
    <row r="5550" spans="1:11">
      <c r="A5550" t="s">
        <v>124</v>
      </c>
      <c r="B5550" t="s">
        <v>1739</v>
      </c>
      <c r="C5550" t="s">
        <v>503</v>
      </c>
      <c r="D5550" t="s">
        <v>504</v>
      </c>
      <c r="E5550" s="8">
        <v>6090</v>
      </c>
      <c r="F5550" s="8">
        <v>39410</v>
      </c>
      <c r="G5550" s="8">
        <f t="shared" si="344"/>
        <v>240006900</v>
      </c>
      <c r="H5550" s="5">
        <v>0.3288</v>
      </c>
      <c r="I5550" s="8">
        <f t="shared" si="345"/>
        <v>240006900</v>
      </c>
      <c r="J5550" s="8">
        <f t="shared" si="346"/>
        <v>78914268.72</v>
      </c>
      <c r="K5550" t="str">
        <f t="shared" si="347"/>
        <v>MATCHED</v>
      </c>
    </row>
    <row r="5551" spans="1:11">
      <c r="A5551" t="s">
        <v>124</v>
      </c>
      <c r="B5551" t="s">
        <v>1739</v>
      </c>
      <c r="C5551" t="s">
        <v>1134</v>
      </c>
      <c r="D5551" t="s">
        <v>1135</v>
      </c>
      <c r="E5551" s="8">
        <v>5630</v>
      </c>
      <c r="F5551" s="8">
        <v>41880</v>
      </c>
      <c r="G5551" s="8">
        <f t="shared" si="344"/>
        <v>235784400</v>
      </c>
      <c r="H5551" s="5"/>
      <c r="I5551" s="8" t="str">
        <f t="shared" si="345"/>
        <v/>
      </c>
      <c r="J5551" s="8" t="str">
        <f t="shared" si="346"/>
        <v/>
      </c>
      <c r="K5551" t="str">
        <f t="shared" si="347"/>
        <v>MISSING WHARTON</v>
      </c>
    </row>
    <row r="5552" spans="1:11">
      <c r="A5552" t="s">
        <v>124</v>
      </c>
      <c r="B5552" t="s">
        <v>1739</v>
      </c>
      <c r="C5552" t="s">
        <v>796</v>
      </c>
      <c r="D5552" t="s">
        <v>797</v>
      </c>
      <c r="E5552" s="8">
        <v>560</v>
      </c>
      <c r="F5552" s="8">
        <v>48250</v>
      </c>
      <c r="G5552" s="8">
        <f t="shared" si="344"/>
        <v>27020000</v>
      </c>
      <c r="H5552" s="5">
        <v>0.1018</v>
      </c>
      <c r="I5552" s="8">
        <f t="shared" si="345"/>
        <v>27020000</v>
      </c>
      <c r="J5552" s="8">
        <f t="shared" si="346"/>
        <v>2750636</v>
      </c>
      <c r="K5552" t="str">
        <f t="shared" si="347"/>
        <v>MATCHED</v>
      </c>
    </row>
    <row r="5553" spans="1:11">
      <c r="A5553" t="s">
        <v>124</v>
      </c>
      <c r="B5553" t="s">
        <v>1739</v>
      </c>
      <c r="C5553" t="s">
        <v>798</v>
      </c>
      <c r="D5553" t="s">
        <v>799</v>
      </c>
      <c r="E5553" s="8">
        <v>240</v>
      </c>
      <c r="F5553" s="8">
        <v>80460</v>
      </c>
      <c r="G5553" s="8">
        <f t="shared" si="344"/>
        <v>19310400</v>
      </c>
      <c r="H5553" s="5">
        <v>0.095</v>
      </c>
      <c r="I5553" s="8">
        <f t="shared" si="345"/>
        <v>19310400</v>
      </c>
      <c r="J5553" s="8">
        <f t="shared" si="346"/>
        <v>1834488</v>
      </c>
      <c r="K5553" t="str">
        <f t="shared" si="347"/>
        <v>MATCHED</v>
      </c>
    </row>
    <row r="5554" spans="1:11">
      <c r="A5554" t="s">
        <v>124</v>
      </c>
      <c r="B5554" t="s">
        <v>1739</v>
      </c>
      <c r="C5554" t="s">
        <v>1136</v>
      </c>
      <c r="D5554" t="s">
        <v>1137</v>
      </c>
      <c r="E5554" s="8">
        <v>220</v>
      </c>
      <c r="F5554" s="8">
        <v>46620</v>
      </c>
      <c r="G5554" s="8">
        <f t="shared" si="344"/>
        <v>10256400</v>
      </c>
      <c r="H5554" s="5">
        <v>0.0559</v>
      </c>
      <c r="I5554" s="8">
        <f t="shared" si="345"/>
        <v>10256400</v>
      </c>
      <c r="J5554" s="8">
        <f t="shared" si="346"/>
        <v>573332.76</v>
      </c>
      <c r="K5554" t="str">
        <f t="shared" si="347"/>
        <v>MATCHED</v>
      </c>
    </row>
    <row r="5555" spans="1:11">
      <c r="A5555" t="s">
        <v>124</v>
      </c>
      <c r="B5555" t="s">
        <v>1739</v>
      </c>
      <c r="C5555" t="s">
        <v>800</v>
      </c>
      <c r="D5555" t="s">
        <v>801</v>
      </c>
      <c r="E5555" s="8">
        <v>70</v>
      </c>
      <c r="F5555" s="8">
        <v>101500</v>
      </c>
      <c r="G5555" s="8">
        <f t="shared" si="344"/>
        <v>7105000</v>
      </c>
      <c r="H5555" s="5">
        <v>0.0971</v>
      </c>
      <c r="I5555" s="8">
        <f t="shared" si="345"/>
        <v>7105000</v>
      </c>
      <c r="J5555" s="8">
        <f t="shared" si="346"/>
        <v>689895.5</v>
      </c>
      <c r="K5555" t="str">
        <f t="shared" si="347"/>
        <v>MATCHED</v>
      </c>
    </row>
    <row r="5556" spans="1:11">
      <c r="A5556" t="s">
        <v>124</v>
      </c>
      <c r="B5556" t="s">
        <v>1739</v>
      </c>
      <c r="C5556" t="s">
        <v>1408</v>
      </c>
      <c r="D5556" t="s">
        <v>1409</v>
      </c>
      <c r="E5556" s="8">
        <v>7780</v>
      </c>
      <c r="F5556" s="8">
        <v>32360</v>
      </c>
      <c r="G5556" s="8">
        <f t="shared" si="344"/>
        <v>251760800</v>
      </c>
      <c r="H5556" s="5">
        <v>0.1972</v>
      </c>
      <c r="I5556" s="8">
        <f t="shared" si="345"/>
        <v>251760800</v>
      </c>
      <c r="J5556" s="8">
        <f t="shared" si="346"/>
        <v>49647229.76</v>
      </c>
      <c r="K5556" t="str">
        <f t="shared" si="347"/>
        <v>MATCHED</v>
      </c>
    </row>
    <row r="5557" spans="1:11">
      <c r="A5557" t="s">
        <v>124</v>
      </c>
      <c r="B5557" t="s">
        <v>1739</v>
      </c>
      <c r="C5557" t="s">
        <v>1138</v>
      </c>
      <c r="D5557" t="s">
        <v>1139</v>
      </c>
      <c r="E5557" s="8">
        <v>840</v>
      </c>
      <c r="F5557" s="8">
        <v>37100</v>
      </c>
      <c r="G5557" s="8">
        <f t="shared" si="344"/>
        <v>31164000</v>
      </c>
      <c r="H5557" s="5">
        <v>0.2533</v>
      </c>
      <c r="I5557" s="8">
        <f t="shared" si="345"/>
        <v>31164000</v>
      </c>
      <c r="J5557" s="8">
        <f t="shared" si="346"/>
        <v>7893841.2</v>
      </c>
      <c r="K5557" t="str">
        <f t="shared" si="347"/>
        <v>MATCHED</v>
      </c>
    </row>
    <row r="5558" spans="1:11">
      <c r="A5558" t="s">
        <v>124</v>
      </c>
      <c r="B5558" t="s">
        <v>1739</v>
      </c>
      <c r="C5558" t="s">
        <v>1410</v>
      </c>
      <c r="D5558" t="s">
        <v>1411</v>
      </c>
      <c r="E5558" s="8">
        <v>430</v>
      </c>
      <c r="F5558" s="8">
        <v>41430</v>
      </c>
      <c r="G5558" s="8">
        <f t="shared" si="344"/>
        <v>17814900</v>
      </c>
      <c r="H5558" s="5">
        <v>0.0528</v>
      </c>
      <c r="I5558" s="8">
        <f t="shared" si="345"/>
        <v>17814900</v>
      </c>
      <c r="J5558" s="8">
        <f t="shared" si="346"/>
        <v>940626.72</v>
      </c>
      <c r="K5558" t="str">
        <f t="shared" si="347"/>
        <v>MATCHED</v>
      </c>
    </row>
    <row r="5559" spans="1:11">
      <c r="A5559" t="s">
        <v>124</v>
      </c>
      <c r="B5559" t="s">
        <v>1739</v>
      </c>
      <c r="C5559" t="s">
        <v>1140</v>
      </c>
      <c r="D5559" t="s">
        <v>1141</v>
      </c>
      <c r="E5559" s="8"/>
      <c r="F5559" s="8">
        <v>49040</v>
      </c>
      <c r="G5559" s="8" t="str">
        <f t="shared" si="344"/>
        <v/>
      </c>
      <c r="H5559" s="5">
        <v>0.3938</v>
      </c>
      <c r="I5559" s="8" t="str">
        <f t="shared" si="345"/>
        <v/>
      </c>
      <c r="J5559" s="8" t="str">
        <f t="shared" si="346"/>
        <v/>
      </c>
      <c r="K5559" t="str">
        <f t="shared" si="347"/>
        <v>MISSING OEWS</v>
      </c>
    </row>
    <row r="5560" spans="1:11">
      <c r="A5560" t="s">
        <v>124</v>
      </c>
      <c r="B5560" t="s">
        <v>1739</v>
      </c>
      <c r="C5560" t="s">
        <v>1412</v>
      </c>
      <c r="D5560" t="s">
        <v>1413</v>
      </c>
      <c r="E5560" s="8">
        <v>310</v>
      </c>
      <c r="F5560" s="8">
        <v>53590</v>
      </c>
      <c r="G5560" s="8">
        <f t="shared" si="344"/>
        <v>16612900</v>
      </c>
      <c r="H5560" s="5">
        <v>0.2192</v>
      </c>
      <c r="I5560" s="8">
        <f t="shared" si="345"/>
        <v>16612900</v>
      </c>
      <c r="J5560" s="8">
        <f t="shared" si="346"/>
        <v>3641547.68</v>
      </c>
      <c r="K5560" t="str">
        <f t="shared" si="347"/>
        <v>MATCHED</v>
      </c>
    </row>
    <row r="5561" spans="1:11">
      <c r="A5561" t="s">
        <v>124</v>
      </c>
      <c r="B5561" t="s">
        <v>1739</v>
      </c>
      <c r="C5561" t="s">
        <v>1561</v>
      </c>
      <c r="D5561" t="s">
        <v>1562</v>
      </c>
      <c r="E5561" s="8">
        <v>1690</v>
      </c>
      <c r="F5561" s="8">
        <v>45210</v>
      </c>
      <c r="G5561" s="8">
        <f t="shared" si="344"/>
        <v>76404900</v>
      </c>
      <c r="H5561" s="5">
        <v>0.275</v>
      </c>
      <c r="I5561" s="8">
        <f t="shared" si="345"/>
        <v>76404900</v>
      </c>
      <c r="J5561" s="8">
        <f t="shared" si="346"/>
        <v>21011347.5</v>
      </c>
      <c r="K5561" t="str">
        <f t="shared" si="347"/>
        <v>MATCHED</v>
      </c>
    </row>
    <row r="5562" spans="1:11">
      <c r="A5562" t="s">
        <v>124</v>
      </c>
      <c r="B5562" t="s">
        <v>1739</v>
      </c>
      <c r="C5562" t="s">
        <v>1142</v>
      </c>
      <c r="D5562" t="s">
        <v>1143</v>
      </c>
      <c r="E5562" s="8">
        <v>540</v>
      </c>
      <c r="F5562" s="8">
        <v>41980</v>
      </c>
      <c r="G5562" s="8">
        <f t="shared" si="344"/>
        <v>22669200</v>
      </c>
      <c r="H5562" s="5"/>
      <c r="I5562" s="8" t="str">
        <f t="shared" si="345"/>
        <v/>
      </c>
      <c r="J5562" s="8" t="str">
        <f t="shared" si="346"/>
        <v/>
      </c>
      <c r="K5562" t="str">
        <f t="shared" si="347"/>
        <v>MISSING WHARTON</v>
      </c>
    </row>
    <row r="5563" spans="1:11">
      <c r="A5563" t="s">
        <v>124</v>
      </c>
      <c r="B5563" t="s">
        <v>1739</v>
      </c>
      <c r="C5563" t="s">
        <v>802</v>
      </c>
      <c r="D5563" t="s">
        <v>803</v>
      </c>
      <c r="E5563" s="8">
        <v>390</v>
      </c>
      <c r="F5563" s="8">
        <v>38880</v>
      </c>
      <c r="G5563" s="8">
        <f t="shared" si="344"/>
        <v>15163200</v>
      </c>
      <c r="H5563" s="5">
        <v>0.1261</v>
      </c>
      <c r="I5563" s="8">
        <f t="shared" si="345"/>
        <v>15163200</v>
      </c>
      <c r="J5563" s="8">
        <f t="shared" si="346"/>
        <v>1912079.52</v>
      </c>
      <c r="K5563" t="str">
        <f t="shared" si="347"/>
        <v>MATCHED</v>
      </c>
    </row>
    <row r="5564" spans="1:11">
      <c r="A5564" t="s">
        <v>124</v>
      </c>
      <c r="B5564" t="s">
        <v>1739</v>
      </c>
      <c r="C5564" t="s">
        <v>804</v>
      </c>
      <c r="D5564" t="s">
        <v>805</v>
      </c>
      <c r="E5564" s="8">
        <v>1600</v>
      </c>
      <c r="F5564" s="8">
        <v>61610</v>
      </c>
      <c r="G5564" s="8">
        <f t="shared" si="344"/>
        <v>98576000</v>
      </c>
      <c r="H5564" s="5">
        <v>0.0864</v>
      </c>
      <c r="I5564" s="8">
        <f t="shared" si="345"/>
        <v>98576000</v>
      </c>
      <c r="J5564" s="8">
        <f t="shared" si="346"/>
        <v>8516966.4</v>
      </c>
      <c r="K5564" t="str">
        <f t="shared" si="347"/>
        <v>MATCHED</v>
      </c>
    </row>
    <row r="5565" spans="1:11">
      <c r="A5565" t="s">
        <v>124</v>
      </c>
      <c r="B5565" t="s">
        <v>1739</v>
      </c>
      <c r="C5565" t="s">
        <v>505</v>
      </c>
      <c r="D5565" t="s">
        <v>506</v>
      </c>
      <c r="E5565" s="8">
        <v>150</v>
      </c>
      <c r="F5565" s="8">
        <v>35610</v>
      </c>
      <c r="G5565" s="8">
        <f t="shared" si="344"/>
        <v>5341500</v>
      </c>
      <c r="H5565" s="5">
        <v>0</v>
      </c>
      <c r="I5565" s="8">
        <f t="shared" si="345"/>
        <v>5341500</v>
      </c>
      <c r="J5565" s="8">
        <f t="shared" si="346"/>
        <v>0</v>
      </c>
      <c r="K5565" t="str">
        <f t="shared" si="347"/>
        <v>MATCHED</v>
      </c>
    </row>
    <row r="5566" spans="1:11">
      <c r="A5566" t="s">
        <v>124</v>
      </c>
      <c r="B5566" t="s">
        <v>1739</v>
      </c>
      <c r="C5566" t="s">
        <v>507</v>
      </c>
      <c r="D5566" t="s">
        <v>508</v>
      </c>
      <c r="E5566" s="8">
        <v>73810</v>
      </c>
      <c r="F5566" s="8">
        <v>40360</v>
      </c>
      <c r="G5566" s="8">
        <f t="shared" si="344"/>
        <v>2978971600</v>
      </c>
      <c r="H5566" s="5">
        <v>0</v>
      </c>
      <c r="I5566" s="8">
        <f t="shared" si="345"/>
        <v>2978971600</v>
      </c>
      <c r="J5566" s="8">
        <f t="shared" si="346"/>
        <v>0</v>
      </c>
      <c r="K5566" t="str">
        <f t="shared" si="347"/>
        <v>MATCHED</v>
      </c>
    </row>
    <row r="5567" spans="1:11">
      <c r="A5567" t="s">
        <v>124</v>
      </c>
      <c r="B5567" t="s">
        <v>1739</v>
      </c>
      <c r="C5567" t="s">
        <v>509</v>
      </c>
      <c r="D5567" t="s">
        <v>510</v>
      </c>
      <c r="E5567" s="8">
        <v>20190</v>
      </c>
      <c r="F5567" s="8">
        <v>39630</v>
      </c>
      <c r="G5567" s="8">
        <f t="shared" si="344"/>
        <v>800129700</v>
      </c>
      <c r="H5567" s="5">
        <v>0.0452</v>
      </c>
      <c r="I5567" s="8">
        <f t="shared" si="345"/>
        <v>800129700</v>
      </c>
      <c r="J5567" s="8">
        <f t="shared" si="346"/>
        <v>36165862.44</v>
      </c>
      <c r="K5567" t="str">
        <f t="shared" si="347"/>
        <v>MATCHED</v>
      </c>
    </row>
    <row r="5568" spans="1:11">
      <c r="A5568" t="s">
        <v>124</v>
      </c>
      <c r="B5568" t="s">
        <v>1739</v>
      </c>
      <c r="C5568" t="s">
        <v>511</v>
      </c>
      <c r="D5568" t="s">
        <v>512</v>
      </c>
      <c r="E5568" s="8">
        <v>506250</v>
      </c>
      <c r="F5568" s="8">
        <v>36980</v>
      </c>
      <c r="G5568" s="8">
        <f t="shared" si="344"/>
        <v>18721125000</v>
      </c>
      <c r="H5568" s="5">
        <v>0.049</v>
      </c>
      <c r="I5568" s="8">
        <f t="shared" si="345"/>
        <v>18721125000</v>
      </c>
      <c r="J5568" s="8">
        <f t="shared" si="346"/>
        <v>917335125</v>
      </c>
      <c r="K5568" t="str">
        <f t="shared" si="347"/>
        <v>MATCHED</v>
      </c>
    </row>
    <row r="5569" spans="1:11">
      <c r="A5569" t="s">
        <v>124</v>
      </c>
      <c r="B5569" t="s">
        <v>1739</v>
      </c>
      <c r="C5569" t="s">
        <v>513</v>
      </c>
      <c r="D5569" t="s">
        <v>514</v>
      </c>
      <c r="E5569" s="8">
        <v>3190</v>
      </c>
      <c r="F5569" s="8">
        <v>37010</v>
      </c>
      <c r="G5569" s="8">
        <f t="shared" si="344"/>
        <v>118061900</v>
      </c>
      <c r="H5569" s="5">
        <v>0.0731</v>
      </c>
      <c r="I5569" s="8">
        <f t="shared" si="345"/>
        <v>118061900</v>
      </c>
      <c r="J5569" s="8">
        <f t="shared" si="346"/>
        <v>8630324.89</v>
      </c>
      <c r="K5569" t="str">
        <f t="shared" si="347"/>
        <v>MATCHED</v>
      </c>
    </row>
    <row r="5570" spans="1:11">
      <c r="A5570" t="s">
        <v>124</v>
      </c>
      <c r="B5570" t="s">
        <v>1739</v>
      </c>
      <c r="C5570" t="s">
        <v>515</v>
      </c>
      <c r="D5570" t="s">
        <v>516</v>
      </c>
      <c r="E5570" s="8">
        <v>107370</v>
      </c>
      <c r="F5570" s="8">
        <v>34340</v>
      </c>
      <c r="G5570" s="8">
        <f t="shared" ref="G5570:G5633" si="348">IF(OR(E5570="",F5570=""),"",E5570*F5570)</f>
        <v>3687085800</v>
      </c>
      <c r="H5570" s="5">
        <v>0.0792</v>
      </c>
      <c r="I5570" s="8">
        <f t="shared" ref="I5570:I5633" si="349">IF(G5570="","",IF(ISNUMBER(H5570),G5570,""))</f>
        <v>3687085800</v>
      </c>
      <c r="J5570" s="8">
        <f t="shared" ref="J5570:J5633" si="350">IF(I5570="","",I5570*H5570)</f>
        <v>292017195.36</v>
      </c>
      <c r="K5570" t="str">
        <f t="shared" ref="K5570:K5633" si="351">IF(G5570="","MISSING OEWS",IF(ISNUMBER(H5570),"MATCHED","MISSING WHARTON"))</f>
        <v>MATCHED</v>
      </c>
    </row>
    <row r="5571" spans="1:11">
      <c r="A5571" t="s">
        <v>124</v>
      </c>
      <c r="B5571" t="s">
        <v>1739</v>
      </c>
      <c r="C5571" t="s">
        <v>517</v>
      </c>
      <c r="D5571" t="s">
        <v>518</v>
      </c>
      <c r="E5571" s="8">
        <v>59190</v>
      </c>
      <c r="F5571" s="8">
        <v>37280</v>
      </c>
      <c r="G5571" s="8">
        <f t="shared" si="348"/>
        <v>2206603200</v>
      </c>
      <c r="H5571" s="5">
        <v>0.2233</v>
      </c>
      <c r="I5571" s="8">
        <f t="shared" si="349"/>
        <v>2206603200</v>
      </c>
      <c r="J5571" s="8">
        <f t="shared" si="350"/>
        <v>492734494.56</v>
      </c>
      <c r="K5571" t="str">
        <f t="shared" si="351"/>
        <v>MATCHED</v>
      </c>
    </row>
    <row r="5572" spans="1:11">
      <c r="A5572" t="s">
        <v>124</v>
      </c>
      <c r="B5572" t="s">
        <v>1739</v>
      </c>
      <c r="C5572" t="s">
        <v>810</v>
      </c>
      <c r="D5572" t="s">
        <v>811</v>
      </c>
      <c r="E5572" s="8">
        <v>780</v>
      </c>
      <c r="F5572" s="8">
        <v>52230</v>
      </c>
      <c r="G5572" s="8">
        <f t="shared" si="348"/>
        <v>40739400</v>
      </c>
      <c r="H5572" s="5">
        <v>0.0679</v>
      </c>
      <c r="I5572" s="8">
        <f t="shared" si="349"/>
        <v>40739400</v>
      </c>
      <c r="J5572" s="8">
        <f t="shared" si="350"/>
        <v>2766205.26</v>
      </c>
      <c r="K5572" t="str">
        <f t="shared" si="351"/>
        <v>MATCHED</v>
      </c>
    </row>
    <row r="5573" spans="1:11">
      <c r="A5573" t="s">
        <v>124</v>
      </c>
      <c r="B5573" t="s">
        <v>1739</v>
      </c>
      <c r="C5573" t="s">
        <v>918</v>
      </c>
      <c r="D5573" t="s">
        <v>919</v>
      </c>
      <c r="E5573" s="8">
        <v>98380</v>
      </c>
      <c r="F5573" s="8">
        <v>53600</v>
      </c>
      <c r="G5573" s="8">
        <f t="shared" si="348"/>
        <v>5273168000</v>
      </c>
      <c r="H5573" s="5">
        <v>0.2375</v>
      </c>
      <c r="I5573" s="8">
        <f t="shared" si="349"/>
        <v>5273168000</v>
      </c>
      <c r="J5573" s="8">
        <f t="shared" si="350"/>
        <v>1252377400</v>
      </c>
      <c r="K5573" t="str">
        <f t="shared" si="351"/>
        <v>MATCHED</v>
      </c>
    </row>
    <row r="5574" spans="1:11">
      <c r="A5574" t="s">
        <v>124</v>
      </c>
      <c r="B5574" t="s">
        <v>1739</v>
      </c>
      <c r="C5574" t="s">
        <v>814</v>
      </c>
      <c r="D5574" t="s">
        <v>815</v>
      </c>
      <c r="E5574" s="8">
        <v>410</v>
      </c>
      <c r="F5574" s="8">
        <v>44780</v>
      </c>
      <c r="G5574" s="8">
        <f t="shared" si="348"/>
        <v>18359800</v>
      </c>
      <c r="H5574" s="5">
        <v>0.05</v>
      </c>
      <c r="I5574" s="8">
        <f t="shared" si="349"/>
        <v>18359800</v>
      </c>
      <c r="J5574" s="8">
        <f t="shared" si="350"/>
        <v>917990</v>
      </c>
      <c r="K5574" t="str">
        <f t="shared" si="351"/>
        <v>MATCHED</v>
      </c>
    </row>
    <row r="5575" spans="1:11">
      <c r="A5575" t="s">
        <v>124</v>
      </c>
      <c r="B5575" t="s">
        <v>1739</v>
      </c>
      <c r="C5575" t="s">
        <v>519</v>
      </c>
      <c r="D5575" t="s">
        <v>520</v>
      </c>
      <c r="E5575" s="8">
        <v>1460</v>
      </c>
      <c r="F5575" s="8">
        <v>45090</v>
      </c>
      <c r="G5575" s="8">
        <f t="shared" si="348"/>
        <v>65831400</v>
      </c>
      <c r="H5575" s="5"/>
      <c r="I5575" s="8" t="str">
        <f t="shared" si="349"/>
        <v/>
      </c>
      <c r="J5575" s="8" t="str">
        <f t="shared" si="350"/>
        <v/>
      </c>
      <c r="K5575" t="str">
        <f t="shared" si="351"/>
        <v>MISSING WHARTON</v>
      </c>
    </row>
    <row r="5576" spans="1:11">
      <c r="A5576" t="s">
        <v>126</v>
      </c>
      <c r="B5576" t="s">
        <v>1770</v>
      </c>
      <c r="C5576" t="s">
        <v>235</v>
      </c>
      <c r="D5576" t="s">
        <v>236</v>
      </c>
      <c r="E5576" s="8">
        <v>4930</v>
      </c>
      <c r="F5576" s="8">
        <v>274870</v>
      </c>
      <c r="G5576" s="8">
        <f t="shared" si="348"/>
        <v>1355109100</v>
      </c>
      <c r="H5576" s="5">
        <v>0.4775</v>
      </c>
      <c r="I5576" s="8">
        <f t="shared" si="349"/>
        <v>1355109100</v>
      </c>
      <c r="J5576" s="8">
        <f t="shared" si="350"/>
        <v>647064595.25</v>
      </c>
      <c r="K5576" t="str">
        <f t="shared" si="351"/>
        <v>MATCHED</v>
      </c>
    </row>
    <row r="5577" spans="1:11">
      <c r="A5577" t="s">
        <v>126</v>
      </c>
      <c r="B5577" t="s">
        <v>1770</v>
      </c>
      <c r="C5577" t="s">
        <v>237</v>
      </c>
      <c r="D5577" t="s">
        <v>238</v>
      </c>
      <c r="E5577" s="8">
        <v>50830</v>
      </c>
      <c r="F5577" s="8">
        <v>121630</v>
      </c>
      <c r="G5577" s="8">
        <f t="shared" si="348"/>
        <v>6182452900</v>
      </c>
      <c r="H5577" s="5">
        <v>0.5382</v>
      </c>
      <c r="I5577" s="8">
        <f t="shared" si="349"/>
        <v>6182452900</v>
      </c>
      <c r="J5577" s="8">
        <f t="shared" si="350"/>
        <v>3327396150.78</v>
      </c>
      <c r="K5577" t="str">
        <f t="shared" si="351"/>
        <v>MATCHED</v>
      </c>
    </row>
    <row r="5578" spans="1:11">
      <c r="A5578" t="s">
        <v>126</v>
      </c>
      <c r="B5578" t="s">
        <v>1770</v>
      </c>
      <c r="C5578" t="s">
        <v>920</v>
      </c>
      <c r="D5578" t="s">
        <v>921</v>
      </c>
      <c r="E5578" s="8">
        <v>200</v>
      </c>
      <c r="F5578" s="8">
        <v>106680</v>
      </c>
      <c r="G5578" s="8">
        <f t="shared" si="348"/>
        <v>21336000</v>
      </c>
      <c r="H5578" s="5">
        <v>0.5583</v>
      </c>
      <c r="I5578" s="8">
        <f t="shared" si="349"/>
        <v>21336000</v>
      </c>
      <c r="J5578" s="8">
        <f t="shared" si="350"/>
        <v>11911888.8</v>
      </c>
      <c r="K5578" t="str">
        <f t="shared" si="351"/>
        <v>MATCHED</v>
      </c>
    </row>
    <row r="5579" spans="1:11">
      <c r="A5579" t="s">
        <v>126</v>
      </c>
      <c r="B5579" t="s">
        <v>1770</v>
      </c>
      <c r="C5579" t="s">
        <v>239</v>
      </c>
      <c r="D5579" t="s">
        <v>240</v>
      </c>
      <c r="E5579" s="8">
        <v>6860</v>
      </c>
      <c r="F5579" s="8">
        <v>138970</v>
      </c>
      <c r="G5579" s="8">
        <f t="shared" si="348"/>
        <v>953334200</v>
      </c>
      <c r="H5579" s="5">
        <v>0.445</v>
      </c>
      <c r="I5579" s="8">
        <f t="shared" si="349"/>
        <v>953334200</v>
      </c>
      <c r="J5579" s="8">
        <f t="shared" si="350"/>
        <v>424233719</v>
      </c>
      <c r="K5579" t="str">
        <f t="shared" si="351"/>
        <v>MATCHED</v>
      </c>
    </row>
    <row r="5580" spans="1:11">
      <c r="A5580" t="s">
        <v>126</v>
      </c>
      <c r="B5580" t="s">
        <v>1770</v>
      </c>
      <c r="C5580" t="s">
        <v>241</v>
      </c>
      <c r="D5580" t="s">
        <v>242</v>
      </c>
      <c r="E5580" s="8">
        <v>2480</v>
      </c>
      <c r="F5580" s="8">
        <v>148910</v>
      </c>
      <c r="G5580" s="8">
        <f t="shared" si="348"/>
        <v>369296800</v>
      </c>
      <c r="H5580" s="5">
        <v>0.3735</v>
      </c>
      <c r="I5580" s="8">
        <f t="shared" si="349"/>
        <v>369296800</v>
      </c>
      <c r="J5580" s="8">
        <f t="shared" si="350"/>
        <v>137932354.8</v>
      </c>
      <c r="K5580" t="str">
        <f t="shared" si="351"/>
        <v>MATCHED</v>
      </c>
    </row>
    <row r="5581" spans="1:11">
      <c r="A5581" t="s">
        <v>126</v>
      </c>
      <c r="B5581" t="s">
        <v>1770</v>
      </c>
      <c r="C5581" t="s">
        <v>522</v>
      </c>
      <c r="D5581" t="s">
        <v>523</v>
      </c>
      <c r="E5581" s="8">
        <v>4740</v>
      </c>
      <c r="F5581" s="8">
        <v>128400</v>
      </c>
      <c r="G5581" s="8">
        <f t="shared" si="348"/>
        <v>608616000</v>
      </c>
      <c r="H5581" s="5">
        <v>0.53</v>
      </c>
      <c r="I5581" s="8">
        <f t="shared" si="349"/>
        <v>608616000</v>
      </c>
      <c r="J5581" s="8">
        <f t="shared" si="350"/>
        <v>322566480</v>
      </c>
      <c r="K5581" t="str">
        <f t="shared" si="351"/>
        <v>MATCHED</v>
      </c>
    </row>
    <row r="5582" spans="1:11">
      <c r="A5582" t="s">
        <v>126</v>
      </c>
      <c r="B5582" t="s">
        <v>1770</v>
      </c>
      <c r="C5582" t="s">
        <v>922</v>
      </c>
      <c r="D5582" t="s">
        <v>923</v>
      </c>
      <c r="E5582" s="8">
        <v>8440</v>
      </c>
      <c r="F5582" s="8">
        <v>145120</v>
      </c>
      <c r="G5582" s="8">
        <f t="shared" si="348"/>
        <v>1224812800</v>
      </c>
      <c r="H5582" s="5">
        <v>0.5594</v>
      </c>
      <c r="I5582" s="8">
        <f t="shared" si="349"/>
        <v>1224812800</v>
      </c>
      <c r="J5582" s="8">
        <f t="shared" si="350"/>
        <v>685160280.32</v>
      </c>
      <c r="K5582" t="str">
        <f t="shared" si="351"/>
        <v>MATCHED</v>
      </c>
    </row>
    <row r="5583" spans="1:11">
      <c r="A5583" t="s">
        <v>126</v>
      </c>
      <c r="B5583" t="s">
        <v>1770</v>
      </c>
      <c r="C5583" t="s">
        <v>243</v>
      </c>
      <c r="D5583" t="s">
        <v>244</v>
      </c>
      <c r="E5583" s="8">
        <v>9200</v>
      </c>
      <c r="F5583" s="8">
        <v>118500</v>
      </c>
      <c r="G5583" s="8">
        <f t="shared" si="348"/>
        <v>1090200000</v>
      </c>
      <c r="H5583" s="5">
        <v>0.4444</v>
      </c>
      <c r="I5583" s="8">
        <f t="shared" si="349"/>
        <v>1090200000</v>
      </c>
      <c r="J5583" s="8">
        <f t="shared" si="350"/>
        <v>484484880</v>
      </c>
      <c r="K5583" t="str">
        <f t="shared" si="351"/>
        <v>MATCHED</v>
      </c>
    </row>
    <row r="5584" spans="1:11">
      <c r="A5584" t="s">
        <v>126</v>
      </c>
      <c r="B5584" t="s">
        <v>1770</v>
      </c>
      <c r="C5584" t="s">
        <v>245</v>
      </c>
      <c r="D5584" t="s">
        <v>246</v>
      </c>
      <c r="E5584" s="8">
        <v>7050</v>
      </c>
      <c r="F5584" s="8">
        <v>109560</v>
      </c>
      <c r="G5584" s="8">
        <f t="shared" si="348"/>
        <v>772398000</v>
      </c>
      <c r="H5584" s="5">
        <v>0.2907</v>
      </c>
      <c r="I5584" s="8">
        <f t="shared" si="349"/>
        <v>772398000</v>
      </c>
      <c r="J5584" s="8">
        <f t="shared" si="350"/>
        <v>224536098.6</v>
      </c>
      <c r="K5584" t="str">
        <f t="shared" si="351"/>
        <v>MATCHED</v>
      </c>
    </row>
    <row r="5585" spans="1:11">
      <c r="A5585" t="s">
        <v>126</v>
      </c>
      <c r="B5585" t="s">
        <v>1770</v>
      </c>
      <c r="C5585" t="s">
        <v>247</v>
      </c>
      <c r="D5585" t="s">
        <v>248</v>
      </c>
      <c r="E5585" s="8">
        <v>13080</v>
      </c>
      <c r="F5585" s="8">
        <v>157030</v>
      </c>
      <c r="G5585" s="8">
        <f t="shared" si="348"/>
        <v>2053952400</v>
      </c>
      <c r="H5585" s="5">
        <v>0.5265</v>
      </c>
      <c r="I5585" s="8">
        <f t="shared" si="349"/>
        <v>2053952400</v>
      </c>
      <c r="J5585" s="8">
        <f t="shared" si="350"/>
        <v>1081405938.6</v>
      </c>
      <c r="K5585" t="str">
        <f t="shared" si="351"/>
        <v>MATCHED</v>
      </c>
    </row>
    <row r="5586" spans="1:11">
      <c r="A5586" t="s">
        <v>126</v>
      </c>
      <c r="B5586" t="s">
        <v>1770</v>
      </c>
      <c r="C5586" t="s">
        <v>249</v>
      </c>
      <c r="D5586" t="s">
        <v>250</v>
      </c>
      <c r="E5586" s="8">
        <v>13070</v>
      </c>
      <c r="F5586" s="8">
        <v>172530</v>
      </c>
      <c r="G5586" s="8">
        <f t="shared" si="348"/>
        <v>2254967100</v>
      </c>
      <c r="H5586" s="5">
        <v>0.7221</v>
      </c>
      <c r="I5586" s="8">
        <f t="shared" si="349"/>
        <v>2254967100</v>
      </c>
      <c r="J5586" s="8">
        <f t="shared" si="350"/>
        <v>1628311742.91</v>
      </c>
      <c r="K5586" t="str">
        <f t="shared" si="351"/>
        <v>MATCHED</v>
      </c>
    </row>
    <row r="5587" spans="1:11">
      <c r="A5587" t="s">
        <v>126</v>
      </c>
      <c r="B5587" t="s">
        <v>1770</v>
      </c>
      <c r="C5587" t="s">
        <v>251</v>
      </c>
      <c r="D5587" t="s">
        <v>252</v>
      </c>
      <c r="E5587" s="8">
        <v>80</v>
      </c>
      <c r="F5587" s="8">
        <v>131780</v>
      </c>
      <c r="G5587" s="8">
        <f t="shared" si="348"/>
        <v>10542400</v>
      </c>
      <c r="H5587" s="5">
        <v>0.3636</v>
      </c>
      <c r="I5587" s="8">
        <f t="shared" si="349"/>
        <v>10542400</v>
      </c>
      <c r="J5587" s="8">
        <f t="shared" si="350"/>
        <v>3833216.64</v>
      </c>
      <c r="K5587" t="str">
        <f t="shared" si="351"/>
        <v>MATCHED</v>
      </c>
    </row>
    <row r="5588" spans="1:11">
      <c r="A5588" t="s">
        <v>126</v>
      </c>
      <c r="B5588" t="s">
        <v>1770</v>
      </c>
      <c r="C5588" t="s">
        <v>253</v>
      </c>
      <c r="D5588" t="s">
        <v>254</v>
      </c>
      <c r="E5588" s="8">
        <v>520</v>
      </c>
      <c r="F5588" s="8">
        <v>152410</v>
      </c>
      <c r="G5588" s="8">
        <f t="shared" si="348"/>
        <v>79253200</v>
      </c>
      <c r="H5588" s="5">
        <v>0.6944</v>
      </c>
      <c r="I5588" s="8">
        <f t="shared" si="349"/>
        <v>79253200</v>
      </c>
      <c r="J5588" s="8">
        <f t="shared" si="350"/>
        <v>55033422.08</v>
      </c>
      <c r="K5588" t="str">
        <f t="shared" si="351"/>
        <v>MATCHED</v>
      </c>
    </row>
    <row r="5589" spans="1:11">
      <c r="A5589" t="s">
        <v>126</v>
      </c>
      <c r="B5589" t="s">
        <v>1770</v>
      </c>
      <c r="C5589" t="s">
        <v>255</v>
      </c>
      <c r="D5589" t="s">
        <v>256</v>
      </c>
      <c r="E5589" s="8">
        <v>500</v>
      </c>
      <c r="F5589" s="8">
        <v>103320</v>
      </c>
      <c r="G5589" s="8">
        <f t="shared" si="348"/>
        <v>51660000</v>
      </c>
      <c r="H5589" s="5">
        <v>0.5783</v>
      </c>
      <c r="I5589" s="8">
        <f t="shared" si="349"/>
        <v>51660000</v>
      </c>
      <c r="J5589" s="8">
        <f t="shared" si="350"/>
        <v>29874978</v>
      </c>
      <c r="K5589" t="str">
        <f t="shared" si="351"/>
        <v>MATCHED</v>
      </c>
    </row>
    <row r="5590" spans="1:11">
      <c r="A5590" t="s">
        <v>126</v>
      </c>
      <c r="B5590" t="s">
        <v>1770</v>
      </c>
      <c r="C5590" t="s">
        <v>524</v>
      </c>
      <c r="D5590" t="s">
        <v>525</v>
      </c>
      <c r="E5590" s="8">
        <v>460</v>
      </c>
      <c r="F5590" s="8">
        <v>140450</v>
      </c>
      <c r="G5590" s="8">
        <f t="shared" si="348"/>
        <v>64607000</v>
      </c>
      <c r="H5590" s="5">
        <v>0.5771</v>
      </c>
      <c r="I5590" s="8">
        <f t="shared" si="349"/>
        <v>64607000</v>
      </c>
      <c r="J5590" s="8">
        <f t="shared" si="350"/>
        <v>37284699.7</v>
      </c>
      <c r="K5590" t="str">
        <f t="shared" si="351"/>
        <v>MATCHED</v>
      </c>
    </row>
    <row r="5591" spans="1:11">
      <c r="A5591" t="s">
        <v>126</v>
      </c>
      <c r="B5591" t="s">
        <v>1770</v>
      </c>
      <c r="C5591" t="s">
        <v>257</v>
      </c>
      <c r="D5591" t="s">
        <v>258</v>
      </c>
      <c r="E5591" s="8">
        <v>5330</v>
      </c>
      <c r="F5591" s="8">
        <v>145750</v>
      </c>
      <c r="G5591" s="8">
        <f t="shared" si="348"/>
        <v>776847500</v>
      </c>
      <c r="H5591" s="5">
        <v>0.5962</v>
      </c>
      <c r="I5591" s="8">
        <f t="shared" si="349"/>
        <v>776847500</v>
      </c>
      <c r="J5591" s="8">
        <f t="shared" si="350"/>
        <v>463156479.5</v>
      </c>
      <c r="K5591" t="str">
        <f t="shared" si="351"/>
        <v>MATCHED</v>
      </c>
    </row>
    <row r="5592" spans="1:11">
      <c r="A5592" t="s">
        <v>126</v>
      </c>
      <c r="B5592" t="s">
        <v>1770</v>
      </c>
      <c r="C5592" t="s">
        <v>526</v>
      </c>
      <c r="D5592" t="s">
        <v>527</v>
      </c>
      <c r="E5592" s="8">
        <v>2710</v>
      </c>
      <c r="F5592" s="8">
        <v>124170</v>
      </c>
      <c r="G5592" s="8">
        <f t="shared" si="348"/>
        <v>336500700</v>
      </c>
      <c r="H5592" s="5">
        <v>0.6833</v>
      </c>
      <c r="I5592" s="8">
        <f t="shared" si="349"/>
        <v>336500700</v>
      </c>
      <c r="J5592" s="8">
        <f t="shared" si="350"/>
        <v>229930928.31</v>
      </c>
      <c r="K5592" t="str">
        <f t="shared" si="351"/>
        <v>MATCHED</v>
      </c>
    </row>
    <row r="5593" spans="1:11">
      <c r="A5593" t="s">
        <v>126</v>
      </c>
      <c r="B5593" t="s">
        <v>1770</v>
      </c>
      <c r="C5593" t="s">
        <v>259</v>
      </c>
      <c r="D5593" t="s">
        <v>260</v>
      </c>
      <c r="E5593" s="8">
        <v>100</v>
      </c>
      <c r="F5593" s="8">
        <v>72100</v>
      </c>
      <c r="G5593" s="8">
        <f t="shared" si="348"/>
        <v>7210000</v>
      </c>
      <c r="H5593" s="5">
        <v>0.22</v>
      </c>
      <c r="I5593" s="8">
        <f t="shared" si="349"/>
        <v>7210000</v>
      </c>
      <c r="J5593" s="8">
        <f t="shared" si="350"/>
        <v>1586200</v>
      </c>
      <c r="K5593" t="str">
        <f t="shared" si="351"/>
        <v>MATCHED</v>
      </c>
    </row>
    <row r="5594" spans="1:11">
      <c r="A5594" t="s">
        <v>126</v>
      </c>
      <c r="B5594" t="s">
        <v>1770</v>
      </c>
      <c r="C5594" t="s">
        <v>528</v>
      </c>
      <c r="D5594" t="s">
        <v>529</v>
      </c>
      <c r="E5594" s="8">
        <v>470</v>
      </c>
      <c r="F5594" s="8">
        <v>152580</v>
      </c>
      <c r="G5594" s="8">
        <f t="shared" si="348"/>
        <v>71712600</v>
      </c>
      <c r="H5594" s="5">
        <v>0.374</v>
      </c>
      <c r="I5594" s="8">
        <f t="shared" si="349"/>
        <v>71712600</v>
      </c>
      <c r="J5594" s="8">
        <f t="shared" si="350"/>
        <v>26820512.4</v>
      </c>
      <c r="K5594" t="str">
        <f t="shared" si="351"/>
        <v>MATCHED</v>
      </c>
    </row>
    <row r="5595" spans="1:11">
      <c r="A5595" t="s">
        <v>126</v>
      </c>
      <c r="B5595" t="s">
        <v>1770</v>
      </c>
      <c r="C5595" t="s">
        <v>1705</v>
      </c>
      <c r="D5595" t="s">
        <v>1706</v>
      </c>
      <c r="E5595" s="8">
        <v>3420</v>
      </c>
      <c r="F5595" s="8">
        <v>70760</v>
      </c>
      <c r="G5595" s="8">
        <f t="shared" si="348"/>
        <v>241999200</v>
      </c>
      <c r="H5595" s="5">
        <v>0.4</v>
      </c>
      <c r="I5595" s="8">
        <f t="shared" si="349"/>
        <v>241999200</v>
      </c>
      <c r="J5595" s="8">
        <f t="shared" si="350"/>
        <v>96799680</v>
      </c>
      <c r="K5595" t="str">
        <f t="shared" si="351"/>
        <v>MATCHED</v>
      </c>
    </row>
    <row r="5596" spans="1:11">
      <c r="A5596" t="s">
        <v>126</v>
      </c>
      <c r="B5596" t="s">
        <v>1770</v>
      </c>
      <c r="C5596" t="s">
        <v>1707</v>
      </c>
      <c r="D5596" t="s">
        <v>1708</v>
      </c>
      <c r="E5596" s="8">
        <v>60310</v>
      </c>
      <c r="F5596" s="8">
        <v>105630</v>
      </c>
      <c r="G5596" s="8">
        <f t="shared" si="348"/>
        <v>6370545300</v>
      </c>
      <c r="H5596" s="5">
        <v>0.3</v>
      </c>
      <c r="I5596" s="8">
        <f t="shared" si="349"/>
        <v>6370545300</v>
      </c>
      <c r="J5596" s="8">
        <f t="shared" si="350"/>
        <v>1911163590</v>
      </c>
      <c r="K5596" t="str">
        <f t="shared" si="351"/>
        <v>MATCHED</v>
      </c>
    </row>
    <row r="5597" spans="1:11">
      <c r="A5597" t="s">
        <v>126</v>
      </c>
      <c r="B5597" t="s">
        <v>1770</v>
      </c>
      <c r="C5597" t="s">
        <v>1630</v>
      </c>
      <c r="D5597" t="s">
        <v>1631</v>
      </c>
      <c r="E5597" s="8">
        <v>74050</v>
      </c>
      <c r="F5597" s="8">
        <v>123080</v>
      </c>
      <c r="G5597" s="8">
        <f t="shared" si="348"/>
        <v>9114074000</v>
      </c>
      <c r="H5597" s="5">
        <v>0.4448</v>
      </c>
      <c r="I5597" s="8">
        <f t="shared" si="349"/>
        <v>9114074000</v>
      </c>
      <c r="J5597" s="8">
        <f t="shared" si="350"/>
        <v>4053940115.2</v>
      </c>
      <c r="K5597" t="str">
        <f t="shared" si="351"/>
        <v>MATCHED</v>
      </c>
    </row>
    <row r="5598" spans="1:11">
      <c r="A5598" t="s">
        <v>126</v>
      </c>
      <c r="B5598" t="s">
        <v>1770</v>
      </c>
      <c r="C5598" t="s">
        <v>1563</v>
      </c>
      <c r="D5598" t="s">
        <v>1564</v>
      </c>
      <c r="E5598" s="8">
        <v>25720</v>
      </c>
      <c r="F5598" s="8">
        <v>91130</v>
      </c>
      <c r="G5598" s="8">
        <f t="shared" si="348"/>
        <v>2343863600</v>
      </c>
      <c r="H5598" s="5"/>
      <c r="I5598" s="8" t="str">
        <f t="shared" si="349"/>
        <v/>
      </c>
      <c r="J5598" s="8" t="str">
        <f t="shared" si="350"/>
        <v/>
      </c>
      <c r="K5598" t="str">
        <f t="shared" si="351"/>
        <v>MISSING WHARTON</v>
      </c>
    </row>
    <row r="5599" spans="1:11">
      <c r="A5599" t="s">
        <v>126</v>
      </c>
      <c r="B5599" t="s">
        <v>1770</v>
      </c>
      <c r="C5599" t="s">
        <v>530</v>
      </c>
      <c r="D5599" t="s">
        <v>531</v>
      </c>
      <c r="E5599" s="8">
        <v>360</v>
      </c>
      <c r="F5599" s="8">
        <v>191630</v>
      </c>
      <c r="G5599" s="8">
        <f t="shared" si="348"/>
        <v>68986800</v>
      </c>
      <c r="H5599" s="5">
        <v>0.263</v>
      </c>
      <c r="I5599" s="8">
        <f t="shared" si="349"/>
        <v>68986800</v>
      </c>
      <c r="J5599" s="8">
        <f t="shared" si="350"/>
        <v>18143528.4</v>
      </c>
      <c r="K5599" t="str">
        <f t="shared" si="351"/>
        <v>MATCHED</v>
      </c>
    </row>
    <row r="5600" spans="1:11">
      <c r="A5600" t="s">
        <v>126</v>
      </c>
      <c r="B5600" t="s">
        <v>1770</v>
      </c>
      <c r="C5600" t="s">
        <v>1144</v>
      </c>
      <c r="D5600" t="s">
        <v>1145</v>
      </c>
      <c r="E5600" s="8">
        <v>750</v>
      </c>
      <c r="F5600" s="8">
        <v>90690</v>
      </c>
      <c r="G5600" s="8">
        <f t="shared" si="348"/>
        <v>68017500</v>
      </c>
      <c r="H5600" s="5">
        <v>0.3821</v>
      </c>
      <c r="I5600" s="8">
        <f t="shared" si="349"/>
        <v>68017500</v>
      </c>
      <c r="J5600" s="8">
        <f t="shared" si="350"/>
        <v>25989486.75</v>
      </c>
      <c r="K5600" t="str">
        <f t="shared" si="351"/>
        <v>MATCHED</v>
      </c>
    </row>
    <row r="5601" spans="1:11">
      <c r="A5601" t="s">
        <v>126</v>
      </c>
      <c r="B5601" t="s">
        <v>1770</v>
      </c>
      <c r="C5601" t="s">
        <v>1460</v>
      </c>
      <c r="D5601" t="s">
        <v>1461</v>
      </c>
      <c r="E5601" s="8">
        <v>2270</v>
      </c>
      <c r="F5601" s="8">
        <v>73620</v>
      </c>
      <c r="G5601" s="8">
        <f t="shared" si="348"/>
        <v>167117400</v>
      </c>
      <c r="H5601" s="5">
        <v>0.3176</v>
      </c>
      <c r="I5601" s="8">
        <f t="shared" si="349"/>
        <v>167117400</v>
      </c>
      <c r="J5601" s="8">
        <f t="shared" si="350"/>
        <v>53076486.24</v>
      </c>
      <c r="K5601" t="str">
        <f t="shared" si="351"/>
        <v>MATCHED</v>
      </c>
    </row>
    <row r="5602" spans="1:11">
      <c r="A5602" t="s">
        <v>126</v>
      </c>
      <c r="B5602" t="s">
        <v>1770</v>
      </c>
      <c r="C5602" t="s">
        <v>924</v>
      </c>
      <c r="D5602" t="s">
        <v>925</v>
      </c>
      <c r="E5602" s="8">
        <v>100</v>
      </c>
      <c r="F5602" s="8">
        <v>73230</v>
      </c>
      <c r="G5602" s="8">
        <f t="shared" si="348"/>
        <v>7323000</v>
      </c>
      <c r="H5602" s="5">
        <v>0.4729</v>
      </c>
      <c r="I5602" s="8">
        <f t="shared" si="349"/>
        <v>7323000</v>
      </c>
      <c r="J5602" s="8">
        <f t="shared" si="350"/>
        <v>3463046.7</v>
      </c>
      <c r="K5602" t="str">
        <f t="shared" si="351"/>
        <v>MATCHED</v>
      </c>
    </row>
    <row r="5603" spans="1:11">
      <c r="A5603" t="s">
        <v>126</v>
      </c>
      <c r="B5603" t="s">
        <v>1770</v>
      </c>
      <c r="C5603" t="s">
        <v>1146</v>
      </c>
      <c r="D5603" t="s">
        <v>1147</v>
      </c>
      <c r="E5603" s="8">
        <v>5170</v>
      </c>
      <c r="F5603" s="8">
        <v>145690</v>
      </c>
      <c r="G5603" s="8">
        <f t="shared" si="348"/>
        <v>753217300</v>
      </c>
      <c r="H5603" s="5">
        <v>0.4417</v>
      </c>
      <c r="I5603" s="8">
        <f t="shared" si="349"/>
        <v>753217300</v>
      </c>
      <c r="J5603" s="8">
        <f t="shared" si="350"/>
        <v>332696081.41</v>
      </c>
      <c r="K5603" t="str">
        <f t="shared" si="351"/>
        <v>MATCHED</v>
      </c>
    </row>
    <row r="5604" spans="1:11">
      <c r="A5604" t="s">
        <v>126</v>
      </c>
      <c r="B5604" t="s">
        <v>1770</v>
      </c>
      <c r="C5604" t="s">
        <v>261</v>
      </c>
      <c r="D5604" t="s">
        <v>262</v>
      </c>
      <c r="E5604" s="8">
        <v>2880</v>
      </c>
      <c r="F5604" s="8">
        <v>80300</v>
      </c>
      <c r="G5604" s="8">
        <f t="shared" si="348"/>
        <v>231264000</v>
      </c>
      <c r="H5604" s="5">
        <v>0.382</v>
      </c>
      <c r="I5604" s="8">
        <f t="shared" si="349"/>
        <v>231264000</v>
      </c>
      <c r="J5604" s="8">
        <f t="shared" si="350"/>
        <v>88342848</v>
      </c>
      <c r="K5604" t="str">
        <f t="shared" si="351"/>
        <v>MATCHED</v>
      </c>
    </row>
    <row r="5605" spans="1:11">
      <c r="A5605" t="s">
        <v>126</v>
      </c>
      <c r="B5605" t="s">
        <v>1770</v>
      </c>
      <c r="C5605" t="s">
        <v>532</v>
      </c>
      <c r="D5605" t="s">
        <v>533</v>
      </c>
      <c r="E5605" s="8">
        <v>400</v>
      </c>
      <c r="F5605" s="8">
        <v>106480</v>
      </c>
      <c r="G5605" s="8">
        <f t="shared" si="348"/>
        <v>42592000</v>
      </c>
      <c r="H5605" s="5">
        <v>0.3833</v>
      </c>
      <c r="I5605" s="8">
        <f t="shared" si="349"/>
        <v>42592000</v>
      </c>
      <c r="J5605" s="8">
        <f t="shared" si="350"/>
        <v>16325513.6</v>
      </c>
      <c r="K5605" t="str">
        <f t="shared" si="351"/>
        <v>MATCHED</v>
      </c>
    </row>
    <row r="5606" spans="1:11">
      <c r="A5606" t="s">
        <v>126</v>
      </c>
      <c r="B5606" t="s">
        <v>1770</v>
      </c>
      <c r="C5606" t="s">
        <v>926</v>
      </c>
      <c r="D5606" t="s">
        <v>927</v>
      </c>
      <c r="E5606" s="8">
        <v>3560</v>
      </c>
      <c r="F5606" s="8">
        <v>99030</v>
      </c>
      <c r="G5606" s="8">
        <f t="shared" si="348"/>
        <v>352546800</v>
      </c>
      <c r="H5606" s="5">
        <v>0.3656</v>
      </c>
      <c r="I5606" s="8">
        <f t="shared" si="349"/>
        <v>352546800</v>
      </c>
      <c r="J5606" s="8">
        <f t="shared" si="350"/>
        <v>128891110.08</v>
      </c>
      <c r="K5606" t="str">
        <f t="shared" si="351"/>
        <v>MATCHED</v>
      </c>
    </row>
    <row r="5607" spans="1:11">
      <c r="A5607" t="s">
        <v>126</v>
      </c>
      <c r="B5607" t="s">
        <v>1770</v>
      </c>
      <c r="C5607" t="s">
        <v>816</v>
      </c>
      <c r="D5607" t="s">
        <v>817</v>
      </c>
      <c r="E5607" s="8">
        <v>170</v>
      </c>
      <c r="F5607" s="8">
        <v>118530</v>
      </c>
      <c r="G5607" s="8">
        <f t="shared" si="348"/>
        <v>20150100</v>
      </c>
      <c r="H5607" s="5">
        <v>0.4174</v>
      </c>
      <c r="I5607" s="8">
        <f t="shared" si="349"/>
        <v>20150100</v>
      </c>
      <c r="J5607" s="8">
        <f t="shared" si="350"/>
        <v>8410651.74</v>
      </c>
      <c r="K5607" t="str">
        <f t="shared" si="351"/>
        <v>MATCHED</v>
      </c>
    </row>
    <row r="5608" spans="1:11">
      <c r="A5608" t="s">
        <v>126</v>
      </c>
      <c r="B5608" t="s">
        <v>1770</v>
      </c>
      <c r="C5608" t="s">
        <v>1148</v>
      </c>
      <c r="D5608" t="s">
        <v>1149</v>
      </c>
      <c r="E5608" s="8">
        <v>420</v>
      </c>
      <c r="F5608" s="8">
        <v>61800</v>
      </c>
      <c r="G5608" s="8">
        <f t="shared" si="348"/>
        <v>25956000</v>
      </c>
      <c r="H5608" s="5">
        <v>0.4143</v>
      </c>
      <c r="I5608" s="8">
        <f t="shared" si="349"/>
        <v>25956000</v>
      </c>
      <c r="J5608" s="8">
        <f t="shared" si="350"/>
        <v>10753570.8</v>
      </c>
      <c r="K5608" t="str">
        <f t="shared" si="351"/>
        <v>MATCHED</v>
      </c>
    </row>
    <row r="5609" spans="1:11">
      <c r="A5609" t="s">
        <v>126</v>
      </c>
      <c r="B5609" t="s">
        <v>1770</v>
      </c>
      <c r="C5609" t="s">
        <v>263</v>
      </c>
      <c r="D5609" t="s">
        <v>264</v>
      </c>
      <c r="E5609" s="8">
        <v>12910</v>
      </c>
      <c r="F5609" s="8">
        <v>120910</v>
      </c>
      <c r="G5609" s="8">
        <f t="shared" si="348"/>
        <v>1560948100</v>
      </c>
      <c r="H5609" s="5">
        <v>0.4896</v>
      </c>
      <c r="I5609" s="8">
        <f t="shared" si="349"/>
        <v>1560948100</v>
      </c>
      <c r="J5609" s="8">
        <f t="shared" si="350"/>
        <v>764240189.76</v>
      </c>
      <c r="K5609" t="str">
        <f t="shared" si="351"/>
        <v>MATCHED</v>
      </c>
    </row>
    <row r="5610" spans="1:11">
      <c r="A5610" t="s">
        <v>126</v>
      </c>
      <c r="B5610" t="s">
        <v>1770</v>
      </c>
      <c r="C5610" t="s">
        <v>265</v>
      </c>
      <c r="D5610" t="s">
        <v>266</v>
      </c>
      <c r="E5610" s="8">
        <v>3310</v>
      </c>
      <c r="F5610" s="8">
        <v>78580</v>
      </c>
      <c r="G5610" s="8">
        <f t="shared" si="348"/>
        <v>260099800</v>
      </c>
      <c r="H5610" s="5">
        <v>0.5876</v>
      </c>
      <c r="I5610" s="8">
        <f t="shared" si="349"/>
        <v>260099800</v>
      </c>
      <c r="J5610" s="8">
        <f t="shared" si="350"/>
        <v>152834642.48</v>
      </c>
      <c r="K5610" t="str">
        <f t="shared" si="351"/>
        <v>MATCHED</v>
      </c>
    </row>
    <row r="5611" spans="1:11">
      <c r="A5611" t="s">
        <v>126</v>
      </c>
      <c r="B5611" t="s">
        <v>1770</v>
      </c>
      <c r="C5611" t="s">
        <v>818</v>
      </c>
      <c r="D5611" t="s">
        <v>819</v>
      </c>
      <c r="E5611" s="8">
        <v>60</v>
      </c>
      <c r="F5611" s="8">
        <v>78690</v>
      </c>
      <c r="G5611" s="8">
        <f t="shared" si="348"/>
        <v>4721400</v>
      </c>
      <c r="H5611" s="5">
        <v>0.6983</v>
      </c>
      <c r="I5611" s="8">
        <f t="shared" si="349"/>
        <v>4721400</v>
      </c>
      <c r="J5611" s="8">
        <f t="shared" si="350"/>
        <v>3296953.62</v>
      </c>
      <c r="K5611" t="str">
        <f t="shared" si="351"/>
        <v>MATCHED</v>
      </c>
    </row>
    <row r="5612" spans="1:11">
      <c r="A5612" t="s">
        <v>126</v>
      </c>
      <c r="B5612" t="s">
        <v>1770</v>
      </c>
      <c r="C5612" t="s">
        <v>267</v>
      </c>
      <c r="D5612" t="s">
        <v>268</v>
      </c>
      <c r="E5612" s="8">
        <v>6260</v>
      </c>
      <c r="F5612" s="8">
        <v>78580</v>
      </c>
      <c r="G5612" s="8">
        <f t="shared" si="348"/>
        <v>491910800</v>
      </c>
      <c r="H5612" s="5">
        <v>0.4611</v>
      </c>
      <c r="I5612" s="8">
        <f t="shared" si="349"/>
        <v>491910800</v>
      </c>
      <c r="J5612" s="8">
        <f t="shared" si="350"/>
        <v>226820069.88</v>
      </c>
      <c r="K5612" t="str">
        <f t="shared" si="351"/>
        <v>MATCHED</v>
      </c>
    </row>
    <row r="5613" spans="1:11">
      <c r="A5613" t="s">
        <v>126</v>
      </c>
      <c r="B5613" t="s">
        <v>1770</v>
      </c>
      <c r="C5613" t="s">
        <v>534</v>
      </c>
      <c r="D5613" t="s">
        <v>535</v>
      </c>
      <c r="E5613" s="8">
        <v>40</v>
      </c>
      <c r="F5613" s="8">
        <v>102550</v>
      </c>
      <c r="G5613" s="8">
        <f t="shared" si="348"/>
        <v>4102000</v>
      </c>
      <c r="H5613" s="5">
        <v>0.6393</v>
      </c>
      <c r="I5613" s="8">
        <f t="shared" si="349"/>
        <v>4102000</v>
      </c>
      <c r="J5613" s="8">
        <f t="shared" si="350"/>
        <v>2622408.6</v>
      </c>
      <c r="K5613" t="str">
        <f t="shared" si="351"/>
        <v>MATCHED</v>
      </c>
    </row>
    <row r="5614" spans="1:11">
      <c r="A5614" t="s">
        <v>126</v>
      </c>
      <c r="B5614" t="s">
        <v>1770</v>
      </c>
      <c r="C5614" t="s">
        <v>269</v>
      </c>
      <c r="D5614" t="s">
        <v>270</v>
      </c>
      <c r="E5614" s="8">
        <v>17310</v>
      </c>
      <c r="F5614" s="8">
        <v>79020</v>
      </c>
      <c r="G5614" s="8">
        <f t="shared" si="348"/>
        <v>1367836200</v>
      </c>
      <c r="H5614" s="5">
        <v>0.7808</v>
      </c>
      <c r="I5614" s="8">
        <f t="shared" si="349"/>
        <v>1367836200</v>
      </c>
      <c r="J5614" s="8">
        <f t="shared" si="350"/>
        <v>1068006504.96</v>
      </c>
      <c r="K5614" t="str">
        <f t="shared" si="351"/>
        <v>MATCHED</v>
      </c>
    </row>
    <row r="5615" spans="1:11">
      <c r="A5615" t="s">
        <v>126</v>
      </c>
      <c r="B5615" t="s">
        <v>1770</v>
      </c>
      <c r="C5615" t="s">
        <v>820</v>
      </c>
      <c r="D5615" t="s">
        <v>821</v>
      </c>
      <c r="E5615" s="8">
        <v>350</v>
      </c>
      <c r="F5615" s="8">
        <v>92990</v>
      </c>
      <c r="G5615" s="8">
        <f t="shared" si="348"/>
        <v>32546500</v>
      </c>
      <c r="H5615" s="5">
        <v>0.5536</v>
      </c>
      <c r="I5615" s="8">
        <f t="shared" si="349"/>
        <v>32546500</v>
      </c>
      <c r="J5615" s="8">
        <f t="shared" si="350"/>
        <v>18017742.4</v>
      </c>
      <c r="K5615" t="str">
        <f t="shared" si="351"/>
        <v>MATCHED</v>
      </c>
    </row>
    <row r="5616" spans="1:11">
      <c r="A5616" t="s">
        <v>126</v>
      </c>
      <c r="B5616" t="s">
        <v>1770</v>
      </c>
      <c r="C5616" t="s">
        <v>273</v>
      </c>
      <c r="D5616" t="s">
        <v>274</v>
      </c>
      <c r="E5616" s="8">
        <v>620</v>
      </c>
      <c r="F5616" s="8">
        <v>91230</v>
      </c>
      <c r="G5616" s="8">
        <f t="shared" si="348"/>
        <v>56562600</v>
      </c>
      <c r="H5616" s="5">
        <v>0.6943</v>
      </c>
      <c r="I5616" s="8">
        <f t="shared" si="349"/>
        <v>56562600</v>
      </c>
      <c r="J5616" s="8">
        <f t="shared" si="350"/>
        <v>39271413.18</v>
      </c>
      <c r="K5616" t="str">
        <f t="shared" si="351"/>
        <v>MATCHED</v>
      </c>
    </row>
    <row r="5617" spans="1:11">
      <c r="A5617" t="s">
        <v>126</v>
      </c>
      <c r="B5617" t="s">
        <v>1770</v>
      </c>
      <c r="C5617" t="s">
        <v>275</v>
      </c>
      <c r="D5617" t="s">
        <v>276</v>
      </c>
      <c r="E5617" s="8">
        <v>14000</v>
      </c>
      <c r="F5617" s="8">
        <v>94450</v>
      </c>
      <c r="G5617" s="8">
        <f t="shared" si="348"/>
        <v>1322300000</v>
      </c>
      <c r="H5617" s="5">
        <v>0.6375</v>
      </c>
      <c r="I5617" s="8">
        <f t="shared" si="349"/>
        <v>1322300000</v>
      </c>
      <c r="J5617" s="8">
        <f t="shared" si="350"/>
        <v>842966250</v>
      </c>
      <c r="K5617" t="str">
        <f t="shared" si="351"/>
        <v>MATCHED</v>
      </c>
    </row>
    <row r="5618" spans="1:11">
      <c r="A5618" t="s">
        <v>126</v>
      </c>
      <c r="B5618" t="s">
        <v>1770</v>
      </c>
      <c r="C5618" t="s">
        <v>277</v>
      </c>
      <c r="D5618" t="s">
        <v>278</v>
      </c>
      <c r="E5618" s="8">
        <v>8330</v>
      </c>
      <c r="F5618" s="8">
        <v>96050</v>
      </c>
      <c r="G5618" s="8">
        <f t="shared" si="348"/>
        <v>800096500</v>
      </c>
      <c r="H5618" s="5">
        <v>0.5773</v>
      </c>
      <c r="I5618" s="8">
        <f t="shared" si="349"/>
        <v>800096500</v>
      </c>
      <c r="J5618" s="8">
        <f t="shared" si="350"/>
        <v>461895709.45</v>
      </c>
      <c r="K5618" t="str">
        <f t="shared" si="351"/>
        <v>MATCHED</v>
      </c>
    </row>
    <row r="5619" spans="1:11">
      <c r="A5619" t="s">
        <v>126</v>
      </c>
      <c r="B5619" t="s">
        <v>1770</v>
      </c>
      <c r="C5619" t="s">
        <v>279</v>
      </c>
      <c r="D5619" t="s">
        <v>280</v>
      </c>
      <c r="E5619" s="8">
        <v>7840</v>
      </c>
      <c r="F5619" s="8">
        <v>65210</v>
      </c>
      <c r="G5619" s="8">
        <f t="shared" si="348"/>
        <v>511246400</v>
      </c>
      <c r="H5619" s="5">
        <v>0.4476</v>
      </c>
      <c r="I5619" s="8">
        <f t="shared" si="349"/>
        <v>511246400</v>
      </c>
      <c r="J5619" s="8">
        <f t="shared" si="350"/>
        <v>228833888.64</v>
      </c>
      <c r="K5619" t="str">
        <f t="shared" si="351"/>
        <v>MATCHED</v>
      </c>
    </row>
    <row r="5620" spans="1:11">
      <c r="A5620" t="s">
        <v>126</v>
      </c>
      <c r="B5620" t="s">
        <v>1770</v>
      </c>
      <c r="C5620" t="s">
        <v>928</v>
      </c>
      <c r="D5620" t="s">
        <v>929</v>
      </c>
      <c r="E5620" s="8">
        <v>19690</v>
      </c>
      <c r="F5620" s="8">
        <v>79340</v>
      </c>
      <c r="G5620" s="8">
        <f t="shared" si="348"/>
        <v>1562204600</v>
      </c>
      <c r="H5620" s="5">
        <v>0.5571</v>
      </c>
      <c r="I5620" s="8">
        <f t="shared" si="349"/>
        <v>1562204600</v>
      </c>
      <c r="J5620" s="8">
        <f t="shared" si="350"/>
        <v>870304182.66</v>
      </c>
      <c r="K5620" t="str">
        <f t="shared" si="351"/>
        <v>MATCHED</v>
      </c>
    </row>
    <row r="5621" spans="1:11">
      <c r="A5621" t="s">
        <v>126</v>
      </c>
      <c r="B5621" t="s">
        <v>1770</v>
      </c>
      <c r="C5621" t="s">
        <v>281</v>
      </c>
      <c r="D5621" t="s">
        <v>282</v>
      </c>
      <c r="E5621" s="8">
        <v>1880</v>
      </c>
      <c r="F5621" s="8">
        <v>77950</v>
      </c>
      <c r="G5621" s="8">
        <f t="shared" si="348"/>
        <v>146546000</v>
      </c>
      <c r="H5621" s="5">
        <v>0.6167</v>
      </c>
      <c r="I5621" s="8">
        <f t="shared" si="349"/>
        <v>146546000</v>
      </c>
      <c r="J5621" s="8">
        <f t="shared" si="350"/>
        <v>90374918.2</v>
      </c>
      <c r="K5621" t="str">
        <f t="shared" si="351"/>
        <v>MATCHED</v>
      </c>
    </row>
    <row r="5622" spans="1:11">
      <c r="A5622" t="s">
        <v>126</v>
      </c>
      <c r="B5622" t="s">
        <v>1770</v>
      </c>
      <c r="C5622" t="s">
        <v>283</v>
      </c>
      <c r="D5622" t="s">
        <v>284</v>
      </c>
      <c r="E5622" s="8">
        <v>32280</v>
      </c>
      <c r="F5622" s="8">
        <v>79580</v>
      </c>
      <c r="G5622" s="8">
        <f t="shared" si="348"/>
        <v>2568842400</v>
      </c>
      <c r="H5622" s="5">
        <v>0.565</v>
      </c>
      <c r="I5622" s="8">
        <f t="shared" si="349"/>
        <v>2568842400</v>
      </c>
      <c r="J5622" s="8">
        <f t="shared" si="350"/>
        <v>1451395956</v>
      </c>
      <c r="K5622" t="str">
        <f t="shared" si="351"/>
        <v>MATCHED</v>
      </c>
    </row>
    <row r="5623" spans="1:11">
      <c r="A5623" t="s">
        <v>126</v>
      </c>
      <c r="B5623" t="s">
        <v>1770</v>
      </c>
      <c r="C5623" t="s">
        <v>285</v>
      </c>
      <c r="D5623" t="s">
        <v>286</v>
      </c>
      <c r="E5623" s="8">
        <v>19390</v>
      </c>
      <c r="F5623" s="8">
        <v>75520</v>
      </c>
      <c r="G5623" s="8">
        <f t="shared" si="348"/>
        <v>1464332800</v>
      </c>
      <c r="H5623" s="5">
        <v>0.7792</v>
      </c>
      <c r="I5623" s="8">
        <f t="shared" si="349"/>
        <v>1464332800</v>
      </c>
      <c r="J5623" s="8">
        <f t="shared" si="350"/>
        <v>1141008117.76</v>
      </c>
      <c r="K5623" t="str">
        <f t="shared" si="351"/>
        <v>MATCHED</v>
      </c>
    </row>
    <row r="5624" spans="1:11">
      <c r="A5624" t="s">
        <v>126</v>
      </c>
      <c r="B5624" t="s">
        <v>1770</v>
      </c>
      <c r="C5624" t="s">
        <v>287</v>
      </c>
      <c r="D5624" t="s">
        <v>288</v>
      </c>
      <c r="E5624" s="8">
        <v>25070</v>
      </c>
      <c r="F5624" s="8">
        <v>76310</v>
      </c>
      <c r="G5624" s="8">
        <f t="shared" si="348"/>
        <v>1913091700</v>
      </c>
      <c r="H5624" s="5">
        <v>0.6599</v>
      </c>
      <c r="I5624" s="8">
        <f t="shared" si="349"/>
        <v>1913091700</v>
      </c>
      <c r="J5624" s="8">
        <f t="shared" si="350"/>
        <v>1262449212.83</v>
      </c>
      <c r="K5624" t="str">
        <f t="shared" si="351"/>
        <v>MATCHED</v>
      </c>
    </row>
    <row r="5625" spans="1:11">
      <c r="A5625" t="s">
        <v>126</v>
      </c>
      <c r="B5625" t="s">
        <v>1770</v>
      </c>
      <c r="C5625" t="s">
        <v>289</v>
      </c>
      <c r="D5625" t="s">
        <v>290</v>
      </c>
      <c r="E5625" s="8">
        <v>21930</v>
      </c>
      <c r="F5625" s="8">
        <v>88120</v>
      </c>
      <c r="G5625" s="8">
        <f t="shared" si="348"/>
        <v>1932471600</v>
      </c>
      <c r="H5625" s="5">
        <v>0.795</v>
      </c>
      <c r="I5625" s="8">
        <f t="shared" si="349"/>
        <v>1932471600</v>
      </c>
      <c r="J5625" s="8">
        <f t="shared" si="350"/>
        <v>1536314922</v>
      </c>
      <c r="K5625" t="str">
        <f t="shared" si="351"/>
        <v>MATCHED</v>
      </c>
    </row>
    <row r="5626" spans="1:11">
      <c r="A5626" t="s">
        <v>126</v>
      </c>
      <c r="B5626" t="s">
        <v>1770</v>
      </c>
      <c r="C5626" t="s">
        <v>824</v>
      </c>
      <c r="D5626" t="s">
        <v>825</v>
      </c>
      <c r="E5626" s="8">
        <v>1600</v>
      </c>
      <c r="F5626" s="8">
        <v>86860</v>
      </c>
      <c r="G5626" s="8">
        <f t="shared" si="348"/>
        <v>138976000</v>
      </c>
      <c r="H5626" s="5">
        <v>0.8</v>
      </c>
      <c r="I5626" s="8">
        <f t="shared" si="349"/>
        <v>138976000</v>
      </c>
      <c r="J5626" s="8">
        <f t="shared" si="350"/>
        <v>111180800</v>
      </c>
      <c r="K5626" t="str">
        <f t="shared" si="351"/>
        <v>MATCHED</v>
      </c>
    </row>
    <row r="5627" spans="1:11">
      <c r="A5627" t="s">
        <v>126</v>
      </c>
      <c r="B5627" t="s">
        <v>1770</v>
      </c>
      <c r="C5627" t="s">
        <v>536</v>
      </c>
      <c r="D5627" t="s">
        <v>537</v>
      </c>
      <c r="E5627" s="8">
        <v>3590</v>
      </c>
      <c r="F5627" s="8">
        <v>100510</v>
      </c>
      <c r="G5627" s="8">
        <f t="shared" si="348"/>
        <v>360830900</v>
      </c>
      <c r="H5627" s="5">
        <v>0.6904</v>
      </c>
      <c r="I5627" s="8">
        <f t="shared" si="349"/>
        <v>360830900</v>
      </c>
      <c r="J5627" s="8">
        <f t="shared" si="350"/>
        <v>249117653.36</v>
      </c>
      <c r="K5627" t="str">
        <f t="shared" si="351"/>
        <v>MATCHED</v>
      </c>
    </row>
    <row r="5628" spans="1:11">
      <c r="A5628" t="s">
        <v>126</v>
      </c>
      <c r="B5628" t="s">
        <v>1770</v>
      </c>
      <c r="C5628" t="s">
        <v>930</v>
      </c>
      <c r="D5628" t="s">
        <v>931</v>
      </c>
      <c r="E5628" s="8">
        <v>190</v>
      </c>
      <c r="F5628" s="8">
        <v>58350</v>
      </c>
      <c r="G5628" s="8">
        <f t="shared" si="348"/>
        <v>11086500</v>
      </c>
      <c r="H5628" s="5">
        <v>0.6857</v>
      </c>
      <c r="I5628" s="8">
        <f t="shared" si="349"/>
        <v>11086500</v>
      </c>
      <c r="J5628" s="8">
        <f t="shared" si="350"/>
        <v>7602013.05</v>
      </c>
      <c r="K5628" t="str">
        <f t="shared" si="351"/>
        <v>MATCHED</v>
      </c>
    </row>
    <row r="5629" spans="1:11">
      <c r="A5629" t="s">
        <v>126</v>
      </c>
      <c r="B5629" t="s">
        <v>1770</v>
      </c>
      <c r="C5629" t="s">
        <v>828</v>
      </c>
      <c r="D5629" t="s">
        <v>829</v>
      </c>
      <c r="E5629" s="8">
        <v>170</v>
      </c>
      <c r="F5629" s="8">
        <v>99560</v>
      </c>
      <c r="G5629" s="8">
        <f t="shared" si="348"/>
        <v>16925200</v>
      </c>
      <c r="H5629" s="5">
        <v>0.7767</v>
      </c>
      <c r="I5629" s="8">
        <f t="shared" si="349"/>
        <v>16925200</v>
      </c>
      <c r="J5629" s="8">
        <f t="shared" si="350"/>
        <v>13145802.84</v>
      </c>
      <c r="K5629" t="str">
        <f t="shared" si="351"/>
        <v>MATCHED</v>
      </c>
    </row>
    <row r="5630" spans="1:11">
      <c r="A5630" t="s">
        <v>126</v>
      </c>
      <c r="B5630" t="s">
        <v>1770</v>
      </c>
      <c r="C5630" t="s">
        <v>932</v>
      </c>
      <c r="D5630" t="s">
        <v>933</v>
      </c>
      <c r="E5630" s="8">
        <v>7480</v>
      </c>
      <c r="F5630" s="8">
        <v>57930</v>
      </c>
      <c r="G5630" s="8">
        <f t="shared" si="348"/>
        <v>433316400</v>
      </c>
      <c r="H5630" s="5">
        <v>0.7587</v>
      </c>
      <c r="I5630" s="8">
        <f t="shared" si="349"/>
        <v>433316400</v>
      </c>
      <c r="J5630" s="8">
        <f t="shared" si="350"/>
        <v>328757152.68</v>
      </c>
      <c r="K5630" t="str">
        <f t="shared" si="351"/>
        <v>MATCHED</v>
      </c>
    </row>
    <row r="5631" spans="1:11">
      <c r="A5631" t="s">
        <v>126</v>
      </c>
      <c r="B5631" t="s">
        <v>1770</v>
      </c>
      <c r="C5631" t="s">
        <v>934</v>
      </c>
      <c r="D5631" t="s">
        <v>935</v>
      </c>
      <c r="E5631" s="8">
        <v>1100</v>
      </c>
      <c r="F5631" s="8">
        <v>57790</v>
      </c>
      <c r="G5631" s="8">
        <f t="shared" si="348"/>
        <v>63569000</v>
      </c>
      <c r="H5631" s="5">
        <v>0.805</v>
      </c>
      <c r="I5631" s="8">
        <f t="shared" si="349"/>
        <v>63569000</v>
      </c>
      <c r="J5631" s="8">
        <f t="shared" si="350"/>
        <v>51173045</v>
      </c>
      <c r="K5631" t="str">
        <f t="shared" si="351"/>
        <v>MATCHED</v>
      </c>
    </row>
    <row r="5632" spans="1:11">
      <c r="A5632" t="s">
        <v>126</v>
      </c>
      <c r="B5632" t="s">
        <v>1770</v>
      </c>
      <c r="C5632" t="s">
        <v>538</v>
      </c>
      <c r="D5632" t="s">
        <v>539</v>
      </c>
      <c r="E5632" s="8">
        <v>2320</v>
      </c>
      <c r="F5632" s="8">
        <v>73100</v>
      </c>
      <c r="G5632" s="8">
        <f t="shared" si="348"/>
        <v>169592000</v>
      </c>
      <c r="H5632" s="5">
        <v>0.6192</v>
      </c>
      <c r="I5632" s="8">
        <f t="shared" si="349"/>
        <v>169592000</v>
      </c>
      <c r="J5632" s="8">
        <f t="shared" si="350"/>
        <v>105011366.4</v>
      </c>
      <c r="K5632" t="str">
        <f t="shared" si="351"/>
        <v>MATCHED</v>
      </c>
    </row>
    <row r="5633" spans="1:11">
      <c r="A5633" t="s">
        <v>126</v>
      </c>
      <c r="B5633" t="s">
        <v>1770</v>
      </c>
      <c r="C5633" t="s">
        <v>291</v>
      </c>
      <c r="D5633" t="s">
        <v>292</v>
      </c>
      <c r="E5633" s="8">
        <v>5310</v>
      </c>
      <c r="F5633" s="8">
        <v>99650</v>
      </c>
      <c r="G5633" s="8">
        <f t="shared" si="348"/>
        <v>529141500</v>
      </c>
      <c r="H5633" s="5">
        <v>0.6388</v>
      </c>
      <c r="I5633" s="8">
        <f t="shared" si="349"/>
        <v>529141500</v>
      </c>
      <c r="J5633" s="8">
        <f t="shared" si="350"/>
        <v>338015590.2</v>
      </c>
      <c r="K5633" t="str">
        <f t="shared" si="351"/>
        <v>MATCHED</v>
      </c>
    </row>
    <row r="5634" spans="1:11">
      <c r="A5634" t="s">
        <v>126</v>
      </c>
      <c r="B5634" t="s">
        <v>1770</v>
      </c>
      <c r="C5634" t="s">
        <v>540</v>
      </c>
      <c r="D5634" t="s">
        <v>541</v>
      </c>
      <c r="E5634" s="8">
        <v>1890</v>
      </c>
      <c r="F5634" s="8">
        <v>113100</v>
      </c>
      <c r="G5634" s="8">
        <f t="shared" ref="G5634:G5697" si="352">IF(OR(E5634="",F5634=""),"",E5634*F5634)</f>
        <v>213759000</v>
      </c>
      <c r="H5634" s="5">
        <v>0.6292</v>
      </c>
      <c r="I5634" s="8">
        <f t="shared" ref="I5634:I5697" si="353">IF(G5634="","",IF(ISNUMBER(H5634),G5634,""))</f>
        <v>213759000</v>
      </c>
      <c r="J5634" s="8">
        <f t="shared" ref="J5634:J5697" si="354">IF(I5634="","",I5634*H5634)</f>
        <v>134497162.8</v>
      </c>
      <c r="K5634" t="str">
        <f t="shared" ref="K5634:K5697" si="355">IF(G5634="","MISSING OEWS",IF(ISNUMBER(H5634),"MATCHED","MISSING WHARTON"))</f>
        <v>MATCHED</v>
      </c>
    </row>
    <row r="5635" spans="1:11">
      <c r="A5635" t="s">
        <v>126</v>
      </c>
      <c r="B5635" t="s">
        <v>1770</v>
      </c>
      <c r="C5635" t="s">
        <v>1152</v>
      </c>
      <c r="D5635" t="s">
        <v>1153</v>
      </c>
      <c r="E5635" s="8">
        <v>600</v>
      </c>
      <c r="F5635" s="8">
        <v>133270</v>
      </c>
      <c r="G5635" s="8">
        <f t="shared" si="352"/>
        <v>79962000</v>
      </c>
      <c r="H5635" s="5">
        <v>0.39</v>
      </c>
      <c r="I5635" s="8">
        <f t="shared" si="353"/>
        <v>79962000</v>
      </c>
      <c r="J5635" s="8">
        <f t="shared" si="354"/>
        <v>31185180</v>
      </c>
      <c r="K5635" t="str">
        <f t="shared" si="355"/>
        <v>MATCHED</v>
      </c>
    </row>
    <row r="5636" spans="1:11">
      <c r="A5636" t="s">
        <v>126</v>
      </c>
      <c r="B5636" t="s">
        <v>1770</v>
      </c>
      <c r="C5636" t="s">
        <v>542</v>
      </c>
      <c r="D5636" t="s">
        <v>543</v>
      </c>
      <c r="E5636" s="8">
        <v>2640</v>
      </c>
      <c r="F5636" s="8">
        <v>66770</v>
      </c>
      <c r="G5636" s="8">
        <f t="shared" si="352"/>
        <v>176272800</v>
      </c>
      <c r="H5636" s="5">
        <v>0.7096</v>
      </c>
      <c r="I5636" s="8">
        <f t="shared" si="353"/>
        <v>176272800</v>
      </c>
      <c r="J5636" s="8">
        <f t="shared" si="354"/>
        <v>125083178.88</v>
      </c>
      <c r="K5636" t="str">
        <f t="shared" si="355"/>
        <v>MATCHED</v>
      </c>
    </row>
    <row r="5637" spans="1:11">
      <c r="A5637" t="s">
        <v>126</v>
      </c>
      <c r="B5637" t="s">
        <v>1770</v>
      </c>
      <c r="C5637" t="s">
        <v>293</v>
      </c>
      <c r="D5637" t="s">
        <v>294</v>
      </c>
      <c r="E5637" s="8">
        <v>19660</v>
      </c>
      <c r="F5637" s="8">
        <v>61850</v>
      </c>
      <c r="G5637" s="8">
        <f t="shared" si="352"/>
        <v>1215971000</v>
      </c>
      <c r="H5637" s="5">
        <v>0.6062</v>
      </c>
      <c r="I5637" s="8">
        <f t="shared" si="353"/>
        <v>1215971000</v>
      </c>
      <c r="J5637" s="8">
        <f t="shared" si="354"/>
        <v>737121620.2</v>
      </c>
      <c r="K5637" t="str">
        <f t="shared" si="355"/>
        <v>MATCHED</v>
      </c>
    </row>
    <row r="5638" spans="1:11">
      <c r="A5638" t="s">
        <v>126</v>
      </c>
      <c r="B5638" t="s">
        <v>1770</v>
      </c>
      <c r="C5638" t="s">
        <v>544</v>
      </c>
      <c r="D5638" t="s">
        <v>545</v>
      </c>
      <c r="E5638" s="8">
        <v>2060</v>
      </c>
      <c r="F5638" s="8">
        <v>127340</v>
      </c>
      <c r="G5638" s="8">
        <f t="shared" si="352"/>
        <v>262320400</v>
      </c>
      <c r="H5638" s="5">
        <v>0.6278</v>
      </c>
      <c r="I5638" s="8">
        <f t="shared" si="353"/>
        <v>262320400</v>
      </c>
      <c r="J5638" s="8">
        <f t="shared" si="354"/>
        <v>164684747.12</v>
      </c>
      <c r="K5638" t="str">
        <f t="shared" si="355"/>
        <v>MATCHED</v>
      </c>
    </row>
    <row r="5639" spans="1:11">
      <c r="A5639" t="s">
        <v>126</v>
      </c>
      <c r="B5639" t="s">
        <v>1770</v>
      </c>
      <c r="C5639" t="s">
        <v>546</v>
      </c>
      <c r="D5639" t="s">
        <v>547</v>
      </c>
      <c r="E5639" s="8">
        <v>2990</v>
      </c>
      <c r="F5639" s="8">
        <v>92590</v>
      </c>
      <c r="G5639" s="8">
        <f t="shared" si="352"/>
        <v>276844100</v>
      </c>
      <c r="H5639" s="5">
        <v>0.8389</v>
      </c>
      <c r="I5639" s="8">
        <f t="shared" si="353"/>
        <v>276844100</v>
      </c>
      <c r="J5639" s="8">
        <f t="shared" si="354"/>
        <v>232244515.49</v>
      </c>
      <c r="K5639" t="str">
        <f t="shared" si="355"/>
        <v>MATCHED</v>
      </c>
    </row>
    <row r="5640" spans="1:11">
      <c r="A5640" t="s">
        <v>126</v>
      </c>
      <c r="B5640" t="s">
        <v>1770</v>
      </c>
      <c r="C5640" t="s">
        <v>548</v>
      </c>
      <c r="D5640" t="s">
        <v>549</v>
      </c>
      <c r="E5640" s="8">
        <v>710</v>
      </c>
      <c r="F5640" s="8">
        <v>121730</v>
      </c>
      <c r="G5640" s="8">
        <f t="shared" si="352"/>
        <v>86428300</v>
      </c>
      <c r="H5640" s="5">
        <v>0.8502</v>
      </c>
      <c r="I5640" s="8">
        <f t="shared" si="353"/>
        <v>86428300</v>
      </c>
      <c r="J5640" s="8">
        <f t="shared" si="354"/>
        <v>73481340.66</v>
      </c>
      <c r="K5640" t="str">
        <f t="shared" si="355"/>
        <v>MATCHED</v>
      </c>
    </row>
    <row r="5641" spans="1:11">
      <c r="A5641" t="s">
        <v>126</v>
      </c>
      <c r="B5641" t="s">
        <v>1770</v>
      </c>
      <c r="C5641" t="s">
        <v>295</v>
      </c>
      <c r="D5641" t="s">
        <v>296</v>
      </c>
      <c r="E5641" s="8">
        <v>10000</v>
      </c>
      <c r="F5641" s="8">
        <v>95250</v>
      </c>
      <c r="G5641" s="8">
        <f t="shared" si="352"/>
        <v>952500000</v>
      </c>
      <c r="H5641" s="5">
        <v>0.695</v>
      </c>
      <c r="I5641" s="8">
        <f t="shared" si="353"/>
        <v>952500000</v>
      </c>
      <c r="J5641" s="8">
        <f t="shared" si="354"/>
        <v>661987500</v>
      </c>
      <c r="K5641" t="str">
        <f t="shared" si="355"/>
        <v>MATCHED</v>
      </c>
    </row>
    <row r="5642" spans="1:11">
      <c r="A5642" t="s">
        <v>126</v>
      </c>
      <c r="B5642" t="s">
        <v>1770</v>
      </c>
      <c r="C5642" t="s">
        <v>550</v>
      </c>
      <c r="D5642" t="s">
        <v>551</v>
      </c>
      <c r="E5642" s="8">
        <v>1900</v>
      </c>
      <c r="F5642" s="8">
        <v>99240</v>
      </c>
      <c r="G5642" s="8">
        <f t="shared" si="352"/>
        <v>188556000</v>
      </c>
      <c r="H5642" s="5">
        <v>0.6824</v>
      </c>
      <c r="I5642" s="8">
        <f t="shared" si="353"/>
        <v>188556000</v>
      </c>
      <c r="J5642" s="8">
        <f t="shared" si="354"/>
        <v>128670614.4</v>
      </c>
      <c r="K5642" t="str">
        <f t="shared" si="355"/>
        <v>MATCHED</v>
      </c>
    </row>
    <row r="5643" spans="1:11">
      <c r="A5643" t="s">
        <v>126</v>
      </c>
      <c r="B5643" t="s">
        <v>1770</v>
      </c>
      <c r="C5643" t="s">
        <v>297</v>
      </c>
      <c r="D5643" t="s">
        <v>298</v>
      </c>
      <c r="E5643" s="8">
        <v>13480</v>
      </c>
      <c r="F5643" s="8">
        <v>126220</v>
      </c>
      <c r="G5643" s="8">
        <f t="shared" si="352"/>
        <v>1701445600</v>
      </c>
      <c r="H5643" s="5">
        <v>0.5211</v>
      </c>
      <c r="I5643" s="8">
        <f t="shared" si="353"/>
        <v>1701445600</v>
      </c>
      <c r="J5643" s="8">
        <f t="shared" si="354"/>
        <v>886623302.16</v>
      </c>
      <c r="K5643" t="str">
        <f t="shared" si="355"/>
        <v>MATCHED</v>
      </c>
    </row>
    <row r="5644" spans="1:11">
      <c r="A5644" t="s">
        <v>126</v>
      </c>
      <c r="B5644" t="s">
        <v>1770</v>
      </c>
      <c r="C5644" t="s">
        <v>552</v>
      </c>
      <c r="D5644" t="s">
        <v>553</v>
      </c>
      <c r="E5644" s="8">
        <v>1750</v>
      </c>
      <c r="F5644" s="8">
        <v>97520</v>
      </c>
      <c r="G5644" s="8">
        <f t="shared" si="352"/>
        <v>170660000</v>
      </c>
      <c r="H5644" s="5">
        <v>0.8117</v>
      </c>
      <c r="I5644" s="8">
        <f t="shared" si="353"/>
        <v>170660000</v>
      </c>
      <c r="J5644" s="8">
        <f t="shared" si="354"/>
        <v>138524722</v>
      </c>
      <c r="K5644" t="str">
        <f t="shared" si="355"/>
        <v>MATCHED</v>
      </c>
    </row>
    <row r="5645" spans="1:11">
      <c r="A5645" t="s">
        <v>126</v>
      </c>
      <c r="B5645" t="s">
        <v>1770</v>
      </c>
      <c r="C5645" t="s">
        <v>830</v>
      </c>
      <c r="D5645" t="s">
        <v>831</v>
      </c>
      <c r="E5645" s="8">
        <v>3850</v>
      </c>
      <c r="F5645" s="8">
        <v>100170</v>
      </c>
      <c r="G5645" s="8">
        <f t="shared" si="352"/>
        <v>385654500</v>
      </c>
      <c r="H5645" s="5">
        <v>0.8276</v>
      </c>
      <c r="I5645" s="8">
        <f t="shared" si="353"/>
        <v>385654500</v>
      </c>
      <c r="J5645" s="8">
        <f t="shared" si="354"/>
        <v>319167664.2</v>
      </c>
      <c r="K5645" t="str">
        <f t="shared" si="355"/>
        <v>MATCHED</v>
      </c>
    </row>
    <row r="5646" spans="1:11">
      <c r="A5646" t="s">
        <v>126</v>
      </c>
      <c r="B5646" t="s">
        <v>1770</v>
      </c>
      <c r="C5646" t="s">
        <v>832</v>
      </c>
      <c r="D5646" t="s">
        <v>833</v>
      </c>
      <c r="E5646" s="8">
        <v>2540</v>
      </c>
      <c r="F5646" s="8">
        <v>88600</v>
      </c>
      <c r="G5646" s="8">
        <f t="shared" si="352"/>
        <v>225044000</v>
      </c>
      <c r="H5646" s="5">
        <v>0.6827</v>
      </c>
      <c r="I5646" s="8">
        <f t="shared" si="353"/>
        <v>225044000</v>
      </c>
      <c r="J5646" s="8">
        <f t="shared" si="354"/>
        <v>153637538.8</v>
      </c>
      <c r="K5646" t="str">
        <f t="shared" si="355"/>
        <v>MATCHED</v>
      </c>
    </row>
    <row r="5647" spans="1:11">
      <c r="A5647" t="s">
        <v>126</v>
      </c>
      <c r="B5647" t="s">
        <v>1770</v>
      </c>
      <c r="C5647" t="s">
        <v>299</v>
      </c>
      <c r="D5647" t="s">
        <v>300</v>
      </c>
      <c r="E5647" s="8">
        <v>6500</v>
      </c>
      <c r="F5647" s="8">
        <v>94650</v>
      </c>
      <c r="G5647" s="8">
        <f t="shared" si="352"/>
        <v>615225000</v>
      </c>
      <c r="H5647" s="5">
        <v>0.7425</v>
      </c>
      <c r="I5647" s="8">
        <f t="shared" si="353"/>
        <v>615225000</v>
      </c>
      <c r="J5647" s="8">
        <f t="shared" si="354"/>
        <v>456804562.5</v>
      </c>
      <c r="K5647" t="str">
        <f t="shared" si="355"/>
        <v>MATCHED</v>
      </c>
    </row>
    <row r="5648" spans="1:11">
      <c r="A5648" t="s">
        <v>126</v>
      </c>
      <c r="B5648" t="s">
        <v>1770</v>
      </c>
      <c r="C5648" t="s">
        <v>1154</v>
      </c>
      <c r="D5648" t="s">
        <v>1155</v>
      </c>
      <c r="E5648" s="8">
        <v>120</v>
      </c>
      <c r="F5648" s="8">
        <v>97290</v>
      </c>
      <c r="G5648" s="8">
        <f t="shared" si="352"/>
        <v>11674800</v>
      </c>
      <c r="H5648" s="5">
        <v>0.5318</v>
      </c>
      <c r="I5648" s="8">
        <f t="shared" si="353"/>
        <v>11674800</v>
      </c>
      <c r="J5648" s="8">
        <f t="shared" si="354"/>
        <v>6208658.64</v>
      </c>
      <c r="K5648" t="str">
        <f t="shared" si="355"/>
        <v>MATCHED</v>
      </c>
    </row>
    <row r="5649" spans="1:11">
      <c r="A5649" t="s">
        <v>126</v>
      </c>
      <c r="B5649" t="s">
        <v>1770</v>
      </c>
      <c r="C5649" t="s">
        <v>554</v>
      </c>
      <c r="D5649" t="s">
        <v>555</v>
      </c>
      <c r="E5649" s="8">
        <v>1890</v>
      </c>
      <c r="F5649" s="8">
        <v>86070</v>
      </c>
      <c r="G5649" s="8">
        <f t="shared" si="352"/>
        <v>162672300</v>
      </c>
      <c r="H5649" s="5">
        <v>0.6031</v>
      </c>
      <c r="I5649" s="8">
        <f t="shared" si="353"/>
        <v>162672300</v>
      </c>
      <c r="J5649" s="8">
        <f t="shared" si="354"/>
        <v>98107664.13</v>
      </c>
      <c r="K5649" t="str">
        <f t="shared" si="355"/>
        <v>MATCHED</v>
      </c>
    </row>
    <row r="5650" spans="1:11">
      <c r="A5650" t="s">
        <v>126</v>
      </c>
      <c r="B5650" t="s">
        <v>1770</v>
      </c>
      <c r="C5650" t="s">
        <v>1156</v>
      </c>
      <c r="D5650" t="s">
        <v>1157</v>
      </c>
      <c r="E5650" s="8">
        <v>1940</v>
      </c>
      <c r="F5650" s="8">
        <v>92510</v>
      </c>
      <c r="G5650" s="8">
        <f t="shared" si="352"/>
        <v>179469400</v>
      </c>
      <c r="H5650" s="5">
        <v>0.7282</v>
      </c>
      <c r="I5650" s="8">
        <f t="shared" si="353"/>
        <v>179469400</v>
      </c>
      <c r="J5650" s="8">
        <f t="shared" si="354"/>
        <v>130689617.08</v>
      </c>
      <c r="K5650" t="str">
        <f t="shared" si="355"/>
        <v>MATCHED</v>
      </c>
    </row>
    <row r="5651" spans="1:11">
      <c r="A5651" t="s">
        <v>126</v>
      </c>
      <c r="B5651" t="s">
        <v>1770</v>
      </c>
      <c r="C5651" t="s">
        <v>556</v>
      </c>
      <c r="D5651" t="s">
        <v>557</v>
      </c>
      <c r="E5651" s="8">
        <v>5810</v>
      </c>
      <c r="F5651" s="8">
        <v>104500</v>
      </c>
      <c r="G5651" s="8">
        <f t="shared" si="352"/>
        <v>607145000</v>
      </c>
      <c r="H5651" s="5">
        <v>0.8228</v>
      </c>
      <c r="I5651" s="8">
        <f t="shared" si="353"/>
        <v>607145000</v>
      </c>
      <c r="J5651" s="8">
        <f t="shared" si="354"/>
        <v>499558906</v>
      </c>
      <c r="K5651" t="str">
        <f t="shared" si="355"/>
        <v>MATCHED</v>
      </c>
    </row>
    <row r="5652" spans="1:11">
      <c r="A5652" t="s">
        <v>126</v>
      </c>
      <c r="B5652" t="s">
        <v>1770</v>
      </c>
      <c r="C5652" t="s">
        <v>1158</v>
      </c>
      <c r="D5652" t="s">
        <v>1159</v>
      </c>
      <c r="E5652" s="8">
        <v>110</v>
      </c>
      <c r="F5652" s="8">
        <v>89280</v>
      </c>
      <c r="G5652" s="8">
        <f t="shared" si="352"/>
        <v>9820800</v>
      </c>
      <c r="H5652" s="5">
        <v>0.7711</v>
      </c>
      <c r="I5652" s="8">
        <f t="shared" si="353"/>
        <v>9820800</v>
      </c>
      <c r="J5652" s="8">
        <f t="shared" si="354"/>
        <v>7572818.88</v>
      </c>
      <c r="K5652" t="str">
        <f t="shared" si="355"/>
        <v>MATCHED</v>
      </c>
    </row>
    <row r="5653" spans="1:11">
      <c r="A5653" t="s">
        <v>126</v>
      </c>
      <c r="B5653" t="s">
        <v>1770</v>
      </c>
      <c r="C5653" t="s">
        <v>834</v>
      </c>
      <c r="D5653" t="s">
        <v>835</v>
      </c>
      <c r="E5653" s="8">
        <v>160</v>
      </c>
      <c r="F5653" s="8">
        <v>123690</v>
      </c>
      <c r="G5653" s="8">
        <f t="shared" si="352"/>
        <v>19790400</v>
      </c>
      <c r="H5653" s="5">
        <v>0.5375</v>
      </c>
      <c r="I5653" s="8">
        <f t="shared" si="353"/>
        <v>19790400</v>
      </c>
      <c r="J5653" s="8">
        <f t="shared" si="354"/>
        <v>10637340</v>
      </c>
      <c r="K5653" t="str">
        <f t="shared" si="355"/>
        <v>MATCHED</v>
      </c>
    </row>
    <row r="5654" spans="1:11">
      <c r="A5654" t="s">
        <v>126</v>
      </c>
      <c r="B5654" t="s">
        <v>1770</v>
      </c>
      <c r="C5654" t="s">
        <v>558</v>
      </c>
      <c r="D5654" t="s">
        <v>559</v>
      </c>
      <c r="E5654" s="8"/>
      <c r="F5654" s="8">
        <v>63220</v>
      </c>
      <c r="G5654" s="8" t="str">
        <f t="shared" si="352"/>
        <v/>
      </c>
      <c r="H5654" s="5">
        <v>0.7929</v>
      </c>
      <c r="I5654" s="8" t="str">
        <f t="shared" si="353"/>
        <v/>
      </c>
      <c r="J5654" s="8" t="str">
        <f t="shared" si="354"/>
        <v/>
      </c>
      <c r="K5654" t="str">
        <f t="shared" si="355"/>
        <v>MISSING OEWS</v>
      </c>
    </row>
    <row r="5655" spans="1:11">
      <c r="A5655" t="s">
        <v>126</v>
      </c>
      <c r="B5655" t="s">
        <v>1770</v>
      </c>
      <c r="C5655" t="s">
        <v>1160</v>
      </c>
      <c r="D5655" t="s">
        <v>1161</v>
      </c>
      <c r="E5655" s="8">
        <v>400</v>
      </c>
      <c r="F5655" s="8">
        <v>128860</v>
      </c>
      <c r="G5655" s="8">
        <f t="shared" si="352"/>
        <v>51544000</v>
      </c>
      <c r="H5655" s="5">
        <v>0.5333</v>
      </c>
      <c r="I5655" s="8">
        <f t="shared" si="353"/>
        <v>51544000</v>
      </c>
      <c r="J5655" s="8">
        <f t="shared" si="354"/>
        <v>27488415.2</v>
      </c>
      <c r="K5655" t="str">
        <f t="shared" si="355"/>
        <v>MATCHED</v>
      </c>
    </row>
    <row r="5656" spans="1:11">
      <c r="A5656" t="s">
        <v>126</v>
      </c>
      <c r="B5656" t="s">
        <v>1770</v>
      </c>
      <c r="C5656" t="s">
        <v>1162</v>
      </c>
      <c r="D5656" t="s">
        <v>1163</v>
      </c>
      <c r="E5656" s="8">
        <v>770</v>
      </c>
      <c r="F5656" s="8">
        <v>89750</v>
      </c>
      <c r="G5656" s="8">
        <f t="shared" si="352"/>
        <v>69107500</v>
      </c>
      <c r="H5656" s="5">
        <v>0.4067</v>
      </c>
      <c r="I5656" s="8">
        <f t="shared" si="353"/>
        <v>69107500</v>
      </c>
      <c r="J5656" s="8">
        <f t="shared" si="354"/>
        <v>28106020.25</v>
      </c>
      <c r="K5656" t="str">
        <f t="shared" si="355"/>
        <v>MATCHED</v>
      </c>
    </row>
    <row r="5657" spans="1:11">
      <c r="A5657" t="s">
        <v>126</v>
      </c>
      <c r="B5657" t="s">
        <v>1770</v>
      </c>
      <c r="C5657" t="s">
        <v>562</v>
      </c>
      <c r="D5657" t="s">
        <v>563</v>
      </c>
      <c r="E5657" s="8">
        <v>200</v>
      </c>
      <c r="F5657" s="8">
        <v>72870</v>
      </c>
      <c r="G5657" s="8">
        <f t="shared" si="352"/>
        <v>14574000</v>
      </c>
      <c r="H5657" s="5">
        <v>0.3615</v>
      </c>
      <c r="I5657" s="8">
        <f t="shared" si="353"/>
        <v>14574000</v>
      </c>
      <c r="J5657" s="8">
        <f t="shared" si="354"/>
        <v>5268501</v>
      </c>
      <c r="K5657" t="str">
        <f t="shared" si="355"/>
        <v>MATCHED</v>
      </c>
    </row>
    <row r="5658" spans="1:11">
      <c r="A5658" t="s">
        <v>126</v>
      </c>
      <c r="B5658" t="s">
        <v>1770</v>
      </c>
      <c r="C5658" t="s">
        <v>564</v>
      </c>
      <c r="D5658" t="s">
        <v>565</v>
      </c>
      <c r="E5658" s="8">
        <v>230</v>
      </c>
      <c r="F5658" s="8">
        <v>104410</v>
      </c>
      <c r="G5658" s="8">
        <f t="shared" si="352"/>
        <v>24014300</v>
      </c>
      <c r="H5658" s="5">
        <v>0.4218</v>
      </c>
      <c r="I5658" s="8">
        <f t="shared" si="353"/>
        <v>24014300</v>
      </c>
      <c r="J5658" s="8">
        <f t="shared" si="354"/>
        <v>10129231.74</v>
      </c>
      <c r="K5658" t="str">
        <f t="shared" si="355"/>
        <v>MATCHED</v>
      </c>
    </row>
    <row r="5659" spans="1:11">
      <c r="A5659" t="s">
        <v>126</v>
      </c>
      <c r="B5659" t="s">
        <v>1770</v>
      </c>
      <c r="C5659" t="s">
        <v>838</v>
      </c>
      <c r="D5659" t="s">
        <v>839</v>
      </c>
      <c r="E5659" s="8">
        <v>40</v>
      </c>
      <c r="F5659" s="8">
        <v>119450</v>
      </c>
      <c r="G5659" s="8">
        <f t="shared" si="352"/>
        <v>4778000</v>
      </c>
      <c r="H5659" s="5">
        <v>0.3639</v>
      </c>
      <c r="I5659" s="8">
        <f t="shared" si="353"/>
        <v>4778000</v>
      </c>
      <c r="J5659" s="8">
        <f t="shared" si="354"/>
        <v>1738714.2</v>
      </c>
      <c r="K5659" t="str">
        <f t="shared" si="355"/>
        <v>MATCHED</v>
      </c>
    </row>
    <row r="5660" spans="1:11">
      <c r="A5660" t="s">
        <v>126</v>
      </c>
      <c r="B5660" t="s">
        <v>1770</v>
      </c>
      <c r="C5660" t="s">
        <v>566</v>
      </c>
      <c r="D5660" t="s">
        <v>567</v>
      </c>
      <c r="E5660" s="8">
        <v>140</v>
      </c>
      <c r="F5660" s="8">
        <v>105030</v>
      </c>
      <c r="G5660" s="8">
        <f t="shared" si="352"/>
        <v>14704200</v>
      </c>
      <c r="H5660" s="5">
        <v>0.3523</v>
      </c>
      <c r="I5660" s="8">
        <f t="shared" si="353"/>
        <v>14704200</v>
      </c>
      <c r="J5660" s="8">
        <f t="shared" si="354"/>
        <v>5180289.66</v>
      </c>
      <c r="K5660" t="str">
        <f t="shared" si="355"/>
        <v>MATCHED</v>
      </c>
    </row>
    <row r="5661" spans="1:11">
      <c r="A5661" t="s">
        <v>126</v>
      </c>
      <c r="B5661" t="s">
        <v>1770</v>
      </c>
      <c r="C5661" t="s">
        <v>568</v>
      </c>
      <c r="D5661" t="s">
        <v>569</v>
      </c>
      <c r="E5661" s="8">
        <v>270</v>
      </c>
      <c r="F5661" s="8">
        <v>93290</v>
      </c>
      <c r="G5661" s="8">
        <f t="shared" si="352"/>
        <v>25188300</v>
      </c>
      <c r="H5661" s="5">
        <v>0.4536</v>
      </c>
      <c r="I5661" s="8">
        <f t="shared" si="353"/>
        <v>25188300</v>
      </c>
      <c r="J5661" s="8">
        <f t="shared" si="354"/>
        <v>11425412.88</v>
      </c>
      <c r="K5661" t="str">
        <f t="shared" si="355"/>
        <v>MATCHED</v>
      </c>
    </row>
    <row r="5662" spans="1:11">
      <c r="A5662" t="s">
        <v>126</v>
      </c>
      <c r="B5662" t="s">
        <v>1770</v>
      </c>
      <c r="C5662" t="s">
        <v>570</v>
      </c>
      <c r="D5662" t="s">
        <v>571</v>
      </c>
      <c r="E5662" s="8">
        <v>120</v>
      </c>
      <c r="F5662" s="8">
        <v>91890</v>
      </c>
      <c r="G5662" s="8">
        <f t="shared" si="352"/>
        <v>11026800</v>
      </c>
      <c r="H5662" s="5">
        <v>0.5196</v>
      </c>
      <c r="I5662" s="8">
        <f t="shared" si="353"/>
        <v>11026800</v>
      </c>
      <c r="J5662" s="8">
        <f t="shared" si="354"/>
        <v>5729525.28</v>
      </c>
      <c r="K5662" t="str">
        <f t="shared" si="355"/>
        <v>MATCHED</v>
      </c>
    </row>
    <row r="5663" spans="1:11">
      <c r="A5663" t="s">
        <v>126</v>
      </c>
      <c r="B5663" t="s">
        <v>1770</v>
      </c>
      <c r="C5663" t="s">
        <v>572</v>
      </c>
      <c r="D5663" t="s">
        <v>573</v>
      </c>
      <c r="E5663" s="8">
        <v>30</v>
      </c>
      <c r="F5663" s="8">
        <v>91770</v>
      </c>
      <c r="G5663" s="8">
        <f t="shared" si="352"/>
        <v>2753100</v>
      </c>
      <c r="H5663" s="5">
        <v>0.2672</v>
      </c>
      <c r="I5663" s="8">
        <f t="shared" si="353"/>
        <v>2753100</v>
      </c>
      <c r="J5663" s="8">
        <f t="shared" si="354"/>
        <v>735628.32</v>
      </c>
      <c r="K5663" t="str">
        <f t="shared" si="355"/>
        <v>MATCHED</v>
      </c>
    </row>
    <row r="5664" spans="1:11">
      <c r="A5664" t="s">
        <v>126</v>
      </c>
      <c r="B5664" t="s">
        <v>1770</v>
      </c>
      <c r="C5664" t="s">
        <v>301</v>
      </c>
      <c r="D5664" t="s">
        <v>302</v>
      </c>
      <c r="E5664" s="8">
        <v>360</v>
      </c>
      <c r="F5664" s="8">
        <v>117980</v>
      </c>
      <c r="G5664" s="8">
        <f t="shared" si="352"/>
        <v>42472800</v>
      </c>
      <c r="H5664" s="5">
        <v>0.4786</v>
      </c>
      <c r="I5664" s="8">
        <f t="shared" si="353"/>
        <v>42472800</v>
      </c>
      <c r="J5664" s="8">
        <f t="shared" si="354"/>
        <v>20327482.08</v>
      </c>
      <c r="K5664" t="str">
        <f t="shared" si="355"/>
        <v>MATCHED</v>
      </c>
    </row>
    <row r="5665" spans="1:11">
      <c r="A5665" t="s">
        <v>126</v>
      </c>
      <c r="B5665" t="s">
        <v>1770</v>
      </c>
      <c r="C5665" t="s">
        <v>574</v>
      </c>
      <c r="D5665" t="s">
        <v>575</v>
      </c>
      <c r="E5665" s="8">
        <v>120</v>
      </c>
      <c r="F5665" s="8">
        <v>95940</v>
      </c>
      <c r="G5665" s="8">
        <f t="shared" si="352"/>
        <v>11512800</v>
      </c>
      <c r="H5665" s="5">
        <v>0.269</v>
      </c>
      <c r="I5665" s="8">
        <f t="shared" si="353"/>
        <v>11512800</v>
      </c>
      <c r="J5665" s="8">
        <f t="shared" si="354"/>
        <v>3096943.2</v>
      </c>
      <c r="K5665" t="str">
        <f t="shared" si="355"/>
        <v>MATCHED</v>
      </c>
    </row>
    <row r="5666" spans="1:11">
      <c r="A5666" t="s">
        <v>126</v>
      </c>
      <c r="B5666" t="s">
        <v>1770</v>
      </c>
      <c r="C5666" t="s">
        <v>576</v>
      </c>
      <c r="D5666" t="s">
        <v>577</v>
      </c>
      <c r="E5666" s="8">
        <v>440</v>
      </c>
      <c r="F5666" s="8">
        <v>95470</v>
      </c>
      <c r="G5666" s="8">
        <f t="shared" si="352"/>
        <v>42006800</v>
      </c>
      <c r="H5666" s="5">
        <v>0.3008</v>
      </c>
      <c r="I5666" s="8">
        <f t="shared" si="353"/>
        <v>42006800</v>
      </c>
      <c r="J5666" s="8">
        <f t="shared" si="354"/>
        <v>12635645.44</v>
      </c>
      <c r="K5666" t="str">
        <f t="shared" si="355"/>
        <v>MATCHED</v>
      </c>
    </row>
    <row r="5667" spans="1:11">
      <c r="A5667" t="s">
        <v>126</v>
      </c>
      <c r="B5667" t="s">
        <v>1770</v>
      </c>
      <c r="C5667" t="s">
        <v>582</v>
      </c>
      <c r="D5667" t="s">
        <v>583</v>
      </c>
      <c r="E5667" s="8">
        <v>830</v>
      </c>
      <c r="F5667" s="8">
        <v>123860</v>
      </c>
      <c r="G5667" s="8">
        <f t="shared" si="352"/>
        <v>102803800</v>
      </c>
      <c r="H5667" s="5">
        <v>0.315</v>
      </c>
      <c r="I5667" s="8">
        <f t="shared" si="353"/>
        <v>102803800</v>
      </c>
      <c r="J5667" s="8">
        <f t="shared" si="354"/>
        <v>32383197</v>
      </c>
      <c r="K5667" t="str">
        <f t="shared" si="355"/>
        <v>MATCHED</v>
      </c>
    </row>
    <row r="5668" spans="1:11">
      <c r="A5668" t="s">
        <v>126</v>
      </c>
      <c r="B5668" t="s">
        <v>1770</v>
      </c>
      <c r="C5668" t="s">
        <v>584</v>
      </c>
      <c r="D5668" t="s">
        <v>585</v>
      </c>
      <c r="E5668" s="8">
        <v>40</v>
      </c>
      <c r="F5668" s="8">
        <v>61250</v>
      </c>
      <c r="G5668" s="8">
        <f t="shared" si="352"/>
        <v>2450000</v>
      </c>
      <c r="H5668" s="5">
        <v>0.7</v>
      </c>
      <c r="I5668" s="8">
        <f t="shared" si="353"/>
        <v>2450000</v>
      </c>
      <c r="J5668" s="8">
        <f t="shared" si="354"/>
        <v>1715000</v>
      </c>
      <c r="K5668" t="str">
        <f t="shared" si="355"/>
        <v>MATCHED</v>
      </c>
    </row>
    <row r="5669" spans="1:11">
      <c r="A5669" t="s">
        <v>126</v>
      </c>
      <c r="B5669" t="s">
        <v>1770</v>
      </c>
      <c r="C5669" t="s">
        <v>1164</v>
      </c>
      <c r="D5669" t="s">
        <v>1165</v>
      </c>
      <c r="E5669" s="8">
        <v>190</v>
      </c>
      <c r="F5669" s="8">
        <v>77480</v>
      </c>
      <c r="G5669" s="8">
        <f t="shared" si="352"/>
        <v>14721200</v>
      </c>
      <c r="H5669" s="5">
        <v>0.175</v>
      </c>
      <c r="I5669" s="8">
        <f t="shared" si="353"/>
        <v>14721200</v>
      </c>
      <c r="J5669" s="8">
        <f t="shared" si="354"/>
        <v>2576210</v>
      </c>
      <c r="K5669" t="str">
        <f t="shared" si="355"/>
        <v>MATCHED</v>
      </c>
    </row>
    <row r="5670" spans="1:11">
      <c r="A5670" t="s">
        <v>126</v>
      </c>
      <c r="B5670" t="s">
        <v>1770</v>
      </c>
      <c r="C5670" t="s">
        <v>592</v>
      </c>
      <c r="D5670" t="s">
        <v>593</v>
      </c>
      <c r="E5670" s="8">
        <v>130</v>
      </c>
      <c r="F5670" s="8">
        <v>78750</v>
      </c>
      <c r="G5670" s="8">
        <f t="shared" si="352"/>
        <v>10237500</v>
      </c>
      <c r="H5670" s="5">
        <v>0.4</v>
      </c>
      <c r="I5670" s="8">
        <f t="shared" si="353"/>
        <v>10237500</v>
      </c>
      <c r="J5670" s="8">
        <f t="shared" si="354"/>
        <v>4095000</v>
      </c>
      <c r="K5670" t="str">
        <f t="shared" si="355"/>
        <v>MATCHED</v>
      </c>
    </row>
    <row r="5671" spans="1:11">
      <c r="A5671" t="s">
        <v>126</v>
      </c>
      <c r="B5671" t="s">
        <v>1770</v>
      </c>
      <c r="C5671" t="s">
        <v>594</v>
      </c>
      <c r="D5671" t="s">
        <v>595</v>
      </c>
      <c r="E5671" s="8">
        <v>150</v>
      </c>
      <c r="F5671" s="8">
        <v>80490</v>
      </c>
      <c r="G5671" s="8">
        <f t="shared" si="352"/>
        <v>12073500</v>
      </c>
      <c r="H5671" s="5">
        <v>0.1781</v>
      </c>
      <c r="I5671" s="8">
        <f t="shared" si="353"/>
        <v>12073500</v>
      </c>
      <c r="J5671" s="8">
        <f t="shared" si="354"/>
        <v>2150290.35</v>
      </c>
      <c r="K5671" t="str">
        <f t="shared" si="355"/>
        <v>MATCHED</v>
      </c>
    </row>
    <row r="5672" spans="1:11">
      <c r="A5672" t="s">
        <v>126</v>
      </c>
      <c r="B5672" t="s">
        <v>1770</v>
      </c>
      <c r="C5672" t="s">
        <v>596</v>
      </c>
      <c r="D5672" t="s">
        <v>597</v>
      </c>
      <c r="E5672" s="8">
        <v>50</v>
      </c>
      <c r="F5672" s="8">
        <v>67230</v>
      </c>
      <c r="G5672" s="8">
        <f t="shared" si="352"/>
        <v>3361500</v>
      </c>
      <c r="H5672" s="5">
        <v>0.4615</v>
      </c>
      <c r="I5672" s="8">
        <f t="shared" si="353"/>
        <v>3361500</v>
      </c>
      <c r="J5672" s="8">
        <f t="shared" si="354"/>
        <v>1551332.25</v>
      </c>
      <c r="K5672" t="str">
        <f t="shared" si="355"/>
        <v>MATCHED</v>
      </c>
    </row>
    <row r="5673" spans="1:11">
      <c r="A5673" t="s">
        <v>126</v>
      </c>
      <c r="B5673" t="s">
        <v>1770</v>
      </c>
      <c r="C5673" t="s">
        <v>598</v>
      </c>
      <c r="D5673" t="s">
        <v>599</v>
      </c>
      <c r="E5673" s="8">
        <v>30</v>
      </c>
      <c r="F5673" s="8">
        <v>91550</v>
      </c>
      <c r="G5673" s="8">
        <f t="shared" si="352"/>
        <v>2746500</v>
      </c>
      <c r="H5673" s="5">
        <v>0.2855</v>
      </c>
      <c r="I5673" s="8">
        <f t="shared" si="353"/>
        <v>2746500</v>
      </c>
      <c r="J5673" s="8">
        <f t="shared" si="354"/>
        <v>784125.75</v>
      </c>
      <c r="K5673" t="str">
        <f t="shared" si="355"/>
        <v>MATCHED</v>
      </c>
    </row>
    <row r="5674" spans="1:11">
      <c r="A5674" t="s">
        <v>126</v>
      </c>
      <c r="B5674" t="s">
        <v>1770</v>
      </c>
      <c r="C5674" t="s">
        <v>600</v>
      </c>
      <c r="D5674" t="s">
        <v>601</v>
      </c>
      <c r="E5674" s="8">
        <v>130</v>
      </c>
      <c r="F5674" s="8">
        <v>73900</v>
      </c>
      <c r="G5674" s="8">
        <f t="shared" si="352"/>
        <v>9607000</v>
      </c>
      <c r="H5674" s="5">
        <v>0.3125</v>
      </c>
      <c r="I5674" s="8">
        <f t="shared" si="353"/>
        <v>9607000</v>
      </c>
      <c r="J5674" s="8">
        <f t="shared" si="354"/>
        <v>3002187.5</v>
      </c>
      <c r="K5674" t="str">
        <f t="shared" si="355"/>
        <v>MATCHED</v>
      </c>
    </row>
    <row r="5675" spans="1:11">
      <c r="A5675" t="s">
        <v>126</v>
      </c>
      <c r="B5675" t="s">
        <v>1770</v>
      </c>
      <c r="C5675" t="s">
        <v>602</v>
      </c>
      <c r="D5675" t="s">
        <v>603</v>
      </c>
      <c r="E5675" s="8"/>
      <c r="F5675" s="8">
        <v>138460</v>
      </c>
      <c r="G5675" s="8" t="str">
        <f t="shared" si="352"/>
        <v/>
      </c>
      <c r="H5675" s="5">
        <v>0.1733</v>
      </c>
      <c r="I5675" s="8" t="str">
        <f t="shared" si="353"/>
        <v/>
      </c>
      <c r="J5675" s="8" t="str">
        <f t="shared" si="354"/>
        <v/>
      </c>
      <c r="K5675" t="str">
        <f t="shared" si="355"/>
        <v>MISSING OEWS</v>
      </c>
    </row>
    <row r="5676" spans="1:11">
      <c r="A5676" t="s">
        <v>126</v>
      </c>
      <c r="B5676" t="s">
        <v>1770</v>
      </c>
      <c r="C5676" t="s">
        <v>604</v>
      </c>
      <c r="D5676" t="s">
        <v>605</v>
      </c>
      <c r="E5676" s="8">
        <v>460</v>
      </c>
      <c r="F5676" s="8">
        <v>65400</v>
      </c>
      <c r="G5676" s="8">
        <f t="shared" si="352"/>
        <v>30084000</v>
      </c>
      <c r="H5676" s="5">
        <v>0.1404</v>
      </c>
      <c r="I5676" s="8">
        <f t="shared" si="353"/>
        <v>30084000</v>
      </c>
      <c r="J5676" s="8">
        <f t="shared" si="354"/>
        <v>4223793.6</v>
      </c>
      <c r="K5676" t="str">
        <f t="shared" si="355"/>
        <v>MATCHED</v>
      </c>
    </row>
    <row r="5677" spans="1:11">
      <c r="A5677" t="s">
        <v>126</v>
      </c>
      <c r="B5677" t="s">
        <v>1770</v>
      </c>
      <c r="C5677" t="s">
        <v>606</v>
      </c>
      <c r="D5677" t="s">
        <v>607</v>
      </c>
      <c r="E5677" s="8">
        <v>60</v>
      </c>
      <c r="F5677" s="8">
        <v>47950</v>
      </c>
      <c r="G5677" s="8">
        <f t="shared" si="352"/>
        <v>2877000</v>
      </c>
      <c r="H5677" s="5">
        <v>0.6783</v>
      </c>
      <c r="I5677" s="8">
        <f t="shared" si="353"/>
        <v>2877000</v>
      </c>
      <c r="J5677" s="8">
        <f t="shared" si="354"/>
        <v>1951469.1</v>
      </c>
      <c r="K5677" t="str">
        <f t="shared" si="355"/>
        <v>MATCHED</v>
      </c>
    </row>
    <row r="5678" spans="1:11">
      <c r="A5678" t="s">
        <v>126</v>
      </c>
      <c r="B5678" t="s">
        <v>1770</v>
      </c>
      <c r="C5678" t="s">
        <v>303</v>
      </c>
      <c r="D5678" t="s">
        <v>304</v>
      </c>
      <c r="E5678" s="8">
        <v>40</v>
      </c>
      <c r="F5678" s="8"/>
      <c r="G5678" s="8" t="str">
        <f t="shared" si="352"/>
        <v/>
      </c>
      <c r="H5678" s="5">
        <v>0.2333</v>
      </c>
      <c r="I5678" s="8" t="str">
        <f t="shared" si="353"/>
        <v/>
      </c>
      <c r="J5678" s="8" t="str">
        <f t="shared" si="354"/>
        <v/>
      </c>
      <c r="K5678" t="str">
        <f t="shared" si="355"/>
        <v>MISSING OEWS</v>
      </c>
    </row>
    <row r="5679" spans="1:11">
      <c r="A5679" t="s">
        <v>126</v>
      </c>
      <c r="B5679" t="s">
        <v>1770</v>
      </c>
      <c r="C5679" t="s">
        <v>307</v>
      </c>
      <c r="D5679" t="s">
        <v>308</v>
      </c>
      <c r="E5679" s="8">
        <v>50</v>
      </c>
      <c r="F5679" s="8">
        <v>54480</v>
      </c>
      <c r="G5679" s="8">
        <f t="shared" si="352"/>
        <v>2724000</v>
      </c>
      <c r="H5679" s="5">
        <v>0.0519</v>
      </c>
      <c r="I5679" s="8">
        <f t="shared" si="353"/>
        <v>2724000</v>
      </c>
      <c r="J5679" s="8">
        <f t="shared" si="354"/>
        <v>141375.6</v>
      </c>
      <c r="K5679" t="str">
        <f t="shared" si="355"/>
        <v>MATCHED</v>
      </c>
    </row>
    <row r="5680" spans="1:11">
      <c r="A5680" t="s">
        <v>126</v>
      </c>
      <c r="B5680" t="s">
        <v>1770</v>
      </c>
      <c r="C5680" t="s">
        <v>1166</v>
      </c>
      <c r="D5680" t="s">
        <v>1167</v>
      </c>
      <c r="E5680" s="8">
        <v>310</v>
      </c>
      <c r="F5680" s="8">
        <v>85920</v>
      </c>
      <c r="G5680" s="8">
        <f t="shared" si="352"/>
        <v>26635200</v>
      </c>
      <c r="H5680" s="5">
        <v>0.1667</v>
      </c>
      <c r="I5680" s="8">
        <f t="shared" si="353"/>
        <v>26635200</v>
      </c>
      <c r="J5680" s="8">
        <f t="shared" si="354"/>
        <v>4440087.84</v>
      </c>
      <c r="K5680" t="str">
        <f t="shared" si="355"/>
        <v>MATCHED</v>
      </c>
    </row>
    <row r="5681" spans="1:11">
      <c r="A5681" t="s">
        <v>126</v>
      </c>
      <c r="B5681" t="s">
        <v>1770</v>
      </c>
      <c r="C5681" t="s">
        <v>1168</v>
      </c>
      <c r="D5681" t="s">
        <v>1169</v>
      </c>
      <c r="E5681" s="8">
        <v>430</v>
      </c>
      <c r="F5681" s="8">
        <v>85250</v>
      </c>
      <c r="G5681" s="8">
        <f t="shared" si="352"/>
        <v>36657500</v>
      </c>
      <c r="H5681" s="5">
        <v>0.05</v>
      </c>
      <c r="I5681" s="8">
        <f t="shared" si="353"/>
        <v>36657500</v>
      </c>
      <c r="J5681" s="8">
        <f t="shared" si="354"/>
        <v>1832875</v>
      </c>
      <c r="K5681" t="str">
        <f t="shared" si="355"/>
        <v>MATCHED</v>
      </c>
    </row>
    <row r="5682" spans="1:11">
      <c r="A5682" t="s">
        <v>126</v>
      </c>
      <c r="B5682" t="s">
        <v>1770</v>
      </c>
      <c r="C5682" t="s">
        <v>844</v>
      </c>
      <c r="D5682" t="s">
        <v>845</v>
      </c>
      <c r="E5682" s="8">
        <v>140</v>
      </c>
      <c r="F5682" s="8">
        <v>81560</v>
      </c>
      <c r="G5682" s="8">
        <f t="shared" si="352"/>
        <v>11418400</v>
      </c>
      <c r="H5682" s="5">
        <v>0.15</v>
      </c>
      <c r="I5682" s="8">
        <f t="shared" si="353"/>
        <v>11418400</v>
      </c>
      <c r="J5682" s="8">
        <f t="shared" si="354"/>
        <v>1712760</v>
      </c>
      <c r="K5682" t="str">
        <f t="shared" si="355"/>
        <v>MATCHED</v>
      </c>
    </row>
    <row r="5683" spans="1:11">
      <c r="A5683" t="s">
        <v>126</v>
      </c>
      <c r="B5683" t="s">
        <v>1770</v>
      </c>
      <c r="C5683" t="s">
        <v>309</v>
      </c>
      <c r="D5683" t="s">
        <v>310</v>
      </c>
      <c r="E5683" s="8">
        <v>2110</v>
      </c>
      <c r="F5683" s="8">
        <v>82870</v>
      </c>
      <c r="G5683" s="8">
        <f t="shared" si="352"/>
        <v>174855700</v>
      </c>
      <c r="H5683" s="5">
        <v>0.4037</v>
      </c>
      <c r="I5683" s="8">
        <f t="shared" si="353"/>
        <v>174855700</v>
      </c>
      <c r="J5683" s="8">
        <f t="shared" si="354"/>
        <v>70589246.09</v>
      </c>
      <c r="K5683" t="str">
        <f t="shared" si="355"/>
        <v>MATCHED</v>
      </c>
    </row>
    <row r="5684" spans="1:11">
      <c r="A5684" t="s">
        <v>126</v>
      </c>
      <c r="B5684" t="s">
        <v>1770</v>
      </c>
      <c r="C5684" t="s">
        <v>1632</v>
      </c>
      <c r="D5684" t="s">
        <v>1633</v>
      </c>
      <c r="E5684" s="8">
        <v>60</v>
      </c>
      <c r="F5684" s="8">
        <v>68460</v>
      </c>
      <c r="G5684" s="8">
        <f t="shared" si="352"/>
        <v>4107600</v>
      </c>
      <c r="H5684" s="5">
        <v>0.2122</v>
      </c>
      <c r="I5684" s="8">
        <f t="shared" si="353"/>
        <v>4107600</v>
      </c>
      <c r="J5684" s="8">
        <f t="shared" si="354"/>
        <v>871632.72</v>
      </c>
      <c r="K5684" t="str">
        <f t="shared" si="355"/>
        <v>MATCHED</v>
      </c>
    </row>
    <row r="5685" spans="1:11">
      <c r="A5685" t="s">
        <v>126</v>
      </c>
      <c r="B5685" t="s">
        <v>1770</v>
      </c>
      <c r="C5685" t="s">
        <v>1170</v>
      </c>
      <c r="D5685" t="s">
        <v>1171</v>
      </c>
      <c r="E5685" s="8">
        <v>240</v>
      </c>
      <c r="F5685" s="8">
        <v>103260</v>
      </c>
      <c r="G5685" s="8">
        <f t="shared" si="352"/>
        <v>24782400</v>
      </c>
      <c r="H5685" s="5">
        <v>0.3433</v>
      </c>
      <c r="I5685" s="8">
        <f t="shared" si="353"/>
        <v>24782400</v>
      </c>
      <c r="J5685" s="8">
        <f t="shared" si="354"/>
        <v>8507797.92</v>
      </c>
      <c r="K5685" t="str">
        <f t="shared" si="355"/>
        <v>MATCHED</v>
      </c>
    </row>
    <row r="5686" spans="1:11">
      <c r="A5686" t="s">
        <v>126</v>
      </c>
      <c r="B5686" t="s">
        <v>1770</v>
      </c>
      <c r="C5686" t="s">
        <v>1172</v>
      </c>
      <c r="D5686" t="s">
        <v>1173</v>
      </c>
      <c r="E5686" s="8">
        <v>11540</v>
      </c>
      <c r="F5686" s="8">
        <v>91720</v>
      </c>
      <c r="G5686" s="8">
        <f t="shared" si="352"/>
        <v>1058448800</v>
      </c>
      <c r="H5686" s="5">
        <v>0.1857</v>
      </c>
      <c r="I5686" s="8">
        <f t="shared" si="353"/>
        <v>1058448800</v>
      </c>
      <c r="J5686" s="8">
        <f t="shared" si="354"/>
        <v>196553942.16</v>
      </c>
      <c r="K5686" t="str">
        <f t="shared" si="355"/>
        <v>MATCHED</v>
      </c>
    </row>
    <row r="5687" spans="1:11">
      <c r="A5687" t="s">
        <v>126</v>
      </c>
      <c r="B5687" t="s">
        <v>1770</v>
      </c>
      <c r="C5687" t="s">
        <v>1174</v>
      </c>
      <c r="D5687" t="s">
        <v>1175</v>
      </c>
      <c r="E5687" s="8">
        <v>480</v>
      </c>
      <c r="F5687" s="8">
        <v>90860</v>
      </c>
      <c r="G5687" s="8">
        <f t="shared" si="352"/>
        <v>43612800</v>
      </c>
      <c r="H5687" s="5"/>
      <c r="I5687" s="8" t="str">
        <f t="shared" si="353"/>
        <v/>
      </c>
      <c r="J5687" s="8" t="str">
        <f t="shared" si="354"/>
        <v/>
      </c>
      <c r="K5687" t="str">
        <f t="shared" si="355"/>
        <v>MISSING WHARTON</v>
      </c>
    </row>
    <row r="5688" spans="1:11">
      <c r="A5688" t="s">
        <v>126</v>
      </c>
      <c r="B5688" t="s">
        <v>1770</v>
      </c>
      <c r="C5688" t="s">
        <v>1634</v>
      </c>
      <c r="D5688" t="s">
        <v>1635</v>
      </c>
      <c r="E5688" s="8">
        <v>150</v>
      </c>
      <c r="F5688" s="8">
        <v>117060</v>
      </c>
      <c r="G5688" s="8">
        <f t="shared" si="352"/>
        <v>17559000</v>
      </c>
      <c r="H5688" s="5">
        <v>0.3324</v>
      </c>
      <c r="I5688" s="8">
        <f t="shared" si="353"/>
        <v>17559000</v>
      </c>
      <c r="J5688" s="8">
        <f t="shared" si="354"/>
        <v>5836611.6</v>
      </c>
      <c r="K5688" t="str">
        <f t="shared" si="355"/>
        <v>MATCHED</v>
      </c>
    </row>
    <row r="5689" spans="1:11">
      <c r="A5689" t="s">
        <v>126</v>
      </c>
      <c r="B5689" t="s">
        <v>1770</v>
      </c>
      <c r="C5689" t="s">
        <v>846</v>
      </c>
      <c r="D5689" t="s">
        <v>847</v>
      </c>
      <c r="E5689" s="8">
        <v>1280</v>
      </c>
      <c r="F5689" s="8">
        <v>129830</v>
      </c>
      <c r="G5689" s="8">
        <f t="shared" si="352"/>
        <v>166182400</v>
      </c>
      <c r="H5689" s="5">
        <v>0.44</v>
      </c>
      <c r="I5689" s="8">
        <f t="shared" si="353"/>
        <v>166182400</v>
      </c>
      <c r="J5689" s="8">
        <f t="shared" si="354"/>
        <v>73120256</v>
      </c>
      <c r="K5689" t="str">
        <f t="shared" si="355"/>
        <v>MATCHED</v>
      </c>
    </row>
    <row r="5690" spans="1:11">
      <c r="A5690" t="s">
        <v>126</v>
      </c>
      <c r="B5690" t="s">
        <v>1770</v>
      </c>
      <c r="C5690" t="s">
        <v>848</v>
      </c>
      <c r="D5690" t="s">
        <v>849</v>
      </c>
      <c r="E5690" s="8">
        <v>220</v>
      </c>
      <c r="F5690" s="8"/>
      <c r="G5690" s="8" t="str">
        <f t="shared" si="352"/>
        <v/>
      </c>
      <c r="H5690" s="5">
        <v>0.5759</v>
      </c>
      <c r="I5690" s="8" t="str">
        <f t="shared" si="353"/>
        <v/>
      </c>
      <c r="J5690" s="8" t="str">
        <f t="shared" si="354"/>
        <v/>
      </c>
      <c r="K5690" t="str">
        <f t="shared" si="355"/>
        <v>MISSING OEWS</v>
      </c>
    </row>
    <row r="5691" spans="1:11">
      <c r="A5691" t="s">
        <v>126</v>
      </c>
      <c r="B5691" t="s">
        <v>1770</v>
      </c>
      <c r="C5691" t="s">
        <v>608</v>
      </c>
      <c r="D5691" t="s">
        <v>609</v>
      </c>
      <c r="E5691" s="8">
        <v>760</v>
      </c>
      <c r="F5691" s="8">
        <v>78850</v>
      </c>
      <c r="G5691" s="8">
        <f t="shared" si="352"/>
        <v>59926000</v>
      </c>
      <c r="H5691" s="5">
        <v>0.1808</v>
      </c>
      <c r="I5691" s="8">
        <f t="shared" si="353"/>
        <v>59926000</v>
      </c>
      <c r="J5691" s="8">
        <f t="shared" si="354"/>
        <v>10834620.8</v>
      </c>
      <c r="K5691" t="str">
        <f t="shared" si="355"/>
        <v>MATCHED</v>
      </c>
    </row>
    <row r="5692" spans="1:11">
      <c r="A5692" t="s">
        <v>126</v>
      </c>
      <c r="B5692" t="s">
        <v>1770</v>
      </c>
      <c r="C5692" t="s">
        <v>1176</v>
      </c>
      <c r="D5692" t="s">
        <v>1177</v>
      </c>
      <c r="E5692" s="8">
        <v>110</v>
      </c>
      <c r="F5692" s="8">
        <v>108270</v>
      </c>
      <c r="G5692" s="8">
        <f t="shared" si="352"/>
        <v>11909700</v>
      </c>
      <c r="H5692" s="5">
        <v>0.2062</v>
      </c>
      <c r="I5692" s="8">
        <f t="shared" si="353"/>
        <v>11909700</v>
      </c>
      <c r="J5692" s="8">
        <f t="shared" si="354"/>
        <v>2455780.14</v>
      </c>
      <c r="K5692" t="str">
        <f t="shared" si="355"/>
        <v>MATCHED</v>
      </c>
    </row>
    <row r="5693" spans="1:11">
      <c r="A5693" t="s">
        <v>126</v>
      </c>
      <c r="B5693" t="s">
        <v>1770</v>
      </c>
      <c r="C5693" t="s">
        <v>610</v>
      </c>
      <c r="D5693" t="s">
        <v>611</v>
      </c>
      <c r="E5693" s="8">
        <v>640</v>
      </c>
      <c r="F5693" s="8">
        <v>142390</v>
      </c>
      <c r="G5693" s="8">
        <f t="shared" si="352"/>
        <v>91129600</v>
      </c>
      <c r="H5693" s="5">
        <v>0.4662</v>
      </c>
      <c r="I5693" s="8">
        <f t="shared" si="353"/>
        <v>91129600</v>
      </c>
      <c r="J5693" s="8">
        <f t="shared" si="354"/>
        <v>42484619.52</v>
      </c>
      <c r="K5693" t="str">
        <f t="shared" si="355"/>
        <v>MATCHED</v>
      </c>
    </row>
    <row r="5694" spans="1:11">
      <c r="A5694" t="s">
        <v>126</v>
      </c>
      <c r="B5694" t="s">
        <v>1770</v>
      </c>
      <c r="C5694" t="s">
        <v>612</v>
      </c>
      <c r="D5694" t="s">
        <v>613</v>
      </c>
      <c r="E5694" s="8">
        <v>150</v>
      </c>
      <c r="F5694" s="8">
        <v>105560</v>
      </c>
      <c r="G5694" s="8">
        <f t="shared" si="352"/>
        <v>15834000</v>
      </c>
      <c r="H5694" s="5">
        <v>0.2937</v>
      </c>
      <c r="I5694" s="8">
        <f t="shared" si="353"/>
        <v>15834000</v>
      </c>
      <c r="J5694" s="8">
        <f t="shared" si="354"/>
        <v>4650445.8</v>
      </c>
      <c r="K5694" t="str">
        <f t="shared" si="355"/>
        <v>MATCHED</v>
      </c>
    </row>
    <row r="5695" spans="1:11">
      <c r="A5695" t="s">
        <v>126</v>
      </c>
      <c r="B5695" t="s">
        <v>1770</v>
      </c>
      <c r="C5695" t="s">
        <v>850</v>
      </c>
      <c r="D5695" t="s">
        <v>851</v>
      </c>
      <c r="E5695" s="8">
        <v>720</v>
      </c>
      <c r="F5695" s="8"/>
      <c r="G5695" s="8" t="str">
        <f t="shared" si="352"/>
        <v/>
      </c>
      <c r="H5695" s="5">
        <v>0.5312</v>
      </c>
      <c r="I5695" s="8" t="str">
        <f t="shared" si="353"/>
        <v/>
      </c>
      <c r="J5695" s="8" t="str">
        <f t="shared" si="354"/>
        <v/>
      </c>
      <c r="K5695" t="str">
        <f t="shared" si="355"/>
        <v>MISSING OEWS</v>
      </c>
    </row>
    <row r="5696" spans="1:11">
      <c r="A5696" t="s">
        <v>126</v>
      </c>
      <c r="B5696" t="s">
        <v>1770</v>
      </c>
      <c r="C5696" t="s">
        <v>614</v>
      </c>
      <c r="D5696" t="s">
        <v>615</v>
      </c>
      <c r="E5696" s="8">
        <v>150</v>
      </c>
      <c r="F5696" s="8">
        <v>117930</v>
      </c>
      <c r="G5696" s="8">
        <f t="shared" si="352"/>
        <v>17689500</v>
      </c>
      <c r="H5696" s="5">
        <v>0.5271</v>
      </c>
      <c r="I5696" s="8">
        <f t="shared" si="353"/>
        <v>17689500</v>
      </c>
      <c r="J5696" s="8">
        <f t="shared" si="354"/>
        <v>9324135.45</v>
      </c>
      <c r="K5696" t="str">
        <f t="shared" si="355"/>
        <v>MATCHED</v>
      </c>
    </row>
    <row r="5697" spans="1:11">
      <c r="A5697" t="s">
        <v>126</v>
      </c>
      <c r="B5697" t="s">
        <v>1770</v>
      </c>
      <c r="C5697" t="s">
        <v>1567</v>
      </c>
      <c r="D5697" t="s">
        <v>1568</v>
      </c>
      <c r="E5697" s="8"/>
      <c r="F5697" s="8">
        <v>62260</v>
      </c>
      <c r="G5697" s="8" t="str">
        <f t="shared" si="352"/>
        <v/>
      </c>
      <c r="H5697" s="5">
        <v>0.7375</v>
      </c>
      <c r="I5697" s="8" t="str">
        <f t="shared" si="353"/>
        <v/>
      </c>
      <c r="J5697" s="8" t="str">
        <f t="shared" si="354"/>
        <v/>
      </c>
      <c r="K5697" t="str">
        <f t="shared" si="355"/>
        <v>MISSING OEWS</v>
      </c>
    </row>
    <row r="5698" spans="1:11">
      <c r="A5698" t="s">
        <v>126</v>
      </c>
      <c r="B5698" t="s">
        <v>1770</v>
      </c>
      <c r="C5698" t="s">
        <v>1606</v>
      </c>
      <c r="D5698" t="s">
        <v>1607</v>
      </c>
      <c r="E5698" s="8">
        <v>1370</v>
      </c>
      <c r="F5698" s="8">
        <v>103580</v>
      </c>
      <c r="G5698" s="8">
        <f t="shared" ref="G5698:G5761" si="356">IF(OR(E5698="",F5698=""),"",E5698*F5698)</f>
        <v>141904600</v>
      </c>
      <c r="H5698" s="5">
        <v>0.1883</v>
      </c>
      <c r="I5698" s="8">
        <f t="shared" ref="I5698:I5761" si="357">IF(G5698="","",IF(ISNUMBER(H5698),G5698,""))</f>
        <v>141904600</v>
      </c>
      <c r="J5698" s="8">
        <f t="shared" ref="J5698:J5761" si="358">IF(I5698="","",I5698*H5698)</f>
        <v>26720636.18</v>
      </c>
      <c r="K5698" t="str">
        <f t="shared" ref="K5698:K5761" si="359">IF(G5698="","MISSING OEWS",IF(ISNUMBER(H5698),"MATCHED","MISSING WHARTON"))</f>
        <v>MATCHED</v>
      </c>
    </row>
    <row r="5699" spans="1:11">
      <c r="A5699" t="s">
        <v>126</v>
      </c>
      <c r="B5699" t="s">
        <v>1770</v>
      </c>
      <c r="C5699" t="s">
        <v>1640</v>
      </c>
      <c r="D5699" t="s">
        <v>1641</v>
      </c>
      <c r="E5699" s="8">
        <v>4580</v>
      </c>
      <c r="F5699" s="8">
        <v>93080</v>
      </c>
      <c r="G5699" s="8">
        <f t="shared" si="356"/>
        <v>426306400</v>
      </c>
      <c r="H5699" s="5">
        <v>0.3447</v>
      </c>
      <c r="I5699" s="8">
        <f t="shared" si="357"/>
        <v>426306400</v>
      </c>
      <c r="J5699" s="8">
        <f t="shared" si="358"/>
        <v>146947816.08</v>
      </c>
      <c r="K5699" t="str">
        <f t="shared" si="359"/>
        <v>MATCHED</v>
      </c>
    </row>
    <row r="5700" spans="1:11">
      <c r="A5700" t="s">
        <v>126</v>
      </c>
      <c r="B5700" t="s">
        <v>1770</v>
      </c>
      <c r="C5700" t="s">
        <v>1642</v>
      </c>
      <c r="D5700" t="s">
        <v>1643</v>
      </c>
      <c r="E5700" s="8">
        <v>300</v>
      </c>
      <c r="F5700" s="8">
        <v>113030</v>
      </c>
      <c r="G5700" s="8">
        <f t="shared" si="356"/>
        <v>33909000</v>
      </c>
      <c r="H5700" s="5">
        <v>0.1333</v>
      </c>
      <c r="I5700" s="8">
        <f t="shared" si="357"/>
        <v>33909000</v>
      </c>
      <c r="J5700" s="8">
        <f t="shared" si="358"/>
        <v>4520069.7</v>
      </c>
      <c r="K5700" t="str">
        <f t="shared" si="359"/>
        <v>MATCHED</v>
      </c>
    </row>
    <row r="5701" spans="1:11">
      <c r="A5701" t="s">
        <v>126</v>
      </c>
      <c r="B5701" t="s">
        <v>1770</v>
      </c>
      <c r="C5701" t="s">
        <v>1644</v>
      </c>
      <c r="D5701" t="s">
        <v>1645</v>
      </c>
      <c r="E5701" s="8">
        <v>220</v>
      </c>
      <c r="F5701" s="8">
        <v>106740</v>
      </c>
      <c r="G5701" s="8">
        <f t="shared" si="356"/>
        <v>23482800</v>
      </c>
      <c r="H5701" s="5">
        <v>0.3423</v>
      </c>
      <c r="I5701" s="8">
        <f t="shared" si="357"/>
        <v>23482800</v>
      </c>
      <c r="J5701" s="8">
        <f t="shared" si="358"/>
        <v>8038162.44</v>
      </c>
      <c r="K5701" t="str">
        <f t="shared" si="359"/>
        <v>MATCHED</v>
      </c>
    </row>
    <row r="5702" spans="1:11">
      <c r="A5702" t="s">
        <v>126</v>
      </c>
      <c r="B5702" t="s">
        <v>1770</v>
      </c>
      <c r="C5702" t="s">
        <v>1646</v>
      </c>
      <c r="D5702" t="s">
        <v>1647</v>
      </c>
      <c r="E5702" s="8">
        <v>80</v>
      </c>
      <c r="F5702" s="8">
        <v>66580</v>
      </c>
      <c r="G5702" s="8">
        <f t="shared" si="356"/>
        <v>5326400</v>
      </c>
      <c r="H5702" s="5">
        <v>0.18</v>
      </c>
      <c r="I5702" s="8">
        <f t="shared" si="357"/>
        <v>5326400</v>
      </c>
      <c r="J5702" s="8">
        <f t="shared" si="358"/>
        <v>958752</v>
      </c>
      <c r="K5702" t="str">
        <f t="shared" si="359"/>
        <v>MATCHED</v>
      </c>
    </row>
    <row r="5703" spans="1:11">
      <c r="A5703" t="s">
        <v>126</v>
      </c>
      <c r="B5703" t="s">
        <v>1770</v>
      </c>
      <c r="C5703" t="s">
        <v>1652</v>
      </c>
      <c r="D5703" t="s">
        <v>1653</v>
      </c>
      <c r="E5703" s="8">
        <v>130</v>
      </c>
      <c r="F5703" s="8">
        <v>137510</v>
      </c>
      <c r="G5703" s="8">
        <f t="shared" si="356"/>
        <v>17876300</v>
      </c>
      <c r="H5703" s="5">
        <v>0.5036</v>
      </c>
      <c r="I5703" s="8">
        <f t="shared" si="357"/>
        <v>17876300</v>
      </c>
      <c r="J5703" s="8">
        <f t="shared" si="358"/>
        <v>9002504.68</v>
      </c>
      <c r="K5703" t="str">
        <f t="shared" si="359"/>
        <v>MATCHED</v>
      </c>
    </row>
    <row r="5704" spans="1:11">
      <c r="A5704" t="s">
        <v>126</v>
      </c>
      <c r="B5704" t="s">
        <v>1770</v>
      </c>
      <c r="C5704" t="s">
        <v>1178</v>
      </c>
      <c r="D5704" t="s">
        <v>1179</v>
      </c>
      <c r="E5704" s="8">
        <v>2030</v>
      </c>
      <c r="F5704" s="8">
        <v>98970</v>
      </c>
      <c r="G5704" s="8">
        <f t="shared" si="356"/>
        <v>200909100</v>
      </c>
      <c r="H5704" s="5">
        <v>0.5545</v>
      </c>
      <c r="I5704" s="8">
        <f t="shared" si="357"/>
        <v>200909100</v>
      </c>
      <c r="J5704" s="8">
        <f t="shared" si="358"/>
        <v>111404095.95</v>
      </c>
      <c r="K5704" t="str">
        <f t="shared" si="359"/>
        <v>MATCHED</v>
      </c>
    </row>
    <row r="5705" spans="1:11">
      <c r="A5705" t="s">
        <v>126</v>
      </c>
      <c r="B5705" t="s">
        <v>1770</v>
      </c>
      <c r="C5705" t="s">
        <v>317</v>
      </c>
      <c r="D5705" t="s">
        <v>318</v>
      </c>
      <c r="E5705" s="8">
        <v>5640</v>
      </c>
      <c r="F5705" s="8">
        <v>57300</v>
      </c>
      <c r="G5705" s="8">
        <f t="shared" si="356"/>
        <v>323172000</v>
      </c>
      <c r="H5705" s="5">
        <v>0.2778</v>
      </c>
      <c r="I5705" s="8">
        <f t="shared" si="357"/>
        <v>323172000</v>
      </c>
      <c r="J5705" s="8">
        <f t="shared" si="358"/>
        <v>89777181.6</v>
      </c>
      <c r="K5705" t="str">
        <f t="shared" si="359"/>
        <v>MATCHED</v>
      </c>
    </row>
    <row r="5706" spans="1:11">
      <c r="A5706" t="s">
        <v>126</v>
      </c>
      <c r="B5706" t="s">
        <v>1770</v>
      </c>
      <c r="C5706" t="s">
        <v>616</v>
      </c>
      <c r="D5706" t="s">
        <v>617</v>
      </c>
      <c r="E5706" s="8">
        <v>350</v>
      </c>
      <c r="F5706" s="8">
        <v>54780</v>
      </c>
      <c r="G5706" s="8">
        <f t="shared" si="356"/>
        <v>19173000</v>
      </c>
      <c r="H5706" s="5">
        <v>0.25</v>
      </c>
      <c r="I5706" s="8">
        <f t="shared" si="357"/>
        <v>19173000</v>
      </c>
      <c r="J5706" s="8">
        <f t="shared" si="358"/>
        <v>4793250</v>
      </c>
      <c r="K5706" t="str">
        <f t="shared" si="359"/>
        <v>MATCHED</v>
      </c>
    </row>
    <row r="5707" spans="1:11">
      <c r="A5707" t="s">
        <v>126</v>
      </c>
      <c r="B5707" t="s">
        <v>1770</v>
      </c>
      <c r="C5707" t="s">
        <v>618</v>
      </c>
      <c r="D5707" t="s">
        <v>619</v>
      </c>
      <c r="E5707" s="8">
        <v>180</v>
      </c>
      <c r="F5707" s="8">
        <v>55860</v>
      </c>
      <c r="G5707" s="8">
        <f t="shared" si="356"/>
        <v>10054800</v>
      </c>
      <c r="H5707" s="5">
        <v>0.2635</v>
      </c>
      <c r="I5707" s="8">
        <f t="shared" si="357"/>
        <v>10054800</v>
      </c>
      <c r="J5707" s="8">
        <f t="shared" si="358"/>
        <v>2649439.8</v>
      </c>
      <c r="K5707" t="str">
        <f t="shared" si="359"/>
        <v>MATCHED</v>
      </c>
    </row>
    <row r="5708" spans="1:11">
      <c r="A5708" t="s">
        <v>126</v>
      </c>
      <c r="B5708" t="s">
        <v>1770</v>
      </c>
      <c r="C5708" t="s">
        <v>1180</v>
      </c>
      <c r="D5708" t="s">
        <v>1181</v>
      </c>
      <c r="E5708" s="8">
        <v>3830</v>
      </c>
      <c r="F5708" s="8">
        <v>63100</v>
      </c>
      <c r="G5708" s="8">
        <f t="shared" si="356"/>
        <v>241673000</v>
      </c>
      <c r="H5708" s="5">
        <v>0.7087</v>
      </c>
      <c r="I5708" s="8">
        <f t="shared" si="357"/>
        <v>241673000</v>
      </c>
      <c r="J5708" s="8">
        <f t="shared" si="358"/>
        <v>171273655.1</v>
      </c>
      <c r="K5708" t="str">
        <f t="shared" si="359"/>
        <v>MATCHED</v>
      </c>
    </row>
    <row r="5709" spans="1:11">
      <c r="A5709" t="s">
        <v>126</v>
      </c>
      <c r="B5709" t="s">
        <v>1770</v>
      </c>
      <c r="C5709" t="s">
        <v>624</v>
      </c>
      <c r="D5709" t="s">
        <v>625</v>
      </c>
      <c r="E5709" s="8">
        <v>5180</v>
      </c>
      <c r="F5709" s="8">
        <v>57070</v>
      </c>
      <c r="G5709" s="8">
        <f t="shared" si="356"/>
        <v>295622600</v>
      </c>
      <c r="H5709" s="5">
        <v>0.5519</v>
      </c>
      <c r="I5709" s="8">
        <f t="shared" si="357"/>
        <v>295622600</v>
      </c>
      <c r="J5709" s="8">
        <f t="shared" si="358"/>
        <v>163154112.94</v>
      </c>
      <c r="K5709" t="str">
        <f t="shared" si="359"/>
        <v>MATCHED</v>
      </c>
    </row>
    <row r="5710" spans="1:11">
      <c r="A5710" t="s">
        <v>126</v>
      </c>
      <c r="B5710" t="s">
        <v>1770</v>
      </c>
      <c r="C5710" t="s">
        <v>319</v>
      </c>
      <c r="D5710" t="s">
        <v>320</v>
      </c>
      <c r="E5710" s="8">
        <v>1930</v>
      </c>
      <c r="F5710" s="8">
        <v>84870</v>
      </c>
      <c r="G5710" s="8">
        <f t="shared" si="356"/>
        <v>163799100</v>
      </c>
      <c r="H5710" s="5">
        <v>0.2786</v>
      </c>
      <c r="I5710" s="8">
        <f t="shared" si="357"/>
        <v>163799100</v>
      </c>
      <c r="J5710" s="8">
        <f t="shared" si="358"/>
        <v>45634429.26</v>
      </c>
      <c r="K5710" t="str">
        <f t="shared" si="359"/>
        <v>MATCHED</v>
      </c>
    </row>
    <row r="5711" spans="1:11">
      <c r="A5711" t="s">
        <v>126</v>
      </c>
      <c r="B5711" t="s">
        <v>1770</v>
      </c>
      <c r="C5711" t="s">
        <v>626</v>
      </c>
      <c r="D5711" t="s">
        <v>627</v>
      </c>
      <c r="E5711" s="8">
        <v>210</v>
      </c>
      <c r="F5711" s="8">
        <v>68090</v>
      </c>
      <c r="G5711" s="8">
        <f t="shared" si="356"/>
        <v>14298900</v>
      </c>
      <c r="H5711" s="5">
        <v>0.2712</v>
      </c>
      <c r="I5711" s="8">
        <f t="shared" si="357"/>
        <v>14298900</v>
      </c>
      <c r="J5711" s="8">
        <f t="shared" si="358"/>
        <v>3877861.68</v>
      </c>
      <c r="K5711" t="str">
        <f t="shared" si="359"/>
        <v>MATCHED</v>
      </c>
    </row>
    <row r="5712" spans="1:11">
      <c r="A5712" t="s">
        <v>126</v>
      </c>
      <c r="B5712" t="s">
        <v>1770</v>
      </c>
      <c r="C5712" t="s">
        <v>1464</v>
      </c>
      <c r="D5712" t="s">
        <v>1465</v>
      </c>
      <c r="E5712" s="8">
        <v>82880</v>
      </c>
      <c r="F5712" s="8">
        <v>62730</v>
      </c>
      <c r="G5712" s="8">
        <f t="shared" si="356"/>
        <v>5199062400</v>
      </c>
      <c r="H5712" s="5">
        <v>0.3176</v>
      </c>
      <c r="I5712" s="8">
        <f t="shared" si="357"/>
        <v>5199062400</v>
      </c>
      <c r="J5712" s="8">
        <f t="shared" si="358"/>
        <v>1651222218.24</v>
      </c>
      <c r="K5712" t="str">
        <f t="shared" si="359"/>
        <v>MATCHED</v>
      </c>
    </row>
    <row r="5713" spans="1:11">
      <c r="A5713" t="s">
        <v>126</v>
      </c>
      <c r="B5713" t="s">
        <v>1770</v>
      </c>
      <c r="C5713" t="s">
        <v>1711</v>
      </c>
      <c r="D5713" t="s">
        <v>1712</v>
      </c>
      <c r="E5713" s="8">
        <v>970</v>
      </c>
      <c r="F5713" s="8">
        <v>72140</v>
      </c>
      <c r="G5713" s="8">
        <f t="shared" si="356"/>
        <v>69975800</v>
      </c>
      <c r="H5713" s="5">
        <v>0.0594</v>
      </c>
      <c r="I5713" s="8">
        <f t="shared" si="357"/>
        <v>69975800</v>
      </c>
      <c r="J5713" s="8">
        <f t="shared" si="358"/>
        <v>4156562.52</v>
      </c>
      <c r="K5713" t="str">
        <f t="shared" si="359"/>
        <v>MATCHED</v>
      </c>
    </row>
    <row r="5714" spans="1:11">
      <c r="A5714" t="s">
        <v>126</v>
      </c>
      <c r="B5714" t="s">
        <v>1770</v>
      </c>
      <c r="C5714" t="s">
        <v>1466</v>
      </c>
      <c r="D5714" t="s">
        <v>1467</v>
      </c>
      <c r="E5714" s="8">
        <v>620</v>
      </c>
      <c r="F5714" s="8">
        <v>49510</v>
      </c>
      <c r="G5714" s="8">
        <f t="shared" si="356"/>
        <v>30696200</v>
      </c>
      <c r="H5714" s="5">
        <v>0.2618</v>
      </c>
      <c r="I5714" s="8">
        <f t="shared" si="357"/>
        <v>30696200</v>
      </c>
      <c r="J5714" s="8">
        <f t="shared" si="358"/>
        <v>8036265.16</v>
      </c>
      <c r="K5714" t="str">
        <f t="shared" si="359"/>
        <v>MATCHED</v>
      </c>
    </row>
    <row r="5715" spans="1:11">
      <c r="A5715" t="s">
        <v>126</v>
      </c>
      <c r="B5715" t="s">
        <v>1770</v>
      </c>
      <c r="C5715" t="s">
        <v>1608</v>
      </c>
      <c r="D5715" t="s">
        <v>1609</v>
      </c>
      <c r="E5715" s="8">
        <v>12320</v>
      </c>
      <c r="F5715" s="8">
        <v>58880</v>
      </c>
      <c r="G5715" s="8">
        <f t="shared" si="356"/>
        <v>725401600</v>
      </c>
      <c r="H5715" s="5">
        <v>0.1862</v>
      </c>
      <c r="I5715" s="8">
        <f t="shared" si="357"/>
        <v>725401600</v>
      </c>
      <c r="J5715" s="8">
        <f t="shared" si="358"/>
        <v>135069777.92</v>
      </c>
      <c r="K5715" t="str">
        <f t="shared" si="359"/>
        <v>MATCHED</v>
      </c>
    </row>
    <row r="5716" spans="1:11">
      <c r="A5716" t="s">
        <v>126</v>
      </c>
      <c r="B5716" t="s">
        <v>1770</v>
      </c>
      <c r="C5716" t="s">
        <v>1468</v>
      </c>
      <c r="D5716" t="s">
        <v>1469</v>
      </c>
      <c r="E5716" s="8">
        <v>1160</v>
      </c>
      <c r="F5716" s="8">
        <v>59890</v>
      </c>
      <c r="G5716" s="8">
        <f t="shared" si="356"/>
        <v>69472400</v>
      </c>
      <c r="H5716" s="5"/>
      <c r="I5716" s="8" t="str">
        <f t="shared" si="357"/>
        <v/>
      </c>
      <c r="J5716" s="8" t="str">
        <f t="shared" si="358"/>
        <v/>
      </c>
      <c r="K5716" t="str">
        <f t="shared" si="359"/>
        <v>MISSING WHARTON</v>
      </c>
    </row>
    <row r="5717" spans="1:11">
      <c r="A5717" t="s">
        <v>126</v>
      </c>
      <c r="B5717" t="s">
        <v>1770</v>
      </c>
      <c r="C5717" t="s">
        <v>1610</v>
      </c>
      <c r="D5717" t="s">
        <v>1611</v>
      </c>
      <c r="E5717" s="8">
        <v>9090</v>
      </c>
      <c r="F5717" s="8">
        <v>67620</v>
      </c>
      <c r="G5717" s="8">
        <f t="shared" si="356"/>
        <v>614665800</v>
      </c>
      <c r="H5717" s="5">
        <v>0.2457</v>
      </c>
      <c r="I5717" s="8">
        <f t="shared" si="357"/>
        <v>614665800</v>
      </c>
      <c r="J5717" s="8">
        <f t="shared" si="358"/>
        <v>151023387.06</v>
      </c>
      <c r="K5717" t="str">
        <f t="shared" si="359"/>
        <v>MATCHED</v>
      </c>
    </row>
    <row r="5718" spans="1:11">
      <c r="A5718" t="s">
        <v>126</v>
      </c>
      <c r="B5718" t="s">
        <v>1770</v>
      </c>
      <c r="C5718" t="s">
        <v>1417</v>
      </c>
      <c r="D5718" t="s">
        <v>1418</v>
      </c>
      <c r="E5718" s="8">
        <v>620</v>
      </c>
      <c r="F5718" s="8">
        <v>76760</v>
      </c>
      <c r="G5718" s="8">
        <f t="shared" si="356"/>
        <v>47591200</v>
      </c>
      <c r="H5718" s="5">
        <v>0.2206</v>
      </c>
      <c r="I5718" s="8">
        <f t="shared" si="357"/>
        <v>47591200</v>
      </c>
      <c r="J5718" s="8">
        <f t="shared" si="358"/>
        <v>10498618.72</v>
      </c>
      <c r="K5718" t="str">
        <f t="shared" si="359"/>
        <v>MATCHED</v>
      </c>
    </row>
    <row r="5719" spans="1:11">
      <c r="A5719" t="s">
        <v>126</v>
      </c>
      <c r="B5719" t="s">
        <v>1770</v>
      </c>
      <c r="C5719" t="s">
        <v>1612</v>
      </c>
      <c r="D5719" t="s">
        <v>1613</v>
      </c>
      <c r="E5719" s="8">
        <v>700</v>
      </c>
      <c r="F5719" s="8">
        <v>77170</v>
      </c>
      <c r="G5719" s="8">
        <f t="shared" si="356"/>
        <v>54019000</v>
      </c>
      <c r="H5719" s="5">
        <v>0.1615</v>
      </c>
      <c r="I5719" s="8">
        <f t="shared" si="357"/>
        <v>54019000</v>
      </c>
      <c r="J5719" s="8">
        <f t="shared" si="358"/>
        <v>8724068.5</v>
      </c>
      <c r="K5719" t="str">
        <f t="shared" si="359"/>
        <v>MATCHED</v>
      </c>
    </row>
    <row r="5720" spans="1:11">
      <c r="A5720" t="s">
        <v>126</v>
      </c>
      <c r="B5720" t="s">
        <v>1770</v>
      </c>
      <c r="C5720" t="s">
        <v>1614</v>
      </c>
      <c r="D5720" t="s">
        <v>1615</v>
      </c>
      <c r="E5720" s="8">
        <v>380</v>
      </c>
      <c r="F5720" s="8">
        <v>59020</v>
      </c>
      <c r="G5720" s="8">
        <f t="shared" si="356"/>
        <v>22427600</v>
      </c>
      <c r="H5720" s="5"/>
      <c r="I5720" s="8" t="str">
        <f t="shared" si="357"/>
        <v/>
      </c>
      <c r="J5720" s="8" t="str">
        <f t="shared" si="358"/>
        <v/>
      </c>
      <c r="K5720" t="str">
        <f t="shared" si="359"/>
        <v>MISSING WHARTON</v>
      </c>
    </row>
    <row r="5721" spans="1:11">
      <c r="A5721" t="s">
        <v>126</v>
      </c>
      <c r="B5721" t="s">
        <v>1770</v>
      </c>
      <c r="C5721" t="s">
        <v>1419</v>
      </c>
      <c r="D5721" t="s">
        <v>1420</v>
      </c>
      <c r="E5721" s="8">
        <v>1260</v>
      </c>
      <c r="F5721" s="8">
        <v>64160</v>
      </c>
      <c r="G5721" s="8">
        <f t="shared" si="356"/>
        <v>80841600</v>
      </c>
      <c r="H5721" s="5">
        <v>0.5875</v>
      </c>
      <c r="I5721" s="8">
        <f t="shared" si="357"/>
        <v>80841600</v>
      </c>
      <c r="J5721" s="8">
        <f t="shared" si="358"/>
        <v>47494440</v>
      </c>
      <c r="K5721" t="str">
        <f t="shared" si="359"/>
        <v>MATCHED</v>
      </c>
    </row>
    <row r="5722" spans="1:11">
      <c r="A5722" t="s">
        <v>126</v>
      </c>
      <c r="B5722" t="s">
        <v>1770</v>
      </c>
      <c r="C5722" t="s">
        <v>940</v>
      </c>
      <c r="D5722" t="s">
        <v>941</v>
      </c>
      <c r="E5722" s="8">
        <v>5520</v>
      </c>
      <c r="F5722" s="8">
        <v>45150</v>
      </c>
      <c r="G5722" s="8">
        <f t="shared" si="356"/>
        <v>249228000</v>
      </c>
      <c r="H5722" s="5">
        <v>0.4</v>
      </c>
      <c r="I5722" s="8">
        <f t="shared" si="357"/>
        <v>249228000</v>
      </c>
      <c r="J5722" s="8">
        <f t="shared" si="358"/>
        <v>99691200</v>
      </c>
      <c r="K5722" t="str">
        <f t="shared" si="359"/>
        <v>MATCHED</v>
      </c>
    </row>
    <row r="5723" spans="1:11">
      <c r="A5723" t="s">
        <v>126</v>
      </c>
      <c r="B5723" t="s">
        <v>1770</v>
      </c>
      <c r="C5723" t="s">
        <v>1569</v>
      </c>
      <c r="D5723" t="s">
        <v>1570</v>
      </c>
      <c r="E5723" s="8">
        <v>1090</v>
      </c>
      <c r="F5723" s="8">
        <v>50250</v>
      </c>
      <c r="G5723" s="8">
        <f t="shared" si="356"/>
        <v>54772500</v>
      </c>
      <c r="H5723" s="5">
        <v>0.2672</v>
      </c>
      <c r="I5723" s="8">
        <f t="shared" si="357"/>
        <v>54772500</v>
      </c>
      <c r="J5723" s="8">
        <f t="shared" si="358"/>
        <v>14635212</v>
      </c>
      <c r="K5723" t="str">
        <f t="shared" si="359"/>
        <v>MATCHED</v>
      </c>
    </row>
    <row r="5724" spans="1:11">
      <c r="A5724" t="s">
        <v>126</v>
      </c>
      <c r="B5724" t="s">
        <v>1770</v>
      </c>
      <c r="C5724" t="s">
        <v>942</v>
      </c>
      <c r="D5724" t="s">
        <v>943</v>
      </c>
      <c r="E5724" s="8">
        <v>5190</v>
      </c>
      <c r="F5724" s="8">
        <v>62410</v>
      </c>
      <c r="G5724" s="8">
        <f t="shared" si="356"/>
        <v>323907900</v>
      </c>
      <c r="H5724" s="5"/>
      <c r="I5724" s="8" t="str">
        <f t="shared" si="357"/>
        <v/>
      </c>
      <c r="J5724" s="8" t="str">
        <f t="shared" si="358"/>
        <v/>
      </c>
      <c r="K5724" t="str">
        <f t="shared" si="359"/>
        <v>MISSING WHARTON</v>
      </c>
    </row>
    <row r="5725" spans="1:11">
      <c r="A5725" t="s">
        <v>126</v>
      </c>
      <c r="B5725" t="s">
        <v>1770</v>
      </c>
      <c r="C5725" t="s">
        <v>1182</v>
      </c>
      <c r="D5725" t="s">
        <v>1183</v>
      </c>
      <c r="E5725" s="8">
        <v>3100</v>
      </c>
      <c r="F5725" s="8">
        <v>61020</v>
      </c>
      <c r="G5725" s="8">
        <f t="shared" si="356"/>
        <v>189162000</v>
      </c>
      <c r="H5725" s="5">
        <v>0.1786</v>
      </c>
      <c r="I5725" s="8">
        <f t="shared" si="357"/>
        <v>189162000</v>
      </c>
      <c r="J5725" s="8">
        <f t="shared" si="358"/>
        <v>33784333.2</v>
      </c>
      <c r="K5725" t="str">
        <f t="shared" si="359"/>
        <v>MATCHED</v>
      </c>
    </row>
    <row r="5726" spans="1:11">
      <c r="A5726" t="s">
        <v>126</v>
      </c>
      <c r="B5726" t="s">
        <v>1770</v>
      </c>
      <c r="C5726" t="s">
        <v>1713</v>
      </c>
      <c r="D5726" t="s">
        <v>1714</v>
      </c>
      <c r="E5726" s="8">
        <v>2590</v>
      </c>
      <c r="F5726" s="8">
        <v>59090</v>
      </c>
      <c r="G5726" s="8">
        <f t="shared" si="356"/>
        <v>153043100</v>
      </c>
      <c r="H5726" s="5">
        <v>0.2974</v>
      </c>
      <c r="I5726" s="8">
        <f t="shared" si="357"/>
        <v>153043100</v>
      </c>
      <c r="J5726" s="8">
        <f t="shared" si="358"/>
        <v>45515017.94</v>
      </c>
      <c r="K5726" t="str">
        <f t="shared" si="359"/>
        <v>MATCHED</v>
      </c>
    </row>
    <row r="5727" spans="1:11">
      <c r="A5727" t="s">
        <v>126</v>
      </c>
      <c r="B5727" t="s">
        <v>1770</v>
      </c>
      <c r="C5727" t="s">
        <v>1771</v>
      </c>
      <c r="D5727" t="s">
        <v>1772</v>
      </c>
      <c r="E5727" s="8">
        <v>610</v>
      </c>
      <c r="F5727" s="8">
        <v>50110</v>
      </c>
      <c r="G5727" s="8">
        <f t="shared" si="356"/>
        <v>30567100</v>
      </c>
      <c r="H5727" s="5"/>
      <c r="I5727" s="8" t="str">
        <f t="shared" si="357"/>
        <v/>
      </c>
      <c r="J5727" s="8" t="str">
        <f t="shared" si="358"/>
        <v/>
      </c>
      <c r="K5727" t="str">
        <f t="shared" si="359"/>
        <v>MISSING WHARTON</v>
      </c>
    </row>
    <row r="5728" spans="1:11">
      <c r="A5728" t="s">
        <v>126</v>
      </c>
      <c r="B5728" t="s">
        <v>1770</v>
      </c>
      <c r="C5728" t="s">
        <v>628</v>
      </c>
      <c r="D5728" t="s">
        <v>629</v>
      </c>
      <c r="E5728" s="8">
        <v>2430</v>
      </c>
      <c r="F5728" s="8">
        <v>195720</v>
      </c>
      <c r="G5728" s="8">
        <f t="shared" si="356"/>
        <v>475599600</v>
      </c>
      <c r="H5728" s="5">
        <v>0.45</v>
      </c>
      <c r="I5728" s="8">
        <f t="shared" si="357"/>
        <v>475599600</v>
      </c>
      <c r="J5728" s="8">
        <f t="shared" si="358"/>
        <v>214019820</v>
      </c>
      <c r="K5728" t="str">
        <f t="shared" si="359"/>
        <v>MATCHED</v>
      </c>
    </row>
    <row r="5729" spans="1:11">
      <c r="A5729" t="s">
        <v>126</v>
      </c>
      <c r="B5729" t="s">
        <v>1770</v>
      </c>
      <c r="C5729" t="s">
        <v>1421</v>
      </c>
      <c r="D5729" t="s">
        <v>1422</v>
      </c>
      <c r="E5729" s="8">
        <v>30</v>
      </c>
      <c r="F5729" s="8">
        <v>135000</v>
      </c>
      <c r="G5729" s="8">
        <f t="shared" si="356"/>
        <v>4050000</v>
      </c>
      <c r="H5729" s="5">
        <v>0.4375</v>
      </c>
      <c r="I5729" s="8">
        <f t="shared" si="357"/>
        <v>4050000</v>
      </c>
      <c r="J5729" s="8">
        <f t="shared" si="358"/>
        <v>1771875</v>
      </c>
      <c r="K5729" t="str">
        <f t="shared" si="359"/>
        <v>MATCHED</v>
      </c>
    </row>
    <row r="5730" spans="1:11">
      <c r="A5730" t="s">
        <v>126</v>
      </c>
      <c r="B5730" t="s">
        <v>1770</v>
      </c>
      <c r="C5730" t="s">
        <v>630</v>
      </c>
      <c r="D5730" t="s">
        <v>631</v>
      </c>
      <c r="E5730" s="8">
        <v>460</v>
      </c>
      <c r="F5730" s="8">
        <v>78330</v>
      </c>
      <c r="G5730" s="8">
        <f t="shared" si="356"/>
        <v>36031800</v>
      </c>
      <c r="H5730" s="5">
        <v>0.5917</v>
      </c>
      <c r="I5730" s="8">
        <f t="shared" si="357"/>
        <v>36031800</v>
      </c>
      <c r="J5730" s="8">
        <f t="shared" si="358"/>
        <v>21320016.06</v>
      </c>
      <c r="K5730" t="str">
        <f t="shared" si="359"/>
        <v>MATCHED</v>
      </c>
    </row>
    <row r="5731" spans="1:11">
      <c r="A5731" t="s">
        <v>126</v>
      </c>
      <c r="B5731" t="s">
        <v>1770</v>
      </c>
      <c r="C5731" t="s">
        <v>634</v>
      </c>
      <c r="D5731" t="s">
        <v>635</v>
      </c>
      <c r="E5731" s="8">
        <v>220</v>
      </c>
      <c r="F5731" s="8">
        <v>78070</v>
      </c>
      <c r="G5731" s="8">
        <f t="shared" si="356"/>
        <v>17175400</v>
      </c>
      <c r="H5731" s="5"/>
      <c r="I5731" s="8" t="str">
        <f t="shared" si="357"/>
        <v/>
      </c>
      <c r="J5731" s="8" t="str">
        <f t="shared" si="358"/>
        <v/>
      </c>
      <c r="K5731" t="str">
        <f t="shared" si="359"/>
        <v>MISSING WHARTON</v>
      </c>
    </row>
    <row r="5732" spans="1:11">
      <c r="A5732" t="s">
        <v>126</v>
      </c>
      <c r="B5732" t="s">
        <v>1770</v>
      </c>
      <c r="C5732" t="s">
        <v>1773</v>
      </c>
      <c r="D5732" t="s">
        <v>1774</v>
      </c>
      <c r="E5732" s="8">
        <v>35510</v>
      </c>
      <c r="F5732" s="8">
        <v>110250</v>
      </c>
      <c r="G5732" s="8">
        <f t="shared" si="356"/>
        <v>3914977500</v>
      </c>
      <c r="H5732" s="5">
        <v>0.434</v>
      </c>
      <c r="I5732" s="8">
        <f t="shared" si="357"/>
        <v>3914977500</v>
      </c>
      <c r="J5732" s="8">
        <f t="shared" si="358"/>
        <v>1699100235</v>
      </c>
      <c r="K5732" t="str">
        <f t="shared" si="359"/>
        <v>MATCHED</v>
      </c>
    </row>
    <row r="5733" spans="1:11">
      <c r="A5733" t="s">
        <v>126</v>
      </c>
      <c r="B5733" t="s">
        <v>1770</v>
      </c>
      <c r="C5733" t="s">
        <v>1775</v>
      </c>
      <c r="D5733" t="s">
        <v>1776</v>
      </c>
      <c r="E5733" s="8">
        <v>11580</v>
      </c>
      <c r="F5733" s="8">
        <v>100070</v>
      </c>
      <c r="G5733" s="8">
        <f t="shared" si="356"/>
        <v>1158810600</v>
      </c>
      <c r="H5733" s="5">
        <v>0.3808</v>
      </c>
      <c r="I5733" s="8">
        <f t="shared" si="357"/>
        <v>1158810600</v>
      </c>
      <c r="J5733" s="8">
        <f t="shared" si="358"/>
        <v>441275076.48</v>
      </c>
      <c r="K5733" t="str">
        <f t="shared" si="359"/>
        <v>MATCHED</v>
      </c>
    </row>
    <row r="5734" spans="1:11">
      <c r="A5734" t="s">
        <v>126</v>
      </c>
      <c r="B5734" t="s">
        <v>1770</v>
      </c>
      <c r="C5734" t="s">
        <v>1777</v>
      </c>
      <c r="D5734" t="s">
        <v>1778</v>
      </c>
      <c r="E5734" s="8">
        <v>10710</v>
      </c>
      <c r="F5734" s="8">
        <v>90410</v>
      </c>
      <c r="G5734" s="8">
        <f t="shared" si="356"/>
        <v>968291100</v>
      </c>
      <c r="H5734" s="5">
        <v>0.5104</v>
      </c>
      <c r="I5734" s="8">
        <f t="shared" si="357"/>
        <v>968291100</v>
      </c>
      <c r="J5734" s="8">
        <f t="shared" si="358"/>
        <v>494215777.44</v>
      </c>
      <c r="K5734" t="str">
        <f t="shared" si="359"/>
        <v>MATCHED</v>
      </c>
    </row>
    <row r="5735" spans="1:11">
      <c r="A5735" t="s">
        <v>126</v>
      </c>
      <c r="B5735" t="s">
        <v>1770</v>
      </c>
      <c r="C5735" t="s">
        <v>1779</v>
      </c>
      <c r="D5735" t="s">
        <v>1780</v>
      </c>
      <c r="E5735" s="8">
        <v>2820</v>
      </c>
      <c r="F5735" s="8">
        <v>112700</v>
      </c>
      <c r="G5735" s="8">
        <f t="shared" si="356"/>
        <v>317814000</v>
      </c>
      <c r="H5735" s="5">
        <v>0.4273</v>
      </c>
      <c r="I5735" s="8">
        <f t="shared" si="357"/>
        <v>317814000</v>
      </c>
      <c r="J5735" s="8">
        <f t="shared" si="358"/>
        <v>135801922.2</v>
      </c>
      <c r="K5735" t="str">
        <f t="shared" si="359"/>
        <v>MATCHED</v>
      </c>
    </row>
    <row r="5736" spans="1:11">
      <c r="A5736" t="s">
        <v>126</v>
      </c>
      <c r="B5736" t="s">
        <v>1770</v>
      </c>
      <c r="C5736" t="s">
        <v>1781</v>
      </c>
      <c r="D5736" t="s">
        <v>1782</v>
      </c>
      <c r="E5736" s="8">
        <v>12140</v>
      </c>
      <c r="F5736" s="8">
        <v>127440</v>
      </c>
      <c r="G5736" s="8">
        <f t="shared" si="356"/>
        <v>1547121600</v>
      </c>
      <c r="H5736" s="5">
        <v>0.4312</v>
      </c>
      <c r="I5736" s="8">
        <f t="shared" si="357"/>
        <v>1547121600</v>
      </c>
      <c r="J5736" s="8">
        <f t="shared" si="358"/>
        <v>667118833.92</v>
      </c>
      <c r="K5736" t="str">
        <f t="shared" si="359"/>
        <v>MATCHED</v>
      </c>
    </row>
    <row r="5737" spans="1:11">
      <c r="A5737" t="s">
        <v>126</v>
      </c>
      <c r="B5737" t="s">
        <v>1770</v>
      </c>
      <c r="C5737" t="s">
        <v>1783</v>
      </c>
      <c r="D5737" t="s">
        <v>1784</v>
      </c>
      <c r="E5737" s="8">
        <v>400</v>
      </c>
      <c r="F5737" s="8">
        <v>86920</v>
      </c>
      <c r="G5737" s="8">
        <f t="shared" si="356"/>
        <v>34768000</v>
      </c>
      <c r="H5737" s="5">
        <v>0.4196</v>
      </c>
      <c r="I5737" s="8">
        <f t="shared" si="357"/>
        <v>34768000</v>
      </c>
      <c r="J5737" s="8">
        <f t="shared" si="358"/>
        <v>14588652.8</v>
      </c>
      <c r="K5737" t="str">
        <f t="shared" si="359"/>
        <v>MATCHED</v>
      </c>
    </row>
    <row r="5738" spans="1:11">
      <c r="A5738" t="s">
        <v>126</v>
      </c>
      <c r="B5738" t="s">
        <v>1770</v>
      </c>
      <c r="C5738" t="s">
        <v>1654</v>
      </c>
      <c r="D5738" t="s">
        <v>1655</v>
      </c>
      <c r="E5738" s="8">
        <v>16240</v>
      </c>
      <c r="F5738" s="8">
        <v>106490</v>
      </c>
      <c r="G5738" s="8">
        <f t="shared" si="356"/>
        <v>1729397600</v>
      </c>
      <c r="H5738" s="5">
        <v>0.4259</v>
      </c>
      <c r="I5738" s="8">
        <f t="shared" si="357"/>
        <v>1729397600</v>
      </c>
      <c r="J5738" s="8">
        <f t="shared" si="358"/>
        <v>736550437.84</v>
      </c>
      <c r="K5738" t="str">
        <f t="shared" si="359"/>
        <v>MATCHED</v>
      </c>
    </row>
    <row r="5739" spans="1:11">
      <c r="A5739" t="s">
        <v>126</v>
      </c>
      <c r="B5739" t="s">
        <v>1770</v>
      </c>
      <c r="C5739" t="s">
        <v>1785</v>
      </c>
      <c r="D5739" t="s">
        <v>1786</v>
      </c>
      <c r="E5739" s="8">
        <v>80</v>
      </c>
      <c r="F5739" s="8">
        <v>77620</v>
      </c>
      <c r="G5739" s="8">
        <f t="shared" si="356"/>
        <v>6209600</v>
      </c>
      <c r="H5739" s="5">
        <v>0.424</v>
      </c>
      <c r="I5739" s="8">
        <f t="shared" si="357"/>
        <v>6209600</v>
      </c>
      <c r="J5739" s="8">
        <f t="shared" si="358"/>
        <v>2632870.4</v>
      </c>
      <c r="K5739" t="str">
        <f t="shared" si="359"/>
        <v>MATCHED</v>
      </c>
    </row>
    <row r="5740" spans="1:11">
      <c r="A5740" t="s">
        <v>126</v>
      </c>
      <c r="B5740" t="s">
        <v>1770</v>
      </c>
      <c r="C5740" t="s">
        <v>1787</v>
      </c>
      <c r="D5740" t="s">
        <v>1788</v>
      </c>
      <c r="E5740" s="8">
        <v>2120</v>
      </c>
      <c r="F5740" s="8">
        <v>126450</v>
      </c>
      <c r="G5740" s="8">
        <f t="shared" si="356"/>
        <v>268074000</v>
      </c>
      <c r="H5740" s="5">
        <v>0.425</v>
      </c>
      <c r="I5740" s="8">
        <f t="shared" si="357"/>
        <v>268074000</v>
      </c>
      <c r="J5740" s="8">
        <f t="shared" si="358"/>
        <v>113931450</v>
      </c>
      <c r="K5740" t="str">
        <f t="shared" si="359"/>
        <v>MATCHED</v>
      </c>
    </row>
    <row r="5741" spans="1:11">
      <c r="A5741" t="s">
        <v>126</v>
      </c>
      <c r="B5741" t="s">
        <v>1770</v>
      </c>
      <c r="C5741" t="s">
        <v>1789</v>
      </c>
      <c r="D5741" t="s">
        <v>1790</v>
      </c>
      <c r="E5741" s="8">
        <v>6890</v>
      </c>
      <c r="F5741" s="8">
        <v>100810</v>
      </c>
      <c r="G5741" s="8">
        <f t="shared" si="356"/>
        <v>694580900</v>
      </c>
      <c r="H5741" s="5">
        <v>0.4036</v>
      </c>
      <c r="I5741" s="8">
        <f t="shared" si="357"/>
        <v>694580900</v>
      </c>
      <c r="J5741" s="8">
        <f t="shared" si="358"/>
        <v>280332851.24</v>
      </c>
      <c r="K5741" t="str">
        <f t="shared" si="359"/>
        <v>MATCHED</v>
      </c>
    </row>
    <row r="5742" spans="1:11">
      <c r="A5742" t="s">
        <v>126</v>
      </c>
      <c r="B5742" t="s">
        <v>1770</v>
      </c>
      <c r="C5742" t="s">
        <v>1791</v>
      </c>
      <c r="D5742" t="s">
        <v>1792</v>
      </c>
      <c r="E5742" s="8">
        <v>1890</v>
      </c>
      <c r="F5742" s="8">
        <v>102030</v>
      </c>
      <c r="G5742" s="8">
        <f t="shared" si="356"/>
        <v>192836700</v>
      </c>
      <c r="H5742" s="5">
        <v>0.442</v>
      </c>
      <c r="I5742" s="8">
        <f t="shared" si="357"/>
        <v>192836700</v>
      </c>
      <c r="J5742" s="8">
        <f t="shared" si="358"/>
        <v>85233821.4</v>
      </c>
      <c r="K5742" t="str">
        <f t="shared" si="359"/>
        <v>MATCHED</v>
      </c>
    </row>
    <row r="5743" spans="1:11">
      <c r="A5743" t="s">
        <v>126</v>
      </c>
      <c r="B5743" t="s">
        <v>1770</v>
      </c>
      <c r="C5743" t="s">
        <v>1793</v>
      </c>
      <c r="D5743" t="s">
        <v>1794</v>
      </c>
      <c r="E5743" s="8">
        <v>4290</v>
      </c>
      <c r="F5743" s="8">
        <v>115900</v>
      </c>
      <c r="G5743" s="8">
        <f t="shared" si="356"/>
        <v>497211000</v>
      </c>
      <c r="H5743" s="5">
        <v>0.3625</v>
      </c>
      <c r="I5743" s="8">
        <f t="shared" si="357"/>
        <v>497211000</v>
      </c>
      <c r="J5743" s="8">
        <f t="shared" si="358"/>
        <v>180238987.5</v>
      </c>
      <c r="K5743" t="str">
        <f t="shared" si="359"/>
        <v>MATCHED</v>
      </c>
    </row>
    <row r="5744" spans="1:11">
      <c r="A5744" t="s">
        <v>126</v>
      </c>
      <c r="B5744" t="s">
        <v>1770</v>
      </c>
      <c r="C5744" t="s">
        <v>1795</v>
      </c>
      <c r="D5744" t="s">
        <v>1796</v>
      </c>
      <c r="E5744" s="8">
        <v>1480</v>
      </c>
      <c r="F5744" s="8">
        <v>111480</v>
      </c>
      <c r="G5744" s="8">
        <f t="shared" si="356"/>
        <v>164990400</v>
      </c>
      <c r="H5744" s="5">
        <v>0.3808</v>
      </c>
      <c r="I5744" s="8">
        <f t="shared" si="357"/>
        <v>164990400</v>
      </c>
      <c r="J5744" s="8">
        <f t="shared" si="358"/>
        <v>62828344.32</v>
      </c>
      <c r="K5744" t="str">
        <f t="shared" si="359"/>
        <v>MATCHED</v>
      </c>
    </row>
    <row r="5745" spans="1:11">
      <c r="A5745" t="s">
        <v>126</v>
      </c>
      <c r="B5745" t="s">
        <v>1770</v>
      </c>
      <c r="C5745" t="s">
        <v>1797</v>
      </c>
      <c r="D5745" t="s">
        <v>1798</v>
      </c>
      <c r="E5745" s="8">
        <v>4130</v>
      </c>
      <c r="F5745" s="8">
        <v>105390</v>
      </c>
      <c r="G5745" s="8">
        <f t="shared" si="356"/>
        <v>435260700</v>
      </c>
      <c r="H5745" s="5">
        <v>0.4</v>
      </c>
      <c r="I5745" s="8">
        <f t="shared" si="357"/>
        <v>435260700</v>
      </c>
      <c r="J5745" s="8">
        <f t="shared" si="358"/>
        <v>174104280</v>
      </c>
      <c r="K5745" t="str">
        <f t="shared" si="359"/>
        <v>MATCHED</v>
      </c>
    </row>
    <row r="5746" spans="1:11">
      <c r="A5746" t="s">
        <v>126</v>
      </c>
      <c r="B5746" t="s">
        <v>1770</v>
      </c>
      <c r="C5746" t="s">
        <v>1799</v>
      </c>
      <c r="D5746" t="s">
        <v>1800</v>
      </c>
      <c r="E5746" s="8">
        <v>4600</v>
      </c>
      <c r="F5746" s="8">
        <v>148100</v>
      </c>
      <c r="G5746" s="8">
        <f t="shared" si="356"/>
        <v>681260000</v>
      </c>
      <c r="H5746" s="5">
        <v>0.45</v>
      </c>
      <c r="I5746" s="8">
        <f t="shared" si="357"/>
        <v>681260000</v>
      </c>
      <c r="J5746" s="8">
        <f t="shared" si="358"/>
        <v>306567000</v>
      </c>
      <c r="K5746" t="str">
        <f t="shared" si="359"/>
        <v>MATCHED</v>
      </c>
    </row>
    <row r="5747" spans="1:11">
      <c r="A5747" t="s">
        <v>126</v>
      </c>
      <c r="B5747" t="s">
        <v>1770</v>
      </c>
      <c r="C5747" t="s">
        <v>1801</v>
      </c>
      <c r="D5747" t="s">
        <v>1802</v>
      </c>
      <c r="E5747" s="8">
        <v>410</v>
      </c>
      <c r="F5747" s="8">
        <v>104660</v>
      </c>
      <c r="G5747" s="8">
        <f t="shared" si="356"/>
        <v>42910600</v>
      </c>
      <c r="H5747" s="5">
        <v>0.434</v>
      </c>
      <c r="I5747" s="8">
        <f t="shared" si="357"/>
        <v>42910600</v>
      </c>
      <c r="J5747" s="8">
        <f t="shared" si="358"/>
        <v>18623200.4</v>
      </c>
      <c r="K5747" t="str">
        <f t="shared" si="359"/>
        <v>MATCHED</v>
      </c>
    </row>
    <row r="5748" spans="1:11">
      <c r="A5748" t="s">
        <v>126</v>
      </c>
      <c r="B5748" t="s">
        <v>1770</v>
      </c>
      <c r="C5748" t="s">
        <v>1803</v>
      </c>
      <c r="D5748" t="s">
        <v>1804</v>
      </c>
      <c r="E5748" s="8">
        <v>7080</v>
      </c>
      <c r="F5748" s="8">
        <v>111840</v>
      </c>
      <c r="G5748" s="8">
        <f t="shared" si="356"/>
        <v>791827200</v>
      </c>
      <c r="H5748" s="5">
        <v>0.4068</v>
      </c>
      <c r="I5748" s="8">
        <f t="shared" si="357"/>
        <v>791827200</v>
      </c>
      <c r="J5748" s="8">
        <f t="shared" si="358"/>
        <v>322115304.96</v>
      </c>
      <c r="K5748" t="str">
        <f t="shared" si="359"/>
        <v>MATCHED</v>
      </c>
    </row>
    <row r="5749" spans="1:11">
      <c r="A5749" t="s">
        <v>126</v>
      </c>
      <c r="B5749" t="s">
        <v>1770</v>
      </c>
      <c r="C5749" t="s">
        <v>1805</v>
      </c>
      <c r="D5749" t="s">
        <v>1806</v>
      </c>
      <c r="E5749" s="8">
        <v>18790</v>
      </c>
      <c r="F5749" s="8">
        <v>87190</v>
      </c>
      <c r="G5749" s="8">
        <f t="shared" si="356"/>
        <v>1638300100</v>
      </c>
      <c r="H5749" s="5">
        <v>0.3983</v>
      </c>
      <c r="I5749" s="8">
        <f t="shared" si="357"/>
        <v>1638300100</v>
      </c>
      <c r="J5749" s="8">
        <f t="shared" si="358"/>
        <v>652534929.83</v>
      </c>
      <c r="K5749" t="str">
        <f t="shared" si="359"/>
        <v>MATCHED</v>
      </c>
    </row>
    <row r="5750" spans="1:11">
      <c r="A5750" t="s">
        <v>126</v>
      </c>
      <c r="B5750" t="s">
        <v>1770</v>
      </c>
      <c r="C5750" t="s">
        <v>1807</v>
      </c>
      <c r="D5750" t="s">
        <v>1808</v>
      </c>
      <c r="E5750" s="8">
        <v>3690</v>
      </c>
      <c r="F5750" s="8">
        <v>97430</v>
      </c>
      <c r="G5750" s="8">
        <f t="shared" si="356"/>
        <v>359516700</v>
      </c>
      <c r="H5750" s="5">
        <v>0.3729</v>
      </c>
      <c r="I5750" s="8">
        <f t="shared" si="357"/>
        <v>359516700</v>
      </c>
      <c r="J5750" s="8">
        <f t="shared" si="358"/>
        <v>134063777.43</v>
      </c>
      <c r="K5750" t="str">
        <f t="shared" si="359"/>
        <v>MATCHED</v>
      </c>
    </row>
    <row r="5751" spans="1:11">
      <c r="A5751" t="s">
        <v>126</v>
      </c>
      <c r="B5751" t="s">
        <v>1770</v>
      </c>
      <c r="C5751" t="s">
        <v>1809</v>
      </c>
      <c r="D5751" t="s">
        <v>1810</v>
      </c>
      <c r="E5751" s="8">
        <v>4400</v>
      </c>
      <c r="F5751" s="8">
        <v>83790</v>
      </c>
      <c r="G5751" s="8">
        <f t="shared" si="356"/>
        <v>368676000</v>
      </c>
      <c r="H5751" s="5"/>
      <c r="I5751" s="8" t="str">
        <f t="shared" si="357"/>
        <v/>
      </c>
      <c r="J5751" s="8" t="str">
        <f t="shared" si="358"/>
        <v/>
      </c>
      <c r="K5751" t="str">
        <f t="shared" si="359"/>
        <v>MISSING WHARTON</v>
      </c>
    </row>
    <row r="5752" spans="1:11">
      <c r="A5752" t="s">
        <v>126</v>
      </c>
      <c r="B5752" t="s">
        <v>1770</v>
      </c>
      <c r="C5752" t="s">
        <v>1656</v>
      </c>
      <c r="D5752" t="s">
        <v>1657</v>
      </c>
      <c r="E5752" s="8">
        <v>89210</v>
      </c>
      <c r="F5752" s="8">
        <v>149260</v>
      </c>
      <c r="G5752" s="8">
        <f t="shared" si="356"/>
        <v>13315484600</v>
      </c>
      <c r="H5752" s="5">
        <v>0.4196</v>
      </c>
      <c r="I5752" s="8">
        <f t="shared" si="357"/>
        <v>13315484600</v>
      </c>
      <c r="J5752" s="8">
        <f t="shared" si="358"/>
        <v>5587177338.16</v>
      </c>
      <c r="K5752" t="str">
        <f t="shared" si="359"/>
        <v>MATCHED</v>
      </c>
    </row>
    <row r="5753" spans="1:11">
      <c r="A5753" t="s">
        <v>126</v>
      </c>
      <c r="B5753" t="s">
        <v>1770</v>
      </c>
      <c r="C5753" t="s">
        <v>1742</v>
      </c>
      <c r="D5753" t="s">
        <v>1743</v>
      </c>
      <c r="E5753" s="8">
        <v>34640</v>
      </c>
      <c r="F5753" s="8">
        <v>83280</v>
      </c>
      <c r="G5753" s="8">
        <f t="shared" si="356"/>
        <v>2884819200</v>
      </c>
      <c r="H5753" s="5">
        <v>0.3483</v>
      </c>
      <c r="I5753" s="8">
        <f t="shared" si="357"/>
        <v>2884819200</v>
      </c>
      <c r="J5753" s="8">
        <f t="shared" si="358"/>
        <v>1004782527.36</v>
      </c>
      <c r="K5753" t="str">
        <f t="shared" si="359"/>
        <v>MATCHED</v>
      </c>
    </row>
    <row r="5754" spans="1:11">
      <c r="A5754" t="s">
        <v>126</v>
      </c>
      <c r="B5754" t="s">
        <v>1770</v>
      </c>
      <c r="C5754" t="s">
        <v>1811</v>
      </c>
      <c r="D5754" t="s">
        <v>1812</v>
      </c>
      <c r="E5754" s="8">
        <v>24840</v>
      </c>
      <c r="F5754" s="8">
        <v>75210</v>
      </c>
      <c r="G5754" s="8">
        <f t="shared" si="356"/>
        <v>1868216400</v>
      </c>
      <c r="H5754" s="5">
        <v>0.4125</v>
      </c>
      <c r="I5754" s="8">
        <f t="shared" si="357"/>
        <v>1868216400</v>
      </c>
      <c r="J5754" s="8">
        <f t="shared" si="358"/>
        <v>770639265</v>
      </c>
      <c r="K5754" t="str">
        <f t="shared" si="359"/>
        <v>MATCHED</v>
      </c>
    </row>
    <row r="5755" spans="1:11">
      <c r="A5755" t="s">
        <v>126</v>
      </c>
      <c r="B5755" t="s">
        <v>1770</v>
      </c>
      <c r="C5755" t="s">
        <v>1813</v>
      </c>
      <c r="D5755" t="s">
        <v>1814</v>
      </c>
      <c r="E5755" s="8">
        <v>660</v>
      </c>
      <c r="F5755" s="8">
        <v>79480</v>
      </c>
      <c r="G5755" s="8">
        <f t="shared" si="356"/>
        <v>52456800</v>
      </c>
      <c r="H5755" s="5">
        <v>0.414</v>
      </c>
      <c r="I5755" s="8">
        <f t="shared" si="357"/>
        <v>52456800</v>
      </c>
      <c r="J5755" s="8">
        <f t="shared" si="358"/>
        <v>21717115.2</v>
      </c>
      <c r="K5755" t="str">
        <f t="shared" si="359"/>
        <v>MATCHED</v>
      </c>
    </row>
    <row r="5756" spans="1:11">
      <c r="A5756" t="s">
        <v>126</v>
      </c>
      <c r="B5756" t="s">
        <v>1770</v>
      </c>
      <c r="C5756" t="s">
        <v>1815</v>
      </c>
      <c r="D5756" t="s">
        <v>1816</v>
      </c>
      <c r="E5756" s="8">
        <v>2660</v>
      </c>
      <c r="F5756" s="8">
        <v>80140</v>
      </c>
      <c r="G5756" s="8">
        <f t="shared" si="356"/>
        <v>213172400</v>
      </c>
      <c r="H5756" s="5">
        <v>0.4717</v>
      </c>
      <c r="I5756" s="8">
        <f t="shared" si="357"/>
        <v>213172400</v>
      </c>
      <c r="J5756" s="8">
        <f t="shared" si="358"/>
        <v>100553421.08</v>
      </c>
      <c r="K5756" t="str">
        <f t="shared" si="359"/>
        <v>MATCHED</v>
      </c>
    </row>
    <row r="5757" spans="1:11">
      <c r="A5757" t="s">
        <v>126</v>
      </c>
      <c r="B5757" t="s">
        <v>1770</v>
      </c>
      <c r="C5757" t="s">
        <v>1817</v>
      </c>
      <c r="D5757" t="s">
        <v>1818</v>
      </c>
      <c r="E5757" s="8">
        <v>9090</v>
      </c>
      <c r="F5757" s="8">
        <v>153830</v>
      </c>
      <c r="G5757" s="8">
        <f t="shared" si="356"/>
        <v>1398314700</v>
      </c>
      <c r="H5757" s="5">
        <v>0.4196</v>
      </c>
      <c r="I5757" s="8">
        <f t="shared" si="357"/>
        <v>1398314700</v>
      </c>
      <c r="J5757" s="8">
        <f t="shared" si="358"/>
        <v>586732848.12</v>
      </c>
      <c r="K5757" t="str">
        <f t="shared" si="359"/>
        <v>MATCHED</v>
      </c>
    </row>
    <row r="5758" spans="1:11">
      <c r="A5758" t="s">
        <v>126</v>
      </c>
      <c r="B5758" t="s">
        <v>1770</v>
      </c>
      <c r="C5758" t="s">
        <v>1819</v>
      </c>
      <c r="D5758" t="s">
        <v>1820</v>
      </c>
      <c r="E5758" s="8">
        <v>4600</v>
      </c>
      <c r="F5758" s="8">
        <v>84570</v>
      </c>
      <c r="G5758" s="8">
        <f t="shared" si="356"/>
        <v>389022000</v>
      </c>
      <c r="H5758" s="5">
        <v>0.3625</v>
      </c>
      <c r="I5758" s="8">
        <f t="shared" si="357"/>
        <v>389022000</v>
      </c>
      <c r="J5758" s="8">
        <f t="shared" si="358"/>
        <v>141020475</v>
      </c>
      <c r="K5758" t="str">
        <f t="shared" si="359"/>
        <v>MATCHED</v>
      </c>
    </row>
    <row r="5759" spans="1:11">
      <c r="A5759" t="s">
        <v>126</v>
      </c>
      <c r="B5759" t="s">
        <v>1770</v>
      </c>
      <c r="C5759" t="s">
        <v>1821</v>
      </c>
      <c r="D5759" t="s">
        <v>1822</v>
      </c>
      <c r="E5759" s="8">
        <v>43340</v>
      </c>
      <c r="F5759" s="8">
        <v>100930</v>
      </c>
      <c r="G5759" s="8">
        <f t="shared" si="356"/>
        <v>4374306200</v>
      </c>
      <c r="H5759" s="5">
        <v>0.3696</v>
      </c>
      <c r="I5759" s="8">
        <f t="shared" si="357"/>
        <v>4374306200</v>
      </c>
      <c r="J5759" s="8">
        <f t="shared" si="358"/>
        <v>1616743571.52</v>
      </c>
      <c r="K5759" t="str">
        <f t="shared" si="359"/>
        <v>MATCHED</v>
      </c>
    </row>
    <row r="5760" spans="1:11">
      <c r="A5760" t="s">
        <v>126</v>
      </c>
      <c r="B5760" t="s">
        <v>1770</v>
      </c>
      <c r="C5760" t="s">
        <v>1823</v>
      </c>
      <c r="D5760" t="s">
        <v>1824</v>
      </c>
      <c r="E5760" s="8">
        <v>8330</v>
      </c>
      <c r="F5760" s="8">
        <v>86100</v>
      </c>
      <c r="G5760" s="8">
        <f t="shared" si="356"/>
        <v>717213000</v>
      </c>
      <c r="H5760" s="5">
        <v>0.3891</v>
      </c>
      <c r="I5760" s="8">
        <f t="shared" si="357"/>
        <v>717213000</v>
      </c>
      <c r="J5760" s="8">
        <f t="shared" si="358"/>
        <v>279067578.3</v>
      </c>
      <c r="K5760" t="str">
        <f t="shared" si="359"/>
        <v>MATCHED</v>
      </c>
    </row>
    <row r="5761" spans="1:11">
      <c r="A5761" t="s">
        <v>126</v>
      </c>
      <c r="B5761" t="s">
        <v>1770</v>
      </c>
      <c r="C5761" t="s">
        <v>1825</v>
      </c>
      <c r="D5761" t="s">
        <v>1826</v>
      </c>
      <c r="E5761" s="8">
        <v>15090</v>
      </c>
      <c r="F5761" s="8">
        <v>92010</v>
      </c>
      <c r="G5761" s="8">
        <f t="shared" si="356"/>
        <v>1388430900</v>
      </c>
      <c r="H5761" s="5">
        <v>0.45</v>
      </c>
      <c r="I5761" s="8">
        <f t="shared" si="357"/>
        <v>1388430900</v>
      </c>
      <c r="J5761" s="8">
        <f t="shared" si="358"/>
        <v>624793905</v>
      </c>
      <c r="K5761" t="str">
        <f t="shared" si="359"/>
        <v>MATCHED</v>
      </c>
    </row>
    <row r="5762" spans="1:11">
      <c r="A5762" t="s">
        <v>126</v>
      </c>
      <c r="B5762" t="s">
        <v>1770</v>
      </c>
      <c r="C5762" t="s">
        <v>1827</v>
      </c>
      <c r="D5762" t="s">
        <v>1828</v>
      </c>
      <c r="E5762" s="8">
        <v>7500</v>
      </c>
      <c r="F5762" s="8">
        <v>87770</v>
      </c>
      <c r="G5762" s="8">
        <f t="shared" ref="G5762:G5825" si="360">IF(OR(E5762="",F5762=""),"",E5762*F5762)</f>
        <v>658275000</v>
      </c>
      <c r="H5762" s="5">
        <v>0.482</v>
      </c>
      <c r="I5762" s="8">
        <f t="shared" ref="I5762:I5825" si="361">IF(G5762="","",IF(ISNUMBER(H5762),G5762,""))</f>
        <v>658275000</v>
      </c>
      <c r="J5762" s="8">
        <f t="shared" ref="J5762:J5825" si="362">IF(I5762="","",I5762*H5762)</f>
        <v>317288550</v>
      </c>
      <c r="K5762" t="str">
        <f t="shared" ref="K5762:K5825" si="363">IF(G5762="","MISSING OEWS",IF(ISNUMBER(H5762),"MATCHED","MISSING WHARTON"))</f>
        <v>MATCHED</v>
      </c>
    </row>
    <row r="5763" spans="1:11">
      <c r="A5763" t="s">
        <v>126</v>
      </c>
      <c r="B5763" t="s">
        <v>1770</v>
      </c>
      <c r="C5763" t="s">
        <v>1829</v>
      </c>
      <c r="D5763" t="s">
        <v>1830</v>
      </c>
      <c r="E5763" s="8">
        <v>6270</v>
      </c>
      <c r="F5763" s="8">
        <v>95050</v>
      </c>
      <c r="G5763" s="8">
        <f t="shared" si="360"/>
        <v>595963500</v>
      </c>
      <c r="H5763" s="5">
        <v>0.424</v>
      </c>
      <c r="I5763" s="8">
        <f t="shared" si="361"/>
        <v>595963500</v>
      </c>
      <c r="J5763" s="8">
        <f t="shared" si="362"/>
        <v>252688524</v>
      </c>
      <c r="K5763" t="str">
        <f t="shared" si="363"/>
        <v>MATCHED</v>
      </c>
    </row>
    <row r="5764" spans="1:11">
      <c r="A5764" t="s">
        <v>126</v>
      </c>
      <c r="B5764" t="s">
        <v>1770</v>
      </c>
      <c r="C5764" t="s">
        <v>1831</v>
      </c>
      <c r="D5764" t="s">
        <v>1832</v>
      </c>
      <c r="E5764" s="8">
        <v>13990</v>
      </c>
      <c r="F5764" s="8">
        <v>89780</v>
      </c>
      <c r="G5764" s="8">
        <f t="shared" si="360"/>
        <v>1256022200</v>
      </c>
      <c r="H5764" s="5">
        <v>0.4304</v>
      </c>
      <c r="I5764" s="8">
        <f t="shared" si="361"/>
        <v>1256022200</v>
      </c>
      <c r="J5764" s="8">
        <f t="shared" si="362"/>
        <v>540591954.88</v>
      </c>
      <c r="K5764" t="str">
        <f t="shared" si="363"/>
        <v>MATCHED</v>
      </c>
    </row>
    <row r="5765" spans="1:11">
      <c r="A5765" t="s">
        <v>126</v>
      </c>
      <c r="B5765" t="s">
        <v>1770</v>
      </c>
      <c r="C5765" t="s">
        <v>1833</v>
      </c>
      <c r="D5765" t="s">
        <v>1834</v>
      </c>
      <c r="E5765" s="8">
        <v>320</v>
      </c>
      <c r="F5765" s="8">
        <v>87680</v>
      </c>
      <c r="G5765" s="8">
        <f t="shared" si="360"/>
        <v>28057600</v>
      </c>
      <c r="H5765" s="5">
        <v>0.4609</v>
      </c>
      <c r="I5765" s="8">
        <f t="shared" si="361"/>
        <v>28057600</v>
      </c>
      <c r="J5765" s="8">
        <f t="shared" si="362"/>
        <v>12931747.84</v>
      </c>
      <c r="K5765" t="str">
        <f t="shared" si="363"/>
        <v>MATCHED</v>
      </c>
    </row>
    <row r="5766" spans="1:11">
      <c r="A5766" t="s">
        <v>126</v>
      </c>
      <c r="B5766" t="s">
        <v>1770</v>
      </c>
      <c r="C5766" t="s">
        <v>1835</v>
      </c>
      <c r="D5766" t="s">
        <v>1836</v>
      </c>
      <c r="E5766" s="8">
        <v>3050</v>
      </c>
      <c r="F5766" s="8">
        <v>73870</v>
      </c>
      <c r="G5766" s="8">
        <f t="shared" si="360"/>
        <v>225303500</v>
      </c>
      <c r="H5766" s="5">
        <v>0.4708</v>
      </c>
      <c r="I5766" s="8">
        <f t="shared" si="361"/>
        <v>225303500</v>
      </c>
      <c r="J5766" s="8">
        <f t="shared" si="362"/>
        <v>106072887.8</v>
      </c>
      <c r="K5766" t="str">
        <f t="shared" si="363"/>
        <v>MATCHED</v>
      </c>
    </row>
    <row r="5767" spans="1:11">
      <c r="A5767" t="s">
        <v>126</v>
      </c>
      <c r="B5767" t="s">
        <v>1770</v>
      </c>
      <c r="C5767" t="s">
        <v>1515</v>
      </c>
      <c r="D5767" t="s">
        <v>1516</v>
      </c>
      <c r="E5767" s="8">
        <v>53050</v>
      </c>
      <c r="F5767" s="8">
        <v>71300</v>
      </c>
      <c r="G5767" s="8">
        <f t="shared" si="360"/>
        <v>3782465000</v>
      </c>
      <c r="H5767" s="5">
        <v>0.3875</v>
      </c>
      <c r="I5767" s="8">
        <f t="shared" si="361"/>
        <v>3782465000</v>
      </c>
      <c r="J5767" s="8">
        <f t="shared" si="362"/>
        <v>1465705187.5</v>
      </c>
      <c r="K5767" t="str">
        <f t="shared" si="363"/>
        <v>MATCHED</v>
      </c>
    </row>
    <row r="5768" spans="1:11">
      <c r="A5768" t="s">
        <v>126</v>
      </c>
      <c r="B5768" t="s">
        <v>1770</v>
      </c>
      <c r="C5768" t="s">
        <v>1658</v>
      </c>
      <c r="D5768" t="s">
        <v>1659</v>
      </c>
      <c r="E5768" s="8">
        <v>54480</v>
      </c>
      <c r="F5768" s="8">
        <v>84410</v>
      </c>
      <c r="G5768" s="8">
        <f t="shared" si="360"/>
        <v>4598656800</v>
      </c>
      <c r="H5768" s="5"/>
      <c r="I5768" s="8" t="str">
        <f t="shared" si="361"/>
        <v/>
      </c>
      <c r="J5768" s="8" t="str">
        <f t="shared" si="362"/>
        <v/>
      </c>
      <c r="K5768" t="str">
        <f t="shared" si="363"/>
        <v>MISSING WHARTON</v>
      </c>
    </row>
    <row r="5769" spans="1:11">
      <c r="A5769" t="s">
        <v>126</v>
      </c>
      <c r="B5769" t="s">
        <v>1770</v>
      </c>
      <c r="C5769" t="s">
        <v>1660</v>
      </c>
      <c r="D5769" t="s">
        <v>1661</v>
      </c>
      <c r="E5769" s="8">
        <v>31610</v>
      </c>
      <c r="F5769" s="8">
        <v>45480</v>
      </c>
      <c r="G5769" s="8">
        <f t="shared" si="360"/>
        <v>1437622800</v>
      </c>
      <c r="H5769" s="5">
        <v>0.1176</v>
      </c>
      <c r="I5769" s="8">
        <f t="shared" si="361"/>
        <v>1437622800</v>
      </c>
      <c r="J5769" s="8">
        <f t="shared" si="362"/>
        <v>169064441.28</v>
      </c>
      <c r="K5769" t="str">
        <f t="shared" si="363"/>
        <v>MATCHED</v>
      </c>
    </row>
    <row r="5770" spans="1:11">
      <c r="A5770" t="s">
        <v>126</v>
      </c>
      <c r="B5770" t="s">
        <v>1770</v>
      </c>
      <c r="C5770" t="s">
        <v>1837</v>
      </c>
      <c r="D5770" t="s">
        <v>1838</v>
      </c>
      <c r="E5770" s="8">
        <v>14200</v>
      </c>
      <c r="F5770" s="8">
        <v>55030</v>
      </c>
      <c r="G5770" s="8">
        <f t="shared" si="360"/>
        <v>781426000</v>
      </c>
      <c r="H5770" s="5">
        <v>0.1392</v>
      </c>
      <c r="I5770" s="8">
        <f t="shared" si="361"/>
        <v>781426000</v>
      </c>
      <c r="J5770" s="8">
        <f t="shared" si="362"/>
        <v>108774499.2</v>
      </c>
      <c r="K5770" t="str">
        <f t="shared" si="363"/>
        <v>MATCHED</v>
      </c>
    </row>
    <row r="5771" spans="1:11">
      <c r="A5771" t="s">
        <v>126</v>
      </c>
      <c r="B5771" t="s">
        <v>1770</v>
      </c>
      <c r="C5771" t="s">
        <v>1839</v>
      </c>
      <c r="D5771" t="s">
        <v>1840</v>
      </c>
      <c r="E5771" s="8">
        <v>160790</v>
      </c>
      <c r="F5771" s="8">
        <v>59430</v>
      </c>
      <c r="G5771" s="8">
        <f t="shared" si="360"/>
        <v>9555749700</v>
      </c>
      <c r="H5771" s="5">
        <v>0.2224</v>
      </c>
      <c r="I5771" s="8">
        <f t="shared" si="361"/>
        <v>9555749700</v>
      </c>
      <c r="J5771" s="8">
        <f t="shared" si="362"/>
        <v>2125198733.28</v>
      </c>
      <c r="K5771" t="str">
        <f t="shared" si="363"/>
        <v>MATCHED</v>
      </c>
    </row>
    <row r="5772" spans="1:11">
      <c r="A5772" t="s">
        <v>126</v>
      </c>
      <c r="B5772" t="s">
        <v>1770</v>
      </c>
      <c r="C5772" t="s">
        <v>1841</v>
      </c>
      <c r="D5772" t="s">
        <v>1842</v>
      </c>
      <c r="E5772" s="8">
        <v>70600</v>
      </c>
      <c r="F5772" s="8">
        <v>62520</v>
      </c>
      <c r="G5772" s="8">
        <f t="shared" si="360"/>
        <v>4413912000</v>
      </c>
      <c r="H5772" s="5">
        <v>0.2286</v>
      </c>
      <c r="I5772" s="8">
        <f t="shared" si="361"/>
        <v>4413912000</v>
      </c>
      <c r="J5772" s="8">
        <f t="shared" si="362"/>
        <v>1009020283.2</v>
      </c>
      <c r="K5772" t="str">
        <f t="shared" si="363"/>
        <v>MATCHED</v>
      </c>
    </row>
    <row r="5773" spans="1:11">
      <c r="A5773" t="s">
        <v>126</v>
      </c>
      <c r="B5773" t="s">
        <v>1770</v>
      </c>
      <c r="C5773" t="s">
        <v>1843</v>
      </c>
      <c r="D5773" t="s">
        <v>1844</v>
      </c>
      <c r="E5773" s="8">
        <v>560</v>
      </c>
      <c r="F5773" s="8">
        <v>60790</v>
      </c>
      <c r="G5773" s="8">
        <f t="shared" si="360"/>
        <v>34042400</v>
      </c>
      <c r="H5773" s="5">
        <v>0.2661</v>
      </c>
      <c r="I5773" s="8">
        <f t="shared" si="361"/>
        <v>34042400</v>
      </c>
      <c r="J5773" s="8">
        <f t="shared" si="362"/>
        <v>9058682.64</v>
      </c>
      <c r="K5773" t="str">
        <f t="shared" si="363"/>
        <v>MATCHED</v>
      </c>
    </row>
    <row r="5774" spans="1:11">
      <c r="A5774" t="s">
        <v>126</v>
      </c>
      <c r="B5774" t="s">
        <v>1770</v>
      </c>
      <c r="C5774" t="s">
        <v>1744</v>
      </c>
      <c r="D5774" t="s">
        <v>1745</v>
      </c>
      <c r="E5774" s="8">
        <v>151920</v>
      </c>
      <c r="F5774" s="8">
        <v>67930</v>
      </c>
      <c r="G5774" s="8">
        <f t="shared" si="360"/>
        <v>10319925600</v>
      </c>
      <c r="H5774" s="5">
        <v>0.3016</v>
      </c>
      <c r="I5774" s="8">
        <f t="shared" si="361"/>
        <v>10319925600</v>
      </c>
      <c r="J5774" s="8">
        <f t="shared" si="362"/>
        <v>3112489560.96</v>
      </c>
      <c r="K5774" t="str">
        <f t="shared" si="363"/>
        <v>MATCHED</v>
      </c>
    </row>
    <row r="5775" spans="1:11">
      <c r="A5775" t="s">
        <v>126</v>
      </c>
      <c r="B5775" t="s">
        <v>1770</v>
      </c>
      <c r="C5775" t="s">
        <v>1845</v>
      </c>
      <c r="D5775" t="s">
        <v>1846</v>
      </c>
      <c r="E5775" s="8">
        <v>3790</v>
      </c>
      <c r="F5775" s="8">
        <v>66730</v>
      </c>
      <c r="G5775" s="8">
        <f t="shared" si="360"/>
        <v>252906700</v>
      </c>
      <c r="H5775" s="5">
        <v>0.2424</v>
      </c>
      <c r="I5775" s="8">
        <f t="shared" si="361"/>
        <v>252906700</v>
      </c>
      <c r="J5775" s="8">
        <f t="shared" si="362"/>
        <v>61304584.08</v>
      </c>
      <c r="K5775" t="str">
        <f t="shared" si="363"/>
        <v>MATCHED</v>
      </c>
    </row>
    <row r="5776" spans="1:11">
      <c r="A5776" t="s">
        <v>126</v>
      </c>
      <c r="B5776" t="s">
        <v>1770</v>
      </c>
      <c r="C5776" t="s">
        <v>1847</v>
      </c>
      <c r="D5776" t="s">
        <v>1848</v>
      </c>
      <c r="E5776" s="8">
        <v>1980</v>
      </c>
      <c r="F5776" s="8">
        <v>53040</v>
      </c>
      <c r="G5776" s="8">
        <f t="shared" si="360"/>
        <v>105019200</v>
      </c>
      <c r="H5776" s="5">
        <v>0.1889</v>
      </c>
      <c r="I5776" s="8">
        <f t="shared" si="361"/>
        <v>105019200</v>
      </c>
      <c r="J5776" s="8">
        <f t="shared" si="362"/>
        <v>19838126.88</v>
      </c>
      <c r="K5776" t="str">
        <f t="shared" si="363"/>
        <v>MATCHED</v>
      </c>
    </row>
    <row r="5777" spans="1:11">
      <c r="A5777" t="s">
        <v>126</v>
      </c>
      <c r="B5777" t="s">
        <v>1770</v>
      </c>
      <c r="C5777" t="s">
        <v>1746</v>
      </c>
      <c r="D5777" t="s">
        <v>1747</v>
      </c>
      <c r="E5777" s="8">
        <v>12080</v>
      </c>
      <c r="F5777" s="8">
        <v>63240</v>
      </c>
      <c r="G5777" s="8">
        <f t="shared" si="360"/>
        <v>763939200</v>
      </c>
      <c r="H5777" s="5">
        <v>0.1992</v>
      </c>
      <c r="I5777" s="8">
        <f t="shared" si="361"/>
        <v>763939200</v>
      </c>
      <c r="J5777" s="8">
        <f t="shared" si="362"/>
        <v>152176688.64</v>
      </c>
      <c r="K5777" t="str">
        <f t="shared" si="363"/>
        <v>MATCHED</v>
      </c>
    </row>
    <row r="5778" spans="1:11">
      <c r="A5778" t="s">
        <v>126</v>
      </c>
      <c r="B5778" t="s">
        <v>1770</v>
      </c>
      <c r="C5778" t="s">
        <v>1849</v>
      </c>
      <c r="D5778" t="s">
        <v>1850</v>
      </c>
      <c r="E5778" s="8">
        <v>5590</v>
      </c>
      <c r="F5778" s="8">
        <v>62870</v>
      </c>
      <c r="G5778" s="8">
        <f t="shared" si="360"/>
        <v>351443300</v>
      </c>
      <c r="H5778" s="5">
        <v>0.2338</v>
      </c>
      <c r="I5778" s="8">
        <f t="shared" si="361"/>
        <v>351443300</v>
      </c>
      <c r="J5778" s="8">
        <f t="shared" si="362"/>
        <v>82167443.54</v>
      </c>
      <c r="K5778" t="str">
        <f t="shared" si="363"/>
        <v>MATCHED</v>
      </c>
    </row>
    <row r="5779" spans="1:11">
      <c r="A5779" t="s">
        <v>126</v>
      </c>
      <c r="B5779" t="s">
        <v>1770</v>
      </c>
      <c r="C5779" t="s">
        <v>1748</v>
      </c>
      <c r="D5779" t="s">
        <v>1749</v>
      </c>
      <c r="E5779" s="8">
        <v>14320</v>
      </c>
      <c r="F5779" s="8">
        <v>65880</v>
      </c>
      <c r="G5779" s="8">
        <f t="shared" si="360"/>
        <v>943401600</v>
      </c>
      <c r="H5779" s="5">
        <v>0.2225</v>
      </c>
      <c r="I5779" s="8">
        <f t="shared" si="361"/>
        <v>943401600</v>
      </c>
      <c r="J5779" s="8">
        <f t="shared" si="362"/>
        <v>209906856</v>
      </c>
      <c r="K5779" t="str">
        <f t="shared" si="363"/>
        <v>MATCHED</v>
      </c>
    </row>
    <row r="5780" spans="1:11">
      <c r="A5780" t="s">
        <v>126</v>
      </c>
      <c r="B5780" t="s">
        <v>1770</v>
      </c>
      <c r="C5780" t="s">
        <v>1715</v>
      </c>
      <c r="D5780" t="s">
        <v>1716</v>
      </c>
      <c r="E5780" s="8">
        <v>4800</v>
      </c>
      <c r="F5780" s="8">
        <v>68520</v>
      </c>
      <c r="G5780" s="8">
        <f t="shared" si="360"/>
        <v>328896000</v>
      </c>
      <c r="H5780" s="5">
        <v>0.27</v>
      </c>
      <c r="I5780" s="8">
        <f t="shared" si="361"/>
        <v>328896000</v>
      </c>
      <c r="J5780" s="8">
        <f t="shared" si="362"/>
        <v>88801920</v>
      </c>
      <c r="K5780" t="str">
        <f t="shared" si="363"/>
        <v>MATCHED</v>
      </c>
    </row>
    <row r="5781" spans="1:11">
      <c r="A5781" t="s">
        <v>126</v>
      </c>
      <c r="B5781" t="s">
        <v>1770</v>
      </c>
      <c r="C5781" t="s">
        <v>1571</v>
      </c>
      <c r="D5781" t="s">
        <v>1572</v>
      </c>
      <c r="E5781" s="8">
        <v>6210</v>
      </c>
      <c r="F5781" s="8">
        <v>58460</v>
      </c>
      <c r="G5781" s="8">
        <f t="shared" si="360"/>
        <v>363036600</v>
      </c>
      <c r="H5781" s="5">
        <v>0.3372</v>
      </c>
      <c r="I5781" s="8">
        <f t="shared" si="361"/>
        <v>363036600</v>
      </c>
      <c r="J5781" s="8">
        <f t="shared" si="362"/>
        <v>122415941.52</v>
      </c>
      <c r="K5781" t="str">
        <f t="shared" si="363"/>
        <v>MATCHED</v>
      </c>
    </row>
    <row r="5782" spans="1:11">
      <c r="A5782" t="s">
        <v>126</v>
      </c>
      <c r="B5782" t="s">
        <v>1770</v>
      </c>
      <c r="C5782" t="s">
        <v>321</v>
      </c>
      <c r="D5782" t="s">
        <v>322</v>
      </c>
      <c r="E5782" s="8">
        <v>200660</v>
      </c>
      <c r="F5782" s="8">
        <v>54570</v>
      </c>
      <c r="G5782" s="8">
        <f t="shared" si="360"/>
        <v>10950016200</v>
      </c>
      <c r="H5782" s="5">
        <v>0.33</v>
      </c>
      <c r="I5782" s="8">
        <f t="shared" si="361"/>
        <v>10950016200</v>
      </c>
      <c r="J5782" s="8">
        <f t="shared" si="362"/>
        <v>3613505346</v>
      </c>
      <c r="K5782" t="str">
        <f t="shared" si="363"/>
        <v>MATCHED</v>
      </c>
    </row>
    <row r="5783" spans="1:11">
      <c r="A5783" t="s">
        <v>126</v>
      </c>
      <c r="B5783" t="s">
        <v>1770</v>
      </c>
      <c r="C5783" t="s">
        <v>1717</v>
      </c>
      <c r="D5783" t="s">
        <v>1718</v>
      </c>
      <c r="E5783" s="8">
        <v>40800</v>
      </c>
      <c r="F5783" s="8">
        <v>41080</v>
      </c>
      <c r="G5783" s="8">
        <f t="shared" si="360"/>
        <v>1676064000</v>
      </c>
      <c r="H5783" s="5">
        <v>0.1972</v>
      </c>
      <c r="I5783" s="8">
        <f t="shared" si="361"/>
        <v>1676064000</v>
      </c>
      <c r="J5783" s="8">
        <f t="shared" si="362"/>
        <v>330519820.8</v>
      </c>
      <c r="K5783" t="str">
        <f t="shared" si="363"/>
        <v>MATCHED</v>
      </c>
    </row>
    <row r="5784" spans="1:11">
      <c r="A5784" t="s">
        <v>126</v>
      </c>
      <c r="B5784" t="s">
        <v>1770</v>
      </c>
      <c r="C5784" t="s">
        <v>1423</v>
      </c>
      <c r="D5784" t="s">
        <v>1424</v>
      </c>
      <c r="E5784" s="8">
        <v>98860</v>
      </c>
      <c r="F5784" s="8">
        <v>47040</v>
      </c>
      <c r="G5784" s="8">
        <f t="shared" si="360"/>
        <v>4650374400</v>
      </c>
      <c r="H5784" s="5">
        <v>0.3974</v>
      </c>
      <c r="I5784" s="8">
        <f t="shared" si="361"/>
        <v>4650374400</v>
      </c>
      <c r="J5784" s="8">
        <f t="shared" si="362"/>
        <v>1848058786.56</v>
      </c>
      <c r="K5784" t="str">
        <f t="shared" si="363"/>
        <v>MATCHED</v>
      </c>
    </row>
    <row r="5785" spans="1:11">
      <c r="A5785" t="s">
        <v>126</v>
      </c>
      <c r="B5785" t="s">
        <v>1770</v>
      </c>
      <c r="C5785" t="s">
        <v>1517</v>
      </c>
      <c r="D5785" t="s">
        <v>1518</v>
      </c>
      <c r="E5785" s="8">
        <v>31960</v>
      </c>
      <c r="F5785" s="8">
        <v>60500</v>
      </c>
      <c r="G5785" s="8">
        <f t="shared" si="360"/>
        <v>1933580000</v>
      </c>
      <c r="H5785" s="5"/>
      <c r="I5785" s="8" t="str">
        <f t="shared" si="361"/>
        <v/>
      </c>
      <c r="J5785" s="8" t="str">
        <f t="shared" si="362"/>
        <v/>
      </c>
      <c r="K5785" t="str">
        <f t="shared" si="363"/>
        <v>MISSING WHARTON</v>
      </c>
    </row>
    <row r="5786" spans="1:11">
      <c r="A5786" t="s">
        <v>126</v>
      </c>
      <c r="B5786" t="s">
        <v>1770</v>
      </c>
      <c r="C5786" t="s">
        <v>1470</v>
      </c>
      <c r="D5786" t="s">
        <v>1471</v>
      </c>
      <c r="E5786" s="8">
        <v>880</v>
      </c>
      <c r="F5786" s="8">
        <v>68840</v>
      </c>
      <c r="G5786" s="8">
        <f t="shared" si="360"/>
        <v>60579200</v>
      </c>
      <c r="H5786" s="5">
        <v>0.4154</v>
      </c>
      <c r="I5786" s="8">
        <f t="shared" si="361"/>
        <v>60579200</v>
      </c>
      <c r="J5786" s="8">
        <f t="shared" si="362"/>
        <v>25164599.68</v>
      </c>
      <c r="K5786" t="str">
        <f t="shared" si="363"/>
        <v>MATCHED</v>
      </c>
    </row>
    <row r="5787" spans="1:11">
      <c r="A5787" t="s">
        <v>126</v>
      </c>
      <c r="B5787" t="s">
        <v>1770</v>
      </c>
      <c r="C5787" t="s">
        <v>1425</v>
      </c>
      <c r="D5787" t="s">
        <v>1426</v>
      </c>
      <c r="E5787" s="8">
        <v>980</v>
      </c>
      <c r="F5787" s="8">
        <v>77620</v>
      </c>
      <c r="G5787" s="8">
        <f t="shared" si="360"/>
        <v>76067600</v>
      </c>
      <c r="H5787" s="5">
        <v>0.2833</v>
      </c>
      <c r="I5787" s="8">
        <f t="shared" si="361"/>
        <v>76067600</v>
      </c>
      <c r="J5787" s="8">
        <f t="shared" si="362"/>
        <v>21549951.08</v>
      </c>
      <c r="K5787" t="str">
        <f t="shared" si="363"/>
        <v>MATCHED</v>
      </c>
    </row>
    <row r="5788" spans="1:11">
      <c r="A5788" t="s">
        <v>126</v>
      </c>
      <c r="B5788" t="s">
        <v>1770</v>
      </c>
      <c r="C5788" t="s">
        <v>1472</v>
      </c>
      <c r="D5788" t="s">
        <v>1473</v>
      </c>
      <c r="E5788" s="8">
        <v>540</v>
      </c>
      <c r="F5788" s="8">
        <v>64290</v>
      </c>
      <c r="G5788" s="8">
        <f t="shared" si="360"/>
        <v>34716600</v>
      </c>
      <c r="H5788" s="5">
        <v>0.1808</v>
      </c>
      <c r="I5788" s="8">
        <f t="shared" si="361"/>
        <v>34716600</v>
      </c>
      <c r="J5788" s="8">
        <f t="shared" si="362"/>
        <v>6276761.28</v>
      </c>
      <c r="K5788" t="str">
        <f t="shared" si="363"/>
        <v>MATCHED</v>
      </c>
    </row>
    <row r="5789" spans="1:11">
      <c r="A5789" t="s">
        <v>126</v>
      </c>
      <c r="B5789" t="s">
        <v>1770</v>
      </c>
      <c r="C5789" t="s">
        <v>1184</v>
      </c>
      <c r="D5789" t="s">
        <v>1185</v>
      </c>
      <c r="E5789" s="8">
        <v>13430</v>
      </c>
      <c r="F5789" s="8">
        <v>70750</v>
      </c>
      <c r="G5789" s="8">
        <f t="shared" si="360"/>
        <v>950172500</v>
      </c>
      <c r="H5789" s="5">
        <v>0.4167</v>
      </c>
      <c r="I5789" s="8">
        <f t="shared" si="361"/>
        <v>950172500</v>
      </c>
      <c r="J5789" s="8">
        <f t="shared" si="362"/>
        <v>395936880.75</v>
      </c>
      <c r="K5789" t="str">
        <f t="shared" si="363"/>
        <v>MATCHED</v>
      </c>
    </row>
    <row r="5790" spans="1:11">
      <c r="A5790" t="s">
        <v>126</v>
      </c>
      <c r="B5790" t="s">
        <v>1770</v>
      </c>
      <c r="C5790" t="s">
        <v>1573</v>
      </c>
      <c r="D5790" t="s">
        <v>1574</v>
      </c>
      <c r="E5790" s="8">
        <v>3720</v>
      </c>
      <c r="F5790" s="8">
        <v>50990</v>
      </c>
      <c r="G5790" s="8">
        <f t="shared" si="360"/>
        <v>189682800</v>
      </c>
      <c r="H5790" s="5">
        <v>0.6329</v>
      </c>
      <c r="I5790" s="8">
        <f t="shared" si="361"/>
        <v>189682800</v>
      </c>
      <c r="J5790" s="8">
        <f t="shared" si="362"/>
        <v>120050244.12</v>
      </c>
      <c r="K5790" t="str">
        <f t="shared" si="363"/>
        <v>MATCHED</v>
      </c>
    </row>
    <row r="5791" spans="1:11">
      <c r="A5791" t="s">
        <v>126</v>
      </c>
      <c r="B5791" t="s">
        <v>1770</v>
      </c>
      <c r="C5791" t="s">
        <v>1662</v>
      </c>
      <c r="D5791" t="s">
        <v>1663</v>
      </c>
      <c r="E5791" s="8">
        <v>130</v>
      </c>
      <c r="F5791" s="8">
        <v>51400</v>
      </c>
      <c r="G5791" s="8">
        <f t="shared" si="360"/>
        <v>6682000</v>
      </c>
      <c r="H5791" s="5">
        <v>0.33</v>
      </c>
      <c r="I5791" s="8">
        <f t="shared" si="361"/>
        <v>6682000</v>
      </c>
      <c r="J5791" s="8">
        <f t="shared" si="362"/>
        <v>2205060</v>
      </c>
      <c r="K5791" t="str">
        <f t="shared" si="363"/>
        <v>MATCHED</v>
      </c>
    </row>
    <row r="5792" spans="1:11">
      <c r="A5792" t="s">
        <v>126</v>
      </c>
      <c r="B5792" t="s">
        <v>1770</v>
      </c>
      <c r="C5792" t="s">
        <v>944</v>
      </c>
      <c r="D5792" t="s">
        <v>945</v>
      </c>
      <c r="E5792" s="8">
        <v>59400</v>
      </c>
      <c r="F5792" s="8">
        <v>75430</v>
      </c>
      <c r="G5792" s="8">
        <f t="shared" si="360"/>
        <v>4480542000</v>
      </c>
      <c r="H5792" s="5">
        <v>0.5783</v>
      </c>
      <c r="I5792" s="8">
        <f t="shared" si="361"/>
        <v>4480542000</v>
      </c>
      <c r="J5792" s="8">
        <f t="shared" si="362"/>
        <v>2591097438.6</v>
      </c>
      <c r="K5792" t="str">
        <f t="shared" si="363"/>
        <v>MATCHED</v>
      </c>
    </row>
    <row r="5793" spans="1:11">
      <c r="A5793" t="s">
        <v>126</v>
      </c>
      <c r="B5793" t="s">
        <v>1770</v>
      </c>
      <c r="C5793" t="s">
        <v>1750</v>
      </c>
      <c r="D5793" t="s">
        <v>1751</v>
      </c>
      <c r="E5793" s="8">
        <v>43400</v>
      </c>
      <c r="F5793" s="8">
        <v>44860</v>
      </c>
      <c r="G5793" s="8">
        <f t="shared" si="360"/>
        <v>1946924000</v>
      </c>
      <c r="H5793" s="5">
        <v>0.3675</v>
      </c>
      <c r="I5793" s="8">
        <f t="shared" si="361"/>
        <v>1946924000</v>
      </c>
      <c r="J5793" s="8">
        <f t="shared" si="362"/>
        <v>715494570</v>
      </c>
      <c r="K5793" t="str">
        <f t="shared" si="363"/>
        <v>MATCHED</v>
      </c>
    </row>
    <row r="5794" spans="1:11">
      <c r="A5794" t="s">
        <v>126</v>
      </c>
      <c r="B5794" t="s">
        <v>1770</v>
      </c>
      <c r="C5794" t="s">
        <v>1664</v>
      </c>
      <c r="D5794" t="s">
        <v>1665</v>
      </c>
      <c r="E5794" s="8">
        <v>118800</v>
      </c>
      <c r="F5794" s="8">
        <v>38630</v>
      </c>
      <c r="G5794" s="8">
        <f t="shared" si="360"/>
        <v>4589244000</v>
      </c>
      <c r="H5794" s="5">
        <v>0.2083</v>
      </c>
      <c r="I5794" s="8">
        <f t="shared" si="361"/>
        <v>4589244000</v>
      </c>
      <c r="J5794" s="8">
        <f t="shared" si="362"/>
        <v>955939525.2</v>
      </c>
      <c r="K5794" t="str">
        <f t="shared" si="363"/>
        <v>MATCHED</v>
      </c>
    </row>
    <row r="5795" spans="1:11">
      <c r="A5795" t="s">
        <v>126</v>
      </c>
      <c r="B5795" t="s">
        <v>1770</v>
      </c>
      <c r="C5795" t="s">
        <v>1427</v>
      </c>
      <c r="D5795" t="s">
        <v>1428</v>
      </c>
      <c r="E5795" s="8">
        <v>31740</v>
      </c>
      <c r="F5795" s="8">
        <v>53690</v>
      </c>
      <c r="G5795" s="8">
        <f t="shared" si="360"/>
        <v>1704120600</v>
      </c>
      <c r="H5795" s="5"/>
      <c r="I5795" s="8" t="str">
        <f t="shared" si="361"/>
        <v/>
      </c>
      <c r="J5795" s="8" t="str">
        <f t="shared" si="362"/>
        <v/>
      </c>
      <c r="K5795" t="str">
        <f t="shared" si="363"/>
        <v>MISSING WHARTON</v>
      </c>
    </row>
    <row r="5796" spans="1:11">
      <c r="A5796" t="s">
        <v>126</v>
      </c>
      <c r="B5796" t="s">
        <v>1770</v>
      </c>
      <c r="C5796" t="s">
        <v>946</v>
      </c>
      <c r="D5796" t="s">
        <v>947</v>
      </c>
      <c r="E5796" s="8">
        <v>1080</v>
      </c>
      <c r="F5796" s="8">
        <v>98540</v>
      </c>
      <c r="G5796" s="8">
        <f t="shared" si="360"/>
        <v>106423200</v>
      </c>
      <c r="H5796" s="5">
        <v>0.3688</v>
      </c>
      <c r="I5796" s="8">
        <f t="shared" si="361"/>
        <v>106423200</v>
      </c>
      <c r="J5796" s="8">
        <f t="shared" si="362"/>
        <v>39248876.16</v>
      </c>
      <c r="K5796" t="str">
        <f t="shared" si="363"/>
        <v>MATCHED</v>
      </c>
    </row>
    <row r="5797" spans="1:11">
      <c r="A5797" t="s">
        <v>126</v>
      </c>
      <c r="B5797" t="s">
        <v>1770</v>
      </c>
      <c r="C5797" t="s">
        <v>1186</v>
      </c>
      <c r="D5797" t="s">
        <v>1187</v>
      </c>
      <c r="E5797" s="8"/>
      <c r="F5797" s="8">
        <v>50300</v>
      </c>
      <c r="G5797" s="8" t="str">
        <f t="shared" si="360"/>
        <v/>
      </c>
      <c r="H5797" s="5">
        <v>0.22</v>
      </c>
      <c r="I5797" s="8" t="str">
        <f t="shared" si="361"/>
        <v/>
      </c>
      <c r="J5797" s="8" t="str">
        <f t="shared" si="362"/>
        <v/>
      </c>
      <c r="K5797" t="str">
        <f t="shared" si="363"/>
        <v>MISSING OEWS</v>
      </c>
    </row>
    <row r="5798" spans="1:11">
      <c r="A5798" t="s">
        <v>126</v>
      </c>
      <c r="B5798" t="s">
        <v>1770</v>
      </c>
      <c r="C5798" t="s">
        <v>948</v>
      </c>
      <c r="D5798" t="s">
        <v>949</v>
      </c>
      <c r="E5798" s="8">
        <v>770</v>
      </c>
      <c r="F5798" s="8">
        <v>52780</v>
      </c>
      <c r="G5798" s="8">
        <f t="shared" si="360"/>
        <v>40640600</v>
      </c>
      <c r="H5798" s="5">
        <v>0.2281</v>
      </c>
      <c r="I5798" s="8">
        <f t="shared" si="361"/>
        <v>40640600</v>
      </c>
      <c r="J5798" s="8">
        <f t="shared" si="362"/>
        <v>9270120.86</v>
      </c>
      <c r="K5798" t="str">
        <f t="shared" si="363"/>
        <v>MATCHED</v>
      </c>
    </row>
    <row r="5799" spans="1:11">
      <c r="A5799" t="s">
        <v>126</v>
      </c>
      <c r="B5799" t="s">
        <v>1770</v>
      </c>
      <c r="C5799" t="s">
        <v>1188</v>
      </c>
      <c r="D5799" t="s">
        <v>1189</v>
      </c>
      <c r="E5799" s="8">
        <v>330</v>
      </c>
      <c r="F5799" s="8">
        <v>67990</v>
      </c>
      <c r="G5799" s="8">
        <f t="shared" si="360"/>
        <v>22436700</v>
      </c>
      <c r="H5799" s="5">
        <v>0.7071</v>
      </c>
      <c r="I5799" s="8">
        <f t="shared" si="361"/>
        <v>22436700</v>
      </c>
      <c r="J5799" s="8">
        <f t="shared" si="362"/>
        <v>15864990.57</v>
      </c>
      <c r="K5799" t="str">
        <f t="shared" si="363"/>
        <v>MATCHED</v>
      </c>
    </row>
    <row r="5800" spans="1:11">
      <c r="A5800" t="s">
        <v>126</v>
      </c>
      <c r="B5800" t="s">
        <v>1770</v>
      </c>
      <c r="C5800" t="s">
        <v>950</v>
      </c>
      <c r="D5800" t="s">
        <v>951</v>
      </c>
      <c r="E5800" s="8">
        <v>190</v>
      </c>
      <c r="F5800" s="8">
        <v>72360</v>
      </c>
      <c r="G5800" s="8">
        <f t="shared" si="360"/>
        <v>13748400</v>
      </c>
      <c r="H5800" s="5"/>
      <c r="I5800" s="8" t="str">
        <f t="shared" si="361"/>
        <v/>
      </c>
      <c r="J5800" s="8" t="str">
        <f t="shared" si="362"/>
        <v/>
      </c>
      <c r="K5800" t="str">
        <f t="shared" si="363"/>
        <v>MISSING WHARTON</v>
      </c>
    </row>
    <row r="5801" spans="1:11">
      <c r="A5801" t="s">
        <v>126</v>
      </c>
      <c r="B5801" t="s">
        <v>1770</v>
      </c>
      <c r="C5801" t="s">
        <v>1190</v>
      </c>
      <c r="D5801" t="s">
        <v>1191</v>
      </c>
      <c r="E5801" s="8">
        <v>120</v>
      </c>
      <c r="F5801" s="8">
        <v>58120</v>
      </c>
      <c r="G5801" s="8">
        <f t="shared" si="360"/>
        <v>6974400</v>
      </c>
      <c r="H5801" s="5">
        <v>0.1875</v>
      </c>
      <c r="I5801" s="8">
        <f t="shared" si="361"/>
        <v>6974400</v>
      </c>
      <c r="J5801" s="8">
        <f t="shared" si="362"/>
        <v>1307700</v>
      </c>
      <c r="K5801" t="str">
        <f t="shared" si="363"/>
        <v>MATCHED</v>
      </c>
    </row>
    <row r="5802" spans="1:11">
      <c r="A5802" t="s">
        <v>126</v>
      </c>
      <c r="B5802" t="s">
        <v>1770</v>
      </c>
      <c r="C5802" t="s">
        <v>858</v>
      </c>
      <c r="D5802" t="s">
        <v>859</v>
      </c>
      <c r="E5802" s="8">
        <v>4190</v>
      </c>
      <c r="F5802" s="8">
        <v>65970</v>
      </c>
      <c r="G5802" s="8">
        <f t="shared" si="360"/>
        <v>276414300</v>
      </c>
      <c r="H5802" s="5">
        <v>0.7375</v>
      </c>
      <c r="I5802" s="8">
        <f t="shared" si="361"/>
        <v>276414300</v>
      </c>
      <c r="J5802" s="8">
        <f t="shared" si="362"/>
        <v>203855546.25</v>
      </c>
      <c r="K5802" t="str">
        <f t="shared" si="363"/>
        <v>MATCHED</v>
      </c>
    </row>
    <row r="5803" spans="1:11">
      <c r="A5803" t="s">
        <v>126</v>
      </c>
      <c r="B5803" t="s">
        <v>1770</v>
      </c>
      <c r="C5803" t="s">
        <v>954</v>
      </c>
      <c r="D5803" t="s">
        <v>955</v>
      </c>
      <c r="E5803" s="8">
        <v>80</v>
      </c>
      <c r="F5803" s="8">
        <v>77970</v>
      </c>
      <c r="G5803" s="8">
        <f t="shared" si="360"/>
        <v>6237600</v>
      </c>
      <c r="H5803" s="5">
        <v>0.3133</v>
      </c>
      <c r="I5803" s="8">
        <f t="shared" si="361"/>
        <v>6237600</v>
      </c>
      <c r="J5803" s="8">
        <f t="shared" si="362"/>
        <v>1954240.08</v>
      </c>
      <c r="K5803" t="str">
        <f t="shared" si="363"/>
        <v>MATCHED</v>
      </c>
    </row>
    <row r="5804" spans="1:11">
      <c r="A5804" t="s">
        <v>126</v>
      </c>
      <c r="B5804" t="s">
        <v>1770</v>
      </c>
      <c r="C5804" t="s">
        <v>1194</v>
      </c>
      <c r="D5804" t="s">
        <v>1195</v>
      </c>
      <c r="E5804" s="8">
        <v>300</v>
      </c>
      <c r="F5804" s="8">
        <v>52440</v>
      </c>
      <c r="G5804" s="8">
        <f t="shared" si="360"/>
        <v>15732000</v>
      </c>
      <c r="H5804" s="5">
        <v>0.2167</v>
      </c>
      <c r="I5804" s="8">
        <f t="shared" si="361"/>
        <v>15732000</v>
      </c>
      <c r="J5804" s="8">
        <f t="shared" si="362"/>
        <v>3409124.4</v>
      </c>
      <c r="K5804" t="str">
        <f t="shared" si="363"/>
        <v>MATCHED</v>
      </c>
    </row>
    <row r="5805" spans="1:11">
      <c r="A5805" t="s">
        <v>126</v>
      </c>
      <c r="B5805" t="s">
        <v>1770</v>
      </c>
      <c r="C5805" t="s">
        <v>958</v>
      </c>
      <c r="D5805" t="s">
        <v>959</v>
      </c>
      <c r="E5805" s="8">
        <v>90</v>
      </c>
      <c r="F5805" s="8">
        <v>62080</v>
      </c>
      <c r="G5805" s="8">
        <f t="shared" si="360"/>
        <v>5587200</v>
      </c>
      <c r="H5805" s="5"/>
      <c r="I5805" s="8" t="str">
        <f t="shared" si="361"/>
        <v/>
      </c>
      <c r="J5805" s="8" t="str">
        <f t="shared" si="362"/>
        <v/>
      </c>
      <c r="K5805" t="str">
        <f t="shared" si="363"/>
        <v>MISSING WHARTON</v>
      </c>
    </row>
    <row r="5806" spans="1:11">
      <c r="A5806" t="s">
        <v>126</v>
      </c>
      <c r="B5806" t="s">
        <v>1770</v>
      </c>
      <c r="C5806" t="s">
        <v>1474</v>
      </c>
      <c r="D5806" t="s">
        <v>1475</v>
      </c>
      <c r="E5806" s="8">
        <v>1510</v>
      </c>
      <c r="F5806" s="8"/>
      <c r="G5806" s="8" t="str">
        <f t="shared" si="360"/>
        <v/>
      </c>
      <c r="H5806" s="5">
        <v>0.1</v>
      </c>
      <c r="I5806" s="8" t="str">
        <f t="shared" si="361"/>
        <v/>
      </c>
      <c r="J5806" s="8" t="str">
        <f t="shared" si="362"/>
        <v/>
      </c>
      <c r="K5806" t="str">
        <f t="shared" si="363"/>
        <v>MISSING OEWS</v>
      </c>
    </row>
    <row r="5807" spans="1:11">
      <c r="A5807" t="s">
        <v>126</v>
      </c>
      <c r="B5807" t="s">
        <v>1770</v>
      </c>
      <c r="C5807" t="s">
        <v>960</v>
      </c>
      <c r="D5807" t="s">
        <v>961</v>
      </c>
      <c r="E5807" s="8">
        <v>3350</v>
      </c>
      <c r="F5807" s="8">
        <v>83310</v>
      </c>
      <c r="G5807" s="8">
        <f t="shared" si="360"/>
        <v>279088500</v>
      </c>
      <c r="H5807" s="5">
        <v>0.3463</v>
      </c>
      <c r="I5807" s="8">
        <f t="shared" si="361"/>
        <v>279088500</v>
      </c>
      <c r="J5807" s="8">
        <f t="shared" si="362"/>
        <v>96648347.55</v>
      </c>
      <c r="K5807" t="str">
        <f t="shared" si="363"/>
        <v>MATCHED</v>
      </c>
    </row>
    <row r="5808" spans="1:11">
      <c r="A5808" t="s">
        <v>126</v>
      </c>
      <c r="B5808" t="s">
        <v>1770</v>
      </c>
      <c r="C5808" t="s">
        <v>1476</v>
      </c>
      <c r="D5808" t="s">
        <v>1477</v>
      </c>
      <c r="E5808" s="8">
        <v>104490</v>
      </c>
      <c r="F5808" s="8">
        <v>52590</v>
      </c>
      <c r="G5808" s="8">
        <f t="shared" si="360"/>
        <v>5495129100</v>
      </c>
      <c r="H5808" s="5">
        <v>0.2018</v>
      </c>
      <c r="I5808" s="8">
        <f t="shared" si="361"/>
        <v>5495129100</v>
      </c>
      <c r="J5808" s="8">
        <f t="shared" si="362"/>
        <v>1108917052.38</v>
      </c>
      <c r="K5808" t="str">
        <f t="shared" si="363"/>
        <v>MATCHED</v>
      </c>
    </row>
    <row r="5809" spans="1:11">
      <c r="A5809" t="s">
        <v>126</v>
      </c>
      <c r="B5809" t="s">
        <v>1770</v>
      </c>
      <c r="C5809" t="s">
        <v>1851</v>
      </c>
      <c r="D5809" t="s">
        <v>1852</v>
      </c>
      <c r="E5809" s="8">
        <v>560</v>
      </c>
      <c r="F5809" s="8">
        <v>40230</v>
      </c>
      <c r="G5809" s="8">
        <f t="shared" si="360"/>
        <v>22528800</v>
      </c>
      <c r="H5809" s="5">
        <v>0.4</v>
      </c>
      <c r="I5809" s="8">
        <f t="shared" si="361"/>
        <v>22528800</v>
      </c>
      <c r="J5809" s="8">
        <f t="shared" si="362"/>
        <v>9011520</v>
      </c>
      <c r="K5809" t="str">
        <f t="shared" si="363"/>
        <v>MATCHED</v>
      </c>
    </row>
    <row r="5810" spans="1:11">
      <c r="A5810" t="s">
        <v>126</v>
      </c>
      <c r="B5810" t="s">
        <v>1770</v>
      </c>
      <c r="C5810" t="s">
        <v>1575</v>
      </c>
      <c r="D5810" t="s">
        <v>1576</v>
      </c>
      <c r="E5810" s="8">
        <v>610</v>
      </c>
      <c r="F5810" s="8"/>
      <c r="G5810" s="8" t="str">
        <f t="shared" si="360"/>
        <v/>
      </c>
      <c r="H5810" s="5">
        <v>0</v>
      </c>
      <c r="I5810" s="8" t="str">
        <f t="shared" si="361"/>
        <v/>
      </c>
      <c r="J5810" s="8" t="str">
        <f t="shared" si="362"/>
        <v/>
      </c>
      <c r="K5810" t="str">
        <f t="shared" si="363"/>
        <v>MISSING OEWS</v>
      </c>
    </row>
    <row r="5811" spans="1:11">
      <c r="A5811" t="s">
        <v>126</v>
      </c>
      <c r="B5811" t="s">
        <v>1770</v>
      </c>
      <c r="C5811" t="s">
        <v>1853</v>
      </c>
      <c r="D5811" t="s">
        <v>1854</v>
      </c>
      <c r="E5811" s="8">
        <v>1270</v>
      </c>
      <c r="F5811" s="8">
        <v>53950</v>
      </c>
      <c r="G5811" s="8">
        <f t="shared" si="360"/>
        <v>68516500</v>
      </c>
      <c r="H5811" s="5">
        <v>0</v>
      </c>
      <c r="I5811" s="8">
        <f t="shared" si="361"/>
        <v>68516500</v>
      </c>
      <c r="J5811" s="8">
        <f t="shared" si="362"/>
        <v>0</v>
      </c>
      <c r="K5811" t="str">
        <f t="shared" si="363"/>
        <v>MATCHED</v>
      </c>
    </row>
    <row r="5812" spans="1:11">
      <c r="A5812" t="s">
        <v>126</v>
      </c>
      <c r="B5812" t="s">
        <v>1770</v>
      </c>
      <c r="C5812" t="s">
        <v>1577</v>
      </c>
      <c r="D5812" t="s">
        <v>1578</v>
      </c>
      <c r="E5812" s="8">
        <v>1620</v>
      </c>
      <c r="F5812" s="8">
        <v>77720</v>
      </c>
      <c r="G5812" s="8">
        <f t="shared" si="360"/>
        <v>125906400</v>
      </c>
      <c r="H5812" s="5">
        <v>0.5433</v>
      </c>
      <c r="I5812" s="8">
        <f t="shared" si="361"/>
        <v>125906400</v>
      </c>
      <c r="J5812" s="8">
        <f t="shared" si="362"/>
        <v>68404947.12</v>
      </c>
      <c r="K5812" t="str">
        <f t="shared" si="363"/>
        <v>MATCHED</v>
      </c>
    </row>
    <row r="5813" spans="1:11">
      <c r="A5813" t="s">
        <v>126</v>
      </c>
      <c r="B5813" t="s">
        <v>1770</v>
      </c>
      <c r="C5813" t="s">
        <v>1478</v>
      </c>
      <c r="D5813" t="s">
        <v>1479</v>
      </c>
      <c r="E5813" s="8">
        <v>2690</v>
      </c>
      <c r="F5813" s="8"/>
      <c r="G5813" s="8" t="str">
        <f t="shared" si="360"/>
        <v/>
      </c>
      <c r="H5813" s="5">
        <v>0.1733</v>
      </c>
      <c r="I5813" s="8" t="str">
        <f t="shared" si="361"/>
        <v/>
      </c>
      <c r="J5813" s="8" t="str">
        <f t="shared" si="362"/>
        <v/>
      </c>
      <c r="K5813" t="str">
        <f t="shared" si="363"/>
        <v>MISSING OEWS</v>
      </c>
    </row>
    <row r="5814" spans="1:11">
      <c r="A5814" t="s">
        <v>126</v>
      </c>
      <c r="B5814" t="s">
        <v>1770</v>
      </c>
      <c r="C5814" t="s">
        <v>1196</v>
      </c>
      <c r="D5814" t="s">
        <v>1197</v>
      </c>
      <c r="E5814" s="8">
        <v>560</v>
      </c>
      <c r="F5814" s="8"/>
      <c r="G5814" s="8" t="str">
        <f t="shared" si="360"/>
        <v/>
      </c>
      <c r="H5814" s="5"/>
      <c r="I5814" s="8" t="str">
        <f t="shared" si="361"/>
        <v/>
      </c>
      <c r="J5814" s="8" t="str">
        <f t="shared" si="362"/>
        <v/>
      </c>
      <c r="K5814" t="str">
        <f t="shared" si="363"/>
        <v>MISSING OEWS</v>
      </c>
    </row>
    <row r="5815" spans="1:11">
      <c r="A5815" t="s">
        <v>126</v>
      </c>
      <c r="B5815" t="s">
        <v>1770</v>
      </c>
      <c r="C5815" t="s">
        <v>1480</v>
      </c>
      <c r="D5815" t="s">
        <v>1481</v>
      </c>
      <c r="E5815" s="8">
        <v>360</v>
      </c>
      <c r="F5815" s="8">
        <v>72550</v>
      </c>
      <c r="G5815" s="8">
        <f t="shared" si="360"/>
        <v>26118000</v>
      </c>
      <c r="H5815" s="5">
        <v>0.7021</v>
      </c>
      <c r="I5815" s="8">
        <f t="shared" si="361"/>
        <v>26118000</v>
      </c>
      <c r="J5815" s="8">
        <f t="shared" si="362"/>
        <v>18337447.8</v>
      </c>
      <c r="K5815" t="str">
        <f t="shared" si="363"/>
        <v>MATCHED</v>
      </c>
    </row>
    <row r="5816" spans="1:11">
      <c r="A5816" t="s">
        <v>126</v>
      </c>
      <c r="B5816" t="s">
        <v>1770</v>
      </c>
      <c r="C5816" t="s">
        <v>1198</v>
      </c>
      <c r="D5816" t="s">
        <v>1199</v>
      </c>
      <c r="E5816" s="8">
        <v>180</v>
      </c>
      <c r="F5816" s="8">
        <v>85560</v>
      </c>
      <c r="G5816" s="8">
        <f t="shared" si="360"/>
        <v>15400800</v>
      </c>
      <c r="H5816" s="5">
        <v>0.71</v>
      </c>
      <c r="I5816" s="8">
        <f t="shared" si="361"/>
        <v>15400800</v>
      </c>
      <c r="J5816" s="8">
        <f t="shared" si="362"/>
        <v>10934568</v>
      </c>
      <c r="K5816" t="str">
        <f t="shared" si="363"/>
        <v>MATCHED</v>
      </c>
    </row>
    <row r="5817" spans="1:11">
      <c r="A5817" t="s">
        <v>126</v>
      </c>
      <c r="B5817" t="s">
        <v>1770</v>
      </c>
      <c r="C5817" t="s">
        <v>323</v>
      </c>
      <c r="D5817" t="s">
        <v>324</v>
      </c>
      <c r="E5817" s="8">
        <v>17830</v>
      </c>
      <c r="F5817" s="8">
        <v>71240</v>
      </c>
      <c r="G5817" s="8">
        <f t="shared" si="360"/>
        <v>1270209200</v>
      </c>
      <c r="H5817" s="5">
        <v>0.575</v>
      </c>
      <c r="I5817" s="8">
        <f t="shared" si="361"/>
        <v>1270209200</v>
      </c>
      <c r="J5817" s="8">
        <f t="shared" si="362"/>
        <v>730370290</v>
      </c>
      <c r="K5817" t="str">
        <f t="shared" si="363"/>
        <v>MATCHED</v>
      </c>
    </row>
    <row r="5818" spans="1:11">
      <c r="A5818" t="s">
        <v>126</v>
      </c>
      <c r="B5818" t="s">
        <v>1770</v>
      </c>
      <c r="C5818" t="s">
        <v>1200</v>
      </c>
      <c r="D5818" t="s">
        <v>1201</v>
      </c>
      <c r="E5818" s="8">
        <v>3140</v>
      </c>
      <c r="F5818" s="8">
        <v>85450</v>
      </c>
      <c r="G5818" s="8">
        <f t="shared" si="360"/>
        <v>268313000</v>
      </c>
      <c r="H5818" s="5">
        <v>0.6643</v>
      </c>
      <c r="I5818" s="8">
        <f t="shared" si="361"/>
        <v>268313000</v>
      </c>
      <c r="J5818" s="8">
        <f t="shared" si="362"/>
        <v>178240325.9</v>
      </c>
      <c r="K5818" t="str">
        <f t="shared" si="363"/>
        <v>MATCHED</v>
      </c>
    </row>
    <row r="5819" spans="1:11">
      <c r="A5819" t="s">
        <v>126</v>
      </c>
      <c r="B5819" t="s">
        <v>1770</v>
      </c>
      <c r="C5819" t="s">
        <v>636</v>
      </c>
      <c r="D5819" t="s">
        <v>637</v>
      </c>
      <c r="E5819" s="8">
        <v>880</v>
      </c>
      <c r="F5819" s="8">
        <v>81750</v>
      </c>
      <c r="G5819" s="8">
        <f t="shared" si="360"/>
        <v>71940000</v>
      </c>
      <c r="H5819" s="5">
        <v>0.71</v>
      </c>
      <c r="I5819" s="8">
        <f t="shared" si="361"/>
        <v>71940000</v>
      </c>
      <c r="J5819" s="8">
        <f t="shared" si="362"/>
        <v>51077400</v>
      </c>
      <c r="K5819" t="str">
        <f t="shared" si="363"/>
        <v>MATCHED</v>
      </c>
    </row>
    <row r="5820" spans="1:11">
      <c r="A5820" t="s">
        <v>126</v>
      </c>
      <c r="B5820" t="s">
        <v>1770</v>
      </c>
      <c r="C5820" t="s">
        <v>860</v>
      </c>
      <c r="D5820" t="s">
        <v>861</v>
      </c>
      <c r="E5820" s="8">
        <v>1870</v>
      </c>
      <c r="F5820" s="8">
        <v>78720</v>
      </c>
      <c r="G5820" s="8">
        <f t="shared" si="360"/>
        <v>147206400</v>
      </c>
      <c r="H5820" s="5">
        <v>0.7744</v>
      </c>
      <c r="I5820" s="8">
        <f t="shared" si="361"/>
        <v>147206400</v>
      </c>
      <c r="J5820" s="8">
        <f t="shared" si="362"/>
        <v>113996636.16</v>
      </c>
      <c r="K5820" t="str">
        <f t="shared" si="363"/>
        <v>MATCHED</v>
      </c>
    </row>
    <row r="5821" spans="1:11">
      <c r="A5821" t="s">
        <v>126</v>
      </c>
      <c r="B5821" t="s">
        <v>1770</v>
      </c>
      <c r="C5821" t="s">
        <v>1202</v>
      </c>
      <c r="D5821" t="s">
        <v>1203</v>
      </c>
      <c r="E5821" s="8">
        <v>950</v>
      </c>
      <c r="F5821" s="8">
        <v>90070</v>
      </c>
      <c r="G5821" s="8">
        <f t="shared" si="360"/>
        <v>85566500</v>
      </c>
      <c r="H5821" s="5">
        <v>0.6294</v>
      </c>
      <c r="I5821" s="8">
        <f t="shared" si="361"/>
        <v>85566500</v>
      </c>
      <c r="J5821" s="8">
        <f t="shared" si="362"/>
        <v>53855555.1</v>
      </c>
      <c r="K5821" t="str">
        <f t="shared" si="363"/>
        <v>MATCHED</v>
      </c>
    </row>
    <row r="5822" spans="1:11">
      <c r="A5822" t="s">
        <v>126</v>
      </c>
      <c r="B5822" t="s">
        <v>1770</v>
      </c>
      <c r="C5822" t="s">
        <v>1204</v>
      </c>
      <c r="D5822" t="s">
        <v>1205</v>
      </c>
      <c r="E5822" s="8"/>
      <c r="F5822" s="8">
        <v>62080</v>
      </c>
      <c r="G5822" s="8" t="str">
        <f t="shared" si="360"/>
        <v/>
      </c>
      <c r="H5822" s="5"/>
      <c r="I5822" s="8" t="str">
        <f t="shared" si="361"/>
        <v/>
      </c>
      <c r="J5822" s="8" t="str">
        <f t="shared" si="362"/>
        <v/>
      </c>
      <c r="K5822" t="str">
        <f t="shared" si="363"/>
        <v>MISSING OEWS</v>
      </c>
    </row>
    <row r="5823" spans="1:11">
      <c r="A5823" t="s">
        <v>126</v>
      </c>
      <c r="B5823" t="s">
        <v>1770</v>
      </c>
      <c r="C5823" t="s">
        <v>962</v>
      </c>
      <c r="D5823" t="s">
        <v>963</v>
      </c>
      <c r="E5823" s="8">
        <v>3800</v>
      </c>
      <c r="F5823" s="8">
        <v>59720</v>
      </c>
      <c r="G5823" s="8">
        <f t="shared" si="360"/>
        <v>226936000</v>
      </c>
      <c r="H5823" s="5">
        <v>0.5483</v>
      </c>
      <c r="I5823" s="8">
        <f t="shared" si="361"/>
        <v>226936000</v>
      </c>
      <c r="J5823" s="8">
        <f t="shared" si="362"/>
        <v>124429008.8</v>
      </c>
      <c r="K5823" t="str">
        <f t="shared" si="363"/>
        <v>MATCHED</v>
      </c>
    </row>
    <row r="5824" spans="1:11">
      <c r="A5824" t="s">
        <v>126</v>
      </c>
      <c r="B5824" t="s">
        <v>1770</v>
      </c>
      <c r="C5824" t="s">
        <v>1429</v>
      </c>
      <c r="D5824" t="s">
        <v>1430</v>
      </c>
      <c r="E5824" s="8">
        <v>250</v>
      </c>
      <c r="F5824" s="8">
        <v>72020</v>
      </c>
      <c r="G5824" s="8">
        <f t="shared" si="360"/>
        <v>18005000</v>
      </c>
      <c r="H5824" s="5">
        <v>0.6138</v>
      </c>
      <c r="I5824" s="8">
        <f t="shared" si="361"/>
        <v>18005000</v>
      </c>
      <c r="J5824" s="8">
        <f t="shared" si="362"/>
        <v>11051469</v>
      </c>
      <c r="K5824" t="str">
        <f t="shared" si="363"/>
        <v>MATCHED</v>
      </c>
    </row>
    <row r="5825" spans="1:11">
      <c r="A5825" t="s">
        <v>126</v>
      </c>
      <c r="B5825" t="s">
        <v>1770</v>
      </c>
      <c r="C5825" t="s">
        <v>964</v>
      </c>
      <c r="D5825" t="s">
        <v>965</v>
      </c>
      <c r="E5825" s="8">
        <v>270</v>
      </c>
      <c r="F5825" s="8">
        <v>67270</v>
      </c>
      <c r="G5825" s="8">
        <f t="shared" si="360"/>
        <v>18162900</v>
      </c>
      <c r="H5825" s="5">
        <v>0.5607</v>
      </c>
      <c r="I5825" s="8">
        <f t="shared" si="361"/>
        <v>18162900</v>
      </c>
      <c r="J5825" s="8">
        <f t="shared" si="362"/>
        <v>10183938.03</v>
      </c>
      <c r="K5825" t="str">
        <f t="shared" si="363"/>
        <v>MATCHED</v>
      </c>
    </row>
    <row r="5826" spans="1:11">
      <c r="A5826" t="s">
        <v>126</v>
      </c>
      <c r="B5826" t="s">
        <v>1770</v>
      </c>
      <c r="C5826" t="s">
        <v>966</v>
      </c>
      <c r="D5826" t="s">
        <v>967</v>
      </c>
      <c r="E5826" s="8">
        <v>150</v>
      </c>
      <c r="F5826" s="8">
        <v>60440</v>
      </c>
      <c r="G5826" s="8">
        <f t="shared" ref="G5826:G5889" si="364">IF(OR(E5826="",F5826=""),"",E5826*F5826)</f>
        <v>9066000</v>
      </c>
      <c r="H5826" s="5">
        <v>0.0594</v>
      </c>
      <c r="I5826" s="8">
        <f t="shared" ref="I5826:I5889" si="365">IF(G5826="","",IF(ISNUMBER(H5826),G5826,""))</f>
        <v>9066000</v>
      </c>
      <c r="J5826" s="8">
        <f t="shared" ref="J5826:J5889" si="366">IF(I5826="","",I5826*H5826)</f>
        <v>538520.4</v>
      </c>
      <c r="K5826" t="str">
        <f t="shared" ref="K5826:K5889" si="367">IF(G5826="","MISSING OEWS",IF(ISNUMBER(H5826),"MATCHED","MISSING WHARTON"))</f>
        <v>MATCHED</v>
      </c>
    </row>
    <row r="5827" spans="1:11">
      <c r="A5827" t="s">
        <v>126</v>
      </c>
      <c r="B5827" t="s">
        <v>1770</v>
      </c>
      <c r="C5827" t="s">
        <v>968</v>
      </c>
      <c r="D5827" t="s">
        <v>969</v>
      </c>
      <c r="E5827" s="8">
        <v>580</v>
      </c>
      <c r="F5827" s="8">
        <v>63400</v>
      </c>
      <c r="G5827" s="8">
        <f t="shared" si="364"/>
        <v>36772000</v>
      </c>
      <c r="H5827" s="5">
        <v>0.3207</v>
      </c>
      <c r="I5827" s="8">
        <f t="shared" si="365"/>
        <v>36772000</v>
      </c>
      <c r="J5827" s="8">
        <f t="shared" si="366"/>
        <v>11792780.4</v>
      </c>
      <c r="K5827" t="str">
        <f t="shared" si="367"/>
        <v>MATCHED</v>
      </c>
    </row>
    <row r="5828" spans="1:11">
      <c r="A5828" t="s">
        <v>126</v>
      </c>
      <c r="B5828" t="s">
        <v>1770</v>
      </c>
      <c r="C5828" t="s">
        <v>970</v>
      </c>
      <c r="D5828" t="s">
        <v>971</v>
      </c>
      <c r="E5828" s="8">
        <v>470</v>
      </c>
      <c r="F5828" s="8">
        <v>52420</v>
      </c>
      <c r="G5828" s="8">
        <f t="shared" si="364"/>
        <v>24637400</v>
      </c>
      <c r="H5828" s="5">
        <v>0.3458</v>
      </c>
      <c r="I5828" s="8">
        <f t="shared" si="365"/>
        <v>24637400</v>
      </c>
      <c r="J5828" s="8">
        <f t="shared" si="366"/>
        <v>8519612.92</v>
      </c>
      <c r="K5828" t="str">
        <f t="shared" si="367"/>
        <v>MATCHED</v>
      </c>
    </row>
    <row r="5829" spans="1:11">
      <c r="A5829" t="s">
        <v>126</v>
      </c>
      <c r="B5829" t="s">
        <v>1770</v>
      </c>
      <c r="C5829" t="s">
        <v>1206</v>
      </c>
      <c r="D5829" t="s">
        <v>1207</v>
      </c>
      <c r="E5829" s="8">
        <v>500</v>
      </c>
      <c r="F5829" s="8">
        <v>62220</v>
      </c>
      <c r="G5829" s="8">
        <f t="shared" si="364"/>
        <v>31110000</v>
      </c>
      <c r="H5829" s="5">
        <v>0.6065</v>
      </c>
      <c r="I5829" s="8">
        <f t="shared" si="365"/>
        <v>31110000</v>
      </c>
      <c r="J5829" s="8">
        <f t="shared" si="366"/>
        <v>18868215</v>
      </c>
      <c r="K5829" t="str">
        <f t="shared" si="367"/>
        <v>MATCHED</v>
      </c>
    </row>
    <row r="5830" spans="1:11">
      <c r="A5830" t="s">
        <v>126</v>
      </c>
      <c r="B5830" t="s">
        <v>1770</v>
      </c>
      <c r="C5830" t="s">
        <v>1519</v>
      </c>
      <c r="D5830" t="s">
        <v>1520</v>
      </c>
      <c r="E5830" s="8">
        <v>380</v>
      </c>
      <c r="F5830" s="8">
        <v>58420</v>
      </c>
      <c r="G5830" s="8">
        <f t="shared" si="364"/>
        <v>22199600</v>
      </c>
      <c r="H5830" s="5"/>
      <c r="I5830" s="8" t="str">
        <f t="shared" si="365"/>
        <v/>
      </c>
      <c r="J5830" s="8" t="str">
        <f t="shared" si="366"/>
        <v/>
      </c>
      <c r="K5830" t="str">
        <f t="shared" si="367"/>
        <v>MISSING WHARTON</v>
      </c>
    </row>
    <row r="5831" spans="1:11">
      <c r="A5831" t="s">
        <v>126</v>
      </c>
      <c r="B5831" t="s">
        <v>1770</v>
      </c>
      <c r="C5831" t="s">
        <v>1666</v>
      </c>
      <c r="D5831" t="s">
        <v>1667</v>
      </c>
      <c r="E5831" s="8">
        <v>40</v>
      </c>
      <c r="F5831" s="8">
        <v>90240</v>
      </c>
      <c r="G5831" s="8">
        <f t="shared" si="364"/>
        <v>3609600</v>
      </c>
      <c r="H5831" s="5">
        <v>0.4273</v>
      </c>
      <c r="I5831" s="8">
        <f t="shared" si="365"/>
        <v>3609600</v>
      </c>
      <c r="J5831" s="8">
        <f t="shared" si="366"/>
        <v>1542382.08</v>
      </c>
      <c r="K5831" t="str">
        <f t="shared" si="367"/>
        <v>MATCHED</v>
      </c>
    </row>
    <row r="5832" spans="1:11">
      <c r="A5832" t="s">
        <v>126</v>
      </c>
      <c r="B5832" t="s">
        <v>1770</v>
      </c>
      <c r="C5832" t="s">
        <v>1208</v>
      </c>
      <c r="D5832" t="s">
        <v>1209</v>
      </c>
      <c r="E5832" s="8">
        <v>150</v>
      </c>
      <c r="F5832" s="8">
        <v>166320</v>
      </c>
      <c r="G5832" s="8">
        <f t="shared" si="364"/>
        <v>24948000</v>
      </c>
      <c r="H5832" s="5">
        <v>0.07</v>
      </c>
      <c r="I5832" s="8">
        <f t="shared" si="365"/>
        <v>24948000</v>
      </c>
      <c r="J5832" s="8">
        <f t="shared" si="366"/>
        <v>1746360</v>
      </c>
      <c r="K5832" t="str">
        <f t="shared" si="367"/>
        <v>MATCHED</v>
      </c>
    </row>
    <row r="5833" spans="1:11">
      <c r="A5833" t="s">
        <v>126</v>
      </c>
      <c r="B5833" t="s">
        <v>1770</v>
      </c>
      <c r="C5833" t="s">
        <v>1212</v>
      </c>
      <c r="D5833" t="s">
        <v>1213</v>
      </c>
      <c r="E5833" s="8">
        <v>600</v>
      </c>
      <c r="F5833" s="8">
        <v>73310</v>
      </c>
      <c r="G5833" s="8">
        <f t="shared" si="364"/>
        <v>43986000</v>
      </c>
      <c r="H5833" s="5">
        <v>0.4679</v>
      </c>
      <c r="I5833" s="8">
        <f t="shared" si="365"/>
        <v>43986000</v>
      </c>
      <c r="J5833" s="8">
        <f t="shared" si="366"/>
        <v>20581049.4</v>
      </c>
      <c r="K5833" t="str">
        <f t="shared" si="367"/>
        <v>MATCHED</v>
      </c>
    </row>
    <row r="5834" spans="1:11">
      <c r="A5834" t="s">
        <v>126</v>
      </c>
      <c r="B5834" t="s">
        <v>1770</v>
      </c>
      <c r="C5834" t="s">
        <v>1482</v>
      </c>
      <c r="D5834" t="s">
        <v>1483</v>
      </c>
      <c r="E5834" s="8">
        <v>60</v>
      </c>
      <c r="F5834" s="8">
        <v>118990</v>
      </c>
      <c r="G5834" s="8">
        <f t="shared" si="364"/>
        <v>7139400</v>
      </c>
      <c r="H5834" s="5">
        <v>0.07</v>
      </c>
      <c r="I5834" s="8">
        <f t="shared" si="365"/>
        <v>7139400</v>
      </c>
      <c r="J5834" s="8">
        <f t="shared" si="366"/>
        <v>499758</v>
      </c>
      <c r="K5834" t="str">
        <f t="shared" si="367"/>
        <v>MATCHED</v>
      </c>
    </row>
    <row r="5835" spans="1:11">
      <c r="A5835" t="s">
        <v>126</v>
      </c>
      <c r="B5835" t="s">
        <v>1770</v>
      </c>
      <c r="C5835" t="s">
        <v>1214</v>
      </c>
      <c r="D5835" t="s">
        <v>1215</v>
      </c>
      <c r="E5835" s="8">
        <v>510</v>
      </c>
      <c r="F5835" s="8">
        <v>141970</v>
      </c>
      <c r="G5835" s="8">
        <f t="shared" si="364"/>
        <v>72404700</v>
      </c>
      <c r="H5835" s="5">
        <v>0.4381</v>
      </c>
      <c r="I5835" s="8">
        <f t="shared" si="365"/>
        <v>72404700</v>
      </c>
      <c r="J5835" s="8">
        <f t="shared" si="366"/>
        <v>31720499.07</v>
      </c>
      <c r="K5835" t="str">
        <f t="shared" si="367"/>
        <v>MATCHED</v>
      </c>
    </row>
    <row r="5836" spans="1:11">
      <c r="A5836" t="s">
        <v>126</v>
      </c>
      <c r="B5836" t="s">
        <v>1770</v>
      </c>
      <c r="C5836" t="s">
        <v>638</v>
      </c>
      <c r="D5836" t="s">
        <v>639</v>
      </c>
      <c r="E5836" s="8">
        <v>1790</v>
      </c>
      <c r="F5836" s="8">
        <v>148240</v>
      </c>
      <c r="G5836" s="8">
        <f t="shared" si="364"/>
        <v>265349600</v>
      </c>
      <c r="H5836" s="5">
        <v>0.1495</v>
      </c>
      <c r="I5836" s="8">
        <f t="shared" si="365"/>
        <v>265349600</v>
      </c>
      <c r="J5836" s="8">
        <f t="shared" si="366"/>
        <v>39669765.2</v>
      </c>
      <c r="K5836" t="str">
        <f t="shared" si="367"/>
        <v>MATCHED</v>
      </c>
    </row>
    <row r="5837" spans="1:11">
      <c r="A5837" t="s">
        <v>126</v>
      </c>
      <c r="B5837" t="s">
        <v>1770</v>
      </c>
      <c r="C5837" t="s">
        <v>1616</v>
      </c>
      <c r="D5837" t="s">
        <v>1617</v>
      </c>
      <c r="E5837" s="8">
        <v>2660</v>
      </c>
      <c r="F5837" s="8">
        <v>89370</v>
      </c>
      <c r="G5837" s="8">
        <f t="shared" si="364"/>
        <v>237724200</v>
      </c>
      <c r="H5837" s="5">
        <v>0.1829</v>
      </c>
      <c r="I5837" s="8">
        <f t="shared" si="365"/>
        <v>237724200</v>
      </c>
      <c r="J5837" s="8">
        <f t="shared" si="366"/>
        <v>43479756.18</v>
      </c>
      <c r="K5837" t="str">
        <f t="shared" si="367"/>
        <v>MATCHED</v>
      </c>
    </row>
    <row r="5838" spans="1:11">
      <c r="A5838" t="s">
        <v>126</v>
      </c>
      <c r="B5838" t="s">
        <v>1770</v>
      </c>
      <c r="C5838" t="s">
        <v>1583</v>
      </c>
      <c r="D5838" t="s">
        <v>1584</v>
      </c>
      <c r="E5838" s="8">
        <v>1100</v>
      </c>
      <c r="F5838" s="8">
        <v>98630</v>
      </c>
      <c r="G5838" s="8">
        <f t="shared" si="364"/>
        <v>108493000</v>
      </c>
      <c r="H5838" s="5">
        <v>0.1958</v>
      </c>
      <c r="I5838" s="8">
        <f t="shared" si="365"/>
        <v>108493000</v>
      </c>
      <c r="J5838" s="8">
        <f t="shared" si="366"/>
        <v>21242929.4</v>
      </c>
      <c r="K5838" t="str">
        <f t="shared" si="367"/>
        <v>MATCHED</v>
      </c>
    </row>
    <row r="5839" spans="1:11">
      <c r="A5839" t="s">
        <v>126</v>
      </c>
      <c r="B5839" t="s">
        <v>1770</v>
      </c>
      <c r="C5839" t="s">
        <v>1431</v>
      </c>
      <c r="D5839" t="s">
        <v>1432</v>
      </c>
      <c r="E5839" s="8">
        <v>40</v>
      </c>
      <c r="F5839" s="8">
        <v>163650</v>
      </c>
      <c r="G5839" s="8">
        <f t="shared" si="364"/>
        <v>6546000</v>
      </c>
      <c r="H5839" s="5">
        <v>0.3227</v>
      </c>
      <c r="I5839" s="8">
        <f t="shared" si="365"/>
        <v>6546000</v>
      </c>
      <c r="J5839" s="8">
        <f t="shared" si="366"/>
        <v>2112394.2</v>
      </c>
      <c r="K5839" t="str">
        <f t="shared" si="367"/>
        <v>MATCHED</v>
      </c>
    </row>
    <row r="5840" spans="1:11">
      <c r="A5840" t="s">
        <v>126</v>
      </c>
      <c r="B5840" t="s">
        <v>1770</v>
      </c>
      <c r="C5840" t="s">
        <v>1752</v>
      </c>
      <c r="D5840" t="s">
        <v>1753</v>
      </c>
      <c r="E5840" s="8"/>
      <c r="F5840" s="8">
        <v>58050</v>
      </c>
      <c r="G5840" s="8" t="str">
        <f t="shared" si="364"/>
        <v/>
      </c>
      <c r="H5840" s="5">
        <v>0.2773</v>
      </c>
      <c r="I5840" s="8" t="str">
        <f t="shared" si="365"/>
        <v/>
      </c>
      <c r="J5840" s="8" t="str">
        <f t="shared" si="366"/>
        <v/>
      </c>
      <c r="K5840" t="str">
        <f t="shared" si="367"/>
        <v>MISSING OEWS</v>
      </c>
    </row>
    <row r="5841" spans="1:11">
      <c r="A5841" t="s">
        <v>126</v>
      </c>
      <c r="B5841" t="s">
        <v>1770</v>
      </c>
      <c r="C5841" t="s">
        <v>1433</v>
      </c>
      <c r="D5841" t="s">
        <v>1434</v>
      </c>
      <c r="E5841" s="8">
        <v>240</v>
      </c>
      <c r="F5841" s="8">
        <v>118120</v>
      </c>
      <c r="G5841" s="8">
        <f t="shared" si="364"/>
        <v>28348800</v>
      </c>
      <c r="H5841" s="5">
        <v>0.0864</v>
      </c>
      <c r="I5841" s="8">
        <f t="shared" si="365"/>
        <v>28348800</v>
      </c>
      <c r="J5841" s="8">
        <f t="shared" si="366"/>
        <v>2449336.32</v>
      </c>
      <c r="K5841" t="str">
        <f t="shared" si="367"/>
        <v>MATCHED</v>
      </c>
    </row>
    <row r="5842" spans="1:11">
      <c r="A5842" t="s">
        <v>126</v>
      </c>
      <c r="B5842" t="s">
        <v>1770</v>
      </c>
      <c r="C5842" t="s">
        <v>1668</v>
      </c>
      <c r="D5842" t="s">
        <v>1669</v>
      </c>
      <c r="E5842" s="8">
        <v>5520</v>
      </c>
      <c r="F5842" s="8">
        <v>86660</v>
      </c>
      <c r="G5842" s="8">
        <f t="shared" si="364"/>
        <v>478363200</v>
      </c>
      <c r="H5842" s="5">
        <v>0.1958</v>
      </c>
      <c r="I5842" s="8">
        <f t="shared" si="365"/>
        <v>478363200</v>
      </c>
      <c r="J5842" s="8">
        <f t="shared" si="366"/>
        <v>93663514.56</v>
      </c>
      <c r="K5842" t="str">
        <f t="shared" si="367"/>
        <v>MATCHED</v>
      </c>
    </row>
    <row r="5843" spans="1:11">
      <c r="A5843" t="s">
        <v>126</v>
      </c>
      <c r="B5843" t="s">
        <v>1770</v>
      </c>
      <c r="C5843" t="s">
        <v>1670</v>
      </c>
      <c r="D5843" t="s">
        <v>1671</v>
      </c>
      <c r="E5843" s="8"/>
      <c r="F5843" s="8">
        <v>74610</v>
      </c>
      <c r="G5843" s="8" t="str">
        <f t="shared" si="364"/>
        <v/>
      </c>
      <c r="H5843" s="5">
        <v>0.14</v>
      </c>
      <c r="I5843" s="8" t="str">
        <f t="shared" si="365"/>
        <v/>
      </c>
      <c r="J5843" s="8" t="str">
        <f t="shared" si="366"/>
        <v/>
      </c>
      <c r="K5843" t="str">
        <f t="shared" si="367"/>
        <v>MISSING OEWS</v>
      </c>
    </row>
    <row r="5844" spans="1:11">
      <c r="A5844" t="s">
        <v>126</v>
      </c>
      <c r="B5844" t="s">
        <v>1770</v>
      </c>
      <c r="C5844" t="s">
        <v>1618</v>
      </c>
      <c r="D5844" t="s">
        <v>1619</v>
      </c>
      <c r="E5844" s="8">
        <v>610</v>
      </c>
      <c r="F5844" s="8">
        <v>69750</v>
      </c>
      <c r="G5844" s="8">
        <f t="shared" si="364"/>
        <v>42547500</v>
      </c>
      <c r="H5844" s="5">
        <v>0.1775</v>
      </c>
      <c r="I5844" s="8">
        <f t="shared" si="365"/>
        <v>42547500</v>
      </c>
      <c r="J5844" s="8">
        <f t="shared" si="366"/>
        <v>7552181.25</v>
      </c>
      <c r="K5844" t="str">
        <f t="shared" si="367"/>
        <v>MATCHED</v>
      </c>
    </row>
    <row r="5845" spans="1:11">
      <c r="A5845" t="s">
        <v>126</v>
      </c>
      <c r="B5845" t="s">
        <v>1770</v>
      </c>
      <c r="C5845" t="s">
        <v>325</v>
      </c>
      <c r="D5845" t="s">
        <v>326</v>
      </c>
      <c r="E5845" s="8">
        <v>230</v>
      </c>
      <c r="F5845" s="8">
        <v>141550</v>
      </c>
      <c r="G5845" s="8">
        <f t="shared" si="364"/>
        <v>32556500</v>
      </c>
      <c r="H5845" s="5">
        <v>0.163</v>
      </c>
      <c r="I5845" s="8">
        <f t="shared" si="365"/>
        <v>32556500</v>
      </c>
      <c r="J5845" s="8">
        <f t="shared" si="366"/>
        <v>5306709.5</v>
      </c>
      <c r="K5845" t="str">
        <f t="shared" si="367"/>
        <v>MATCHED</v>
      </c>
    </row>
    <row r="5846" spans="1:11">
      <c r="A5846" t="s">
        <v>126</v>
      </c>
      <c r="B5846" t="s">
        <v>1770</v>
      </c>
      <c r="C5846" t="s">
        <v>862</v>
      </c>
      <c r="D5846" t="s">
        <v>863</v>
      </c>
      <c r="E5846" s="8">
        <v>16850</v>
      </c>
      <c r="F5846" s="8">
        <v>99940</v>
      </c>
      <c r="G5846" s="8">
        <f t="shared" si="364"/>
        <v>1683989000</v>
      </c>
      <c r="H5846" s="5">
        <v>0.1958</v>
      </c>
      <c r="I5846" s="8">
        <f t="shared" si="365"/>
        <v>1683989000</v>
      </c>
      <c r="J5846" s="8">
        <f t="shared" si="366"/>
        <v>329725046.2</v>
      </c>
      <c r="K5846" t="str">
        <f t="shared" si="367"/>
        <v>MATCHED</v>
      </c>
    </row>
    <row r="5847" spans="1:11">
      <c r="A5847" t="s">
        <v>126</v>
      </c>
      <c r="B5847" t="s">
        <v>1770</v>
      </c>
      <c r="C5847" t="s">
        <v>1216</v>
      </c>
      <c r="D5847" t="s">
        <v>1217</v>
      </c>
      <c r="E5847" s="8">
        <v>420</v>
      </c>
      <c r="F5847" s="8">
        <v>227930</v>
      </c>
      <c r="G5847" s="8">
        <f t="shared" si="364"/>
        <v>95730600</v>
      </c>
      <c r="H5847" s="5">
        <v>0.1167</v>
      </c>
      <c r="I5847" s="8">
        <f t="shared" si="365"/>
        <v>95730600</v>
      </c>
      <c r="J5847" s="8">
        <f t="shared" si="366"/>
        <v>11171761.02</v>
      </c>
      <c r="K5847" t="str">
        <f t="shared" si="367"/>
        <v>MATCHED</v>
      </c>
    </row>
    <row r="5848" spans="1:11">
      <c r="A5848" t="s">
        <v>126</v>
      </c>
      <c r="B5848" t="s">
        <v>1770</v>
      </c>
      <c r="C5848" t="s">
        <v>1855</v>
      </c>
      <c r="D5848" t="s">
        <v>1856</v>
      </c>
      <c r="E5848" s="8">
        <v>70</v>
      </c>
      <c r="F5848" s="8">
        <v>139480</v>
      </c>
      <c r="G5848" s="8">
        <f t="shared" si="364"/>
        <v>9763600</v>
      </c>
      <c r="H5848" s="5">
        <v>0.3452</v>
      </c>
      <c r="I5848" s="8">
        <f t="shared" si="365"/>
        <v>9763600</v>
      </c>
      <c r="J5848" s="8">
        <f t="shared" si="366"/>
        <v>3370394.72</v>
      </c>
      <c r="K5848" t="str">
        <f t="shared" si="367"/>
        <v>MATCHED</v>
      </c>
    </row>
    <row r="5849" spans="1:11">
      <c r="A5849" t="s">
        <v>126</v>
      </c>
      <c r="B5849" t="s">
        <v>1770</v>
      </c>
      <c r="C5849" t="s">
        <v>1218</v>
      </c>
      <c r="D5849" t="s">
        <v>1219</v>
      </c>
      <c r="E5849" s="8">
        <v>3600</v>
      </c>
      <c r="F5849" s="8">
        <v>141570</v>
      </c>
      <c r="G5849" s="8">
        <f t="shared" si="364"/>
        <v>509652000</v>
      </c>
      <c r="H5849" s="5">
        <v>0.313</v>
      </c>
      <c r="I5849" s="8">
        <f t="shared" si="365"/>
        <v>509652000</v>
      </c>
      <c r="J5849" s="8">
        <f t="shared" si="366"/>
        <v>159521076</v>
      </c>
      <c r="K5849" t="str">
        <f t="shared" si="367"/>
        <v>MATCHED</v>
      </c>
    </row>
    <row r="5850" spans="1:11">
      <c r="A5850" t="s">
        <v>126</v>
      </c>
      <c r="B5850" t="s">
        <v>1770</v>
      </c>
      <c r="C5850" t="s">
        <v>1435</v>
      </c>
      <c r="D5850" t="s">
        <v>1436</v>
      </c>
      <c r="E5850" s="8">
        <v>190</v>
      </c>
      <c r="F5850" s="8">
        <v>101180</v>
      </c>
      <c r="G5850" s="8">
        <f t="shared" si="364"/>
        <v>19224200</v>
      </c>
      <c r="H5850" s="5">
        <v>0.2568</v>
      </c>
      <c r="I5850" s="8">
        <f t="shared" si="365"/>
        <v>19224200</v>
      </c>
      <c r="J5850" s="8">
        <f t="shared" si="366"/>
        <v>4936774.56</v>
      </c>
      <c r="K5850" t="str">
        <f t="shared" si="367"/>
        <v>MATCHED</v>
      </c>
    </row>
    <row r="5851" spans="1:11">
      <c r="A5851" t="s">
        <v>126</v>
      </c>
      <c r="B5851" t="s">
        <v>1770</v>
      </c>
      <c r="C5851" t="s">
        <v>1672</v>
      </c>
      <c r="D5851" t="s">
        <v>1673</v>
      </c>
      <c r="E5851" s="8">
        <v>340</v>
      </c>
      <c r="F5851" s="8"/>
      <c r="G5851" s="8" t="str">
        <f t="shared" si="364"/>
        <v/>
      </c>
      <c r="H5851" s="5">
        <v>0.2222</v>
      </c>
      <c r="I5851" s="8" t="str">
        <f t="shared" si="365"/>
        <v/>
      </c>
      <c r="J5851" s="8" t="str">
        <f t="shared" si="366"/>
        <v/>
      </c>
      <c r="K5851" t="str">
        <f t="shared" si="367"/>
        <v>MISSING OEWS</v>
      </c>
    </row>
    <row r="5852" spans="1:11">
      <c r="A5852" t="s">
        <v>126</v>
      </c>
      <c r="B5852" t="s">
        <v>1770</v>
      </c>
      <c r="C5852" t="s">
        <v>1721</v>
      </c>
      <c r="D5852" t="s">
        <v>1722</v>
      </c>
      <c r="E5852" s="8">
        <v>350</v>
      </c>
      <c r="F5852" s="8"/>
      <c r="G5852" s="8" t="str">
        <f t="shared" si="364"/>
        <v/>
      </c>
      <c r="H5852" s="5">
        <v>0.2346</v>
      </c>
      <c r="I5852" s="8" t="str">
        <f t="shared" si="365"/>
        <v/>
      </c>
      <c r="J5852" s="8" t="str">
        <f t="shared" si="366"/>
        <v/>
      </c>
      <c r="K5852" t="str">
        <f t="shared" si="367"/>
        <v>MISSING OEWS</v>
      </c>
    </row>
    <row r="5853" spans="1:11">
      <c r="A5853" t="s">
        <v>126</v>
      </c>
      <c r="B5853" t="s">
        <v>1770</v>
      </c>
      <c r="C5853" t="s">
        <v>1857</v>
      </c>
      <c r="D5853" t="s">
        <v>1858</v>
      </c>
      <c r="E5853" s="8">
        <v>60</v>
      </c>
      <c r="F5853" s="8"/>
      <c r="G5853" s="8" t="str">
        <f t="shared" si="364"/>
        <v/>
      </c>
      <c r="H5853" s="5">
        <v>0.2083</v>
      </c>
      <c r="I5853" s="8" t="str">
        <f t="shared" si="365"/>
        <v/>
      </c>
      <c r="J5853" s="8" t="str">
        <f t="shared" si="366"/>
        <v/>
      </c>
      <c r="K5853" t="str">
        <f t="shared" si="367"/>
        <v>MISSING OEWS</v>
      </c>
    </row>
    <row r="5854" spans="1:11">
      <c r="A5854" t="s">
        <v>126</v>
      </c>
      <c r="B5854" t="s">
        <v>1770</v>
      </c>
      <c r="C5854" t="s">
        <v>1723</v>
      </c>
      <c r="D5854" t="s">
        <v>1724</v>
      </c>
      <c r="E5854" s="8">
        <v>460</v>
      </c>
      <c r="F5854" s="8"/>
      <c r="G5854" s="8" t="str">
        <f t="shared" si="364"/>
        <v/>
      </c>
      <c r="H5854" s="5">
        <v>0.1794</v>
      </c>
      <c r="I5854" s="8" t="str">
        <f t="shared" si="365"/>
        <v/>
      </c>
      <c r="J5854" s="8" t="str">
        <f t="shared" si="366"/>
        <v/>
      </c>
      <c r="K5854" t="str">
        <f t="shared" si="367"/>
        <v>MISSING OEWS</v>
      </c>
    </row>
    <row r="5855" spans="1:11">
      <c r="A5855" t="s">
        <v>126</v>
      </c>
      <c r="B5855" t="s">
        <v>1770</v>
      </c>
      <c r="C5855" t="s">
        <v>1725</v>
      </c>
      <c r="D5855" t="s">
        <v>1726</v>
      </c>
      <c r="E5855" s="8">
        <v>440</v>
      </c>
      <c r="F5855" s="8">
        <v>161390</v>
      </c>
      <c r="G5855" s="8">
        <f t="shared" si="364"/>
        <v>71011600</v>
      </c>
      <c r="H5855" s="5">
        <v>0.2885</v>
      </c>
      <c r="I5855" s="8">
        <f t="shared" si="365"/>
        <v>71011600</v>
      </c>
      <c r="J5855" s="8">
        <f t="shared" si="366"/>
        <v>20486846.6</v>
      </c>
      <c r="K5855" t="str">
        <f t="shared" si="367"/>
        <v>MATCHED</v>
      </c>
    </row>
    <row r="5856" spans="1:11">
      <c r="A5856" t="s">
        <v>126</v>
      </c>
      <c r="B5856" t="s">
        <v>1770</v>
      </c>
      <c r="C5856" t="s">
        <v>1674</v>
      </c>
      <c r="D5856" t="s">
        <v>1675</v>
      </c>
      <c r="E5856" s="8">
        <v>4570</v>
      </c>
      <c r="F5856" s="8">
        <v>390360</v>
      </c>
      <c r="G5856" s="8">
        <f t="shared" si="364"/>
        <v>1783945200</v>
      </c>
      <c r="H5856" s="5">
        <v>0.2237</v>
      </c>
      <c r="I5856" s="8">
        <f t="shared" si="365"/>
        <v>1783945200</v>
      </c>
      <c r="J5856" s="8">
        <f t="shared" si="366"/>
        <v>399068541.24</v>
      </c>
      <c r="K5856" t="str">
        <f t="shared" si="367"/>
        <v>MATCHED</v>
      </c>
    </row>
    <row r="5857" spans="1:11">
      <c r="A5857" t="s">
        <v>126</v>
      </c>
      <c r="B5857" t="s">
        <v>1770</v>
      </c>
      <c r="C5857" t="s">
        <v>1437</v>
      </c>
      <c r="D5857" t="s">
        <v>1438</v>
      </c>
      <c r="E5857" s="8">
        <v>190</v>
      </c>
      <c r="F5857" s="8"/>
      <c r="G5857" s="8" t="str">
        <f t="shared" si="364"/>
        <v/>
      </c>
      <c r="H5857" s="5">
        <v>0.2625</v>
      </c>
      <c r="I5857" s="8" t="str">
        <f t="shared" si="365"/>
        <v/>
      </c>
      <c r="J5857" s="8" t="str">
        <f t="shared" si="366"/>
        <v/>
      </c>
      <c r="K5857" t="str">
        <f t="shared" si="367"/>
        <v>MISSING OEWS</v>
      </c>
    </row>
    <row r="5858" spans="1:11">
      <c r="A5858" t="s">
        <v>126</v>
      </c>
      <c r="B5858" t="s">
        <v>1770</v>
      </c>
      <c r="C5858" t="s">
        <v>1727</v>
      </c>
      <c r="D5858" t="s">
        <v>1728</v>
      </c>
      <c r="E5858" s="8">
        <v>390</v>
      </c>
      <c r="F5858" s="8"/>
      <c r="G5858" s="8" t="str">
        <f t="shared" si="364"/>
        <v/>
      </c>
      <c r="H5858" s="5">
        <v>0.33</v>
      </c>
      <c r="I5858" s="8" t="str">
        <f t="shared" si="365"/>
        <v/>
      </c>
      <c r="J5858" s="8" t="str">
        <f t="shared" si="366"/>
        <v/>
      </c>
      <c r="K5858" t="str">
        <f t="shared" si="367"/>
        <v>MISSING OEWS</v>
      </c>
    </row>
    <row r="5859" spans="1:11">
      <c r="A5859" t="s">
        <v>126</v>
      </c>
      <c r="B5859" t="s">
        <v>1770</v>
      </c>
      <c r="C5859" t="s">
        <v>1676</v>
      </c>
      <c r="D5859" t="s">
        <v>1677</v>
      </c>
      <c r="E5859" s="8">
        <v>500</v>
      </c>
      <c r="F5859" s="8">
        <v>166660</v>
      </c>
      <c r="G5859" s="8">
        <f t="shared" si="364"/>
        <v>83330000</v>
      </c>
      <c r="H5859" s="5">
        <v>0.1941</v>
      </c>
      <c r="I5859" s="8">
        <f t="shared" si="365"/>
        <v>83330000</v>
      </c>
      <c r="J5859" s="8">
        <f t="shared" si="366"/>
        <v>16174353</v>
      </c>
      <c r="K5859" t="str">
        <f t="shared" si="367"/>
        <v>MATCHED</v>
      </c>
    </row>
    <row r="5860" spans="1:11">
      <c r="A5860" t="s">
        <v>126</v>
      </c>
      <c r="B5860" t="s">
        <v>1770</v>
      </c>
      <c r="C5860" t="s">
        <v>1439</v>
      </c>
      <c r="D5860" t="s">
        <v>1440</v>
      </c>
      <c r="E5860" s="8">
        <v>120</v>
      </c>
      <c r="F5860" s="8">
        <v>192620</v>
      </c>
      <c r="G5860" s="8">
        <f t="shared" si="364"/>
        <v>23114400</v>
      </c>
      <c r="H5860" s="5">
        <v>0.2711</v>
      </c>
      <c r="I5860" s="8">
        <f t="shared" si="365"/>
        <v>23114400</v>
      </c>
      <c r="J5860" s="8">
        <f t="shared" si="366"/>
        <v>6266313.84</v>
      </c>
      <c r="K5860" t="str">
        <f t="shared" si="367"/>
        <v>MATCHED</v>
      </c>
    </row>
    <row r="5861" spans="1:11">
      <c r="A5861" t="s">
        <v>126</v>
      </c>
      <c r="B5861" t="s">
        <v>1770</v>
      </c>
      <c r="C5861" t="s">
        <v>1678</v>
      </c>
      <c r="D5861" t="s">
        <v>1679</v>
      </c>
      <c r="E5861" s="8">
        <v>730</v>
      </c>
      <c r="F5861" s="8">
        <v>225580</v>
      </c>
      <c r="G5861" s="8">
        <f t="shared" si="364"/>
        <v>164673400</v>
      </c>
      <c r="H5861" s="5">
        <v>0.1375</v>
      </c>
      <c r="I5861" s="8">
        <f t="shared" si="365"/>
        <v>164673400</v>
      </c>
      <c r="J5861" s="8">
        <f t="shared" si="366"/>
        <v>22642592.5</v>
      </c>
      <c r="K5861" t="str">
        <f t="shared" si="367"/>
        <v>MATCHED</v>
      </c>
    </row>
    <row r="5862" spans="1:11">
      <c r="A5862" t="s">
        <v>126</v>
      </c>
      <c r="B5862" t="s">
        <v>1770</v>
      </c>
      <c r="C5862" t="s">
        <v>1680</v>
      </c>
      <c r="D5862" t="s">
        <v>1681</v>
      </c>
      <c r="E5862" s="8">
        <v>340</v>
      </c>
      <c r="F5862" s="8"/>
      <c r="G5862" s="8" t="str">
        <f t="shared" si="364"/>
        <v/>
      </c>
      <c r="H5862" s="5">
        <v>0.4317</v>
      </c>
      <c r="I5862" s="8" t="str">
        <f t="shared" si="365"/>
        <v/>
      </c>
      <c r="J5862" s="8" t="str">
        <f t="shared" si="366"/>
        <v/>
      </c>
      <c r="K5862" t="str">
        <f t="shared" si="367"/>
        <v>MISSING OEWS</v>
      </c>
    </row>
    <row r="5863" spans="1:11">
      <c r="A5863" t="s">
        <v>126</v>
      </c>
      <c r="B5863" t="s">
        <v>1770</v>
      </c>
      <c r="C5863" t="s">
        <v>1220</v>
      </c>
      <c r="D5863" t="s">
        <v>1221</v>
      </c>
      <c r="E5863" s="8"/>
      <c r="F5863" s="8">
        <v>116830</v>
      </c>
      <c r="G5863" s="8" t="str">
        <f t="shared" si="364"/>
        <v/>
      </c>
      <c r="H5863" s="5">
        <v>0.2008</v>
      </c>
      <c r="I5863" s="8" t="str">
        <f t="shared" si="365"/>
        <v/>
      </c>
      <c r="J5863" s="8" t="str">
        <f t="shared" si="366"/>
        <v/>
      </c>
      <c r="K5863" t="str">
        <f t="shared" si="367"/>
        <v>MISSING OEWS</v>
      </c>
    </row>
    <row r="5864" spans="1:11">
      <c r="A5864" t="s">
        <v>126</v>
      </c>
      <c r="B5864" t="s">
        <v>1770</v>
      </c>
      <c r="C5864" t="s">
        <v>1484</v>
      </c>
      <c r="D5864" t="s">
        <v>1485</v>
      </c>
      <c r="E5864" s="8">
        <v>60</v>
      </c>
      <c r="F5864" s="8"/>
      <c r="G5864" s="8" t="str">
        <f t="shared" si="364"/>
        <v/>
      </c>
      <c r="H5864" s="5">
        <v>0.0778</v>
      </c>
      <c r="I5864" s="8" t="str">
        <f t="shared" si="365"/>
        <v/>
      </c>
      <c r="J5864" s="8" t="str">
        <f t="shared" si="366"/>
        <v/>
      </c>
      <c r="K5864" t="str">
        <f t="shared" si="367"/>
        <v>MISSING OEWS</v>
      </c>
    </row>
    <row r="5865" spans="1:11">
      <c r="A5865" t="s">
        <v>126</v>
      </c>
      <c r="B5865" t="s">
        <v>1770</v>
      </c>
      <c r="C5865" t="s">
        <v>1859</v>
      </c>
      <c r="D5865" t="s">
        <v>1860</v>
      </c>
      <c r="E5865" s="8">
        <v>190</v>
      </c>
      <c r="F5865" s="8"/>
      <c r="G5865" s="8" t="str">
        <f t="shared" si="364"/>
        <v/>
      </c>
      <c r="H5865" s="5">
        <v>0.1867</v>
      </c>
      <c r="I5865" s="8" t="str">
        <f t="shared" si="365"/>
        <v/>
      </c>
      <c r="J5865" s="8" t="str">
        <f t="shared" si="366"/>
        <v/>
      </c>
      <c r="K5865" t="str">
        <f t="shared" si="367"/>
        <v>MISSING OEWS</v>
      </c>
    </row>
    <row r="5866" spans="1:11">
      <c r="A5866" t="s">
        <v>126</v>
      </c>
      <c r="B5866" t="s">
        <v>1770</v>
      </c>
      <c r="C5866" t="s">
        <v>1682</v>
      </c>
      <c r="D5866" t="s">
        <v>1683</v>
      </c>
      <c r="E5866" s="8">
        <v>490</v>
      </c>
      <c r="F5866" s="8"/>
      <c r="G5866" s="8" t="str">
        <f t="shared" si="364"/>
        <v/>
      </c>
      <c r="H5866" s="5"/>
      <c r="I5866" s="8" t="str">
        <f t="shared" si="365"/>
        <v/>
      </c>
      <c r="J5866" s="8" t="str">
        <f t="shared" si="366"/>
        <v/>
      </c>
      <c r="K5866" t="str">
        <f t="shared" si="367"/>
        <v>MISSING OEWS</v>
      </c>
    </row>
    <row r="5867" spans="1:11">
      <c r="A5867" t="s">
        <v>126</v>
      </c>
      <c r="B5867" t="s">
        <v>1770</v>
      </c>
      <c r="C5867" t="s">
        <v>1754</v>
      </c>
      <c r="D5867" t="s">
        <v>1755</v>
      </c>
      <c r="E5867" s="8">
        <v>280</v>
      </c>
      <c r="F5867" s="8">
        <v>54290</v>
      </c>
      <c r="G5867" s="8">
        <f t="shared" si="364"/>
        <v>15201200</v>
      </c>
      <c r="H5867" s="5">
        <v>0.0528</v>
      </c>
      <c r="I5867" s="8">
        <f t="shared" si="365"/>
        <v>15201200</v>
      </c>
      <c r="J5867" s="8">
        <f t="shared" si="366"/>
        <v>802623.36</v>
      </c>
      <c r="K5867" t="str">
        <f t="shared" si="367"/>
        <v>MATCHED</v>
      </c>
    </row>
    <row r="5868" spans="1:11">
      <c r="A5868" t="s">
        <v>126</v>
      </c>
      <c r="B5868" t="s">
        <v>1770</v>
      </c>
      <c r="C5868" t="s">
        <v>1222</v>
      </c>
      <c r="D5868" t="s">
        <v>1223</v>
      </c>
      <c r="E5868" s="8">
        <v>320</v>
      </c>
      <c r="F5868" s="8">
        <v>90170</v>
      </c>
      <c r="G5868" s="8">
        <f t="shared" si="364"/>
        <v>28854400</v>
      </c>
      <c r="H5868" s="5">
        <v>0.1583</v>
      </c>
      <c r="I5868" s="8">
        <f t="shared" si="365"/>
        <v>28854400</v>
      </c>
      <c r="J5868" s="8">
        <f t="shared" si="366"/>
        <v>4567651.52</v>
      </c>
      <c r="K5868" t="str">
        <f t="shared" si="367"/>
        <v>MATCHED</v>
      </c>
    </row>
    <row r="5869" spans="1:11">
      <c r="A5869" t="s">
        <v>126</v>
      </c>
      <c r="B5869" t="s">
        <v>1770</v>
      </c>
      <c r="C5869" t="s">
        <v>1486</v>
      </c>
      <c r="D5869" t="s">
        <v>1487</v>
      </c>
      <c r="E5869" s="8">
        <v>140</v>
      </c>
      <c r="F5869" s="8">
        <v>61720</v>
      </c>
      <c r="G5869" s="8">
        <f t="shared" si="364"/>
        <v>8640800</v>
      </c>
      <c r="H5869" s="5">
        <v>0.1875</v>
      </c>
      <c r="I5869" s="8">
        <f t="shared" si="365"/>
        <v>8640800</v>
      </c>
      <c r="J5869" s="8">
        <f t="shared" si="366"/>
        <v>1620150</v>
      </c>
      <c r="K5869" t="str">
        <f t="shared" si="367"/>
        <v>MATCHED</v>
      </c>
    </row>
    <row r="5870" spans="1:11">
      <c r="A5870" t="s">
        <v>126</v>
      </c>
      <c r="B5870" t="s">
        <v>1770</v>
      </c>
      <c r="C5870" t="s">
        <v>1224</v>
      </c>
      <c r="D5870" t="s">
        <v>1225</v>
      </c>
      <c r="E5870" s="8">
        <v>5230</v>
      </c>
      <c r="F5870" s="8">
        <v>67730</v>
      </c>
      <c r="G5870" s="8">
        <f t="shared" si="364"/>
        <v>354227900</v>
      </c>
      <c r="H5870" s="5">
        <v>0.1612</v>
      </c>
      <c r="I5870" s="8">
        <f t="shared" si="365"/>
        <v>354227900</v>
      </c>
      <c r="J5870" s="8">
        <f t="shared" si="366"/>
        <v>57101537.48</v>
      </c>
      <c r="K5870" t="str">
        <f t="shared" si="367"/>
        <v>MATCHED</v>
      </c>
    </row>
    <row r="5871" spans="1:11">
      <c r="A5871" t="s">
        <v>126</v>
      </c>
      <c r="B5871" t="s">
        <v>1770</v>
      </c>
      <c r="C5871" t="s">
        <v>1441</v>
      </c>
      <c r="D5871" t="s">
        <v>1442</v>
      </c>
      <c r="E5871" s="8">
        <v>330</v>
      </c>
      <c r="F5871" s="8">
        <v>110110</v>
      </c>
      <c r="G5871" s="8">
        <f t="shared" si="364"/>
        <v>36336300</v>
      </c>
      <c r="H5871" s="5">
        <v>0.304</v>
      </c>
      <c r="I5871" s="8">
        <f t="shared" si="365"/>
        <v>36336300</v>
      </c>
      <c r="J5871" s="8">
        <f t="shared" si="366"/>
        <v>11046235.2</v>
      </c>
      <c r="K5871" t="str">
        <f t="shared" si="367"/>
        <v>MATCHED</v>
      </c>
    </row>
    <row r="5872" spans="1:11">
      <c r="A5872" t="s">
        <v>126</v>
      </c>
      <c r="B5872" t="s">
        <v>1770</v>
      </c>
      <c r="C5872" t="s">
        <v>1684</v>
      </c>
      <c r="D5872" t="s">
        <v>1685</v>
      </c>
      <c r="E5872" s="8">
        <v>410</v>
      </c>
      <c r="F5872" s="8">
        <v>102660</v>
      </c>
      <c r="G5872" s="8">
        <f t="shared" si="364"/>
        <v>42090600</v>
      </c>
      <c r="H5872" s="5">
        <v>0.345</v>
      </c>
      <c r="I5872" s="8">
        <f t="shared" si="365"/>
        <v>42090600</v>
      </c>
      <c r="J5872" s="8">
        <f t="shared" si="366"/>
        <v>14521257</v>
      </c>
      <c r="K5872" t="str">
        <f t="shared" si="367"/>
        <v>MATCHED</v>
      </c>
    </row>
    <row r="5873" spans="1:11">
      <c r="A5873" t="s">
        <v>126</v>
      </c>
      <c r="B5873" t="s">
        <v>1770</v>
      </c>
      <c r="C5873" t="s">
        <v>1686</v>
      </c>
      <c r="D5873" t="s">
        <v>1687</v>
      </c>
      <c r="E5873" s="8">
        <v>80</v>
      </c>
      <c r="F5873" s="8">
        <v>120010</v>
      </c>
      <c r="G5873" s="8">
        <f t="shared" si="364"/>
        <v>9600800</v>
      </c>
      <c r="H5873" s="5">
        <v>0.2647</v>
      </c>
      <c r="I5873" s="8">
        <f t="shared" si="365"/>
        <v>9600800</v>
      </c>
      <c r="J5873" s="8">
        <f t="shared" si="366"/>
        <v>2541331.76</v>
      </c>
      <c r="K5873" t="str">
        <f t="shared" si="367"/>
        <v>MATCHED</v>
      </c>
    </row>
    <row r="5874" spans="1:11">
      <c r="A5874" t="s">
        <v>126</v>
      </c>
      <c r="B5874" t="s">
        <v>1770</v>
      </c>
      <c r="C5874" t="s">
        <v>1226</v>
      </c>
      <c r="D5874" t="s">
        <v>1227</v>
      </c>
      <c r="E5874" s="8">
        <v>770</v>
      </c>
      <c r="F5874" s="8">
        <v>99160</v>
      </c>
      <c r="G5874" s="8">
        <f t="shared" si="364"/>
        <v>76353200</v>
      </c>
      <c r="H5874" s="5">
        <v>0.315</v>
      </c>
      <c r="I5874" s="8">
        <f t="shared" si="365"/>
        <v>76353200</v>
      </c>
      <c r="J5874" s="8">
        <f t="shared" si="366"/>
        <v>24051258</v>
      </c>
      <c r="K5874" t="str">
        <f t="shared" si="367"/>
        <v>MATCHED</v>
      </c>
    </row>
    <row r="5875" spans="1:11">
      <c r="A5875" t="s">
        <v>126</v>
      </c>
      <c r="B5875" t="s">
        <v>1770</v>
      </c>
      <c r="C5875" t="s">
        <v>1688</v>
      </c>
      <c r="D5875" t="s">
        <v>1689</v>
      </c>
      <c r="E5875" s="8">
        <v>350</v>
      </c>
      <c r="F5875" s="8">
        <v>114130</v>
      </c>
      <c r="G5875" s="8">
        <f t="shared" si="364"/>
        <v>39945500</v>
      </c>
      <c r="H5875" s="5">
        <v>0.4239</v>
      </c>
      <c r="I5875" s="8">
        <f t="shared" si="365"/>
        <v>39945500</v>
      </c>
      <c r="J5875" s="8">
        <f t="shared" si="366"/>
        <v>16932897.45</v>
      </c>
      <c r="K5875" t="str">
        <f t="shared" si="367"/>
        <v>MATCHED</v>
      </c>
    </row>
    <row r="5876" spans="1:11">
      <c r="A5876" t="s">
        <v>126</v>
      </c>
      <c r="B5876" t="s">
        <v>1770</v>
      </c>
      <c r="C5876" t="s">
        <v>1690</v>
      </c>
      <c r="D5876" t="s">
        <v>1691</v>
      </c>
      <c r="E5876" s="8">
        <v>90</v>
      </c>
      <c r="F5876" s="8">
        <v>147650</v>
      </c>
      <c r="G5876" s="8">
        <f t="shared" si="364"/>
        <v>13288500</v>
      </c>
      <c r="H5876" s="5">
        <v>0.435</v>
      </c>
      <c r="I5876" s="8">
        <f t="shared" si="365"/>
        <v>13288500</v>
      </c>
      <c r="J5876" s="8">
        <f t="shared" si="366"/>
        <v>5780497.5</v>
      </c>
      <c r="K5876" t="str">
        <f t="shared" si="367"/>
        <v>MATCHED</v>
      </c>
    </row>
    <row r="5877" spans="1:11">
      <c r="A5877" t="s">
        <v>126</v>
      </c>
      <c r="B5877" t="s">
        <v>1770</v>
      </c>
      <c r="C5877" t="s">
        <v>640</v>
      </c>
      <c r="D5877" t="s">
        <v>641</v>
      </c>
      <c r="E5877" s="8">
        <v>570</v>
      </c>
      <c r="F5877" s="8">
        <v>43250</v>
      </c>
      <c r="G5877" s="8">
        <f t="shared" si="364"/>
        <v>24652500</v>
      </c>
      <c r="H5877" s="5">
        <v>0.0792</v>
      </c>
      <c r="I5877" s="8">
        <f t="shared" si="365"/>
        <v>24652500</v>
      </c>
      <c r="J5877" s="8">
        <f t="shared" si="366"/>
        <v>1952478</v>
      </c>
      <c r="K5877" t="str">
        <f t="shared" si="367"/>
        <v>MATCHED</v>
      </c>
    </row>
    <row r="5878" spans="1:11">
      <c r="A5878" t="s">
        <v>126</v>
      </c>
      <c r="B5878" t="s">
        <v>1770</v>
      </c>
      <c r="C5878" t="s">
        <v>642</v>
      </c>
      <c r="D5878" t="s">
        <v>643</v>
      </c>
      <c r="E5878" s="8">
        <v>40</v>
      </c>
      <c r="F5878" s="8">
        <v>64410</v>
      </c>
      <c r="G5878" s="8">
        <f t="shared" si="364"/>
        <v>2576400</v>
      </c>
      <c r="H5878" s="5">
        <v>0</v>
      </c>
      <c r="I5878" s="8">
        <f t="shared" si="365"/>
        <v>2576400</v>
      </c>
      <c r="J5878" s="8">
        <f t="shared" si="366"/>
        <v>0</v>
      </c>
      <c r="K5878" t="str">
        <f t="shared" si="367"/>
        <v>MATCHED</v>
      </c>
    </row>
    <row r="5879" spans="1:11">
      <c r="A5879" t="s">
        <v>126</v>
      </c>
      <c r="B5879" t="s">
        <v>1770</v>
      </c>
      <c r="C5879" t="s">
        <v>1729</v>
      </c>
      <c r="D5879" t="s">
        <v>1730</v>
      </c>
      <c r="E5879" s="8">
        <v>90</v>
      </c>
      <c r="F5879" s="8">
        <v>51990</v>
      </c>
      <c r="G5879" s="8">
        <f t="shared" si="364"/>
        <v>4679100</v>
      </c>
      <c r="H5879" s="5">
        <v>0.4154</v>
      </c>
      <c r="I5879" s="8">
        <f t="shared" si="365"/>
        <v>4679100</v>
      </c>
      <c r="J5879" s="8">
        <f t="shared" si="366"/>
        <v>1943698.14</v>
      </c>
      <c r="K5879" t="str">
        <f t="shared" si="367"/>
        <v>MATCHED</v>
      </c>
    </row>
    <row r="5880" spans="1:11">
      <c r="A5880" t="s">
        <v>126</v>
      </c>
      <c r="B5880" t="s">
        <v>1770</v>
      </c>
      <c r="C5880" t="s">
        <v>1228</v>
      </c>
      <c r="D5880" t="s">
        <v>1229</v>
      </c>
      <c r="E5880" s="8">
        <v>270</v>
      </c>
      <c r="F5880" s="8">
        <v>61160</v>
      </c>
      <c r="G5880" s="8">
        <f t="shared" si="364"/>
        <v>16513200</v>
      </c>
      <c r="H5880" s="5">
        <v>0.6357</v>
      </c>
      <c r="I5880" s="8">
        <f t="shared" si="365"/>
        <v>16513200</v>
      </c>
      <c r="J5880" s="8">
        <f t="shared" si="366"/>
        <v>10497441.24</v>
      </c>
      <c r="K5880" t="str">
        <f t="shared" si="367"/>
        <v>MATCHED</v>
      </c>
    </row>
    <row r="5881" spans="1:11">
      <c r="A5881" t="s">
        <v>126</v>
      </c>
      <c r="B5881" t="s">
        <v>1770</v>
      </c>
      <c r="C5881" t="s">
        <v>1692</v>
      </c>
      <c r="D5881" t="s">
        <v>1693</v>
      </c>
      <c r="E5881" s="8">
        <v>2520</v>
      </c>
      <c r="F5881" s="8">
        <v>50160</v>
      </c>
      <c r="G5881" s="8">
        <f t="shared" si="364"/>
        <v>126403200</v>
      </c>
      <c r="H5881" s="5">
        <v>0.0594</v>
      </c>
      <c r="I5881" s="8">
        <f t="shared" si="365"/>
        <v>126403200</v>
      </c>
      <c r="J5881" s="8">
        <f t="shared" si="366"/>
        <v>7508350.08</v>
      </c>
      <c r="K5881" t="str">
        <f t="shared" si="367"/>
        <v>MATCHED</v>
      </c>
    </row>
    <row r="5882" spans="1:11">
      <c r="A5882" t="s">
        <v>126</v>
      </c>
      <c r="B5882" t="s">
        <v>1770</v>
      </c>
      <c r="C5882" t="s">
        <v>1694</v>
      </c>
      <c r="D5882" t="s">
        <v>1695</v>
      </c>
      <c r="E5882" s="8">
        <v>250</v>
      </c>
      <c r="F5882" s="8">
        <v>81600</v>
      </c>
      <c r="G5882" s="8">
        <f t="shared" si="364"/>
        <v>20400000</v>
      </c>
      <c r="H5882" s="5">
        <v>0.1188</v>
      </c>
      <c r="I5882" s="8">
        <f t="shared" si="365"/>
        <v>20400000</v>
      </c>
      <c r="J5882" s="8">
        <f t="shared" si="366"/>
        <v>2423520</v>
      </c>
      <c r="K5882" t="str">
        <f t="shared" si="367"/>
        <v>MATCHED</v>
      </c>
    </row>
    <row r="5883" spans="1:11">
      <c r="A5883" t="s">
        <v>126</v>
      </c>
      <c r="B5883" t="s">
        <v>1770</v>
      </c>
      <c r="C5883" t="s">
        <v>327</v>
      </c>
      <c r="D5883" t="s">
        <v>328</v>
      </c>
      <c r="E5883" s="8">
        <v>660</v>
      </c>
      <c r="F5883" s="8">
        <v>59460</v>
      </c>
      <c r="G5883" s="8">
        <f t="shared" si="364"/>
        <v>39243600</v>
      </c>
      <c r="H5883" s="5">
        <v>0.2065</v>
      </c>
      <c r="I5883" s="8">
        <f t="shared" si="365"/>
        <v>39243600</v>
      </c>
      <c r="J5883" s="8">
        <f t="shared" si="366"/>
        <v>8103803.4</v>
      </c>
      <c r="K5883" t="str">
        <f t="shared" si="367"/>
        <v>MATCHED</v>
      </c>
    </row>
    <row r="5884" spans="1:11">
      <c r="A5884" t="s">
        <v>126</v>
      </c>
      <c r="B5884" t="s">
        <v>1770</v>
      </c>
      <c r="C5884" t="s">
        <v>1488</v>
      </c>
      <c r="D5884" t="s">
        <v>1489</v>
      </c>
      <c r="E5884" s="8">
        <v>640</v>
      </c>
      <c r="F5884" s="8">
        <v>60820</v>
      </c>
      <c r="G5884" s="8">
        <f t="shared" si="364"/>
        <v>38924800</v>
      </c>
      <c r="H5884" s="5">
        <v>0.19</v>
      </c>
      <c r="I5884" s="8">
        <f t="shared" si="365"/>
        <v>38924800</v>
      </c>
      <c r="J5884" s="8">
        <f t="shared" si="366"/>
        <v>7395712</v>
      </c>
      <c r="K5884" t="str">
        <f t="shared" si="367"/>
        <v>MATCHED</v>
      </c>
    </row>
    <row r="5885" spans="1:11">
      <c r="A5885" t="s">
        <v>126</v>
      </c>
      <c r="B5885" t="s">
        <v>1770</v>
      </c>
      <c r="C5885" t="s">
        <v>1230</v>
      </c>
      <c r="D5885" t="s">
        <v>1231</v>
      </c>
      <c r="E5885" s="8">
        <v>1900</v>
      </c>
      <c r="F5885" s="8">
        <v>63540</v>
      </c>
      <c r="G5885" s="8">
        <f t="shared" si="364"/>
        <v>120726000</v>
      </c>
      <c r="H5885" s="5">
        <v>0.1239</v>
      </c>
      <c r="I5885" s="8">
        <f t="shared" si="365"/>
        <v>120726000</v>
      </c>
      <c r="J5885" s="8">
        <f t="shared" si="366"/>
        <v>14957951.4</v>
      </c>
      <c r="K5885" t="str">
        <f t="shared" si="367"/>
        <v>MATCHED</v>
      </c>
    </row>
    <row r="5886" spans="1:11">
      <c r="A5886" t="s">
        <v>126</v>
      </c>
      <c r="B5886" t="s">
        <v>1770</v>
      </c>
      <c r="C5886" t="s">
        <v>1232</v>
      </c>
      <c r="D5886" t="s">
        <v>1233</v>
      </c>
      <c r="E5886" s="8">
        <v>990</v>
      </c>
      <c r="F5886" s="8">
        <v>69770</v>
      </c>
      <c r="G5886" s="8">
        <f t="shared" si="364"/>
        <v>69072300</v>
      </c>
      <c r="H5886" s="5">
        <v>0.9353</v>
      </c>
      <c r="I5886" s="8">
        <f t="shared" si="365"/>
        <v>69072300</v>
      </c>
      <c r="J5886" s="8">
        <f t="shared" si="366"/>
        <v>64603322.19</v>
      </c>
      <c r="K5886" t="str">
        <f t="shared" si="367"/>
        <v>MATCHED</v>
      </c>
    </row>
    <row r="5887" spans="1:11">
      <c r="A5887" t="s">
        <v>126</v>
      </c>
      <c r="B5887" t="s">
        <v>1770</v>
      </c>
      <c r="C5887" t="s">
        <v>1234</v>
      </c>
      <c r="D5887" t="s">
        <v>1235</v>
      </c>
      <c r="E5887" s="8">
        <v>180</v>
      </c>
      <c r="F5887" s="8">
        <v>55470</v>
      </c>
      <c r="G5887" s="8">
        <f t="shared" si="364"/>
        <v>9984600</v>
      </c>
      <c r="H5887" s="5">
        <v>0.2143</v>
      </c>
      <c r="I5887" s="8">
        <f t="shared" si="365"/>
        <v>9984600</v>
      </c>
      <c r="J5887" s="8">
        <f t="shared" si="366"/>
        <v>2139699.78</v>
      </c>
      <c r="K5887" t="str">
        <f t="shared" si="367"/>
        <v>MATCHED</v>
      </c>
    </row>
    <row r="5888" spans="1:11">
      <c r="A5888" t="s">
        <v>126</v>
      </c>
      <c r="B5888" t="s">
        <v>1770</v>
      </c>
      <c r="C5888" t="s">
        <v>1240</v>
      </c>
      <c r="D5888" t="s">
        <v>1241</v>
      </c>
      <c r="E5888" s="8">
        <v>1030</v>
      </c>
      <c r="F5888" s="8">
        <v>69030</v>
      </c>
      <c r="G5888" s="8">
        <f t="shared" si="364"/>
        <v>71100900</v>
      </c>
      <c r="H5888" s="5">
        <v>0.2977</v>
      </c>
      <c r="I5888" s="8">
        <f t="shared" si="365"/>
        <v>71100900</v>
      </c>
      <c r="J5888" s="8">
        <f t="shared" si="366"/>
        <v>21166737.93</v>
      </c>
      <c r="K5888" t="str">
        <f t="shared" si="367"/>
        <v>MATCHED</v>
      </c>
    </row>
    <row r="5889" spans="1:11">
      <c r="A5889" t="s">
        <v>126</v>
      </c>
      <c r="B5889" t="s">
        <v>1770</v>
      </c>
      <c r="C5889" t="s">
        <v>1242</v>
      </c>
      <c r="D5889" t="s">
        <v>1243</v>
      </c>
      <c r="E5889" s="8">
        <v>710</v>
      </c>
      <c r="F5889" s="8">
        <v>84690</v>
      </c>
      <c r="G5889" s="8">
        <f t="shared" si="364"/>
        <v>60129900</v>
      </c>
      <c r="H5889" s="5">
        <v>0.7969</v>
      </c>
      <c r="I5889" s="8">
        <f t="shared" si="365"/>
        <v>60129900</v>
      </c>
      <c r="J5889" s="8">
        <f t="shared" si="366"/>
        <v>47917517.31</v>
      </c>
      <c r="K5889" t="str">
        <f t="shared" si="367"/>
        <v>MATCHED</v>
      </c>
    </row>
    <row r="5890" spans="1:11">
      <c r="A5890" t="s">
        <v>126</v>
      </c>
      <c r="B5890" t="s">
        <v>1770</v>
      </c>
      <c r="C5890" t="s">
        <v>1696</v>
      </c>
      <c r="D5890" t="s">
        <v>1697</v>
      </c>
      <c r="E5890" s="8">
        <v>4700</v>
      </c>
      <c r="F5890" s="8">
        <v>64040</v>
      </c>
      <c r="G5890" s="8">
        <f t="shared" ref="G5890:G5953" si="368">IF(OR(E5890="",F5890=""),"",E5890*F5890)</f>
        <v>300988000</v>
      </c>
      <c r="H5890" s="5">
        <v>0.1435</v>
      </c>
      <c r="I5890" s="8">
        <f t="shared" ref="I5890:I5953" si="369">IF(G5890="","",IF(ISNUMBER(H5890),G5890,""))</f>
        <v>300988000</v>
      </c>
      <c r="J5890" s="8">
        <f t="shared" ref="J5890:J5953" si="370">IF(I5890="","",I5890*H5890)</f>
        <v>43191778</v>
      </c>
      <c r="K5890" t="str">
        <f t="shared" ref="K5890:K5953" si="371">IF(G5890="","MISSING OEWS",IF(ISNUMBER(H5890),"MATCHED","MISSING WHARTON"))</f>
        <v>MATCHED</v>
      </c>
    </row>
    <row r="5891" spans="1:11">
      <c r="A5891" t="s">
        <v>126</v>
      </c>
      <c r="B5891" t="s">
        <v>1770</v>
      </c>
      <c r="C5891" t="s">
        <v>1244</v>
      </c>
      <c r="D5891" t="s">
        <v>1245</v>
      </c>
      <c r="E5891" s="8">
        <v>150</v>
      </c>
      <c r="F5891" s="8">
        <v>102940</v>
      </c>
      <c r="G5891" s="8">
        <f t="shared" si="368"/>
        <v>15441000</v>
      </c>
      <c r="H5891" s="5">
        <v>0.5421</v>
      </c>
      <c r="I5891" s="8">
        <f t="shared" si="369"/>
        <v>15441000</v>
      </c>
      <c r="J5891" s="8">
        <f t="shared" si="370"/>
        <v>8370566.1</v>
      </c>
      <c r="K5891" t="str">
        <f t="shared" si="371"/>
        <v>MATCHED</v>
      </c>
    </row>
    <row r="5892" spans="1:11">
      <c r="A5892" t="s">
        <v>126</v>
      </c>
      <c r="B5892" t="s">
        <v>1770</v>
      </c>
      <c r="C5892" t="s">
        <v>1731</v>
      </c>
      <c r="D5892" t="s">
        <v>1732</v>
      </c>
      <c r="E5892" s="8"/>
      <c r="F5892" s="8">
        <v>68000</v>
      </c>
      <c r="G5892" s="8" t="str">
        <f t="shared" si="368"/>
        <v/>
      </c>
      <c r="H5892" s="5">
        <v>0</v>
      </c>
      <c r="I5892" s="8" t="str">
        <f t="shared" si="369"/>
        <v/>
      </c>
      <c r="J5892" s="8" t="str">
        <f t="shared" si="370"/>
        <v/>
      </c>
      <c r="K5892" t="str">
        <f t="shared" si="371"/>
        <v>MISSING OEWS</v>
      </c>
    </row>
    <row r="5893" spans="1:11">
      <c r="A5893" t="s">
        <v>126</v>
      </c>
      <c r="B5893" t="s">
        <v>1770</v>
      </c>
      <c r="C5893" t="s">
        <v>1246</v>
      </c>
      <c r="D5893" t="s">
        <v>1247</v>
      </c>
      <c r="E5893" s="8">
        <v>1470</v>
      </c>
      <c r="F5893" s="8">
        <v>71750</v>
      </c>
      <c r="G5893" s="8">
        <f t="shared" si="368"/>
        <v>105472500</v>
      </c>
      <c r="H5893" s="5">
        <v>0.2347</v>
      </c>
      <c r="I5893" s="8">
        <f t="shared" si="369"/>
        <v>105472500</v>
      </c>
      <c r="J5893" s="8">
        <f t="shared" si="370"/>
        <v>24754395.75</v>
      </c>
      <c r="K5893" t="str">
        <f t="shared" si="371"/>
        <v>MATCHED</v>
      </c>
    </row>
    <row r="5894" spans="1:11">
      <c r="A5894" t="s">
        <v>126</v>
      </c>
      <c r="B5894" t="s">
        <v>1770</v>
      </c>
      <c r="C5894" t="s">
        <v>972</v>
      </c>
      <c r="D5894" t="s">
        <v>973</v>
      </c>
      <c r="E5894" s="8">
        <v>3400</v>
      </c>
      <c r="F5894" s="8">
        <v>40880</v>
      </c>
      <c r="G5894" s="8">
        <f t="shared" si="368"/>
        <v>138992000</v>
      </c>
      <c r="H5894" s="5">
        <v>0.118</v>
      </c>
      <c r="I5894" s="8">
        <f t="shared" si="369"/>
        <v>138992000</v>
      </c>
      <c r="J5894" s="8">
        <f t="shared" si="370"/>
        <v>16401056</v>
      </c>
      <c r="K5894" t="str">
        <f t="shared" si="371"/>
        <v>MATCHED</v>
      </c>
    </row>
    <row r="5895" spans="1:11">
      <c r="A5895" t="s">
        <v>126</v>
      </c>
      <c r="B5895" t="s">
        <v>1770</v>
      </c>
      <c r="C5895" t="s">
        <v>1443</v>
      </c>
      <c r="D5895" t="s">
        <v>1444</v>
      </c>
      <c r="E5895" s="8">
        <v>2130</v>
      </c>
      <c r="F5895" s="8">
        <v>47860</v>
      </c>
      <c r="G5895" s="8">
        <f t="shared" si="368"/>
        <v>101941800</v>
      </c>
      <c r="H5895" s="5">
        <v>0.05</v>
      </c>
      <c r="I5895" s="8">
        <f t="shared" si="369"/>
        <v>101941800</v>
      </c>
      <c r="J5895" s="8">
        <f t="shared" si="370"/>
        <v>5097090</v>
      </c>
      <c r="K5895" t="str">
        <f t="shared" si="371"/>
        <v>MATCHED</v>
      </c>
    </row>
    <row r="5896" spans="1:11">
      <c r="A5896" t="s">
        <v>126</v>
      </c>
      <c r="B5896" t="s">
        <v>1770</v>
      </c>
      <c r="C5896" t="s">
        <v>1620</v>
      </c>
      <c r="D5896" t="s">
        <v>1621</v>
      </c>
      <c r="E5896" s="8"/>
      <c r="F5896" s="8">
        <v>63800</v>
      </c>
      <c r="G5896" s="8" t="str">
        <f t="shared" si="368"/>
        <v/>
      </c>
      <c r="H5896" s="5">
        <v>0.1118</v>
      </c>
      <c r="I5896" s="8" t="str">
        <f t="shared" si="369"/>
        <v/>
      </c>
      <c r="J5896" s="8" t="str">
        <f t="shared" si="370"/>
        <v/>
      </c>
      <c r="K5896" t="str">
        <f t="shared" si="371"/>
        <v>MISSING OEWS</v>
      </c>
    </row>
    <row r="5897" spans="1:11">
      <c r="A5897" t="s">
        <v>126</v>
      </c>
      <c r="B5897" t="s">
        <v>1770</v>
      </c>
      <c r="C5897" t="s">
        <v>1735</v>
      </c>
      <c r="D5897" t="s">
        <v>1736</v>
      </c>
      <c r="E5897" s="8">
        <v>1010</v>
      </c>
      <c r="F5897" s="8">
        <v>66410</v>
      </c>
      <c r="G5897" s="8">
        <f t="shared" si="368"/>
        <v>67074100</v>
      </c>
      <c r="H5897" s="5">
        <v>0.1068</v>
      </c>
      <c r="I5897" s="8">
        <f t="shared" si="369"/>
        <v>67074100</v>
      </c>
      <c r="J5897" s="8">
        <f t="shared" si="370"/>
        <v>7163513.88</v>
      </c>
      <c r="K5897" t="str">
        <f t="shared" si="371"/>
        <v>MATCHED</v>
      </c>
    </row>
    <row r="5898" spans="1:11">
      <c r="A5898" t="s">
        <v>126</v>
      </c>
      <c r="B5898" t="s">
        <v>1770</v>
      </c>
      <c r="C5898" t="s">
        <v>1861</v>
      </c>
      <c r="D5898" t="s">
        <v>1862</v>
      </c>
      <c r="E5898" s="8">
        <v>60</v>
      </c>
      <c r="F5898" s="8">
        <v>44000</v>
      </c>
      <c r="G5898" s="8">
        <f t="shared" si="368"/>
        <v>2640000</v>
      </c>
      <c r="H5898" s="5">
        <v>0.1567</v>
      </c>
      <c r="I5898" s="8">
        <f t="shared" si="369"/>
        <v>2640000</v>
      </c>
      <c r="J5898" s="8">
        <f t="shared" si="370"/>
        <v>413688</v>
      </c>
      <c r="K5898" t="str">
        <f t="shared" si="371"/>
        <v>MATCHED</v>
      </c>
    </row>
    <row r="5899" spans="1:11">
      <c r="A5899" t="s">
        <v>126</v>
      </c>
      <c r="B5899" t="s">
        <v>1770</v>
      </c>
      <c r="C5899" t="s">
        <v>1698</v>
      </c>
      <c r="D5899" t="s">
        <v>1699</v>
      </c>
      <c r="E5899" s="8">
        <v>170</v>
      </c>
      <c r="F5899" s="8">
        <v>64370</v>
      </c>
      <c r="G5899" s="8">
        <f t="shared" si="368"/>
        <v>10942900</v>
      </c>
      <c r="H5899" s="5">
        <v>0.0905</v>
      </c>
      <c r="I5899" s="8">
        <f t="shared" si="369"/>
        <v>10942900</v>
      </c>
      <c r="J5899" s="8">
        <f t="shared" si="370"/>
        <v>990332.45</v>
      </c>
      <c r="K5899" t="str">
        <f t="shared" si="371"/>
        <v>MATCHED</v>
      </c>
    </row>
    <row r="5900" spans="1:11">
      <c r="A5900" t="s">
        <v>126</v>
      </c>
      <c r="B5900" t="s">
        <v>1770</v>
      </c>
      <c r="C5900" t="s">
        <v>1490</v>
      </c>
      <c r="D5900" t="s">
        <v>1491</v>
      </c>
      <c r="E5900" s="8">
        <v>450</v>
      </c>
      <c r="F5900" s="8">
        <v>60850</v>
      </c>
      <c r="G5900" s="8">
        <f t="shared" si="368"/>
        <v>27382500</v>
      </c>
      <c r="H5900" s="5">
        <v>0.0679</v>
      </c>
      <c r="I5900" s="8">
        <f t="shared" si="369"/>
        <v>27382500</v>
      </c>
      <c r="J5900" s="8">
        <f t="shared" si="370"/>
        <v>1859271.75</v>
      </c>
      <c r="K5900" t="str">
        <f t="shared" si="371"/>
        <v>MATCHED</v>
      </c>
    </row>
    <row r="5901" spans="1:11">
      <c r="A5901" t="s">
        <v>126</v>
      </c>
      <c r="B5901" t="s">
        <v>1770</v>
      </c>
      <c r="C5901" t="s">
        <v>1248</v>
      </c>
      <c r="D5901" t="s">
        <v>1249</v>
      </c>
      <c r="E5901" s="8">
        <v>1550</v>
      </c>
      <c r="F5901" s="8">
        <v>51240</v>
      </c>
      <c r="G5901" s="8">
        <f t="shared" si="368"/>
        <v>79422000</v>
      </c>
      <c r="H5901" s="5">
        <v>0.2219</v>
      </c>
      <c r="I5901" s="8">
        <f t="shared" si="369"/>
        <v>79422000</v>
      </c>
      <c r="J5901" s="8">
        <f t="shared" si="370"/>
        <v>17623741.8</v>
      </c>
      <c r="K5901" t="str">
        <f t="shared" si="371"/>
        <v>MATCHED</v>
      </c>
    </row>
    <row r="5902" spans="1:11">
      <c r="A5902" t="s">
        <v>126</v>
      </c>
      <c r="B5902" t="s">
        <v>1770</v>
      </c>
      <c r="C5902" t="s">
        <v>1250</v>
      </c>
      <c r="D5902" t="s">
        <v>1251</v>
      </c>
      <c r="E5902" s="8">
        <v>4620</v>
      </c>
      <c r="F5902" s="8">
        <v>53170</v>
      </c>
      <c r="G5902" s="8">
        <f t="shared" si="368"/>
        <v>245645400</v>
      </c>
      <c r="H5902" s="5">
        <v>0.4025</v>
      </c>
      <c r="I5902" s="8">
        <f t="shared" si="369"/>
        <v>245645400</v>
      </c>
      <c r="J5902" s="8">
        <f t="shared" si="370"/>
        <v>98872273.5</v>
      </c>
      <c r="K5902" t="str">
        <f t="shared" si="371"/>
        <v>MATCHED</v>
      </c>
    </row>
    <row r="5903" spans="1:11">
      <c r="A5903" t="s">
        <v>126</v>
      </c>
      <c r="B5903" t="s">
        <v>1770</v>
      </c>
      <c r="C5903" t="s">
        <v>1252</v>
      </c>
      <c r="D5903" t="s">
        <v>1253</v>
      </c>
      <c r="E5903" s="8">
        <v>410</v>
      </c>
      <c r="F5903" s="8">
        <v>54420</v>
      </c>
      <c r="G5903" s="8">
        <f t="shared" si="368"/>
        <v>22312200</v>
      </c>
      <c r="H5903" s="5">
        <v>0.1188</v>
      </c>
      <c r="I5903" s="8">
        <f t="shared" si="369"/>
        <v>22312200</v>
      </c>
      <c r="J5903" s="8">
        <f t="shared" si="370"/>
        <v>2650689.36</v>
      </c>
      <c r="K5903" t="str">
        <f t="shared" si="371"/>
        <v>MATCHED</v>
      </c>
    </row>
    <row r="5904" spans="1:11">
      <c r="A5904" t="s">
        <v>126</v>
      </c>
      <c r="B5904" t="s">
        <v>1770</v>
      </c>
      <c r="C5904" t="s">
        <v>1622</v>
      </c>
      <c r="D5904" t="s">
        <v>1623</v>
      </c>
      <c r="E5904" s="8">
        <v>140</v>
      </c>
      <c r="F5904" s="8">
        <v>51700</v>
      </c>
      <c r="G5904" s="8">
        <f t="shared" si="368"/>
        <v>7238000</v>
      </c>
      <c r="H5904" s="5">
        <v>0.8733</v>
      </c>
      <c r="I5904" s="8">
        <f t="shared" si="369"/>
        <v>7238000</v>
      </c>
      <c r="J5904" s="8">
        <f t="shared" si="370"/>
        <v>6320945.4</v>
      </c>
      <c r="K5904" t="str">
        <f t="shared" si="371"/>
        <v>MATCHED</v>
      </c>
    </row>
    <row r="5905" spans="1:11">
      <c r="A5905" t="s">
        <v>126</v>
      </c>
      <c r="B5905" t="s">
        <v>1770</v>
      </c>
      <c r="C5905" t="s">
        <v>1254</v>
      </c>
      <c r="D5905" t="s">
        <v>1255</v>
      </c>
      <c r="E5905" s="8">
        <v>1660</v>
      </c>
      <c r="F5905" s="8">
        <v>51170</v>
      </c>
      <c r="G5905" s="8">
        <f t="shared" si="368"/>
        <v>84942200</v>
      </c>
      <c r="H5905" s="5">
        <v>0.1696</v>
      </c>
      <c r="I5905" s="8">
        <f t="shared" si="369"/>
        <v>84942200</v>
      </c>
      <c r="J5905" s="8">
        <f t="shared" si="370"/>
        <v>14406197.12</v>
      </c>
      <c r="K5905" t="str">
        <f t="shared" si="371"/>
        <v>MATCHED</v>
      </c>
    </row>
    <row r="5906" spans="1:11">
      <c r="A5906" t="s">
        <v>126</v>
      </c>
      <c r="B5906" t="s">
        <v>1770</v>
      </c>
      <c r="C5906" t="s">
        <v>1447</v>
      </c>
      <c r="D5906" t="s">
        <v>1448</v>
      </c>
      <c r="E5906" s="8">
        <v>190</v>
      </c>
      <c r="F5906" s="8">
        <v>53730</v>
      </c>
      <c r="G5906" s="8">
        <f t="shared" si="368"/>
        <v>10208700</v>
      </c>
      <c r="H5906" s="5">
        <v>0.0792</v>
      </c>
      <c r="I5906" s="8">
        <f t="shared" si="369"/>
        <v>10208700</v>
      </c>
      <c r="J5906" s="8">
        <f t="shared" si="370"/>
        <v>808529.04</v>
      </c>
      <c r="K5906" t="str">
        <f t="shared" si="371"/>
        <v>MATCHED</v>
      </c>
    </row>
    <row r="5907" spans="1:11">
      <c r="A5907" t="s">
        <v>126</v>
      </c>
      <c r="B5907" t="s">
        <v>1770</v>
      </c>
      <c r="C5907" t="s">
        <v>1256</v>
      </c>
      <c r="D5907" t="s">
        <v>1257</v>
      </c>
      <c r="E5907" s="8">
        <v>1730</v>
      </c>
      <c r="F5907" s="8">
        <v>54870</v>
      </c>
      <c r="G5907" s="8">
        <f t="shared" si="368"/>
        <v>94925100</v>
      </c>
      <c r="H5907" s="5">
        <v>0.2542</v>
      </c>
      <c r="I5907" s="8">
        <f t="shared" si="369"/>
        <v>94925100</v>
      </c>
      <c r="J5907" s="8">
        <f t="shared" si="370"/>
        <v>24129960.42</v>
      </c>
      <c r="K5907" t="str">
        <f t="shared" si="371"/>
        <v>MATCHED</v>
      </c>
    </row>
    <row r="5908" spans="1:11">
      <c r="A5908" t="s">
        <v>126</v>
      </c>
      <c r="B5908" t="s">
        <v>1770</v>
      </c>
      <c r="C5908" t="s">
        <v>1521</v>
      </c>
      <c r="D5908" t="s">
        <v>1522</v>
      </c>
      <c r="E5908" s="8">
        <v>1170</v>
      </c>
      <c r="F5908" s="8">
        <v>88030</v>
      </c>
      <c r="G5908" s="8">
        <f t="shared" si="368"/>
        <v>102995100</v>
      </c>
      <c r="H5908" s="5">
        <v>0.3175</v>
      </c>
      <c r="I5908" s="8">
        <f t="shared" si="369"/>
        <v>102995100</v>
      </c>
      <c r="J5908" s="8">
        <f t="shared" si="370"/>
        <v>32700944.25</v>
      </c>
      <c r="K5908" t="str">
        <f t="shared" si="371"/>
        <v>MATCHED</v>
      </c>
    </row>
    <row r="5909" spans="1:11">
      <c r="A5909" t="s">
        <v>126</v>
      </c>
      <c r="B5909" t="s">
        <v>1770</v>
      </c>
      <c r="C5909" t="s">
        <v>644</v>
      </c>
      <c r="D5909" t="s">
        <v>645</v>
      </c>
      <c r="E5909" s="8">
        <v>1880</v>
      </c>
      <c r="F5909" s="8">
        <v>66140</v>
      </c>
      <c r="G5909" s="8">
        <f t="shared" si="368"/>
        <v>124343200</v>
      </c>
      <c r="H5909" s="5">
        <v>0.3929</v>
      </c>
      <c r="I5909" s="8">
        <f t="shared" si="369"/>
        <v>124343200</v>
      </c>
      <c r="J5909" s="8">
        <f t="shared" si="370"/>
        <v>48854443.28</v>
      </c>
      <c r="K5909" t="str">
        <f t="shared" si="371"/>
        <v>MATCHED</v>
      </c>
    </row>
    <row r="5910" spans="1:11">
      <c r="A5910" t="s">
        <v>126</v>
      </c>
      <c r="B5910" t="s">
        <v>1770</v>
      </c>
      <c r="C5910" t="s">
        <v>866</v>
      </c>
      <c r="D5910" t="s">
        <v>867</v>
      </c>
      <c r="E5910" s="8">
        <v>310</v>
      </c>
      <c r="F5910" s="8">
        <v>61480</v>
      </c>
      <c r="G5910" s="8">
        <f t="shared" si="368"/>
        <v>19058800</v>
      </c>
      <c r="H5910" s="5"/>
      <c r="I5910" s="8" t="str">
        <f t="shared" si="369"/>
        <v/>
      </c>
      <c r="J5910" s="8" t="str">
        <f t="shared" si="370"/>
        <v/>
      </c>
      <c r="K5910" t="str">
        <f t="shared" si="371"/>
        <v>MISSING WHARTON</v>
      </c>
    </row>
    <row r="5911" spans="1:11">
      <c r="A5911" t="s">
        <v>126</v>
      </c>
      <c r="B5911" t="s">
        <v>1770</v>
      </c>
      <c r="C5911" t="s">
        <v>868</v>
      </c>
      <c r="D5911" t="s">
        <v>869</v>
      </c>
      <c r="E5911" s="8">
        <v>440</v>
      </c>
      <c r="F5911" s="8">
        <v>68680</v>
      </c>
      <c r="G5911" s="8">
        <f t="shared" si="368"/>
        <v>30219200</v>
      </c>
      <c r="H5911" s="5">
        <v>0.0317</v>
      </c>
      <c r="I5911" s="8">
        <f t="shared" si="369"/>
        <v>30219200</v>
      </c>
      <c r="J5911" s="8">
        <f t="shared" si="370"/>
        <v>957948.64</v>
      </c>
      <c r="K5911" t="str">
        <f t="shared" si="371"/>
        <v>MATCHED</v>
      </c>
    </row>
    <row r="5912" spans="1:11">
      <c r="A5912" t="s">
        <v>126</v>
      </c>
      <c r="B5912" t="s">
        <v>1770</v>
      </c>
      <c r="C5912" t="s">
        <v>974</v>
      </c>
      <c r="D5912" t="s">
        <v>975</v>
      </c>
      <c r="E5912" s="8">
        <v>100</v>
      </c>
      <c r="F5912" s="8">
        <v>76820</v>
      </c>
      <c r="G5912" s="8">
        <f t="shared" si="368"/>
        <v>7682000</v>
      </c>
      <c r="H5912" s="5">
        <v>0.125</v>
      </c>
      <c r="I5912" s="8">
        <f t="shared" si="369"/>
        <v>7682000</v>
      </c>
      <c r="J5912" s="8">
        <f t="shared" si="370"/>
        <v>960250</v>
      </c>
      <c r="K5912" t="str">
        <f t="shared" si="371"/>
        <v>MATCHED</v>
      </c>
    </row>
    <row r="5913" spans="1:11">
      <c r="A5913" t="s">
        <v>126</v>
      </c>
      <c r="B5913" t="s">
        <v>1770</v>
      </c>
      <c r="C5913" t="s">
        <v>1523</v>
      </c>
      <c r="D5913" t="s">
        <v>1524</v>
      </c>
      <c r="E5913" s="8">
        <v>110</v>
      </c>
      <c r="F5913" s="8">
        <v>85220</v>
      </c>
      <c r="G5913" s="8">
        <f t="shared" si="368"/>
        <v>9374200</v>
      </c>
      <c r="H5913" s="5">
        <v>0.3453</v>
      </c>
      <c r="I5913" s="8">
        <f t="shared" si="369"/>
        <v>9374200</v>
      </c>
      <c r="J5913" s="8">
        <f t="shared" si="370"/>
        <v>3236911.26</v>
      </c>
      <c r="K5913" t="str">
        <f t="shared" si="371"/>
        <v>MATCHED</v>
      </c>
    </row>
    <row r="5914" spans="1:11">
      <c r="A5914" t="s">
        <v>126</v>
      </c>
      <c r="B5914" t="s">
        <v>1770</v>
      </c>
      <c r="C5914" t="s">
        <v>1863</v>
      </c>
      <c r="D5914" t="s">
        <v>1864</v>
      </c>
      <c r="E5914" s="8">
        <v>80</v>
      </c>
      <c r="F5914" s="8">
        <v>44580</v>
      </c>
      <c r="G5914" s="8">
        <f t="shared" si="368"/>
        <v>3566400</v>
      </c>
      <c r="H5914" s="5">
        <v>0.2783</v>
      </c>
      <c r="I5914" s="8">
        <f t="shared" si="369"/>
        <v>3566400</v>
      </c>
      <c r="J5914" s="8">
        <f t="shared" si="370"/>
        <v>992529.12</v>
      </c>
      <c r="K5914" t="str">
        <f t="shared" si="371"/>
        <v>MATCHED</v>
      </c>
    </row>
    <row r="5915" spans="1:11">
      <c r="A5915" t="s">
        <v>126</v>
      </c>
      <c r="B5915" t="s">
        <v>1770</v>
      </c>
      <c r="C5915" t="s">
        <v>1525</v>
      </c>
      <c r="D5915" t="s">
        <v>1526</v>
      </c>
      <c r="E5915" s="8">
        <v>4680</v>
      </c>
      <c r="F5915" s="8">
        <v>60720</v>
      </c>
      <c r="G5915" s="8">
        <f t="shared" si="368"/>
        <v>284169600</v>
      </c>
      <c r="H5915" s="5">
        <v>0.276</v>
      </c>
      <c r="I5915" s="8">
        <f t="shared" si="369"/>
        <v>284169600</v>
      </c>
      <c r="J5915" s="8">
        <f t="shared" si="370"/>
        <v>78430809.6</v>
      </c>
      <c r="K5915" t="str">
        <f t="shared" si="371"/>
        <v>MATCHED</v>
      </c>
    </row>
    <row r="5916" spans="1:11">
      <c r="A5916" t="s">
        <v>126</v>
      </c>
      <c r="B5916" t="s">
        <v>1770</v>
      </c>
      <c r="C5916" t="s">
        <v>870</v>
      </c>
      <c r="D5916" t="s">
        <v>871</v>
      </c>
      <c r="E5916" s="8">
        <v>150</v>
      </c>
      <c r="F5916" s="8">
        <v>87880</v>
      </c>
      <c r="G5916" s="8">
        <f t="shared" si="368"/>
        <v>13182000</v>
      </c>
      <c r="H5916" s="5">
        <v>0.3324</v>
      </c>
      <c r="I5916" s="8">
        <f t="shared" si="369"/>
        <v>13182000</v>
      </c>
      <c r="J5916" s="8">
        <f t="shared" si="370"/>
        <v>4381696.8</v>
      </c>
      <c r="K5916" t="str">
        <f t="shared" si="371"/>
        <v>MATCHED</v>
      </c>
    </row>
    <row r="5917" spans="1:11">
      <c r="A5917" t="s">
        <v>126</v>
      </c>
      <c r="B5917" t="s">
        <v>1770</v>
      </c>
      <c r="C5917" t="s">
        <v>329</v>
      </c>
      <c r="D5917" t="s">
        <v>330</v>
      </c>
      <c r="E5917" s="8">
        <v>17970</v>
      </c>
      <c r="F5917" s="8">
        <v>44800</v>
      </c>
      <c r="G5917" s="8">
        <f t="shared" si="368"/>
        <v>805056000</v>
      </c>
      <c r="H5917" s="5">
        <v>0.1357</v>
      </c>
      <c r="I5917" s="8">
        <f t="shared" si="369"/>
        <v>805056000</v>
      </c>
      <c r="J5917" s="8">
        <f t="shared" si="370"/>
        <v>109246099.2</v>
      </c>
      <c r="K5917" t="str">
        <f t="shared" si="371"/>
        <v>MATCHED</v>
      </c>
    </row>
    <row r="5918" spans="1:11">
      <c r="A5918" t="s">
        <v>126</v>
      </c>
      <c r="B5918" t="s">
        <v>1770</v>
      </c>
      <c r="C5918" t="s">
        <v>976</v>
      </c>
      <c r="D5918" t="s">
        <v>977</v>
      </c>
      <c r="E5918" s="8">
        <v>130</v>
      </c>
      <c r="F5918" s="8">
        <v>39130</v>
      </c>
      <c r="G5918" s="8">
        <f t="shared" si="368"/>
        <v>5086900</v>
      </c>
      <c r="H5918" s="5">
        <v>0</v>
      </c>
      <c r="I5918" s="8">
        <f t="shared" si="369"/>
        <v>5086900</v>
      </c>
      <c r="J5918" s="8">
        <f t="shared" si="370"/>
        <v>0</v>
      </c>
      <c r="K5918" t="str">
        <f t="shared" si="371"/>
        <v>MATCHED</v>
      </c>
    </row>
    <row r="5919" spans="1:11">
      <c r="A5919" t="s">
        <v>126</v>
      </c>
      <c r="B5919" t="s">
        <v>1770</v>
      </c>
      <c r="C5919" t="s">
        <v>1492</v>
      </c>
      <c r="D5919" t="s">
        <v>1493</v>
      </c>
      <c r="E5919" s="8">
        <v>4560</v>
      </c>
      <c r="F5919" s="8">
        <v>35860</v>
      </c>
      <c r="G5919" s="8">
        <f t="shared" si="368"/>
        <v>163521600</v>
      </c>
      <c r="H5919" s="5">
        <v>0.0633</v>
      </c>
      <c r="I5919" s="8">
        <f t="shared" si="369"/>
        <v>163521600</v>
      </c>
      <c r="J5919" s="8">
        <f t="shared" si="370"/>
        <v>10350917.28</v>
      </c>
      <c r="K5919" t="str">
        <f t="shared" si="371"/>
        <v>MATCHED</v>
      </c>
    </row>
    <row r="5920" spans="1:11">
      <c r="A5920" t="s">
        <v>126</v>
      </c>
      <c r="B5920" t="s">
        <v>1770</v>
      </c>
      <c r="C5920" t="s">
        <v>1531</v>
      </c>
      <c r="D5920" t="s">
        <v>1532</v>
      </c>
      <c r="E5920" s="8">
        <v>2200</v>
      </c>
      <c r="F5920" s="8">
        <v>37290</v>
      </c>
      <c r="G5920" s="8">
        <f t="shared" si="368"/>
        <v>82038000</v>
      </c>
      <c r="H5920" s="5">
        <v>0.1611</v>
      </c>
      <c r="I5920" s="8">
        <f t="shared" si="369"/>
        <v>82038000</v>
      </c>
      <c r="J5920" s="8">
        <f t="shared" si="370"/>
        <v>13216321.8</v>
      </c>
      <c r="K5920" t="str">
        <f t="shared" si="371"/>
        <v>MATCHED</v>
      </c>
    </row>
    <row r="5921" spans="1:11">
      <c r="A5921" t="s">
        <v>126</v>
      </c>
      <c r="B5921" t="s">
        <v>1770</v>
      </c>
      <c r="C5921" t="s">
        <v>872</v>
      </c>
      <c r="D5921" t="s">
        <v>873</v>
      </c>
      <c r="E5921" s="8">
        <v>1740</v>
      </c>
      <c r="F5921" s="8">
        <v>43340</v>
      </c>
      <c r="G5921" s="8">
        <f t="shared" si="368"/>
        <v>75411600</v>
      </c>
      <c r="H5921" s="5">
        <v>0.3357</v>
      </c>
      <c r="I5921" s="8">
        <f t="shared" si="369"/>
        <v>75411600</v>
      </c>
      <c r="J5921" s="8">
        <f t="shared" si="370"/>
        <v>25315674.12</v>
      </c>
      <c r="K5921" t="str">
        <f t="shared" si="371"/>
        <v>MATCHED</v>
      </c>
    </row>
    <row r="5922" spans="1:11">
      <c r="A5922" t="s">
        <v>126</v>
      </c>
      <c r="B5922" t="s">
        <v>1770</v>
      </c>
      <c r="C5922" t="s">
        <v>978</v>
      </c>
      <c r="D5922" t="s">
        <v>979</v>
      </c>
      <c r="E5922" s="8">
        <v>1060</v>
      </c>
      <c r="F5922" s="8">
        <v>66190</v>
      </c>
      <c r="G5922" s="8">
        <f t="shared" si="368"/>
        <v>70161400</v>
      </c>
      <c r="H5922" s="5">
        <v>0.281</v>
      </c>
      <c r="I5922" s="8">
        <f t="shared" si="369"/>
        <v>70161400</v>
      </c>
      <c r="J5922" s="8">
        <f t="shared" si="370"/>
        <v>19715353.4</v>
      </c>
      <c r="K5922" t="str">
        <f t="shared" si="371"/>
        <v>MATCHED</v>
      </c>
    </row>
    <row r="5923" spans="1:11">
      <c r="A5923" t="s">
        <v>126</v>
      </c>
      <c r="B5923" t="s">
        <v>1770</v>
      </c>
      <c r="C5923" t="s">
        <v>980</v>
      </c>
      <c r="D5923" t="s">
        <v>981</v>
      </c>
      <c r="E5923" s="8">
        <v>3370</v>
      </c>
      <c r="F5923" s="8">
        <v>52780</v>
      </c>
      <c r="G5923" s="8">
        <f t="shared" si="368"/>
        <v>177868600</v>
      </c>
      <c r="H5923" s="5">
        <v>0.4173</v>
      </c>
      <c r="I5923" s="8">
        <f t="shared" si="369"/>
        <v>177868600</v>
      </c>
      <c r="J5923" s="8">
        <f t="shared" si="370"/>
        <v>74224566.78</v>
      </c>
      <c r="K5923" t="str">
        <f t="shared" si="371"/>
        <v>MATCHED</v>
      </c>
    </row>
    <row r="5924" spans="1:11">
      <c r="A5924" t="s">
        <v>126</v>
      </c>
      <c r="B5924" t="s">
        <v>1770</v>
      </c>
      <c r="C5924" t="s">
        <v>1258</v>
      </c>
      <c r="D5924" t="s">
        <v>1259</v>
      </c>
      <c r="E5924" s="8">
        <v>40</v>
      </c>
      <c r="F5924" s="8">
        <v>43610</v>
      </c>
      <c r="G5924" s="8">
        <f t="shared" si="368"/>
        <v>1744400</v>
      </c>
      <c r="H5924" s="5">
        <v>0.05</v>
      </c>
      <c r="I5924" s="8">
        <f t="shared" si="369"/>
        <v>1744400</v>
      </c>
      <c r="J5924" s="8">
        <f t="shared" si="370"/>
        <v>87220</v>
      </c>
      <c r="K5924" t="str">
        <f t="shared" si="371"/>
        <v>MATCHED</v>
      </c>
    </row>
    <row r="5925" spans="1:11">
      <c r="A5925" t="s">
        <v>126</v>
      </c>
      <c r="B5925" t="s">
        <v>1770</v>
      </c>
      <c r="C5925" t="s">
        <v>982</v>
      </c>
      <c r="D5925" t="s">
        <v>983</v>
      </c>
      <c r="E5925" s="8">
        <v>11000</v>
      </c>
      <c r="F5925" s="8">
        <v>38510</v>
      </c>
      <c r="G5925" s="8">
        <f t="shared" si="368"/>
        <v>423610000</v>
      </c>
      <c r="H5925" s="5">
        <v>0.25</v>
      </c>
      <c r="I5925" s="8">
        <f t="shared" si="369"/>
        <v>423610000</v>
      </c>
      <c r="J5925" s="8">
        <f t="shared" si="370"/>
        <v>105902500</v>
      </c>
      <c r="K5925" t="str">
        <f t="shared" si="371"/>
        <v>MATCHED</v>
      </c>
    </row>
    <row r="5926" spans="1:11">
      <c r="A5926" t="s">
        <v>126</v>
      </c>
      <c r="B5926" t="s">
        <v>1770</v>
      </c>
      <c r="C5926" t="s">
        <v>984</v>
      </c>
      <c r="D5926" t="s">
        <v>985</v>
      </c>
      <c r="E5926" s="8">
        <v>100</v>
      </c>
      <c r="F5926" s="8">
        <v>39760</v>
      </c>
      <c r="G5926" s="8">
        <f t="shared" si="368"/>
        <v>3976000</v>
      </c>
      <c r="H5926" s="5">
        <v>0.1175</v>
      </c>
      <c r="I5926" s="8">
        <f t="shared" si="369"/>
        <v>3976000</v>
      </c>
      <c r="J5926" s="8">
        <f t="shared" si="370"/>
        <v>467180</v>
      </c>
      <c r="K5926" t="str">
        <f t="shared" si="371"/>
        <v>MATCHED</v>
      </c>
    </row>
    <row r="5927" spans="1:11">
      <c r="A5927" t="s">
        <v>126</v>
      </c>
      <c r="B5927" t="s">
        <v>1770</v>
      </c>
      <c r="C5927" t="s">
        <v>1260</v>
      </c>
      <c r="D5927" t="s">
        <v>1261</v>
      </c>
      <c r="E5927" s="8">
        <v>100</v>
      </c>
      <c r="F5927" s="8">
        <v>38960</v>
      </c>
      <c r="G5927" s="8">
        <f t="shared" si="368"/>
        <v>3896000</v>
      </c>
      <c r="H5927" s="5">
        <v>0.0864</v>
      </c>
      <c r="I5927" s="8">
        <f t="shared" si="369"/>
        <v>3896000</v>
      </c>
      <c r="J5927" s="8">
        <f t="shared" si="370"/>
        <v>336614.4</v>
      </c>
      <c r="K5927" t="str">
        <f t="shared" si="371"/>
        <v>MATCHED</v>
      </c>
    </row>
    <row r="5928" spans="1:11">
      <c r="A5928" t="s">
        <v>126</v>
      </c>
      <c r="B5928" t="s">
        <v>1770</v>
      </c>
      <c r="C5928" t="s">
        <v>1262</v>
      </c>
      <c r="D5928" t="s">
        <v>1263</v>
      </c>
      <c r="E5928" s="8">
        <v>60</v>
      </c>
      <c r="F5928" s="8">
        <v>37300</v>
      </c>
      <c r="G5928" s="8">
        <f t="shared" si="368"/>
        <v>2238000</v>
      </c>
      <c r="H5928" s="5"/>
      <c r="I5928" s="8" t="str">
        <f t="shared" si="369"/>
        <v/>
      </c>
      <c r="J5928" s="8" t="str">
        <f t="shared" si="370"/>
        <v/>
      </c>
      <c r="K5928" t="str">
        <f t="shared" si="371"/>
        <v>MISSING WHARTON</v>
      </c>
    </row>
    <row r="5929" spans="1:11">
      <c r="A5929" t="s">
        <v>126</v>
      </c>
      <c r="B5929" t="s">
        <v>1770</v>
      </c>
      <c r="C5929" t="s">
        <v>986</v>
      </c>
      <c r="D5929" t="s">
        <v>987</v>
      </c>
      <c r="E5929" s="8">
        <v>4340</v>
      </c>
      <c r="F5929" s="8">
        <v>39990</v>
      </c>
      <c r="G5929" s="8">
        <f t="shared" si="368"/>
        <v>173556600</v>
      </c>
      <c r="H5929" s="5">
        <v>0.0613</v>
      </c>
      <c r="I5929" s="8">
        <f t="shared" si="369"/>
        <v>173556600</v>
      </c>
      <c r="J5929" s="8">
        <f t="shared" si="370"/>
        <v>10639019.58</v>
      </c>
      <c r="K5929" t="str">
        <f t="shared" si="371"/>
        <v>MATCHED</v>
      </c>
    </row>
    <row r="5930" spans="1:11">
      <c r="A5930" t="s">
        <v>126</v>
      </c>
      <c r="B5930" t="s">
        <v>1770</v>
      </c>
      <c r="C5930" t="s">
        <v>1264</v>
      </c>
      <c r="D5930" t="s">
        <v>1265</v>
      </c>
      <c r="E5930" s="8">
        <v>430</v>
      </c>
      <c r="F5930" s="8">
        <v>37600</v>
      </c>
      <c r="G5930" s="8">
        <f t="shared" si="368"/>
        <v>16168000</v>
      </c>
      <c r="H5930" s="5">
        <v>0.1425</v>
      </c>
      <c r="I5930" s="8">
        <f t="shared" si="369"/>
        <v>16168000</v>
      </c>
      <c r="J5930" s="8">
        <f t="shared" si="370"/>
        <v>2303940</v>
      </c>
      <c r="K5930" t="str">
        <f t="shared" si="371"/>
        <v>MATCHED</v>
      </c>
    </row>
    <row r="5931" spans="1:11">
      <c r="A5931" t="s">
        <v>126</v>
      </c>
      <c r="B5931" t="s">
        <v>1770</v>
      </c>
      <c r="C5931" t="s">
        <v>988</v>
      </c>
      <c r="D5931" t="s">
        <v>989</v>
      </c>
      <c r="E5931" s="8">
        <v>6400</v>
      </c>
      <c r="F5931" s="8">
        <v>34430</v>
      </c>
      <c r="G5931" s="8">
        <f t="shared" si="368"/>
        <v>220352000</v>
      </c>
      <c r="H5931" s="5">
        <v>0.2031</v>
      </c>
      <c r="I5931" s="8">
        <f t="shared" si="369"/>
        <v>220352000</v>
      </c>
      <c r="J5931" s="8">
        <f t="shared" si="370"/>
        <v>44753491.2</v>
      </c>
      <c r="K5931" t="str">
        <f t="shared" si="371"/>
        <v>MATCHED</v>
      </c>
    </row>
    <row r="5932" spans="1:11">
      <c r="A5932" t="s">
        <v>126</v>
      </c>
      <c r="B5932" t="s">
        <v>1770</v>
      </c>
      <c r="C5932" t="s">
        <v>990</v>
      </c>
      <c r="D5932" t="s">
        <v>991</v>
      </c>
      <c r="E5932" s="8">
        <v>340</v>
      </c>
      <c r="F5932" s="8">
        <v>43480</v>
      </c>
      <c r="G5932" s="8">
        <f t="shared" si="368"/>
        <v>14783200</v>
      </c>
      <c r="H5932" s="5">
        <v>0.152</v>
      </c>
      <c r="I5932" s="8">
        <f t="shared" si="369"/>
        <v>14783200</v>
      </c>
      <c r="J5932" s="8">
        <f t="shared" si="370"/>
        <v>2247046.4</v>
      </c>
      <c r="K5932" t="str">
        <f t="shared" si="371"/>
        <v>MATCHED</v>
      </c>
    </row>
    <row r="5933" spans="1:11">
      <c r="A5933" t="s">
        <v>126</v>
      </c>
      <c r="B5933" t="s">
        <v>1770</v>
      </c>
      <c r="C5933" t="s">
        <v>1266</v>
      </c>
      <c r="D5933" t="s">
        <v>1267</v>
      </c>
      <c r="E5933" s="8">
        <v>460</v>
      </c>
      <c r="F5933" s="8">
        <v>39660</v>
      </c>
      <c r="G5933" s="8">
        <f t="shared" si="368"/>
        <v>18243600</v>
      </c>
      <c r="H5933" s="5">
        <v>0.1357</v>
      </c>
      <c r="I5933" s="8">
        <f t="shared" si="369"/>
        <v>18243600</v>
      </c>
      <c r="J5933" s="8">
        <f t="shared" si="370"/>
        <v>2475656.52</v>
      </c>
      <c r="K5933" t="str">
        <f t="shared" si="371"/>
        <v>MATCHED</v>
      </c>
    </row>
    <row r="5934" spans="1:11">
      <c r="A5934" t="s">
        <v>126</v>
      </c>
      <c r="B5934" t="s">
        <v>1770</v>
      </c>
      <c r="C5934" t="s">
        <v>1268</v>
      </c>
      <c r="D5934" t="s">
        <v>1269</v>
      </c>
      <c r="E5934" s="8">
        <v>3430</v>
      </c>
      <c r="F5934" s="8">
        <v>35730</v>
      </c>
      <c r="G5934" s="8">
        <f t="shared" si="368"/>
        <v>122553900</v>
      </c>
      <c r="H5934" s="5">
        <v>0.0417</v>
      </c>
      <c r="I5934" s="8">
        <f t="shared" si="369"/>
        <v>122553900</v>
      </c>
      <c r="J5934" s="8">
        <f t="shared" si="370"/>
        <v>5110497.63</v>
      </c>
      <c r="K5934" t="str">
        <f t="shared" si="371"/>
        <v>MATCHED</v>
      </c>
    </row>
    <row r="5935" spans="1:11">
      <c r="A5935" t="s">
        <v>126</v>
      </c>
      <c r="B5935" t="s">
        <v>1770</v>
      </c>
      <c r="C5935" t="s">
        <v>1270</v>
      </c>
      <c r="D5935" t="s">
        <v>1271</v>
      </c>
      <c r="E5935" s="8">
        <v>1110</v>
      </c>
      <c r="F5935" s="8">
        <v>36100</v>
      </c>
      <c r="G5935" s="8">
        <f t="shared" si="368"/>
        <v>40071000</v>
      </c>
      <c r="H5935" s="5">
        <v>0</v>
      </c>
      <c r="I5935" s="8">
        <f t="shared" si="369"/>
        <v>40071000</v>
      </c>
      <c r="J5935" s="8">
        <f t="shared" si="370"/>
        <v>0</v>
      </c>
      <c r="K5935" t="str">
        <f t="shared" si="371"/>
        <v>MATCHED</v>
      </c>
    </row>
    <row r="5936" spans="1:11">
      <c r="A5936" t="s">
        <v>126</v>
      </c>
      <c r="B5936" t="s">
        <v>1770</v>
      </c>
      <c r="C5936" t="s">
        <v>1274</v>
      </c>
      <c r="D5936" t="s">
        <v>1275</v>
      </c>
      <c r="E5936" s="8">
        <v>580</v>
      </c>
      <c r="F5936" s="8">
        <v>44200</v>
      </c>
      <c r="G5936" s="8">
        <f t="shared" si="368"/>
        <v>25636000</v>
      </c>
      <c r="H5936" s="5"/>
      <c r="I5936" s="8" t="str">
        <f t="shared" si="369"/>
        <v/>
      </c>
      <c r="J5936" s="8" t="str">
        <f t="shared" si="370"/>
        <v/>
      </c>
      <c r="K5936" t="str">
        <f t="shared" si="371"/>
        <v>MISSING WHARTON</v>
      </c>
    </row>
    <row r="5937" spans="1:11">
      <c r="A5937" t="s">
        <v>126</v>
      </c>
      <c r="B5937" t="s">
        <v>1770</v>
      </c>
      <c r="C5937" t="s">
        <v>331</v>
      </c>
      <c r="D5937" t="s">
        <v>332</v>
      </c>
      <c r="E5937" s="8">
        <v>2390</v>
      </c>
      <c r="F5937" s="8">
        <v>60400</v>
      </c>
      <c r="G5937" s="8">
        <f t="shared" si="368"/>
        <v>144356000</v>
      </c>
      <c r="H5937" s="5">
        <v>0.2269</v>
      </c>
      <c r="I5937" s="8">
        <f t="shared" si="369"/>
        <v>144356000</v>
      </c>
      <c r="J5937" s="8">
        <f t="shared" si="370"/>
        <v>32754376.4</v>
      </c>
      <c r="K5937" t="str">
        <f t="shared" si="371"/>
        <v>MATCHED</v>
      </c>
    </row>
    <row r="5938" spans="1:11">
      <c r="A5938" t="s">
        <v>126</v>
      </c>
      <c r="B5938" t="s">
        <v>1770</v>
      </c>
      <c r="C5938" t="s">
        <v>333</v>
      </c>
      <c r="D5938" t="s">
        <v>334</v>
      </c>
      <c r="E5938" s="8">
        <v>920</v>
      </c>
      <c r="F5938" s="8">
        <v>67320</v>
      </c>
      <c r="G5938" s="8">
        <f t="shared" si="368"/>
        <v>61934400</v>
      </c>
      <c r="H5938" s="5">
        <v>0.2357</v>
      </c>
      <c r="I5938" s="8">
        <f t="shared" si="369"/>
        <v>61934400</v>
      </c>
      <c r="J5938" s="8">
        <f t="shared" si="370"/>
        <v>14597938.08</v>
      </c>
      <c r="K5938" t="str">
        <f t="shared" si="371"/>
        <v>MATCHED</v>
      </c>
    </row>
    <row r="5939" spans="1:11">
      <c r="A5939" t="s">
        <v>126</v>
      </c>
      <c r="B5939" t="s">
        <v>1770</v>
      </c>
      <c r="C5939" t="s">
        <v>335</v>
      </c>
      <c r="D5939" t="s">
        <v>336</v>
      </c>
      <c r="E5939" s="8">
        <v>44440</v>
      </c>
      <c r="F5939" s="8">
        <v>41310</v>
      </c>
      <c r="G5939" s="8">
        <f t="shared" si="368"/>
        <v>1835816400</v>
      </c>
      <c r="H5939" s="5">
        <v>0</v>
      </c>
      <c r="I5939" s="8">
        <f t="shared" si="369"/>
        <v>1835816400</v>
      </c>
      <c r="J5939" s="8">
        <f t="shared" si="370"/>
        <v>0</v>
      </c>
      <c r="K5939" t="str">
        <f t="shared" si="371"/>
        <v>MATCHED</v>
      </c>
    </row>
    <row r="5940" spans="1:11">
      <c r="A5940" t="s">
        <v>126</v>
      </c>
      <c r="B5940" t="s">
        <v>1770</v>
      </c>
      <c r="C5940" t="s">
        <v>337</v>
      </c>
      <c r="D5940" t="s">
        <v>338</v>
      </c>
      <c r="E5940" s="8">
        <v>2490</v>
      </c>
      <c r="F5940" s="8">
        <v>38550</v>
      </c>
      <c r="G5940" s="8">
        <f t="shared" si="368"/>
        <v>95989500</v>
      </c>
      <c r="H5940" s="5">
        <v>0</v>
      </c>
      <c r="I5940" s="8">
        <f t="shared" si="369"/>
        <v>95989500</v>
      </c>
      <c r="J5940" s="8">
        <f t="shared" si="370"/>
        <v>0</v>
      </c>
      <c r="K5940" t="str">
        <f t="shared" si="371"/>
        <v>MATCHED</v>
      </c>
    </row>
    <row r="5941" spans="1:11">
      <c r="A5941" t="s">
        <v>126</v>
      </c>
      <c r="B5941" t="s">
        <v>1770</v>
      </c>
      <c r="C5941" t="s">
        <v>646</v>
      </c>
      <c r="D5941" t="s">
        <v>647</v>
      </c>
      <c r="E5941" s="8">
        <v>40</v>
      </c>
      <c r="F5941" s="8"/>
      <c r="G5941" s="8" t="str">
        <f t="shared" si="368"/>
        <v/>
      </c>
      <c r="H5941" s="5"/>
      <c r="I5941" s="8" t="str">
        <f t="shared" si="369"/>
        <v/>
      </c>
      <c r="J5941" s="8" t="str">
        <f t="shared" si="370"/>
        <v/>
      </c>
      <c r="K5941" t="str">
        <f t="shared" si="371"/>
        <v>MISSING OEWS</v>
      </c>
    </row>
    <row r="5942" spans="1:11">
      <c r="A5942" t="s">
        <v>126</v>
      </c>
      <c r="B5942" t="s">
        <v>1770</v>
      </c>
      <c r="C5942" t="s">
        <v>341</v>
      </c>
      <c r="D5942" t="s">
        <v>342</v>
      </c>
      <c r="E5942" s="8">
        <v>7550</v>
      </c>
      <c r="F5942" s="8">
        <v>45310</v>
      </c>
      <c r="G5942" s="8">
        <f t="shared" si="368"/>
        <v>342090500</v>
      </c>
      <c r="H5942" s="5">
        <v>0</v>
      </c>
      <c r="I5942" s="8">
        <f t="shared" si="369"/>
        <v>342090500</v>
      </c>
      <c r="J5942" s="8">
        <f t="shared" si="370"/>
        <v>0</v>
      </c>
      <c r="K5942" t="str">
        <f t="shared" si="371"/>
        <v>MATCHED</v>
      </c>
    </row>
    <row r="5943" spans="1:11">
      <c r="A5943" t="s">
        <v>126</v>
      </c>
      <c r="B5943" t="s">
        <v>1770</v>
      </c>
      <c r="C5943" t="s">
        <v>345</v>
      </c>
      <c r="D5943" t="s">
        <v>346</v>
      </c>
      <c r="E5943" s="8">
        <v>30</v>
      </c>
      <c r="F5943" s="8">
        <v>55360</v>
      </c>
      <c r="G5943" s="8">
        <f t="shared" si="368"/>
        <v>1660800</v>
      </c>
      <c r="H5943" s="5">
        <v>0</v>
      </c>
      <c r="I5943" s="8">
        <f t="shared" si="369"/>
        <v>1660800</v>
      </c>
      <c r="J5943" s="8">
        <f t="shared" si="370"/>
        <v>0</v>
      </c>
      <c r="K5943" t="str">
        <f t="shared" si="371"/>
        <v>MATCHED</v>
      </c>
    </row>
    <row r="5944" spans="1:11">
      <c r="A5944" t="s">
        <v>126</v>
      </c>
      <c r="B5944" t="s">
        <v>1770</v>
      </c>
      <c r="C5944" t="s">
        <v>874</v>
      </c>
      <c r="D5944" t="s">
        <v>875</v>
      </c>
      <c r="E5944" s="8">
        <v>80</v>
      </c>
      <c r="F5944" s="8">
        <v>49590</v>
      </c>
      <c r="G5944" s="8">
        <f t="shared" si="368"/>
        <v>3967200</v>
      </c>
      <c r="H5944" s="5"/>
      <c r="I5944" s="8" t="str">
        <f t="shared" si="369"/>
        <v/>
      </c>
      <c r="J5944" s="8" t="str">
        <f t="shared" si="370"/>
        <v/>
      </c>
      <c r="K5944" t="str">
        <f t="shared" si="371"/>
        <v>MISSING WHARTON</v>
      </c>
    </row>
    <row r="5945" spans="1:11">
      <c r="A5945" t="s">
        <v>126</v>
      </c>
      <c r="B5945" t="s">
        <v>1770</v>
      </c>
      <c r="C5945" t="s">
        <v>347</v>
      </c>
      <c r="D5945" t="s">
        <v>348</v>
      </c>
      <c r="E5945" s="8">
        <v>2610</v>
      </c>
      <c r="F5945" s="8">
        <v>55910</v>
      </c>
      <c r="G5945" s="8">
        <f t="shared" si="368"/>
        <v>145925100</v>
      </c>
      <c r="H5945" s="5">
        <v>0.2974</v>
      </c>
      <c r="I5945" s="8">
        <f t="shared" si="369"/>
        <v>145925100</v>
      </c>
      <c r="J5945" s="8">
        <f t="shared" si="370"/>
        <v>43398124.74</v>
      </c>
      <c r="K5945" t="str">
        <f t="shared" si="371"/>
        <v>MATCHED</v>
      </c>
    </row>
    <row r="5946" spans="1:11">
      <c r="A5946" t="s">
        <v>126</v>
      </c>
      <c r="B5946" t="s">
        <v>1770</v>
      </c>
      <c r="C5946" t="s">
        <v>349</v>
      </c>
      <c r="D5946" t="s">
        <v>350</v>
      </c>
      <c r="E5946" s="8">
        <v>2490</v>
      </c>
      <c r="F5946" s="8">
        <v>59670</v>
      </c>
      <c r="G5946" s="8">
        <f t="shared" si="368"/>
        <v>148578300</v>
      </c>
      <c r="H5946" s="5">
        <v>0.2765</v>
      </c>
      <c r="I5946" s="8">
        <f t="shared" si="369"/>
        <v>148578300</v>
      </c>
      <c r="J5946" s="8">
        <f t="shared" si="370"/>
        <v>41081899.95</v>
      </c>
      <c r="K5946" t="str">
        <f t="shared" si="371"/>
        <v>MATCHED</v>
      </c>
    </row>
    <row r="5947" spans="1:11">
      <c r="A5947" t="s">
        <v>126</v>
      </c>
      <c r="B5947" t="s">
        <v>1770</v>
      </c>
      <c r="C5947" t="s">
        <v>353</v>
      </c>
      <c r="D5947" t="s">
        <v>354</v>
      </c>
      <c r="E5947" s="8">
        <v>1330</v>
      </c>
      <c r="F5947" s="8">
        <v>40770</v>
      </c>
      <c r="G5947" s="8">
        <f t="shared" si="368"/>
        <v>54224100</v>
      </c>
      <c r="H5947" s="5">
        <v>0.1614</v>
      </c>
      <c r="I5947" s="8">
        <f t="shared" si="369"/>
        <v>54224100</v>
      </c>
      <c r="J5947" s="8">
        <f t="shared" si="370"/>
        <v>8751769.74</v>
      </c>
      <c r="K5947" t="str">
        <f t="shared" si="371"/>
        <v>MATCHED</v>
      </c>
    </row>
    <row r="5948" spans="1:11">
      <c r="A5948" t="s">
        <v>126</v>
      </c>
      <c r="B5948" t="s">
        <v>1770</v>
      </c>
      <c r="C5948" t="s">
        <v>1276</v>
      </c>
      <c r="D5948" t="s">
        <v>1277</v>
      </c>
      <c r="E5948" s="8">
        <v>1670</v>
      </c>
      <c r="F5948" s="8">
        <v>33260</v>
      </c>
      <c r="G5948" s="8">
        <f t="shared" si="368"/>
        <v>55544200</v>
      </c>
      <c r="H5948" s="5">
        <v>0.2109</v>
      </c>
      <c r="I5948" s="8">
        <f t="shared" si="369"/>
        <v>55544200</v>
      </c>
      <c r="J5948" s="8">
        <f t="shared" si="370"/>
        <v>11714271.78</v>
      </c>
      <c r="K5948" t="str">
        <f t="shared" si="371"/>
        <v>MATCHED</v>
      </c>
    </row>
    <row r="5949" spans="1:11">
      <c r="A5949" t="s">
        <v>126</v>
      </c>
      <c r="B5949" t="s">
        <v>1770</v>
      </c>
      <c r="C5949" t="s">
        <v>876</v>
      </c>
      <c r="D5949" t="s">
        <v>877</v>
      </c>
      <c r="E5949" s="8">
        <v>3860</v>
      </c>
      <c r="F5949" s="8">
        <v>33260</v>
      </c>
      <c r="G5949" s="8">
        <f t="shared" si="368"/>
        <v>128383600</v>
      </c>
      <c r="H5949" s="5">
        <v>0.25</v>
      </c>
      <c r="I5949" s="8">
        <f t="shared" si="369"/>
        <v>128383600</v>
      </c>
      <c r="J5949" s="8">
        <f t="shared" si="370"/>
        <v>32095900</v>
      </c>
      <c r="K5949" t="str">
        <f t="shared" si="371"/>
        <v>MATCHED</v>
      </c>
    </row>
    <row r="5950" spans="1:11">
      <c r="A5950" t="s">
        <v>126</v>
      </c>
      <c r="B5950" t="s">
        <v>1770</v>
      </c>
      <c r="C5950" t="s">
        <v>1591</v>
      </c>
      <c r="D5950" t="s">
        <v>1592</v>
      </c>
      <c r="E5950" s="8">
        <v>410</v>
      </c>
      <c r="F5950" s="8">
        <v>48920</v>
      </c>
      <c r="G5950" s="8">
        <f t="shared" si="368"/>
        <v>20057200</v>
      </c>
      <c r="H5950" s="5">
        <v>0.1238</v>
      </c>
      <c r="I5950" s="8">
        <f t="shared" si="369"/>
        <v>20057200</v>
      </c>
      <c r="J5950" s="8">
        <f t="shared" si="370"/>
        <v>2483081.36</v>
      </c>
      <c r="K5950" t="str">
        <f t="shared" si="371"/>
        <v>MATCHED</v>
      </c>
    </row>
    <row r="5951" spans="1:11">
      <c r="A5951" t="s">
        <v>126</v>
      </c>
      <c r="B5951" t="s">
        <v>1770</v>
      </c>
      <c r="C5951" t="s">
        <v>1494</v>
      </c>
      <c r="D5951" t="s">
        <v>1495</v>
      </c>
      <c r="E5951" s="8">
        <v>370</v>
      </c>
      <c r="F5951" s="8">
        <v>42220</v>
      </c>
      <c r="G5951" s="8">
        <f t="shared" si="368"/>
        <v>15621400</v>
      </c>
      <c r="H5951" s="5">
        <v>0.0413</v>
      </c>
      <c r="I5951" s="8">
        <f t="shared" si="369"/>
        <v>15621400</v>
      </c>
      <c r="J5951" s="8">
        <f t="shared" si="370"/>
        <v>645163.82</v>
      </c>
      <c r="K5951" t="str">
        <f t="shared" si="371"/>
        <v>MATCHED</v>
      </c>
    </row>
    <row r="5952" spans="1:11">
      <c r="A5952" t="s">
        <v>126</v>
      </c>
      <c r="B5952" t="s">
        <v>1770</v>
      </c>
      <c r="C5952" t="s">
        <v>1593</v>
      </c>
      <c r="D5952" t="s">
        <v>1594</v>
      </c>
      <c r="E5952" s="8"/>
      <c r="F5952" s="8">
        <v>40650</v>
      </c>
      <c r="G5952" s="8" t="str">
        <f t="shared" si="368"/>
        <v/>
      </c>
      <c r="H5952" s="5"/>
      <c r="I5952" s="8" t="str">
        <f t="shared" si="369"/>
        <v/>
      </c>
      <c r="J5952" s="8" t="str">
        <f t="shared" si="370"/>
        <v/>
      </c>
      <c r="K5952" t="str">
        <f t="shared" si="371"/>
        <v>MISSING OEWS</v>
      </c>
    </row>
    <row r="5953" spans="1:11">
      <c r="A5953" t="s">
        <v>126</v>
      </c>
      <c r="B5953" t="s">
        <v>1770</v>
      </c>
      <c r="C5953" t="s">
        <v>992</v>
      </c>
      <c r="D5953" t="s">
        <v>993</v>
      </c>
      <c r="E5953" s="8">
        <v>220</v>
      </c>
      <c r="F5953" s="8">
        <v>40660</v>
      </c>
      <c r="G5953" s="8">
        <f t="shared" si="368"/>
        <v>8945200</v>
      </c>
      <c r="H5953" s="5">
        <v>0.1239</v>
      </c>
      <c r="I5953" s="8">
        <f t="shared" si="369"/>
        <v>8945200</v>
      </c>
      <c r="J5953" s="8">
        <f t="shared" si="370"/>
        <v>1108310.28</v>
      </c>
      <c r="K5953" t="str">
        <f t="shared" si="371"/>
        <v>MATCHED</v>
      </c>
    </row>
    <row r="5954" spans="1:11">
      <c r="A5954" t="s">
        <v>126</v>
      </c>
      <c r="B5954" t="s">
        <v>1770</v>
      </c>
      <c r="C5954" t="s">
        <v>1595</v>
      </c>
      <c r="D5954" t="s">
        <v>1596</v>
      </c>
      <c r="E5954" s="8">
        <v>50</v>
      </c>
      <c r="F5954" s="8">
        <v>36770</v>
      </c>
      <c r="G5954" s="8">
        <f t="shared" ref="G5954:G6017" si="372">IF(OR(E5954="",F5954=""),"",E5954*F5954)</f>
        <v>1838500</v>
      </c>
      <c r="H5954" s="5">
        <v>0.0786</v>
      </c>
      <c r="I5954" s="8">
        <f t="shared" ref="I5954:I6017" si="373">IF(G5954="","",IF(ISNUMBER(H5954),G5954,""))</f>
        <v>1838500</v>
      </c>
      <c r="J5954" s="8">
        <f t="shared" ref="J5954:J6017" si="374">IF(I5954="","",I5954*H5954)</f>
        <v>144506.1</v>
      </c>
      <c r="K5954" t="str">
        <f t="shared" ref="K5954:K6017" si="375">IF(G5954="","MISSING OEWS",IF(ISNUMBER(H5954),"MATCHED","MISSING WHARTON"))</f>
        <v>MATCHED</v>
      </c>
    </row>
    <row r="5955" spans="1:11">
      <c r="A5955" t="s">
        <v>126</v>
      </c>
      <c r="B5955" t="s">
        <v>1770</v>
      </c>
      <c r="C5955" t="s">
        <v>1449</v>
      </c>
      <c r="D5955" t="s">
        <v>1450</v>
      </c>
      <c r="E5955" s="8">
        <v>60</v>
      </c>
      <c r="F5955" s="8">
        <v>66350</v>
      </c>
      <c r="G5955" s="8">
        <f t="shared" si="372"/>
        <v>3981000</v>
      </c>
      <c r="H5955" s="5">
        <v>0.1056</v>
      </c>
      <c r="I5955" s="8">
        <f t="shared" si="373"/>
        <v>3981000</v>
      </c>
      <c r="J5955" s="8">
        <f t="shared" si="374"/>
        <v>420393.6</v>
      </c>
      <c r="K5955" t="str">
        <f t="shared" si="375"/>
        <v>MATCHED</v>
      </c>
    </row>
    <row r="5956" spans="1:11">
      <c r="A5956" t="s">
        <v>126</v>
      </c>
      <c r="B5956" t="s">
        <v>1770</v>
      </c>
      <c r="C5956" t="s">
        <v>994</v>
      </c>
      <c r="D5956" t="s">
        <v>995</v>
      </c>
      <c r="E5956" s="8">
        <v>70</v>
      </c>
      <c r="F5956" s="8">
        <v>36020</v>
      </c>
      <c r="G5956" s="8">
        <f t="shared" si="372"/>
        <v>2521400</v>
      </c>
      <c r="H5956" s="5">
        <v>0.65</v>
      </c>
      <c r="I5956" s="8">
        <f t="shared" si="373"/>
        <v>2521400</v>
      </c>
      <c r="J5956" s="8">
        <f t="shared" si="374"/>
        <v>1638910</v>
      </c>
      <c r="K5956" t="str">
        <f t="shared" si="375"/>
        <v>MATCHED</v>
      </c>
    </row>
    <row r="5957" spans="1:11">
      <c r="A5957" t="s">
        <v>126</v>
      </c>
      <c r="B5957" t="s">
        <v>1770</v>
      </c>
      <c r="C5957" t="s">
        <v>1278</v>
      </c>
      <c r="D5957" t="s">
        <v>1279</v>
      </c>
      <c r="E5957" s="8">
        <v>1190</v>
      </c>
      <c r="F5957" s="8">
        <v>37150</v>
      </c>
      <c r="G5957" s="8">
        <f t="shared" si="372"/>
        <v>44208500</v>
      </c>
      <c r="H5957" s="5">
        <v>0.3177</v>
      </c>
      <c r="I5957" s="8">
        <f t="shared" si="373"/>
        <v>44208500</v>
      </c>
      <c r="J5957" s="8">
        <f t="shared" si="374"/>
        <v>14045040.45</v>
      </c>
      <c r="K5957" t="str">
        <f t="shared" si="375"/>
        <v>MATCHED</v>
      </c>
    </row>
    <row r="5958" spans="1:11">
      <c r="A5958" t="s">
        <v>126</v>
      </c>
      <c r="B5958" t="s">
        <v>1770</v>
      </c>
      <c r="C5958" t="s">
        <v>996</v>
      </c>
      <c r="D5958" t="s">
        <v>997</v>
      </c>
      <c r="E5958" s="8">
        <v>30410</v>
      </c>
      <c r="F5958" s="8">
        <v>35170</v>
      </c>
      <c r="G5958" s="8">
        <f t="shared" si="372"/>
        <v>1069519700</v>
      </c>
      <c r="H5958" s="5">
        <v>0.105</v>
      </c>
      <c r="I5958" s="8">
        <f t="shared" si="373"/>
        <v>1069519700</v>
      </c>
      <c r="J5958" s="8">
        <f t="shared" si="374"/>
        <v>112299568.5</v>
      </c>
      <c r="K5958" t="str">
        <f t="shared" si="375"/>
        <v>MATCHED</v>
      </c>
    </row>
    <row r="5959" spans="1:11">
      <c r="A5959" t="s">
        <v>126</v>
      </c>
      <c r="B5959" t="s">
        <v>1770</v>
      </c>
      <c r="C5959" t="s">
        <v>998</v>
      </c>
      <c r="D5959" t="s">
        <v>999</v>
      </c>
      <c r="E5959" s="8">
        <v>24850</v>
      </c>
      <c r="F5959" s="8">
        <v>49680</v>
      </c>
      <c r="G5959" s="8">
        <f t="shared" si="372"/>
        <v>1234548000</v>
      </c>
      <c r="H5959" s="5">
        <v>0.0636</v>
      </c>
      <c r="I5959" s="8">
        <f t="shared" si="373"/>
        <v>1234548000</v>
      </c>
      <c r="J5959" s="8">
        <f t="shared" si="374"/>
        <v>78517252.8</v>
      </c>
      <c r="K5959" t="str">
        <f t="shared" si="375"/>
        <v>MATCHED</v>
      </c>
    </row>
    <row r="5960" spans="1:11">
      <c r="A5960" t="s">
        <v>126</v>
      </c>
      <c r="B5960" t="s">
        <v>1770</v>
      </c>
      <c r="C5960" t="s">
        <v>1280</v>
      </c>
      <c r="D5960" t="s">
        <v>1281</v>
      </c>
      <c r="E5960" s="8">
        <v>14970</v>
      </c>
      <c r="F5960" s="8">
        <v>39370</v>
      </c>
      <c r="G5960" s="8">
        <f t="shared" si="372"/>
        <v>589368900</v>
      </c>
      <c r="H5960" s="5">
        <v>0.1667</v>
      </c>
      <c r="I5960" s="8">
        <f t="shared" si="373"/>
        <v>589368900</v>
      </c>
      <c r="J5960" s="8">
        <f t="shared" si="374"/>
        <v>98247795.63</v>
      </c>
      <c r="K5960" t="str">
        <f t="shared" si="375"/>
        <v>MATCHED</v>
      </c>
    </row>
    <row r="5961" spans="1:11">
      <c r="A5961" t="s">
        <v>126</v>
      </c>
      <c r="B5961" t="s">
        <v>1770</v>
      </c>
      <c r="C5961" t="s">
        <v>1282</v>
      </c>
      <c r="D5961" t="s">
        <v>1283</v>
      </c>
      <c r="E5961" s="8">
        <v>8490</v>
      </c>
      <c r="F5961" s="8">
        <v>43810</v>
      </c>
      <c r="G5961" s="8">
        <f t="shared" si="372"/>
        <v>371946900</v>
      </c>
      <c r="H5961" s="5">
        <v>0.2917</v>
      </c>
      <c r="I5961" s="8">
        <f t="shared" si="373"/>
        <v>371946900</v>
      </c>
      <c r="J5961" s="8">
        <f t="shared" si="374"/>
        <v>108496910.73</v>
      </c>
      <c r="K5961" t="str">
        <f t="shared" si="375"/>
        <v>MATCHED</v>
      </c>
    </row>
    <row r="5962" spans="1:11">
      <c r="A5962" t="s">
        <v>126</v>
      </c>
      <c r="B5962" t="s">
        <v>1770</v>
      </c>
      <c r="C5962" t="s">
        <v>1500</v>
      </c>
      <c r="D5962" t="s">
        <v>1501</v>
      </c>
      <c r="E5962" s="8">
        <v>120</v>
      </c>
      <c r="F5962" s="8">
        <v>44050</v>
      </c>
      <c r="G5962" s="8">
        <f t="shared" si="372"/>
        <v>5286000</v>
      </c>
      <c r="H5962" s="5"/>
      <c r="I5962" s="8" t="str">
        <f t="shared" si="373"/>
        <v/>
      </c>
      <c r="J5962" s="8" t="str">
        <f t="shared" si="374"/>
        <v/>
      </c>
      <c r="K5962" t="str">
        <f t="shared" si="375"/>
        <v>MISSING WHARTON</v>
      </c>
    </row>
    <row r="5963" spans="1:11">
      <c r="A5963" t="s">
        <v>126</v>
      </c>
      <c r="B5963" t="s">
        <v>1770</v>
      </c>
      <c r="C5963" t="s">
        <v>355</v>
      </c>
      <c r="D5963" t="s">
        <v>356</v>
      </c>
      <c r="E5963" s="8">
        <v>940</v>
      </c>
      <c r="F5963" s="8">
        <v>56190</v>
      </c>
      <c r="G5963" s="8">
        <f t="shared" si="372"/>
        <v>52818600</v>
      </c>
      <c r="H5963" s="5">
        <v>0.4476</v>
      </c>
      <c r="I5963" s="8">
        <f t="shared" si="373"/>
        <v>52818600</v>
      </c>
      <c r="J5963" s="8">
        <f t="shared" si="374"/>
        <v>23641605.36</v>
      </c>
      <c r="K5963" t="str">
        <f t="shared" si="375"/>
        <v>MATCHED</v>
      </c>
    </row>
    <row r="5964" spans="1:11">
      <c r="A5964" t="s">
        <v>126</v>
      </c>
      <c r="B5964" t="s">
        <v>1770</v>
      </c>
      <c r="C5964" t="s">
        <v>357</v>
      </c>
      <c r="D5964" t="s">
        <v>358</v>
      </c>
      <c r="E5964" s="8">
        <v>740</v>
      </c>
      <c r="F5964" s="8">
        <v>106930</v>
      </c>
      <c r="G5964" s="8">
        <f t="shared" si="372"/>
        <v>79128200</v>
      </c>
      <c r="H5964" s="5">
        <v>0.4833</v>
      </c>
      <c r="I5964" s="8">
        <f t="shared" si="373"/>
        <v>79128200</v>
      </c>
      <c r="J5964" s="8">
        <f t="shared" si="374"/>
        <v>38242659.06</v>
      </c>
      <c r="K5964" t="str">
        <f t="shared" si="375"/>
        <v>MATCHED</v>
      </c>
    </row>
    <row r="5965" spans="1:11">
      <c r="A5965" t="s">
        <v>126</v>
      </c>
      <c r="B5965" t="s">
        <v>1770</v>
      </c>
      <c r="C5965" t="s">
        <v>648</v>
      </c>
      <c r="D5965" t="s">
        <v>649</v>
      </c>
      <c r="E5965" s="8">
        <v>2380</v>
      </c>
      <c r="F5965" s="8">
        <v>37230</v>
      </c>
      <c r="G5965" s="8">
        <f t="shared" si="372"/>
        <v>88607400</v>
      </c>
      <c r="H5965" s="5">
        <v>0.6672</v>
      </c>
      <c r="I5965" s="8">
        <f t="shared" si="373"/>
        <v>88607400</v>
      </c>
      <c r="J5965" s="8">
        <f t="shared" si="374"/>
        <v>59118857.28</v>
      </c>
      <c r="K5965" t="str">
        <f t="shared" si="375"/>
        <v>MATCHED</v>
      </c>
    </row>
    <row r="5966" spans="1:11">
      <c r="A5966" t="s">
        <v>126</v>
      </c>
      <c r="B5966" t="s">
        <v>1770</v>
      </c>
      <c r="C5966" t="s">
        <v>878</v>
      </c>
      <c r="D5966" t="s">
        <v>879</v>
      </c>
      <c r="E5966" s="8">
        <v>110</v>
      </c>
      <c r="F5966" s="8">
        <v>40550</v>
      </c>
      <c r="G5966" s="8">
        <f t="shared" si="372"/>
        <v>4460500</v>
      </c>
      <c r="H5966" s="5">
        <v>0.7719</v>
      </c>
      <c r="I5966" s="8">
        <f t="shared" si="373"/>
        <v>4460500</v>
      </c>
      <c r="J5966" s="8">
        <f t="shared" si="374"/>
        <v>3443059.95</v>
      </c>
      <c r="K5966" t="str">
        <f t="shared" si="375"/>
        <v>MATCHED</v>
      </c>
    </row>
    <row r="5967" spans="1:11">
      <c r="A5967" t="s">
        <v>126</v>
      </c>
      <c r="B5967" t="s">
        <v>1770</v>
      </c>
      <c r="C5967" t="s">
        <v>359</v>
      </c>
      <c r="D5967" t="s">
        <v>360</v>
      </c>
      <c r="E5967" s="8">
        <v>2560</v>
      </c>
      <c r="F5967" s="8">
        <v>38740</v>
      </c>
      <c r="G5967" s="8">
        <f t="shared" si="372"/>
        <v>99174400</v>
      </c>
      <c r="H5967" s="5">
        <v>0.4938</v>
      </c>
      <c r="I5967" s="8">
        <f t="shared" si="373"/>
        <v>99174400</v>
      </c>
      <c r="J5967" s="8">
        <f t="shared" si="374"/>
        <v>48972318.72</v>
      </c>
      <c r="K5967" t="str">
        <f t="shared" si="375"/>
        <v>MATCHED</v>
      </c>
    </row>
    <row r="5968" spans="1:11">
      <c r="A5968" t="s">
        <v>126</v>
      </c>
      <c r="B5968" t="s">
        <v>1770</v>
      </c>
      <c r="C5968" t="s">
        <v>1002</v>
      </c>
      <c r="D5968" t="s">
        <v>1003</v>
      </c>
      <c r="E5968" s="8">
        <v>50</v>
      </c>
      <c r="F5968" s="8">
        <v>87100</v>
      </c>
      <c r="G5968" s="8">
        <f t="shared" si="372"/>
        <v>4355000</v>
      </c>
      <c r="H5968" s="5">
        <v>0.6725</v>
      </c>
      <c r="I5968" s="8">
        <f t="shared" si="373"/>
        <v>4355000</v>
      </c>
      <c r="J5968" s="8">
        <f t="shared" si="374"/>
        <v>2928737.5</v>
      </c>
      <c r="K5968" t="str">
        <f t="shared" si="375"/>
        <v>MATCHED</v>
      </c>
    </row>
    <row r="5969" spans="1:11">
      <c r="A5969" t="s">
        <v>126</v>
      </c>
      <c r="B5969" t="s">
        <v>1770</v>
      </c>
      <c r="C5969" t="s">
        <v>361</v>
      </c>
      <c r="D5969" t="s">
        <v>362</v>
      </c>
      <c r="E5969" s="8">
        <v>14050</v>
      </c>
      <c r="F5969" s="8">
        <v>85860</v>
      </c>
      <c r="G5969" s="8">
        <f t="shared" si="372"/>
        <v>1206333000</v>
      </c>
      <c r="H5969" s="5">
        <v>0.73</v>
      </c>
      <c r="I5969" s="8">
        <f t="shared" si="373"/>
        <v>1206333000</v>
      </c>
      <c r="J5969" s="8">
        <f t="shared" si="374"/>
        <v>880623090</v>
      </c>
      <c r="K5969" t="str">
        <f t="shared" si="375"/>
        <v>MATCHED</v>
      </c>
    </row>
    <row r="5970" spans="1:11">
      <c r="A5970" t="s">
        <v>126</v>
      </c>
      <c r="B5970" t="s">
        <v>1770</v>
      </c>
      <c r="C5970" t="s">
        <v>652</v>
      </c>
      <c r="D5970" t="s">
        <v>653</v>
      </c>
      <c r="E5970" s="8">
        <v>290</v>
      </c>
      <c r="F5970" s="8">
        <v>122930</v>
      </c>
      <c r="G5970" s="8">
        <f t="shared" si="372"/>
        <v>35649700</v>
      </c>
      <c r="H5970" s="5">
        <v>0.6463</v>
      </c>
      <c r="I5970" s="8">
        <f t="shared" si="373"/>
        <v>35649700</v>
      </c>
      <c r="J5970" s="8">
        <f t="shared" si="374"/>
        <v>23040401.11</v>
      </c>
      <c r="K5970" t="str">
        <f t="shared" si="375"/>
        <v>MATCHED</v>
      </c>
    </row>
    <row r="5971" spans="1:11">
      <c r="A5971" t="s">
        <v>126</v>
      </c>
      <c r="B5971" t="s">
        <v>1770</v>
      </c>
      <c r="C5971" t="s">
        <v>363</v>
      </c>
      <c r="D5971" t="s">
        <v>364</v>
      </c>
      <c r="E5971" s="8">
        <v>870</v>
      </c>
      <c r="F5971" s="8">
        <v>75770</v>
      </c>
      <c r="G5971" s="8">
        <f t="shared" si="372"/>
        <v>65919900</v>
      </c>
      <c r="H5971" s="5">
        <v>0.5105</v>
      </c>
      <c r="I5971" s="8">
        <f t="shared" si="373"/>
        <v>65919900</v>
      </c>
      <c r="J5971" s="8">
        <f t="shared" si="374"/>
        <v>33652108.95</v>
      </c>
      <c r="K5971" t="str">
        <f t="shared" si="375"/>
        <v>MATCHED</v>
      </c>
    </row>
    <row r="5972" spans="1:11">
      <c r="A5972" t="s">
        <v>126</v>
      </c>
      <c r="B5972" t="s">
        <v>1770</v>
      </c>
      <c r="C5972" t="s">
        <v>1006</v>
      </c>
      <c r="D5972" t="s">
        <v>1007</v>
      </c>
      <c r="E5972" s="8">
        <v>130</v>
      </c>
      <c r="F5972" s="8">
        <v>27330</v>
      </c>
      <c r="G5972" s="8">
        <f t="shared" si="372"/>
        <v>3552900</v>
      </c>
      <c r="H5972" s="5">
        <v>0.3062</v>
      </c>
      <c r="I5972" s="8">
        <f t="shared" si="373"/>
        <v>3552900</v>
      </c>
      <c r="J5972" s="8">
        <f t="shared" si="374"/>
        <v>1087897.98</v>
      </c>
      <c r="K5972" t="str">
        <f t="shared" si="375"/>
        <v>MATCHED</v>
      </c>
    </row>
    <row r="5973" spans="1:11">
      <c r="A5973" t="s">
        <v>126</v>
      </c>
      <c r="B5973" t="s">
        <v>1770</v>
      </c>
      <c r="C5973" t="s">
        <v>1451</v>
      </c>
      <c r="D5973" t="s">
        <v>1452</v>
      </c>
      <c r="E5973" s="8">
        <v>480</v>
      </c>
      <c r="F5973" s="8">
        <v>48650</v>
      </c>
      <c r="G5973" s="8">
        <f t="shared" si="372"/>
        <v>23352000</v>
      </c>
      <c r="H5973" s="5">
        <v>0.2071</v>
      </c>
      <c r="I5973" s="8">
        <f t="shared" si="373"/>
        <v>23352000</v>
      </c>
      <c r="J5973" s="8">
        <f t="shared" si="374"/>
        <v>4836199.2</v>
      </c>
      <c r="K5973" t="str">
        <f t="shared" si="375"/>
        <v>MATCHED</v>
      </c>
    </row>
    <row r="5974" spans="1:11">
      <c r="A5974" t="s">
        <v>126</v>
      </c>
      <c r="B5974" t="s">
        <v>1770</v>
      </c>
      <c r="C5974" t="s">
        <v>1010</v>
      </c>
      <c r="D5974" t="s">
        <v>1011</v>
      </c>
      <c r="E5974" s="8">
        <v>540</v>
      </c>
      <c r="F5974" s="8">
        <v>36990</v>
      </c>
      <c r="G5974" s="8">
        <f t="shared" si="372"/>
        <v>19974600</v>
      </c>
      <c r="H5974" s="5">
        <v>0.9625</v>
      </c>
      <c r="I5974" s="8">
        <f t="shared" si="373"/>
        <v>19974600</v>
      </c>
      <c r="J5974" s="8">
        <f t="shared" si="374"/>
        <v>19225552.5</v>
      </c>
      <c r="K5974" t="str">
        <f t="shared" si="375"/>
        <v>MATCHED</v>
      </c>
    </row>
    <row r="5975" spans="1:11">
      <c r="A5975" t="s">
        <v>126</v>
      </c>
      <c r="B5975" t="s">
        <v>1770</v>
      </c>
      <c r="C5975" t="s">
        <v>365</v>
      </c>
      <c r="D5975" t="s">
        <v>366</v>
      </c>
      <c r="E5975" s="8">
        <v>610</v>
      </c>
      <c r="F5975" s="8">
        <v>50610</v>
      </c>
      <c r="G5975" s="8">
        <f t="shared" si="372"/>
        <v>30872100</v>
      </c>
      <c r="H5975" s="5"/>
      <c r="I5975" s="8" t="str">
        <f t="shared" si="373"/>
        <v/>
      </c>
      <c r="J5975" s="8" t="str">
        <f t="shared" si="374"/>
        <v/>
      </c>
      <c r="K5975" t="str">
        <f t="shared" si="375"/>
        <v>MISSING WHARTON</v>
      </c>
    </row>
    <row r="5976" spans="1:11">
      <c r="A5976" t="s">
        <v>126</v>
      </c>
      <c r="B5976" t="s">
        <v>1770</v>
      </c>
      <c r="C5976" t="s">
        <v>367</v>
      </c>
      <c r="D5976" t="s">
        <v>368</v>
      </c>
      <c r="E5976" s="8">
        <v>32920</v>
      </c>
      <c r="F5976" s="8">
        <v>71440</v>
      </c>
      <c r="G5976" s="8">
        <f t="shared" si="372"/>
        <v>2351804800</v>
      </c>
      <c r="H5976" s="5">
        <v>0.5034</v>
      </c>
      <c r="I5976" s="8">
        <f t="shared" si="373"/>
        <v>2351804800</v>
      </c>
      <c r="J5976" s="8">
        <f t="shared" si="374"/>
        <v>1183898536.32</v>
      </c>
      <c r="K5976" t="str">
        <f t="shared" si="375"/>
        <v>MATCHED</v>
      </c>
    </row>
    <row r="5977" spans="1:11">
      <c r="A5977" t="s">
        <v>126</v>
      </c>
      <c r="B5977" t="s">
        <v>1770</v>
      </c>
      <c r="C5977" t="s">
        <v>1014</v>
      </c>
      <c r="D5977" t="s">
        <v>1015</v>
      </c>
      <c r="E5977" s="8">
        <v>260</v>
      </c>
      <c r="F5977" s="8">
        <v>42420</v>
      </c>
      <c r="G5977" s="8">
        <f t="shared" si="372"/>
        <v>11029200</v>
      </c>
      <c r="H5977" s="5">
        <v>0.7579</v>
      </c>
      <c r="I5977" s="8">
        <f t="shared" si="373"/>
        <v>11029200</v>
      </c>
      <c r="J5977" s="8">
        <f t="shared" si="374"/>
        <v>8359030.68</v>
      </c>
      <c r="K5977" t="str">
        <f t="shared" si="375"/>
        <v>MATCHED</v>
      </c>
    </row>
    <row r="5978" spans="1:11">
      <c r="A5978" t="s">
        <v>126</v>
      </c>
      <c r="B5978" t="s">
        <v>1770</v>
      </c>
      <c r="C5978" t="s">
        <v>880</v>
      </c>
      <c r="D5978" t="s">
        <v>881</v>
      </c>
      <c r="E5978" s="8">
        <v>980</v>
      </c>
      <c r="F5978" s="8">
        <v>56050</v>
      </c>
      <c r="G5978" s="8">
        <f t="shared" si="372"/>
        <v>54929000</v>
      </c>
      <c r="H5978" s="5">
        <v>0.9</v>
      </c>
      <c r="I5978" s="8">
        <f t="shared" si="373"/>
        <v>54929000</v>
      </c>
      <c r="J5978" s="8">
        <f t="shared" si="374"/>
        <v>49436100</v>
      </c>
      <c r="K5978" t="str">
        <f t="shared" si="375"/>
        <v>MATCHED</v>
      </c>
    </row>
    <row r="5979" spans="1:11">
      <c r="A5979" t="s">
        <v>126</v>
      </c>
      <c r="B5979" t="s">
        <v>1770</v>
      </c>
      <c r="C5979" t="s">
        <v>369</v>
      </c>
      <c r="D5979" t="s">
        <v>370</v>
      </c>
      <c r="E5979" s="8">
        <v>3470</v>
      </c>
      <c r="F5979" s="8">
        <v>55310</v>
      </c>
      <c r="G5979" s="8">
        <f t="shared" si="372"/>
        <v>191925700</v>
      </c>
      <c r="H5979" s="5">
        <v>0.8617</v>
      </c>
      <c r="I5979" s="8">
        <f t="shared" si="373"/>
        <v>191925700</v>
      </c>
      <c r="J5979" s="8">
        <f t="shared" si="374"/>
        <v>165382375.69</v>
      </c>
      <c r="K5979" t="str">
        <f t="shared" si="375"/>
        <v>MATCHED</v>
      </c>
    </row>
    <row r="5980" spans="1:11">
      <c r="A5980" t="s">
        <v>126</v>
      </c>
      <c r="B5980" t="s">
        <v>1770</v>
      </c>
      <c r="C5980" t="s">
        <v>371</v>
      </c>
      <c r="D5980" t="s">
        <v>372</v>
      </c>
      <c r="E5980" s="8">
        <v>19050</v>
      </c>
      <c r="F5980" s="8">
        <v>54650</v>
      </c>
      <c r="G5980" s="8">
        <f t="shared" si="372"/>
        <v>1041082500</v>
      </c>
      <c r="H5980" s="5">
        <v>0.9517</v>
      </c>
      <c r="I5980" s="8">
        <f t="shared" si="373"/>
        <v>1041082500</v>
      </c>
      <c r="J5980" s="8">
        <f t="shared" si="374"/>
        <v>990798215.25</v>
      </c>
      <c r="K5980" t="str">
        <f t="shared" si="375"/>
        <v>MATCHED</v>
      </c>
    </row>
    <row r="5981" spans="1:11">
      <c r="A5981" t="s">
        <v>126</v>
      </c>
      <c r="B5981" t="s">
        <v>1770</v>
      </c>
      <c r="C5981" t="s">
        <v>373</v>
      </c>
      <c r="D5981" t="s">
        <v>374</v>
      </c>
      <c r="E5981" s="8">
        <v>2250</v>
      </c>
      <c r="F5981" s="8">
        <v>62710</v>
      </c>
      <c r="G5981" s="8">
        <f t="shared" si="372"/>
        <v>141097500</v>
      </c>
      <c r="H5981" s="5">
        <v>0.9409</v>
      </c>
      <c r="I5981" s="8">
        <f t="shared" si="373"/>
        <v>141097500</v>
      </c>
      <c r="J5981" s="8">
        <f t="shared" si="374"/>
        <v>132758637.75</v>
      </c>
      <c r="K5981" t="str">
        <f t="shared" si="375"/>
        <v>MATCHED</v>
      </c>
    </row>
    <row r="5982" spans="1:11">
      <c r="A5982" t="s">
        <v>126</v>
      </c>
      <c r="B5982" t="s">
        <v>1770</v>
      </c>
      <c r="C5982" t="s">
        <v>375</v>
      </c>
      <c r="D5982" t="s">
        <v>376</v>
      </c>
      <c r="E5982" s="8">
        <v>620</v>
      </c>
      <c r="F5982" s="8">
        <v>53880</v>
      </c>
      <c r="G5982" s="8">
        <f t="shared" si="372"/>
        <v>33405600</v>
      </c>
      <c r="H5982" s="5">
        <v>0.8237</v>
      </c>
      <c r="I5982" s="8">
        <f t="shared" si="373"/>
        <v>33405600</v>
      </c>
      <c r="J5982" s="8">
        <f t="shared" si="374"/>
        <v>27516192.72</v>
      </c>
      <c r="K5982" t="str">
        <f t="shared" si="375"/>
        <v>MATCHED</v>
      </c>
    </row>
    <row r="5983" spans="1:11">
      <c r="A5983" t="s">
        <v>126</v>
      </c>
      <c r="B5983" t="s">
        <v>1770</v>
      </c>
      <c r="C5983" t="s">
        <v>882</v>
      </c>
      <c r="D5983" t="s">
        <v>883</v>
      </c>
      <c r="E5983" s="8">
        <v>80</v>
      </c>
      <c r="F5983" s="8">
        <v>50170</v>
      </c>
      <c r="G5983" s="8">
        <f t="shared" si="372"/>
        <v>4013600</v>
      </c>
      <c r="H5983" s="5">
        <v>0.9138</v>
      </c>
      <c r="I5983" s="8">
        <f t="shared" si="373"/>
        <v>4013600</v>
      </c>
      <c r="J5983" s="8">
        <f t="shared" si="374"/>
        <v>3667627.68</v>
      </c>
      <c r="K5983" t="str">
        <f t="shared" si="375"/>
        <v>MATCHED</v>
      </c>
    </row>
    <row r="5984" spans="1:11">
      <c r="A5984" t="s">
        <v>126</v>
      </c>
      <c r="B5984" t="s">
        <v>1770</v>
      </c>
      <c r="C5984" t="s">
        <v>884</v>
      </c>
      <c r="D5984" t="s">
        <v>885</v>
      </c>
      <c r="E5984" s="8">
        <v>240</v>
      </c>
      <c r="F5984" s="8">
        <v>49640</v>
      </c>
      <c r="G5984" s="8">
        <f t="shared" si="372"/>
        <v>11913600</v>
      </c>
      <c r="H5984" s="5"/>
      <c r="I5984" s="8" t="str">
        <f t="shared" si="373"/>
        <v/>
      </c>
      <c r="J5984" s="8" t="str">
        <f t="shared" si="374"/>
        <v/>
      </c>
      <c r="K5984" t="str">
        <f t="shared" si="375"/>
        <v>MISSING WHARTON</v>
      </c>
    </row>
    <row r="5985" spans="1:11">
      <c r="A5985" t="s">
        <v>126</v>
      </c>
      <c r="B5985" t="s">
        <v>1770</v>
      </c>
      <c r="C5985" t="s">
        <v>377</v>
      </c>
      <c r="D5985" t="s">
        <v>378</v>
      </c>
      <c r="E5985" s="8">
        <v>18350</v>
      </c>
      <c r="F5985" s="8">
        <v>48820</v>
      </c>
      <c r="G5985" s="8">
        <f t="shared" si="372"/>
        <v>895847000</v>
      </c>
      <c r="H5985" s="5">
        <v>0.82</v>
      </c>
      <c r="I5985" s="8">
        <f t="shared" si="373"/>
        <v>895847000</v>
      </c>
      <c r="J5985" s="8">
        <f t="shared" si="374"/>
        <v>734594540</v>
      </c>
      <c r="K5985" t="str">
        <f t="shared" si="375"/>
        <v>MATCHED</v>
      </c>
    </row>
    <row r="5986" spans="1:11">
      <c r="A5986" t="s">
        <v>126</v>
      </c>
      <c r="B5986" t="s">
        <v>1770</v>
      </c>
      <c r="C5986" t="s">
        <v>1535</v>
      </c>
      <c r="D5986" t="s">
        <v>1536</v>
      </c>
      <c r="E5986" s="8">
        <v>90</v>
      </c>
      <c r="F5986" s="8">
        <v>48940</v>
      </c>
      <c r="G5986" s="8">
        <f t="shared" si="372"/>
        <v>4404600</v>
      </c>
      <c r="H5986" s="5">
        <v>0.7912</v>
      </c>
      <c r="I5986" s="8">
        <f t="shared" si="373"/>
        <v>4404600</v>
      </c>
      <c r="J5986" s="8">
        <f t="shared" si="374"/>
        <v>3484919.52</v>
      </c>
      <c r="K5986" t="str">
        <f t="shared" si="375"/>
        <v>MATCHED</v>
      </c>
    </row>
    <row r="5987" spans="1:11">
      <c r="A5987" t="s">
        <v>126</v>
      </c>
      <c r="B5987" t="s">
        <v>1770</v>
      </c>
      <c r="C5987" t="s">
        <v>379</v>
      </c>
      <c r="D5987" t="s">
        <v>380</v>
      </c>
      <c r="E5987" s="8">
        <v>1880</v>
      </c>
      <c r="F5987" s="8">
        <v>45380</v>
      </c>
      <c r="G5987" s="8">
        <f t="shared" si="372"/>
        <v>85314400</v>
      </c>
      <c r="H5987" s="5">
        <v>0.7526</v>
      </c>
      <c r="I5987" s="8">
        <f t="shared" si="373"/>
        <v>85314400</v>
      </c>
      <c r="J5987" s="8">
        <f t="shared" si="374"/>
        <v>64207617.44</v>
      </c>
      <c r="K5987" t="str">
        <f t="shared" si="375"/>
        <v>MATCHED</v>
      </c>
    </row>
    <row r="5988" spans="1:11">
      <c r="A5988" t="s">
        <v>126</v>
      </c>
      <c r="B5988" t="s">
        <v>1770</v>
      </c>
      <c r="C5988" t="s">
        <v>1506</v>
      </c>
      <c r="D5988" t="s">
        <v>1507</v>
      </c>
      <c r="E5988" s="8">
        <v>290</v>
      </c>
      <c r="F5988" s="8">
        <v>40360</v>
      </c>
      <c r="G5988" s="8">
        <f t="shared" si="372"/>
        <v>11704400</v>
      </c>
      <c r="H5988" s="5">
        <v>0.665</v>
      </c>
      <c r="I5988" s="8">
        <f t="shared" si="373"/>
        <v>11704400</v>
      </c>
      <c r="J5988" s="8">
        <f t="shared" si="374"/>
        <v>7783426</v>
      </c>
      <c r="K5988" t="str">
        <f t="shared" si="375"/>
        <v>MATCHED</v>
      </c>
    </row>
    <row r="5989" spans="1:11">
      <c r="A5989" t="s">
        <v>126</v>
      </c>
      <c r="B5989" t="s">
        <v>1770</v>
      </c>
      <c r="C5989" t="s">
        <v>1286</v>
      </c>
      <c r="D5989" t="s">
        <v>1287</v>
      </c>
      <c r="E5989" s="8">
        <v>8230</v>
      </c>
      <c r="F5989" s="8">
        <v>49190</v>
      </c>
      <c r="G5989" s="8">
        <f t="shared" si="372"/>
        <v>404833700</v>
      </c>
      <c r="H5989" s="5">
        <v>0.7088</v>
      </c>
      <c r="I5989" s="8">
        <f t="shared" si="373"/>
        <v>404833700</v>
      </c>
      <c r="J5989" s="8">
        <f t="shared" si="374"/>
        <v>286946126.56</v>
      </c>
      <c r="K5989" t="str">
        <f t="shared" si="375"/>
        <v>MATCHED</v>
      </c>
    </row>
    <row r="5990" spans="1:11">
      <c r="A5990" t="s">
        <v>126</v>
      </c>
      <c r="B5990" t="s">
        <v>1770</v>
      </c>
      <c r="C5990" t="s">
        <v>1599</v>
      </c>
      <c r="D5990" t="s">
        <v>1600</v>
      </c>
      <c r="E5990" s="8">
        <v>3630</v>
      </c>
      <c r="F5990" s="8">
        <v>39460</v>
      </c>
      <c r="G5990" s="8">
        <f t="shared" si="372"/>
        <v>143239800</v>
      </c>
      <c r="H5990" s="5">
        <v>0.547</v>
      </c>
      <c r="I5990" s="8">
        <f t="shared" si="373"/>
        <v>143239800</v>
      </c>
      <c r="J5990" s="8">
        <f t="shared" si="374"/>
        <v>78352170.6</v>
      </c>
      <c r="K5990" t="str">
        <f t="shared" si="375"/>
        <v>MATCHED</v>
      </c>
    </row>
    <row r="5991" spans="1:11">
      <c r="A5991" t="s">
        <v>126</v>
      </c>
      <c r="B5991" t="s">
        <v>1770</v>
      </c>
      <c r="C5991" t="s">
        <v>1018</v>
      </c>
      <c r="D5991" t="s">
        <v>1019</v>
      </c>
      <c r="E5991" s="8"/>
      <c r="F5991" s="8">
        <v>39620</v>
      </c>
      <c r="G5991" s="8" t="str">
        <f t="shared" si="372"/>
        <v/>
      </c>
      <c r="H5991" s="5">
        <v>0.9111</v>
      </c>
      <c r="I5991" s="8" t="str">
        <f t="shared" si="373"/>
        <v/>
      </c>
      <c r="J5991" s="8" t="str">
        <f t="shared" si="374"/>
        <v/>
      </c>
      <c r="K5991" t="str">
        <f t="shared" si="375"/>
        <v>MISSING OEWS</v>
      </c>
    </row>
    <row r="5992" spans="1:11">
      <c r="A5992" t="s">
        <v>126</v>
      </c>
      <c r="B5992" t="s">
        <v>1770</v>
      </c>
      <c r="C5992" t="s">
        <v>381</v>
      </c>
      <c r="D5992" t="s">
        <v>382</v>
      </c>
      <c r="E5992" s="8">
        <v>160</v>
      </c>
      <c r="F5992" s="8">
        <v>42970</v>
      </c>
      <c r="G5992" s="8">
        <f t="shared" si="372"/>
        <v>6875200</v>
      </c>
      <c r="H5992" s="5">
        <v>0.9553</v>
      </c>
      <c r="I5992" s="8">
        <f t="shared" si="373"/>
        <v>6875200</v>
      </c>
      <c r="J5992" s="8">
        <f t="shared" si="374"/>
        <v>6567878.56</v>
      </c>
      <c r="K5992" t="str">
        <f t="shared" si="375"/>
        <v>MATCHED</v>
      </c>
    </row>
    <row r="5993" spans="1:11">
      <c r="A5993" t="s">
        <v>126</v>
      </c>
      <c r="B5993" t="s">
        <v>1770</v>
      </c>
      <c r="C5993" t="s">
        <v>383</v>
      </c>
      <c r="D5993" t="s">
        <v>384</v>
      </c>
      <c r="E5993" s="8">
        <v>1800</v>
      </c>
      <c r="F5993" s="8">
        <v>52100</v>
      </c>
      <c r="G5993" s="8">
        <f t="shared" si="372"/>
        <v>93780000</v>
      </c>
      <c r="H5993" s="5">
        <v>0.8342</v>
      </c>
      <c r="I5993" s="8">
        <f t="shared" si="373"/>
        <v>93780000</v>
      </c>
      <c r="J5993" s="8">
        <f t="shared" si="374"/>
        <v>78231276</v>
      </c>
      <c r="K5993" t="str">
        <f t="shared" si="375"/>
        <v>MATCHED</v>
      </c>
    </row>
    <row r="5994" spans="1:11">
      <c r="A5994" t="s">
        <v>126</v>
      </c>
      <c r="B5994" t="s">
        <v>1770</v>
      </c>
      <c r="C5994" t="s">
        <v>385</v>
      </c>
      <c r="D5994" t="s">
        <v>386</v>
      </c>
      <c r="E5994" s="8">
        <v>20310</v>
      </c>
      <c r="F5994" s="8">
        <v>38020</v>
      </c>
      <c r="G5994" s="8">
        <f t="shared" si="372"/>
        <v>772186200</v>
      </c>
      <c r="H5994" s="5">
        <v>0.7368</v>
      </c>
      <c r="I5994" s="8">
        <f t="shared" si="373"/>
        <v>772186200</v>
      </c>
      <c r="J5994" s="8">
        <f t="shared" si="374"/>
        <v>568946792.16</v>
      </c>
      <c r="K5994" t="str">
        <f t="shared" si="375"/>
        <v>MATCHED</v>
      </c>
    </row>
    <row r="5995" spans="1:11">
      <c r="A5995" t="s">
        <v>126</v>
      </c>
      <c r="B5995" t="s">
        <v>1770</v>
      </c>
      <c r="C5995" t="s">
        <v>658</v>
      </c>
      <c r="D5995" t="s">
        <v>659</v>
      </c>
      <c r="E5995" s="8">
        <v>8630</v>
      </c>
      <c r="F5995" s="8">
        <v>53820</v>
      </c>
      <c r="G5995" s="8">
        <f t="shared" si="372"/>
        <v>464466600</v>
      </c>
      <c r="H5995" s="5"/>
      <c r="I5995" s="8" t="str">
        <f t="shared" si="373"/>
        <v/>
      </c>
      <c r="J5995" s="8" t="str">
        <f t="shared" si="374"/>
        <v/>
      </c>
      <c r="K5995" t="str">
        <f t="shared" si="375"/>
        <v>MISSING WHARTON</v>
      </c>
    </row>
    <row r="5996" spans="1:11">
      <c r="A5996" t="s">
        <v>126</v>
      </c>
      <c r="B5996" t="s">
        <v>1770</v>
      </c>
      <c r="C5996" t="s">
        <v>886</v>
      </c>
      <c r="D5996" t="s">
        <v>887</v>
      </c>
      <c r="E5996" s="8">
        <v>160</v>
      </c>
      <c r="F5996" s="8">
        <v>43970</v>
      </c>
      <c r="G5996" s="8">
        <f t="shared" si="372"/>
        <v>7035200</v>
      </c>
      <c r="H5996" s="5">
        <v>0.2235</v>
      </c>
      <c r="I5996" s="8">
        <f t="shared" si="373"/>
        <v>7035200</v>
      </c>
      <c r="J5996" s="8">
        <f t="shared" si="374"/>
        <v>1572367.2</v>
      </c>
      <c r="K5996" t="str">
        <f t="shared" si="375"/>
        <v>MATCHED</v>
      </c>
    </row>
    <row r="5997" spans="1:11">
      <c r="A5997" t="s">
        <v>126</v>
      </c>
      <c r="B5997" t="s">
        <v>1770</v>
      </c>
      <c r="C5997" t="s">
        <v>1737</v>
      </c>
      <c r="D5997" t="s">
        <v>1738</v>
      </c>
      <c r="E5997" s="8">
        <v>930</v>
      </c>
      <c r="F5997" s="8">
        <v>47460</v>
      </c>
      <c r="G5997" s="8">
        <f t="shared" si="372"/>
        <v>44137800</v>
      </c>
      <c r="H5997" s="5">
        <v>0.6694</v>
      </c>
      <c r="I5997" s="8">
        <f t="shared" si="373"/>
        <v>44137800</v>
      </c>
      <c r="J5997" s="8">
        <f t="shared" si="374"/>
        <v>29545843.32</v>
      </c>
      <c r="K5997" t="str">
        <f t="shared" si="375"/>
        <v>MATCHED</v>
      </c>
    </row>
    <row r="5998" spans="1:11">
      <c r="A5998" t="s">
        <v>126</v>
      </c>
      <c r="B5998" t="s">
        <v>1770</v>
      </c>
      <c r="C5998" t="s">
        <v>387</v>
      </c>
      <c r="D5998" t="s">
        <v>388</v>
      </c>
      <c r="E5998" s="8">
        <v>1160</v>
      </c>
      <c r="F5998" s="8">
        <v>45700</v>
      </c>
      <c r="G5998" s="8">
        <f t="shared" si="372"/>
        <v>53012000</v>
      </c>
      <c r="H5998" s="5">
        <v>0.8192</v>
      </c>
      <c r="I5998" s="8">
        <f t="shared" si="373"/>
        <v>53012000</v>
      </c>
      <c r="J5998" s="8">
        <f t="shared" si="374"/>
        <v>43427430.4</v>
      </c>
      <c r="K5998" t="str">
        <f t="shared" si="375"/>
        <v>MATCHED</v>
      </c>
    </row>
    <row r="5999" spans="1:11">
      <c r="A5999" t="s">
        <v>126</v>
      </c>
      <c r="B5999" t="s">
        <v>1770</v>
      </c>
      <c r="C5999" t="s">
        <v>389</v>
      </c>
      <c r="D5999" t="s">
        <v>390</v>
      </c>
      <c r="E5999" s="8">
        <v>5000</v>
      </c>
      <c r="F5999" s="8">
        <v>64170</v>
      </c>
      <c r="G5999" s="8">
        <f t="shared" si="372"/>
        <v>320850000</v>
      </c>
      <c r="H5999" s="5">
        <v>0.7794</v>
      </c>
      <c r="I5999" s="8">
        <f t="shared" si="373"/>
        <v>320850000</v>
      </c>
      <c r="J5999" s="8">
        <f t="shared" si="374"/>
        <v>250070490</v>
      </c>
      <c r="K5999" t="str">
        <f t="shared" si="375"/>
        <v>MATCHED</v>
      </c>
    </row>
    <row r="6000" spans="1:11">
      <c r="A6000" t="s">
        <v>126</v>
      </c>
      <c r="B6000" t="s">
        <v>1770</v>
      </c>
      <c r="C6000" t="s">
        <v>391</v>
      </c>
      <c r="D6000" t="s">
        <v>392</v>
      </c>
      <c r="E6000" s="8">
        <v>1570</v>
      </c>
      <c r="F6000" s="8">
        <v>48720</v>
      </c>
      <c r="G6000" s="8">
        <f t="shared" si="372"/>
        <v>76490400</v>
      </c>
      <c r="H6000" s="5">
        <v>0.6455</v>
      </c>
      <c r="I6000" s="8">
        <f t="shared" si="373"/>
        <v>76490400</v>
      </c>
      <c r="J6000" s="8">
        <f t="shared" si="374"/>
        <v>49374553.2</v>
      </c>
      <c r="K6000" t="str">
        <f t="shared" si="375"/>
        <v>MATCHED</v>
      </c>
    </row>
    <row r="6001" spans="1:11">
      <c r="A6001" t="s">
        <v>126</v>
      </c>
      <c r="B6001" t="s">
        <v>1770</v>
      </c>
      <c r="C6001" t="s">
        <v>393</v>
      </c>
      <c r="D6001" t="s">
        <v>394</v>
      </c>
      <c r="E6001" s="8">
        <v>50</v>
      </c>
      <c r="F6001" s="8">
        <v>55840</v>
      </c>
      <c r="G6001" s="8">
        <f t="shared" si="372"/>
        <v>2792000</v>
      </c>
      <c r="H6001" s="5">
        <v>0.2932</v>
      </c>
      <c r="I6001" s="8">
        <f t="shared" si="373"/>
        <v>2792000</v>
      </c>
      <c r="J6001" s="8">
        <f t="shared" si="374"/>
        <v>818614.4</v>
      </c>
      <c r="K6001" t="str">
        <f t="shared" si="375"/>
        <v>MATCHED</v>
      </c>
    </row>
    <row r="6002" spans="1:11">
      <c r="A6002" t="s">
        <v>126</v>
      </c>
      <c r="B6002" t="s">
        <v>1770</v>
      </c>
      <c r="C6002" t="s">
        <v>395</v>
      </c>
      <c r="D6002" t="s">
        <v>396</v>
      </c>
      <c r="E6002" s="8">
        <v>23600</v>
      </c>
      <c r="F6002" s="8">
        <v>72040</v>
      </c>
      <c r="G6002" s="8">
        <f t="shared" si="372"/>
        <v>1700144000</v>
      </c>
      <c r="H6002" s="5">
        <v>0.7955</v>
      </c>
      <c r="I6002" s="8">
        <f t="shared" si="373"/>
        <v>1700144000</v>
      </c>
      <c r="J6002" s="8">
        <f t="shared" si="374"/>
        <v>1352464552</v>
      </c>
      <c r="K6002" t="str">
        <f t="shared" si="375"/>
        <v>MATCHED</v>
      </c>
    </row>
    <row r="6003" spans="1:11">
      <c r="A6003" t="s">
        <v>126</v>
      </c>
      <c r="B6003" t="s">
        <v>1770</v>
      </c>
      <c r="C6003" t="s">
        <v>890</v>
      </c>
      <c r="D6003" t="s">
        <v>891</v>
      </c>
      <c r="E6003" s="8">
        <v>110</v>
      </c>
      <c r="F6003" s="8">
        <v>64410</v>
      </c>
      <c r="G6003" s="8">
        <f t="shared" si="372"/>
        <v>7085100</v>
      </c>
      <c r="H6003" s="5">
        <v>0.8679</v>
      </c>
      <c r="I6003" s="8">
        <f t="shared" si="373"/>
        <v>7085100</v>
      </c>
      <c r="J6003" s="8">
        <f t="shared" si="374"/>
        <v>6149158.29</v>
      </c>
      <c r="K6003" t="str">
        <f t="shared" si="375"/>
        <v>MATCHED</v>
      </c>
    </row>
    <row r="6004" spans="1:11">
      <c r="A6004" t="s">
        <v>126</v>
      </c>
      <c r="B6004" t="s">
        <v>1770</v>
      </c>
      <c r="C6004" t="s">
        <v>1290</v>
      </c>
      <c r="D6004" t="s">
        <v>1291</v>
      </c>
      <c r="E6004" s="8">
        <v>5930</v>
      </c>
      <c r="F6004" s="8">
        <v>54420</v>
      </c>
      <c r="G6004" s="8">
        <f t="shared" si="372"/>
        <v>322710600</v>
      </c>
      <c r="H6004" s="5">
        <v>0.9031</v>
      </c>
      <c r="I6004" s="8">
        <f t="shared" si="373"/>
        <v>322710600</v>
      </c>
      <c r="J6004" s="8">
        <f t="shared" si="374"/>
        <v>291439942.86</v>
      </c>
      <c r="K6004" t="str">
        <f t="shared" si="375"/>
        <v>MATCHED</v>
      </c>
    </row>
    <row r="6005" spans="1:11">
      <c r="A6005" t="s">
        <v>126</v>
      </c>
      <c r="B6005" t="s">
        <v>1770</v>
      </c>
      <c r="C6005" t="s">
        <v>397</v>
      </c>
      <c r="D6005" t="s">
        <v>398</v>
      </c>
      <c r="E6005" s="8">
        <v>80610</v>
      </c>
      <c r="F6005" s="8">
        <v>49010</v>
      </c>
      <c r="G6005" s="8">
        <f t="shared" si="372"/>
        <v>3950696100</v>
      </c>
      <c r="H6005" s="5">
        <v>0.8031</v>
      </c>
      <c r="I6005" s="8">
        <f t="shared" si="373"/>
        <v>3950696100</v>
      </c>
      <c r="J6005" s="8">
        <f t="shared" si="374"/>
        <v>3172804037.91</v>
      </c>
      <c r="K6005" t="str">
        <f t="shared" si="375"/>
        <v>MATCHED</v>
      </c>
    </row>
    <row r="6006" spans="1:11">
      <c r="A6006" t="s">
        <v>126</v>
      </c>
      <c r="B6006" t="s">
        <v>1770</v>
      </c>
      <c r="C6006" t="s">
        <v>399</v>
      </c>
      <c r="D6006" t="s">
        <v>400</v>
      </c>
      <c r="E6006" s="8">
        <v>1670</v>
      </c>
      <c r="F6006" s="8">
        <v>42420</v>
      </c>
      <c r="G6006" s="8">
        <f t="shared" si="372"/>
        <v>70841400</v>
      </c>
      <c r="H6006" s="5">
        <v>0.75</v>
      </c>
      <c r="I6006" s="8">
        <f t="shared" si="373"/>
        <v>70841400</v>
      </c>
      <c r="J6006" s="8">
        <f t="shared" si="374"/>
        <v>53131050</v>
      </c>
      <c r="K6006" t="str">
        <f t="shared" si="375"/>
        <v>MATCHED</v>
      </c>
    </row>
    <row r="6007" spans="1:11">
      <c r="A6007" t="s">
        <v>126</v>
      </c>
      <c r="B6007" t="s">
        <v>1770</v>
      </c>
      <c r="C6007" t="s">
        <v>1455</v>
      </c>
      <c r="D6007" t="s">
        <v>1456</v>
      </c>
      <c r="E6007" s="8">
        <v>50</v>
      </c>
      <c r="F6007" s="8">
        <v>43750</v>
      </c>
      <c r="G6007" s="8">
        <f t="shared" si="372"/>
        <v>2187500</v>
      </c>
      <c r="H6007" s="5">
        <v>0.835</v>
      </c>
      <c r="I6007" s="8">
        <f t="shared" si="373"/>
        <v>2187500</v>
      </c>
      <c r="J6007" s="8">
        <f t="shared" si="374"/>
        <v>1826562.5</v>
      </c>
      <c r="K6007" t="str">
        <f t="shared" si="375"/>
        <v>MATCHED</v>
      </c>
    </row>
    <row r="6008" spans="1:11">
      <c r="A6008" t="s">
        <v>126</v>
      </c>
      <c r="B6008" t="s">
        <v>1770</v>
      </c>
      <c r="C6008" t="s">
        <v>1292</v>
      </c>
      <c r="D6008" t="s">
        <v>1293</v>
      </c>
      <c r="E6008" s="8">
        <v>150</v>
      </c>
      <c r="F6008" s="8">
        <v>56130</v>
      </c>
      <c r="G6008" s="8">
        <f t="shared" si="372"/>
        <v>8419500</v>
      </c>
      <c r="H6008" s="5">
        <v>0.9417</v>
      </c>
      <c r="I6008" s="8">
        <f t="shared" si="373"/>
        <v>8419500</v>
      </c>
      <c r="J6008" s="8">
        <f t="shared" si="374"/>
        <v>7928643.15</v>
      </c>
      <c r="K6008" t="str">
        <f t="shared" si="375"/>
        <v>MATCHED</v>
      </c>
    </row>
    <row r="6009" spans="1:11">
      <c r="A6009" t="s">
        <v>126</v>
      </c>
      <c r="B6009" t="s">
        <v>1770</v>
      </c>
      <c r="C6009" t="s">
        <v>1020</v>
      </c>
      <c r="D6009" t="s">
        <v>1021</v>
      </c>
      <c r="E6009" s="8">
        <v>310</v>
      </c>
      <c r="F6009" s="8">
        <v>55780</v>
      </c>
      <c r="G6009" s="8">
        <f t="shared" si="372"/>
        <v>17291800</v>
      </c>
      <c r="H6009" s="5">
        <v>0.9519</v>
      </c>
      <c r="I6009" s="8">
        <f t="shared" si="373"/>
        <v>17291800</v>
      </c>
      <c r="J6009" s="8">
        <f t="shared" si="374"/>
        <v>16460064.42</v>
      </c>
      <c r="K6009" t="str">
        <f t="shared" si="375"/>
        <v>MATCHED</v>
      </c>
    </row>
    <row r="6010" spans="1:11">
      <c r="A6010" t="s">
        <v>126</v>
      </c>
      <c r="B6010" t="s">
        <v>1770</v>
      </c>
      <c r="C6010" t="s">
        <v>892</v>
      </c>
      <c r="D6010" t="s">
        <v>893</v>
      </c>
      <c r="E6010" s="8">
        <v>2000</v>
      </c>
      <c r="F6010" s="8">
        <v>41290</v>
      </c>
      <c r="G6010" s="8">
        <f t="shared" si="372"/>
        <v>82580000</v>
      </c>
      <c r="H6010" s="5">
        <v>0.231</v>
      </c>
      <c r="I6010" s="8">
        <f t="shared" si="373"/>
        <v>82580000</v>
      </c>
      <c r="J6010" s="8">
        <f t="shared" si="374"/>
        <v>19075980</v>
      </c>
      <c r="K6010" t="str">
        <f t="shared" si="375"/>
        <v>MATCHED</v>
      </c>
    </row>
    <row r="6011" spans="1:11">
      <c r="A6011" t="s">
        <v>126</v>
      </c>
      <c r="B6011" t="s">
        <v>1770</v>
      </c>
      <c r="C6011" t="s">
        <v>401</v>
      </c>
      <c r="D6011" t="s">
        <v>402</v>
      </c>
      <c r="E6011" s="8">
        <v>83550</v>
      </c>
      <c r="F6011" s="8">
        <v>41550</v>
      </c>
      <c r="G6011" s="8">
        <f t="shared" si="372"/>
        <v>3471502500</v>
      </c>
      <c r="H6011" s="5">
        <v>0.7452</v>
      </c>
      <c r="I6011" s="8">
        <f t="shared" si="373"/>
        <v>3471502500</v>
      </c>
      <c r="J6011" s="8">
        <f t="shared" si="374"/>
        <v>2586963663</v>
      </c>
      <c r="K6011" t="str">
        <f t="shared" si="375"/>
        <v>MATCHED</v>
      </c>
    </row>
    <row r="6012" spans="1:11">
      <c r="A6012" t="s">
        <v>126</v>
      </c>
      <c r="B6012" t="s">
        <v>1770</v>
      </c>
      <c r="C6012" t="s">
        <v>660</v>
      </c>
      <c r="D6012" t="s">
        <v>661</v>
      </c>
      <c r="E6012" s="8">
        <v>450</v>
      </c>
      <c r="F6012" s="8">
        <v>45540</v>
      </c>
      <c r="G6012" s="8">
        <f t="shared" si="372"/>
        <v>20493000</v>
      </c>
      <c r="H6012" s="5">
        <v>0.2639</v>
      </c>
      <c r="I6012" s="8">
        <f t="shared" si="373"/>
        <v>20493000</v>
      </c>
      <c r="J6012" s="8">
        <f t="shared" si="374"/>
        <v>5408102.7</v>
      </c>
      <c r="K6012" t="str">
        <f t="shared" si="375"/>
        <v>MATCHED</v>
      </c>
    </row>
    <row r="6013" spans="1:11">
      <c r="A6013" t="s">
        <v>126</v>
      </c>
      <c r="B6013" t="s">
        <v>1770</v>
      </c>
      <c r="C6013" t="s">
        <v>1294</v>
      </c>
      <c r="D6013" t="s">
        <v>1295</v>
      </c>
      <c r="E6013" s="8">
        <v>190</v>
      </c>
      <c r="F6013" s="8">
        <v>48550</v>
      </c>
      <c r="G6013" s="8">
        <f t="shared" si="372"/>
        <v>9224500</v>
      </c>
      <c r="H6013" s="5">
        <v>0.9273</v>
      </c>
      <c r="I6013" s="8">
        <f t="shared" si="373"/>
        <v>9224500</v>
      </c>
      <c r="J6013" s="8">
        <f t="shared" si="374"/>
        <v>8553878.85</v>
      </c>
      <c r="K6013" t="str">
        <f t="shared" si="375"/>
        <v>MATCHED</v>
      </c>
    </row>
    <row r="6014" spans="1:11">
      <c r="A6014" t="s">
        <v>126</v>
      </c>
      <c r="B6014" t="s">
        <v>1770</v>
      </c>
      <c r="C6014" t="s">
        <v>1545</v>
      </c>
      <c r="D6014" t="s">
        <v>1546</v>
      </c>
      <c r="E6014" s="8">
        <v>490</v>
      </c>
      <c r="F6014" s="8">
        <v>52040</v>
      </c>
      <c r="G6014" s="8">
        <f t="shared" si="372"/>
        <v>25499600</v>
      </c>
      <c r="H6014" s="5">
        <v>0.8679</v>
      </c>
      <c r="I6014" s="8">
        <f t="shared" si="373"/>
        <v>25499600</v>
      </c>
      <c r="J6014" s="8">
        <f t="shared" si="374"/>
        <v>22131102.84</v>
      </c>
      <c r="K6014" t="str">
        <f t="shared" si="375"/>
        <v>MATCHED</v>
      </c>
    </row>
    <row r="6015" spans="1:11">
      <c r="A6015" t="s">
        <v>126</v>
      </c>
      <c r="B6015" t="s">
        <v>1770</v>
      </c>
      <c r="C6015" t="s">
        <v>662</v>
      </c>
      <c r="D6015" t="s">
        <v>663</v>
      </c>
      <c r="E6015" s="8">
        <v>6620</v>
      </c>
      <c r="F6015" s="8">
        <v>47430</v>
      </c>
      <c r="G6015" s="8">
        <f t="shared" si="372"/>
        <v>313986600</v>
      </c>
      <c r="H6015" s="5"/>
      <c r="I6015" s="8" t="str">
        <f t="shared" si="373"/>
        <v/>
      </c>
      <c r="J6015" s="8" t="str">
        <f t="shared" si="374"/>
        <v/>
      </c>
      <c r="K6015" t="str">
        <f t="shared" si="375"/>
        <v>MISSING WHARTON</v>
      </c>
    </row>
    <row r="6016" spans="1:11">
      <c r="A6016" t="s">
        <v>126</v>
      </c>
      <c r="B6016" t="s">
        <v>1770</v>
      </c>
      <c r="C6016" t="s">
        <v>403</v>
      </c>
      <c r="D6016" t="s">
        <v>404</v>
      </c>
      <c r="E6016" s="8">
        <v>200</v>
      </c>
      <c r="F6016" s="8">
        <v>49400</v>
      </c>
      <c r="G6016" s="8">
        <f t="shared" si="372"/>
        <v>9880000</v>
      </c>
      <c r="H6016" s="5">
        <v>0.22</v>
      </c>
      <c r="I6016" s="8">
        <f t="shared" si="373"/>
        <v>9880000</v>
      </c>
      <c r="J6016" s="8">
        <f t="shared" si="374"/>
        <v>2173600</v>
      </c>
      <c r="K6016" t="str">
        <f t="shared" si="375"/>
        <v>MATCHED</v>
      </c>
    </row>
    <row r="6017" spans="1:11">
      <c r="A6017" t="s">
        <v>126</v>
      </c>
      <c r="B6017" t="s">
        <v>1770</v>
      </c>
      <c r="C6017" t="s">
        <v>413</v>
      </c>
      <c r="D6017" t="s">
        <v>414</v>
      </c>
      <c r="E6017" s="8">
        <v>400</v>
      </c>
      <c r="F6017" s="8">
        <v>33990</v>
      </c>
      <c r="G6017" s="8">
        <f t="shared" si="372"/>
        <v>13596000</v>
      </c>
      <c r="H6017" s="5">
        <v>0.0633</v>
      </c>
      <c r="I6017" s="8">
        <f t="shared" si="373"/>
        <v>13596000</v>
      </c>
      <c r="J6017" s="8">
        <f t="shared" si="374"/>
        <v>860626.8</v>
      </c>
      <c r="K6017" t="str">
        <f t="shared" si="375"/>
        <v>MATCHED</v>
      </c>
    </row>
    <row r="6018" spans="1:11">
      <c r="A6018" t="s">
        <v>126</v>
      </c>
      <c r="B6018" t="s">
        <v>1770</v>
      </c>
      <c r="C6018" t="s">
        <v>415</v>
      </c>
      <c r="D6018" t="s">
        <v>416</v>
      </c>
      <c r="E6018" s="8">
        <v>340</v>
      </c>
      <c r="F6018" s="8">
        <v>39790</v>
      </c>
      <c r="G6018" s="8">
        <f t="shared" ref="G6018:G6081" si="376">IF(OR(E6018="",F6018=""),"",E6018*F6018)</f>
        <v>13528600</v>
      </c>
      <c r="H6018" s="5">
        <v>0.0864</v>
      </c>
      <c r="I6018" s="8">
        <f t="shared" ref="I6018:I6081" si="377">IF(G6018="","",IF(ISNUMBER(H6018),G6018,""))</f>
        <v>13528600</v>
      </c>
      <c r="J6018" s="8">
        <f t="shared" ref="J6018:J6081" si="378">IF(I6018="","",I6018*H6018)</f>
        <v>1168871.04</v>
      </c>
      <c r="K6018" t="str">
        <f t="shared" ref="K6018:K6081" si="379">IF(G6018="","MISSING OEWS",IF(ISNUMBER(H6018),"MATCHED","MISSING WHARTON"))</f>
        <v>MATCHED</v>
      </c>
    </row>
    <row r="6019" spans="1:11">
      <c r="A6019" t="s">
        <v>126</v>
      </c>
      <c r="B6019" t="s">
        <v>1770</v>
      </c>
      <c r="C6019" t="s">
        <v>664</v>
      </c>
      <c r="D6019" t="s">
        <v>665</v>
      </c>
      <c r="E6019" s="8">
        <v>590</v>
      </c>
      <c r="F6019" s="8">
        <v>93910</v>
      </c>
      <c r="G6019" s="8">
        <f t="shared" si="376"/>
        <v>55406900</v>
      </c>
      <c r="H6019" s="5">
        <v>0.265</v>
      </c>
      <c r="I6019" s="8">
        <f t="shared" si="377"/>
        <v>55406900</v>
      </c>
      <c r="J6019" s="8">
        <f t="shared" si="378"/>
        <v>14682828.5</v>
      </c>
      <c r="K6019" t="str">
        <f t="shared" si="379"/>
        <v>MATCHED</v>
      </c>
    </row>
    <row r="6020" spans="1:11">
      <c r="A6020" t="s">
        <v>126</v>
      </c>
      <c r="B6020" t="s">
        <v>1770</v>
      </c>
      <c r="C6020" t="s">
        <v>427</v>
      </c>
      <c r="D6020" t="s">
        <v>428</v>
      </c>
      <c r="E6020" s="8">
        <v>1460</v>
      </c>
      <c r="F6020" s="8">
        <v>65320</v>
      </c>
      <c r="G6020" s="8">
        <f t="shared" si="376"/>
        <v>95367200</v>
      </c>
      <c r="H6020" s="5">
        <v>0.081</v>
      </c>
      <c r="I6020" s="8">
        <f t="shared" si="377"/>
        <v>95367200</v>
      </c>
      <c r="J6020" s="8">
        <f t="shared" si="378"/>
        <v>7724743.2</v>
      </c>
      <c r="K6020" t="str">
        <f t="shared" si="379"/>
        <v>MATCHED</v>
      </c>
    </row>
    <row r="6021" spans="1:11">
      <c r="A6021" t="s">
        <v>126</v>
      </c>
      <c r="B6021" t="s">
        <v>1770</v>
      </c>
      <c r="C6021" t="s">
        <v>668</v>
      </c>
      <c r="D6021" t="s">
        <v>669</v>
      </c>
      <c r="E6021" s="8">
        <v>50</v>
      </c>
      <c r="F6021" s="8">
        <v>67510</v>
      </c>
      <c r="G6021" s="8">
        <f t="shared" si="376"/>
        <v>3375500</v>
      </c>
      <c r="H6021" s="5">
        <v>0</v>
      </c>
      <c r="I6021" s="8">
        <f t="shared" si="377"/>
        <v>3375500</v>
      </c>
      <c r="J6021" s="8">
        <f t="shared" si="378"/>
        <v>0</v>
      </c>
      <c r="K6021" t="str">
        <f t="shared" si="379"/>
        <v>MATCHED</v>
      </c>
    </row>
    <row r="6022" spans="1:11">
      <c r="A6022" t="s">
        <v>126</v>
      </c>
      <c r="B6022" t="s">
        <v>1770</v>
      </c>
      <c r="C6022" t="s">
        <v>670</v>
      </c>
      <c r="D6022" t="s">
        <v>671</v>
      </c>
      <c r="E6022" s="8">
        <v>180</v>
      </c>
      <c r="F6022" s="8">
        <v>52730</v>
      </c>
      <c r="G6022" s="8">
        <f t="shared" si="376"/>
        <v>9491400</v>
      </c>
      <c r="H6022" s="5">
        <v>0.0297</v>
      </c>
      <c r="I6022" s="8">
        <f t="shared" si="377"/>
        <v>9491400</v>
      </c>
      <c r="J6022" s="8">
        <f t="shared" si="378"/>
        <v>281894.58</v>
      </c>
      <c r="K6022" t="str">
        <f t="shared" si="379"/>
        <v>MATCHED</v>
      </c>
    </row>
    <row r="6023" spans="1:11">
      <c r="A6023" t="s">
        <v>126</v>
      </c>
      <c r="B6023" t="s">
        <v>1770</v>
      </c>
      <c r="C6023" t="s">
        <v>429</v>
      </c>
      <c r="D6023" t="s">
        <v>430</v>
      </c>
      <c r="E6023" s="8">
        <v>60</v>
      </c>
      <c r="F6023" s="8">
        <v>65270</v>
      </c>
      <c r="G6023" s="8">
        <f t="shared" si="376"/>
        <v>3916200</v>
      </c>
      <c r="H6023" s="5">
        <v>0.0589</v>
      </c>
      <c r="I6023" s="8">
        <f t="shared" si="377"/>
        <v>3916200</v>
      </c>
      <c r="J6023" s="8">
        <f t="shared" si="378"/>
        <v>230664.18</v>
      </c>
      <c r="K6023" t="str">
        <f t="shared" si="379"/>
        <v>MATCHED</v>
      </c>
    </row>
    <row r="6024" spans="1:11">
      <c r="A6024" t="s">
        <v>126</v>
      </c>
      <c r="B6024" t="s">
        <v>1770</v>
      </c>
      <c r="C6024" t="s">
        <v>431</v>
      </c>
      <c r="D6024" t="s">
        <v>432</v>
      </c>
      <c r="E6024" s="8">
        <v>1770</v>
      </c>
      <c r="F6024" s="8">
        <v>75620</v>
      </c>
      <c r="G6024" s="8">
        <f t="shared" si="376"/>
        <v>133847400</v>
      </c>
      <c r="H6024" s="5">
        <v>0.0786</v>
      </c>
      <c r="I6024" s="8">
        <f t="shared" si="377"/>
        <v>133847400</v>
      </c>
      <c r="J6024" s="8">
        <f t="shared" si="378"/>
        <v>10520405.64</v>
      </c>
      <c r="K6024" t="str">
        <f t="shared" si="379"/>
        <v>MATCHED</v>
      </c>
    </row>
    <row r="6025" spans="1:11">
      <c r="A6025" t="s">
        <v>126</v>
      </c>
      <c r="B6025" t="s">
        <v>1770</v>
      </c>
      <c r="C6025" t="s">
        <v>678</v>
      </c>
      <c r="D6025" t="s">
        <v>679</v>
      </c>
      <c r="E6025" s="8">
        <v>820</v>
      </c>
      <c r="F6025" s="8">
        <v>63540</v>
      </c>
      <c r="G6025" s="8">
        <f t="shared" si="376"/>
        <v>52102800</v>
      </c>
      <c r="H6025" s="5">
        <v>0.0368</v>
      </c>
      <c r="I6025" s="8">
        <f t="shared" si="377"/>
        <v>52102800</v>
      </c>
      <c r="J6025" s="8">
        <f t="shared" si="378"/>
        <v>1917383.04</v>
      </c>
      <c r="K6025" t="str">
        <f t="shared" si="379"/>
        <v>MATCHED</v>
      </c>
    </row>
    <row r="6026" spans="1:11">
      <c r="A6026" t="s">
        <v>126</v>
      </c>
      <c r="B6026" t="s">
        <v>1770</v>
      </c>
      <c r="C6026" t="s">
        <v>682</v>
      </c>
      <c r="D6026" t="s">
        <v>683</v>
      </c>
      <c r="E6026" s="8">
        <v>1300</v>
      </c>
      <c r="F6026" s="8">
        <v>73110</v>
      </c>
      <c r="G6026" s="8">
        <f t="shared" si="376"/>
        <v>95043000</v>
      </c>
      <c r="H6026" s="5">
        <v>0.04</v>
      </c>
      <c r="I6026" s="8">
        <f t="shared" si="377"/>
        <v>95043000</v>
      </c>
      <c r="J6026" s="8">
        <f t="shared" si="378"/>
        <v>3801720</v>
      </c>
      <c r="K6026" t="str">
        <f t="shared" si="379"/>
        <v>MATCHED</v>
      </c>
    </row>
    <row r="6027" spans="1:11">
      <c r="A6027" t="s">
        <v>126</v>
      </c>
      <c r="B6027" t="s">
        <v>1770</v>
      </c>
      <c r="C6027" t="s">
        <v>684</v>
      </c>
      <c r="D6027" t="s">
        <v>685</v>
      </c>
      <c r="E6027" s="8">
        <v>30</v>
      </c>
      <c r="F6027" s="8">
        <v>67010</v>
      </c>
      <c r="G6027" s="8">
        <f t="shared" si="376"/>
        <v>2010300</v>
      </c>
      <c r="H6027" s="5">
        <v>0.0687</v>
      </c>
      <c r="I6027" s="8">
        <f t="shared" si="377"/>
        <v>2010300</v>
      </c>
      <c r="J6027" s="8">
        <f t="shared" si="378"/>
        <v>138107.61</v>
      </c>
      <c r="K6027" t="str">
        <f t="shared" si="379"/>
        <v>MATCHED</v>
      </c>
    </row>
    <row r="6028" spans="1:11">
      <c r="A6028" t="s">
        <v>126</v>
      </c>
      <c r="B6028" t="s">
        <v>1770</v>
      </c>
      <c r="C6028" t="s">
        <v>692</v>
      </c>
      <c r="D6028" t="s">
        <v>693</v>
      </c>
      <c r="E6028" s="8">
        <v>70</v>
      </c>
      <c r="F6028" s="8">
        <v>39730</v>
      </c>
      <c r="G6028" s="8">
        <f t="shared" si="376"/>
        <v>2781100</v>
      </c>
      <c r="H6028" s="5"/>
      <c r="I6028" s="8" t="str">
        <f t="shared" si="377"/>
        <v/>
      </c>
      <c r="J6028" s="8" t="str">
        <f t="shared" si="378"/>
        <v/>
      </c>
      <c r="K6028" t="str">
        <f t="shared" si="379"/>
        <v>MISSING WHARTON</v>
      </c>
    </row>
    <row r="6029" spans="1:11">
      <c r="A6029" t="s">
        <v>126</v>
      </c>
      <c r="B6029" t="s">
        <v>1770</v>
      </c>
      <c r="C6029" t="s">
        <v>694</v>
      </c>
      <c r="D6029" t="s">
        <v>695</v>
      </c>
      <c r="E6029" s="8">
        <v>40</v>
      </c>
      <c r="F6029" s="8">
        <v>99960</v>
      </c>
      <c r="G6029" s="8">
        <f t="shared" si="376"/>
        <v>3998400</v>
      </c>
      <c r="H6029" s="5">
        <v>0.3737</v>
      </c>
      <c r="I6029" s="8">
        <f t="shared" si="377"/>
        <v>3998400</v>
      </c>
      <c r="J6029" s="8">
        <f t="shared" si="378"/>
        <v>1494202.08</v>
      </c>
      <c r="K6029" t="str">
        <f t="shared" si="379"/>
        <v>MATCHED</v>
      </c>
    </row>
    <row r="6030" spans="1:11">
      <c r="A6030" t="s">
        <v>126</v>
      </c>
      <c r="B6030" t="s">
        <v>1770</v>
      </c>
      <c r="C6030" t="s">
        <v>698</v>
      </c>
      <c r="D6030" t="s">
        <v>699</v>
      </c>
      <c r="E6030" s="8">
        <v>30</v>
      </c>
      <c r="F6030" s="8">
        <v>58480</v>
      </c>
      <c r="G6030" s="8">
        <f t="shared" si="376"/>
        <v>1754400</v>
      </c>
      <c r="H6030" s="5">
        <v>0.0452</v>
      </c>
      <c r="I6030" s="8">
        <f t="shared" si="377"/>
        <v>1754400</v>
      </c>
      <c r="J6030" s="8">
        <f t="shared" si="378"/>
        <v>79298.88</v>
      </c>
      <c r="K6030" t="str">
        <f t="shared" si="379"/>
        <v>MATCHED</v>
      </c>
    </row>
    <row r="6031" spans="1:11">
      <c r="A6031" t="s">
        <v>126</v>
      </c>
      <c r="B6031" t="s">
        <v>1770</v>
      </c>
      <c r="C6031" t="s">
        <v>433</v>
      </c>
      <c r="D6031" t="s">
        <v>434</v>
      </c>
      <c r="E6031" s="8">
        <v>4300</v>
      </c>
      <c r="F6031" s="8">
        <v>80380</v>
      </c>
      <c r="G6031" s="8">
        <f t="shared" si="376"/>
        <v>345634000</v>
      </c>
      <c r="H6031" s="5">
        <v>0.3523</v>
      </c>
      <c r="I6031" s="8">
        <f t="shared" si="377"/>
        <v>345634000</v>
      </c>
      <c r="J6031" s="8">
        <f t="shared" si="378"/>
        <v>121766858.2</v>
      </c>
      <c r="K6031" t="str">
        <f t="shared" si="379"/>
        <v>MATCHED</v>
      </c>
    </row>
    <row r="6032" spans="1:11">
      <c r="A6032" t="s">
        <v>126</v>
      </c>
      <c r="B6032" t="s">
        <v>1770</v>
      </c>
      <c r="C6032" t="s">
        <v>1064</v>
      </c>
      <c r="D6032" t="s">
        <v>1065</v>
      </c>
      <c r="E6032" s="8">
        <v>100</v>
      </c>
      <c r="F6032" s="8">
        <v>48170</v>
      </c>
      <c r="G6032" s="8">
        <f t="shared" si="376"/>
        <v>4817000</v>
      </c>
      <c r="H6032" s="5">
        <v>0.284</v>
      </c>
      <c r="I6032" s="8">
        <f t="shared" si="377"/>
        <v>4817000</v>
      </c>
      <c r="J6032" s="8">
        <f t="shared" si="378"/>
        <v>1368028</v>
      </c>
      <c r="K6032" t="str">
        <f t="shared" si="379"/>
        <v>MATCHED</v>
      </c>
    </row>
    <row r="6033" spans="1:11">
      <c r="A6033" t="s">
        <v>126</v>
      </c>
      <c r="B6033" t="s">
        <v>1770</v>
      </c>
      <c r="C6033" t="s">
        <v>900</v>
      </c>
      <c r="D6033" t="s">
        <v>901</v>
      </c>
      <c r="E6033" s="8">
        <v>110</v>
      </c>
      <c r="F6033" s="8">
        <v>70210</v>
      </c>
      <c r="G6033" s="8">
        <f t="shared" si="376"/>
        <v>7723100</v>
      </c>
      <c r="H6033" s="5">
        <v>0.195</v>
      </c>
      <c r="I6033" s="8">
        <f t="shared" si="377"/>
        <v>7723100</v>
      </c>
      <c r="J6033" s="8">
        <f t="shared" si="378"/>
        <v>1506004.5</v>
      </c>
      <c r="K6033" t="str">
        <f t="shared" si="379"/>
        <v>MATCHED</v>
      </c>
    </row>
    <row r="6034" spans="1:11">
      <c r="A6034" t="s">
        <v>126</v>
      </c>
      <c r="B6034" t="s">
        <v>1770</v>
      </c>
      <c r="C6034" t="s">
        <v>1296</v>
      </c>
      <c r="D6034" t="s">
        <v>1297</v>
      </c>
      <c r="E6034" s="8">
        <v>170</v>
      </c>
      <c r="F6034" s="8">
        <v>72930</v>
      </c>
      <c r="G6034" s="8">
        <f t="shared" si="376"/>
        <v>12398100</v>
      </c>
      <c r="H6034" s="5">
        <v>0.2</v>
      </c>
      <c r="I6034" s="8">
        <f t="shared" si="377"/>
        <v>12398100</v>
      </c>
      <c r="J6034" s="8">
        <f t="shared" si="378"/>
        <v>2479620</v>
      </c>
      <c r="K6034" t="str">
        <f t="shared" si="379"/>
        <v>MATCHED</v>
      </c>
    </row>
    <row r="6035" spans="1:11">
      <c r="A6035" t="s">
        <v>126</v>
      </c>
      <c r="B6035" t="s">
        <v>1770</v>
      </c>
      <c r="C6035" t="s">
        <v>734</v>
      </c>
      <c r="D6035" t="s">
        <v>735</v>
      </c>
      <c r="E6035" s="8">
        <v>380</v>
      </c>
      <c r="F6035" s="8">
        <v>91980</v>
      </c>
      <c r="G6035" s="8">
        <f t="shared" si="376"/>
        <v>34952400</v>
      </c>
      <c r="H6035" s="5">
        <v>0.19</v>
      </c>
      <c r="I6035" s="8">
        <f t="shared" si="377"/>
        <v>34952400</v>
      </c>
      <c r="J6035" s="8">
        <f t="shared" si="378"/>
        <v>6640956</v>
      </c>
      <c r="K6035" t="str">
        <f t="shared" si="379"/>
        <v>MATCHED</v>
      </c>
    </row>
    <row r="6036" spans="1:11">
      <c r="A6036" t="s">
        <v>126</v>
      </c>
      <c r="B6036" t="s">
        <v>1770</v>
      </c>
      <c r="C6036" t="s">
        <v>1068</v>
      </c>
      <c r="D6036" t="s">
        <v>1069</v>
      </c>
      <c r="E6036" s="8">
        <v>60</v>
      </c>
      <c r="F6036" s="8">
        <v>65260</v>
      </c>
      <c r="G6036" s="8">
        <f t="shared" si="376"/>
        <v>3915600</v>
      </c>
      <c r="H6036" s="5">
        <v>0.2219</v>
      </c>
      <c r="I6036" s="8">
        <f t="shared" si="377"/>
        <v>3915600</v>
      </c>
      <c r="J6036" s="8">
        <f t="shared" si="378"/>
        <v>868871.64</v>
      </c>
      <c r="K6036" t="str">
        <f t="shared" si="379"/>
        <v>MATCHED</v>
      </c>
    </row>
    <row r="6037" spans="1:11">
      <c r="A6037" t="s">
        <v>126</v>
      </c>
      <c r="B6037" t="s">
        <v>1770</v>
      </c>
      <c r="C6037" t="s">
        <v>435</v>
      </c>
      <c r="D6037" t="s">
        <v>436</v>
      </c>
      <c r="E6037" s="8">
        <v>2430</v>
      </c>
      <c r="F6037" s="8">
        <v>65360</v>
      </c>
      <c r="G6037" s="8">
        <f t="shared" si="376"/>
        <v>158824800</v>
      </c>
      <c r="H6037" s="5">
        <v>0.0434</v>
      </c>
      <c r="I6037" s="8">
        <f t="shared" si="377"/>
        <v>158824800</v>
      </c>
      <c r="J6037" s="8">
        <f t="shared" si="378"/>
        <v>6892996.32</v>
      </c>
      <c r="K6037" t="str">
        <f t="shared" si="379"/>
        <v>MATCHED</v>
      </c>
    </row>
    <row r="6038" spans="1:11">
      <c r="A6038" t="s">
        <v>126</v>
      </c>
      <c r="B6038" t="s">
        <v>1770</v>
      </c>
      <c r="C6038" t="s">
        <v>736</v>
      </c>
      <c r="D6038" t="s">
        <v>737</v>
      </c>
      <c r="E6038" s="8">
        <v>530</v>
      </c>
      <c r="F6038" s="8">
        <v>57380</v>
      </c>
      <c r="G6038" s="8">
        <f t="shared" si="376"/>
        <v>30411400</v>
      </c>
      <c r="H6038" s="5">
        <v>0.0233</v>
      </c>
      <c r="I6038" s="8">
        <f t="shared" si="377"/>
        <v>30411400</v>
      </c>
      <c r="J6038" s="8">
        <f t="shared" si="378"/>
        <v>708585.62</v>
      </c>
      <c r="K6038" t="str">
        <f t="shared" si="379"/>
        <v>MATCHED</v>
      </c>
    </row>
    <row r="6039" spans="1:11">
      <c r="A6039" t="s">
        <v>126</v>
      </c>
      <c r="B6039" t="s">
        <v>1770</v>
      </c>
      <c r="C6039" t="s">
        <v>437</v>
      </c>
      <c r="D6039" t="s">
        <v>438</v>
      </c>
      <c r="E6039" s="8">
        <v>430</v>
      </c>
      <c r="F6039" s="8">
        <v>57740</v>
      </c>
      <c r="G6039" s="8">
        <f t="shared" si="376"/>
        <v>24828200</v>
      </c>
      <c r="H6039" s="5">
        <v>0</v>
      </c>
      <c r="I6039" s="8">
        <f t="shared" si="377"/>
        <v>24828200</v>
      </c>
      <c r="J6039" s="8">
        <f t="shared" si="378"/>
        <v>0</v>
      </c>
      <c r="K6039" t="str">
        <f t="shared" si="379"/>
        <v>MATCHED</v>
      </c>
    </row>
    <row r="6040" spans="1:11">
      <c r="A6040" t="s">
        <v>126</v>
      </c>
      <c r="B6040" t="s">
        <v>1770</v>
      </c>
      <c r="C6040" t="s">
        <v>441</v>
      </c>
      <c r="D6040" t="s">
        <v>442</v>
      </c>
      <c r="E6040" s="8">
        <v>80</v>
      </c>
      <c r="F6040" s="8">
        <v>76160</v>
      </c>
      <c r="G6040" s="8">
        <f t="shared" si="376"/>
        <v>6092800</v>
      </c>
      <c r="H6040" s="5">
        <v>0.1425</v>
      </c>
      <c r="I6040" s="8">
        <f t="shared" si="377"/>
        <v>6092800</v>
      </c>
      <c r="J6040" s="8">
        <f t="shared" si="378"/>
        <v>868224</v>
      </c>
      <c r="K6040" t="str">
        <f t="shared" si="379"/>
        <v>MATCHED</v>
      </c>
    </row>
    <row r="6041" spans="1:11">
      <c r="A6041" t="s">
        <v>126</v>
      </c>
      <c r="B6041" t="s">
        <v>1770</v>
      </c>
      <c r="C6041" t="s">
        <v>1076</v>
      </c>
      <c r="D6041" t="s">
        <v>1077</v>
      </c>
      <c r="E6041" s="8">
        <v>80</v>
      </c>
      <c r="F6041" s="8">
        <v>70150</v>
      </c>
      <c r="G6041" s="8">
        <f t="shared" si="376"/>
        <v>5612000</v>
      </c>
      <c r="H6041" s="5">
        <v>0.1179</v>
      </c>
      <c r="I6041" s="8">
        <f t="shared" si="377"/>
        <v>5612000</v>
      </c>
      <c r="J6041" s="8">
        <f t="shared" si="378"/>
        <v>661654.8</v>
      </c>
      <c r="K6041" t="str">
        <f t="shared" si="379"/>
        <v>MATCHED</v>
      </c>
    </row>
    <row r="6042" spans="1:11">
      <c r="A6042" t="s">
        <v>126</v>
      </c>
      <c r="B6042" t="s">
        <v>1770</v>
      </c>
      <c r="C6042" t="s">
        <v>443</v>
      </c>
      <c r="D6042" t="s">
        <v>444</v>
      </c>
      <c r="E6042" s="8">
        <v>1940</v>
      </c>
      <c r="F6042" s="8">
        <v>69100</v>
      </c>
      <c r="G6042" s="8">
        <f t="shared" si="376"/>
        <v>134054000</v>
      </c>
      <c r="H6042" s="5">
        <v>0.0867</v>
      </c>
      <c r="I6042" s="8">
        <f t="shared" si="377"/>
        <v>134054000</v>
      </c>
      <c r="J6042" s="8">
        <f t="shared" si="378"/>
        <v>11622481.8</v>
      </c>
      <c r="K6042" t="str">
        <f t="shared" si="379"/>
        <v>MATCHED</v>
      </c>
    </row>
    <row r="6043" spans="1:11">
      <c r="A6043" t="s">
        <v>126</v>
      </c>
      <c r="B6043" t="s">
        <v>1770</v>
      </c>
      <c r="C6043" t="s">
        <v>445</v>
      </c>
      <c r="D6043" t="s">
        <v>446</v>
      </c>
      <c r="E6043" s="8">
        <v>180</v>
      </c>
      <c r="F6043" s="8">
        <v>73400</v>
      </c>
      <c r="G6043" s="8">
        <f t="shared" si="376"/>
        <v>13212000</v>
      </c>
      <c r="H6043" s="5">
        <v>0.25</v>
      </c>
      <c r="I6043" s="8">
        <f t="shared" si="377"/>
        <v>13212000</v>
      </c>
      <c r="J6043" s="8">
        <f t="shared" si="378"/>
        <v>3303000</v>
      </c>
      <c r="K6043" t="str">
        <f t="shared" si="379"/>
        <v>MATCHED</v>
      </c>
    </row>
    <row r="6044" spans="1:11">
      <c r="A6044" t="s">
        <v>126</v>
      </c>
      <c r="B6044" t="s">
        <v>1770</v>
      </c>
      <c r="C6044" t="s">
        <v>447</v>
      </c>
      <c r="D6044" t="s">
        <v>448</v>
      </c>
      <c r="E6044" s="8">
        <v>50</v>
      </c>
      <c r="F6044" s="8">
        <v>62550</v>
      </c>
      <c r="G6044" s="8">
        <f t="shared" si="376"/>
        <v>3127500</v>
      </c>
      <c r="H6044" s="5">
        <v>0.0528</v>
      </c>
      <c r="I6044" s="8">
        <f t="shared" si="377"/>
        <v>3127500</v>
      </c>
      <c r="J6044" s="8">
        <f t="shared" si="378"/>
        <v>165132</v>
      </c>
      <c r="K6044" t="str">
        <f t="shared" si="379"/>
        <v>MATCHED</v>
      </c>
    </row>
    <row r="6045" spans="1:11">
      <c r="A6045" t="s">
        <v>126</v>
      </c>
      <c r="B6045" t="s">
        <v>1770</v>
      </c>
      <c r="C6045" t="s">
        <v>1310</v>
      </c>
      <c r="D6045" t="s">
        <v>1311</v>
      </c>
      <c r="E6045" s="8">
        <v>40</v>
      </c>
      <c r="F6045" s="8">
        <v>69740</v>
      </c>
      <c r="G6045" s="8">
        <f t="shared" si="376"/>
        <v>2789600</v>
      </c>
      <c r="H6045" s="5">
        <v>0.2368</v>
      </c>
      <c r="I6045" s="8">
        <f t="shared" si="377"/>
        <v>2789600</v>
      </c>
      <c r="J6045" s="8">
        <f t="shared" si="378"/>
        <v>660577.28</v>
      </c>
      <c r="K6045" t="str">
        <f t="shared" si="379"/>
        <v>MATCHED</v>
      </c>
    </row>
    <row r="6046" spans="1:11">
      <c r="A6046" t="s">
        <v>126</v>
      </c>
      <c r="B6046" t="s">
        <v>1770</v>
      </c>
      <c r="C6046" t="s">
        <v>1312</v>
      </c>
      <c r="D6046" t="s">
        <v>1313</v>
      </c>
      <c r="E6046" s="8">
        <v>150</v>
      </c>
      <c r="F6046" s="8">
        <v>61580</v>
      </c>
      <c r="G6046" s="8">
        <f t="shared" si="376"/>
        <v>9237000</v>
      </c>
      <c r="H6046" s="5">
        <v>0</v>
      </c>
      <c r="I6046" s="8">
        <f t="shared" si="377"/>
        <v>9237000</v>
      </c>
      <c r="J6046" s="8">
        <f t="shared" si="378"/>
        <v>0</v>
      </c>
      <c r="K6046" t="str">
        <f t="shared" si="379"/>
        <v>MATCHED</v>
      </c>
    </row>
    <row r="6047" spans="1:11">
      <c r="A6047" t="s">
        <v>126</v>
      </c>
      <c r="B6047" t="s">
        <v>1770</v>
      </c>
      <c r="C6047" t="s">
        <v>746</v>
      </c>
      <c r="D6047" t="s">
        <v>747</v>
      </c>
      <c r="E6047" s="8">
        <v>40</v>
      </c>
      <c r="F6047" s="8">
        <v>69060</v>
      </c>
      <c r="G6047" s="8">
        <f t="shared" si="376"/>
        <v>2762400</v>
      </c>
      <c r="H6047" s="5"/>
      <c r="I6047" s="8" t="str">
        <f t="shared" si="377"/>
        <v/>
      </c>
      <c r="J6047" s="8" t="str">
        <f t="shared" si="378"/>
        <v/>
      </c>
      <c r="K6047" t="str">
        <f t="shared" si="379"/>
        <v>MISSING WHARTON</v>
      </c>
    </row>
    <row r="6048" spans="1:11">
      <c r="A6048" t="s">
        <v>126</v>
      </c>
      <c r="B6048" t="s">
        <v>1770</v>
      </c>
      <c r="C6048" t="s">
        <v>449</v>
      </c>
      <c r="D6048" t="s">
        <v>450</v>
      </c>
      <c r="E6048" s="8">
        <v>26610</v>
      </c>
      <c r="F6048" s="8">
        <v>53670</v>
      </c>
      <c r="G6048" s="8">
        <f t="shared" si="376"/>
        <v>1428158700</v>
      </c>
      <c r="H6048" s="5">
        <v>0.0867</v>
      </c>
      <c r="I6048" s="8">
        <f t="shared" si="377"/>
        <v>1428158700</v>
      </c>
      <c r="J6048" s="8">
        <f t="shared" si="378"/>
        <v>123821359.29</v>
      </c>
      <c r="K6048" t="str">
        <f t="shared" si="379"/>
        <v>MATCHED</v>
      </c>
    </row>
    <row r="6049" spans="1:11">
      <c r="A6049" t="s">
        <v>126</v>
      </c>
      <c r="B6049" t="s">
        <v>1770</v>
      </c>
      <c r="C6049" t="s">
        <v>1086</v>
      </c>
      <c r="D6049" t="s">
        <v>1087</v>
      </c>
      <c r="E6049" s="8">
        <v>480</v>
      </c>
      <c r="F6049" s="8">
        <v>64990</v>
      </c>
      <c r="G6049" s="8">
        <f t="shared" si="376"/>
        <v>31195200</v>
      </c>
      <c r="H6049" s="5">
        <v>0.0679</v>
      </c>
      <c r="I6049" s="8">
        <f t="shared" si="377"/>
        <v>31195200</v>
      </c>
      <c r="J6049" s="8">
        <f t="shared" si="378"/>
        <v>2118154.08</v>
      </c>
      <c r="K6049" t="str">
        <f t="shared" si="379"/>
        <v>MATCHED</v>
      </c>
    </row>
    <row r="6050" spans="1:11">
      <c r="A6050" t="s">
        <v>126</v>
      </c>
      <c r="B6050" t="s">
        <v>1770</v>
      </c>
      <c r="C6050" t="s">
        <v>748</v>
      </c>
      <c r="D6050" t="s">
        <v>749</v>
      </c>
      <c r="E6050" s="8">
        <v>60</v>
      </c>
      <c r="F6050" s="8">
        <v>66890</v>
      </c>
      <c r="G6050" s="8">
        <f t="shared" si="376"/>
        <v>4013400</v>
      </c>
      <c r="H6050" s="5">
        <v>0</v>
      </c>
      <c r="I6050" s="8">
        <f t="shared" si="377"/>
        <v>4013400</v>
      </c>
      <c r="J6050" s="8">
        <f t="shared" si="378"/>
        <v>0</v>
      </c>
      <c r="K6050" t="str">
        <f t="shared" si="379"/>
        <v>MATCHED</v>
      </c>
    </row>
    <row r="6051" spans="1:11">
      <c r="A6051" t="s">
        <v>126</v>
      </c>
      <c r="B6051" t="s">
        <v>1770</v>
      </c>
      <c r="C6051" t="s">
        <v>451</v>
      </c>
      <c r="D6051" t="s">
        <v>452</v>
      </c>
      <c r="E6051" s="8">
        <v>250</v>
      </c>
      <c r="F6051" s="8">
        <v>41220</v>
      </c>
      <c r="G6051" s="8">
        <f t="shared" si="376"/>
        <v>10305000</v>
      </c>
      <c r="H6051" s="5">
        <v>0.0594</v>
      </c>
      <c r="I6051" s="8">
        <f t="shared" si="377"/>
        <v>10305000</v>
      </c>
      <c r="J6051" s="8">
        <f t="shared" si="378"/>
        <v>612117</v>
      </c>
      <c r="K6051" t="str">
        <f t="shared" si="379"/>
        <v>MATCHED</v>
      </c>
    </row>
    <row r="6052" spans="1:11">
      <c r="A6052" t="s">
        <v>126</v>
      </c>
      <c r="B6052" t="s">
        <v>1770</v>
      </c>
      <c r="C6052" t="s">
        <v>453</v>
      </c>
      <c r="D6052" t="s">
        <v>454</v>
      </c>
      <c r="E6052" s="8">
        <v>680</v>
      </c>
      <c r="F6052" s="8">
        <v>55020</v>
      </c>
      <c r="G6052" s="8">
        <f t="shared" si="376"/>
        <v>37413600</v>
      </c>
      <c r="H6052" s="5">
        <v>0.1667</v>
      </c>
      <c r="I6052" s="8">
        <f t="shared" si="377"/>
        <v>37413600</v>
      </c>
      <c r="J6052" s="8">
        <f t="shared" si="378"/>
        <v>6236847.12</v>
      </c>
      <c r="K6052" t="str">
        <f t="shared" si="379"/>
        <v>MATCHED</v>
      </c>
    </row>
    <row r="6053" spans="1:11">
      <c r="A6053" t="s">
        <v>126</v>
      </c>
      <c r="B6053" t="s">
        <v>1770</v>
      </c>
      <c r="C6053" t="s">
        <v>455</v>
      </c>
      <c r="D6053" t="s">
        <v>456</v>
      </c>
      <c r="E6053" s="8">
        <v>360</v>
      </c>
      <c r="F6053" s="8">
        <v>81100</v>
      </c>
      <c r="G6053" s="8">
        <f t="shared" si="376"/>
        <v>29196000</v>
      </c>
      <c r="H6053" s="5">
        <v>0.3775</v>
      </c>
      <c r="I6053" s="8">
        <f t="shared" si="377"/>
        <v>29196000</v>
      </c>
      <c r="J6053" s="8">
        <f t="shared" si="378"/>
        <v>11021490</v>
      </c>
      <c r="K6053" t="str">
        <f t="shared" si="379"/>
        <v>MATCHED</v>
      </c>
    </row>
    <row r="6054" spans="1:11">
      <c r="A6054" t="s">
        <v>126</v>
      </c>
      <c r="B6054" t="s">
        <v>1770</v>
      </c>
      <c r="C6054" t="s">
        <v>457</v>
      </c>
      <c r="D6054" t="s">
        <v>458</v>
      </c>
      <c r="E6054" s="8">
        <v>270</v>
      </c>
      <c r="F6054" s="8">
        <v>41840</v>
      </c>
      <c r="G6054" s="8">
        <f t="shared" si="376"/>
        <v>11296800</v>
      </c>
      <c r="H6054" s="5">
        <v>0.15</v>
      </c>
      <c r="I6054" s="8">
        <f t="shared" si="377"/>
        <v>11296800</v>
      </c>
      <c r="J6054" s="8">
        <f t="shared" si="378"/>
        <v>1694520</v>
      </c>
      <c r="K6054" t="str">
        <f t="shared" si="379"/>
        <v>MATCHED</v>
      </c>
    </row>
    <row r="6055" spans="1:11">
      <c r="A6055" t="s">
        <v>126</v>
      </c>
      <c r="B6055" t="s">
        <v>1770</v>
      </c>
      <c r="C6055" t="s">
        <v>1322</v>
      </c>
      <c r="D6055" t="s">
        <v>1323</v>
      </c>
      <c r="E6055" s="8">
        <v>300</v>
      </c>
      <c r="F6055" s="8">
        <v>43650</v>
      </c>
      <c r="G6055" s="8">
        <f t="shared" si="376"/>
        <v>13095000</v>
      </c>
      <c r="H6055" s="5">
        <v>0.1444</v>
      </c>
      <c r="I6055" s="8">
        <f t="shared" si="377"/>
        <v>13095000</v>
      </c>
      <c r="J6055" s="8">
        <f t="shared" si="378"/>
        <v>1890918</v>
      </c>
      <c r="K6055" t="str">
        <f t="shared" si="379"/>
        <v>MATCHED</v>
      </c>
    </row>
    <row r="6056" spans="1:11">
      <c r="A6056" t="s">
        <v>126</v>
      </c>
      <c r="B6056" t="s">
        <v>1770</v>
      </c>
      <c r="C6056" t="s">
        <v>756</v>
      </c>
      <c r="D6056" t="s">
        <v>757</v>
      </c>
      <c r="E6056" s="8">
        <v>160</v>
      </c>
      <c r="F6056" s="8">
        <v>77830</v>
      </c>
      <c r="G6056" s="8">
        <f t="shared" si="376"/>
        <v>12452800</v>
      </c>
      <c r="H6056" s="5">
        <v>0.0897</v>
      </c>
      <c r="I6056" s="8">
        <f t="shared" si="377"/>
        <v>12452800</v>
      </c>
      <c r="J6056" s="8">
        <f t="shared" si="378"/>
        <v>1117016.16</v>
      </c>
      <c r="K6056" t="str">
        <f t="shared" si="379"/>
        <v>MATCHED</v>
      </c>
    </row>
    <row r="6057" spans="1:11">
      <c r="A6057" t="s">
        <v>126</v>
      </c>
      <c r="B6057" t="s">
        <v>1770</v>
      </c>
      <c r="C6057" t="s">
        <v>465</v>
      </c>
      <c r="D6057" t="s">
        <v>466</v>
      </c>
      <c r="E6057" s="8">
        <v>60</v>
      </c>
      <c r="F6057" s="8">
        <v>56530</v>
      </c>
      <c r="G6057" s="8">
        <f t="shared" si="376"/>
        <v>3391800</v>
      </c>
      <c r="H6057" s="5">
        <v>0.0233</v>
      </c>
      <c r="I6057" s="8">
        <f t="shared" si="377"/>
        <v>3391800</v>
      </c>
      <c r="J6057" s="8">
        <f t="shared" si="378"/>
        <v>79028.94</v>
      </c>
      <c r="K6057" t="str">
        <f t="shared" si="379"/>
        <v>MATCHED</v>
      </c>
    </row>
    <row r="6058" spans="1:11">
      <c r="A6058" t="s">
        <v>126</v>
      </c>
      <c r="B6058" t="s">
        <v>1770</v>
      </c>
      <c r="C6058" t="s">
        <v>1342</v>
      </c>
      <c r="D6058" t="s">
        <v>1343</v>
      </c>
      <c r="E6058" s="8">
        <v>50</v>
      </c>
      <c r="F6058" s="8">
        <v>57940</v>
      </c>
      <c r="G6058" s="8">
        <f t="shared" si="376"/>
        <v>2897000</v>
      </c>
      <c r="H6058" s="5">
        <v>0.42</v>
      </c>
      <c r="I6058" s="8">
        <f t="shared" si="377"/>
        <v>2897000</v>
      </c>
      <c r="J6058" s="8">
        <f t="shared" si="378"/>
        <v>1216740</v>
      </c>
      <c r="K6058" t="str">
        <f t="shared" si="379"/>
        <v>MATCHED</v>
      </c>
    </row>
    <row r="6059" spans="1:11">
      <c r="A6059" t="s">
        <v>126</v>
      </c>
      <c r="B6059" t="s">
        <v>1770</v>
      </c>
      <c r="C6059" t="s">
        <v>1344</v>
      </c>
      <c r="D6059" t="s">
        <v>1345</v>
      </c>
      <c r="E6059" s="8">
        <v>280</v>
      </c>
      <c r="F6059" s="8">
        <v>50000</v>
      </c>
      <c r="G6059" s="8">
        <f t="shared" si="376"/>
        <v>14000000</v>
      </c>
      <c r="H6059" s="5">
        <v>0.3348</v>
      </c>
      <c r="I6059" s="8">
        <f t="shared" si="377"/>
        <v>14000000</v>
      </c>
      <c r="J6059" s="8">
        <f t="shared" si="378"/>
        <v>4687200</v>
      </c>
      <c r="K6059" t="str">
        <f t="shared" si="379"/>
        <v>MATCHED</v>
      </c>
    </row>
    <row r="6060" spans="1:11">
      <c r="A6060" t="s">
        <v>126</v>
      </c>
      <c r="B6060" t="s">
        <v>1770</v>
      </c>
      <c r="C6060" t="s">
        <v>1346</v>
      </c>
      <c r="D6060" t="s">
        <v>1347</v>
      </c>
      <c r="E6060" s="8">
        <v>50</v>
      </c>
      <c r="F6060" s="8">
        <v>52430</v>
      </c>
      <c r="G6060" s="8">
        <f t="shared" si="376"/>
        <v>2621500</v>
      </c>
      <c r="H6060" s="5">
        <v>0.0385</v>
      </c>
      <c r="I6060" s="8">
        <f t="shared" si="377"/>
        <v>2621500</v>
      </c>
      <c r="J6060" s="8">
        <f t="shared" si="378"/>
        <v>100927.75</v>
      </c>
      <c r="K6060" t="str">
        <f t="shared" si="379"/>
        <v>MATCHED</v>
      </c>
    </row>
    <row r="6061" spans="1:11">
      <c r="A6061" t="s">
        <v>126</v>
      </c>
      <c r="B6061" t="s">
        <v>1770</v>
      </c>
      <c r="C6061" t="s">
        <v>1116</v>
      </c>
      <c r="D6061" t="s">
        <v>1117</v>
      </c>
      <c r="E6061" s="8">
        <v>120</v>
      </c>
      <c r="F6061" s="8">
        <v>36300</v>
      </c>
      <c r="G6061" s="8">
        <f t="shared" si="376"/>
        <v>4356000</v>
      </c>
      <c r="H6061" s="5">
        <v>0</v>
      </c>
      <c r="I6061" s="8">
        <f t="shared" si="377"/>
        <v>4356000</v>
      </c>
      <c r="J6061" s="8">
        <f t="shared" si="378"/>
        <v>0</v>
      </c>
      <c r="K6061" t="str">
        <f t="shared" si="379"/>
        <v>MATCHED</v>
      </c>
    </row>
    <row r="6062" spans="1:11">
      <c r="A6062" t="s">
        <v>126</v>
      </c>
      <c r="B6062" t="s">
        <v>1770</v>
      </c>
      <c r="C6062" t="s">
        <v>1118</v>
      </c>
      <c r="D6062" t="s">
        <v>1119</v>
      </c>
      <c r="E6062" s="8">
        <v>80</v>
      </c>
      <c r="F6062" s="8">
        <v>38180</v>
      </c>
      <c r="G6062" s="8">
        <f t="shared" si="376"/>
        <v>3054400</v>
      </c>
      <c r="H6062" s="5">
        <v>0.0365</v>
      </c>
      <c r="I6062" s="8">
        <f t="shared" si="377"/>
        <v>3054400</v>
      </c>
      <c r="J6062" s="8">
        <f t="shared" si="378"/>
        <v>111485.6</v>
      </c>
      <c r="K6062" t="str">
        <f t="shared" si="379"/>
        <v>MATCHED</v>
      </c>
    </row>
    <row r="6063" spans="1:11">
      <c r="A6063" t="s">
        <v>126</v>
      </c>
      <c r="B6063" t="s">
        <v>1770</v>
      </c>
      <c r="C6063" t="s">
        <v>1356</v>
      </c>
      <c r="D6063" t="s">
        <v>1357</v>
      </c>
      <c r="E6063" s="8">
        <v>80</v>
      </c>
      <c r="F6063" s="8">
        <v>45170</v>
      </c>
      <c r="G6063" s="8">
        <f t="shared" si="376"/>
        <v>3613600</v>
      </c>
      <c r="H6063" s="5">
        <v>0.0432</v>
      </c>
      <c r="I6063" s="8">
        <f t="shared" si="377"/>
        <v>3613600</v>
      </c>
      <c r="J6063" s="8">
        <f t="shared" si="378"/>
        <v>156107.52</v>
      </c>
      <c r="K6063" t="str">
        <f t="shared" si="379"/>
        <v>MATCHED</v>
      </c>
    </row>
    <row r="6064" spans="1:11">
      <c r="A6064" t="s">
        <v>126</v>
      </c>
      <c r="B6064" t="s">
        <v>1770</v>
      </c>
      <c r="C6064" t="s">
        <v>766</v>
      </c>
      <c r="D6064" t="s">
        <v>767</v>
      </c>
      <c r="E6064" s="8">
        <v>50</v>
      </c>
      <c r="F6064" s="8">
        <v>88870</v>
      </c>
      <c r="G6064" s="8">
        <f t="shared" si="376"/>
        <v>4443500</v>
      </c>
      <c r="H6064" s="5">
        <v>0.1618</v>
      </c>
      <c r="I6064" s="8">
        <f t="shared" si="377"/>
        <v>4443500</v>
      </c>
      <c r="J6064" s="8">
        <f t="shared" si="378"/>
        <v>718958.3</v>
      </c>
      <c r="K6064" t="str">
        <f t="shared" si="379"/>
        <v>MATCHED</v>
      </c>
    </row>
    <row r="6065" spans="1:11">
      <c r="A6065" t="s">
        <v>126</v>
      </c>
      <c r="B6065" t="s">
        <v>1770</v>
      </c>
      <c r="C6065" t="s">
        <v>768</v>
      </c>
      <c r="D6065" t="s">
        <v>769</v>
      </c>
      <c r="E6065" s="8">
        <v>1040</v>
      </c>
      <c r="F6065" s="8">
        <v>82440</v>
      </c>
      <c r="G6065" s="8">
        <f t="shared" si="376"/>
        <v>85737600</v>
      </c>
      <c r="H6065" s="5">
        <v>0.104</v>
      </c>
      <c r="I6065" s="8">
        <f t="shared" si="377"/>
        <v>85737600</v>
      </c>
      <c r="J6065" s="8">
        <f t="shared" si="378"/>
        <v>8916710.4</v>
      </c>
      <c r="K6065" t="str">
        <f t="shared" si="379"/>
        <v>MATCHED</v>
      </c>
    </row>
    <row r="6066" spans="1:11">
      <c r="A6066" t="s">
        <v>126</v>
      </c>
      <c r="B6066" t="s">
        <v>1770</v>
      </c>
      <c r="C6066" t="s">
        <v>770</v>
      </c>
      <c r="D6066" t="s">
        <v>771</v>
      </c>
      <c r="E6066" s="8">
        <v>60</v>
      </c>
      <c r="F6066" s="8">
        <v>59010</v>
      </c>
      <c r="G6066" s="8">
        <f t="shared" si="376"/>
        <v>3540600</v>
      </c>
      <c r="H6066" s="5">
        <v>0.1188</v>
      </c>
      <c r="I6066" s="8">
        <f t="shared" si="377"/>
        <v>3540600</v>
      </c>
      <c r="J6066" s="8">
        <f t="shared" si="378"/>
        <v>420623.28</v>
      </c>
      <c r="K6066" t="str">
        <f t="shared" si="379"/>
        <v>MATCHED</v>
      </c>
    </row>
    <row r="6067" spans="1:11">
      <c r="A6067" t="s">
        <v>126</v>
      </c>
      <c r="B6067" t="s">
        <v>1770</v>
      </c>
      <c r="C6067" t="s">
        <v>780</v>
      </c>
      <c r="D6067" t="s">
        <v>781</v>
      </c>
      <c r="E6067" s="8"/>
      <c r="F6067" s="8">
        <v>43570</v>
      </c>
      <c r="G6067" s="8" t="str">
        <f t="shared" si="376"/>
        <v/>
      </c>
      <c r="H6067" s="5">
        <v>0.1056</v>
      </c>
      <c r="I6067" s="8" t="str">
        <f t="shared" si="377"/>
        <v/>
      </c>
      <c r="J6067" s="8" t="str">
        <f t="shared" si="378"/>
        <v/>
      </c>
      <c r="K6067" t="str">
        <f t="shared" si="379"/>
        <v>MISSING OEWS</v>
      </c>
    </row>
    <row r="6068" spans="1:11">
      <c r="A6068" t="s">
        <v>126</v>
      </c>
      <c r="B6068" t="s">
        <v>1770</v>
      </c>
      <c r="C6068" t="s">
        <v>481</v>
      </c>
      <c r="D6068" t="s">
        <v>482</v>
      </c>
      <c r="E6068" s="8">
        <v>260</v>
      </c>
      <c r="F6068" s="8">
        <v>49910</v>
      </c>
      <c r="G6068" s="8">
        <f t="shared" si="376"/>
        <v>12976600</v>
      </c>
      <c r="H6068" s="5">
        <v>0.2969</v>
      </c>
      <c r="I6068" s="8">
        <f t="shared" si="377"/>
        <v>12976600</v>
      </c>
      <c r="J6068" s="8">
        <f t="shared" si="378"/>
        <v>3852752.54</v>
      </c>
      <c r="K6068" t="str">
        <f t="shared" si="379"/>
        <v>MATCHED</v>
      </c>
    </row>
    <row r="6069" spans="1:11">
      <c r="A6069" t="s">
        <v>126</v>
      </c>
      <c r="B6069" t="s">
        <v>1770</v>
      </c>
      <c r="C6069" t="s">
        <v>1382</v>
      </c>
      <c r="D6069" t="s">
        <v>1383</v>
      </c>
      <c r="E6069" s="8">
        <v>70</v>
      </c>
      <c r="F6069" s="8">
        <v>56980</v>
      </c>
      <c r="G6069" s="8">
        <f t="shared" si="376"/>
        <v>3988600</v>
      </c>
      <c r="H6069" s="5">
        <v>0</v>
      </c>
      <c r="I6069" s="8">
        <f t="shared" si="377"/>
        <v>3988600</v>
      </c>
      <c r="J6069" s="8">
        <f t="shared" si="378"/>
        <v>0</v>
      </c>
      <c r="K6069" t="str">
        <f t="shared" si="379"/>
        <v>MATCHED</v>
      </c>
    </row>
    <row r="6070" spans="1:11">
      <c r="A6070" t="s">
        <v>126</v>
      </c>
      <c r="B6070" t="s">
        <v>1770</v>
      </c>
      <c r="C6070" t="s">
        <v>491</v>
      </c>
      <c r="D6070" t="s">
        <v>492</v>
      </c>
      <c r="E6070" s="8">
        <v>60</v>
      </c>
      <c r="F6070" s="8">
        <v>52830</v>
      </c>
      <c r="G6070" s="8">
        <f t="shared" si="376"/>
        <v>3169800</v>
      </c>
      <c r="H6070" s="5"/>
      <c r="I6070" s="8" t="str">
        <f t="shared" si="377"/>
        <v/>
      </c>
      <c r="J6070" s="8" t="str">
        <f t="shared" si="378"/>
        <v/>
      </c>
      <c r="K6070" t="str">
        <f t="shared" si="379"/>
        <v>MISSING WHARTON</v>
      </c>
    </row>
    <row r="6071" spans="1:11">
      <c r="A6071" t="s">
        <v>126</v>
      </c>
      <c r="B6071" t="s">
        <v>1770</v>
      </c>
      <c r="C6071" t="s">
        <v>493</v>
      </c>
      <c r="D6071" t="s">
        <v>494</v>
      </c>
      <c r="E6071" s="8">
        <v>950</v>
      </c>
      <c r="F6071" s="8">
        <v>63930</v>
      </c>
      <c r="G6071" s="8">
        <f t="shared" si="376"/>
        <v>60733500</v>
      </c>
      <c r="H6071" s="5">
        <v>0.3429</v>
      </c>
      <c r="I6071" s="8">
        <f t="shared" si="377"/>
        <v>60733500</v>
      </c>
      <c r="J6071" s="8">
        <f t="shared" si="378"/>
        <v>20825517.15</v>
      </c>
      <c r="K6071" t="str">
        <f t="shared" si="379"/>
        <v>MATCHED</v>
      </c>
    </row>
    <row r="6072" spans="1:11">
      <c r="A6072" t="s">
        <v>126</v>
      </c>
      <c r="B6072" t="s">
        <v>1770</v>
      </c>
      <c r="C6072" t="s">
        <v>1402</v>
      </c>
      <c r="D6072" t="s">
        <v>1403</v>
      </c>
      <c r="E6072" s="8">
        <v>230</v>
      </c>
      <c r="F6072" s="8">
        <v>107220</v>
      </c>
      <c r="G6072" s="8">
        <f t="shared" si="376"/>
        <v>24660600</v>
      </c>
      <c r="H6072" s="5">
        <v>0.5423</v>
      </c>
      <c r="I6072" s="8">
        <f t="shared" si="377"/>
        <v>24660600</v>
      </c>
      <c r="J6072" s="8">
        <f t="shared" si="378"/>
        <v>13373443.38</v>
      </c>
      <c r="K6072" t="str">
        <f t="shared" si="379"/>
        <v>MATCHED</v>
      </c>
    </row>
    <row r="6073" spans="1:11">
      <c r="A6073" t="s">
        <v>126</v>
      </c>
      <c r="B6073" t="s">
        <v>1770</v>
      </c>
      <c r="C6073" t="s">
        <v>495</v>
      </c>
      <c r="D6073" t="s">
        <v>496</v>
      </c>
      <c r="E6073" s="8">
        <v>6150</v>
      </c>
      <c r="F6073" s="8">
        <v>106380</v>
      </c>
      <c r="G6073" s="8">
        <f t="shared" si="376"/>
        <v>654237000</v>
      </c>
      <c r="H6073" s="5">
        <v>0.3558</v>
      </c>
      <c r="I6073" s="8">
        <f t="shared" si="377"/>
        <v>654237000</v>
      </c>
      <c r="J6073" s="8">
        <f t="shared" si="378"/>
        <v>232777524.6</v>
      </c>
      <c r="K6073" t="str">
        <f t="shared" si="379"/>
        <v>MATCHED</v>
      </c>
    </row>
    <row r="6074" spans="1:11">
      <c r="A6074" t="s">
        <v>126</v>
      </c>
      <c r="B6074" t="s">
        <v>1770</v>
      </c>
      <c r="C6074" t="s">
        <v>1547</v>
      </c>
      <c r="D6074" t="s">
        <v>1548</v>
      </c>
      <c r="E6074" s="8">
        <v>40</v>
      </c>
      <c r="F6074" s="8">
        <v>60010</v>
      </c>
      <c r="G6074" s="8">
        <f t="shared" si="376"/>
        <v>2400400</v>
      </c>
      <c r="H6074" s="5">
        <v>0.5261</v>
      </c>
      <c r="I6074" s="8">
        <f t="shared" si="377"/>
        <v>2400400</v>
      </c>
      <c r="J6074" s="8">
        <f t="shared" si="378"/>
        <v>1262850.44</v>
      </c>
      <c r="K6074" t="str">
        <f t="shared" si="379"/>
        <v>MATCHED</v>
      </c>
    </row>
    <row r="6075" spans="1:11">
      <c r="A6075" t="s">
        <v>126</v>
      </c>
      <c r="B6075" t="s">
        <v>1770</v>
      </c>
      <c r="C6075" t="s">
        <v>1404</v>
      </c>
      <c r="D6075" t="s">
        <v>1405</v>
      </c>
      <c r="E6075" s="8">
        <v>150</v>
      </c>
      <c r="F6075" s="8">
        <v>55970</v>
      </c>
      <c r="G6075" s="8">
        <f t="shared" si="376"/>
        <v>8395500</v>
      </c>
      <c r="H6075" s="5">
        <v>0.35</v>
      </c>
      <c r="I6075" s="8">
        <f t="shared" si="377"/>
        <v>8395500</v>
      </c>
      <c r="J6075" s="8">
        <f t="shared" si="378"/>
        <v>2938425</v>
      </c>
      <c r="K6075" t="str">
        <f t="shared" si="379"/>
        <v>MATCHED</v>
      </c>
    </row>
    <row r="6076" spans="1:11">
      <c r="A6076" t="s">
        <v>126</v>
      </c>
      <c r="B6076" t="s">
        <v>1770</v>
      </c>
      <c r="C6076" t="s">
        <v>497</v>
      </c>
      <c r="D6076" t="s">
        <v>498</v>
      </c>
      <c r="E6076" s="8"/>
      <c r="F6076" s="8">
        <v>35600</v>
      </c>
      <c r="G6076" s="8" t="str">
        <f t="shared" si="376"/>
        <v/>
      </c>
      <c r="H6076" s="5">
        <v>0.3167</v>
      </c>
      <c r="I6076" s="8" t="str">
        <f t="shared" si="377"/>
        <v/>
      </c>
      <c r="J6076" s="8" t="str">
        <f t="shared" si="378"/>
        <v/>
      </c>
      <c r="K6076" t="str">
        <f t="shared" si="379"/>
        <v>MISSING OEWS</v>
      </c>
    </row>
    <row r="6077" spans="1:11">
      <c r="A6077" t="s">
        <v>126</v>
      </c>
      <c r="B6077" t="s">
        <v>1770</v>
      </c>
      <c r="C6077" t="s">
        <v>499</v>
      </c>
      <c r="D6077" t="s">
        <v>500</v>
      </c>
      <c r="E6077" s="8">
        <v>340</v>
      </c>
      <c r="F6077" s="8">
        <v>53910</v>
      </c>
      <c r="G6077" s="8">
        <f t="shared" si="376"/>
        <v>18329400</v>
      </c>
      <c r="H6077" s="5">
        <v>0.2065</v>
      </c>
      <c r="I6077" s="8">
        <f t="shared" si="377"/>
        <v>18329400</v>
      </c>
      <c r="J6077" s="8">
        <f t="shared" si="378"/>
        <v>3785021.1</v>
      </c>
      <c r="K6077" t="str">
        <f t="shared" si="379"/>
        <v>MATCHED</v>
      </c>
    </row>
    <row r="6078" spans="1:11">
      <c r="A6078" t="s">
        <v>126</v>
      </c>
      <c r="B6078" t="s">
        <v>1770</v>
      </c>
      <c r="C6078" t="s">
        <v>501</v>
      </c>
      <c r="D6078" t="s">
        <v>502</v>
      </c>
      <c r="E6078" s="8">
        <v>490</v>
      </c>
      <c r="F6078" s="8">
        <v>48490</v>
      </c>
      <c r="G6078" s="8">
        <f t="shared" si="376"/>
        <v>23760100</v>
      </c>
      <c r="H6078" s="5">
        <v>0.3393</v>
      </c>
      <c r="I6078" s="8">
        <f t="shared" si="377"/>
        <v>23760100</v>
      </c>
      <c r="J6078" s="8">
        <f t="shared" si="378"/>
        <v>8061801.93</v>
      </c>
      <c r="K6078" t="str">
        <f t="shared" si="379"/>
        <v>MATCHED</v>
      </c>
    </row>
    <row r="6079" spans="1:11">
      <c r="A6079" t="s">
        <v>126</v>
      </c>
      <c r="B6079" t="s">
        <v>1770</v>
      </c>
      <c r="C6079" t="s">
        <v>1553</v>
      </c>
      <c r="D6079" t="s">
        <v>1554</v>
      </c>
      <c r="E6079" s="8">
        <v>8840</v>
      </c>
      <c r="F6079" s="8">
        <v>46140</v>
      </c>
      <c r="G6079" s="8">
        <f t="shared" si="376"/>
        <v>407877600</v>
      </c>
      <c r="H6079" s="5">
        <v>0.2235</v>
      </c>
      <c r="I6079" s="8">
        <f t="shared" si="377"/>
        <v>407877600</v>
      </c>
      <c r="J6079" s="8">
        <f t="shared" si="378"/>
        <v>91160643.6</v>
      </c>
      <c r="K6079" t="str">
        <f t="shared" si="379"/>
        <v>MATCHED</v>
      </c>
    </row>
    <row r="6080" spans="1:11">
      <c r="A6080" t="s">
        <v>126</v>
      </c>
      <c r="B6080" t="s">
        <v>1770</v>
      </c>
      <c r="C6080" t="s">
        <v>503</v>
      </c>
      <c r="D6080" t="s">
        <v>504</v>
      </c>
      <c r="E6080" s="8">
        <v>2890</v>
      </c>
      <c r="F6080" s="8">
        <v>41360</v>
      </c>
      <c r="G6080" s="8">
        <f t="shared" si="376"/>
        <v>119530400</v>
      </c>
      <c r="H6080" s="5">
        <v>0.3288</v>
      </c>
      <c r="I6080" s="8">
        <f t="shared" si="377"/>
        <v>119530400</v>
      </c>
      <c r="J6080" s="8">
        <f t="shared" si="378"/>
        <v>39301595.52</v>
      </c>
      <c r="K6080" t="str">
        <f t="shared" si="379"/>
        <v>MATCHED</v>
      </c>
    </row>
    <row r="6081" spans="1:11">
      <c r="A6081" t="s">
        <v>126</v>
      </c>
      <c r="B6081" t="s">
        <v>1770</v>
      </c>
      <c r="C6081" t="s">
        <v>1134</v>
      </c>
      <c r="D6081" t="s">
        <v>1135</v>
      </c>
      <c r="E6081" s="8">
        <v>100</v>
      </c>
      <c r="F6081" s="8">
        <v>45430</v>
      </c>
      <c r="G6081" s="8">
        <f t="shared" si="376"/>
        <v>4543000</v>
      </c>
      <c r="H6081" s="5"/>
      <c r="I6081" s="8" t="str">
        <f t="shared" si="377"/>
        <v/>
      </c>
      <c r="J6081" s="8" t="str">
        <f t="shared" si="378"/>
        <v/>
      </c>
      <c r="K6081" t="str">
        <f t="shared" si="379"/>
        <v>MISSING WHARTON</v>
      </c>
    </row>
    <row r="6082" spans="1:11">
      <c r="A6082" t="s">
        <v>126</v>
      </c>
      <c r="B6082" t="s">
        <v>1770</v>
      </c>
      <c r="C6082" t="s">
        <v>798</v>
      </c>
      <c r="D6082" t="s">
        <v>799</v>
      </c>
      <c r="E6082" s="8">
        <v>200</v>
      </c>
      <c r="F6082" s="8">
        <v>60400</v>
      </c>
      <c r="G6082" s="8">
        <f t="shared" ref="G6082:G6145" si="380">IF(OR(E6082="",F6082=""),"",E6082*F6082)</f>
        <v>12080000</v>
      </c>
      <c r="H6082" s="5">
        <v>0.095</v>
      </c>
      <c r="I6082" s="8">
        <f t="shared" ref="I6082:I6145" si="381">IF(G6082="","",IF(ISNUMBER(H6082),G6082,""))</f>
        <v>12080000</v>
      </c>
      <c r="J6082" s="8">
        <f t="shared" ref="J6082:J6145" si="382">IF(I6082="","",I6082*H6082)</f>
        <v>1147600</v>
      </c>
      <c r="K6082" t="str">
        <f t="shared" ref="K6082:K6145" si="383">IF(G6082="","MISSING OEWS",IF(ISNUMBER(H6082),"MATCHED","MISSING WHARTON"))</f>
        <v>MATCHED</v>
      </c>
    </row>
    <row r="6083" spans="1:11">
      <c r="A6083" t="s">
        <v>126</v>
      </c>
      <c r="B6083" t="s">
        <v>1770</v>
      </c>
      <c r="C6083" t="s">
        <v>1136</v>
      </c>
      <c r="D6083" t="s">
        <v>1137</v>
      </c>
      <c r="E6083" s="8"/>
      <c r="F6083" s="8">
        <v>60710</v>
      </c>
      <c r="G6083" s="8" t="str">
        <f t="shared" si="380"/>
        <v/>
      </c>
      <c r="H6083" s="5">
        <v>0.0559</v>
      </c>
      <c r="I6083" s="8" t="str">
        <f t="shared" si="381"/>
        <v/>
      </c>
      <c r="J6083" s="8" t="str">
        <f t="shared" si="382"/>
        <v/>
      </c>
      <c r="K6083" t="str">
        <f t="shared" si="383"/>
        <v>MISSING OEWS</v>
      </c>
    </row>
    <row r="6084" spans="1:11">
      <c r="A6084" t="s">
        <v>126</v>
      </c>
      <c r="B6084" t="s">
        <v>1770</v>
      </c>
      <c r="C6084" t="s">
        <v>1408</v>
      </c>
      <c r="D6084" t="s">
        <v>1409</v>
      </c>
      <c r="E6084" s="8">
        <v>260</v>
      </c>
      <c r="F6084" s="8">
        <v>40440</v>
      </c>
      <c r="G6084" s="8">
        <f t="shared" si="380"/>
        <v>10514400</v>
      </c>
      <c r="H6084" s="5">
        <v>0.1972</v>
      </c>
      <c r="I6084" s="8">
        <f t="shared" si="381"/>
        <v>10514400</v>
      </c>
      <c r="J6084" s="8">
        <f t="shared" si="382"/>
        <v>2073439.68</v>
      </c>
      <c r="K6084" t="str">
        <f t="shared" si="383"/>
        <v>MATCHED</v>
      </c>
    </row>
    <row r="6085" spans="1:11">
      <c r="A6085" t="s">
        <v>126</v>
      </c>
      <c r="B6085" t="s">
        <v>1770</v>
      </c>
      <c r="C6085" t="s">
        <v>1410</v>
      </c>
      <c r="D6085" t="s">
        <v>1411</v>
      </c>
      <c r="E6085" s="8">
        <v>240</v>
      </c>
      <c r="F6085" s="8">
        <v>35500</v>
      </c>
      <c r="G6085" s="8">
        <f t="shared" si="380"/>
        <v>8520000</v>
      </c>
      <c r="H6085" s="5">
        <v>0.0528</v>
      </c>
      <c r="I6085" s="8">
        <f t="shared" si="381"/>
        <v>8520000</v>
      </c>
      <c r="J6085" s="8">
        <f t="shared" si="382"/>
        <v>449856</v>
      </c>
      <c r="K6085" t="str">
        <f t="shared" si="383"/>
        <v>MATCHED</v>
      </c>
    </row>
    <row r="6086" spans="1:11">
      <c r="A6086" t="s">
        <v>126</v>
      </c>
      <c r="B6086" t="s">
        <v>1770</v>
      </c>
      <c r="C6086" t="s">
        <v>1142</v>
      </c>
      <c r="D6086" t="s">
        <v>1143</v>
      </c>
      <c r="E6086" s="8">
        <v>40</v>
      </c>
      <c r="F6086" s="8">
        <v>45490</v>
      </c>
      <c r="G6086" s="8">
        <f t="shared" si="380"/>
        <v>1819600</v>
      </c>
      <c r="H6086" s="5"/>
      <c r="I6086" s="8" t="str">
        <f t="shared" si="381"/>
        <v/>
      </c>
      <c r="J6086" s="8" t="str">
        <f t="shared" si="382"/>
        <v/>
      </c>
      <c r="K6086" t="str">
        <f t="shared" si="383"/>
        <v>MISSING WHARTON</v>
      </c>
    </row>
    <row r="6087" spans="1:11">
      <c r="A6087" t="s">
        <v>126</v>
      </c>
      <c r="B6087" t="s">
        <v>1770</v>
      </c>
      <c r="C6087" t="s">
        <v>509</v>
      </c>
      <c r="D6087" t="s">
        <v>510</v>
      </c>
      <c r="E6087" s="8">
        <v>140</v>
      </c>
      <c r="F6087" s="8">
        <v>35830</v>
      </c>
      <c r="G6087" s="8">
        <f t="shared" si="380"/>
        <v>5016200</v>
      </c>
      <c r="H6087" s="5">
        <v>0.0452</v>
      </c>
      <c r="I6087" s="8">
        <f t="shared" si="381"/>
        <v>5016200</v>
      </c>
      <c r="J6087" s="8">
        <f t="shared" si="382"/>
        <v>226732.24</v>
      </c>
      <c r="K6087" t="str">
        <f t="shared" si="383"/>
        <v>MATCHED</v>
      </c>
    </row>
    <row r="6088" spans="1:11">
      <c r="A6088" t="s">
        <v>126</v>
      </c>
      <c r="B6088" t="s">
        <v>1770</v>
      </c>
      <c r="C6088" t="s">
        <v>511</v>
      </c>
      <c r="D6088" t="s">
        <v>512</v>
      </c>
      <c r="E6088" s="8">
        <v>3600</v>
      </c>
      <c r="F6088" s="8">
        <v>41930</v>
      </c>
      <c r="G6088" s="8">
        <f t="shared" si="380"/>
        <v>150948000</v>
      </c>
      <c r="H6088" s="5">
        <v>0.049</v>
      </c>
      <c r="I6088" s="8">
        <f t="shared" si="381"/>
        <v>150948000</v>
      </c>
      <c r="J6088" s="8">
        <f t="shared" si="382"/>
        <v>7396452</v>
      </c>
      <c r="K6088" t="str">
        <f t="shared" si="383"/>
        <v>MATCHED</v>
      </c>
    </row>
    <row r="6089" spans="1:11">
      <c r="A6089" t="s">
        <v>126</v>
      </c>
      <c r="B6089" t="s">
        <v>1770</v>
      </c>
      <c r="C6089" t="s">
        <v>515</v>
      </c>
      <c r="D6089" t="s">
        <v>516</v>
      </c>
      <c r="E6089" s="8"/>
      <c r="F6089" s="8">
        <v>38460</v>
      </c>
      <c r="G6089" s="8" t="str">
        <f t="shared" si="380"/>
        <v/>
      </c>
      <c r="H6089" s="5">
        <v>0.0792</v>
      </c>
      <c r="I6089" s="8" t="str">
        <f t="shared" si="381"/>
        <v/>
      </c>
      <c r="J6089" s="8" t="str">
        <f t="shared" si="382"/>
        <v/>
      </c>
      <c r="K6089" t="str">
        <f t="shared" si="383"/>
        <v>MISSING OEWS</v>
      </c>
    </row>
    <row r="6090" spans="1:11">
      <c r="A6090" t="s">
        <v>126</v>
      </c>
      <c r="B6090" t="s">
        <v>1770</v>
      </c>
      <c r="C6090" t="s">
        <v>517</v>
      </c>
      <c r="D6090" t="s">
        <v>518</v>
      </c>
      <c r="E6090" s="8">
        <v>1170</v>
      </c>
      <c r="F6090" s="8">
        <v>42520</v>
      </c>
      <c r="G6090" s="8">
        <f t="shared" si="380"/>
        <v>49748400</v>
      </c>
      <c r="H6090" s="5">
        <v>0.2233</v>
      </c>
      <c r="I6090" s="8">
        <f t="shared" si="381"/>
        <v>49748400</v>
      </c>
      <c r="J6090" s="8">
        <f t="shared" si="382"/>
        <v>11108817.72</v>
      </c>
      <c r="K6090" t="str">
        <f t="shared" si="383"/>
        <v>MATCHED</v>
      </c>
    </row>
    <row r="6091" spans="1:11">
      <c r="A6091" t="s">
        <v>126</v>
      </c>
      <c r="B6091" t="s">
        <v>1770</v>
      </c>
      <c r="C6091" t="s">
        <v>918</v>
      </c>
      <c r="D6091" t="s">
        <v>919</v>
      </c>
      <c r="E6091" s="8">
        <v>120</v>
      </c>
      <c r="F6091" s="8">
        <v>47010</v>
      </c>
      <c r="G6091" s="8">
        <f t="shared" si="380"/>
        <v>5641200</v>
      </c>
      <c r="H6091" s="5">
        <v>0.2375</v>
      </c>
      <c r="I6091" s="8">
        <f t="shared" si="381"/>
        <v>5641200</v>
      </c>
      <c r="J6091" s="8">
        <f t="shared" si="382"/>
        <v>1339785</v>
      </c>
      <c r="K6091" t="str">
        <f t="shared" si="383"/>
        <v>MATCHED</v>
      </c>
    </row>
    <row r="6092" spans="1:11">
      <c r="A6092" t="s">
        <v>126</v>
      </c>
      <c r="B6092" t="s">
        <v>1770</v>
      </c>
      <c r="C6092" t="s">
        <v>519</v>
      </c>
      <c r="D6092" t="s">
        <v>520</v>
      </c>
      <c r="E6092" s="8"/>
      <c r="F6092" s="8">
        <v>37460</v>
      </c>
      <c r="G6092" s="8" t="str">
        <f t="shared" si="380"/>
        <v/>
      </c>
      <c r="H6092" s="5"/>
      <c r="I6092" s="8" t="str">
        <f t="shared" si="381"/>
        <v/>
      </c>
      <c r="J6092" s="8" t="str">
        <f t="shared" si="382"/>
        <v/>
      </c>
      <c r="K6092" t="str">
        <f t="shared" si="383"/>
        <v>MISSING OEWS</v>
      </c>
    </row>
    <row r="6093" spans="1:11">
      <c r="A6093" t="s">
        <v>128</v>
      </c>
      <c r="B6093" t="s">
        <v>1865</v>
      </c>
      <c r="C6093" t="s">
        <v>235</v>
      </c>
      <c r="D6093" t="s">
        <v>236</v>
      </c>
      <c r="E6093" s="8">
        <v>17560</v>
      </c>
      <c r="F6093" s="8">
        <v>247453.394077449</v>
      </c>
      <c r="G6093" s="8">
        <f t="shared" si="380"/>
        <v>4345281600</v>
      </c>
      <c r="H6093" s="5">
        <v>0.4775</v>
      </c>
      <c r="I6093" s="8">
        <f t="shared" si="381"/>
        <v>4345281600</v>
      </c>
      <c r="J6093" s="8">
        <f t="shared" si="382"/>
        <v>2074871964</v>
      </c>
      <c r="K6093" t="str">
        <f t="shared" si="383"/>
        <v>MATCHED</v>
      </c>
    </row>
    <row r="6094" spans="1:11">
      <c r="A6094" t="s">
        <v>128</v>
      </c>
      <c r="B6094" t="s">
        <v>1865</v>
      </c>
      <c r="C6094" t="s">
        <v>237</v>
      </c>
      <c r="D6094" t="s">
        <v>238</v>
      </c>
      <c r="E6094" s="8">
        <v>179420</v>
      </c>
      <c r="F6094" s="8">
        <v>122188.87470739</v>
      </c>
      <c r="G6094" s="8">
        <f t="shared" si="380"/>
        <v>21923127900</v>
      </c>
      <c r="H6094" s="5">
        <v>0.5382</v>
      </c>
      <c r="I6094" s="8">
        <f t="shared" si="381"/>
        <v>21923127900</v>
      </c>
      <c r="J6094" s="8">
        <f t="shared" si="382"/>
        <v>11799027435.78</v>
      </c>
      <c r="K6094" t="str">
        <f t="shared" si="383"/>
        <v>MATCHED</v>
      </c>
    </row>
    <row r="6095" spans="1:11">
      <c r="A6095" t="s">
        <v>128</v>
      </c>
      <c r="B6095" t="s">
        <v>1865</v>
      </c>
      <c r="C6095" t="s">
        <v>920</v>
      </c>
      <c r="D6095" t="s">
        <v>921</v>
      </c>
      <c r="E6095" s="8">
        <v>80</v>
      </c>
      <c r="F6095" s="8">
        <v>158120</v>
      </c>
      <c r="G6095" s="8">
        <f t="shared" si="380"/>
        <v>12649600</v>
      </c>
      <c r="H6095" s="5">
        <v>0.5583</v>
      </c>
      <c r="I6095" s="8">
        <f t="shared" si="381"/>
        <v>12649600</v>
      </c>
      <c r="J6095" s="8">
        <f t="shared" si="382"/>
        <v>7062271.68</v>
      </c>
      <c r="K6095" t="str">
        <f t="shared" si="383"/>
        <v>MATCHED</v>
      </c>
    </row>
    <row r="6096" spans="1:11">
      <c r="A6096" t="s">
        <v>128</v>
      </c>
      <c r="B6096" t="s">
        <v>1865</v>
      </c>
      <c r="C6096" t="s">
        <v>239</v>
      </c>
      <c r="D6096" t="s">
        <v>240</v>
      </c>
      <c r="E6096" s="8">
        <v>12440</v>
      </c>
      <c r="F6096" s="8">
        <v>143647.178456592</v>
      </c>
      <c r="G6096" s="8">
        <f t="shared" si="380"/>
        <v>1786970900</v>
      </c>
      <c r="H6096" s="5">
        <v>0.445</v>
      </c>
      <c r="I6096" s="8">
        <f t="shared" si="381"/>
        <v>1786970900</v>
      </c>
      <c r="J6096" s="8">
        <f t="shared" si="382"/>
        <v>795202050.5</v>
      </c>
      <c r="K6096" t="str">
        <f t="shared" si="383"/>
        <v>MATCHED</v>
      </c>
    </row>
    <row r="6097" spans="1:11">
      <c r="A6097" t="s">
        <v>128</v>
      </c>
      <c r="B6097" t="s">
        <v>1865</v>
      </c>
      <c r="C6097" t="s">
        <v>241</v>
      </c>
      <c r="D6097" t="s">
        <v>242</v>
      </c>
      <c r="E6097" s="8">
        <v>6120</v>
      </c>
      <c r="F6097" s="8">
        <v>135790</v>
      </c>
      <c r="G6097" s="8">
        <f t="shared" si="380"/>
        <v>831034800</v>
      </c>
      <c r="H6097" s="5">
        <v>0.3735</v>
      </c>
      <c r="I6097" s="8">
        <f t="shared" si="381"/>
        <v>831034800</v>
      </c>
      <c r="J6097" s="8">
        <f t="shared" si="382"/>
        <v>310391497.8</v>
      </c>
      <c r="K6097" t="str">
        <f t="shared" si="383"/>
        <v>MATCHED</v>
      </c>
    </row>
    <row r="6098" spans="1:11">
      <c r="A6098" t="s">
        <v>128</v>
      </c>
      <c r="B6098" t="s">
        <v>1865</v>
      </c>
      <c r="C6098" t="s">
        <v>522</v>
      </c>
      <c r="D6098" t="s">
        <v>523</v>
      </c>
      <c r="E6098" s="8">
        <v>3780</v>
      </c>
      <c r="F6098" s="8">
        <v>130278.015873016</v>
      </c>
      <c r="G6098" s="8">
        <f t="shared" si="380"/>
        <v>492450900</v>
      </c>
      <c r="H6098" s="5">
        <v>0.53</v>
      </c>
      <c r="I6098" s="8">
        <f t="shared" si="381"/>
        <v>492450900</v>
      </c>
      <c r="J6098" s="8">
        <f t="shared" si="382"/>
        <v>260998977</v>
      </c>
      <c r="K6098" t="str">
        <f t="shared" si="383"/>
        <v>MATCHED</v>
      </c>
    </row>
    <row r="6099" spans="1:11">
      <c r="A6099" t="s">
        <v>128</v>
      </c>
      <c r="B6099" t="s">
        <v>1865</v>
      </c>
      <c r="C6099" t="s">
        <v>922</v>
      </c>
      <c r="D6099" t="s">
        <v>923</v>
      </c>
      <c r="E6099" s="8">
        <v>6480</v>
      </c>
      <c r="F6099" s="8">
        <v>131845.37037037</v>
      </c>
      <c r="G6099" s="8">
        <f t="shared" si="380"/>
        <v>854358000</v>
      </c>
      <c r="H6099" s="5">
        <v>0.5594</v>
      </c>
      <c r="I6099" s="8">
        <f t="shared" si="381"/>
        <v>854358000</v>
      </c>
      <c r="J6099" s="8">
        <f t="shared" si="382"/>
        <v>477927865.2</v>
      </c>
      <c r="K6099" t="str">
        <f t="shared" si="383"/>
        <v>MATCHED</v>
      </c>
    </row>
    <row r="6100" spans="1:11">
      <c r="A6100" t="s">
        <v>128</v>
      </c>
      <c r="B6100" t="s">
        <v>1865</v>
      </c>
      <c r="C6100" t="s">
        <v>243</v>
      </c>
      <c r="D6100" t="s">
        <v>244</v>
      </c>
      <c r="E6100" s="8">
        <v>34250</v>
      </c>
      <c r="F6100" s="8">
        <v>114696.887591241</v>
      </c>
      <c r="G6100" s="8">
        <f t="shared" si="380"/>
        <v>3928368400</v>
      </c>
      <c r="H6100" s="5">
        <v>0.4444</v>
      </c>
      <c r="I6100" s="8">
        <f t="shared" si="381"/>
        <v>3928368400</v>
      </c>
      <c r="J6100" s="8">
        <f t="shared" si="382"/>
        <v>1745766916.96</v>
      </c>
      <c r="K6100" t="str">
        <f t="shared" si="383"/>
        <v>MATCHED</v>
      </c>
    </row>
    <row r="6101" spans="1:11">
      <c r="A6101" t="s">
        <v>128</v>
      </c>
      <c r="B6101" t="s">
        <v>1865</v>
      </c>
      <c r="C6101" t="s">
        <v>245</v>
      </c>
      <c r="D6101" t="s">
        <v>246</v>
      </c>
      <c r="E6101" s="8">
        <v>16380</v>
      </c>
      <c r="F6101" s="8">
        <v>105600.7997558</v>
      </c>
      <c r="G6101" s="8">
        <f t="shared" si="380"/>
        <v>1729741100</v>
      </c>
      <c r="H6101" s="5">
        <v>0.2907</v>
      </c>
      <c r="I6101" s="8">
        <f t="shared" si="381"/>
        <v>1729741100</v>
      </c>
      <c r="J6101" s="8">
        <f t="shared" si="382"/>
        <v>502835737.77</v>
      </c>
      <c r="K6101" t="str">
        <f t="shared" si="383"/>
        <v>MATCHED</v>
      </c>
    </row>
    <row r="6102" spans="1:11">
      <c r="A6102" t="s">
        <v>128</v>
      </c>
      <c r="B6102" t="s">
        <v>1865</v>
      </c>
      <c r="C6102" t="s">
        <v>247</v>
      </c>
      <c r="D6102" t="s">
        <v>248</v>
      </c>
      <c r="E6102" s="8">
        <v>19650</v>
      </c>
      <c r="F6102" s="8">
        <v>165592.17302799</v>
      </c>
      <c r="G6102" s="8">
        <f t="shared" si="380"/>
        <v>3253886200</v>
      </c>
      <c r="H6102" s="5">
        <v>0.5265</v>
      </c>
      <c r="I6102" s="8">
        <f t="shared" si="381"/>
        <v>3253886200</v>
      </c>
      <c r="J6102" s="8">
        <f t="shared" si="382"/>
        <v>1713171084.3</v>
      </c>
      <c r="K6102" t="str">
        <f t="shared" si="383"/>
        <v>MATCHED</v>
      </c>
    </row>
    <row r="6103" spans="1:11">
      <c r="A6103" t="s">
        <v>128</v>
      </c>
      <c r="B6103" t="s">
        <v>1865</v>
      </c>
      <c r="C6103" t="s">
        <v>249</v>
      </c>
      <c r="D6103" t="s">
        <v>250</v>
      </c>
      <c r="E6103" s="8">
        <v>32150</v>
      </c>
      <c r="F6103" s="8">
        <v>161352.055987558</v>
      </c>
      <c r="G6103" s="8">
        <f t="shared" si="380"/>
        <v>5187468600</v>
      </c>
      <c r="H6103" s="5">
        <v>0.7221</v>
      </c>
      <c r="I6103" s="8">
        <f t="shared" si="381"/>
        <v>5187468600</v>
      </c>
      <c r="J6103" s="8">
        <f t="shared" si="382"/>
        <v>3745871076.06</v>
      </c>
      <c r="K6103" t="str">
        <f t="shared" si="383"/>
        <v>MATCHED</v>
      </c>
    </row>
    <row r="6104" spans="1:11">
      <c r="A6104" t="s">
        <v>128</v>
      </c>
      <c r="B6104" t="s">
        <v>1865</v>
      </c>
      <c r="C6104" t="s">
        <v>251</v>
      </c>
      <c r="D6104" t="s">
        <v>252</v>
      </c>
      <c r="E6104" s="8">
        <v>890</v>
      </c>
      <c r="F6104" s="8">
        <v>113910.898876404</v>
      </c>
      <c r="G6104" s="8">
        <f t="shared" si="380"/>
        <v>101380700</v>
      </c>
      <c r="H6104" s="5">
        <v>0.3636</v>
      </c>
      <c r="I6104" s="8">
        <f t="shared" si="381"/>
        <v>101380700</v>
      </c>
      <c r="J6104" s="8">
        <f t="shared" si="382"/>
        <v>36862022.52</v>
      </c>
      <c r="K6104" t="str">
        <f t="shared" si="383"/>
        <v>MATCHED</v>
      </c>
    </row>
    <row r="6105" spans="1:11">
      <c r="A6105" t="s">
        <v>128</v>
      </c>
      <c r="B6105" t="s">
        <v>1865</v>
      </c>
      <c r="C6105" t="s">
        <v>253</v>
      </c>
      <c r="D6105" t="s">
        <v>254</v>
      </c>
      <c r="E6105" s="8">
        <v>2320</v>
      </c>
      <c r="F6105" s="8">
        <v>137474.137931034</v>
      </c>
      <c r="G6105" s="8">
        <f t="shared" si="380"/>
        <v>318940000</v>
      </c>
      <c r="H6105" s="5">
        <v>0.6944</v>
      </c>
      <c r="I6105" s="8">
        <f t="shared" si="381"/>
        <v>318940000</v>
      </c>
      <c r="J6105" s="8">
        <f t="shared" si="382"/>
        <v>221471936</v>
      </c>
      <c r="K6105" t="str">
        <f t="shared" si="383"/>
        <v>MATCHED</v>
      </c>
    </row>
    <row r="6106" spans="1:11">
      <c r="A6106" t="s">
        <v>128</v>
      </c>
      <c r="B6106" t="s">
        <v>1865</v>
      </c>
      <c r="C6106" t="s">
        <v>255</v>
      </c>
      <c r="D6106" t="s">
        <v>256</v>
      </c>
      <c r="E6106" s="8">
        <v>3370</v>
      </c>
      <c r="F6106" s="8">
        <v>110273.798219585</v>
      </c>
      <c r="G6106" s="8">
        <f t="shared" si="380"/>
        <v>371622700</v>
      </c>
      <c r="H6106" s="5">
        <v>0.5783</v>
      </c>
      <c r="I6106" s="8">
        <f t="shared" si="381"/>
        <v>371622700</v>
      </c>
      <c r="J6106" s="8">
        <f t="shared" si="382"/>
        <v>214909407.41</v>
      </c>
      <c r="K6106" t="str">
        <f t="shared" si="383"/>
        <v>MATCHED</v>
      </c>
    </row>
    <row r="6107" spans="1:11">
      <c r="A6107" t="s">
        <v>128</v>
      </c>
      <c r="B6107" t="s">
        <v>1865</v>
      </c>
      <c r="C6107" t="s">
        <v>524</v>
      </c>
      <c r="D6107" t="s">
        <v>525</v>
      </c>
      <c r="E6107" s="8">
        <v>1290</v>
      </c>
      <c r="F6107" s="8">
        <v>140710.852713178</v>
      </c>
      <c r="G6107" s="8">
        <f t="shared" si="380"/>
        <v>181517000</v>
      </c>
      <c r="H6107" s="5">
        <v>0.5771</v>
      </c>
      <c r="I6107" s="8">
        <f t="shared" si="381"/>
        <v>181517000</v>
      </c>
      <c r="J6107" s="8">
        <f t="shared" si="382"/>
        <v>104753460.7</v>
      </c>
      <c r="K6107" t="str">
        <f t="shared" si="383"/>
        <v>MATCHED</v>
      </c>
    </row>
    <row r="6108" spans="1:11">
      <c r="A6108" t="s">
        <v>128</v>
      </c>
      <c r="B6108" t="s">
        <v>1865</v>
      </c>
      <c r="C6108" t="s">
        <v>257</v>
      </c>
      <c r="D6108" t="s">
        <v>258</v>
      </c>
      <c r="E6108" s="8">
        <v>18220</v>
      </c>
      <c r="F6108" s="8">
        <v>137037.261251372</v>
      </c>
      <c r="G6108" s="8">
        <f t="shared" si="380"/>
        <v>2496818900</v>
      </c>
      <c r="H6108" s="5">
        <v>0.5962</v>
      </c>
      <c r="I6108" s="8">
        <f t="shared" si="381"/>
        <v>2496818900</v>
      </c>
      <c r="J6108" s="8">
        <f t="shared" si="382"/>
        <v>1488603428.18</v>
      </c>
      <c r="K6108" t="str">
        <f t="shared" si="383"/>
        <v>MATCHED</v>
      </c>
    </row>
    <row r="6109" spans="1:11">
      <c r="A6109" t="s">
        <v>128</v>
      </c>
      <c r="B6109" t="s">
        <v>1865</v>
      </c>
      <c r="C6109" t="s">
        <v>526</v>
      </c>
      <c r="D6109" t="s">
        <v>527</v>
      </c>
      <c r="E6109" s="8">
        <v>4300</v>
      </c>
      <c r="F6109" s="8">
        <v>127857.372093023</v>
      </c>
      <c r="G6109" s="8">
        <f t="shared" si="380"/>
        <v>549786700</v>
      </c>
      <c r="H6109" s="5">
        <v>0.6833</v>
      </c>
      <c r="I6109" s="8">
        <f t="shared" si="381"/>
        <v>549786700</v>
      </c>
      <c r="J6109" s="8">
        <f t="shared" si="382"/>
        <v>375669252.11</v>
      </c>
      <c r="K6109" t="str">
        <f t="shared" si="383"/>
        <v>MATCHED</v>
      </c>
    </row>
    <row r="6110" spans="1:11">
      <c r="A6110" t="s">
        <v>128</v>
      </c>
      <c r="B6110" t="s">
        <v>1865</v>
      </c>
      <c r="C6110" t="s">
        <v>259</v>
      </c>
      <c r="D6110" t="s">
        <v>260</v>
      </c>
      <c r="E6110" s="8">
        <v>110</v>
      </c>
      <c r="F6110" s="8">
        <v>61680</v>
      </c>
      <c r="G6110" s="8">
        <f t="shared" si="380"/>
        <v>6784800</v>
      </c>
      <c r="H6110" s="5">
        <v>0.22</v>
      </c>
      <c r="I6110" s="8">
        <f t="shared" si="381"/>
        <v>6784800</v>
      </c>
      <c r="J6110" s="8">
        <f t="shared" si="382"/>
        <v>1492656</v>
      </c>
      <c r="K6110" t="str">
        <f t="shared" si="383"/>
        <v>MATCHED</v>
      </c>
    </row>
    <row r="6111" spans="1:11">
      <c r="A6111" t="s">
        <v>128</v>
      </c>
      <c r="B6111" t="s">
        <v>1865</v>
      </c>
      <c r="C6111" t="s">
        <v>528</v>
      </c>
      <c r="D6111" t="s">
        <v>529</v>
      </c>
      <c r="E6111" s="8">
        <v>1500</v>
      </c>
      <c r="F6111" s="8">
        <v>129921.2</v>
      </c>
      <c r="G6111" s="8">
        <f t="shared" si="380"/>
        <v>194881800</v>
      </c>
      <c r="H6111" s="5">
        <v>0.374</v>
      </c>
      <c r="I6111" s="8">
        <f t="shared" si="381"/>
        <v>194881800</v>
      </c>
      <c r="J6111" s="8">
        <f t="shared" si="382"/>
        <v>72885793.2</v>
      </c>
      <c r="K6111" t="str">
        <f t="shared" si="383"/>
        <v>MATCHED</v>
      </c>
    </row>
    <row r="6112" spans="1:11">
      <c r="A6112" t="s">
        <v>128</v>
      </c>
      <c r="B6112" t="s">
        <v>1865</v>
      </c>
      <c r="C6112" t="s">
        <v>1705</v>
      </c>
      <c r="D6112" t="s">
        <v>1706</v>
      </c>
      <c r="E6112" s="8">
        <v>63180</v>
      </c>
      <c r="F6112" s="8">
        <v>62300</v>
      </c>
      <c r="G6112" s="8">
        <f t="shared" si="380"/>
        <v>3936114000</v>
      </c>
      <c r="H6112" s="5">
        <v>0.4</v>
      </c>
      <c r="I6112" s="8">
        <f t="shared" si="381"/>
        <v>3936114000</v>
      </c>
      <c r="J6112" s="8">
        <f t="shared" si="382"/>
        <v>1574445600</v>
      </c>
      <c r="K6112" t="str">
        <f t="shared" si="383"/>
        <v>MATCHED</v>
      </c>
    </row>
    <row r="6113" spans="1:11">
      <c r="A6113" t="s">
        <v>128</v>
      </c>
      <c r="B6113" t="s">
        <v>1865</v>
      </c>
      <c r="C6113" t="s">
        <v>1707</v>
      </c>
      <c r="D6113" t="s">
        <v>1708</v>
      </c>
      <c r="E6113" s="8">
        <v>830</v>
      </c>
      <c r="F6113" s="8">
        <v>87630</v>
      </c>
      <c r="G6113" s="8">
        <f t="shared" si="380"/>
        <v>72732900</v>
      </c>
      <c r="H6113" s="5">
        <v>0.3</v>
      </c>
      <c r="I6113" s="8">
        <f t="shared" si="381"/>
        <v>72732900</v>
      </c>
      <c r="J6113" s="8">
        <f t="shared" si="382"/>
        <v>21819870</v>
      </c>
      <c r="K6113" t="str">
        <f t="shared" si="383"/>
        <v>MATCHED</v>
      </c>
    </row>
    <row r="6114" spans="1:11">
      <c r="A6114" t="s">
        <v>128</v>
      </c>
      <c r="B6114" t="s">
        <v>1865</v>
      </c>
      <c r="C6114" t="s">
        <v>1630</v>
      </c>
      <c r="D6114" t="s">
        <v>1631</v>
      </c>
      <c r="E6114" s="8">
        <v>490</v>
      </c>
      <c r="F6114" s="8">
        <v>161621.836734694</v>
      </c>
      <c r="G6114" s="8">
        <f t="shared" si="380"/>
        <v>79194700</v>
      </c>
      <c r="H6114" s="5">
        <v>0.4448</v>
      </c>
      <c r="I6114" s="8">
        <f t="shared" si="381"/>
        <v>79194700</v>
      </c>
      <c r="J6114" s="8">
        <f t="shared" si="382"/>
        <v>35225802.56</v>
      </c>
      <c r="K6114" t="str">
        <f t="shared" si="383"/>
        <v>MATCHED</v>
      </c>
    </row>
    <row r="6115" spans="1:11">
      <c r="A6115" t="s">
        <v>128</v>
      </c>
      <c r="B6115" t="s">
        <v>1865</v>
      </c>
      <c r="C6115" t="s">
        <v>1563</v>
      </c>
      <c r="D6115" t="s">
        <v>1564</v>
      </c>
      <c r="E6115" s="8">
        <v>3300</v>
      </c>
      <c r="F6115" s="8">
        <v>90781.2727272727</v>
      </c>
      <c r="G6115" s="8">
        <f t="shared" si="380"/>
        <v>299578200</v>
      </c>
      <c r="H6115" s="5"/>
      <c r="I6115" s="8" t="str">
        <f t="shared" si="381"/>
        <v/>
      </c>
      <c r="J6115" s="8" t="str">
        <f t="shared" si="382"/>
        <v/>
      </c>
      <c r="K6115" t="str">
        <f t="shared" si="383"/>
        <v>MISSING WHARTON</v>
      </c>
    </row>
    <row r="6116" spans="1:11">
      <c r="A6116" t="s">
        <v>128</v>
      </c>
      <c r="B6116" t="s">
        <v>1865</v>
      </c>
      <c r="C6116" t="s">
        <v>530</v>
      </c>
      <c r="D6116" t="s">
        <v>531</v>
      </c>
      <c r="E6116" s="8">
        <v>370</v>
      </c>
      <c r="F6116" s="8">
        <v>188410</v>
      </c>
      <c r="G6116" s="8">
        <f t="shared" si="380"/>
        <v>69711700</v>
      </c>
      <c r="H6116" s="5">
        <v>0.263</v>
      </c>
      <c r="I6116" s="8">
        <f t="shared" si="381"/>
        <v>69711700</v>
      </c>
      <c r="J6116" s="8">
        <f t="shared" si="382"/>
        <v>18334177.1</v>
      </c>
      <c r="K6116" t="str">
        <f t="shared" si="383"/>
        <v>MATCHED</v>
      </c>
    </row>
    <row r="6117" spans="1:11">
      <c r="A6117" t="s">
        <v>128</v>
      </c>
      <c r="B6117" t="s">
        <v>1865</v>
      </c>
      <c r="C6117" t="s">
        <v>1144</v>
      </c>
      <c r="D6117" t="s">
        <v>1145</v>
      </c>
      <c r="E6117" s="8">
        <v>6510</v>
      </c>
      <c r="F6117" s="8">
        <v>88773.9784946237</v>
      </c>
      <c r="G6117" s="8">
        <f t="shared" si="380"/>
        <v>577918600</v>
      </c>
      <c r="H6117" s="5">
        <v>0.3821</v>
      </c>
      <c r="I6117" s="8">
        <f t="shared" si="381"/>
        <v>577918600</v>
      </c>
      <c r="J6117" s="8">
        <f t="shared" si="382"/>
        <v>220822697.06</v>
      </c>
      <c r="K6117" t="str">
        <f t="shared" si="383"/>
        <v>MATCHED</v>
      </c>
    </row>
    <row r="6118" spans="1:11">
      <c r="A6118" t="s">
        <v>128</v>
      </c>
      <c r="B6118" t="s">
        <v>1865</v>
      </c>
      <c r="C6118" t="s">
        <v>1460</v>
      </c>
      <c r="D6118" t="s">
        <v>1461</v>
      </c>
      <c r="E6118" s="8">
        <v>680</v>
      </c>
      <c r="F6118" s="8">
        <v>72550</v>
      </c>
      <c r="G6118" s="8">
        <f t="shared" si="380"/>
        <v>49334000</v>
      </c>
      <c r="H6118" s="5">
        <v>0.3176</v>
      </c>
      <c r="I6118" s="8">
        <f t="shared" si="381"/>
        <v>49334000</v>
      </c>
      <c r="J6118" s="8">
        <f t="shared" si="382"/>
        <v>15668478.4</v>
      </c>
      <c r="K6118" t="str">
        <f t="shared" si="383"/>
        <v>MATCHED</v>
      </c>
    </row>
    <row r="6119" spans="1:11">
      <c r="A6119" t="s">
        <v>128</v>
      </c>
      <c r="B6119" t="s">
        <v>1865</v>
      </c>
      <c r="C6119" t="s">
        <v>924</v>
      </c>
      <c r="D6119" t="s">
        <v>925</v>
      </c>
      <c r="E6119" s="8">
        <v>200</v>
      </c>
      <c r="F6119" s="8">
        <v>72300</v>
      </c>
      <c r="G6119" s="8">
        <f t="shared" si="380"/>
        <v>14460000</v>
      </c>
      <c r="H6119" s="5">
        <v>0.4729</v>
      </c>
      <c r="I6119" s="8">
        <f t="shared" si="381"/>
        <v>14460000</v>
      </c>
      <c r="J6119" s="8">
        <f t="shared" si="382"/>
        <v>6838134</v>
      </c>
      <c r="K6119" t="str">
        <f t="shared" si="383"/>
        <v>MATCHED</v>
      </c>
    </row>
    <row r="6120" spans="1:11">
      <c r="A6120" t="s">
        <v>128</v>
      </c>
      <c r="B6120" t="s">
        <v>1865</v>
      </c>
      <c r="C6120" t="s">
        <v>1146</v>
      </c>
      <c r="D6120" t="s">
        <v>1147</v>
      </c>
      <c r="E6120" s="8">
        <v>433340</v>
      </c>
      <c r="F6120" s="8">
        <v>133671.894586237</v>
      </c>
      <c r="G6120" s="8">
        <f t="shared" si="380"/>
        <v>57925378800</v>
      </c>
      <c r="H6120" s="5">
        <v>0.4417</v>
      </c>
      <c r="I6120" s="8">
        <f t="shared" si="381"/>
        <v>57925378800</v>
      </c>
      <c r="J6120" s="8">
        <f t="shared" si="382"/>
        <v>25585639815.96</v>
      </c>
      <c r="K6120" t="str">
        <f t="shared" si="383"/>
        <v>MATCHED</v>
      </c>
    </row>
    <row r="6121" spans="1:11">
      <c r="A6121" t="s">
        <v>128</v>
      </c>
      <c r="B6121" t="s">
        <v>1865</v>
      </c>
      <c r="C6121" t="s">
        <v>261</v>
      </c>
      <c r="D6121" t="s">
        <v>262</v>
      </c>
      <c r="E6121" s="8">
        <v>6650</v>
      </c>
      <c r="F6121" s="8">
        <v>112559.654135338</v>
      </c>
      <c r="G6121" s="8">
        <f t="shared" si="380"/>
        <v>748521700</v>
      </c>
      <c r="H6121" s="5">
        <v>0.382</v>
      </c>
      <c r="I6121" s="8">
        <f t="shared" si="381"/>
        <v>748521700</v>
      </c>
      <c r="J6121" s="8">
        <f t="shared" si="382"/>
        <v>285935289.4</v>
      </c>
      <c r="K6121" t="str">
        <f t="shared" si="383"/>
        <v>MATCHED</v>
      </c>
    </row>
    <row r="6122" spans="1:11">
      <c r="A6122" t="s">
        <v>128</v>
      </c>
      <c r="B6122" t="s">
        <v>1865</v>
      </c>
      <c r="C6122" t="s">
        <v>532</v>
      </c>
      <c r="D6122" t="s">
        <v>533</v>
      </c>
      <c r="E6122" s="8">
        <v>3330</v>
      </c>
      <c r="F6122" s="8">
        <v>84770</v>
      </c>
      <c r="G6122" s="8">
        <f t="shared" si="380"/>
        <v>282284100</v>
      </c>
      <c r="H6122" s="5">
        <v>0.3833</v>
      </c>
      <c r="I6122" s="8">
        <f t="shared" si="381"/>
        <v>282284100</v>
      </c>
      <c r="J6122" s="8">
        <f t="shared" si="382"/>
        <v>108199495.53</v>
      </c>
      <c r="K6122" t="str">
        <f t="shared" si="383"/>
        <v>MATCHED</v>
      </c>
    </row>
    <row r="6123" spans="1:11">
      <c r="A6123" t="s">
        <v>128</v>
      </c>
      <c r="B6123" t="s">
        <v>1865</v>
      </c>
      <c r="C6123" t="s">
        <v>926</v>
      </c>
      <c r="D6123" t="s">
        <v>927</v>
      </c>
      <c r="E6123" s="8">
        <v>129940</v>
      </c>
      <c r="F6123" s="8">
        <v>81914.1819301216</v>
      </c>
      <c r="G6123" s="8">
        <f t="shared" si="380"/>
        <v>10643928800</v>
      </c>
      <c r="H6123" s="5">
        <v>0.3656</v>
      </c>
      <c r="I6123" s="8">
        <f t="shared" si="381"/>
        <v>10643928800</v>
      </c>
      <c r="J6123" s="8">
        <f t="shared" si="382"/>
        <v>3891420369.28</v>
      </c>
      <c r="K6123" t="str">
        <f t="shared" si="383"/>
        <v>MATCHED</v>
      </c>
    </row>
    <row r="6124" spans="1:11">
      <c r="A6124" t="s">
        <v>128</v>
      </c>
      <c r="B6124" t="s">
        <v>1865</v>
      </c>
      <c r="C6124" t="s">
        <v>816</v>
      </c>
      <c r="D6124" t="s">
        <v>817</v>
      </c>
      <c r="E6124" s="8">
        <v>1190</v>
      </c>
      <c r="F6124" s="8">
        <v>107331.512605042</v>
      </c>
      <c r="G6124" s="8">
        <f t="shared" si="380"/>
        <v>127724500</v>
      </c>
      <c r="H6124" s="5">
        <v>0.4174</v>
      </c>
      <c r="I6124" s="8">
        <f t="shared" si="381"/>
        <v>127724500</v>
      </c>
      <c r="J6124" s="8">
        <f t="shared" si="382"/>
        <v>53312206.3</v>
      </c>
      <c r="K6124" t="str">
        <f t="shared" si="383"/>
        <v>MATCHED</v>
      </c>
    </row>
    <row r="6125" spans="1:11">
      <c r="A6125" t="s">
        <v>128</v>
      </c>
      <c r="B6125" t="s">
        <v>1865</v>
      </c>
      <c r="C6125" t="s">
        <v>1148</v>
      </c>
      <c r="D6125" t="s">
        <v>1149</v>
      </c>
      <c r="E6125" s="8">
        <v>2190</v>
      </c>
      <c r="F6125" s="8">
        <v>71658.6757990868</v>
      </c>
      <c r="G6125" s="8">
        <f t="shared" si="380"/>
        <v>156932500</v>
      </c>
      <c r="H6125" s="5">
        <v>0.4143</v>
      </c>
      <c r="I6125" s="8">
        <f t="shared" si="381"/>
        <v>156932500</v>
      </c>
      <c r="J6125" s="8">
        <f t="shared" si="382"/>
        <v>65017134.75</v>
      </c>
      <c r="K6125" t="str">
        <f t="shared" si="383"/>
        <v>MATCHED</v>
      </c>
    </row>
    <row r="6126" spans="1:11">
      <c r="A6126" t="s">
        <v>128</v>
      </c>
      <c r="B6126" t="s">
        <v>1865</v>
      </c>
      <c r="C6126" t="s">
        <v>263</v>
      </c>
      <c r="D6126" t="s">
        <v>264</v>
      </c>
      <c r="E6126" s="8">
        <v>28320</v>
      </c>
      <c r="F6126" s="8">
        <v>130571.338276836</v>
      </c>
      <c r="G6126" s="8">
        <f t="shared" si="380"/>
        <v>3697780300</v>
      </c>
      <c r="H6126" s="5">
        <v>0.4896</v>
      </c>
      <c r="I6126" s="8">
        <f t="shared" si="381"/>
        <v>3697780300</v>
      </c>
      <c r="J6126" s="8">
        <f t="shared" si="382"/>
        <v>1810433234.88</v>
      </c>
      <c r="K6126" t="str">
        <f t="shared" si="383"/>
        <v>MATCHED</v>
      </c>
    </row>
    <row r="6127" spans="1:11">
      <c r="A6127" t="s">
        <v>128</v>
      </c>
      <c r="B6127" t="s">
        <v>1865</v>
      </c>
      <c r="C6127" t="s">
        <v>265</v>
      </c>
      <c r="D6127" t="s">
        <v>266</v>
      </c>
      <c r="E6127" s="8">
        <v>16180</v>
      </c>
      <c r="F6127" s="8">
        <v>69275.9456118665</v>
      </c>
      <c r="G6127" s="8">
        <f t="shared" si="380"/>
        <v>1120884800</v>
      </c>
      <c r="H6127" s="5">
        <v>0.5876</v>
      </c>
      <c r="I6127" s="8">
        <f t="shared" si="381"/>
        <v>1120884800</v>
      </c>
      <c r="J6127" s="8">
        <f t="shared" si="382"/>
        <v>658631908.48</v>
      </c>
      <c r="K6127" t="str">
        <f t="shared" si="383"/>
        <v>MATCHED</v>
      </c>
    </row>
    <row r="6128" spans="1:11">
      <c r="A6128" t="s">
        <v>128</v>
      </c>
      <c r="B6128" t="s">
        <v>1865</v>
      </c>
      <c r="C6128" t="s">
        <v>818</v>
      </c>
      <c r="D6128" t="s">
        <v>819</v>
      </c>
      <c r="E6128" s="8">
        <v>2290</v>
      </c>
      <c r="F6128" s="8">
        <v>63358.6026200873</v>
      </c>
      <c r="G6128" s="8">
        <f t="shared" si="380"/>
        <v>145091200</v>
      </c>
      <c r="H6128" s="5">
        <v>0.6983</v>
      </c>
      <c r="I6128" s="8">
        <f t="shared" si="381"/>
        <v>145091200</v>
      </c>
      <c r="J6128" s="8">
        <f t="shared" si="382"/>
        <v>101317184.96</v>
      </c>
      <c r="K6128" t="str">
        <f t="shared" si="383"/>
        <v>MATCHED</v>
      </c>
    </row>
    <row r="6129" spans="1:11">
      <c r="A6129" t="s">
        <v>128</v>
      </c>
      <c r="B6129" t="s">
        <v>1865</v>
      </c>
      <c r="C6129" t="s">
        <v>267</v>
      </c>
      <c r="D6129" t="s">
        <v>268</v>
      </c>
      <c r="E6129" s="8">
        <v>35060</v>
      </c>
      <c r="F6129" s="8">
        <v>77413.696520251</v>
      </c>
      <c r="G6129" s="8">
        <f t="shared" si="380"/>
        <v>2714124200</v>
      </c>
      <c r="H6129" s="5">
        <v>0.4611</v>
      </c>
      <c r="I6129" s="8">
        <f t="shared" si="381"/>
        <v>2714124200</v>
      </c>
      <c r="J6129" s="8">
        <f t="shared" si="382"/>
        <v>1251482668.62</v>
      </c>
      <c r="K6129" t="str">
        <f t="shared" si="383"/>
        <v>MATCHED</v>
      </c>
    </row>
    <row r="6130" spans="1:11">
      <c r="A6130" t="s">
        <v>128</v>
      </c>
      <c r="B6130" t="s">
        <v>1865</v>
      </c>
      <c r="C6130" t="s">
        <v>534</v>
      </c>
      <c r="D6130" t="s">
        <v>535</v>
      </c>
      <c r="E6130" s="8">
        <v>200</v>
      </c>
      <c r="F6130" s="8">
        <v>73690</v>
      </c>
      <c r="G6130" s="8">
        <f t="shared" si="380"/>
        <v>14738000</v>
      </c>
      <c r="H6130" s="5">
        <v>0.6393</v>
      </c>
      <c r="I6130" s="8">
        <f t="shared" si="381"/>
        <v>14738000</v>
      </c>
      <c r="J6130" s="8">
        <f t="shared" si="382"/>
        <v>9422003.4</v>
      </c>
      <c r="K6130" t="str">
        <f t="shared" si="383"/>
        <v>MATCHED</v>
      </c>
    </row>
    <row r="6131" spans="1:11">
      <c r="A6131" t="s">
        <v>128</v>
      </c>
      <c r="B6131" t="s">
        <v>1865</v>
      </c>
      <c r="C6131" t="s">
        <v>269</v>
      </c>
      <c r="D6131" t="s">
        <v>270</v>
      </c>
      <c r="E6131" s="8">
        <v>100220</v>
      </c>
      <c r="F6131" s="8">
        <v>69574.4581919777</v>
      </c>
      <c r="G6131" s="8">
        <f t="shared" si="380"/>
        <v>6972752200</v>
      </c>
      <c r="H6131" s="5">
        <v>0.7808</v>
      </c>
      <c r="I6131" s="8">
        <f t="shared" si="381"/>
        <v>6972752200</v>
      </c>
      <c r="J6131" s="8">
        <f t="shared" si="382"/>
        <v>5444324917.76</v>
      </c>
      <c r="K6131" t="str">
        <f t="shared" si="383"/>
        <v>MATCHED</v>
      </c>
    </row>
    <row r="6132" spans="1:11">
      <c r="A6132" t="s">
        <v>128</v>
      </c>
      <c r="B6132" t="s">
        <v>1865</v>
      </c>
      <c r="C6132" t="s">
        <v>820</v>
      </c>
      <c r="D6132" t="s">
        <v>821</v>
      </c>
      <c r="E6132" s="8">
        <v>1150</v>
      </c>
      <c r="F6132" s="8">
        <v>92748.1739130435</v>
      </c>
      <c r="G6132" s="8">
        <f t="shared" si="380"/>
        <v>106660400</v>
      </c>
      <c r="H6132" s="5">
        <v>0.5536</v>
      </c>
      <c r="I6132" s="8">
        <f t="shared" si="381"/>
        <v>106660400</v>
      </c>
      <c r="J6132" s="8">
        <f t="shared" si="382"/>
        <v>59047197.44</v>
      </c>
      <c r="K6132" t="str">
        <f t="shared" si="383"/>
        <v>MATCHED</v>
      </c>
    </row>
    <row r="6133" spans="1:11">
      <c r="A6133" t="s">
        <v>128</v>
      </c>
      <c r="B6133" t="s">
        <v>1865</v>
      </c>
      <c r="C6133" t="s">
        <v>273</v>
      </c>
      <c r="D6133" t="s">
        <v>274</v>
      </c>
      <c r="E6133" s="8">
        <v>4380</v>
      </c>
      <c r="F6133" s="8">
        <v>71211.5753424658</v>
      </c>
      <c r="G6133" s="8">
        <f t="shared" si="380"/>
        <v>311906700</v>
      </c>
      <c r="H6133" s="5">
        <v>0.6943</v>
      </c>
      <c r="I6133" s="8">
        <f t="shared" si="381"/>
        <v>311906700</v>
      </c>
      <c r="J6133" s="8">
        <f t="shared" si="382"/>
        <v>216556821.81</v>
      </c>
      <c r="K6133" t="str">
        <f t="shared" si="383"/>
        <v>MATCHED</v>
      </c>
    </row>
    <row r="6134" spans="1:11">
      <c r="A6134" t="s">
        <v>128</v>
      </c>
      <c r="B6134" t="s">
        <v>1865</v>
      </c>
      <c r="C6134" t="s">
        <v>275</v>
      </c>
      <c r="D6134" t="s">
        <v>276</v>
      </c>
      <c r="E6134" s="8">
        <v>27040</v>
      </c>
      <c r="F6134" s="8">
        <v>98169.5673076923</v>
      </c>
      <c r="G6134" s="8">
        <f t="shared" si="380"/>
        <v>2654505100</v>
      </c>
      <c r="H6134" s="5">
        <v>0.6375</v>
      </c>
      <c r="I6134" s="8">
        <f t="shared" si="381"/>
        <v>2654505100</v>
      </c>
      <c r="J6134" s="8">
        <f t="shared" si="382"/>
        <v>1692247001.25</v>
      </c>
      <c r="K6134" t="str">
        <f t="shared" si="383"/>
        <v>MATCHED</v>
      </c>
    </row>
    <row r="6135" spans="1:11">
      <c r="A6135" t="s">
        <v>128</v>
      </c>
      <c r="B6135" t="s">
        <v>1865</v>
      </c>
      <c r="C6135" t="s">
        <v>277</v>
      </c>
      <c r="D6135" t="s">
        <v>278</v>
      </c>
      <c r="E6135" s="8">
        <v>21520</v>
      </c>
      <c r="F6135" s="8">
        <v>99091.3661710037</v>
      </c>
      <c r="G6135" s="8">
        <f t="shared" si="380"/>
        <v>2132446200</v>
      </c>
      <c r="H6135" s="5">
        <v>0.5773</v>
      </c>
      <c r="I6135" s="8">
        <f t="shared" si="381"/>
        <v>2132446200</v>
      </c>
      <c r="J6135" s="8">
        <f t="shared" si="382"/>
        <v>1231061191.26</v>
      </c>
      <c r="K6135" t="str">
        <f t="shared" si="383"/>
        <v>MATCHED</v>
      </c>
    </row>
    <row r="6136" spans="1:11">
      <c r="A6136" t="s">
        <v>128</v>
      </c>
      <c r="B6136" t="s">
        <v>1865</v>
      </c>
      <c r="C6136" t="s">
        <v>279</v>
      </c>
      <c r="D6136" t="s">
        <v>280</v>
      </c>
      <c r="E6136" s="8">
        <v>4410</v>
      </c>
      <c r="F6136" s="8">
        <v>60595.1927437642</v>
      </c>
      <c r="G6136" s="8">
        <f t="shared" si="380"/>
        <v>267224800</v>
      </c>
      <c r="H6136" s="5">
        <v>0.4476</v>
      </c>
      <c r="I6136" s="8">
        <f t="shared" si="381"/>
        <v>267224800</v>
      </c>
      <c r="J6136" s="8">
        <f t="shared" si="382"/>
        <v>119609820.48</v>
      </c>
      <c r="K6136" t="str">
        <f t="shared" si="383"/>
        <v>MATCHED</v>
      </c>
    </row>
    <row r="6137" spans="1:11">
      <c r="A6137" t="s">
        <v>128</v>
      </c>
      <c r="B6137" t="s">
        <v>1865</v>
      </c>
      <c r="C6137" t="s">
        <v>928</v>
      </c>
      <c r="D6137" t="s">
        <v>929</v>
      </c>
      <c r="E6137" s="8">
        <v>21880</v>
      </c>
      <c r="F6137" s="8">
        <v>71882.8336380256</v>
      </c>
      <c r="G6137" s="8">
        <f t="shared" si="380"/>
        <v>1572796400</v>
      </c>
      <c r="H6137" s="5">
        <v>0.5571</v>
      </c>
      <c r="I6137" s="8">
        <f t="shared" si="381"/>
        <v>1572796400</v>
      </c>
      <c r="J6137" s="8">
        <f t="shared" si="382"/>
        <v>876204874.44</v>
      </c>
      <c r="K6137" t="str">
        <f t="shared" si="383"/>
        <v>MATCHED</v>
      </c>
    </row>
    <row r="6138" spans="1:11">
      <c r="A6138" t="s">
        <v>128</v>
      </c>
      <c r="B6138" t="s">
        <v>1865</v>
      </c>
      <c r="C6138" t="s">
        <v>281</v>
      </c>
      <c r="D6138" t="s">
        <v>282</v>
      </c>
      <c r="E6138" s="8">
        <v>7680</v>
      </c>
      <c r="F6138" s="8">
        <v>74679.0104166667</v>
      </c>
      <c r="G6138" s="8">
        <f t="shared" si="380"/>
        <v>573534800</v>
      </c>
      <c r="H6138" s="5">
        <v>0.6167</v>
      </c>
      <c r="I6138" s="8">
        <f t="shared" si="381"/>
        <v>573534800</v>
      </c>
      <c r="J6138" s="8">
        <f t="shared" si="382"/>
        <v>353698911.16</v>
      </c>
      <c r="K6138" t="str">
        <f t="shared" si="383"/>
        <v>MATCHED</v>
      </c>
    </row>
    <row r="6139" spans="1:11">
      <c r="A6139" t="s">
        <v>128</v>
      </c>
      <c r="B6139" t="s">
        <v>1865</v>
      </c>
      <c r="C6139" t="s">
        <v>283</v>
      </c>
      <c r="D6139" t="s">
        <v>284</v>
      </c>
      <c r="E6139" s="8">
        <v>53080</v>
      </c>
      <c r="F6139" s="8">
        <v>73978.9562923888</v>
      </c>
      <c r="G6139" s="8">
        <f t="shared" si="380"/>
        <v>3926803000</v>
      </c>
      <c r="H6139" s="5">
        <v>0.565</v>
      </c>
      <c r="I6139" s="8">
        <f t="shared" si="381"/>
        <v>3926803000</v>
      </c>
      <c r="J6139" s="8">
        <f t="shared" si="382"/>
        <v>2218643695</v>
      </c>
      <c r="K6139" t="str">
        <f t="shared" si="383"/>
        <v>MATCHED</v>
      </c>
    </row>
    <row r="6140" spans="1:11">
      <c r="A6140" t="s">
        <v>128</v>
      </c>
      <c r="B6140" t="s">
        <v>1865</v>
      </c>
      <c r="C6140" t="s">
        <v>285</v>
      </c>
      <c r="D6140" t="s">
        <v>286</v>
      </c>
      <c r="E6140" s="8">
        <v>44820</v>
      </c>
      <c r="F6140" s="8">
        <v>71633.7215528782</v>
      </c>
      <c r="G6140" s="8">
        <f t="shared" si="380"/>
        <v>3210623400</v>
      </c>
      <c r="H6140" s="5">
        <v>0.7792</v>
      </c>
      <c r="I6140" s="8">
        <f t="shared" si="381"/>
        <v>3210623400</v>
      </c>
      <c r="J6140" s="8">
        <f t="shared" si="382"/>
        <v>2501717753.28</v>
      </c>
      <c r="K6140" t="str">
        <f t="shared" si="383"/>
        <v>MATCHED</v>
      </c>
    </row>
    <row r="6141" spans="1:11">
      <c r="A6141" t="s">
        <v>128</v>
      </c>
      <c r="B6141" t="s">
        <v>1865</v>
      </c>
      <c r="C6141" t="s">
        <v>287</v>
      </c>
      <c r="D6141" t="s">
        <v>288</v>
      </c>
      <c r="E6141" s="8">
        <v>58390</v>
      </c>
      <c r="F6141" s="8">
        <v>78162.1459153965</v>
      </c>
      <c r="G6141" s="8">
        <f t="shared" si="380"/>
        <v>4563887700</v>
      </c>
      <c r="H6141" s="5">
        <v>0.6599</v>
      </c>
      <c r="I6141" s="8">
        <f t="shared" si="381"/>
        <v>4563887700</v>
      </c>
      <c r="J6141" s="8">
        <f t="shared" si="382"/>
        <v>3011709493.23</v>
      </c>
      <c r="K6141" t="str">
        <f t="shared" si="383"/>
        <v>MATCHED</v>
      </c>
    </row>
    <row r="6142" spans="1:11">
      <c r="A6142" t="s">
        <v>128</v>
      </c>
      <c r="B6142" t="s">
        <v>1865</v>
      </c>
      <c r="C6142" t="s">
        <v>289</v>
      </c>
      <c r="D6142" t="s">
        <v>290</v>
      </c>
      <c r="E6142" s="8">
        <v>59380</v>
      </c>
      <c r="F6142" s="8">
        <v>85410.8352980802</v>
      </c>
      <c r="G6142" s="8">
        <f t="shared" si="380"/>
        <v>5071695400</v>
      </c>
      <c r="H6142" s="5">
        <v>0.795</v>
      </c>
      <c r="I6142" s="8">
        <f t="shared" si="381"/>
        <v>5071695400</v>
      </c>
      <c r="J6142" s="8">
        <f t="shared" si="382"/>
        <v>4031997843</v>
      </c>
      <c r="K6142" t="str">
        <f t="shared" si="383"/>
        <v>MATCHED</v>
      </c>
    </row>
    <row r="6143" spans="1:11">
      <c r="A6143" t="s">
        <v>128</v>
      </c>
      <c r="B6143" t="s">
        <v>1865</v>
      </c>
      <c r="C6143" t="s">
        <v>822</v>
      </c>
      <c r="D6143" t="s">
        <v>823</v>
      </c>
      <c r="E6143" s="8">
        <v>160</v>
      </c>
      <c r="F6143" s="8"/>
      <c r="G6143" s="8" t="str">
        <f t="shared" si="380"/>
        <v/>
      </c>
      <c r="H6143" s="5">
        <v>0.6102</v>
      </c>
      <c r="I6143" s="8" t="str">
        <f t="shared" si="381"/>
        <v/>
      </c>
      <c r="J6143" s="8" t="str">
        <f t="shared" si="382"/>
        <v/>
      </c>
      <c r="K6143" t="str">
        <f t="shared" si="383"/>
        <v>MISSING OEWS</v>
      </c>
    </row>
    <row r="6144" spans="1:11">
      <c r="A6144" t="s">
        <v>128</v>
      </c>
      <c r="B6144" t="s">
        <v>1865</v>
      </c>
      <c r="C6144" t="s">
        <v>824</v>
      </c>
      <c r="D6144" t="s">
        <v>825</v>
      </c>
      <c r="E6144" s="8">
        <v>1870</v>
      </c>
      <c r="F6144" s="8">
        <v>90280.8556149733</v>
      </c>
      <c r="G6144" s="8">
        <f t="shared" si="380"/>
        <v>168825200</v>
      </c>
      <c r="H6144" s="5">
        <v>0.8</v>
      </c>
      <c r="I6144" s="8">
        <f t="shared" si="381"/>
        <v>168825200</v>
      </c>
      <c r="J6144" s="8">
        <f t="shared" si="382"/>
        <v>135060160</v>
      </c>
      <c r="K6144" t="str">
        <f t="shared" si="383"/>
        <v>MATCHED</v>
      </c>
    </row>
    <row r="6145" spans="1:11">
      <c r="A6145" t="s">
        <v>128</v>
      </c>
      <c r="B6145" t="s">
        <v>1865</v>
      </c>
      <c r="C6145" t="s">
        <v>826</v>
      </c>
      <c r="D6145" t="s">
        <v>827</v>
      </c>
      <c r="E6145" s="8">
        <v>80</v>
      </c>
      <c r="F6145" s="8">
        <v>67920</v>
      </c>
      <c r="G6145" s="8">
        <f t="shared" si="380"/>
        <v>5433600</v>
      </c>
      <c r="H6145" s="5">
        <v>0.8182</v>
      </c>
      <c r="I6145" s="8">
        <f t="shared" si="381"/>
        <v>5433600</v>
      </c>
      <c r="J6145" s="8">
        <f t="shared" si="382"/>
        <v>4445771.52</v>
      </c>
      <c r="K6145" t="str">
        <f t="shared" si="383"/>
        <v>MATCHED</v>
      </c>
    </row>
    <row r="6146" spans="1:11">
      <c r="A6146" t="s">
        <v>128</v>
      </c>
      <c r="B6146" t="s">
        <v>1865</v>
      </c>
      <c r="C6146" t="s">
        <v>536</v>
      </c>
      <c r="D6146" t="s">
        <v>537</v>
      </c>
      <c r="E6146" s="8">
        <v>9280</v>
      </c>
      <c r="F6146" s="8">
        <v>93723.8900862069</v>
      </c>
      <c r="G6146" s="8">
        <f t="shared" ref="G6146:G6209" si="384">IF(OR(E6146="",F6146=""),"",E6146*F6146)</f>
        <v>869757700</v>
      </c>
      <c r="H6146" s="5">
        <v>0.6904</v>
      </c>
      <c r="I6146" s="8">
        <f t="shared" ref="I6146:I6209" si="385">IF(G6146="","",IF(ISNUMBER(H6146),G6146,""))</f>
        <v>869757700</v>
      </c>
      <c r="J6146" s="8">
        <f t="shared" ref="J6146:J6209" si="386">IF(I6146="","",I6146*H6146)</f>
        <v>600480716.08</v>
      </c>
      <c r="K6146" t="str">
        <f t="shared" ref="K6146:K6209" si="387">IF(G6146="","MISSING OEWS",IF(ISNUMBER(H6146),"MATCHED","MISSING WHARTON"))</f>
        <v>MATCHED</v>
      </c>
    </row>
    <row r="6147" spans="1:11">
      <c r="A6147" t="s">
        <v>128</v>
      </c>
      <c r="B6147" t="s">
        <v>1865</v>
      </c>
      <c r="C6147" t="s">
        <v>930</v>
      </c>
      <c r="D6147" t="s">
        <v>931</v>
      </c>
      <c r="E6147" s="8">
        <v>1650</v>
      </c>
      <c r="F6147" s="8">
        <v>62653.8181818182</v>
      </c>
      <c r="G6147" s="8">
        <f t="shared" si="384"/>
        <v>103378800</v>
      </c>
      <c r="H6147" s="5">
        <v>0.6857</v>
      </c>
      <c r="I6147" s="8">
        <f t="shared" si="385"/>
        <v>103378800</v>
      </c>
      <c r="J6147" s="8">
        <f t="shared" si="386"/>
        <v>70886843.16</v>
      </c>
      <c r="K6147" t="str">
        <f t="shared" si="387"/>
        <v>MATCHED</v>
      </c>
    </row>
    <row r="6148" spans="1:11">
      <c r="A6148" t="s">
        <v>128</v>
      </c>
      <c r="B6148" t="s">
        <v>1865</v>
      </c>
      <c r="C6148" t="s">
        <v>1602</v>
      </c>
      <c r="D6148" t="s">
        <v>1603</v>
      </c>
      <c r="E6148" s="8">
        <v>150</v>
      </c>
      <c r="F6148" s="8">
        <v>84000</v>
      </c>
      <c r="G6148" s="8">
        <f t="shared" si="384"/>
        <v>12600000</v>
      </c>
      <c r="H6148" s="5">
        <v>0.95</v>
      </c>
      <c r="I6148" s="8">
        <f t="shared" si="385"/>
        <v>12600000</v>
      </c>
      <c r="J6148" s="8">
        <f t="shared" si="386"/>
        <v>11970000</v>
      </c>
      <c r="K6148" t="str">
        <f t="shared" si="387"/>
        <v>MATCHED</v>
      </c>
    </row>
    <row r="6149" spans="1:11">
      <c r="A6149" t="s">
        <v>128</v>
      </c>
      <c r="B6149" t="s">
        <v>1865</v>
      </c>
      <c r="C6149" t="s">
        <v>828</v>
      </c>
      <c r="D6149" t="s">
        <v>829</v>
      </c>
      <c r="E6149" s="8">
        <v>950</v>
      </c>
      <c r="F6149" s="8">
        <v>98855.2631578947</v>
      </c>
      <c r="G6149" s="8">
        <f t="shared" si="384"/>
        <v>93912500</v>
      </c>
      <c r="H6149" s="5">
        <v>0.7767</v>
      </c>
      <c r="I6149" s="8">
        <f t="shared" si="385"/>
        <v>93912500</v>
      </c>
      <c r="J6149" s="8">
        <f t="shared" si="386"/>
        <v>72941838.75</v>
      </c>
      <c r="K6149" t="str">
        <f t="shared" si="387"/>
        <v>MATCHED</v>
      </c>
    </row>
    <row r="6150" spans="1:11">
      <c r="A6150" t="s">
        <v>128</v>
      </c>
      <c r="B6150" t="s">
        <v>1865</v>
      </c>
      <c r="C6150" t="s">
        <v>1150</v>
      </c>
      <c r="D6150" t="s">
        <v>1151</v>
      </c>
      <c r="E6150" s="8">
        <v>60</v>
      </c>
      <c r="F6150" s="8">
        <v>74510</v>
      </c>
      <c r="G6150" s="8">
        <f t="shared" si="384"/>
        <v>4470600</v>
      </c>
      <c r="H6150" s="5">
        <v>0.5647</v>
      </c>
      <c r="I6150" s="8">
        <f t="shared" si="385"/>
        <v>4470600</v>
      </c>
      <c r="J6150" s="8">
        <f t="shared" si="386"/>
        <v>2524547.82</v>
      </c>
      <c r="K6150" t="str">
        <f t="shared" si="387"/>
        <v>MATCHED</v>
      </c>
    </row>
    <row r="6151" spans="1:11">
      <c r="A6151" t="s">
        <v>128</v>
      </c>
      <c r="B6151" t="s">
        <v>1865</v>
      </c>
      <c r="C6151" t="s">
        <v>932</v>
      </c>
      <c r="D6151" t="s">
        <v>933</v>
      </c>
      <c r="E6151" s="8">
        <v>2890</v>
      </c>
      <c r="F6151" s="8">
        <v>53304.7058823529</v>
      </c>
      <c r="G6151" s="8">
        <f t="shared" si="384"/>
        <v>154050600</v>
      </c>
      <c r="H6151" s="5">
        <v>0.7587</v>
      </c>
      <c r="I6151" s="8">
        <f t="shared" si="385"/>
        <v>154050600</v>
      </c>
      <c r="J6151" s="8">
        <f t="shared" si="386"/>
        <v>116878190.22</v>
      </c>
      <c r="K6151" t="str">
        <f t="shared" si="387"/>
        <v>MATCHED</v>
      </c>
    </row>
    <row r="6152" spans="1:11">
      <c r="A6152" t="s">
        <v>128</v>
      </c>
      <c r="B6152" t="s">
        <v>1865</v>
      </c>
      <c r="C6152" t="s">
        <v>934</v>
      </c>
      <c r="D6152" t="s">
        <v>935</v>
      </c>
      <c r="E6152" s="8">
        <v>300</v>
      </c>
      <c r="F6152" s="8">
        <v>61730</v>
      </c>
      <c r="G6152" s="8">
        <f t="shared" si="384"/>
        <v>18519000</v>
      </c>
      <c r="H6152" s="5">
        <v>0.805</v>
      </c>
      <c r="I6152" s="8">
        <f t="shared" si="385"/>
        <v>18519000</v>
      </c>
      <c r="J6152" s="8">
        <f t="shared" si="386"/>
        <v>14907795</v>
      </c>
      <c r="K6152" t="str">
        <f t="shared" si="387"/>
        <v>MATCHED</v>
      </c>
    </row>
    <row r="6153" spans="1:11">
      <c r="A6153" t="s">
        <v>128</v>
      </c>
      <c r="B6153" t="s">
        <v>1865</v>
      </c>
      <c r="C6153" t="s">
        <v>1415</v>
      </c>
      <c r="D6153" t="s">
        <v>1416</v>
      </c>
      <c r="E6153" s="8">
        <v>50</v>
      </c>
      <c r="F6153" s="8">
        <v>53670</v>
      </c>
      <c r="G6153" s="8">
        <f t="shared" si="384"/>
        <v>2683500</v>
      </c>
      <c r="H6153" s="5">
        <v>0.9083</v>
      </c>
      <c r="I6153" s="8">
        <f t="shared" si="385"/>
        <v>2683500</v>
      </c>
      <c r="J6153" s="8">
        <f t="shared" si="386"/>
        <v>2437423.05</v>
      </c>
      <c r="K6153" t="str">
        <f t="shared" si="387"/>
        <v>MATCHED</v>
      </c>
    </row>
    <row r="6154" spans="1:11">
      <c r="A6154" t="s">
        <v>128</v>
      </c>
      <c r="B6154" t="s">
        <v>1865</v>
      </c>
      <c r="C6154" t="s">
        <v>538</v>
      </c>
      <c r="D6154" t="s">
        <v>539</v>
      </c>
      <c r="E6154" s="8">
        <v>6700</v>
      </c>
      <c r="F6154" s="8">
        <v>72822.0746268657</v>
      </c>
      <c r="G6154" s="8">
        <f t="shared" si="384"/>
        <v>487907900</v>
      </c>
      <c r="H6154" s="5">
        <v>0.6192</v>
      </c>
      <c r="I6154" s="8">
        <f t="shared" si="385"/>
        <v>487907900</v>
      </c>
      <c r="J6154" s="8">
        <f t="shared" si="386"/>
        <v>302112571.68</v>
      </c>
      <c r="K6154" t="str">
        <f t="shared" si="387"/>
        <v>MATCHED</v>
      </c>
    </row>
    <row r="6155" spans="1:11">
      <c r="A6155" t="s">
        <v>128</v>
      </c>
      <c r="B6155" t="s">
        <v>1865</v>
      </c>
      <c r="C6155" t="s">
        <v>291</v>
      </c>
      <c r="D6155" t="s">
        <v>292</v>
      </c>
      <c r="E6155" s="8">
        <v>32530</v>
      </c>
      <c r="F6155" s="8">
        <v>103119.047033508</v>
      </c>
      <c r="G6155" s="8">
        <f t="shared" si="384"/>
        <v>3354462600</v>
      </c>
      <c r="H6155" s="5">
        <v>0.6388</v>
      </c>
      <c r="I6155" s="8">
        <f t="shared" si="385"/>
        <v>3354462600</v>
      </c>
      <c r="J6155" s="8">
        <f t="shared" si="386"/>
        <v>2142830708.88</v>
      </c>
      <c r="K6155" t="str">
        <f t="shared" si="387"/>
        <v>MATCHED</v>
      </c>
    </row>
    <row r="6156" spans="1:11">
      <c r="A6156" t="s">
        <v>128</v>
      </c>
      <c r="B6156" t="s">
        <v>1865</v>
      </c>
      <c r="C6156" t="s">
        <v>540</v>
      </c>
      <c r="D6156" t="s">
        <v>541</v>
      </c>
      <c r="E6156" s="8">
        <v>4030</v>
      </c>
      <c r="F6156" s="8">
        <v>112150.570719603</v>
      </c>
      <c r="G6156" s="8">
        <f t="shared" si="384"/>
        <v>451966800</v>
      </c>
      <c r="H6156" s="5">
        <v>0.6292</v>
      </c>
      <c r="I6156" s="8">
        <f t="shared" si="385"/>
        <v>451966800</v>
      </c>
      <c r="J6156" s="8">
        <f t="shared" si="386"/>
        <v>284377510.56</v>
      </c>
      <c r="K6156" t="str">
        <f t="shared" si="387"/>
        <v>MATCHED</v>
      </c>
    </row>
    <row r="6157" spans="1:11">
      <c r="A6157" t="s">
        <v>128</v>
      </c>
      <c r="B6157" t="s">
        <v>1865</v>
      </c>
      <c r="C6157" t="s">
        <v>1152</v>
      </c>
      <c r="D6157" t="s">
        <v>1153</v>
      </c>
      <c r="E6157" s="8">
        <v>120</v>
      </c>
      <c r="F6157" s="8">
        <v>114380</v>
      </c>
      <c r="G6157" s="8">
        <f t="shared" si="384"/>
        <v>13725600</v>
      </c>
      <c r="H6157" s="5">
        <v>0.39</v>
      </c>
      <c r="I6157" s="8">
        <f t="shared" si="385"/>
        <v>13725600</v>
      </c>
      <c r="J6157" s="8">
        <f t="shared" si="386"/>
        <v>5352984</v>
      </c>
      <c r="K6157" t="str">
        <f t="shared" si="387"/>
        <v>MATCHED</v>
      </c>
    </row>
    <row r="6158" spans="1:11">
      <c r="A6158" t="s">
        <v>128</v>
      </c>
      <c r="B6158" t="s">
        <v>1865</v>
      </c>
      <c r="C6158" t="s">
        <v>542</v>
      </c>
      <c r="D6158" t="s">
        <v>543</v>
      </c>
      <c r="E6158" s="8">
        <v>5460</v>
      </c>
      <c r="F6158" s="8">
        <v>75926.4835164835</v>
      </c>
      <c r="G6158" s="8">
        <f t="shared" si="384"/>
        <v>414558600</v>
      </c>
      <c r="H6158" s="5">
        <v>0.7096</v>
      </c>
      <c r="I6158" s="8">
        <f t="shared" si="385"/>
        <v>414558600</v>
      </c>
      <c r="J6158" s="8">
        <f t="shared" si="386"/>
        <v>294170782.56</v>
      </c>
      <c r="K6158" t="str">
        <f t="shared" si="387"/>
        <v>MATCHED</v>
      </c>
    </row>
    <row r="6159" spans="1:11">
      <c r="A6159" t="s">
        <v>128</v>
      </c>
      <c r="B6159" t="s">
        <v>1865</v>
      </c>
      <c r="C6159" t="s">
        <v>293</v>
      </c>
      <c r="D6159" t="s">
        <v>294</v>
      </c>
      <c r="E6159" s="8">
        <v>35920</v>
      </c>
      <c r="F6159" s="8">
        <v>62178.2266146993</v>
      </c>
      <c r="G6159" s="8">
        <f t="shared" si="384"/>
        <v>2233441900</v>
      </c>
      <c r="H6159" s="5">
        <v>0.6062</v>
      </c>
      <c r="I6159" s="8">
        <f t="shared" si="385"/>
        <v>2233441900</v>
      </c>
      <c r="J6159" s="8">
        <f t="shared" si="386"/>
        <v>1353912479.78</v>
      </c>
      <c r="K6159" t="str">
        <f t="shared" si="387"/>
        <v>MATCHED</v>
      </c>
    </row>
    <row r="6160" spans="1:11">
      <c r="A6160" t="s">
        <v>128</v>
      </c>
      <c r="B6160" t="s">
        <v>1865</v>
      </c>
      <c r="C6160" t="s">
        <v>544</v>
      </c>
      <c r="D6160" t="s">
        <v>545</v>
      </c>
      <c r="E6160" s="8">
        <v>4850</v>
      </c>
      <c r="F6160" s="8">
        <v>126441.257731959</v>
      </c>
      <c r="G6160" s="8">
        <f t="shared" si="384"/>
        <v>613240100</v>
      </c>
      <c r="H6160" s="5">
        <v>0.6278</v>
      </c>
      <c r="I6160" s="8">
        <f t="shared" si="385"/>
        <v>613240100</v>
      </c>
      <c r="J6160" s="8">
        <f t="shared" si="386"/>
        <v>384992134.78</v>
      </c>
      <c r="K6160" t="str">
        <f t="shared" si="387"/>
        <v>MATCHED</v>
      </c>
    </row>
    <row r="6161" spans="1:11">
      <c r="A6161" t="s">
        <v>128</v>
      </c>
      <c r="B6161" t="s">
        <v>1865</v>
      </c>
      <c r="C6161" t="s">
        <v>546</v>
      </c>
      <c r="D6161" t="s">
        <v>547</v>
      </c>
      <c r="E6161" s="8">
        <v>3750</v>
      </c>
      <c r="F6161" s="8">
        <v>93791.9733333333</v>
      </c>
      <c r="G6161" s="8">
        <f t="shared" si="384"/>
        <v>351719900</v>
      </c>
      <c r="H6161" s="5">
        <v>0.8389</v>
      </c>
      <c r="I6161" s="8">
        <f t="shared" si="385"/>
        <v>351719900</v>
      </c>
      <c r="J6161" s="8">
        <f t="shared" si="386"/>
        <v>295057824.11</v>
      </c>
      <c r="K6161" t="str">
        <f t="shared" si="387"/>
        <v>MATCHED</v>
      </c>
    </row>
    <row r="6162" spans="1:11">
      <c r="A6162" t="s">
        <v>128</v>
      </c>
      <c r="B6162" t="s">
        <v>1865</v>
      </c>
      <c r="C6162" t="s">
        <v>548</v>
      </c>
      <c r="D6162" t="s">
        <v>549</v>
      </c>
      <c r="E6162" s="8">
        <v>1950</v>
      </c>
      <c r="F6162" s="8">
        <v>131321.692307692</v>
      </c>
      <c r="G6162" s="8">
        <f t="shared" si="384"/>
        <v>256077300</v>
      </c>
      <c r="H6162" s="5">
        <v>0.8502</v>
      </c>
      <c r="I6162" s="8">
        <f t="shared" si="385"/>
        <v>256077300</v>
      </c>
      <c r="J6162" s="8">
        <f t="shared" si="386"/>
        <v>217716920.46</v>
      </c>
      <c r="K6162" t="str">
        <f t="shared" si="387"/>
        <v>MATCHED</v>
      </c>
    </row>
    <row r="6163" spans="1:11">
      <c r="A6163" t="s">
        <v>128</v>
      </c>
      <c r="B6163" t="s">
        <v>1865</v>
      </c>
      <c r="C6163" t="s">
        <v>295</v>
      </c>
      <c r="D6163" t="s">
        <v>296</v>
      </c>
      <c r="E6163" s="8">
        <v>15470</v>
      </c>
      <c r="F6163" s="8">
        <v>98147.0782159017</v>
      </c>
      <c r="G6163" s="8">
        <f t="shared" si="384"/>
        <v>1518335300</v>
      </c>
      <c r="H6163" s="5">
        <v>0.695</v>
      </c>
      <c r="I6163" s="8">
        <f t="shared" si="385"/>
        <v>1518335300</v>
      </c>
      <c r="J6163" s="8">
        <f t="shared" si="386"/>
        <v>1055243033.5</v>
      </c>
      <c r="K6163" t="str">
        <f t="shared" si="387"/>
        <v>MATCHED</v>
      </c>
    </row>
    <row r="6164" spans="1:11">
      <c r="A6164" t="s">
        <v>128</v>
      </c>
      <c r="B6164" t="s">
        <v>1865</v>
      </c>
      <c r="C6164" t="s">
        <v>550</v>
      </c>
      <c r="D6164" t="s">
        <v>551</v>
      </c>
      <c r="E6164" s="8">
        <v>1550</v>
      </c>
      <c r="F6164" s="8">
        <v>105183.741935484</v>
      </c>
      <c r="G6164" s="8">
        <f t="shared" si="384"/>
        <v>163034800</v>
      </c>
      <c r="H6164" s="5">
        <v>0.6824</v>
      </c>
      <c r="I6164" s="8">
        <f t="shared" si="385"/>
        <v>163034800</v>
      </c>
      <c r="J6164" s="8">
        <f t="shared" si="386"/>
        <v>111254947.52</v>
      </c>
      <c r="K6164" t="str">
        <f t="shared" si="387"/>
        <v>MATCHED</v>
      </c>
    </row>
    <row r="6165" spans="1:11">
      <c r="A6165" t="s">
        <v>128</v>
      </c>
      <c r="B6165" t="s">
        <v>1865</v>
      </c>
      <c r="C6165" t="s">
        <v>297</v>
      </c>
      <c r="D6165" t="s">
        <v>298</v>
      </c>
      <c r="E6165" s="8">
        <v>17720</v>
      </c>
      <c r="F6165" s="8">
        <v>127560.66027088</v>
      </c>
      <c r="G6165" s="8">
        <f t="shared" si="384"/>
        <v>2260374900</v>
      </c>
      <c r="H6165" s="5">
        <v>0.5211</v>
      </c>
      <c r="I6165" s="8">
        <f t="shared" si="385"/>
        <v>2260374900</v>
      </c>
      <c r="J6165" s="8">
        <f t="shared" si="386"/>
        <v>1177881360.39</v>
      </c>
      <c r="K6165" t="str">
        <f t="shared" si="387"/>
        <v>MATCHED</v>
      </c>
    </row>
    <row r="6166" spans="1:11">
      <c r="A6166" t="s">
        <v>128</v>
      </c>
      <c r="B6166" t="s">
        <v>1865</v>
      </c>
      <c r="C6166" t="s">
        <v>552</v>
      </c>
      <c r="D6166" t="s">
        <v>553</v>
      </c>
      <c r="E6166" s="8">
        <v>2370</v>
      </c>
      <c r="F6166" s="8">
        <v>104420.464135021</v>
      </c>
      <c r="G6166" s="8">
        <f t="shared" si="384"/>
        <v>247476500</v>
      </c>
      <c r="H6166" s="5">
        <v>0.8117</v>
      </c>
      <c r="I6166" s="8">
        <f t="shared" si="385"/>
        <v>247476500</v>
      </c>
      <c r="J6166" s="8">
        <f t="shared" si="386"/>
        <v>200876675.05</v>
      </c>
      <c r="K6166" t="str">
        <f t="shared" si="387"/>
        <v>MATCHED</v>
      </c>
    </row>
    <row r="6167" spans="1:11">
      <c r="A6167" t="s">
        <v>128</v>
      </c>
      <c r="B6167" t="s">
        <v>1865</v>
      </c>
      <c r="C6167" t="s">
        <v>830</v>
      </c>
      <c r="D6167" t="s">
        <v>831</v>
      </c>
      <c r="E6167" s="8">
        <v>1040</v>
      </c>
      <c r="F6167" s="8">
        <v>86137.6923076923</v>
      </c>
      <c r="G6167" s="8">
        <f t="shared" si="384"/>
        <v>89583200</v>
      </c>
      <c r="H6167" s="5">
        <v>0.8276</v>
      </c>
      <c r="I6167" s="8">
        <f t="shared" si="385"/>
        <v>89583200</v>
      </c>
      <c r="J6167" s="8">
        <f t="shared" si="386"/>
        <v>74139056.32</v>
      </c>
      <c r="K6167" t="str">
        <f t="shared" si="387"/>
        <v>MATCHED</v>
      </c>
    </row>
    <row r="6168" spans="1:11">
      <c r="A6168" t="s">
        <v>128</v>
      </c>
      <c r="B6168" t="s">
        <v>1865</v>
      </c>
      <c r="C6168" t="s">
        <v>832</v>
      </c>
      <c r="D6168" t="s">
        <v>833</v>
      </c>
      <c r="E6168" s="8">
        <v>1110</v>
      </c>
      <c r="F6168" s="8">
        <v>84773.4234234234</v>
      </c>
      <c r="G6168" s="8">
        <f t="shared" si="384"/>
        <v>94098500</v>
      </c>
      <c r="H6168" s="5">
        <v>0.6827</v>
      </c>
      <c r="I6168" s="8">
        <f t="shared" si="385"/>
        <v>94098500</v>
      </c>
      <c r="J6168" s="8">
        <f t="shared" si="386"/>
        <v>64241045.95</v>
      </c>
      <c r="K6168" t="str">
        <f t="shared" si="387"/>
        <v>MATCHED</v>
      </c>
    </row>
    <row r="6169" spans="1:11">
      <c r="A6169" t="s">
        <v>128</v>
      </c>
      <c r="B6169" t="s">
        <v>1865</v>
      </c>
      <c r="C6169" t="s">
        <v>299</v>
      </c>
      <c r="D6169" t="s">
        <v>300</v>
      </c>
      <c r="E6169" s="8">
        <v>9350</v>
      </c>
      <c r="F6169" s="8">
        <v>97754.192513369</v>
      </c>
      <c r="G6169" s="8">
        <f t="shared" si="384"/>
        <v>914001700</v>
      </c>
      <c r="H6169" s="5">
        <v>0.7425</v>
      </c>
      <c r="I6169" s="8">
        <f t="shared" si="385"/>
        <v>914001700</v>
      </c>
      <c r="J6169" s="8">
        <f t="shared" si="386"/>
        <v>678646262.25</v>
      </c>
      <c r="K6169" t="str">
        <f t="shared" si="387"/>
        <v>MATCHED</v>
      </c>
    </row>
    <row r="6170" spans="1:11">
      <c r="A6170" t="s">
        <v>128</v>
      </c>
      <c r="B6170" t="s">
        <v>1865</v>
      </c>
      <c r="C6170" t="s">
        <v>1604</v>
      </c>
      <c r="D6170" t="s">
        <v>1605</v>
      </c>
      <c r="E6170" s="8">
        <v>110</v>
      </c>
      <c r="F6170" s="8">
        <v>120050</v>
      </c>
      <c r="G6170" s="8">
        <f t="shared" si="384"/>
        <v>13205500</v>
      </c>
      <c r="H6170" s="5">
        <v>0.74</v>
      </c>
      <c r="I6170" s="8">
        <f t="shared" si="385"/>
        <v>13205500</v>
      </c>
      <c r="J6170" s="8">
        <f t="shared" si="386"/>
        <v>9772070</v>
      </c>
      <c r="K6170" t="str">
        <f t="shared" si="387"/>
        <v>MATCHED</v>
      </c>
    </row>
    <row r="6171" spans="1:11">
      <c r="A6171" t="s">
        <v>128</v>
      </c>
      <c r="B6171" t="s">
        <v>1865</v>
      </c>
      <c r="C6171" t="s">
        <v>554</v>
      </c>
      <c r="D6171" t="s">
        <v>555</v>
      </c>
      <c r="E6171" s="8">
        <v>2810</v>
      </c>
      <c r="F6171" s="8">
        <v>81211.8861209964</v>
      </c>
      <c r="G6171" s="8">
        <f t="shared" si="384"/>
        <v>228205400</v>
      </c>
      <c r="H6171" s="5">
        <v>0.6031</v>
      </c>
      <c r="I6171" s="8">
        <f t="shared" si="385"/>
        <v>228205400</v>
      </c>
      <c r="J6171" s="8">
        <f t="shared" si="386"/>
        <v>137630676.74</v>
      </c>
      <c r="K6171" t="str">
        <f t="shared" si="387"/>
        <v>MATCHED</v>
      </c>
    </row>
    <row r="6172" spans="1:11">
      <c r="A6172" t="s">
        <v>128</v>
      </c>
      <c r="B6172" t="s">
        <v>1865</v>
      </c>
      <c r="C6172" t="s">
        <v>1156</v>
      </c>
      <c r="D6172" t="s">
        <v>1157</v>
      </c>
      <c r="E6172" s="8">
        <v>2180</v>
      </c>
      <c r="F6172" s="8">
        <v>104505.137614679</v>
      </c>
      <c r="G6172" s="8">
        <f t="shared" si="384"/>
        <v>227821200</v>
      </c>
      <c r="H6172" s="5">
        <v>0.7282</v>
      </c>
      <c r="I6172" s="8">
        <f t="shared" si="385"/>
        <v>227821200</v>
      </c>
      <c r="J6172" s="8">
        <f t="shared" si="386"/>
        <v>165899397.84</v>
      </c>
      <c r="K6172" t="str">
        <f t="shared" si="387"/>
        <v>MATCHED</v>
      </c>
    </row>
    <row r="6173" spans="1:11">
      <c r="A6173" t="s">
        <v>128</v>
      </c>
      <c r="B6173" t="s">
        <v>1865</v>
      </c>
      <c r="C6173" t="s">
        <v>556</v>
      </c>
      <c r="D6173" t="s">
        <v>557</v>
      </c>
      <c r="E6173" s="8">
        <v>14150</v>
      </c>
      <c r="F6173" s="8">
        <v>99439.6113074205</v>
      </c>
      <c r="G6173" s="8">
        <f t="shared" si="384"/>
        <v>1407070500</v>
      </c>
      <c r="H6173" s="5">
        <v>0.8228</v>
      </c>
      <c r="I6173" s="8">
        <f t="shared" si="385"/>
        <v>1407070500</v>
      </c>
      <c r="J6173" s="8">
        <f t="shared" si="386"/>
        <v>1157737607.4</v>
      </c>
      <c r="K6173" t="str">
        <f t="shared" si="387"/>
        <v>MATCHED</v>
      </c>
    </row>
    <row r="6174" spans="1:11">
      <c r="A6174" t="s">
        <v>128</v>
      </c>
      <c r="B6174" t="s">
        <v>1865</v>
      </c>
      <c r="C6174" t="s">
        <v>1158</v>
      </c>
      <c r="D6174" t="s">
        <v>1159</v>
      </c>
      <c r="E6174" s="8">
        <v>90</v>
      </c>
      <c r="F6174" s="8">
        <v>102890</v>
      </c>
      <c r="G6174" s="8">
        <f t="shared" si="384"/>
        <v>9260100</v>
      </c>
      <c r="H6174" s="5">
        <v>0.7711</v>
      </c>
      <c r="I6174" s="8">
        <f t="shared" si="385"/>
        <v>9260100</v>
      </c>
      <c r="J6174" s="8">
        <f t="shared" si="386"/>
        <v>7140463.11</v>
      </c>
      <c r="K6174" t="str">
        <f t="shared" si="387"/>
        <v>MATCHED</v>
      </c>
    </row>
    <row r="6175" spans="1:11">
      <c r="A6175" t="s">
        <v>128</v>
      </c>
      <c r="B6175" t="s">
        <v>1865</v>
      </c>
      <c r="C6175" t="s">
        <v>834</v>
      </c>
      <c r="D6175" t="s">
        <v>835</v>
      </c>
      <c r="E6175" s="8">
        <v>170</v>
      </c>
      <c r="F6175" s="8"/>
      <c r="G6175" s="8" t="str">
        <f t="shared" si="384"/>
        <v/>
      </c>
      <c r="H6175" s="5">
        <v>0.5375</v>
      </c>
      <c r="I6175" s="8" t="str">
        <f t="shared" si="385"/>
        <v/>
      </c>
      <c r="J6175" s="8" t="str">
        <f t="shared" si="386"/>
        <v/>
      </c>
      <c r="K6175" t="str">
        <f t="shared" si="387"/>
        <v>MISSING OEWS</v>
      </c>
    </row>
    <row r="6176" spans="1:11">
      <c r="A6176" t="s">
        <v>128</v>
      </c>
      <c r="B6176" t="s">
        <v>1865</v>
      </c>
      <c r="C6176" t="s">
        <v>1162</v>
      </c>
      <c r="D6176" t="s">
        <v>1163</v>
      </c>
      <c r="E6176" s="8">
        <v>2110</v>
      </c>
      <c r="F6176" s="8">
        <v>109329.478672986</v>
      </c>
      <c r="G6176" s="8">
        <f t="shared" si="384"/>
        <v>230685200</v>
      </c>
      <c r="H6176" s="5">
        <v>0.4067</v>
      </c>
      <c r="I6176" s="8">
        <f t="shared" si="385"/>
        <v>230685200</v>
      </c>
      <c r="J6176" s="8">
        <f t="shared" si="386"/>
        <v>93819670.84</v>
      </c>
      <c r="K6176" t="str">
        <f t="shared" si="387"/>
        <v>MATCHED</v>
      </c>
    </row>
    <row r="6177" spans="1:11">
      <c r="A6177" t="s">
        <v>128</v>
      </c>
      <c r="B6177" t="s">
        <v>1865</v>
      </c>
      <c r="C6177" t="s">
        <v>564</v>
      </c>
      <c r="D6177" t="s">
        <v>565</v>
      </c>
      <c r="E6177" s="8"/>
      <c r="F6177" s="8">
        <v>102120</v>
      </c>
      <c r="G6177" s="8" t="str">
        <f t="shared" si="384"/>
        <v/>
      </c>
      <c r="H6177" s="5">
        <v>0.4218</v>
      </c>
      <c r="I6177" s="8" t="str">
        <f t="shared" si="385"/>
        <v/>
      </c>
      <c r="J6177" s="8" t="str">
        <f t="shared" si="386"/>
        <v/>
      </c>
      <c r="K6177" t="str">
        <f t="shared" si="387"/>
        <v>MISSING OEWS</v>
      </c>
    </row>
    <row r="6178" spans="1:11">
      <c r="A6178" t="s">
        <v>128</v>
      </c>
      <c r="B6178" t="s">
        <v>1865</v>
      </c>
      <c r="C6178" t="s">
        <v>838</v>
      </c>
      <c r="D6178" t="s">
        <v>839</v>
      </c>
      <c r="E6178" s="8">
        <v>110</v>
      </c>
      <c r="F6178" s="8">
        <v>105030</v>
      </c>
      <c r="G6178" s="8">
        <f t="shared" si="384"/>
        <v>11553300</v>
      </c>
      <c r="H6178" s="5">
        <v>0.3639</v>
      </c>
      <c r="I6178" s="8">
        <f t="shared" si="385"/>
        <v>11553300</v>
      </c>
      <c r="J6178" s="8">
        <f t="shared" si="386"/>
        <v>4204245.87</v>
      </c>
      <c r="K6178" t="str">
        <f t="shared" si="387"/>
        <v>MATCHED</v>
      </c>
    </row>
    <row r="6179" spans="1:11">
      <c r="A6179" t="s">
        <v>128</v>
      </c>
      <c r="B6179" t="s">
        <v>1865</v>
      </c>
      <c r="C6179" t="s">
        <v>566</v>
      </c>
      <c r="D6179" t="s">
        <v>567</v>
      </c>
      <c r="E6179" s="8">
        <v>290</v>
      </c>
      <c r="F6179" s="8">
        <v>96580</v>
      </c>
      <c r="G6179" s="8">
        <f t="shared" si="384"/>
        <v>28008200</v>
      </c>
      <c r="H6179" s="5">
        <v>0.3523</v>
      </c>
      <c r="I6179" s="8">
        <f t="shared" si="385"/>
        <v>28008200</v>
      </c>
      <c r="J6179" s="8">
        <f t="shared" si="386"/>
        <v>9867288.86</v>
      </c>
      <c r="K6179" t="str">
        <f t="shared" si="387"/>
        <v>MATCHED</v>
      </c>
    </row>
    <row r="6180" spans="1:11">
      <c r="A6180" t="s">
        <v>128</v>
      </c>
      <c r="B6180" t="s">
        <v>1865</v>
      </c>
      <c r="C6180" t="s">
        <v>568</v>
      </c>
      <c r="D6180" t="s">
        <v>569</v>
      </c>
      <c r="E6180" s="8">
        <v>100</v>
      </c>
      <c r="F6180" s="8">
        <v>99830</v>
      </c>
      <c r="G6180" s="8">
        <f t="shared" si="384"/>
        <v>9983000</v>
      </c>
      <c r="H6180" s="5">
        <v>0.4536</v>
      </c>
      <c r="I6180" s="8">
        <f t="shared" si="385"/>
        <v>9983000</v>
      </c>
      <c r="J6180" s="8">
        <f t="shared" si="386"/>
        <v>4528288.8</v>
      </c>
      <c r="K6180" t="str">
        <f t="shared" si="387"/>
        <v>MATCHED</v>
      </c>
    </row>
    <row r="6181" spans="1:11">
      <c r="A6181" t="s">
        <v>128</v>
      </c>
      <c r="B6181" t="s">
        <v>1865</v>
      </c>
      <c r="C6181" t="s">
        <v>570</v>
      </c>
      <c r="D6181" t="s">
        <v>571</v>
      </c>
      <c r="E6181" s="8">
        <v>40</v>
      </c>
      <c r="F6181" s="8">
        <v>89040</v>
      </c>
      <c r="G6181" s="8">
        <f t="shared" si="384"/>
        <v>3561600</v>
      </c>
      <c r="H6181" s="5">
        <v>0.5196</v>
      </c>
      <c r="I6181" s="8">
        <f t="shared" si="385"/>
        <v>3561600</v>
      </c>
      <c r="J6181" s="8">
        <f t="shared" si="386"/>
        <v>1850607.36</v>
      </c>
      <c r="K6181" t="str">
        <f t="shared" si="387"/>
        <v>MATCHED</v>
      </c>
    </row>
    <row r="6182" spans="1:11">
      <c r="A6182" t="s">
        <v>128</v>
      </c>
      <c r="B6182" t="s">
        <v>1865</v>
      </c>
      <c r="C6182" t="s">
        <v>572</v>
      </c>
      <c r="D6182" t="s">
        <v>573</v>
      </c>
      <c r="E6182" s="8">
        <v>190</v>
      </c>
      <c r="F6182" s="8">
        <v>96830</v>
      </c>
      <c r="G6182" s="8">
        <f t="shared" si="384"/>
        <v>18397700</v>
      </c>
      <c r="H6182" s="5">
        <v>0.2672</v>
      </c>
      <c r="I6182" s="8">
        <f t="shared" si="385"/>
        <v>18397700</v>
      </c>
      <c r="J6182" s="8">
        <f t="shared" si="386"/>
        <v>4915865.44</v>
      </c>
      <c r="K6182" t="str">
        <f t="shared" si="387"/>
        <v>MATCHED</v>
      </c>
    </row>
    <row r="6183" spans="1:11">
      <c r="A6183" t="s">
        <v>128</v>
      </c>
      <c r="B6183" t="s">
        <v>1865</v>
      </c>
      <c r="C6183" t="s">
        <v>301</v>
      </c>
      <c r="D6183" t="s">
        <v>302</v>
      </c>
      <c r="E6183" s="8">
        <v>380</v>
      </c>
      <c r="F6183" s="8">
        <v>107288.421052632</v>
      </c>
      <c r="G6183" s="8">
        <f t="shared" si="384"/>
        <v>40769600</v>
      </c>
      <c r="H6183" s="5">
        <v>0.4786</v>
      </c>
      <c r="I6183" s="8">
        <f t="shared" si="385"/>
        <v>40769600</v>
      </c>
      <c r="J6183" s="8">
        <f t="shared" si="386"/>
        <v>19512330.56</v>
      </c>
      <c r="K6183" t="str">
        <f t="shared" si="387"/>
        <v>MATCHED</v>
      </c>
    </row>
    <row r="6184" spans="1:11">
      <c r="A6184" t="s">
        <v>128</v>
      </c>
      <c r="B6184" t="s">
        <v>1865</v>
      </c>
      <c r="C6184" t="s">
        <v>576</v>
      </c>
      <c r="D6184" t="s">
        <v>577</v>
      </c>
      <c r="E6184" s="8">
        <v>450</v>
      </c>
      <c r="F6184" s="8">
        <v>92940</v>
      </c>
      <c r="G6184" s="8">
        <f t="shared" si="384"/>
        <v>41823000</v>
      </c>
      <c r="H6184" s="5">
        <v>0.3008</v>
      </c>
      <c r="I6184" s="8">
        <f t="shared" si="385"/>
        <v>41823000</v>
      </c>
      <c r="J6184" s="8">
        <f t="shared" si="386"/>
        <v>12580358.4</v>
      </c>
      <c r="K6184" t="str">
        <f t="shared" si="387"/>
        <v>MATCHED</v>
      </c>
    </row>
    <row r="6185" spans="1:11">
      <c r="A6185" t="s">
        <v>128</v>
      </c>
      <c r="B6185" t="s">
        <v>1865</v>
      </c>
      <c r="C6185" t="s">
        <v>582</v>
      </c>
      <c r="D6185" t="s">
        <v>583</v>
      </c>
      <c r="E6185" s="8">
        <v>410</v>
      </c>
      <c r="F6185" s="8">
        <v>105821.951219512</v>
      </c>
      <c r="G6185" s="8">
        <f t="shared" si="384"/>
        <v>43387000</v>
      </c>
      <c r="H6185" s="5">
        <v>0.315</v>
      </c>
      <c r="I6185" s="8">
        <f t="shared" si="385"/>
        <v>43387000</v>
      </c>
      <c r="J6185" s="8">
        <f t="shared" si="386"/>
        <v>13666905</v>
      </c>
      <c r="K6185" t="str">
        <f t="shared" si="387"/>
        <v>MATCHED</v>
      </c>
    </row>
    <row r="6186" spans="1:11">
      <c r="A6186" t="s">
        <v>128</v>
      </c>
      <c r="B6186" t="s">
        <v>1865</v>
      </c>
      <c r="C6186" t="s">
        <v>584</v>
      </c>
      <c r="D6186" t="s">
        <v>585</v>
      </c>
      <c r="E6186" s="8">
        <v>40</v>
      </c>
      <c r="F6186" s="8">
        <v>67220</v>
      </c>
      <c r="G6186" s="8">
        <f t="shared" si="384"/>
        <v>2688800</v>
      </c>
      <c r="H6186" s="5">
        <v>0.7</v>
      </c>
      <c r="I6186" s="8">
        <f t="shared" si="385"/>
        <v>2688800</v>
      </c>
      <c r="J6186" s="8">
        <f t="shared" si="386"/>
        <v>1882160</v>
      </c>
      <c r="K6186" t="str">
        <f t="shared" si="387"/>
        <v>MATCHED</v>
      </c>
    </row>
    <row r="6187" spans="1:11">
      <c r="A6187" t="s">
        <v>128</v>
      </c>
      <c r="B6187" t="s">
        <v>1865</v>
      </c>
      <c r="C6187" t="s">
        <v>592</v>
      </c>
      <c r="D6187" t="s">
        <v>593</v>
      </c>
      <c r="E6187" s="8">
        <v>50</v>
      </c>
      <c r="F6187" s="8">
        <v>69608</v>
      </c>
      <c r="G6187" s="8">
        <f t="shared" si="384"/>
        <v>3480400</v>
      </c>
      <c r="H6187" s="5">
        <v>0.4</v>
      </c>
      <c r="I6187" s="8">
        <f t="shared" si="385"/>
        <v>3480400</v>
      </c>
      <c r="J6187" s="8">
        <f t="shared" si="386"/>
        <v>1392160</v>
      </c>
      <c r="K6187" t="str">
        <f t="shared" si="387"/>
        <v>MATCHED</v>
      </c>
    </row>
    <row r="6188" spans="1:11">
      <c r="A6188" t="s">
        <v>128</v>
      </c>
      <c r="B6188" t="s">
        <v>1865</v>
      </c>
      <c r="C6188" t="s">
        <v>596</v>
      </c>
      <c r="D6188" t="s">
        <v>597</v>
      </c>
      <c r="E6188" s="8">
        <v>50</v>
      </c>
      <c r="F6188" s="8">
        <v>35660</v>
      </c>
      <c r="G6188" s="8">
        <f t="shared" si="384"/>
        <v>1783000</v>
      </c>
      <c r="H6188" s="5">
        <v>0.4615</v>
      </c>
      <c r="I6188" s="8">
        <f t="shared" si="385"/>
        <v>1783000</v>
      </c>
      <c r="J6188" s="8">
        <f t="shared" si="386"/>
        <v>822854.5</v>
      </c>
      <c r="K6188" t="str">
        <f t="shared" si="387"/>
        <v>MATCHED</v>
      </c>
    </row>
    <row r="6189" spans="1:11">
      <c r="A6189" t="s">
        <v>128</v>
      </c>
      <c r="B6189" t="s">
        <v>1865</v>
      </c>
      <c r="C6189" t="s">
        <v>598</v>
      </c>
      <c r="D6189" t="s">
        <v>599</v>
      </c>
      <c r="E6189" s="8">
        <v>30</v>
      </c>
      <c r="F6189" s="8">
        <v>49930</v>
      </c>
      <c r="G6189" s="8">
        <f t="shared" si="384"/>
        <v>1497900</v>
      </c>
      <c r="H6189" s="5">
        <v>0.2855</v>
      </c>
      <c r="I6189" s="8">
        <f t="shared" si="385"/>
        <v>1497900</v>
      </c>
      <c r="J6189" s="8">
        <f t="shared" si="386"/>
        <v>427650.45</v>
      </c>
      <c r="K6189" t="str">
        <f t="shared" si="387"/>
        <v>MATCHED</v>
      </c>
    </row>
    <row r="6190" spans="1:11">
      <c r="A6190" t="s">
        <v>128</v>
      </c>
      <c r="B6190" t="s">
        <v>1865</v>
      </c>
      <c r="C6190" t="s">
        <v>602</v>
      </c>
      <c r="D6190" t="s">
        <v>603</v>
      </c>
      <c r="E6190" s="8">
        <v>100</v>
      </c>
      <c r="F6190" s="8">
        <v>53446</v>
      </c>
      <c r="G6190" s="8">
        <f t="shared" si="384"/>
        <v>5344600</v>
      </c>
      <c r="H6190" s="5">
        <v>0.1733</v>
      </c>
      <c r="I6190" s="8">
        <f t="shared" si="385"/>
        <v>5344600</v>
      </c>
      <c r="J6190" s="8">
        <f t="shared" si="386"/>
        <v>926219.18</v>
      </c>
      <c r="K6190" t="str">
        <f t="shared" si="387"/>
        <v>MATCHED</v>
      </c>
    </row>
    <row r="6191" spans="1:11">
      <c r="A6191" t="s">
        <v>128</v>
      </c>
      <c r="B6191" t="s">
        <v>1865</v>
      </c>
      <c r="C6191" t="s">
        <v>604</v>
      </c>
      <c r="D6191" t="s">
        <v>605</v>
      </c>
      <c r="E6191" s="8">
        <v>350</v>
      </c>
      <c r="F6191" s="8">
        <v>69283.7142857143</v>
      </c>
      <c r="G6191" s="8">
        <f t="shared" si="384"/>
        <v>24249300</v>
      </c>
      <c r="H6191" s="5">
        <v>0.1404</v>
      </c>
      <c r="I6191" s="8">
        <f t="shared" si="385"/>
        <v>24249300</v>
      </c>
      <c r="J6191" s="8">
        <f t="shared" si="386"/>
        <v>3404601.72</v>
      </c>
      <c r="K6191" t="str">
        <f t="shared" si="387"/>
        <v>MATCHED</v>
      </c>
    </row>
    <row r="6192" spans="1:11">
      <c r="A6192" t="s">
        <v>128</v>
      </c>
      <c r="B6192" t="s">
        <v>1865</v>
      </c>
      <c r="C6192" t="s">
        <v>305</v>
      </c>
      <c r="D6192" t="s">
        <v>306</v>
      </c>
      <c r="E6192" s="8">
        <v>30</v>
      </c>
      <c r="F6192" s="8">
        <v>64590</v>
      </c>
      <c r="G6192" s="8">
        <f t="shared" si="384"/>
        <v>1937700</v>
      </c>
      <c r="H6192" s="5">
        <v>0.1269</v>
      </c>
      <c r="I6192" s="8">
        <f t="shared" si="385"/>
        <v>1937700</v>
      </c>
      <c r="J6192" s="8">
        <f t="shared" si="386"/>
        <v>245894.13</v>
      </c>
      <c r="K6192" t="str">
        <f t="shared" si="387"/>
        <v>MATCHED</v>
      </c>
    </row>
    <row r="6193" spans="1:11">
      <c r="A6193" t="s">
        <v>128</v>
      </c>
      <c r="B6193" t="s">
        <v>1865</v>
      </c>
      <c r="C6193" t="s">
        <v>1166</v>
      </c>
      <c r="D6193" t="s">
        <v>1167</v>
      </c>
      <c r="E6193" s="8">
        <v>210</v>
      </c>
      <c r="F6193" s="8">
        <v>109430</v>
      </c>
      <c r="G6193" s="8">
        <f t="shared" si="384"/>
        <v>22980300</v>
      </c>
      <c r="H6193" s="5">
        <v>0.1667</v>
      </c>
      <c r="I6193" s="8">
        <f t="shared" si="385"/>
        <v>22980300</v>
      </c>
      <c r="J6193" s="8">
        <f t="shared" si="386"/>
        <v>3830816.01</v>
      </c>
      <c r="K6193" t="str">
        <f t="shared" si="387"/>
        <v>MATCHED</v>
      </c>
    </row>
    <row r="6194" spans="1:11">
      <c r="A6194" t="s">
        <v>128</v>
      </c>
      <c r="B6194" t="s">
        <v>1865</v>
      </c>
      <c r="C6194" t="s">
        <v>1168</v>
      </c>
      <c r="D6194" t="s">
        <v>1169</v>
      </c>
      <c r="E6194" s="8">
        <v>940</v>
      </c>
      <c r="F6194" s="8">
        <v>120806.489361702</v>
      </c>
      <c r="G6194" s="8">
        <f t="shared" si="384"/>
        <v>113558100</v>
      </c>
      <c r="H6194" s="5">
        <v>0.05</v>
      </c>
      <c r="I6194" s="8">
        <f t="shared" si="385"/>
        <v>113558100</v>
      </c>
      <c r="J6194" s="8">
        <f t="shared" si="386"/>
        <v>5677905</v>
      </c>
      <c r="K6194" t="str">
        <f t="shared" si="387"/>
        <v>MATCHED</v>
      </c>
    </row>
    <row r="6195" spans="1:11">
      <c r="A6195" t="s">
        <v>128</v>
      </c>
      <c r="B6195" t="s">
        <v>1865</v>
      </c>
      <c r="C6195" t="s">
        <v>309</v>
      </c>
      <c r="D6195" t="s">
        <v>310</v>
      </c>
      <c r="E6195" s="8">
        <v>2320</v>
      </c>
      <c r="F6195" s="8">
        <v>109711.681034483</v>
      </c>
      <c r="G6195" s="8">
        <f t="shared" si="384"/>
        <v>254531100</v>
      </c>
      <c r="H6195" s="5">
        <v>0.4037</v>
      </c>
      <c r="I6195" s="8">
        <f t="shared" si="385"/>
        <v>254531100</v>
      </c>
      <c r="J6195" s="8">
        <f t="shared" si="386"/>
        <v>102754205.07</v>
      </c>
      <c r="K6195" t="str">
        <f t="shared" si="387"/>
        <v>MATCHED</v>
      </c>
    </row>
    <row r="6196" spans="1:11">
      <c r="A6196" t="s">
        <v>128</v>
      </c>
      <c r="B6196" t="s">
        <v>1865</v>
      </c>
      <c r="C6196" t="s">
        <v>1170</v>
      </c>
      <c r="D6196" t="s">
        <v>1171</v>
      </c>
      <c r="E6196" s="8">
        <v>1590</v>
      </c>
      <c r="F6196" s="8">
        <v>105330.188679245</v>
      </c>
      <c r="G6196" s="8">
        <f t="shared" si="384"/>
        <v>167475000</v>
      </c>
      <c r="H6196" s="5">
        <v>0.3433</v>
      </c>
      <c r="I6196" s="8">
        <f t="shared" si="385"/>
        <v>167475000</v>
      </c>
      <c r="J6196" s="8">
        <f t="shared" si="386"/>
        <v>57494167.5</v>
      </c>
      <c r="K6196" t="str">
        <f t="shared" si="387"/>
        <v>MATCHED</v>
      </c>
    </row>
    <row r="6197" spans="1:11">
      <c r="A6197" t="s">
        <v>128</v>
      </c>
      <c r="B6197" t="s">
        <v>1865</v>
      </c>
      <c r="C6197" t="s">
        <v>1172</v>
      </c>
      <c r="D6197" t="s">
        <v>1173</v>
      </c>
      <c r="E6197" s="8">
        <v>53820</v>
      </c>
      <c r="F6197" s="8">
        <v>104645.535117057</v>
      </c>
      <c r="G6197" s="8">
        <f t="shared" si="384"/>
        <v>5632022700</v>
      </c>
      <c r="H6197" s="5">
        <v>0.1857</v>
      </c>
      <c r="I6197" s="8">
        <f t="shared" si="385"/>
        <v>5632022700</v>
      </c>
      <c r="J6197" s="8">
        <f t="shared" si="386"/>
        <v>1045866615.39</v>
      </c>
      <c r="K6197" t="str">
        <f t="shared" si="387"/>
        <v>MATCHED</v>
      </c>
    </row>
    <row r="6198" spans="1:11">
      <c r="A6198" t="s">
        <v>128</v>
      </c>
      <c r="B6198" t="s">
        <v>1865</v>
      </c>
      <c r="C6198" t="s">
        <v>1174</v>
      </c>
      <c r="D6198" t="s">
        <v>1175</v>
      </c>
      <c r="E6198" s="8">
        <v>300</v>
      </c>
      <c r="F6198" s="8">
        <v>102300</v>
      </c>
      <c r="G6198" s="8">
        <f t="shared" si="384"/>
        <v>30690000</v>
      </c>
      <c r="H6198" s="5"/>
      <c r="I6198" s="8" t="str">
        <f t="shared" si="385"/>
        <v/>
      </c>
      <c r="J6198" s="8" t="str">
        <f t="shared" si="386"/>
        <v/>
      </c>
      <c r="K6198" t="str">
        <f t="shared" si="387"/>
        <v>MISSING WHARTON</v>
      </c>
    </row>
    <row r="6199" spans="1:11">
      <c r="A6199" t="s">
        <v>128</v>
      </c>
      <c r="B6199" t="s">
        <v>1865</v>
      </c>
      <c r="C6199" t="s">
        <v>846</v>
      </c>
      <c r="D6199" t="s">
        <v>847</v>
      </c>
      <c r="E6199" s="8">
        <v>2570</v>
      </c>
      <c r="F6199" s="8">
        <v>239542.451361868</v>
      </c>
      <c r="G6199" s="8">
        <f t="shared" si="384"/>
        <v>615624100</v>
      </c>
      <c r="H6199" s="5">
        <v>0.44</v>
      </c>
      <c r="I6199" s="8">
        <f t="shared" si="385"/>
        <v>615624100</v>
      </c>
      <c r="J6199" s="8">
        <f t="shared" si="386"/>
        <v>270874604</v>
      </c>
      <c r="K6199" t="str">
        <f t="shared" si="387"/>
        <v>MATCHED</v>
      </c>
    </row>
    <row r="6200" spans="1:11">
      <c r="A6200" t="s">
        <v>128</v>
      </c>
      <c r="B6200" t="s">
        <v>1865</v>
      </c>
      <c r="C6200" t="s">
        <v>608</v>
      </c>
      <c r="D6200" t="s">
        <v>609</v>
      </c>
      <c r="E6200" s="8">
        <v>730</v>
      </c>
      <c r="F6200" s="8">
        <v>85070.2739726027</v>
      </c>
      <c r="G6200" s="8">
        <f t="shared" si="384"/>
        <v>62101300</v>
      </c>
      <c r="H6200" s="5">
        <v>0.1808</v>
      </c>
      <c r="I6200" s="8">
        <f t="shared" si="385"/>
        <v>62101300</v>
      </c>
      <c r="J6200" s="8">
        <f t="shared" si="386"/>
        <v>11227915.04</v>
      </c>
      <c r="K6200" t="str">
        <f t="shared" si="387"/>
        <v>MATCHED</v>
      </c>
    </row>
    <row r="6201" spans="1:11">
      <c r="A6201" t="s">
        <v>128</v>
      </c>
      <c r="B6201" t="s">
        <v>1865</v>
      </c>
      <c r="C6201" t="s">
        <v>610</v>
      </c>
      <c r="D6201" t="s">
        <v>611</v>
      </c>
      <c r="E6201" s="8">
        <v>200</v>
      </c>
      <c r="F6201" s="8">
        <v>93760</v>
      </c>
      <c r="G6201" s="8">
        <f t="shared" si="384"/>
        <v>18752000</v>
      </c>
      <c r="H6201" s="5">
        <v>0.4662</v>
      </c>
      <c r="I6201" s="8">
        <f t="shared" si="385"/>
        <v>18752000</v>
      </c>
      <c r="J6201" s="8">
        <f t="shared" si="386"/>
        <v>8742182.4</v>
      </c>
      <c r="K6201" t="str">
        <f t="shared" si="387"/>
        <v>MATCHED</v>
      </c>
    </row>
    <row r="6202" spans="1:11">
      <c r="A6202" t="s">
        <v>128</v>
      </c>
      <c r="B6202" t="s">
        <v>1865</v>
      </c>
      <c r="C6202" t="s">
        <v>614</v>
      </c>
      <c r="D6202" t="s">
        <v>615</v>
      </c>
      <c r="E6202" s="8">
        <v>110</v>
      </c>
      <c r="F6202" s="8">
        <v>112380</v>
      </c>
      <c r="G6202" s="8">
        <f t="shared" si="384"/>
        <v>12361800</v>
      </c>
      <c r="H6202" s="5">
        <v>0.5271</v>
      </c>
      <c r="I6202" s="8">
        <f t="shared" si="385"/>
        <v>12361800</v>
      </c>
      <c r="J6202" s="8">
        <f t="shared" si="386"/>
        <v>6515904.78</v>
      </c>
      <c r="K6202" t="str">
        <f t="shared" si="387"/>
        <v>MATCHED</v>
      </c>
    </row>
    <row r="6203" spans="1:11">
      <c r="A6203" t="s">
        <v>128</v>
      </c>
      <c r="B6203" t="s">
        <v>1865</v>
      </c>
      <c r="C6203" t="s">
        <v>1567</v>
      </c>
      <c r="D6203" t="s">
        <v>1568</v>
      </c>
      <c r="E6203" s="8">
        <v>400</v>
      </c>
      <c r="F6203" s="8">
        <v>64630</v>
      </c>
      <c r="G6203" s="8">
        <f t="shared" si="384"/>
        <v>25852000</v>
      </c>
      <c r="H6203" s="5">
        <v>0.7375</v>
      </c>
      <c r="I6203" s="8">
        <f t="shared" si="385"/>
        <v>25852000</v>
      </c>
      <c r="J6203" s="8">
        <f t="shared" si="386"/>
        <v>19065850</v>
      </c>
      <c r="K6203" t="str">
        <f t="shared" si="387"/>
        <v>MATCHED</v>
      </c>
    </row>
    <row r="6204" spans="1:11">
      <c r="A6204" t="s">
        <v>128</v>
      </c>
      <c r="B6204" t="s">
        <v>1865</v>
      </c>
      <c r="C6204" t="s">
        <v>1606</v>
      </c>
      <c r="D6204" t="s">
        <v>1607</v>
      </c>
      <c r="E6204" s="8">
        <v>60600</v>
      </c>
      <c r="F6204" s="8">
        <v>113136.153465347</v>
      </c>
      <c r="G6204" s="8">
        <f t="shared" si="384"/>
        <v>6856050900</v>
      </c>
      <c r="H6204" s="5">
        <v>0.1883</v>
      </c>
      <c r="I6204" s="8">
        <f t="shared" si="385"/>
        <v>6856050900</v>
      </c>
      <c r="J6204" s="8">
        <f t="shared" si="386"/>
        <v>1290994384.47</v>
      </c>
      <c r="K6204" t="str">
        <f t="shared" si="387"/>
        <v>MATCHED</v>
      </c>
    </row>
    <row r="6205" spans="1:11">
      <c r="A6205" t="s">
        <v>128</v>
      </c>
      <c r="B6205" t="s">
        <v>1865</v>
      </c>
      <c r="C6205" t="s">
        <v>1640</v>
      </c>
      <c r="D6205" t="s">
        <v>1641</v>
      </c>
      <c r="E6205" s="8">
        <v>4180</v>
      </c>
      <c r="F6205" s="8">
        <v>119660</v>
      </c>
      <c r="G6205" s="8">
        <f t="shared" si="384"/>
        <v>500178800</v>
      </c>
      <c r="H6205" s="5">
        <v>0.3447</v>
      </c>
      <c r="I6205" s="8">
        <f t="shared" si="385"/>
        <v>500178800</v>
      </c>
      <c r="J6205" s="8">
        <f t="shared" si="386"/>
        <v>172411632.36</v>
      </c>
      <c r="K6205" t="str">
        <f t="shared" si="387"/>
        <v>MATCHED</v>
      </c>
    </row>
    <row r="6206" spans="1:11">
      <c r="A6206" t="s">
        <v>128</v>
      </c>
      <c r="B6206" t="s">
        <v>1865</v>
      </c>
      <c r="C6206" t="s">
        <v>1642</v>
      </c>
      <c r="D6206" t="s">
        <v>1643</v>
      </c>
      <c r="E6206" s="8">
        <v>8010</v>
      </c>
      <c r="F6206" s="8">
        <v>89720.074906367</v>
      </c>
      <c r="G6206" s="8">
        <f t="shared" si="384"/>
        <v>718657800</v>
      </c>
      <c r="H6206" s="5">
        <v>0.1333</v>
      </c>
      <c r="I6206" s="8">
        <f t="shared" si="385"/>
        <v>718657800</v>
      </c>
      <c r="J6206" s="8">
        <f t="shared" si="386"/>
        <v>95797084.74</v>
      </c>
      <c r="K6206" t="str">
        <f t="shared" si="387"/>
        <v>MATCHED</v>
      </c>
    </row>
    <row r="6207" spans="1:11">
      <c r="A6207" t="s">
        <v>128</v>
      </c>
      <c r="B6207" t="s">
        <v>1865</v>
      </c>
      <c r="C6207" t="s">
        <v>852</v>
      </c>
      <c r="D6207" t="s">
        <v>853</v>
      </c>
      <c r="E6207" s="8">
        <v>70</v>
      </c>
      <c r="F6207" s="8">
        <v>93080</v>
      </c>
      <c r="G6207" s="8">
        <f t="shared" si="384"/>
        <v>6515600</v>
      </c>
      <c r="H6207" s="5">
        <v>0.554</v>
      </c>
      <c r="I6207" s="8">
        <f t="shared" si="385"/>
        <v>6515600</v>
      </c>
      <c r="J6207" s="8">
        <f t="shared" si="386"/>
        <v>3609642.4</v>
      </c>
      <c r="K6207" t="str">
        <f t="shared" si="387"/>
        <v>MATCHED</v>
      </c>
    </row>
    <row r="6208" spans="1:11">
      <c r="A6208" t="s">
        <v>128</v>
      </c>
      <c r="B6208" t="s">
        <v>1865</v>
      </c>
      <c r="C6208" t="s">
        <v>1178</v>
      </c>
      <c r="D6208" t="s">
        <v>1179</v>
      </c>
      <c r="E6208" s="8">
        <v>1010</v>
      </c>
      <c r="F6208" s="8">
        <v>71297.8217821782</v>
      </c>
      <c r="G6208" s="8">
        <f t="shared" si="384"/>
        <v>72010800</v>
      </c>
      <c r="H6208" s="5">
        <v>0.5545</v>
      </c>
      <c r="I6208" s="8">
        <f t="shared" si="385"/>
        <v>72010800</v>
      </c>
      <c r="J6208" s="8">
        <f t="shared" si="386"/>
        <v>39929988.6</v>
      </c>
      <c r="K6208" t="str">
        <f t="shared" si="387"/>
        <v>MATCHED</v>
      </c>
    </row>
    <row r="6209" spans="1:11">
      <c r="A6209" t="s">
        <v>128</v>
      </c>
      <c r="B6209" t="s">
        <v>1865</v>
      </c>
      <c r="C6209" t="s">
        <v>317</v>
      </c>
      <c r="D6209" t="s">
        <v>318</v>
      </c>
      <c r="E6209" s="8">
        <v>8420</v>
      </c>
      <c r="F6209" s="8">
        <v>55420</v>
      </c>
      <c r="G6209" s="8">
        <f t="shared" si="384"/>
        <v>466636400</v>
      </c>
      <c r="H6209" s="5">
        <v>0.2778</v>
      </c>
      <c r="I6209" s="8">
        <f t="shared" si="385"/>
        <v>466636400</v>
      </c>
      <c r="J6209" s="8">
        <f t="shared" si="386"/>
        <v>129631591.92</v>
      </c>
      <c r="K6209" t="str">
        <f t="shared" si="387"/>
        <v>MATCHED</v>
      </c>
    </row>
    <row r="6210" spans="1:11">
      <c r="A6210" t="s">
        <v>128</v>
      </c>
      <c r="B6210" t="s">
        <v>1865</v>
      </c>
      <c r="C6210" t="s">
        <v>616</v>
      </c>
      <c r="D6210" t="s">
        <v>617</v>
      </c>
      <c r="E6210" s="8">
        <v>710</v>
      </c>
      <c r="F6210" s="8">
        <v>58600</v>
      </c>
      <c r="G6210" s="8">
        <f t="shared" ref="G6210:G6273" si="388">IF(OR(E6210="",F6210=""),"",E6210*F6210)</f>
        <v>41606000</v>
      </c>
      <c r="H6210" s="5">
        <v>0.25</v>
      </c>
      <c r="I6210" s="8">
        <f t="shared" ref="I6210:I6273" si="389">IF(G6210="","",IF(ISNUMBER(H6210),G6210,""))</f>
        <v>41606000</v>
      </c>
      <c r="J6210" s="8">
        <f t="shared" ref="J6210:J6273" si="390">IF(I6210="","",I6210*H6210)</f>
        <v>10401500</v>
      </c>
      <c r="K6210" t="str">
        <f t="shared" ref="K6210:K6273" si="391">IF(G6210="","MISSING OEWS",IF(ISNUMBER(H6210),"MATCHED","MISSING WHARTON"))</f>
        <v>MATCHED</v>
      </c>
    </row>
    <row r="6211" spans="1:11">
      <c r="A6211" t="s">
        <v>128</v>
      </c>
      <c r="B6211" t="s">
        <v>1865</v>
      </c>
      <c r="C6211" t="s">
        <v>618</v>
      </c>
      <c r="D6211" t="s">
        <v>619</v>
      </c>
      <c r="E6211" s="8">
        <v>440</v>
      </c>
      <c r="F6211" s="8">
        <v>41080</v>
      </c>
      <c r="G6211" s="8">
        <f t="shared" si="388"/>
        <v>18075200</v>
      </c>
      <c r="H6211" s="5">
        <v>0.2635</v>
      </c>
      <c r="I6211" s="8">
        <f t="shared" si="389"/>
        <v>18075200</v>
      </c>
      <c r="J6211" s="8">
        <f t="shared" si="390"/>
        <v>4762815.2</v>
      </c>
      <c r="K6211" t="str">
        <f t="shared" si="391"/>
        <v>MATCHED</v>
      </c>
    </row>
    <row r="6212" spans="1:11">
      <c r="A6212" t="s">
        <v>128</v>
      </c>
      <c r="B6212" t="s">
        <v>1865</v>
      </c>
      <c r="C6212" t="s">
        <v>854</v>
      </c>
      <c r="D6212" t="s">
        <v>855</v>
      </c>
      <c r="E6212" s="8">
        <v>90</v>
      </c>
      <c r="F6212" s="8">
        <v>83860</v>
      </c>
      <c r="G6212" s="8">
        <f t="shared" si="388"/>
        <v>7547400</v>
      </c>
      <c r="H6212" s="5">
        <v>0.1619</v>
      </c>
      <c r="I6212" s="8">
        <f t="shared" si="389"/>
        <v>7547400</v>
      </c>
      <c r="J6212" s="8">
        <f t="shared" si="390"/>
        <v>1221924.06</v>
      </c>
      <c r="K6212" t="str">
        <f t="shared" si="391"/>
        <v>MATCHED</v>
      </c>
    </row>
    <row r="6213" spans="1:11">
      <c r="A6213" t="s">
        <v>128</v>
      </c>
      <c r="B6213" t="s">
        <v>1865</v>
      </c>
      <c r="C6213" t="s">
        <v>1180</v>
      </c>
      <c r="D6213" t="s">
        <v>1181</v>
      </c>
      <c r="E6213" s="8">
        <v>2320</v>
      </c>
      <c r="F6213" s="8">
        <v>60540.8620689655</v>
      </c>
      <c r="G6213" s="8">
        <f t="shared" si="388"/>
        <v>140454800</v>
      </c>
      <c r="H6213" s="5">
        <v>0.7087</v>
      </c>
      <c r="I6213" s="8">
        <f t="shared" si="389"/>
        <v>140454800</v>
      </c>
      <c r="J6213" s="8">
        <f t="shared" si="390"/>
        <v>99540316.76</v>
      </c>
      <c r="K6213" t="str">
        <f t="shared" si="391"/>
        <v>MATCHED</v>
      </c>
    </row>
    <row r="6214" spans="1:11">
      <c r="A6214" t="s">
        <v>128</v>
      </c>
      <c r="B6214" t="s">
        <v>1865</v>
      </c>
      <c r="C6214" t="s">
        <v>1513</v>
      </c>
      <c r="D6214" t="s">
        <v>1514</v>
      </c>
      <c r="E6214" s="8">
        <v>380</v>
      </c>
      <c r="F6214" s="8">
        <v>51290</v>
      </c>
      <c r="G6214" s="8">
        <f t="shared" si="388"/>
        <v>19490200</v>
      </c>
      <c r="H6214" s="5">
        <v>0.1571</v>
      </c>
      <c r="I6214" s="8">
        <f t="shared" si="389"/>
        <v>19490200</v>
      </c>
      <c r="J6214" s="8">
        <f t="shared" si="390"/>
        <v>3061910.42</v>
      </c>
      <c r="K6214" t="str">
        <f t="shared" si="391"/>
        <v>MATCHED</v>
      </c>
    </row>
    <row r="6215" spans="1:11">
      <c r="A6215" t="s">
        <v>128</v>
      </c>
      <c r="B6215" t="s">
        <v>1865</v>
      </c>
      <c r="C6215" t="s">
        <v>624</v>
      </c>
      <c r="D6215" t="s">
        <v>625</v>
      </c>
      <c r="E6215" s="8">
        <v>3680</v>
      </c>
      <c r="F6215" s="8">
        <v>64793.1793478261</v>
      </c>
      <c r="G6215" s="8">
        <f t="shared" si="388"/>
        <v>238438900</v>
      </c>
      <c r="H6215" s="5">
        <v>0.5519</v>
      </c>
      <c r="I6215" s="8">
        <f t="shared" si="389"/>
        <v>238438900</v>
      </c>
      <c r="J6215" s="8">
        <f t="shared" si="390"/>
        <v>131594428.91</v>
      </c>
      <c r="K6215" t="str">
        <f t="shared" si="391"/>
        <v>MATCHED</v>
      </c>
    </row>
    <row r="6216" spans="1:11">
      <c r="A6216" t="s">
        <v>128</v>
      </c>
      <c r="B6216" t="s">
        <v>1865</v>
      </c>
      <c r="C6216" t="s">
        <v>319</v>
      </c>
      <c r="D6216" t="s">
        <v>320</v>
      </c>
      <c r="E6216" s="8">
        <v>5350</v>
      </c>
      <c r="F6216" s="8">
        <v>97004.523364486</v>
      </c>
      <c r="G6216" s="8">
        <f t="shared" si="388"/>
        <v>518974200</v>
      </c>
      <c r="H6216" s="5">
        <v>0.2786</v>
      </c>
      <c r="I6216" s="8">
        <f t="shared" si="389"/>
        <v>518974200</v>
      </c>
      <c r="J6216" s="8">
        <f t="shared" si="390"/>
        <v>144586212.12</v>
      </c>
      <c r="K6216" t="str">
        <f t="shared" si="391"/>
        <v>MATCHED</v>
      </c>
    </row>
    <row r="6217" spans="1:11">
      <c r="A6217" t="s">
        <v>128</v>
      </c>
      <c r="B6217" t="s">
        <v>1865</v>
      </c>
      <c r="C6217" t="s">
        <v>626</v>
      </c>
      <c r="D6217" t="s">
        <v>627</v>
      </c>
      <c r="E6217" s="8">
        <v>1340</v>
      </c>
      <c r="F6217" s="8">
        <v>66424.776119403</v>
      </c>
      <c r="G6217" s="8">
        <f t="shared" si="388"/>
        <v>89009200</v>
      </c>
      <c r="H6217" s="5">
        <v>0.2712</v>
      </c>
      <c r="I6217" s="8">
        <f t="shared" si="389"/>
        <v>89009200</v>
      </c>
      <c r="J6217" s="8">
        <f t="shared" si="390"/>
        <v>24139295.04</v>
      </c>
      <c r="K6217" t="str">
        <f t="shared" si="391"/>
        <v>MATCHED</v>
      </c>
    </row>
    <row r="6218" spans="1:11">
      <c r="A6218" t="s">
        <v>128</v>
      </c>
      <c r="B6218" t="s">
        <v>1865</v>
      </c>
      <c r="C6218" t="s">
        <v>1464</v>
      </c>
      <c r="D6218" t="s">
        <v>1465</v>
      </c>
      <c r="E6218" s="8">
        <v>16320</v>
      </c>
      <c r="F6218" s="8">
        <v>53004.3933823529</v>
      </c>
      <c r="G6218" s="8">
        <f t="shared" si="388"/>
        <v>865031700</v>
      </c>
      <c r="H6218" s="5">
        <v>0.3176</v>
      </c>
      <c r="I6218" s="8">
        <f t="shared" si="389"/>
        <v>865031700</v>
      </c>
      <c r="J6218" s="8">
        <f t="shared" si="390"/>
        <v>274734067.92</v>
      </c>
      <c r="K6218" t="str">
        <f t="shared" si="391"/>
        <v>MATCHED</v>
      </c>
    </row>
    <row r="6219" spans="1:11">
      <c r="A6219" t="s">
        <v>128</v>
      </c>
      <c r="B6219" t="s">
        <v>1865</v>
      </c>
      <c r="C6219" t="s">
        <v>1711</v>
      </c>
      <c r="D6219" t="s">
        <v>1712</v>
      </c>
      <c r="E6219" s="8">
        <v>59540</v>
      </c>
      <c r="F6219" s="8">
        <v>76084.8337252267</v>
      </c>
      <c r="G6219" s="8">
        <f t="shared" si="388"/>
        <v>4530091000</v>
      </c>
      <c r="H6219" s="5">
        <v>0.0594</v>
      </c>
      <c r="I6219" s="8">
        <f t="shared" si="389"/>
        <v>4530091000</v>
      </c>
      <c r="J6219" s="8">
        <f t="shared" si="390"/>
        <v>269087405.4</v>
      </c>
      <c r="K6219" t="str">
        <f t="shared" si="391"/>
        <v>MATCHED</v>
      </c>
    </row>
    <row r="6220" spans="1:11">
      <c r="A6220" t="s">
        <v>128</v>
      </c>
      <c r="B6220" t="s">
        <v>1865</v>
      </c>
      <c r="C6220" t="s">
        <v>1466</v>
      </c>
      <c r="D6220" t="s">
        <v>1467</v>
      </c>
      <c r="E6220" s="8">
        <v>70030</v>
      </c>
      <c r="F6220" s="8">
        <v>47307.5082107668</v>
      </c>
      <c r="G6220" s="8">
        <f t="shared" si="388"/>
        <v>3312944800</v>
      </c>
      <c r="H6220" s="5">
        <v>0.2618</v>
      </c>
      <c r="I6220" s="8">
        <f t="shared" si="389"/>
        <v>3312944800</v>
      </c>
      <c r="J6220" s="8">
        <f t="shared" si="390"/>
        <v>867328948.64</v>
      </c>
      <c r="K6220" t="str">
        <f t="shared" si="391"/>
        <v>MATCHED</v>
      </c>
    </row>
    <row r="6221" spans="1:11">
      <c r="A6221" t="s">
        <v>128</v>
      </c>
      <c r="B6221" t="s">
        <v>1865</v>
      </c>
      <c r="C6221" t="s">
        <v>1608</v>
      </c>
      <c r="D6221" t="s">
        <v>1609</v>
      </c>
      <c r="E6221" s="8">
        <v>398140</v>
      </c>
      <c r="F6221" s="8">
        <v>63440.7474757623</v>
      </c>
      <c r="G6221" s="8">
        <f t="shared" si="388"/>
        <v>25258299200</v>
      </c>
      <c r="H6221" s="5">
        <v>0.1862</v>
      </c>
      <c r="I6221" s="8">
        <f t="shared" si="389"/>
        <v>25258299200</v>
      </c>
      <c r="J6221" s="8">
        <f t="shared" si="390"/>
        <v>4703095311.04</v>
      </c>
      <c r="K6221" t="str">
        <f t="shared" si="391"/>
        <v>MATCHED</v>
      </c>
    </row>
    <row r="6222" spans="1:11">
      <c r="A6222" t="s">
        <v>128</v>
      </c>
      <c r="B6222" t="s">
        <v>1865</v>
      </c>
      <c r="C6222" t="s">
        <v>1468</v>
      </c>
      <c r="D6222" t="s">
        <v>1469</v>
      </c>
      <c r="E6222" s="8">
        <v>16080</v>
      </c>
      <c r="F6222" s="8">
        <v>53972.2325870647</v>
      </c>
      <c r="G6222" s="8">
        <f t="shared" si="388"/>
        <v>867873500</v>
      </c>
      <c r="H6222" s="5"/>
      <c r="I6222" s="8" t="str">
        <f t="shared" si="389"/>
        <v/>
      </c>
      <c r="J6222" s="8" t="str">
        <f t="shared" si="390"/>
        <v/>
      </c>
      <c r="K6222" t="str">
        <f t="shared" si="391"/>
        <v>MISSING WHARTON</v>
      </c>
    </row>
    <row r="6223" spans="1:11">
      <c r="A6223" t="s">
        <v>128</v>
      </c>
      <c r="B6223" t="s">
        <v>1865</v>
      </c>
      <c r="C6223" t="s">
        <v>1610</v>
      </c>
      <c r="D6223" t="s">
        <v>1611</v>
      </c>
      <c r="E6223" s="8">
        <v>150580</v>
      </c>
      <c r="F6223" s="8">
        <v>55162.3987249303</v>
      </c>
      <c r="G6223" s="8">
        <f t="shared" si="388"/>
        <v>8306354000</v>
      </c>
      <c r="H6223" s="5">
        <v>0.2457</v>
      </c>
      <c r="I6223" s="8">
        <f t="shared" si="389"/>
        <v>8306354000</v>
      </c>
      <c r="J6223" s="8">
        <f t="shared" si="390"/>
        <v>2040871177.8</v>
      </c>
      <c r="K6223" t="str">
        <f t="shared" si="391"/>
        <v>MATCHED</v>
      </c>
    </row>
    <row r="6224" spans="1:11">
      <c r="A6224" t="s">
        <v>128</v>
      </c>
      <c r="B6224" t="s">
        <v>1865</v>
      </c>
      <c r="C6224" t="s">
        <v>1417</v>
      </c>
      <c r="D6224" t="s">
        <v>1418</v>
      </c>
      <c r="E6224" s="8">
        <v>144740</v>
      </c>
      <c r="F6224" s="8">
        <v>71674.3395053199</v>
      </c>
      <c r="G6224" s="8">
        <f t="shared" si="388"/>
        <v>10374143900</v>
      </c>
      <c r="H6224" s="5">
        <v>0.2206</v>
      </c>
      <c r="I6224" s="8">
        <f t="shared" si="389"/>
        <v>10374143900</v>
      </c>
      <c r="J6224" s="8">
        <f t="shared" si="390"/>
        <v>2288536144.34</v>
      </c>
      <c r="K6224" t="str">
        <f t="shared" si="391"/>
        <v>MATCHED</v>
      </c>
    </row>
    <row r="6225" spans="1:11">
      <c r="A6225" t="s">
        <v>128</v>
      </c>
      <c r="B6225" t="s">
        <v>1865</v>
      </c>
      <c r="C6225" t="s">
        <v>1612</v>
      </c>
      <c r="D6225" t="s">
        <v>1613</v>
      </c>
      <c r="E6225" s="8">
        <v>98390</v>
      </c>
      <c r="F6225" s="8">
        <v>66599.2651692245</v>
      </c>
      <c r="G6225" s="8">
        <f t="shared" si="388"/>
        <v>6552701700</v>
      </c>
      <c r="H6225" s="5">
        <v>0.1615</v>
      </c>
      <c r="I6225" s="8">
        <f t="shared" si="389"/>
        <v>6552701700</v>
      </c>
      <c r="J6225" s="8">
        <f t="shared" si="390"/>
        <v>1058261324.55</v>
      </c>
      <c r="K6225" t="str">
        <f t="shared" si="391"/>
        <v>MATCHED</v>
      </c>
    </row>
    <row r="6226" spans="1:11">
      <c r="A6226" t="s">
        <v>128</v>
      </c>
      <c r="B6226" t="s">
        <v>1865</v>
      </c>
      <c r="C6226" t="s">
        <v>1614</v>
      </c>
      <c r="D6226" t="s">
        <v>1615</v>
      </c>
      <c r="E6226" s="8">
        <v>14110</v>
      </c>
      <c r="F6226" s="8">
        <v>51972.5939050319</v>
      </c>
      <c r="G6226" s="8">
        <f t="shared" si="388"/>
        <v>733333300</v>
      </c>
      <c r="H6226" s="5"/>
      <c r="I6226" s="8" t="str">
        <f t="shared" si="389"/>
        <v/>
      </c>
      <c r="J6226" s="8" t="str">
        <f t="shared" si="390"/>
        <v/>
      </c>
      <c r="K6226" t="str">
        <f t="shared" si="391"/>
        <v>MISSING WHARTON</v>
      </c>
    </row>
    <row r="6227" spans="1:11">
      <c r="A6227" t="s">
        <v>128</v>
      </c>
      <c r="B6227" t="s">
        <v>1865</v>
      </c>
      <c r="C6227" t="s">
        <v>1419</v>
      </c>
      <c r="D6227" t="s">
        <v>1420</v>
      </c>
      <c r="E6227" s="8">
        <v>27910</v>
      </c>
      <c r="F6227" s="8">
        <v>71018.4020064493</v>
      </c>
      <c r="G6227" s="8">
        <f t="shared" si="388"/>
        <v>1982123600</v>
      </c>
      <c r="H6227" s="5">
        <v>0.5875</v>
      </c>
      <c r="I6227" s="8">
        <f t="shared" si="389"/>
        <v>1982123600</v>
      </c>
      <c r="J6227" s="8">
        <f t="shared" si="390"/>
        <v>1164497615</v>
      </c>
      <c r="K6227" t="str">
        <f t="shared" si="391"/>
        <v>MATCHED</v>
      </c>
    </row>
    <row r="6228" spans="1:11">
      <c r="A6228" t="s">
        <v>128</v>
      </c>
      <c r="B6228" t="s">
        <v>1865</v>
      </c>
      <c r="C6228" t="s">
        <v>1740</v>
      </c>
      <c r="D6228" t="s">
        <v>1741</v>
      </c>
      <c r="E6228" s="8">
        <v>2000</v>
      </c>
      <c r="F6228" s="8">
        <v>48680</v>
      </c>
      <c r="G6228" s="8">
        <f t="shared" si="388"/>
        <v>97360000</v>
      </c>
      <c r="H6228" s="5">
        <v>0.4357</v>
      </c>
      <c r="I6228" s="8">
        <f t="shared" si="389"/>
        <v>97360000</v>
      </c>
      <c r="J6228" s="8">
        <f t="shared" si="390"/>
        <v>42419752</v>
      </c>
      <c r="K6228" t="str">
        <f t="shared" si="391"/>
        <v>MATCHED</v>
      </c>
    </row>
    <row r="6229" spans="1:11">
      <c r="A6229" t="s">
        <v>128</v>
      </c>
      <c r="B6229" t="s">
        <v>1865</v>
      </c>
      <c r="C6229" t="s">
        <v>940</v>
      </c>
      <c r="D6229" t="s">
        <v>941</v>
      </c>
      <c r="E6229" s="8">
        <v>278290</v>
      </c>
      <c r="F6229" s="8">
        <v>45193.0773653383</v>
      </c>
      <c r="G6229" s="8">
        <f t="shared" si="388"/>
        <v>12576781500</v>
      </c>
      <c r="H6229" s="5">
        <v>0.4</v>
      </c>
      <c r="I6229" s="8">
        <f t="shared" si="389"/>
        <v>12576781500</v>
      </c>
      <c r="J6229" s="8">
        <f t="shared" si="390"/>
        <v>5030712600</v>
      </c>
      <c r="K6229" t="str">
        <f t="shared" si="391"/>
        <v>MATCHED</v>
      </c>
    </row>
    <row r="6230" spans="1:11">
      <c r="A6230" t="s">
        <v>128</v>
      </c>
      <c r="B6230" t="s">
        <v>1865</v>
      </c>
      <c r="C6230" t="s">
        <v>1569</v>
      </c>
      <c r="D6230" t="s">
        <v>1570</v>
      </c>
      <c r="E6230" s="8">
        <v>32850</v>
      </c>
      <c r="F6230" s="8">
        <v>53889.7595129376</v>
      </c>
      <c r="G6230" s="8">
        <f t="shared" si="388"/>
        <v>1770278600</v>
      </c>
      <c r="H6230" s="5">
        <v>0.2672</v>
      </c>
      <c r="I6230" s="8">
        <f t="shared" si="389"/>
        <v>1770278600</v>
      </c>
      <c r="J6230" s="8">
        <f t="shared" si="390"/>
        <v>473018441.92</v>
      </c>
      <c r="K6230" t="str">
        <f t="shared" si="391"/>
        <v>MATCHED</v>
      </c>
    </row>
    <row r="6231" spans="1:11">
      <c r="A6231" t="s">
        <v>128</v>
      </c>
      <c r="B6231" t="s">
        <v>1865</v>
      </c>
      <c r="C6231" t="s">
        <v>942</v>
      </c>
      <c r="D6231" t="s">
        <v>943</v>
      </c>
      <c r="E6231" s="8">
        <v>37610</v>
      </c>
      <c r="F6231" s="8">
        <v>54216.0489231587</v>
      </c>
      <c r="G6231" s="8">
        <f t="shared" si="388"/>
        <v>2039065600</v>
      </c>
      <c r="H6231" s="5"/>
      <c r="I6231" s="8" t="str">
        <f t="shared" si="389"/>
        <v/>
      </c>
      <c r="J6231" s="8" t="str">
        <f t="shared" si="390"/>
        <v/>
      </c>
      <c r="K6231" t="str">
        <f t="shared" si="391"/>
        <v>MISSING WHARTON</v>
      </c>
    </row>
    <row r="6232" spans="1:11">
      <c r="A6232" t="s">
        <v>128</v>
      </c>
      <c r="B6232" t="s">
        <v>1865</v>
      </c>
      <c r="C6232" t="s">
        <v>1182</v>
      </c>
      <c r="D6232" t="s">
        <v>1183</v>
      </c>
      <c r="E6232" s="8">
        <v>23610</v>
      </c>
      <c r="F6232" s="8">
        <v>67056.6031342651</v>
      </c>
      <c r="G6232" s="8">
        <f t="shared" si="388"/>
        <v>1583206400</v>
      </c>
      <c r="H6232" s="5">
        <v>0.1786</v>
      </c>
      <c r="I6232" s="8">
        <f t="shared" si="389"/>
        <v>1583206400</v>
      </c>
      <c r="J6232" s="8">
        <f t="shared" si="390"/>
        <v>282760663.04</v>
      </c>
      <c r="K6232" t="str">
        <f t="shared" si="391"/>
        <v>MATCHED</v>
      </c>
    </row>
    <row r="6233" spans="1:11">
      <c r="A6233" t="s">
        <v>128</v>
      </c>
      <c r="B6233" t="s">
        <v>1865</v>
      </c>
      <c r="C6233" t="s">
        <v>1713</v>
      </c>
      <c r="D6233" t="s">
        <v>1714</v>
      </c>
      <c r="E6233" s="8">
        <v>970</v>
      </c>
      <c r="F6233" s="8">
        <v>77440</v>
      </c>
      <c r="G6233" s="8">
        <f t="shared" si="388"/>
        <v>75116800</v>
      </c>
      <c r="H6233" s="5">
        <v>0.2974</v>
      </c>
      <c r="I6233" s="8">
        <f t="shared" si="389"/>
        <v>75116800</v>
      </c>
      <c r="J6233" s="8">
        <f t="shared" si="390"/>
        <v>22339736.32</v>
      </c>
      <c r="K6233" t="str">
        <f t="shared" si="391"/>
        <v>MATCHED</v>
      </c>
    </row>
    <row r="6234" spans="1:11">
      <c r="A6234" t="s">
        <v>128</v>
      </c>
      <c r="B6234" t="s">
        <v>1865</v>
      </c>
      <c r="C6234" t="s">
        <v>1771</v>
      </c>
      <c r="D6234" t="s">
        <v>1772</v>
      </c>
      <c r="E6234" s="8">
        <v>840</v>
      </c>
      <c r="F6234" s="8">
        <v>54783.5714285714</v>
      </c>
      <c r="G6234" s="8">
        <f t="shared" si="388"/>
        <v>46018200</v>
      </c>
      <c r="H6234" s="5"/>
      <c r="I6234" s="8" t="str">
        <f t="shared" si="389"/>
        <v/>
      </c>
      <c r="J6234" s="8" t="str">
        <f t="shared" si="390"/>
        <v/>
      </c>
      <c r="K6234" t="str">
        <f t="shared" si="391"/>
        <v>MISSING WHARTON</v>
      </c>
    </row>
    <row r="6235" spans="1:11">
      <c r="A6235" t="s">
        <v>128</v>
      </c>
      <c r="B6235" t="s">
        <v>1865</v>
      </c>
      <c r="C6235" t="s">
        <v>628</v>
      </c>
      <c r="D6235" t="s">
        <v>629</v>
      </c>
      <c r="E6235" s="8">
        <v>4410</v>
      </c>
      <c r="F6235" s="8">
        <v>183414.489795918</v>
      </c>
      <c r="G6235" s="8">
        <f t="shared" si="388"/>
        <v>808857900</v>
      </c>
      <c r="H6235" s="5">
        <v>0.45</v>
      </c>
      <c r="I6235" s="8">
        <f t="shared" si="389"/>
        <v>808857900</v>
      </c>
      <c r="J6235" s="8">
        <f t="shared" si="390"/>
        <v>363986055</v>
      </c>
      <c r="K6235" t="str">
        <f t="shared" si="391"/>
        <v>MATCHED</v>
      </c>
    </row>
    <row r="6236" spans="1:11">
      <c r="A6236" t="s">
        <v>128</v>
      </c>
      <c r="B6236" t="s">
        <v>1865</v>
      </c>
      <c r="C6236" t="s">
        <v>1421</v>
      </c>
      <c r="D6236" t="s">
        <v>1422</v>
      </c>
      <c r="E6236" s="8">
        <v>550</v>
      </c>
      <c r="F6236" s="8">
        <v>71070</v>
      </c>
      <c r="G6236" s="8">
        <f t="shared" si="388"/>
        <v>39088500</v>
      </c>
      <c r="H6236" s="5">
        <v>0.4375</v>
      </c>
      <c r="I6236" s="8">
        <f t="shared" si="389"/>
        <v>39088500</v>
      </c>
      <c r="J6236" s="8">
        <f t="shared" si="390"/>
        <v>17101218.75</v>
      </c>
      <c r="K6236" t="str">
        <f t="shared" si="391"/>
        <v>MATCHED</v>
      </c>
    </row>
    <row r="6237" spans="1:11">
      <c r="A6237" t="s">
        <v>128</v>
      </c>
      <c r="B6237" t="s">
        <v>1865</v>
      </c>
      <c r="C6237" t="s">
        <v>630</v>
      </c>
      <c r="D6237" t="s">
        <v>631</v>
      </c>
      <c r="E6237" s="8">
        <v>2240</v>
      </c>
      <c r="F6237" s="8">
        <v>65424.9107142857</v>
      </c>
      <c r="G6237" s="8">
        <f t="shared" si="388"/>
        <v>146551800</v>
      </c>
      <c r="H6237" s="5">
        <v>0.5917</v>
      </c>
      <c r="I6237" s="8">
        <f t="shared" si="389"/>
        <v>146551800</v>
      </c>
      <c r="J6237" s="8">
        <f t="shared" si="390"/>
        <v>86714700.06</v>
      </c>
      <c r="K6237" t="str">
        <f t="shared" si="391"/>
        <v>MATCHED</v>
      </c>
    </row>
    <row r="6238" spans="1:11">
      <c r="A6238" t="s">
        <v>128</v>
      </c>
      <c r="B6238" t="s">
        <v>1865</v>
      </c>
      <c r="C6238" t="s">
        <v>632</v>
      </c>
      <c r="D6238" t="s">
        <v>633</v>
      </c>
      <c r="E6238" s="8">
        <v>70</v>
      </c>
      <c r="F6238" s="8">
        <v>55850</v>
      </c>
      <c r="G6238" s="8">
        <f t="shared" si="388"/>
        <v>3909500</v>
      </c>
      <c r="H6238" s="5">
        <v>0.8794</v>
      </c>
      <c r="I6238" s="8">
        <f t="shared" si="389"/>
        <v>3909500</v>
      </c>
      <c r="J6238" s="8">
        <f t="shared" si="390"/>
        <v>3438014.3</v>
      </c>
      <c r="K6238" t="str">
        <f t="shared" si="391"/>
        <v>MATCHED</v>
      </c>
    </row>
    <row r="6239" spans="1:11">
      <c r="A6239" t="s">
        <v>128</v>
      </c>
      <c r="B6239" t="s">
        <v>1865</v>
      </c>
      <c r="C6239" t="s">
        <v>634</v>
      </c>
      <c r="D6239" t="s">
        <v>635</v>
      </c>
      <c r="E6239" s="8">
        <v>730</v>
      </c>
      <c r="F6239" s="8">
        <v>57490</v>
      </c>
      <c r="G6239" s="8">
        <f t="shared" si="388"/>
        <v>41967700</v>
      </c>
      <c r="H6239" s="5"/>
      <c r="I6239" s="8" t="str">
        <f t="shared" si="389"/>
        <v/>
      </c>
      <c r="J6239" s="8" t="str">
        <f t="shared" si="390"/>
        <v/>
      </c>
      <c r="K6239" t="str">
        <f t="shared" si="391"/>
        <v>MISSING WHARTON</v>
      </c>
    </row>
    <row r="6240" spans="1:11">
      <c r="A6240" t="s">
        <v>128</v>
      </c>
      <c r="B6240" t="s">
        <v>1865</v>
      </c>
      <c r="C6240" t="s">
        <v>1656</v>
      </c>
      <c r="D6240" t="s">
        <v>1657</v>
      </c>
      <c r="E6240" s="8">
        <v>11560</v>
      </c>
      <c r="F6240" s="8">
        <v>224354.498269896</v>
      </c>
      <c r="G6240" s="8">
        <f t="shared" si="388"/>
        <v>2593538000</v>
      </c>
      <c r="H6240" s="5">
        <v>0.4196</v>
      </c>
      <c r="I6240" s="8">
        <f t="shared" si="389"/>
        <v>2593538000</v>
      </c>
      <c r="J6240" s="8">
        <f t="shared" si="390"/>
        <v>1088248544.8</v>
      </c>
      <c r="K6240" t="str">
        <f t="shared" si="391"/>
        <v>MATCHED</v>
      </c>
    </row>
    <row r="6241" spans="1:11">
      <c r="A6241" t="s">
        <v>128</v>
      </c>
      <c r="B6241" t="s">
        <v>1865</v>
      </c>
      <c r="C6241" t="s">
        <v>1742</v>
      </c>
      <c r="D6241" t="s">
        <v>1743</v>
      </c>
      <c r="E6241" s="8">
        <v>2230</v>
      </c>
      <c r="F6241" s="8">
        <v>113041.97309417</v>
      </c>
      <c r="G6241" s="8">
        <f t="shared" si="388"/>
        <v>252083600</v>
      </c>
      <c r="H6241" s="5">
        <v>0.3483</v>
      </c>
      <c r="I6241" s="8">
        <f t="shared" si="389"/>
        <v>252083600</v>
      </c>
      <c r="J6241" s="8">
        <f t="shared" si="390"/>
        <v>87800717.88</v>
      </c>
      <c r="K6241" t="str">
        <f t="shared" si="391"/>
        <v>MATCHED</v>
      </c>
    </row>
    <row r="6242" spans="1:11">
      <c r="A6242" t="s">
        <v>128</v>
      </c>
      <c r="B6242" t="s">
        <v>1865</v>
      </c>
      <c r="C6242" t="s">
        <v>1515</v>
      </c>
      <c r="D6242" t="s">
        <v>1516</v>
      </c>
      <c r="E6242" s="8">
        <v>1300</v>
      </c>
      <c r="F6242" s="8">
        <v>54250.7692307692</v>
      </c>
      <c r="G6242" s="8">
        <f t="shared" si="388"/>
        <v>70526000</v>
      </c>
      <c r="H6242" s="5">
        <v>0.3875</v>
      </c>
      <c r="I6242" s="8">
        <f t="shared" si="389"/>
        <v>70526000</v>
      </c>
      <c r="J6242" s="8">
        <f t="shared" si="390"/>
        <v>27328825</v>
      </c>
      <c r="K6242" t="str">
        <f t="shared" si="391"/>
        <v>MATCHED</v>
      </c>
    </row>
    <row r="6243" spans="1:11">
      <c r="A6243" t="s">
        <v>128</v>
      </c>
      <c r="B6243" t="s">
        <v>1865</v>
      </c>
      <c r="C6243" t="s">
        <v>1658</v>
      </c>
      <c r="D6243" t="s">
        <v>1659</v>
      </c>
      <c r="E6243" s="8">
        <v>70</v>
      </c>
      <c r="F6243" s="8">
        <v>76792.8571428571</v>
      </c>
      <c r="G6243" s="8">
        <f t="shared" si="388"/>
        <v>5375500</v>
      </c>
      <c r="H6243" s="5"/>
      <c r="I6243" s="8" t="str">
        <f t="shared" si="389"/>
        <v/>
      </c>
      <c r="J6243" s="8" t="str">
        <f t="shared" si="390"/>
        <v/>
      </c>
      <c r="K6243" t="str">
        <f t="shared" si="391"/>
        <v>MISSING WHARTON</v>
      </c>
    </row>
    <row r="6244" spans="1:11">
      <c r="A6244" t="s">
        <v>128</v>
      </c>
      <c r="B6244" t="s">
        <v>1865</v>
      </c>
      <c r="C6244" t="s">
        <v>1660</v>
      </c>
      <c r="D6244" t="s">
        <v>1661</v>
      </c>
      <c r="E6244" s="8">
        <v>363850</v>
      </c>
      <c r="F6244" s="8">
        <v>39398.7357427511</v>
      </c>
      <c r="G6244" s="8">
        <f t="shared" si="388"/>
        <v>14335230000</v>
      </c>
      <c r="H6244" s="5">
        <v>0.1176</v>
      </c>
      <c r="I6244" s="8">
        <f t="shared" si="389"/>
        <v>14335230000</v>
      </c>
      <c r="J6244" s="8">
        <f t="shared" si="390"/>
        <v>1685823048</v>
      </c>
      <c r="K6244" t="str">
        <f t="shared" si="391"/>
        <v>MATCHED</v>
      </c>
    </row>
    <row r="6245" spans="1:11">
      <c r="A6245" t="s">
        <v>128</v>
      </c>
      <c r="B6245" t="s">
        <v>1865</v>
      </c>
      <c r="C6245" t="s">
        <v>1837</v>
      </c>
      <c r="D6245" t="s">
        <v>1838</v>
      </c>
      <c r="E6245" s="8">
        <v>1440</v>
      </c>
      <c r="F6245" s="8">
        <v>52160</v>
      </c>
      <c r="G6245" s="8">
        <f t="shared" si="388"/>
        <v>75110400</v>
      </c>
      <c r="H6245" s="5">
        <v>0.1392</v>
      </c>
      <c r="I6245" s="8">
        <f t="shared" si="389"/>
        <v>75110400</v>
      </c>
      <c r="J6245" s="8">
        <f t="shared" si="390"/>
        <v>10455367.68</v>
      </c>
      <c r="K6245" t="str">
        <f t="shared" si="391"/>
        <v>MATCHED</v>
      </c>
    </row>
    <row r="6246" spans="1:11">
      <c r="A6246" t="s">
        <v>128</v>
      </c>
      <c r="B6246" t="s">
        <v>1865</v>
      </c>
      <c r="C6246" t="s">
        <v>1839</v>
      </c>
      <c r="D6246" t="s">
        <v>1840</v>
      </c>
      <c r="E6246" s="8">
        <v>1530</v>
      </c>
      <c r="F6246" s="8">
        <v>53980</v>
      </c>
      <c r="G6246" s="8">
        <f t="shared" si="388"/>
        <v>82589400</v>
      </c>
      <c r="H6246" s="5">
        <v>0.2224</v>
      </c>
      <c r="I6246" s="8">
        <f t="shared" si="389"/>
        <v>82589400</v>
      </c>
      <c r="J6246" s="8">
        <f t="shared" si="390"/>
        <v>18367882.56</v>
      </c>
      <c r="K6246" t="str">
        <f t="shared" si="391"/>
        <v>MATCHED</v>
      </c>
    </row>
    <row r="6247" spans="1:11">
      <c r="A6247" t="s">
        <v>128</v>
      </c>
      <c r="B6247" t="s">
        <v>1865</v>
      </c>
      <c r="C6247" t="s">
        <v>1841</v>
      </c>
      <c r="D6247" t="s">
        <v>1842</v>
      </c>
      <c r="E6247" s="8">
        <v>290</v>
      </c>
      <c r="F6247" s="8">
        <v>58480</v>
      </c>
      <c r="G6247" s="8">
        <f t="shared" si="388"/>
        <v>16959200</v>
      </c>
      <c r="H6247" s="5">
        <v>0.2286</v>
      </c>
      <c r="I6247" s="8">
        <f t="shared" si="389"/>
        <v>16959200</v>
      </c>
      <c r="J6247" s="8">
        <f t="shared" si="390"/>
        <v>3876873.12</v>
      </c>
      <c r="K6247" t="str">
        <f t="shared" si="391"/>
        <v>MATCHED</v>
      </c>
    </row>
    <row r="6248" spans="1:11">
      <c r="A6248" t="s">
        <v>128</v>
      </c>
      <c r="B6248" t="s">
        <v>1865</v>
      </c>
      <c r="C6248" t="s">
        <v>1744</v>
      </c>
      <c r="D6248" t="s">
        <v>1745</v>
      </c>
      <c r="E6248" s="8">
        <v>1010</v>
      </c>
      <c r="F6248" s="8">
        <v>57360</v>
      </c>
      <c r="G6248" s="8">
        <f t="shared" si="388"/>
        <v>57933600</v>
      </c>
      <c r="H6248" s="5">
        <v>0.3016</v>
      </c>
      <c r="I6248" s="8">
        <f t="shared" si="389"/>
        <v>57933600</v>
      </c>
      <c r="J6248" s="8">
        <f t="shared" si="390"/>
        <v>17472773.76</v>
      </c>
      <c r="K6248" t="str">
        <f t="shared" si="391"/>
        <v>MATCHED</v>
      </c>
    </row>
    <row r="6249" spans="1:11">
      <c r="A6249" t="s">
        <v>128</v>
      </c>
      <c r="B6249" t="s">
        <v>1865</v>
      </c>
      <c r="C6249" t="s">
        <v>1845</v>
      </c>
      <c r="D6249" t="s">
        <v>1846</v>
      </c>
      <c r="E6249" s="8">
        <v>80</v>
      </c>
      <c r="F6249" s="8">
        <v>72250</v>
      </c>
      <c r="G6249" s="8">
        <f t="shared" si="388"/>
        <v>5780000</v>
      </c>
      <c r="H6249" s="5">
        <v>0.2424</v>
      </c>
      <c r="I6249" s="8">
        <f t="shared" si="389"/>
        <v>5780000</v>
      </c>
      <c r="J6249" s="8">
        <f t="shared" si="390"/>
        <v>1401072</v>
      </c>
      <c r="K6249" t="str">
        <f t="shared" si="391"/>
        <v>MATCHED</v>
      </c>
    </row>
    <row r="6250" spans="1:11">
      <c r="A6250" t="s">
        <v>128</v>
      </c>
      <c r="B6250" t="s">
        <v>1865</v>
      </c>
      <c r="C6250" t="s">
        <v>1847</v>
      </c>
      <c r="D6250" t="s">
        <v>1848</v>
      </c>
      <c r="E6250" s="8">
        <v>9150</v>
      </c>
      <c r="F6250" s="8">
        <v>86550</v>
      </c>
      <c r="G6250" s="8">
        <f t="shared" si="388"/>
        <v>791932500</v>
      </c>
      <c r="H6250" s="5">
        <v>0.1889</v>
      </c>
      <c r="I6250" s="8">
        <f t="shared" si="389"/>
        <v>791932500</v>
      </c>
      <c r="J6250" s="8">
        <f t="shared" si="390"/>
        <v>149596049.25</v>
      </c>
      <c r="K6250" t="str">
        <f t="shared" si="391"/>
        <v>MATCHED</v>
      </c>
    </row>
    <row r="6251" spans="1:11">
      <c r="A6251" t="s">
        <v>128</v>
      </c>
      <c r="B6251" t="s">
        <v>1865</v>
      </c>
      <c r="C6251" t="s">
        <v>1746</v>
      </c>
      <c r="D6251" t="s">
        <v>1747</v>
      </c>
      <c r="E6251" s="8">
        <v>900</v>
      </c>
      <c r="F6251" s="8">
        <v>72120</v>
      </c>
      <c r="G6251" s="8">
        <f t="shared" si="388"/>
        <v>64908000</v>
      </c>
      <c r="H6251" s="5">
        <v>0.1992</v>
      </c>
      <c r="I6251" s="8">
        <f t="shared" si="389"/>
        <v>64908000</v>
      </c>
      <c r="J6251" s="8">
        <f t="shared" si="390"/>
        <v>12929673.6</v>
      </c>
      <c r="K6251" t="str">
        <f t="shared" si="391"/>
        <v>MATCHED</v>
      </c>
    </row>
    <row r="6252" spans="1:11">
      <c r="A6252" t="s">
        <v>128</v>
      </c>
      <c r="B6252" t="s">
        <v>1865</v>
      </c>
      <c r="C6252" t="s">
        <v>1849</v>
      </c>
      <c r="D6252" t="s">
        <v>1850</v>
      </c>
      <c r="E6252" s="8">
        <v>110</v>
      </c>
      <c r="F6252" s="8">
        <v>81560</v>
      </c>
      <c r="G6252" s="8">
        <f t="shared" si="388"/>
        <v>8971600</v>
      </c>
      <c r="H6252" s="5">
        <v>0.2338</v>
      </c>
      <c r="I6252" s="8">
        <f t="shared" si="389"/>
        <v>8971600</v>
      </c>
      <c r="J6252" s="8">
        <f t="shared" si="390"/>
        <v>2097560.08</v>
      </c>
      <c r="K6252" t="str">
        <f t="shared" si="391"/>
        <v>MATCHED</v>
      </c>
    </row>
    <row r="6253" spans="1:11">
      <c r="A6253" t="s">
        <v>128</v>
      </c>
      <c r="B6253" t="s">
        <v>1865</v>
      </c>
      <c r="C6253" t="s">
        <v>1748</v>
      </c>
      <c r="D6253" t="s">
        <v>1749</v>
      </c>
      <c r="E6253" s="8">
        <v>1180</v>
      </c>
      <c r="F6253" s="8">
        <v>72184.406779661</v>
      </c>
      <c r="G6253" s="8">
        <f t="shared" si="388"/>
        <v>85177600</v>
      </c>
      <c r="H6253" s="5">
        <v>0.2225</v>
      </c>
      <c r="I6253" s="8">
        <f t="shared" si="389"/>
        <v>85177600</v>
      </c>
      <c r="J6253" s="8">
        <f t="shared" si="390"/>
        <v>18952016</v>
      </c>
      <c r="K6253" t="str">
        <f t="shared" si="391"/>
        <v>MATCHED</v>
      </c>
    </row>
    <row r="6254" spans="1:11">
      <c r="A6254" t="s">
        <v>128</v>
      </c>
      <c r="B6254" t="s">
        <v>1865</v>
      </c>
      <c r="C6254" t="s">
        <v>1715</v>
      </c>
      <c r="D6254" t="s">
        <v>1716</v>
      </c>
      <c r="E6254" s="8">
        <v>4360</v>
      </c>
      <c r="F6254" s="8">
        <v>68212.9587155963</v>
      </c>
      <c r="G6254" s="8">
        <f t="shared" si="388"/>
        <v>297408500</v>
      </c>
      <c r="H6254" s="5">
        <v>0.27</v>
      </c>
      <c r="I6254" s="8">
        <f t="shared" si="389"/>
        <v>297408500</v>
      </c>
      <c r="J6254" s="8">
        <f t="shared" si="390"/>
        <v>80300295</v>
      </c>
      <c r="K6254" t="str">
        <f t="shared" si="391"/>
        <v>MATCHED</v>
      </c>
    </row>
    <row r="6255" spans="1:11">
      <c r="A6255" t="s">
        <v>128</v>
      </c>
      <c r="B6255" t="s">
        <v>1865</v>
      </c>
      <c r="C6255" t="s">
        <v>1571</v>
      </c>
      <c r="D6255" t="s">
        <v>1572</v>
      </c>
      <c r="E6255" s="8">
        <v>3090</v>
      </c>
      <c r="F6255" s="8">
        <v>56950</v>
      </c>
      <c r="G6255" s="8">
        <f t="shared" si="388"/>
        <v>175975500</v>
      </c>
      <c r="H6255" s="5">
        <v>0.3372</v>
      </c>
      <c r="I6255" s="8">
        <f t="shared" si="389"/>
        <v>175975500</v>
      </c>
      <c r="J6255" s="8">
        <f t="shared" si="390"/>
        <v>59338938.6</v>
      </c>
      <c r="K6255" t="str">
        <f t="shared" si="391"/>
        <v>MATCHED</v>
      </c>
    </row>
    <row r="6256" spans="1:11">
      <c r="A6256" t="s">
        <v>128</v>
      </c>
      <c r="B6256" t="s">
        <v>1865</v>
      </c>
      <c r="C6256" t="s">
        <v>321</v>
      </c>
      <c r="D6256" t="s">
        <v>322</v>
      </c>
      <c r="E6256" s="8">
        <v>18010</v>
      </c>
      <c r="F6256" s="8">
        <v>55570</v>
      </c>
      <c r="G6256" s="8">
        <f t="shared" si="388"/>
        <v>1000815700</v>
      </c>
      <c r="H6256" s="5">
        <v>0.33</v>
      </c>
      <c r="I6256" s="8">
        <f t="shared" si="389"/>
        <v>1000815700</v>
      </c>
      <c r="J6256" s="8">
        <f t="shared" si="390"/>
        <v>330269181</v>
      </c>
      <c r="K6256" t="str">
        <f t="shared" si="391"/>
        <v>MATCHED</v>
      </c>
    </row>
    <row r="6257" spans="1:11">
      <c r="A6257" t="s">
        <v>128</v>
      </c>
      <c r="B6257" t="s">
        <v>1865</v>
      </c>
      <c r="C6257" t="s">
        <v>1717</v>
      </c>
      <c r="D6257" t="s">
        <v>1718</v>
      </c>
      <c r="E6257" s="8">
        <v>11090</v>
      </c>
      <c r="F6257" s="8">
        <v>37440</v>
      </c>
      <c r="G6257" s="8">
        <f t="shared" si="388"/>
        <v>415209600</v>
      </c>
      <c r="H6257" s="5">
        <v>0.1972</v>
      </c>
      <c r="I6257" s="8">
        <f t="shared" si="389"/>
        <v>415209600</v>
      </c>
      <c r="J6257" s="8">
        <f t="shared" si="390"/>
        <v>81879333.12</v>
      </c>
      <c r="K6257" t="str">
        <f t="shared" si="391"/>
        <v>MATCHED</v>
      </c>
    </row>
    <row r="6258" spans="1:11">
      <c r="A6258" t="s">
        <v>128</v>
      </c>
      <c r="B6258" t="s">
        <v>1865</v>
      </c>
      <c r="C6258" t="s">
        <v>1423</v>
      </c>
      <c r="D6258" t="s">
        <v>1424</v>
      </c>
      <c r="E6258" s="8">
        <v>8140</v>
      </c>
      <c r="F6258" s="8">
        <v>48310</v>
      </c>
      <c r="G6258" s="8">
        <f t="shared" si="388"/>
        <v>393243400</v>
      </c>
      <c r="H6258" s="5">
        <v>0.3974</v>
      </c>
      <c r="I6258" s="8">
        <f t="shared" si="389"/>
        <v>393243400</v>
      </c>
      <c r="J6258" s="8">
        <f t="shared" si="390"/>
        <v>156274927.16</v>
      </c>
      <c r="K6258" t="str">
        <f t="shared" si="391"/>
        <v>MATCHED</v>
      </c>
    </row>
    <row r="6259" spans="1:11">
      <c r="A6259" t="s">
        <v>128</v>
      </c>
      <c r="B6259" t="s">
        <v>1865</v>
      </c>
      <c r="C6259" t="s">
        <v>1517</v>
      </c>
      <c r="D6259" t="s">
        <v>1518</v>
      </c>
      <c r="E6259" s="8">
        <v>7360</v>
      </c>
      <c r="F6259" s="8">
        <v>57164.8777173913</v>
      </c>
      <c r="G6259" s="8">
        <f t="shared" si="388"/>
        <v>420733500</v>
      </c>
      <c r="H6259" s="5"/>
      <c r="I6259" s="8" t="str">
        <f t="shared" si="389"/>
        <v/>
      </c>
      <c r="J6259" s="8" t="str">
        <f t="shared" si="390"/>
        <v/>
      </c>
      <c r="K6259" t="str">
        <f t="shared" si="391"/>
        <v>MISSING WHARTON</v>
      </c>
    </row>
    <row r="6260" spans="1:11">
      <c r="A6260" t="s">
        <v>128</v>
      </c>
      <c r="B6260" t="s">
        <v>1865</v>
      </c>
      <c r="C6260" t="s">
        <v>1470</v>
      </c>
      <c r="D6260" t="s">
        <v>1471</v>
      </c>
      <c r="E6260" s="8">
        <v>200</v>
      </c>
      <c r="F6260" s="8">
        <v>53290</v>
      </c>
      <c r="G6260" s="8">
        <f t="shared" si="388"/>
        <v>10658000</v>
      </c>
      <c r="H6260" s="5">
        <v>0.4154</v>
      </c>
      <c r="I6260" s="8">
        <f t="shared" si="389"/>
        <v>10658000</v>
      </c>
      <c r="J6260" s="8">
        <f t="shared" si="390"/>
        <v>4427333.2</v>
      </c>
      <c r="K6260" t="str">
        <f t="shared" si="391"/>
        <v>MATCHED</v>
      </c>
    </row>
    <row r="6261" spans="1:11">
      <c r="A6261" t="s">
        <v>128</v>
      </c>
      <c r="B6261" t="s">
        <v>1865</v>
      </c>
      <c r="C6261" t="s">
        <v>1184</v>
      </c>
      <c r="D6261" t="s">
        <v>1185</v>
      </c>
      <c r="E6261" s="8">
        <v>1040</v>
      </c>
      <c r="F6261" s="8">
        <v>70691.9230769231</v>
      </c>
      <c r="G6261" s="8">
        <f t="shared" si="388"/>
        <v>73519600</v>
      </c>
      <c r="H6261" s="5">
        <v>0.4167</v>
      </c>
      <c r="I6261" s="8">
        <f t="shared" si="389"/>
        <v>73519600</v>
      </c>
      <c r="J6261" s="8">
        <f t="shared" si="390"/>
        <v>30635617.32</v>
      </c>
      <c r="K6261" t="str">
        <f t="shared" si="391"/>
        <v>MATCHED</v>
      </c>
    </row>
    <row r="6262" spans="1:11">
      <c r="A6262" t="s">
        <v>128</v>
      </c>
      <c r="B6262" t="s">
        <v>1865</v>
      </c>
      <c r="C6262" t="s">
        <v>1573</v>
      </c>
      <c r="D6262" t="s">
        <v>1574</v>
      </c>
      <c r="E6262" s="8">
        <v>100</v>
      </c>
      <c r="F6262" s="8">
        <v>50030</v>
      </c>
      <c r="G6262" s="8">
        <f t="shared" si="388"/>
        <v>5003000</v>
      </c>
      <c r="H6262" s="5">
        <v>0.6329</v>
      </c>
      <c r="I6262" s="8">
        <f t="shared" si="389"/>
        <v>5003000</v>
      </c>
      <c r="J6262" s="8">
        <f t="shared" si="390"/>
        <v>3166398.7</v>
      </c>
      <c r="K6262" t="str">
        <f t="shared" si="391"/>
        <v>MATCHED</v>
      </c>
    </row>
    <row r="6263" spans="1:11">
      <c r="A6263" t="s">
        <v>128</v>
      </c>
      <c r="B6263" t="s">
        <v>1865</v>
      </c>
      <c r="C6263" t="s">
        <v>1662</v>
      </c>
      <c r="D6263" t="s">
        <v>1663</v>
      </c>
      <c r="E6263" s="8">
        <v>120</v>
      </c>
      <c r="F6263" s="8">
        <v>52010</v>
      </c>
      <c r="G6263" s="8">
        <f t="shared" si="388"/>
        <v>6241200</v>
      </c>
      <c r="H6263" s="5">
        <v>0.33</v>
      </c>
      <c r="I6263" s="8">
        <f t="shared" si="389"/>
        <v>6241200</v>
      </c>
      <c r="J6263" s="8">
        <f t="shared" si="390"/>
        <v>2059596</v>
      </c>
      <c r="K6263" t="str">
        <f t="shared" si="391"/>
        <v>MATCHED</v>
      </c>
    </row>
    <row r="6264" spans="1:11">
      <c r="A6264" t="s">
        <v>128</v>
      </c>
      <c r="B6264" t="s">
        <v>1865</v>
      </c>
      <c r="C6264" t="s">
        <v>944</v>
      </c>
      <c r="D6264" t="s">
        <v>945</v>
      </c>
      <c r="E6264" s="8">
        <v>11200</v>
      </c>
      <c r="F6264" s="8">
        <v>64468.6964285714</v>
      </c>
      <c r="G6264" s="8">
        <f t="shared" si="388"/>
        <v>722049400</v>
      </c>
      <c r="H6264" s="5">
        <v>0.5783</v>
      </c>
      <c r="I6264" s="8">
        <f t="shared" si="389"/>
        <v>722049400</v>
      </c>
      <c r="J6264" s="8">
        <f t="shared" si="390"/>
        <v>417561168.02</v>
      </c>
      <c r="K6264" t="str">
        <f t="shared" si="391"/>
        <v>MATCHED</v>
      </c>
    </row>
    <row r="6265" spans="1:11">
      <c r="A6265" t="s">
        <v>128</v>
      </c>
      <c r="B6265" t="s">
        <v>1865</v>
      </c>
      <c r="C6265" t="s">
        <v>1750</v>
      </c>
      <c r="D6265" t="s">
        <v>1751</v>
      </c>
      <c r="E6265" s="8">
        <v>140</v>
      </c>
      <c r="F6265" s="8">
        <v>46304.2857142857</v>
      </c>
      <c r="G6265" s="8">
        <f t="shared" si="388"/>
        <v>6482600</v>
      </c>
      <c r="H6265" s="5">
        <v>0.3675</v>
      </c>
      <c r="I6265" s="8">
        <f t="shared" si="389"/>
        <v>6482600</v>
      </c>
      <c r="J6265" s="8">
        <f t="shared" si="390"/>
        <v>2382355.5</v>
      </c>
      <c r="K6265" t="str">
        <f t="shared" si="391"/>
        <v>MATCHED</v>
      </c>
    </row>
    <row r="6266" spans="1:11">
      <c r="A6266" t="s">
        <v>128</v>
      </c>
      <c r="B6266" t="s">
        <v>1865</v>
      </c>
      <c r="C6266" t="s">
        <v>1664</v>
      </c>
      <c r="D6266" t="s">
        <v>1665</v>
      </c>
      <c r="E6266" s="8">
        <v>161490</v>
      </c>
      <c r="F6266" s="8">
        <v>35694.4714843024</v>
      </c>
      <c r="G6266" s="8">
        <f t="shared" si="388"/>
        <v>5764300200</v>
      </c>
      <c r="H6266" s="5">
        <v>0.2083</v>
      </c>
      <c r="I6266" s="8">
        <f t="shared" si="389"/>
        <v>5764300200</v>
      </c>
      <c r="J6266" s="8">
        <f t="shared" si="390"/>
        <v>1200703731.66</v>
      </c>
      <c r="K6266" t="str">
        <f t="shared" si="391"/>
        <v>MATCHED</v>
      </c>
    </row>
    <row r="6267" spans="1:11">
      <c r="A6267" t="s">
        <v>128</v>
      </c>
      <c r="B6267" t="s">
        <v>1865</v>
      </c>
      <c r="C6267" t="s">
        <v>1427</v>
      </c>
      <c r="D6267" t="s">
        <v>1428</v>
      </c>
      <c r="E6267" s="8">
        <v>780</v>
      </c>
      <c r="F6267" s="8">
        <v>54389.2307692308</v>
      </c>
      <c r="G6267" s="8">
        <f t="shared" si="388"/>
        <v>42423600</v>
      </c>
      <c r="H6267" s="5"/>
      <c r="I6267" s="8" t="str">
        <f t="shared" si="389"/>
        <v/>
      </c>
      <c r="J6267" s="8" t="str">
        <f t="shared" si="390"/>
        <v/>
      </c>
      <c r="K6267" t="str">
        <f t="shared" si="391"/>
        <v>MISSING WHARTON</v>
      </c>
    </row>
    <row r="6268" spans="1:11">
      <c r="A6268" t="s">
        <v>128</v>
      </c>
      <c r="B6268" t="s">
        <v>1865</v>
      </c>
      <c r="C6268" t="s">
        <v>946</v>
      </c>
      <c r="D6268" t="s">
        <v>947</v>
      </c>
      <c r="E6268" s="8">
        <v>210</v>
      </c>
      <c r="F6268" s="8">
        <v>81310</v>
      </c>
      <c r="G6268" s="8">
        <f t="shared" si="388"/>
        <v>17075100</v>
      </c>
      <c r="H6268" s="5">
        <v>0.3688</v>
      </c>
      <c r="I6268" s="8">
        <f t="shared" si="389"/>
        <v>17075100</v>
      </c>
      <c r="J6268" s="8">
        <f t="shared" si="390"/>
        <v>6297296.88</v>
      </c>
      <c r="K6268" t="str">
        <f t="shared" si="391"/>
        <v>MATCHED</v>
      </c>
    </row>
    <row r="6269" spans="1:11">
      <c r="A6269" t="s">
        <v>128</v>
      </c>
      <c r="B6269" t="s">
        <v>1865</v>
      </c>
      <c r="C6269" t="s">
        <v>1186</v>
      </c>
      <c r="D6269" t="s">
        <v>1187</v>
      </c>
      <c r="E6269" s="8">
        <v>210</v>
      </c>
      <c r="F6269" s="8">
        <v>29590</v>
      </c>
      <c r="G6269" s="8">
        <f t="shared" si="388"/>
        <v>6213900</v>
      </c>
      <c r="H6269" s="5">
        <v>0.22</v>
      </c>
      <c r="I6269" s="8">
        <f t="shared" si="389"/>
        <v>6213900</v>
      </c>
      <c r="J6269" s="8">
        <f t="shared" si="390"/>
        <v>1367058</v>
      </c>
      <c r="K6269" t="str">
        <f t="shared" si="391"/>
        <v>MATCHED</v>
      </c>
    </row>
    <row r="6270" spans="1:11">
      <c r="A6270" t="s">
        <v>128</v>
      </c>
      <c r="B6270" t="s">
        <v>1865</v>
      </c>
      <c r="C6270" t="s">
        <v>948</v>
      </c>
      <c r="D6270" t="s">
        <v>949</v>
      </c>
      <c r="E6270" s="8">
        <v>300</v>
      </c>
      <c r="F6270" s="8">
        <v>49190</v>
      </c>
      <c r="G6270" s="8">
        <f t="shared" si="388"/>
        <v>14757000</v>
      </c>
      <c r="H6270" s="5">
        <v>0.2281</v>
      </c>
      <c r="I6270" s="8">
        <f t="shared" si="389"/>
        <v>14757000</v>
      </c>
      <c r="J6270" s="8">
        <f t="shared" si="390"/>
        <v>3366071.7</v>
      </c>
      <c r="K6270" t="str">
        <f t="shared" si="391"/>
        <v>MATCHED</v>
      </c>
    </row>
    <row r="6271" spans="1:11">
      <c r="A6271" t="s">
        <v>128</v>
      </c>
      <c r="B6271" t="s">
        <v>1865</v>
      </c>
      <c r="C6271" t="s">
        <v>1188</v>
      </c>
      <c r="D6271" t="s">
        <v>1189</v>
      </c>
      <c r="E6271" s="8">
        <v>30</v>
      </c>
      <c r="F6271" s="8">
        <v>80310</v>
      </c>
      <c r="G6271" s="8">
        <f t="shared" si="388"/>
        <v>2409300</v>
      </c>
      <c r="H6271" s="5">
        <v>0.7071</v>
      </c>
      <c r="I6271" s="8">
        <f t="shared" si="389"/>
        <v>2409300</v>
      </c>
      <c r="J6271" s="8">
        <f t="shared" si="390"/>
        <v>1703616.03</v>
      </c>
      <c r="K6271" t="str">
        <f t="shared" si="391"/>
        <v>MATCHED</v>
      </c>
    </row>
    <row r="6272" spans="1:11">
      <c r="A6272" t="s">
        <v>128</v>
      </c>
      <c r="B6272" t="s">
        <v>1865</v>
      </c>
      <c r="C6272" t="s">
        <v>1192</v>
      </c>
      <c r="D6272" t="s">
        <v>1193</v>
      </c>
      <c r="E6272" s="8">
        <v>30</v>
      </c>
      <c r="F6272" s="8">
        <v>41920</v>
      </c>
      <c r="G6272" s="8">
        <f t="shared" si="388"/>
        <v>1257600</v>
      </c>
      <c r="H6272" s="5">
        <v>0.1188</v>
      </c>
      <c r="I6272" s="8">
        <f t="shared" si="389"/>
        <v>1257600</v>
      </c>
      <c r="J6272" s="8">
        <f t="shared" si="390"/>
        <v>149402.88</v>
      </c>
      <c r="K6272" t="str">
        <f t="shared" si="391"/>
        <v>MATCHED</v>
      </c>
    </row>
    <row r="6273" spans="1:11">
      <c r="A6273" t="s">
        <v>128</v>
      </c>
      <c r="B6273" t="s">
        <v>1865</v>
      </c>
      <c r="C6273" t="s">
        <v>858</v>
      </c>
      <c r="D6273" t="s">
        <v>859</v>
      </c>
      <c r="E6273" s="8">
        <v>1610</v>
      </c>
      <c r="F6273" s="8">
        <v>69476.5838509317</v>
      </c>
      <c r="G6273" s="8">
        <f t="shared" si="388"/>
        <v>111857300</v>
      </c>
      <c r="H6273" s="5">
        <v>0.7375</v>
      </c>
      <c r="I6273" s="8">
        <f t="shared" si="389"/>
        <v>111857300</v>
      </c>
      <c r="J6273" s="8">
        <f t="shared" si="390"/>
        <v>82494758.75</v>
      </c>
      <c r="K6273" t="str">
        <f t="shared" si="391"/>
        <v>MATCHED</v>
      </c>
    </row>
    <row r="6274" spans="1:11">
      <c r="A6274" t="s">
        <v>128</v>
      </c>
      <c r="B6274" t="s">
        <v>1865</v>
      </c>
      <c r="C6274" t="s">
        <v>954</v>
      </c>
      <c r="D6274" t="s">
        <v>955</v>
      </c>
      <c r="E6274" s="8">
        <v>230</v>
      </c>
      <c r="F6274" s="8">
        <v>83126.9565217391</v>
      </c>
      <c r="G6274" s="8">
        <f t="shared" ref="G6274:G6337" si="392">IF(OR(E6274="",F6274=""),"",E6274*F6274)</f>
        <v>19119200</v>
      </c>
      <c r="H6274" s="5">
        <v>0.3133</v>
      </c>
      <c r="I6274" s="8">
        <f t="shared" ref="I6274:I6337" si="393">IF(G6274="","",IF(ISNUMBER(H6274),G6274,""))</f>
        <v>19119200</v>
      </c>
      <c r="J6274" s="8">
        <f t="shared" ref="J6274:J6337" si="394">IF(I6274="","",I6274*H6274)</f>
        <v>5990045.36</v>
      </c>
      <c r="K6274" t="str">
        <f t="shared" ref="K6274:K6337" si="395">IF(G6274="","MISSING OEWS",IF(ISNUMBER(H6274),"MATCHED","MISSING WHARTON"))</f>
        <v>MATCHED</v>
      </c>
    </row>
    <row r="6275" spans="1:11">
      <c r="A6275" t="s">
        <v>128</v>
      </c>
      <c r="B6275" t="s">
        <v>1865</v>
      </c>
      <c r="C6275" t="s">
        <v>1474</v>
      </c>
      <c r="D6275" t="s">
        <v>1475</v>
      </c>
      <c r="E6275" s="8">
        <v>250</v>
      </c>
      <c r="F6275" s="8"/>
      <c r="G6275" s="8" t="str">
        <f t="shared" si="392"/>
        <v/>
      </c>
      <c r="H6275" s="5">
        <v>0.1</v>
      </c>
      <c r="I6275" s="8" t="str">
        <f t="shared" si="393"/>
        <v/>
      </c>
      <c r="J6275" s="8" t="str">
        <f t="shared" si="394"/>
        <v/>
      </c>
      <c r="K6275" t="str">
        <f t="shared" si="395"/>
        <v>MISSING OEWS</v>
      </c>
    </row>
    <row r="6276" spans="1:11">
      <c r="A6276" t="s">
        <v>128</v>
      </c>
      <c r="B6276" t="s">
        <v>1865</v>
      </c>
      <c r="C6276" t="s">
        <v>1476</v>
      </c>
      <c r="D6276" t="s">
        <v>1477</v>
      </c>
      <c r="E6276" s="8">
        <v>820</v>
      </c>
      <c r="F6276" s="8">
        <v>52910</v>
      </c>
      <c r="G6276" s="8">
        <f t="shared" si="392"/>
        <v>43386200</v>
      </c>
      <c r="H6276" s="5">
        <v>0.2018</v>
      </c>
      <c r="I6276" s="8">
        <f t="shared" si="393"/>
        <v>43386200</v>
      </c>
      <c r="J6276" s="8">
        <f t="shared" si="394"/>
        <v>8755335.16</v>
      </c>
      <c r="K6276" t="str">
        <f t="shared" si="395"/>
        <v>MATCHED</v>
      </c>
    </row>
    <row r="6277" spans="1:11">
      <c r="A6277" t="s">
        <v>128</v>
      </c>
      <c r="B6277" t="s">
        <v>1865</v>
      </c>
      <c r="C6277" t="s">
        <v>1851</v>
      </c>
      <c r="D6277" t="s">
        <v>1852</v>
      </c>
      <c r="E6277" s="8"/>
      <c r="F6277" s="8">
        <v>36710</v>
      </c>
      <c r="G6277" s="8" t="str">
        <f t="shared" si="392"/>
        <v/>
      </c>
      <c r="H6277" s="5">
        <v>0.4</v>
      </c>
      <c r="I6277" s="8" t="str">
        <f t="shared" si="393"/>
        <v/>
      </c>
      <c r="J6277" s="8" t="str">
        <f t="shared" si="394"/>
        <v/>
      </c>
      <c r="K6277" t="str">
        <f t="shared" si="395"/>
        <v>MISSING OEWS</v>
      </c>
    </row>
    <row r="6278" spans="1:11">
      <c r="A6278" t="s">
        <v>128</v>
      </c>
      <c r="B6278" t="s">
        <v>1865</v>
      </c>
      <c r="C6278" t="s">
        <v>1478</v>
      </c>
      <c r="D6278" t="s">
        <v>1479</v>
      </c>
      <c r="E6278" s="8">
        <v>120</v>
      </c>
      <c r="F6278" s="8"/>
      <c r="G6278" s="8" t="str">
        <f t="shared" si="392"/>
        <v/>
      </c>
      <c r="H6278" s="5">
        <v>0.1733</v>
      </c>
      <c r="I6278" s="8" t="str">
        <f t="shared" si="393"/>
        <v/>
      </c>
      <c r="J6278" s="8" t="str">
        <f t="shared" si="394"/>
        <v/>
      </c>
      <c r="K6278" t="str">
        <f t="shared" si="395"/>
        <v>MISSING OEWS</v>
      </c>
    </row>
    <row r="6279" spans="1:11">
      <c r="A6279" t="s">
        <v>128</v>
      </c>
      <c r="B6279" t="s">
        <v>1865</v>
      </c>
      <c r="C6279" t="s">
        <v>323</v>
      </c>
      <c r="D6279" t="s">
        <v>324</v>
      </c>
      <c r="E6279" s="8">
        <v>21240</v>
      </c>
      <c r="F6279" s="8">
        <v>69092.1092278719</v>
      </c>
      <c r="G6279" s="8">
        <f t="shared" si="392"/>
        <v>1467516400</v>
      </c>
      <c r="H6279" s="5">
        <v>0.575</v>
      </c>
      <c r="I6279" s="8">
        <f t="shared" si="393"/>
        <v>1467516400</v>
      </c>
      <c r="J6279" s="8">
        <f t="shared" si="394"/>
        <v>843821930</v>
      </c>
      <c r="K6279" t="str">
        <f t="shared" si="395"/>
        <v>MATCHED</v>
      </c>
    </row>
    <row r="6280" spans="1:11">
      <c r="A6280" t="s">
        <v>128</v>
      </c>
      <c r="B6280" t="s">
        <v>1865</v>
      </c>
      <c r="C6280" t="s">
        <v>1200</v>
      </c>
      <c r="D6280" t="s">
        <v>1201</v>
      </c>
      <c r="E6280" s="8">
        <v>450</v>
      </c>
      <c r="F6280" s="8">
        <v>82318.6666666667</v>
      </c>
      <c r="G6280" s="8">
        <f t="shared" si="392"/>
        <v>37043400</v>
      </c>
      <c r="H6280" s="5">
        <v>0.6643</v>
      </c>
      <c r="I6280" s="8">
        <f t="shared" si="393"/>
        <v>37043400</v>
      </c>
      <c r="J6280" s="8">
        <f t="shared" si="394"/>
        <v>24607930.62</v>
      </c>
      <c r="K6280" t="str">
        <f t="shared" si="395"/>
        <v>MATCHED</v>
      </c>
    </row>
    <row r="6281" spans="1:11">
      <c r="A6281" t="s">
        <v>128</v>
      </c>
      <c r="B6281" t="s">
        <v>1865</v>
      </c>
      <c r="C6281" t="s">
        <v>636</v>
      </c>
      <c r="D6281" t="s">
        <v>637</v>
      </c>
      <c r="E6281" s="8">
        <v>830</v>
      </c>
      <c r="F6281" s="8">
        <v>79778.7951807229</v>
      </c>
      <c r="G6281" s="8">
        <f t="shared" si="392"/>
        <v>66216400</v>
      </c>
      <c r="H6281" s="5">
        <v>0.71</v>
      </c>
      <c r="I6281" s="8">
        <f t="shared" si="393"/>
        <v>66216400</v>
      </c>
      <c r="J6281" s="8">
        <f t="shared" si="394"/>
        <v>47013644</v>
      </c>
      <c r="K6281" t="str">
        <f t="shared" si="395"/>
        <v>MATCHED</v>
      </c>
    </row>
    <row r="6282" spans="1:11">
      <c r="A6282" t="s">
        <v>128</v>
      </c>
      <c r="B6282" t="s">
        <v>1865</v>
      </c>
      <c r="C6282" t="s">
        <v>1202</v>
      </c>
      <c r="D6282" t="s">
        <v>1203</v>
      </c>
      <c r="E6282" s="8">
        <v>8580</v>
      </c>
      <c r="F6282" s="8">
        <v>60547.6573426573</v>
      </c>
      <c r="G6282" s="8">
        <f t="shared" si="392"/>
        <v>519498900</v>
      </c>
      <c r="H6282" s="5">
        <v>0.6294</v>
      </c>
      <c r="I6282" s="8">
        <f t="shared" si="393"/>
        <v>519498900</v>
      </c>
      <c r="J6282" s="8">
        <f t="shared" si="394"/>
        <v>326972607.66</v>
      </c>
      <c r="K6282" t="str">
        <f t="shared" si="395"/>
        <v>MATCHED</v>
      </c>
    </row>
    <row r="6283" spans="1:11">
      <c r="A6283" t="s">
        <v>128</v>
      </c>
      <c r="B6283" t="s">
        <v>1865</v>
      </c>
      <c r="C6283" t="s">
        <v>1204</v>
      </c>
      <c r="D6283" t="s">
        <v>1205</v>
      </c>
      <c r="E6283" s="8">
        <v>300</v>
      </c>
      <c r="F6283" s="8">
        <v>87550</v>
      </c>
      <c r="G6283" s="8">
        <f t="shared" si="392"/>
        <v>26265000</v>
      </c>
      <c r="H6283" s="5"/>
      <c r="I6283" s="8" t="str">
        <f t="shared" si="393"/>
        <v/>
      </c>
      <c r="J6283" s="8" t="str">
        <f t="shared" si="394"/>
        <v/>
      </c>
      <c r="K6283" t="str">
        <f t="shared" si="395"/>
        <v>MISSING WHARTON</v>
      </c>
    </row>
    <row r="6284" spans="1:11">
      <c r="A6284" t="s">
        <v>128</v>
      </c>
      <c r="B6284" t="s">
        <v>1865</v>
      </c>
      <c r="C6284" t="s">
        <v>962</v>
      </c>
      <c r="D6284" t="s">
        <v>963</v>
      </c>
      <c r="E6284" s="8">
        <v>490</v>
      </c>
      <c r="F6284" s="8">
        <v>64934.8979591837</v>
      </c>
      <c r="G6284" s="8">
        <f t="shared" si="392"/>
        <v>31818100</v>
      </c>
      <c r="H6284" s="5">
        <v>0.5483</v>
      </c>
      <c r="I6284" s="8">
        <f t="shared" si="393"/>
        <v>31818100</v>
      </c>
      <c r="J6284" s="8">
        <f t="shared" si="394"/>
        <v>17445864.23</v>
      </c>
      <c r="K6284" t="str">
        <f t="shared" si="395"/>
        <v>MATCHED</v>
      </c>
    </row>
    <row r="6285" spans="1:11">
      <c r="A6285" t="s">
        <v>128</v>
      </c>
      <c r="B6285" t="s">
        <v>1865</v>
      </c>
      <c r="C6285" t="s">
        <v>1429</v>
      </c>
      <c r="D6285" t="s">
        <v>1430</v>
      </c>
      <c r="E6285" s="8">
        <v>50</v>
      </c>
      <c r="F6285" s="8">
        <v>45040</v>
      </c>
      <c r="G6285" s="8">
        <f t="shared" si="392"/>
        <v>2252000</v>
      </c>
      <c r="H6285" s="5">
        <v>0.6138</v>
      </c>
      <c r="I6285" s="8">
        <f t="shared" si="393"/>
        <v>2252000</v>
      </c>
      <c r="J6285" s="8">
        <f t="shared" si="394"/>
        <v>1382277.6</v>
      </c>
      <c r="K6285" t="str">
        <f t="shared" si="395"/>
        <v>MATCHED</v>
      </c>
    </row>
    <row r="6286" spans="1:11">
      <c r="A6286" t="s">
        <v>128</v>
      </c>
      <c r="B6286" t="s">
        <v>1865</v>
      </c>
      <c r="C6286" t="s">
        <v>968</v>
      </c>
      <c r="D6286" t="s">
        <v>969</v>
      </c>
      <c r="E6286" s="8">
        <v>280</v>
      </c>
      <c r="F6286" s="8">
        <v>69790</v>
      </c>
      <c r="G6286" s="8">
        <f t="shared" si="392"/>
        <v>19541200</v>
      </c>
      <c r="H6286" s="5">
        <v>0.3207</v>
      </c>
      <c r="I6286" s="8">
        <f t="shared" si="393"/>
        <v>19541200</v>
      </c>
      <c r="J6286" s="8">
        <f t="shared" si="394"/>
        <v>6266862.84</v>
      </c>
      <c r="K6286" t="str">
        <f t="shared" si="395"/>
        <v>MATCHED</v>
      </c>
    </row>
    <row r="6287" spans="1:11">
      <c r="A6287" t="s">
        <v>128</v>
      </c>
      <c r="B6287" t="s">
        <v>1865</v>
      </c>
      <c r="C6287" t="s">
        <v>970</v>
      </c>
      <c r="D6287" t="s">
        <v>971</v>
      </c>
      <c r="E6287" s="8">
        <v>90</v>
      </c>
      <c r="F6287" s="8">
        <v>76960</v>
      </c>
      <c r="G6287" s="8">
        <f t="shared" si="392"/>
        <v>6926400</v>
      </c>
      <c r="H6287" s="5">
        <v>0.3458</v>
      </c>
      <c r="I6287" s="8">
        <f t="shared" si="393"/>
        <v>6926400</v>
      </c>
      <c r="J6287" s="8">
        <f t="shared" si="394"/>
        <v>2395149.12</v>
      </c>
      <c r="K6287" t="str">
        <f t="shared" si="395"/>
        <v>MATCHED</v>
      </c>
    </row>
    <row r="6288" spans="1:11">
      <c r="A6288" t="s">
        <v>128</v>
      </c>
      <c r="B6288" t="s">
        <v>1865</v>
      </c>
      <c r="C6288" t="s">
        <v>1206</v>
      </c>
      <c r="D6288" t="s">
        <v>1207</v>
      </c>
      <c r="E6288" s="8">
        <v>130</v>
      </c>
      <c r="F6288" s="8">
        <v>77570</v>
      </c>
      <c r="G6288" s="8">
        <f t="shared" si="392"/>
        <v>10084100</v>
      </c>
      <c r="H6288" s="5">
        <v>0.6065</v>
      </c>
      <c r="I6288" s="8">
        <f t="shared" si="393"/>
        <v>10084100</v>
      </c>
      <c r="J6288" s="8">
        <f t="shared" si="394"/>
        <v>6116006.65</v>
      </c>
      <c r="K6288" t="str">
        <f t="shared" si="395"/>
        <v>MATCHED</v>
      </c>
    </row>
    <row r="6289" spans="1:11">
      <c r="A6289" t="s">
        <v>128</v>
      </c>
      <c r="B6289" t="s">
        <v>1865</v>
      </c>
      <c r="C6289" t="s">
        <v>1666</v>
      </c>
      <c r="D6289" t="s">
        <v>1667</v>
      </c>
      <c r="E6289" s="8">
        <v>38970</v>
      </c>
      <c r="F6289" s="8">
        <v>90400</v>
      </c>
      <c r="G6289" s="8">
        <f t="shared" si="392"/>
        <v>3522888000</v>
      </c>
      <c r="H6289" s="5">
        <v>0.4273</v>
      </c>
      <c r="I6289" s="8">
        <f t="shared" si="393"/>
        <v>3522888000</v>
      </c>
      <c r="J6289" s="8">
        <f t="shared" si="394"/>
        <v>1505330042.4</v>
      </c>
      <c r="K6289" t="str">
        <f t="shared" si="395"/>
        <v>MATCHED</v>
      </c>
    </row>
    <row r="6290" spans="1:11">
      <c r="A6290" t="s">
        <v>128</v>
      </c>
      <c r="B6290" t="s">
        <v>1865</v>
      </c>
      <c r="C6290" t="s">
        <v>1208</v>
      </c>
      <c r="D6290" t="s">
        <v>1209</v>
      </c>
      <c r="E6290" s="8">
        <v>120740</v>
      </c>
      <c r="F6290" s="8">
        <v>191523.948153056</v>
      </c>
      <c r="G6290" s="8">
        <f t="shared" si="392"/>
        <v>23124601500</v>
      </c>
      <c r="H6290" s="5">
        <v>0.07</v>
      </c>
      <c r="I6290" s="8">
        <f t="shared" si="393"/>
        <v>23124601500</v>
      </c>
      <c r="J6290" s="8">
        <f t="shared" si="394"/>
        <v>1618722105</v>
      </c>
      <c r="K6290" t="str">
        <f t="shared" si="395"/>
        <v>MATCHED</v>
      </c>
    </row>
    <row r="6291" spans="1:11">
      <c r="A6291" t="s">
        <v>128</v>
      </c>
      <c r="B6291" t="s">
        <v>1865</v>
      </c>
      <c r="C6291" t="s">
        <v>1866</v>
      </c>
      <c r="D6291" t="s">
        <v>1867</v>
      </c>
      <c r="E6291" s="8">
        <v>4810</v>
      </c>
      <c r="F6291" s="8">
        <v>349880</v>
      </c>
      <c r="G6291" s="8">
        <f t="shared" si="392"/>
        <v>1682922800</v>
      </c>
      <c r="H6291" s="5">
        <v>0</v>
      </c>
      <c r="I6291" s="8">
        <f t="shared" si="393"/>
        <v>1682922800</v>
      </c>
      <c r="J6291" s="8">
        <f t="shared" si="394"/>
        <v>0</v>
      </c>
      <c r="K6291" t="str">
        <f t="shared" si="395"/>
        <v>MATCHED</v>
      </c>
    </row>
    <row r="6292" spans="1:11">
      <c r="A6292" t="s">
        <v>128</v>
      </c>
      <c r="B6292" t="s">
        <v>1865</v>
      </c>
      <c r="C6292" t="s">
        <v>1868</v>
      </c>
      <c r="D6292" t="s">
        <v>1869</v>
      </c>
      <c r="E6292" s="8">
        <v>6170</v>
      </c>
      <c r="F6292" s="8">
        <v>260010</v>
      </c>
      <c r="G6292" s="8">
        <f t="shared" si="392"/>
        <v>1604261700</v>
      </c>
      <c r="H6292" s="5">
        <v>0.21</v>
      </c>
      <c r="I6292" s="8">
        <f t="shared" si="393"/>
        <v>1604261700</v>
      </c>
      <c r="J6292" s="8">
        <f t="shared" si="394"/>
        <v>336894957</v>
      </c>
      <c r="K6292" t="str">
        <f t="shared" si="395"/>
        <v>MATCHED</v>
      </c>
    </row>
    <row r="6293" spans="1:11">
      <c r="A6293" t="s">
        <v>128</v>
      </c>
      <c r="B6293" t="s">
        <v>1865</v>
      </c>
      <c r="C6293" t="s">
        <v>1210</v>
      </c>
      <c r="D6293" t="s">
        <v>1211</v>
      </c>
      <c r="E6293" s="8">
        <v>810</v>
      </c>
      <c r="F6293" s="8">
        <v>272810</v>
      </c>
      <c r="G6293" s="8">
        <f t="shared" si="392"/>
        <v>220976100</v>
      </c>
      <c r="H6293" s="5">
        <v>0</v>
      </c>
      <c r="I6293" s="8">
        <f t="shared" si="393"/>
        <v>220976100</v>
      </c>
      <c r="J6293" s="8">
        <f t="shared" si="394"/>
        <v>0</v>
      </c>
      <c r="K6293" t="str">
        <f t="shared" si="395"/>
        <v>MATCHED</v>
      </c>
    </row>
    <row r="6294" spans="1:11">
      <c r="A6294" t="s">
        <v>128</v>
      </c>
      <c r="B6294" t="s">
        <v>1865</v>
      </c>
      <c r="C6294" t="s">
        <v>1870</v>
      </c>
      <c r="D6294" t="s">
        <v>1871</v>
      </c>
      <c r="E6294" s="8">
        <v>2760</v>
      </c>
      <c r="F6294" s="8">
        <v>280310</v>
      </c>
      <c r="G6294" s="8">
        <f t="shared" si="392"/>
        <v>773655600</v>
      </c>
      <c r="H6294" s="5"/>
      <c r="I6294" s="8" t="str">
        <f t="shared" si="393"/>
        <v/>
      </c>
      <c r="J6294" s="8" t="str">
        <f t="shared" si="394"/>
        <v/>
      </c>
      <c r="K6294" t="str">
        <f t="shared" si="395"/>
        <v>MISSING WHARTON</v>
      </c>
    </row>
    <row r="6295" spans="1:11">
      <c r="A6295" t="s">
        <v>128</v>
      </c>
      <c r="B6295" t="s">
        <v>1865</v>
      </c>
      <c r="C6295" t="s">
        <v>1212</v>
      </c>
      <c r="D6295" t="s">
        <v>1213</v>
      </c>
      <c r="E6295" s="8">
        <v>49590</v>
      </c>
      <c r="F6295" s="8">
        <v>77947.8765880218</v>
      </c>
      <c r="G6295" s="8">
        <f t="shared" si="392"/>
        <v>3865435200</v>
      </c>
      <c r="H6295" s="5">
        <v>0.4679</v>
      </c>
      <c r="I6295" s="8">
        <f t="shared" si="393"/>
        <v>3865435200</v>
      </c>
      <c r="J6295" s="8">
        <f t="shared" si="394"/>
        <v>1808637130.08</v>
      </c>
      <c r="K6295" t="str">
        <f t="shared" si="395"/>
        <v>MATCHED</v>
      </c>
    </row>
    <row r="6296" spans="1:11">
      <c r="A6296" t="s">
        <v>128</v>
      </c>
      <c r="B6296" t="s">
        <v>1865</v>
      </c>
      <c r="C6296" t="s">
        <v>1482</v>
      </c>
      <c r="D6296" t="s">
        <v>1483</v>
      </c>
      <c r="E6296" s="8">
        <v>35700</v>
      </c>
      <c r="F6296" s="8">
        <v>140546.767507003</v>
      </c>
      <c r="G6296" s="8">
        <f t="shared" si="392"/>
        <v>5017519600</v>
      </c>
      <c r="H6296" s="5">
        <v>0.07</v>
      </c>
      <c r="I6296" s="8">
        <f t="shared" si="393"/>
        <v>5017519600</v>
      </c>
      <c r="J6296" s="8">
        <f t="shared" si="394"/>
        <v>351226372</v>
      </c>
      <c r="K6296" t="str">
        <f t="shared" si="395"/>
        <v>MATCHED</v>
      </c>
    </row>
    <row r="6297" spans="1:11">
      <c r="A6297" t="s">
        <v>128</v>
      </c>
      <c r="B6297" t="s">
        <v>1865</v>
      </c>
      <c r="C6297" t="s">
        <v>1214</v>
      </c>
      <c r="D6297" t="s">
        <v>1215</v>
      </c>
      <c r="E6297" s="8">
        <v>105070</v>
      </c>
      <c r="F6297" s="8">
        <v>149908.676120681</v>
      </c>
      <c r="G6297" s="8">
        <f t="shared" si="392"/>
        <v>15750904600</v>
      </c>
      <c r="H6297" s="5">
        <v>0.4381</v>
      </c>
      <c r="I6297" s="8">
        <f t="shared" si="393"/>
        <v>15750904600</v>
      </c>
      <c r="J6297" s="8">
        <f t="shared" si="394"/>
        <v>6900471305.26</v>
      </c>
      <c r="K6297" t="str">
        <f t="shared" si="395"/>
        <v>MATCHED</v>
      </c>
    </row>
    <row r="6298" spans="1:11">
      <c r="A6298" t="s">
        <v>128</v>
      </c>
      <c r="B6298" t="s">
        <v>1865</v>
      </c>
      <c r="C6298" t="s">
        <v>638</v>
      </c>
      <c r="D6298" t="s">
        <v>639</v>
      </c>
      <c r="E6298" s="8">
        <v>143830</v>
      </c>
      <c r="F6298" s="8">
        <v>140564.287005493</v>
      </c>
      <c r="G6298" s="8">
        <f t="shared" si="392"/>
        <v>20217361400</v>
      </c>
      <c r="H6298" s="5">
        <v>0.1495</v>
      </c>
      <c r="I6298" s="8">
        <f t="shared" si="393"/>
        <v>20217361400</v>
      </c>
      <c r="J6298" s="8">
        <f t="shared" si="394"/>
        <v>3022495529.3</v>
      </c>
      <c r="K6298" t="str">
        <f t="shared" si="395"/>
        <v>MATCHED</v>
      </c>
    </row>
    <row r="6299" spans="1:11">
      <c r="A6299" t="s">
        <v>128</v>
      </c>
      <c r="B6299" t="s">
        <v>1865</v>
      </c>
      <c r="C6299" t="s">
        <v>1719</v>
      </c>
      <c r="D6299" t="s">
        <v>1720</v>
      </c>
      <c r="E6299" s="8">
        <v>8520</v>
      </c>
      <c r="F6299" s="8">
        <v>171347.112676056</v>
      </c>
      <c r="G6299" s="8">
        <f t="shared" si="392"/>
        <v>1459877400</v>
      </c>
      <c r="H6299" s="5">
        <v>0.2136</v>
      </c>
      <c r="I6299" s="8">
        <f t="shared" si="393"/>
        <v>1459877400</v>
      </c>
      <c r="J6299" s="8">
        <f t="shared" si="394"/>
        <v>311829812.64</v>
      </c>
      <c r="K6299" t="str">
        <f t="shared" si="395"/>
        <v>MATCHED</v>
      </c>
    </row>
    <row r="6300" spans="1:11">
      <c r="A6300" t="s">
        <v>128</v>
      </c>
      <c r="B6300" t="s">
        <v>1865</v>
      </c>
      <c r="C6300" t="s">
        <v>1616</v>
      </c>
      <c r="D6300" t="s">
        <v>1617</v>
      </c>
      <c r="E6300" s="8">
        <v>126590</v>
      </c>
      <c r="F6300" s="8">
        <v>102537.290465282</v>
      </c>
      <c r="G6300" s="8">
        <f t="shared" si="392"/>
        <v>12980195600</v>
      </c>
      <c r="H6300" s="5">
        <v>0.1829</v>
      </c>
      <c r="I6300" s="8">
        <f t="shared" si="393"/>
        <v>12980195600</v>
      </c>
      <c r="J6300" s="8">
        <f t="shared" si="394"/>
        <v>2374077775.24</v>
      </c>
      <c r="K6300" t="str">
        <f t="shared" si="395"/>
        <v>MATCHED</v>
      </c>
    </row>
    <row r="6301" spans="1:11">
      <c r="A6301" t="s">
        <v>128</v>
      </c>
      <c r="B6301" t="s">
        <v>1865</v>
      </c>
      <c r="C6301" t="s">
        <v>1583</v>
      </c>
      <c r="D6301" t="s">
        <v>1584</v>
      </c>
      <c r="E6301" s="8">
        <v>239150</v>
      </c>
      <c r="F6301" s="8">
        <v>105393.810579134</v>
      </c>
      <c r="G6301" s="8">
        <f t="shared" si="392"/>
        <v>25204929800</v>
      </c>
      <c r="H6301" s="5">
        <v>0.1958</v>
      </c>
      <c r="I6301" s="8">
        <f t="shared" si="393"/>
        <v>25204929800</v>
      </c>
      <c r="J6301" s="8">
        <f t="shared" si="394"/>
        <v>4935125254.84</v>
      </c>
      <c r="K6301" t="str">
        <f t="shared" si="395"/>
        <v>MATCHED</v>
      </c>
    </row>
    <row r="6302" spans="1:11">
      <c r="A6302" t="s">
        <v>128</v>
      </c>
      <c r="B6302" t="s">
        <v>1865</v>
      </c>
      <c r="C6302" t="s">
        <v>1431</v>
      </c>
      <c r="D6302" t="s">
        <v>1432</v>
      </c>
      <c r="E6302" s="8">
        <v>14950</v>
      </c>
      <c r="F6302" s="8">
        <v>115405.050167224</v>
      </c>
      <c r="G6302" s="8">
        <f t="shared" si="392"/>
        <v>1725305500</v>
      </c>
      <c r="H6302" s="5">
        <v>0.3227</v>
      </c>
      <c r="I6302" s="8">
        <f t="shared" si="393"/>
        <v>1725305500</v>
      </c>
      <c r="J6302" s="8">
        <f t="shared" si="394"/>
        <v>556756084.85</v>
      </c>
      <c r="K6302" t="str">
        <f t="shared" si="395"/>
        <v>MATCHED</v>
      </c>
    </row>
    <row r="6303" spans="1:11">
      <c r="A6303" t="s">
        <v>128</v>
      </c>
      <c r="B6303" t="s">
        <v>1865</v>
      </c>
      <c r="C6303" t="s">
        <v>1752</v>
      </c>
      <c r="D6303" t="s">
        <v>1753</v>
      </c>
      <c r="E6303" s="8">
        <v>8700</v>
      </c>
      <c r="F6303" s="8">
        <v>61736.4827586207</v>
      </c>
      <c r="G6303" s="8">
        <f t="shared" si="392"/>
        <v>537107400</v>
      </c>
      <c r="H6303" s="5">
        <v>0.2773</v>
      </c>
      <c r="I6303" s="8">
        <f t="shared" si="393"/>
        <v>537107400</v>
      </c>
      <c r="J6303" s="8">
        <f t="shared" si="394"/>
        <v>148939882.02</v>
      </c>
      <c r="K6303" t="str">
        <f t="shared" si="395"/>
        <v>MATCHED</v>
      </c>
    </row>
    <row r="6304" spans="1:11">
      <c r="A6304" t="s">
        <v>128</v>
      </c>
      <c r="B6304" t="s">
        <v>1865</v>
      </c>
      <c r="C6304" t="s">
        <v>1433</v>
      </c>
      <c r="D6304" t="s">
        <v>1434</v>
      </c>
      <c r="E6304" s="8">
        <v>113760</v>
      </c>
      <c r="F6304" s="8">
        <v>87974.9938466948</v>
      </c>
      <c r="G6304" s="8">
        <f t="shared" si="392"/>
        <v>10008035300</v>
      </c>
      <c r="H6304" s="5">
        <v>0.0864</v>
      </c>
      <c r="I6304" s="8">
        <f t="shared" si="393"/>
        <v>10008035300</v>
      </c>
      <c r="J6304" s="8">
        <f t="shared" si="394"/>
        <v>864694249.92</v>
      </c>
      <c r="K6304" t="str">
        <f t="shared" si="395"/>
        <v>MATCHED</v>
      </c>
    </row>
    <row r="6305" spans="1:11">
      <c r="A6305" t="s">
        <v>128</v>
      </c>
      <c r="B6305" t="s">
        <v>1865</v>
      </c>
      <c r="C6305" t="s">
        <v>1668</v>
      </c>
      <c r="D6305" t="s">
        <v>1669</v>
      </c>
      <c r="E6305" s="8">
        <v>94910</v>
      </c>
      <c r="F6305" s="8">
        <v>104129.778737752</v>
      </c>
      <c r="G6305" s="8">
        <f t="shared" si="392"/>
        <v>9882957300</v>
      </c>
      <c r="H6305" s="5">
        <v>0.1958</v>
      </c>
      <c r="I6305" s="8">
        <f t="shared" si="393"/>
        <v>9882957300</v>
      </c>
      <c r="J6305" s="8">
        <f t="shared" si="394"/>
        <v>1935083039.34</v>
      </c>
      <c r="K6305" t="str">
        <f t="shared" si="395"/>
        <v>MATCHED</v>
      </c>
    </row>
    <row r="6306" spans="1:11">
      <c r="A6306" t="s">
        <v>128</v>
      </c>
      <c r="B6306" t="s">
        <v>1865</v>
      </c>
      <c r="C6306" t="s">
        <v>1670</v>
      </c>
      <c r="D6306" t="s">
        <v>1671</v>
      </c>
      <c r="E6306" s="8">
        <v>6650</v>
      </c>
      <c r="F6306" s="8">
        <v>59273.954887218</v>
      </c>
      <c r="G6306" s="8">
        <f t="shared" si="392"/>
        <v>394171800</v>
      </c>
      <c r="H6306" s="5">
        <v>0.14</v>
      </c>
      <c r="I6306" s="8">
        <f t="shared" si="393"/>
        <v>394171800</v>
      </c>
      <c r="J6306" s="8">
        <f t="shared" si="394"/>
        <v>55184052</v>
      </c>
      <c r="K6306" t="str">
        <f t="shared" si="395"/>
        <v>MATCHED</v>
      </c>
    </row>
    <row r="6307" spans="1:11">
      <c r="A6307" t="s">
        <v>128</v>
      </c>
      <c r="B6307" t="s">
        <v>1865</v>
      </c>
      <c r="C6307" t="s">
        <v>1618</v>
      </c>
      <c r="D6307" t="s">
        <v>1619</v>
      </c>
      <c r="E6307" s="8">
        <v>18530</v>
      </c>
      <c r="F6307" s="8">
        <v>91907.9762547221</v>
      </c>
      <c r="G6307" s="8">
        <f t="shared" si="392"/>
        <v>1703054800</v>
      </c>
      <c r="H6307" s="5">
        <v>0.1775</v>
      </c>
      <c r="I6307" s="8">
        <f t="shared" si="393"/>
        <v>1703054800</v>
      </c>
      <c r="J6307" s="8">
        <f t="shared" si="394"/>
        <v>302292227</v>
      </c>
      <c r="K6307" t="str">
        <f t="shared" si="395"/>
        <v>MATCHED</v>
      </c>
    </row>
    <row r="6308" spans="1:11">
      <c r="A6308" t="s">
        <v>128</v>
      </c>
      <c r="B6308" t="s">
        <v>1865</v>
      </c>
      <c r="C6308" t="s">
        <v>325</v>
      </c>
      <c r="D6308" t="s">
        <v>326</v>
      </c>
      <c r="E6308" s="8">
        <v>50</v>
      </c>
      <c r="F6308" s="8"/>
      <c r="G6308" s="8" t="str">
        <f t="shared" si="392"/>
        <v/>
      </c>
      <c r="H6308" s="5">
        <v>0.163</v>
      </c>
      <c r="I6308" s="8" t="str">
        <f t="shared" si="393"/>
        <v/>
      </c>
      <c r="J6308" s="8" t="str">
        <f t="shared" si="394"/>
        <v/>
      </c>
      <c r="K6308" t="str">
        <f t="shared" si="395"/>
        <v>MISSING OEWS</v>
      </c>
    </row>
    <row r="6309" spans="1:11">
      <c r="A6309" t="s">
        <v>128</v>
      </c>
      <c r="B6309" t="s">
        <v>1865</v>
      </c>
      <c r="C6309" t="s">
        <v>862</v>
      </c>
      <c r="D6309" t="s">
        <v>863</v>
      </c>
      <c r="E6309" s="8">
        <v>2605750</v>
      </c>
      <c r="F6309" s="8">
        <v>101033.394224312</v>
      </c>
      <c r="G6309" s="8">
        <f t="shared" si="392"/>
        <v>263267767000</v>
      </c>
      <c r="H6309" s="5">
        <v>0.1958</v>
      </c>
      <c r="I6309" s="8">
        <f t="shared" si="393"/>
        <v>263267767000</v>
      </c>
      <c r="J6309" s="8">
        <f t="shared" si="394"/>
        <v>51547828778.6</v>
      </c>
      <c r="K6309" t="str">
        <f t="shared" si="395"/>
        <v>MATCHED</v>
      </c>
    </row>
    <row r="6310" spans="1:11">
      <c r="A6310" t="s">
        <v>128</v>
      </c>
      <c r="B6310" t="s">
        <v>1865</v>
      </c>
      <c r="C6310" t="s">
        <v>1216</v>
      </c>
      <c r="D6310" t="s">
        <v>1217</v>
      </c>
      <c r="E6310" s="8">
        <v>46540</v>
      </c>
      <c r="F6310" s="8">
        <v>248316.927374302</v>
      </c>
      <c r="G6310" s="8">
        <f t="shared" si="392"/>
        <v>11556669800</v>
      </c>
      <c r="H6310" s="5">
        <v>0.1167</v>
      </c>
      <c r="I6310" s="8">
        <f t="shared" si="393"/>
        <v>11556669800</v>
      </c>
      <c r="J6310" s="8">
        <f t="shared" si="394"/>
        <v>1348663365.66</v>
      </c>
      <c r="K6310" t="str">
        <f t="shared" si="395"/>
        <v>MATCHED</v>
      </c>
    </row>
    <row r="6311" spans="1:11">
      <c r="A6311" t="s">
        <v>128</v>
      </c>
      <c r="B6311" t="s">
        <v>1865</v>
      </c>
      <c r="C6311" t="s">
        <v>1855</v>
      </c>
      <c r="D6311" t="s">
        <v>1856</v>
      </c>
      <c r="E6311" s="8">
        <v>7400</v>
      </c>
      <c r="F6311" s="8">
        <v>136730.054054054</v>
      </c>
      <c r="G6311" s="8">
        <f t="shared" si="392"/>
        <v>1011802400</v>
      </c>
      <c r="H6311" s="5">
        <v>0.3452</v>
      </c>
      <c r="I6311" s="8">
        <f t="shared" si="393"/>
        <v>1011802400</v>
      </c>
      <c r="J6311" s="8">
        <f t="shared" si="394"/>
        <v>349274188.48</v>
      </c>
      <c r="K6311" t="str">
        <f t="shared" si="395"/>
        <v>MATCHED</v>
      </c>
    </row>
    <row r="6312" spans="1:11">
      <c r="A6312" t="s">
        <v>128</v>
      </c>
      <c r="B6312" t="s">
        <v>1865</v>
      </c>
      <c r="C6312" t="s">
        <v>1218</v>
      </c>
      <c r="D6312" t="s">
        <v>1219</v>
      </c>
      <c r="E6312" s="8">
        <v>282250</v>
      </c>
      <c r="F6312" s="8">
        <v>137044.280248007</v>
      </c>
      <c r="G6312" s="8">
        <f t="shared" si="392"/>
        <v>38680748100</v>
      </c>
      <c r="H6312" s="5">
        <v>0.313</v>
      </c>
      <c r="I6312" s="8">
        <f t="shared" si="393"/>
        <v>38680748100</v>
      </c>
      <c r="J6312" s="8">
        <f t="shared" si="394"/>
        <v>12107074155.3</v>
      </c>
      <c r="K6312" t="str">
        <f t="shared" si="395"/>
        <v>MATCHED</v>
      </c>
    </row>
    <row r="6313" spans="1:11">
      <c r="A6313" t="s">
        <v>128</v>
      </c>
      <c r="B6313" t="s">
        <v>1865</v>
      </c>
      <c r="C6313" t="s">
        <v>1435</v>
      </c>
      <c r="D6313" t="s">
        <v>1436</v>
      </c>
      <c r="E6313" s="8">
        <v>10240</v>
      </c>
      <c r="F6313" s="8">
        <v>96946.85546875</v>
      </c>
      <c r="G6313" s="8">
        <f t="shared" si="392"/>
        <v>992735800</v>
      </c>
      <c r="H6313" s="5">
        <v>0.2568</v>
      </c>
      <c r="I6313" s="8">
        <f t="shared" si="393"/>
        <v>992735800</v>
      </c>
      <c r="J6313" s="8">
        <f t="shared" si="394"/>
        <v>254934553.44</v>
      </c>
      <c r="K6313" t="str">
        <f t="shared" si="395"/>
        <v>MATCHED</v>
      </c>
    </row>
    <row r="6314" spans="1:11">
      <c r="A6314" t="s">
        <v>128</v>
      </c>
      <c r="B6314" t="s">
        <v>1865</v>
      </c>
      <c r="C6314" t="s">
        <v>1672</v>
      </c>
      <c r="D6314" t="s">
        <v>1673</v>
      </c>
      <c r="E6314" s="8">
        <v>36380</v>
      </c>
      <c r="F6314" s="8">
        <v>364141.261682243</v>
      </c>
      <c r="G6314" s="8">
        <f t="shared" si="392"/>
        <v>13247459100</v>
      </c>
      <c r="H6314" s="5">
        <v>0.2222</v>
      </c>
      <c r="I6314" s="8">
        <f t="shared" si="393"/>
        <v>13247459100</v>
      </c>
      <c r="J6314" s="8">
        <f t="shared" si="394"/>
        <v>2943585412.02</v>
      </c>
      <c r="K6314" t="str">
        <f t="shared" si="395"/>
        <v>MATCHED</v>
      </c>
    </row>
    <row r="6315" spans="1:11">
      <c r="A6315" t="s">
        <v>128</v>
      </c>
      <c r="B6315" t="s">
        <v>1865</v>
      </c>
      <c r="C6315" t="s">
        <v>1721</v>
      </c>
      <c r="D6315" t="s">
        <v>1722</v>
      </c>
      <c r="E6315" s="8">
        <v>15680</v>
      </c>
      <c r="F6315" s="8">
        <v>466326.18622449</v>
      </c>
      <c r="G6315" s="8">
        <f t="shared" si="392"/>
        <v>7311994600</v>
      </c>
      <c r="H6315" s="5">
        <v>0.2346</v>
      </c>
      <c r="I6315" s="8">
        <f t="shared" si="393"/>
        <v>7311994600</v>
      </c>
      <c r="J6315" s="8">
        <f t="shared" si="394"/>
        <v>1715393933.16</v>
      </c>
      <c r="K6315" t="str">
        <f t="shared" si="395"/>
        <v>MATCHED</v>
      </c>
    </row>
    <row r="6316" spans="1:11">
      <c r="A6316" t="s">
        <v>128</v>
      </c>
      <c r="B6316" t="s">
        <v>1865</v>
      </c>
      <c r="C6316" t="s">
        <v>1857</v>
      </c>
      <c r="D6316" t="s">
        <v>1858</v>
      </c>
      <c r="E6316" s="8">
        <v>11020</v>
      </c>
      <c r="F6316" s="8">
        <v>327438.502722323</v>
      </c>
      <c r="G6316" s="8">
        <f t="shared" si="392"/>
        <v>3608372300</v>
      </c>
      <c r="H6316" s="5">
        <v>0.2083</v>
      </c>
      <c r="I6316" s="8">
        <f t="shared" si="393"/>
        <v>3608372300</v>
      </c>
      <c r="J6316" s="8">
        <f t="shared" si="394"/>
        <v>751623950.09</v>
      </c>
      <c r="K6316" t="str">
        <f t="shared" si="395"/>
        <v>MATCHED</v>
      </c>
    </row>
    <row r="6317" spans="1:11">
      <c r="A6317" t="s">
        <v>128</v>
      </c>
      <c r="B6317" t="s">
        <v>1865</v>
      </c>
      <c r="C6317" t="s">
        <v>1723</v>
      </c>
      <c r="D6317" t="s">
        <v>1724</v>
      </c>
      <c r="E6317" s="8">
        <v>28800</v>
      </c>
      <c r="F6317" s="8">
        <v>327012.291666667</v>
      </c>
      <c r="G6317" s="8">
        <f t="shared" si="392"/>
        <v>9417954000</v>
      </c>
      <c r="H6317" s="5">
        <v>0.1794</v>
      </c>
      <c r="I6317" s="8">
        <f t="shared" si="393"/>
        <v>9417954000</v>
      </c>
      <c r="J6317" s="8">
        <f t="shared" si="394"/>
        <v>1689580947.6</v>
      </c>
      <c r="K6317" t="str">
        <f t="shared" si="395"/>
        <v>MATCHED</v>
      </c>
    </row>
    <row r="6318" spans="1:11">
      <c r="A6318" t="s">
        <v>128</v>
      </c>
      <c r="B6318" t="s">
        <v>1865</v>
      </c>
      <c r="C6318" t="s">
        <v>1725</v>
      </c>
      <c r="D6318" t="s">
        <v>1726</v>
      </c>
      <c r="E6318" s="8">
        <v>96930</v>
      </c>
      <c r="F6318" s="8">
        <v>257923.302383163</v>
      </c>
      <c r="G6318" s="8">
        <f t="shared" si="392"/>
        <v>25000505700</v>
      </c>
      <c r="H6318" s="5">
        <v>0.2885</v>
      </c>
      <c r="I6318" s="8">
        <f t="shared" si="393"/>
        <v>25000505700</v>
      </c>
      <c r="J6318" s="8">
        <f t="shared" si="394"/>
        <v>7212645894.45</v>
      </c>
      <c r="K6318" t="str">
        <f t="shared" si="395"/>
        <v>MATCHED</v>
      </c>
    </row>
    <row r="6319" spans="1:11">
      <c r="A6319" t="s">
        <v>128</v>
      </c>
      <c r="B6319" t="s">
        <v>1865</v>
      </c>
      <c r="C6319" t="s">
        <v>1674</v>
      </c>
      <c r="D6319" t="s">
        <v>1675</v>
      </c>
      <c r="E6319" s="8">
        <v>56340</v>
      </c>
      <c r="F6319" s="8">
        <v>265369.332623358</v>
      </c>
      <c r="G6319" s="8">
        <f t="shared" si="392"/>
        <v>14950908200</v>
      </c>
      <c r="H6319" s="5">
        <v>0.2237</v>
      </c>
      <c r="I6319" s="8">
        <f t="shared" si="393"/>
        <v>14950908200</v>
      </c>
      <c r="J6319" s="8">
        <f t="shared" si="394"/>
        <v>3344518164.34</v>
      </c>
      <c r="K6319" t="str">
        <f t="shared" si="395"/>
        <v>MATCHED</v>
      </c>
    </row>
    <row r="6320" spans="1:11">
      <c r="A6320" t="s">
        <v>128</v>
      </c>
      <c r="B6320" t="s">
        <v>1865</v>
      </c>
      <c r="C6320" t="s">
        <v>1437</v>
      </c>
      <c r="D6320" t="s">
        <v>1438</v>
      </c>
      <c r="E6320" s="8">
        <v>9550</v>
      </c>
      <c r="F6320" s="8">
        <v>271222.764397906</v>
      </c>
      <c r="G6320" s="8">
        <f t="shared" si="392"/>
        <v>2590177400</v>
      </c>
      <c r="H6320" s="5">
        <v>0.2625</v>
      </c>
      <c r="I6320" s="8">
        <f t="shared" si="393"/>
        <v>2590177400</v>
      </c>
      <c r="J6320" s="8">
        <f t="shared" si="394"/>
        <v>679921567.5</v>
      </c>
      <c r="K6320" t="str">
        <f t="shared" si="395"/>
        <v>MATCHED</v>
      </c>
    </row>
    <row r="6321" spans="1:11">
      <c r="A6321" t="s">
        <v>128</v>
      </c>
      <c r="B6321" t="s">
        <v>1865</v>
      </c>
      <c r="C6321" t="s">
        <v>1727</v>
      </c>
      <c r="D6321" t="s">
        <v>1728</v>
      </c>
      <c r="E6321" s="8">
        <v>19370</v>
      </c>
      <c r="F6321" s="8">
        <v>284328.83324729</v>
      </c>
      <c r="G6321" s="8">
        <f t="shared" si="392"/>
        <v>5507449500</v>
      </c>
      <c r="H6321" s="5">
        <v>0.33</v>
      </c>
      <c r="I6321" s="8">
        <f t="shared" si="393"/>
        <v>5507449500</v>
      </c>
      <c r="J6321" s="8">
        <f t="shared" si="394"/>
        <v>1817458335</v>
      </c>
      <c r="K6321" t="str">
        <f t="shared" si="395"/>
        <v>MATCHED</v>
      </c>
    </row>
    <row r="6322" spans="1:11">
      <c r="A6322" t="s">
        <v>128</v>
      </c>
      <c r="B6322" t="s">
        <v>1865</v>
      </c>
      <c r="C6322" t="s">
        <v>1676</v>
      </c>
      <c r="D6322" t="s">
        <v>1677</v>
      </c>
      <c r="E6322" s="8">
        <v>36150</v>
      </c>
      <c r="F6322" s="8">
        <v>216471.997233748</v>
      </c>
      <c r="G6322" s="8">
        <f t="shared" si="392"/>
        <v>7825462700</v>
      </c>
      <c r="H6322" s="5">
        <v>0.1941</v>
      </c>
      <c r="I6322" s="8">
        <f t="shared" si="393"/>
        <v>7825462700</v>
      </c>
      <c r="J6322" s="8">
        <f t="shared" si="394"/>
        <v>1518922310.07</v>
      </c>
      <c r="K6322" t="str">
        <f t="shared" si="395"/>
        <v>MATCHED</v>
      </c>
    </row>
    <row r="6323" spans="1:11">
      <c r="A6323" t="s">
        <v>128</v>
      </c>
      <c r="B6323" t="s">
        <v>1865</v>
      </c>
      <c r="C6323" t="s">
        <v>1439</v>
      </c>
      <c r="D6323" t="s">
        <v>1440</v>
      </c>
      <c r="E6323" s="8">
        <v>9180</v>
      </c>
      <c r="F6323" s="8">
        <v>301658.431372549</v>
      </c>
      <c r="G6323" s="8">
        <f t="shared" si="392"/>
        <v>2769224400</v>
      </c>
      <c r="H6323" s="5">
        <v>0.2711</v>
      </c>
      <c r="I6323" s="8">
        <f t="shared" si="393"/>
        <v>2769224400</v>
      </c>
      <c r="J6323" s="8">
        <f t="shared" si="394"/>
        <v>750736734.84</v>
      </c>
      <c r="K6323" t="str">
        <f t="shared" si="395"/>
        <v>MATCHED</v>
      </c>
    </row>
    <row r="6324" spans="1:11">
      <c r="A6324" t="s">
        <v>128</v>
      </c>
      <c r="B6324" t="s">
        <v>1865</v>
      </c>
      <c r="C6324" t="s">
        <v>1678</v>
      </c>
      <c r="D6324" t="s">
        <v>1679</v>
      </c>
      <c r="E6324" s="8">
        <v>20620</v>
      </c>
      <c r="F6324" s="8">
        <v>275881.935014549</v>
      </c>
      <c r="G6324" s="8">
        <f t="shared" si="392"/>
        <v>5688685500</v>
      </c>
      <c r="H6324" s="5">
        <v>0.1375</v>
      </c>
      <c r="I6324" s="8">
        <f t="shared" si="393"/>
        <v>5688685500</v>
      </c>
      <c r="J6324" s="8">
        <f t="shared" si="394"/>
        <v>782194256.25</v>
      </c>
      <c r="K6324" t="str">
        <f t="shared" si="395"/>
        <v>MATCHED</v>
      </c>
    </row>
    <row r="6325" spans="1:11">
      <c r="A6325" t="s">
        <v>128</v>
      </c>
      <c r="B6325" t="s">
        <v>1865</v>
      </c>
      <c r="C6325" t="s">
        <v>1680</v>
      </c>
      <c r="D6325" t="s">
        <v>1681</v>
      </c>
      <c r="E6325" s="8">
        <v>24750</v>
      </c>
      <c r="F6325" s="8">
        <v>391487.709090909</v>
      </c>
      <c r="G6325" s="8">
        <f t="shared" si="392"/>
        <v>9689320800</v>
      </c>
      <c r="H6325" s="5">
        <v>0.4317</v>
      </c>
      <c r="I6325" s="8">
        <f t="shared" si="393"/>
        <v>9689320800</v>
      </c>
      <c r="J6325" s="8">
        <f t="shared" si="394"/>
        <v>4182879789.36</v>
      </c>
      <c r="K6325" t="str">
        <f t="shared" si="395"/>
        <v>MATCHED</v>
      </c>
    </row>
    <row r="6326" spans="1:11">
      <c r="A6326" t="s">
        <v>128</v>
      </c>
      <c r="B6326" t="s">
        <v>1865</v>
      </c>
      <c r="C6326" t="s">
        <v>1220</v>
      </c>
      <c r="D6326" t="s">
        <v>1221</v>
      </c>
      <c r="E6326" s="8">
        <v>268210</v>
      </c>
      <c r="F6326" s="8">
        <v>267694.619141717</v>
      </c>
      <c r="G6326" s="8">
        <f t="shared" si="392"/>
        <v>71798373800</v>
      </c>
      <c r="H6326" s="5">
        <v>0.2008</v>
      </c>
      <c r="I6326" s="8">
        <f t="shared" si="393"/>
        <v>71798373800</v>
      </c>
      <c r="J6326" s="8">
        <f t="shared" si="394"/>
        <v>14417113459.04</v>
      </c>
      <c r="K6326" t="str">
        <f t="shared" si="395"/>
        <v>MATCHED</v>
      </c>
    </row>
    <row r="6327" spans="1:11">
      <c r="A6327" t="s">
        <v>128</v>
      </c>
      <c r="B6327" t="s">
        <v>1865</v>
      </c>
      <c r="C6327" t="s">
        <v>1484</v>
      </c>
      <c r="D6327" t="s">
        <v>1485</v>
      </c>
      <c r="E6327" s="8">
        <v>8320</v>
      </c>
      <c r="F6327" s="8">
        <v>311824.134615385</v>
      </c>
      <c r="G6327" s="8">
        <f t="shared" si="392"/>
        <v>2594376800</v>
      </c>
      <c r="H6327" s="5">
        <v>0.0778</v>
      </c>
      <c r="I6327" s="8">
        <f t="shared" si="393"/>
        <v>2594376800</v>
      </c>
      <c r="J6327" s="8">
        <f t="shared" si="394"/>
        <v>201842515.04</v>
      </c>
      <c r="K6327" t="str">
        <f t="shared" si="395"/>
        <v>MATCHED</v>
      </c>
    </row>
    <row r="6328" spans="1:11">
      <c r="A6328" t="s">
        <v>128</v>
      </c>
      <c r="B6328" t="s">
        <v>1865</v>
      </c>
      <c r="C6328" t="s">
        <v>1859</v>
      </c>
      <c r="D6328" t="s">
        <v>1860</v>
      </c>
      <c r="E6328" s="8">
        <v>12970</v>
      </c>
      <c r="F6328" s="8">
        <v>380499.00539707</v>
      </c>
      <c r="G6328" s="8">
        <f t="shared" si="392"/>
        <v>4935072100</v>
      </c>
      <c r="H6328" s="5">
        <v>0.1867</v>
      </c>
      <c r="I6328" s="8">
        <f t="shared" si="393"/>
        <v>4935072100</v>
      </c>
      <c r="J6328" s="8">
        <f t="shared" si="394"/>
        <v>921377961.07</v>
      </c>
      <c r="K6328" t="str">
        <f t="shared" si="395"/>
        <v>MATCHED</v>
      </c>
    </row>
    <row r="6329" spans="1:11">
      <c r="A6329" t="s">
        <v>128</v>
      </c>
      <c r="B6329" t="s">
        <v>1865</v>
      </c>
      <c r="C6329" t="s">
        <v>1872</v>
      </c>
      <c r="D6329" t="s">
        <v>1873</v>
      </c>
      <c r="E6329" s="8">
        <v>1090</v>
      </c>
      <c r="F6329" s="8">
        <v>520530</v>
      </c>
      <c r="G6329" s="8">
        <f t="shared" si="392"/>
        <v>567377700</v>
      </c>
      <c r="H6329" s="5">
        <v>0.1306</v>
      </c>
      <c r="I6329" s="8">
        <f t="shared" si="393"/>
        <v>567377700</v>
      </c>
      <c r="J6329" s="8">
        <f t="shared" si="394"/>
        <v>74099527.62</v>
      </c>
      <c r="K6329" t="str">
        <f t="shared" si="395"/>
        <v>MATCHED</v>
      </c>
    </row>
    <row r="6330" spans="1:11">
      <c r="A6330" t="s">
        <v>128</v>
      </c>
      <c r="B6330" t="s">
        <v>1865</v>
      </c>
      <c r="C6330" t="s">
        <v>1682</v>
      </c>
      <c r="D6330" t="s">
        <v>1683</v>
      </c>
      <c r="E6330" s="8">
        <v>22520</v>
      </c>
      <c r="F6330" s="8">
        <v>385502.380106572</v>
      </c>
      <c r="G6330" s="8">
        <f t="shared" si="392"/>
        <v>8681513600</v>
      </c>
      <c r="H6330" s="5"/>
      <c r="I6330" s="8" t="str">
        <f t="shared" si="393"/>
        <v/>
      </c>
      <c r="J6330" s="8" t="str">
        <f t="shared" si="394"/>
        <v/>
      </c>
      <c r="K6330" t="str">
        <f t="shared" si="395"/>
        <v>MISSING WHARTON</v>
      </c>
    </row>
    <row r="6331" spans="1:11">
      <c r="A6331" t="s">
        <v>128</v>
      </c>
      <c r="B6331" t="s">
        <v>1865</v>
      </c>
      <c r="C6331" t="s">
        <v>1754</v>
      </c>
      <c r="D6331" t="s">
        <v>1755</v>
      </c>
      <c r="E6331" s="8">
        <v>7110</v>
      </c>
      <c r="F6331" s="8">
        <v>86130</v>
      </c>
      <c r="G6331" s="8">
        <f t="shared" si="392"/>
        <v>612384300</v>
      </c>
      <c r="H6331" s="5">
        <v>0.0528</v>
      </c>
      <c r="I6331" s="8">
        <f t="shared" si="393"/>
        <v>612384300</v>
      </c>
      <c r="J6331" s="8">
        <f t="shared" si="394"/>
        <v>32333891.04</v>
      </c>
      <c r="K6331" t="str">
        <f t="shared" si="395"/>
        <v>MATCHED</v>
      </c>
    </row>
    <row r="6332" spans="1:11">
      <c r="A6332" t="s">
        <v>128</v>
      </c>
      <c r="B6332" t="s">
        <v>1865</v>
      </c>
      <c r="C6332" t="s">
        <v>1222</v>
      </c>
      <c r="D6332" t="s">
        <v>1223</v>
      </c>
      <c r="E6332" s="8">
        <v>217310</v>
      </c>
      <c r="F6332" s="8">
        <v>99206.1483594865</v>
      </c>
      <c r="G6332" s="8">
        <f t="shared" si="392"/>
        <v>21558488100</v>
      </c>
      <c r="H6332" s="5">
        <v>0.1583</v>
      </c>
      <c r="I6332" s="8">
        <f t="shared" si="393"/>
        <v>21558488100</v>
      </c>
      <c r="J6332" s="8">
        <f t="shared" si="394"/>
        <v>3412708666.23</v>
      </c>
      <c r="K6332" t="str">
        <f t="shared" si="395"/>
        <v>MATCHED</v>
      </c>
    </row>
    <row r="6333" spans="1:11">
      <c r="A6333" t="s">
        <v>128</v>
      </c>
      <c r="B6333" t="s">
        <v>1865</v>
      </c>
      <c r="C6333" t="s">
        <v>1486</v>
      </c>
      <c r="D6333" t="s">
        <v>1487</v>
      </c>
      <c r="E6333" s="8">
        <v>7450</v>
      </c>
      <c r="F6333" s="8">
        <v>123992.026845638</v>
      </c>
      <c r="G6333" s="8">
        <f t="shared" si="392"/>
        <v>923740600</v>
      </c>
      <c r="H6333" s="5">
        <v>0.1875</v>
      </c>
      <c r="I6333" s="8">
        <f t="shared" si="393"/>
        <v>923740600</v>
      </c>
      <c r="J6333" s="8">
        <f t="shared" si="394"/>
        <v>173201362.5</v>
      </c>
      <c r="K6333" t="str">
        <f t="shared" si="395"/>
        <v>MATCHED</v>
      </c>
    </row>
    <row r="6334" spans="1:11">
      <c r="A6334" t="s">
        <v>128</v>
      </c>
      <c r="B6334" t="s">
        <v>1865</v>
      </c>
      <c r="C6334" t="s">
        <v>1224</v>
      </c>
      <c r="D6334" t="s">
        <v>1225</v>
      </c>
      <c r="E6334" s="8">
        <v>258940</v>
      </c>
      <c r="F6334" s="8">
        <v>66995.7889858655</v>
      </c>
      <c r="G6334" s="8">
        <f t="shared" si="392"/>
        <v>17347889600</v>
      </c>
      <c r="H6334" s="5">
        <v>0.1612</v>
      </c>
      <c r="I6334" s="8">
        <f t="shared" si="393"/>
        <v>17347889600</v>
      </c>
      <c r="J6334" s="8">
        <f t="shared" si="394"/>
        <v>2796479803.52</v>
      </c>
      <c r="K6334" t="str">
        <f t="shared" si="395"/>
        <v>MATCHED</v>
      </c>
    </row>
    <row r="6335" spans="1:11">
      <c r="A6335" t="s">
        <v>128</v>
      </c>
      <c r="B6335" t="s">
        <v>1865</v>
      </c>
      <c r="C6335" t="s">
        <v>1441</v>
      </c>
      <c r="D6335" t="s">
        <v>1442</v>
      </c>
      <c r="E6335" s="8">
        <v>55480</v>
      </c>
      <c r="F6335" s="8">
        <v>77478.2245854362</v>
      </c>
      <c r="G6335" s="8">
        <f t="shared" si="392"/>
        <v>4298491900</v>
      </c>
      <c r="H6335" s="5">
        <v>0.304</v>
      </c>
      <c r="I6335" s="8">
        <f t="shared" si="393"/>
        <v>4298491900</v>
      </c>
      <c r="J6335" s="8">
        <f t="shared" si="394"/>
        <v>1306741537.6</v>
      </c>
      <c r="K6335" t="str">
        <f t="shared" si="395"/>
        <v>MATCHED</v>
      </c>
    </row>
    <row r="6336" spans="1:11">
      <c r="A6336" t="s">
        <v>128</v>
      </c>
      <c r="B6336" t="s">
        <v>1865</v>
      </c>
      <c r="C6336" t="s">
        <v>1684</v>
      </c>
      <c r="D6336" t="s">
        <v>1685</v>
      </c>
      <c r="E6336" s="8">
        <v>79910</v>
      </c>
      <c r="F6336" s="8">
        <v>97154.3936929045</v>
      </c>
      <c r="G6336" s="8">
        <f t="shared" si="392"/>
        <v>7763607600</v>
      </c>
      <c r="H6336" s="5">
        <v>0.345</v>
      </c>
      <c r="I6336" s="8">
        <f t="shared" si="393"/>
        <v>7763607600</v>
      </c>
      <c r="J6336" s="8">
        <f t="shared" si="394"/>
        <v>2678444622</v>
      </c>
      <c r="K6336" t="str">
        <f t="shared" si="395"/>
        <v>MATCHED</v>
      </c>
    </row>
    <row r="6337" spans="1:11">
      <c r="A6337" t="s">
        <v>128</v>
      </c>
      <c r="B6337" t="s">
        <v>1865</v>
      </c>
      <c r="C6337" t="s">
        <v>1686</v>
      </c>
      <c r="D6337" t="s">
        <v>1687</v>
      </c>
      <c r="E6337" s="8">
        <v>14960</v>
      </c>
      <c r="F6337" s="8">
        <v>105906.14973262</v>
      </c>
      <c r="G6337" s="8">
        <f t="shared" si="392"/>
        <v>1584356000</v>
      </c>
      <c r="H6337" s="5">
        <v>0.2647</v>
      </c>
      <c r="I6337" s="8">
        <f t="shared" si="393"/>
        <v>1584356000</v>
      </c>
      <c r="J6337" s="8">
        <f t="shared" si="394"/>
        <v>419379033.2</v>
      </c>
      <c r="K6337" t="str">
        <f t="shared" si="395"/>
        <v>MATCHED</v>
      </c>
    </row>
    <row r="6338" spans="1:11">
      <c r="A6338" t="s">
        <v>128</v>
      </c>
      <c r="B6338" t="s">
        <v>1865</v>
      </c>
      <c r="C6338" t="s">
        <v>1226</v>
      </c>
      <c r="D6338" t="s">
        <v>1227</v>
      </c>
      <c r="E6338" s="8">
        <v>190830</v>
      </c>
      <c r="F6338" s="8">
        <v>83390.6550332757</v>
      </c>
      <c r="G6338" s="8">
        <f t="shared" ref="G6338:G6401" si="396">IF(OR(E6338="",F6338=""),"",E6338*F6338)</f>
        <v>15913438700</v>
      </c>
      <c r="H6338" s="5">
        <v>0.315</v>
      </c>
      <c r="I6338" s="8">
        <f t="shared" ref="I6338:I6401" si="397">IF(G6338="","",IF(ISNUMBER(H6338),G6338,""))</f>
        <v>15913438700</v>
      </c>
      <c r="J6338" s="8">
        <f t="shared" ref="J6338:J6401" si="398">IF(I6338="","",I6338*H6338)</f>
        <v>5012733190.5</v>
      </c>
      <c r="K6338" t="str">
        <f t="shared" ref="K6338:K6401" si="399">IF(G6338="","MISSING OEWS",IF(ISNUMBER(H6338),"MATCHED","MISSING WHARTON"))</f>
        <v>MATCHED</v>
      </c>
    </row>
    <row r="6339" spans="1:11">
      <c r="A6339" t="s">
        <v>128</v>
      </c>
      <c r="B6339" t="s">
        <v>1865</v>
      </c>
      <c r="C6339" t="s">
        <v>1688</v>
      </c>
      <c r="D6339" t="s">
        <v>1689</v>
      </c>
      <c r="E6339" s="8">
        <v>37760</v>
      </c>
      <c r="F6339" s="8">
        <v>96464.6477754237</v>
      </c>
      <c r="G6339" s="8">
        <f t="shared" si="396"/>
        <v>3642505100</v>
      </c>
      <c r="H6339" s="5">
        <v>0.4239</v>
      </c>
      <c r="I6339" s="8">
        <f t="shared" si="397"/>
        <v>3642505100</v>
      </c>
      <c r="J6339" s="8">
        <f t="shared" si="398"/>
        <v>1544057911.89</v>
      </c>
      <c r="K6339" t="str">
        <f t="shared" si="399"/>
        <v>MATCHED</v>
      </c>
    </row>
    <row r="6340" spans="1:11">
      <c r="A6340" t="s">
        <v>128</v>
      </c>
      <c r="B6340" t="s">
        <v>1865</v>
      </c>
      <c r="C6340" t="s">
        <v>1690</v>
      </c>
      <c r="D6340" t="s">
        <v>1691</v>
      </c>
      <c r="E6340" s="8">
        <v>2780</v>
      </c>
      <c r="F6340" s="8">
        <v>150818.345323741</v>
      </c>
      <c r="G6340" s="8">
        <f t="shared" si="396"/>
        <v>419275000</v>
      </c>
      <c r="H6340" s="5">
        <v>0.435</v>
      </c>
      <c r="I6340" s="8">
        <f t="shared" si="397"/>
        <v>419275000</v>
      </c>
      <c r="J6340" s="8">
        <f t="shared" si="398"/>
        <v>182384625</v>
      </c>
      <c r="K6340" t="str">
        <f t="shared" si="399"/>
        <v>MATCHED</v>
      </c>
    </row>
    <row r="6341" spans="1:11">
      <c r="A6341" t="s">
        <v>128</v>
      </c>
      <c r="B6341" t="s">
        <v>1865</v>
      </c>
      <c r="C6341" t="s">
        <v>640</v>
      </c>
      <c r="D6341" t="s">
        <v>641</v>
      </c>
      <c r="E6341" s="8">
        <v>121370</v>
      </c>
      <c r="F6341" s="8">
        <v>45450.4177309055</v>
      </c>
      <c r="G6341" s="8">
        <f t="shared" si="396"/>
        <v>5516317200</v>
      </c>
      <c r="H6341" s="5">
        <v>0.0792</v>
      </c>
      <c r="I6341" s="8">
        <f t="shared" si="397"/>
        <v>5516317200</v>
      </c>
      <c r="J6341" s="8">
        <f t="shared" si="398"/>
        <v>436892322.24</v>
      </c>
      <c r="K6341" t="str">
        <f t="shared" si="399"/>
        <v>MATCHED</v>
      </c>
    </row>
    <row r="6342" spans="1:11">
      <c r="A6342" t="s">
        <v>128</v>
      </c>
      <c r="B6342" t="s">
        <v>1865</v>
      </c>
      <c r="C6342" t="s">
        <v>642</v>
      </c>
      <c r="D6342" t="s">
        <v>643</v>
      </c>
      <c r="E6342" s="8">
        <v>54710</v>
      </c>
      <c r="F6342" s="8">
        <v>61840.1919210382</v>
      </c>
      <c r="G6342" s="8">
        <f t="shared" si="396"/>
        <v>3383276900</v>
      </c>
      <c r="H6342" s="5">
        <v>0</v>
      </c>
      <c r="I6342" s="8">
        <f t="shared" si="397"/>
        <v>3383276900</v>
      </c>
      <c r="J6342" s="8">
        <f t="shared" si="398"/>
        <v>0</v>
      </c>
      <c r="K6342" t="str">
        <f t="shared" si="399"/>
        <v>MATCHED</v>
      </c>
    </row>
    <row r="6343" spans="1:11">
      <c r="A6343" t="s">
        <v>128</v>
      </c>
      <c r="B6343" t="s">
        <v>1865</v>
      </c>
      <c r="C6343" t="s">
        <v>1729</v>
      </c>
      <c r="D6343" t="s">
        <v>1730</v>
      </c>
      <c r="E6343" s="8">
        <v>25380</v>
      </c>
      <c r="F6343" s="8">
        <v>40523.7352245863</v>
      </c>
      <c r="G6343" s="8">
        <f t="shared" si="396"/>
        <v>1028492400</v>
      </c>
      <c r="H6343" s="5">
        <v>0.4154</v>
      </c>
      <c r="I6343" s="8">
        <f t="shared" si="397"/>
        <v>1028492400</v>
      </c>
      <c r="J6343" s="8">
        <f t="shared" si="398"/>
        <v>427235742.96</v>
      </c>
      <c r="K6343" t="str">
        <f t="shared" si="399"/>
        <v>MATCHED</v>
      </c>
    </row>
    <row r="6344" spans="1:11">
      <c r="A6344" t="s">
        <v>128</v>
      </c>
      <c r="B6344" t="s">
        <v>1865</v>
      </c>
      <c r="C6344" t="s">
        <v>1228</v>
      </c>
      <c r="D6344" t="s">
        <v>1229</v>
      </c>
      <c r="E6344" s="8">
        <v>92030</v>
      </c>
      <c r="F6344" s="8">
        <v>54139.7087906118</v>
      </c>
      <c r="G6344" s="8">
        <f t="shared" si="396"/>
        <v>4982477400</v>
      </c>
      <c r="H6344" s="5">
        <v>0.6357</v>
      </c>
      <c r="I6344" s="8">
        <f t="shared" si="397"/>
        <v>4982477400</v>
      </c>
      <c r="J6344" s="8">
        <f t="shared" si="398"/>
        <v>3167360883.18</v>
      </c>
      <c r="K6344" t="str">
        <f t="shared" si="399"/>
        <v>MATCHED</v>
      </c>
    </row>
    <row r="6345" spans="1:11">
      <c r="A6345" t="s">
        <v>128</v>
      </c>
      <c r="B6345" t="s">
        <v>1865</v>
      </c>
      <c r="C6345" t="s">
        <v>1692</v>
      </c>
      <c r="D6345" t="s">
        <v>1693</v>
      </c>
      <c r="E6345" s="8">
        <v>127320</v>
      </c>
      <c r="F6345" s="8">
        <v>44871.3187244738</v>
      </c>
      <c r="G6345" s="8">
        <f t="shared" si="396"/>
        <v>5713016300</v>
      </c>
      <c r="H6345" s="5">
        <v>0.0594</v>
      </c>
      <c r="I6345" s="8">
        <f t="shared" si="397"/>
        <v>5713016300</v>
      </c>
      <c r="J6345" s="8">
        <f t="shared" si="398"/>
        <v>339353168.22</v>
      </c>
      <c r="K6345" t="str">
        <f t="shared" si="399"/>
        <v>MATCHED</v>
      </c>
    </row>
    <row r="6346" spans="1:11">
      <c r="A6346" t="s">
        <v>128</v>
      </c>
      <c r="B6346" t="s">
        <v>1865</v>
      </c>
      <c r="C6346" t="s">
        <v>1694</v>
      </c>
      <c r="D6346" t="s">
        <v>1695</v>
      </c>
      <c r="E6346" s="8">
        <v>100220</v>
      </c>
      <c r="F6346" s="8">
        <v>69114.4941129515</v>
      </c>
      <c r="G6346" s="8">
        <f t="shared" si="396"/>
        <v>6926654600</v>
      </c>
      <c r="H6346" s="5">
        <v>0.1188</v>
      </c>
      <c r="I6346" s="8">
        <f t="shared" si="397"/>
        <v>6926654600</v>
      </c>
      <c r="J6346" s="8">
        <f t="shared" si="398"/>
        <v>822886566.48</v>
      </c>
      <c r="K6346" t="str">
        <f t="shared" si="399"/>
        <v>MATCHED</v>
      </c>
    </row>
    <row r="6347" spans="1:11">
      <c r="A6347" t="s">
        <v>128</v>
      </c>
      <c r="B6347" t="s">
        <v>1865</v>
      </c>
      <c r="C6347" t="s">
        <v>327</v>
      </c>
      <c r="D6347" t="s">
        <v>328</v>
      </c>
      <c r="E6347" s="8">
        <v>180</v>
      </c>
      <c r="F6347" s="8">
        <v>56350</v>
      </c>
      <c r="G6347" s="8">
        <f t="shared" si="396"/>
        <v>10143000</v>
      </c>
      <c r="H6347" s="5">
        <v>0.2065</v>
      </c>
      <c r="I6347" s="8">
        <f t="shared" si="397"/>
        <v>10143000</v>
      </c>
      <c r="J6347" s="8">
        <f t="shared" si="398"/>
        <v>2094529.5</v>
      </c>
      <c r="K6347" t="str">
        <f t="shared" si="399"/>
        <v>MATCHED</v>
      </c>
    </row>
    <row r="6348" spans="1:11">
      <c r="A6348" t="s">
        <v>128</v>
      </c>
      <c r="B6348" t="s">
        <v>1865</v>
      </c>
      <c r="C6348" t="s">
        <v>1488</v>
      </c>
      <c r="D6348" t="s">
        <v>1489</v>
      </c>
      <c r="E6348" s="8">
        <v>66130</v>
      </c>
      <c r="F6348" s="8">
        <v>46928.9626493271</v>
      </c>
      <c r="G6348" s="8">
        <f t="shared" si="396"/>
        <v>3103412300</v>
      </c>
      <c r="H6348" s="5">
        <v>0.19</v>
      </c>
      <c r="I6348" s="8">
        <f t="shared" si="397"/>
        <v>3103412300</v>
      </c>
      <c r="J6348" s="8">
        <f t="shared" si="398"/>
        <v>589648337</v>
      </c>
      <c r="K6348" t="str">
        <f t="shared" si="399"/>
        <v>MATCHED</v>
      </c>
    </row>
    <row r="6349" spans="1:11">
      <c r="A6349" t="s">
        <v>128</v>
      </c>
      <c r="B6349" t="s">
        <v>1865</v>
      </c>
      <c r="C6349" t="s">
        <v>1230</v>
      </c>
      <c r="D6349" t="s">
        <v>1231</v>
      </c>
      <c r="E6349" s="8">
        <v>536040</v>
      </c>
      <c r="F6349" s="8">
        <v>67001.2857249459</v>
      </c>
      <c r="G6349" s="8">
        <f t="shared" si="396"/>
        <v>35915369200</v>
      </c>
      <c r="H6349" s="5">
        <v>0.1239</v>
      </c>
      <c r="I6349" s="8">
        <f t="shared" si="397"/>
        <v>35915369200</v>
      </c>
      <c r="J6349" s="8">
        <f t="shared" si="398"/>
        <v>4449914243.88</v>
      </c>
      <c r="K6349" t="str">
        <f t="shared" si="399"/>
        <v>MATCHED</v>
      </c>
    </row>
    <row r="6350" spans="1:11">
      <c r="A6350" t="s">
        <v>128</v>
      </c>
      <c r="B6350" t="s">
        <v>1865</v>
      </c>
      <c r="C6350" t="s">
        <v>1232</v>
      </c>
      <c r="D6350" t="s">
        <v>1233</v>
      </c>
      <c r="E6350" s="8">
        <v>111920</v>
      </c>
      <c r="F6350" s="8">
        <v>55413.6222301644</v>
      </c>
      <c r="G6350" s="8">
        <f t="shared" si="396"/>
        <v>6201892600</v>
      </c>
      <c r="H6350" s="5">
        <v>0.9353</v>
      </c>
      <c r="I6350" s="8">
        <f t="shared" si="397"/>
        <v>6201892600</v>
      </c>
      <c r="J6350" s="8">
        <f t="shared" si="398"/>
        <v>5800630148.78</v>
      </c>
      <c r="K6350" t="str">
        <f t="shared" si="399"/>
        <v>MATCHED</v>
      </c>
    </row>
    <row r="6351" spans="1:11">
      <c r="A6351" t="s">
        <v>128</v>
      </c>
      <c r="B6351" t="s">
        <v>1865</v>
      </c>
      <c r="C6351" t="s">
        <v>1234</v>
      </c>
      <c r="D6351" t="s">
        <v>1235</v>
      </c>
      <c r="E6351" s="8">
        <v>39720</v>
      </c>
      <c r="F6351" s="8">
        <v>48181.973816717</v>
      </c>
      <c r="G6351" s="8">
        <f t="shared" si="396"/>
        <v>1913788000</v>
      </c>
      <c r="H6351" s="5">
        <v>0.2143</v>
      </c>
      <c r="I6351" s="8">
        <f t="shared" si="397"/>
        <v>1913788000</v>
      </c>
      <c r="J6351" s="8">
        <f t="shared" si="398"/>
        <v>410124768.4</v>
      </c>
      <c r="K6351" t="str">
        <f t="shared" si="399"/>
        <v>MATCHED</v>
      </c>
    </row>
    <row r="6352" spans="1:11">
      <c r="A6352" t="s">
        <v>128</v>
      </c>
      <c r="B6352" t="s">
        <v>1865</v>
      </c>
      <c r="C6352" t="s">
        <v>1236</v>
      </c>
      <c r="D6352" t="s">
        <v>1237</v>
      </c>
      <c r="E6352" s="8">
        <v>4080</v>
      </c>
      <c r="F6352" s="8">
        <v>79332.9901960784</v>
      </c>
      <c r="G6352" s="8">
        <f t="shared" si="396"/>
        <v>323678600</v>
      </c>
      <c r="H6352" s="5">
        <v>0.1267</v>
      </c>
      <c r="I6352" s="8">
        <f t="shared" si="397"/>
        <v>323678600</v>
      </c>
      <c r="J6352" s="8">
        <f t="shared" si="398"/>
        <v>41010078.62</v>
      </c>
      <c r="K6352" t="str">
        <f t="shared" si="399"/>
        <v>MATCHED</v>
      </c>
    </row>
    <row r="6353" spans="1:11">
      <c r="A6353" t="s">
        <v>128</v>
      </c>
      <c r="B6353" t="s">
        <v>1865</v>
      </c>
      <c r="C6353" t="s">
        <v>1238</v>
      </c>
      <c r="D6353" t="s">
        <v>1239</v>
      </c>
      <c r="E6353" s="8">
        <v>3470</v>
      </c>
      <c r="F6353" s="8">
        <v>56480</v>
      </c>
      <c r="G6353" s="8">
        <f t="shared" si="396"/>
        <v>195985600</v>
      </c>
      <c r="H6353" s="5">
        <v>0.0864</v>
      </c>
      <c r="I6353" s="8">
        <f t="shared" si="397"/>
        <v>195985600</v>
      </c>
      <c r="J6353" s="8">
        <f t="shared" si="398"/>
        <v>16933155.84</v>
      </c>
      <c r="K6353" t="str">
        <f t="shared" si="399"/>
        <v>MATCHED</v>
      </c>
    </row>
    <row r="6354" spans="1:11">
      <c r="A6354" t="s">
        <v>128</v>
      </c>
      <c r="B6354" t="s">
        <v>1865</v>
      </c>
      <c r="C6354" t="s">
        <v>1240</v>
      </c>
      <c r="D6354" t="s">
        <v>1241</v>
      </c>
      <c r="E6354" s="8">
        <v>155340</v>
      </c>
      <c r="F6354" s="8">
        <v>57475.6469679413</v>
      </c>
      <c r="G6354" s="8">
        <f t="shared" si="396"/>
        <v>8928267000</v>
      </c>
      <c r="H6354" s="5">
        <v>0.2977</v>
      </c>
      <c r="I6354" s="8">
        <f t="shared" si="397"/>
        <v>8928267000</v>
      </c>
      <c r="J6354" s="8">
        <f t="shared" si="398"/>
        <v>2657945085.9</v>
      </c>
      <c r="K6354" t="str">
        <f t="shared" si="399"/>
        <v>MATCHED</v>
      </c>
    </row>
    <row r="6355" spans="1:11">
      <c r="A6355" t="s">
        <v>128</v>
      </c>
      <c r="B6355" t="s">
        <v>1865</v>
      </c>
      <c r="C6355" t="s">
        <v>1242</v>
      </c>
      <c r="D6355" t="s">
        <v>1243</v>
      </c>
      <c r="E6355" s="8">
        <v>22680</v>
      </c>
      <c r="F6355" s="8">
        <v>73087.7248677249</v>
      </c>
      <c r="G6355" s="8">
        <f t="shared" si="396"/>
        <v>1657629600</v>
      </c>
      <c r="H6355" s="5">
        <v>0.7969</v>
      </c>
      <c r="I6355" s="8">
        <f t="shared" si="397"/>
        <v>1657629600</v>
      </c>
      <c r="J6355" s="8">
        <f t="shared" si="398"/>
        <v>1320965028.24</v>
      </c>
      <c r="K6355" t="str">
        <f t="shared" si="399"/>
        <v>MATCHED</v>
      </c>
    </row>
    <row r="6356" spans="1:11">
      <c r="A6356" t="s">
        <v>128</v>
      </c>
      <c r="B6356" t="s">
        <v>1865</v>
      </c>
      <c r="C6356" t="s">
        <v>1696</v>
      </c>
      <c r="D6356" t="s">
        <v>1697</v>
      </c>
      <c r="E6356" s="8">
        <v>14510</v>
      </c>
      <c r="F6356" s="8">
        <v>62461.5644383184</v>
      </c>
      <c r="G6356" s="8">
        <f t="shared" si="396"/>
        <v>906317300</v>
      </c>
      <c r="H6356" s="5">
        <v>0.1435</v>
      </c>
      <c r="I6356" s="8">
        <f t="shared" si="397"/>
        <v>906317300</v>
      </c>
      <c r="J6356" s="8">
        <f t="shared" si="398"/>
        <v>130056532.55</v>
      </c>
      <c r="K6356" t="str">
        <f t="shared" si="399"/>
        <v>MATCHED</v>
      </c>
    </row>
    <row r="6357" spans="1:11">
      <c r="A6357" t="s">
        <v>128</v>
      </c>
      <c r="B6357" t="s">
        <v>1865</v>
      </c>
      <c r="C6357" t="s">
        <v>1244</v>
      </c>
      <c r="D6357" t="s">
        <v>1245</v>
      </c>
      <c r="E6357" s="8">
        <v>2940</v>
      </c>
      <c r="F6357" s="8">
        <v>104499.115646259</v>
      </c>
      <c r="G6357" s="8">
        <f t="shared" si="396"/>
        <v>307227400</v>
      </c>
      <c r="H6357" s="5">
        <v>0.5421</v>
      </c>
      <c r="I6357" s="8">
        <f t="shared" si="397"/>
        <v>307227400</v>
      </c>
      <c r="J6357" s="8">
        <f t="shared" si="398"/>
        <v>166547973.54</v>
      </c>
      <c r="K6357" t="str">
        <f t="shared" si="399"/>
        <v>MATCHED</v>
      </c>
    </row>
    <row r="6358" spans="1:11">
      <c r="A6358" t="s">
        <v>128</v>
      </c>
      <c r="B6358" t="s">
        <v>1865</v>
      </c>
      <c r="C6358" t="s">
        <v>1731</v>
      </c>
      <c r="D6358" t="s">
        <v>1732</v>
      </c>
      <c r="E6358" s="8">
        <v>20420</v>
      </c>
      <c r="F6358" s="8">
        <v>71970.8716944172</v>
      </c>
      <c r="G6358" s="8">
        <f t="shared" si="396"/>
        <v>1469645200</v>
      </c>
      <c r="H6358" s="5">
        <v>0</v>
      </c>
      <c r="I6358" s="8">
        <f t="shared" si="397"/>
        <v>1469645200</v>
      </c>
      <c r="J6358" s="8">
        <f t="shared" si="398"/>
        <v>0</v>
      </c>
      <c r="K6358" t="str">
        <f t="shared" si="399"/>
        <v>MATCHED</v>
      </c>
    </row>
    <row r="6359" spans="1:11">
      <c r="A6359" t="s">
        <v>128</v>
      </c>
      <c r="B6359" t="s">
        <v>1865</v>
      </c>
      <c r="C6359" t="s">
        <v>1246</v>
      </c>
      <c r="D6359" t="s">
        <v>1247</v>
      </c>
      <c r="E6359" s="8">
        <v>20100</v>
      </c>
      <c r="F6359" s="8">
        <v>70504.4328358209</v>
      </c>
      <c r="G6359" s="8">
        <f t="shared" si="396"/>
        <v>1417139100</v>
      </c>
      <c r="H6359" s="5">
        <v>0.2347</v>
      </c>
      <c r="I6359" s="8">
        <f t="shared" si="397"/>
        <v>1417139100</v>
      </c>
      <c r="J6359" s="8">
        <f t="shared" si="398"/>
        <v>332602546.77</v>
      </c>
      <c r="K6359" t="str">
        <f t="shared" si="399"/>
        <v>MATCHED</v>
      </c>
    </row>
    <row r="6360" spans="1:11">
      <c r="A6360" t="s">
        <v>128</v>
      </c>
      <c r="B6360" t="s">
        <v>1865</v>
      </c>
      <c r="C6360" t="s">
        <v>972</v>
      </c>
      <c r="D6360" t="s">
        <v>973</v>
      </c>
      <c r="E6360" s="8">
        <v>4192210</v>
      </c>
      <c r="F6360" s="8">
        <v>36001.0056986649</v>
      </c>
      <c r="G6360" s="8">
        <f t="shared" si="396"/>
        <v>150923776100</v>
      </c>
      <c r="H6360" s="5">
        <v>0.118</v>
      </c>
      <c r="I6360" s="8">
        <f t="shared" si="397"/>
        <v>150923776100</v>
      </c>
      <c r="J6360" s="8">
        <f t="shared" si="398"/>
        <v>17809005579.8</v>
      </c>
      <c r="K6360" t="str">
        <f t="shared" si="399"/>
        <v>MATCHED</v>
      </c>
    </row>
    <row r="6361" spans="1:11">
      <c r="A6361" t="s">
        <v>128</v>
      </c>
      <c r="B6361" t="s">
        <v>1865</v>
      </c>
      <c r="C6361" t="s">
        <v>1443</v>
      </c>
      <c r="D6361" t="s">
        <v>1444</v>
      </c>
      <c r="E6361" s="8">
        <v>1262480</v>
      </c>
      <c r="F6361" s="8">
        <v>42224.0557474178</v>
      </c>
      <c r="G6361" s="8">
        <f t="shared" si="396"/>
        <v>53307025900</v>
      </c>
      <c r="H6361" s="5">
        <v>0.05</v>
      </c>
      <c r="I6361" s="8">
        <f t="shared" si="397"/>
        <v>53307025900</v>
      </c>
      <c r="J6361" s="8">
        <f t="shared" si="398"/>
        <v>2665351295</v>
      </c>
      <c r="K6361" t="str">
        <f t="shared" si="399"/>
        <v>MATCHED</v>
      </c>
    </row>
    <row r="6362" spans="1:11">
      <c r="A6362" t="s">
        <v>128</v>
      </c>
      <c r="B6362" t="s">
        <v>1865</v>
      </c>
      <c r="C6362" t="s">
        <v>1733</v>
      </c>
      <c r="D6362" t="s">
        <v>1734</v>
      </c>
      <c r="E6362" s="8">
        <v>43830</v>
      </c>
      <c r="F6362" s="8">
        <v>40495.8590006845</v>
      </c>
      <c r="G6362" s="8">
        <f t="shared" si="396"/>
        <v>1774933500</v>
      </c>
      <c r="H6362" s="5">
        <v>0.0417</v>
      </c>
      <c r="I6362" s="8">
        <f t="shared" si="397"/>
        <v>1774933500</v>
      </c>
      <c r="J6362" s="8">
        <f t="shared" si="398"/>
        <v>74014726.95</v>
      </c>
      <c r="K6362" t="str">
        <f t="shared" si="399"/>
        <v>MATCHED</v>
      </c>
    </row>
    <row r="6363" spans="1:11">
      <c r="A6363" t="s">
        <v>128</v>
      </c>
      <c r="B6363" t="s">
        <v>1865</v>
      </c>
      <c r="C6363" t="s">
        <v>1620</v>
      </c>
      <c r="D6363" t="s">
        <v>1621</v>
      </c>
      <c r="E6363" s="8">
        <v>17150</v>
      </c>
      <c r="F6363" s="8">
        <v>43617.4402332361</v>
      </c>
      <c r="G6363" s="8">
        <f t="shared" si="396"/>
        <v>748039100</v>
      </c>
      <c r="H6363" s="5">
        <v>0.1118</v>
      </c>
      <c r="I6363" s="8">
        <f t="shared" si="397"/>
        <v>748039100</v>
      </c>
      <c r="J6363" s="8">
        <f t="shared" si="398"/>
        <v>83630771.38</v>
      </c>
      <c r="K6363" t="str">
        <f t="shared" si="399"/>
        <v>MATCHED</v>
      </c>
    </row>
    <row r="6364" spans="1:11">
      <c r="A6364" t="s">
        <v>128</v>
      </c>
      <c r="B6364" t="s">
        <v>1865</v>
      </c>
      <c r="C6364" t="s">
        <v>1735</v>
      </c>
      <c r="D6364" t="s">
        <v>1736</v>
      </c>
      <c r="E6364" s="8">
        <v>44620</v>
      </c>
      <c r="F6364" s="8">
        <v>71595.723890632</v>
      </c>
      <c r="G6364" s="8">
        <f t="shared" si="396"/>
        <v>3194601200</v>
      </c>
      <c r="H6364" s="5">
        <v>0.1068</v>
      </c>
      <c r="I6364" s="8">
        <f t="shared" si="397"/>
        <v>3194601200</v>
      </c>
      <c r="J6364" s="8">
        <f t="shared" si="398"/>
        <v>341183408.16</v>
      </c>
      <c r="K6364" t="str">
        <f t="shared" si="399"/>
        <v>MATCHED</v>
      </c>
    </row>
    <row r="6365" spans="1:11">
      <c r="A6365" t="s">
        <v>128</v>
      </c>
      <c r="B6365" t="s">
        <v>1865</v>
      </c>
      <c r="C6365" t="s">
        <v>1861</v>
      </c>
      <c r="D6365" t="s">
        <v>1862</v>
      </c>
      <c r="E6365" s="8">
        <v>4000</v>
      </c>
      <c r="F6365" s="8">
        <v>43801.3</v>
      </c>
      <c r="G6365" s="8">
        <f t="shared" si="396"/>
        <v>175205200</v>
      </c>
      <c r="H6365" s="5">
        <v>0.1567</v>
      </c>
      <c r="I6365" s="8">
        <f t="shared" si="397"/>
        <v>175205200</v>
      </c>
      <c r="J6365" s="8">
        <f t="shared" si="398"/>
        <v>27454654.84</v>
      </c>
      <c r="K6365" t="str">
        <f t="shared" si="399"/>
        <v>MATCHED</v>
      </c>
    </row>
    <row r="6366" spans="1:11">
      <c r="A6366" t="s">
        <v>128</v>
      </c>
      <c r="B6366" t="s">
        <v>1865</v>
      </c>
      <c r="C6366" t="s">
        <v>1698</v>
      </c>
      <c r="D6366" t="s">
        <v>1699</v>
      </c>
      <c r="E6366" s="8">
        <v>105600</v>
      </c>
      <c r="F6366" s="8">
        <v>68826.9318181818</v>
      </c>
      <c r="G6366" s="8">
        <f t="shared" si="396"/>
        <v>7268124000</v>
      </c>
      <c r="H6366" s="5">
        <v>0.0905</v>
      </c>
      <c r="I6366" s="8">
        <f t="shared" si="397"/>
        <v>7268124000</v>
      </c>
      <c r="J6366" s="8">
        <f t="shared" si="398"/>
        <v>657765222</v>
      </c>
      <c r="K6366" t="str">
        <f t="shared" si="399"/>
        <v>MATCHED</v>
      </c>
    </row>
    <row r="6367" spans="1:11">
      <c r="A6367" t="s">
        <v>128</v>
      </c>
      <c r="B6367" t="s">
        <v>1865</v>
      </c>
      <c r="C6367" t="s">
        <v>1756</v>
      </c>
      <c r="D6367" t="s">
        <v>1757</v>
      </c>
      <c r="E6367" s="8">
        <v>45990</v>
      </c>
      <c r="F6367" s="8">
        <v>36169.6738421396</v>
      </c>
      <c r="G6367" s="8">
        <f t="shared" si="396"/>
        <v>1663443300</v>
      </c>
      <c r="H6367" s="5">
        <v>0.15</v>
      </c>
      <c r="I6367" s="8">
        <f t="shared" si="397"/>
        <v>1663443300</v>
      </c>
      <c r="J6367" s="8">
        <f t="shared" si="398"/>
        <v>249516495</v>
      </c>
      <c r="K6367" t="str">
        <f t="shared" si="399"/>
        <v>MATCHED</v>
      </c>
    </row>
    <row r="6368" spans="1:11">
      <c r="A6368" t="s">
        <v>128</v>
      </c>
      <c r="B6368" t="s">
        <v>1865</v>
      </c>
      <c r="C6368" t="s">
        <v>1490</v>
      </c>
      <c r="D6368" t="s">
        <v>1491</v>
      </c>
      <c r="E6368" s="8">
        <v>33210</v>
      </c>
      <c r="F6368" s="8">
        <v>70454.1493526046</v>
      </c>
      <c r="G6368" s="8">
        <f t="shared" si="396"/>
        <v>2339782300</v>
      </c>
      <c r="H6368" s="5">
        <v>0.0679</v>
      </c>
      <c r="I6368" s="8">
        <f t="shared" si="397"/>
        <v>2339782300</v>
      </c>
      <c r="J6368" s="8">
        <f t="shared" si="398"/>
        <v>158871218.17</v>
      </c>
      <c r="K6368" t="str">
        <f t="shared" si="399"/>
        <v>MATCHED</v>
      </c>
    </row>
    <row r="6369" spans="1:11">
      <c r="A6369" t="s">
        <v>128</v>
      </c>
      <c r="B6369" t="s">
        <v>1865</v>
      </c>
      <c r="C6369" t="s">
        <v>1248</v>
      </c>
      <c r="D6369" t="s">
        <v>1249</v>
      </c>
      <c r="E6369" s="8">
        <v>373350</v>
      </c>
      <c r="F6369" s="8">
        <v>50068.6704164993</v>
      </c>
      <c r="G6369" s="8">
        <f t="shared" si="396"/>
        <v>18693138100</v>
      </c>
      <c r="H6369" s="5">
        <v>0.2219</v>
      </c>
      <c r="I6369" s="8">
        <f t="shared" si="397"/>
        <v>18693138100</v>
      </c>
      <c r="J6369" s="8">
        <f t="shared" si="398"/>
        <v>4148007344.39</v>
      </c>
      <c r="K6369" t="str">
        <f t="shared" si="399"/>
        <v>MATCHED</v>
      </c>
    </row>
    <row r="6370" spans="1:11">
      <c r="A6370" t="s">
        <v>128</v>
      </c>
      <c r="B6370" t="s">
        <v>1865</v>
      </c>
      <c r="C6370" t="s">
        <v>1250</v>
      </c>
      <c r="D6370" t="s">
        <v>1251</v>
      </c>
      <c r="E6370" s="8">
        <v>748110</v>
      </c>
      <c r="F6370" s="8">
        <v>45937.9417465346</v>
      </c>
      <c r="G6370" s="8">
        <f t="shared" si="396"/>
        <v>34366633600</v>
      </c>
      <c r="H6370" s="5">
        <v>0.4025</v>
      </c>
      <c r="I6370" s="8">
        <f t="shared" si="397"/>
        <v>34366633600</v>
      </c>
      <c r="J6370" s="8">
        <f t="shared" si="398"/>
        <v>13832570024</v>
      </c>
      <c r="K6370" t="str">
        <f t="shared" si="399"/>
        <v>MATCHED</v>
      </c>
    </row>
    <row r="6371" spans="1:11">
      <c r="A6371" t="s">
        <v>128</v>
      </c>
      <c r="B6371" t="s">
        <v>1865</v>
      </c>
      <c r="C6371" t="s">
        <v>1252</v>
      </c>
      <c r="D6371" t="s">
        <v>1253</v>
      </c>
      <c r="E6371" s="8">
        <v>65270</v>
      </c>
      <c r="F6371" s="8">
        <v>50313.606557377</v>
      </c>
      <c r="G6371" s="8">
        <f t="shared" si="396"/>
        <v>3283969100</v>
      </c>
      <c r="H6371" s="5">
        <v>0.1188</v>
      </c>
      <c r="I6371" s="8">
        <f t="shared" si="397"/>
        <v>3283969100</v>
      </c>
      <c r="J6371" s="8">
        <f t="shared" si="398"/>
        <v>390135529.08</v>
      </c>
      <c r="K6371" t="str">
        <f t="shared" si="399"/>
        <v>MATCHED</v>
      </c>
    </row>
    <row r="6372" spans="1:11">
      <c r="A6372" t="s">
        <v>128</v>
      </c>
      <c r="B6372" t="s">
        <v>1865</v>
      </c>
      <c r="C6372" t="s">
        <v>1622</v>
      </c>
      <c r="D6372" t="s">
        <v>1623</v>
      </c>
      <c r="E6372" s="8">
        <v>24850</v>
      </c>
      <c r="F6372" s="8">
        <v>45018.4265593561</v>
      </c>
      <c r="G6372" s="8">
        <f t="shared" si="396"/>
        <v>1118707900</v>
      </c>
      <c r="H6372" s="5">
        <v>0.8733</v>
      </c>
      <c r="I6372" s="8">
        <f t="shared" si="397"/>
        <v>1118707900</v>
      </c>
      <c r="J6372" s="8">
        <f t="shared" si="398"/>
        <v>976967609.07</v>
      </c>
      <c r="K6372" t="str">
        <f t="shared" si="399"/>
        <v>MATCHED</v>
      </c>
    </row>
    <row r="6373" spans="1:11">
      <c r="A6373" t="s">
        <v>128</v>
      </c>
      <c r="B6373" t="s">
        <v>1865</v>
      </c>
      <c r="C6373" t="s">
        <v>1445</v>
      </c>
      <c r="D6373" t="s">
        <v>1446</v>
      </c>
      <c r="E6373" s="8">
        <v>3910</v>
      </c>
      <c r="F6373" s="8">
        <v>55418.1074168798</v>
      </c>
      <c r="G6373" s="8">
        <f t="shared" si="396"/>
        <v>216684800</v>
      </c>
      <c r="H6373" s="5">
        <v>0.5088</v>
      </c>
      <c r="I6373" s="8">
        <f t="shared" si="397"/>
        <v>216684800</v>
      </c>
      <c r="J6373" s="8">
        <f t="shared" si="398"/>
        <v>110249226.24</v>
      </c>
      <c r="K6373" t="str">
        <f t="shared" si="399"/>
        <v>MATCHED</v>
      </c>
    </row>
    <row r="6374" spans="1:11">
      <c r="A6374" t="s">
        <v>128</v>
      </c>
      <c r="B6374" t="s">
        <v>1865</v>
      </c>
      <c r="C6374" t="s">
        <v>1254</v>
      </c>
      <c r="D6374" t="s">
        <v>1255</v>
      </c>
      <c r="E6374" s="8">
        <v>320</v>
      </c>
      <c r="F6374" s="8">
        <v>51356.25</v>
      </c>
      <c r="G6374" s="8">
        <f t="shared" si="396"/>
        <v>16434000</v>
      </c>
      <c r="H6374" s="5">
        <v>0.1696</v>
      </c>
      <c r="I6374" s="8">
        <f t="shared" si="397"/>
        <v>16434000</v>
      </c>
      <c r="J6374" s="8">
        <f t="shared" si="398"/>
        <v>2787206.4</v>
      </c>
      <c r="K6374" t="str">
        <f t="shared" si="399"/>
        <v>MATCHED</v>
      </c>
    </row>
    <row r="6375" spans="1:11">
      <c r="A6375" t="s">
        <v>128</v>
      </c>
      <c r="B6375" t="s">
        <v>1865</v>
      </c>
      <c r="C6375" t="s">
        <v>1447</v>
      </c>
      <c r="D6375" t="s">
        <v>1448</v>
      </c>
      <c r="E6375" s="8">
        <v>130290</v>
      </c>
      <c r="F6375" s="8">
        <v>45618.3237393507</v>
      </c>
      <c r="G6375" s="8">
        <f t="shared" si="396"/>
        <v>5943611400</v>
      </c>
      <c r="H6375" s="5">
        <v>0.0792</v>
      </c>
      <c r="I6375" s="8">
        <f t="shared" si="397"/>
        <v>5943611400</v>
      </c>
      <c r="J6375" s="8">
        <f t="shared" si="398"/>
        <v>470734022.88</v>
      </c>
      <c r="K6375" t="str">
        <f t="shared" si="399"/>
        <v>MATCHED</v>
      </c>
    </row>
    <row r="6376" spans="1:11">
      <c r="A6376" t="s">
        <v>128</v>
      </c>
      <c r="B6376" t="s">
        <v>1865</v>
      </c>
      <c r="C6376" t="s">
        <v>1256</v>
      </c>
      <c r="D6376" t="s">
        <v>1257</v>
      </c>
      <c r="E6376" s="8">
        <v>57340</v>
      </c>
      <c r="F6376" s="8">
        <v>48407.5078479247</v>
      </c>
      <c r="G6376" s="8">
        <f t="shared" si="396"/>
        <v>2775686500</v>
      </c>
      <c r="H6376" s="5">
        <v>0.2542</v>
      </c>
      <c r="I6376" s="8">
        <f t="shared" si="397"/>
        <v>2775686500</v>
      </c>
      <c r="J6376" s="8">
        <f t="shared" si="398"/>
        <v>705579508.3</v>
      </c>
      <c r="K6376" t="str">
        <f t="shared" si="399"/>
        <v>MATCHED</v>
      </c>
    </row>
    <row r="6377" spans="1:11">
      <c r="A6377" t="s">
        <v>128</v>
      </c>
      <c r="B6377" t="s">
        <v>1865</v>
      </c>
      <c r="C6377" t="s">
        <v>1758</v>
      </c>
      <c r="D6377" t="s">
        <v>1759</v>
      </c>
      <c r="E6377" s="8">
        <v>50</v>
      </c>
      <c r="F6377" s="8">
        <v>67090</v>
      </c>
      <c r="G6377" s="8">
        <f t="shared" si="396"/>
        <v>3354500</v>
      </c>
      <c r="H6377" s="5">
        <v>0.1848</v>
      </c>
      <c r="I6377" s="8">
        <f t="shared" si="397"/>
        <v>3354500</v>
      </c>
      <c r="J6377" s="8">
        <f t="shared" si="398"/>
        <v>619911.6</v>
      </c>
      <c r="K6377" t="str">
        <f t="shared" si="399"/>
        <v>MATCHED</v>
      </c>
    </row>
    <row r="6378" spans="1:11">
      <c r="A6378" t="s">
        <v>128</v>
      </c>
      <c r="B6378" t="s">
        <v>1865</v>
      </c>
      <c r="C6378" t="s">
        <v>1521</v>
      </c>
      <c r="D6378" t="s">
        <v>1522</v>
      </c>
      <c r="E6378" s="8">
        <v>140</v>
      </c>
      <c r="F6378" s="8">
        <v>81810</v>
      </c>
      <c r="G6378" s="8">
        <f t="shared" si="396"/>
        <v>11453400</v>
      </c>
      <c r="H6378" s="5">
        <v>0.3175</v>
      </c>
      <c r="I6378" s="8">
        <f t="shared" si="397"/>
        <v>11453400</v>
      </c>
      <c r="J6378" s="8">
        <f t="shared" si="398"/>
        <v>3636454.5</v>
      </c>
      <c r="K6378" t="str">
        <f t="shared" si="399"/>
        <v>MATCHED</v>
      </c>
    </row>
    <row r="6379" spans="1:11">
      <c r="A6379" t="s">
        <v>128</v>
      </c>
      <c r="B6379" t="s">
        <v>1865</v>
      </c>
      <c r="C6379" t="s">
        <v>864</v>
      </c>
      <c r="D6379" t="s">
        <v>865</v>
      </c>
      <c r="E6379" s="8">
        <v>110</v>
      </c>
      <c r="F6379" s="8">
        <v>59310</v>
      </c>
      <c r="G6379" s="8">
        <f t="shared" si="396"/>
        <v>6524100</v>
      </c>
      <c r="H6379" s="5">
        <v>0.2267</v>
      </c>
      <c r="I6379" s="8">
        <f t="shared" si="397"/>
        <v>6524100</v>
      </c>
      <c r="J6379" s="8">
        <f t="shared" si="398"/>
        <v>1479013.47</v>
      </c>
      <c r="K6379" t="str">
        <f t="shared" si="399"/>
        <v>MATCHED</v>
      </c>
    </row>
    <row r="6380" spans="1:11">
      <c r="A6380" t="s">
        <v>128</v>
      </c>
      <c r="B6380" t="s">
        <v>1865</v>
      </c>
      <c r="C6380" t="s">
        <v>644</v>
      </c>
      <c r="D6380" t="s">
        <v>645</v>
      </c>
      <c r="E6380" s="8">
        <v>5040</v>
      </c>
      <c r="F6380" s="8">
        <v>66690.3174603175</v>
      </c>
      <c r="G6380" s="8">
        <f t="shared" si="396"/>
        <v>336119200</v>
      </c>
      <c r="H6380" s="5">
        <v>0.3929</v>
      </c>
      <c r="I6380" s="8">
        <f t="shared" si="397"/>
        <v>336119200</v>
      </c>
      <c r="J6380" s="8">
        <f t="shared" si="398"/>
        <v>132061233.68</v>
      </c>
      <c r="K6380" t="str">
        <f t="shared" si="399"/>
        <v>MATCHED</v>
      </c>
    </row>
    <row r="6381" spans="1:11">
      <c r="A6381" t="s">
        <v>128</v>
      </c>
      <c r="B6381" t="s">
        <v>1865</v>
      </c>
      <c r="C6381" t="s">
        <v>866</v>
      </c>
      <c r="D6381" t="s">
        <v>867</v>
      </c>
      <c r="E6381" s="8">
        <v>320</v>
      </c>
      <c r="F6381" s="8">
        <v>63621.5625</v>
      </c>
      <c r="G6381" s="8">
        <f t="shared" si="396"/>
        <v>20358900</v>
      </c>
      <c r="H6381" s="5"/>
      <c r="I6381" s="8" t="str">
        <f t="shared" si="397"/>
        <v/>
      </c>
      <c r="J6381" s="8" t="str">
        <f t="shared" si="398"/>
        <v/>
      </c>
      <c r="K6381" t="str">
        <f t="shared" si="399"/>
        <v>MISSING WHARTON</v>
      </c>
    </row>
    <row r="6382" spans="1:11">
      <c r="A6382" t="s">
        <v>128</v>
      </c>
      <c r="B6382" t="s">
        <v>1865</v>
      </c>
      <c r="C6382" t="s">
        <v>868</v>
      </c>
      <c r="D6382" t="s">
        <v>869</v>
      </c>
      <c r="E6382" s="8">
        <v>800</v>
      </c>
      <c r="F6382" s="8">
        <v>40640</v>
      </c>
      <c r="G6382" s="8">
        <f t="shared" si="396"/>
        <v>32512000</v>
      </c>
      <c r="H6382" s="5">
        <v>0.0317</v>
      </c>
      <c r="I6382" s="8">
        <f t="shared" si="397"/>
        <v>32512000</v>
      </c>
      <c r="J6382" s="8">
        <f t="shared" si="398"/>
        <v>1030630.4</v>
      </c>
      <c r="K6382" t="str">
        <f t="shared" si="399"/>
        <v>MATCHED</v>
      </c>
    </row>
    <row r="6383" spans="1:11">
      <c r="A6383" t="s">
        <v>128</v>
      </c>
      <c r="B6383" t="s">
        <v>1865</v>
      </c>
      <c r="C6383" t="s">
        <v>974</v>
      </c>
      <c r="D6383" t="s">
        <v>975</v>
      </c>
      <c r="E6383" s="8">
        <v>30</v>
      </c>
      <c r="F6383" s="8">
        <v>69050</v>
      </c>
      <c r="G6383" s="8">
        <f t="shared" si="396"/>
        <v>2071500</v>
      </c>
      <c r="H6383" s="5">
        <v>0.125</v>
      </c>
      <c r="I6383" s="8">
        <f t="shared" si="397"/>
        <v>2071500</v>
      </c>
      <c r="J6383" s="8">
        <f t="shared" si="398"/>
        <v>258937.5</v>
      </c>
      <c r="K6383" t="str">
        <f t="shared" si="399"/>
        <v>MATCHED</v>
      </c>
    </row>
    <row r="6384" spans="1:11">
      <c r="A6384" t="s">
        <v>128</v>
      </c>
      <c r="B6384" t="s">
        <v>1865</v>
      </c>
      <c r="C6384" t="s">
        <v>1760</v>
      </c>
      <c r="D6384" t="s">
        <v>1761</v>
      </c>
      <c r="E6384" s="8">
        <v>1130</v>
      </c>
      <c r="F6384" s="8">
        <v>49690</v>
      </c>
      <c r="G6384" s="8">
        <f t="shared" si="396"/>
        <v>56149700</v>
      </c>
      <c r="H6384" s="5">
        <v>0.2</v>
      </c>
      <c r="I6384" s="8">
        <f t="shared" si="397"/>
        <v>56149700</v>
      </c>
      <c r="J6384" s="8">
        <f t="shared" si="398"/>
        <v>11229940</v>
      </c>
      <c r="K6384" t="str">
        <f t="shared" si="399"/>
        <v>MATCHED</v>
      </c>
    </row>
    <row r="6385" spans="1:11">
      <c r="A6385" t="s">
        <v>128</v>
      </c>
      <c r="B6385" t="s">
        <v>1865</v>
      </c>
      <c r="C6385" t="s">
        <v>1523</v>
      </c>
      <c r="D6385" t="s">
        <v>1524</v>
      </c>
      <c r="E6385" s="8">
        <v>20</v>
      </c>
      <c r="F6385" s="8">
        <v>81730</v>
      </c>
      <c r="G6385" s="8">
        <f t="shared" si="396"/>
        <v>1634600</v>
      </c>
      <c r="H6385" s="5">
        <v>0.3453</v>
      </c>
      <c r="I6385" s="8">
        <f t="shared" si="397"/>
        <v>1634600</v>
      </c>
      <c r="J6385" s="8">
        <f t="shared" si="398"/>
        <v>564427.38</v>
      </c>
      <c r="K6385" t="str">
        <f t="shared" si="399"/>
        <v>MATCHED</v>
      </c>
    </row>
    <row r="6386" spans="1:11">
      <c r="A6386" t="s">
        <v>128</v>
      </c>
      <c r="B6386" t="s">
        <v>1865</v>
      </c>
      <c r="C6386" t="s">
        <v>1863</v>
      </c>
      <c r="D6386" t="s">
        <v>1864</v>
      </c>
      <c r="E6386" s="8">
        <v>60</v>
      </c>
      <c r="F6386" s="8">
        <v>41290</v>
      </c>
      <c r="G6386" s="8">
        <f t="shared" si="396"/>
        <v>2477400</v>
      </c>
      <c r="H6386" s="5">
        <v>0.2783</v>
      </c>
      <c r="I6386" s="8">
        <f t="shared" si="397"/>
        <v>2477400</v>
      </c>
      <c r="J6386" s="8">
        <f t="shared" si="398"/>
        <v>689460.42</v>
      </c>
      <c r="K6386" t="str">
        <f t="shared" si="399"/>
        <v>MATCHED</v>
      </c>
    </row>
    <row r="6387" spans="1:11">
      <c r="A6387" t="s">
        <v>128</v>
      </c>
      <c r="B6387" t="s">
        <v>1865</v>
      </c>
      <c r="C6387" t="s">
        <v>1525</v>
      </c>
      <c r="D6387" t="s">
        <v>1526</v>
      </c>
      <c r="E6387" s="8">
        <v>1590</v>
      </c>
      <c r="F6387" s="8">
        <v>73187.358490566</v>
      </c>
      <c r="G6387" s="8">
        <f t="shared" si="396"/>
        <v>116367900</v>
      </c>
      <c r="H6387" s="5">
        <v>0.276</v>
      </c>
      <c r="I6387" s="8">
        <f t="shared" si="397"/>
        <v>116367900</v>
      </c>
      <c r="J6387" s="8">
        <f t="shared" si="398"/>
        <v>32117540.4</v>
      </c>
      <c r="K6387" t="str">
        <f t="shared" si="399"/>
        <v>MATCHED</v>
      </c>
    </row>
    <row r="6388" spans="1:11">
      <c r="A6388" t="s">
        <v>128</v>
      </c>
      <c r="B6388" t="s">
        <v>1865</v>
      </c>
      <c r="C6388" t="s">
        <v>870</v>
      </c>
      <c r="D6388" t="s">
        <v>871</v>
      </c>
      <c r="E6388" s="8">
        <v>120</v>
      </c>
      <c r="F6388" s="8">
        <v>74330</v>
      </c>
      <c r="G6388" s="8">
        <f t="shared" si="396"/>
        <v>8919600</v>
      </c>
      <c r="H6388" s="5">
        <v>0.3324</v>
      </c>
      <c r="I6388" s="8">
        <f t="shared" si="397"/>
        <v>8919600</v>
      </c>
      <c r="J6388" s="8">
        <f t="shared" si="398"/>
        <v>2964875.04</v>
      </c>
      <c r="K6388" t="str">
        <f t="shared" si="399"/>
        <v>MATCHED</v>
      </c>
    </row>
    <row r="6389" spans="1:11">
      <c r="A6389" t="s">
        <v>128</v>
      </c>
      <c r="B6389" t="s">
        <v>1865</v>
      </c>
      <c r="C6389" t="s">
        <v>329</v>
      </c>
      <c r="D6389" t="s">
        <v>330</v>
      </c>
      <c r="E6389" s="8">
        <v>67370</v>
      </c>
      <c r="F6389" s="8">
        <v>45422.4209588838</v>
      </c>
      <c r="G6389" s="8">
        <f t="shared" si="396"/>
        <v>3060108500</v>
      </c>
      <c r="H6389" s="5">
        <v>0.1357</v>
      </c>
      <c r="I6389" s="8">
        <f t="shared" si="397"/>
        <v>3060108500</v>
      </c>
      <c r="J6389" s="8">
        <f t="shared" si="398"/>
        <v>415256723.45</v>
      </c>
      <c r="K6389" t="str">
        <f t="shared" si="399"/>
        <v>MATCHED</v>
      </c>
    </row>
    <row r="6390" spans="1:11">
      <c r="A6390" t="s">
        <v>128</v>
      </c>
      <c r="B6390" t="s">
        <v>1865</v>
      </c>
      <c r="C6390" t="s">
        <v>976</v>
      </c>
      <c r="D6390" t="s">
        <v>977</v>
      </c>
      <c r="E6390" s="8"/>
      <c r="F6390" s="8">
        <v>39720</v>
      </c>
      <c r="G6390" s="8" t="str">
        <f t="shared" si="396"/>
        <v/>
      </c>
      <c r="H6390" s="5">
        <v>0</v>
      </c>
      <c r="I6390" s="8" t="str">
        <f t="shared" si="397"/>
        <v/>
      </c>
      <c r="J6390" s="8" t="str">
        <f t="shared" si="398"/>
        <v/>
      </c>
      <c r="K6390" t="str">
        <f t="shared" si="399"/>
        <v>MISSING OEWS</v>
      </c>
    </row>
    <row r="6391" spans="1:11">
      <c r="A6391" t="s">
        <v>128</v>
      </c>
      <c r="B6391" t="s">
        <v>1865</v>
      </c>
      <c r="C6391" t="s">
        <v>1492</v>
      </c>
      <c r="D6391" t="s">
        <v>1493</v>
      </c>
      <c r="E6391" s="8">
        <v>2720</v>
      </c>
      <c r="F6391" s="8">
        <v>32639.1176470588</v>
      </c>
      <c r="G6391" s="8">
        <f t="shared" si="396"/>
        <v>88778400</v>
      </c>
      <c r="H6391" s="5">
        <v>0.0633</v>
      </c>
      <c r="I6391" s="8">
        <f t="shared" si="397"/>
        <v>88778400</v>
      </c>
      <c r="J6391" s="8">
        <f t="shared" si="398"/>
        <v>5619672.72</v>
      </c>
      <c r="K6391" t="str">
        <f t="shared" si="399"/>
        <v>MATCHED</v>
      </c>
    </row>
    <row r="6392" spans="1:11">
      <c r="A6392" t="s">
        <v>128</v>
      </c>
      <c r="B6392" t="s">
        <v>1865</v>
      </c>
      <c r="C6392" t="s">
        <v>1531</v>
      </c>
      <c r="D6392" t="s">
        <v>1532</v>
      </c>
      <c r="E6392" s="8">
        <v>1910</v>
      </c>
      <c r="F6392" s="8">
        <v>32680</v>
      </c>
      <c r="G6392" s="8">
        <f t="shared" si="396"/>
        <v>62418800</v>
      </c>
      <c r="H6392" s="5">
        <v>0.1611</v>
      </c>
      <c r="I6392" s="8">
        <f t="shared" si="397"/>
        <v>62418800</v>
      </c>
      <c r="J6392" s="8">
        <f t="shared" si="398"/>
        <v>10055668.68</v>
      </c>
      <c r="K6392" t="str">
        <f t="shared" si="399"/>
        <v>MATCHED</v>
      </c>
    </row>
    <row r="6393" spans="1:11">
      <c r="A6393" t="s">
        <v>128</v>
      </c>
      <c r="B6393" t="s">
        <v>1865</v>
      </c>
      <c r="C6393" t="s">
        <v>872</v>
      </c>
      <c r="D6393" t="s">
        <v>873</v>
      </c>
      <c r="E6393" s="8">
        <v>1450</v>
      </c>
      <c r="F6393" s="8">
        <v>43420</v>
      </c>
      <c r="G6393" s="8">
        <f t="shared" si="396"/>
        <v>62959000</v>
      </c>
      <c r="H6393" s="5">
        <v>0.3357</v>
      </c>
      <c r="I6393" s="8">
        <f t="shared" si="397"/>
        <v>62959000</v>
      </c>
      <c r="J6393" s="8">
        <f t="shared" si="398"/>
        <v>21135336.3</v>
      </c>
      <c r="K6393" t="str">
        <f t="shared" si="399"/>
        <v>MATCHED</v>
      </c>
    </row>
    <row r="6394" spans="1:11">
      <c r="A6394" t="s">
        <v>128</v>
      </c>
      <c r="B6394" t="s">
        <v>1865</v>
      </c>
      <c r="C6394" t="s">
        <v>978</v>
      </c>
      <c r="D6394" t="s">
        <v>979</v>
      </c>
      <c r="E6394" s="8">
        <v>9050</v>
      </c>
      <c r="F6394" s="8">
        <v>62978.6961325967</v>
      </c>
      <c r="G6394" s="8">
        <f t="shared" si="396"/>
        <v>569957200</v>
      </c>
      <c r="H6394" s="5">
        <v>0.281</v>
      </c>
      <c r="I6394" s="8">
        <f t="shared" si="397"/>
        <v>569957200</v>
      </c>
      <c r="J6394" s="8">
        <f t="shared" si="398"/>
        <v>160157973.2</v>
      </c>
      <c r="K6394" t="str">
        <f t="shared" si="399"/>
        <v>MATCHED</v>
      </c>
    </row>
    <row r="6395" spans="1:11">
      <c r="A6395" t="s">
        <v>128</v>
      </c>
      <c r="B6395" t="s">
        <v>1865</v>
      </c>
      <c r="C6395" t="s">
        <v>980</v>
      </c>
      <c r="D6395" t="s">
        <v>981</v>
      </c>
      <c r="E6395" s="8">
        <v>33990</v>
      </c>
      <c r="F6395" s="8">
        <v>55160.4766107679</v>
      </c>
      <c r="G6395" s="8">
        <f t="shared" si="396"/>
        <v>1874904600</v>
      </c>
      <c r="H6395" s="5">
        <v>0.4173</v>
      </c>
      <c r="I6395" s="8">
        <f t="shared" si="397"/>
        <v>1874904600</v>
      </c>
      <c r="J6395" s="8">
        <f t="shared" si="398"/>
        <v>782397689.58</v>
      </c>
      <c r="K6395" t="str">
        <f t="shared" si="399"/>
        <v>MATCHED</v>
      </c>
    </row>
    <row r="6396" spans="1:11">
      <c r="A6396" t="s">
        <v>128</v>
      </c>
      <c r="B6396" t="s">
        <v>1865</v>
      </c>
      <c r="C6396" t="s">
        <v>1258</v>
      </c>
      <c r="D6396" t="s">
        <v>1259</v>
      </c>
      <c r="E6396" s="8">
        <v>80</v>
      </c>
      <c r="F6396" s="8">
        <v>37862.5</v>
      </c>
      <c r="G6396" s="8">
        <f t="shared" si="396"/>
        <v>3029000</v>
      </c>
      <c r="H6396" s="5">
        <v>0.05</v>
      </c>
      <c r="I6396" s="8">
        <f t="shared" si="397"/>
        <v>3029000</v>
      </c>
      <c r="J6396" s="8">
        <f t="shared" si="398"/>
        <v>151450</v>
      </c>
      <c r="K6396" t="str">
        <f t="shared" si="399"/>
        <v>MATCHED</v>
      </c>
    </row>
    <row r="6397" spans="1:11">
      <c r="A6397" t="s">
        <v>128</v>
      </c>
      <c r="B6397" t="s">
        <v>1865</v>
      </c>
      <c r="C6397" t="s">
        <v>982</v>
      </c>
      <c r="D6397" t="s">
        <v>983</v>
      </c>
      <c r="E6397" s="8">
        <v>169490</v>
      </c>
      <c r="F6397" s="8">
        <v>39238.793439141</v>
      </c>
      <c r="G6397" s="8">
        <f t="shared" si="396"/>
        <v>6650583100</v>
      </c>
      <c r="H6397" s="5">
        <v>0.25</v>
      </c>
      <c r="I6397" s="8">
        <f t="shared" si="397"/>
        <v>6650583100</v>
      </c>
      <c r="J6397" s="8">
        <f t="shared" si="398"/>
        <v>1662645775</v>
      </c>
      <c r="K6397" t="str">
        <f t="shared" si="399"/>
        <v>MATCHED</v>
      </c>
    </row>
    <row r="6398" spans="1:11">
      <c r="A6398" t="s">
        <v>128</v>
      </c>
      <c r="B6398" t="s">
        <v>1865</v>
      </c>
      <c r="C6398" t="s">
        <v>984</v>
      </c>
      <c r="D6398" t="s">
        <v>985</v>
      </c>
      <c r="E6398" s="8">
        <v>2370</v>
      </c>
      <c r="F6398" s="8">
        <v>41350</v>
      </c>
      <c r="G6398" s="8">
        <f t="shared" si="396"/>
        <v>97999500</v>
      </c>
      <c r="H6398" s="5">
        <v>0.1175</v>
      </c>
      <c r="I6398" s="8">
        <f t="shared" si="397"/>
        <v>97999500</v>
      </c>
      <c r="J6398" s="8">
        <f t="shared" si="398"/>
        <v>11514941.25</v>
      </c>
      <c r="K6398" t="str">
        <f t="shared" si="399"/>
        <v>MATCHED</v>
      </c>
    </row>
    <row r="6399" spans="1:11">
      <c r="A6399" t="s">
        <v>128</v>
      </c>
      <c r="B6399" t="s">
        <v>1865</v>
      </c>
      <c r="C6399" t="s">
        <v>1260</v>
      </c>
      <c r="D6399" t="s">
        <v>1261</v>
      </c>
      <c r="E6399" s="8">
        <v>950</v>
      </c>
      <c r="F6399" s="8">
        <v>43923.7894736842</v>
      </c>
      <c r="G6399" s="8">
        <f t="shared" si="396"/>
        <v>41727600</v>
      </c>
      <c r="H6399" s="5">
        <v>0.0864</v>
      </c>
      <c r="I6399" s="8">
        <f t="shared" si="397"/>
        <v>41727600</v>
      </c>
      <c r="J6399" s="8">
        <f t="shared" si="398"/>
        <v>3605264.64</v>
      </c>
      <c r="K6399" t="str">
        <f t="shared" si="399"/>
        <v>MATCHED</v>
      </c>
    </row>
    <row r="6400" spans="1:11">
      <c r="A6400" t="s">
        <v>128</v>
      </c>
      <c r="B6400" t="s">
        <v>1865</v>
      </c>
      <c r="C6400" t="s">
        <v>1262</v>
      </c>
      <c r="D6400" t="s">
        <v>1263</v>
      </c>
      <c r="E6400" s="8">
        <v>700</v>
      </c>
      <c r="F6400" s="8">
        <v>39970</v>
      </c>
      <c r="G6400" s="8">
        <f t="shared" si="396"/>
        <v>27979000</v>
      </c>
      <c r="H6400" s="5"/>
      <c r="I6400" s="8" t="str">
        <f t="shared" si="397"/>
        <v/>
      </c>
      <c r="J6400" s="8" t="str">
        <f t="shared" si="398"/>
        <v/>
      </c>
      <c r="K6400" t="str">
        <f t="shared" si="399"/>
        <v>MISSING WHARTON</v>
      </c>
    </row>
    <row r="6401" spans="1:11">
      <c r="A6401" t="s">
        <v>128</v>
      </c>
      <c r="B6401" t="s">
        <v>1865</v>
      </c>
      <c r="C6401" t="s">
        <v>986</v>
      </c>
      <c r="D6401" t="s">
        <v>987</v>
      </c>
      <c r="E6401" s="8">
        <v>49920</v>
      </c>
      <c r="F6401" s="8">
        <v>34845.1903044872</v>
      </c>
      <c r="G6401" s="8">
        <f t="shared" si="396"/>
        <v>1739471900</v>
      </c>
      <c r="H6401" s="5">
        <v>0.0613</v>
      </c>
      <c r="I6401" s="8">
        <f t="shared" si="397"/>
        <v>1739471900</v>
      </c>
      <c r="J6401" s="8">
        <f t="shared" si="398"/>
        <v>106629627.47</v>
      </c>
      <c r="K6401" t="str">
        <f t="shared" si="399"/>
        <v>MATCHED</v>
      </c>
    </row>
    <row r="6402" spans="1:11">
      <c r="A6402" t="s">
        <v>128</v>
      </c>
      <c r="B6402" t="s">
        <v>1865</v>
      </c>
      <c r="C6402" t="s">
        <v>1264</v>
      </c>
      <c r="D6402" t="s">
        <v>1265</v>
      </c>
      <c r="E6402" s="8">
        <v>540</v>
      </c>
      <c r="F6402" s="8">
        <v>39430</v>
      </c>
      <c r="G6402" s="8">
        <f t="shared" ref="G6402:G6465" si="400">IF(OR(E6402="",F6402=""),"",E6402*F6402)</f>
        <v>21292200</v>
      </c>
      <c r="H6402" s="5">
        <v>0.1425</v>
      </c>
      <c r="I6402" s="8">
        <f t="shared" ref="I6402:I6465" si="401">IF(G6402="","",IF(ISNUMBER(H6402),G6402,""))</f>
        <v>21292200</v>
      </c>
      <c r="J6402" s="8">
        <f t="shared" ref="J6402:J6465" si="402">IF(I6402="","",I6402*H6402)</f>
        <v>3034138.5</v>
      </c>
      <c r="K6402" t="str">
        <f t="shared" ref="K6402:K6465" si="403">IF(G6402="","MISSING OEWS",IF(ISNUMBER(H6402),"MATCHED","MISSING WHARTON"))</f>
        <v>MATCHED</v>
      </c>
    </row>
    <row r="6403" spans="1:11">
      <c r="A6403" t="s">
        <v>128</v>
      </c>
      <c r="B6403" t="s">
        <v>1865</v>
      </c>
      <c r="C6403" t="s">
        <v>988</v>
      </c>
      <c r="D6403" t="s">
        <v>989</v>
      </c>
      <c r="E6403" s="8">
        <v>14540</v>
      </c>
      <c r="F6403" s="8">
        <v>37683.6038514443</v>
      </c>
      <c r="G6403" s="8">
        <f t="shared" si="400"/>
        <v>547919600</v>
      </c>
      <c r="H6403" s="5">
        <v>0.2031</v>
      </c>
      <c r="I6403" s="8">
        <f t="shared" si="401"/>
        <v>547919600</v>
      </c>
      <c r="J6403" s="8">
        <f t="shared" si="402"/>
        <v>111282470.76</v>
      </c>
      <c r="K6403" t="str">
        <f t="shared" si="403"/>
        <v>MATCHED</v>
      </c>
    </row>
    <row r="6404" spans="1:11">
      <c r="A6404" t="s">
        <v>128</v>
      </c>
      <c r="B6404" t="s">
        <v>1865</v>
      </c>
      <c r="C6404" t="s">
        <v>990</v>
      </c>
      <c r="D6404" t="s">
        <v>991</v>
      </c>
      <c r="E6404" s="8">
        <v>16450</v>
      </c>
      <c r="F6404" s="8">
        <v>33550</v>
      </c>
      <c r="G6404" s="8">
        <f t="shared" si="400"/>
        <v>551897500</v>
      </c>
      <c r="H6404" s="5">
        <v>0.152</v>
      </c>
      <c r="I6404" s="8">
        <f t="shared" si="401"/>
        <v>551897500</v>
      </c>
      <c r="J6404" s="8">
        <f t="shared" si="402"/>
        <v>83888420</v>
      </c>
      <c r="K6404" t="str">
        <f t="shared" si="403"/>
        <v>MATCHED</v>
      </c>
    </row>
    <row r="6405" spans="1:11">
      <c r="A6405" t="s">
        <v>128</v>
      </c>
      <c r="B6405" t="s">
        <v>1865</v>
      </c>
      <c r="C6405" t="s">
        <v>1266</v>
      </c>
      <c r="D6405" t="s">
        <v>1267</v>
      </c>
      <c r="E6405" s="8">
        <v>185920</v>
      </c>
      <c r="F6405" s="8">
        <v>35805.6884681583</v>
      </c>
      <c r="G6405" s="8">
        <f t="shared" si="400"/>
        <v>6656993600</v>
      </c>
      <c r="H6405" s="5">
        <v>0.1357</v>
      </c>
      <c r="I6405" s="8">
        <f t="shared" si="401"/>
        <v>6656993600</v>
      </c>
      <c r="J6405" s="8">
        <f t="shared" si="402"/>
        <v>903354031.52</v>
      </c>
      <c r="K6405" t="str">
        <f t="shared" si="403"/>
        <v>MATCHED</v>
      </c>
    </row>
    <row r="6406" spans="1:11">
      <c r="A6406" t="s">
        <v>128</v>
      </c>
      <c r="B6406" t="s">
        <v>1865</v>
      </c>
      <c r="C6406" t="s">
        <v>1268</v>
      </c>
      <c r="D6406" t="s">
        <v>1269</v>
      </c>
      <c r="E6406" s="8">
        <v>15440</v>
      </c>
      <c r="F6406" s="8">
        <v>35286.3277202073</v>
      </c>
      <c r="G6406" s="8">
        <f t="shared" si="400"/>
        <v>544820900</v>
      </c>
      <c r="H6406" s="5">
        <v>0.0417</v>
      </c>
      <c r="I6406" s="8">
        <f t="shared" si="401"/>
        <v>544820900</v>
      </c>
      <c r="J6406" s="8">
        <f t="shared" si="402"/>
        <v>22719031.53</v>
      </c>
      <c r="K6406" t="str">
        <f t="shared" si="403"/>
        <v>MATCHED</v>
      </c>
    </row>
    <row r="6407" spans="1:11">
      <c r="A6407" t="s">
        <v>128</v>
      </c>
      <c r="B6407" t="s">
        <v>1865</v>
      </c>
      <c r="C6407" t="s">
        <v>1270</v>
      </c>
      <c r="D6407" t="s">
        <v>1271</v>
      </c>
      <c r="E6407" s="8">
        <v>16590</v>
      </c>
      <c r="F6407" s="8">
        <v>34973.098251959</v>
      </c>
      <c r="G6407" s="8">
        <f t="shared" si="400"/>
        <v>580203700</v>
      </c>
      <c r="H6407" s="5">
        <v>0</v>
      </c>
      <c r="I6407" s="8">
        <f t="shared" si="401"/>
        <v>580203700</v>
      </c>
      <c r="J6407" s="8">
        <f t="shared" si="402"/>
        <v>0</v>
      </c>
      <c r="K6407" t="str">
        <f t="shared" si="403"/>
        <v>MATCHED</v>
      </c>
    </row>
    <row r="6408" spans="1:11">
      <c r="A6408" t="s">
        <v>128</v>
      </c>
      <c r="B6408" t="s">
        <v>1865</v>
      </c>
      <c r="C6408" t="s">
        <v>1272</v>
      </c>
      <c r="D6408" t="s">
        <v>1273</v>
      </c>
      <c r="E6408" s="8">
        <v>3540</v>
      </c>
      <c r="F6408" s="8">
        <v>39970.7062146893</v>
      </c>
      <c r="G6408" s="8">
        <f t="shared" si="400"/>
        <v>141496300</v>
      </c>
      <c r="H6408" s="5">
        <v>0.3023</v>
      </c>
      <c r="I6408" s="8">
        <f t="shared" si="401"/>
        <v>141496300</v>
      </c>
      <c r="J6408" s="8">
        <f t="shared" si="402"/>
        <v>42774331.49</v>
      </c>
      <c r="K6408" t="str">
        <f t="shared" si="403"/>
        <v>MATCHED</v>
      </c>
    </row>
    <row r="6409" spans="1:11">
      <c r="A6409" t="s">
        <v>128</v>
      </c>
      <c r="B6409" t="s">
        <v>1865</v>
      </c>
      <c r="C6409" t="s">
        <v>1274</v>
      </c>
      <c r="D6409" t="s">
        <v>1275</v>
      </c>
      <c r="E6409" s="8">
        <v>3270</v>
      </c>
      <c r="F6409" s="8">
        <v>38520.6116207951</v>
      </c>
      <c r="G6409" s="8">
        <f t="shared" si="400"/>
        <v>125962400</v>
      </c>
      <c r="H6409" s="5"/>
      <c r="I6409" s="8" t="str">
        <f t="shared" si="401"/>
        <v/>
      </c>
      <c r="J6409" s="8" t="str">
        <f t="shared" si="402"/>
        <v/>
      </c>
      <c r="K6409" t="str">
        <f t="shared" si="403"/>
        <v>MISSING WHARTON</v>
      </c>
    </row>
    <row r="6410" spans="1:11">
      <c r="A6410" t="s">
        <v>128</v>
      </c>
      <c r="B6410" t="s">
        <v>1865</v>
      </c>
      <c r="C6410" t="s">
        <v>331</v>
      </c>
      <c r="D6410" t="s">
        <v>332</v>
      </c>
      <c r="E6410" s="8">
        <v>19070</v>
      </c>
      <c r="F6410" s="8">
        <v>54628.9879391715</v>
      </c>
      <c r="G6410" s="8">
        <f t="shared" si="400"/>
        <v>1041774800</v>
      </c>
      <c r="H6410" s="5">
        <v>0.2269</v>
      </c>
      <c r="I6410" s="8">
        <f t="shared" si="401"/>
        <v>1041774800</v>
      </c>
      <c r="J6410" s="8">
        <f t="shared" si="402"/>
        <v>236378702.12</v>
      </c>
      <c r="K6410" t="str">
        <f t="shared" si="403"/>
        <v>MATCHED</v>
      </c>
    </row>
    <row r="6411" spans="1:11">
      <c r="A6411" t="s">
        <v>128</v>
      </c>
      <c r="B6411" t="s">
        <v>1865</v>
      </c>
      <c r="C6411" t="s">
        <v>333</v>
      </c>
      <c r="D6411" t="s">
        <v>334</v>
      </c>
      <c r="E6411" s="8">
        <v>930</v>
      </c>
      <c r="F6411" s="8">
        <v>55750</v>
      </c>
      <c r="G6411" s="8">
        <f t="shared" si="400"/>
        <v>51847500</v>
      </c>
      <c r="H6411" s="5">
        <v>0.2357</v>
      </c>
      <c r="I6411" s="8">
        <f t="shared" si="401"/>
        <v>51847500</v>
      </c>
      <c r="J6411" s="8">
        <f t="shared" si="402"/>
        <v>12220455.75</v>
      </c>
      <c r="K6411" t="str">
        <f t="shared" si="403"/>
        <v>MATCHED</v>
      </c>
    </row>
    <row r="6412" spans="1:11">
      <c r="A6412" t="s">
        <v>128</v>
      </c>
      <c r="B6412" t="s">
        <v>1865</v>
      </c>
      <c r="C6412" t="s">
        <v>335</v>
      </c>
      <c r="D6412" t="s">
        <v>336</v>
      </c>
      <c r="E6412" s="8">
        <v>154160</v>
      </c>
      <c r="F6412" s="8">
        <v>39087.3079916969</v>
      </c>
      <c r="G6412" s="8">
        <f t="shared" si="400"/>
        <v>6025699400</v>
      </c>
      <c r="H6412" s="5">
        <v>0</v>
      </c>
      <c r="I6412" s="8">
        <f t="shared" si="401"/>
        <v>6025699400</v>
      </c>
      <c r="J6412" s="8">
        <f t="shared" si="402"/>
        <v>0</v>
      </c>
      <c r="K6412" t="str">
        <f t="shared" si="403"/>
        <v>MATCHED</v>
      </c>
    </row>
    <row r="6413" spans="1:11">
      <c r="A6413" t="s">
        <v>128</v>
      </c>
      <c r="B6413" t="s">
        <v>1865</v>
      </c>
      <c r="C6413" t="s">
        <v>337</v>
      </c>
      <c r="D6413" t="s">
        <v>338</v>
      </c>
      <c r="E6413" s="8">
        <v>209180</v>
      </c>
      <c r="F6413" s="8">
        <v>37776.1353857921</v>
      </c>
      <c r="G6413" s="8">
        <f t="shared" si="400"/>
        <v>7902012000</v>
      </c>
      <c r="H6413" s="5">
        <v>0</v>
      </c>
      <c r="I6413" s="8">
        <f t="shared" si="401"/>
        <v>7902012000</v>
      </c>
      <c r="J6413" s="8">
        <f t="shared" si="402"/>
        <v>0</v>
      </c>
      <c r="K6413" t="str">
        <f t="shared" si="403"/>
        <v>MATCHED</v>
      </c>
    </row>
    <row r="6414" spans="1:11">
      <c r="A6414" t="s">
        <v>128</v>
      </c>
      <c r="B6414" t="s">
        <v>1865</v>
      </c>
      <c r="C6414" t="s">
        <v>646</v>
      </c>
      <c r="D6414" t="s">
        <v>647</v>
      </c>
      <c r="E6414" s="8">
        <v>380</v>
      </c>
      <c r="F6414" s="8">
        <v>40110</v>
      </c>
      <c r="G6414" s="8">
        <f t="shared" si="400"/>
        <v>15241800</v>
      </c>
      <c r="H6414" s="5"/>
      <c r="I6414" s="8" t="str">
        <f t="shared" si="401"/>
        <v/>
      </c>
      <c r="J6414" s="8" t="str">
        <f t="shared" si="402"/>
        <v/>
      </c>
      <c r="K6414" t="str">
        <f t="shared" si="403"/>
        <v>MISSING WHARTON</v>
      </c>
    </row>
    <row r="6415" spans="1:11">
      <c r="A6415" t="s">
        <v>128</v>
      </c>
      <c r="B6415" t="s">
        <v>1865</v>
      </c>
      <c r="C6415" t="s">
        <v>341</v>
      </c>
      <c r="D6415" t="s">
        <v>342</v>
      </c>
      <c r="E6415" s="8">
        <v>8800</v>
      </c>
      <c r="F6415" s="8">
        <v>40891.8295454545</v>
      </c>
      <c r="G6415" s="8">
        <f t="shared" si="400"/>
        <v>359848100</v>
      </c>
      <c r="H6415" s="5">
        <v>0</v>
      </c>
      <c r="I6415" s="8">
        <f t="shared" si="401"/>
        <v>359848100</v>
      </c>
      <c r="J6415" s="8">
        <f t="shared" si="402"/>
        <v>0</v>
      </c>
      <c r="K6415" t="str">
        <f t="shared" si="403"/>
        <v>MATCHED</v>
      </c>
    </row>
    <row r="6416" spans="1:11">
      <c r="A6416" t="s">
        <v>128</v>
      </c>
      <c r="B6416" t="s">
        <v>1865</v>
      </c>
      <c r="C6416" t="s">
        <v>874</v>
      </c>
      <c r="D6416" t="s">
        <v>875</v>
      </c>
      <c r="E6416" s="8">
        <v>130</v>
      </c>
      <c r="F6416" s="8">
        <v>32270</v>
      </c>
      <c r="G6416" s="8">
        <f t="shared" si="400"/>
        <v>4195100</v>
      </c>
      <c r="H6416" s="5"/>
      <c r="I6416" s="8" t="str">
        <f t="shared" si="401"/>
        <v/>
      </c>
      <c r="J6416" s="8" t="str">
        <f t="shared" si="402"/>
        <v/>
      </c>
      <c r="K6416" t="str">
        <f t="shared" si="403"/>
        <v>MISSING WHARTON</v>
      </c>
    </row>
    <row r="6417" spans="1:11">
      <c r="A6417" t="s">
        <v>128</v>
      </c>
      <c r="B6417" t="s">
        <v>1865</v>
      </c>
      <c r="C6417" t="s">
        <v>347</v>
      </c>
      <c r="D6417" t="s">
        <v>348</v>
      </c>
      <c r="E6417" s="8">
        <v>10560</v>
      </c>
      <c r="F6417" s="8">
        <v>55796.4204545455</v>
      </c>
      <c r="G6417" s="8">
        <f t="shared" si="400"/>
        <v>589210200</v>
      </c>
      <c r="H6417" s="5">
        <v>0.2974</v>
      </c>
      <c r="I6417" s="8">
        <f t="shared" si="401"/>
        <v>589210200</v>
      </c>
      <c r="J6417" s="8">
        <f t="shared" si="402"/>
        <v>175231113.48</v>
      </c>
      <c r="K6417" t="str">
        <f t="shared" si="403"/>
        <v>MATCHED</v>
      </c>
    </row>
    <row r="6418" spans="1:11">
      <c r="A6418" t="s">
        <v>128</v>
      </c>
      <c r="B6418" t="s">
        <v>1865</v>
      </c>
      <c r="C6418" t="s">
        <v>349</v>
      </c>
      <c r="D6418" t="s">
        <v>350</v>
      </c>
      <c r="E6418" s="8">
        <v>35780</v>
      </c>
      <c r="F6418" s="8">
        <v>51762.6439351593</v>
      </c>
      <c r="G6418" s="8">
        <f t="shared" si="400"/>
        <v>1852067400</v>
      </c>
      <c r="H6418" s="5">
        <v>0.2765</v>
      </c>
      <c r="I6418" s="8">
        <f t="shared" si="401"/>
        <v>1852067400</v>
      </c>
      <c r="J6418" s="8">
        <f t="shared" si="402"/>
        <v>512096636.1</v>
      </c>
      <c r="K6418" t="str">
        <f t="shared" si="403"/>
        <v>MATCHED</v>
      </c>
    </row>
    <row r="6419" spans="1:11">
      <c r="A6419" t="s">
        <v>128</v>
      </c>
      <c r="B6419" t="s">
        <v>1865</v>
      </c>
      <c r="C6419" t="s">
        <v>351</v>
      </c>
      <c r="D6419" t="s">
        <v>352</v>
      </c>
      <c r="E6419" s="8">
        <v>180</v>
      </c>
      <c r="F6419" s="8">
        <v>49180</v>
      </c>
      <c r="G6419" s="8">
        <f t="shared" si="400"/>
        <v>8852400</v>
      </c>
      <c r="H6419" s="5">
        <v>0.05</v>
      </c>
      <c r="I6419" s="8">
        <f t="shared" si="401"/>
        <v>8852400</v>
      </c>
      <c r="J6419" s="8">
        <f t="shared" si="402"/>
        <v>442620</v>
      </c>
      <c r="K6419" t="str">
        <f t="shared" si="403"/>
        <v>MATCHED</v>
      </c>
    </row>
    <row r="6420" spans="1:11">
      <c r="A6420" t="s">
        <v>128</v>
      </c>
      <c r="B6420" t="s">
        <v>1865</v>
      </c>
      <c r="C6420" t="s">
        <v>353</v>
      </c>
      <c r="D6420" t="s">
        <v>354</v>
      </c>
      <c r="E6420" s="8">
        <v>1380</v>
      </c>
      <c r="F6420" s="8">
        <v>38850</v>
      </c>
      <c r="G6420" s="8">
        <f t="shared" si="400"/>
        <v>53613000</v>
      </c>
      <c r="H6420" s="5">
        <v>0.1614</v>
      </c>
      <c r="I6420" s="8">
        <f t="shared" si="401"/>
        <v>53613000</v>
      </c>
      <c r="J6420" s="8">
        <f t="shared" si="402"/>
        <v>8653138.2</v>
      </c>
      <c r="K6420" t="str">
        <f t="shared" si="403"/>
        <v>MATCHED</v>
      </c>
    </row>
    <row r="6421" spans="1:11">
      <c r="A6421" t="s">
        <v>128</v>
      </c>
      <c r="B6421" t="s">
        <v>1865</v>
      </c>
      <c r="C6421" t="s">
        <v>1874</v>
      </c>
      <c r="D6421" t="s">
        <v>1875</v>
      </c>
      <c r="E6421" s="8"/>
      <c r="F6421" s="8">
        <v>34680</v>
      </c>
      <c r="G6421" s="8" t="str">
        <f t="shared" si="400"/>
        <v/>
      </c>
      <c r="H6421" s="5">
        <v>0.3545</v>
      </c>
      <c r="I6421" s="8" t="str">
        <f t="shared" si="401"/>
        <v/>
      </c>
      <c r="J6421" s="8" t="str">
        <f t="shared" si="402"/>
        <v/>
      </c>
      <c r="K6421" t="str">
        <f t="shared" si="403"/>
        <v>MISSING OEWS</v>
      </c>
    </row>
    <row r="6422" spans="1:11">
      <c r="A6422" t="s">
        <v>128</v>
      </c>
      <c r="B6422" t="s">
        <v>1865</v>
      </c>
      <c r="C6422" t="s">
        <v>1276</v>
      </c>
      <c r="D6422" t="s">
        <v>1277</v>
      </c>
      <c r="E6422" s="8"/>
      <c r="F6422" s="8">
        <v>37090</v>
      </c>
      <c r="G6422" s="8" t="str">
        <f t="shared" si="400"/>
        <v/>
      </c>
      <c r="H6422" s="5">
        <v>0.2109</v>
      </c>
      <c r="I6422" s="8" t="str">
        <f t="shared" si="401"/>
        <v/>
      </c>
      <c r="J6422" s="8" t="str">
        <f t="shared" si="402"/>
        <v/>
      </c>
      <c r="K6422" t="str">
        <f t="shared" si="403"/>
        <v>MISSING OEWS</v>
      </c>
    </row>
    <row r="6423" spans="1:11">
      <c r="A6423" t="s">
        <v>128</v>
      </c>
      <c r="B6423" t="s">
        <v>1865</v>
      </c>
      <c r="C6423" t="s">
        <v>876</v>
      </c>
      <c r="D6423" t="s">
        <v>877</v>
      </c>
      <c r="E6423" s="8">
        <v>1230</v>
      </c>
      <c r="F6423" s="8">
        <v>36611.4634146341</v>
      </c>
      <c r="G6423" s="8">
        <f t="shared" si="400"/>
        <v>45032100</v>
      </c>
      <c r="H6423" s="5">
        <v>0.25</v>
      </c>
      <c r="I6423" s="8">
        <f t="shared" si="401"/>
        <v>45032100</v>
      </c>
      <c r="J6423" s="8">
        <f t="shared" si="402"/>
        <v>11258025</v>
      </c>
      <c r="K6423" t="str">
        <f t="shared" si="403"/>
        <v>MATCHED</v>
      </c>
    </row>
    <row r="6424" spans="1:11">
      <c r="A6424" t="s">
        <v>128</v>
      </c>
      <c r="B6424" t="s">
        <v>1865</v>
      </c>
      <c r="C6424" t="s">
        <v>1494</v>
      </c>
      <c r="D6424" t="s">
        <v>1495</v>
      </c>
      <c r="E6424" s="8">
        <v>70</v>
      </c>
      <c r="F6424" s="8">
        <v>33680</v>
      </c>
      <c r="G6424" s="8">
        <f t="shared" si="400"/>
        <v>2357600</v>
      </c>
      <c r="H6424" s="5">
        <v>0.0413</v>
      </c>
      <c r="I6424" s="8">
        <f t="shared" si="401"/>
        <v>2357600</v>
      </c>
      <c r="J6424" s="8">
        <f t="shared" si="402"/>
        <v>97368.88</v>
      </c>
      <c r="K6424" t="str">
        <f t="shared" si="403"/>
        <v>MATCHED</v>
      </c>
    </row>
    <row r="6425" spans="1:11">
      <c r="A6425" t="s">
        <v>128</v>
      </c>
      <c r="B6425" t="s">
        <v>1865</v>
      </c>
      <c r="C6425" t="s">
        <v>1876</v>
      </c>
      <c r="D6425" t="s">
        <v>1877</v>
      </c>
      <c r="E6425" s="8">
        <v>10</v>
      </c>
      <c r="F6425" s="8">
        <v>44430</v>
      </c>
      <c r="G6425" s="8">
        <f t="shared" si="400"/>
        <v>444300</v>
      </c>
      <c r="H6425" s="5">
        <v>0.2375</v>
      </c>
      <c r="I6425" s="8">
        <f t="shared" si="401"/>
        <v>444300</v>
      </c>
      <c r="J6425" s="8">
        <f t="shared" si="402"/>
        <v>105521.25</v>
      </c>
      <c r="K6425" t="str">
        <f t="shared" si="403"/>
        <v>MATCHED</v>
      </c>
    </row>
    <row r="6426" spans="1:11">
      <c r="A6426" t="s">
        <v>128</v>
      </c>
      <c r="B6426" t="s">
        <v>1865</v>
      </c>
      <c r="C6426" t="s">
        <v>992</v>
      </c>
      <c r="D6426" t="s">
        <v>993</v>
      </c>
      <c r="E6426" s="8">
        <v>1430</v>
      </c>
      <c r="F6426" s="8">
        <v>41806.8531468531</v>
      </c>
      <c r="G6426" s="8">
        <f t="shared" si="400"/>
        <v>59783800</v>
      </c>
      <c r="H6426" s="5">
        <v>0.1239</v>
      </c>
      <c r="I6426" s="8">
        <f t="shared" si="401"/>
        <v>59783800</v>
      </c>
      <c r="J6426" s="8">
        <f t="shared" si="402"/>
        <v>7407212.82</v>
      </c>
      <c r="K6426" t="str">
        <f t="shared" si="403"/>
        <v>MATCHED</v>
      </c>
    </row>
    <row r="6427" spans="1:11">
      <c r="A6427" t="s">
        <v>128</v>
      </c>
      <c r="B6427" t="s">
        <v>1865</v>
      </c>
      <c r="C6427" t="s">
        <v>1496</v>
      </c>
      <c r="D6427" t="s">
        <v>1497</v>
      </c>
      <c r="E6427" s="8">
        <v>150</v>
      </c>
      <c r="F6427" s="8">
        <v>42340</v>
      </c>
      <c r="G6427" s="8">
        <f t="shared" si="400"/>
        <v>6351000</v>
      </c>
      <c r="H6427" s="5">
        <v>0.1056</v>
      </c>
      <c r="I6427" s="8">
        <f t="shared" si="401"/>
        <v>6351000</v>
      </c>
      <c r="J6427" s="8">
        <f t="shared" si="402"/>
        <v>670665.6</v>
      </c>
      <c r="K6427" t="str">
        <f t="shared" si="403"/>
        <v>MATCHED</v>
      </c>
    </row>
    <row r="6428" spans="1:11">
      <c r="A6428" t="s">
        <v>128</v>
      </c>
      <c r="B6428" t="s">
        <v>1865</v>
      </c>
      <c r="C6428" t="s">
        <v>1449</v>
      </c>
      <c r="D6428" t="s">
        <v>1450</v>
      </c>
      <c r="E6428" s="8">
        <v>10870</v>
      </c>
      <c r="F6428" s="8">
        <v>57760</v>
      </c>
      <c r="G6428" s="8">
        <f t="shared" si="400"/>
        <v>627851200</v>
      </c>
      <c r="H6428" s="5">
        <v>0.1056</v>
      </c>
      <c r="I6428" s="8">
        <f t="shared" si="401"/>
        <v>627851200</v>
      </c>
      <c r="J6428" s="8">
        <f t="shared" si="402"/>
        <v>66301086.72</v>
      </c>
      <c r="K6428" t="str">
        <f t="shared" si="403"/>
        <v>MATCHED</v>
      </c>
    </row>
    <row r="6429" spans="1:11">
      <c r="A6429" t="s">
        <v>128</v>
      </c>
      <c r="B6429" t="s">
        <v>1865</v>
      </c>
      <c r="C6429" t="s">
        <v>1498</v>
      </c>
      <c r="D6429" t="s">
        <v>1499</v>
      </c>
      <c r="E6429" s="8">
        <v>140</v>
      </c>
      <c r="F6429" s="8">
        <v>35980</v>
      </c>
      <c r="G6429" s="8">
        <f t="shared" si="400"/>
        <v>5037200</v>
      </c>
      <c r="H6429" s="5">
        <v>0.3353</v>
      </c>
      <c r="I6429" s="8">
        <f t="shared" si="401"/>
        <v>5037200</v>
      </c>
      <c r="J6429" s="8">
        <f t="shared" si="402"/>
        <v>1688973.16</v>
      </c>
      <c r="K6429" t="str">
        <f t="shared" si="403"/>
        <v>MATCHED</v>
      </c>
    </row>
    <row r="6430" spans="1:11">
      <c r="A6430" t="s">
        <v>128</v>
      </c>
      <c r="B6430" t="s">
        <v>1865</v>
      </c>
      <c r="C6430" t="s">
        <v>994</v>
      </c>
      <c r="D6430" t="s">
        <v>995</v>
      </c>
      <c r="E6430" s="8">
        <v>13020</v>
      </c>
      <c r="F6430" s="8">
        <v>37851.0752688172</v>
      </c>
      <c r="G6430" s="8">
        <f t="shared" si="400"/>
        <v>492821000</v>
      </c>
      <c r="H6430" s="5">
        <v>0.65</v>
      </c>
      <c r="I6430" s="8">
        <f t="shared" si="401"/>
        <v>492821000</v>
      </c>
      <c r="J6430" s="8">
        <f t="shared" si="402"/>
        <v>320333650</v>
      </c>
      <c r="K6430" t="str">
        <f t="shared" si="403"/>
        <v>MATCHED</v>
      </c>
    </row>
    <row r="6431" spans="1:11">
      <c r="A6431" t="s">
        <v>128</v>
      </c>
      <c r="B6431" t="s">
        <v>1865</v>
      </c>
      <c r="C6431" t="s">
        <v>1278</v>
      </c>
      <c r="D6431" t="s">
        <v>1279</v>
      </c>
      <c r="E6431" s="8">
        <v>310</v>
      </c>
      <c r="F6431" s="8">
        <v>41550</v>
      </c>
      <c r="G6431" s="8">
        <f t="shared" si="400"/>
        <v>12880500</v>
      </c>
      <c r="H6431" s="5">
        <v>0.3177</v>
      </c>
      <c r="I6431" s="8">
        <f t="shared" si="401"/>
        <v>12880500</v>
      </c>
      <c r="J6431" s="8">
        <f t="shared" si="402"/>
        <v>4092134.85</v>
      </c>
      <c r="K6431" t="str">
        <f t="shared" si="403"/>
        <v>MATCHED</v>
      </c>
    </row>
    <row r="6432" spans="1:11">
      <c r="A6432" t="s">
        <v>128</v>
      </c>
      <c r="B6432" t="s">
        <v>1865</v>
      </c>
      <c r="C6432" t="s">
        <v>996</v>
      </c>
      <c r="D6432" t="s">
        <v>997</v>
      </c>
      <c r="E6432" s="8">
        <v>304750</v>
      </c>
      <c r="F6432" s="8">
        <v>34318.0026251025</v>
      </c>
      <c r="G6432" s="8">
        <f t="shared" si="400"/>
        <v>10458411300</v>
      </c>
      <c r="H6432" s="5">
        <v>0.105</v>
      </c>
      <c r="I6432" s="8">
        <f t="shared" si="401"/>
        <v>10458411300</v>
      </c>
      <c r="J6432" s="8">
        <f t="shared" si="402"/>
        <v>1098133186.5</v>
      </c>
      <c r="K6432" t="str">
        <f t="shared" si="403"/>
        <v>MATCHED</v>
      </c>
    </row>
    <row r="6433" spans="1:11">
      <c r="A6433" t="s">
        <v>128</v>
      </c>
      <c r="B6433" t="s">
        <v>1865</v>
      </c>
      <c r="C6433" t="s">
        <v>998</v>
      </c>
      <c r="D6433" t="s">
        <v>999</v>
      </c>
      <c r="E6433" s="8">
        <v>10880</v>
      </c>
      <c r="F6433" s="8">
        <v>53029.9264705882</v>
      </c>
      <c r="G6433" s="8">
        <f t="shared" si="400"/>
        <v>576965600</v>
      </c>
      <c r="H6433" s="5">
        <v>0.0636</v>
      </c>
      <c r="I6433" s="8">
        <f t="shared" si="401"/>
        <v>576965600</v>
      </c>
      <c r="J6433" s="8">
        <f t="shared" si="402"/>
        <v>36695012.16</v>
      </c>
      <c r="K6433" t="str">
        <f t="shared" si="403"/>
        <v>MATCHED</v>
      </c>
    </row>
    <row r="6434" spans="1:11">
      <c r="A6434" t="s">
        <v>128</v>
      </c>
      <c r="B6434" t="s">
        <v>1865</v>
      </c>
      <c r="C6434" t="s">
        <v>1280</v>
      </c>
      <c r="D6434" t="s">
        <v>1281</v>
      </c>
      <c r="E6434" s="8">
        <v>97570</v>
      </c>
      <c r="F6434" s="8">
        <v>39145.2526391309</v>
      </c>
      <c r="G6434" s="8">
        <f t="shared" si="400"/>
        <v>3819402300</v>
      </c>
      <c r="H6434" s="5">
        <v>0.1667</v>
      </c>
      <c r="I6434" s="8">
        <f t="shared" si="401"/>
        <v>3819402300</v>
      </c>
      <c r="J6434" s="8">
        <f t="shared" si="402"/>
        <v>636694363.41</v>
      </c>
      <c r="K6434" t="str">
        <f t="shared" si="403"/>
        <v>MATCHED</v>
      </c>
    </row>
    <row r="6435" spans="1:11">
      <c r="A6435" t="s">
        <v>128</v>
      </c>
      <c r="B6435" t="s">
        <v>1865</v>
      </c>
      <c r="C6435" t="s">
        <v>1282</v>
      </c>
      <c r="D6435" t="s">
        <v>1283</v>
      </c>
      <c r="E6435" s="8">
        <v>58570</v>
      </c>
      <c r="F6435" s="8">
        <v>43580</v>
      </c>
      <c r="G6435" s="8">
        <f t="shared" si="400"/>
        <v>2552480600</v>
      </c>
      <c r="H6435" s="5">
        <v>0.2917</v>
      </c>
      <c r="I6435" s="8">
        <f t="shared" si="401"/>
        <v>2552480600</v>
      </c>
      <c r="J6435" s="8">
        <f t="shared" si="402"/>
        <v>744558591.02</v>
      </c>
      <c r="K6435" t="str">
        <f t="shared" si="403"/>
        <v>MATCHED</v>
      </c>
    </row>
    <row r="6436" spans="1:11">
      <c r="A6436" t="s">
        <v>128</v>
      </c>
      <c r="B6436" t="s">
        <v>1865</v>
      </c>
      <c r="C6436" t="s">
        <v>1500</v>
      </c>
      <c r="D6436" t="s">
        <v>1501</v>
      </c>
      <c r="E6436" s="8">
        <v>27330</v>
      </c>
      <c r="F6436" s="8">
        <v>41577.1716062935</v>
      </c>
      <c r="G6436" s="8">
        <f t="shared" si="400"/>
        <v>1136304100</v>
      </c>
      <c r="H6436" s="5"/>
      <c r="I6436" s="8" t="str">
        <f t="shared" si="401"/>
        <v/>
      </c>
      <c r="J6436" s="8" t="str">
        <f t="shared" si="402"/>
        <v/>
      </c>
      <c r="K6436" t="str">
        <f t="shared" si="403"/>
        <v>MISSING WHARTON</v>
      </c>
    </row>
    <row r="6437" spans="1:11">
      <c r="A6437" t="s">
        <v>128</v>
      </c>
      <c r="B6437" t="s">
        <v>1865</v>
      </c>
      <c r="C6437" t="s">
        <v>355</v>
      </c>
      <c r="D6437" t="s">
        <v>356</v>
      </c>
      <c r="E6437" s="8">
        <v>5090</v>
      </c>
      <c r="F6437" s="8">
        <v>51128.4086444008</v>
      </c>
      <c r="G6437" s="8">
        <f t="shared" si="400"/>
        <v>260243600</v>
      </c>
      <c r="H6437" s="5">
        <v>0.4476</v>
      </c>
      <c r="I6437" s="8">
        <f t="shared" si="401"/>
        <v>260243600</v>
      </c>
      <c r="J6437" s="8">
        <f t="shared" si="402"/>
        <v>116485035.36</v>
      </c>
      <c r="K6437" t="str">
        <f t="shared" si="403"/>
        <v>MATCHED</v>
      </c>
    </row>
    <row r="6438" spans="1:11">
      <c r="A6438" t="s">
        <v>128</v>
      </c>
      <c r="B6438" t="s">
        <v>1865</v>
      </c>
      <c r="C6438" t="s">
        <v>357</v>
      </c>
      <c r="D6438" t="s">
        <v>358</v>
      </c>
      <c r="E6438" s="8">
        <v>1000</v>
      </c>
      <c r="F6438" s="8">
        <v>109160</v>
      </c>
      <c r="G6438" s="8">
        <f t="shared" si="400"/>
        <v>109160000</v>
      </c>
      <c r="H6438" s="5">
        <v>0.4833</v>
      </c>
      <c r="I6438" s="8">
        <f t="shared" si="401"/>
        <v>109160000</v>
      </c>
      <c r="J6438" s="8">
        <f t="shared" si="402"/>
        <v>52757028</v>
      </c>
      <c r="K6438" t="str">
        <f t="shared" si="403"/>
        <v>MATCHED</v>
      </c>
    </row>
    <row r="6439" spans="1:11">
      <c r="A6439" t="s">
        <v>128</v>
      </c>
      <c r="B6439" t="s">
        <v>1865</v>
      </c>
      <c r="C6439" t="s">
        <v>648</v>
      </c>
      <c r="D6439" t="s">
        <v>649</v>
      </c>
      <c r="E6439" s="8">
        <v>11030</v>
      </c>
      <c r="F6439" s="8">
        <v>36543.6627379873</v>
      </c>
      <c r="G6439" s="8">
        <f t="shared" si="400"/>
        <v>403076600</v>
      </c>
      <c r="H6439" s="5">
        <v>0.6672</v>
      </c>
      <c r="I6439" s="8">
        <f t="shared" si="401"/>
        <v>403076600</v>
      </c>
      <c r="J6439" s="8">
        <f t="shared" si="402"/>
        <v>268932707.52</v>
      </c>
      <c r="K6439" t="str">
        <f t="shared" si="403"/>
        <v>MATCHED</v>
      </c>
    </row>
    <row r="6440" spans="1:11">
      <c r="A6440" t="s">
        <v>128</v>
      </c>
      <c r="B6440" t="s">
        <v>1865</v>
      </c>
      <c r="C6440" t="s">
        <v>878</v>
      </c>
      <c r="D6440" t="s">
        <v>879</v>
      </c>
      <c r="E6440" s="8">
        <v>300</v>
      </c>
      <c r="F6440" s="8">
        <v>46600</v>
      </c>
      <c r="G6440" s="8">
        <f t="shared" si="400"/>
        <v>13980000</v>
      </c>
      <c r="H6440" s="5">
        <v>0.7719</v>
      </c>
      <c r="I6440" s="8">
        <f t="shared" si="401"/>
        <v>13980000</v>
      </c>
      <c r="J6440" s="8">
        <f t="shared" si="402"/>
        <v>10791162</v>
      </c>
      <c r="K6440" t="str">
        <f t="shared" si="403"/>
        <v>MATCHED</v>
      </c>
    </row>
    <row r="6441" spans="1:11">
      <c r="A6441" t="s">
        <v>128</v>
      </c>
      <c r="B6441" t="s">
        <v>1865</v>
      </c>
      <c r="C6441" t="s">
        <v>359</v>
      </c>
      <c r="D6441" t="s">
        <v>360</v>
      </c>
      <c r="E6441" s="8">
        <v>22300</v>
      </c>
      <c r="F6441" s="8">
        <v>34577.8565022422</v>
      </c>
      <c r="G6441" s="8">
        <f t="shared" si="400"/>
        <v>771086200</v>
      </c>
      <c r="H6441" s="5">
        <v>0.4938</v>
      </c>
      <c r="I6441" s="8">
        <f t="shared" si="401"/>
        <v>771086200</v>
      </c>
      <c r="J6441" s="8">
        <f t="shared" si="402"/>
        <v>380762365.56</v>
      </c>
      <c r="K6441" t="str">
        <f t="shared" si="403"/>
        <v>MATCHED</v>
      </c>
    </row>
    <row r="6442" spans="1:11">
      <c r="A6442" t="s">
        <v>128</v>
      </c>
      <c r="B6442" t="s">
        <v>1865</v>
      </c>
      <c r="C6442" t="s">
        <v>1002</v>
      </c>
      <c r="D6442" t="s">
        <v>1003</v>
      </c>
      <c r="E6442" s="8"/>
      <c r="F6442" s="8">
        <v>45080</v>
      </c>
      <c r="G6442" s="8" t="str">
        <f t="shared" si="400"/>
        <v/>
      </c>
      <c r="H6442" s="5">
        <v>0.6725</v>
      </c>
      <c r="I6442" s="8" t="str">
        <f t="shared" si="401"/>
        <v/>
      </c>
      <c r="J6442" s="8" t="str">
        <f t="shared" si="402"/>
        <v/>
      </c>
      <c r="K6442" t="str">
        <f t="shared" si="403"/>
        <v>MISSING OEWS</v>
      </c>
    </row>
    <row r="6443" spans="1:11">
      <c r="A6443" t="s">
        <v>128</v>
      </c>
      <c r="B6443" t="s">
        <v>1865</v>
      </c>
      <c r="C6443" t="s">
        <v>1004</v>
      </c>
      <c r="D6443" t="s">
        <v>1005</v>
      </c>
      <c r="E6443" s="8">
        <v>360</v>
      </c>
      <c r="F6443" s="8">
        <v>82350</v>
      </c>
      <c r="G6443" s="8">
        <f t="shared" si="400"/>
        <v>29646000</v>
      </c>
      <c r="H6443" s="5">
        <v>0.6684</v>
      </c>
      <c r="I6443" s="8">
        <f t="shared" si="401"/>
        <v>29646000</v>
      </c>
      <c r="J6443" s="8">
        <f t="shared" si="402"/>
        <v>19815386.4</v>
      </c>
      <c r="K6443" t="str">
        <f t="shared" si="403"/>
        <v>MATCHED</v>
      </c>
    </row>
    <row r="6444" spans="1:11">
      <c r="A6444" t="s">
        <v>128</v>
      </c>
      <c r="B6444" t="s">
        <v>1865</v>
      </c>
      <c r="C6444" t="s">
        <v>361</v>
      </c>
      <c r="D6444" t="s">
        <v>362</v>
      </c>
      <c r="E6444" s="8">
        <v>35090</v>
      </c>
      <c r="F6444" s="8">
        <v>79540</v>
      </c>
      <c r="G6444" s="8">
        <f t="shared" si="400"/>
        <v>2791058600</v>
      </c>
      <c r="H6444" s="5">
        <v>0.73</v>
      </c>
      <c r="I6444" s="8">
        <f t="shared" si="401"/>
        <v>2791058600</v>
      </c>
      <c r="J6444" s="8">
        <f t="shared" si="402"/>
        <v>2037472778</v>
      </c>
      <c r="K6444" t="str">
        <f t="shared" si="403"/>
        <v>MATCHED</v>
      </c>
    </row>
    <row r="6445" spans="1:11">
      <c r="A6445" t="s">
        <v>128</v>
      </c>
      <c r="B6445" t="s">
        <v>1865</v>
      </c>
      <c r="C6445" t="s">
        <v>652</v>
      </c>
      <c r="D6445" t="s">
        <v>653</v>
      </c>
      <c r="E6445" s="8">
        <v>1820</v>
      </c>
      <c r="F6445" s="8">
        <v>133530</v>
      </c>
      <c r="G6445" s="8">
        <f t="shared" si="400"/>
        <v>243024600</v>
      </c>
      <c r="H6445" s="5">
        <v>0.6463</v>
      </c>
      <c r="I6445" s="8">
        <f t="shared" si="401"/>
        <v>243024600</v>
      </c>
      <c r="J6445" s="8">
        <f t="shared" si="402"/>
        <v>157066798.98</v>
      </c>
      <c r="K6445" t="str">
        <f t="shared" si="403"/>
        <v>MATCHED</v>
      </c>
    </row>
    <row r="6446" spans="1:11">
      <c r="A6446" t="s">
        <v>128</v>
      </c>
      <c r="B6446" t="s">
        <v>1865</v>
      </c>
      <c r="C6446" t="s">
        <v>363</v>
      </c>
      <c r="D6446" t="s">
        <v>364</v>
      </c>
      <c r="E6446" s="8">
        <v>410</v>
      </c>
      <c r="F6446" s="8">
        <v>65070</v>
      </c>
      <c r="G6446" s="8">
        <f t="shared" si="400"/>
        <v>26678700</v>
      </c>
      <c r="H6446" s="5">
        <v>0.5105</v>
      </c>
      <c r="I6446" s="8">
        <f t="shared" si="401"/>
        <v>26678700</v>
      </c>
      <c r="J6446" s="8">
        <f t="shared" si="402"/>
        <v>13619476.35</v>
      </c>
      <c r="K6446" t="str">
        <f t="shared" si="403"/>
        <v>MATCHED</v>
      </c>
    </row>
    <row r="6447" spans="1:11">
      <c r="A6447" t="s">
        <v>128</v>
      </c>
      <c r="B6447" t="s">
        <v>1865</v>
      </c>
      <c r="C6447" t="s">
        <v>1451</v>
      </c>
      <c r="D6447" t="s">
        <v>1452</v>
      </c>
      <c r="E6447" s="8"/>
      <c r="F6447" s="8">
        <v>55220</v>
      </c>
      <c r="G6447" s="8" t="str">
        <f t="shared" si="400"/>
        <v/>
      </c>
      <c r="H6447" s="5">
        <v>0.2071</v>
      </c>
      <c r="I6447" s="8" t="str">
        <f t="shared" si="401"/>
        <v/>
      </c>
      <c r="J6447" s="8" t="str">
        <f t="shared" si="402"/>
        <v/>
      </c>
      <c r="K6447" t="str">
        <f t="shared" si="403"/>
        <v>MISSING OEWS</v>
      </c>
    </row>
    <row r="6448" spans="1:11">
      <c r="A6448" t="s">
        <v>128</v>
      </c>
      <c r="B6448" t="s">
        <v>1865</v>
      </c>
      <c r="C6448" t="s">
        <v>1008</v>
      </c>
      <c r="D6448" t="s">
        <v>1009</v>
      </c>
      <c r="E6448" s="8">
        <v>70</v>
      </c>
      <c r="F6448" s="8">
        <v>76160</v>
      </c>
      <c r="G6448" s="8">
        <f t="shared" si="400"/>
        <v>5331200</v>
      </c>
      <c r="H6448" s="5">
        <v>0.5816</v>
      </c>
      <c r="I6448" s="8">
        <f t="shared" si="401"/>
        <v>5331200</v>
      </c>
      <c r="J6448" s="8">
        <f t="shared" si="402"/>
        <v>3100625.92</v>
      </c>
      <c r="K6448" t="str">
        <f t="shared" si="403"/>
        <v>MATCHED</v>
      </c>
    </row>
    <row r="6449" spans="1:11">
      <c r="A6449" t="s">
        <v>128</v>
      </c>
      <c r="B6449" t="s">
        <v>1865</v>
      </c>
      <c r="C6449" t="s">
        <v>654</v>
      </c>
      <c r="D6449" t="s">
        <v>655</v>
      </c>
      <c r="E6449" s="8">
        <v>340</v>
      </c>
      <c r="F6449" s="8">
        <v>71130</v>
      </c>
      <c r="G6449" s="8">
        <f t="shared" si="400"/>
        <v>24184200</v>
      </c>
      <c r="H6449" s="5">
        <v>0.5939</v>
      </c>
      <c r="I6449" s="8">
        <f t="shared" si="401"/>
        <v>24184200</v>
      </c>
      <c r="J6449" s="8">
        <f t="shared" si="402"/>
        <v>14362996.38</v>
      </c>
      <c r="K6449" t="str">
        <f t="shared" si="403"/>
        <v>MATCHED</v>
      </c>
    </row>
    <row r="6450" spans="1:11">
      <c r="A6450" t="s">
        <v>128</v>
      </c>
      <c r="B6450" t="s">
        <v>1865</v>
      </c>
      <c r="C6450" t="s">
        <v>1010</v>
      </c>
      <c r="D6450" t="s">
        <v>1011</v>
      </c>
      <c r="E6450" s="8">
        <v>530</v>
      </c>
      <c r="F6450" s="8">
        <v>40140</v>
      </c>
      <c r="G6450" s="8">
        <f t="shared" si="400"/>
        <v>21274200</v>
      </c>
      <c r="H6450" s="5">
        <v>0.9625</v>
      </c>
      <c r="I6450" s="8">
        <f t="shared" si="401"/>
        <v>21274200</v>
      </c>
      <c r="J6450" s="8">
        <f t="shared" si="402"/>
        <v>20476417.5</v>
      </c>
      <c r="K6450" t="str">
        <f t="shared" si="403"/>
        <v>MATCHED</v>
      </c>
    </row>
    <row r="6451" spans="1:11">
      <c r="A6451" t="s">
        <v>128</v>
      </c>
      <c r="B6451" t="s">
        <v>1865</v>
      </c>
      <c r="C6451" t="s">
        <v>365</v>
      </c>
      <c r="D6451" t="s">
        <v>366</v>
      </c>
      <c r="E6451" s="8">
        <v>1120</v>
      </c>
      <c r="F6451" s="8">
        <v>62770</v>
      </c>
      <c r="G6451" s="8">
        <f t="shared" si="400"/>
        <v>70302400</v>
      </c>
      <c r="H6451" s="5"/>
      <c r="I6451" s="8" t="str">
        <f t="shared" si="401"/>
        <v/>
      </c>
      <c r="J6451" s="8" t="str">
        <f t="shared" si="402"/>
        <v/>
      </c>
      <c r="K6451" t="str">
        <f t="shared" si="403"/>
        <v>MISSING WHARTON</v>
      </c>
    </row>
    <row r="6452" spans="1:11">
      <c r="A6452" t="s">
        <v>128</v>
      </c>
      <c r="B6452" t="s">
        <v>1865</v>
      </c>
      <c r="C6452" t="s">
        <v>367</v>
      </c>
      <c r="D6452" t="s">
        <v>368</v>
      </c>
      <c r="E6452" s="8">
        <v>228710</v>
      </c>
      <c r="F6452" s="8">
        <v>68296.7063093</v>
      </c>
      <c r="G6452" s="8">
        <f t="shared" si="400"/>
        <v>15620139700</v>
      </c>
      <c r="H6452" s="5">
        <v>0.5034</v>
      </c>
      <c r="I6452" s="8">
        <f t="shared" si="401"/>
        <v>15620139700</v>
      </c>
      <c r="J6452" s="8">
        <f t="shared" si="402"/>
        <v>7863178324.98</v>
      </c>
      <c r="K6452" t="str">
        <f t="shared" si="403"/>
        <v>MATCHED</v>
      </c>
    </row>
    <row r="6453" spans="1:11">
      <c r="A6453" t="s">
        <v>128</v>
      </c>
      <c r="B6453" t="s">
        <v>1865</v>
      </c>
      <c r="C6453" t="s">
        <v>1014</v>
      </c>
      <c r="D6453" t="s">
        <v>1015</v>
      </c>
      <c r="E6453" s="8">
        <v>15860</v>
      </c>
      <c r="F6453" s="8">
        <v>44711.7276166457</v>
      </c>
      <c r="G6453" s="8">
        <f t="shared" si="400"/>
        <v>709128000</v>
      </c>
      <c r="H6453" s="5">
        <v>0.7579</v>
      </c>
      <c r="I6453" s="8">
        <f t="shared" si="401"/>
        <v>709128000</v>
      </c>
      <c r="J6453" s="8">
        <f t="shared" si="402"/>
        <v>537448111.2</v>
      </c>
      <c r="K6453" t="str">
        <f t="shared" si="403"/>
        <v>MATCHED</v>
      </c>
    </row>
    <row r="6454" spans="1:11">
      <c r="A6454" t="s">
        <v>128</v>
      </c>
      <c r="B6454" t="s">
        <v>1865</v>
      </c>
      <c r="C6454" t="s">
        <v>1502</v>
      </c>
      <c r="D6454" t="s">
        <v>1503</v>
      </c>
      <c r="E6454" s="8">
        <v>1720</v>
      </c>
      <c r="F6454" s="8">
        <v>43936.6279069767</v>
      </c>
      <c r="G6454" s="8">
        <f t="shared" si="400"/>
        <v>75571000</v>
      </c>
      <c r="H6454" s="5">
        <v>0.9156</v>
      </c>
      <c r="I6454" s="8">
        <f t="shared" si="401"/>
        <v>75571000</v>
      </c>
      <c r="J6454" s="8">
        <f t="shared" si="402"/>
        <v>69192807.6</v>
      </c>
      <c r="K6454" t="str">
        <f t="shared" si="403"/>
        <v>MATCHED</v>
      </c>
    </row>
    <row r="6455" spans="1:11">
      <c r="A6455" t="s">
        <v>128</v>
      </c>
      <c r="B6455" t="s">
        <v>1865</v>
      </c>
      <c r="C6455" t="s">
        <v>1597</v>
      </c>
      <c r="D6455" t="s">
        <v>1598</v>
      </c>
      <c r="E6455" s="8">
        <v>70</v>
      </c>
      <c r="F6455" s="8">
        <v>44440</v>
      </c>
      <c r="G6455" s="8">
        <f t="shared" si="400"/>
        <v>3110800</v>
      </c>
      <c r="H6455" s="5"/>
      <c r="I6455" s="8" t="str">
        <f t="shared" si="401"/>
        <v/>
      </c>
      <c r="J6455" s="8" t="str">
        <f t="shared" si="402"/>
        <v/>
      </c>
      <c r="K6455" t="str">
        <f t="shared" si="403"/>
        <v>MISSING WHARTON</v>
      </c>
    </row>
    <row r="6456" spans="1:11">
      <c r="A6456" t="s">
        <v>128</v>
      </c>
      <c r="B6456" t="s">
        <v>1865</v>
      </c>
      <c r="C6456" t="s">
        <v>880</v>
      </c>
      <c r="D6456" t="s">
        <v>881</v>
      </c>
      <c r="E6456" s="8">
        <v>15270</v>
      </c>
      <c r="F6456" s="8">
        <v>50223.5756385069</v>
      </c>
      <c r="G6456" s="8">
        <f t="shared" si="400"/>
        <v>766914000</v>
      </c>
      <c r="H6456" s="5">
        <v>0.9</v>
      </c>
      <c r="I6456" s="8">
        <f t="shared" si="401"/>
        <v>766914000</v>
      </c>
      <c r="J6456" s="8">
        <f t="shared" si="402"/>
        <v>690222600</v>
      </c>
      <c r="K6456" t="str">
        <f t="shared" si="403"/>
        <v>MATCHED</v>
      </c>
    </row>
    <row r="6457" spans="1:11">
      <c r="A6457" t="s">
        <v>128</v>
      </c>
      <c r="B6457" t="s">
        <v>1865</v>
      </c>
      <c r="C6457" t="s">
        <v>369</v>
      </c>
      <c r="D6457" t="s">
        <v>370</v>
      </c>
      <c r="E6457" s="8">
        <v>166920</v>
      </c>
      <c r="F6457" s="8">
        <v>50161.4096573209</v>
      </c>
      <c r="G6457" s="8">
        <f t="shared" si="400"/>
        <v>8372942500</v>
      </c>
      <c r="H6457" s="5">
        <v>0.8617</v>
      </c>
      <c r="I6457" s="8">
        <f t="shared" si="401"/>
        <v>8372942500</v>
      </c>
      <c r="J6457" s="8">
        <f t="shared" si="402"/>
        <v>7214964552.25</v>
      </c>
      <c r="K6457" t="str">
        <f t="shared" si="403"/>
        <v>MATCHED</v>
      </c>
    </row>
    <row r="6458" spans="1:11">
      <c r="A6458" t="s">
        <v>128</v>
      </c>
      <c r="B6458" t="s">
        <v>1865</v>
      </c>
      <c r="C6458" t="s">
        <v>371</v>
      </c>
      <c r="D6458" t="s">
        <v>372</v>
      </c>
      <c r="E6458" s="8">
        <v>93540</v>
      </c>
      <c r="F6458" s="8">
        <v>52575.8648706436</v>
      </c>
      <c r="G6458" s="8">
        <f t="shared" si="400"/>
        <v>4917946400</v>
      </c>
      <c r="H6458" s="5">
        <v>0.9517</v>
      </c>
      <c r="I6458" s="8">
        <f t="shared" si="401"/>
        <v>4917946400</v>
      </c>
      <c r="J6458" s="8">
        <f t="shared" si="402"/>
        <v>4680409588.88</v>
      </c>
      <c r="K6458" t="str">
        <f t="shared" si="403"/>
        <v>MATCHED</v>
      </c>
    </row>
    <row r="6459" spans="1:11">
      <c r="A6459" t="s">
        <v>128</v>
      </c>
      <c r="B6459" t="s">
        <v>1865</v>
      </c>
      <c r="C6459" t="s">
        <v>373</v>
      </c>
      <c r="D6459" t="s">
        <v>374</v>
      </c>
      <c r="E6459" s="8">
        <v>12990</v>
      </c>
      <c r="F6459" s="8">
        <v>56232.1401077752</v>
      </c>
      <c r="G6459" s="8">
        <f t="shared" si="400"/>
        <v>730455500</v>
      </c>
      <c r="H6459" s="5">
        <v>0.9409</v>
      </c>
      <c r="I6459" s="8">
        <f t="shared" si="401"/>
        <v>730455500</v>
      </c>
      <c r="J6459" s="8">
        <f t="shared" si="402"/>
        <v>687285579.95</v>
      </c>
      <c r="K6459" t="str">
        <f t="shared" si="403"/>
        <v>MATCHED</v>
      </c>
    </row>
    <row r="6460" spans="1:11">
      <c r="A6460" t="s">
        <v>128</v>
      </c>
      <c r="B6460" t="s">
        <v>1865</v>
      </c>
      <c r="C6460" t="s">
        <v>375</v>
      </c>
      <c r="D6460" t="s">
        <v>376</v>
      </c>
      <c r="E6460" s="8">
        <v>4120</v>
      </c>
      <c r="F6460" s="8">
        <v>48062.8883495146</v>
      </c>
      <c r="G6460" s="8">
        <f t="shared" si="400"/>
        <v>198019100</v>
      </c>
      <c r="H6460" s="5">
        <v>0.8237</v>
      </c>
      <c r="I6460" s="8">
        <f t="shared" si="401"/>
        <v>198019100</v>
      </c>
      <c r="J6460" s="8">
        <f t="shared" si="402"/>
        <v>163108332.67</v>
      </c>
      <c r="K6460" t="str">
        <f t="shared" si="403"/>
        <v>MATCHED</v>
      </c>
    </row>
    <row r="6461" spans="1:11">
      <c r="A6461" t="s">
        <v>128</v>
      </c>
      <c r="B6461" t="s">
        <v>1865</v>
      </c>
      <c r="C6461" t="s">
        <v>882</v>
      </c>
      <c r="D6461" t="s">
        <v>883</v>
      </c>
      <c r="E6461" s="8">
        <v>50</v>
      </c>
      <c r="F6461" s="8">
        <v>48120</v>
      </c>
      <c r="G6461" s="8">
        <f t="shared" si="400"/>
        <v>2406000</v>
      </c>
      <c r="H6461" s="5">
        <v>0.9138</v>
      </c>
      <c r="I6461" s="8">
        <f t="shared" si="401"/>
        <v>2406000</v>
      </c>
      <c r="J6461" s="8">
        <f t="shared" si="402"/>
        <v>2198602.8</v>
      </c>
      <c r="K6461" t="str">
        <f t="shared" si="403"/>
        <v>MATCHED</v>
      </c>
    </row>
    <row r="6462" spans="1:11">
      <c r="A6462" t="s">
        <v>128</v>
      </c>
      <c r="B6462" t="s">
        <v>1865</v>
      </c>
      <c r="C6462" t="s">
        <v>884</v>
      </c>
      <c r="D6462" t="s">
        <v>885</v>
      </c>
      <c r="E6462" s="8">
        <v>1840</v>
      </c>
      <c r="F6462" s="8">
        <v>51756.25</v>
      </c>
      <c r="G6462" s="8">
        <f t="shared" si="400"/>
        <v>95231500</v>
      </c>
      <c r="H6462" s="5"/>
      <c r="I6462" s="8" t="str">
        <f t="shared" si="401"/>
        <v/>
      </c>
      <c r="J6462" s="8" t="str">
        <f t="shared" si="402"/>
        <v/>
      </c>
      <c r="K6462" t="str">
        <f t="shared" si="403"/>
        <v>MISSING WHARTON</v>
      </c>
    </row>
    <row r="6463" spans="1:11">
      <c r="A6463" t="s">
        <v>128</v>
      </c>
      <c r="B6463" t="s">
        <v>1865</v>
      </c>
      <c r="C6463" t="s">
        <v>1284</v>
      </c>
      <c r="D6463" t="s">
        <v>1285</v>
      </c>
      <c r="E6463" s="8">
        <v>420</v>
      </c>
      <c r="F6463" s="8">
        <v>45810</v>
      </c>
      <c r="G6463" s="8">
        <f t="shared" si="400"/>
        <v>19240200</v>
      </c>
      <c r="H6463" s="5">
        <v>0.85</v>
      </c>
      <c r="I6463" s="8">
        <f t="shared" si="401"/>
        <v>19240200</v>
      </c>
      <c r="J6463" s="8">
        <f t="shared" si="402"/>
        <v>16354170</v>
      </c>
      <c r="K6463" t="str">
        <f t="shared" si="403"/>
        <v>MATCHED</v>
      </c>
    </row>
    <row r="6464" spans="1:11">
      <c r="A6464" t="s">
        <v>128</v>
      </c>
      <c r="B6464" t="s">
        <v>1865</v>
      </c>
      <c r="C6464" t="s">
        <v>1504</v>
      </c>
      <c r="D6464" t="s">
        <v>1505</v>
      </c>
      <c r="E6464" s="8">
        <v>160</v>
      </c>
      <c r="F6464" s="8">
        <v>38700</v>
      </c>
      <c r="G6464" s="8">
        <f t="shared" si="400"/>
        <v>6192000</v>
      </c>
      <c r="H6464" s="5">
        <v>0.8867</v>
      </c>
      <c r="I6464" s="8">
        <f t="shared" si="401"/>
        <v>6192000</v>
      </c>
      <c r="J6464" s="8">
        <f t="shared" si="402"/>
        <v>5490446.4</v>
      </c>
      <c r="K6464" t="str">
        <f t="shared" si="403"/>
        <v>MATCHED</v>
      </c>
    </row>
    <row r="6465" spans="1:11">
      <c r="A6465" t="s">
        <v>128</v>
      </c>
      <c r="B6465" t="s">
        <v>1865</v>
      </c>
      <c r="C6465" t="s">
        <v>1016</v>
      </c>
      <c r="D6465" t="s">
        <v>1017</v>
      </c>
      <c r="E6465" s="8">
        <v>370</v>
      </c>
      <c r="F6465" s="8">
        <v>50140</v>
      </c>
      <c r="G6465" s="8">
        <f t="shared" si="400"/>
        <v>18551800</v>
      </c>
      <c r="H6465" s="5">
        <v>0.9469</v>
      </c>
      <c r="I6465" s="8">
        <f t="shared" si="401"/>
        <v>18551800</v>
      </c>
      <c r="J6465" s="8">
        <f t="shared" si="402"/>
        <v>17566699.42</v>
      </c>
      <c r="K6465" t="str">
        <f t="shared" si="403"/>
        <v>MATCHED</v>
      </c>
    </row>
    <row r="6466" spans="1:11">
      <c r="A6466" t="s">
        <v>128</v>
      </c>
      <c r="B6466" t="s">
        <v>1865</v>
      </c>
      <c r="C6466" t="s">
        <v>377</v>
      </c>
      <c r="D6466" t="s">
        <v>378</v>
      </c>
      <c r="E6466" s="8">
        <v>155380</v>
      </c>
      <c r="F6466" s="8">
        <v>45411.0895868194</v>
      </c>
      <c r="G6466" s="8">
        <f t="shared" ref="G6466:G6529" si="404">IF(OR(E6466="",F6466=""),"",E6466*F6466)</f>
        <v>7055975100</v>
      </c>
      <c r="H6466" s="5">
        <v>0.82</v>
      </c>
      <c r="I6466" s="8">
        <f t="shared" ref="I6466:I6529" si="405">IF(G6466="","",IF(ISNUMBER(H6466),G6466,""))</f>
        <v>7055975100</v>
      </c>
      <c r="J6466" s="8">
        <f t="shared" ref="J6466:J6529" si="406">IF(I6466="","",I6466*H6466)</f>
        <v>5785899582</v>
      </c>
      <c r="K6466" t="str">
        <f t="shared" ref="K6466:K6529" si="407">IF(G6466="","MISSING OEWS",IF(ISNUMBER(H6466),"MATCHED","MISSING WHARTON"))</f>
        <v>MATCHED</v>
      </c>
    </row>
    <row r="6467" spans="1:11">
      <c r="A6467" t="s">
        <v>128</v>
      </c>
      <c r="B6467" t="s">
        <v>1865</v>
      </c>
      <c r="C6467" t="s">
        <v>1535</v>
      </c>
      <c r="D6467" t="s">
        <v>1536</v>
      </c>
      <c r="E6467" s="8">
        <v>5740</v>
      </c>
      <c r="F6467" s="8">
        <v>49220.9407665505</v>
      </c>
      <c r="G6467" s="8">
        <f t="shared" si="404"/>
        <v>282528200</v>
      </c>
      <c r="H6467" s="5">
        <v>0.7912</v>
      </c>
      <c r="I6467" s="8">
        <f t="shared" si="405"/>
        <v>282528200</v>
      </c>
      <c r="J6467" s="8">
        <f t="shared" si="406"/>
        <v>223536311.84</v>
      </c>
      <c r="K6467" t="str">
        <f t="shared" si="407"/>
        <v>MATCHED</v>
      </c>
    </row>
    <row r="6468" spans="1:11">
      <c r="A6468" t="s">
        <v>128</v>
      </c>
      <c r="B6468" t="s">
        <v>1865</v>
      </c>
      <c r="C6468" t="s">
        <v>379</v>
      </c>
      <c r="D6468" t="s">
        <v>380</v>
      </c>
      <c r="E6468" s="8">
        <v>7290</v>
      </c>
      <c r="F6468" s="8">
        <v>40743.401920439</v>
      </c>
      <c r="G6468" s="8">
        <f t="shared" si="404"/>
        <v>297019400</v>
      </c>
      <c r="H6468" s="5">
        <v>0.7526</v>
      </c>
      <c r="I6468" s="8">
        <f t="shared" si="405"/>
        <v>297019400</v>
      </c>
      <c r="J6468" s="8">
        <f t="shared" si="406"/>
        <v>223536800.44</v>
      </c>
      <c r="K6468" t="str">
        <f t="shared" si="407"/>
        <v>MATCHED</v>
      </c>
    </row>
    <row r="6469" spans="1:11">
      <c r="A6469" t="s">
        <v>128</v>
      </c>
      <c r="B6469" t="s">
        <v>1865</v>
      </c>
      <c r="C6469" t="s">
        <v>1506</v>
      </c>
      <c r="D6469" t="s">
        <v>1507</v>
      </c>
      <c r="E6469" s="8">
        <v>250</v>
      </c>
      <c r="F6469" s="8">
        <v>48880</v>
      </c>
      <c r="G6469" s="8">
        <f t="shared" si="404"/>
        <v>12220000</v>
      </c>
      <c r="H6469" s="5">
        <v>0.665</v>
      </c>
      <c r="I6469" s="8">
        <f t="shared" si="405"/>
        <v>12220000</v>
      </c>
      <c r="J6469" s="8">
        <f t="shared" si="406"/>
        <v>8126300</v>
      </c>
      <c r="K6469" t="str">
        <f t="shared" si="407"/>
        <v>MATCHED</v>
      </c>
    </row>
    <row r="6470" spans="1:11">
      <c r="A6470" t="s">
        <v>128</v>
      </c>
      <c r="B6470" t="s">
        <v>1865</v>
      </c>
      <c r="C6470" t="s">
        <v>1286</v>
      </c>
      <c r="D6470" t="s">
        <v>1287</v>
      </c>
      <c r="E6470" s="8">
        <v>86280</v>
      </c>
      <c r="F6470" s="8">
        <v>47904.8690310617</v>
      </c>
      <c r="G6470" s="8">
        <f t="shared" si="404"/>
        <v>4133232100</v>
      </c>
      <c r="H6470" s="5">
        <v>0.7088</v>
      </c>
      <c r="I6470" s="8">
        <f t="shared" si="405"/>
        <v>4133232100</v>
      </c>
      <c r="J6470" s="8">
        <f t="shared" si="406"/>
        <v>2929634912.48</v>
      </c>
      <c r="K6470" t="str">
        <f t="shared" si="407"/>
        <v>MATCHED</v>
      </c>
    </row>
    <row r="6471" spans="1:11">
      <c r="A6471" t="s">
        <v>128</v>
      </c>
      <c r="B6471" t="s">
        <v>1865</v>
      </c>
      <c r="C6471" t="s">
        <v>1599</v>
      </c>
      <c r="D6471" t="s">
        <v>1600</v>
      </c>
      <c r="E6471" s="8">
        <v>200</v>
      </c>
      <c r="F6471" s="8">
        <v>42990</v>
      </c>
      <c r="G6471" s="8">
        <f t="shared" si="404"/>
        <v>8598000</v>
      </c>
      <c r="H6471" s="5">
        <v>0.547</v>
      </c>
      <c r="I6471" s="8">
        <f t="shared" si="405"/>
        <v>8598000</v>
      </c>
      <c r="J6471" s="8">
        <f t="shared" si="406"/>
        <v>4703106</v>
      </c>
      <c r="K6471" t="str">
        <f t="shared" si="407"/>
        <v>MATCHED</v>
      </c>
    </row>
    <row r="6472" spans="1:11">
      <c r="A6472" t="s">
        <v>128</v>
      </c>
      <c r="B6472" t="s">
        <v>1865</v>
      </c>
      <c r="C6472" t="s">
        <v>1018</v>
      </c>
      <c r="D6472" t="s">
        <v>1019</v>
      </c>
      <c r="E6472" s="8">
        <v>170</v>
      </c>
      <c r="F6472" s="8">
        <v>51370</v>
      </c>
      <c r="G6472" s="8">
        <f t="shared" si="404"/>
        <v>8732900</v>
      </c>
      <c r="H6472" s="5">
        <v>0.9111</v>
      </c>
      <c r="I6472" s="8">
        <f t="shared" si="405"/>
        <v>8732900</v>
      </c>
      <c r="J6472" s="8">
        <f t="shared" si="406"/>
        <v>7956545.19</v>
      </c>
      <c r="K6472" t="str">
        <f t="shared" si="407"/>
        <v>MATCHED</v>
      </c>
    </row>
    <row r="6473" spans="1:11">
      <c r="A6473" t="s">
        <v>128</v>
      </c>
      <c r="B6473" t="s">
        <v>1865</v>
      </c>
      <c r="C6473" t="s">
        <v>381</v>
      </c>
      <c r="D6473" t="s">
        <v>382</v>
      </c>
      <c r="E6473" s="8">
        <v>840</v>
      </c>
      <c r="F6473" s="8">
        <v>43580</v>
      </c>
      <c r="G6473" s="8">
        <f t="shared" si="404"/>
        <v>36607200</v>
      </c>
      <c r="H6473" s="5">
        <v>0.9553</v>
      </c>
      <c r="I6473" s="8">
        <f t="shared" si="405"/>
        <v>36607200</v>
      </c>
      <c r="J6473" s="8">
        <f t="shared" si="406"/>
        <v>34970858.16</v>
      </c>
      <c r="K6473" t="str">
        <f t="shared" si="407"/>
        <v>MATCHED</v>
      </c>
    </row>
    <row r="6474" spans="1:11">
      <c r="A6474" t="s">
        <v>128</v>
      </c>
      <c r="B6474" t="s">
        <v>1865</v>
      </c>
      <c r="C6474" t="s">
        <v>383</v>
      </c>
      <c r="D6474" t="s">
        <v>384</v>
      </c>
      <c r="E6474" s="8">
        <v>14050</v>
      </c>
      <c r="F6474" s="8">
        <v>48895.6014234875</v>
      </c>
      <c r="G6474" s="8">
        <f t="shared" si="404"/>
        <v>686983200</v>
      </c>
      <c r="H6474" s="5">
        <v>0.8342</v>
      </c>
      <c r="I6474" s="8">
        <f t="shared" si="405"/>
        <v>686983200</v>
      </c>
      <c r="J6474" s="8">
        <f t="shared" si="406"/>
        <v>573081385.44</v>
      </c>
      <c r="K6474" t="str">
        <f t="shared" si="407"/>
        <v>MATCHED</v>
      </c>
    </row>
    <row r="6475" spans="1:11">
      <c r="A6475" t="s">
        <v>128</v>
      </c>
      <c r="B6475" t="s">
        <v>1865</v>
      </c>
      <c r="C6475" t="s">
        <v>385</v>
      </c>
      <c r="D6475" t="s">
        <v>386</v>
      </c>
      <c r="E6475" s="8">
        <v>389470</v>
      </c>
      <c r="F6475" s="8">
        <v>41548.3780522248</v>
      </c>
      <c r="G6475" s="8">
        <f t="shared" si="404"/>
        <v>16181846800</v>
      </c>
      <c r="H6475" s="5">
        <v>0.7368</v>
      </c>
      <c r="I6475" s="8">
        <f t="shared" si="405"/>
        <v>16181846800</v>
      </c>
      <c r="J6475" s="8">
        <f t="shared" si="406"/>
        <v>11922784722.24</v>
      </c>
      <c r="K6475" t="str">
        <f t="shared" si="407"/>
        <v>MATCHED</v>
      </c>
    </row>
    <row r="6476" spans="1:11">
      <c r="A6476" t="s">
        <v>128</v>
      </c>
      <c r="B6476" t="s">
        <v>1865</v>
      </c>
      <c r="C6476" t="s">
        <v>1537</v>
      </c>
      <c r="D6476" t="s">
        <v>1538</v>
      </c>
      <c r="E6476" s="8">
        <v>70</v>
      </c>
      <c r="F6476" s="8">
        <v>59160</v>
      </c>
      <c r="G6476" s="8">
        <f t="shared" si="404"/>
        <v>4141200</v>
      </c>
      <c r="H6476" s="5">
        <v>0.7714</v>
      </c>
      <c r="I6476" s="8">
        <f t="shared" si="405"/>
        <v>4141200</v>
      </c>
      <c r="J6476" s="8">
        <f t="shared" si="406"/>
        <v>3194521.68</v>
      </c>
      <c r="K6476" t="str">
        <f t="shared" si="407"/>
        <v>MATCHED</v>
      </c>
    </row>
    <row r="6477" spans="1:11">
      <c r="A6477" t="s">
        <v>128</v>
      </c>
      <c r="B6477" t="s">
        <v>1865</v>
      </c>
      <c r="C6477" t="s">
        <v>658</v>
      </c>
      <c r="D6477" t="s">
        <v>659</v>
      </c>
      <c r="E6477" s="8">
        <v>8020</v>
      </c>
      <c r="F6477" s="8">
        <v>50099.5386533666</v>
      </c>
      <c r="G6477" s="8">
        <f t="shared" si="404"/>
        <v>401798300</v>
      </c>
      <c r="H6477" s="5"/>
      <c r="I6477" s="8" t="str">
        <f t="shared" si="405"/>
        <v/>
      </c>
      <c r="J6477" s="8" t="str">
        <f t="shared" si="406"/>
        <v/>
      </c>
      <c r="K6477" t="str">
        <f t="shared" si="407"/>
        <v>MISSING WHARTON</v>
      </c>
    </row>
    <row r="6478" spans="1:11">
      <c r="A6478" t="s">
        <v>128</v>
      </c>
      <c r="B6478" t="s">
        <v>1865</v>
      </c>
      <c r="C6478" t="s">
        <v>886</v>
      </c>
      <c r="D6478" t="s">
        <v>887</v>
      </c>
      <c r="E6478" s="8">
        <v>24440</v>
      </c>
      <c r="F6478" s="8">
        <v>41944.8854337152</v>
      </c>
      <c r="G6478" s="8">
        <f t="shared" si="404"/>
        <v>1025133000</v>
      </c>
      <c r="H6478" s="5">
        <v>0.2235</v>
      </c>
      <c r="I6478" s="8">
        <f t="shared" si="405"/>
        <v>1025133000</v>
      </c>
      <c r="J6478" s="8">
        <f t="shared" si="406"/>
        <v>229117225.5</v>
      </c>
      <c r="K6478" t="str">
        <f t="shared" si="407"/>
        <v>MATCHED</v>
      </c>
    </row>
    <row r="6479" spans="1:11">
      <c r="A6479" t="s">
        <v>128</v>
      </c>
      <c r="B6479" t="s">
        <v>1865</v>
      </c>
      <c r="C6479" t="s">
        <v>1737</v>
      </c>
      <c r="D6479" t="s">
        <v>1738</v>
      </c>
      <c r="E6479" s="8">
        <v>7510</v>
      </c>
      <c r="F6479" s="8">
        <v>49390.5326231691</v>
      </c>
      <c r="G6479" s="8">
        <f t="shared" si="404"/>
        <v>370922900</v>
      </c>
      <c r="H6479" s="5">
        <v>0.6694</v>
      </c>
      <c r="I6479" s="8">
        <f t="shared" si="405"/>
        <v>370922900</v>
      </c>
      <c r="J6479" s="8">
        <f t="shared" si="406"/>
        <v>248295789.26</v>
      </c>
      <c r="K6479" t="str">
        <f t="shared" si="407"/>
        <v>MATCHED</v>
      </c>
    </row>
    <row r="6480" spans="1:11">
      <c r="A6480" t="s">
        <v>128</v>
      </c>
      <c r="B6480" t="s">
        <v>1865</v>
      </c>
      <c r="C6480" t="s">
        <v>387</v>
      </c>
      <c r="D6480" t="s">
        <v>388</v>
      </c>
      <c r="E6480" s="8">
        <v>5470</v>
      </c>
      <c r="F6480" s="8">
        <v>45958.1170018282</v>
      </c>
      <c r="G6480" s="8">
        <f t="shared" si="404"/>
        <v>251390900</v>
      </c>
      <c r="H6480" s="5">
        <v>0.8192</v>
      </c>
      <c r="I6480" s="8">
        <f t="shared" si="405"/>
        <v>251390900</v>
      </c>
      <c r="J6480" s="8">
        <f t="shared" si="406"/>
        <v>205939425.28</v>
      </c>
      <c r="K6480" t="str">
        <f t="shared" si="407"/>
        <v>MATCHED</v>
      </c>
    </row>
    <row r="6481" spans="1:11">
      <c r="A6481" t="s">
        <v>128</v>
      </c>
      <c r="B6481" t="s">
        <v>1865</v>
      </c>
      <c r="C6481" t="s">
        <v>389</v>
      </c>
      <c r="D6481" t="s">
        <v>390</v>
      </c>
      <c r="E6481" s="8">
        <v>23710</v>
      </c>
      <c r="F6481" s="8">
        <v>53781.0839308309</v>
      </c>
      <c r="G6481" s="8">
        <f t="shared" si="404"/>
        <v>1275149500</v>
      </c>
      <c r="H6481" s="5">
        <v>0.7794</v>
      </c>
      <c r="I6481" s="8">
        <f t="shared" si="405"/>
        <v>1275149500</v>
      </c>
      <c r="J6481" s="8">
        <f t="shared" si="406"/>
        <v>993851520.3</v>
      </c>
      <c r="K6481" t="str">
        <f t="shared" si="407"/>
        <v>MATCHED</v>
      </c>
    </row>
    <row r="6482" spans="1:11">
      <c r="A6482" t="s">
        <v>128</v>
      </c>
      <c r="B6482" t="s">
        <v>1865</v>
      </c>
      <c r="C6482" t="s">
        <v>391</v>
      </c>
      <c r="D6482" t="s">
        <v>392</v>
      </c>
      <c r="E6482" s="8">
        <v>24320</v>
      </c>
      <c r="F6482" s="8">
        <v>47200.5715460526</v>
      </c>
      <c r="G6482" s="8">
        <f t="shared" si="404"/>
        <v>1147917900</v>
      </c>
      <c r="H6482" s="5">
        <v>0.6455</v>
      </c>
      <c r="I6482" s="8">
        <f t="shared" si="405"/>
        <v>1147917900</v>
      </c>
      <c r="J6482" s="8">
        <f t="shared" si="406"/>
        <v>740981004.45</v>
      </c>
      <c r="K6482" t="str">
        <f t="shared" si="407"/>
        <v>MATCHED</v>
      </c>
    </row>
    <row r="6483" spans="1:11">
      <c r="A6483" t="s">
        <v>128</v>
      </c>
      <c r="B6483" t="s">
        <v>1865</v>
      </c>
      <c r="C6483" t="s">
        <v>393</v>
      </c>
      <c r="D6483" t="s">
        <v>394</v>
      </c>
      <c r="E6483" s="8">
        <v>370</v>
      </c>
      <c r="F6483" s="8">
        <v>43830</v>
      </c>
      <c r="G6483" s="8">
        <f t="shared" si="404"/>
        <v>16217100</v>
      </c>
      <c r="H6483" s="5">
        <v>0.2932</v>
      </c>
      <c r="I6483" s="8">
        <f t="shared" si="405"/>
        <v>16217100</v>
      </c>
      <c r="J6483" s="8">
        <f t="shared" si="406"/>
        <v>4754853.72</v>
      </c>
      <c r="K6483" t="str">
        <f t="shared" si="407"/>
        <v>MATCHED</v>
      </c>
    </row>
    <row r="6484" spans="1:11">
      <c r="A6484" t="s">
        <v>128</v>
      </c>
      <c r="B6484" t="s">
        <v>1865</v>
      </c>
      <c r="C6484" t="s">
        <v>395</v>
      </c>
      <c r="D6484" t="s">
        <v>396</v>
      </c>
      <c r="E6484" s="8">
        <v>40190</v>
      </c>
      <c r="F6484" s="8">
        <v>70808.7360039811</v>
      </c>
      <c r="G6484" s="8">
        <f t="shared" si="404"/>
        <v>2845803100</v>
      </c>
      <c r="H6484" s="5">
        <v>0.7955</v>
      </c>
      <c r="I6484" s="8">
        <f t="shared" si="405"/>
        <v>2845803100</v>
      </c>
      <c r="J6484" s="8">
        <f t="shared" si="406"/>
        <v>2263836366.05</v>
      </c>
      <c r="K6484" t="str">
        <f t="shared" si="407"/>
        <v>MATCHED</v>
      </c>
    </row>
    <row r="6485" spans="1:11">
      <c r="A6485" t="s">
        <v>128</v>
      </c>
      <c r="B6485" t="s">
        <v>1865</v>
      </c>
      <c r="C6485" t="s">
        <v>890</v>
      </c>
      <c r="D6485" t="s">
        <v>891</v>
      </c>
      <c r="E6485" s="8">
        <v>520</v>
      </c>
      <c r="F6485" s="8">
        <v>49797.6923076923</v>
      </c>
      <c r="G6485" s="8">
        <f t="shared" si="404"/>
        <v>25894800</v>
      </c>
      <c r="H6485" s="5">
        <v>0.8679</v>
      </c>
      <c r="I6485" s="8">
        <f t="shared" si="405"/>
        <v>25894800</v>
      </c>
      <c r="J6485" s="8">
        <f t="shared" si="406"/>
        <v>22474096.92</v>
      </c>
      <c r="K6485" t="str">
        <f t="shared" si="407"/>
        <v>MATCHED</v>
      </c>
    </row>
    <row r="6486" spans="1:11">
      <c r="A6486" t="s">
        <v>128</v>
      </c>
      <c r="B6486" t="s">
        <v>1865</v>
      </c>
      <c r="C6486" t="s">
        <v>1290</v>
      </c>
      <c r="D6486" t="s">
        <v>1291</v>
      </c>
      <c r="E6486" s="8">
        <v>833540</v>
      </c>
      <c r="F6486" s="8">
        <v>46596.635314442</v>
      </c>
      <c r="G6486" s="8">
        <f t="shared" si="404"/>
        <v>38840159400</v>
      </c>
      <c r="H6486" s="5">
        <v>0.9031</v>
      </c>
      <c r="I6486" s="8">
        <f t="shared" si="405"/>
        <v>38840159400</v>
      </c>
      <c r="J6486" s="8">
        <f t="shared" si="406"/>
        <v>35076547954.14</v>
      </c>
      <c r="K6486" t="str">
        <f t="shared" si="407"/>
        <v>MATCHED</v>
      </c>
    </row>
    <row r="6487" spans="1:11">
      <c r="A6487" t="s">
        <v>128</v>
      </c>
      <c r="B6487" t="s">
        <v>1865</v>
      </c>
      <c r="C6487" t="s">
        <v>397</v>
      </c>
      <c r="D6487" t="s">
        <v>398</v>
      </c>
      <c r="E6487" s="8">
        <v>170180</v>
      </c>
      <c r="F6487" s="8">
        <v>47165.4606886826</v>
      </c>
      <c r="G6487" s="8">
        <f t="shared" si="404"/>
        <v>8026618100</v>
      </c>
      <c r="H6487" s="5">
        <v>0.8031</v>
      </c>
      <c r="I6487" s="8">
        <f t="shared" si="405"/>
        <v>8026618100</v>
      </c>
      <c r="J6487" s="8">
        <f t="shared" si="406"/>
        <v>6446176996.11</v>
      </c>
      <c r="K6487" t="str">
        <f t="shared" si="407"/>
        <v>MATCHED</v>
      </c>
    </row>
    <row r="6488" spans="1:11">
      <c r="A6488" t="s">
        <v>128</v>
      </c>
      <c r="B6488" t="s">
        <v>1865</v>
      </c>
      <c r="C6488" t="s">
        <v>399</v>
      </c>
      <c r="D6488" t="s">
        <v>400</v>
      </c>
      <c r="E6488" s="8">
        <v>12410</v>
      </c>
      <c r="F6488" s="8">
        <v>42720.2820306205</v>
      </c>
      <c r="G6488" s="8">
        <f t="shared" si="404"/>
        <v>530158700</v>
      </c>
      <c r="H6488" s="5">
        <v>0.75</v>
      </c>
      <c r="I6488" s="8">
        <f t="shared" si="405"/>
        <v>530158700</v>
      </c>
      <c r="J6488" s="8">
        <f t="shared" si="406"/>
        <v>397619025</v>
      </c>
      <c r="K6488" t="str">
        <f t="shared" si="407"/>
        <v>MATCHED</v>
      </c>
    </row>
    <row r="6489" spans="1:11">
      <c r="A6489" t="s">
        <v>128</v>
      </c>
      <c r="B6489" t="s">
        <v>1865</v>
      </c>
      <c r="C6489" t="s">
        <v>1455</v>
      </c>
      <c r="D6489" t="s">
        <v>1456</v>
      </c>
      <c r="E6489" s="8">
        <v>690</v>
      </c>
      <c r="F6489" s="8">
        <v>43915.5072463768</v>
      </c>
      <c r="G6489" s="8">
        <f t="shared" si="404"/>
        <v>30301700</v>
      </c>
      <c r="H6489" s="5">
        <v>0.835</v>
      </c>
      <c r="I6489" s="8">
        <f t="shared" si="405"/>
        <v>30301700</v>
      </c>
      <c r="J6489" s="8">
        <f t="shared" si="406"/>
        <v>25301919.5</v>
      </c>
      <c r="K6489" t="str">
        <f t="shared" si="407"/>
        <v>MATCHED</v>
      </c>
    </row>
    <row r="6490" spans="1:11">
      <c r="A6490" t="s">
        <v>128</v>
      </c>
      <c r="B6490" t="s">
        <v>1865</v>
      </c>
      <c r="C6490" t="s">
        <v>1020</v>
      </c>
      <c r="D6490" t="s">
        <v>1021</v>
      </c>
      <c r="E6490" s="8">
        <v>12120</v>
      </c>
      <c r="F6490" s="8">
        <v>47612.3514851485</v>
      </c>
      <c r="G6490" s="8">
        <f t="shared" si="404"/>
        <v>577061700</v>
      </c>
      <c r="H6490" s="5">
        <v>0.9519</v>
      </c>
      <c r="I6490" s="8">
        <f t="shared" si="405"/>
        <v>577061700</v>
      </c>
      <c r="J6490" s="8">
        <f t="shared" si="406"/>
        <v>549305032.23</v>
      </c>
      <c r="K6490" t="str">
        <f t="shared" si="407"/>
        <v>MATCHED</v>
      </c>
    </row>
    <row r="6491" spans="1:11">
      <c r="A6491" t="s">
        <v>128</v>
      </c>
      <c r="B6491" t="s">
        <v>1865</v>
      </c>
      <c r="C6491" t="s">
        <v>892</v>
      </c>
      <c r="D6491" t="s">
        <v>893</v>
      </c>
      <c r="E6491" s="8">
        <v>1530</v>
      </c>
      <c r="F6491" s="8">
        <v>41851.568627451</v>
      </c>
      <c r="G6491" s="8">
        <f t="shared" si="404"/>
        <v>64032900</v>
      </c>
      <c r="H6491" s="5">
        <v>0.231</v>
      </c>
      <c r="I6491" s="8">
        <f t="shared" si="405"/>
        <v>64032900</v>
      </c>
      <c r="J6491" s="8">
        <f t="shared" si="406"/>
        <v>14791599.9</v>
      </c>
      <c r="K6491" t="str">
        <f t="shared" si="407"/>
        <v>MATCHED</v>
      </c>
    </row>
    <row r="6492" spans="1:11">
      <c r="A6492" t="s">
        <v>128</v>
      </c>
      <c r="B6492" t="s">
        <v>1865</v>
      </c>
      <c r="C6492" t="s">
        <v>401</v>
      </c>
      <c r="D6492" t="s">
        <v>402</v>
      </c>
      <c r="E6492" s="8">
        <v>260960</v>
      </c>
      <c r="F6492" s="8">
        <v>45132.7069282649</v>
      </c>
      <c r="G6492" s="8">
        <f t="shared" si="404"/>
        <v>11777831200</v>
      </c>
      <c r="H6492" s="5">
        <v>0.7452</v>
      </c>
      <c r="I6492" s="8">
        <f t="shared" si="405"/>
        <v>11777831200</v>
      </c>
      <c r="J6492" s="8">
        <f t="shared" si="406"/>
        <v>8776839810.24</v>
      </c>
      <c r="K6492" t="str">
        <f t="shared" si="407"/>
        <v>MATCHED</v>
      </c>
    </row>
    <row r="6493" spans="1:11">
      <c r="A6493" t="s">
        <v>128</v>
      </c>
      <c r="B6493" t="s">
        <v>1865</v>
      </c>
      <c r="C6493" t="s">
        <v>660</v>
      </c>
      <c r="D6493" t="s">
        <v>661</v>
      </c>
      <c r="E6493" s="8">
        <v>1830</v>
      </c>
      <c r="F6493" s="8">
        <v>41199.5081967213</v>
      </c>
      <c r="G6493" s="8">
        <f t="shared" si="404"/>
        <v>75395100</v>
      </c>
      <c r="H6493" s="5">
        <v>0.2639</v>
      </c>
      <c r="I6493" s="8">
        <f t="shared" si="405"/>
        <v>75395100</v>
      </c>
      <c r="J6493" s="8">
        <f t="shared" si="406"/>
        <v>19896766.89</v>
      </c>
      <c r="K6493" t="str">
        <f t="shared" si="407"/>
        <v>MATCHED</v>
      </c>
    </row>
    <row r="6494" spans="1:11">
      <c r="A6494" t="s">
        <v>128</v>
      </c>
      <c r="B6494" t="s">
        <v>1865</v>
      </c>
      <c r="C6494" t="s">
        <v>1294</v>
      </c>
      <c r="D6494" t="s">
        <v>1295</v>
      </c>
      <c r="E6494" s="8">
        <v>60</v>
      </c>
      <c r="F6494" s="8">
        <v>60590</v>
      </c>
      <c r="G6494" s="8">
        <f t="shared" si="404"/>
        <v>3635400</v>
      </c>
      <c r="H6494" s="5">
        <v>0.9273</v>
      </c>
      <c r="I6494" s="8">
        <f t="shared" si="405"/>
        <v>3635400</v>
      </c>
      <c r="J6494" s="8">
        <f t="shared" si="406"/>
        <v>3371106.42</v>
      </c>
      <c r="K6494" t="str">
        <f t="shared" si="407"/>
        <v>MATCHED</v>
      </c>
    </row>
    <row r="6495" spans="1:11">
      <c r="A6495" t="s">
        <v>128</v>
      </c>
      <c r="B6495" t="s">
        <v>1865</v>
      </c>
      <c r="C6495" t="s">
        <v>1545</v>
      </c>
      <c r="D6495" t="s">
        <v>1546</v>
      </c>
      <c r="E6495" s="8">
        <v>290</v>
      </c>
      <c r="F6495" s="8">
        <v>55430</v>
      </c>
      <c r="G6495" s="8">
        <f t="shared" si="404"/>
        <v>16074700</v>
      </c>
      <c r="H6495" s="5">
        <v>0.8679</v>
      </c>
      <c r="I6495" s="8">
        <f t="shared" si="405"/>
        <v>16074700</v>
      </c>
      <c r="J6495" s="8">
        <f t="shared" si="406"/>
        <v>13951232.13</v>
      </c>
      <c r="K6495" t="str">
        <f t="shared" si="407"/>
        <v>MATCHED</v>
      </c>
    </row>
    <row r="6496" spans="1:11">
      <c r="A6496" t="s">
        <v>128</v>
      </c>
      <c r="B6496" t="s">
        <v>1865</v>
      </c>
      <c r="C6496" t="s">
        <v>662</v>
      </c>
      <c r="D6496" t="s">
        <v>663</v>
      </c>
      <c r="E6496" s="8">
        <v>14930</v>
      </c>
      <c r="F6496" s="8">
        <v>50346.5840589417</v>
      </c>
      <c r="G6496" s="8">
        <f t="shared" si="404"/>
        <v>751674500</v>
      </c>
      <c r="H6496" s="5"/>
      <c r="I6496" s="8" t="str">
        <f t="shared" si="405"/>
        <v/>
      </c>
      <c r="J6496" s="8" t="str">
        <f t="shared" si="406"/>
        <v/>
      </c>
      <c r="K6496" t="str">
        <f t="shared" si="407"/>
        <v>MISSING WHARTON</v>
      </c>
    </row>
    <row r="6497" spans="1:11">
      <c r="A6497" t="s">
        <v>128</v>
      </c>
      <c r="B6497" t="s">
        <v>1865</v>
      </c>
      <c r="C6497" t="s">
        <v>403</v>
      </c>
      <c r="D6497" t="s">
        <v>404</v>
      </c>
      <c r="E6497" s="8">
        <v>140</v>
      </c>
      <c r="F6497" s="8">
        <v>49600</v>
      </c>
      <c r="G6497" s="8">
        <f t="shared" si="404"/>
        <v>6944000</v>
      </c>
      <c r="H6497" s="5">
        <v>0.22</v>
      </c>
      <c r="I6497" s="8">
        <f t="shared" si="405"/>
        <v>6944000</v>
      </c>
      <c r="J6497" s="8">
        <f t="shared" si="406"/>
        <v>1527680</v>
      </c>
      <c r="K6497" t="str">
        <f t="shared" si="407"/>
        <v>MATCHED</v>
      </c>
    </row>
    <row r="6498" spans="1:11">
      <c r="A6498" t="s">
        <v>128</v>
      </c>
      <c r="B6498" t="s">
        <v>1865</v>
      </c>
      <c r="C6498" t="s">
        <v>413</v>
      </c>
      <c r="D6498" t="s">
        <v>414</v>
      </c>
      <c r="E6498" s="8">
        <v>890</v>
      </c>
      <c r="F6498" s="8">
        <v>37010</v>
      </c>
      <c r="G6498" s="8">
        <f t="shared" si="404"/>
        <v>32938900</v>
      </c>
      <c r="H6498" s="5">
        <v>0.0633</v>
      </c>
      <c r="I6498" s="8">
        <f t="shared" si="405"/>
        <v>32938900</v>
      </c>
      <c r="J6498" s="8">
        <f t="shared" si="406"/>
        <v>2085032.37</v>
      </c>
      <c r="K6498" t="str">
        <f t="shared" si="407"/>
        <v>MATCHED</v>
      </c>
    </row>
    <row r="6499" spans="1:11">
      <c r="A6499" t="s">
        <v>128</v>
      </c>
      <c r="B6499" t="s">
        <v>1865</v>
      </c>
      <c r="C6499" t="s">
        <v>415</v>
      </c>
      <c r="D6499" t="s">
        <v>416</v>
      </c>
      <c r="E6499" s="8">
        <v>920</v>
      </c>
      <c r="F6499" s="8">
        <v>34160</v>
      </c>
      <c r="G6499" s="8">
        <f t="shared" si="404"/>
        <v>31427200</v>
      </c>
      <c r="H6499" s="5">
        <v>0.0864</v>
      </c>
      <c r="I6499" s="8">
        <f t="shared" si="405"/>
        <v>31427200</v>
      </c>
      <c r="J6499" s="8">
        <f t="shared" si="406"/>
        <v>2715310.08</v>
      </c>
      <c r="K6499" t="str">
        <f t="shared" si="407"/>
        <v>MATCHED</v>
      </c>
    </row>
    <row r="6500" spans="1:11">
      <c r="A6500" t="s">
        <v>128</v>
      </c>
      <c r="B6500" t="s">
        <v>1865</v>
      </c>
      <c r="C6500" t="s">
        <v>664</v>
      </c>
      <c r="D6500" t="s">
        <v>665</v>
      </c>
      <c r="E6500" s="8">
        <v>1940</v>
      </c>
      <c r="F6500" s="8">
        <v>82633.0927835052</v>
      </c>
      <c r="G6500" s="8">
        <f t="shared" si="404"/>
        <v>160308200</v>
      </c>
      <c r="H6500" s="5">
        <v>0.265</v>
      </c>
      <c r="I6500" s="8">
        <f t="shared" si="405"/>
        <v>160308200</v>
      </c>
      <c r="J6500" s="8">
        <f t="shared" si="406"/>
        <v>42481673</v>
      </c>
      <c r="K6500" t="str">
        <f t="shared" si="407"/>
        <v>MATCHED</v>
      </c>
    </row>
    <row r="6501" spans="1:11">
      <c r="A6501" t="s">
        <v>128</v>
      </c>
      <c r="B6501" t="s">
        <v>1865</v>
      </c>
      <c r="C6501" t="s">
        <v>666</v>
      </c>
      <c r="D6501" t="s">
        <v>667</v>
      </c>
      <c r="E6501" s="8">
        <v>30</v>
      </c>
      <c r="F6501" s="8">
        <v>68810</v>
      </c>
      <c r="G6501" s="8">
        <f t="shared" si="404"/>
        <v>2064300</v>
      </c>
      <c r="H6501" s="5">
        <v>0</v>
      </c>
      <c r="I6501" s="8">
        <f t="shared" si="405"/>
        <v>2064300</v>
      </c>
      <c r="J6501" s="8">
        <f t="shared" si="406"/>
        <v>0</v>
      </c>
      <c r="K6501" t="str">
        <f t="shared" si="407"/>
        <v>MATCHED</v>
      </c>
    </row>
    <row r="6502" spans="1:11">
      <c r="A6502" t="s">
        <v>128</v>
      </c>
      <c r="B6502" t="s">
        <v>1865</v>
      </c>
      <c r="C6502" t="s">
        <v>427</v>
      </c>
      <c r="D6502" t="s">
        <v>428</v>
      </c>
      <c r="E6502" s="8">
        <v>2650</v>
      </c>
      <c r="F6502" s="8">
        <v>68544.8301886792</v>
      </c>
      <c r="G6502" s="8">
        <f t="shared" si="404"/>
        <v>181643800</v>
      </c>
      <c r="H6502" s="5">
        <v>0.081</v>
      </c>
      <c r="I6502" s="8">
        <f t="shared" si="405"/>
        <v>181643800</v>
      </c>
      <c r="J6502" s="8">
        <f t="shared" si="406"/>
        <v>14713147.8</v>
      </c>
      <c r="K6502" t="str">
        <f t="shared" si="407"/>
        <v>MATCHED</v>
      </c>
    </row>
    <row r="6503" spans="1:11">
      <c r="A6503" t="s">
        <v>128</v>
      </c>
      <c r="B6503" t="s">
        <v>1865</v>
      </c>
      <c r="C6503" t="s">
        <v>670</v>
      </c>
      <c r="D6503" t="s">
        <v>671</v>
      </c>
      <c r="E6503" s="8">
        <v>970</v>
      </c>
      <c r="F6503" s="8">
        <v>47098.0412371134</v>
      </c>
      <c r="G6503" s="8">
        <f t="shared" si="404"/>
        <v>45685100</v>
      </c>
      <c r="H6503" s="5">
        <v>0.0297</v>
      </c>
      <c r="I6503" s="8">
        <f t="shared" si="405"/>
        <v>45685100</v>
      </c>
      <c r="J6503" s="8">
        <f t="shared" si="406"/>
        <v>1356847.47</v>
      </c>
      <c r="K6503" t="str">
        <f t="shared" si="407"/>
        <v>MATCHED</v>
      </c>
    </row>
    <row r="6504" spans="1:11">
      <c r="A6504" t="s">
        <v>128</v>
      </c>
      <c r="B6504" t="s">
        <v>1865</v>
      </c>
      <c r="C6504" t="s">
        <v>429</v>
      </c>
      <c r="D6504" t="s">
        <v>430</v>
      </c>
      <c r="E6504" s="8">
        <v>60</v>
      </c>
      <c r="F6504" s="8">
        <v>57570</v>
      </c>
      <c r="G6504" s="8">
        <f t="shared" si="404"/>
        <v>3454200</v>
      </c>
      <c r="H6504" s="5">
        <v>0.0589</v>
      </c>
      <c r="I6504" s="8">
        <f t="shared" si="405"/>
        <v>3454200</v>
      </c>
      <c r="J6504" s="8">
        <f t="shared" si="406"/>
        <v>203452.38</v>
      </c>
      <c r="K6504" t="str">
        <f t="shared" si="407"/>
        <v>MATCHED</v>
      </c>
    </row>
    <row r="6505" spans="1:11">
      <c r="A6505" t="s">
        <v>128</v>
      </c>
      <c r="B6505" t="s">
        <v>1865</v>
      </c>
      <c r="C6505" t="s">
        <v>431</v>
      </c>
      <c r="D6505" t="s">
        <v>432</v>
      </c>
      <c r="E6505" s="8">
        <v>3410</v>
      </c>
      <c r="F6505" s="8">
        <v>78305.6891495601</v>
      </c>
      <c r="G6505" s="8">
        <f t="shared" si="404"/>
        <v>267022400</v>
      </c>
      <c r="H6505" s="5">
        <v>0.0786</v>
      </c>
      <c r="I6505" s="8">
        <f t="shared" si="405"/>
        <v>267022400</v>
      </c>
      <c r="J6505" s="8">
        <f t="shared" si="406"/>
        <v>20987960.64</v>
      </c>
      <c r="K6505" t="str">
        <f t="shared" si="407"/>
        <v>MATCHED</v>
      </c>
    </row>
    <row r="6506" spans="1:11">
      <c r="A6506" t="s">
        <v>128</v>
      </c>
      <c r="B6506" t="s">
        <v>1865</v>
      </c>
      <c r="C6506" t="s">
        <v>674</v>
      </c>
      <c r="D6506" t="s">
        <v>675</v>
      </c>
      <c r="E6506" s="8">
        <v>180</v>
      </c>
      <c r="F6506" s="8">
        <v>48000</v>
      </c>
      <c r="G6506" s="8">
        <f t="shared" si="404"/>
        <v>8640000</v>
      </c>
      <c r="H6506" s="5">
        <v>0</v>
      </c>
      <c r="I6506" s="8">
        <f t="shared" si="405"/>
        <v>8640000</v>
      </c>
      <c r="J6506" s="8">
        <f t="shared" si="406"/>
        <v>0</v>
      </c>
      <c r="K6506" t="str">
        <f t="shared" si="407"/>
        <v>MATCHED</v>
      </c>
    </row>
    <row r="6507" spans="1:11">
      <c r="A6507" t="s">
        <v>128</v>
      </c>
      <c r="B6507" t="s">
        <v>1865</v>
      </c>
      <c r="C6507" t="s">
        <v>678</v>
      </c>
      <c r="D6507" t="s">
        <v>679</v>
      </c>
      <c r="E6507" s="8">
        <v>2800</v>
      </c>
      <c r="F6507" s="8">
        <v>61476.3928571429</v>
      </c>
      <c r="G6507" s="8">
        <f t="shared" si="404"/>
        <v>172133900</v>
      </c>
      <c r="H6507" s="5">
        <v>0.0368</v>
      </c>
      <c r="I6507" s="8">
        <f t="shared" si="405"/>
        <v>172133900</v>
      </c>
      <c r="J6507" s="8">
        <f t="shared" si="406"/>
        <v>6334527.52</v>
      </c>
      <c r="K6507" t="str">
        <f t="shared" si="407"/>
        <v>MATCHED</v>
      </c>
    </row>
    <row r="6508" spans="1:11">
      <c r="A6508" t="s">
        <v>128</v>
      </c>
      <c r="B6508" t="s">
        <v>1865</v>
      </c>
      <c r="C6508" t="s">
        <v>682</v>
      </c>
      <c r="D6508" t="s">
        <v>683</v>
      </c>
      <c r="E6508" s="8">
        <v>2030</v>
      </c>
      <c r="F6508" s="8">
        <v>77909.9507389163</v>
      </c>
      <c r="G6508" s="8">
        <f t="shared" si="404"/>
        <v>158157200</v>
      </c>
      <c r="H6508" s="5">
        <v>0.04</v>
      </c>
      <c r="I6508" s="8">
        <f t="shared" si="405"/>
        <v>158157200</v>
      </c>
      <c r="J6508" s="8">
        <f t="shared" si="406"/>
        <v>6326288</v>
      </c>
      <c r="K6508" t="str">
        <f t="shared" si="407"/>
        <v>MATCHED</v>
      </c>
    </row>
    <row r="6509" spans="1:11">
      <c r="A6509" t="s">
        <v>128</v>
      </c>
      <c r="B6509" t="s">
        <v>1865</v>
      </c>
      <c r="C6509" t="s">
        <v>1046</v>
      </c>
      <c r="D6509" t="s">
        <v>1047</v>
      </c>
      <c r="E6509" s="8">
        <v>60</v>
      </c>
      <c r="F6509" s="8">
        <v>73460</v>
      </c>
      <c r="G6509" s="8">
        <f t="shared" si="404"/>
        <v>4407600</v>
      </c>
      <c r="H6509" s="5">
        <v>0</v>
      </c>
      <c r="I6509" s="8">
        <f t="shared" si="405"/>
        <v>4407600</v>
      </c>
      <c r="J6509" s="8">
        <f t="shared" si="406"/>
        <v>0</v>
      </c>
      <c r="K6509" t="str">
        <f t="shared" si="407"/>
        <v>MATCHED</v>
      </c>
    </row>
    <row r="6510" spans="1:11">
      <c r="A6510" t="s">
        <v>128</v>
      </c>
      <c r="B6510" t="s">
        <v>1865</v>
      </c>
      <c r="C6510" t="s">
        <v>684</v>
      </c>
      <c r="D6510" t="s">
        <v>685</v>
      </c>
      <c r="E6510" s="8">
        <v>10</v>
      </c>
      <c r="F6510" s="8">
        <v>91330</v>
      </c>
      <c r="G6510" s="8">
        <f t="shared" si="404"/>
        <v>913300</v>
      </c>
      <c r="H6510" s="5">
        <v>0.0687</v>
      </c>
      <c r="I6510" s="8">
        <f t="shared" si="405"/>
        <v>913300</v>
      </c>
      <c r="J6510" s="8">
        <f t="shared" si="406"/>
        <v>62743.71</v>
      </c>
      <c r="K6510" t="str">
        <f t="shared" si="407"/>
        <v>MATCHED</v>
      </c>
    </row>
    <row r="6511" spans="1:11">
      <c r="A6511" t="s">
        <v>128</v>
      </c>
      <c r="B6511" t="s">
        <v>1865</v>
      </c>
      <c r="C6511" t="s">
        <v>1054</v>
      </c>
      <c r="D6511" t="s">
        <v>1055</v>
      </c>
      <c r="E6511" s="8">
        <v>40</v>
      </c>
      <c r="F6511" s="8">
        <v>45270</v>
      </c>
      <c r="G6511" s="8">
        <f t="shared" si="404"/>
        <v>1810800</v>
      </c>
      <c r="H6511" s="5">
        <v>0</v>
      </c>
      <c r="I6511" s="8">
        <f t="shared" si="405"/>
        <v>1810800</v>
      </c>
      <c r="J6511" s="8">
        <f t="shared" si="406"/>
        <v>0</v>
      </c>
      <c r="K6511" t="str">
        <f t="shared" si="407"/>
        <v>MATCHED</v>
      </c>
    </row>
    <row r="6512" spans="1:11">
      <c r="A6512" t="s">
        <v>128</v>
      </c>
      <c r="B6512" t="s">
        <v>1865</v>
      </c>
      <c r="C6512" t="s">
        <v>688</v>
      </c>
      <c r="D6512" t="s">
        <v>689</v>
      </c>
      <c r="E6512" s="8">
        <v>40</v>
      </c>
      <c r="F6512" s="8">
        <v>54700</v>
      </c>
      <c r="G6512" s="8">
        <f t="shared" si="404"/>
        <v>2188000</v>
      </c>
      <c r="H6512" s="5">
        <v>0.0396</v>
      </c>
      <c r="I6512" s="8">
        <f t="shared" si="405"/>
        <v>2188000</v>
      </c>
      <c r="J6512" s="8">
        <f t="shared" si="406"/>
        <v>86644.8</v>
      </c>
      <c r="K6512" t="str">
        <f t="shared" si="407"/>
        <v>MATCHED</v>
      </c>
    </row>
    <row r="6513" spans="1:11">
      <c r="A6513" t="s">
        <v>128</v>
      </c>
      <c r="B6513" t="s">
        <v>1865</v>
      </c>
      <c r="C6513" t="s">
        <v>692</v>
      </c>
      <c r="D6513" t="s">
        <v>693</v>
      </c>
      <c r="E6513" s="8">
        <v>30</v>
      </c>
      <c r="F6513" s="8">
        <v>44030</v>
      </c>
      <c r="G6513" s="8">
        <f t="shared" si="404"/>
        <v>1320900</v>
      </c>
      <c r="H6513" s="5"/>
      <c r="I6513" s="8" t="str">
        <f t="shared" si="405"/>
        <v/>
      </c>
      <c r="J6513" s="8" t="str">
        <f t="shared" si="406"/>
        <v/>
      </c>
      <c r="K6513" t="str">
        <f t="shared" si="407"/>
        <v>MISSING WHARTON</v>
      </c>
    </row>
    <row r="6514" spans="1:11">
      <c r="A6514" t="s">
        <v>128</v>
      </c>
      <c r="B6514" t="s">
        <v>1865</v>
      </c>
      <c r="C6514" t="s">
        <v>694</v>
      </c>
      <c r="D6514" t="s">
        <v>695</v>
      </c>
      <c r="E6514" s="8">
        <v>900</v>
      </c>
      <c r="F6514" s="8">
        <v>59590</v>
      </c>
      <c r="G6514" s="8">
        <f t="shared" si="404"/>
        <v>53631000</v>
      </c>
      <c r="H6514" s="5">
        <v>0.3737</v>
      </c>
      <c r="I6514" s="8">
        <f t="shared" si="405"/>
        <v>53631000</v>
      </c>
      <c r="J6514" s="8">
        <f t="shared" si="406"/>
        <v>20041904.7</v>
      </c>
      <c r="K6514" t="str">
        <f t="shared" si="407"/>
        <v>MATCHED</v>
      </c>
    </row>
    <row r="6515" spans="1:11">
      <c r="A6515" t="s">
        <v>128</v>
      </c>
      <c r="B6515" t="s">
        <v>1865</v>
      </c>
      <c r="C6515" t="s">
        <v>698</v>
      </c>
      <c r="D6515" t="s">
        <v>699</v>
      </c>
      <c r="E6515" s="8">
        <v>190</v>
      </c>
      <c r="F6515" s="8">
        <v>61800</v>
      </c>
      <c r="G6515" s="8">
        <f t="shared" si="404"/>
        <v>11742000</v>
      </c>
      <c r="H6515" s="5">
        <v>0.0452</v>
      </c>
      <c r="I6515" s="8">
        <f t="shared" si="405"/>
        <v>11742000</v>
      </c>
      <c r="J6515" s="8">
        <f t="shared" si="406"/>
        <v>530738.4</v>
      </c>
      <c r="K6515" t="str">
        <f t="shared" si="407"/>
        <v>MATCHED</v>
      </c>
    </row>
    <row r="6516" spans="1:11">
      <c r="A6516" t="s">
        <v>128</v>
      </c>
      <c r="B6516" t="s">
        <v>1865</v>
      </c>
      <c r="C6516" t="s">
        <v>702</v>
      </c>
      <c r="D6516" t="s">
        <v>703</v>
      </c>
      <c r="E6516" s="8">
        <v>850</v>
      </c>
      <c r="F6516" s="8">
        <v>55560</v>
      </c>
      <c r="G6516" s="8">
        <f t="shared" si="404"/>
        <v>47226000</v>
      </c>
      <c r="H6516" s="5">
        <v>0.0825</v>
      </c>
      <c r="I6516" s="8">
        <f t="shared" si="405"/>
        <v>47226000</v>
      </c>
      <c r="J6516" s="8">
        <f t="shared" si="406"/>
        <v>3896145</v>
      </c>
      <c r="K6516" t="str">
        <f t="shared" si="407"/>
        <v>MATCHED</v>
      </c>
    </row>
    <row r="6517" spans="1:11">
      <c r="A6517" t="s">
        <v>128</v>
      </c>
      <c r="B6517" t="s">
        <v>1865</v>
      </c>
      <c r="C6517" t="s">
        <v>433</v>
      </c>
      <c r="D6517" t="s">
        <v>434</v>
      </c>
      <c r="E6517" s="8">
        <v>17250</v>
      </c>
      <c r="F6517" s="8">
        <v>73833.4376811594</v>
      </c>
      <c r="G6517" s="8">
        <f t="shared" si="404"/>
        <v>1273626800</v>
      </c>
      <c r="H6517" s="5">
        <v>0.3523</v>
      </c>
      <c r="I6517" s="8">
        <f t="shared" si="405"/>
        <v>1273626800</v>
      </c>
      <c r="J6517" s="8">
        <f t="shared" si="406"/>
        <v>448698721.64</v>
      </c>
      <c r="K6517" t="str">
        <f t="shared" si="407"/>
        <v>MATCHED</v>
      </c>
    </row>
    <row r="6518" spans="1:11">
      <c r="A6518" t="s">
        <v>128</v>
      </c>
      <c r="B6518" t="s">
        <v>1865</v>
      </c>
      <c r="C6518" t="s">
        <v>1064</v>
      </c>
      <c r="D6518" t="s">
        <v>1065</v>
      </c>
      <c r="E6518" s="8">
        <v>220</v>
      </c>
      <c r="F6518" s="8">
        <v>53530</v>
      </c>
      <c r="G6518" s="8">
        <f t="shared" si="404"/>
        <v>11776600</v>
      </c>
      <c r="H6518" s="5">
        <v>0.284</v>
      </c>
      <c r="I6518" s="8">
        <f t="shared" si="405"/>
        <v>11776600</v>
      </c>
      <c r="J6518" s="8">
        <f t="shared" si="406"/>
        <v>3344554.4</v>
      </c>
      <c r="K6518" t="str">
        <f t="shared" si="407"/>
        <v>MATCHED</v>
      </c>
    </row>
    <row r="6519" spans="1:11">
      <c r="A6519" t="s">
        <v>128</v>
      </c>
      <c r="B6519" t="s">
        <v>1865</v>
      </c>
      <c r="C6519" t="s">
        <v>900</v>
      </c>
      <c r="D6519" t="s">
        <v>901</v>
      </c>
      <c r="E6519" s="8">
        <v>230</v>
      </c>
      <c r="F6519" s="8">
        <v>70737.3913043478</v>
      </c>
      <c r="G6519" s="8">
        <f t="shared" si="404"/>
        <v>16269600</v>
      </c>
      <c r="H6519" s="5">
        <v>0.195</v>
      </c>
      <c r="I6519" s="8">
        <f t="shared" si="405"/>
        <v>16269600</v>
      </c>
      <c r="J6519" s="8">
        <f t="shared" si="406"/>
        <v>3172572</v>
      </c>
      <c r="K6519" t="str">
        <f t="shared" si="407"/>
        <v>MATCHED</v>
      </c>
    </row>
    <row r="6520" spans="1:11">
      <c r="A6520" t="s">
        <v>128</v>
      </c>
      <c r="B6520" t="s">
        <v>1865</v>
      </c>
      <c r="C6520" t="s">
        <v>734</v>
      </c>
      <c r="D6520" t="s">
        <v>735</v>
      </c>
      <c r="E6520" s="8">
        <v>350</v>
      </c>
      <c r="F6520" s="8">
        <v>76170</v>
      </c>
      <c r="G6520" s="8">
        <f t="shared" si="404"/>
        <v>26659500</v>
      </c>
      <c r="H6520" s="5">
        <v>0.19</v>
      </c>
      <c r="I6520" s="8">
        <f t="shared" si="405"/>
        <v>26659500</v>
      </c>
      <c r="J6520" s="8">
        <f t="shared" si="406"/>
        <v>5065305</v>
      </c>
      <c r="K6520" t="str">
        <f t="shared" si="407"/>
        <v>MATCHED</v>
      </c>
    </row>
    <row r="6521" spans="1:11">
      <c r="A6521" t="s">
        <v>128</v>
      </c>
      <c r="B6521" t="s">
        <v>1865</v>
      </c>
      <c r="C6521" t="s">
        <v>1068</v>
      </c>
      <c r="D6521" t="s">
        <v>1069</v>
      </c>
      <c r="E6521" s="8">
        <v>110</v>
      </c>
      <c r="F6521" s="8">
        <v>71850</v>
      </c>
      <c r="G6521" s="8">
        <f t="shared" si="404"/>
        <v>7903500</v>
      </c>
      <c r="H6521" s="5">
        <v>0.2219</v>
      </c>
      <c r="I6521" s="8">
        <f t="shared" si="405"/>
        <v>7903500</v>
      </c>
      <c r="J6521" s="8">
        <f t="shared" si="406"/>
        <v>1753786.65</v>
      </c>
      <c r="K6521" t="str">
        <f t="shared" si="407"/>
        <v>MATCHED</v>
      </c>
    </row>
    <row r="6522" spans="1:11">
      <c r="A6522" t="s">
        <v>128</v>
      </c>
      <c r="B6522" t="s">
        <v>1865</v>
      </c>
      <c r="C6522" t="s">
        <v>435</v>
      </c>
      <c r="D6522" t="s">
        <v>436</v>
      </c>
      <c r="E6522" s="8">
        <v>2080</v>
      </c>
      <c r="F6522" s="8">
        <v>86980</v>
      </c>
      <c r="G6522" s="8">
        <f t="shared" si="404"/>
        <v>180918400</v>
      </c>
      <c r="H6522" s="5">
        <v>0.0434</v>
      </c>
      <c r="I6522" s="8">
        <f t="shared" si="405"/>
        <v>180918400</v>
      </c>
      <c r="J6522" s="8">
        <f t="shared" si="406"/>
        <v>7851858.56</v>
      </c>
      <c r="K6522" t="str">
        <f t="shared" si="407"/>
        <v>MATCHED</v>
      </c>
    </row>
    <row r="6523" spans="1:11">
      <c r="A6523" t="s">
        <v>128</v>
      </c>
      <c r="B6523" t="s">
        <v>1865</v>
      </c>
      <c r="C6523" t="s">
        <v>1070</v>
      </c>
      <c r="D6523" t="s">
        <v>1071</v>
      </c>
      <c r="E6523" s="8">
        <v>40</v>
      </c>
      <c r="F6523" s="8">
        <v>54820</v>
      </c>
      <c r="G6523" s="8">
        <f t="shared" si="404"/>
        <v>2192800</v>
      </c>
      <c r="H6523" s="5">
        <v>0.028</v>
      </c>
      <c r="I6523" s="8">
        <f t="shared" si="405"/>
        <v>2192800</v>
      </c>
      <c r="J6523" s="8">
        <f t="shared" si="406"/>
        <v>61398.4</v>
      </c>
      <c r="K6523" t="str">
        <f t="shared" si="407"/>
        <v>MATCHED</v>
      </c>
    </row>
    <row r="6524" spans="1:11">
      <c r="A6524" t="s">
        <v>128</v>
      </c>
      <c r="B6524" t="s">
        <v>1865</v>
      </c>
      <c r="C6524" t="s">
        <v>736</v>
      </c>
      <c r="D6524" t="s">
        <v>737</v>
      </c>
      <c r="E6524" s="8">
        <v>1820</v>
      </c>
      <c r="F6524" s="8">
        <v>55955.6043956044</v>
      </c>
      <c r="G6524" s="8">
        <f t="shared" si="404"/>
        <v>101839200</v>
      </c>
      <c r="H6524" s="5">
        <v>0.0233</v>
      </c>
      <c r="I6524" s="8">
        <f t="shared" si="405"/>
        <v>101839200</v>
      </c>
      <c r="J6524" s="8">
        <f t="shared" si="406"/>
        <v>2372853.36</v>
      </c>
      <c r="K6524" t="str">
        <f t="shared" si="407"/>
        <v>MATCHED</v>
      </c>
    </row>
    <row r="6525" spans="1:11">
      <c r="A6525" t="s">
        <v>128</v>
      </c>
      <c r="B6525" t="s">
        <v>1865</v>
      </c>
      <c r="C6525" t="s">
        <v>437</v>
      </c>
      <c r="D6525" t="s">
        <v>438</v>
      </c>
      <c r="E6525" s="8">
        <v>580</v>
      </c>
      <c r="F6525" s="8">
        <v>59150</v>
      </c>
      <c r="G6525" s="8">
        <f t="shared" si="404"/>
        <v>34307000</v>
      </c>
      <c r="H6525" s="5">
        <v>0</v>
      </c>
      <c r="I6525" s="8">
        <f t="shared" si="405"/>
        <v>34307000</v>
      </c>
      <c r="J6525" s="8">
        <f t="shared" si="406"/>
        <v>0</v>
      </c>
      <c r="K6525" t="str">
        <f t="shared" si="407"/>
        <v>MATCHED</v>
      </c>
    </row>
    <row r="6526" spans="1:11">
      <c r="A6526" t="s">
        <v>128</v>
      </c>
      <c r="B6526" t="s">
        <v>1865</v>
      </c>
      <c r="C6526" t="s">
        <v>1076</v>
      </c>
      <c r="D6526" t="s">
        <v>1077</v>
      </c>
      <c r="E6526" s="8">
        <v>30</v>
      </c>
      <c r="F6526" s="8">
        <v>52830</v>
      </c>
      <c r="G6526" s="8">
        <f t="shared" si="404"/>
        <v>1584900</v>
      </c>
      <c r="H6526" s="5">
        <v>0.1179</v>
      </c>
      <c r="I6526" s="8">
        <f t="shared" si="405"/>
        <v>1584900</v>
      </c>
      <c r="J6526" s="8">
        <f t="shared" si="406"/>
        <v>186859.71</v>
      </c>
      <c r="K6526" t="str">
        <f t="shared" si="407"/>
        <v>MATCHED</v>
      </c>
    </row>
    <row r="6527" spans="1:11">
      <c r="A6527" t="s">
        <v>128</v>
      </c>
      <c r="B6527" t="s">
        <v>1865</v>
      </c>
      <c r="C6527" t="s">
        <v>443</v>
      </c>
      <c r="D6527" t="s">
        <v>444</v>
      </c>
      <c r="E6527" s="8">
        <v>4550</v>
      </c>
      <c r="F6527" s="8">
        <v>71451.9340659341</v>
      </c>
      <c r="G6527" s="8">
        <f t="shared" si="404"/>
        <v>325106300</v>
      </c>
      <c r="H6527" s="5">
        <v>0.0867</v>
      </c>
      <c r="I6527" s="8">
        <f t="shared" si="405"/>
        <v>325106300</v>
      </c>
      <c r="J6527" s="8">
        <f t="shared" si="406"/>
        <v>28186716.21</v>
      </c>
      <c r="K6527" t="str">
        <f t="shared" si="407"/>
        <v>MATCHED</v>
      </c>
    </row>
    <row r="6528" spans="1:11">
      <c r="A6528" t="s">
        <v>128</v>
      </c>
      <c r="B6528" t="s">
        <v>1865</v>
      </c>
      <c r="C6528" t="s">
        <v>445</v>
      </c>
      <c r="D6528" t="s">
        <v>446</v>
      </c>
      <c r="E6528" s="8">
        <v>270</v>
      </c>
      <c r="F6528" s="8">
        <v>70060</v>
      </c>
      <c r="G6528" s="8">
        <f t="shared" si="404"/>
        <v>18916200</v>
      </c>
      <c r="H6528" s="5">
        <v>0.25</v>
      </c>
      <c r="I6528" s="8">
        <f t="shared" si="405"/>
        <v>18916200</v>
      </c>
      <c r="J6528" s="8">
        <f t="shared" si="406"/>
        <v>4729050</v>
      </c>
      <c r="K6528" t="str">
        <f t="shared" si="407"/>
        <v>MATCHED</v>
      </c>
    </row>
    <row r="6529" spans="1:11">
      <c r="A6529" t="s">
        <v>128</v>
      </c>
      <c r="B6529" t="s">
        <v>1865</v>
      </c>
      <c r="C6529" t="s">
        <v>447</v>
      </c>
      <c r="D6529" t="s">
        <v>448</v>
      </c>
      <c r="E6529" s="8">
        <v>320</v>
      </c>
      <c r="F6529" s="8">
        <v>55860</v>
      </c>
      <c r="G6529" s="8">
        <f t="shared" si="404"/>
        <v>17875200</v>
      </c>
      <c r="H6529" s="5">
        <v>0.0528</v>
      </c>
      <c r="I6529" s="8">
        <f t="shared" si="405"/>
        <v>17875200</v>
      </c>
      <c r="J6529" s="8">
        <f t="shared" si="406"/>
        <v>943810.56</v>
      </c>
      <c r="K6529" t="str">
        <f t="shared" si="407"/>
        <v>MATCHED</v>
      </c>
    </row>
    <row r="6530" spans="1:11">
      <c r="A6530" t="s">
        <v>128</v>
      </c>
      <c r="B6530" t="s">
        <v>1865</v>
      </c>
      <c r="C6530" t="s">
        <v>908</v>
      </c>
      <c r="D6530" t="s">
        <v>909</v>
      </c>
      <c r="E6530" s="8">
        <v>110</v>
      </c>
      <c r="F6530" s="8">
        <v>64340</v>
      </c>
      <c r="G6530" s="8">
        <f t="shared" ref="G6530:G6593" si="408">IF(OR(E6530="",F6530=""),"",E6530*F6530)</f>
        <v>7077400</v>
      </c>
      <c r="H6530" s="5">
        <v>0.0475</v>
      </c>
      <c r="I6530" s="8">
        <f t="shared" ref="I6530:I6593" si="409">IF(G6530="","",IF(ISNUMBER(H6530),G6530,""))</f>
        <v>7077400</v>
      </c>
      <c r="J6530" s="8">
        <f t="shared" ref="J6530:J6593" si="410">IF(I6530="","",I6530*H6530)</f>
        <v>336176.5</v>
      </c>
      <c r="K6530" t="str">
        <f t="shared" ref="K6530:K6593" si="411">IF(G6530="","MISSING OEWS",IF(ISNUMBER(H6530),"MATCHED","MISSING WHARTON"))</f>
        <v>MATCHED</v>
      </c>
    </row>
    <row r="6531" spans="1:11">
      <c r="A6531" t="s">
        <v>128</v>
      </c>
      <c r="B6531" t="s">
        <v>1865</v>
      </c>
      <c r="C6531" t="s">
        <v>1308</v>
      </c>
      <c r="D6531" t="s">
        <v>1309</v>
      </c>
      <c r="E6531" s="8">
        <v>90</v>
      </c>
      <c r="F6531" s="8">
        <v>42960</v>
      </c>
      <c r="G6531" s="8">
        <f t="shared" si="408"/>
        <v>3866400</v>
      </c>
      <c r="H6531" s="5">
        <v>0.1733</v>
      </c>
      <c r="I6531" s="8">
        <f t="shared" si="409"/>
        <v>3866400</v>
      </c>
      <c r="J6531" s="8">
        <f t="shared" si="410"/>
        <v>670047.12</v>
      </c>
      <c r="K6531" t="str">
        <f t="shared" si="411"/>
        <v>MATCHED</v>
      </c>
    </row>
    <row r="6532" spans="1:11">
      <c r="A6532" t="s">
        <v>128</v>
      </c>
      <c r="B6532" t="s">
        <v>1865</v>
      </c>
      <c r="C6532" t="s">
        <v>1310</v>
      </c>
      <c r="D6532" t="s">
        <v>1311</v>
      </c>
      <c r="E6532" s="8">
        <v>12790</v>
      </c>
      <c r="F6532" s="8">
        <v>71585.9968725567</v>
      </c>
      <c r="G6532" s="8">
        <f t="shared" si="408"/>
        <v>915584900</v>
      </c>
      <c r="H6532" s="5">
        <v>0.2368</v>
      </c>
      <c r="I6532" s="8">
        <f t="shared" si="409"/>
        <v>915584900</v>
      </c>
      <c r="J6532" s="8">
        <f t="shared" si="410"/>
        <v>216810504.32</v>
      </c>
      <c r="K6532" t="str">
        <f t="shared" si="411"/>
        <v>MATCHED</v>
      </c>
    </row>
    <row r="6533" spans="1:11">
      <c r="A6533" t="s">
        <v>128</v>
      </c>
      <c r="B6533" t="s">
        <v>1865</v>
      </c>
      <c r="C6533" t="s">
        <v>746</v>
      </c>
      <c r="D6533" t="s">
        <v>747</v>
      </c>
      <c r="E6533" s="8">
        <v>50</v>
      </c>
      <c r="F6533" s="8">
        <v>94400</v>
      </c>
      <c r="G6533" s="8">
        <f t="shared" si="408"/>
        <v>4720000</v>
      </c>
      <c r="H6533" s="5"/>
      <c r="I6533" s="8" t="str">
        <f t="shared" si="409"/>
        <v/>
      </c>
      <c r="J6533" s="8" t="str">
        <f t="shared" si="410"/>
        <v/>
      </c>
      <c r="K6533" t="str">
        <f t="shared" si="411"/>
        <v>MISSING WHARTON</v>
      </c>
    </row>
    <row r="6534" spans="1:11">
      <c r="A6534" t="s">
        <v>128</v>
      </c>
      <c r="B6534" t="s">
        <v>1865</v>
      </c>
      <c r="C6534" t="s">
        <v>449</v>
      </c>
      <c r="D6534" t="s">
        <v>450</v>
      </c>
      <c r="E6534" s="8">
        <v>115600</v>
      </c>
      <c r="F6534" s="8">
        <v>51567.3200692042</v>
      </c>
      <c r="G6534" s="8">
        <f t="shared" si="408"/>
        <v>5961182200</v>
      </c>
      <c r="H6534" s="5">
        <v>0.0867</v>
      </c>
      <c r="I6534" s="8">
        <f t="shared" si="409"/>
        <v>5961182200</v>
      </c>
      <c r="J6534" s="8">
        <f t="shared" si="410"/>
        <v>516834496.74</v>
      </c>
      <c r="K6534" t="str">
        <f t="shared" si="411"/>
        <v>MATCHED</v>
      </c>
    </row>
    <row r="6535" spans="1:11">
      <c r="A6535" t="s">
        <v>128</v>
      </c>
      <c r="B6535" t="s">
        <v>1865</v>
      </c>
      <c r="C6535" t="s">
        <v>1086</v>
      </c>
      <c r="D6535" t="s">
        <v>1087</v>
      </c>
      <c r="E6535" s="8">
        <v>240</v>
      </c>
      <c r="F6535" s="8">
        <v>70771.25</v>
      </c>
      <c r="G6535" s="8">
        <f t="shared" si="408"/>
        <v>16985100</v>
      </c>
      <c r="H6535" s="5">
        <v>0.0679</v>
      </c>
      <c r="I6535" s="8">
        <f t="shared" si="409"/>
        <v>16985100</v>
      </c>
      <c r="J6535" s="8">
        <f t="shared" si="410"/>
        <v>1153288.29</v>
      </c>
      <c r="K6535" t="str">
        <f t="shared" si="411"/>
        <v>MATCHED</v>
      </c>
    </row>
    <row r="6536" spans="1:11">
      <c r="A6536" t="s">
        <v>128</v>
      </c>
      <c r="B6536" t="s">
        <v>1865</v>
      </c>
      <c r="C6536" t="s">
        <v>451</v>
      </c>
      <c r="D6536" t="s">
        <v>452</v>
      </c>
      <c r="E6536" s="8">
        <v>590</v>
      </c>
      <c r="F6536" s="8">
        <v>40617.2881355932</v>
      </c>
      <c r="G6536" s="8">
        <f t="shared" si="408"/>
        <v>23964200</v>
      </c>
      <c r="H6536" s="5">
        <v>0.0594</v>
      </c>
      <c r="I6536" s="8">
        <f t="shared" si="409"/>
        <v>23964200</v>
      </c>
      <c r="J6536" s="8">
        <f t="shared" si="410"/>
        <v>1423473.48</v>
      </c>
      <c r="K6536" t="str">
        <f t="shared" si="411"/>
        <v>MATCHED</v>
      </c>
    </row>
    <row r="6537" spans="1:11">
      <c r="A6537" t="s">
        <v>128</v>
      </c>
      <c r="B6537" t="s">
        <v>1865</v>
      </c>
      <c r="C6537" t="s">
        <v>453</v>
      </c>
      <c r="D6537" t="s">
        <v>454</v>
      </c>
      <c r="E6537" s="8">
        <v>400</v>
      </c>
      <c r="F6537" s="8">
        <v>59090</v>
      </c>
      <c r="G6537" s="8">
        <f t="shared" si="408"/>
        <v>23636000</v>
      </c>
      <c r="H6537" s="5">
        <v>0.1667</v>
      </c>
      <c r="I6537" s="8">
        <f t="shared" si="409"/>
        <v>23636000</v>
      </c>
      <c r="J6537" s="8">
        <f t="shared" si="410"/>
        <v>3940121.2</v>
      </c>
      <c r="K6537" t="str">
        <f t="shared" si="411"/>
        <v>MATCHED</v>
      </c>
    </row>
    <row r="6538" spans="1:11">
      <c r="A6538" t="s">
        <v>128</v>
      </c>
      <c r="B6538" t="s">
        <v>1865</v>
      </c>
      <c r="C6538" t="s">
        <v>455</v>
      </c>
      <c r="D6538" t="s">
        <v>456</v>
      </c>
      <c r="E6538" s="8">
        <v>2720</v>
      </c>
      <c r="F6538" s="8">
        <v>59678.3088235294</v>
      </c>
      <c r="G6538" s="8">
        <f t="shared" si="408"/>
        <v>162325000</v>
      </c>
      <c r="H6538" s="5">
        <v>0.3775</v>
      </c>
      <c r="I6538" s="8">
        <f t="shared" si="409"/>
        <v>162325000</v>
      </c>
      <c r="J6538" s="8">
        <f t="shared" si="410"/>
        <v>61277687.5</v>
      </c>
      <c r="K6538" t="str">
        <f t="shared" si="411"/>
        <v>MATCHED</v>
      </c>
    </row>
    <row r="6539" spans="1:11">
      <c r="A6539" t="s">
        <v>128</v>
      </c>
      <c r="B6539" t="s">
        <v>1865</v>
      </c>
      <c r="C6539" t="s">
        <v>457</v>
      </c>
      <c r="D6539" t="s">
        <v>458</v>
      </c>
      <c r="E6539" s="8">
        <v>7430</v>
      </c>
      <c r="F6539" s="8">
        <v>36410</v>
      </c>
      <c r="G6539" s="8">
        <f t="shared" si="408"/>
        <v>270526300</v>
      </c>
      <c r="H6539" s="5">
        <v>0.15</v>
      </c>
      <c r="I6539" s="8">
        <f t="shared" si="409"/>
        <v>270526300</v>
      </c>
      <c r="J6539" s="8">
        <f t="shared" si="410"/>
        <v>40578945</v>
      </c>
      <c r="K6539" t="str">
        <f t="shared" si="411"/>
        <v>MATCHED</v>
      </c>
    </row>
    <row r="6540" spans="1:11">
      <c r="A6540" t="s">
        <v>128</v>
      </c>
      <c r="B6540" t="s">
        <v>1865</v>
      </c>
      <c r="C6540" t="s">
        <v>1322</v>
      </c>
      <c r="D6540" t="s">
        <v>1323</v>
      </c>
      <c r="E6540" s="8">
        <v>550</v>
      </c>
      <c r="F6540" s="8">
        <v>42590</v>
      </c>
      <c r="G6540" s="8">
        <f t="shared" si="408"/>
        <v>23424500</v>
      </c>
      <c r="H6540" s="5">
        <v>0.1444</v>
      </c>
      <c r="I6540" s="8">
        <f t="shared" si="409"/>
        <v>23424500</v>
      </c>
      <c r="J6540" s="8">
        <f t="shared" si="410"/>
        <v>3382497.8</v>
      </c>
      <c r="K6540" t="str">
        <f t="shared" si="411"/>
        <v>MATCHED</v>
      </c>
    </row>
    <row r="6541" spans="1:11">
      <c r="A6541" t="s">
        <v>128</v>
      </c>
      <c r="B6541" t="s">
        <v>1865</v>
      </c>
      <c r="C6541" t="s">
        <v>1100</v>
      </c>
      <c r="D6541" t="s">
        <v>1101</v>
      </c>
      <c r="E6541" s="8"/>
      <c r="F6541" s="8">
        <v>30780</v>
      </c>
      <c r="G6541" s="8" t="str">
        <f t="shared" si="408"/>
        <v/>
      </c>
      <c r="H6541" s="5">
        <v>0.0297</v>
      </c>
      <c r="I6541" s="8" t="str">
        <f t="shared" si="409"/>
        <v/>
      </c>
      <c r="J6541" s="8" t="str">
        <f t="shared" si="410"/>
        <v/>
      </c>
      <c r="K6541" t="str">
        <f t="shared" si="411"/>
        <v>MISSING OEWS</v>
      </c>
    </row>
    <row r="6542" spans="1:11">
      <c r="A6542" t="s">
        <v>128</v>
      </c>
      <c r="B6542" t="s">
        <v>1865</v>
      </c>
      <c r="C6542" t="s">
        <v>1102</v>
      </c>
      <c r="D6542" t="s">
        <v>1103</v>
      </c>
      <c r="E6542" s="8"/>
      <c r="F6542" s="8">
        <v>38190</v>
      </c>
      <c r="G6542" s="8" t="str">
        <f t="shared" si="408"/>
        <v/>
      </c>
      <c r="H6542" s="5">
        <v>0.0917</v>
      </c>
      <c r="I6542" s="8" t="str">
        <f t="shared" si="409"/>
        <v/>
      </c>
      <c r="J6542" s="8" t="str">
        <f t="shared" si="410"/>
        <v/>
      </c>
      <c r="K6542" t="str">
        <f t="shared" si="411"/>
        <v>MISSING OEWS</v>
      </c>
    </row>
    <row r="6543" spans="1:11">
      <c r="A6543" t="s">
        <v>128</v>
      </c>
      <c r="B6543" t="s">
        <v>1865</v>
      </c>
      <c r="C6543" t="s">
        <v>756</v>
      </c>
      <c r="D6543" t="s">
        <v>757</v>
      </c>
      <c r="E6543" s="8">
        <v>40</v>
      </c>
      <c r="F6543" s="8">
        <v>88220</v>
      </c>
      <c r="G6543" s="8">
        <f t="shared" si="408"/>
        <v>3528800</v>
      </c>
      <c r="H6543" s="5">
        <v>0.0897</v>
      </c>
      <c r="I6543" s="8">
        <f t="shared" si="409"/>
        <v>3528800</v>
      </c>
      <c r="J6543" s="8">
        <f t="shared" si="410"/>
        <v>316533.36</v>
      </c>
      <c r="K6543" t="str">
        <f t="shared" si="411"/>
        <v>MATCHED</v>
      </c>
    </row>
    <row r="6544" spans="1:11">
      <c r="A6544" t="s">
        <v>128</v>
      </c>
      <c r="B6544" t="s">
        <v>1865</v>
      </c>
      <c r="C6544" t="s">
        <v>1108</v>
      </c>
      <c r="D6544" t="s">
        <v>1109</v>
      </c>
      <c r="E6544" s="8">
        <v>200</v>
      </c>
      <c r="F6544" s="8">
        <v>31260</v>
      </c>
      <c r="G6544" s="8">
        <f t="shared" si="408"/>
        <v>6252000</v>
      </c>
      <c r="H6544" s="5">
        <v>0.169</v>
      </c>
      <c r="I6544" s="8">
        <f t="shared" si="409"/>
        <v>6252000</v>
      </c>
      <c r="J6544" s="8">
        <f t="shared" si="410"/>
        <v>1056588</v>
      </c>
      <c r="K6544" t="str">
        <f t="shared" si="411"/>
        <v>MATCHED</v>
      </c>
    </row>
    <row r="6545" spans="1:11">
      <c r="A6545" t="s">
        <v>128</v>
      </c>
      <c r="B6545" t="s">
        <v>1865</v>
      </c>
      <c r="C6545" t="s">
        <v>465</v>
      </c>
      <c r="D6545" t="s">
        <v>466</v>
      </c>
      <c r="E6545" s="8">
        <v>40</v>
      </c>
      <c r="F6545" s="8">
        <v>64090</v>
      </c>
      <c r="G6545" s="8">
        <f t="shared" si="408"/>
        <v>2563600</v>
      </c>
      <c r="H6545" s="5">
        <v>0.0233</v>
      </c>
      <c r="I6545" s="8">
        <f t="shared" si="409"/>
        <v>2563600</v>
      </c>
      <c r="J6545" s="8">
        <f t="shared" si="410"/>
        <v>59731.88</v>
      </c>
      <c r="K6545" t="str">
        <f t="shared" si="411"/>
        <v>MATCHED</v>
      </c>
    </row>
    <row r="6546" spans="1:11">
      <c r="A6546" t="s">
        <v>128</v>
      </c>
      <c r="B6546" t="s">
        <v>1865</v>
      </c>
      <c r="C6546" t="s">
        <v>1344</v>
      </c>
      <c r="D6546" t="s">
        <v>1345</v>
      </c>
      <c r="E6546" s="8">
        <v>250</v>
      </c>
      <c r="F6546" s="8">
        <v>45268</v>
      </c>
      <c r="G6546" s="8">
        <f t="shared" si="408"/>
        <v>11317000</v>
      </c>
      <c r="H6546" s="5">
        <v>0.3348</v>
      </c>
      <c r="I6546" s="8">
        <f t="shared" si="409"/>
        <v>11317000</v>
      </c>
      <c r="J6546" s="8">
        <f t="shared" si="410"/>
        <v>3788931.6</v>
      </c>
      <c r="K6546" t="str">
        <f t="shared" si="411"/>
        <v>MATCHED</v>
      </c>
    </row>
    <row r="6547" spans="1:11">
      <c r="A6547" t="s">
        <v>128</v>
      </c>
      <c r="B6547" t="s">
        <v>1865</v>
      </c>
      <c r="C6547" t="s">
        <v>1346</v>
      </c>
      <c r="D6547" t="s">
        <v>1347</v>
      </c>
      <c r="E6547" s="8">
        <v>130</v>
      </c>
      <c r="F6547" s="8">
        <v>39870</v>
      </c>
      <c r="G6547" s="8">
        <f t="shared" si="408"/>
        <v>5183100</v>
      </c>
      <c r="H6547" s="5">
        <v>0.0385</v>
      </c>
      <c r="I6547" s="8">
        <f t="shared" si="409"/>
        <v>5183100</v>
      </c>
      <c r="J6547" s="8">
        <f t="shared" si="410"/>
        <v>199549.35</v>
      </c>
      <c r="K6547" t="str">
        <f t="shared" si="411"/>
        <v>MATCHED</v>
      </c>
    </row>
    <row r="6548" spans="1:11">
      <c r="A6548" t="s">
        <v>128</v>
      </c>
      <c r="B6548" t="s">
        <v>1865</v>
      </c>
      <c r="C6548" t="s">
        <v>1116</v>
      </c>
      <c r="D6548" t="s">
        <v>1117</v>
      </c>
      <c r="E6548" s="8">
        <v>32030</v>
      </c>
      <c r="F6548" s="8">
        <v>34572.2041835779</v>
      </c>
      <c r="G6548" s="8">
        <f t="shared" si="408"/>
        <v>1107347700</v>
      </c>
      <c r="H6548" s="5">
        <v>0</v>
      </c>
      <c r="I6548" s="8">
        <f t="shared" si="409"/>
        <v>1107347700</v>
      </c>
      <c r="J6548" s="8">
        <f t="shared" si="410"/>
        <v>0</v>
      </c>
      <c r="K6548" t="str">
        <f t="shared" si="411"/>
        <v>MATCHED</v>
      </c>
    </row>
    <row r="6549" spans="1:11">
      <c r="A6549" t="s">
        <v>128</v>
      </c>
      <c r="B6549" t="s">
        <v>1865</v>
      </c>
      <c r="C6549" t="s">
        <v>1118</v>
      </c>
      <c r="D6549" t="s">
        <v>1119</v>
      </c>
      <c r="E6549" s="8">
        <v>3000</v>
      </c>
      <c r="F6549" s="8">
        <v>30410</v>
      </c>
      <c r="G6549" s="8">
        <f t="shared" si="408"/>
        <v>91230000</v>
      </c>
      <c r="H6549" s="5">
        <v>0.0365</v>
      </c>
      <c r="I6549" s="8">
        <f t="shared" si="409"/>
        <v>91230000</v>
      </c>
      <c r="J6549" s="8">
        <f t="shared" si="410"/>
        <v>3329895</v>
      </c>
      <c r="K6549" t="str">
        <f t="shared" si="411"/>
        <v>MATCHED</v>
      </c>
    </row>
    <row r="6550" spans="1:11">
      <c r="A6550" t="s">
        <v>128</v>
      </c>
      <c r="B6550" t="s">
        <v>1865</v>
      </c>
      <c r="C6550" t="s">
        <v>1360</v>
      </c>
      <c r="D6550" t="s">
        <v>1361</v>
      </c>
      <c r="E6550" s="8">
        <v>30</v>
      </c>
      <c r="F6550" s="8">
        <v>33990</v>
      </c>
      <c r="G6550" s="8">
        <f t="shared" si="408"/>
        <v>1019700</v>
      </c>
      <c r="H6550" s="5">
        <v>0.1056</v>
      </c>
      <c r="I6550" s="8">
        <f t="shared" si="409"/>
        <v>1019700</v>
      </c>
      <c r="J6550" s="8">
        <f t="shared" si="410"/>
        <v>107680.32</v>
      </c>
      <c r="K6550" t="str">
        <f t="shared" si="411"/>
        <v>MATCHED</v>
      </c>
    </row>
    <row r="6551" spans="1:11">
      <c r="A6551" t="s">
        <v>128</v>
      </c>
      <c r="B6551" t="s">
        <v>1865</v>
      </c>
      <c r="C6551" t="s">
        <v>1370</v>
      </c>
      <c r="D6551" t="s">
        <v>1371</v>
      </c>
      <c r="E6551" s="8">
        <v>70</v>
      </c>
      <c r="F6551" s="8">
        <v>33050</v>
      </c>
      <c r="G6551" s="8">
        <f t="shared" si="408"/>
        <v>2313500</v>
      </c>
      <c r="H6551" s="5"/>
      <c r="I6551" s="8" t="str">
        <f t="shared" si="409"/>
        <v/>
      </c>
      <c r="J6551" s="8" t="str">
        <f t="shared" si="410"/>
        <v/>
      </c>
      <c r="K6551" t="str">
        <f t="shared" si="411"/>
        <v>MISSING WHARTON</v>
      </c>
    </row>
    <row r="6552" spans="1:11">
      <c r="A6552" t="s">
        <v>128</v>
      </c>
      <c r="B6552" t="s">
        <v>1865</v>
      </c>
      <c r="C6552" t="s">
        <v>1122</v>
      </c>
      <c r="D6552" t="s">
        <v>1123</v>
      </c>
      <c r="E6552" s="8"/>
      <c r="F6552" s="8">
        <v>45120</v>
      </c>
      <c r="G6552" s="8" t="str">
        <f t="shared" si="408"/>
        <v/>
      </c>
      <c r="H6552" s="5">
        <v>0.13</v>
      </c>
      <c r="I6552" s="8" t="str">
        <f t="shared" si="409"/>
        <v/>
      </c>
      <c r="J6552" s="8" t="str">
        <f t="shared" si="410"/>
        <v/>
      </c>
      <c r="K6552" t="str">
        <f t="shared" si="411"/>
        <v>MISSING OEWS</v>
      </c>
    </row>
    <row r="6553" spans="1:11">
      <c r="A6553" t="s">
        <v>128</v>
      </c>
      <c r="B6553" t="s">
        <v>1865</v>
      </c>
      <c r="C6553" t="s">
        <v>1126</v>
      </c>
      <c r="D6553" t="s">
        <v>1127</v>
      </c>
      <c r="E6553" s="8">
        <v>60</v>
      </c>
      <c r="F6553" s="8">
        <v>33960</v>
      </c>
      <c r="G6553" s="8">
        <f t="shared" si="408"/>
        <v>2037600</v>
      </c>
      <c r="H6553" s="5">
        <v>0.0365</v>
      </c>
      <c r="I6553" s="8">
        <f t="shared" si="409"/>
        <v>2037600</v>
      </c>
      <c r="J6553" s="8">
        <f t="shared" si="410"/>
        <v>74372.4</v>
      </c>
      <c r="K6553" t="str">
        <f t="shared" si="411"/>
        <v>MATCHED</v>
      </c>
    </row>
    <row r="6554" spans="1:11">
      <c r="A6554" t="s">
        <v>128</v>
      </c>
      <c r="B6554" t="s">
        <v>1865</v>
      </c>
      <c r="C6554" t="s">
        <v>1376</v>
      </c>
      <c r="D6554" t="s">
        <v>1377</v>
      </c>
      <c r="E6554" s="8">
        <v>30</v>
      </c>
      <c r="F6554" s="8">
        <v>29950</v>
      </c>
      <c r="G6554" s="8">
        <f t="shared" si="408"/>
        <v>898500</v>
      </c>
      <c r="H6554" s="5"/>
      <c r="I6554" s="8" t="str">
        <f t="shared" si="409"/>
        <v/>
      </c>
      <c r="J6554" s="8" t="str">
        <f t="shared" si="410"/>
        <v/>
      </c>
      <c r="K6554" t="str">
        <f t="shared" si="411"/>
        <v>MISSING WHARTON</v>
      </c>
    </row>
    <row r="6555" spans="1:11">
      <c r="A6555" t="s">
        <v>128</v>
      </c>
      <c r="B6555" t="s">
        <v>1865</v>
      </c>
      <c r="C6555" t="s">
        <v>766</v>
      </c>
      <c r="D6555" t="s">
        <v>767</v>
      </c>
      <c r="E6555" s="8">
        <v>400</v>
      </c>
      <c r="F6555" s="8">
        <v>68270</v>
      </c>
      <c r="G6555" s="8">
        <f t="shared" si="408"/>
        <v>27308000</v>
      </c>
      <c r="H6555" s="5">
        <v>0.1618</v>
      </c>
      <c r="I6555" s="8">
        <f t="shared" si="409"/>
        <v>27308000</v>
      </c>
      <c r="J6555" s="8">
        <f t="shared" si="410"/>
        <v>4418434.4</v>
      </c>
      <c r="K6555" t="str">
        <f t="shared" si="411"/>
        <v>MATCHED</v>
      </c>
    </row>
    <row r="6556" spans="1:11">
      <c r="A6556" t="s">
        <v>128</v>
      </c>
      <c r="B6556" t="s">
        <v>1865</v>
      </c>
      <c r="C6556" t="s">
        <v>768</v>
      </c>
      <c r="D6556" t="s">
        <v>769</v>
      </c>
      <c r="E6556" s="8">
        <v>4700</v>
      </c>
      <c r="F6556" s="8">
        <v>87177</v>
      </c>
      <c r="G6556" s="8">
        <f t="shared" si="408"/>
        <v>409731900</v>
      </c>
      <c r="H6556" s="5">
        <v>0.104</v>
      </c>
      <c r="I6556" s="8">
        <f t="shared" si="409"/>
        <v>409731900</v>
      </c>
      <c r="J6556" s="8">
        <f t="shared" si="410"/>
        <v>42612117.6</v>
      </c>
      <c r="K6556" t="str">
        <f t="shared" si="411"/>
        <v>MATCHED</v>
      </c>
    </row>
    <row r="6557" spans="1:11">
      <c r="A6557" t="s">
        <v>128</v>
      </c>
      <c r="B6557" t="s">
        <v>1865</v>
      </c>
      <c r="C6557" t="s">
        <v>770</v>
      </c>
      <c r="D6557" t="s">
        <v>771</v>
      </c>
      <c r="E6557" s="8">
        <v>90</v>
      </c>
      <c r="F6557" s="8"/>
      <c r="G6557" s="8" t="str">
        <f t="shared" si="408"/>
        <v/>
      </c>
      <c r="H6557" s="5">
        <v>0.1188</v>
      </c>
      <c r="I6557" s="8" t="str">
        <f t="shared" si="409"/>
        <v/>
      </c>
      <c r="J6557" s="8" t="str">
        <f t="shared" si="410"/>
        <v/>
      </c>
      <c r="K6557" t="str">
        <f t="shared" si="411"/>
        <v>MISSING OEWS</v>
      </c>
    </row>
    <row r="6558" spans="1:11">
      <c r="A6558" t="s">
        <v>128</v>
      </c>
      <c r="B6558" t="s">
        <v>1865</v>
      </c>
      <c r="C6558" t="s">
        <v>778</v>
      </c>
      <c r="D6558" t="s">
        <v>779</v>
      </c>
      <c r="E6558" s="8">
        <v>50</v>
      </c>
      <c r="F6558" s="8"/>
      <c r="G6558" s="8" t="str">
        <f t="shared" si="408"/>
        <v/>
      </c>
      <c r="H6558" s="5">
        <v>0.1</v>
      </c>
      <c r="I6558" s="8" t="str">
        <f t="shared" si="409"/>
        <v/>
      </c>
      <c r="J6558" s="8" t="str">
        <f t="shared" si="410"/>
        <v/>
      </c>
      <c r="K6558" t="str">
        <f t="shared" si="411"/>
        <v>MISSING OEWS</v>
      </c>
    </row>
    <row r="6559" spans="1:11">
      <c r="A6559" t="s">
        <v>128</v>
      </c>
      <c r="B6559" t="s">
        <v>1865</v>
      </c>
      <c r="C6559" t="s">
        <v>469</v>
      </c>
      <c r="D6559" t="s">
        <v>470</v>
      </c>
      <c r="E6559" s="8"/>
      <c r="F6559" s="8">
        <v>45290</v>
      </c>
      <c r="G6559" s="8" t="str">
        <f t="shared" si="408"/>
        <v/>
      </c>
      <c r="H6559" s="5">
        <v>0.0452</v>
      </c>
      <c r="I6559" s="8" t="str">
        <f t="shared" si="409"/>
        <v/>
      </c>
      <c r="J6559" s="8" t="str">
        <f t="shared" si="410"/>
        <v/>
      </c>
      <c r="K6559" t="str">
        <f t="shared" si="411"/>
        <v>MISSING OEWS</v>
      </c>
    </row>
    <row r="6560" spans="1:11">
      <c r="A6560" t="s">
        <v>128</v>
      </c>
      <c r="B6560" t="s">
        <v>1865</v>
      </c>
      <c r="C6560" t="s">
        <v>477</v>
      </c>
      <c r="D6560" t="s">
        <v>478</v>
      </c>
      <c r="E6560" s="8">
        <v>50</v>
      </c>
      <c r="F6560" s="8">
        <v>32950</v>
      </c>
      <c r="G6560" s="8">
        <f t="shared" si="408"/>
        <v>1647500</v>
      </c>
      <c r="H6560" s="5">
        <v>0.0339</v>
      </c>
      <c r="I6560" s="8">
        <f t="shared" si="409"/>
        <v>1647500</v>
      </c>
      <c r="J6560" s="8">
        <f t="shared" si="410"/>
        <v>55850.25</v>
      </c>
      <c r="K6560" t="str">
        <f t="shared" si="411"/>
        <v>MATCHED</v>
      </c>
    </row>
    <row r="6561" spans="1:11">
      <c r="A6561" t="s">
        <v>128</v>
      </c>
      <c r="B6561" t="s">
        <v>1865</v>
      </c>
      <c r="C6561" t="s">
        <v>481</v>
      </c>
      <c r="D6561" t="s">
        <v>482</v>
      </c>
      <c r="E6561" s="8">
        <v>2300</v>
      </c>
      <c r="F6561" s="8">
        <v>46060</v>
      </c>
      <c r="G6561" s="8">
        <f t="shared" si="408"/>
        <v>105938000</v>
      </c>
      <c r="H6561" s="5">
        <v>0.2969</v>
      </c>
      <c r="I6561" s="8">
        <f t="shared" si="409"/>
        <v>105938000</v>
      </c>
      <c r="J6561" s="8">
        <f t="shared" si="410"/>
        <v>31452992.2</v>
      </c>
      <c r="K6561" t="str">
        <f t="shared" si="411"/>
        <v>MATCHED</v>
      </c>
    </row>
    <row r="6562" spans="1:11">
      <c r="A6562" t="s">
        <v>128</v>
      </c>
      <c r="B6562" t="s">
        <v>1865</v>
      </c>
      <c r="C6562" t="s">
        <v>1382</v>
      </c>
      <c r="D6562" t="s">
        <v>1383</v>
      </c>
      <c r="E6562" s="8">
        <v>5810</v>
      </c>
      <c r="F6562" s="8">
        <v>54260</v>
      </c>
      <c r="G6562" s="8">
        <f t="shared" si="408"/>
        <v>315250600</v>
      </c>
      <c r="H6562" s="5">
        <v>0</v>
      </c>
      <c r="I6562" s="8">
        <f t="shared" si="409"/>
        <v>315250600</v>
      </c>
      <c r="J6562" s="8">
        <f t="shared" si="410"/>
        <v>0</v>
      </c>
      <c r="K6562" t="str">
        <f t="shared" si="411"/>
        <v>MATCHED</v>
      </c>
    </row>
    <row r="6563" spans="1:11">
      <c r="A6563" t="s">
        <v>128</v>
      </c>
      <c r="B6563" t="s">
        <v>1865</v>
      </c>
      <c r="C6563" t="s">
        <v>1384</v>
      </c>
      <c r="D6563" t="s">
        <v>1385</v>
      </c>
      <c r="E6563" s="8">
        <v>2120</v>
      </c>
      <c r="F6563" s="8">
        <v>54974.0566037736</v>
      </c>
      <c r="G6563" s="8">
        <f t="shared" si="408"/>
        <v>116545000</v>
      </c>
      <c r="H6563" s="5">
        <v>0</v>
      </c>
      <c r="I6563" s="8">
        <f t="shared" si="409"/>
        <v>116545000</v>
      </c>
      <c r="J6563" s="8">
        <f t="shared" si="410"/>
        <v>0</v>
      </c>
      <c r="K6563" t="str">
        <f t="shared" si="411"/>
        <v>MATCHED</v>
      </c>
    </row>
    <row r="6564" spans="1:11">
      <c r="A6564" t="s">
        <v>128</v>
      </c>
      <c r="B6564" t="s">
        <v>1865</v>
      </c>
      <c r="C6564" t="s">
        <v>1386</v>
      </c>
      <c r="D6564" t="s">
        <v>1387</v>
      </c>
      <c r="E6564" s="8">
        <v>4710</v>
      </c>
      <c r="F6564" s="8">
        <v>42960</v>
      </c>
      <c r="G6564" s="8">
        <f t="shared" si="408"/>
        <v>202341600</v>
      </c>
      <c r="H6564" s="5">
        <v>0</v>
      </c>
      <c r="I6564" s="8">
        <f t="shared" si="409"/>
        <v>202341600</v>
      </c>
      <c r="J6564" s="8">
        <f t="shared" si="410"/>
        <v>0</v>
      </c>
      <c r="K6564" t="str">
        <f t="shared" si="411"/>
        <v>MATCHED</v>
      </c>
    </row>
    <row r="6565" spans="1:11">
      <c r="A6565" t="s">
        <v>128</v>
      </c>
      <c r="B6565" t="s">
        <v>1865</v>
      </c>
      <c r="C6565" t="s">
        <v>483</v>
      </c>
      <c r="D6565" t="s">
        <v>484</v>
      </c>
      <c r="E6565" s="8">
        <v>1400</v>
      </c>
      <c r="F6565" s="8">
        <v>32410</v>
      </c>
      <c r="G6565" s="8">
        <f t="shared" si="408"/>
        <v>45374000</v>
      </c>
      <c r="H6565" s="5">
        <v>0.0475</v>
      </c>
      <c r="I6565" s="8">
        <f t="shared" si="409"/>
        <v>45374000</v>
      </c>
      <c r="J6565" s="8">
        <f t="shared" si="410"/>
        <v>2155265</v>
      </c>
      <c r="K6565" t="str">
        <f t="shared" si="411"/>
        <v>MATCHED</v>
      </c>
    </row>
    <row r="6566" spans="1:11">
      <c r="A6566" t="s">
        <v>128</v>
      </c>
      <c r="B6566" t="s">
        <v>1865</v>
      </c>
      <c r="C6566" t="s">
        <v>784</v>
      </c>
      <c r="D6566" t="s">
        <v>785</v>
      </c>
      <c r="E6566" s="8"/>
      <c r="F6566" s="8">
        <v>41650</v>
      </c>
      <c r="G6566" s="8" t="str">
        <f t="shared" si="408"/>
        <v/>
      </c>
      <c r="H6566" s="5">
        <v>0.2111</v>
      </c>
      <c r="I6566" s="8" t="str">
        <f t="shared" si="409"/>
        <v/>
      </c>
      <c r="J6566" s="8" t="str">
        <f t="shared" si="410"/>
        <v/>
      </c>
      <c r="K6566" t="str">
        <f t="shared" si="411"/>
        <v>MISSING OEWS</v>
      </c>
    </row>
    <row r="6567" spans="1:11">
      <c r="A6567" t="s">
        <v>128</v>
      </c>
      <c r="B6567" t="s">
        <v>1865</v>
      </c>
      <c r="C6567" t="s">
        <v>489</v>
      </c>
      <c r="D6567" t="s">
        <v>490</v>
      </c>
      <c r="E6567" s="8">
        <v>270</v>
      </c>
      <c r="F6567" s="8">
        <v>36460</v>
      </c>
      <c r="G6567" s="8">
        <f t="shared" si="408"/>
        <v>9844200</v>
      </c>
      <c r="H6567" s="5">
        <v>0.0838</v>
      </c>
      <c r="I6567" s="8">
        <f t="shared" si="409"/>
        <v>9844200</v>
      </c>
      <c r="J6567" s="8">
        <f t="shared" si="410"/>
        <v>824943.96</v>
      </c>
      <c r="K6567" t="str">
        <f t="shared" si="411"/>
        <v>MATCHED</v>
      </c>
    </row>
    <row r="6568" spans="1:11">
      <c r="A6568" t="s">
        <v>128</v>
      </c>
      <c r="B6568" t="s">
        <v>1865</v>
      </c>
      <c r="C6568" t="s">
        <v>491</v>
      </c>
      <c r="D6568" t="s">
        <v>492</v>
      </c>
      <c r="E6568" s="8">
        <v>5010</v>
      </c>
      <c r="F6568" s="8">
        <v>32220</v>
      </c>
      <c r="G6568" s="8">
        <f t="shared" si="408"/>
        <v>161422200</v>
      </c>
      <c r="H6568" s="5"/>
      <c r="I6568" s="8" t="str">
        <f t="shared" si="409"/>
        <v/>
      </c>
      <c r="J6568" s="8" t="str">
        <f t="shared" si="410"/>
        <v/>
      </c>
      <c r="K6568" t="str">
        <f t="shared" si="411"/>
        <v>MISSING WHARTON</v>
      </c>
    </row>
    <row r="6569" spans="1:11">
      <c r="A6569" t="s">
        <v>128</v>
      </c>
      <c r="B6569" t="s">
        <v>1865</v>
      </c>
      <c r="C6569" t="s">
        <v>493</v>
      </c>
      <c r="D6569" t="s">
        <v>494</v>
      </c>
      <c r="E6569" s="8">
        <v>6590</v>
      </c>
      <c r="F6569" s="8">
        <v>59259.8482549317</v>
      </c>
      <c r="G6569" s="8">
        <f t="shared" si="408"/>
        <v>390522400</v>
      </c>
      <c r="H6569" s="5">
        <v>0.3429</v>
      </c>
      <c r="I6569" s="8">
        <f t="shared" si="409"/>
        <v>390522400</v>
      </c>
      <c r="J6569" s="8">
        <f t="shared" si="410"/>
        <v>133910130.96</v>
      </c>
      <c r="K6569" t="str">
        <f t="shared" si="411"/>
        <v>MATCHED</v>
      </c>
    </row>
    <row r="6570" spans="1:11">
      <c r="A6570" t="s">
        <v>128</v>
      </c>
      <c r="B6570" t="s">
        <v>1865</v>
      </c>
      <c r="C6570" t="s">
        <v>495</v>
      </c>
      <c r="D6570" t="s">
        <v>496</v>
      </c>
      <c r="E6570" s="8">
        <v>5440</v>
      </c>
      <c r="F6570" s="8">
        <v>121070</v>
      </c>
      <c r="G6570" s="8">
        <f t="shared" si="408"/>
        <v>658620800</v>
      </c>
      <c r="H6570" s="5">
        <v>0.3558</v>
      </c>
      <c r="I6570" s="8">
        <f t="shared" si="409"/>
        <v>658620800</v>
      </c>
      <c r="J6570" s="8">
        <f t="shared" si="410"/>
        <v>234337280.64</v>
      </c>
      <c r="K6570" t="str">
        <f t="shared" si="411"/>
        <v>MATCHED</v>
      </c>
    </row>
    <row r="6571" spans="1:11">
      <c r="A6571" t="s">
        <v>128</v>
      </c>
      <c r="B6571" t="s">
        <v>1865</v>
      </c>
      <c r="C6571" t="s">
        <v>1404</v>
      </c>
      <c r="D6571" t="s">
        <v>1405</v>
      </c>
      <c r="E6571" s="8">
        <v>160</v>
      </c>
      <c r="F6571" s="8">
        <v>65610</v>
      </c>
      <c r="G6571" s="8">
        <f t="shared" si="408"/>
        <v>10497600</v>
      </c>
      <c r="H6571" s="5">
        <v>0.35</v>
      </c>
      <c r="I6571" s="8">
        <f t="shared" si="409"/>
        <v>10497600</v>
      </c>
      <c r="J6571" s="8">
        <f t="shared" si="410"/>
        <v>3674160</v>
      </c>
      <c r="K6571" t="str">
        <f t="shared" si="411"/>
        <v>MATCHED</v>
      </c>
    </row>
    <row r="6572" spans="1:11">
      <c r="A6572" t="s">
        <v>128</v>
      </c>
      <c r="B6572" t="s">
        <v>1865</v>
      </c>
      <c r="C6572" t="s">
        <v>1551</v>
      </c>
      <c r="D6572" t="s">
        <v>1552</v>
      </c>
      <c r="E6572" s="8">
        <v>9870</v>
      </c>
      <c r="F6572" s="8">
        <v>35660.1317122594</v>
      </c>
      <c r="G6572" s="8">
        <f t="shared" si="408"/>
        <v>351965500</v>
      </c>
      <c r="H6572" s="5">
        <v>0.0864</v>
      </c>
      <c r="I6572" s="8">
        <f t="shared" si="409"/>
        <v>351965500</v>
      </c>
      <c r="J6572" s="8">
        <f t="shared" si="410"/>
        <v>30409819.2</v>
      </c>
      <c r="K6572" t="str">
        <f t="shared" si="411"/>
        <v>MATCHED</v>
      </c>
    </row>
    <row r="6573" spans="1:11">
      <c r="A6573" t="s">
        <v>128</v>
      </c>
      <c r="B6573" t="s">
        <v>1865</v>
      </c>
      <c r="C6573" t="s">
        <v>497</v>
      </c>
      <c r="D6573" t="s">
        <v>498</v>
      </c>
      <c r="E6573" s="8">
        <v>1570</v>
      </c>
      <c r="F6573" s="8">
        <v>34350</v>
      </c>
      <c r="G6573" s="8">
        <f t="shared" si="408"/>
        <v>53929500</v>
      </c>
      <c r="H6573" s="5">
        <v>0.3167</v>
      </c>
      <c r="I6573" s="8">
        <f t="shared" si="409"/>
        <v>53929500</v>
      </c>
      <c r="J6573" s="8">
        <f t="shared" si="410"/>
        <v>17079472.65</v>
      </c>
      <c r="K6573" t="str">
        <f t="shared" si="411"/>
        <v>MATCHED</v>
      </c>
    </row>
    <row r="6574" spans="1:11">
      <c r="A6574" t="s">
        <v>128</v>
      </c>
      <c r="B6574" t="s">
        <v>1865</v>
      </c>
      <c r="C6574" t="s">
        <v>499</v>
      </c>
      <c r="D6574" t="s">
        <v>500</v>
      </c>
      <c r="E6574" s="8">
        <v>2810</v>
      </c>
      <c r="F6574" s="8">
        <v>49561.28113879</v>
      </c>
      <c r="G6574" s="8">
        <f t="shared" si="408"/>
        <v>139267200</v>
      </c>
      <c r="H6574" s="5">
        <v>0.2065</v>
      </c>
      <c r="I6574" s="8">
        <f t="shared" si="409"/>
        <v>139267200</v>
      </c>
      <c r="J6574" s="8">
        <f t="shared" si="410"/>
        <v>28758676.8</v>
      </c>
      <c r="K6574" t="str">
        <f t="shared" si="411"/>
        <v>MATCHED</v>
      </c>
    </row>
    <row r="6575" spans="1:11">
      <c r="A6575" t="s">
        <v>128</v>
      </c>
      <c r="B6575" t="s">
        <v>1865</v>
      </c>
      <c r="C6575" t="s">
        <v>501</v>
      </c>
      <c r="D6575" t="s">
        <v>502</v>
      </c>
      <c r="E6575" s="8">
        <v>15700</v>
      </c>
      <c r="F6575" s="8">
        <v>39305.0382165605</v>
      </c>
      <c r="G6575" s="8">
        <f t="shared" si="408"/>
        <v>617089100</v>
      </c>
      <c r="H6575" s="5">
        <v>0.3393</v>
      </c>
      <c r="I6575" s="8">
        <f t="shared" si="409"/>
        <v>617089100</v>
      </c>
      <c r="J6575" s="8">
        <f t="shared" si="410"/>
        <v>209378331.63</v>
      </c>
      <c r="K6575" t="str">
        <f t="shared" si="411"/>
        <v>MATCHED</v>
      </c>
    </row>
    <row r="6576" spans="1:11">
      <c r="A6576" t="s">
        <v>128</v>
      </c>
      <c r="B6576" t="s">
        <v>1865</v>
      </c>
      <c r="C6576" t="s">
        <v>1553</v>
      </c>
      <c r="D6576" t="s">
        <v>1554</v>
      </c>
      <c r="E6576" s="8">
        <v>4990</v>
      </c>
      <c r="F6576" s="8">
        <v>41660</v>
      </c>
      <c r="G6576" s="8">
        <f t="shared" si="408"/>
        <v>207883400</v>
      </c>
      <c r="H6576" s="5">
        <v>0.2235</v>
      </c>
      <c r="I6576" s="8">
        <f t="shared" si="409"/>
        <v>207883400</v>
      </c>
      <c r="J6576" s="8">
        <f t="shared" si="410"/>
        <v>46461939.9</v>
      </c>
      <c r="K6576" t="str">
        <f t="shared" si="411"/>
        <v>MATCHED</v>
      </c>
    </row>
    <row r="6577" spans="1:11">
      <c r="A6577" t="s">
        <v>128</v>
      </c>
      <c r="B6577" t="s">
        <v>1865</v>
      </c>
      <c r="C6577" t="s">
        <v>1457</v>
      </c>
      <c r="D6577" t="s">
        <v>1458</v>
      </c>
      <c r="E6577" s="8">
        <v>980</v>
      </c>
      <c r="F6577" s="8">
        <v>43580</v>
      </c>
      <c r="G6577" s="8">
        <f t="shared" si="408"/>
        <v>42708400</v>
      </c>
      <c r="H6577" s="5">
        <v>0.2567</v>
      </c>
      <c r="I6577" s="8">
        <f t="shared" si="409"/>
        <v>42708400</v>
      </c>
      <c r="J6577" s="8">
        <f t="shared" si="410"/>
        <v>10963246.28</v>
      </c>
      <c r="K6577" t="str">
        <f t="shared" si="411"/>
        <v>MATCHED</v>
      </c>
    </row>
    <row r="6578" spans="1:11">
      <c r="A6578" t="s">
        <v>128</v>
      </c>
      <c r="B6578" t="s">
        <v>1865</v>
      </c>
      <c r="C6578" t="s">
        <v>503</v>
      </c>
      <c r="D6578" t="s">
        <v>504</v>
      </c>
      <c r="E6578" s="8">
        <v>58460</v>
      </c>
      <c r="F6578" s="8">
        <v>37691.9175504619</v>
      </c>
      <c r="G6578" s="8">
        <f t="shared" si="408"/>
        <v>2203469500</v>
      </c>
      <c r="H6578" s="5">
        <v>0.3288</v>
      </c>
      <c r="I6578" s="8">
        <f t="shared" si="409"/>
        <v>2203469500</v>
      </c>
      <c r="J6578" s="8">
        <f t="shared" si="410"/>
        <v>724500771.6</v>
      </c>
      <c r="K6578" t="str">
        <f t="shared" si="411"/>
        <v>MATCHED</v>
      </c>
    </row>
    <row r="6579" spans="1:11">
      <c r="A6579" t="s">
        <v>128</v>
      </c>
      <c r="B6579" t="s">
        <v>1865</v>
      </c>
      <c r="C6579" t="s">
        <v>1555</v>
      </c>
      <c r="D6579" t="s">
        <v>1556</v>
      </c>
      <c r="E6579" s="8">
        <v>60</v>
      </c>
      <c r="F6579" s="8">
        <v>33250</v>
      </c>
      <c r="G6579" s="8">
        <f t="shared" si="408"/>
        <v>1995000</v>
      </c>
      <c r="H6579" s="5">
        <v>0.4844</v>
      </c>
      <c r="I6579" s="8">
        <f t="shared" si="409"/>
        <v>1995000</v>
      </c>
      <c r="J6579" s="8">
        <f t="shared" si="410"/>
        <v>966378</v>
      </c>
      <c r="K6579" t="str">
        <f t="shared" si="411"/>
        <v>MATCHED</v>
      </c>
    </row>
    <row r="6580" spans="1:11">
      <c r="A6580" t="s">
        <v>128</v>
      </c>
      <c r="B6580" t="s">
        <v>1865</v>
      </c>
      <c r="C6580" t="s">
        <v>1134</v>
      </c>
      <c r="D6580" t="s">
        <v>1135</v>
      </c>
      <c r="E6580" s="8">
        <v>1170</v>
      </c>
      <c r="F6580" s="8">
        <v>38452.3076923077</v>
      </c>
      <c r="G6580" s="8">
        <f t="shared" si="408"/>
        <v>44989200</v>
      </c>
      <c r="H6580" s="5"/>
      <c r="I6580" s="8" t="str">
        <f t="shared" si="409"/>
        <v/>
      </c>
      <c r="J6580" s="8" t="str">
        <f t="shared" si="410"/>
        <v/>
      </c>
      <c r="K6580" t="str">
        <f t="shared" si="411"/>
        <v>MISSING WHARTON</v>
      </c>
    </row>
    <row r="6581" spans="1:11">
      <c r="A6581" t="s">
        <v>128</v>
      </c>
      <c r="B6581" t="s">
        <v>1865</v>
      </c>
      <c r="C6581" t="s">
        <v>1408</v>
      </c>
      <c r="D6581" t="s">
        <v>1409</v>
      </c>
      <c r="E6581" s="8">
        <v>2090</v>
      </c>
      <c r="F6581" s="8">
        <v>38901.5311004785</v>
      </c>
      <c r="G6581" s="8">
        <f t="shared" si="408"/>
        <v>81304200</v>
      </c>
      <c r="H6581" s="5">
        <v>0.1972</v>
      </c>
      <c r="I6581" s="8">
        <f t="shared" si="409"/>
        <v>81304200</v>
      </c>
      <c r="J6581" s="8">
        <f t="shared" si="410"/>
        <v>16033188.24</v>
      </c>
      <c r="K6581" t="str">
        <f t="shared" si="411"/>
        <v>MATCHED</v>
      </c>
    </row>
    <row r="6582" spans="1:11">
      <c r="A6582" t="s">
        <v>128</v>
      </c>
      <c r="B6582" t="s">
        <v>1865</v>
      </c>
      <c r="C6582" t="s">
        <v>1138</v>
      </c>
      <c r="D6582" t="s">
        <v>1139</v>
      </c>
      <c r="E6582" s="8">
        <v>40</v>
      </c>
      <c r="F6582" s="8">
        <v>31730</v>
      </c>
      <c r="G6582" s="8">
        <f t="shared" si="408"/>
        <v>1269200</v>
      </c>
      <c r="H6582" s="5">
        <v>0.2533</v>
      </c>
      <c r="I6582" s="8">
        <f t="shared" si="409"/>
        <v>1269200</v>
      </c>
      <c r="J6582" s="8">
        <f t="shared" si="410"/>
        <v>321488.36</v>
      </c>
      <c r="K6582" t="str">
        <f t="shared" si="411"/>
        <v>MATCHED</v>
      </c>
    </row>
    <row r="6583" spans="1:11">
      <c r="A6583" t="s">
        <v>128</v>
      </c>
      <c r="B6583" t="s">
        <v>1865</v>
      </c>
      <c r="C6583" t="s">
        <v>1142</v>
      </c>
      <c r="D6583" t="s">
        <v>1143</v>
      </c>
      <c r="E6583" s="8">
        <v>180</v>
      </c>
      <c r="F6583" s="8">
        <v>41110</v>
      </c>
      <c r="G6583" s="8">
        <f t="shared" si="408"/>
        <v>7399800</v>
      </c>
      <c r="H6583" s="5"/>
      <c r="I6583" s="8" t="str">
        <f t="shared" si="409"/>
        <v/>
      </c>
      <c r="J6583" s="8" t="str">
        <f t="shared" si="410"/>
        <v/>
      </c>
      <c r="K6583" t="str">
        <f t="shared" si="411"/>
        <v>MISSING WHARTON</v>
      </c>
    </row>
    <row r="6584" spans="1:11">
      <c r="A6584" t="s">
        <v>128</v>
      </c>
      <c r="B6584" t="s">
        <v>1865</v>
      </c>
      <c r="C6584" t="s">
        <v>507</v>
      </c>
      <c r="D6584" t="s">
        <v>508</v>
      </c>
      <c r="E6584" s="8">
        <v>1030</v>
      </c>
      <c r="F6584" s="8">
        <v>41910</v>
      </c>
      <c r="G6584" s="8">
        <f t="shared" si="408"/>
        <v>43167300</v>
      </c>
      <c r="H6584" s="5">
        <v>0</v>
      </c>
      <c r="I6584" s="8">
        <f t="shared" si="409"/>
        <v>43167300</v>
      </c>
      <c r="J6584" s="8">
        <f t="shared" si="410"/>
        <v>0</v>
      </c>
      <c r="K6584" t="str">
        <f t="shared" si="411"/>
        <v>MATCHED</v>
      </c>
    </row>
    <row r="6585" spans="1:11">
      <c r="A6585" t="s">
        <v>128</v>
      </c>
      <c r="B6585" t="s">
        <v>1865</v>
      </c>
      <c r="C6585" t="s">
        <v>509</v>
      </c>
      <c r="D6585" t="s">
        <v>510</v>
      </c>
      <c r="E6585" s="8">
        <v>270</v>
      </c>
      <c r="F6585" s="8">
        <v>34990</v>
      </c>
      <c r="G6585" s="8">
        <f t="shared" si="408"/>
        <v>9447300</v>
      </c>
      <c r="H6585" s="5">
        <v>0.0452</v>
      </c>
      <c r="I6585" s="8">
        <f t="shared" si="409"/>
        <v>9447300</v>
      </c>
      <c r="J6585" s="8">
        <f t="shared" si="410"/>
        <v>427017.96</v>
      </c>
      <c r="K6585" t="str">
        <f t="shared" si="411"/>
        <v>MATCHED</v>
      </c>
    </row>
    <row r="6586" spans="1:11">
      <c r="A6586" t="s">
        <v>128</v>
      </c>
      <c r="B6586" t="s">
        <v>1865</v>
      </c>
      <c r="C6586" t="s">
        <v>511</v>
      </c>
      <c r="D6586" t="s">
        <v>512</v>
      </c>
      <c r="E6586" s="8">
        <v>21350</v>
      </c>
      <c r="F6586" s="8">
        <v>36050.8899297424</v>
      </c>
      <c r="G6586" s="8">
        <f t="shared" si="408"/>
        <v>769686500</v>
      </c>
      <c r="H6586" s="5">
        <v>0.049</v>
      </c>
      <c r="I6586" s="8">
        <f t="shared" si="409"/>
        <v>769686500</v>
      </c>
      <c r="J6586" s="8">
        <f t="shared" si="410"/>
        <v>37714638.5</v>
      </c>
      <c r="K6586" t="str">
        <f t="shared" si="411"/>
        <v>MATCHED</v>
      </c>
    </row>
    <row r="6587" spans="1:11">
      <c r="A6587" t="s">
        <v>128</v>
      </c>
      <c r="B6587" t="s">
        <v>1865</v>
      </c>
      <c r="C6587" t="s">
        <v>515</v>
      </c>
      <c r="D6587" t="s">
        <v>516</v>
      </c>
      <c r="E6587" s="8">
        <v>2670</v>
      </c>
      <c r="F6587" s="8">
        <v>33820</v>
      </c>
      <c r="G6587" s="8">
        <f t="shared" si="408"/>
        <v>90299400</v>
      </c>
      <c r="H6587" s="5">
        <v>0.0792</v>
      </c>
      <c r="I6587" s="8">
        <f t="shared" si="409"/>
        <v>90299400</v>
      </c>
      <c r="J6587" s="8">
        <f t="shared" si="410"/>
        <v>7151712.48</v>
      </c>
      <c r="K6587" t="str">
        <f t="shared" si="411"/>
        <v>MATCHED</v>
      </c>
    </row>
    <row r="6588" spans="1:11">
      <c r="A6588" t="s">
        <v>128</v>
      </c>
      <c r="B6588" t="s">
        <v>1865</v>
      </c>
      <c r="C6588" t="s">
        <v>517</v>
      </c>
      <c r="D6588" t="s">
        <v>518</v>
      </c>
      <c r="E6588" s="8">
        <v>24840</v>
      </c>
      <c r="F6588" s="8">
        <v>42664.0338164251</v>
      </c>
      <c r="G6588" s="8">
        <f t="shared" si="408"/>
        <v>1059774600</v>
      </c>
      <c r="H6588" s="5">
        <v>0.2233</v>
      </c>
      <c r="I6588" s="8">
        <f t="shared" si="409"/>
        <v>1059774600</v>
      </c>
      <c r="J6588" s="8">
        <f t="shared" si="410"/>
        <v>236647668.18</v>
      </c>
      <c r="K6588" t="str">
        <f t="shared" si="411"/>
        <v>MATCHED</v>
      </c>
    </row>
    <row r="6589" spans="1:11">
      <c r="A6589" t="s">
        <v>128</v>
      </c>
      <c r="B6589" t="s">
        <v>1865</v>
      </c>
      <c r="C6589" t="s">
        <v>918</v>
      </c>
      <c r="D6589" t="s">
        <v>919</v>
      </c>
      <c r="E6589" s="8">
        <v>230</v>
      </c>
      <c r="F6589" s="8">
        <v>40050</v>
      </c>
      <c r="G6589" s="8">
        <f t="shared" si="408"/>
        <v>9211500</v>
      </c>
      <c r="H6589" s="5">
        <v>0.2375</v>
      </c>
      <c r="I6589" s="8">
        <f t="shared" si="409"/>
        <v>9211500</v>
      </c>
      <c r="J6589" s="8">
        <f t="shared" si="410"/>
        <v>2187731.25</v>
      </c>
      <c r="K6589" t="str">
        <f t="shared" si="411"/>
        <v>MATCHED</v>
      </c>
    </row>
    <row r="6590" spans="1:11">
      <c r="A6590" t="s">
        <v>128</v>
      </c>
      <c r="B6590" t="s">
        <v>1865</v>
      </c>
      <c r="C6590" t="s">
        <v>519</v>
      </c>
      <c r="D6590" t="s">
        <v>520</v>
      </c>
      <c r="E6590" s="8">
        <v>310</v>
      </c>
      <c r="F6590" s="8">
        <v>40980</v>
      </c>
      <c r="G6590" s="8">
        <f t="shared" si="408"/>
        <v>12703800</v>
      </c>
      <c r="H6590" s="5"/>
      <c r="I6590" s="8" t="str">
        <f t="shared" si="409"/>
        <v/>
      </c>
      <c r="J6590" s="8" t="str">
        <f t="shared" si="410"/>
        <v/>
      </c>
      <c r="K6590" t="str">
        <f t="shared" si="411"/>
        <v>MISSING WHARTON</v>
      </c>
    </row>
    <row r="6591" spans="1:11">
      <c r="A6591" t="s">
        <v>130</v>
      </c>
      <c r="B6591" t="s">
        <v>1878</v>
      </c>
      <c r="C6591" t="s">
        <v>235</v>
      </c>
      <c r="D6591" t="s">
        <v>236</v>
      </c>
      <c r="E6591" s="8">
        <v>3510</v>
      </c>
      <c r="F6591" s="8">
        <v>291890</v>
      </c>
      <c r="G6591" s="8">
        <f t="shared" si="408"/>
        <v>1024533900</v>
      </c>
      <c r="H6591" s="5">
        <v>0.4775</v>
      </c>
      <c r="I6591" s="8">
        <f t="shared" si="409"/>
        <v>1024533900</v>
      </c>
      <c r="J6591" s="8">
        <f t="shared" si="410"/>
        <v>489214937.25</v>
      </c>
      <c r="K6591" t="str">
        <f t="shared" si="411"/>
        <v>MATCHED</v>
      </c>
    </row>
    <row r="6592" spans="1:11">
      <c r="A6592" t="s">
        <v>130</v>
      </c>
      <c r="B6592" t="s">
        <v>1878</v>
      </c>
      <c r="C6592" t="s">
        <v>237</v>
      </c>
      <c r="D6592" t="s">
        <v>238</v>
      </c>
      <c r="E6592" s="8">
        <v>84980</v>
      </c>
      <c r="F6592" s="8">
        <v>109440</v>
      </c>
      <c r="G6592" s="8">
        <f t="shared" si="408"/>
        <v>9300211200</v>
      </c>
      <c r="H6592" s="5">
        <v>0.5382</v>
      </c>
      <c r="I6592" s="8">
        <f t="shared" si="409"/>
        <v>9300211200</v>
      </c>
      <c r="J6592" s="8">
        <f t="shared" si="410"/>
        <v>5005373667.84</v>
      </c>
      <c r="K6592" t="str">
        <f t="shared" si="411"/>
        <v>MATCHED</v>
      </c>
    </row>
    <row r="6593" spans="1:11">
      <c r="A6593" t="s">
        <v>130</v>
      </c>
      <c r="B6593" t="s">
        <v>1878</v>
      </c>
      <c r="C6593" t="s">
        <v>920</v>
      </c>
      <c r="D6593" t="s">
        <v>921</v>
      </c>
      <c r="E6593" s="8">
        <v>600</v>
      </c>
      <c r="F6593" s="8">
        <v>111600</v>
      </c>
      <c r="G6593" s="8">
        <f t="shared" si="408"/>
        <v>66960000</v>
      </c>
      <c r="H6593" s="5">
        <v>0.5583</v>
      </c>
      <c r="I6593" s="8">
        <f t="shared" si="409"/>
        <v>66960000</v>
      </c>
      <c r="J6593" s="8">
        <f t="shared" si="410"/>
        <v>37383768</v>
      </c>
      <c r="K6593" t="str">
        <f t="shared" si="411"/>
        <v>MATCHED</v>
      </c>
    </row>
    <row r="6594" spans="1:11">
      <c r="A6594" t="s">
        <v>130</v>
      </c>
      <c r="B6594" t="s">
        <v>1878</v>
      </c>
      <c r="C6594" t="s">
        <v>239</v>
      </c>
      <c r="D6594" t="s">
        <v>240</v>
      </c>
      <c r="E6594" s="8">
        <v>7000</v>
      </c>
      <c r="F6594" s="8">
        <v>132750</v>
      </c>
      <c r="G6594" s="8">
        <f t="shared" ref="G6594:G6657" si="412">IF(OR(E6594="",F6594=""),"",E6594*F6594)</f>
        <v>929250000</v>
      </c>
      <c r="H6594" s="5">
        <v>0.445</v>
      </c>
      <c r="I6594" s="8">
        <f t="shared" ref="I6594:I6657" si="413">IF(G6594="","",IF(ISNUMBER(H6594),G6594,""))</f>
        <v>929250000</v>
      </c>
      <c r="J6594" s="8">
        <f t="shared" ref="J6594:J6657" si="414">IF(I6594="","",I6594*H6594)</f>
        <v>413516250</v>
      </c>
      <c r="K6594" t="str">
        <f t="shared" ref="K6594:K6657" si="415">IF(G6594="","MISSING OEWS",IF(ISNUMBER(H6594),"MATCHED","MISSING WHARTON"))</f>
        <v>MATCHED</v>
      </c>
    </row>
    <row r="6595" spans="1:11">
      <c r="A6595" t="s">
        <v>130</v>
      </c>
      <c r="B6595" t="s">
        <v>1878</v>
      </c>
      <c r="C6595" t="s">
        <v>241</v>
      </c>
      <c r="D6595" t="s">
        <v>242</v>
      </c>
      <c r="E6595" s="8">
        <v>5670</v>
      </c>
      <c r="F6595" s="8">
        <v>114380</v>
      </c>
      <c r="G6595" s="8">
        <f t="shared" si="412"/>
        <v>648534600</v>
      </c>
      <c r="H6595" s="5">
        <v>0.3735</v>
      </c>
      <c r="I6595" s="8">
        <f t="shared" si="413"/>
        <v>648534600</v>
      </c>
      <c r="J6595" s="8">
        <f t="shared" si="414"/>
        <v>242227673.1</v>
      </c>
      <c r="K6595" t="str">
        <f t="shared" si="415"/>
        <v>MATCHED</v>
      </c>
    </row>
    <row r="6596" spans="1:11">
      <c r="A6596" t="s">
        <v>130</v>
      </c>
      <c r="B6596" t="s">
        <v>1878</v>
      </c>
      <c r="C6596" t="s">
        <v>522</v>
      </c>
      <c r="D6596" t="s">
        <v>523</v>
      </c>
      <c r="E6596" s="8">
        <v>2140</v>
      </c>
      <c r="F6596" s="8">
        <v>121130</v>
      </c>
      <c r="G6596" s="8">
        <f t="shared" si="412"/>
        <v>259218200</v>
      </c>
      <c r="H6596" s="5">
        <v>0.53</v>
      </c>
      <c r="I6596" s="8">
        <f t="shared" si="413"/>
        <v>259218200</v>
      </c>
      <c r="J6596" s="8">
        <f t="shared" si="414"/>
        <v>137385646</v>
      </c>
      <c r="K6596" t="str">
        <f t="shared" si="415"/>
        <v>MATCHED</v>
      </c>
    </row>
    <row r="6597" spans="1:11">
      <c r="A6597" t="s">
        <v>130</v>
      </c>
      <c r="B6597" t="s">
        <v>1878</v>
      </c>
      <c r="C6597" t="s">
        <v>922</v>
      </c>
      <c r="D6597" t="s">
        <v>923</v>
      </c>
      <c r="E6597" s="8">
        <v>2400</v>
      </c>
      <c r="F6597" s="8">
        <v>126750</v>
      </c>
      <c r="G6597" s="8">
        <f t="shared" si="412"/>
        <v>304200000</v>
      </c>
      <c r="H6597" s="5">
        <v>0.5594</v>
      </c>
      <c r="I6597" s="8">
        <f t="shared" si="413"/>
        <v>304200000</v>
      </c>
      <c r="J6597" s="8">
        <f t="shared" si="414"/>
        <v>170169480</v>
      </c>
      <c r="K6597" t="str">
        <f t="shared" si="415"/>
        <v>MATCHED</v>
      </c>
    </row>
    <row r="6598" spans="1:11">
      <c r="A6598" t="s">
        <v>130</v>
      </c>
      <c r="B6598" t="s">
        <v>1878</v>
      </c>
      <c r="C6598" t="s">
        <v>243</v>
      </c>
      <c r="D6598" t="s">
        <v>244</v>
      </c>
      <c r="E6598" s="8">
        <v>2970</v>
      </c>
      <c r="F6598" s="8">
        <v>109950</v>
      </c>
      <c r="G6598" s="8">
        <f t="shared" si="412"/>
        <v>326551500</v>
      </c>
      <c r="H6598" s="5">
        <v>0.4444</v>
      </c>
      <c r="I6598" s="8">
        <f t="shared" si="413"/>
        <v>326551500</v>
      </c>
      <c r="J6598" s="8">
        <f t="shared" si="414"/>
        <v>145119486.6</v>
      </c>
      <c r="K6598" t="str">
        <f t="shared" si="415"/>
        <v>MATCHED</v>
      </c>
    </row>
    <row r="6599" spans="1:11">
      <c r="A6599" t="s">
        <v>130</v>
      </c>
      <c r="B6599" t="s">
        <v>1878</v>
      </c>
      <c r="C6599" t="s">
        <v>245</v>
      </c>
      <c r="D6599" t="s">
        <v>246</v>
      </c>
      <c r="E6599" s="8">
        <v>8960</v>
      </c>
      <c r="F6599" s="8">
        <v>107700</v>
      </c>
      <c r="G6599" s="8">
        <f t="shared" si="412"/>
        <v>964992000</v>
      </c>
      <c r="H6599" s="5">
        <v>0.2907</v>
      </c>
      <c r="I6599" s="8">
        <f t="shared" si="413"/>
        <v>964992000</v>
      </c>
      <c r="J6599" s="8">
        <f t="shared" si="414"/>
        <v>280523174.4</v>
      </c>
      <c r="K6599" t="str">
        <f t="shared" si="415"/>
        <v>MATCHED</v>
      </c>
    </row>
    <row r="6600" spans="1:11">
      <c r="A6600" t="s">
        <v>130</v>
      </c>
      <c r="B6600" t="s">
        <v>1878</v>
      </c>
      <c r="C6600" t="s">
        <v>247</v>
      </c>
      <c r="D6600" t="s">
        <v>248</v>
      </c>
      <c r="E6600" s="8">
        <v>2710</v>
      </c>
      <c r="F6600" s="8">
        <v>162820</v>
      </c>
      <c r="G6600" s="8">
        <f t="shared" si="412"/>
        <v>441242200</v>
      </c>
      <c r="H6600" s="5">
        <v>0.5265</v>
      </c>
      <c r="I6600" s="8">
        <f t="shared" si="413"/>
        <v>441242200</v>
      </c>
      <c r="J6600" s="8">
        <f t="shared" si="414"/>
        <v>232314018.3</v>
      </c>
      <c r="K6600" t="str">
        <f t="shared" si="415"/>
        <v>MATCHED</v>
      </c>
    </row>
    <row r="6601" spans="1:11">
      <c r="A6601" t="s">
        <v>130</v>
      </c>
      <c r="B6601" t="s">
        <v>1878</v>
      </c>
      <c r="C6601" t="s">
        <v>249</v>
      </c>
      <c r="D6601" t="s">
        <v>250</v>
      </c>
      <c r="E6601" s="8">
        <v>6240</v>
      </c>
      <c r="F6601" s="8">
        <v>166580</v>
      </c>
      <c r="G6601" s="8">
        <f t="shared" si="412"/>
        <v>1039459200</v>
      </c>
      <c r="H6601" s="5">
        <v>0.7221</v>
      </c>
      <c r="I6601" s="8">
        <f t="shared" si="413"/>
        <v>1039459200</v>
      </c>
      <c r="J6601" s="8">
        <f t="shared" si="414"/>
        <v>750593488.32</v>
      </c>
      <c r="K6601" t="str">
        <f t="shared" si="415"/>
        <v>MATCHED</v>
      </c>
    </row>
    <row r="6602" spans="1:11">
      <c r="A6602" t="s">
        <v>130</v>
      </c>
      <c r="B6602" t="s">
        <v>1878</v>
      </c>
      <c r="C6602" t="s">
        <v>251</v>
      </c>
      <c r="D6602" t="s">
        <v>252</v>
      </c>
      <c r="E6602" s="8">
        <v>60</v>
      </c>
      <c r="F6602" s="8">
        <v>101980</v>
      </c>
      <c r="G6602" s="8">
        <f t="shared" si="412"/>
        <v>6118800</v>
      </c>
      <c r="H6602" s="5">
        <v>0.3636</v>
      </c>
      <c r="I6602" s="8">
        <f t="shared" si="413"/>
        <v>6118800</v>
      </c>
      <c r="J6602" s="8">
        <f t="shared" si="414"/>
        <v>2224795.68</v>
      </c>
      <c r="K6602" t="str">
        <f t="shared" si="415"/>
        <v>MATCHED</v>
      </c>
    </row>
    <row r="6603" spans="1:11">
      <c r="A6603" t="s">
        <v>130</v>
      </c>
      <c r="B6603" t="s">
        <v>1878</v>
      </c>
      <c r="C6603" t="s">
        <v>253</v>
      </c>
      <c r="D6603" t="s">
        <v>254</v>
      </c>
      <c r="E6603" s="8">
        <v>280</v>
      </c>
      <c r="F6603" s="8">
        <v>119720</v>
      </c>
      <c r="G6603" s="8">
        <f t="shared" si="412"/>
        <v>33521600</v>
      </c>
      <c r="H6603" s="5">
        <v>0.6944</v>
      </c>
      <c r="I6603" s="8">
        <f t="shared" si="413"/>
        <v>33521600</v>
      </c>
      <c r="J6603" s="8">
        <f t="shared" si="414"/>
        <v>23277399.04</v>
      </c>
      <c r="K6603" t="str">
        <f t="shared" si="415"/>
        <v>MATCHED</v>
      </c>
    </row>
    <row r="6604" spans="1:11">
      <c r="A6604" t="s">
        <v>130</v>
      </c>
      <c r="B6604" t="s">
        <v>1878</v>
      </c>
      <c r="C6604" t="s">
        <v>255</v>
      </c>
      <c r="D6604" t="s">
        <v>256</v>
      </c>
      <c r="E6604" s="8">
        <v>510</v>
      </c>
      <c r="F6604" s="8">
        <v>83460</v>
      </c>
      <c r="G6604" s="8">
        <f t="shared" si="412"/>
        <v>42564600</v>
      </c>
      <c r="H6604" s="5">
        <v>0.5783</v>
      </c>
      <c r="I6604" s="8">
        <f t="shared" si="413"/>
        <v>42564600</v>
      </c>
      <c r="J6604" s="8">
        <f t="shared" si="414"/>
        <v>24615108.18</v>
      </c>
      <c r="K6604" t="str">
        <f t="shared" si="415"/>
        <v>MATCHED</v>
      </c>
    </row>
    <row r="6605" spans="1:11">
      <c r="A6605" t="s">
        <v>130</v>
      </c>
      <c r="B6605" t="s">
        <v>1878</v>
      </c>
      <c r="C6605" t="s">
        <v>524</v>
      </c>
      <c r="D6605" t="s">
        <v>525</v>
      </c>
      <c r="E6605" s="8">
        <v>190</v>
      </c>
      <c r="F6605" s="8">
        <v>143790</v>
      </c>
      <c r="G6605" s="8">
        <f t="shared" si="412"/>
        <v>27320100</v>
      </c>
      <c r="H6605" s="5">
        <v>0.5771</v>
      </c>
      <c r="I6605" s="8">
        <f t="shared" si="413"/>
        <v>27320100</v>
      </c>
      <c r="J6605" s="8">
        <f t="shared" si="414"/>
        <v>15766429.71</v>
      </c>
      <c r="K6605" t="str">
        <f t="shared" si="415"/>
        <v>MATCHED</v>
      </c>
    </row>
    <row r="6606" spans="1:11">
      <c r="A6606" t="s">
        <v>130</v>
      </c>
      <c r="B6606" t="s">
        <v>1878</v>
      </c>
      <c r="C6606" t="s">
        <v>257</v>
      </c>
      <c r="D6606" t="s">
        <v>258</v>
      </c>
      <c r="E6606" s="8">
        <v>2560</v>
      </c>
      <c r="F6606" s="8">
        <v>146210</v>
      </c>
      <c r="G6606" s="8">
        <f t="shared" si="412"/>
        <v>374297600</v>
      </c>
      <c r="H6606" s="5">
        <v>0.5962</v>
      </c>
      <c r="I6606" s="8">
        <f t="shared" si="413"/>
        <v>374297600</v>
      </c>
      <c r="J6606" s="8">
        <f t="shared" si="414"/>
        <v>223156229.12</v>
      </c>
      <c r="K6606" t="str">
        <f t="shared" si="415"/>
        <v>MATCHED</v>
      </c>
    </row>
    <row r="6607" spans="1:11">
      <c r="A6607" t="s">
        <v>130</v>
      </c>
      <c r="B6607" t="s">
        <v>1878</v>
      </c>
      <c r="C6607" t="s">
        <v>526</v>
      </c>
      <c r="D6607" t="s">
        <v>527</v>
      </c>
      <c r="E6607" s="8">
        <v>590</v>
      </c>
      <c r="F6607" s="8">
        <v>122490</v>
      </c>
      <c r="G6607" s="8">
        <f t="shared" si="412"/>
        <v>72269100</v>
      </c>
      <c r="H6607" s="5">
        <v>0.6833</v>
      </c>
      <c r="I6607" s="8">
        <f t="shared" si="413"/>
        <v>72269100</v>
      </c>
      <c r="J6607" s="8">
        <f t="shared" si="414"/>
        <v>49381476.03</v>
      </c>
      <c r="K6607" t="str">
        <f t="shared" si="415"/>
        <v>MATCHED</v>
      </c>
    </row>
    <row r="6608" spans="1:11">
      <c r="A6608" t="s">
        <v>130</v>
      </c>
      <c r="B6608" t="s">
        <v>1878</v>
      </c>
      <c r="C6608" t="s">
        <v>259</v>
      </c>
      <c r="D6608" t="s">
        <v>260</v>
      </c>
      <c r="E6608" s="8">
        <v>50</v>
      </c>
      <c r="F6608" s="8">
        <v>109540</v>
      </c>
      <c r="G6608" s="8">
        <f t="shared" si="412"/>
        <v>5477000</v>
      </c>
      <c r="H6608" s="5">
        <v>0.22</v>
      </c>
      <c r="I6608" s="8">
        <f t="shared" si="413"/>
        <v>5477000</v>
      </c>
      <c r="J6608" s="8">
        <f t="shared" si="414"/>
        <v>1204940</v>
      </c>
      <c r="K6608" t="str">
        <f t="shared" si="415"/>
        <v>MATCHED</v>
      </c>
    </row>
    <row r="6609" spans="1:11">
      <c r="A6609" t="s">
        <v>130</v>
      </c>
      <c r="B6609" t="s">
        <v>1878</v>
      </c>
      <c r="C6609" t="s">
        <v>528</v>
      </c>
      <c r="D6609" t="s">
        <v>529</v>
      </c>
      <c r="E6609" s="8">
        <v>350</v>
      </c>
      <c r="F6609" s="8">
        <v>146520</v>
      </c>
      <c r="G6609" s="8">
        <f t="shared" si="412"/>
        <v>51282000</v>
      </c>
      <c r="H6609" s="5">
        <v>0.374</v>
      </c>
      <c r="I6609" s="8">
        <f t="shared" si="413"/>
        <v>51282000</v>
      </c>
      <c r="J6609" s="8">
        <f t="shared" si="414"/>
        <v>19179468</v>
      </c>
      <c r="K6609" t="str">
        <f t="shared" si="415"/>
        <v>MATCHED</v>
      </c>
    </row>
    <row r="6610" spans="1:11">
      <c r="A6610" t="s">
        <v>130</v>
      </c>
      <c r="B6610" t="s">
        <v>1878</v>
      </c>
      <c r="C6610" t="s">
        <v>1705</v>
      </c>
      <c r="D6610" t="s">
        <v>1706</v>
      </c>
      <c r="E6610" s="8">
        <v>240</v>
      </c>
      <c r="F6610" s="8">
        <v>66330</v>
      </c>
      <c r="G6610" s="8">
        <f t="shared" si="412"/>
        <v>15919200</v>
      </c>
      <c r="H6610" s="5">
        <v>0.4</v>
      </c>
      <c r="I6610" s="8">
        <f t="shared" si="413"/>
        <v>15919200</v>
      </c>
      <c r="J6610" s="8">
        <f t="shared" si="414"/>
        <v>6367680</v>
      </c>
      <c r="K6610" t="str">
        <f t="shared" si="415"/>
        <v>MATCHED</v>
      </c>
    </row>
    <row r="6611" spans="1:11">
      <c r="A6611" t="s">
        <v>130</v>
      </c>
      <c r="B6611" t="s">
        <v>1878</v>
      </c>
      <c r="C6611" t="s">
        <v>1563</v>
      </c>
      <c r="D6611" t="s">
        <v>1564</v>
      </c>
      <c r="E6611" s="8">
        <v>1910</v>
      </c>
      <c r="F6611" s="8">
        <v>94270</v>
      </c>
      <c r="G6611" s="8">
        <f t="shared" si="412"/>
        <v>180055700</v>
      </c>
      <c r="H6611" s="5"/>
      <c r="I6611" s="8" t="str">
        <f t="shared" si="413"/>
        <v/>
      </c>
      <c r="J6611" s="8" t="str">
        <f t="shared" si="414"/>
        <v/>
      </c>
      <c r="K6611" t="str">
        <f t="shared" si="415"/>
        <v>MISSING WHARTON</v>
      </c>
    </row>
    <row r="6612" spans="1:11">
      <c r="A6612" t="s">
        <v>130</v>
      </c>
      <c r="B6612" t="s">
        <v>1878</v>
      </c>
      <c r="C6612" t="s">
        <v>530</v>
      </c>
      <c r="D6612" t="s">
        <v>531</v>
      </c>
      <c r="E6612" s="8">
        <v>330</v>
      </c>
      <c r="F6612" s="8">
        <v>202830</v>
      </c>
      <c r="G6612" s="8">
        <f t="shared" si="412"/>
        <v>66933900</v>
      </c>
      <c r="H6612" s="5">
        <v>0.263</v>
      </c>
      <c r="I6612" s="8">
        <f t="shared" si="413"/>
        <v>66933900</v>
      </c>
      <c r="J6612" s="8">
        <f t="shared" si="414"/>
        <v>17603615.7</v>
      </c>
      <c r="K6612" t="str">
        <f t="shared" si="415"/>
        <v>MATCHED</v>
      </c>
    </row>
    <row r="6613" spans="1:11">
      <c r="A6613" t="s">
        <v>130</v>
      </c>
      <c r="B6613" t="s">
        <v>1878</v>
      </c>
      <c r="C6613" t="s">
        <v>1144</v>
      </c>
      <c r="D6613" t="s">
        <v>1145</v>
      </c>
      <c r="E6613" s="8">
        <v>6360</v>
      </c>
      <c r="F6613" s="8">
        <v>89230</v>
      </c>
      <c r="G6613" s="8">
        <f t="shared" si="412"/>
        <v>567502800</v>
      </c>
      <c r="H6613" s="5">
        <v>0.3821</v>
      </c>
      <c r="I6613" s="8">
        <f t="shared" si="413"/>
        <v>567502800</v>
      </c>
      <c r="J6613" s="8">
        <f t="shared" si="414"/>
        <v>216842819.88</v>
      </c>
      <c r="K6613" t="str">
        <f t="shared" si="415"/>
        <v>MATCHED</v>
      </c>
    </row>
    <row r="6614" spans="1:11">
      <c r="A6614" t="s">
        <v>130</v>
      </c>
      <c r="B6614" t="s">
        <v>1878</v>
      </c>
      <c r="C6614" t="s">
        <v>1709</v>
      </c>
      <c r="D6614" t="s">
        <v>1710</v>
      </c>
      <c r="E6614" s="8">
        <v>2660</v>
      </c>
      <c r="F6614" s="8">
        <v>98400</v>
      </c>
      <c r="G6614" s="8">
        <f t="shared" si="412"/>
        <v>261744000</v>
      </c>
      <c r="H6614" s="5">
        <v>0.6474</v>
      </c>
      <c r="I6614" s="8">
        <f t="shared" si="413"/>
        <v>261744000</v>
      </c>
      <c r="J6614" s="8">
        <f t="shared" si="414"/>
        <v>169453065.6</v>
      </c>
      <c r="K6614" t="str">
        <f t="shared" si="415"/>
        <v>MATCHED</v>
      </c>
    </row>
    <row r="6615" spans="1:11">
      <c r="A6615" t="s">
        <v>130</v>
      </c>
      <c r="B6615" t="s">
        <v>1878</v>
      </c>
      <c r="C6615" t="s">
        <v>1460</v>
      </c>
      <c r="D6615" t="s">
        <v>1461</v>
      </c>
      <c r="E6615" s="8">
        <v>18550</v>
      </c>
      <c r="F6615" s="8">
        <v>88640</v>
      </c>
      <c r="G6615" s="8">
        <f t="shared" si="412"/>
        <v>1644272000</v>
      </c>
      <c r="H6615" s="5">
        <v>0.3176</v>
      </c>
      <c r="I6615" s="8">
        <f t="shared" si="413"/>
        <v>1644272000</v>
      </c>
      <c r="J6615" s="8">
        <f t="shared" si="414"/>
        <v>522220787.2</v>
      </c>
      <c r="K6615" t="str">
        <f t="shared" si="415"/>
        <v>MATCHED</v>
      </c>
    </row>
    <row r="6616" spans="1:11">
      <c r="A6616" t="s">
        <v>130</v>
      </c>
      <c r="B6616" t="s">
        <v>1878</v>
      </c>
      <c r="C6616" t="s">
        <v>924</v>
      </c>
      <c r="D6616" t="s">
        <v>925</v>
      </c>
      <c r="E6616" s="8">
        <v>680</v>
      </c>
      <c r="F6616" s="8">
        <v>93420</v>
      </c>
      <c r="G6616" s="8">
        <f t="shared" si="412"/>
        <v>63525600</v>
      </c>
      <c r="H6616" s="5">
        <v>0.4729</v>
      </c>
      <c r="I6616" s="8">
        <f t="shared" si="413"/>
        <v>63525600</v>
      </c>
      <c r="J6616" s="8">
        <f t="shared" si="414"/>
        <v>30041256.24</v>
      </c>
      <c r="K6616" t="str">
        <f t="shared" si="415"/>
        <v>MATCHED</v>
      </c>
    </row>
    <row r="6617" spans="1:11">
      <c r="A6617" t="s">
        <v>130</v>
      </c>
      <c r="B6617" t="s">
        <v>1878</v>
      </c>
      <c r="C6617" t="s">
        <v>1146</v>
      </c>
      <c r="D6617" t="s">
        <v>1147</v>
      </c>
      <c r="E6617" s="8">
        <v>130</v>
      </c>
      <c r="F6617" s="8">
        <v>200490</v>
      </c>
      <c r="G6617" s="8">
        <f t="shared" si="412"/>
        <v>26063700</v>
      </c>
      <c r="H6617" s="5">
        <v>0.4417</v>
      </c>
      <c r="I6617" s="8">
        <f t="shared" si="413"/>
        <v>26063700</v>
      </c>
      <c r="J6617" s="8">
        <f t="shared" si="414"/>
        <v>11512336.29</v>
      </c>
      <c r="K6617" t="str">
        <f t="shared" si="415"/>
        <v>MATCHED</v>
      </c>
    </row>
    <row r="6618" spans="1:11">
      <c r="A6618" t="s">
        <v>130</v>
      </c>
      <c r="B6618" t="s">
        <v>1878</v>
      </c>
      <c r="C6618" t="s">
        <v>261</v>
      </c>
      <c r="D6618" t="s">
        <v>262</v>
      </c>
      <c r="E6618" s="8">
        <v>450</v>
      </c>
      <c r="F6618" s="8">
        <v>124640</v>
      </c>
      <c r="G6618" s="8">
        <f t="shared" si="412"/>
        <v>56088000</v>
      </c>
      <c r="H6618" s="5">
        <v>0.382</v>
      </c>
      <c r="I6618" s="8">
        <f t="shared" si="413"/>
        <v>56088000</v>
      </c>
      <c r="J6618" s="8">
        <f t="shared" si="414"/>
        <v>21425616</v>
      </c>
      <c r="K6618" t="str">
        <f t="shared" si="415"/>
        <v>MATCHED</v>
      </c>
    </row>
    <row r="6619" spans="1:11">
      <c r="A6619" t="s">
        <v>130</v>
      </c>
      <c r="B6619" t="s">
        <v>1878</v>
      </c>
      <c r="C6619" t="s">
        <v>532</v>
      </c>
      <c r="D6619" t="s">
        <v>533</v>
      </c>
      <c r="E6619" s="8">
        <v>760</v>
      </c>
      <c r="F6619" s="8">
        <v>86320</v>
      </c>
      <c r="G6619" s="8">
        <f t="shared" si="412"/>
        <v>65603200</v>
      </c>
      <c r="H6619" s="5">
        <v>0.3833</v>
      </c>
      <c r="I6619" s="8">
        <f t="shared" si="413"/>
        <v>65603200</v>
      </c>
      <c r="J6619" s="8">
        <f t="shared" si="414"/>
        <v>25145706.56</v>
      </c>
      <c r="K6619" t="str">
        <f t="shared" si="415"/>
        <v>MATCHED</v>
      </c>
    </row>
    <row r="6620" spans="1:11">
      <c r="A6620" t="s">
        <v>130</v>
      </c>
      <c r="B6620" t="s">
        <v>1878</v>
      </c>
      <c r="C6620" t="s">
        <v>926</v>
      </c>
      <c r="D6620" t="s">
        <v>927</v>
      </c>
      <c r="E6620" s="8">
        <v>700</v>
      </c>
      <c r="F6620" s="8">
        <v>77870</v>
      </c>
      <c r="G6620" s="8">
        <f t="shared" si="412"/>
        <v>54509000</v>
      </c>
      <c r="H6620" s="5">
        <v>0.3656</v>
      </c>
      <c r="I6620" s="8">
        <f t="shared" si="413"/>
        <v>54509000</v>
      </c>
      <c r="J6620" s="8">
        <f t="shared" si="414"/>
        <v>19928490.4</v>
      </c>
      <c r="K6620" t="str">
        <f t="shared" si="415"/>
        <v>MATCHED</v>
      </c>
    </row>
    <row r="6621" spans="1:11">
      <c r="A6621" t="s">
        <v>130</v>
      </c>
      <c r="B6621" t="s">
        <v>1878</v>
      </c>
      <c r="C6621" t="s">
        <v>1148</v>
      </c>
      <c r="D6621" t="s">
        <v>1149</v>
      </c>
      <c r="E6621" s="8">
        <v>1930</v>
      </c>
      <c r="F6621" s="8">
        <v>78230</v>
      </c>
      <c r="G6621" s="8">
        <f t="shared" si="412"/>
        <v>150983900</v>
      </c>
      <c r="H6621" s="5">
        <v>0.4143</v>
      </c>
      <c r="I6621" s="8">
        <f t="shared" si="413"/>
        <v>150983900</v>
      </c>
      <c r="J6621" s="8">
        <f t="shared" si="414"/>
        <v>62552629.77</v>
      </c>
      <c r="K6621" t="str">
        <f t="shared" si="415"/>
        <v>MATCHED</v>
      </c>
    </row>
    <row r="6622" spans="1:11">
      <c r="A6622" t="s">
        <v>130</v>
      </c>
      <c r="B6622" t="s">
        <v>1878</v>
      </c>
      <c r="C6622" t="s">
        <v>263</v>
      </c>
      <c r="D6622" t="s">
        <v>264</v>
      </c>
      <c r="E6622" s="8">
        <v>9660</v>
      </c>
      <c r="F6622" s="8">
        <v>107430</v>
      </c>
      <c r="G6622" s="8">
        <f t="shared" si="412"/>
        <v>1037773800</v>
      </c>
      <c r="H6622" s="5">
        <v>0.4896</v>
      </c>
      <c r="I6622" s="8">
        <f t="shared" si="413"/>
        <v>1037773800</v>
      </c>
      <c r="J6622" s="8">
        <f t="shared" si="414"/>
        <v>508094052.48</v>
      </c>
      <c r="K6622" t="str">
        <f t="shared" si="415"/>
        <v>MATCHED</v>
      </c>
    </row>
    <row r="6623" spans="1:11">
      <c r="A6623" t="s">
        <v>130</v>
      </c>
      <c r="B6623" t="s">
        <v>1878</v>
      </c>
      <c r="C6623" t="s">
        <v>1565</v>
      </c>
      <c r="D6623" t="s">
        <v>1566</v>
      </c>
      <c r="E6623" s="8">
        <v>11270</v>
      </c>
      <c r="F6623" s="8">
        <v>146850</v>
      </c>
      <c r="G6623" s="8">
        <f t="shared" si="412"/>
        <v>1654999500</v>
      </c>
      <c r="H6623" s="5">
        <v>0.4714</v>
      </c>
      <c r="I6623" s="8">
        <f t="shared" si="413"/>
        <v>1654999500</v>
      </c>
      <c r="J6623" s="8">
        <f t="shared" si="414"/>
        <v>780166764.3</v>
      </c>
      <c r="K6623" t="str">
        <f t="shared" si="415"/>
        <v>MATCHED</v>
      </c>
    </row>
    <row r="6624" spans="1:11">
      <c r="A6624" t="s">
        <v>130</v>
      </c>
      <c r="B6624" t="s">
        <v>1878</v>
      </c>
      <c r="C6624" t="s">
        <v>265</v>
      </c>
      <c r="D6624" t="s">
        <v>266</v>
      </c>
      <c r="E6624" s="8">
        <v>2540</v>
      </c>
      <c r="F6624" s="8">
        <v>68100</v>
      </c>
      <c r="G6624" s="8">
        <f t="shared" si="412"/>
        <v>172974000</v>
      </c>
      <c r="H6624" s="5">
        <v>0.5876</v>
      </c>
      <c r="I6624" s="8">
        <f t="shared" si="413"/>
        <v>172974000</v>
      </c>
      <c r="J6624" s="8">
        <f t="shared" si="414"/>
        <v>101639522.4</v>
      </c>
      <c r="K6624" t="str">
        <f t="shared" si="415"/>
        <v>MATCHED</v>
      </c>
    </row>
    <row r="6625" spans="1:11">
      <c r="A6625" t="s">
        <v>130</v>
      </c>
      <c r="B6625" t="s">
        <v>1878</v>
      </c>
      <c r="C6625" t="s">
        <v>267</v>
      </c>
      <c r="D6625" t="s">
        <v>268</v>
      </c>
      <c r="E6625" s="8">
        <v>1070</v>
      </c>
      <c r="F6625" s="8">
        <v>75890</v>
      </c>
      <c r="G6625" s="8">
        <f t="shared" si="412"/>
        <v>81202300</v>
      </c>
      <c r="H6625" s="5">
        <v>0.4611</v>
      </c>
      <c r="I6625" s="8">
        <f t="shared" si="413"/>
        <v>81202300</v>
      </c>
      <c r="J6625" s="8">
        <f t="shared" si="414"/>
        <v>37442380.53</v>
      </c>
      <c r="K6625" t="str">
        <f t="shared" si="415"/>
        <v>MATCHED</v>
      </c>
    </row>
    <row r="6626" spans="1:11">
      <c r="A6626" t="s">
        <v>130</v>
      </c>
      <c r="B6626" t="s">
        <v>1878</v>
      </c>
      <c r="C6626" t="s">
        <v>534</v>
      </c>
      <c r="D6626" t="s">
        <v>535</v>
      </c>
      <c r="E6626" s="8">
        <v>70</v>
      </c>
      <c r="F6626" s="8">
        <v>79460</v>
      </c>
      <c r="G6626" s="8">
        <f t="shared" si="412"/>
        <v>5562200</v>
      </c>
      <c r="H6626" s="5">
        <v>0.6393</v>
      </c>
      <c r="I6626" s="8">
        <f t="shared" si="413"/>
        <v>5562200</v>
      </c>
      <c r="J6626" s="8">
        <f t="shared" si="414"/>
        <v>3555914.46</v>
      </c>
      <c r="K6626" t="str">
        <f t="shared" si="415"/>
        <v>MATCHED</v>
      </c>
    </row>
    <row r="6627" spans="1:11">
      <c r="A6627" t="s">
        <v>130</v>
      </c>
      <c r="B6627" t="s">
        <v>1878</v>
      </c>
      <c r="C6627" t="s">
        <v>269</v>
      </c>
      <c r="D6627" t="s">
        <v>270</v>
      </c>
      <c r="E6627" s="8">
        <v>9450</v>
      </c>
      <c r="F6627" s="8">
        <v>71760</v>
      </c>
      <c r="G6627" s="8">
        <f t="shared" si="412"/>
        <v>678132000</v>
      </c>
      <c r="H6627" s="5">
        <v>0.7808</v>
      </c>
      <c r="I6627" s="8">
        <f t="shared" si="413"/>
        <v>678132000</v>
      </c>
      <c r="J6627" s="8">
        <f t="shared" si="414"/>
        <v>529485465.6</v>
      </c>
      <c r="K6627" t="str">
        <f t="shared" si="415"/>
        <v>MATCHED</v>
      </c>
    </row>
    <row r="6628" spans="1:11">
      <c r="A6628" t="s">
        <v>130</v>
      </c>
      <c r="B6628" t="s">
        <v>1878</v>
      </c>
      <c r="C6628" t="s">
        <v>820</v>
      </c>
      <c r="D6628" t="s">
        <v>821</v>
      </c>
      <c r="E6628" s="8">
        <v>120</v>
      </c>
      <c r="F6628" s="8">
        <v>89140</v>
      </c>
      <c r="G6628" s="8">
        <f t="shared" si="412"/>
        <v>10696800</v>
      </c>
      <c r="H6628" s="5">
        <v>0.5536</v>
      </c>
      <c r="I6628" s="8">
        <f t="shared" si="413"/>
        <v>10696800</v>
      </c>
      <c r="J6628" s="8">
        <f t="shared" si="414"/>
        <v>5921748.48</v>
      </c>
      <c r="K6628" t="str">
        <f t="shared" si="415"/>
        <v>MATCHED</v>
      </c>
    </row>
    <row r="6629" spans="1:11">
      <c r="A6629" t="s">
        <v>130</v>
      </c>
      <c r="B6629" t="s">
        <v>1878</v>
      </c>
      <c r="C6629" t="s">
        <v>273</v>
      </c>
      <c r="D6629" t="s">
        <v>274</v>
      </c>
      <c r="E6629" s="8">
        <v>110</v>
      </c>
      <c r="F6629" s="8">
        <v>83130</v>
      </c>
      <c r="G6629" s="8">
        <f t="shared" si="412"/>
        <v>9144300</v>
      </c>
      <c r="H6629" s="5">
        <v>0.6943</v>
      </c>
      <c r="I6629" s="8">
        <f t="shared" si="413"/>
        <v>9144300</v>
      </c>
      <c r="J6629" s="8">
        <f t="shared" si="414"/>
        <v>6348887.49</v>
      </c>
      <c r="K6629" t="str">
        <f t="shared" si="415"/>
        <v>MATCHED</v>
      </c>
    </row>
    <row r="6630" spans="1:11">
      <c r="A6630" t="s">
        <v>130</v>
      </c>
      <c r="B6630" t="s">
        <v>1878</v>
      </c>
      <c r="C6630" t="s">
        <v>275</v>
      </c>
      <c r="D6630" t="s">
        <v>276</v>
      </c>
      <c r="E6630" s="8">
        <v>3930</v>
      </c>
      <c r="F6630" s="8">
        <v>85390</v>
      </c>
      <c r="G6630" s="8">
        <f t="shared" si="412"/>
        <v>335582700</v>
      </c>
      <c r="H6630" s="5">
        <v>0.6375</v>
      </c>
      <c r="I6630" s="8">
        <f t="shared" si="413"/>
        <v>335582700</v>
      </c>
      <c r="J6630" s="8">
        <f t="shared" si="414"/>
        <v>213933971.25</v>
      </c>
      <c r="K6630" t="str">
        <f t="shared" si="415"/>
        <v>MATCHED</v>
      </c>
    </row>
    <row r="6631" spans="1:11">
      <c r="A6631" t="s">
        <v>130</v>
      </c>
      <c r="B6631" t="s">
        <v>1878</v>
      </c>
      <c r="C6631" t="s">
        <v>277</v>
      </c>
      <c r="D6631" t="s">
        <v>278</v>
      </c>
      <c r="E6631" s="8">
        <v>1300</v>
      </c>
      <c r="F6631" s="8">
        <v>101750</v>
      </c>
      <c r="G6631" s="8">
        <f t="shared" si="412"/>
        <v>132275000</v>
      </c>
      <c r="H6631" s="5">
        <v>0.5773</v>
      </c>
      <c r="I6631" s="8">
        <f t="shared" si="413"/>
        <v>132275000</v>
      </c>
      <c r="J6631" s="8">
        <f t="shared" si="414"/>
        <v>76362357.5</v>
      </c>
      <c r="K6631" t="str">
        <f t="shared" si="415"/>
        <v>MATCHED</v>
      </c>
    </row>
    <row r="6632" spans="1:11">
      <c r="A6632" t="s">
        <v>130</v>
      </c>
      <c r="B6632" t="s">
        <v>1878</v>
      </c>
      <c r="C6632" t="s">
        <v>279</v>
      </c>
      <c r="D6632" t="s">
        <v>280</v>
      </c>
      <c r="E6632" s="8">
        <v>21230</v>
      </c>
      <c r="F6632" s="8">
        <v>57010</v>
      </c>
      <c r="G6632" s="8">
        <f t="shared" si="412"/>
        <v>1210322300</v>
      </c>
      <c r="H6632" s="5">
        <v>0.4476</v>
      </c>
      <c r="I6632" s="8">
        <f t="shared" si="413"/>
        <v>1210322300</v>
      </c>
      <c r="J6632" s="8">
        <f t="shared" si="414"/>
        <v>541740261.48</v>
      </c>
      <c r="K6632" t="str">
        <f t="shared" si="415"/>
        <v>MATCHED</v>
      </c>
    </row>
    <row r="6633" spans="1:11">
      <c r="A6633" t="s">
        <v>130</v>
      </c>
      <c r="B6633" t="s">
        <v>1878</v>
      </c>
      <c r="C6633" t="s">
        <v>928</v>
      </c>
      <c r="D6633" t="s">
        <v>929</v>
      </c>
      <c r="E6633" s="8">
        <v>7850</v>
      </c>
      <c r="F6633" s="8">
        <v>67860</v>
      </c>
      <c r="G6633" s="8">
        <f t="shared" si="412"/>
        <v>532701000</v>
      </c>
      <c r="H6633" s="5">
        <v>0.5571</v>
      </c>
      <c r="I6633" s="8">
        <f t="shared" si="413"/>
        <v>532701000</v>
      </c>
      <c r="J6633" s="8">
        <f t="shared" si="414"/>
        <v>296767727.1</v>
      </c>
      <c r="K6633" t="str">
        <f t="shared" si="415"/>
        <v>MATCHED</v>
      </c>
    </row>
    <row r="6634" spans="1:11">
      <c r="A6634" t="s">
        <v>130</v>
      </c>
      <c r="B6634" t="s">
        <v>1878</v>
      </c>
      <c r="C6634" t="s">
        <v>281</v>
      </c>
      <c r="D6634" t="s">
        <v>282</v>
      </c>
      <c r="E6634" s="8">
        <v>520</v>
      </c>
      <c r="F6634" s="8">
        <v>86220</v>
      </c>
      <c r="G6634" s="8">
        <f t="shared" si="412"/>
        <v>44834400</v>
      </c>
      <c r="H6634" s="5">
        <v>0.6167</v>
      </c>
      <c r="I6634" s="8">
        <f t="shared" si="413"/>
        <v>44834400</v>
      </c>
      <c r="J6634" s="8">
        <f t="shared" si="414"/>
        <v>27649374.48</v>
      </c>
      <c r="K6634" t="str">
        <f t="shared" si="415"/>
        <v>MATCHED</v>
      </c>
    </row>
    <row r="6635" spans="1:11">
      <c r="A6635" t="s">
        <v>130</v>
      </c>
      <c r="B6635" t="s">
        <v>1878</v>
      </c>
      <c r="C6635" t="s">
        <v>283</v>
      </c>
      <c r="D6635" t="s">
        <v>284</v>
      </c>
      <c r="E6635" s="8">
        <v>4160</v>
      </c>
      <c r="F6635" s="8">
        <v>59000</v>
      </c>
      <c r="G6635" s="8">
        <f t="shared" si="412"/>
        <v>245440000</v>
      </c>
      <c r="H6635" s="5">
        <v>0.565</v>
      </c>
      <c r="I6635" s="8">
        <f t="shared" si="413"/>
        <v>245440000</v>
      </c>
      <c r="J6635" s="8">
        <f t="shared" si="414"/>
        <v>138673600</v>
      </c>
      <c r="K6635" t="str">
        <f t="shared" si="415"/>
        <v>MATCHED</v>
      </c>
    </row>
    <row r="6636" spans="1:11">
      <c r="A6636" t="s">
        <v>130</v>
      </c>
      <c r="B6636" t="s">
        <v>1878</v>
      </c>
      <c r="C6636" t="s">
        <v>285</v>
      </c>
      <c r="D6636" t="s">
        <v>286</v>
      </c>
      <c r="E6636" s="8">
        <v>20100</v>
      </c>
      <c r="F6636" s="8">
        <v>65010</v>
      </c>
      <c r="G6636" s="8">
        <f t="shared" si="412"/>
        <v>1306701000</v>
      </c>
      <c r="H6636" s="5">
        <v>0.7792</v>
      </c>
      <c r="I6636" s="8">
        <f t="shared" si="413"/>
        <v>1306701000</v>
      </c>
      <c r="J6636" s="8">
        <f t="shared" si="414"/>
        <v>1018181419.2</v>
      </c>
      <c r="K6636" t="str">
        <f t="shared" si="415"/>
        <v>MATCHED</v>
      </c>
    </row>
    <row r="6637" spans="1:11">
      <c r="A6637" t="s">
        <v>130</v>
      </c>
      <c r="B6637" t="s">
        <v>1878</v>
      </c>
      <c r="C6637" t="s">
        <v>287</v>
      </c>
      <c r="D6637" t="s">
        <v>288</v>
      </c>
      <c r="E6637" s="8">
        <v>10730</v>
      </c>
      <c r="F6637" s="8">
        <v>70390</v>
      </c>
      <c r="G6637" s="8">
        <f t="shared" si="412"/>
        <v>755284700</v>
      </c>
      <c r="H6637" s="5">
        <v>0.6599</v>
      </c>
      <c r="I6637" s="8">
        <f t="shared" si="413"/>
        <v>755284700</v>
      </c>
      <c r="J6637" s="8">
        <f t="shared" si="414"/>
        <v>498412373.53</v>
      </c>
      <c r="K6637" t="str">
        <f t="shared" si="415"/>
        <v>MATCHED</v>
      </c>
    </row>
    <row r="6638" spans="1:11">
      <c r="A6638" t="s">
        <v>130</v>
      </c>
      <c r="B6638" t="s">
        <v>1878</v>
      </c>
      <c r="C6638" t="s">
        <v>289</v>
      </c>
      <c r="D6638" t="s">
        <v>290</v>
      </c>
      <c r="E6638" s="8">
        <v>15550</v>
      </c>
      <c r="F6638" s="8">
        <v>83780</v>
      </c>
      <c r="G6638" s="8">
        <f t="shared" si="412"/>
        <v>1302779000</v>
      </c>
      <c r="H6638" s="5">
        <v>0.795</v>
      </c>
      <c r="I6638" s="8">
        <f t="shared" si="413"/>
        <v>1302779000</v>
      </c>
      <c r="J6638" s="8">
        <f t="shared" si="414"/>
        <v>1035709305</v>
      </c>
      <c r="K6638" t="str">
        <f t="shared" si="415"/>
        <v>MATCHED</v>
      </c>
    </row>
    <row r="6639" spans="1:11">
      <c r="A6639" t="s">
        <v>130</v>
      </c>
      <c r="B6639" t="s">
        <v>1878</v>
      </c>
      <c r="C6639" t="s">
        <v>824</v>
      </c>
      <c r="D6639" t="s">
        <v>825</v>
      </c>
      <c r="E6639" s="8">
        <v>160</v>
      </c>
      <c r="F6639" s="8">
        <v>85490</v>
      </c>
      <c r="G6639" s="8">
        <f t="shared" si="412"/>
        <v>13678400</v>
      </c>
      <c r="H6639" s="5">
        <v>0.8</v>
      </c>
      <c r="I6639" s="8">
        <f t="shared" si="413"/>
        <v>13678400</v>
      </c>
      <c r="J6639" s="8">
        <f t="shared" si="414"/>
        <v>10942720</v>
      </c>
      <c r="K6639" t="str">
        <f t="shared" si="415"/>
        <v>MATCHED</v>
      </c>
    </row>
    <row r="6640" spans="1:11">
      <c r="A6640" t="s">
        <v>130</v>
      </c>
      <c r="B6640" t="s">
        <v>1878</v>
      </c>
      <c r="C6640" t="s">
        <v>536</v>
      </c>
      <c r="D6640" t="s">
        <v>537</v>
      </c>
      <c r="E6640" s="8">
        <v>590</v>
      </c>
      <c r="F6640" s="8">
        <v>97130</v>
      </c>
      <c r="G6640" s="8">
        <f t="shared" si="412"/>
        <v>57306700</v>
      </c>
      <c r="H6640" s="5">
        <v>0.6904</v>
      </c>
      <c r="I6640" s="8">
        <f t="shared" si="413"/>
        <v>57306700</v>
      </c>
      <c r="J6640" s="8">
        <f t="shared" si="414"/>
        <v>39564545.68</v>
      </c>
      <c r="K6640" t="str">
        <f t="shared" si="415"/>
        <v>MATCHED</v>
      </c>
    </row>
    <row r="6641" spans="1:11">
      <c r="A6641" t="s">
        <v>130</v>
      </c>
      <c r="B6641" t="s">
        <v>1878</v>
      </c>
      <c r="C6641" t="s">
        <v>828</v>
      </c>
      <c r="D6641" t="s">
        <v>829</v>
      </c>
      <c r="E6641" s="8">
        <v>440</v>
      </c>
      <c r="F6641" s="8">
        <v>87400</v>
      </c>
      <c r="G6641" s="8">
        <f t="shared" si="412"/>
        <v>38456000</v>
      </c>
      <c r="H6641" s="5">
        <v>0.7767</v>
      </c>
      <c r="I6641" s="8">
        <f t="shared" si="413"/>
        <v>38456000</v>
      </c>
      <c r="J6641" s="8">
        <f t="shared" si="414"/>
        <v>29868775.2</v>
      </c>
      <c r="K6641" t="str">
        <f t="shared" si="415"/>
        <v>MATCHED</v>
      </c>
    </row>
    <row r="6642" spans="1:11">
      <c r="A6642" t="s">
        <v>130</v>
      </c>
      <c r="B6642" t="s">
        <v>1878</v>
      </c>
      <c r="C6642" t="s">
        <v>538</v>
      </c>
      <c r="D6642" t="s">
        <v>539</v>
      </c>
      <c r="E6642" s="8">
        <v>270</v>
      </c>
      <c r="F6642" s="8">
        <v>72020</v>
      </c>
      <c r="G6642" s="8">
        <f t="shared" si="412"/>
        <v>19445400</v>
      </c>
      <c r="H6642" s="5">
        <v>0.6192</v>
      </c>
      <c r="I6642" s="8">
        <f t="shared" si="413"/>
        <v>19445400</v>
      </c>
      <c r="J6642" s="8">
        <f t="shared" si="414"/>
        <v>12040591.68</v>
      </c>
      <c r="K6642" t="str">
        <f t="shared" si="415"/>
        <v>MATCHED</v>
      </c>
    </row>
    <row r="6643" spans="1:11">
      <c r="A6643" t="s">
        <v>130</v>
      </c>
      <c r="B6643" t="s">
        <v>1878</v>
      </c>
      <c r="C6643" t="s">
        <v>291</v>
      </c>
      <c r="D6643" t="s">
        <v>292</v>
      </c>
      <c r="E6643" s="8">
        <v>770</v>
      </c>
      <c r="F6643" s="8">
        <v>81370</v>
      </c>
      <c r="G6643" s="8">
        <f t="shared" si="412"/>
        <v>62654900</v>
      </c>
      <c r="H6643" s="5">
        <v>0.6388</v>
      </c>
      <c r="I6643" s="8">
        <f t="shared" si="413"/>
        <v>62654900</v>
      </c>
      <c r="J6643" s="8">
        <f t="shared" si="414"/>
        <v>40023950.12</v>
      </c>
      <c r="K6643" t="str">
        <f t="shared" si="415"/>
        <v>MATCHED</v>
      </c>
    </row>
    <row r="6644" spans="1:11">
      <c r="A6644" t="s">
        <v>130</v>
      </c>
      <c r="B6644" t="s">
        <v>1878</v>
      </c>
      <c r="C6644" t="s">
        <v>540</v>
      </c>
      <c r="D6644" t="s">
        <v>541</v>
      </c>
      <c r="E6644" s="8">
        <v>290</v>
      </c>
      <c r="F6644" s="8">
        <v>117520</v>
      </c>
      <c r="G6644" s="8">
        <f t="shared" si="412"/>
        <v>34080800</v>
      </c>
      <c r="H6644" s="5">
        <v>0.6292</v>
      </c>
      <c r="I6644" s="8">
        <f t="shared" si="413"/>
        <v>34080800</v>
      </c>
      <c r="J6644" s="8">
        <f t="shared" si="414"/>
        <v>21443639.36</v>
      </c>
      <c r="K6644" t="str">
        <f t="shared" si="415"/>
        <v>MATCHED</v>
      </c>
    </row>
    <row r="6645" spans="1:11">
      <c r="A6645" t="s">
        <v>130</v>
      </c>
      <c r="B6645" t="s">
        <v>1878</v>
      </c>
      <c r="C6645" t="s">
        <v>542</v>
      </c>
      <c r="D6645" t="s">
        <v>543</v>
      </c>
      <c r="E6645" s="8">
        <v>650</v>
      </c>
      <c r="F6645" s="8">
        <v>63660</v>
      </c>
      <c r="G6645" s="8">
        <f t="shared" si="412"/>
        <v>41379000</v>
      </c>
      <c r="H6645" s="5">
        <v>0.7096</v>
      </c>
      <c r="I6645" s="8">
        <f t="shared" si="413"/>
        <v>41379000</v>
      </c>
      <c r="J6645" s="8">
        <f t="shared" si="414"/>
        <v>29362538.4</v>
      </c>
      <c r="K6645" t="str">
        <f t="shared" si="415"/>
        <v>MATCHED</v>
      </c>
    </row>
    <row r="6646" spans="1:11">
      <c r="A6646" t="s">
        <v>130</v>
      </c>
      <c r="B6646" t="s">
        <v>1878</v>
      </c>
      <c r="C6646" t="s">
        <v>293</v>
      </c>
      <c r="D6646" t="s">
        <v>294</v>
      </c>
      <c r="E6646" s="8">
        <v>3830</v>
      </c>
      <c r="F6646" s="8">
        <v>61440</v>
      </c>
      <c r="G6646" s="8">
        <f t="shared" si="412"/>
        <v>235315200</v>
      </c>
      <c r="H6646" s="5">
        <v>0.6062</v>
      </c>
      <c r="I6646" s="8">
        <f t="shared" si="413"/>
        <v>235315200</v>
      </c>
      <c r="J6646" s="8">
        <f t="shared" si="414"/>
        <v>142648074.24</v>
      </c>
      <c r="K6646" t="str">
        <f t="shared" si="415"/>
        <v>MATCHED</v>
      </c>
    </row>
    <row r="6647" spans="1:11">
      <c r="A6647" t="s">
        <v>130</v>
      </c>
      <c r="B6647" t="s">
        <v>1878</v>
      </c>
      <c r="C6647" t="s">
        <v>544</v>
      </c>
      <c r="D6647" t="s">
        <v>545</v>
      </c>
      <c r="E6647" s="8">
        <v>280</v>
      </c>
      <c r="F6647" s="8">
        <v>120410</v>
      </c>
      <c r="G6647" s="8">
        <f t="shared" si="412"/>
        <v>33714800</v>
      </c>
      <c r="H6647" s="5">
        <v>0.6278</v>
      </c>
      <c r="I6647" s="8">
        <f t="shared" si="413"/>
        <v>33714800</v>
      </c>
      <c r="J6647" s="8">
        <f t="shared" si="414"/>
        <v>21166151.44</v>
      </c>
      <c r="K6647" t="str">
        <f t="shared" si="415"/>
        <v>MATCHED</v>
      </c>
    </row>
    <row r="6648" spans="1:11">
      <c r="A6648" t="s">
        <v>130</v>
      </c>
      <c r="B6648" t="s">
        <v>1878</v>
      </c>
      <c r="C6648" t="s">
        <v>546</v>
      </c>
      <c r="D6648" t="s">
        <v>547</v>
      </c>
      <c r="E6648" s="8">
        <v>670</v>
      </c>
      <c r="F6648" s="8">
        <v>74130</v>
      </c>
      <c r="G6648" s="8">
        <f t="shared" si="412"/>
        <v>49667100</v>
      </c>
      <c r="H6648" s="5">
        <v>0.8389</v>
      </c>
      <c r="I6648" s="8">
        <f t="shared" si="413"/>
        <v>49667100</v>
      </c>
      <c r="J6648" s="8">
        <f t="shared" si="414"/>
        <v>41665730.19</v>
      </c>
      <c r="K6648" t="str">
        <f t="shared" si="415"/>
        <v>MATCHED</v>
      </c>
    </row>
    <row r="6649" spans="1:11">
      <c r="A6649" t="s">
        <v>130</v>
      </c>
      <c r="B6649" t="s">
        <v>1878</v>
      </c>
      <c r="C6649" t="s">
        <v>548</v>
      </c>
      <c r="D6649" t="s">
        <v>549</v>
      </c>
      <c r="E6649" s="8">
        <v>180</v>
      </c>
      <c r="F6649" s="8">
        <v>132670</v>
      </c>
      <c r="G6649" s="8">
        <f t="shared" si="412"/>
        <v>23880600</v>
      </c>
      <c r="H6649" s="5">
        <v>0.8502</v>
      </c>
      <c r="I6649" s="8">
        <f t="shared" si="413"/>
        <v>23880600</v>
      </c>
      <c r="J6649" s="8">
        <f t="shared" si="414"/>
        <v>20303286.12</v>
      </c>
      <c r="K6649" t="str">
        <f t="shared" si="415"/>
        <v>MATCHED</v>
      </c>
    </row>
    <row r="6650" spans="1:11">
      <c r="A6650" t="s">
        <v>130</v>
      </c>
      <c r="B6650" t="s">
        <v>1878</v>
      </c>
      <c r="C6650" t="s">
        <v>295</v>
      </c>
      <c r="D6650" t="s">
        <v>296</v>
      </c>
      <c r="E6650" s="8">
        <v>2210</v>
      </c>
      <c r="F6650" s="8">
        <v>92170</v>
      </c>
      <c r="G6650" s="8">
        <f t="shared" si="412"/>
        <v>203695700</v>
      </c>
      <c r="H6650" s="5">
        <v>0.695</v>
      </c>
      <c r="I6650" s="8">
        <f t="shared" si="413"/>
        <v>203695700</v>
      </c>
      <c r="J6650" s="8">
        <f t="shared" si="414"/>
        <v>141568511.5</v>
      </c>
      <c r="K6650" t="str">
        <f t="shared" si="415"/>
        <v>MATCHED</v>
      </c>
    </row>
    <row r="6651" spans="1:11">
      <c r="A6651" t="s">
        <v>130</v>
      </c>
      <c r="B6651" t="s">
        <v>1878</v>
      </c>
      <c r="C6651" t="s">
        <v>550</v>
      </c>
      <c r="D6651" t="s">
        <v>551</v>
      </c>
      <c r="E6651" s="8">
        <v>240</v>
      </c>
      <c r="F6651" s="8">
        <v>92380</v>
      </c>
      <c r="G6651" s="8">
        <f t="shared" si="412"/>
        <v>22171200</v>
      </c>
      <c r="H6651" s="5">
        <v>0.6824</v>
      </c>
      <c r="I6651" s="8">
        <f t="shared" si="413"/>
        <v>22171200</v>
      </c>
      <c r="J6651" s="8">
        <f t="shared" si="414"/>
        <v>15129626.88</v>
      </c>
      <c r="K6651" t="str">
        <f t="shared" si="415"/>
        <v>MATCHED</v>
      </c>
    </row>
    <row r="6652" spans="1:11">
      <c r="A6652" t="s">
        <v>130</v>
      </c>
      <c r="B6652" t="s">
        <v>1878</v>
      </c>
      <c r="C6652" t="s">
        <v>297</v>
      </c>
      <c r="D6652" t="s">
        <v>298</v>
      </c>
      <c r="E6652" s="8">
        <v>2500</v>
      </c>
      <c r="F6652" s="8">
        <v>138670</v>
      </c>
      <c r="G6652" s="8">
        <f t="shared" si="412"/>
        <v>346675000</v>
      </c>
      <c r="H6652" s="5">
        <v>0.5211</v>
      </c>
      <c r="I6652" s="8">
        <f t="shared" si="413"/>
        <v>346675000</v>
      </c>
      <c r="J6652" s="8">
        <f t="shared" si="414"/>
        <v>180652342.5</v>
      </c>
      <c r="K6652" t="str">
        <f t="shared" si="415"/>
        <v>MATCHED</v>
      </c>
    </row>
    <row r="6653" spans="1:11">
      <c r="A6653" t="s">
        <v>130</v>
      </c>
      <c r="B6653" t="s">
        <v>1878</v>
      </c>
      <c r="C6653" t="s">
        <v>552</v>
      </c>
      <c r="D6653" t="s">
        <v>553</v>
      </c>
      <c r="E6653" s="8">
        <v>340</v>
      </c>
      <c r="F6653" s="8">
        <v>102040</v>
      </c>
      <c r="G6653" s="8">
        <f t="shared" si="412"/>
        <v>34693600</v>
      </c>
      <c r="H6653" s="5">
        <v>0.8117</v>
      </c>
      <c r="I6653" s="8">
        <f t="shared" si="413"/>
        <v>34693600</v>
      </c>
      <c r="J6653" s="8">
        <f t="shared" si="414"/>
        <v>28160795.12</v>
      </c>
      <c r="K6653" t="str">
        <f t="shared" si="415"/>
        <v>MATCHED</v>
      </c>
    </row>
    <row r="6654" spans="1:11">
      <c r="A6654" t="s">
        <v>130</v>
      </c>
      <c r="B6654" t="s">
        <v>1878</v>
      </c>
      <c r="C6654" t="s">
        <v>830</v>
      </c>
      <c r="D6654" t="s">
        <v>831</v>
      </c>
      <c r="E6654" s="8">
        <v>620</v>
      </c>
      <c r="F6654" s="8">
        <v>79410</v>
      </c>
      <c r="G6654" s="8">
        <f t="shared" si="412"/>
        <v>49234200</v>
      </c>
      <c r="H6654" s="5">
        <v>0.8276</v>
      </c>
      <c r="I6654" s="8">
        <f t="shared" si="413"/>
        <v>49234200</v>
      </c>
      <c r="J6654" s="8">
        <f t="shared" si="414"/>
        <v>40746223.92</v>
      </c>
      <c r="K6654" t="str">
        <f t="shared" si="415"/>
        <v>MATCHED</v>
      </c>
    </row>
    <row r="6655" spans="1:11">
      <c r="A6655" t="s">
        <v>130</v>
      </c>
      <c r="B6655" t="s">
        <v>1878</v>
      </c>
      <c r="C6655" t="s">
        <v>832</v>
      </c>
      <c r="D6655" t="s">
        <v>833</v>
      </c>
      <c r="E6655" s="8">
        <v>1070</v>
      </c>
      <c r="F6655" s="8">
        <v>83860</v>
      </c>
      <c r="G6655" s="8">
        <f t="shared" si="412"/>
        <v>89730200</v>
      </c>
      <c r="H6655" s="5">
        <v>0.6827</v>
      </c>
      <c r="I6655" s="8">
        <f t="shared" si="413"/>
        <v>89730200</v>
      </c>
      <c r="J6655" s="8">
        <f t="shared" si="414"/>
        <v>61258807.54</v>
      </c>
      <c r="K6655" t="str">
        <f t="shared" si="415"/>
        <v>MATCHED</v>
      </c>
    </row>
    <row r="6656" spans="1:11">
      <c r="A6656" t="s">
        <v>130</v>
      </c>
      <c r="B6656" t="s">
        <v>1878</v>
      </c>
      <c r="C6656" t="s">
        <v>299</v>
      </c>
      <c r="D6656" t="s">
        <v>300</v>
      </c>
      <c r="E6656" s="8">
        <v>1080</v>
      </c>
      <c r="F6656" s="8">
        <v>90810</v>
      </c>
      <c r="G6656" s="8">
        <f t="shared" si="412"/>
        <v>98074800</v>
      </c>
      <c r="H6656" s="5">
        <v>0.7425</v>
      </c>
      <c r="I6656" s="8">
        <f t="shared" si="413"/>
        <v>98074800</v>
      </c>
      <c r="J6656" s="8">
        <f t="shared" si="414"/>
        <v>72820539</v>
      </c>
      <c r="K6656" t="str">
        <f t="shared" si="415"/>
        <v>MATCHED</v>
      </c>
    </row>
    <row r="6657" spans="1:11">
      <c r="A6657" t="s">
        <v>130</v>
      </c>
      <c r="B6657" t="s">
        <v>1878</v>
      </c>
      <c r="C6657" t="s">
        <v>554</v>
      </c>
      <c r="D6657" t="s">
        <v>555</v>
      </c>
      <c r="E6657" s="8">
        <v>140</v>
      </c>
      <c r="F6657" s="8">
        <v>91000</v>
      </c>
      <c r="G6657" s="8">
        <f t="shared" si="412"/>
        <v>12740000</v>
      </c>
      <c r="H6657" s="5">
        <v>0.6031</v>
      </c>
      <c r="I6657" s="8">
        <f t="shared" si="413"/>
        <v>12740000</v>
      </c>
      <c r="J6657" s="8">
        <f t="shared" si="414"/>
        <v>7683494</v>
      </c>
      <c r="K6657" t="str">
        <f t="shared" si="415"/>
        <v>MATCHED</v>
      </c>
    </row>
    <row r="6658" spans="1:11">
      <c r="A6658" t="s">
        <v>130</v>
      </c>
      <c r="B6658" t="s">
        <v>1878</v>
      </c>
      <c r="C6658" t="s">
        <v>1156</v>
      </c>
      <c r="D6658" t="s">
        <v>1157</v>
      </c>
      <c r="E6658" s="8">
        <v>320</v>
      </c>
      <c r="F6658" s="8">
        <v>75390</v>
      </c>
      <c r="G6658" s="8">
        <f t="shared" ref="G6658:G6721" si="416">IF(OR(E6658="",F6658=""),"",E6658*F6658)</f>
        <v>24124800</v>
      </c>
      <c r="H6658" s="5">
        <v>0.7282</v>
      </c>
      <c r="I6658" s="8">
        <f t="shared" ref="I6658:I6721" si="417">IF(G6658="","",IF(ISNUMBER(H6658),G6658,""))</f>
        <v>24124800</v>
      </c>
      <c r="J6658" s="8">
        <f t="shared" ref="J6658:J6721" si="418">IF(I6658="","",I6658*H6658)</f>
        <v>17567679.36</v>
      </c>
      <c r="K6658" t="str">
        <f t="shared" ref="K6658:K6721" si="419">IF(G6658="","MISSING OEWS",IF(ISNUMBER(H6658),"MATCHED","MISSING WHARTON"))</f>
        <v>MATCHED</v>
      </c>
    </row>
    <row r="6659" spans="1:11">
      <c r="A6659" t="s">
        <v>130</v>
      </c>
      <c r="B6659" t="s">
        <v>1878</v>
      </c>
      <c r="C6659" t="s">
        <v>556</v>
      </c>
      <c r="D6659" t="s">
        <v>557</v>
      </c>
      <c r="E6659" s="8">
        <v>1280</v>
      </c>
      <c r="F6659" s="8">
        <v>106580</v>
      </c>
      <c r="G6659" s="8">
        <f t="shared" si="416"/>
        <v>136422400</v>
      </c>
      <c r="H6659" s="5">
        <v>0.8228</v>
      </c>
      <c r="I6659" s="8">
        <f t="shared" si="417"/>
        <v>136422400</v>
      </c>
      <c r="J6659" s="8">
        <f t="shared" si="418"/>
        <v>112248350.72</v>
      </c>
      <c r="K6659" t="str">
        <f t="shared" si="419"/>
        <v>MATCHED</v>
      </c>
    </row>
    <row r="6660" spans="1:11">
      <c r="A6660" t="s">
        <v>130</v>
      </c>
      <c r="B6660" t="s">
        <v>1878</v>
      </c>
      <c r="C6660" t="s">
        <v>834</v>
      </c>
      <c r="D6660" t="s">
        <v>835</v>
      </c>
      <c r="E6660" s="8">
        <v>40</v>
      </c>
      <c r="F6660" s="8">
        <v>111290</v>
      </c>
      <c r="G6660" s="8">
        <f t="shared" si="416"/>
        <v>4451600</v>
      </c>
      <c r="H6660" s="5">
        <v>0.5375</v>
      </c>
      <c r="I6660" s="8">
        <f t="shared" si="417"/>
        <v>4451600</v>
      </c>
      <c r="J6660" s="8">
        <f t="shared" si="418"/>
        <v>2392735</v>
      </c>
      <c r="K6660" t="str">
        <f t="shared" si="419"/>
        <v>MATCHED</v>
      </c>
    </row>
    <row r="6661" spans="1:11">
      <c r="A6661" t="s">
        <v>130</v>
      </c>
      <c r="B6661" t="s">
        <v>1878</v>
      </c>
      <c r="C6661" t="s">
        <v>936</v>
      </c>
      <c r="D6661" t="s">
        <v>937</v>
      </c>
      <c r="E6661" s="8">
        <v>90</v>
      </c>
      <c r="F6661" s="8">
        <v>94390</v>
      </c>
      <c r="G6661" s="8">
        <f t="shared" si="416"/>
        <v>8495100</v>
      </c>
      <c r="H6661" s="5">
        <v>0.3342</v>
      </c>
      <c r="I6661" s="8">
        <f t="shared" si="417"/>
        <v>8495100</v>
      </c>
      <c r="J6661" s="8">
        <f t="shared" si="418"/>
        <v>2839062.42</v>
      </c>
      <c r="K6661" t="str">
        <f t="shared" si="419"/>
        <v>MATCHED</v>
      </c>
    </row>
    <row r="6662" spans="1:11">
      <c r="A6662" t="s">
        <v>130</v>
      </c>
      <c r="B6662" t="s">
        <v>1878</v>
      </c>
      <c r="C6662" t="s">
        <v>1160</v>
      </c>
      <c r="D6662" t="s">
        <v>1161</v>
      </c>
      <c r="E6662" s="8">
        <v>60</v>
      </c>
      <c r="F6662" s="8">
        <v>138740</v>
      </c>
      <c r="G6662" s="8">
        <f t="shared" si="416"/>
        <v>8324400</v>
      </c>
      <c r="H6662" s="5">
        <v>0.5333</v>
      </c>
      <c r="I6662" s="8">
        <f t="shared" si="417"/>
        <v>8324400</v>
      </c>
      <c r="J6662" s="8">
        <f t="shared" si="418"/>
        <v>4439402.52</v>
      </c>
      <c r="K6662" t="str">
        <f t="shared" si="419"/>
        <v>MATCHED</v>
      </c>
    </row>
    <row r="6663" spans="1:11">
      <c r="A6663" t="s">
        <v>130</v>
      </c>
      <c r="B6663" t="s">
        <v>1878</v>
      </c>
      <c r="C6663" t="s">
        <v>564</v>
      </c>
      <c r="D6663" t="s">
        <v>565</v>
      </c>
      <c r="E6663" s="8">
        <v>50</v>
      </c>
      <c r="F6663" s="8">
        <v>109190</v>
      </c>
      <c r="G6663" s="8">
        <f t="shared" si="416"/>
        <v>5459500</v>
      </c>
      <c r="H6663" s="5">
        <v>0.4218</v>
      </c>
      <c r="I6663" s="8">
        <f t="shared" si="417"/>
        <v>5459500</v>
      </c>
      <c r="J6663" s="8">
        <f t="shared" si="418"/>
        <v>2302817.1</v>
      </c>
      <c r="K6663" t="str">
        <f t="shared" si="419"/>
        <v>MATCHED</v>
      </c>
    </row>
    <row r="6664" spans="1:11">
      <c r="A6664" t="s">
        <v>130</v>
      </c>
      <c r="B6664" t="s">
        <v>1878</v>
      </c>
      <c r="C6664" t="s">
        <v>566</v>
      </c>
      <c r="D6664" t="s">
        <v>567</v>
      </c>
      <c r="E6664" s="8">
        <v>160</v>
      </c>
      <c r="F6664" s="8">
        <v>92450</v>
      </c>
      <c r="G6664" s="8">
        <f t="shared" si="416"/>
        <v>14792000</v>
      </c>
      <c r="H6664" s="5">
        <v>0.3523</v>
      </c>
      <c r="I6664" s="8">
        <f t="shared" si="417"/>
        <v>14792000</v>
      </c>
      <c r="J6664" s="8">
        <f t="shared" si="418"/>
        <v>5211221.6</v>
      </c>
      <c r="K6664" t="str">
        <f t="shared" si="419"/>
        <v>MATCHED</v>
      </c>
    </row>
    <row r="6665" spans="1:11">
      <c r="A6665" t="s">
        <v>130</v>
      </c>
      <c r="B6665" t="s">
        <v>1878</v>
      </c>
      <c r="C6665" t="s">
        <v>572</v>
      </c>
      <c r="D6665" t="s">
        <v>573</v>
      </c>
      <c r="E6665" s="8">
        <v>50</v>
      </c>
      <c r="F6665" s="8">
        <v>89610</v>
      </c>
      <c r="G6665" s="8">
        <f t="shared" si="416"/>
        <v>4480500</v>
      </c>
      <c r="H6665" s="5">
        <v>0.2672</v>
      </c>
      <c r="I6665" s="8">
        <f t="shared" si="417"/>
        <v>4480500</v>
      </c>
      <c r="J6665" s="8">
        <f t="shared" si="418"/>
        <v>1197189.6</v>
      </c>
      <c r="K6665" t="str">
        <f t="shared" si="419"/>
        <v>MATCHED</v>
      </c>
    </row>
    <row r="6666" spans="1:11">
      <c r="A6666" t="s">
        <v>130</v>
      </c>
      <c r="B6666" t="s">
        <v>1878</v>
      </c>
      <c r="C6666" t="s">
        <v>301</v>
      </c>
      <c r="D6666" t="s">
        <v>302</v>
      </c>
      <c r="E6666" s="8">
        <v>350</v>
      </c>
      <c r="F6666" s="8">
        <v>105200</v>
      </c>
      <c r="G6666" s="8">
        <f t="shared" si="416"/>
        <v>36820000</v>
      </c>
      <c r="H6666" s="5">
        <v>0.4786</v>
      </c>
      <c r="I6666" s="8">
        <f t="shared" si="417"/>
        <v>36820000</v>
      </c>
      <c r="J6666" s="8">
        <f t="shared" si="418"/>
        <v>17622052</v>
      </c>
      <c r="K6666" t="str">
        <f t="shared" si="419"/>
        <v>MATCHED</v>
      </c>
    </row>
    <row r="6667" spans="1:11">
      <c r="A6667" t="s">
        <v>130</v>
      </c>
      <c r="B6667" t="s">
        <v>1878</v>
      </c>
      <c r="C6667" t="s">
        <v>576</v>
      </c>
      <c r="D6667" t="s">
        <v>577</v>
      </c>
      <c r="E6667" s="8">
        <v>960</v>
      </c>
      <c r="F6667" s="8">
        <v>107490</v>
      </c>
      <c r="G6667" s="8">
        <f t="shared" si="416"/>
        <v>103190400</v>
      </c>
      <c r="H6667" s="5">
        <v>0.3008</v>
      </c>
      <c r="I6667" s="8">
        <f t="shared" si="417"/>
        <v>103190400</v>
      </c>
      <c r="J6667" s="8">
        <f t="shared" si="418"/>
        <v>31039672.32</v>
      </c>
      <c r="K6667" t="str">
        <f t="shared" si="419"/>
        <v>MATCHED</v>
      </c>
    </row>
    <row r="6668" spans="1:11">
      <c r="A6668" t="s">
        <v>130</v>
      </c>
      <c r="B6668" t="s">
        <v>1878</v>
      </c>
      <c r="C6668" t="s">
        <v>582</v>
      </c>
      <c r="D6668" t="s">
        <v>583</v>
      </c>
      <c r="E6668" s="8">
        <v>360</v>
      </c>
      <c r="F6668" s="8">
        <v>106080</v>
      </c>
      <c r="G6668" s="8">
        <f t="shared" si="416"/>
        <v>38188800</v>
      </c>
      <c r="H6668" s="5">
        <v>0.315</v>
      </c>
      <c r="I6668" s="8">
        <f t="shared" si="417"/>
        <v>38188800</v>
      </c>
      <c r="J6668" s="8">
        <f t="shared" si="418"/>
        <v>12029472</v>
      </c>
      <c r="K6668" t="str">
        <f t="shared" si="419"/>
        <v>MATCHED</v>
      </c>
    </row>
    <row r="6669" spans="1:11">
      <c r="A6669" t="s">
        <v>130</v>
      </c>
      <c r="B6669" t="s">
        <v>1878</v>
      </c>
      <c r="C6669" t="s">
        <v>584</v>
      </c>
      <c r="D6669" t="s">
        <v>585</v>
      </c>
      <c r="E6669" s="8">
        <v>30</v>
      </c>
      <c r="F6669" s="8">
        <v>78770</v>
      </c>
      <c r="G6669" s="8">
        <f t="shared" si="416"/>
        <v>2363100</v>
      </c>
      <c r="H6669" s="5">
        <v>0.7</v>
      </c>
      <c r="I6669" s="8">
        <f t="shared" si="417"/>
        <v>2363100</v>
      </c>
      <c r="J6669" s="8">
        <f t="shared" si="418"/>
        <v>1654170</v>
      </c>
      <c r="K6669" t="str">
        <f t="shared" si="419"/>
        <v>MATCHED</v>
      </c>
    </row>
    <row r="6670" spans="1:11">
      <c r="A6670" t="s">
        <v>130</v>
      </c>
      <c r="B6670" t="s">
        <v>1878</v>
      </c>
      <c r="C6670" t="s">
        <v>592</v>
      </c>
      <c r="D6670" t="s">
        <v>593</v>
      </c>
      <c r="E6670" s="8">
        <v>60</v>
      </c>
      <c r="F6670" s="8">
        <v>57210</v>
      </c>
      <c r="G6670" s="8">
        <f t="shared" si="416"/>
        <v>3432600</v>
      </c>
      <c r="H6670" s="5">
        <v>0.4</v>
      </c>
      <c r="I6670" s="8">
        <f t="shared" si="417"/>
        <v>3432600</v>
      </c>
      <c r="J6670" s="8">
        <f t="shared" si="418"/>
        <v>1373040</v>
      </c>
      <c r="K6670" t="str">
        <f t="shared" si="419"/>
        <v>MATCHED</v>
      </c>
    </row>
    <row r="6671" spans="1:11">
      <c r="A6671" t="s">
        <v>130</v>
      </c>
      <c r="B6671" t="s">
        <v>1878</v>
      </c>
      <c r="C6671" t="s">
        <v>594</v>
      </c>
      <c r="D6671" t="s">
        <v>595</v>
      </c>
      <c r="E6671" s="8"/>
      <c r="F6671" s="8">
        <v>47490</v>
      </c>
      <c r="G6671" s="8" t="str">
        <f t="shared" si="416"/>
        <v/>
      </c>
      <c r="H6671" s="5">
        <v>0.1781</v>
      </c>
      <c r="I6671" s="8" t="str">
        <f t="shared" si="417"/>
        <v/>
      </c>
      <c r="J6671" s="8" t="str">
        <f t="shared" si="418"/>
        <v/>
      </c>
      <c r="K6671" t="str">
        <f t="shared" si="419"/>
        <v>MISSING OEWS</v>
      </c>
    </row>
    <row r="6672" spans="1:11">
      <c r="A6672" t="s">
        <v>130</v>
      </c>
      <c r="B6672" t="s">
        <v>1878</v>
      </c>
      <c r="C6672" t="s">
        <v>600</v>
      </c>
      <c r="D6672" t="s">
        <v>601</v>
      </c>
      <c r="E6672" s="8">
        <v>50</v>
      </c>
      <c r="F6672" s="8">
        <v>68750</v>
      </c>
      <c r="G6672" s="8">
        <f t="shared" si="416"/>
        <v>3437500</v>
      </c>
      <c r="H6672" s="5">
        <v>0.3125</v>
      </c>
      <c r="I6672" s="8">
        <f t="shared" si="417"/>
        <v>3437500</v>
      </c>
      <c r="J6672" s="8">
        <f t="shared" si="418"/>
        <v>1074218.75</v>
      </c>
      <c r="K6672" t="str">
        <f t="shared" si="419"/>
        <v>MATCHED</v>
      </c>
    </row>
    <row r="6673" spans="1:11">
      <c r="A6673" t="s">
        <v>130</v>
      </c>
      <c r="B6673" t="s">
        <v>1878</v>
      </c>
      <c r="C6673" t="s">
        <v>303</v>
      </c>
      <c r="D6673" t="s">
        <v>304</v>
      </c>
      <c r="E6673" s="8">
        <v>40</v>
      </c>
      <c r="F6673" s="8">
        <v>65160</v>
      </c>
      <c r="G6673" s="8">
        <f t="shared" si="416"/>
        <v>2606400</v>
      </c>
      <c r="H6673" s="5">
        <v>0.2333</v>
      </c>
      <c r="I6673" s="8">
        <f t="shared" si="417"/>
        <v>2606400</v>
      </c>
      <c r="J6673" s="8">
        <f t="shared" si="418"/>
        <v>608073.12</v>
      </c>
      <c r="K6673" t="str">
        <f t="shared" si="419"/>
        <v>MATCHED</v>
      </c>
    </row>
    <row r="6674" spans="1:11">
      <c r="A6674" t="s">
        <v>130</v>
      </c>
      <c r="B6674" t="s">
        <v>1878</v>
      </c>
      <c r="C6674" t="s">
        <v>307</v>
      </c>
      <c r="D6674" t="s">
        <v>308</v>
      </c>
      <c r="E6674" s="8">
        <v>840</v>
      </c>
      <c r="F6674" s="8">
        <v>59310</v>
      </c>
      <c r="G6674" s="8">
        <f t="shared" si="416"/>
        <v>49820400</v>
      </c>
      <c r="H6674" s="5">
        <v>0.0519</v>
      </c>
      <c r="I6674" s="8">
        <f t="shared" si="417"/>
        <v>49820400</v>
      </c>
      <c r="J6674" s="8">
        <f t="shared" si="418"/>
        <v>2585678.76</v>
      </c>
      <c r="K6674" t="str">
        <f t="shared" si="419"/>
        <v>MATCHED</v>
      </c>
    </row>
    <row r="6675" spans="1:11">
      <c r="A6675" t="s">
        <v>130</v>
      </c>
      <c r="B6675" t="s">
        <v>1878</v>
      </c>
      <c r="C6675" t="s">
        <v>844</v>
      </c>
      <c r="D6675" t="s">
        <v>845</v>
      </c>
      <c r="E6675" s="8">
        <v>800</v>
      </c>
      <c r="F6675" s="8">
        <v>60860</v>
      </c>
      <c r="G6675" s="8">
        <f t="shared" si="416"/>
        <v>48688000</v>
      </c>
      <c r="H6675" s="5">
        <v>0.15</v>
      </c>
      <c r="I6675" s="8">
        <f t="shared" si="417"/>
        <v>48688000</v>
      </c>
      <c r="J6675" s="8">
        <f t="shared" si="418"/>
        <v>7303200</v>
      </c>
      <c r="K6675" t="str">
        <f t="shared" si="419"/>
        <v>MATCHED</v>
      </c>
    </row>
    <row r="6676" spans="1:11">
      <c r="A6676" t="s">
        <v>130</v>
      </c>
      <c r="B6676" t="s">
        <v>1878</v>
      </c>
      <c r="C6676" t="s">
        <v>309</v>
      </c>
      <c r="D6676" t="s">
        <v>310</v>
      </c>
      <c r="E6676" s="8">
        <v>160</v>
      </c>
      <c r="F6676" s="8">
        <v>64840</v>
      </c>
      <c r="G6676" s="8">
        <f t="shared" si="416"/>
        <v>10374400</v>
      </c>
      <c r="H6676" s="5">
        <v>0.4037</v>
      </c>
      <c r="I6676" s="8">
        <f t="shared" si="417"/>
        <v>10374400</v>
      </c>
      <c r="J6676" s="8">
        <f t="shared" si="418"/>
        <v>4188145.28</v>
      </c>
      <c r="K6676" t="str">
        <f t="shared" si="419"/>
        <v>MATCHED</v>
      </c>
    </row>
    <row r="6677" spans="1:11">
      <c r="A6677" t="s">
        <v>130</v>
      </c>
      <c r="B6677" t="s">
        <v>1878</v>
      </c>
      <c r="C6677" t="s">
        <v>1632</v>
      </c>
      <c r="D6677" t="s">
        <v>1633</v>
      </c>
      <c r="E6677" s="8">
        <v>470</v>
      </c>
      <c r="F6677" s="8">
        <v>62640</v>
      </c>
      <c r="G6677" s="8">
        <f t="shared" si="416"/>
        <v>29440800</v>
      </c>
      <c r="H6677" s="5">
        <v>0.2122</v>
      </c>
      <c r="I6677" s="8">
        <f t="shared" si="417"/>
        <v>29440800</v>
      </c>
      <c r="J6677" s="8">
        <f t="shared" si="418"/>
        <v>6247337.76</v>
      </c>
      <c r="K6677" t="str">
        <f t="shared" si="419"/>
        <v>MATCHED</v>
      </c>
    </row>
    <row r="6678" spans="1:11">
      <c r="A6678" t="s">
        <v>130</v>
      </c>
      <c r="B6678" t="s">
        <v>1878</v>
      </c>
      <c r="C6678" t="s">
        <v>610</v>
      </c>
      <c r="D6678" t="s">
        <v>611</v>
      </c>
      <c r="E6678" s="8">
        <v>120</v>
      </c>
      <c r="F6678" s="8">
        <v>64550</v>
      </c>
      <c r="G6678" s="8">
        <f t="shared" si="416"/>
        <v>7746000</v>
      </c>
      <c r="H6678" s="5">
        <v>0.4662</v>
      </c>
      <c r="I6678" s="8">
        <f t="shared" si="417"/>
        <v>7746000</v>
      </c>
      <c r="J6678" s="8">
        <f t="shared" si="418"/>
        <v>3611185.2</v>
      </c>
      <c r="K6678" t="str">
        <f t="shared" si="419"/>
        <v>MATCHED</v>
      </c>
    </row>
    <row r="6679" spans="1:11">
      <c r="A6679" t="s">
        <v>130</v>
      </c>
      <c r="B6679" t="s">
        <v>1878</v>
      </c>
      <c r="C6679" t="s">
        <v>612</v>
      </c>
      <c r="D6679" t="s">
        <v>613</v>
      </c>
      <c r="E6679" s="8">
        <v>40</v>
      </c>
      <c r="F6679" s="8">
        <v>69740</v>
      </c>
      <c r="G6679" s="8">
        <f t="shared" si="416"/>
        <v>2789600</v>
      </c>
      <c r="H6679" s="5">
        <v>0.2937</v>
      </c>
      <c r="I6679" s="8">
        <f t="shared" si="417"/>
        <v>2789600</v>
      </c>
      <c r="J6679" s="8">
        <f t="shared" si="418"/>
        <v>819305.52</v>
      </c>
      <c r="K6679" t="str">
        <f t="shared" si="419"/>
        <v>MATCHED</v>
      </c>
    </row>
    <row r="6680" spans="1:11">
      <c r="A6680" t="s">
        <v>130</v>
      </c>
      <c r="B6680" t="s">
        <v>1878</v>
      </c>
      <c r="C6680" t="s">
        <v>1646</v>
      </c>
      <c r="D6680" t="s">
        <v>1647</v>
      </c>
      <c r="E6680" s="8">
        <v>150</v>
      </c>
      <c r="F6680" s="8">
        <v>56080</v>
      </c>
      <c r="G6680" s="8">
        <f t="shared" si="416"/>
        <v>8412000</v>
      </c>
      <c r="H6680" s="5">
        <v>0.18</v>
      </c>
      <c r="I6680" s="8">
        <f t="shared" si="417"/>
        <v>8412000</v>
      </c>
      <c r="J6680" s="8">
        <f t="shared" si="418"/>
        <v>1514160</v>
      </c>
      <c r="K6680" t="str">
        <f t="shared" si="419"/>
        <v>MATCHED</v>
      </c>
    </row>
    <row r="6681" spans="1:11">
      <c r="A6681" t="s">
        <v>130</v>
      </c>
      <c r="B6681" t="s">
        <v>1878</v>
      </c>
      <c r="C6681" t="s">
        <v>1650</v>
      </c>
      <c r="D6681" t="s">
        <v>1651</v>
      </c>
      <c r="E6681" s="8">
        <v>120</v>
      </c>
      <c r="F6681" s="8">
        <v>63950</v>
      </c>
      <c r="G6681" s="8">
        <f t="shared" si="416"/>
        <v>7674000</v>
      </c>
      <c r="H6681" s="5">
        <v>0.4952</v>
      </c>
      <c r="I6681" s="8">
        <f t="shared" si="417"/>
        <v>7674000</v>
      </c>
      <c r="J6681" s="8">
        <f t="shared" si="418"/>
        <v>3800164.8</v>
      </c>
      <c r="K6681" t="str">
        <f t="shared" si="419"/>
        <v>MATCHED</v>
      </c>
    </row>
    <row r="6682" spans="1:11">
      <c r="A6682" t="s">
        <v>130</v>
      </c>
      <c r="B6682" t="s">
        <v>1878</v>
      </c>
      <c r="C6682" t="s">
        <v>313</v>
      </c>
      <c r="D6682" t="s">
        <v>314</v>
      </c>
      <c r="E6682" s="8">
        <v>30</v>
      </c>
      <c r="F6682" s="8">
        <v>47790</v>
      </c>
      <c r="G6682" s="8">
        <f t="shared" si="416"/>
        <v>1433700</v>
      </c>
      <c r="H6682" s="5">
        <v>0.374</v>
      </c>
      <c r="I6682" s="8">
        <f t="shared" si="417"/>
        <v>1433700</v>
      </c>
      <c r="J6682" s="8">
        <f t="shared" si="418"/>
        <v>536203.8</v>
      </c>
      <c r="K6682" t="str">
        <f t="shared" si="419"/>
        <v>MATCHED</v>
      </c>
    </row>
    <row r="6683" spans="1:11">
      <c r="A6683" t="s">
        <v>130</v>
      </c>
      <c r="B6683" t="s">
        <v>1878</v>
      </c>
      <c r="C6683" t="s">
        <v>317</v>
      </c>
      <c r="D6683" t="s">
        <v>318</v>
      </c>
      <c r="E6683" s="8">
        <v>60</v>
      </c>
      <c r="F6683" s="8">
        <v>51640</v>
      </c>
      <c r="G6683" s="8">
        <f t="shared" si="416"/>
        <v>3098400</v>
      </c>
      <c r="H6683" s="5">
        <v>0.2778</v>
      </c>
      <c r="I6683" s="8">
        <f t="shared" si="417"/>
        <v>3098400</v>
      </c>
      <c r="J6683" s="8">
        <f t="shared" si="418"/>
        <v>860735.52</v>
      </c>
      <c r="K6683" t="str">
        <f t="shared" si="419"/>
        <v>MATCHED</v>
      </c>
    </row>
    <row r="6684" spans="1:11">
      <c r="A6684" t="s">
        <v>130</v>
      </c>
      <c r="B6684" t="s">
        <v>1878</v>
      </c>
      <c r="C6684" t="s">
        <v>618</v>
      </c>
      <c r="D6684" t="s">
        <v>619</v>
      </c>
      <c r="E6684" s="8">
        <v>80</v>
      </c>
      <c r="F6684" s="8">
        <v>50550</v>
      </c>
      <c r="G6684" s="8">
        <f t="shared" si="416"/>
        <v>4044000</v>
      </c>
      <c r="H6684" s="5">
        <v>0.2635</v>
      </c>
      <c r="I6684" s="8">
        <f t="shared" si="417"/>
        <v>4044000</v>
      </c>
      <c r="J6684" s="8">
        <f t="shared" si="418"/>
        <v>1065594</v>
      </c>
      <c r="K6684" t="str">
        <f t="shared" si="419"/>
        <v>MATCHED</v>
      </c>
    </row>
    <row r="6685" spans="1:11">
      <c r="A6685" t="s">
        <v>130</v>
      </c>
      <c r="B6685" t="s">
        <v>1878</v>
      </c>
      <c r="C6685" t="s">
        <v>622</v>
      </c>
      <c r="D6685" t="s">
        <v>623</v>
      </c>
      <c r="E6685" s="8">
        <v>110</v>
      </c>
      <c r="F6685" s="8">
        <v>67450</v>
      </c>
      <c r="G6685" s="8">
        <f t="shared" si="416"/>
        <v>7419500</v>
      </c>
      <c r="H6685" s="5">
        <v>0.4562</v>
      </c>
      <c r="I6685" s="8">
        <f t="shared" si="417"/>
        <v>7419500</v>
      </c>
      <c r="J6685" s="8">
        <f t="shared" si="418"/>
        <v>3384775.9</v>
      </c>
      <c r="K6685" t="str">
        <f t="shared" si="419"/>
        <v>MATCHED</v>
      </c>
    </row>
    <row r="6686" spans="1:11">
      <c r="A6686" t="s">
        <v>130</v>
      </c>
      <c r="B6686" t="s">
        <v>1878</v>
      </c>
      <c r="C6686" t="s">
        <v>1180</v>
      </c>
      <c r="D6686" t="s">
        <v>1181</v>
      </c>
      <c r="E6686" s="8">
        <v>80</v>
      </c>
      <c r="F6686" s="8">
        <v>38780</v>
      </c>
      <c r="G6686" s="8">
        <f t="shared" si="416"/>
        <v>3102400</v>
      </c>
      <c r="H6686" s="5">
        <v>0.7087</v>
      </c>
      <c r="I6686" s="8">
        <f t="shared" si="417"/>
        <v>3102400</v>
      </c>
      <c r="J6686" s="8">
        <f t="shared" si="418"/>
        <v>2198670.88</v>
      </c>
      <c r="K6686" t="str">
        <f t="shared" si="419"/>
        <v>MATCHED</v>
      </c>
    </row>
    <row r="6687" spans="1:11">
      <c r="A6687" t="s">
        <v>130</v>
      </c>
      <c r="B6687" t="s">
        <v>1878</v>
      </c>
      <c r="C6687" t="s">
        <v>856</v>
      </c>
      <c r="D6687" t="s">
        <v>857</v>
      </c>
      <c r="E6687" s="8">
        <v>150</v>
      </c>
      <c r="F6687" s="8">
        <v>44030</v>
      </c>
      <c r="G6687" s="8">
        <f t="shared" si="416"/>
        <v>6604500</v>
      </c>
      <c r="H6687" s="5">
        <v>0.181</v>
      </c>
      <c r="I6687" s="8">
        <f t="shared" si="417"/>
        <v>6604500</v>
      </c>
      <c r="J6687" s="8">
        <f t="shared" si="418"/>
        <v>1195414.5</v>
      </c>
      <c r="K6687" t="str">
        <f t="shared" si="419"/>
        <v>MATCHED</v>
      </c>
    </row>
    <row r="6688" spans="1:11">
      <c r="A6688" t="s">
        <v>130</v>
      </c>
      <c r="B6688" t="s">
        <v>1878</v>
      </c>
      <c r="C6688" t="s">
        <v>624</v>
      </c>
      <c r="D6688" t="s">
        <v>625</v>
      </c>
      <c r="E6688" s="8">
        <v>260</v>
      </c>
      <c r="F6688" s="8">
        <v>56830</v>
      </c>
      <c r="G6688" s="8">
        <f t="shared" si="416"/>
        <v>14775800</v>
      </c>
      <c r="H6688" s="5">
        <v>0.5519</v>
      </c>
      <c r="I6688" s="8">
        <f t="shared" si="417"/>
        <v>14775800</v>
      </c>
      <c r="J6688" s="8">
        <f t="shared" si="418"/>
        <v>8154764.02</v>
      </c>
      <c r="K6688" t="str">
        <f t="shared" si="419"/>
        <v>MATCHED</v>
      </c>
    </row>
    <row r="6689" spans="1:11">
      <c r="A6689" t="s">
        <v>130</v>
      </c>
      <c r="B6689" t="s">
        <v>1878</v>
      </c>
      <c r="C6689" t="s">
        <v>319</v>
      </c>
      <c r="D6689" t="s">
        <v>320</v>
      </c>
      <c r="E6689" s="8">
        <v>690</v>
      </c>
      <c r="F6689" s="8">
        <v>72810</v>
      </c>
      <c r="G6689" s="8">
        <f t="shared" si="416"/>
        <v>50238900</v>
      </c>
      <c r="H6689" s="5">
        <v>0.2786</v>
      </c>
      <c r="I6689" s="8">
        <f t="shared" si="417"/>
        <v>50238900</v>
      </c>
      <c r="J6689" s="8">
        <f t="shared" si="418"/>
        <v>13996557.54</v>
      </c>
      <c r="K6689" t="str">
        <f t="shared" si="419"/>
        <v>MATCHED</v>
      </c>
    </row>
    <row r="6690" spans="1:11">
      <c r="A6690" t="s">
        <v>130</v>
      </c>
      <c r="B6690" t="s">
        <v>1878</v>
      </c>
      <c r="C6690" t="s">
        <v>626</v>
      </c>
      <c r="D6690" t="s">
        <v>627</v>
      </c>
      <c r="E6690" s="8">
        <v>180</v>
      </c>
      <c r="F6690" s="8">
        <v>55770</v>
      </c>
      <c r="G6690" s="8">
        <f t="shared" si="416"/>
        <v>10038600</v>
      </c>
      <c r="H6690" s="5">
        <v>0.2712</v>
      </c>
      <c r="I6690" s="8">
        <f t="shared" si="417"/>
        <v>10038600</v>
      </c>
      <c r="J6690" s="8">
        <f t="shared" si="418"/>
        <v>2722468.32</v>
      </c>
      <c r="K6690" t="str">
        <f t="shared" si="419"/>
        <v>MATCHED</v>
      </c>
    </row>
    <row r="6691" spans="1:11">
      <c r="A6691" t="s">
        <v>130</v>
      </c>
      <c r="B6691" t="s">
        <v>1878</v>
      </c>
      <c r="C6691" t="s">
        <v>1464</v>
      </c>
      <c r="D6691" t="s">
        <v>1465</v>
      </c>
      <c r="E6691" s="8">
        <v>190</v>
      </c>
      <c r="F6691" s="8">
        <v>40420</v>
      </c>
      <c r="G6691" s="8">
        <f t="shared" si="416"/>
        <v>7679800</v>
      </c>
      <c r="H6691" s="5">
        <v>0.3176</v>
      </c>
      <c r="I6691" s="8">
        <f t="shared" si="417"/>
        <v>7679800</v>
      </c>
      <c r="J6691" s="8">
        <f t="shared" si="418"/>
        <v>2439104.48</v>
      </c>
      <c r="K6691" t="str">
        <f t="shared" si="419"/>
        <v>MATCHED</v>
      </c>
    </row>
    <row r="6692" spans="1:11">
      <c r="A6692" t="s">
        <v>130</v>
      </c>
      <c r="B6692" t="s">
        <v>1878</v>
      </c>
      <c r="C6692" t="s">
        <v>1466</v>
      </c>
      <c r="D6692" t="s">
        <v>1467</v>
      </c>
      <c r="E6692" s="8"/>
      <c r="F6692" s="8">
        <v>39960</v>
      </c>
      <c r="G6692" s="8" t="str">
        <f t="shared" si="416"/>
        <v/>
      </c>
      <c r="H6692" s="5">
        <v>0.2618</v>
      </c>
      <c r="I6692" s="8" t="str">
        <f t="shared" si="417"/>
        <v/>
      </c>
      <c r="J6692" s="8" t="str">
        <f t="shared" si="418"/>
        <v/>
      </c>
      <c r="K6692" t="str">
        <f t="shared" si="419"/>
        <v>MISSING OEWS</v>
      </c>
    </row>
    <row r="6693" spans="1:11">
      <c r="A6693" t="s">
        <v>130</v>
      </c>
      <c r="B6693" t="s">
        <v>1878</v>
      </c>
      <c r="C6693" t="s">
        <v>1608</v>
      </c>
      <c r="D6693" t="s">
        <v>1609</v>
      </c>
      <c r="E6693" s="8">
        <v>100</v>
      </c>
      <c r="F6693" s="8">
        <v>61310</v>
      </c>
      <c r="G6693" s="8">
        <f t="shared" si="416"/>
        <v>6131000</v>
      </c>
      <c r="H6693" s="5">
        <v>0.1862</v>
      </c>
      <c r="I6693" s="8">
        <f t="shared" si="417"/>
        <v>6131000</v>
      </c>
      <c r="J6693" s="8">
        <f t="shared" si="418"/>
        <v>1141592.2</v>
      </c>
      <c r="K6693" t="str">
        <f t="shared" si="419"/>
        <v>MATCHED</v>
      </c>
    </row>
    <row r="6694" spans="1:11">
      <c r="A6694" t="s">
        <v>130</v>
      </c>
      <c r="B6694" t="s">
        <v>1878</v>
      </c>
      <c r="C6694" t="s">
        <v>1468</v>
      </c>
      <c r="D6694" t="s">
        <v>1469</v>
      </c>
      <c r="E6694" s="8">
        <v>50</v>
      </c>
      <c r="F6694" s="8">
        <v>41760</v>
      </c>
      <c r="G6694" s="8">
        <f t="shared" si="416"/>
        <v>2088000</v>
      </c>
      <c r="H6694" s="5"/>
      <c r="I6694" s="8" t="str">
        <f t="shared" si="417"/>
        <v/>
      </c>
      <c r="J6694" s="8" t="str">
        <f t="shared" si="418"/>
        <v/>
      </c>
      <c r="K6694" t="str">
        <f t="shared" si="419"/>
        <v>MISSING WHARTON</v>
      </c>
    </row>
    <row r="6695" spans="1:11">
      <c r="A6695" t="s">
        <v>130</v>
      </c>
      <c r="B6695" t="s">
        <v>1878</v>
      </c>
      <c r="C6695" t="s">
        <v>1610</v>
      </c>
      <c r="D6695" t="s">
        <v>1611</v>
      </c>
      <c r="E6695" s="8">
        <v>90</v>
      </c>
      <c r="F6695" s="8">
        <v>37000</v>
      </c>
      <c r="G6695" s="8">
        <f t="shared" si="416"/>
        <v>3330000</v>
      </c>
      <c r="H6695" s="5">
        <v>0.2457</v>
      </c>
      <c r="I6695" s="8">
        <f t="shared" si="417"/>
        <v>3330000</v>
      </c>
      <c r="J6695" s="8">
        <f t="shared" si="418"/>
        <v>818181</v>
      </c>
      <c r="K6695" t="str">
        <f t="shared" si="419"/>
        <v>MATCHED</v>
      </c>
    </row>
    <row r="6696" spans="1:11">
      <c r="A6696" t="s">
        <v>130</v>
      </c>
      <c r="B6696" t="s">
        <v>1878</v>
      </c>
      <c r="C6696" t="s">
        <v>1614</v>
      </c>
      <c r="D6696" t="s">
        <v>1615</v>
      </c>
      <c r="E6696" s="8">
        <v>50</v>
      </c>
      <c r="F6696" s="8">
        <v>37940</v>
      </c>
      <c r="G6696" s="8">
        <f t="shared" si="416"/>
        <v>1897000</v>
      </c>
      <c r="H6696" s="5"/>
      <c r="I6696" s="8" t="str">
        <f t="shared" si="417"/>
        <v/>
      </c>
      <c r="J6696" s="8" t="str">
        <f t="shared" si="418"/>
        <v/>
      </c>
      <c r="K6696" t="str">
        <f t="shared" si="419"/>
        <v>MISSING WHARTON</v>
      </c>
    </row>
    <row r="6697" spans="1:11">
      <c r="A6697" t="s">
        <v>130</v>
      </c>
      <c r="B6697" t="s">
        <v>1878</v>
      </c>
      <c r="C6697" t="s">
        <v>1419</v>
      </c>
      <c r="D6697" t="s">
        <v>1420</v>
      </c>
      <c r="E6697" s="8">
        <v>180</v>
      </c>
      <c r="F6697" s="8">
        <v>44770</v>
      </c>
      <c r="G6697" s="8">
        <f t="shared" si="416"/>
        <v>8058600</v>
      </c>
      <c r="H6697" s="5">
        <v>0.5875</v>
      </c>
      <c r="I6697" s="8">
        <f t="shared" si="417"/>
        <v>8058600</v>
      </c>
      <c r="J6697" s="8">
        <f t="shared" si="418"/>
        <v>4734427.5</v>
      </c>
      <c r="K6697" t="str">
        <f t="shared" si="419"/>
        <v>MATCHED</v>
      </c>
    </row>
    <row r="6698" spans="1:11">
      <c r="A6698" t="s">
        <v>130</v>
      </c>
      <c r="B6698" t="s">
        <v>1878</v>
      </c>
      <c r="C6698" t="s">
        <v>940</v>
      </c>
      <c r="D6698" t="s">
        <v>941</v>
      </c>
      <c r="E6698" s="8">
        <v>170</v>
      </c>
      <c r="F6698" s="8">
        <v>40030</v>
      </c>
      <c r="G6698" s="8">
        <f t="shared" si="416"/>
        <v>6805100</v>
      </c>
      <c r="H6698" s="5">
        <v>0.4</v>
      </c>
      <c r="I6698" s="8">
        <f t="shared" si="417"/>
        <v>6805100</v>
      </c>
      <c r="J6698" s="8">
        <f t="shared" si="418"/>
        <v>2722040</v>
      </c>
      <c r="K6698" t="str">
        <f t="shared" si="419"/>
        <v>MATCHED</v>
      </c>
    </row>
    <row r="6699" spans="1:11">
      <c r="A6699" t="s">
        <v>130</v>
      </c>
      <c r="B6699" t="s">
        <v>1878</v>
      </c>
      <c r="C6699" t="s">
        <v>1569</v>
      </c>
      <c r="D6699" t="s">
        <v>1570</v>
      </c>
      <c r="E6699" s="8">
        <v>150</v>
      </c>
      <c r="F6699" s="8">
        <v>43710</v>
      </c>
      <c r="G6699" s="8">
        <f t="shared" si="416"/>
        <v>6556500</v>
      </c>
      <c r="H6699" s="5">
        <v>0.2672</v>
      </c>
      <c r="I6699" s="8">
        <f t="shared" si="417"/>
        <v>6556500</v>
      </c>
      <c r="J6699" s="8">
        <f t="shared" si="418"/>
        <v>1751896.8</v>
      </c>
      <c r="K6699" t="str">
        <f t="shared" si="419"/>
        <v>MATCHED</v>
      </c>
    </row>
    <row r="6700" spans="1:11">
      <c r="A6700" t="s">
        <v>130</v>
      </c>
      <c r="B6700" t="s">
        <v>1878</v>
      </c>
      <c r="C6700" t="s">
        <v>942</v>
      </c>
      <c r="D6700" t="s">
        <v>943</v>
      </c>
      <c r="E6700" s="8">
        <v>420</v>
      </c>
      <c r="F6700" s="8">
        <v>41500</v>
      </c>
      <c r="G6700" s="8">
        <f t="shared" si="416"/>
        <v>17430000</v>
      </c>
      <c r="H6700" s="5"/>
      <c r="I6700" s="8" t="str">
        <f t="shared" si="417"/>
        <v/>
      </c>
      <c r="J6700" s="8" t="str">
        <f t="shared" si="418"/>
        <v/>
      </c>
      <c r="K6700" t="str">
        <f t="shared" si="419"/>
        <v>MISSING WHARTON</v>
      </c>
    </row>
    <row r="6701" spans="1:11">
      <c r="A6701" t="s">
        <v>130</v>
      </c>
      <c r="B6701" t="s">
        <v>1878</v>
      </c>
      <c r="C6701" t="s">
        <v>1182</v>
      </c>
      <c r="D6701" t="s">
        <v>1183</v>
      </c>
      <c r="E6701" s="8"/>
      <c r="F6701" s="8">
        <v>38060</v>
      </c>
      <c r="G6701" s="8" t="str">
        <f t="shared" si="416"/>
        <v/>
      </c>
      <c r="H6701" s="5">
        <v>0.1786</v>
      </c>
      <c r="I6701" s="8" t="str">
        <f t="shared" si="417"/>
        <v/>
      </c>
      <c r="J6701" s="8" t="str">
        <f t="shared" si="418"/>
        <v/>
      </c>
      <c r="K6701" t="str">
        <f t="shared" si="419"/>
        <v>MISSING OEWS</v>
      </c>
    </row>
    <row r="6702" spans="1:11">
      <c r="A6702" t="s">
        <v>130</v>
      </c>
      <c r="B6702" t="s">
        <v>1878</v>
      </c>
      <c r="C6702" t="s">
        <v>628</v>
      </c>
      <c r="D6702" t="s">
        <v>629</v>
      </c>
      <c r="E6702" s="8">
        <v>1200</v>
      </c>
      <c r="F6702" s="8">
        <v>253820</v>
      </c>
      <c r="G6702" s="8">
        <f t="shared" si="416"/>
        <v>304584000</v>
      </c>
      <c r="H6702" s="5">
        <v>0.45</v>
      </c>
      <c r="I6702" s="8">
        <f t="shared" si="417"/>
        <v>304584000</v>
      </c>
      <c r="J6702" s="8">
        <f t="shared" si="418"/>
        <v>137062800</v>
      </c>
      <c r="K6702" t="str">
        <f t="shared" si="419"/>
        <v>MATCHED</v>
      </c>
    </row>
    <row r="6703" spans="1:11">
      <c r="A6703" t="s">
        <v>130</v>
      </c>
      <c r="B6703" t="s">
        <v>1878</v>
      </c>
      <c r="C6703" t="s">
        <v>630</v>
      </c>
      <c r="D6703" t="s">
        <v>631</v>
      </c>
      <c r="E6703" s="8">
        <v>160</v>
      </c>
      <c r="F6703" s="8">
        <v>81800</v>
      </c>
      <c r="G6703" s="8">
        <f t="shared" si="416"/>
        <v>13088000</v>
      </c>
      <c r="H6703" s="5">
        <v>0.5917</v>
      </c>
      <c r="I6703" s="8">
        <f t="shared" si="417"/>
        <v>13088000</v>
      </c>
      <c r="J6703" s="8">
        <f t="shared" si="418"/>
        <v>7744169.6</v>
      </c>
      <c r="K6703" t="str">
        <f t="shared" si="419"/>
        <v>MATCHED</v>
      </c>
    </row>
    <row r="6704" spans="1:11">
      <c r="A6704" t="s">
        <v>130</v>
      </c>
      <c r="B6704" t="s">
        <v>1878</v>
      </c>
      <c r="C6704" t="s">
        <v>1821</v>
      </c>
      <c r="D6704" t="s">
        <v>1822</v>
      </c>
      <c r="E6704" s="8">
        <v>230</v>
      </c>
      <c r="F6704" s="8">
        <v>126500</v>
      </c>
      <c r="G6704" s="8">
        <f t="shared" si="416"/>
        <v>29095000</v>
      </c>
      <c r="H6704" s="5">
        <v>0.3696</v>
      </c>
      <c r="I6704" s="8">
        <f t="shared" si="417"/>
        <v>29095000</v>
      </c>
      <c r="J6704" s="8">
        <f t="shared" si="418"/>
        <v>10753512</v>
      </c>
      <c r="K6704" t="str">
        <f t="shared" si="419"/>
        <v>MATCHED</v>
      </c>
    </row>
    <row r="6705" spans="1:11">
      <c r="A6705" t="s">
        <v>130</v>
      </c>
      <c r="B6705" t="s">
        <v>1878</v>
      </c>
      <c r="C6705" t="s">
        <v>1660</v>
      </c>
      <c r="D6705" t="s">
        <v>1661</v>
      </c>
      <c r="E6705" s="8">
        <v>2160</v>
      </c>
      <c r="F6705" s="8">
        <v>39210</v>
      </c>
      <c r="G6705" s="8">
        <f t="shared" si="416"/>
        <v>84693600</v>
      </c>
      <c r="H6705" s="5">
        <v>0.1176</v>
      </c>
      <c r="I6705" s="8">
        <f t="shared" si="417"/>
        <v>84693600</v>
      </c>
      <c r="J6705" s="8">
        <f t="shared" si="418"/>
        <v>9959967.36</v>
      </c>
      <c r="K6705" t="str">
        <f t="shared" si="419"/>
        <v>MATCHED</v>
      </c>
    </row>
    <row r="6706" spans="1:11">
      <c r="A6706" t="s">
        <v>130</v>
      </c>
      <c r="B6706" t="s">
        <v>1878</v>
      </c>
      <c r="C6706" t="s">
        <v>321</v>
      </c>
      <c r="D6706" t="s">
        <v>322</v>
      </c>
      <c r="E6706" s="8">
        <v>50730</v>
      </c>
      <c r="F6706" s="8">
        <v>54010</v>
      </c>
      <c r="G6706" s="8">
        <f t="shared" si="416"/>
        <v>2739927300</v>
      </c>
      <c r="H6706" s="5">
        <v>0.33</v>
      </c>
      <c r="I6706" s="8">
        <f t="shared" si="417"/>
        <v>2739927300</v>
      </c>
      <c r="J6706" s="8">
        <f t="shared" si="418"/>
        <v>904176009</v>
      </c>
      <c r="K6706" t="str">
        <f t="shared" si="419"/>
        <v>MATCHED</v>
      </c>
    </row>
    <row r="6707" spans="1:11">
      <c r="A6707" t="s">
        <v>130</v>
      </c>
      <c r="B6707" t="s">
        <v>1878</v>
      </c>
      <c r="C6707" t="s">
        <v>1717</v>
      </c>
      <c r="D6707" t="s">
        <v>1718</v>
      </c>
      <c r="E6707" s="8">
        <v>60</v>
      </c>
      <c r="F6707" s="8">
        <v>38570</v>
      </c>
      <c r="G6707" s="8">
        <f t="shared" si="416"/>
        <v>2314200</v>
      </c>
      <c r="H6707" s="5">
        <v>0.1972</v>
      </c>
      <c r="I6707" s="8">
        <f t="shared" si="417"/>
        <v>2314200</v>
      </c>
      <c r="J6707" s="8">
        <f t="shared" si="418"/>
        <v>456360.24</v>
      </c>
      <c r="K6707" t="str">
        <f t="shared" si="419"/>
        <v>MATCHED</v>
      </c>
    </row>
    <row r="6708" spans="1:11">
      <c r="A6708" t="s">
        <v>130</v>
      </c>
      <c r="B6708" t="s">
        <v>1878</v>
      </c>
      <c r="C6708" t="s">
        <v>1423</v>
      </c>
      <c r="D6708" t="s">
        <v>1424</v>
      </c>
      <c r="E6708" s="8"/>
      <c r="F6708" s="8">
        <v>51410</v>
      </c>
      <c r="G6708" s="8" t="str">
        <f t="shared" si="416"/>
        <v/>
      </c>
      <c r="H6708" s="5">
        <v>0.3974</v>
      </c>
      <c r="I6708" s="8" t="str">
        <f t="shared" si="417"/>
        <v/>
      </c>
      <c r="J6708" s="8" t="str">
        <f t="shared" si="418"/>
        <v/>
      </c>
      <c r="K6708" t="str">
        <f t="shared" si="419"/>
        <v>MISSING OEWS</v>
      </c>
    </row>
    <row r="6709" spans="1:11">
      <c r="A6709" t="s">
        <v>130</v>
      </c>
      <c r="B6709" t="s">
        <v>1878</v>
      </c>
      <c r="C6709" t="s">
        <v>1517</v>
      </c>
      <c r="D6709" t="s">
        <v>1518</v>
      </c>
      <c r="E6709" s="8">
        <v>570</v>
      </c>
      <c r="F6709" s="8">
        <v>50760</v>
      </c>
      <c r="G6709" s="8">
        <f t="shared" si="416"/>
        <v>28933200</v>
      </c>
      <c r="H6709" s="5"/>
      <c r="I6709" s="8" t="str">
        <f t="shared" si="417"/>
        <v/>
      </c>
      <c r="J6709" s="8" t="str">
        <f t="shared" si="418"/>
        <v/>
      </c>
      <c r="K6709" t="str">
        <f t="shared" si="419"/>
        <v>MISSING WHARTON</v>
      </c>
    </row>
    <row r="6710" spans="1:11">
      <c r="A6710" t="s">
        <v>130</v>
      </c>
      <c r="B6710" t="s">
        <v>1878</v>
      </c>
      <c r="C6710" t="s">
        <v>1470</v>
      </c>
      <c r="D6710" t="s">
        <v>1471</v>
      </c>
      <c r="E6710" s="8">
        <v>1450</v>
      </c>
      <c r="F6710" s="8">
        <v>60220</v>
      </c>
      <c r="G6710" s="8">
        <f t="shared" si="416"/>
        <v>87319000</v>
      </c>
      <c r="H6710" s="5">
        <v>0.4154</v>
      </c>
      <c r="I6710" s="8">
        <f t="shared" si="417"/>
        <v>87319000</v>
      </c>
      <c r="J6710" s="8">
        <f t="shared" si="418"/>
        <v>36272312.6</v>
      </c>
      <c r="K6710" t="str">
        <f t="shared" si="419"/>
        <v>MATCHED</v>
      </c>
    </row>
    <row r="6711" spans="1:11">
      <c r="A6711" t="s">
        <v>130</v>
      </c>
      <c r="B6711" t="s">
        <v>1878</v>
      </c>
      <c r="C6711" t="s">
        <v>1425</v>
      </c>
      <c r="D6711" t="s">
        <v>1426</v>
      </c>
      <c r="E6711" s="8">
        <v>6860</v>
      </c>
      <c r="F6711" s="8">
        <v>70160</v>
      </c>
      <c r="G6711" s="8">
        <f t="shared" si="416"/>
        <v>481297600</v>
      </c>
      <c r="H6711" s="5">
        <v>0.2833</v>
      </c>
      <c r="I6711" s="8">
        <f t="shared" si="417"/>
        <v>481297600</v>
      </c>
      <c r="J6711" s="8">
        <f t="shared" si="418"/>
        <v>136351610.08</v>
      </c>
      <c r="K6711" t="str">
        <f t="shared" si="419"/>
        <v>MATCHED</v>
      </c>
    </row>
    <row r="6712" spans="1:11">
      <c r="A6712" t="s">
        <v>130</v>
      </c>
      <c r="B6712" t="s">
        <v>1878</v>
      </c>
      <c r="C6712" t="s">
        <v>1472</v>
      </c>
      <c r="D6712" t="s">
        <v>1473</v>
      </c>
      <c r="E6712" s="8">
        <v>6440</v>
      </c>
      <c r="F6712" s="8">
        <v>54330</v>
      </c>
      <c r="G6712" s="8">
        <f t="shared" si="416"/>
        <v>349885200</v>
      </c>
      <c r="H6712" s="5">
        <v>0.1808</v>
      </c>
      <c r="I6712" s="8">
        <f t="shared" si="417"/>
        <v>349885200</v>
      </c>
      <c r="J6712" s="8">
        <f t="shared" si="418"/>
        <v>63259244.16</v>
      </c>
      <c r="K6712" t="str">
        <f t="shared" si="419"/>
        <v>MATCHED</v>
      </c>
    </row>
    <row r="6713" spans="1:11">
      <c r="A6713" t="s">
        <v>130</v>
      </c>
      <c r="B6713" t="s">
        <v>1878</v>
      </c>
      <c r="C6713" t="s">
        <v>1184</v>
      </c>
      <c r="D6713" t="s">
        <v>1185</v>
      </c>
      <c r="E6713" s="8">
        <v>1100</v>
      </c>
      <c r="F6713" s="8">
        <v>58580</v>
      </c>
      <c r="G6713" s="8">
        <f t="shared" si="416"/>
        <v>64438000</v>
      </c>
      <c r="H6713" s="5">
        <v>0.4167</v>
      </c>
      <c r="I6713" s="8">
        <f t="shared" si="417"/>
        <v>64438000</v>
      </c>
      <c r="J6713" s="8">
        <f t="shared" si="418"/>
        <v>26851314.6</v>
      </c>
      <c r="K6713" t="str">
        <f t="shared" si="419"/>
        <v>MATCHED</v>
      </c>
    </row>
    <row r="6714" spans="1:11">
      <c r="A6714" t="s">
        <v>130</v>
      </c>
      <c r="B6714" t="s">
        <v>1878</v>
      </c>
      <c r="C6714" t="s">
        <v>1573</v>
      </c>
      <c r="D6714" t="s">
        <v>1574</v>
      </c>
      <c r="E6714" s="8">
        <v>90</v>
      </c>
      <c r="F6714" s="8">
        <v>46600</v>
      </c>
      <c r="G6714" s="8">
        <f t="shared" si="416"/>
        <v>4194000</v>
      </c>
      <c r="H6714" s="5">
        <v>0.6329</v>
      </c>
      <c r="I6714" s="8">
        <f t="shared" si="417"/>
        <v>4194000</v>
      </c>
      <c r="J6714" s="8">
        <f t="shared" si="418"/>
        <v>2654382.6</v>
      </c>
      <c r="K6714" t="str">
        <f t="shared" si="419"/>
        <v>MATCHED</v>
      </c>
    </row>
    <row r="6715" spans="1:11">
      <c r="A6715" t="s">
        <v>130</v>
      </c>
      <c r="B6715" t="s">
        <v>1878</v>
      </c>
      <c r="C6715" t="s">
        <v>944</v>
      </c>
      <c r="D6715" t="s">
        <v>945</v>
      </c>
      <c r="E6715" s="8">
        <v>2570</v>
      </c>
      <c r="F6715" s="8">
        <v>60510</v>
      </c>
      <c r="G6715" s="8">
        <f t="shared" si="416"/>
        <v>155510700</v>
      </c>
      <c r="H6715" s="5">
        <v>0.5783</v>
      </c>
      <c r="I6715" s="8">
        <f t="shared" si="417"/>
        <v>155510700</v>
      </c>
      <c r="J6715" s="8">
        <f t="shared" si="418"/>
        <v>89931837.81</v>
      </c>
      <c r="K6715" t="str">
        <f t="shared" si="419"/>
        <v>MATCHED</v>
      </c>
    </row>
    <row r="6716" spans="1:11">
      <c r="A6716" t="s">
        <v>130</v>
      </c>
      <c r="B6716" t="s">
        <v>1878</v>
      </c>
      <c r="C6716" t="s">
        <v>1664</v>
      </c>
      <c r="D6716" t="s">
        <v>1665</v>
      </c>
      <c r="E6716" s="8">
        <v>1140</v>
      </c>
      <c r="F6716" s="8">
        <v>37080</v>
      </c>
      <c r="G6716" s="8">
        <f t="shared" si="416"/>
        <v>42271200</v>
      </c>
      <c r="H6716" s="5">
        <v>0.2083</v>
      </c>
      <c r="I6716" s="8">
        <f t="shared" si="417"/>
        <v>42271200</v>
      </c>
      <c r="J6716" s="8">
        <f t="shared" si="418"/>
        <v>8805090.96</v>
      </c>
      <c r="K6716" t="str">
        <f t="shared" si="419"/>
        <v>MATCHED</v>
      </c>
    </row>
    <row r="6717" spans="1:11">
      <c r="A6717" t="s">
        <v>130</v>
      </c>
      <c r="B6717" t="s">
        <v>1878</v>
      </c>
      <c r="C6717" t="s">
        <v>1427</v>
      </c>
      <c r="D6717" t="s">
        <v>1428</v>
      </c>
      <c r="E6717" s="8">
        <v>760</v>
      </c>
      <c r="F6717" s="8">
        <v>41000</v>
      </c>
      <c r="G6717" s="8">
        <f t="shared" si="416"/>
        <v>31160000</v>
      </c>
      <c r="H6717" s="5"/>
      <c r="I6717" s="8" t="str">
        <f t="shared" si="417"/>
        <v/>
      </c>
      <c r="J6717" s="8" t="str">
        <f t="shared" si="418"/>
        <v/>
      </c>
      <c r="K6717" t="str">
        <f t="shared" si="419"/>
        <v>MISSING WHARTON</v>
      </c>
    </row>
    <row r="6718" spans="1:11">
      <c r="A6718" t="s">
        <v>130</v>
      </c>
      <c r="B6718" t="s">
        <v>1878</v>
      </c>
      <c r="C6718" t="s">
        <v>946</v>
      </c>
      <c r="D6718" t="s">
        <v>947</v>
      </c>
      <c r="E6718" s="8"/>
      <c r="F6718" s="8">
        <v>103870</v>
      </c>
      <c r="G6718" s="8" t="str">
        <f t="shared" si="416"/>
        <v/>
      </c>
      <c r="H6718" s="5">
        <v>0.3688</v>
      </c>
      <c r="I6718" s="8" t="str">
        <f t="shared" si="417"/>
        <v/>
      </c>
      <c r="J6718" s="8" t="str">
        <f t="shared" si="418"/>
        <v/>
      </c>
      <c r="K6718" t="str">
        <f t="shared" si="419"/>
        <v>MISSING OEWS</v>
      </c>
    </row>
    <row r="6719" spans="1:11">
      <c r="A6719" t="s">
        <v>130</v>
      </c>
      <c r="B6719" t="s">
        <v>1878</v>
      </c>
      <c r="C6719" t="s">
        <v>1186</v>
      </c>
      <c r="D6719" t="s">
        <v>1187</v>
      </c>
      <c r="E6719" s="8">
        <v>1950</v>
      </c>
      <c r="F6719" s="8">
        <v>49310</v>
      </c>
      <c r="G6719" s="8">
        <f t="shared" si="416"/>
        <v>96154500</v>
      </c>
      <c r="H6719" s="5">
        <v>0.22</v>
      </c>
      <c r="I6719" s="8">
        <f t="shared" si="417"/>
        <v>96154500</v>
      </c>
      <c r="J6719" s="8">
        <f t="shared" si="418"/>
        <v>21153990</v>
      </c>
      <c r="K6719" t="str">
        <f t="shared" si="419"/>
        <v>MATCHED</v>
      </c>
    </row>
    <row r="6720" spans="1:11">
      <c r="A6720" t="s">
        <v>130</v>
      </c>
      <c r="B6720" t="s">
        <v>1878</v>
      </c>
      <c r="C6720" t="s">
        <v>948</v>
      </c>
      <c r="D6720" t="s">
        <v>949</v>
      </c>
      <c r="E6720" s="8">
        <v>4640</v>
      </c>
      <c r="F6720" s="8">
        <v>61310</v>
      </c>
      <c r="G6720" s="8">
        <f t="shared" si="416"/>
        <v>284478400</v>
      </c>
      <c r="H6720" s="5">
        <v>0.2281</v>
      </c>
      <c r="I6720" s="8">
        <f t="shared" si="417"/>
        <v>284478400</v>
      </c>
      <c r="J6720" s="8">
        <f t="shared" si="418"/>
        <v>64889523.04</v>
      </c>
      <c r="K6720" t="str">
        <f t="shared" si="419"/>
        <v>MATCHED</v>
      </c>
    </row>
    <row r="6721" spans="1:11">
      <c r="A6721" t="s">
        <v>130</v>
      </c>
      <c r="B6721" t="s">
        <v>1878</v>
      </c>
      <c r="C6721" t="s">
        <v>1188</v>
      </c>
      <c r="D6721" t="s">
        <v>1189</v>
      </c>
      <c r="E6721" s="8">
        <v>1950</v>
      </c>
      <c r="F6721" s="8">
        <v>102920</v>
      </c>
      <c r="G6721" s="8">
        <f t="shared" si="416"/>
        <v>200694000</v>
      </c>
      <c r="H6721" s="5">
        <v>0.7071</v>
      </c>
      <c r="I6721" s="8">
        <f t="shared" si="417"/>
        <v>200694000</v>
      </c>
      <c r="J6721" s="8">
        <f t="shared" si="418"/>
        <v>141910727.4</v>
      </c>
      <c r="K6721" t="str">
        <f t="shared" si="419"/>
        <v>MATCHED</v>
      </c>
    </row>
    <row r="6722" spans="1:11">
      <c r="A6722" t="s">
        <v>130</v>
      </c>
      <c r="B6722" t="s">
        <v>1878</v>
      </c>
      <c r="C6722" t="s">
        <v>950</v>
      </c>
      <c r="D6722" t="s">
        <v>951</v>
      </c>
      <c r="E6722" s="8">
        <v>250</v>
      </c>
      <c r="F6722" s="8">
        <v>57730</v>
      </c>
      <c r="G6722" s="8">
        <f t="shared" ref="G6722:G6785" si="420">IF(OR(E6722="",F6722=""),"",E6722*F6722)</f>
        <v>14432500</v>
      </c>
      <c r="H6722" s="5"/>
      <c r="I6722" s="8" t="str">
        <f t="shared" ref="I6722:I6785" si="421">IF(G6722="","",IF(ISNUMBER(H6722),G6722,""))</f>
        <v/>
      </c>
      <c r="J6722" s="8" t="str">
        <f t="shared" ref="J6722:J6785" si="422">IF(I6722="","",I6722*H6722)</f>
        <v/>
      </c>
      <c r="K6722" t="str">
        <f t="shared" ref="K6722:K6785" si="423">IF(G6722="","MISSING OEWS",IF(ISNUMBER(H6722),"MATCHED","MISSING WHARTON"))</f>
        <v>MISSING WHARTON</v>
      </c>
    </row>
    <row r="6723" spans="1:11">
      <c r="A6723" t="s">
        <v>130</v>
      </c>
      <c r="B6723" t="s">
        <v>1878</v>
      </c>
      <c r="C6723" t="s">
        <v>952</v>
      </c>
      <c r="D6723" t="s">
        <v>953</v>
      </c>
      <c r="E6723" s="8"/>
      <c r="F6723" s="8">
        <v>99830</v>
      </c>
      <c r="G6723" s="8" t="str">
        <f t="shared" si="420"/>
        <v/>
      </c>
      <c r="H6723" s="5">
        <v>0.3029</v>
      </c>
      <c r="I6723" s="8" t="str">
        <f t="shared" si="421"/>
        <v/>
      </c>
      <c r="J6723" s="8" t="str">
        <f t="shared" si="422"/>
        <v/>
      </c>
      <c r="K6723" t="str">
        <f t="shared" si="423"/>
        <v>MISSING OEWS</v>
      </c>
    </row>
    <row r="6724" spans="1:11">
      <c r="A6724" t="s">
        <v>130</v>
      </c>
      <c r="B6724" t="s">
        <v>1878</v>
      </c>
      <c r="C6724" t="s">
        <v>1190</v>
      </c>
      <c r="D6724" t="s">
        <v>1191</v>
      </c>
      <c r="E6724" s="8">
        <v>440</v>
      </c>
      <c r="F6724" s="8">
        <v>62040</v>
      </c>
      <c r="G6724" s="8">
        <f t="shared" si="420"/>
        <v>27297600</v>
      </c>
      <c r="H6724" s="5">
        <v>0.1875</v>
      </c>
      <c r="I6724" s="8">
        <f t="shared" si="421"/>
        <v>27297600</v>
      </c>
      <c r="J6724" s="8">
        <f t="shared" si="422"/>
        <v>5118300</v>
      </c>
      <c r="K6724" t="str">
        <f t="shared" si="423"/>
        <v>MATCHED</v>
      </c>
    </row>
    <row r="6725" spans="1:11">
      <c r="A6725" t="s">
        <v>130</v>
      </c>
      <c r="B6725" t="s">
        <v>1878</v>
      </c>
      <c r="C6725" t="s">
        <v>1192</v>
      </c>
      <c r="D6725" t="s">
        <v>1193</v>
      </c>
      <c r="E6725" s="8">
        <v>210</v>
      </c>
      <c r="F6725" s="8">
        <v>47330</v>
      </c>
      <c r="G6725" s="8">
        <f t="shared" si="420"/>
        <v>9939300</v>
      </c>
      <c r="H6725" s="5">
        <v>0.1188</v>
      </c>
      <c r="I6725" s="8">
        <f t="shared" si="421"/>
        <v>9939300</v>
      </c>
      <c r="J6725" s="8">
        <f t="shared" si="422"/>
        <v>1180788.84</v>
      </c>
      <c r="K6725" t="str">
        <f t="shared" si="423"/>
        <v>MATCHED</v>
      </c>
    </row>
    <row r="6726" spans="1:11">
      <c r="A6726" t="s">
        <v>130</v>
      </c>
      <c r="B6726" t="s">
        <v>1878</v>
      </c>
      <c r="C6726" t="s">
        <v>858</v>
      </c>
      <c r="D6726" t="s">
        <v>859</v>
      </c>
      <c r="E6726" s="8">
        <v>4610</v>
      </c>
      <c r="F6726" s="8">
        <v>65460</v>
      </c>
      <c r="G6726" s="8">
        <f t="shared" si="420"/>
        <v>301770600</v>
      </c>
      <c r="H6726" s="5">
        <v>0.7375</v>
      </c>
      <c r="I6726" s="8">
        <f t="shared" si="421"/>
        <v>301770600</v>
      </c>
      <c r="J6726" s="8">
        <f t="shared" si="422"/>
        <v>222555817.5</v>
      </c>
      <c r="K6726" t="str">
        <f t="shared" si="423"/>
        <v>MATCHED</v>
      </c>
    </row>
    <row r="6727" spans="1:11">
      <c r="A6727" t="s">
        <v>130</v>
      </c>
      <c r="B6727" t="s">
        <v>1878</v>
      </c>
      <c r="C6727" t="s">
        <v>954</v>
      </c>
      <c r="D6727" t="s">
        <v>955</v>
      </c>
      <c r="E6727" s="8">
        <v>70</v>
      </c>
      <c r="F6727" s="8">
        <v>82540</v>
      </c>
      <c r="G6727" s="8">
        <f t="shared" si="420"/>
        <v>5777800</v>
      </c>
      <c r="H6727" s="5">
        <v>0.3133</v>
      </c>
      <c r="I6727" s="8">
        <f t="shared" si="421"/>
        <v>5777800</v>
      </c>
      <c r="J6727" s="8">
        <f t="shared" si="422"/>
        <v>1810184.74</v>
      </c>
      <c r="K6727" t="str">
        <f t="shared" si="423"/>
        <v>MATCHED</v>
      </c>
    </row>
    <row r="6728" spans="1:11">
      <c r="A6728" t="s">
        <v>130</v>
      </c>
      <c r="B6728" t="s">
        <v>1878</v>
      </c>
      <c r="C6728" t="s">
        <v>956</v>
      </c>
      <c r="D6728" t="s">
        <v>957</v>
      </c>
      <c r="E6728" s="8">
        <v>380</v>
      </c>
      <c r="F6728" s="8">
        <v>41490</v>
      </c>
      <c r="G6728" s="8">
        <f t="shared" si="420"/>
        <v>15766200</v>
      </c>
      <c r="H6728" s="5">
        <v>0.038</v>
      </c>
      <c r="I6728" s="8">
        <f t="shared" si="421"/>
        <v>15766200</v>
      </c>
      <c r="J6728" s="8">
        <f t="shared" si="422"/>
        <v>599115.6</v>
      </c>
      <c r="K6728" t="str">
        <f t="shared" si="423"/>
        <v>MATCHED</v>
      </c>
    </row>
    <row r="6729" spans="1:11">
      <c r="A6729" t="s">
        <v>130</v>
      </c>
      <c r="B6729" t="s">
        <v>1878</v>
      </c>
      <c r="C6729" t="s">
        <v>1194</v>
      </c>
      <c r="D6729" t="s">
        <v>1195</v>
      </c>
      <c r="E6729" s="8">
        <v>4340</v>
      </c>
      <c r="F6729" s="8">
        <v>71820</v>
      </c>
      <c r="G6729" s="8">
        <f t="shared" si="420"/>
        <v>311698800</v>
      </c>
      <c r="H6729" s="5">
        <v>0.2167</v>
      </c>
      <c r="I6729" s="8">
        <f t="shared" si="421"/>
        <v>311698800</v>
      </c>
      <c r="J6729" s="8">
        <f t="shared" si="422"/>
        <v>67545129.96</v>
      </c>
      <c r="K6729" t="str">
        <f t="shared" si="423"/>
        <v>MATCHED</v>
      </c>
    </row>
    <row r="6730" spans="1:11">
      <c r="A6730" t="s">
        <v>130</v>
      </c>
      <c r="B6730" t="s">
        <v>1878</v>
      </c>
      <c r="C6730" t="s">
        <v>958</v>
      </c>
      <c r="D6730" t="s">
        <v>959</v>
      </c>
      <c r="E6730" s="8">
        <v>490</v>
      </c>
      <c r="F6730" s="8">
        <v>68340</v>
      </c>
      <c r="G6730" s="8">
        <f t="shared" si="420"/>
        <v>33486600</v>
      </c>
      <c r="H6730" s="5"/>
      <c r="I6730" s="8" t="str">
        <f t="shared" si="421"/>
        <v/>
      </c>
      <c r="J6730" s="8" t="str">
        <f t="shared" si="422"/>
        <v/>
      </c>
      <c r="K6730" t="str">
        <f t="shared" si="423"/>
        <v>MISSING WHARTON</v>
      </c>
    </row>
    <row r="6731" spans="1:11">
      <c r="A6731" t="s">
        <v>130</v>
      </c>
      <c r="B6731" t="s">
        <v>1878</v>
      </c>
      <c r="C6731" t="s">
        <v>1474</v>
      </c>
      <c r="D6731" t="s">
        <v>1475</v>
      </c>
      <c r="E6731" s="8">
        <v>25610</v>
      </c>
      <c r="F6731" s="8"/>
      <c r="G6731" s="8" t="str">
        <f t="shared" si="420"/>
        <v/>
      </c>
      <c r="H6731" s="5">
        <v>0.1</v>
      </c>
      <c r="I6731" s="8" t="str">
        <f t="shared" si="421"/>
        <v/>
      </c>
      <c r="J6731" s="8" t="str">
        <f t="shared" si="422"/>
        <v/>
      </c>
      <c r="K6731" t="str">
        <f t="shared" si="423"/>
        <v>MISSING OEWS</v>
      </c>
    </row>
    <row r="6732" spans="1:11">
      <c r="A6732" t="s">
        <v>130</v>
      </c>
      <c r="B6732" t="s">
        <v>1878</v>
      </c>
      <c r="C6732" t="s">
        <v>960</v>
      </c>
      <c r="D6732" t="s">
        <v>961</v>
      </c>
      <c r="E6732" s="8">
        <v>17790</v>
      </c>
      <c r="F6732" s="8">
        <v>88820</v>
      </c>
      <c r="G6732" s="8">
        <f t="shared" si="420"/>
        <v>1580107800</v>
      </c>
      <c r="H6732" s="5">
        <v>0.3463</v>
      </c>
      <c r="I6732" s="8">
        <f t="shared" si="421"/>
        <v>1580107800</v>
      </c>
      <c r="J6732" s="8">
        <f t="shared" si="422"/>
        <v>547191331.14</v>
      </c>
      <c r="K6732" t="str">
        <f t="shared" si="423"/>
        <v>MATCHED</v>
      </c>
    </row>
    <row r="6733" spans="1:11">
      <c r="A6733" t="s">
        <v>130</v>
      </c>
      <c r="B6733" t="s">
        <v>1878</v>
      </c>
      <c r="C6733" t="s">
        <v>1879</v>
      </c>
      <c r="D6733" t="s">
        <v>1880</v>
      </c>
      <c r="E6733" s="8">
        <v>14750</v>
      </c>
      <c r="F6733" s="8">
        <v>208920</v>
      </c>
      <c r="G6733" s="8">
        <f t="shared" si="420"/>
        <v>3081570000</v>
      </c>
      <c r="H6733" s="5">
        <v>0</v>
      </c>
      <c r="I6733" s="8">
        <f t="shared" si="421"/>
        <v>3081570000</v>
      </c>
      <c r="J6733" s="8">
        <f t="shared" si="422"/>
        <v>0</v>
      </c>
      <c r="K6733" t="str">
        <f t="shared" si="423"/>
        <v>MATCHED</v>
      </c>
    </row>
    <row r="6734" spans="1:11">
      <c r="A6734" t="s">
        <v>130</v>
      </c>
      <c r="B6734" t="s">
        <v>1878</v>
      </c>
      <c r="C6734" t="s">
        <v>1476</v>
      </c>
      <c r="D6734" t="s">
        <v>1477</v>
      </c>
      <c r="E6734" s="8">
        <v>64620</v>
      </c>
      <c r="F6734" s="8">
        <v>66010</v>
      </c>
      <c r="G6734" s="8">
        <f t="shared" si="420"/>
        <v>4265566200</v>
      </c>
      <c r="H6734" s="5">
        <v>0.2018</v>
      </c>
      <c r="I6734" s="8">
        <f t="shared" si="421"/>
        <v>4265566200</v>
      </c>
      <c r="J6734" s="8">
        <f t="shared" si="422"/>
        <v>860791259.16</v>
      </c>
      <c r="K6734" t="str">
        <f t="shared" si="423"/>
        <v>MATCHED</v>
      </c>
    </row>
    <row r="6735" spans="1:11">
      <c r="A6735" t="s">
        <v>130</v>
      </c>
      <c r="B6735" t="s">
        <v>1878</v>
      </c>
      <c r="C6735" t="s">
        <v>1851</v>
      </c>
      <c r="D6735" t="s">
        <v>1852</v>
      </c>
      <c r="E6735" s="8">
        <v>6420</v>
      </c>
      <c r="F6735" s="8">
        <v>51480</v>
      </c>
      <c r="G6735" s="8">
        <f t="shared" si="420"/>
        <v>330501600</v>
      </c>
      <c r="H6735" s="5">
        <v>0.4</v>
      </c>
      <c r="I6735" s="8">
        <f t="shared" si="421"/>
        <v>330501600</v>
      </c>
      <c r="J6735" s="8">
        <f t="shared" si="422"/>
        <v>132200640</v>
      </c>
      <c r="K6735" t="str">
        <f t="shared" si="423"/>
        <v>MATCHED</v>
      </c>
    </row>
    <row r="6736" spans="1:11">
      <c r="A6736" t="s">
        <v>130</v>
      </c>
      <c r="B6736" t="s">
        <v>1878</v>
      </c>
      <c r="C6736" t="s">
        <v>1575</v>
      </c>
      <c r="D6736" t="s">
        <v>1576</v>
      </c>
      <c r="E6736" s="8">
        <v>5090</v>
      </c>
      <c r="F6736" s="8"/>
      <c r="G6736" s="8" t="str">
        <f t="shared" si="420"/>
        <v/>
      </c>
      <c r="H6736" s="5">
        <v>0</v>
      </c>
      <c r="I6736" s="8" t="str">
        <f t="shared" si="421"/>
        <v/>
      </c>
      <c r="J6736" s="8" t="str">
        <f t="shared" si="422"/>
        <v/>
      </c>
      <c r="K6736" t="str">
        <f t="shared" si="423"/>
        <v>MISSING OEWS</v>
      </c>
    </row>
    <row r="6737" spans="1:11">
      <c r="A6737" t="s">
        <v>130</v>
      </c>
      <c r="B6737" t="s">
        <v>1878</v>
      </c>
      <c r="C6737" t="s">
        <v>1853</v>
      </c>
      <c r="D6737" t="s">
        <v>1854</v>
      </c>
      <c r="E6737" s="8">
        <v>1380</v>
      </c>
      <c r="F6737" s="8">
        <v>90550</v>
      </c>
      <c r="G6737" s="8">
        <f t="shared" si="420"/>
        <v>124959000</v>
      </c>
      <c r="H6737" s="5">
        <v>0</v>
      </c>
      <c r="I6737" s="8">
        <f t="shared" si="421"/>
        <v>124959000</v>
      </c>
      <c r="J6737" s="8">
        <f t="shared" si="422"/>
        <v>0</v>
      </c>
      <c r="K6737" t="str">
        <f t="shared" si="423"/>
        <v>MATCHED</v>
      </c>
    </row>
    <row r="6738" spans="1:11">
      <c r="A6738" t="s">
        <v>130</v>
      </c>
      <c r="B6738" t="s">
        <v>1878</v>
      </c>
      <c r="C6738" t="s">
        <v>1577</v>
      </c>
      <c r="D6738" t="s">
        <v>1578</v>
      </c>
      <c r="E6738" s="8">
        <v>5360</v>
      </c>
      <c r="F6738" s="8">
        <v>92730</v>
      </c>
      <c r="G6738" s="8">
        <f t="shared" si="420"/>
        <v>497032800</v>
      </c>
      <c r="H6738" s="5">
        <v>0.5433</v>
      </c>
      <c r="I6738" s="8">
        <f t="shared" si="421"/>
        <v>497032800</v>
      </c>
      <c r="J6738" s="8">
        <f t="shared" si="422"/>
        <v>270037920.24</v>
      </c>
      <c r="K6738" t="str">
        <f t="shared" si="423"/>
        <v>MATCHED</v>
      </c>
    </row>
    <row r="6739" spans="1:11">
      <c r="A6739" t="s">
        <v>130</v>
      </c>
      <c r="B6739" t="s">
        <v>1878</v>
      </c>
      <c r="C6739" t="s">
        <v>1478</v>
      </c>
      <c r="D6739" t="s">
        <v>1479</v>
      </c>
      <c r="E6739" s="8">
        <v>21840</v>
      </c>
      <c r="F6739" s="8"/>
      <c r="G6739" s="8" t="str">
        <f t="shared" si="420"/>
        <v/>
      </c>
      <c r="H6739" s="5">
        <v>0.1733</v>
      </c>
      <c r="I6739" s="8" t="str">
        <f t="shared" si="421"/>
        <v/>
      </c>
      <c r="J6739" s="8" t="str">
        <f t="shared" si="422"/>
        <v/>
      </c>
      <c r="K6739" t="str">
        <f t="shared" si="423"/>
        <v>MISSING OEWS</v>
      </c>
    </row>
    <row r="6740" spans="1:11">
      <c r="A6740" t="s">
        <v>130</v>
      </c>
      <c r="B6740" t="s">
        <v>1878</v>
      </c>
      <c r="C6740" t="s">
        <v>1579</v>
      </c>
      <c r="D6740" t="s">
        <v>1580</v>
      </c>
      <c r="E6740" s="8">
        <v>4630</v>
      </c>
      <c r="F6740" s="8"/>
      <c r="G6740" s="8" t="str">
        <f t="shared" si="420"/>
        <v/>
      </c>
      <c r="H6740" s="5">
        <v>0.4868</v>
      </c>
      <c r="I6740" s="8" t="str">
        <f t="shared" si="421"/>
        <v/>
      </c>
      <c r="J6740" s="8" t="str">
        <f t="shared" si="422"/>
        <v/>
      </c>
      <c r="K6740" t="str">
        <f t="shared" si="423"/>
        <v>MISSING OEWS</v>
      </c>
    </row>
    <row r="6741" spans="1:11">
      <c r="A6741" t="s">
        <v>130</v>
      </c>
      <c r="B6741" t="s">
        <v>1878</v>
      </c>
      <c r="C6741" t="s">
        <v>1196</v>
      </c>
      <c r="D6741" t="s">
        <v>1197</v>
      </c>
      <c r="E6741" s="8">
        <v>11250</v>
      </c>
      <c r="F6741" s="8"/>
      <c r="G6741" s="8" t="str">
        <f t="shared" si="420"/>
        <v/>
      </c>
      <c r="H6741" s="5"/>
      <c r="I6741" s="8" t="str">
        <f t="shared" si="421"/>
        <v/>
      </c>
      <c r="J6741" s="8" t="str">
        <f t="shared" si="422"/>
        <v/>
      </c>
      <c r="K6741" t="str">
        <f t="shared" si="423"/>
        <v>MISSING OEWS</v>
      </c>
    </row>
    <row r="6742" spans="1:11">
      <c r="A6742" t="s">
        <v>130</v>
      </c>
      <c r="B6742" t="s">
        <v>1878</v>
      </c>
      <c r="C6742" t="s">
        <v>1480</v>
      </c>
      <c r="D6742" t="s">
        <v>1481</v>
      </c>
      <c r="E6742" s="8">
        <v>1470</v>
      </c>
      <c r="F6742" s="8">
        <v>111820</v>
      </c>
      <c r="G6742" s="8">
        <f t="shared" si="420"/>
        <v>164375400</v>
      </c>
      <c r="H6742" s="5">
        <v>0.7021</v>
      </c>
      <c r="I6742" s="8">
        <f t="shared" si="421"/>
        <v>164375400</v>
      </c>
      <c r="J6742" s="8">
        <f t="shared" si="422"/>
        <v>115407968.34</v>
      </c>
      <c r="K6742" t="str">
        <f t="shared" si="423"/>
        <v>MATCHED</v>
      </c>
    </row>
    <row r="6743" spans="1:11">
      <c r="A6743" t="s">
        <v>130</v>
      </c>
      <c r="B6743" t="s">
        <v>1878</v>
      </c>
      <c r="C6743" t="s">
        <v>1198</v>
      </c>
      <c r="D6743" t="s">
        <v>1199</v>
      </c>
      <c r="E6743" s="8">
        <v>130</v>
      </c>
      <c r="F6743" s="8">
        <v>96160</v>
      </c>
      <c r="G6743" s="8">
        <f t="shared" si="420"/>
        <v>12500800</v>
      </c>
      <c r="H6743" s="5">
        <v>0.71</v>
      </c>
      <c r="I6743" s="8">
        <f t="shared" si="421"/>
        <v>12500800</v>
      </c>
      <c r="J6743" s="8">
        <f t="shared" si="422"/>
        <v>8875568</v>
      </c>
      <c r="K6743" t="str">
        <f t="shared" si="423"/>
        <v>MATCHED</v>
      </c>
    </row>
    <row r="6744" spans="1:11">
      <c r="A6744" t="s">
        <v>130</v>
      </c>
      <c r="B6744" t="s">
        <v>1878</v>
      </c>
      <c r="C6744" t="s">
        <v>323</v>
      </c>
      <c r="D6744" t="s">
        <v>324</v>
      </c>
      <c r="E6744" s="8">
        <v>10200</v>
      </c>
      <c r="F6744" s="8">
        <v>60140</v>
      </c>
      <c r="G6744" s="8">
        <f t="shared" si="420"/>
        <v>613428000</v>
      </c>
      <c r="H6744" s="5">
        <v>0.575</v>
      </c>
      <c r="I6744" s="8">
        <f t="shared" si="421"/>
        <v>613428000</v>
      </c>
      <c r="J6744" s="8">
        <f t="shared" si="422"/>
        <v>352721100</v>
      </c>
      <c r="K6744" t="str">
        <f t="shared" si="423"/>
        <v>MATCHED</v>
      </c>
    </row>
    <row r="6745" spans="1:11">
      <c r="A6745" t="s">
        <v>130</v>
      </c>
      <c r="B6745" t="s">
        <v>1878</v>
      </c>
      <c r="C6745" t="s">
        <v>1200</v>
      </c>
      <c r="D6745" t="s">
        <v>1201</v>
      </c>
      <c r="E6745" s="8">
        <v>1290</v>
      </c>
      <c r="F6745" s="8">
        <v>83830</v>
      </c>
      <c r="G6745" s="8">
        <f t="shared" si="420"/>
        <v>108140700</v>
      </c>
      <c r="H6745" s="5">
        <v>0.6643</v>
      </c>
      <c r="I6745" s="8">
        <f t="shared" si="421"/>
        <v>108140700</v>
      </c>
      <c r="J6745" s="8">
        <f t="shared" si="422"/>
        <v>71837867.01</v>
      </c>
      <c r="K6745" t="str">
        <f t="shared" si="423"/>
        <v>MATCHED</v>
      </c>
    </row>
    <row r="6746" spans="1:11">
      <c r="A6746" t="s">
        <v>130</v>
      </c>
      <c r="B6746" t="s">
        <v>1878</v>
      </c>
      <c r="C6746" t="s">
        <v>636</v>
      </c>
      <c r="D6746" t="s">
        <v>637</v>
      </c>
      <c r="E6746" s="8">
        <v>290</v>
      </c>
      <c r="F6746" s="8">
        <v>104400</v>
      </c>
      <c r="G6746" s="8">
        <f t="shared" si="420"/>
        <v>30276000</v>
      </c>
      <c r="H6746" s="5">
        <v>0.71</v>
      </c>
      <c r="I6746" s="8">
        <f t="shared" si="421"/>
        <v>30276000</v>
      </c>
      <c r="J6746" s="8">
        <f t="shared" si="422"/>
        <v>21495960</v>
      </c>
      <c r="K6746" t="str">
        <f t="shared" si="423"/>
        <v>MATCHED</v>
      </c>
    </row>
    <row r="6747" spans="1:11">
      <c r="A6747" t="s">
        <v>130</v>
      </c>
      <c r="B6747" t="s">
        <v>1878</v>
      </c>
      <c r="C6747" t="s">
        <v>860</v>
      </c>
      <c r="D6747" t="s">
        <v>861</v>
      </c>
      <c r="E6747" s="8">
        <v>7480</v>
      </c>
      <c r="F6747" s="8">
        <v>69890</v>
      </c>
      <c r="G6747" s="8">
        <f t="shared" si="420"/>
        <v>522777200</v>
      </c>
      <c r="H6747" s="5">
        <v>0.7744</v>
      </c>
      <c r="I6747" s="8">
        <f t="shared" si="421"/>
        <v>522777200</v>
      </c>
      <c r="J6747" s="8">
        <f t="shared" si="422"/>
        <v>404838663.68</v>
      </c>
      <c r="K6747" t="str">
        <f t="shared" si="423"/>
        <v>MATCHED</v>
      </c>
    </row>
    <row r="6748" spans="1:11">
      <c r="A6748" t="s">
        <v>130</v>
      </c>
      <c r="B6748" t="s">
        <v>1878</v>
      </c>
      <c r="C6748" t="s">
        <v>1202</v>
      </c>
      <c r="D6748" t="s">
        <v>1203</v>
      </c>
      <c r="E6748" s="8">
        <v>290</v>
      </c>
      <c r="F6748" s="8">
        <v>51020</v>
      </c>
      <c r="G6748" s="8">
        <f t="shared" si="420"/>
        <v>14795800</v>
      </c>
      <c r="H6748" s="5">
        <v>0.6294</v>
      </c>
      <c r="I6748" s="8">
        <f t="shared" si="421"/>
        <v>14795800</v>
      </c>
      <c r="J6748" s="8">
        <f t="shared" si="422"/>
        <v>9312476.52</v>
      </c>
      <c r="K6748" t="str">
        <f t="shared" si="423"/>
        <v>MATCHED</v>
      </c>
    </row>
    <row r="6749" spans="1:11">
      <c r="A6749" t="s">
        <v>130</v>
      </c>
      <c r="B6749" t="s">
        <v>1878</v>
      </c>
      <c r="C6749" t="s">
        <v>1204</v>
      </c>
      <c r="D6749" t="s">
        <v>1205</v>
      </c>
      <c r="E6749" s="8">
        <v>1180</v>
      </c>
      <c r="F6749" s="8">
        <v>57920</v>
      </c>
      <c r="G6749" s="8">
        <f t="shared" si="420"/>
        <v>68345600</v>
      </c>
      <c r="H6749" s="5"/>
      <c r="I6749" s="8" t="str">
        <f t="shared" si="421"/>
        <v/>
      </c>
      <c r="J6749" s="8" t="str">
        <f t="shared" si="422"/>
        <v/>
      </c>
      <c r="K6749" t="str">
        <f t="shared" si="423"/>
        <v>MISSING WHARTON</v>
      </c>
    </row>
    <row r="6750" spans="1:11">
      <c r="A6750" t="s">
        <v>130</v>
      </c>
      <c r="B6750" t="s">
        <v>1878</v>
      </c>
      <c r="C6750" t="s">
        <v>962</v>
      </c>
      <c r="D6750" t="s">
        <v>963</v>
      </c>
      <c r="E6750" s="8">
        <v>13020</v>
      </c>
      <c r="F6750" s="8">
        <v>58310</v>
      </c>
      <c r="G6750" s="8">
        <f t="shared" si="420"/>
        <v>759196200</v>
      </c>
      <c r="H6750" s="5">
        <v>0.5483</v>
      </c>
      <c r="I6750" s="8">
        <f t="shared" si="421"/>
        <v>759196200</v>
      </c>
      <c r="J6750" s="8">
        <f t="shared" si="422"/>
        <v>416267276.46</v>
      </c>
      <c r="K6750" t="str">
        <f t="shared" si="423"/>
        <v>MATCHED</v>
      </c>
    </row>
    <row r="6751" spans="1:11">
      <c r="A6751" t="s">
        <v>130</v>
      </c>
      <c r="B6751" t="s">
        <v>1878</v>
      </c>
      <c r="C6751" t="s">
        <v>1429</v>
      </c>
      <c r="D6751" t="s">
        <v>1430</v>
      </c>
      <c r="E6751" s="8">
        <v>1240</v>
      </c>
      <c r="F6751" s="8">
        <v>80520</v>
      </c>
      <c r="G6751" s="8">
        <f t="shared" si="420"/>
        <v>99844800</v>
      </c>
      <c r="H6751" s="5">
        <v>0.6138</v>
      </c>
      <c r="I6751" s="8">
        <f t="shared" si="421"/>
        <v>99844800</v>
      </c>
      <c r="J6751" s="8">
        <f t="shared" si="422"/>
        <v>61284738.24</v>
      </c>
      <c r="K6751" t="str">
        <f t="shared" si="423"/>
        <v>MATCHED</v>
      </c>
    </row>
    <row r="6752" spans="1:11">
      <c r="A6752" t="s">
        <v>130</v>
      </c>
      <c r="B6752" t="s">
        <v>1878</v>
      </c>
      <c r="C6752" t="s">
        <v>964</v>
      </c>
      <c r="D6752" t="s">
        <v>965</v>
      </c>
      <c r="E6752" s="8"/>
      <c r="F6752" s="8">
        <v>76090</v>
      </c>
      <c r="G6752" s="8" t="str">
        <f t="shared" si="420"/>
        <v/>
      </c>
      <c r="H6752" s="5">
        <v>0.5607</v>
      </c>
      <c r="I6752" s="8" t="str">
        <f t="shared" si="421"/>
        <v/>
      </c>
      <c r="J6752" s="8" t="str">
        <f t="shared" si="422"/>
        <v/>
      </c>
      <c r="K6752" t="str">
        <f t="shared" si="423"/>
        <v>MISSING OEWS</v>
      </c>
    </row>
    <row r="6753" spans="1:11">
      <c r="A6753" t="s">
        <v>130</v>
      </c>
      <c r="B6753" t="s">
        <v>1878</v>
      </c>
      <c r="C6753" t="s">
        <v>966</v>
      </c>
      <c r="D6753" t="s">
        <v>967</v>
      </c>
      <c r="E6753" s="8">
        <v>2270</v>
      </c>
      <c r="F6753" s="8">
        <v>65020</v>
      </c>
      <c r="G6753" s="8">
        <f t="shared" si="420"/>
        <v>147595400</v>
      </c>
      <c r="H6753" s="5">
        <v>0.0594</v>
      </c>
      <c r="I6753" s="8">
        <f t="shared" si="421"/>
        <v>147595400</v>
      </c>
      <c r="J6753" s="8">
        <f t="shared" si="422"/>
        <v>8767166.76</v>
      </c>
      <c r="K6753" t="str">
        <f t="shared" si="423"/>
        <v>MATCHED</v>
      </c>
    </row>
    <row r="6754" spans="1:11">
      <c r="A6754" t="s">
        <v>130</v>
      </c>
      <c r="B6754" t="s">
        <v>1878</v>
      </c>
      <c r="C6754" t="s">
        <v>968</v>
      </c>
      <c r="D6754" t="s">
        <v>969</v>
      </c>
      <c r="E6754" s="8">
        <v>3880</v>
      </c>
      <c r="F6754" s="8">
        <v>46320</v>
      </c>
      <c r="G6754" s="8">
        <f t="shared" si="420"/>
        <v>179721600</v>
      </c>
      <c r="H6754" s="5">
        <v>0.3207</v>
      </c>
      <c r="I6754" s="8">
        <f t="shared" si="421"/>
        <v>179721600</v>
      </c>
      <c r="J6754" s="8">
        <f t="shared" si="422"/>
        <v>57636717.12</v>
      </c>
      <c r="K6754" t="str">
        <f t="shared" si="423"/>
        <v>MATCHED</v>
      </c>
    </row>
    <row r="6755" spans="1:11">
      <c r="A6755" t="s">
        <v>130</v>
      </c>
      <c r="B6755" t="s">
        <v>1878</v>
      </c>
      <c r="C6755" t="s">
        <v>970</v>
      </c>
      <c r="D6755" t="s">
        <v>971</v>
      </c>
      <c r="E6755" s="8">
        <v>1310</v>
      </c>
      <c r="F6755" s="8">
        <v>63530</v>
      </c>
      <c r="G6755" s="8">
        <f t="shared" si="420"/>
        <v>83224300</v>
      </c>
      <c r="H6755" s="5">
        <v>0.3458</v>
      </c>
      <c r="I6755" s="8">
        <f t="shared" si="421"/>
        <v>83224300</v>
      </c>
      <c r="J6755" s="8">
        <f t="shared" si="422"/>
        <v>28778962.94</v>
      </c>
      <c r="K6755" t="str">
        <f t="shared" si="423"/>
        <v>MATCHED</v>
      </c>
    </row>
    <row r="6756" spans="1:11">
      <c r="A6756" t="s">
        <v>130</v>
      </c>
      <c r="B6756" t="s">
        <v>1878</v>
      </c>
      <c r="C6756" t="s">
        <v>1206</v>
      </c>
      <c r="D6756" t="s">
        <v>1207</v>
      </c>
      <c r="E6756" s="8">
        <v>1000</v>
      </c>
      <c r="F6756" s="8">
        <v>69750</v>
      </c>
      <c r="G6756" s="8">
        <f t="shared" si="420"/>
        <v>69750000</v>
      </c>
      <c r="H6756" s="5">
        <v>0.6065</v>
      </c>
      <c r="I6756" s="8">
        <f t="shared" si="421"/>
        <v>69750000</v>
      </c>
      <c r="J6756" s="8">
        <f t="shared" si="422"/>
        <v>42303375</v>
      </c>
      <c r="K6756" t="str">
        <f t="shared" si="423"/>
        <v>MATCHED</v>
      </c>
    </row>
    <row r="6757" spans="1:11">
      <c r="A6757" t="s">
        <v>130</v>
      </c>
      <c r="B6757" t="s">
        <v>1878</v>
      </c>
      <c r="C6757" t="s">
        <v>1519</v>
      </c>
      <c r="D6757" t="s">
        <v>1520</v>
      </c>
      <c r="E6757" s="8">
        <v>1680</v>
      </c>
      <c r="F6757" s="8">
        <v>57270</v>
      </c>
      <c r="G6757" s="8">
        <f t="shared" si="420"/>
        <v>96213600</v>
      </c>
      <c r="H6757" s="5"/>
      <c r="I6757" s="8" t="str">
        <f t="shared" si="421"/>
        <v/>
      </c>
      <c r="J6757" s="8" t="str">
        <f t="shared" si="422"/>
        <v/>
      </c>
      <c r="K6757" t="str">
        <f t="shared" si="423"/>
        <v>MISSING WHARTON</v>
      </c>
    </row>
    <row r="6758" spans="1:11">
      <c r="A6758" t="s">
        <v>130</v>
      </c>
      <c r="B6758" t="s">
        <v>1878</v>
      </c>
      <c r="C6758" t="s">
        <v>1212</v>
      </c>
      <c r="D6758" t="s">
        <v>1213</v>
      </c>
      <c r="E6758" s="8">
        <v>560</v>
      </c>
      <c r="F6758" s="8">
        <v>67850</v>
      </c>
      <c r="G6758" s="8">
        <f t="shared" si="420"/>
        <v>37996000</v>
      </c>
      <c r="H6758" s="5">
        <v>0.4679</v>
      </c>
      <c r="I6758" s="8">
        <f t="shared" si="421"/>
        <v>37996000</v>
      </c>
      <c r="J6758" s="8">
        <f t="shared" si="422"/>
        <v>17778328.4</v>
      </c>
      <c r="K6758" t="str">
        <f t="shared" si="423"/>
        <v>MATCHED</v>
      </c>
    </row>
    <row r="6759" spans="1:11">
      <c r="A6759" t="s">
        <v>130</v>
      </c>
      <c r="B6759" t="s">
        <v>1878</v>
      </c>
      <c r="C6759" t="s">
        <v>1583</v>
      </c>
      <c r="D6759" t="s">
        <v>1584</v>
      </c>
      <c r="E6759" s="8">
        <v>520</v>
      </c>
      <c r="F6759" s="8">
        <v>106840</v>
      </c>
      <c r="G6759" s="8">
        <f t="shared" si="420"/>
        <v>55556800</v>
      </c>
      <c r="H6759" s="5">
        <v>0.1958</v>
      </c>
      <c r="I6759" s="8">
        <f t="shared" si="421"/>
        <v>55556800</v>
      </c>
      <c r="J6759" s="8">
        <f t="shared" si="422"/>
        <v>10878021.44</v>
      </c>
      <c r="K6759" t="str">
        <f t="shared" si="423"/>
        <v>MATCHED</v>
      </c>
    </row>
    <row r="6760" spans="1:11">
      <c r="A6760" t="s">
        <v>130</v>
      </c>
      <c r="B6760" t="s">
        <v>1878</v>
      </c>
      <c r="C6760" t="s">
        <v>1670</v>
      </c>
      <c r="D6760" t="s">
        <v>1671</v>
      </c>
      <c r="E6760" s="8">
        <v>110</v>
      </c>
      <c r="F6760" s="8">
        <v>79790</v>
      </c>
      <c r="G6760" s="8">
        <f t="shared" si="420"/>
        <v>8776900</v>
      </c>
      <c r="H6760" s="5">
        <v>0.14</v>
      </c>
      <c r="I6760" s="8">
        <f t="shared" si="421"/>
        <v>8776900</v>
      </c>
      <c r="J6760" s="8">
        <f t="shared" si="422"/>
        <v>1228766</v>
      </c>
      <c r="K6760" t="str">
        <f t="shared" si="423"/>
        <v>MATCHED</v>
      </c>
    </row>
    <row r="6761" spans="1:11">
      <c r="A6761" t="s">
        <v>130</v>
      </c>
      <c r="B6761" t="s">
        <v>1878</v>
      </c>
      <c r="C6761" t="s">
        <v>325</v>
      </c>
      <c r="D6761" t="s">
        <v>326</v>
      </c>
      <c r="E6761" s="8">
        <v>340</v>
      </c>
      <c r="F6761" s="8">
        <v>106510</v>
      </c>
      <c r="G6761" s="8">
        <f t="shared" si="420"/>
        <v>36213400</v>
      </c>
      <c r="H6761" s="5">
        <v>0.163</v>
      </c>
      <c r="I6761" s="8">
        <f t="shared" si="421"/>
        <v>36213400</v>
      </c>
      <c r="J6761" s="8">
        <f t="shared" si="422"/>
        <v>5902784.2</v>
      </c>
      <c r="K6761" t="str">
        <f t="shared" si="423"/>
        <v>MATCHED</v>
      </c>
    </row>
    <row r="6762" spans="1:11">
      <c r="A6762" t="s">
        <v>130</v>
      </c>
      <c r="B6762" t="s">
        <v>1878</v>
      </c>
      <c r="C6762" t="s">
        <v>862</v>
      </c>
      <c r="D6762" t="s">
        <v>863</v>
      </c>
      <c r="E6762" s="8">
        <v>330</v>
      </c>
      <c r="F6762" s="8">
        <v>71670</v>
      </c>
      <c r="G6762" s="8">
        <f t="shared" si="420"/>
        <v>23651100</v>
      </c>
      <c r="H6762" s="5">
        <v>0.1958</v>
      </c>
      <c r="I6762" s="8">
        <f t="shared" si="421"/>
        <v>23651100</v>
      </c>
      <c r="J6762" s="8">
        <f t="shared" si="422"/>
        <v>4630885.38</v>
      </c>
      <c r="K6762" t="str">
        <f t="shared" si="423"/>
        <v>MATCHED</v>
      </c>
    </row>
    <row r="6763" spans="1:11">
      <c r="A6763" t="s">
        <v>130</v>
      </c>
      <c r="B6763" t="s">
        <v>1878</v>
      </c>
      <c r="C6763" t="s">
        <v>1220</v>
      </c>
      <c r="D6763" t="s">
        <v>1221</v>
      </c>
      <c r="E6763" s="8">
        <v>80</v>
      </c>
      <c r="F6763" s="8">
        <v>209690</v>
      </c>
      <c r="G6763" s="8">
        <f t="shared" si="420"/>
        <v>16775200</v>
      </c>
      <c r="H6763" s="5">
        <v>0.2008</v>
      </c>
      <c r="I6763" s="8">
        <f t="shared" si="421"/>
        <v>16775200</v>
      </c>
      <c r="J6763" s="8">
        <f t="shared" si="422"/>
        <v>3368460.16</v>
      </c>
      <c r="K6763" t="str">
        <f t="shared" si="423"/>
        <v>MATCHED</v>
      </c>
    </row>
    <row r="6764" spans="1:11">
      <c r="A6764" t="s">
        <v>130</v>
      </c>
      <c r="B6764" t="s">
        <v>1878</v>
      </c>
      <c r="C6764" t="s">
        <v>640</v>
      </c>
      <c r="D6764" t="s">
        <v>641</v>
      </c>
      <c r="E6764" s="8">
        <v>2130</v>
      </c>
      <c r="F6764" s="8">
        <v>48080</v>
      </c>
      <c r="G6764" s="8">
        <f t="shared" si="420"/>
        <v>102410400</v>
      </c>
      <c r="H6764" s="5">
        <v>0.0792</v>
      </c>
      <c r="I6764" s="8">
        <f t="shared" si="421"/>
        <v>102410400</v>
      </c>
      <c r="J6764" s="8">
        <f t="shared" si="422"/>
        <v>8110903.68</v>
      </c>
      <c r="K6764" t="str">
        <f t="shared" si="423"/>
        <v>MATCHED</v>
      </c>
    </row>
    <row r="6765" spans="1:11">
      <c r="A6765" t="s">
        <v>130</v>
      </c>
      <c r="B6765" t="s">
        <v>1878</v>
      </c>
      <c r="C6765" t="s">
        <v>642</v>
      </c>
      <c r="D6765" t="s">
        <v>643</v>
      </c>
      <c r="E6765" s="8">
        <v>690</v>
      </c>
      <c r="F6765" s="8">
        <v>57800</v>
      </c>
      <c r="G6765" s="8">
        <f t="shared" si="420"/>
        <v>39882000</v>
      </c>
      <c r="H6765" s="5">
        <v>0</v>
      </c>
      <c r="I6765" s="8">
        <f t="shared" si="421"/>
        <v>39882000</v>
      </c>
      <c r="J6765" s="8">
        <f t="shared" si="422"/>
        <v>0</v>
      </c>
      <c r="K6765" t="str">
        <f t="shared" si="423"/>
        <v>MATCHED</v>
      </c>
    </row>
    <row r="6766" spans="1:11">
      <c r="A6766" t="s">
        <v>130</v>
      </c>
      <c r="B6766" t="s">
        <v>1878</v>
      </c>
      <c r="C6766" t="s">
        <v>327</v>
      </c>
      <c r="D6766" t="s">
        <v>328</v>
      </c>
      <c r="E6766" s="8">
        <v>380</v>
      </c>
      <c r="F6766" s="8">
        <v>57700</v>
      </c>
      <c r="G6766" s="8">
        <f t="shared" si="420"/>
        <v>21926000</v>
      </c>
      <c r="H6766" s="5">
        <v>0.2065</v>
      </c>
      <c r="I6766" s="8">
        <f t="shared" si="421"/>
        <v>21926000</v>
      </c>
      <c r="J6766" s="8">
        <f t="shared" si="422"/>
        <v>4527719</v>
      </c>
      <c r="K6766" t="str">
        <f t="shared" si="423"/>
        <v>MATCHED</v>
      </c>
    </row>
    <row r="6767" spans="1:11">
      <c r="A6767" t="s">
        <v>130</v>
      </c>
      <c r="B6767" t="s">
        <v>1878</v>
      </c>
      <c r="C6767" t="s">
        <v>1696</v>
      </c>
      <c r="D6767" t="s">
        <v>1697</v>
      </c>
      <c r="E6767" s="8">
        <v>2190</v>
      </c>
      <c r="F6767" s="8">
        <v>80530</v>
      </c>
      <c r="G6767" s="8">
        <f t="shared" si="420"/>
        <v>176360700</v>
      </c>
      <c r="H6767" s="5">
        <v>0.1435</v>
      </c>
      <c r="I6767" s="8">
        <f t="shared" si="421"/>
        <v>176360700</v>
      </c>
      <c r="J6767" s="8">
        <f t="shared" si="422"/>
        <v>25307760.45</v>
      </c>
      <c r="K6767" t="str">
        <f t="shared" si="423"/>
        <v>MATCHED</v>
      </c>
    </row>
    <row r="6768" spans="1:11">
      <c r="A6768" t="s">
        <v>130</v>
      </c>
      <c r="B6768" t="s">
        <v>1878</v>
      </c>
      <c r="C6768" t="s">
        <v>972</v>
      </c>
      <c r="D6768" t="s">
        <v>973</v>
      </c>
      <c r="E6768" s="8">
        <v>130</v>
      </c>
      <c r="F6768" s="8">
        <v>29820</v>
      </c>
      <c r="G6768" s="8">
        <f t="shared" si="420"/>
        <v>3876600</v>
      </c>
      <c r="H6768" s="5">
        <v>0.118</v>
      </c>
      <c r="I6768" s="8">
        <f t="shared" si="421"/>
        <v>3876600</v>
      </c>
      <c r="J6768" s="8">
        <f t="shared" si="422"/>
        <v>457438.8</v>
      </c>
      <c r="K6768" t="str">
        <f t="shared" si="423"/>
        <v>MATCHED</v>
      </c>
    </row>
    <row r="6769" spans="1:11">
      <c r="A6769" t="s">
        <v>130</v>
      </c>
      <c r="B6769" t="s">
        <v>1878</v>
      </c>
      <c r="C6769" t="s">
        <v>1490</v>
      </c>
      <c r="D6769" t="s">
        <v>1491</v>
      </c>
      <c r="E6769" s="8">
        <v>3580</v>
      </c>
      <c r="F6769" s="8">
        <v>67300</v>
      </c>
      <c r="G6769" s="8">
        <f t="shared" si="420"/>
        <v>240934000</v>
      </c>
      <c r="H6769" s="5">
        <v>0.0679</v>
      </c>
      <c r="I6769" s="8">
        <f t="shared" si="421"/>
        <v>240934000</v>
      </c>
      <c r="J6769" s="8">
        <f t="shared" si="422"/>
        <v>16359418.6</v>
      </c>
      <c r="K6769" t="str">
        <f t="shared" si="423"/>
        <v>MATCHED</v>
      </c>
    </row>
    <row r="6770" spans="1:11">
      <c r="A6770" t="s">
        <v>130</v>
      </c>
      <c r="B6770" t="s">
        <v>1878</v>
      </c>
      <c r="C6770" t="s">
        <v>1254</v>
      </c>
      <c r="D6770" t="s">
        <v>1255</v>
      </c>
      <c r="E6770" s="8">
        <v>100</v>
      </c>
      <c r="F6770" s="8">
        <v>43620</v>
      </c>
      <c r="G6770" s="8">
        <f t="shared" si="420"/>
        <v>4362000</v>
      </c>
      <c r="H6770" s="5">
        <v>0.1696</v>
      </c>
      <c r="I6770" s="8">
        <f t="shared" si="421"/>
        <v>4362000</v>
      </c>
      <c r="J6770" s="8">
        <f t="shared" si="422"/>
        <v>739795.2</v>
      </c>
      <c r="K6770" t="str">
        <f t="shared" si="423"/>
        <v>MATCHED</v>
      </c>
    </row>
    <row r="6771" spans="1:11">
      <c r="A6771" t="s">
        <v>130</v>
      </c>
      <c r="B6771" t="s">
        <v>1878</v>
      </c>
      <c r="C6771" t="s">
        <v>644</v>
      </c>
      <c r="D6771" t="s">
        <v>645</v>
      </c>
      <c r="E6771" s="8">
        <v>6380</v>
      </c>
      <c r="F6771" s="8">
        <v>57610</v>
      </c>
      <c r="G6771" s="8">
        <f t="shared" si="420"/>
        <v>367551800</v>
      </c>
      <c r="H6771" s="5">
        <v>0.3929</v>
      </c>
      <c r="I6771" s="8">
        <f t="shared" si="421"/>
        <v>367551800</v>
      </c>
      <c r="J6771" s="8">
        <f t="shared" si="422"/>
        <v>144411102.22</v>
      </c>
      <c r="K6771" t="str">
        <f t="shared" si="423"/>
        <v>MATCHED</v>
      </c>
    </row>
    <row r="6772" spans="1:11">
      <c r="A6772" t="s">
        <v>130</v>
      </c>
      <c r="B6772" t="s">
        <v>1878</v>
      </c>
      <c r="C6772" t="s">
        <v>866</v>
      </c>
      <c r="D6772" t="s">
        <v>867</v>
      </c>
      <c r="E6772" s="8">
        <v>2270</v>
      </c>
      <c r="F6772" s="8">
        <v>49530</v>
      </c>
      <c r="G6772" s="8">
        <f t="shared" si="420"/>
        <v>112433100</v>
      </c>
      <c r="H6772" s="5"/>
      <c r="I6772" s="8" t="str">
        <f t="shared" si="421"/>
        <v/>
      </c>
      <c r="J6772" s="8" t="str">
        <f t="shared" si="422"/>
        <v/>
      </c>
      <c r="K6772" t="str">
        <f t="shared" si="423"/>
        <v>MISSING WHARTON</v>
      </c>
    </row>
    <row r="6773" spans="1:11">
      <c r="A6773" t="s">
        <v>130</v>
      </c>
      <c r="B6773" t="s">
        <v>1878</v>
      </c>
      <c r="C6773" t="s">
        <v>868</v>
      </c>
      <c r="D6773" t="s">
        <v>869</v>
      </c>
      <c r="E6773" s="8">
        <v>230</v>
      </c>
      <c r="F6773" s="8">
        <v>46420</v>
      </c>
      <c r="G6773" s="8">
        <f t="shared" si="420"/>
        <v>10676600</v>
      </c>
      <c r="H6773" s="5">
        <v>0.0317</v>
      </c>
      <c r="I6773" s="8">
        <f t="shared" si="421"/>
        <v>10676600</v>
      </c>
      <c r="J6773" s="8">
        <f t="shared" si="422"/>
        <v>338448.22</v>
      </c>
      <c r="K6773" t="str">
        <f t="shared" si="423"/>
        <v>MATCHED</v>
      </c>
    </row>
    <row r="6774" spans="1:11">
      <c r="A6774" t="s">
        <v>130</v>
      </c>
      <c r="B6774" t="s">
        <v>1878</v>
      </c>
      <c r="C6774" t="s">
        <v>1863</v>
      </c>
      <c r="D6774" t="s">
        <v>1864</v>
      </c>
      <c r="E6774" s="8">
        <v>80</v>
      </c>
      <c r="F6774" s="8">
        <v>37640</v>
      </c>
      <c r="G6774" s="8">
        <f t="shared" si="420"/>
        <v>3011200</v>
      </c>
      <c r="H6774" s="5">
        <v>0.2783</v>
      </c>
      <c r="I6774" s="8">
        <f t="shared" si="421"/>
        <v>3011200</v>
      </c>
      <c r="J6774" s="8">
        <f t="shared" si="422"/>
        <v>838016.96</v>
      </c>
      <c r="K6774" t="str">
        <f t="shared" si="423"/>
        <v>MATCHED</v>
      </c>
    </row>
    <row r="6775" spans="1:11">
      <c r="A6775" t="s">
        <v>130</v>
      </c>
      <c r="B6775" t="s">
        <v>1878</v>
      </c>
      <c r="C6775" t="s">
        <v>870</v>
      </c>
      <c r="D6775" t="s">
        <v>871</v>
      </c>
      <c r="E6775" s="8">
        <v>60</v>
      </c>
      <c r="F6775" s="8">
        <v>62520</v>
      </c>
      <c r="G6775" s="8">
        <f t="shared" si="420"/>
        <v>3751200</v>
      </c>
      <c r="H6775" s="5">
        <v>0.3324</v>
      </c>
      <c r="I6775" s="8">
        <f t="shared" si="421"/>
        <v>3751200</v>
      </c>
      <c r="J6775" s="8">
        <f t="shared" si="422"/>
        <v>1246898.88</v>
      </c>
      <c r="K6775" t="str">
        <f t="shared" si="423"/>
        <v>MATCHED</v>
      </c>
    </row>
    <row r="6776" spans="1:11">
      <c r="A6776" t="s">
        <v>130</v>
      </c>
      <c r="B6776" t="s">
        <v>1878</v>
      </c>
      <c r="C6776" t="s">
        <v>1764</v>
      </c>
      <c r="D6776" t="s">
        <v>1765</v>
      </c>
      <c r="E6776" s="8">
        <v>4880</v>
      </c>
      <c r="F6776" s="8">
        <v>41700</v>
      </c>
      <c r="G6776" s="8">
        <f t="shared" si="420"/>
        <v>203496000</v>
      </c>
      <c r="H6776" s="5">
        <v>0.475</v>
      </c>
      <c r="I6776" s="8">
        <f t="shared" si="421"/>
        <v>203496000</v>
      </c>
      <c r="J6776" s="8">
        <f t="shared" si="422"/>
        <v>96660600</v>
      </c>
      <c r="K6776" t="str">
        <f t="shared" si="423"/>
        <v>MATCHED</v>
      </c>
    </row>
    <row r="6777" spans="1:11">
      <c r="A6777" t="s">
        <v>130</v>
      </c>
      <c r="B6777" t="s">
        <v>1878</v>
      </c>
      <c r="C6777" t="s">
        <v>329</v>
      </c>
      <c r="D6777" t="s">
        <v>330</v>
      </c>
      <c r="E6777" s="8">
        <v>57170</v>
      </c>
      <c r="F6777" s="8">
        <v>40430</v>
      </c>
      <c r="G6777" s="8">
        <f t="shared" si="420"/>
        <v>2311383100</v>
      </c>
      <c r="H6777" s="5">
        <v>0.1357</v>
      </c>
      <c r="I6777" s="8">
        <f t="shared" si="421"/>
        <v>2311383100</v>
      </c>
      <c r="J6777" s="8">
        <f t="shared" si="422"/>
        <v>313654686.67</v>
      </c>
      <c r="K6777" t="str">
        <f t="shared" si="423"/>
        <v>MATCHED</v>
      </c>
    </row>
    <row r="6778" spans="1:11">
      <c r="A6778" t="s">
        <v>130</v>
      </c>
      <c r="B6778" t="s">
        <v>1878</v>
      </c>
      <c r="C6778" t="s">
        <v>976</v>
      </c>
      <c r="D6778" t="s">
        <v>977</v>
      </c>
      <c r="E6778" s="8">
        <v>190</v>
      </c>
      <c r="F6778" s="8">
        <v>33010</v>
      </c>
      <c r="G6778" s="8">
        <f t="shared" si="420"/>
        <v>6271900</v>
      </c>
      <c r="H6778" s="5">
        <v>0</v>
      </c>
      <c r="I6778" s="8">
        <f t="shared" si="421"/>
        <v>6271900</v>
      </c>
      <c r="J6778" s="8">
        <f t="shared" si="422"/>
        <v>0</v>
      </c>
      <c r="K6778" t="str">
        <f t="shared" si="423"/>
        <v>MATCHED</v>
      </c>
    </row>
    <row r="6779" spans="1:11">
      <c r="A6779" t="s">
        <v>130</v>
      </c>
      <c r="B6779" t="s">
        <v>1878</v>
      </c>
      <c r="C6779" t="s">
        <v>1492</v>
      </c>
      <c r="D6779" t="s">
        <v>1493</v>
      </c>
      <c r="E6779" s="8">
        <v>56310</v>
      </c>
      <c r="F6779" s="8">
        <v>33210</v>
      </c>
      <c r="G6779" s="8">
        <f t="shared" si="420"/>
        <v>1870055100</v>
      </c>
      <c r="H6779" s="5">
        <v>0.0633</v>
      </c>
      <c r="I6779" s="8">
        <f t="shared" si="421"/>
        <v>1870055100</v>
      </c>
      <c r="J6779" s="8">
        <f t="shared" si="422"/>
        <v>118374487.83</v>
      </c>
      <c r="K6779" t="str">
        <f t="shared" si="423"/>
        <v>MATCHED</v>
      </c>
    </row>
    <row r="6780" spans="1:11">
      <c r="A6780" t="s">
        <v>130</v>
      </c>
      <c r="B6780" t="s">
        <v>1878</v>
      </c>
      <c r="C6780" t="s">
        <v>872</v>
      </c>
      <c r="D6780" t="s">
        <v>873</v>
      </c>
      <c r="E6780" s="8">
        <v>1360</v>
      </c>
      <c r="F6780" s="8">
        <v>68260</v>
      </c>
      <c r="G6780" s="8">
        <f t="shared" si="420"/>
        <v>92833600</v>
      </c>
      <c r="H6780" s="5">
        <v>0.3357</v>
      </c>
      <c r="I6780" s="8">
        <f t="shared" si="421"/>
        <v>92833600</v>
      </c>
      <c r="J6780" s="8">
        <f t="shared" si="422"/>
        <v>31164239.52</v>
      </c>
      <c r="K6780" t="str">
        <f t="shared" si="423"/>
        <v>MATCHED</v>
      </c>
    </row>
    <row r="6781" spans="1:11">
      <c r="A6781" t="s">
        <v>130</v>
      </c>
      <c r="B6781" t="s">
        <v>1878</v>
      </c>
      <c r="C6781" t="s">
        <v>978</v>
      </c>
      <c r="D6781" t="s">
        <v>979</v>
      </c>
      <c r="E6781" s="8">
        <v>12640</v>
      </c>
      <c r="F6781" s="8">
        <v>78500</v>
      </c>
      <c r="G6781" s="8">
        <f t="shared" si="420"/>
        <v>992240000</v>
      </c>
      <c r="H6781" s="5">
        <v>0.281</v>
      </c>
      <c r="I6781" s="8">
        <f t="shared" si="421"/>
        <v>992240000</v>
      </c>
      <c r="J6781" s="8">
        <f t="shared" si="422"/>
        <v>278819440</v>
      </c>
      <c r="K6781" t="str">
        <f t="shared" si="423"/>
        <v>MATCHED</v>
      </c>
    </row>
    <row r="6782" spans="1:11">
      <c r="A6782" t="s">
        <v>130</v>
      </c>
      <c r="B6782" t="s">
        <v>1878</v>
      </c>
      <c r="C6782" t="s">
        <v>980</v>
      </c>
      <c r="D6782" t="s">
        <v>981</v>
      </c>
      <c r="E6782" s="8">
        <v>22810</v>
      </c>
      <c r="F6782" s="8">
        <v>51580</v>
      </c>
      <c r="G6782" s="8">
        <f t="shared" si="420"/>
        <v>1176539800</v>
      </c>
      <c r="H6782" s="5">
        <v>0.4173</v>
      </c>
      <c r="I6782" s="8">
        <f t="shared" si="421"/>
        <v>1176539800</v>
      </c>
      <c r="J6782" s="8">
        <f t="shared" si="422"/>
        <v>490970058.54</v>
      </c>
      <c r="K6782" t="str">
        <f t="shared" si="423"/>
        <v>MATCHED</v>
      </c>
    </row>
    <row r="6783" spans="1:11">
      <c r="A6783" t="s">
        <v>130</v>
      </c>
      <c r="B6783" t="s">
        <v>1878</v>
      </c>
      <c r="C6783" t="s">
        <v>1258</v>
      </c>
      <c r="D6783" t="s">
        <v>1259</v>
      </c>
      <c r="E6783" s="8">
        <v>2100</v>
      </c>
      <c r="F6783" s="8">
        <v>35640</v>
      </c>
      <c r="G6783" s="8">
        <f t="shared" si="420"/>
        <v>74844000</v>
      </c>
      <c r="H6783" s="5">
        <v>0.05</v>
      </c>
      <c r="I6783" s="8">
        <f t="shared" si="421"/>
        <v>74844000</v>
      </c>
      <c r="J6783" s="8">
        <f t="shared" si="422"/>
        <v>3742200</v>
      </c>
      <c r="K6783" t="str">
        <f t="shared" si="423"/>
        <v>MATCHED</v>
      </c>
    </row>
    <row r="6784" spans="1:11">
      <c r="A6784" t="s">
        <v>130</v>
      </c>
      <c r="B6784" t="s">
        <v>1878</v>
      </c>
      <c r="C6784" t="s">
        <v>982</v>
      </c>
      <c r="D6784" t="s">
        <v>983</v>
      </c>
      <c r="E6784" s="8">
        <v>3940</v>
      </c>
      <c r="F6784" s="8">
        <v>38430</v>
      </c>
      <c r="G6784" s="8">
        <f t="shared" si="420"/>
        <v>151414200</v>
      </c>
      <c r="H6784" s="5">
        <v>0.25</v>
      </c>
      <c r="I6784" s="8">
        <f t="shared" si="421"/>
        <v>151414200</v>
      </c>
      <c r="J6784" s="8">
        <f t="shared" si="422"/>
        <v>37853550</v>
      </c>
      <c r="K6784" t="str">
        <f t="shared" si="423"/>
        <v>MATCHED</v>
      </c>
    </row>
    <row r="6785" spans="1:11">
      <c r="A6785" t="s">
        <v>130</v>
      </c>
      <c r="B6785" t="s">
        <v>1878</v>
      </c>
      <c r="C6785" t="s">
        <v>984</v>
      </c>
      <c r="D6785" t="s">
        <v>985</v>
      </c>
      <c r="E6785" s="8">
        <v>51120</v>
      </c>
      <c r="F6785" s="8">
        <v>41510</v>
      </c>
      <c r="G6785" s="8">
        <f t="shared" si="420"/>
        <v>2121991200</v>
      </c>
      <c r="H6785" s="5">
        <v>0.1175</v>
      </c>
      <c r="I6785" s="8">
        <f t="shared" si="421"/>
        <v>2121991200</v>
      </c>
      <c r="J6785" s="8">
        <f t="shared" si="422"/>
        <v>249333966</v>
      </c>
      <c r="K6785" t="str">
        <f t="shared" si="423"/>
        <v>MATCHED</v>
      </c>
    </row>
    <row r="6786" spans="1:11">
      <c r="A6786" t="s">
        <v>130</v>
      </c>
      <c r="B6786" t="s">
        <v>1878</v>
      </c>
      <c r="C6786" t="s">
        <v>1260</v>
      </c>
      <c r="D6786" t="s">
        <v>1261</v>
      </c>
      <c r="E6786" s="8">
        <v>5890</v>
      </c>
      <c r="F6786" s="8">
        <v>34540</v>
      </c>
      <c r="G6786" s="8">
        <f t="shared" ref="G6786:G6849" si="424">IF(OR(E6786="",F6786=""),"",E6786*F6786)</f>
        <v>203440600</v>
      </c>
      <c r="H6786" s="5">
        <v>0.0864</v>
      </c>
      <c r="I6786" s="8">
        <f t="shared" ref="I6786:I6849" si="425">IF(G6786="","",IF(ISNUMBER(H6786),G6786,""))</f>
        <v>203440600</v>
      </c>
      <c r="J6786" s="8">
        <f t="shared" ref="J6786:J6849" si="426">IF(I6786="","",I6786*H6786)</f>
        <v>17577267.84</v>
      </c>
      <c r="K6786" t="str">
        <f t="shared" ref="K6786:K6849" si="427">IF(G6786="","MISSING OEWS",IF(ISNUMBER(H6786),"MATCHED","MISSING WHARTON"))</f>
        <v>MATCHED</v>
      </c>
    </row>
    <row r="6787" spans="1:11">
      <c r="A6787" t="s">
        <v>130</v>
      </c>
      <c r="B6787" t="s">
        <v>1878</v>
      </c>
      <c r="C6787" t="s">
        <v>1262</v>
      </c>
      <c r="D6787" t="s">
        <v>1263</v>
      </c>
      <c r="E6787" s="8">
        <v>1000</v>
      </c>
      <c r="F6787" s="8">
        <v>38600</v>
      </c>
      <c r="G6787" s="8">
        <f t="shared" si="424"/>
        <v>38600000</v>
      </c>
      <c r="H6787" s="5"/>
      <c r="I6787" s="8" t="str">
        <f t="shared" si="425"/>
        <v/>
      </c>
      <c r="J6787" s="8" t="str">
        <f t="shared" si="426"/>
        <v/>
      </c>
      <c r="K6787" t="str">
        <f t="shared" si="427"/>
        <v>MISSING WHARTON</v>
      </c>
    </row>
    <row r="6788" spans="1:11">
      <c r="A6788" t="s">
        <v>130</v>
      </c>
      <c r="B6788" t="s">
        <v>1878</v>
      </c>
      <c r="C6788" t="s">
        <v>986</v>
      </c>
      <c r="D6788" t="s">
        <v>987</v>
      </c>
      <c r="E6788" s="8">
        <v>9770</v>
      </c>
      <c r="F6788" s="8">
        <v>36250</v>
      </c>
      <c r="G6788" s="8">
        <f t="shared" si="424"/>
        <v>354162500</v>
      </c>
      <c r="H6788" s="5">
        <v>0.0613</v>
      </c>
      <c r="I6788" s="8">
        <f t="shared" si="425"/>
        <v>354162500</v>
      </c>
      <c r="J6788" s="8">
        <f t="shared" si="426"/>
        <v>21710161.25</v>
      </c>
      <c r="K6788" t="str">
        <f t="shared" si="427"/>
        <v>MATCHED</v>
      </c>
    </row>
    <row r="6789" spans="1:11">
      <c r="A6789" t="s">
        <v>130</v>
      </c>
      <c r="B6789" t="s">
        <v>1878</v>
      </c>
      <c r="C6789" t="s">
        <v>1264</v>
      </c>
      <c r="D6789" t="s">
        <v>1265</v>
      </c>
      <c r="E6789" s="8">
        <v>54490</v>
      </c>
      <c r="F6789" s="8">
        <v>38360</v>
      </c>
      <c r="G6789" s="8">
        <f t="shared" si="424"/>
        <v>2090236400</v>
      </c>
      <c r="H6789" s="5">
        <v>0.1425</v>
      </c>
      <c r="I6789" s="8">
        <f t="shared" si="425"/>
        <v>2090236400</v>
      </c>
      <c r="J6789" s="8">
        <f t="shared" si="426"/>
        <v>297858687</v>
      </c>
      <c r="K6789" t="str">
        <f t="shared" si="427"/>
        <v>MATCHED</v>
      </c>
    </row>
    <row r="6790" spans="1:11">
      <c r="A6790" t="s">
        <v>130</v>
      </c>
      <c r="B6790" t="s">
        <v>1878</v>
      </c>
      <c r="C6790" t="s">
        <v>988</v>
      </c>
      <c r="D6790" t="s">
        <v>989</v>
      </c>
      <c r="E6790" s="8">
        <v>46850</v>
      </c>
      <c r="F6790" s="8">
        <v>32700</v>
      </c>
      <c r="G6790" s="8">
        <f t="shared" si="424"/>
        <v>1531995000</v>
      </c>
      <c r="H6790" s="5">
        <v>0.2031</v>
      </c>
      <c r="I6790" s="8">
        <f t="shared" si="425"/>
        <v>1531995000</v>
      </c>
      <c r="J6790" s="8">
        <f t="shared" si="426"/>
        <v>311148184.5</v>
      </c>
      <c r="K6790" t="str">
        <f t="shared" si="427"/>
        <v>MATCHED</v>
      </c>
    </row>
    <row r="6791" spans="1:11">
      <c r="A6791" t="s">
        <v>130</v>
      </c>
      <c r="B6791" t="s">
        <v>1878</v>
      </c>
      <c r="C6791" t="s">
        <v>990</v>
      </c>
      <c r="D6791" t="s">
        <v>991</v>
      </c>
      <c r="E6791" s="8">
        <v>97670</v>
      </c>
      <c r="F6791" s="8">
        <v>39010</v>
      </c>
      <c r="G6791" s="8">
        <f t="shared" si="424"/>
        <v>3810106700</v>
      </c>
      <c r="H6791" s="5">
        <v>0.152</v>
      </c>
      <c r="I6791" s="8">
        <f t="shared" si="425"/>
        <v>3810106700</v>
      </c>
      <c r="J6791" s="8">
        <f t="shared" si="426"/>
        <v>579136218.4</v>
      </c>
      <c r="K6791" t="str">
        <f t="shared" si="427"/>
        <v>MATCHED</v>
      </c>
    </row>
    <row r="6792" spans="1:11">
      <c r="A6792" t="s">
        <v>130</v>
      </c>
      <c r="B6792" t="s">
        <v>1878</v>
      </c>
      <c r="C6792" t="s">
        <v>1266</v>
      </c>
      <c r="D6792" t="s">
        <v>1267</v>
      </c>
      <c r="E6792" s="8">
        <v>9980</v>
      </c>
      <c r="F6792" s="8">
        <v>34340</v>
      </c>
      <c r="G6792" s="8">
        <f t="shared" si="424"/>
        <v>342713200</v>
      </c>
      <c r="H6792" s="5">
        <v>0.1357</v>
      </c>
      <c r="I6792" s="8">
        <f t="shared" si="425"/>
        <v>342713200</v>
      </c>
      <c r="J6792" s="8">
        <f t="shared" si="426"/>
        <v>46506181.24</v>
      </c>
      <c r="K6792" t="str">
        <f t="shared" si="427"/>
        <v>MATCHED</v>
      </c>
    </row>
    <row r="6793" spans="1:11">
      <c r="A6793" t="s">
        <v>130</v>
      </c>
      <c r="B6793" t="s">
        <v>1878</v>
      </c>
      <c r="C6793" t="s">
        <v>1268</v>
      </c>
      <c r="D6793" t="s">
        <v>1269</v>
      </c>
      <c r="E6793" s="8">
        <v>20280</v>
      </c>
      <c r="F6793" s="8">
        <v>34950</v>
      </c>
      <c r="G6793" s="8">
        <f t="shared" si="424"/>
        <v>708786000</v>
      </c>
      <c r="H6793" s="5">
        <v>0.0417</v>
      </c>
      <c r="I6793" s="8">
        <f t="shared" si="425"/>
        <v>708786000</v>
      </c>
      <c r="J6793" s="8">
        <f t="shared" si="426"/>
        <v>29556376.2</v>
      </c>
      <c r="K6793" t="str">
        <f t="shared" si="427"/>
        <v>MATCHED</v>
      </c>
    </row>
    <row r="6794" spans="1:11">
      <c r="A6794" t="s">
        <v>130</v>
      </c>
      <c r="B6794" t="s">
        <v>1878</v>
      </c>
      <c r="C6794" t="s">
        <v>1270</v>
      </c>
      <c r="D6794" t="s">
        <v>1271</v>
      </c>
      <c r="E6794" s="8">
        <v>15910</v>
      </c>
      <c r="F6794" s="8">
        <v>34840</v>
      </c>
      <c r="G6794" s="8">
        <f t="shared" si="424"/>
        <v>554304400</v>
      </c>
      <c r="H6794" s="5">
        <v>0</v>
      </c>
      <c r="I6794" s="8">
        <f t="shared" si="425"/>
        <v>554304400</v>
      </c>
      <c r="J6794" s="8">
        <f t="shared" si="426"/>
        <v>0</v>
      </c>
      <c r="K6794" t="str">
        <f t="shared" si="427"/>
        <v>MATCHED</v>
      </c>
    </row>
    <row r="6795" spans="1:11">
      <c r="A6795" t="s">
        <v>130</v>
      </c>
      <c r="B6795" t="s">
        <v>1878</v>
      </c>
      <c r="C6795" t="s">
        <v>1272</v>
      </c>
      <c r="D6795" t="s">
        <v>1273</v>
      </c>
      <c r="E6795" s="8">
        <v>11150</v>
      </c>
      <c r="F6795" s="8">
        <v>33780</v>
      </c>
      <c r="G6795" s="8">
        <f t="shared" si="424"/>
        <v>376647000</v>
      </c>
      <c r="H6795" s="5">
        <v>0.3023</v>
      </c>
      <c r="I6795" s="8">
        <f t="shared" si="425"/>
        <v>376647000</v>
      </c>
      <c r="J6795" s="8">
        <f t="shared" si="426"/>
        <v>113860388.1</v>
      </c>
      <c r="K6795" t="str">
        <f t="shared" si="427"/>
        <v>MATCHED</v>
      </c>
    </row>
    <row r="6796" spans="1:11">
      <c r="A6796" t="s">
        <v>130</v>
      </c>
      <c r="B6796" t="s">
        <v>1878</v>
      </c>
      <c r="C6796" t="s">
        <v>1274</v>
      </c>
      <c r="D6796" t="s">
        <v>1275</v>
      </c>
      <c r="E6796" s="8">
        <v>3010</v>
      </c>
      <c r="F6796" s="8">
        <v>38020</v>
      </c>
      <c r="G6796" s="8">
        <f t="shared" si="424"/>
        <v>114440200</v>
      </c>
      <c r="H6796" s="5"/>
      <c r="I6796" s="8" t="str">
        <f t="shared" si="425"/>
        <v/>
      </c>
      <c r="J6796" s="8" t="str">
        <f t="shared" si="426"/>
        <v/>
      </c>
      <c r="K6796" t="str">
        <f t="shared" si="427"/>
        <v>MISSING WHARTON</v>
      </c>
    </row>
    <row r="6797" spans="1:11">
      <c r="A6797" t="s">
        <v>130</v>
      </c>
      <c r="B6797" t="s">
        <v>1878</v>
      </c>
      <c r="C6797" t="s">
        <v>331</v>
      </c>
      <c r="D6797" t="s">
        <v>332</v>
      </c>
      <c r="E6797" s="8">
        <v>4190</v>
      </c>
      <c r="F6797" s="8">
        <v>52340</v>
      </c>
      <c r="G6797" s="8">
        <f t="shared" si="424"/>
        <v>219304600</v>
      </c>
      <c r="H6797" s="5">
        <v>0.2269</v>
      </c>
      <c r="I6797" s="8">
        <f t="shared" si="425"/>
        <v>219304600</v>
      </c>
      <c r="J6797" s="8">
        <f t="shared" si="426"/>
        <v>49760213.74</v>
      </c>
      <c r="K6797" t="str">
        <f t="shared" si="427"/>
        <v>MATCHED</v>
      </c>
    </row>
    <row r="6798" spans="1:11">
      <c r="A6798" t="s">
        <v>130</v>
      </c>
      <c r="B6798" t="s">
        <v>1878</v>
      </c>
      <c r="C6798" t="s">
        <v>333</v>
      </c>
      <c r="D6798" t="s">
        <v>334</v>
      </c>
      <c r="E6798" s="8">
        <v>12010</v>
      </c>
      <c r="F6798" s="8">
        <v>65500</v>
      </c>
      <c r="G6798" s="8">
        <f t="shared" si="424"/>
        <v>786655000</v>
      </c>
      <c r="H6798" s="5">
        <v>0.2357</v>
      </c>
      <c r="I6798" s="8">
        <f t="shared" si="425"/>
        <v>786655000</v>
      </c>
      <c r="J6798" s="8">
        <f t="shared" si="426"/>
        <v>185414583.5</v>
      </c>
      <c r="K6798" t="str">
        <f t="shared" si="427"/>
        <v>MATCHED</v>
      </c>
    </row>
    <row r="6799" spans="1:11">
      <c r="A6799" t="s">
        <v>130</v>
      </c>
      <c r="B6799" t="s">
        <v>1878</v>
      </c>
      <c r="C6799" t="s">
        <v>335</v>
      </c>
      <c r="D6799" t="s">
        <v>336</v>
      </c>
      <c r="E6799" s="8">
        <v>55420</v>
      </c>
      <c r="F6799" s="8">
        <v>35650</v>
      </c>
      <c r="G6799" s="8">
        <f t="shared" si="424"/>
        <v>1975723000</v>
      </c>
      <c r="H6799" s="5">
        <v>0</v>
      </c>
      <c r="I6799" s="8">
        <f t="shared" si="425"/>
        <v>1975723000</v>
      </c>
      <c r="J6799" s="8">
        <f t="shared" si="426"/>
        <v>0</v>
      </c>
      <c r="K6799" t="str">
        <f t="shared" si="427"/>
        <v>MATCHED</v>
      </c>
    </row>
    <row r="6800" spans="1:11">
      <c r="A6800" t="s">
        <v>130</v>
      </c>
      <c r="B6800" t="s">
        <v>1878</v>
      </c>
      <c r="C6800" t="s">
        <v>337</v>
      </c>
      <c r="D6800" t="s">
        <v>338</v>
      </c>
      <c r="E6800" s="8">
        <v>11690</v>
      </c>
      <c r="F6800" s="8">
        <v>36350</v>
      </c>
      <c r="G6800" s="8">
        <f t="shared" si="424"/>
        <v>424931500</v>
      </c>
      <c r="H6800" s="5">
        <v>0</v>
      </c>
      <c r="I6800" s="8">
        <f t="shared" si="425"/>
        <v>424931500</v>
      </c>
      <c r="J6800" s="8">
        <f t="shared" si="426"/>
        <v>0</v>
      </c>
      <c r="K6800" t="str">
        <f t="shared" si="427"/>
        <v>MATCHED</v>
      </c>
    </row>
    <row r="6801" spans="1:11">
      <c r="A6801" t="s">
        <v>130</v>
      </c>
      <c r="B6801" t="s">
        <v>1878</v>
      </c>
      <c r="C6801" t="s">
        <v>646</v>
      </c>
      <c r="D6801" t="s">
        <v>647</v>
      </c>
      <c r="E6801" s="8">
        <v>150</v>
      </c>
      <c r="F6801" s="8">
        <v>36810</v>
      </c>
      <c r="G6801" s="8">
        <f t="shared" si="424"/>
        <v>5521500</v>
      </c>
      <c r="H6801" s="5"/>
      <c r="I6801" s="8" t="str">
        <f t="shared" si="425"/>
        <v/>
      </c>
      <c r="J6801" s="8" t="str">
        <f t="shared" si="426"/>
        <v/>
      </c>
      <c r="K6801" t="str">
        <f t="shared" si="427"/>
        <v>MISSING WHARTON</v>
      </c>
    </row>
    <row r="6802" spans="1:11">
      <c r="A6802" t="s">
        <v>130</v>
      </c>
      <c r="B6802" t="s">
        <v>1878</v>
      </c>
      <c r="C6802" t="s">
        <v>339</v>
      </c>
      <c r="D6802" t="s">
        <v>340</v>
      </c>
      <c r="E6802" s="8">
        <v>80</v>
      </c>
      <c r="F6802" s="8">
        <v>48770</v>
      </c>
      <c r="G6802" s="8">
        <f t="shared" si="424"/>
        <v>3901600</v>
      </c>
      <c r="H6802" s="5">
        <v>0.1567</v>
      </c>
      <c r="I6802" s="8">
        <f t="shared" si="425"/>
        <v>3901600</v>
      </c>
      <c r="J6802" s="8">
        <f t="shared" si="426"/>
        <v>611380.72</v>
      </c>
      <c r="K6802" t="str">
        <f t="shared" si="427"/>
        <v>MATCHED</v>
      </c>
    </row>
    <row r="6803" spans="1:11">
      <c r="A6803" t="s">
        <v>130</v>
      </c>
      <c r="B6803" t="s">
        <v>1878</v>
      </c>
      <c r="C6803" t="s">
        <v>341</v>
      </c>
      <c r="D6803" t="s">
        <v>342</v>
      </c>
      <c r="E6803" s="8">
        <v>102690</v>
      </c>
      <c r="F6803" s="8">
        <v>37580</v>
      </c>
      <c r="G6803" s="8">
        <f t="shared" si="424"/>
        <v>3859090200</v>
      </c>
      <c r="H6803" s="5">
        <v>0</v>
      </c>
      <c r="I6803" s="8">
        <f t="shared" si="425"/>
        <v>3859090200</v>
      </c>
      <c r="J6803" s="8">
        <f t="shared" si="426"/>
        <v>0</v>
      </c>
      <c r="K6803" t="str">
        <f t="shared" si="427"/>
        <v>MATCHED</v>
      </c>
    </row>
    <row r="6804" spans="1:11">
      <c r="A6804" t="s">
        <v>130</v>
      </c>
      <c r="B6804" t="s">
        <v>1878</v>
      </c>
      <c r="C6804" t="s">
        <v>343</v>
      </c>
      <c r="D6804" t="s">
        <v>344</v>
      </c>
      <c r="E6804" s="8">
        <v>530</v>
      </c>
      <c r="F6804" s="8">
        <v>46570</v>
      </c>
      <c r="G6804" s="8">
        <f t="shared" si="424"/>
        <v>24682100</v>
      </c>
      <c r="H6804" s="5">
        <v>0</v>
      </c>
      <c r="I6804" s="8">
        <f t="shared" si="425"/>
        <v>24682100</v>
      </c>
      <c r="J6804" s="8">
        <f t="shared" si="426"/>
        <v>0</v>
      </c>
      <c r="K6804" t="str">
        <f t="shared" si="427"/>
        <v>MATCHED</v>
      </c>
    </row>
    <row r="6805" spans="1:11">
      <c r="A6805" t="s">
        <v>130</v>
      </c>
      <c r="B6805" t="s">
        <v>1878</v>
      </c>
      <c r="C6805" t="s">
        <v>345</v>
      </c>
      <c r="D6805" t="s">
        <v>346</v>
      </c>
      <c r="E6805" s="8">
        <v>110</v>
      </c>
      <c r="F6805" s="8">
        <v>49070</v>
      </c>
      <c r="G6805" s="8">
        <f t="shared" si="424"/>
        <v>5397700</v>
      </c>
      <c r="H6805" s="5">
        <v>0</v>
      </c>
      <c r="I6805" s="8">
        <f t="shared" si="425"/>
        <v>5397700</v>
      </c>
      <c r="J6805" s="8">
        <f t="shared" si="426"/>
        <v>0</v>
      </c>
      <c r="K6805" t="str">
        <f t="shared" si="427"/>
        <v>MATCHED</v>
      </c>
    </row>
    <row r="6806" spans="1:11">
      <c r="A6806" t="s">
        <v>130</v>
      </c>
      <c r="B6806" t="s">
        <v>1878</v>
      </c>
      <c r="C6806" t="s">
        <v>874</v>
      </c>
      <c r="D6806" t="s">
        <v>875</v>
      </c>
      <c r="E6806" s="8">
        <v>1150</v>
      </c>
      <c r="F6806" s="8">
        <v>43910</v>
      </c>
      <c r="G6806" s="8">
        <f t="shared" si="424"/>
        <v>50496500</v>
      </c>
      <c r="H6806" s="5"/>
      <c r="I6806" s="8" t="str">
        <f t="shared" si="425"/>
        <v/>
      </c>
      <c r="J6806" s="8" t="str">
        <f t="shared" si="426"/>
        <v/>
      </c>
      <c r="K6806" t="str">
        <f t="shared" si="427"/>
        <v>MISSING WHARTON</v>
      </c>
    </row>
    <row r="6807" spans="1:11">
      <c r="A6807" t="s">
        <v>130</v>
      </c>
      <c r="B6807" t="s">
        <v>1878</v>
      </c>
      <c r="C6807" t="s">
        <v>1585</v>
      </c>
      <c r="D6807" t="s">
        <v>1586</v>
      </c>
      <c r="E6807" s="8">
        <v>10830</v>
      </c>
      <c r="F6807" s="8">
        <v>61500</v>
      </c>
      <c r="G6807" s="8">
        <f t="shared" si="424"/>
        <v>666045000</v>
      </c>
      <c r="H6807" s="5">
        <v>0.34</v>
      </c>
      <c r="I6807" s="8">
        <f t="shared" si="425"/>
        <v>666045000</v>
      </c>
      <c r="J6807" s="8">
        <f t="shared" si="426"/>
        <v>226455300</v>
      </c>
      <c r="K6807" t="str">
        <f t="shared" si="427"/>
        <v>MATCHED</v>
      </c>
    </row>
    <row r="6808" spans="1:11">
      <c r="A6808" t="s">
        <v>130</v>
      </c>
      <c r="B6808" t="s">
        <v>1878</v>
      </c>
      <c r="C6808" t="s">
        <v>347</v>
      </c>
      <c r="D6808" t="s">
        <v>348</v>
      </c>
      <c r="E6808" s="8">
        <v>43900</v>
      </c>
      <c r="F6808" s="8">
        <v>50010</v>
      </c>
      <c r="G6808" s="8">
        <f t="shared" si="424"/>
        <v>2195439000</v>
      </c>
      <c r="H6808" s="5">
        <v>0.2974</v>
      </c>
      <c r="I6808" s="8">
        <f t="shared" si="425"/>
        <v>2195439000</v>
      </c>
      <c r="J6808" s="8">
        <f t="shared" si="426"/>
        <v>652923558.6</v>
      </c>
      <c r="K6808" t="str">
        <f t="shared" si="427"/>
        <v>MATCHED</v>
      </c>
    </row>
    <row r="6809" spans="1:11">
      <c r="A6809" t="s">
        <v>130</v>
      </c>
      <c r="B6809" t="s">
        <v>1878</v>
      </c>
      <c r="C6809" t="s">
        <v>349</v>
      </c>
      <c r="D6809" t="s">
        <v>350</v>
      </c>
      <c r="E6809" s="8">
        <v>9930</v>
      </c>
      <c r="F6809" s="8">
        <v>52450</v>
      </c>
      <c r="G6809" s="8">
        <f t="shared" si="424"/>
        <v>520828500</v>
      </c>
      <c r="H6809" s="5">
        <v>0.2765</v>
      </c>
      <c r="I6809" s="8">
        <f t="shared" si="425"/>
        <v>520828500</v>
      </c>
      <c r="J6809" s="8">
        <f t="shared" si="426"/>
        <v>144009080.25</v>
      </c>
      <c r="K6809" t="str">
        <f t="shared" si="427"/>
        <v>MATCHED</v>
      </c>
    </row>
    <row r="6810" spans="1:11">
      <c r="A6810" t="s">
        <v>130</v>
      </c>
      <c r="B6810" t="s">
        <v>1878</v>
      </c>
      <c r="C6810" t="s">
        <v>351</v>
      </c>
      <c r="D6810" t="s">
        <v>352</v>
      </c>
      <c r="E6810" s="8">
        <v>2390</v>
      </c>
      <c r="F6810" s="8">
        <v>51030</v>
      </c>
      <c r="G6810" s="8">
        <f t="shared" si="424"/>
        <v>121961700</v>
      </c>
      <c r="H6810" s="5">
        <v>0.05</v>
      </c>
      <c r="I6810" s="8">
        <f t="shared" si="425"/>
        <v>121961700</v>
      </c>
      <c r="J6810" s="8">
        <f t="shared" si="426"/>
        <v>6098085</v>
      </c>
      <c r="K6810" t="str">
        <f t="shared" si="427"/>
        <v>MATCHED</v>
      </c>
    </row>
    <row r="6811" spans="1:11">
      <c r="A6811" t="s">
        <v>130</v>
      </c>
      <c r="B6811" t="s">
        <v>1878</v>
      </c>
      <c r="C6811" t="s">
        <v>353</v>
      </c>
      <c r="D6811" t="s">
        <v>354</v>
      </c>
      <c r="E6811" s="8">
        <v>18560</v>
      </c>
      <c r="F6811" s="8">
        <v>41030</v>
      </c>
      <c r="G6811" s="8">
        <f t="shared" si="424"/>
        <v>761516800</v>
      </c>
      <c r="H6811" s="5">
        <v>0.1614</v>
      </c>
      <c r="I6811" s="8">
        <f t="shared" si="425"/>
        <v>761516800</v>
      </c>
      <c r="J6811" s="8">
        <f t="shared" si="426"/>
        <v>122908811.52</v>
      </c>
      <c r="K6811" t="str">
        <f t="shared" si="427"/>
        <v>MATCHED</v>
      </c>
    </row>
    <row r="6812" spans="1:11">
      <c r="A6812" t="s">
        <v>130</v>
      </c>
      <c r="B6812" t="s">
        <v>1878</v>
      </c>
      <c r="C6812" t="s">
        <v>1627</v>
      </c>
      <c r="D6812" t="s">
        <v>1628</v>
      </c>
      <c r="E6812" s="8">
        <v>35790</v>
      </c>
      <c r="F6812" s="8">
        <v>46030</v>
      </c>
      <c r="G6812" s="8">
        <f t="shared" si="424"/>
        <v>1647413700</v>
      </c>
      <c r="H6812" s="5">
        <v>0.3167</v>
      </c>
      <c r="I6812" s="8">
        <f t="shared" si="425"/>
        <v>1647413700</v>
      </c>
      <c r="J6812" s="8">
        <f t="shared" si="426"/>
        <v>521735918.79</v>
      </c>
      <c r="K6812" t="str">
        <f t="shared" si="427"/>
        <v>MATCHED</v>
      </c>
    </row>
    <row r="6813" spans="1:11">
      <c r="A6813" t="s">
        <v>130</v>
      </c>
      <c r="B6813" t="s">
        <v>1878</v>
      </c>
      <c r="C6813" t="s">
        <v>1874</v>
      </c>
      <c r="D6813" t="s">
        <v>1875</v>
      </c>
      <c r="E6813" s="8">
        <v>6610</v>
      </c>
      <c r="F6813" s="8">
        <v>36590</v>
      </c>
      <c r="G6813" s="8">
        <f t="shared" si="424"/>
        <v>241859900</v>
      </c>
      <c r="H6813" s="5">
        <v>0.3545</v>
      </c>
      <c r="I6813" s="8">
        <f t="shared" si="425"/>
        <v>241859900</v>
      </c>
      <c r="J6813" s="8">
        <f t="shared" si="426"/>
        <v>85739334.55</v>
      </c>
      <c r="K6813" t="str">
        <f t="shared" si="427"/>
        <v>MATCHED</v>
      </c>
    </row>
    <row r="6814" spans="1:11">
      <c r="A6814" t="s">
        <v>130</v>
      </c>
      <c r="B6814" t="s">
        <v>1878</v>
      </c>
      <c r="C6814" t="s">
        <v>1587</v>
      </c>
      <c r="D6814" t="s">
        <v>1588</v>
      </c>
      <c r="E6814" s="8">
        <v>6760</v>
      </c>
      <c r="F6814" s="8">
        <v>41420</v>
      </c>
      <c r="G6814" s="8">
        <f t="shared" si="424"/>
        <v>279999200</v>
      </c>
      <c r="H6814" s="5"/>
      <c r="I6814" s="8" t="str">
        <f t="shared" si="425"/>
        <v/>
      </c>
      <c r="J6814" s="8" t="str">
        <f t="shared" si="426"/>
        <v/>
      </c>
      <c r="K6814" t="str">
        <f t="shared" si="427"/>
        <v>MISSING WHARTON</v>
      </c>
    </row>
    <row r="6815" spans="1:11">
      <c r="A6815" t="s">
        <v>130</v>
      </c>
      <c r="B6815" t="s">
        <v>1878</v>
      </c>
      <c r="C6815" t="s">
        <v>1589</v>
      </c>
      <c r="D6815" t="s">
        <v>1590</v>
      </c>
      <c r="E6815" s="8">
        <v>250</v>
      </c>
      <c r="F6815" s="8">
        <v>68690</v>
      </c>
      <c r="G6815" s="8">
        <f t="shared" si="424"/>
        <v>17172500</v>
      </c>
      <c r="H6815" s="5">
        <v>0.3068</v>
      </c>
      <c r="I6815" s="8">
        <f t="shared" si="425"/>
        <v>17172500</v>
      </c>
      <c r="J6815" s="8">
        <f t="shared" si="426"/>
        <v>5268523</v>
      </c>
      <c r="K6815" t="str">
        <f t="shared" si="427"/>
        <v>MATCHED</v>
      </c>
    </row>
    <row r="6816" spans="1:11">
      <c r="A6816" t="s">
        <v>130</v>
      </c>
      <c r="B6816" t="s">
        <v>1878</v>
      </c>
      <c r="C6816" t="s">
        <v>1276</v>
      </c>
      <c r="D6816" t="s">
        <v>1277</v>
      </c>
      <c r="E6816" s="8">
        <v>38370</v>
      </c>
      <c r="F6816" s="8">
        <v>34550</v>
      </c>
      <c r="G6816" s="8">
        <f t="shared" si="424"/>
        <v>1325683500</v>
      </c>
      <c r="H6816" s="5">
        <v>0.2109</v>
      </c>
      <c r="I6816" s="8">
        <f t="shared" si="425"/>
        <v>1325683500</v>
      </c>
      <c r="J6816" s="8">
        <f t="shared" si="426"/>
        <v>279586650.15</v>
      </c>
      <c r="K6816" t="str">
        <f t="shared" si="427"/>
        <v>MATCHED</v>
      </c>
    </row>
    <row r="6817" spans="1:11">
      <c r="A6817" t="s">
        <v>130</v>
      </c>
      <c r="B6817" t="s">
        <v>1878</v>
      </c>
      <c r="C6817" t="s">
        <v>876</v>
      </c>
      <c r="D6817" t="s">
        <v>877</v>
      </c>
      <c r="E6817" s="8">
        <v>298210</v>
      </c>
      <c r="F6817" s="8">
        <v>32050</v>
      </c>
      <c r="G6817" s="8">
        <f t="shared" si="424"/>
        <v>9557630500</v>
      </c>
      <c r="H6817" s="5">
        <v>0.25</v>
      </c>
      <c r="I6817" s="8">
        <f t="shared" si="425"/>
        <v>9557630500</v>
      </c>
      <c r="J6817" s="8">
        <f t="shared" si="426"/>
        <v>2389407625</v>
      </c>
      <c r="K6817" t="str">
        <f t="shared" si="427"/>
        <v>MATCHED</v>
      </c>
    </row>
    <row r="6818" spans="1:11">
      <c r="A6818" t="s">
        <v>130</v>
      </c>
      <c r="B6818" t="s">
        <v>1878</v>
      </c>
      <c r="C6818" t="s">
        <v>1591</v>
      </c>
      <c r="D6818" t="s">
        <v>1592</v>
      </c>
      <c r="E6818" s="8">
        <v>3950</v>
      </c>
      <c r="F6818" s="8">
        <v>52480</v>
      </c>
      <c r="G6818" s="8">
        <f t="shared" si="424"/>
        <v>207296000</v>
      </c>
      <c r="H6818" s="5">
        <v>0.1238</v>
      </c>
      <c r="I6818" s="8">
        <f t="shared" si="425"/>
        <v>207296000</v>
      </c>
      <c r="J6818" s="8">
        <f t="shared" si="426"/>
        <v>25663244.8</v>
      </c>
      <c r="K6818" t="str">
        <f t="shared" si="427"/>
        <v>MATCHED</v>
      </c>
    </row>
    <row r="6819" spans="1:11">
      <c r="A6819" t="s">
        <v>130</v>
      </c>
      <c r="B6819" t="s">
        <v>1878</v>
      </c>
      <c r="C6819" t="s">
        <v>1494</v>
      </c>
      <c r="D6819" t="s">
        <v>1495</v>
      </c>
      <c r="E6819" s="8">
        <v>5910</v>
      </c>
      <c r="F6819" s="8">
        <v>37420</v>
      </c>
      <c r="G6819" s="8">
        <f t="shared" si="424"/>
        <v>221152200</v>
      </c>
      <c r="H6819" s="5">
        <v>0.0413</v>
      </c>
      <c r="I6819" s="8">
        <f t="shared" si="425"/>
        <v>221152200</v>
      </c>
      <c r="J6819" s="8">
        <f t="shared" si="426"/>
        <v>9133585.86</v>
      </c>
      <c r="K6819" t="str">
        <f t="shared" si="427"/>
        <v>MATCHED</v>
      </c>
    </row>
    <row r="6820" spans="1:11">
      <c r="A6820" t="s">
        <v>130</v>
      </c>
      <c r="B6820" t="s">
        <v>1878</v>
      </c>
      <c r="C6820" t="s">
        <v>1593</v>
      </c>
      <c r="D6820" t="s">
        <v>1594</v>
      </c>
      <c r="E6820" s="8">
        <v>2920</v>
      </c>
      <c r="F6820" s="8">
        <v>34860</v>
      </c>
      <c r="G6820" s="8">
        <f t="shared" si="424"/>
        <v>101791200</v>
      </c>
      <c r="H6820" s="5"/>
      <c r="I6820" s="8" t="str">
        <f t="shared" si="425"/>
        <v/>
      </c>
      <c r="J6820" s="8" t="str">
        <f t="shared" si="426"/>
        <v/>
      </c>
      <c r="K6820" t="str">
        <f t="shared" si="427"/>
        <v>MISSING WHARTON</v>
      </c>
    </row>
    <row r="6821" spans="1:11">
      <c r="A6821" t="s">
        <v>130</v>
      </c>
      <c r="B6821" t="s">
        <v>1878</v>
      </c>
      <c r="C6821" t="s">
        <v>992</v>
      </c>
      <c r="D6821" t="s">
        <v>993</v>
      </c>
      <c r="E6821" s="8">
        <v>740</v>
      </c>
      <c r="F6821" s="8">
        <v>76690</v>
      </c>
      <c r="G6821" s="8">
        <f t="shared" si="424"/>
        <v>56750600</v>
      </c>
      <c r="H6821" s="5">
        <v>0.1239</v>
      </c>
      <c r="I6821" s="8">
        <f t="shared" si="425"/>
        <v>56750600</v>
      </c>
      <c r="J6821" s="8">
        <f t="shared" si="426"/>
        <v>7031399.34</v>
      </c>
      <c r="K6821" t="str">
        <f t="shared" si="427"/>
        <v>MATCHED</v>
      </c>
    </row>
    <row r="6822" spans="1:11">
      <c r="A6822" t="s">
        <v>130</v>
      </c>
      <c r="B6822" t="s">
        <v>1878</v>
      </c>
      <c r="C6822" t="s">
        <v>1595</v>
      </c>
      <c r="D6822" t="s">
        <v>1596</v>
      </c>
      <c r="E6822" s="8">
        <v>220</v>
      </c>
      <c r="F6822" s="8">
        <v>109700</v>
      </c>
      <c r="G6822" s="8">
        <f t="shared" si="424"/>
        <v>24134000</v>
      </c>
      <c r="H6822" s="5">
        <v>0.0786</v>
      </c>
      <c r="I6822" s="8">
        <f t="shared" si="425"/>
        <v>24134000</v>
      </c>
      <c r="J6822" s="8">
        <f t="shared" si="426"/>
        <v>1896932.4</v>
      </c>
      <c r="K6822" t="str">
        <f t="shared" si="427"/>
        <v>MATCHED</v>
      </c>
    </row>
    <row r="6823" spans="1:11">
      <c r="A6823" t="s">
        <v>130</v>
      </c>
      <c r="B6823" t="s">
        <v>1878</v>
      </c>
      <c r="C6823" t="s">
        <v>1496</v>
      </c>
      <c r="D6823" t="s">
        <v>1497</v>
      </c>
      <c r="E6823" s="8">
        <v>420</v>
      </c>
      <c r="F6823" s="8">
        <v>46580</v>
      </c>
      <c r="G6823" s="8">
        <f t="shared" si="424"/>
        <v>19563600</v>
      </c>
      <c r="H6823" s="5">
        <v>0.1056</v>
      </c>
      <c r="I6823" s="8">
        <f t="shared" si="425"/>
        <v>19563600</v>
      </c>
      <c r="J6823" s="8">
        <f t="shared" si="426"/>
        <v>2065916.16</v>
      </c>
      <c r="K6823" t="str">
        <f t="shared" si="427"/>
        <v>MATCHED</v>
      </c>
    </row>
    <row r="6824" spans="1:11">
      <c r="A6824" t="s">
        <v>130</v>
      </c>
      <c r="B6824" t="s">
        <v>1878</v>
      </c>
      <c r="C6824" t="s">
        <v>1449</v>
      </c>
      <c r="D6824" t="s">
        <v>1450</v>
      </c>
      <c r="E6824" s="8">
        <v>770</v>
      </c>
      <c r="F6824" s="8">
        <v>55320</v>
      </c>
      <c r="G6824" s="8">
        <f t="shared" si="424"/>
        <v>42596400</v>
      </c>
      <c r="H6824" s="5">
        <v>0.1056</v>
      </c>
      <c r="I6824" s="8">
        <f t="shared" si="425"/>
        <v>42596400</v>
      </c>
      <c r="J6824" s="8">
        <f t="shared" si="426"/>
        <v>4498179.84</v>
      </c>
      <c r="K6824" t="str">
        <f t="shared" si="427"/>
        <v>MATCHED</v>
      </c>
    </row>
    <row r="6825" spans="1:11">
      <c r="A6825" t="s">
        <v>130</v>
      </c>
      <c r="B6825" t="s">
        <v>1878</v>
      </c>
      <c r="C6825" t="s">
        <v>1498</v>
      </c>
      <c r="D6825" t="s">
        <v>1499</v>
      </c>
      <c r="E6825" s="8">
        <v>650</v>
      </c>
      <c r="F6825" s="8">
        <v>32840</v>
      </c>
      <c r="G6825" s="8">
        <f t="shared" si="424"/>
        <v>21346000</v>
      </c>
      <c r="H6825" s="5">
        <v>0.3353</v>
      </c>
      <c r="I6825" s="8">
        <f t="shared" si="425"/>
        <v>21346000</v>
      </c>
      <c r="J6825" s="8">
        <f t="shared" si="426"/>
        <v>7157313.8</v>
      </c>
      <c r="K6825" t="str">
        <f t="shared" si="427"/>
        <v>MATCHED</v>
      </c>
    </row>
    <row r="6826" spans="1:11">
      <c r="A6826" t="s">
        <v>130</v>
      </c>
      <c r="B6826" t="s">
        <v>1878</v>
      </c>
      <c r="C6826" t="s">
        <v>994</v>
      </c>
      <c r="D6826" t="s">
        <v>995</v>
      </c>
      <c r="E6826" s="8">
        <v>2770</v>
      </c>
      <c r="F6826" s="8">
        <v>37590</v>
      </c>
      <c r="G6826" s="8">
        <f t="shared" si="424"/>
        <v>104124300</v>
      </c>
      <c r="H6826" s="5">
        <v>0.65</v>
      </c>
      <c r="I6826" s="8">
        <f t="shared" si="425"/>
        <v>104124300</v>
      </c>
      <c r="J6826" s="8">
        <f t="shared" si="426"/>
        <v>67680795</v>
      </c>
      <c r="K6826" t="str">
        <f t="shared" si="427"/>
        <v>MATCHED</v>
      </c>
    </row>
    <row r="6827" spans="1:11">
      <c r="A6827" t="s">
        <v>130</v>
      </c>
      <c r="B6827" t="s">
        <v>1878</v>
      </c>
      <c r="C6827" t="s">
        <v>1278</v>
      </c>
      <c r="D6827" t="s">
        <v>1279</v>
      </c>
      <c r="E6827" s="8">
        <v>27590</v>
      </c>
      <c r="F6827" s="8">
        <v>42170</v>
      </c>
      <c r="G6827" s="8">
        <f t="shared" si="424"/>
        <v>1163470300</v>
      </c>
      <c r="H6827" s="5">
        <v>0.3177</v>
      </c>
      <c r="I6827" s="8">
        <f t="shared" si="425"/>
        <v>1163470300</v>
      </c>
      <c r="J6827" s="8">
        <f t="shared" si="426"/>
        <v>369634514.31</v>
      </c>
      <c r="K6827" t="str">
        <f t="shared" si="427"/>
        <v>MATCHED</v>
      </c>
    </row>
    <row r="6828" spans="1:11">
      <c r="A6828" t="s">
        <v>130</v>
      </c>
      <c r="B6828" t="s">
        <v>1878</v>
      </c>
      <c r="C6828" t="s">
        <v>996</v>
      </c>
      <c r="D6828" t="s">
        <v>997</v>
      </c>
      <c r="E6828" s="8">
        <v>30480</v>
      </c>
      <c r="F6828" s="8">
        <v>29560</v>
      </c>
      <c r="G6828" s="8">
        <f t="shared" si="424"/>
        <v>900988800</v>
      </c>
      <c r="H6828" s="5">
        <v>0.105</v>
      </c>
      <c r="I6828" s="8">
        <f t="shared" si="425"/>
        <v>900988800</v>
      </c>
      <c r="J6828" s="8">
        <f t="shared" si="426"/>
        <v>94603824</v>
      </c>
      <c r="K6828" t="str">
        <f t="shared" si="427"/>
        <v>MATCHED</v>
      </c>
    </row>
    <row r="6829" spans="1:11">
      <c r="A6829" t="s">
        <v>130</v>
      </c>
      <c r="B6829" t="s">
        <v>1878</v>
      </c>
      <c r="C6829" t="s">
        <v>998</v>
      </c>
      <c r="D6829" t="s">
        <v>999</v>
      </c>
      <c r="E6829" s="8">
        <v>219050</v>
      </c>
      <c r="F6829" s="8">
        <v>53770</v>
      </c>
      <c r="G6829" s="8">
        <f t="shared" si="424"/>
        <v>11778318500</v>
      </c>
      <c r="H6829" s="5">
        <v>0.0636</v>
      </c>
      <c r="I6829" s="8">
        <f t="shared" si="425"/>
        <v>11778318500</v>
      </c>
      <c r="J6829" s="8">
        <f t="shared" si="426"/>
        <v>749101056.6</v>
      </c>
      <c r="K6829" t="str">
        <f t="shared" si="427"/>
        <v>MATCHED</v>
      </c>
    </row>
    <row r="6830" spans="1:11">
      <c r="A6830" t="s">
        <v>130</v>
      </c>
      <c r="B6830" t="s">
        <v>1878</v>
      </c>
      <c r="C6830" t="s">
        <v>1280</v>
      </c>
      <c r="D6830" t="s">
        <v>1281</v>
      </c>
      <c r="E6830" s="8">
        <v>41240</v>
      </c>
      <c r="F6830" s="8">
        <v>35480</v>
      </c>
      <c r="G6830" s="8">
        <f t="shared" si="424"/>
        <v>1463195200</v>
      </c>
      <c r="H6830" s="5">
        <v>0.1667</v>
      </c>
      <c r="I6830" s="8">
        <f t="shared" si="425"/>
        <v>1463195200</v>
      </c>
      <c r="J6830" s="8">
        <f t="shared" si="426"/>
        <v>243914639.84</v>
      </c>
      <c r="K6830" t="str">
        <f t="shared" si="427"/>
        <v>MATCHED</v>
      </c>
    </row>
    <row r="6831" spans="1:11">
      <c r="A6831" t="s">
        <v>130</v>
      </c>
      <c r="B6831" t="s">
        <v>1878</v>
      </c>
      <c r="C6831" t="s">
        <v>1282</v>
      </c>
      <c r="D6831" t="s">
        <v>1283</v>
      </c>
      <c r="E6831" s="8">
        <v>50</v>
      </c>
      <c r="F6831" s="8">
        <v>50650</v>
      </c>
      <c r="G6831" s="8">
        <f t="shared" si="424"/>
        <v>2532500</v>
      </c>
      <c r="H6831" s="5">
        <v>0.2917</v>
      </c>
      <c r="I6831" s="8">
        <f t="shared" si="425"/>
        <v>2532500</v>
      </c>
      <c r="J6831" s="8">
        <f t="shared" si="426"/>
        <v>738730.25</v>
      </c>
      <c r="K6831" t="str">
        <f t="shared" si="427"/>
        <v>MATCHED</v>
      </c>
    </row>
    <row r="6832" spans="1:11">
      <c r="A6832" t="s">
        <v>130</v>
      </c>
      <c r="B6832" t="s">
        <v>1878</v>
      </c>
      <c r="C6832" t="s">
        <v>1500</v>
      </c>
      <c r="D6832" t="s">
        <v>1501</v>
      </c>
      <c r="E6832" s="8">
        <v>2860</v>
      </c>
      <c r="F6832" s="8">
        <v>36900</v>
      </c>
      <c r="G6832" s="8">
        <f t="shared" si="424"/>
        <v>105534000</v>
      </c>
      <c r="H6832" s="5"/>
      <c r="I6832" s="8" t="str">
        <f t="shared" si="425"/>
        <v/>
      </c>
      <c r="J6832" s="8" t="str">
        <f t="shared" si="426"/>
        <v/>
      </c>
      <c r="K6832" t="str">
        <f t="shared" si="427"/>
        <v>MISSING WHARTON</v>
      </c>
    </row>
    <row r="6833" spans="1:11">
      <c r="A6833" t="s">
        <v>130</v>
      </c>
      <c r="B6833" t="s">
        <v>1878</v>
      </c>
      <c r="C6833" t="s">
        <v>355</v>
      </c>
      <c r="D6833" t="s">
        <v>356</v>
      </c>
      <c r="E6833" s="8">
        <v>11670</v>
      </c>
      <c r="F6833" s="8">
        <v>51660</v>
      </c>
      <c r="G6833" s="8">
        <f t="shared" si="424"/>
        <v>602872200</v>
      </c>
      <c r="H6833" s="5">
        <v>0.4476</v>
      </c>
      <c r="I6833" s="8">
        <f t="shared" si="425"/>
        <v>602872200</v>
      </c>
      <c r="J6833" s="8">
        <f t="shared" si="426"/>
        <v>269845596.72</v>
      </c>
      <c r="K6833" t="str">
        <f t="shared" si="427"/>
        <v>MATCHED</v>
      </c>
    </row>
    <row r="6834" spans="1:11">
      <c r="A6834" t="s">
        <v>130</v>
      </c>
      <c r="B6834" t="s">
        <v>1878</v>
      </c>
      <c r="C6834" t="s">
        <v>357</v>
      </c>
      <c r="D6834" t="s">
        <v>358</v>
      </c>
      <c r="E6834" s="8">
        <v>2070</v>
      </c>
      <c r="F6834" s="8">
        <v>64290</v>
      </c>
      <c r="G6834" s="8">
        <f t="shared" si="424"/>
        <v>133080300</v>
      </c>
      <c r="H6834" s="5">
        <v>0.4833</v>
      </c>
      <c r="I6834" s="8">
        <f t="shared" si="425"/>
        <v>133080300</v>
      </c>
      <c r="J6834" s="8">
        <f t="shared" si="426"/>
        <v>64317708.99</v>
      </c>
      <c r="K6834" t="str">
        <f t="shared" si="427"/>
        <v>MATCHED</v>
      </c>
    </row>
    <row r="6835" spans="1:11">
      <c r="A6835" t="s">
        <v>130</v>
      </c>
      <c r="B6835" t="s">
        <v>1878</v>
      </c>
      <c r="C6835" t="s">
        <v>648</v>
      </c>
      <c r="D6835" t="s">
        <v>649</v>
      </c>
      <c r="E6835" s="8">
        <v>49400</v>
      </c>
      <c r="F6835" s="8">
        <v>33380</v>
      </c>
      <c r="G6835" s="8">
        <f t="shared" si="424"/>
        <v>1648972000</v>
      </c>
      <c r="H6835" s="5">
        <v>0.6672</v>
      </c>
      <c r="I6835" s="8">
        <f t="shared" si="425"/>
        <v>1648972000</v>
      </c>
      <c r="J6835" s="8">
        <f t="shared" si="426"/>
        <v>1100194118.4</v>
      </c>
      <c r="K6835" t="str">
        <f t="shared" si="427"/>
        <v>MATCHED</v>
      </c>
    </row>
    <row r="6836" spans="1:11">
      <c r="A6836" t="s">
        <v>130</v>
      </c>
      <c r="B6836" t="s">
        <v>1878</v>
      </c>
      <c r="C6836" t="s">
        <v>1881</v>
      </c>
      <c r="D6836" t="s">
        <v>1882</v>
      </c>
      <c r="E6836" s="8">
        <v>12260</v>
      </c>
      <c r="F6836" s="8">
        <v>38080</v>
      </c>
      <c r="G6836" s="8">
        <f t="shared" si="424"/>
        <v>466860800</v>
      </c>
      <c r="H6836" s="5">
        <v>0.4467</v>
      </c>
      <c r="I6836" s="8">
        <f t="shared" si="425"/>
        <v>466860800</v>
      </c>
      <c r="J6836" s="8">
        <f t="shared" si="426"/>
        <v>208546719.36</v>
      </c>
      <c r="K6836" t="str">
        <f t="shared" si="427"/>
        <v>MATCHED</v>
      </c>
    </row>
    <row r="6837" spans="1:11">
      <c r="A6837" t="s">
        <v>130</v>
      </c>
      <c r="B6837" t="s">
        <v>1878</v>
      </c>
      <c r="C6837" t="s">
        <v>878</v>
      </c>
      <c r="D6837" t="s">
        <v>879</v>
      </c>
      <c r="E6837" s="8">
        <v>10640</v>
      </c>
      <c r="F6837" s="8">
        <v>33670</v>
      </c>
      <c r="G6837" s="8">
        <f t="shared" si="424"/>
        <v>358248800</v>
      </c>
      <c r="H6837" s="5">
        <v>0.7719</v>
      </c>
      <c r="I6837" s="8">
        <f t="shared" si="425"/>
        <v>358248800</v>
      </c>
      <c r="J6837" s="8">
        <f t="shared" si="426"/>
        <v>276532248.72</v>
      </c>
      <c r="K6837" t="str">
        <f t="shared" si="427"/>
        <v>MATCHED</v>
      </c>
    </row>
    <row r="6838" spans="1:11">
      <c r="A6838" t="s">
        <v>130</v>
      </c>
      <c r="B6838" t="s">
        <v>1878</v>
      </c>
      <c r="C6838" t="s">
        <v>1000</v>
      </c>
      <c r="D6838" t="s">
        <v>1001</v>
      </c>
      <c r="E6838" s="8">
        <v>140</v>
      </c>
      <c r="F6838" s="8">
        <v>52010</v>
      </c>
      <c r="G6838" s="8">
        <f t="shared" si="424"/>
        <v>7281400</v>
      </c>
      <c r="H6838" s="5">
        <v>0.3737</v>
      </c>
      <c r="I6838" s="8">
        <f t="shared" si="425"/>
        <v>7281400</v>
      </c>
      <c r="J6838" s="8">
        <f t="shared" si="426"/>
        <v>2721059.18</v>
      </c>
      <c r="K6838" t="str">
        <f t="shared" si="427"/>
        <v>MATCHED</v>
      </c>
    </row>
    <row r="6839" spans="1:11">
      <c r="A6839" t="s">
        <v>130</v>
      </c>
      <c r="B6839" t="s">
        <v>1878</v>
      </c>
      <c r="C6839" t="s">
        <v>359</v>
      </c>
      <c r="D6839" t="s">
        <v>360</v>
      </c>
      <c r="E6839" s="8">
        <v>49050</v>
      </c>
      <c r="F6839" s="8">
        <v>34050</v>
      </c>
      <c r="G6839" s="8">
        <f t="shared" si="424"/>
        <v>1670152500</v>
      </c>
      <c r="H6839" s="5">
        <v>0.4938</v>
      </c>
      <c r="I6839" s="8">
        <f t="shared" si="425"/>
        <v>1670152500</v>
      </c>
      <c r="J6839" s="8">
        <f t="shared" si="426"/>
        <v>824721304.5</v>
      </c>
      <c r="K6839" t="str">
        <f t="shared" si="427"/>
        <v>MATCHED</v>
      </c>
    </row>
    <row r="6840" spans="1:11">
      <c r="A6840" t="s">
        <v>130</v>
      </c>
      <c r="B6840" t="s">
        <v>1878</v>
      </c>
      <c r="C6840" t="s">
        <v>1002</v>
      </c>
      <c r="D6840" t="s">
        <v>1003</v>
      </c>
      <c r="E6840" s="8">
        <v>620</v>
      </c>
      <c r="F6840" s="8">
        <v>65510</v>
      </c>
      <c r="G6840" s="8">
        <f t="shared" si="424"/>
        <v>40616200</v>
      </c>
      <c r="H6840" s="5">
        <v>0.6725</v>
      </c>
      <c r="I6840" s="8">
        <f t="shared" si="425"/>
        <v>40616200</v>
      </c>
      <c r="J6840" s="8">
        <f t="shared" si="426"/>
        <v>27314394.5</v>
      </c>
      <c r="K6840" t="str">
        <f t="shared" si="427"/>
        <v>MATCHED</v>
      </c>
    </row>
    <row r="6841" spans="1:11">
      <c r="A6841" t="s">
        <v>130</v>
      </c>
      <c r="B6841" t="s">
        <v>1878</v>
      </c>
      <c r="C6841" t="s">
        <v>1533</v>
      </c>
      <c r="D6841" t="s">
        <v>1534</v>
      </c>
      <c r="E6841" s="8">
        <v>820</v>
      </c>
      <c r="F6841" s="8">
        <v>57860</v>
      </c>
      <c r="G6841" s="8">
        <f t="shared" si="424"/>
        <v>47445200</v>
      </c>
      <c r="H6841" s="5">
        <v>0.925</v>
      </c>
      <c r="I6841" s="8">
        <f t="shared" si="425"/>
        <v>47445200</v>
      </c>
      <c r="J6841" s="8">
        <f t="shared" si="426"/>
        <v>43886810</v>
      </c>
      <c r="K6841" t="str">
        <f t="shared" si="427"/>
        <v>MATCHED</v>
      </c>
    </row>
    <row r="6842" spans="1:11">
      <c r="A6842" t="s">
        <v>130</v>
      </c>
      <c r="B6842" t="s">
        <v>1878</v>
      </c>
      <c r="C6842" t="s">
        <v>361</v>
      </c>
      <c r="D6842" t="s">
        <v>362</v>
      </c>
      <c r="E6842" s="8">
        <v>32460</v>
      </c>
      <c r="F6842" s="8">
        <v>47430</v>
      </c>
      <c r="G6842" s="8">
        <f t="shared" si="424"/>
        <v>1539577800</v>
      </c>
      <c r="H6842" s="5">
        <v>0.73</v>
      </c>
      <c r="I6842" s="8">
        <f t="shared" si="425"/>
        <v>1539577800</v>
      </c>
      <c r="J6842" s="8">
        <f t="shared" si="426"/>
        <v>1123891794</v>
      </c>
      <c r="K6842" t="str">
        <f t="shared" si="427"/>
        <v>MATCHED</v>
      </c>
    </row>
    <row r="6843" spans="1:11">
      <c r="A6843" t="s">
        <v>130</v>
      </c>
      <c r="B6843" t="s">
        <v>1878</v>
      </c>
      <c r="C6843" t="s">
        <v>652</v>
      </c>
      <c r="D6843" t="s">
        <v>653</v>
      </c>
      <c r="E6843" s="8"/>
      <c r="F6843" s="8">
        <v>80090</v>
      </c>
      <c r="G6843" s="8" t="str">
        <f t="shared" si="424"/>
        <v/>
      </c>
      <c r="H6843" s="5">
        <v>0.6463</v>
      </c>
      <c r="I6843" s="8" t="str">
        <f t="shared" si="425"/>
        <v/>
      </c>
      <c r="J6843" s="8" t="str">
        <f t="shared" si="426"/>
        <v/>
      </c>
      <c r="K6843" t="str">
        <f t="shared" si="427"/>
        <v>MISSING OEWS</v>
      </c>
    </row>
    <row r="6844" spans="1:11">
      <c r="A6844" t="s">
        <v>130</v>
      </c>
      <c r="B6844" t="s">
        <v>1878</v>
      </c>
      <c r="C6844" t="s">
        <v>363</v>
      </c>
      <c r="D6844" t="s">
        <v>364</v>
      </c>
      <c r="E6844" s="8">
        <v>1000</v>
      </c>
      <c r="F6844" s="8">
        <v>61650</v>
      </c>
      <c r="G6844" s="8">
        <f t="shared" si="424"/>
        <v>61650000</v>
      </c>
      <c r="H6844" s="5">
        <v>0.5105</v>
      </c>
      <c r="I6844" s="8">
        <f t="shared" si="425"/>
        <v>61650000</v>
      </c>
      <c r="J6844" s="8">
        <f t="shared" si="426"/>
        <v>31472325</v>
      </c>
      <c r="K6844" t="str">
        <f t="shared" si="427"/>
        <v>MATCHED</v>
      </c>
    </row>
    <row r="6845" spans="1:11">
      <c r="A6845" t="s">
        <v>130</v>
      </c>
      <c r="B6845" t="s">
        <v>1878</v>
      </c>
      <c r="C6845" t="s">
        <v>1006</v>
      </c>
      <c r="D6845" t="s">
        <v>1007</v>
      </c>
      <c r="E6845" s="8">
        <v>2360</v>
      </c>
      <c r="F6845" s="8">
        <v>54540</v>
      </c>
      <c r="G6845" s="8">
        <f t="shared" si="424"/>
        <v>128714400</v>
      </c>
      <c r="H6845" s="5">
        <v>0.3062</v>
      </c>
      <c r="I6845" s="8">
        <f t="shared" si="425"/>
        <v>128714400</v>
      </c>
      <c r="J6845" s="8">
        <f t="shared" si="426"/>
        <v>39412349.28</v>
      </c>
      <c r="K6845" t="str">
        <f t="shared" si="427"/>
        <v>MATCHED</v>
      </c>
    </row>
    <row r="6846" spans="1:11">
      <c r="A6846" t="s">
        <v>130</v>
      </c>
      <c r="B6846" t="s">
        <v>1878</v>
      </c>
      <c r="C6846" t="s">
        <v>1451</v>
      </c>
      <c r="D6846" t="s">
        <v>1452</v>
      </c>
      <c r="E6846" s="8">
        <v>390</v>
      </c>
      <c r="F6846" s="8"/>
      <c r="G6846" s="8" t="str">
        <f t="shared" si="424"/>
        <v/>
      </c>
      <c r="H6846" s="5">
        <v>0.2071</v>
      </c>
      <c r="I6846" s="8" t="str">
        <f t="shared" si="425"/>
        <v/>
      </c>
      <c r="J6846" s="8" t="str">
        <f t="shared" si="426"/>
        <v/>
      </c>
      <c r="K6846" t="str">
        <f t="shared" si="427"/>
        <v>MISSING OEWS</v>
      </c>
    </row>
    <row r="6847" spans="1:11">
      <c r="A6847" t="s">
        <v>130</v>
      </c>
      <c r="B6847" t="s">
        <v>1878</v>
      </c>
      <c r="C6847" t="s">
        <v>1008</v>
      </c>
      <c r="D6847" t="s">
        <v>1009</v>
      </c>
      <c r="E6847" s="8">
        <v>50</v>
      </c>
      <c r="F6847" s="8"/>
      <c r="G6847" s="8" t="str">
        <f t="shared" si="424"/>
        <v/>
      </c>
      <c r="H6847" s="5">
        <v>0.5816</v>
      </c>
      <c r="I6847" s="8" t="str">
        <f t="shared" si="425"/>
        <v/>
      </c>
      <c r="J6847" s="8" t="str">
        <f t="shared" si="426"/>
        <v/>
      </c>
      <c r="K6847" t="str">
        <f t="shared" si="427"/>
        <v>MISSING OEWS</v>
      </c>
    </row>
    <row r="6848" spans="1:11">
      <c r="A6848" t="s">
        <v>130</v>
      </c>
      <c r="B6848" t="s">
        <v>1878</v>
      </c>
      <c r="C6848" t="s">
        <v>654</v>
      </c>
      <c r="D6848" t="s">
        <v>655</v>
      </c>
      <c r="E6848" s="8">
        <v>80</v>
      </c>
      <c r="F6848" s="8">
        <v>91940</v>
      </c>
      <c r="G6848" s="8">
        <f t="shared" si="424"/>
        <v>7355200</v>
      </c>
      <c r="H6848" s="5">
        <v>0.5939</v>
      </c>
      <c r="I6848" s="8">
        <f t="shared" si="425"/>
        <v>7355200</v>
      </c>
      <c r="J6848" s="8">
        <f t="shared" si="426"/>
        <v>4368253.28</v>
      </c>
      <c r="K6848" t="str">
        <f t="shared" si="427"/>
        <v>MATCHED</v>
      </c>
    </row>
    <row r="6849" spans="1:11">
      <c r="A6849" t="s">
        <v>130</v>
      </c>
      <c r="B6849" t="s">
        <v>1878</v>
      </c>
      <c r="C6849" t="s">
        <v>1010</v>
      </c>
      <c r="D6849" t="s">
        <v>1011</v>
      </c>
      <c r="E6849" s="8">
        <v>100</v>
      </c>
      <c r="F6849" s="8">
        <v>40870</v>
      </c>
      <c r="G6849" s="8">
        <f t="shared" si="424"/>
        <v>4087000</v>
      </c>
      <c r="H6849" s="5">
        <v>0.9625</v>
      </c>
      <c r="I6849" s="8">
        <f t="shared" si="425"/>
        <v>4087000</v>
      </c>
      <c r="J6849" s="8">
        <f t="shared" si="426"/>
        <v>3933737.5</v>
      </c>
      <c r="K6849" t="str">
        <f t="shared" si="427"/>
        <v>MATCHED</v>
      </c>
    </row>
    <row r="6850" spans="1:11">
      <c r="A6850" t="s">
        <v>130</v>
      </c>
      <c r="B6850" t="s">
        <v>1878</v>
      </c>
      <c r="C6850" t="s">
        <v>1012</v>
      </c>
      <c r="D6850" t="s">
        <v>1013</v>
      </c>
      <c r="E6850" s="8"/>
      <c r="F6850" s="8">
        <v>41710</v>
      </c>
      <c r="G6850" s="8" t="str">
        <f t="shared" ref="G6850:G6913" si="428">IF(OR(E6850="",F6850=""),"",E6850*F6850)</f>
        <v/>
      </c>
      <c r="H6850" s="5">
        <v>0.3167</v>
      </c>
      <c r="I6850" s="8" t="str">
        <f t="shared" ref="I6850:I6913" si="429">IF(G6850="","",IF(ISNUMBER(H6850),G6850,""))</f>
        <v/>
      </c>
      <c r="J6850" s="8" t="str">
        <f t="shared" ref="J6850:J6913" si="430">IF(I6850="","",I6850*H6850)</f>
        <v/>
      </c>
      <c r="K6850" t="str">
        <f t="shared" ref="K6850:K6913" si="431">IF(G6850="","MISSING OEWS",IF(ISNUMBER(H6850),"MATCHED","MISSING WHARTON"))</f>
        <v>MISSING OEWS</v>
      </c>
    </row>
    <row r="6851" spans="1:11">
      <c r="A6851" t="s">
        <v>130</v>
      </c>
      <c r="B6851" t="s">
        <v>1878</v>
      </c>
      <c r="C6851" t="s">
        <v>365</v>
      </c>
      <c r="D6851" t="s">
        <v>366</v>
      </c>
      <c r="E6851" s="8">
        <v>2060</v>
      </c>
      <c r="F6851" s="8">
        <v>53790</v>
      </c>
      <c r="G6851" s="8">
        <f t="shared" si="428"/>
        <v>110807400</v>
      </c>
      <c r="H6851" s="5"/>
      <c r="I6851" s="8" t="str">
        <f t="shared" si="429"/>
        <v/>
      </c>
      <c r="J6851" s="8" t="str">
        <f t="shared" si="430"/>
        <v/>
      </c>
      <c r="K6851" t="str">
        <f t="shared" si="431"/>
        <v>MISSING WHARTON</v>
      </c>
    </row>
    <row r="6852" spans="1:11">
      <c r="A6852" t="s">
        <v>130</v>
      </c>
      <c r="B6852" t="s">
        <v>1878</v>
      </c>
      <c r="C6852" t="s">
        <v>367</v>
      </c>
      <c r="D6852" t="s">
        <v>368</v>
      </c>
      <c r="E6852" s="8">
        <v>18810</v>
      </c>
      <c r="F6852" s="8">
        <v>58820</v>
      </c>
      <c r="G6852" s="8">
        <f t="shared" si="428"/>
        <v>1106404200</v>
      </c>
      <c r="H6852" s="5">
        <v>0.5034</v>
      </c>
      <c r="I6852" s="8">
        <f t="shared" si="429"/>
        <v>1106404200</v>
      </c>
      <c r="J6852" s="8">
        <f t="shared" si="430"/>
        <v>556963874.28</v>
      </c>
      <c r="K6852" t="str">
        <f t="shared" si="431"/>
        <v>MATCHED</v>
      </c>
    </row>
    <row r="6853" spans="1:11">
      <c r="A6853" t="s">
        <v>130</v>
      </c>
      <c r="B6853" t="s">
        <v>1878</v>
      </c>
      <c r="C6853" t="s">
        <v>1014</v>
      </c>
      <c r="D6853" t="s">
        <v>1015</v>
      </c>
      <c r="E6853" s="8">
        <v>250</v>
      </c>
      <c r="F6853" s="8">
        <v>39860</v>
      </c>
      <c r="G6853" s="8">
        <f t="shared" si="428"/>
        <v>9965000</v>
      </c>
      <c r="H6853" s="5">
        <v>0.7579</v>
      </c>
      <c r="I6853" s="8">
        <f t="shared" si="429"/>
        <v>9965000</v>
      </c>
      <c r="J6853" s="8">
        <f t="shared" si="430"/>
        <v>7552473.5</v>
      </c>
      <c r="K6853" t="str">
        <f t="shared" si="431"/>
        <v>MATCHED</v>
      </c>
    </row>
    <row r="6854" spans="1:11">
      <c r="A6854" t="s">
        <v>130</v>
      </c>
      <c r="B6854" t="s">
        <v>1878</v>
      </c>
      <c r="C6854" t="s">
        <v>880</v>
      </c>
      <c r="D6854" t="s">
        <v>881</v>
      </c>
      <c r="E6854" s="8">
        <v>340</v>
      </c>
      <c r="F6854" s="8">
        <v>49740</v>
      </c>
      <c r="G6854" s="8">
        <f t="shared" si="428"/>
        <v>16911600</v>
      </c>
      <c r="H6854" s="5">
        <v>0.9</v>
      </c>
      <c r="I6854" s="8">
        <f t="shared" si="429"/>
        <v>16911600</v>
      </c>
      <c r="J6854" s="8">
        <f t="shared" si="430"/>
        <v>15220440</v>
      </c>
      <c r="K6854" t="str">
        <f t="shared" si="431"/>
        <v>MATCHED</v>
      </c>
    </row>
    <row r="6855" spans="1:11">
      <c r="A6855" t="s">
        <v>130</v>
      </c>
      <c r="B6855" t="s">
        <v>1878</v>
      </c>
      <c r="C6855" t="s">
        <v>369</v>
      </c>
      <c r="D6855" t="s">
        <v>370</v>
      </c>
      <c r="E6855" s="8">
        <v>530</v>
      </c>
      <c r="F6855" s="8">
        <v>50240</v>
      </c>
      <c r="G6855" s="8">
        <f t="shared" si="428"/>
        <v>26627200</v>
      </c>
      <c r="H6855" s="5">
        <v>0.8617</v>
      </c>
      <c r="I6855" s="8">
        <f t="shared" si="429"/>
        <v>26627200</v>
      </c>
      <c r="J6855" s="8">
        <f t="shared" si="430"/>
        <v>22944658.24</v>
      </c>
      <c r="K6855" t="str">
        <f t="shared" si="431"/>
        <v>MATCHED</v>
      </c>
    </row>
    <row r="6856" spans="1:11">
      <c r="A6856" t="s">
        <v>130</v>
      </c>
      <c r="B6856" t="s">
        <v>1878</v>
      </c>
      <c r="C6856" t="s">
        <v>371</v>
      </c>
      <c r="D6856" t="s">
        <v>372</v>
      </c>
      <c r="E6856" s="8">
        <v>19230</v>
      </c>
      <c r="F6856" s="8">
        <v>51110</v>
      </c>
      <c r="G6856" s="8">
        <f t="shared" si="428"/>
        <v>982845300</v>
      </c>
      <c r="H6856" s="5">
        <v>0.9517</v>
      </c>
      <c r="I6856" s="8">
        <f t="shared" si="429"/>
        <v>982845300</v>
      </c>
      <c r="J6856" s="8">
        <f t="shared" si="430"/>
        <v>935373872.01</v>
      </c>
      <c r="K6856" t="str">
        <f t="shared" si="431"/>
        <v>MATCHED</v>
      </c>
    </row>
    <row r="6857" spans="1:11">
      <c r="A6857" t="s">
        <v>130</v>
      </c>
      <c r="B6857" t="s">
        <v>1878</v>
      </c>
      <c r="C6857" t="s">
        <v>1883</v>
      </c>
      <c r="D6857" t="s">
        <v>1884</v>
      </c>
      <c r="E6857" s="8">
        <v>8220</v>
      </c>
      <c r="F6857" s="8">
        <v>38650</v>
      </c>
      <c r="G6857" s="8">
        <f t="shared" si="428"/>
        <v>317703000</v>
      </c>
      <c r="H6857" s="5">
        <v>0.5441</v>
      </c>
      <c r="I6857" s="8">
        <f t="shared" si="429"/>
        <v>317703000</v>
      </c>
      <c r="J6857" s="8">
        <f t="shared" si="430"/>
        <v>172862202.3</v>
      </c>
      <c r="K6857" t="str">
        <f t="shared" si="431"/>
        <v>MATCHED</v>
      </c>
    </row>
    <row r="6858" spans="1:11">
      <c r="A6858" t="s">
        <v>130</v>
      </c>
      <c r="B6858" t="s">
        <v>1878</v>
      </c>
      <c r="C6858" t="s">
        <v>373</v>
      </c>
      <c r="D6858" t="s">
        <v>374</v>
      </c>
      <c r="E6858" s="8">
        <v>1560</v>
      </c>
      <c r="F6858" s="8">
        <v>57240</v>
      </c>
      <c r="G6858" s="8">
        <f t="shared" si="428"/>
        <v>89294400</v>
      </c>
      <c r="H6858" s="5">
        <v>0.9409</v>
      </c>
      <c r="I6858" s="8">
        <f t="shared" si="429"/>
        <v>89294400</v>
      </c>
      <c r="J6858" s="8">
        <f t="shared" si="430"/>
        <v>84017100.96</v>
      </c>
      <c r="K6858" t="str">
        <f t="shared" si="431"/>
        <v>MATCHED</v>
      </c>
    </row>
    <row r="6859" spans="1:11">
      <c r="A6859" t="s">
        <v>130</v>
      </c>
      <c r="B6859" t="s">
        <v>1878</v>
      </c>
      <c r="C6859" t="s">
        <v>375</v>
      </c>
      <c r="D6859" t="s">
        <v>376</v>
      </c>
      <c r="E6859" s="8">
        <v>370</v>
      </c>
      <c r="F6859" s="8">
        <v>46300</v>
      </c>
      <c r="G6859" s="8">
        <f t="shared" si="428"/>
        <v>17131000</v>
      </c>
      <c r="H6859" s="5">
        <v>0.8237</v>
      </c>
      <c r="I6859" s="8">
        <f t="shared" si="429"/>
        <v>17131000</v>
      </c>
      <c r="J6859" s="8">
        <f t="shared" si="430"/>
        <v>14110804.7</v>
      </c>
      <c r="K6859" t="str">
        <f t="shared" si="431"/>
        <v>MATCHED</v>
      </c>
    </row>
    <row r="6860" spans="1:11">
      <c r="A6860" t="s">
        <v>130</v>
      </c>
      <c r="B6860" t="s">
        <v>1878</v>
      </c>
      <c r="C6860" t="s">
        <v>882</v>
      </c>
      <c r="D6860" t="s">
        <v>883</v>
      </c>
      <c r="E6860" s="8">
        <v>70</v>
      </c>
      <c r="F6860" s="8">
        <v>36570</v>
      </c>
      <c r="G6860" s="8">
        <f t="shared" si="428"/>
        <v>2559900</v>
      </c>
      <c r="H6860" s="5">
        <v>0.9138</v>
      </c>
      <c r="I6860" s="8">
        <f t="shared" si="429"/>
        <v>2559900</v>
      </c>
      <c r="J6860" s="8">
        <f t="shared" si="430"/>
        <v>2339236.62</v>
      </c>
      <c r="K6860" t="str">
        <f t="shared" si="431"/>
        <v>MATCHED</v>
      </c>
    </row>
    <row r="6861" spans="1:11">
      <c r="A6861" t="s">
        <v>130</v>
      </c>
      <c r="B6861" t="s">
        <v>1878</v>
      </c>
      <c r="C6861" t="s">
        <v>884</v>
      </c>
      <c r="D6861" t="s">
        <v>885</v>
      </c>
      <c r="E6861" s="8">
        <v>150</v>
      </c>
      <c r="F6861" s="8">
        <v>45090</v>
      </c>
      <c r="G6861" s="8">
        <f t="shared" si="428"/>
        <v>6763500</v>
      </c>
      <c r="H6861" s="5"/>
      <c r="I6861" s="8" t="str">
        <f t="shared" si="429"/>
        <v/>
      </c>
      <c r="J6861" s="8" t="str">
        <f t="shared" si="430"/>
        <v/>
      </c>
      <c r="K6861" t="str">
        <f t="shared" si="431"/>
        <v>MISSING WHARTON</v>
      </c>
    </row>
    <row r="6862" spans="1:11">
      <c r="A6862" t="s">
        <v>130</v>
      </c>
      <c r="B6862" t="s">
        <v>1878</v>
      </c>
      <c r="C6862" t="s">
        <v>377</v>
      </c>
      <c r="D6862" t="s">
        <v>378</v>
      </c>
      <c r="E6862" s="8">
        <v>63630</v>
      </c>
      <c r="F6862" s="8">
        <v>36390</v>
      </c>
      <c r="G6862" s="8">
        <f t="shared" si="428"/>
        <v>2315495700</v>
      </c>
      <c r="H6862" s="5">
        <v>0.82</v>
      </c>
      <c r="I6862" s="8">
        <f t="shared" si="429"/>
        <v>2315495700</v>
      </c>
      <c r="J6862" s="8">
        <f t="shared" si="430"/>
        <v>1898706474</v>
      </c>
      <c r="K6862" t="str">
        <f t="shared" si="431"/>
        <v>MATCHED</v>
      </c>
    </row>
    <row r="6863" spans="1:11">
      <c r="A6863" t="s">
        <v>130</v>
      </c>
      <c r="B6863" t="s">
        <v>1878</v>
      </c>
      <c r="C6863" t="s">
        <v>379</v>
      </c>
      <c r="D6863" t="s">
        <v>380</v>
      </c>
      <c r="E6863" s="8">
        <v>190</v>
      </c>
      <c r="F6863" s="8">
        <v>42800</v>
      </c>
      <c r="G6863" s="8">
        <f t="shared" si="428"/>
        <v>8132000</v>
      </c>
      <c r="H6863" s="5">
        <v>0.7526</v>
      </c>
      <c r="I6863" s="8">
        <f t="shared" si="429"/>
        <v>8132000</v>
      </c>
      <c r="J6863" s="8">
        <f t="shared" si="430"/>
        <v>6120143.2</v>
      </c>
      <c r="K6863" t="str">
        <f t="shared" si="431"/>
        <v>MATCHED</v>
      </c>
    </row>
    <row r="6864" spans="1:11">
      <c r="A6864" t="s">
        <v>130</v>
      </c>
      <c r="B6864" t="s">
        <v>1878</v>
      </c>
      <c r="C6864" t="s">
        <v>1506</v>
      </c>
      <c r="D6864" t="s">
        <v>1507</v>
      </c>
      <c r="E6864" s="8">
        <v>2760</v>
      </c>
      <c r="F6864" s="8">
        <v>36470</v>
      </c>
      <c r="G6864" s="8">
        <f t="shared" si="428"/>
        <v>100657200</v>
      </c>
      <c r="H6864" s="5">
        <v>0.665</v>
      </c>
      <c r="I6864" s="8">
        <f t="shared" si="429"/>
        <v>100657200</v>
      </c>
      <c r="J6864" s="8">
        <f t="shared" si="430"/>
        <v>66937038</v>
      </c>
      <c r="K6864" t="str">
        <f t="shared" si="431"/>
        <v>MATCHED</v>
      </c>
    </row>
    <row r="6865" spans="1:11">
      <c r="A6865" t="s">
        <v>130</v>
      </c>
      <c r="B6865" t="s">
        <v>1878</v>
      </c>
      <c r="C6865" t="s">
        <v>1286</v>
      </c>
      <c r="D6865" t="s">
        <v>1287</v>
      </c>
      <c r="E6865" s="8">
        <v>160</v>
      </c>
      <c r="F6865" s="8">
        <v>49940</v>
      </c>
      <c r="G6865" s="8">
        <f t="shared" si="428"/>
        <v>7990400</v>
      </c>
      <c r="H6865" s="5">
        <v>0.7088</v>
      </c>
      <c r="I6865" s="8">
        <f t="shared" si="429"/>
        <v>7990400</v>
      </c>
      <c r="J6865" s="8">
        <f t="shared" si="430"/>
        <v>5663595.52</v>
      </c>
      <c r="K6865" t="str">
        <f t="shared" si="431"/>
        <v>MATCHED</v>
      </c>
    </row>
    <row r="6866" spans="1:11">
      <c r="A6866" t="s">
        <v>130</v>
      </c>
      <c r="B6866" t="s">
        <v>1878</v>
      </c>
      <c r="C6866" t="s">
        <v>1599</v>
      </c>
      <c r="D6866" t="s">
        <v>1600</v>
      </c>
      <c r="E6866" s="8">
        <v>70</v>
      </c>
      <c r="F6866" s="8">
        <v>42860</v>
      </c>
      <c r="G6866" s="8">
        <f t="shared" si="428"/>
        <v>3000200</v>
      </c>
      <c r="H6866" s="5">
        <v>0.547</v>
      </c>
      <c r="I6866" s="8">
        <f t="shared" si="429"/>
        <v>3000200</v>
      </c>
      <c r="J6866" s="8">
        <f t="shared" si="430"/>
        <v>1641109.4</v>
      </c>
      <c r="K6866" t="str">
        <f t="shared" si="431"/>
        <v>MATCHED</v>
      </c>
    </row>
    <row r="6867" spans="1:11">
      <c r="A6867" t="s">
        <v>130</v>
      </c>
      <c r="B6867" t="s">
        <v>1878</v>
      </c>
      <c r="C6867" t="s">
        <v>381</v>
      </c>
      <c r="D6867" t="s">
        <v>382</v>
      </c>
      <c r="E6867" s="8">
        <v>100</v>
      </c>
      <c r="F6867" s="8">
        <v>44340</v>
      </c>
      <c r="G6867" s="8">
        <f t="shared" si="428"/>
        <v>4434000</v>
      </c>
      <c r="H6867" s="5">
        <v>0.9553</v>
      </c>
      <c r="I6867" s="8">
        <f t="shared" si="429"/>
        <v>4434000</v>
      </c>
      <c r="J6867" s="8">
        <f t="shared" si="430"/>
        <v>4235800.2</v>
      </c>
      <c r="K6867" t="str">
        <f t="shared" si="431"/>
        <v>MATCHED</v>
      </c>
    </row>
    <row r="6868" spans="1:11">
      <c r="A6868" t="s">
        <v>130</v>
      </c>
      <c r="B6868" t="s">
        <v>1878</v>
      </c>
      <c r="C6868" t="s">
        <v>383</v>
      </c>
      <c r="D6868" t="s">
        <v>384</v>
      </c>
      <c r="E6868" s="8">
        <v>1170</v>
      </c>
      <c r="F6868" s="8">
        <v>47470</v>
      </c>
      <c r="G6868" s="8">
        <f t="shared" si="428"/>
        <v>55539900</v>
      </c>
      <c r="H6868" s="5">
        <v>0.8342</v>
      </c>
      <c r="I6868" s="8">
        <f t="shared" si="429"/>
        <v>55539900</v>
      </c>
      <c r="J6868" s="8">
        <f t="shared" si="430"/>
        <v>46331384.58</v>
      </c>
      <c r="K6868" t="str">
        <f t="shared" si="431"/>
        <v>MATCHED</v>
      </c>
    </row>
    <row r="6869" spans="1:11">
      <c r="A6869" t="s">
        <v>130</v>
      </c>
      <c r="B6869" t="s">
        <v>1878</v>
      </c>
      <c r="C6869" t="s">
        <v>385</v>
      </c>
      <c r="D6869" t="s">
        <v>386</v>
      </c>
      <c r="E6869" s="8">
        <v>68770</v>
      </c>
      <c r="F6869" s="8">
        <v>32190</v>
      </c>
      <c r="G6869" s="8">
        <f t="shared" si="428"/>
        <v>2213706300</v>
      </c>
      <c r="H6869" s="5">
        <v>0.7368</v>
      </c>
      <c r="I6869" s="8">
        <f t="shared" si="429"/>
        <v>2213706300</v>
      </c>
      <c r="J6869" s="8">
        <f t="shared" si="430"/>
        <v>1631058801.84</v>
      </c>
      <c r="K6869" t="str">
        <f t="shared" si="431"/>
        <v>MATCHED</v>
      </c>
    </row>
    <row r="6870" spans="1:11">
      <c r="A6870" t="s">
        <v>130</v>
      </c>
      <c r="B6870" t="s">
        <v>1878</v>
      </c>
      <c r="C6870" t="s">
        <v>1537</v>
      </c>
      <c r="D6870" t="s">
        <v>1538</v>
      </c>
      <c r="E6870" s="8">
        <v>980</v>
      </c>
      <c r="F6870" s="8">
        <v>44080</v>
      </c>
      <c r="G6870" s="8">
        <f t="shared" si="428"/>
        <v>43198400</v>
      </c>
      <c r="H6870" s="5">
        <v>0.7714</v>
      </c>
      <c r="I6870" s="8">
        <f t="shared" si="429"/>
        <v>43198400</v>
      </c>
      <c r="J6870" s="8">
        <f t="shared" si="430"/>
        <v>33323245.76</v>
      </c>
      <c r="K6870" t="str">
        <f t="shared" si="431"/>
        <v>MATCHED</v>
      </c>
    </row>
    <row r="6871" spans="1:11">
      <c r="A6871" t="s">
        <v>130</v>
      </c>
      <c r="B6871" t="s">
        <v>1878</v>
      </c>
      <c r="C6871" t="s">
        <v>658</v>
      </c>
      <c r="D6871" t="s">
        <v>659</v>
      </c>
      <c r="E6871" s="8">
        <v>550</v>
      </c>
      <c r="F6871" s="8">
        <v>51910</v>
      </c>
      <c r="G6871" s="8">
        <f t="shared" si="428"/>
        <v>28550500</v>
      </c>
      <c r="H6871" s="5"/>
      <c r="I6871" s="8" t="str">
        <f t="shared" si="429"/>
        <v/>
      </c>
      <c r="J6871" s="8" t="str">
        <f t="shared" si="430"/>
        <v/>
      </c>
      <c r="K6871" t="str">
        <f t="shared" si="431"/>
        <v>MISSING WHARTON</v>
      </c>
    </row>
    <row r="6872" spans="1:11">
      <c r="A6872" t="s">
        <v>130</v>
      </c>
      <c r="B6872" t="s">
        <v>1878</v>
      </c>
      <c r="C6872" t="s">
        <v>886</v>
      </c>
      <c r="D6872" t="s">
        <v>887</v>
      </c>
      <c r="E6872" s="8">
        <v>180</v>
      </c>
      <c r="F6872" s="8">
        <v>39260</v>
      </c>
      <c r="G6872" s="8">
        <f t="shared" si="428"/>
        <v>7066800</v>
      </c>
      <c r="H6872" s="5">
        <v>0.2235</v>
      </c>
      <c r="I6872" s="8">
        <f t="shared" si="429"/>
        <v>7066800</v>
      </c>
      <c r="J6872" s="8">
        <f t="shared" si="430"/>
        <v>1579429.8</v>
      </c>
      <c r="K6872" t="str">
        <f t="shared" si="431"/>
        <v>MATCHED</v>
      </c>
    </row>
    <row r="6873" spans="1:11">
      <c r="A6873" t="s">
        <v>130</v>
      </c>
      <c r="B6873" t="s">
        <v>1878</v>
      </c>
      <c r="C6873" t="s">
        <v>387</v>
      </c>
      <c r="D6873" t="s">
        <v>388</v>
      </c>
      <c r="E6873" s="8">
        <v>1030</v>
      </c>
      <c r="F6873" s="8">
        <v>47020</v>
      </c>
      <c r="G6873" s="8">
        <f t="shared" si="428"/>
        <v>48430600</v>
      </c>
      <c r="H6873" s="5">
        <v>0.8192</v>
      </c>
      <c r="I6873" s="8">
        <f t="shared" si="429"/>
        <v>48430600</v>
      </c>
      <c r="J6873" s="8">
        <f t="shared" si="430"/>
        <v>39674347.52</v>
      </c>
      <c r="K6873" t="str">
        <f t="shared" si="431"/>
        <v>MATCHED</v>
      </c>
    </row>
    <row r="6874" spans="1:11">
      <c r="A6874" t="s">
        <v>130</v>
      </c>
      <c r="B6874" t="s">
        <v>1878</v>
      </c>
      <c r="C6874" t="s">
        <v>389</v>
      </c>
      <c r="D6874" t="s">
        <v>390</v>
      </c>
      <c r="E6874" s="8">
        <v>2700</v>
      </c>
      <c r="F6874" s="8">
        <v>55410</v>
      </c>
      <c r="G6874" s="8">
        <f t="shared" si="428"/>
        <v>149607000</v>
      </c>
      <c r="H6874" s="5">
        <v>0.7794</v>
      </c>
      <c r="I6874" s="8">
        <f t="shared" si="429"/>
        <v>149607000</v>
      </c>
      <c r="J6874" s="8">
        <f t="shared" si="430"/>
        <v>116603695.8</v>
      </c>
      <c r="K6874" t="str">
        <f t="shared" si="431"/>
        <v>MATCHED</v>
      </c>
    </row>
    <row r="6875" spans="1:11">
      <c r="A6875" t="s">
        <v>130</v>
      </c>
      <c r="B6875" t="s">
        <v>1878</v>
      </c>
      <c r="C6875" t="s">
        <v>391</v>
      </c>
      <c r="D6875" t="s">
        <v>392</v>
      </c>
      <c r="E6875" s="8">
        <v>2380</v>
      </c>
      <c r="F6875" s="8">
        <v>45490</v>
      </c>
      <c r="G6875" s="8">
        <f t="shared" si="428"/>
        <v>108266200</v>
      </c>
      <c r="H6875" s="5">
        <v>0.6455</v>
      </c>
      <c r="I6875" s="8">
        <f t="shared" si="429"/>
        <v>108266200</v>
      </c>
      <c r="J6875" s="8">
        <f t="shared" si="430"/>
        <v>69885832.1</v>
      </c>
      <c r="K6875" t="str">
        <f t="shared" si="431"/>
        <v>MATCHED</v>
      </c>
    </row>
    <row r="6876" spans="1:11">
      <c r="A6876" t="s">
        <v>130</v>
      </c>
      <c r="B6876" t="s">
        <v>1878</v>
      </c>
      <c r="C6876" t="s">
        <v>393</v>
      </c>
      <c r="D6876" t="s">
        <v>394</v>
      </c>
      <c r="E6876" s="8">
        <v>30</v>
      </c>
      <c r="F6876" s="8">
        <v>43080</v>
      </c>
      <c r="G6876" s="8">
        <f t="shared" si="428"/>
        <v>1292400</v>
      </c>
      <c r="H6876" s="5">
        <v>0.2932</v>
      </c>
      <c r="I6876" s="8">
        <f t="shared" si="429"/>
        <v>1292400</v>
      </c>
      <c r="J6876" s="8">
        <f t="shared" si="430"/>
        <v>378931.68</v>
      </c>
      <c r="K6876" t="str">
        <f t="shared" si="431"/>
        <v>MATCHED</v>
      </c>
    </row>
    <row r="6877" spans="1:11">
      <c r="A6877" t="s">
        <v>130</v>
      </c>
      <c r="B6877" t="s">
        <v>1878</v>
      </c>
      <c r="C6877" t="s">
        <v>395</v>
      </c>
      <c r="D6877" t="s">
        <v>396</v>
      </c>
      <c r="E6877" s="8">
        <v>5930</v>
      </c>
      <c r="F6877" s="8">
        <v>75990</v>
      </c>
      <c r="G6877" s="8">
        <f t="shared" si="428"/>
        <v>450620700</v>
      </c>
      <c r="H6877" s="5">
        <v>0.7955</v>
      </c>
      <c r="I6877" s="8">
        <f t="shared" si="429"/>
        <v>450620700</v>
      </c>
      <c r="J6877" s="8">
        <f t="shared" si="430"/>
        <v>358468766.85</v>
      </c>
      <c r="K6877" t="str">
        <f t="shared" si="431"/>
        <v>MATCHED</v>
      </c>
    </row>
    <row r="6878" spans="1:11">
      <c r="A6878" t="s">
        <v>130</v>
      </c>
      <c r="B6878" t="s">
        <v>1878</v>
      </c>
      <c r="C6878" t="s">
        <v>890</v>
      </c>
      <c r="D6878" t="s">
        <v>891</v>
      </c>
      <c r="E6878" s="8">
        <v>60</v>
      </c>
      <c r="F6878" s="8">
        <v>69570</v>
      </c>
      <c r="G6878" s="8">
        <f t="shared" si="428"/>
        <v>4174200</v>
      </c>
      <c r="H6878" s="5">
        <v>0.8679</v>
      </c>
      <c r="I6878" s="8">
        <f t="shared" si="429"/>
        <v>4174200</v>
      </c>
      <c r="J6878" s="8">
        <f t="shared" si="430"/>
        <v>3622788.18</v>
      </c>
      <c r="K6878" t="str">
        <f t="shared" si="431"/>
        <v>MATCHED</v>
      </c>
    </row>
    <row r="6879" spans="1:11">
      <c r="A6879" t="s">
        <v>130</v>
      </c>
      <c r="B6879" t="s">
        <v>1878</v>
      </c>
      <c r="C6879" t="s">
        <v>397</v>
      </c>
      <c r="D6879" t="s">
        <v>398</v>
      </c>
      <c r="E6879" s="8">
        <v>23100</v>
      </c>
      <c r="F6879" s="8">
        <v>45790</v>
      </c>
      <c r="G6879" s="8">
        <f t="shared" si="428"/>
        <v>1057749000</v>
      </c>
      <c r="H6879" s="5">
        <v>0.8031</v>
      </c>
      <c r="I6879" s="8">
        <f t="shared" si="429"/>
        <v>1057749000</v>
      </c>
      <c r="J6879" s="8">
        <f t="shared" si="430"/>
        <v>849478221.9</v>
      </c>
      <c r="K6879" t="str">
        <f t="shared" si="431"/>
        <v>MATCHED</v>
      </c>
    </row>
    <row r="6880" spans="1:11">
      <c r="A6880" t="s">
        <v>130</v>
      </c>
      <c r="B6880" t="s">
        <v>1878</v>
      </c>
      <c r="C6880" t="s">
        <v>399</v>
      </c>
      <c r="D6880" t="s">
        <v>400</v>
      </c>
      <c r="E6880" s="8">
        <v>670</v>
      </c>
      <c r="F6880" s="8">
        <v>40470</v>
      </c>
      <c r="G6880" s="8">
        <f t="shared" si="428"/>
        <v>27114900</v>
      </c>
      <c r="H6880" s="5">
        <v>0.75</v>
      </c>
      <c r="I6880" s="8">
        <f t="shared" si="429"/>
        <v>27114900</v>
      </c>
      <c r="J6880" s="8">
        <f t="shared" si="430"/>
        <v>20336175</v>
      </c>
      <c r="K6880" t="str">
        <f t="shared" si="431"/>
        <v>MATCHED</v>
      </c>
    </row>
    <row r="6881" spans="1:11">
      <c r="A6881" t="s">
        <v>130</v>
      </c>
      <c r="B6881" t="s">
        <v>1878</v>
      </c>
      <c r="C6881" t="s">
        <v>892</v>
      </c>
      <c r="D6881" t="s">
        <v>893</v>
      </c>
      <c r="E6881" s="8">
        <v>190</v>
      </c>
      <c r="F6881" s="8">
        <v>44560</v>
      </c>
      <c r="G6881" s="8">
        <f t="shared" si="428"/>
        <v>8466400</v>
      </c>
      <c r="H6881" s="5">
        <v>0.231</v>
      </c>
      <c r="I6881" s="8">
        <f t="shared" si="429"/>
        <v>8466400</v>
      </c>
      <c r="J6881" s="8">
        <f t="shared" si="430"/>
        <v>1955738.4</v>
      </c>
      <c r="K6881" t="str">
        <f t="shared" si="431"/>
        <v>MATCHED</v>
      </c>
    </row>
    <row r="6882" spans="1:11">
      <c r="A6882" t="s">
        <v>130</v>
      </c>
      <c r="B6882" t="s">
        <v>1878</v>
      </c>
      <c r="C6882" t="s">
        <v>401</v>
      </c>
      <c r="D6882" t="s">
        <v>402</v>
      </c>
      <c r="E6882" s="8">
        <v>33250</v>
      </c>
      <c r="F6882" s="8">
        <v>43130</v>
      </c>
      <c r="G6882" s="8">
        <f t="shared" si="428"/>
        <v>1434072500</v>
      </c>
      <c r="H6882" s="5">
        <v>0.7452</v>
      </c>
      <c r="I6882" s="8">
        <f t="shared" si="429"/>
        <v>1434072500</v>
      </c>
      <c r="J6882" s="8">
        <f t="shared" si="430"/>
        <v>1068670827</v>
      </c>
      <c r="K6882" t="str">
        <f t="shared" si="431"/>
        <v>MATCHED</v>
      </c>
    </row>
    <row r="6883" spans="1:11">
      <c r="A6883" t="s">
        <v>130</v>
      </c>
      <c r="B6883" t="s">
        <v>1878</v>
      </c>
      <c r="C6883" t="s">
        <v>660</v>
      </c>
      <c r="D6883" t="s">
        <v>661</v>
      </c>
      <c r="E6883" s="8">
        <v>30</v>
      </c>
      <c r="F6883" s="8">
        <v>37270</v>
      </c>
      <c r="G6883" s="8">
        <f t="shared" si="428"/>
        <v>1118100</v>
      </c>
      <c r="H6883" s="5">
        <v>0.2639</v>
      </c>
      <c r="I6883" s="8">
        <f t="shared" si="429"/>
        <v>1118100</v>
      </c>
      <c r="J6883" s="8">
        <f t="shared" si="430"/>
        <v>295066.59</v>
      </c>
      <c r="K6883" t="str">
        <f t="shared" si="431"/>
        <v>MATCHED</v>
      </c>
    </row>
    <row r="6884" spans="1:11">
      <c r="A6884" t="s">
        <v>130</v>
      </c>
      <c r="B6884" t="s">
        <v>1878</v>
      </c>
      <c r="C6884" t="s">
        <v>1545</v>
      </c>
      <c r="D6884" t="s">
        <v>1546</v>
      </c>
      <c r="E6884" s="8">
        <v>50</v>
      </c>
      <c r="F6884" s="8">
        <v>33890</v>
      </c>
      <c r="G6884" s="8">
        <f t="shared" si="428"/>
        <v>1694500</v>
      </c>
      <c r="H6884" s="5">
        <v>0.8679</v>
      </c>
      <c r="I6884" s="8">
        <f t="shared" si="429"/>
        <v>1694500</v>
      </c>
      <c r="J6884" s="8">
        <f t="shared" si="430"/>
        <v>1470656.55</v>
      </c>
      <c r="K6884" t="str">
        <f t="shared" si="431"/>
        <v>MATCHED</v>
      </c>
    </row>
    <row r="6885" spans="1:11">
      <c r="A6885" t="s">
        <v>130</v>
      </c>
      <c r="B6885" t="s">
        <v>1878</v>
      </c>
      <c r="C6885" t="s">
        <v>662</v>
      </c>
      <c r="D6885" t="s">
        <v>663</v>
      </c>
      <c r="E6885" s="8">
        <v>1690</v>
      </c>
      <c r="F6885" s="8">
        <v>46890</v>
      </c>
      <c r="G6885" s="8">
        <f t="shared" si="428"/>
        <v>79244100</v>
      </c>
      <c r="H6885" s="5"/>
      <c r="I6885" s="8" t="str">
        <f t="shared" si="429"/>
        <v/>
      </c>
      <c r="J6885" s="8" t="str">
        <f t="shared" si="430"/>
        <v/>
      </c>
      <c r="K6885" t="str">
        <f t="shared" si="431"/>
        <v>MISSING WHARTON</v>
      </c>
    </row>
    <row r="6886" spans="1:11">
      <c r="A6886" t="s">
        <v>130</v>
      </c>
      <c r="B6886" t="s">
        <v>1878</v>
      </c>
      <c r="C6886" t="s">
        <v>403</v>
      </c>
      <c r="D6886" t="s">
        <v>404</v>
      </c>
      <c r="E6886" s="8">
        <v>520</v>
      </c>
      <c r="F6886" s="8">
        <v>61610</v>
      </c>
      <c r="G6886" s="8">
        <f t="shared" si="428"/>
        <v>32037200</v>
      </c>
      <c r="H6886" s="5">
        <v>0.22</v>
      </c>
      <c r="I6886" s="8">
        <f t="shared" si="429"/>
        <v>32037200</v>
      </c>
      <c r="J6886" s="8">
        <f t="shared" si="430"/>
        <v>7048184</v>
      </c>
      <c r="K6886" t="str">
        <f t="shared" si="431"/>
        <v>MATCHED</v>
      </c>
    </row>
    <row r="6887" spans="1:11">
      <c r="A6887" t="s">
        <v>130</v>
      </c>
      <c r="B6887" t="s">
        <v>1878</v>
      </c>
      <c r="C6887" t="s">
        <v>407</v>
      </c>
      <c r="D6887" t="s">
        <v>408</v>
      </c>
      <c r="E6887" s="8"/>
      <c r="F6887" s="8">
        <v>49610</v>
      </c>
      <c r="G6887" s="8" t="str">
        <f t="shared" si="428"/>
        <v/>
      </c>
      <c r="H6887" s="5">
        <v>0.0396</v>
      </c>
      <c r="I6887" s="8" t="str">
        <f t="shared" si="429"/>
        <v/>
      </c>
      <c r="J6887" s="8" t="str">
        <f t="shared" si="430"/>
        <v/>
      </c>
      <c r="K6887" t="str">
        <f t="shared" si="431"/>
        <v>MISSING OEWS</v>
      </c>
    </row>
    <row r="6888" spans="1:11">
      <c r="A6888" t="s">
        <v>130</v>
      </c>
      <c r="B6888" t="s">
        <v>1878</v>
      </c>
      <c r="C6888" t="s">
        <v>411</v>
      </c>
      <c r="D6888" t="s">
        <v>412</v>
      </c>
      <c r="E6888" s="8">
        <v>50</v>
      </c>
      <c r="F6888" s="8">
        <v>34080</v>
      </c>
      <c r="G6888" s="8">
        <f t="shared" si="428"/>
        <v>1704000</v>
      </c>
      <c r="H6888" s="5">
        <v>0.0559</v>
      </c>
      <c r="I6888" s="8">
        <f t="shared" si="429"/>
        <v>1704000</v>
      </c>
      <c r="J6888" s="8">
        <f t="shared" si="430"/>
        <v>95253.6</v>
      </c>
      <c r="K6888" t="str">
        <f t="shared" si="431"/>
        <v>MATCHED</v>
      </c>
    </row>
    <row r="6889" spans="1:11">
      <c r="A6889" t="s">
        <v>130</v>
      </c>
      <c r="B6889" t="s">
        <v>1878</v>
      </c>
      <c r="C6889" t="s">
        <v>413</v>
      </c>
      <c r="D6889" t="s">
        <v>414</v>
      </c>
      <c r="E6889" s="8">
        <v>930</v>
      </c>
      <c r="F6889" s="8">
        <v>39230</v>
      </c>
      <c r="G6889" s="8">
        <f t="shared" si="428"/>
        <v>36483900</v>
      </c>
      <c r="H6889" s="5">
        <v>0.0633</v>
      </c>
      <c r="I6889" s="8">
        <f t="shared" si="429"/>
        <v>36483900</v>
      </c>
      <c r="J6889" s="8">
        <f t="shared" si="430"/>
        <v>2309430.87</v>
      </c>
      <c r="K6889" t="str">
        <f t="shared" si="431"/>
        <v>MATCHED</v>
      </c>
    </row>
    <row r="6890" spans="1:11">
      <c r="A6890" t="s">
        <v>130</v>
      </c>
      <c r="B6890" t="s">
        <v>1878</v>
      </c>
      <c r="C6890" t="s">
        <v>415</v>
      </c>
      <c r="D6890" t="s">
        <v>416</v>
      </c>
      <c r="E6890" s="8">
        <v>1820</v>
      </c>
      <c r="F6890" s="8">
        <v>42930</v>
      </c>
      <c r="G6890" s="8">
        <f t="shared" si="428"/>
        <v>78132600</v>
      </c>
      <c r="H6890" s="5">
        <v>0.0864</v>
      </c>
      <c r="I6890" s="8">
        <f t="shared" si="429"/>
        <v>78132600</v>
      </c>
      <c r="J6890" s="8">
        <f t="shared" si="430"/>
        <v>6750656.64</v>
      </c>
      <c r="K6890" t="str">
        <f t="shared" si="431"/>
        <v>MATCHED</v>
      </c>
    </row>
    <row r="6891" spans="1:11">
      <c r="A6891" t="s">
        <v>130</v>
      </c>
      <c r="B6891" t="s">
        <v>1878</v>
      </c>
      <c r="C6891" t="s">
        <v>1702</v>
      </c>
      <c r="D6891" t="s">
        <v>1703</v>
      </c>
      <c r="E6891" s="8">
        <v>100</v>
      </c>
      <c r="F6891" s="8">
        <v>45170</v>
      </c>
      <c r="G6891" s="8">
        <f t="shared" si="428"/>
        <v>4517000</v>
      </c>
      <c r="H6891" s="5">
        <v>0</v>
      </c>
      <c r="I6891" s="8">
        <f t="shared" si="429"/>
        <v>4517000</v>
      </c>
      <c r="J6891" s="8">
        <f t="shared" si="430"/>
        <v>0</v>
      </c>
      <c r="K6891" t="str">
        <f t="shared" si="431"/>
        <v>MATCHED</v>
      </c>
    </row>
    <row r="6892" spans="1:11">
      <c r="A6892" t="s">
        <v>130</v>
      </c>
      <c r="B6892" t="s">
        <v>1878</v>
      </c>
      <c r="C6892" t="s">
        <v>664</v>
      </c>
      <c r="D6892" t="s">
        <v>665</v>
      </c>
      <c r="E6892" s="8">
        <v>820</v>
      </c>
      <c r="F6892" s="8">
        <v>74120</v>
      </c>
      <c r="G6892" s="8">
        <f t="shared" si="428"/>
        <v>60778400</v>
      </c>
      <c r="H6892" s="5">
        <v>0.265</v>
      </c>
      <c r="I6892" s="8">
        <f t="shared" si="429"/>
        <v>60778400</v>
      </c>
      <c r="J6892" s="8">
        <f t="shared" si="430"/>
        <v>16106276</v>
      </c>
      <c r="K6892" t="str">
        <f t="shared" si="431"/>
        <v>MATCHED</v>
      </c>
    </row>
    <row r="6893" spans="1:11">
      <c r="A6893" t="s">
        <v>130</v>
      </c>
      <c r="B6893" t="s">
        <v>1878</v>
      </c>
      <c r="C6893" t="s">
        <v>427</v>
      </c>
      <c r="D6893" t="s">
        <v>428</v>
      </c>
      <c r="E6893" s="8">
        <v>4150</v>
      </c>
      <c r="F6893" s="8">
        <v>65580</v>
      </c>
      <c r="G6893" s="8">
        <f t="shared" si="428"/>
        <v>272157000</v>
      </c>
      <c r="H6893" s="5">
        <v>0.081</v>
      </c>
      <c r="I6893" s="8">
        <f t="shared" si="429"/>
        <v>272157000</v>
      </c>
      <c r="J6893" s="8">
        <f t="shared" si="430"/>
        <v>22044717</v>
      </c>
      <c r="K6893" t="str">
        <f t="shared" si="431"/>
        <v>MATCHED</v>
      </c>
    </row>
    <row r="6894" spans="1:11">
      <c r="A6894" t="s">
        <v>130</v>
      </c>
      <c r="B6894" t="s">
        <v>1878</v>
      </c>
      <c r="C6894" t="s">
        <v>670</v>
      </c>
      <c r="D6894" t="s">
        <v>671</v>
      </c>
      <c r="E6894" s="8">
        <v>310</v>
      </c>
      <c r="F6894" s="8">
        <v>49190</v>
      </c>
      <c r="G6894" s="8">
        <f t="shared" si="428"/>
        <v>15248900</v>
      </c>
      <c r="H6894" s="5">
        <v>0.0297</v>
      </c>
      <c r="I6894" s="8">
        <f t="shared" si="429"/>
        <v>15248900</v>
      </c>
      <c r="J6894" s="8">
        <f t="shared" si="430"/>
        <v>452892.33</v>
      </c>
      <c r="K6894" t="str">
        <f t="shared" si="431"/>
        <v>MATCHED</v>
      </c>
    </row>
    <row r="6895" spans="1:11">
      <c r="A6895" t="s">
        <v>130</v>
      </c>
      <c r="B6895" t="s">
        <v>1878</v>
      </c>
      <c r="C6895" t="s">
        <v>429</v>
      </c>
      <c r="D6895" t="s">
        <v>430</v>
      </c>
      <c r="E6895" s="8">
        <v>860</v>
      </c>
      <c r="F6895" s="8">
        <v>47100</v>
      </c>
      <c r="G6895" s="8">
        <f t="shared" si="428"/>
        <v>40506000</v>
      </c>
      <c r="H6895" s="5">
        <v>0.0589</v>
      </c>
      <c r="I6895" s="8">
        <f t="shared" si="429"/>
        <v>40506000</v>
      </c>
      <c r="J6895" s="8">
        <f t="shared" si="430"/>
        <v>2385803.4</v>
      </c>
      <c r="K6895" t="str">
        <f t="shared" si="431"/>
        <v>MATCHED</v>
      </c>
    </row>
    <row r="6896" spans="1:11">
      <c r="A6896" t="s">
        <v>130</v>
      </c>
      <c r="B6896" t="s">
        <v>1878</v>
      </c>
      <c r="C6896" t="s">
        <v>431</v>
      </c>
      <c r="D6896" t="s">
        <v>432</v>
      </c>
      <c r="E6896" s="8">
        <v>2140</v>
      </c>
      <c r="F6896" s="8">
        <v>74100</v>
      </c>
      <c r="G6896" s="8">
        <f t="shared" si="428"/>
        <v>158574000</v>
      </c>
      <c r="H6896" s="5">
        <v>0.0786</v>
      </c>
      <c r="I6896" s="8">
        <f t="shared" si="429"/>
        <v>158574000</v>
      </c>
      <c r="J6896" s="8">
        <f t="shared" si="430"/>
        <v>12463916.4</v>
      </c>
      <c r="K6896" t="str">
        <f t="shared" si="431"/>
        <v>MATCHED</v>
      </c>
    </row>
    <row r="6897" spans="1:11">
      <c r="A6897" t="s">
        <v>130</v>
      </c>
      <c r="B6897" t="s">
        <v>1878</v>
      </c>
      <c r="C6897" t="s">
        <v>1042</v>
      </c>
      <c r="D6897" t="s">
        <v>1043</v>
      </c>
      <c r="E6897" s="8"/>
      <c r="F6897" s="8">
        <v>60080</v>
      </c>
      <c r="G6897" s="8" t="str">
        <f t="shared" si="428"/>
        <v/>
      </c>
      <c r="H6897" s="5">
        <v>0</v>
      </c>
      <c r="I6897" s="8" t="str">
        <f t="shared" si="429"/>
        <v/>
      </c>
      <c r="J6897" s="8" t="str">
        <f t="shared" si="430"/>
        <v/>
      </c>
      <c r="K6897" t="str">
        <f t="shared" si="431"/>
        <v>MISSING OEWS</v>
      </c>
    </row>
    <row r="6898" spans="1:11">
      <c r="A6898" t="s">
        <v>130</v>
      </c>
      <c r="B6898" t="s">
        <v>1878</v>
      </c>
      <c r="C6898" t="s">
        <v>678</v>
      </c>
      <c r="D6898" t="s">
        <v>679</v>
      </c>
      <c r="E6898" s="8">
        <v>1270</v>
      </c>
      <c r="F6898" s="8">
        <v>55200</v>
      </c>
      <c r="G6898" s="8">
        <f t="shared" si="428"/>
        <v>70104000</v>
      </c>
      <c r="H6898" s="5">
        <v>0.0368</v>
      </c>
      <c r="I6898" s="8">
        <f t="shared" si="429"/>
        <v>70104000</v>
      </c>
      <c r="J6898" s="8">
        <f t="shared" si="430"/>
        <v>2579827.2</v>
      </c>
      <c r="K6898" t="str">
        <f t="shared" si="431"/>
        <v>MATCHED</v>
      </c>
    </row>
    <row r="6899" spans="1:11">
      <c r="A6899" t="s">
        <v>130</v>
      </c>
      <c r="B6899" t="s">
        <v>1878</v>
      </c>
      <c r="C6899" t="s">
        <v>682</v>
      </c>
      <c r="D6899" t="s">
        <v>683</v>
      </c>
      <c r="E6899" s="8">
        <v>620</v>
      </c>
      <c r="F6899" s="8">
        <v>63550</v>
      </c>
      <c r="G6899" s="8">
        <f t="shared" si="428"/>
        <v>39401000</v>
      </c>
      <c r="H6899" s="5">
        <v>0.04</v>
      </c>
      <c r="I6899" s="8">
        <f t="shared" si="429"/>
        <v>39401000</v>
      </c>
      <c r="J6899" s="8">
        <f t="shared" si="430"/>
        <v>1576040</v>
      </c>
      <c r="K6899" t="str">
        <f t="shared" si="431"/>
        <v>MATCHED</v>
      </c>
    </row>
    <row r="6900" spans="1:11">
      <c r="A6900" t="s">
        <v>130</v>
      </c>
      <c r="B6900" t="s">
        <v>1878</v>
      </c>
      <c r="C6900" t="s">
        <v>684</v>
      </c>
      <c r="D6900" t="s">
        <v>685</v>
      </c>
      <c r="E6900" s="8">
        <v>30</v>
      </c>
      <c r="F6900" s="8">
        <v>69950</v>
      </c>
      <c r="G6900" s="8">
        <f t="shared" si="428"/>
        <v>2098500</v>
      </c>
      <c r="H6900" s="5">
        <v>0.0687</v>
      </c>
      <c r="I6900" s="8">
        <f t="shared" si="429"/>
        <v>2098500</v>
      </c>
      <c r="J6900" s="8">
        <f t="shared" si="430"/>
        <v>144166.95</v>
      </c>
      <c r="K6900" t="str">
        <f t="shared" si="431"/>
        <v>MATCHED</v>
      </c>
    </row>
    <row r="6901" spans="1:11">
      <c r="A6901" t="s">
        <v>130</v>
      </c>
      <c r="B6901" t="s">
        <v>1878</v>
      </c>
      <c r="C6901" t="s">
        <v>1054</v>
      </c>
      <c r="D6901" t="s">
        <v>1055</v>
      </c>
      <c r="E6901" s="8">
        <v>50</v>
      </c>
      <c r="F6901" s="8">
        <v>35800</v>
      </c>
      <c r="G6901" s="8">
        <f t="shared" si="428"/>
        <v>1790000</v>
      </c>
      <c r="H6901" s="5">
        <v>0</v>
      </c>
      <c r="I6901" s="8">
        <f t="shared" si="429"/>
        <v>1790000</v>
      </c>
      <c r="J6901" s="8">
        <f t="shared" si="430"/>
        <v>0</v>
      </c>
      <c r="K6901" t="str">
        <f t="shared" si="431"/>
        <v>MATCHED</v>
      </c>
    </row>
    <row r="6902" spans="1:11">
      <c r="A6902" t="s">
        <v>130</v>
      </c>
      <c r="B6902" t="s">
        <v>1878</v>
      </c>
      <c r="C6902" t="s">
        <v>694</v>
      </c>
      <c r="D6902" t="s">
        <v>695</v>
      </c>
      <c r="E6902" s="8">
        <v>70</v>
      </c>
      <c r="F6902" s="8">
        <v>72840</v>
      </c>
      <c r="G6902" s="8">
        <f t="shared" si="428"/>
        <v>5098800</v>
      </c>
      <c r="H6902" s="5">
        <v>0.3737</v>
      </c>
      <c r="I6902" s="8">
        <f t="shared" si="429"/>
        <v>5098800</v>
      </c>
      <c r="J6902" s="8">
        <f t="shared" si="430"/>
        <v>1905421.56</v>
      </c>
      <c r="K6902" t="str">
        <f t="shared" si="431"/>
        <v>MATCHED</v>
      </c>
    </row>
    <row r="6903" spans="1:11">
      <c r="A6903" t="s">
        <v>130</v>
      </c>
      <c r="B6903" t="s">
        <v>1878</v>
      </c>
      <c r="C6903" t="s">
        <v>1062</v>
      </c>
      <c r="D6903" t="s">
        <v>1063</v>
      </c>
      <c r="E6903" s="8">
        <v>80</v>
      </c>
      <c r="F6903" s="8">
        <v>49720</v>
      </c>
      <c r="G6903" s="8">
        <f t="shared" si="428"/>
        <v>3977600</v>
      </c>
      <c r="H6903" s="5">
        <v>0</v>
      </c>
      <c r="I6903" s="8">
        <f t="shared" si="429"/>
        <v>3977600</v>
      </c>
      <c r="J6903" s="8">
        <f t="shared" si="430"/>
        <v>0</v>
      </c>
      <c r="K6903" t="str">
        <f t="shared" si="431"/>
        <v>MATCHED</v>
      </c>
    </row>
    <row r="6904" spans="1:11">
      <c r="A6904" t="s">
        <v>130</v>
      </c>
      <c r="B6904" t="s">
        <v>1878</v>
      </c>
      <c r="C6904" t="s">
        <v>702</v>
      </c>
      <c r="D6904" t="s">
        <v>703</v>
      </c>
      <c r="E6904" s="8">
        <v>70</v>
      </c>
      <c r="F6904" s="8">
        <v>48400</v>
      </c>
      <c r="G6904" s="8">
        <f t="shared" si="428"/>
        <v>3388000</v>
      </c>
      <c r="H6904" s="5">
        <v>0.0825</v>
      </c>
      <c r="I6904" s="8">
        <f t="shared" si="429"/>
        <v>3388000</v>
      </c>
      <c r="J6904" s="8">
        <f t="shared" si="430"/>
        <v>279510</v>
      </c>
      <c r="K6904" t="str">
        <f t="shared" si="431"/>
        <v>MATCHED</v>
      </c>
    </row>
    <row r="6905" spans="1:11">
      <c r="A6905" t="s">
        <v>130</v>
      </c>
      <c r="B6905" t="s">
        <v>1878</v>
      </c>
      <c r="C6905" t="s">
        <v>433</v>
      </c>
      <c r="D6905" t="s">
        <v>434</v>
      </c>
      <c r="E6905" s="8">
        <v>9500</v>
      </c>
      <c r="F6905" s="8">
        <v>74290</v>
      </c>
      <c r="G6905" s="8">
        <f t="shared" si="428"/>
        <v>705755000</v>
      </c>
      <c r="H6905" s="5">
        <v>0.3523</v>
      </c>
      <c r="I6905" s="8">
        <f t="shared" si="429"/>
        <v>705755000</v>
      </c>
      <c r="J6905" s="8">
        <f t="shared" si="430"/>
        <v>248637486.5</v>
      </c>
      <c r="K6905" t="str">
        <f t="shared" si="431"/>
        <v>MATCHED</v>
      </c>
    </row>
    <row r="6906" spans="1:11">
      <c r="A6906" t="s">
        <v>130</v>
      </c>
      <c r="B6906" t="s">
        <v>1878</v>
      </c>
      <c r="C6906" t="s">
        <v>1064</v>
      </c>
      <c r="D6906" t="s">
        <v>1065</v>
      </c>
      <c r="E6906" s="8">
        <v>80</v>
      </c>
      <c r="F6906" s="8">
        <v>52830</v>
      </c>
      <c r="G6906" s="8">
        <f t="shared" si="428"/>
        <v>4226400</v>
      </c>
      <c r="H6906" s="5">
        <v>0.284</v>
      </c>
      <c r="I6906" s="8">
        <f t="shared" si="429"/>
        <v>4226400</v>
      </c>
      <c r="J6906" s="8">
        <f t="shared" si="430"/>
        <v>1200297.6</v>
      </c>
      <c r="K6906" t="str">
        <f t="shared" si="431"/>
        <v>MATCHED</v>
      </c>
    </row>
    <row r="6907" spans="1:11">
      <c r="A6907" t="s">
        <v>130</v>
      </c>
      <c r="B6907" t="s">
        <v>1878</v>
      </c>
      <c r="C6907" t="s">
        <v>900</v>
      </c>
      <c r="D6907" t="s">
        <v>901</v>
      </c>
      <c r="E6907" s="8">
        <v>30</v>
      </c>
      <c r="F6907" s="8">
        <v>65510</v>
      </c>
      <c r="G6907" s="8">
        <f t="shared" si="428"/>
        <v>1965300</v>
      </c>
      <c r="H6907" s="5">
        <v>0.195</v>
      </c>
      <c r="I6907" s="8">
        <f t="shared" si="429"/>
        <v>1965300</v>
      </c>
      <c r="J6907" s="8">
        <f t="shared" si="430"/>
        <v>383233.5</v>
      </c>
      <c r="K6907" t="str">
        <f t="shared" si="431"/>
        <v>MATCHED</v>
      </c>
    </row>
    <row r="6908" spans="1:11">
      <c r="A6908" t="s">
        <v>130</v>
      </c>
      <c r="B6908" t="s">
        <v>1878</v>
      </c>
      <c r="C6908" t="s">
        <v>732</v>
      </c>
      <c r="D6908" t="s">
        <v>733</v>
      </c>
      <c r="E6908" s="8">
        <v>340</v>
      </c>
      <c r="F6908" s="8">
        <v>39300</v>
      </c>
      <c r="G6908" s="8">
        <f t="shared" si="428"/>
        <v>13362000</v>
      </c>
      <c r="H6908" s="5">
        <v>0.0667</v>
      </c>
      <c r="I6908" s="8">
        <f t="shared" si="429"/>
        <v>13362000</v>
      </c>
      <c r="J6908" s="8">
        <f t="shared" si="430"/>
        <v>891245.4</v>
      </c>
      <c r="K6908" t="str">
        <f t="shared" si="431"/>
        <v>MATCHED</v>
      </c>
    </row>
    <row r="6909" spans="1:11">
      <c r="A6909" t="s">
        <v>130</v>
      </c>
      <c r="B6909" t="s">
        <v>1878</v>
      </c>
      <c r="C6909" t="s">
        <v>902</v>
      </c>
      <c r="D6909" t="s">
        <v>903</v>
      </c>
      <c r="E6909" s="8"/>
      <c r="F6909" s="8">
        <v>62020</v>
      </c>
      <c r="G6909" s="8" t="str">
        <f t="shared" si="428"/>
        <v/>
      </c>
      <c r="H6909" s="5">
        <v>0.2033</v>
      </c>
      <c r="I6909" s="8" t="str">
        <f t="shared" si="429"/>
        <v/>
      </c>
      <c r="J6909" s="8" t="str">
        <f t="shared" si="430"/>
        <v/>
      </c>
      <c r="K6909" t="str">
        <f t="shared" si="431"/>
        <v>MISSING OEWS</v>
      </c>
    </row>
    <row r="6910" spans="1:11">
      <c r="A6910" t="s">
        <v>130</v>
      </c>
      <c r="B6910" t="s">
        <v>1878</v>
      </c>
      <c r="C6910" t="s">
        <v>734</v>
      </c>
      <c r="D6910" t="s">
        <v>735</v>
      </c>
      <c r="E6910" s="8">
        <v>50</v>
      </c>
      <c r="F6910" s="8">
        <v>57800</v>
      </c>
      <c r="G6910" s="8">
        <f t="shared" si="428"/>
        <v>2890000</v>
      </c>
      <c r="H6910" s="5">
        <v>0.19</v>
      </c>
      <c r="I6910" s="8">
        <f t="shared" si="429"/>
        <v>2890000</v>
      </c>
      <c r="J6910" s="8">
        <f t="shared" si="430"/>
        <v>549100</v>
      </c>
      <c r="K6910" t="str">
        <f t="shared" si="431"/>
        <v>MATCHED</v>
      </c>
    </row>
    <row r="6911" spans="1:11">
      <c r="A6911" t="s">
        <v>130</v>
      </c>
      <c r="B6911" t="s">
        <v>1878</v>
      </c>
      <c r="C6911" t="s">
        <v>1066</v>
      </c>
      <c r="D6911" t="s">
        <v>1067</v>
      </c>
      <c r="E6911" s="8">
        <v>110</v>
      </c>
      <c r="F6911" s="8">
        <v>51220</v>
      </c>
      <c r="G6911" s="8">
        <f t="shared" si="428"/>
        <v>5634200</v>
      </c>
      <c r="H6911" s="5">
        <v>0.2591</v>
      </c>
      <c r="I6911" s="8">
        <f t="shared" si="429"/>
        <v>5634200</v>
      </c>
      <c r="J6911" s="8">
        <f t="shared" si="430"/>
        <v>1459821.22</v>
      </c>
      <c r="K6911" t="str">
        <f t="shared" si="431"/>
        <v>MATCHED</v>
      </c>
    </row>
    <row r="6912" spans="1:11">
      <c r="A6912" t="s">
        <v>130</v>
      </c>
      <c r="B6912" t="s">
        <v>1878</v>
      </c>
      <c r="C6912" t="s">
        <v>1068</v>
      </c>
      <c r="D6912" t="s">
        <v>1069</v>
      </c>
      <c r="E6912" s="8">
        <v>60</v>
      </c>
      <c r="F6912" s="8">
        <v>57660</v>
      </c>
      <c r="G6912" s="8">
        <f t="shared" si="428"/>
        <v>3459600</v>
      </c>
      <c r="H6912" s="5">
        <v>0.2219</v>
      </c>
      <c r="I6912" s="8">
        <f t="shared" si="429"/>
        <v>3459600</v>
      </c>
      <c r="J6912" s="8">
        <f t="shared" si="430"/>
        <v>767685.24</v>
      </c>
      <c r="K6912" t="str">
        <f t="shared" si="431"/>
        <v>MATCHED</v>
      </c>
    </row>
    <row r="6913" spans="1:11">
      <c r="A6913" t="s">
        <v>130</v>
      </c>
      <c r="B6913" t="s">
        <v>1878</v>
      </c>
      <c r="C6913" t="s">
        <v>435</v>
      </c>
      <c r="D6913" t="s">
        <v>436</v>
      </c>
      <c r="E6913" s="8"/>
      <c r="F6913" s="8">
        <v>64940</v>
      </c>
      <c r="G6913" s="8" t="str">
        <f t="shared" si="428"/>
        <v/>
      </c>
      <c r="H6913" s="5">
        <v>0.0434</v>
      </c>
      <c r="I6913" s="8" t="str">
        <f t="shared" si="429"/>
        <v/>
      </c>
      <c r="J6913" s="8" t="str">
        <f t="shared" si="430"/>
        <v/>
      </c>
      <c r="K6913" t="str">
        <f t="shared" si="431"/>
        <v>MISSING OEWS</v>
      </c>
    </row>
    <row r="6914" spans="1:11">
      <c r="A6914" t="s">
        <v>130</v>
      </c>
      <c r="B6914" t="s">
        <v>1878</v>
      </c>
      <c r="C6914" t="s">
        <v>1070</v>
      </c>
      <c r="D6914" t="s">
        <v>1071</v>
      </c>
      <c r="E6914" s="8">
        <v>480</v>
      </c>
      <c r="F6914" s="8">
        <v>73980</v>
      </c>
      <c r="G6914" s="8">
        <f t="shared" ref="G6914:G6977" si="432">IF(OR(E6914="",F6914=""),"",E6914*F6914)</f>
        <v>35510400</v>
      </c>
      <c r="H6914" s="5">
        <v>0.028</v>
      </c>
      <c r="I6914" s="8">
        <f t="shared" ref="I6914:I6977" si="433">IF(G6914="","",IF(ISNUMBER(H6914),G6914,""))</f>
        <v>35510400</v>
      </c>
      <c r="J6914" s="8">
        <f t="shared" ref="J6914:J6977" si="434">IF(I6914="","",I6914*H6914)</f>
        <v>994291.2</v>
      </c>
      <c r="K6914" t="str">
        <f t="shared" ref="K6914:K6977" si="435">IF(G6914="","MISSING OEWS",IF(ISNUMBER(H6914),"MATCHED","MISSING WHARTON"))</f>
        <v>MATCHED</v>
      </c>
    </row>
    <row r="6915" spans="1:11">
      <c r="A6915" t="s">
        <v>130</v>
      </c>
      <c r="B6915" t="s">
        <v>1878</v>
      </c>
      <c r="C6915" t="s">
        <v>736</v>
      </c>
      <c r="D6915" t="s">
        <v>737</v>
      </c>
      <c r="E6915" s="8">
        <v>3550</v>
      </c>
      <c r="F6915" s="8">
        <v>66370</v>
      </c>
      <c r="G6915" s="8">
        <f t="shared" si="432"/>
        <v>235613500</v>
      </c>
      <c r="H6915" s="5">
        <v>0.0233</v>
      </c>
      <c r="I6915" s="8">
        <f t="shared" si="433"/>
        <v>235613500</v>
      </c>
      <c r="J6915" s="8">
        <f t="shared" si="434"/>
        <v>5489794.55</v>
      </c>
      <c r="K6915" t="str">
        <f t="shared" si="435"/>
        <v>MATCHED</v>
      </c>
    </row>
    <row r="6916" spans="1:11">
      <c r="A6916" t="s">
        <v>130</v>
      </c>
      <c r="B6916" t="s">
        <v>1878</v>
      </c>
      <c r="C6916" t="s">
        <v>437</v>
      </c>
      <c r="D6916" t="s">
        <v>438</v>
      </c>
      <c r="E6916" s="8">
        <v>380</v>
      </c>
      <c r="F6916" s="8">
        <v>63120</v>
      </c>
      <c r="G6916" s="8">
        <f t="shared" si="432"/>
        <v>23985600</v>
      </c>
      <c r="H6916" s="5">
        <v>0</v>
      </c>
      <c r="I6916" s="8">
        <f t="shared" si="433"/>
        <v>23985600</v>
      </c>
      <c r="J6916" s="8">
        <f t="shared" si="434"/>
        <v>0</v>
      </c>
      <c r="K6916" t="str">
        <f t="shared" si="435"/>
        <v>MATCHED</v>
      </c>
    </row>
    <row r="6917" spans="1:11">
      <c r="A6917" t="s">
        <v>130</v>
      </c>
      <c r="B6917" t="s">
        <v>1878</v>
      </c>
      <c r="C6917" t="s">
        <v>441</v>
      </c>
      <c r="D6917" t="s">
        <v>442</v>
      </c>
      <c r="E6917" s="8">
        <v>250</v>
      </c>
      <c r="F6917" s="8">
        <v>55230</v>
      </c>
      <c r="G6917" s="8">
        <f t="shared" si="432"/>
        <v>13807500</v>
      </c>
      <c r="H6917" s="5">
        <v>0.1425</v>
      </c>
      <c r="I6917" s="8">
        <f t="shared" si="433"/>
        <v>13807500</v>
      </c>
      <c r="J6917" s="8">
        <f t="shared" si="434"/>
        <v>1967568.75</v>
      </c>
      <c r="K6917" t="str">
        <f t="shared" si="435"/>
        <v>MATCHED</v>
      </c>
    </row>
    <row r="6918" spans="1:11">
      <c r="A6918" t="s">
        <v>130</v>
      </c>
      <c r="B6918" t="s">
        <v>1878</v>
      </c>
      <c r="C6918" t="s">
        <v>1300</v>
      </c>
      <c r="D6918" t="s">
        <v>1301</v>
      </c>
      <c r="E6918" s="8">
        <v>30</v>
      </c>
      <c r="F6918" s="8">
        <v>56020</v>
      </c>
      <c r="G6918" s="8">
        <f t="shared" si="432"/>
        <v>1680600</v>
      </c>
      <c r="H6918" s="5">
        <v>0.0475</v>
      </c>
      <c r="I6918" s="8">
        <f t="shared" si="433"/>
        <v>1680600</v>
      </c>
      <c r="J6918" s="8">
        <f t="shared" si="434"/>
        <v>79828.5</v>
      </c>
      <c r="K6918" t="str">
        <f t="shared" si="435"/>
        <v>MATCHED</v>
      </c>
    </row>
    <row r="6919" spans="1:11">
      <c r="A6919" t="s">
        <v>130</v>
      </c>
      <c r="B6919" t="s">
        <v>1878</v>
      </c>
      <c r="C6919" t="s">
        <v>1074</v>
      </c>
      <c r="D6919" t="s">
        <v>1075</v>
      </c>
      <c r="E6919" s="8">
        <v>4160</v>
      </c>
      <c r="F6919" s="8">
        <v>58920</v>
      </c>
      <c r="G6919" s="8">
        <f t="shared" si="432"/>
        <v>245107200</v>
      </c>
      <c r="H6919" s="5">
        <v>0.0731</v>
      </c>
      <c r="I6919" s="8">
        <f t="shared" si="433"/>
        <v>245107200</v>
      </c>
      <c r="J6919" s="8">
        <f t="shared" si="434"/>
        <v>17917336.32</v>
      </c>
      <c r="K6919" t="str">
        <f t="shared" si="435"/>
        <v>MATCHED</v>
      </c>
    </row>
    <row r="6920" spans="1:11">
      <c r="A6920" t="s">
        <v>130</v>
      </c>
      <c r="B6920" t="s">
        <v>1878</v>
      </c>
      <c r="C6920" t="s">
        <v>1076</v>
      </c>
      <c r="D6920" t="s">
        <v>1077</v>
      </c>
      <c r="E6920" s="8">
        <v>5280</v>
      </c>
      <c r="F6920" s="8">
        <v>51460</v>
      </c>
      <c r="G6920" s="8">
        <f t="shared" si="432"/>
        <v>271708800</v>
      </c>
      <c r="H6920" s="5">
        <v>0.1179</v>
      </c>
      <c r="I6920" s="8">
        <f t="shared" si="433"/>
        <v>271708800</v>
      </c>
      <c r="J6920" s="8">
        <f t="shared" si="434"/>
        <v>32034467.52</v>
      </c>
      <c r="K6920" t="str">
        <f t="shared" si="435"/>
        <v>MATCHED</v>
      </c>
    </row>
    <row r="6921" spans="1:11">
      <c r="A6921" t="s">
        <v>130</v>
      </c>
      <c r="B6921" t="s">
        <v>1878</v>
      </c>
      <c r="C6921" t="s">
        <v>1304</v>
      </c>
      <c r="D6921" t="s">
        <v>1305</v>
      </c>
      <c r="E6921" s="8">
        <v>120</v>
      </c>
      <c r="F6921" s="8">
        <v>40640</v>
      </c>
      <c r="G6921" s="8">
        <f t="shared" si="432"/>
        <v>4876800</v>
      </c>
      <c r="H6921" s="5">
        <v>0.0594</v>
      </c>
      <c r="I6921" s="8">
        <f t="shared" si="433"/>
        <v>4876800</v>
      </c>
      <c r="J6921" s="8">
        <f t="shared" si="434"/>
        <v>289681.92</v>
      </c>
      <c r="K6921" t="str">
        <f t="shared" si="435"/>
        <v>MATCHED</v>
      </c>
    </row>
    <row r="6922" spans="1:11">
      <c r="A6922" t="s">
        <v>130</v>
      </c>
      <c r="B6922" t="s">
        <v>1878</v>
      </c>
      <c r="C6922" t="s">
        <v>443</v>
      </c>
      <c r="D6922" t="s">
        <v>444</v>
      </c>
      <c r="E6922" s="8">
        <v>850</v>
      </c>
      <c r="F6922" s="8">
        <v>65080</v>
      </c>
      <c r="G6922" s="8">
        <f t="shared" si="432"/>
        <v>55318000</v>
      </c>
      <c r="H6922" s="5">
        <v>0.0867</v>
      </c>
      <c r="I6922" s="8">
        <f t="shared" si="433"/>
        <v>55318000</v>
      </c>
      <c r="J6922" s="8">
        <f t="shared" si="434"/>
        <v>4796070.6</v>
      </c>
      <c r="K6922" t="str">
        <f t="shared" si="435"/>
        <v>MATCHED</v>
      </c>
    </row>
    <row r="6923" spans="1:11">
      <c r="A6923" t="s">
        <v>130</v>
      </c>
      <c r="B6923" t="s">
        <v>1878</v>
      </c>
      <c r="C6923" t="s">
        <v>445</v>
      </c>
      <c r="D6923" t="s">
        <v>446</v>
      </c>
      <c r="E6923" s="8">
        <v>370</v>
      </c>
      <c r="F6923" s="8">
        <v>57250</v>
      </c>
      <c r="G6923" s="8">
        <f t="shared" si="432"/>
        <v>21182500</v>
      </c>
      <c r="H6923" s="5">
        <v>0.25</v>
      </c>
      <c r="I6923" s="8">
        <f t="shared" si="433"/>
        <v>21182500</v>
      </c>
      <c r="J6923" s="8">
        <f t="shared" si="434"/>
        <v>5295625</v>
      </c>
      <c r="K6923" t="str">
        <f t="shared" si="435"/>
        <v>MATCHED</v>
      </c>
    </row>
    <row r="6924" spans="1:11">
      <c r="A6924" t="s">
        <v>130</v>
      </c>
      <c r="B6924" t="s">
        <v>1878</v>
      </c>
      <c r="C6924" t="s">
        <v>447</v>
      </c>
      <c r="D6924" t="s">
        <v>448</v>
      </c>
      <c r="E6924" s="8">
        <v>1840</v>
      </c>
      <c r="F6924" s="8">
        <v>54720</v>
      </c>
      <c r="G6924" s="8">
        <f t="shared" si="432"/>
        <v>100684800</v>
      </c>
      <c r="H6924" s="5">
        <v>0.0528</v>
      </c>
      <c r="I6924" s="8">
        <f t="shared" si="433"/>
        <v>100684800</v>
      </c>
      <c r="J6924" s="8">
        <f t="shared" si="434"/>
        <v>5316157.44</v>
      </c>
      <c r="K6924" t="str">
        <f t="shared" si="435"/>
        <v>MATCHED</v>
      </c>
    </row>
    <row r="6925" spans="1:11">
      <c r="A6925" t="s">
        <v>130</v>
      </c>
      <c r="B6925" t="s">
        <v>1878</v>
      </c>
      <c r="C6925" t="s">
        <v>1312</v>
      </c>
      <c r="D6925" t="s">
        <v>1313</v>
      </c>
      <c r="E6925" s="8">
        <v>190</v>
      </c>
      <c r="F6925" s="8">
        <v>71720</v>
      </c>
      <c r="G6925" s="8">
        <f t="shared" si="432"/>
        <v>13626800</v>
      </c>
      <c r="H6925" s="5">
        <v>0</v>
      </c>
      <c r="I6925" s="8">
        <f t="shared" si="433"/>
        <v>13626800</v>
      </c>
      <c r="J6925" s="8">
        <f t="shared" si="434"/>
        <v>0</v>
      </c>
      <c r="K6925" t="str">
        <f t="shared" si="435"/>
        <v>MATCHED</v>
      </c>
    </row>
    <row r="6926" spans="1:11">
      <c r="A6926" t="s">
        <v>130</v>
      </c>
      <c r="B6926" t="s">
        <v>1878</v>
      </c>
      <c r="C6926" t="s">
        <v>449</v>
      </c>
      <c r="D6926" t="s">
        <v>450</v>
      </c>
      <c r="E6926" s="8">
        <v>52120</v>
      </c>
      <c r="F6926" s="8">
        <v>45440</v>
      </c>
      <c r="G6926" s="8">
        <f t="shared" si="432"/>
        <v>2368332800</v>
      </c>
      <c r="H6926" s="5">
        <v>0.0867</v>
      </c>
      <c r="I6926" s="8">
        <f t="shared" si="433"/>
        <v>2368332800</v>
      </c>
      <c r="J6926" s="8">
        <f t="shared" si="434"/>
        <v>205334453.76</v>
      </c>
      <c r="K6926" t="str">
        <f t="shared" si="435"/>
        <v>MATCHED</v>
      </c>
    </row>
    <row r="6927" spans="1:11">
      <c r="A6927" t="s">
        <v>130</v>
      </c>
      <c r="B6927" t="s">
        <v>1878</v>
      </c>
      <c r="C6927" t="s">
        <v>1082</v>
      </c>
      <c r="D6927" t="s">
        <v>1083</v>
      </c>
      <c r="E6927" s="8">
        <v>9350</v>
      </c>
      <c r="F6927" s="8">
        <v>47100</v>
      </c>
      <c r="G6927" s="8">
        <f t="shared" si="432"/>
        <v>440385000</v>
      </c>
      <c r="H6927" s="5">
        <v>0.2868</v>
      </c>
      <c r="I6927" s="8">
        <f t="shared" si="433"/>
        <v>440385000</v>
      </c>
      <c r="J6927" s="8">
        <f t="shared" si="434"/>
        <v>126302418</v>
      </c>
      <c r="K6927" t="str">
        <f t="shared" si="435"/>
        <v>MATCHED</v>
      </c>
    </row>
    <row r="6928" spans="1:11">
      <c r="A6928" t="s">
        <v>130</v>
      </c>
      <c r="B6928" t="s">
        <v>1878</v>
      </c>
      <c r="C6928" t="s">
        <v>1084</v>
      </c>
      <c r="D6928" t="s">
        <v>1085</v>
      </c>
      <c r="E6928" s="8">
        <v>280</v>
      </c>
      <c r="F6928" s="8">
        <v>42680</v>
      </c>
      <c r="G6928" s="8">
        <f t="shared" si="432"/>
        <v>11950400</v>
      </c>
      <c r="H6928" s="5">
        <v>0</v>
      </c>
      <c r="I6928" s="8">
        <f t="shared" si="433"/>
        <v>11950400</v>
      </c>
      <c r="J6928" s="8">
        <f t="shared" si="434"/>
        <v>0</v>
      </c>
      <c r="K6928" t="str">
        <f t="shared" si="435"/>
        <v>MATCHED</v>
      </c>
    </row>
    <row r="6929" spans="1:11">
      <c r="A6929" t="s">
        <v>130</v>
      </c>
      <c r="B6929" t="s">
        <v>1878</v>
      </c>
      <c r="C6929" t="s">
        <v>1086</v>
      </c>
      <c r="D6929" t="s">
        <v>1087</v>
      </c>
      <c r="E6929" s="8">
        <v>40</v>
      </c>
      <c r="F6929" s="8">
        <v>62480</v>
      </c>
      <c r="G6929" s="8">
        <f t="shared" si="432"/>
        <v>2499200</v>
      </c>
      <c r="H6929" s="5">
        <v>0.0679</v>
      </c>
      <c r="I6929" s="8">
        <f t="shared" si="433"/>
        <v>2499200</v>
      </c>
      <c r="J6929" s="8">
        <f t="shared" si="434"/>
        <v>169695.68</v>
      </c>
      <c r="K6929" t="str">
        <f t="shared" si="435"/>
        <v>MATCHED</v>
      </c>
    </row>
    <row r="6930" spans="1:11">
      <c r="A6930" t="s">
        <v>130</v>
      </c>
      <c r="B6930" t="s">
        <v>1878</v>
      </c>
      <c r="C6930" t="s">
        <v>748</v>
      </c>
      <c r="D6930" t="s">
        <v>749</v>
      </c>
      <c r="E6930" s="8">
        <v>900</v>
      </c>
      <c r="F6930" s="8">
        <v>70340</v>
      </c>
      <c r="G6930" s="8">
        <f t="shared" si="432"/>
        <v>63306000</v>
      </c>
      <c r="H6930" s="5">
        <v>0</v>
      </c>
      <c r="I6930" s="8">
        <f t="shared" si="433"/>
        <v>63306000</v>
      </c>
      <c r="J6930" s="8">
        <f t="shared" si="434"/>
        <v>0</v>
      </c>
      <c r="K6930" t="str">
        <f t="shared" si="435"/>
        <v>MATCHED</v>
      </c>
    </row>
    <row r="6931" spans="1:11">
      <c r="A6931" t="s">
        <v>130</v>
      </c>
      <c r="B6931" t="s">
        <v>1878</v>
      </c>
      <c r="C6931" t="s">
        <v>451</v>
      </c>
      <c r="D6931" t="s">
        <v>452</v>
      </c>
      <c r="E6931" s="8">
        <v>540</v>
      </c>
      <c r="F6931" s="8">
        <v>36350</v>
      </c>
      <c r="G6931" s="8">
        <f t="shared" si="432"/>
        <v>19629000</v>
      </c>
      <c r="H6931" s="5">
        <v>0.0594</v>
      </c>
      <c r="I6931" s="8">
        <f t="shared" si="433"/>
        <v>19629000</v>
      </c>
      <c r="J6931" s="8">
        <f t="shared" si="434"/>
        <v>1165962.6</v>
      </c>
      <c r="K6931" t="str">
        <f t="shared" si="435"/>
        <v>MATCHED</v>
      </c>
    </row>
    <row r="6932" spans="1:11">
      <c r="A6932" t="s">
        <v>130</v>
      </c>
      <c r="B6932" t="s">
        <v>1878</v>
      </c>
      <c r="C6932" t="s">
        <v>453</v>
      </c>
      <c r="D6932" t="s">
        <v>454</v>
      </c>
      <c r="E6932" s="8">
        <v>6690</v>
      </c>
      <c r="F6932" s="8">
        <v>48070</v>
      </c>
      <c r="G6932" s="8">
        <f t="shared" si="432"/>
        <v>321588300</v>
      </c>
      <c r="H6932" s="5">
        <v>0.1667</v>
      </c>
      <c r="I6932" s="8">
        <f t="shared" si="433"/>
        <v>321588300</v>
      </c>
      <c r="J6932" s="8">
        <f t="shared" si="434"/>
        <v>53608769.61</v>
      </c>
      <c r="K6932" t="str">
        <f t="shared" si="435"/>
        <v>MATCHED</v>
      </c>
    </row>
    <row r="6933" spans="1:11">
      <c r="A6933" t="s">
        <v>130</v>
      </c>
      <c r="B6933" t="s">
        <v>1878</v>
      </c>
      <c r="C6933" t="s">
        <v>455</v>
      </c>
      <c r="D6933" t="s">
        <v>456</v>
      </c>
      <c r="E6933" s="8">
        <v>430</v>
      </c>
      <c r="F6933" s="8">
        <v>79510</v>
      </c>
      <c r="G6933" s="8">
        <f t="shared" si="432"/>
        <v>34189300</v>
      </c>
      <c r="H6933" s="5">
        <v>0.3775</v>
      </c>
      <c r="I6933" s="8">
        <f t="shared" si="433"/>
        <v>34189300</v>
      </c>
      <c r="J6933" s="8">
        <f t="shared" si="434"/>
        <v>12906460.75</v>
      </c>
      <c r="K6933" t="str">
        <f t="shared" si="435"/>
        <v>MATCHED</v>
      </c>
    </row>
    <row r="6934" spans="1:11">
      <c r="A6934" t="s">
        <v>130</v>
      </c>
      <c r="B6934" t="s">
        <v>1878</v>
      </c>
      <c r="C6934" t="s">
        <v>1092</v>
      </c>
      <c r="D6934" t="s">
        <v>1093</v>
      </c>
      <c r="E6934" s="8"/>
      <c r="F6934" s="8">
        <v>61890</v>
      </c>
      <c r="G6934" s="8" t="str">
        <f t="shared" si="432"/>
        <v/>
      </c>
      <c r="H6934" s="5">
        <v>0</v>
      </c>
      <c r="I6934" s="8" t="str">
        <f t="shared" si="433"/>
        <v/>
      </c>
      <c r="J6934" s="8" t="str">
        <f t="shared" si="434"/>
        <v/>
      </c>
      <c r="K6934" t="str">
        <f t="shared" si="435"/>
        <v>MISSING OEWS</v>
      </c>
    </row>
    <row r="6935" spans="1:11">
      <c r="A6935" t="s">
        <v>130</v>
      </c>
      <c r="B6935" t="s">
        <v>1878</v>
      </c>
      <c r="C6935" t="s">
        <v>1094</v>
      </c>
      <c r="D6935" t="s">
        <v>1095</v>
      </c>
      <c r="E6935" s="8">
        <v>140</v>
      </c>
      <c r="F6935" s="8">
        <v>57840</v>
      </c>
      <c r="G6935" s="8">
        <f t="shared" si="432"/>
        <v>8097600</v>
      </c>
      <c r="H6935" s="5">
        <v>0</v>
      </c>
      <c r="I6935" s="8">
        <f t="shared" si="433"/>
        <v>8097600</v>
      </c>
      <c r="J6935" s="8">
        <f t="shared" si="434"/>
        <v>0</v>
      </c>
      <c r="K6935" t="str">
        <f t="shared" si="435"/>
        <v>MATCHED</v>
      </c>
    </row>
    <row r="6936" spans="1:11">
      <c r="A6936" t="s">
        <v>130</v>
      </c>
      <c r="B6936" t="s">
        <v>1878</v>
      </c>
      <c r="C6936" t="s">
        <v>457</v>
      </c>
      <c r="D6936" t="s">
        <v>458</v>
      </c>
      <c r="E6936" s="8">
        <v>720</v>
      </c>
      <c r="F6936" s="8">
        <v>51690</v>
      </c>
      <c r="G6936" s="8">
        <f t="shared" si="432"/>
        <v>37216800</v>
      </c>
      <c r="H6936" s="5">
        <v>0.15</v>
      </c>
      <c r="I6936" s="8">
        <f t="shared" si="433"/>
        <v>37216800</v>
      </c>
      <c r="J6936" s="8">
        <f t="shared" si="434"/>
        <v>5582520</v>
      </c>
      <c r="K6936" t="str">
        <f t="shared" si="435"/>
        <v>MATCHED</v>
      </c>
    </row>
    <row r="6937" spans="1:11">
      <c r="A6937" t="s">
        <v>130</v>
      </c>
      <c r="B6937" t="s">
        <v>1878</v>
      </c>
      <c r="C6937" t="s">
        <v>1322</v>
      </c>
      <c r="D6937" t="s">
        <v>1323</v>
      </c>
      <c r="E6937" s="8">
        <v>930</v>
      </c>
      <c r="F6937" s="8">
        <v>42980</v>
      </c>
      <c r="G6937" s="8">
        <f t="shared" si="432"/>
        <v>39971400</v>
      </c>
      <c r="H6937" s="5">
        <v>0.1444</v>
      </c>
      <c r="I6937" s="8">
        <f t="shared" si="433"/>
        <v>39971400</v>
      </c>
      <c r="J6937" s="8">
        <f t="shared" si="434"/>
        <v>5771870.16</v>
      </c>
      <c r="K6937" t="str">
        <f t="shared" si="435"/>
        <v>MATCHED</v>
      </c>
    </row>
    <row r="6938" spans="1:11">
      <c r="A6938" t="s">
        <v>130</v>
      </c>
      <c r="B6938" t="s">
        <v>1878</v>
      </c>
      <c r="C6938" t="s">
        <v>756</v>
      </c>
      <c r="D6938" t="s">
        <v>757</v>
      </c>
      <c r="E6938" s="8">
        <v>230</v>
      </c>
      <c r="F6938" s="8">
        <v>74100</v>
      </c>
      <c r="G6938" s="8">
        <f t="shared" si="432"/>
        <v>17043000</v>
      </c>
      <c r="H6938" s="5">
        <v>0.0897</v>
      </c>
      <c r="I6938" s="8">
        <f t="shared" si="433"/>
        <v>17043000</v>
      </c>
      <c r="J6938" s="8">
        <f t="shared" si="434"/>
        <v>1528757.1</v>
      </c>
      <c r="K6938" t="str">
        <f t="shared" si="435"/>
        <v>MATCHED</v>
      </c>
    </row>
    <row r="6939" spans="1:11">
      <c r="A6939" t="s">
        <v>130</v>
      </c>
      <c r="B6939" t="s">
        <v>1878</v>
      </c>
      <c r="C6939" t="s">
        <v>465</v>
      </c>
      <c r="D6939" t="s">
        <v>466</v>
      </c>
      <c r="E6939" s="8">
        <v>650</v>
      </c>
      <c r="F6939" s="8">
        <v>75260</v>
      </c>
      <c r="G6939" s="8">
        <f t="shared" si="432"/>
        <v>48919000</v>
      </c>
      <c r="H6939" s="5">
        <v>0.0233</v>
      </c>
      <c r="I6939" s="8">
        <f t="shared" si="433"/>
        <v>48919000</v>
      </c>
      <c r="J6939" s="8">
        <f t="shared" si="434"/>
        <v>1139812.7</v>
      </c>
      <c r="K6939" t="str">
        <f t="shared" si="435"/>
        <v>MATCHED</v>
      </c>
    </row>
    <row r="6940" spans="1:11">
      <c r="A6940" t="s">
        <v>130</v>
      </c>
      <c r="B6940" t="s">
        <v>1878</v>
      </c>
      <c r="C6940" t="s">
        <v>1344</v>
      </c>
      <c r="D6940" t="s">
        <v>1345</v>
      </c>
      <c r="E6940" s="8">
        <v>100</v>
      </c>
      <c r="F6940" s="8">
        <v>55820</v>
      </c>
      <c r="G6940" s="8">
        <f t="shared" si="432"/>
        <v>5582000</v>
      </c>
      <c r="H6940" s="5">
        <v>0.3348</v>
      </c>
      <c r="I6940" s="8">
        <f t="shared" si="433"/>
        <v>5582000</v>
      </c>
      <c r="J6940" s="8">
        <f t="shared" si="434"/>
        <v>1868853.6</v>
      </c>
      <c r="K6940" t="str">
        <f t="shared" si="435"/>
        <v>MATCHED</v>
      </c>
    </row>
    <row r="6941" spans="1:11">
      <c r="A6941" t="s">
        <v>130</v>
      </c>
      <c r="B6941" t="s">
        <v>1878</v>
      </c>
      <c r="C6941" t="s">
        <v>1116</v>
      </c>
      <c r="D6941" t="s">
        <v>1117</v>
      </c>
      <c r="E6941" s="8">
        <v>1480</v>
      </c>
      <c r="F6941" s="8">
        <v>37510</v>
      </c>
      <c r="G6941" s="8">
        <f t="shared" si="432"/>
        <v>55514800</v>
      </c>
      <c r="H6941" s="5">
        <v>0</v>
      </c>
      <c r="I6941" s="8">
        <f t="shared" si="433"/>
        <v>55514800</v>
      </c>
      <c r="J6941" s="8">
        <f t="shared" si="434"/>
        <v>0</v>
      </c>
      <c r="K6941" t="str">
        <f t="shared" si="435"/>
        <v>MATCHED</v>
      </c>
    </row>
    <row r="6942" spans="1:11">
      <c r="A6942" t="s">
        <v>130</v>
      </c>
      <c r="B6942" t="s">
        <v>1878</v>
      </c>
      <c r="C6942" t="s">
        <v>1118</v>
      </c>
      <c r="D6942" t="s">
        <v>1119</v>
      </c>
      <c r="E6942" s="8">
        <v>160</v>
      </c>
      <c r="F6942" s="8">
        <v>43500</v>
      </c>
      <c r="G6942" s="8">
        <f t="shared" si="432"/>
        <v>6960000</v>
      </c>
      <c r="H6942" s="5">
        <v>0.0365</v>
      </c>
      <c r="I6942" s="8">
        <f t="shared" si="433"/>
        <v>6960000</v>
      </c>
      <c r="J6942" s="8">
        <f t="shared" si="434"/>
        <v>254040</v>
      </c>
      <c r="K6942" t="str">
        <f t="shared" si="435"/>
        <v>MATCHED</v>
      </c>
    </row>
    <row r="6943" spans="1:11">
      <c r="A6943" t="s">
        <v>130</v>
      </c>
      <c r="B6943" t="s">
        <v>1878</v>
      </c>
      <c r="C6943" t="s">
        <v>1354</v>
      </c>
      <c r="D6943" t="s">
        <v>1355</v>
      </c>
      <c r="E6943" s="8">
        <v>70</v>
      </c>
      <c r="F6943" s="8">
        <v>37800</v>
      </c>
      <c r="G6943" s="8">
        <f t="shared" si="432"/>
        <v>2646000</v>
      </c>
      <c r="H6943" s="5">
        <v>0</v>
      </c>
      <c r="I6943" s="8">
        <f t="shared" si="433"/>
        <v>2646000</v>
      </c>
      <c r="J6943" s="8">
        <f t="shared" si="434"/>
        <v>0</v>
      </c>
      <c r="K6943" t="str">
        <f t="shared" si="435"/>
        <v>MATCHED</v>
      </c>
    </row>
    <row r="6944" spans="1:11">
      <c r="A6944" t="s">
        <v>130</v>
      </c>
      <c r="B6944" t="s">
        <v>1878</v>
      </c>
      <c r="C6944" t="s">
        <v>1356</v>
      </c>
      <c r="D6944" t="s">
        <v>1357</v>
      </c>
      <c r="E6944" s="8">
        <v>200</v>
      </c>
      <c r="F6944" s="8">
        <v>43060</v>
      </c>
      <c r="G6944" s="8">
        <f t="shared" si="432"/>
        <v>8612000</v>
      </c>
      <c r="H6944" s="5">
        <v>0.0432</v>
      </c>
      <c r="I6944" s="8">
        <f t="shared" si="433"/>
        <v>8612000</v>
      </c>
      <c r="J6944" s="8">
        <f t="shared" si="434"/>
        <v>372038.4</v>
      </c>
      <c r="K6944" t="str">
        <f t="shared" si="435"/>
        <v>MATCHED</v>
      </c>
    </row>
    <row r="6945" spans="1:11">
      <c r="A6945" t="s">
        <v>130</v>
      </c>
      <c r="B6945" t="s">
        <v>1878</v>
      </c>
      <c r="C6945" t="s">
        <v>1120</v>
      </c>
      <c r="D6945" t="s">
        <v>1121</v>
      </c>
      <c r="E6945" s="8">
        <v>50</v>
      </c>
      <c r="F6945" s="8">
        <v>57940</v>
      </c>
      <c r="G6945" s="8">
        <f t="shared" si="432"/>
        <v>2897000</v>
      </c>
      <c r="H6945" s="5">
        <v>0.0432</v>
      </c>
      <c r="I6945" s="8">
        <f t="shared" si="433"/>
        <v>2897000</v>
      </c>
      <c r="J6945" s="8">
        <f t="shared" si="434"/>
        <v>125150.4</v>
      </c>
      <c r="K6945" t="str">
        <f t="shared" si="435"/>
        <v>MATCHED</v>
      </c>
    </row>
    <row r="6946" spans="1:11">
      <c r="A6946" t="s">
        <v>130</v>
      </c>
      <c r="B6946" t="s">
        <v>1878</v>
      </c>
      <c r="C6946" t="s">
        <v>768</v>
      </c>
      <c r="D6946" t="s">
        <v>769</v>
      </c>
      <c r="E6946" s="8">
        <v>290</v>
      </c>
      <c r="F6946" s="8">
        <v>67260</v>
      </c>
      <c r="G6946" s="8">
        <f t="shared" si="432"/>
        <v>19505400</v>
      </c>
      <c r="H6946" s="5">
        <v>0.104</v>
      </c>
      <c r="I6946" s="8">
        <f t="shared" si="433"/>
        <v>19505400</v>
      </c>
      <c r="J6946" s="8">
        <f t="shared" si="434"/>
        <v>2028561.6</v>
      </c>
      <c r="K6946" t="str">
        <f t="shared" si="435"/>
        <v>MATCHED</v>
      </c>
    </row>
    <row r="6947" spans="1:11">
      <c r="A6947" t="s">
        <v>130</v>
      </c>
      <c r="B6947" t="s">
        <v>1878</v>
      </c>
      <c r="C6947" t="s">
        <v>770</v>
      </c>
      <c r="D6947" t="s">
        <v>771</v>
      </c>
      <c r="E6947" s="8">
        <v>260</v>
      </c>
      <c r="F6947" s="8">
        <v>55040</v>
      </c>
      <c r="G6947" s="8">
        <f t="shared" si="432"/>
        <v>14310400</v>
      </c>
      <c r="H6947" s="5">
        <v>0.1188</v>
      </c>
      <c r="I6947" s="8">
        <f t="shared" si="433"/>
        <v>14310400</v>
      </c>
      <c r="J6947" s="8">
        <f t="shared" si="434"/>
        <v>1700075.52</v>
      </c>
      <c r="K6947" t="str">
        <f t="shared" si="435"/>
        <v>MATCHED</v>
      </c>
    </row>
    <row r="6948" spans="1:11">
      <c r="A6948" t="s">
        <v>130</v>
      </c>
      <c r="B6948" t="s">
        <v>1878</v>
      </c>
      <c r="C6948" t="s">
        <v>469</v>
      </c>
      <c r="D6948" t="s">
        <v>470</v>
      </c>
      <c r="E6948" s="8">
        <v>90</v>
      </c>
      <c r="F6948" s="8">
        <v>60980</v>
      </c>
      <c r="G6948" s="8">
        <f t="shared" si="432"/>
        <v>5488200</v>
      </c>
      <c r="H6948" s="5">
        <v>0.0452</v>
      </c>
      <c r="I6948" s="8">
        <f t="shared" si="433"/>
        <v>5488200</v>
      </c>
      <c r="J6948" s="8">
        <f t="shared" si="434"/>
        <v>248066.64</v>
      </c>
      <c r="K6948" t="str">
        <f t="shared" si="435"/>
        <v>MATCHED</v>
      </c>
    </row>
    <row r="6949" spans="1:11">
      <c r="A6949" t="s">
        <v>130</v>
      </c>
      <c r="B6949" t="s">
        <v>1878</v>
      </c>
      <c r="C6949" t="s">
        <v>475</v>
      </c>
      <c r="D6949" t="s">
        <v>476</v>
      </c>
      <c r="E6949" s="8"/>
      <c r="F6949" s="8">
        <v>47710</v>
      </c>
      <c r="G6949" s="8" t="str">
        <f t="shared" si="432"/>
        <v/>
      </c>
      <c r="H6949" s="5">
        <v>0</v>
      </c>
      <c r="I6949" s="8" t="str">
        <f t="shared" si="433"/>
        <v/>
      </c>
      <c r="J6949" s="8" t="str">
        <f t="shared" si="434"/>
        <v/>
      </c>
      <c r="K6949" t="str">
        <f t="shared" si="435"/>
        <v>MISSING OEWS</v>
      </c>
    </row>
    <row r="6950" spans="1:11">
      <c r="A6950" t="s">
        <v>130</v>
      </c>
      <c r="B6950" t="s">
        <v>1878</v>
      </c>
      <c r="C6950" t="s">
        <v>481</v>
      </c>
      <c r="D6950" t="s">
        <v>482</v>
      </c>
      <c r="E6950" s="8">
        <v>110</v>
      </c>
      <c r="F6950" s="8">
        <v>41290</v>
      </c>
      <c r="G6950" s="8">
        <f t="shared" si="432"/>
        <v>4541900</v>
      </c>
      <c r="H6950" s="5">
        <v>0.2969</v>
      </c>
      <c r="I6950" s="8">
        <f t="shared" si="433"/>
        <v>4541900</v>
      </c>
      <c r="J6950" s="8">
        <f t="shared" si="434"/>
        <v>1348490.11</v>
      </c>
      <c r="K6950" t="str">
        <f t="shared" si="435"/>
        <v>MATCHED</v>
      </c>
    </row>
    <row r="6951" spans="1:11">
      <c r="A6951" t="s">
        <v>130</v>
      </c>
      <c r="B6951" t="s">
        <v>1878</v>
      </c>
      <c r="C6951" t="s">
        <v>1380</v>
      </c>
      <c r="D6951" t="s">
        <v>1381</v>
      </c>
      <c r="E6951" s="8"/>
      <c r="F6951" s="8">
        <v>44160</v>
      </c>
      <c r="G6951" s="8" t="str">
        <f t="shared" si="432"/>
        <v/>
      </c>
      <c r="H6951" s="5">
        <v>0.0924</v>
      </c>
      <c r="I6951" s="8" t="str">
        <f t="shared" si="433"/>
        <v/>
      </c>
      <c r="J6951" s="8" t="str">
        <f t="shared" si="434"/>
        <v/>
      </c>
      <c r="K6951" t="str">
        <f t="shared" si="435"/>
        <v>MISSING OEWS</v>
      </c>
    </row>
    <row r="6952" spans="1:11">
      <c r="A6952" t="s">
        <v>130</v>
      </c>
      <c r="B6952" t="s">
        <v>1878</v>
      </c>
      <c r="C6952" t="s">
        <v>1130</v>
      </c>
      <c r="D6952" t="s">
        <v>1131</v>
      </c>
      <c r="E6952" s="8"/>
      <c r="F6952" s="8">
        <v>41960</v>
      </c>
      <c r="G6952" s="8" t="str">
        <f t="shared" si="432"/>
        <v/>
      </c>
      <c r="H6952" s="5">
        <v>0</v>
      </c>
      <c r="I6952" s="8" t="str">
        <f t="shared" si="433"/>
        <v/>
      </c>
      <c r="J6952" s="8" t="str">
        <f t="shared" si="434"/>
        <v/>
      </c>
      <c r="K6952" t="str">
        <f t="shared" si="435"/>
        <v>MISSING OEWS</v>
      </c>
    </row>
    <row r="6953" spans="1:11">
      <c r="A6953" t="s">
        <v>130</v>
      </c>
      <c r="B6953" t="s">
        <v>1878</v>
      </c>
      <c r="C6953" t="s">
        <v>782</v>
      </c>
      <c r="D6953" t="s">
        <v>783</v>
      </c>
      <c r="E6953" s="8">
        <v>430</v>
      </c>
      <c r="F6953" s="8">
        <v>52720</v>
      </c>
      <c r="G6953" s="8">
        <f t="shared" si="432"/>
        <v>22669600</v>
      </c>
      <c r="H6953" s="5">
        <v>0.0317</v>
      </c>
      <c r="I6953" s="8">
        <f t="shared" si="433"/>
        <v>22669600</v>
      </c>
      <c r="J6953" s="8">
        <f t="shared" si="434"/>
        <v>718626.32</v>
      </c>
      <c r="K6953" t="str">
        <f t="shared" si="435"/>
        <v>MATCHED</v>
      </c>
    </row>
    <row r="6954" spans="1:11">
      <c r="A6954" t="s">
        <v>130</v>
      </c>
      <c r="B6954" t="s">
        <v>1878</v>
      </c>
      <c r="C6954" t="s">
        <v>1390</v>
      </c>
      <c r="D6954" t="s">
        <v>1391</v>
      </c>
      <c r="E6954" s="8">
        <v>30</v>
      </c>
      <c r="F6954" s="8">
        <v>45730</v>
      </c>
      <c r="G6954" s="8">
        <f t="shared" si="432"/>
        <v>1371900</v>
      </c>
      <c r="H6954" s="5">
        <v>0.5391</v>
      </c>
      <c r="I6954" s="8">
        <f t="shared" si="433"/>
        <v>1371900</v>
      </c>
      <c r="J6954" s="8">
        <f t="shared" si="434"/>
        <v>739591.29</v>
      </c>
      <c r="K6954" t="str">
        <f t="shared" si="435"/>
        <v>MATCHED</v>
      </c>
    </row>
    <row r="6955" spans="1:11">
      <c r="A6955" t="s">
        <v>130</v>
      </c>
      <c r="B6955" t="s">
        <v>1878</v>
      </c>
      <c r="C6955" t="s">
        <v>784</v>
      </c>
      <c r="D6955" t="s">
        <v>785</v>
      </c>
      <c r="E6955" s="8">
        <v>80</v>
      </c>
      <c r="F6955" s="8">
        <v>64720</v>
      </c>
      <c r="G6955" s="8">
        <f t="shared" si="432"/>
        <v>5177600</v>
      </c>
      <c r="H6955" s="5">
        <v>0.2111</v>
      </c>
      <c r="I6955" s="8">
        <f t="shared" si="433"/>
        <v>5177600</v>
      </c>
      <c r="J6955" s="8">
        <f t="shared" si="434"/>
        <v>1092991.36</v>
      </c>
      <c r="K6955" t="str">
        <f t="shared" si="435"/>
        <v>MATCHED</v>
      </c>
    </row>
    <row r="6956" spans="1:11">
      <c r="A6956" t="s">
        <v>130</v>
      </c>
      <c r="B6956" t="s">
        <v>1878</v>
      </c>
      <c r="C6956" t="s">
        <v>1394</v>
      </c>
      <c r="D6956" t="s">
        <v>1395</v>
      </c>
      <c r="E6956" s="8">
        <v>100</v>
      </c>
      <c r="F6956" s="8">
        <v>48360</v>
      </c>
      <c r="G6956" s="8">
        <f t="shared" si="432"/>
        <v>4836000</v>
      </c>
      <c r="H6956" s="5">
        <v>0.05</v>
      </c>
      <c r="I6956" s="8">
        <f t="shared" si="433"/>
        <v>4836000</v>
      </c>
      <c r="J6956" s="8">
        <f t="shared" si="434"/>
        <v>241800</v>
      </c>
      <c r="K6956" t="str">
        <f t="shared" si="435"/>
        <v>MATCHED</v>
      </c>
    </row>
    <row r="6957" spans="1:11">
      <c r="A6957" t="s">
        <v>130</v>
      </c>
      <c r="B6957" t="s">
        <v>1878</v>
      </c>
      <c r="C6957" t="s">
        <v>786</v>
      </c>
      <c r="D6957" t="s">
        <v>787</v>
      </c>
      <c r="E6957" s="8">
        <v>80</v>
      </c>
      <c r="F6957" s="8">
        <v>44130</v>
      </c>
      <c r="G6957" s="8">
        <f t="shared" si="432"/>
        <v>3530400</v>
      </c>
      <c r="H6957" s="5">
        <v>0.0125</v>
      </c>
      <c r="I6957" s="8">
        <f t="shared" si="433"/>
        <v>3530400</v>
      </c>
      <c r="J6957" s="8">
        <f t="shared" si="434"/>
        <v>44130</v>
      </c>
      <c r="K6957" t="str">
        <f t="shared" si="435"/>
        <v>MATCHED</v>
      </c>
    </row>
    <row r="6958" spans="1:11">
      <c r="A6958" t="s">
        <v>130</v>
      </c>
      <c r="B6958" t="s">
        <v>1878</v>
      </c>
      <c r="C6958" t="s">
        <v>489</v>
      </c>
      <c r="D6958" t="s">
        <v>490</v>
      </c>
      <c r="E6958" s="8">
        <v>40</v>
      </c>
      <c r="F6958" s="8">
        <v>37350</v>
      </c>
      <c r="G6958" s="8">
        <f t="shared" si="432"/>
        <v>1494000</v>
      </c>
      <c r="H6958" s="5">
        <v>0.0838</v>
      </c>
      <c r="I6958" s="8">
        <f t="shared" si="433"/>
        <v>1494000</v>
      </c>
      <c r="J6958" s="8">
        <f t="shared" si="434"/>
        <v>125197.2</v>
      </c>
      <c r="K6958" t="str">
        <f t="shared" si="435"/>
        <v>MATCHED</v>
      </c>
    </row>
    <row r="6959" spans="1:11">
      <c r="A6959" t="s">
        <v>130</v>
      </c>
      <c r="B6959" t="s">
        <v>1878</v>
      </c>
      <c r="C6959" t="s">
        <v>491</v>
      </c>
      <c r="D6959" t="s">
        <v>492</v>
      </c>
      <c r="E6959" s="8">
        <v>270</v>
      </c>
      <c r="F6959" s="8">
        <v>45730</v>
      </c>
      <c r="G6959" s="8">
        <f t="shared" si="432"/>
        <v>12347100</v>
      </c>
      <c r="H6959" s="5"/>
      <c r="I6959" s="8" t="str">
        <f t="shared" si="433"/>
        <v/>
      </c>
      <c r="J6959" s="8" t="str">
        <f t="shared" si="434"/>
        <v/>
      </c>
      <c r="K6959" t="str">
        <f t="shared" si="435"/>
        <v>MISSING WHARTON</v>
      </c>
    </row>
    <row r="6960" spans="1:11">
      <c r="A6960" t="s">
        <v>130</v>
      </c>
      <c r="B6960" t="s">
        <v>1878</v>
      </c>
      <c r="C6960" t="s">
        <v>493</v>
      </c>
      <c r="D6960" t="s">
        <v>494</v>
      </c>
      <c r="E6960" s="8">
        <v>3070</v>
      </c>
      <c r="F6960" s="8">
        <v>63800</v>
      </c>
      <c r="G6960" s="8">
        <f t="shared" si="432"/>
        <v>195866000</v>
      </c>
      <c r="H6960" s="5">
        <v>0.3429</v>
      </c>
      <c r="I6960" s="8">
        <f t="shared" si="433"/>
        <v>195866000</v>
      </c>
      <c r="J6960" s="8">
        <f t="shared" si="434"/>
        <v>67162451.4</v>
      </c>
      <c r="K6960" t="str">
        <f t="shared" si="435"/>
        <v>MATCHED</v>
      </c>
    </row>
    <row r="6961" spans="1:11">
      <c r="A6961" t="s">
        <v>130</v>
      </c>
      <c r="B6961" t="s">
        <v>1878</v>
      </c>
      <c r="C6961" t="s">
        <v>495</v>
      </c>
      <c r="D6961" t="s">
        <v>496</v>
      </c>
      <c r="E6961" s="8">
        <v>160</v>
      </c>
      <c r="F6961" s="8">
        <v>150080</v>
      </c>
      <c r="G6961" s="8">
        <f t="shared" si="432"/>
        <v>24012800</v>
      </c>
      <c r="H6961" s="5">
        <v>0.3558</v>
      </c>
      <c r="I6961" s="8">
        <f t="shared" si="433"/>
        <v>24012800</v>
      </c>
      <c r="J6961" s="8">
        <f t="shared" si="434"/>
        <v>8543754.24</v>
      </c>
      <c r="K6961" t="str">
        <f t="shared" si="435"/>
        <v>MATCHED</v>
      </c>
    </row>
    <row r="6962" spans="1:11">
      <c r="A6962" t="s">
        <v>130</v>
      </c>
      <c r="B6962" t="s">
        <v>1878</v>
      </c>
      <c r="C6962" t="s">
        <v>497</v>
      </c>
      <c r="D6962" t="s">
        <v>498</v>
      </c>
      <c r="E6962" s="8">
        <v>790</v>
      </c>
      <c r="F6962" s="8">
        <v>48450</v>
      </c>
      <c r="G6962" s="8">
        <f t="shared" si="432"/>
        <v>38275500</v>
      </c>
      <c r="H6962" s="5">
        <v>0.3167</v>
      </c>
      <c r="I6962" s="8">
        <f t="shared" si="433"/>
        <v>38275500</v>
      </c>
      <c r="J6962" s="8">
        <f t="shared" si="434"/>
        <v>12121850.85</v>
      </c>
      <c r="K6962" t="str">
        <f t="shared" si="435"/>
        <v>MATCHED</v>
      </c>
    </row>
    <row r="6963" spans="1:11">
      <c r="A6963" t="s">
        <v>130</v>
      </c>
      <c r="B6963" t="s">
        <v>1878</v>
      </c>
      <c r="C6963" t="s">
        <v>499</v>
      </c>
      <c r="D6963" t="s">
        <v>500</v>
      </c>
      <c r="E6963" s="8">
        <v>960</v>
      </c>
      <c r="F6963" s="8">
        <v>63570</v>
      </c>
      <c r="G6963" s="8">
        <f t="shared" si="432"/>
        <v>61027200</v>
      </c>
      <c r="H6963" s="5">
        <v>0.2065</v>
      </c>
      <c r="I6963" s="8">
        <f t="shared" si="433"/>
        <v>61027200</v>
      </c>
      <c r="J6963" s="8">
        <f t="shared" si="434"/>
        <v>12602116.8</v>
      </c>
      <c r="K6963" t="str">
        <f t="shared" si="435"/>
        <v>MATCHED</v>
      </c>
    </row>
    <row r="6964" spans="1:11">
      <c r="A6964" t="s">
        <v>130</v>
      </c>
      <c r="B6964" t="s">
        <v>1878</v>
      </c>
      <c r="C6964" t="s">
        <v>501</v>
      </c>
      <c r="D6964" t="s">
        <v>502</v>
      </c>
      <c r="E6964" s="8">
        <v>1520</v>
      </c>
      <c r="F6964" s="8">
        <v>45900</v>
      </c>
      <c r="G6964" s="8">
        <f t="shared" si="432"/>
        <v>69768000</v>
      </c>
      <c r="H6964" s="5">
        <v>0.3393</v>
      </c>
      <c r="I6964" s="8">
        <f t="shared" si="433"/>
        <v>69768000</v>
      </c>
      <c r="J6964" s="8">
        <f t="shared" si="434"/>
        <v>23672282.4</v>
      </c>
      <c r="K6964" t="str">
        <f t="shared" si="435"/>
        <v>MATCHED</v>
      </c>
    </row>
    <row r="6965" spans="1:11">
      <c r="A6965" t="s">
        <v>130</v>
      </c>
      <c r="B6965" t="s">
        <v>1878</v>
      </c>
      <c r="C6965" t="s">
        <v>1553</v>
      </c>
      <c r="D6965" t="s">
        <v>1554</v>
      </c>
      <c r="E6965" s="8">
        <v>50</v>
      </c>
      <c r="F6965" s="8">
        <v>44180</v>
      </c>
      <c r="G6965" s="8">
        <f t="shared" si="432"/>
        <v>2209000</v>
      </c>
      <c r="H6965" s="5">
        <v>0.2235</v>
      </c>
      <c r="I6965" s="8">
        <f t="shared" si="433"/>
        <v>2209000</v>
      </c>
      <c r="J6965" s="8">
        <f t="shared" si="434"/>
        <v>493711.5</v>
      </c>
      <c r="K6965" t="str">
        <f t="shared" si="435"/>
        <v>MATCHED</v>
      </c>
    </row>
    <row r="6966" spans="1:11">
      <c r="A6966" t="s">
        <v>130</v>
      </c>
      <c r="B6966" t="s">
        <v>1878</v>
      </c>
      <c r="C6966" t="s">
        <v>1457</v>
      </c>
      <c r="D6966" t="s">
        <v>1458</v>
      </c>
      <c r="E6966" s="8">
        <v>330</v>
      </c>
      <c r="F6966" s="8">
        <v>51540</v>
      </c>
      <c r="G6966" s="8">
        <f t="shared" si="432"/>
        <v>17008200</v>
      </c>
      <c r="H6966" s="5">
        <v>0.2567</v>
      </c>
      <c r="I6966" s="8">
        <f t="shared" si="433"/>
        <v>17008200</v>
      </c>
      <c r="J6966" s="8">
        <f t="shared" si="434"/>
        <v>4366004.94</v>
      </c>
      <c r="K6966" t="str">
        <f t="shared" si="435"/>
        <v>MATCHED</v>
      </c>
    </row>
    <row r="6967" spans="1:11">
      <c r="A6967" t="s">
        <v>130</v>
      </c>
      <c r="B6967" t="s">
        <v>1878</v>
      </c>
      <c r="C6967" t="s">
        <v>503</v>
      </c>
      <c r="D6967" t="s">
        <v>504</v>
      </c>
      <c r="E6967" s="8">
        <v>3500</v>
      </c>
      <c r="F6967" s="8">
        <v>40140</v>
      </c>
      <c r="G6967" s="8">
        <f t="shared" si="432"/>
        <v>140490000</v>
      </c>
      <c r="H6967" s="5">
        <v>0.3288</v>
      </c>
      <c r="I6967" s="8">
        <f t="shared" si="433"/>
        <v>140490000</v>
      </c>
      <c r="J6967" s="8">
        <f t="shared" si="434"/>
        <v>46193112</v>
      </c>
      <c r="K6967" t="str">
        <f t="shared" si="435"/>
        <v>MATCHED</v>
      </c>
    </row>
    <row r="6968" spans="1:11">
      <c r="A6968" t="s">
        <v>130</v>
      </c>
      <c r="B6968" t="s">
        <v>1878</v>
      </c>
      <c r="C6968" t="s">
        <v>1134</v>
      </c>
      <c r="D6968" t="s">
        <v>1135</v>
      </c>
      <c r="E6968" s="8">
        <v>1880</v>
      </c>
      <c r="F6968" s="8">
        <v>38920</v>
      </c>
      <c r="G6968" s="8">
        <f t="shared" si="432"/>
        <v>73169600</v>
      </c>
      <c r="H6968" s="5"/>
      <c r="I6968" s="8" t="str">
        <f t="shared" si="433"/>
        <v/>
      </c>
      <c r="J6968" s="8" t="str">
        <f t="shared" si="434"/>
        <v/>
      </c>
      <c r="K6968" t="str">
        <f t="shared" si="435"/>
        <v>MISSING WHARTON</v>
      </c>
    </row>
    <row r="6969" spans="1:11">
      <c r="A6969" t="s">
        <v>130</v>
      </c>
      <c r="B6969" t="s">
        <v>1878</v>
      </c>
      <c r="C6969" t="s">
        <v>1557</v>
      </c>
      <c r="D6969" t="s">
        <v>1558</v>
      </c>
      <c r="E6969" s="8">
        <v>60</v>
      </c>
      <c r="F6969" s="8">
        <v>46870</v>
      </c>
      <c r="G6969" s="8">
        <f t="shared" si="432"/>
        <v>2812200</v>
      </c>
      <c r="H6969" s="5">
        <v>0.4</v>
      </c>
      <c r="I6969" s="8">
        <f t="shared" si="433"/>
        <v>2812200</v>
      </c>
      <c r="J6969" s="8">
        <f t="shared" si="434"/>
        <v>1124880</v>
      </c>
      <c r="K6969" t="str">
        <f t="shared" si="435"/>
        <v>MATCHED</v>
      </c>
    </row>
    <row r="6970" spans="1:11">
      <c r="A6970" t="s">
        <v>130</v>
      </c>
      <c r="B6970" t="s">
        <v>1878</v>
      </c>
      <c r="C6970" t="s">
        <v>796</v>
      </c>
      <c r="D6970" t="s">
        <v>797</v>
      </c>
      <c r="E6970" s="8">
        <v>390</v>
      </c>
      <c r="F6970" s="8">
        <v>45420</v>
      </c>
      <c r="G6970" s="8">
        <f t="shared" si="432"/>
        <v>17713800</v>
      </c>
      <c r="H6970" s="5">
        <v>0.1018</v>
      </c>
      <c r="I6970" s="8">
        <f t="shared" si="433"/>
        <v>17713800</v>
      </c>
      <c r="J6970" s="8">
        <f t="shared" si="434"/>
        <v>1803264.84</v>
      </c>
      <c r="K6970" t="str">
        <f t="shared" si="435"/>
        <v>MATCHED</v>
      </c>
    </row>
    <row r="6971" spans="1:11">
      <c r="A6971" t="s">
        <v>130</v>
      </c>
      <c r="B6971" t="s">
        <v>1878</v>
      </c>
      <c r="C6971" t="s">
        <v>798</v>
      </c>
      <c r="D6971" t="s">
        <v>799</v>
      </c>
      <c r="E6971" s="8">
        <v>1300</v>
      </c>
      <c r="F6971" s="8">
        <v>78750</v>
      </c>
      <c r="G6971" s="8">
        <f t="shared" si="432"/>
        <v>102375000</v>
      </c>
      <c r="H6971" s="5">
        <v>0.095</v>
      </c>
      <c r="I6971" s="8">
        <f t="shared" si="433"/>
        <v>102375000</v>
      </c>
      <c r="J6971" s="8">
        <f t="shared" si="434"/>
        <v>9725625</v>
      </c>
      <c r="K6971" t="str">
        <f t="shared" si="435"/>
        <v>MATCHED</v>
      </c>
    </row>
    <row r="6972" spans="1:11">
      <c r="A6972" t="s">
        <v>130</v>
      </c>
      <c r="B6972" t="s">
        <v>1878</v>
      </c>
      <c r="C6972" t="s">
        <v>1136</v>
      </c>
      <c r="D6972" t="s">
        <v>1137</v>
      </c>
      <c r="E6972" s="8">
        <v>780</v>
      </c>
      <c r="F6972" s="8">
        <v>53590</v>
      </c>
      <c r="G6972" s="8">
        <f t="shared" si="432"/>
        <v>41800200</v>
      </c>
      <c r="H6972" s="5">
        <v>0.0559</v>
      </c>
      <c r="I6972" s="8">
        <f t="shared" si="433"/>
        <v>41800200</v>
      </c>
      <c r="J6972" s="8">
        <f t="shared" si="434"/>
        <v>2336631.18</v>
      </c>
      <c r="K6972" t="str">
        <f t="shared" si="435"/>
        <v>MATCHED</v>
      </c>
    </row>
    <row r="6973" spans="1:11">
      <c r="A6973" t="s">
        <v>130</v>
      </c>
      <c r="B6973" t="s">
        <v>1878</v>
      </c>
      <c r="C6973" t="s">
        <v>800</v>
      </c>
      <c r="D6973" t="s">
        <v>801</v>
      </c>
      <c r="E6973" s="8">
        <v>70</v>
      </c>
      <c r="F6973" s="8">
        <v>75230</v>
      </c>
      <c r="G6973" s="8">
        <f t="shared" si="432"/>
        <v>5266100</v>
      </c>
      <c r="H6973" s="5">
        <v>0.0971</v>
      </c>
      <c r="I6973" s="8">
        <f t="shared" si="433"/>
        <v>5266100</v>
      </c>
      <c r="J6973" s="8">
        <f t="shared" si="434"/>
        <v>511338.31</v>
      </c>
      <c r="K6973" t="str">
        <f t="shared" si="435"/>
        <v>MATCHED</v>
      </c>
    </row>
    <row r="6974" spans="1:11">
      <c r="A6974" t="s">
        <v>130</v>
      </c>
      <c r="B6974" t="s">
        <v>1878</v>
      </c>
      <c r="C6974" t="s">
        <v>1408</v>
      </c>
      <c r="D6974" t="s">
        <v>1409</v>
      </c>
      <c r="E6974" s="8">
        <v>7300</v>
      </c>
      <c r="F6974" s="8">
        <v>33150</v>
      </c>
      <c r="G6974" s="8">
        <f t="shared" si="432"/>
        <v>241995000</v>
      </c>
      <c r="H6974" s="5">
        <v>0.1972</v>
      </c>
      <c r="I6974" s="8">
        <f t="shared" si="433"/>
        <v>241995000</v>
      </c>
      <c r="J6974" s="8">
        <f t="shared" si="434"/>
        <v>47721414</v>
      </c>
      <c r="K6974" t="str">
        <f t="shared" si="435"/>
        <v>MATCHED</v>
      </c>
    </row>
    <row r="6975" spans="1:11">
      <c r="A6975" t="s">
        <v>130</v>
      </c>
      <c r="B6975" t="s">
        <v>1878</v>
      </c>
      <c r="C6975" t="s">
        <v>1138</v>
      </c>
      <c r="D6975" t="s">
        <v>1139</v>
      </c>
      <c r="E6975" s="8">
        <v>2440</v>
      </c>
      <c r="F6975" s="8">
        <v>37080</v>
      </c>
      <c r="G6975" s="8">
        <f t="shared" si="432"/>
        <v>90475200</v>
      </c>
      <c r="H6975" s="5">
        <v>0.2533</v>
      </c>
      <c r="I6975" s="8">
        <f t="shared" si="433"/>
        <v>90475200</v>
      </c>
      <c r="J6975" s="8">
        <f t="shared" si="434"/>
        <v>22917368.16</v>
      </c>
      <c r="K6975" t="str">
        <f t="shared" si="435"/>
        <v>MATCHED</v>
      </c>
    </row>
    <row r="6976" spans="1:11">
      <c r="A6976" t="s">
        <v>130</v>
      </c>
      <c r="B6976" t="s">
        <v>1878</v>
      </c>
      <c r="C6976" t="s">
        <v>1561</v>
      </c>
      <c r="D6976" t="s">
        <v>1562</v>
      </c>
      <c r="E6976" s="8">
        <v>250</v>
      </c>
      <c r="F6976" s="8">
        <v>37710</v>
      </c>
      <c r="G6976" s="8">
        <f t="shared" si="432"/>
        <v>9427500</v>
      </c>
      <c r="H6976" s="5">
        <v>0.275</v>
      </c>
      <c r="I6976" s="8">
        <f t="shared" si="433"/>
        <v>9427500</v>
      </c>
      <c r="J6976" s="8">
        <f t="shared" si="434"/>
        <v>2592562.5</v>
      </c>
      <c r="K6976" t="str">
        <f t="shared" si="435"/>
        <v>MATCHED</v>
      </c>
    </row>
    <row r="6977" spans="1:11">
      <c r="A6977" t="s">
        <v>130</v>
      </c>
      <c r="B6977" t="s">
        <v>1878</v>
      </c>
      <c r="C6977" t="s">
        <v>1142</v>
      </c>
      <c r="D6977" t="s">
        <v>1143</v>
      </c>
      <c r="E6977" s="8">
        <v>70</v>
      </c>
      <c r="F6977" s="8">
        <v>40720</v>
      </c>
      <c r="G6977" s="8">
        <f t="shared" si="432"/>
        <v>2850400</v>
      </c>
      <c r="H6977" s="5"/>
      <c r="I6977" s="8" t="str">
        <f t="shared" si="433"/>
        <v/>
      </c>
      <c r="J6977" s="8" t="str">
        <f t="shared" si="434"/>
        <v/>
      </c>
      <c r="K6977" t="str">
        <f t="shared" si="435"/>
        <v>MISSING WHARTON</v>
      </c>
    </row>
    <row r="6978" spans="1:11">
      <c r="A6978" t="s">
        <v>130</v>
      </c>
      <c r="B6978" t="s">
        <v>1878</v>
      </c>
      <c r="C6978" t="s">
        <v>804</v>
      </c>
      <c r="D6978" t="s">
        <v>805</v>
      </c>
      <c r="E6978" s="8">
        <v>100</v>
      </c>
      <c r="F6978" s="8">
        <v>68920</v>
      </c>
      <c r="G6978" s="8">
        <f t="shared" ref="G6978:G7041" si="436">IF(OR(E6978="",F6978=""),"",E6978*F6978)</f>
        <v>6892000</v>
      </c>
      <c r="H6978" s="5">
        <v>0.0864</v>
      </c>
      <c r="I6978" s="8">
        <f t="shared" ref="I6978:I7041" si="437">IF(G6978="","",IF(ISNUMBER(H6978),G6978,""))</f>
        <v>6892000</v>
      </c>
      <c r="J6978" s="8">
        <f t="shared" ref="J6978:J7041" si="438">IF(I6978="","",I6978*H6978)</f>
        <v>595468.8</v>
      </c>
      <c r="K6978" t="str">
        <f t="shared" ref="K6978:K7041" si="439">IF(G6978="","MISSING OEWS",IF(ISNUMBER(H6978),"MATCHED","MISSING WHARTON"))</f>
        <v>MATCHED</v>
      </c>
    </row>
    <row r="6979" spans="1:11">
      <c r="A6979" t="s">
        <v>130</v>
      </c>
      <c r="B6979" t="s">
        <v>1878</v>
      </c>
      <c r="C6979" t="s">
        <v>505</v>
      </c>
      <c r="D6979" t="s">
        <v>506</v>
      </c>
      <c r="E6979" s="8">
        <v>90</v>
      </c>
      <c r="F6979" s="8">
        <v>77140</v>
      </c>
      <c r="G6979" s="8">
        <f t="shared" si="436"/>
        <v>6942600</v>
      </c>
      <c r="H6979" s="5">
        <v>0</v>
      </c>
      <c r="I6979" s="8">
        <f t="shared" si="437"/>
        <v>6942600</v>
      </c>
      <c r="J6979" s="8">
        <f t="shared" si="438"/>
        <v>0</v>
      </c>
      <c r="K6979" t="str">
        <f t="shared" si="439"/>
        <v>MATCHED</v>
      </c>
    </row>
    <row r="6980" spans="1:11">
      <c r="A6980" t="s">
        <v>130</v>
      </c>
      <c r="B6980" t="s">
        <v>1878</v>
      </c>
      <c r="C6980" t="s">
        <v>507</v>
      </c>
      <c r="D6980" t="s">
        <v>508</v>
      </c>
      <c r="E6980" s="8">
        <v>950</v>
      </c>
      <c r="F6980" s="8">
        <v>52830</v>
      </c>
      <c r="G6980" s="8">
        <f t="shared" si="436"/>
        <v>50188500</v>
      </c>
      <c r="H6980" s="5">
        <v>0</v>
      </c>
      <c r="I6980" s="8">
        <f t="shared" si="437"/>
        <v>50188500</v>
      </c>
      <c r="J6980" s="8">
        <f t="shared" si="438"/>
        <v>0</v>
      </c>
      <c r="K6980" t="str">
        <f t="shared" si="439"/>
        <v>MATCHED</v>
      </c>
    </row>
    <row r="6981" spans="1:11">
      <c r="A6981" t="s">
        <v>130</v>
      </c>
      <c r="B6981" t="s">
        <v>1878</v>
      </c>
      <c r="C6981" t="s">
        <v>509</v>
      </c>
      <c r="D6981" t="s">
        <v>510</v>
      </c>
      <c r="E6981" s="8">
        <v>2110</v>
      </c>
      <c r="F6981" s="8">
        <v>29350</v>
      </c>
      <c r="G6981" s="8">
        <f t="shared" si="436"/>
        <v>61928500</v>
      </c>
      <c r="H6981" s="5">
        <v>0.0452</v>
      </c>
      <c r="I6981" s="8">
        <f t="shared" si="437"/>
        <v>61928500</v>
      </c>
      <c r="J6981" s="8">
        <f t="shared" si="438"/>
        <v>2799168.2</v>
      </c>
      <c r="K6981" t="str">
        <f t="shared" si="439"/>
        <v>MATCHED</v>
      </c>
    </row>
    <row r="6982" spans="1:11">
      <c r="A6982" t="s">
        <v>130</v>
      </c>
      <c r="B6982" t="s">
        <v>1878</v>
      </c>
      <c r="C6982" t="s">
        <v>511</v>
      </c>
      <c r="D6982" t="s">
        <v>512</v>
      </c>
      <c r="E6982" s="8">
        <v>31190</v>
      </c>
      <c r="F6982" s="8">
        <v>47520</v>
      </c>
      <c r="G6982" s="8">
        <f t="shared" si="436"/>
        <v>1482148800</v>
      </c>
      <c r="H6982" s="5">
        <v>0.049</v>
      </c>
      <c r="I6982" s="8">
        <f t="shared" si="437"/>
        <v>1482148800</v>
      </c>
      <c r="J6982" s="8">
        <f t="shared" si="438"/>
        <v>72625291.2</v>
      </c>
      <c r="K6982" t="str">
        <f t="shared" si="439"/>
        <v>MATCHED</v>
      </c>
    </row>
    <row r="6983" spans="1:11">
      <c r="A6983" t="s">
        <v>130</v>
      </c>
      <c r="B6983" t="s">
        <v>1878</v>
      </c>
      <c r="C6983" t="s">
        <v>515</v>
      </c>
      <c r="D6983" t="s">
        <v>516</v>
      </c>
      <c r="E6983" s="8">
        <v>140</v>
      </c>
      <c r="F6983" s="8">
        <v>41820</v>
      </c>
      <c r="G6983" s="8">
        <f t="shared" si="436"/>
        <v>5854800</v>
      </c>
      <c r="H6983" s="5">
        <v>0.0792</v>
      </c>
      <c r="I6983" s="8">
        <f t="shared" si="437"/>
        <v>5854800</v>
      </c>
      <c r="J6983" s="8">
        <f t="shared" si="438"/>
        <v>463700.16</v>
      </c>
      <c r="K6983" t="str">
        <f t="shared" si="439"/>
        <v>MATCHED</v>
      </c>
    </row>
    <row r="6984" spans="1:11">
      <c r="A6984" t="s">
        <v>130</v>
      </c>
      <c r="B6984" t="s">
        <v>1878</v>
      </c>
      <c r="C6984" t="s">
        <v>517</v>
      </c>
      <c r="D6984" t="s">
        <v>518</v>
      </c>
      <c r="E6984" s="8">
        <v>3100</v>
      </c>
      <c r="F6984" s="8">
        <v>43000</v>
      </c>
      <c r="G6984" s="8">
        <f t="shared" si="436"/>
        <v>133300000</v>
      </c>
      <c r="H6984" s="5">
        <v>0.2233</v>
      </c>
      <c r="I6984" s="8">
        <f t="shared" si="437"/>
        <v>133300000</v>
      </c>
      <c r="J6984" s="8">
        <f t="shared" si="438"/>
        <v>29765890</v>
      </c>
      <c r="K6984" t="str">
        <f t="shared" si="439"/>
        <v>MATCHED</v>
      </c>
    </row>
    <row r="6985" spans="1:11">
      <c r="A6985" t="s">
        <v>130</v>
      </c>
      <c r="B6985" t="s">
        <v>1878</v>
      </c>
      <c r="C6985" t="s">
        <v>519</v>
      </c>
      <c r="D6985" t="s">
        <v>520</v>
      </c>
      <c r="E6985" s="8">
        <v>130</v>
      </c>
      <c r="F6985" s="8">
        <v>61480</v>
      </c>
      <c r="G6985" s="8">
        <f t="shared" si="436"/>
        <v>7992400</v>
      </c>
      <c r="H6985" s="5"/>
      <c r="I6985" s="8" t="str">
        <f t="shared" si="437"/>
        <v/>
      </c>
      <c r="J6985" s="8" t="str">
        <f t="shared" si="438"/>
        <v/>
      </c>
      <c r="K6985" t="str">
        <f t="shared" si="439"/>
        <v>MISSING WHARTON</v>
      </c>
    </row>
    <row r="6986" spans="1:11">
      <c r="A6986" t="s">
        <v>132</v>
      </c>
      <c r="B6986" t="s">
        <v>1885</v>
      </c>
      <c r="C6986" t="s">
        <v>235</v>
      </c>
      <c r="D6986" t="s">
        <v>236</v>
      </c>
      <c r="E6986" s="8">
        <v>990</v>
      </c>
      <c r="F6986" s="8">
        <v>184440</v>
      </c>
      <c r="G6986" s="8">
        <f t="shared" si="436"/>
        <v>182595600</v>
      </c>
      <c r="H6986" s="5">
        <v>0.4775</v>
      </c>
      <c r="I6986" s="8">
        <f t="shared" si="437"/>
        <v>182595600</v>
      </c>
      <c r="J6986" s="8">
        <f t="shared" si="438"/>
        <v>87189399</v>
      </c>
      <c r="K6986" t="str">
        <f t="shared" si="439"/>
        <v>MATCHED</v>
      </c>
    </row>
    <row r="6987" spans="1:11">
      <c r="A6987" t="s">
        <v>132</v>
      </c>
      <c r="B6987" t="s">
        <v>1885</v>
      </c>
      <c r="C6987" t="s">
        <v>237</v>
      </c>
      <c r="D6987" t="s">
        <v>238</v>
      </c>
      <c r="E6987" s="8">
        <v>216760</v>
      </c>
      <c r="F6987" s="8">
        <v>81080</v>
      </c>
      <c r="G6987" s="8">
        <f t="shared" si="436"/>
        <v>17574900800</v>
      </c>
      <c r="H6987" s="5">
        <v>0.5382</v>
      </c>
      <c r="I6987" s="8">
        <f t="shared" si="437"/>
        <v>17574900800</v>
      </c>
      <c r="J6987" s="8">
        <f t="shared" si="438"/>
        <v>9458811610.56</v>
      </c>
      <c r="K6987" t="str">
        <f t="shared" si="439"/>
        <v>MATCHED</v>
      </c>
    </row>
    <row r="6988" spans="1:11">
      <c r="A6988" t="s">
        <v>132</v>
      </c>
      <c r="B6988" t="s">
        <v>1885</v>
      </c>
      <c r="C6988" t="s">
        <v>920</v>
      </c>
      <c r="D6988" t="s">
        <v>921</v>
      </c>
      <c r="E6988" s="8">
        <v>330</v>
      </c>
      <c r="F6988" s="8">
        <v>99950</v>
      </c>
      <c r="G6988" s="8">
        <f t="shared" si="436"/>
        <v>32983500</v>
      </c>
      <c r="H6988" s="5">
        <v>0.5583</v>
      </c>
      <c r="I6988" s="8">
        <f t="shared" si="437"/>
        <v>32983500</v>
      </c>
      <c r="J6988" s="8">
        <f t="shared" si="438"/>
        <v>18414688.05</v>
      </c>
      <c r="K6988" t="str">
        <f t="shared" si="439"/>
        <v>MATCHED</v>
      </c>
    </row>
    <row r="6989" spans="1:11">
      <c r="A6989" t="s">
        <v>132</v>
      </c>
      <c r="B6989" t="s">
        <v>1885</v>
      </c>
      <c r="C6989" t="s">
        <v>239</v>
      </c>
      <c r="D6989" t="s">
        <v>240</v>
      </c>
      <c r="E6989" s="8">
        <v>3510</v>
      </c>
      <c r="F6989" s="8">
        <v>118160</v>
      </c>
      <c r="G6989" s="8">
        <f t="shared" si="436"/>
        <v>414741600</v>
      </c>
      <c r="H6989" s="5">
        <v>0.445</v>
      </c>
      <c r="I6989" s="8">
        <f t="shared" si="437"/>
        <v>414741600</v>
      </c>
      <c r="J6989" s="8">
        <f t="shared" si="438"/>
        <v>184560012</v>
      </c>
      <c r="K6989" t="str">
        <f t="shared" si="439"/>
        <v>MATCHED</v>
      </c>
    </row>
    <row r="6990" spans="1:11">
      <c r="A6990" t="s">
        <v>132</v>
      </c>
      <c r="B6990" t="s">
        <v>1885</v>
      </c>
      <c r="C6990" t="s">
        <v>241</v>
      </c>
      <c r="D6990" t="s">
        <v>242</v>
      </c>
      <c r="E6990" s="8">
        <v>12060</v>
      </c>
      <c r="F6990" s="8">
        <v>108160</v>
      </c>
      <c r="G6990" s="8">
        <f t="shared" si="436"/>
        <v>1304409600</v>
      </c>
      <c r="H6990" s="5">
        <v>0.3735</v>
      </c>
      <c r="I6990" s="8">
        <f t="shared" si="437"/>
        <v>1304409600</v>
      </c>
      <c r="J6990" s="8">
        <f t="shared" si="438"/>
        <v>487196985.6</v>
      </c>
      <c r="K6990" t="str">
        <f t="shared" si="439"/>
        <v>MATCHED</v>
      </c>
    </row>
    <row r="6991" spans="1:11">
      <c r="A6991" t="s">
        <v>132</v>
      </c>
      <c r="B6991" t="s">
        <v>1885</v>
      </c>
      <c r="C6991" t="s">
        <v>522</v>
      </c>
      <c r="D6991" t="s">
        <v>523</v>
      </c>
      <c r="E6991" s="8">
        <v>320</v>
      </c>
      <c r="F6991" s="8">
        <v>112480</v>
      </c>
      <c r="G6991" s="8">
        <f t="shared" si="436"/>
        <v>35993600</v>
      </c>
      <c r="H6991" s="5">
        <v>0.53</v>
      </c>
      <c r="I6991" s="8">
        <f t="shared" si="437"/>
        <v>35993600</v>
      </c>
      <c r="J6991" s="8">
        <f t="shared" si="438"/>
        <v>19076608</v>
      </c>
      <c r="K6991" t="str">
        <f t="shared" si="439"/>
        <v>MATCHED</v>
      </c>
    </row>
    <row r="6992" spans="1:11">
      <c r="A6992" t="s">
        <v>132</v>
      </c>
      <c r="B6992" t="s">
        <v>1885</v>
      </c>
      <c r="C6992" t="s">
        <v>243</v>
      </c>
      <c r="D6992" t="s">
        <v>244</v>
      </c>
      <c r="E6992" s="8">
        <v>3800</v>
      </c>
      <c r="F6992" s="8">
        <v>91840</v>
      </c>
      <c r="G6992" s="8">
        <f t="shared" si="436"/>
        <v>348992000</v>
      </c>
      <c r="H6992" s="5">
        <v>0.4444</v>
      </c>
      <c r="I6992" s="8">
        <f t="shared" si="437"/>
        <v>348992000</v>
      </c>
      <c r="J6992" s="8">
        <f t="shared" si="438"/>
        <v>155092044.8</v>
      </c>
      <c r="K6992" t="str">
        <f t="shared" si="439"/>
        <v>MATCHED</v>
      </c>
    </row>
    <row r="6993" spans="1:11">
      <c r="A6993" t="s">
        <v>132</v>
      </c>
      <c r="B6993" t="s">
        <v>1885</v>
      </c>
      <c r="C6993" t="s">
        <v>245</v>
      </c>
      <c r="D6993" t="s">
        <v>246</v>
      </c>
      <c r="E6993" s="8">
        <v>7310</v>
      </c>
      <c r="F6993" s="8">
        <v>98800</v>
      </c>
      <c r="G6993" s="8">
        <f t="shared" si="436"/>
        <v>722228000</v>
      </c>
      <c r="H6993" s="5">
        <v>0.2907</v>
      </c>
      <c r="I6993" s="8">
        <f t="shared" si="437"/>
        <v>722228000</v>
      </c>
      <c r="J6993" s="8">
        <f t="shared" si="438"/>
        <v>209951679.6</v>
      </c>
      <c r="K6993" t="str">
        <f t="shared" si="439"/>
        <v>MATCHED</v>
      </c>
    </row>
    <row r="6994" spans="1:11">
      <c r="A6994" t="s">
        <v>132</v>
      </c>
      <c r="B6994" t="s">
        <v>1885</v>
      </c>
      <c r="C6994" t="s">
        <v>247</v>
      </c>
      <c r="D6994" t="s">
        <v>248</v>
      </c>
      <c r="E6994" s="8">
        <v>1340</v>
      </c>
      <c r="F6994" s="8">
        <v>137780</v>
      </c>
      <c r="G6994" s="8">
        <f t="shared" si="436"/>
        <v>184625200</v>
      </c>
      <c r="H6994" s="5">
        <v>0.5265</v>
      </c>
      <c r="I6994" s="8">
        <f t="shared" si="437"/>
        <v>184625200</v>
      </c>
      <c r="J6994" s="8">
        <f t="shared" si="438"/>
        <v>97205167.8</v>
      </c>
      <c r="K6994" t="str">
        <f t="shared" si="439"/>
        <v>MATCHED</v>
      </c>
    </row>
    <row r="6995" spans="1:11">
      <c r="A6995" t="s">
        <v>132</v>
      </c>
      <c r="B6995" t="s">
        <v>1885</v>
      </c>
      <c r="C6995" t="s">
        <v>249</v>
      </c>
      <c r="D6995" t="s">
        <v>250</v>
      </c>
      <c r="E6995" s="8">
        <v>6440</v>
      </c>
      <c r="F6995" s="8">
        <v>138510</v>
      </c>
      <c r="G6995" s="8">
        <f t="shared" si="436"/>
        <v>892004400</v>
      </c>
      <c r="H6995" s="5">
        <v>0.7221</v>
      </c>
      <c r="I6995" s="8">
        <f t="shared" si="437"/>
        <v>892004400</v>
      </c>
      <c r="J6995" s="8">
        <f t="shared" si="438"/>
        <v>644116377.24</v>
      </c>
      <c r="K6995" t="str">
        <f t="shared" si="439"/>
        <v>MATCHED</v>
      </c>
    </row>
    <row r="6996" spans="1:11">
      <c r="A6996" t="s">
        <v>132</v>
      </c>
      <c r="B6996" t="s">
        <v>1885</v>
      </c>
      <c r="C6996" t="s">
        <v>251</v>
      </c>
      <c r="D6996" t="s">
        <v>252</v>
      </c>
      <c r="E6996" s="8">
        <v>210</v>
      </c>
      <c r="F6996" s="8">
        <v>86480</v>
      </c>
      <c r="G6996" s="8">
        <f t="shared" si="436"/>
        <v>18160800</v>
      </c>
      <c r="H6996" s="5">
        <v>0.3636</v>
      </c>
      <c r="I6996" s="8">
        <f t="shared" si="437"/>
        <v>18160800</v>
      </c>
      <c r="J6996" s="8">
        <f t="shared" si="438"/>
        <v>6603266.88</v>
      </c>
      <c r="K6996" t="str">
        <f t="shared" si="439"/>
        <v>MATCHED</v>
      </c>
    </row>
    <row r="6997" spans="1:11">
      <c r="A6997" t="s">
        <v>132</v>
      </c>
      <c r="B6997" t="s">
        <v>1885</v>
      </c>
      <c r="C6997" t="s">
        <v>253</v>
      </c>
      <c r="D6997" t="s">
        <v>254</v>
      </c>
      <c r="E6997" s="8">
        <v>480</v>
      </c>
      <c r="F6997" s="8">
        <v>106230</v>
      </c>
      <c r="G6997" s="8">
        <f t="shared" si="436"/>
        <v>50990400</v>
      </c>
      <c r="H6997" s="5">
        <v>0.6944</v>
      </c>
      <c r="I6997" s="8">
        <f t="shared" si="437"/>
        <v>50990400</v>
      </c>
      <c r="J6997" s="8">
        <f t="shared" si="438"/>
        <v>35407733.76</v>
      </c>
      <c r="K6997" t="str">
        <f t="shared" si="439"/>
        <v>MATCHED</v>
      </c>
    </row>
    <row r="6998" spans="1:11">
      <c r="A6998" t="s">
        <v>132</v>
      </c>
      <c r="B6998" t="s">
        <v>1885</v>
      </c>
      <c r="C6998" t="s">
        <v>255</v>
      </c>
      <c r="D6998" t="s">
        <v>256</v>
      </c>
      <c r="E6998" s="8">
        <v>760</v>
      </c>
      <c r="F6998" s="8">
        <v>87130</v>
      </c>
      <c r="G6998" s="8">
        <f t="shared" si="436"/>
        <v>66218800</v>
      </c>
      <c r="H6998" s="5">
        <v>0.5783</v>
      </c>
      <c r="I6998" s="8">
        <f t="shared" si="437"/>
        <v>66218800</v>
      </c>
      <c r="J6998" s="8">
        <f t="shared" si="438"/>
        <v>38294332.04</v>
      </c>
      <c r="K6998" t="str">
        <f t="shared" si="439"/>
        <v>MATCHED</v>
      </c>
    </row>
    <row r="6999" spans="1:11">
      <c r="A6999" t="s">
        <v>132</v>
      </c>
      <c r="B6999" t="s">
        <v>1885</v>
      </c>
      <c r="C6999" t="s">
        <v>524</v>
      </c>
      <c r="D6999" t="s">
        <v>525</v>
      </c>
      <c r="E6999" s="8">
        <v>310</v>
      </c>
      <c r="F6999" s="8">
        <v>103660</v>
      </c>
      <c r="G6999" s="8">
        <f t="shared" si="436"/>
        <v>32134600</v>
      </c>
      <c r="H6999" s="5">
        <v>0.5771</v>
      </c>
      <c r="I6999" s="8">
        <f t="shared" si="437"/>
        <v>32134600</v>
      </c>
      <c r="J6999" s="8">
        <f t="shared" si="438"/>
        <v>18544877.66</v>
      </c>
      <c r="K6999" t="str">
        <f t="shared" si="439"/>
        <v>MATCHED</v>
      </c>
    </row>
    <row r="7000" spans="1:11">
      <c r="A7000" t="s">
        <v>132</v>
      </c>
      <c r="B7000" t="s">
        <v>1885</v>
      </c>
      <c r="C7000" t="s">
        <v>257</v>
      </c>
      <c r="D7000" t="s">
        <v>258</v>
      </c>
      <c r="E7000" s="8">
        <v>3320</v>
      </c>
      <c r="F7000" s="8">
        <v>129600</v>
      </c>
      <c r="G7000" s="8">
        <f t="shared" si="436"/>
        <v>430272000</v>
      </c>
      <c r="H7000" s="5">
        <v>0.5962</v>
      </c>
      <c r="I7000" s="8">
        <f t="shared" si="437"/>
        <v>430272000</v>
      </c>
      <c r="J7000" s="8">
        <f t="shared" si="438"/>
        <v>256528166.4</v>
      </c>
      <c r="K7000" t="str">
        <f t="shared" si="439"/>
        <v>MATCHED</v>
      </c>
    </row>
    <row r="7001" spans="1:11">
      <c r="A7001" t="s">
        <v>132</v>
      </c>
      <c r="B7001" t="s">
        <v>1885</v>
      </c>
      <c r="C7001" t="s">
        <v>526</v>
      </c>
      <c r="D7001" t="s">
        <v>527</v>
      </c>
      <c r="E7001" s="8">
        <v>680</v>
      </c>
      <c r="F7001" s="8">
        <v>96980</v>
      </c>
      <c r="G7001" s="8">
        <f t="shared" si="436"/>
        <v>65946400</v>
      </c>
      <c r="H7001" s="5">
        <v>0.6833</v>
      </c>
      <c r="I7001" s="8">
        <f t="shared" si="437"/>
        <v>65946400</v>
      </c>
      <c r="J7001" s="8">
        <f t="shared" si="438"/>
        <v>45061175.12</v>
      </c>
      <c r="K7001" t="str">
        <f t="shared" si="439"/>
        <v>MATCHED</v>
      </c>
    </row>
    <row r="7002" spans="1:11">
      <c r="A7002" t="s">
        <v>132</v>
      </c>
      <c r="B7002" t="s">
        <v>1885</v>
      </c>
      <c r="C7002" t="s">
        <v>528</v>
      </c>
      <c r="D7002" t="s">
        <v>529</v>
      </c>
      <c r="E7002" s="8">
        <v>210</v>
      </c>
      <c r="F7002" s="8">
        <v>120380</v>
      </c>
      <c r="G7002" s="8">
        <f t="shared" si="436"/>
        <v>25279800</v>
      </c>
      <c r="H7002" s="5">
        <v>0.374</v>
      </c>
      <c r="I7002" s="8">
        <f t="shared" si="437"/>
        <v>25279800</v>
      </c>
      <c r="J7002" s="8">
        <f t="shared" si="438"/>
        <v>9454645.2</v>
      </c>
      <c r="K7002" t="str">
        <f t="shared" si="439"/>
        <v>MATCHED</v>
      </c>
    </row>
    <row r="7003" spans="1:11">
      <c r="A7003" t="s">
        <v>132</v>
      </c>
      <c r="B7003" t="s">
        <v>1885</v>
      </c>
      <c r="C7003" t="s">
        <v>530</v>
      </c>
      <c r="D7003" t="s">
        <v>531</v>
      </c>
      <c r="E7003" s="8">
        <v>120</v>
      </c>
      <c r="F7003" s="8">
        <v>126960</v>
      </c>
      <c r="G7003" s="8">
        <f t="shared" si="436"/>
        <v>15235200</v>
      </c>
      <c r="H7003" s="5">
        <v>0.263</v>
      </c>
      <c r="I7003" s="8">
        <f t="shared" si="437"/>
        <v>15235200</v>
      </c>
      <c r="J7003" s="8">
        <f t="shared" si="438"/>
        <v>4006857.6</v>
      </c>
      <c r="K7003" t="str">
        <f t="shared" si="439"/>
        <v>MATCHED</v>
      </c>
    </row>
    <row r="7004" spans="1:11">
      <c r="A7004" t="s">
        <v>132</v>
      </c>
      <c r="B7004" t="s">
        <v>1885</v>
      </c>
      <c r="C7004" t="s">
        <v>1144</v>
      </c>
      <c r="D7004" t="s">
        <v>1145</v>
      </c>
      <c r="E7004" s="8">
        <v>201670</v>
      </c>
      <c r="F7004" s="8">
        <v>72710</v>
      </c>
      <c r="G7004" s="8">
        <f t="shared" si="436"/>
        <v>14663425700</v>
      </c>
      <c r="H7004" s="5">
        <v>0.3821</v>
      </c>
      <c r="I7004" s="8">
        <f t="shared" si="437"/>
        <v>14663425700</v>
      </c>
      <c r="J7004" s="8">
        <f t="shared" si="438"/>
        <v>5602894959.97</v>
      </c>
      <c r="K7004" t="str">
        <f t="shared" si="439"/>
        <v>MATCHED</v>
      </c>
    </row>
    <row r="7005" spans="1:11">
      <c r="A7005" t="s">
        <v>132</v>
      </c>
      <c r="B7005" t="s">
        <v>1885</v>
      </c>
      <c r="C7005" t="s">
        <v>1709</v>
      </c>
      <c r="D7005" t="s">
        <v>1710</v>
      </c>
      <c r="E7005" s="8">
        <v>2030</v>
      </c>
      <c r="F7005" s="8">
        <v>108290</v>
      </c>
      <c r="G7005" s="8">
        <f t="shared" si="436"/>
        <v>219828700</v>
      </c>
      <c r="H7005" s="5">
        <v>0.6474</v>
      </c>
      <c r="I7005" s="8">
        <f t="shared" si="437"/>
        <v>219828700</v>
      </c>
      <c r="J7005" s="8">
        <f t="shared" si="438"/>
        <v>142317100.38</v>
      </c>
      <c r="K7005" t="str">
        <f t="shared" si="439"/>
        <v>MATCHED</v>
      </c>
    </row>
    <row r="7006" spans="1:11">
      <c r="A7006" t="s">
        <v>132</v>
      </c>
      <c r="B7006" t="s">
        <v>1885</v>
      </c>
      <c r="C7006" t="s">
        <v>1460</v>
      </c>
      <c r="D7006" t="s">
        <v>1461</v>
      </c>
      <c r="E7006" s="8">
        <v>2610</v>
      </c>
      <c r="F7006" s="8">
        <v>89550</v>
      </c>
      <c r="G7006" s="8">
        <f t="shared" si="436"/>
        <v>233725500</v>
      </c>
      <c r="H7006" s="5">
        <v>0.3176</v>
      </c>
      <c r="I7006" s="8">
        <f t="shared" si="437"/>
        <v>233725500</v>
      </c>
      <c r="J7006" s="8">
        <f t="shared" si="438"/>
        <v>74231218.8</v>
      </c>
      <c r="K7006" t="str">
        <f t="shared" si="439"/>
        <v>MATCHED</v>
      </c>
    </row>
    <row r="7007" spans="1:11">
      <c r="A7007" t="s">
        <v>132</v>
      </c>
      <c r="B7007" t="s">
        <v>1885</v>
      </c>
      <c r="C7007" t="s">
        <v>924</v>
      </c>
      <c r="D7007" t="s">
        <v>925</v>
      </c>
      <c r="E7007" s="8">
        <v>38310</v>
      </c>
      <c r="F7007" s="8">
        <v>76990</v>
      </c>
      <c r="G7007" s="8">
        <f t="shared" si="436"/>
        <v>2949486900</v>
      </c>
      <c r="H7007" s="5">
        <v>0.4729</v>
      </c>
      <c r="I7007" s="8">
        <f t="shared" si="437"/>
        <v>2949486900</v>
      </c>
      <c r="J7007" s="8">
        <f t="shared" si="438"/>
        <v>1394812355.01</v>
      </c>
      <c r="K7007" t="str">
        <f t="shared" si="439"/>
        <v>MATCHED</v>
      </c>
    </row>
    <row r="7008" spans="1:11">
      <c r="A7008" t="s">
        <v>132</v>
      </c>
      <c r="B7008" t="s">
        <v>1885</v>
      </c>
      <c r="C7008" t="s">
        <v>1146</v>
      </c>
      <c r="D7008" t="s">
        <v>1147</v>
      </c>
      <c r="E7008" s="8">
        <v>180</v>
      </c>
      <c r="F7008" s="8"/>
      <c r="G7008" s="8" t="str">
        <f t="shared" si="436"/>
        <v/>
      </c>
      <c r="H7008" s="5">
        <v>0.4417</v>
      </c>
      <c r="I7008" s="8" t="str">
        <f t="shared" si="437"/>
        <v/>
      </c>
      <c r="J7008" s="8" t="str">
        <f t="shared" si="438"/>
        <v/>
      </c>
      <c r="K7008" t="str">
        <f t="shared" si="439"/>
        <v>MISSING OEWS</v>
      </c>
    </row>
    <row r="7009" spans="1:11">
      <c r="A7009" t="s">
        <v>132</v>
      </c>
      <c r="B7009" t="s">
        <v>1885</v>
      </c>
      <c r="C7009" t="s">
        <v>532</v>
      </c>
      <c r="D7009" t="s">
        <v>533</v>
      </c>
      <c r="E7009" s="8">
        <v>1270</v>
      </c>
      <c r="F7009" s="8">
        <v>73010</v>
      </c>
      <c r="G7009" s="8">
        <f t="shared" si="436"/>
        <v>92722700</v>
      </c>
      <c r="H7009" s="5">
        <v>0.3833</v>
      </c>
      <c r="I7009" s="8">
        <f t="shared" si="437"/>
        <v>92722700</v>
      </c>
      <c r="J7009" s="8">
        <f t="shared" si="438"/>
        <v>35540610.91</v>
      </c>
      <c r="K7009" t="str">
        <f t="shared" si="439"/>
        <v>MATCHED</v>
      </c>
    </row>
    <row r="7010" spans="1:11">
      <c r="A7010" t="s">
        <v>132</v>
      </c>
      <c r="B7010" t="s">
        <v>1885</v>
      </c>
      <c r="C7010" t="s">
        <v>926</v>
      </c>
      <c r="D7010" t="s">
        <v>927</v>
      </c>
      <c r="E7010" s="8">
        <v>110</v>
      </c>
      <c r="F7010" s="8">
        <v>81240</v>
      </c>
      <c r="G7010" s="8">
        <f t="shared" si="436"/>
        <v>8936400</v>
      </c>
      <c r="H7010" s="5">
        <v>0.3656</v>
      </c>
      <c r="I7010" s="8">
        <f t="shared" si="437"/>
        <v>8936400</v>
      </c>
      <c r="J7010" s="8">
        <f t="shared" si="438"/>
        <v>3267147.84</v>
      </c>
      <c r="K7010" t="str">
        <f t="shared" si="439"/>
        <v>MATCHED</v>
      </c>
    </row>
    <row r="7011" spans="1:11">
      <c r="A7011" t="s">
        <v>132</v>
      </c>
      <c r="B7011" t="s">
        <v>1885</v>
      </c>
      <c r="C7011" t="s">
        <v>1148</v>
      </c>
      <c r="D7011" t="s">
        <v>1149</v>
      </c>
      <c r="E7011" s="8">
        <v>740</v>
      </c>
      <c r="F7011" s="8">
        <v>96350</v>
      </c>
      <c r="G7011" s="8">
        <f t="shared" si="436"/>
        <v>71299000</v>
      </c>
      <c r="H7011" s="5">
        <v>0.4143</v>
      </c>
      <c r="I7011" s="8">
        <f t="shared" si="437"/>
        <v>71299000</v>
      </c>
      <c r="J7011" s="8">
        <f t="shared" si="438"/>
        <v>29539175.7</v>
      </c>
      <c r="K7011" t="str">
        <f t="shared" si="439"/>
        <v>MATCHED</v>
      </c>
    </row>
    <row r="7012" spans="1:11">
      <c r="A7012" t="s">
        <v>132</v>
      </c>
      <c r="B7012" t="s">
        <v>1885</v>
      </c>
      <c r="C7012" t="s">
        <v>263</v>
      </c>
      <c r="D7012" t="s">
        <v>264</v>
      </c>
      <c r="E7012" s="8">
        <v>6750</v>
      </c>
      <c r="F7012" s="8">
        <v>95790</v>
      </c>
      <c r="G7012" s="8">
        <f t="shared" si="436"/>
        <v>646582500</v>
      </c>
      <c r="H7012" s="5">
        <v>0.4896</v>
      </c>
      <c r="I7012" s="8">
        <f t="shared" si="437"/>
        <v>646582500</v>
      </c>
      <c r="J7012" s="8">
        <f t="shared" si="438"/>
        <v>316566792</v>
      </c>
      <c r="K7012" t="str">
        <f t="shared" si="439"/>
        <v>MATCHED</v>
      </c>
    </row>
    <row r="7013" spans="1:11">
      <c r="A7013" t="s">
        <v>132</v>
      </c>
      <c r="B7013" t="s">
        <v>1885</v>
      </c>
      <c r="C7013" t="s">
        <v>265</v>
      </c>
      <c r="D7013" t="s">
        <v>266</v>
      </c>
      <c r="E7013" s="8">
        <v>4320</v>
      </c>
      <c r="F7013" s="8">
        <v>66530</v>
      </c>
      <c r="G7013" s="8">
        <f t="shared" si="436"/>
        <v>287409600</v>
      </c>
      <c r="H7013" s="5">
        <v>0.5876</v>
      </c>
      <c r="I7013" s="8">
        <f t="shared" si="437"/>
        <v>287409600</v>
      </c>
      <c r="J7013" s="8">
        <f t="shared" si="438"/>
        <v>168881880.96</v>
      </c>
      <c r="K7013" t="str">
        <f t="shared" si="439"/>
        <v>MATCHED</v>
      </c>
    </row>
    <row r="7014" spans="1:11">
      <c r="A7014" t="s">
        <v>132</v>
      </c>
      <c r="B7014" t="s">
        <v>1885</v>
      </c>
      <c r="C7014" t="s">
        <v>267</v>
      </c>
      <c r="D7014" t="s">
        <v>268</v>
      </c>
      <c r="E7014" s="8">
        <v>1210</v>
      </c>
      <c r="F7014" s="8">
        <v>59490</v>
      </c>
      <c r="G7014" s="8">
        <f t="shared" si="436"/>
        <v>71982900</v>
      </c>
      <c r="H7014" s="5">
        <v>0.4611</v>
      </c>
      <c r="I7014" s="8">
        <f t="shared" si="437"/>
        <v>71982900</v>
      </c>
      <c r="J7014" s="8">
        <f t="shared" si="438"/>
        <v>33191315.19</v>
      </c>
      <c r="K7014" t="str">
        <f t="shared" si="439"/>
        <v>MATCHED</v>
      </c>
    </row>
    <row r="7015" spans="1:11">
      <c r="A7015" t="s">
        <v>132</v>
      </c>
      <c r="B7015" t="s">
        <v>1885</v>
      </c>
      <c r="C7015" t="s">
        <v>269</v>
      </c>
      <c r="D7015" t="s">
        <v>270</v>
      </c>
      <c r="E7015" s="8">
        <v>12040</v>
      </c>
      <c r="F7015" s="8">
        <v>70280</v>
      </c>
      <c r="G7015" s="8">
        <f t="shared" si="436"/>
        <v>846171200</v>
      </c>
      <c r="H7015" s="5">
        <v>0.7808</v>
      </c>
      <c r="I7015" s="8">
        <f t="shared" si="437"/>
        <v>846171200</v>
      </c>
      <c r="J7015" s="8">
        <f t="shared" si="438"/>
        <v>660690472.96</v>
      </c>
      <c r="K7015" t="str">
        <f t="shared" si="439"/>
        <v>MATCHED</v>
      </c>
    </row>
    <row r="7016" spans="1:11">
      <c r="A7016" t="s">
        <v>132</v>
      </c>
      <c r="B7016" t="s">
        <v>1885</v>
      </c>
      <c r="C7016" t="s">
        <v>820</v>
      </c>
      <c r="D7016" t="s">
        <v>821</v>
      </c>
      <c r="E7016" s="8">
        <v>90</v>
      </c>
      <c r="F7016" s="8">
        <v>74570</v>
      </c>
      <c r="G7016" s="8">
        <f t="shared" si="436"/>
        <v>6711300</v>
      </c>
      <c r="H7016" s="5">
        <v>0.5536</v>
      </c>
      <c r="I7016" s="8">
        <f t="shared" si="437"/>
        <v>6711300</v>
      </c>
      <c r="J7016" s="8">
        <f t="shared" si="438"/>
        <v>3715375.68</v>
      </c>
      <c r="K7016" t="str">
        <f t="shared" si="439"/>
        <v>MATCHED</v>
      </c>
    </row>
    <row r="7017" spans="1:11">
      <c r="A7017" t="s">
        <v>132</v>
      </c>
      <c r="B7017" t="s">
        <v>1885</v>
      </c>
      <c r="C7017" t="s">
        <v>273</v>
      </c>
      <c r="D7017" t="s">
        <v>274</v>
      </c>
      <c r="E7017" s="8">
        <v>180</v>
      </c>
      <c r="F7017" s="8">
        <v>70030</v>
      </c>
      <c r="G7017" s="8">
        <f t="shared" si="436"/>
        <v>12605400</v>
      </c>
      <c r="H7017" s="5">
        <v>0.6943</v>
      </c>
      <c r="I7017" s="8">
        <f t="shared" si="437"/>
        <v>12605400</v>
      </c>
      <c r="J7017" s="8">
        <f t="shared" si="438"/>
        <v>8751929.22</v>
      </c>
      <c r="K7017" t="str">
        <f t="shared" si="439"/>
        <v>MATCHED</v>
      </c>
    </row>
    <row r="7018" spans="1:11">
      <c r="A7018" t="s">
        <v>132</v>
      </c>
      <c r="B7018" t="s">
        <v>1885</v>
      </c>
      <c r="C7018" t="s">
        <v>275</v>
      </c>
      <c r="D7018" t="s">
        <v>276</v>
      </c>
      <c r="E7018" s="8">
        <v>1200</v>
      </c>
      <c r="F7018" s="8">
        <v>85790</v>
      </c>
      <c r="G7018" s="8">
        <f t="shared" si="436"/>
        <v>102948000</v>
      </c>
      <c r="H7018" s="5">
        <v>0.6375</v>
      </c>
      <c r="I7018" s="8">
        <f t="shared" si="437"/>
        <v>102948000</v>
      </c>
      <c r="J7018" s="8">
        <f t="shared" si="438"/>
        <v>65629350</v>
      </c>
      <c r="K7018" t="str">
        <f t="shared" si="439"/>
        <v>MATCHED</v>
      </c>
    </row>
    <row r="7019" spans="1:11">
      <c r="A7019" t="s">
        <v>132</v>
      </c>
      <c r="B7019" t="s">
        <v>1885</v>
      </c>
      <c r="C7019" t="s">
        <v>279</v>
      </c>
      <c r="D7019" t="s">
        <v>280</v>
      </c>
      <c r="E7019" s="8">
        <v>20800</v>
      </c>
      <c r="F7019" s="8">
        <v>62360</v>
      </c>
      <c r="G7019" s="8">
        <f t="shared" si="436"/>
        <v>1297088000</v>
      </c>
      <c r="H7019" s="5">
        <v>0.4476</v>
      </c>
      <c r="I7019" s="8">
        <f t="shared" si="437"/>
        <v>1297088000</v>
      </c>
      <c r="J7019" s="8">
        <f t="shared" si="438"/>
        <v>580576588.8</v>
      </c>
      <c r="K7019" t="str">
        <f t="shared" si="439"/>
        <v>MATCHED</v>
      </c>
    </row>
    <row r="7020" spans="1:11">
      <c r="A7020" t="s">
        <v>132</v>
      </c>
      <c r="B7020" t="s">
        <v>1885</v>
      </c>
      <c r="C7020" t="s">
        <v>928</v>
      </c>
      <c r="D7020" t="s">
        <v>929</v>
      </c>
      <c r="E7020" s="8">
        <v>370</v>
      </c>
      <c r="F7020" s="8">
        <v>67200</v>
      </c>
      <c r="G7020" s="8">
        <f t="shared" si="436"/>
        <v>24864000</v>
      </c>
      <c r="H7020" s="5">
        <v>0.5571</v>
      </c>
      <c r="I7020" s="8">
        <f t="shared" si="437"/>
        <v>24864000</v>
      </c>
      <c r="J7020" s="8">
        <f t="shared" si="438"/>
        <v>13851734.4</v>
      </c>
      <c r="K7020" t="str">
        <f t="shared" si="439"/>
        <v>MATCHED</v>
      </c>
    </row>
    <row r="7021" spans="1:11">
      <c r="A7021" t="s">
        <v>132</v>
      </c>
      <c r="B7021" t="s">
        <v>1885</v>
      </c>
      <c r="C7021" t="s">
        <v>281</v>
      </c>
      <c r="D7021" t="s">
        <v>282</v>
      </c>
      <c r="E7021" s="8">
        <v>280</v>
      </c>
      <c r="F7021" s="8">
        <v>72510</v>
      </c>
      <c r="G7021" s="8">
        <f t="shared" si="436"/>
        <v>20302800</v>
      </c>
      <c r="H7021" s="5">
        <v>0.6167</v>
      </c>
      <c r="I7021" s="8">
        <f t="shared" si="437"/>
        <v>20302800</v>
      </c>
      <c r="J7021" s="8">
        <f t="shared" si="438"/>
        <v>12520736.76</v>
      </c>
      <c r="K7021" t="str">
        <f t="shared" si="439"/>
        <v>MATCHED</v>
      </c>
    </row>
    <row r="7022" spans="1:11">
      <c r="A7022" t="s">
        <v>132</v>
      </c>
      <c r="B7022" t="s">
        <v>1885</v>
      </c>
      <c r="C7022" t="s">
        <v>283</v>
      </c>
      <c r="D7022" t="s">
        <v>284</v>
      </c>
      <c r="E7022" s="8">
        <v>35550</v>
      </c>
      <c r="F7022" s="8">
        <v>39910</v>
      </c>
      <c r="G7022" s="8">
        <f t="shared" si="436"/>
        <v>1418800500</v>
      </c>
      <c r="H7022" s="5">
        <v>0.565</v>
      </c>
      <c r="I7022" s="8">
        <f t="shared" si="437"/>
        <v>1418800500</v>
      </c>
      <c r="J7022" s="8">
        <f t="shared" si="438"/>
        <v>801622282.5</v>
      </c>
      <c r="K7022" t="str">
        <f t="shared" si="439"/>
        <v>MATCHED</v>
      </c>
    </row>
    <row r="7023" spans="1:11">
      <c r="A7023" t="s">
        <v>132</v>
      </c>
      <c r="B7023" t="s">
        <v>1885</v>
      </c>
      <c r="C7023" t="s">
        <v>285</v>
      </c>
      <c r="D7023" t="s">
        <v>286</v>
      </c>
      <c r="E7023" s="8">
        <v>12330</v>
      </c>
      <c r="F7023" s="8">
        <v>61790</v>
      </c>
      <c r="G7023" s="8">
        <f t="shared" si="436"/>
        <v>761870700</v>
      </c>
      <c r="H7023" s="5">
        <v>0.7792</v>
      </c>
      <c r="I7023" s="8">
        <f t="shared" si="437"/>
        <v>761870700</v>
      </c>
      <c r="J7023" s="8">
        <f t="shared" si="438"/>
        <v>593649649.44</v>
      </c>
      <c r="K7023" t="str">
        <f t="shared" si="439"/>
        <v>MATCHED</v>
      </c>
    </row>
    <row r="7024" spans="1:11">
      <c r="A7024" t="s">
        <v>132</v>
      </c>
      <c r="B7024" t="s">
        <v>1885</v>
      </c>
      <c r="C7024" t="s">
        <v>287</v>
      </c>
      <c r="D7024" t="s">
        <v>288</v>
      </c>
      <c r="E7024" s="8">
        <v>4890</v>
      </c>
      <c r="F7024" s="8">
        <v>64740</v>
      </c>
      <c r="G7024" s="8">
        <f t="shared" si="436"/>
        <v>316578600</v>
      </c>
      <c r="H7024" s="5">
        <v>0.6599</v>
      </c>
      <c r="I7024" s="8">
        <f t="shared" si="437"/>
        <v>316578600</v>
      </c>
      <c r="J7024" s="8">
        <f t="shared" si="438"/>
        <v>208910218.14</v>
      </c>
      <c r="K7024" t="str">
        <f t="shared" si="439"/>
        <v>MATCHED</v>
      </c>
    </row>
    <row r="7025" spans="1:11">
      <c r="A7025" t="s">
        <v>132</v>
      </c>
      <c r="B7025" t="s">
        <v>1885</v>
      </c>
      <c r="C7025" t="s">
        <v>289</v>
      </c>
      <c r="D7025" t="s">
        <v>290</v>
      </c>
      <c r="E7025" s="8">
        <v>16330</v>
      </c>
      <c r="F7025" s="8">
        <v>75810</v>
      </c>
      <c r="G7025" s="8">
        <f t="shared" si="436"/>
        <v>1237977300</v>
      </c>
      <c r="H7025" s="5">
        <v>0.795</v>
      </c>
      <c r="I7025" s="8">
        <f t="shared" si="437"/>
        <v>1237977300</v>
      </c>
      <c r="J7025" s="8">
        <f t="shared" si="438"/>
        <v>984191953.5</v>
      </c>
      <c r="K7025" t="str">
        <f t="shared" si="439"/>
        <v>MATCHED</v>
      </c>
    </row>
    <row r="7026" spans="1:11">
      <c r="A7026" t="s">
        <v>132</v>
      </c>
      <c r="B7026" t="s">
        <v>1885</v>
      </c>
      <c r="C7026" t="s">
        <v>824</v>
      </c>
      <c r="D7026" t="s">
        <v>825</v>
      </c>
      <c r="E7026" s="8">
        <v>140</v>
      </c>
      <c r="F7026" s="8">
        <v>85140</v>
      </c>
      <c r="G7026" s="8">
        <f t="shared" si="436"/>
        <v>11919600</v>
      </c>
      <c r="H7026" s="5">
        <v>0.8</v>
      </c>
      <c r="I7026" s="8">
        <f t="shared" si="437"/>
        <v>11919600</v>
      </c>
      <c r="J7026" s="8">
        <f t="shared" si="438"/>
        <v>9535680</v>
      </c>
      <c r="K7026" t="str">
        <f t="shared" si="439"/>
        <v>MATCHED</v>
      </c>
    </row>
    <row r="7027" spans="1:11">
      <c r="A7027" t="s">
        <v>132</v>
      </c>
      <c r="B7027" t="s">
        <v>1885</v>
      </c>
      <c r="C7027" t="s">
        <v>826</v>
      </c>
      <c r="D7027" t="s">
        <v>827</v>
      </c>
      <c r="E7027" s="8">
        <v>90</v>
      </c>
      <c r="F7027" s="8">
        <v>72930</v>
      </c>
      <c r="G7027" s="8">
        <f t="shared" si="436"/>
        <v>6563700</v>
      </c>
      <c r="H7027" s="5">
        <v>0.8182</v>
      </c>
      <c r="I7027" s="8">
        <f t="shared" si="437"/>
        <v>6563700</v>
      </c>
      <c r="J7027" s="8">
        <f t="shared" si="438"/>
        <v>5370419.34</v>
      </c>
      <c r="K7027" t="str">
        <f t="shared" si="439"/>
        <v>MATCHED</v>
      </c>
    </row>
    <row r="7028" spans="1:11">
      <c r="A7028" t="s">
        <v>132</v>
      </c>
      <c r="B7028" t="s">
        <v>1885</v>
      </c>
      <c r="C7028" t="s">
        <v>536</v>
      </c>
      <c r="D7028" t="s">
        <v>537</v>
      </c>
      <c r="E7028" s="8">
        <v>960</v>
      </c>
      <c r="F7028" s="8">
        <v>82270</v>
      </c>
      <c r="G7028" s="8">
        <f t="shared" si="436"/>
        <v>78979200</v>
      </c>
      <c r="H7028" s="5">
        <v>0.6904</v>
      </c>
      <c r="I7028" s="8">
        <f t="shared" si="437"/>
        <v>78979200</v>
      </c>
      <c r="J7028" s="8">
        <f t="shared" si="438"/>
        <v>54527239.68</v>
      </c>
      <c r="K7028" t="str">
        <f t="shared" si="439"/>
        <v>MATCHED</v>
      </c>
    </row>
    <row r="7029" spans="1:11">
      <c r="A7029" t="s">
        <v>132</v>
      </c>
      <c r="B7029" t="s">
        <v>1885</v>
      </c>
      <c r="C7029" t="s">
        <v>828</v>
      </c>
      <c r="D7029" t="s">
        <v>829</v>
      </c>
      <c r="E7029" s="8">
        <v>90</v>
      </c>
      <c r="F7029" s="8"/>
      <c r="G7029" s="8" t="str">
        <f t="shared" si="436"/>
        <v/>
      </c>
      <c r="H7029" s="5">
        <v>0.7767</v>
      </c>
      <c r="I7029" s="8" t="str">
        <f t="shared" si="437"/>
        <v/>
      </c>
      <c r="J7029" s="8" t="str">
        <f t="shared" si="438"/>
        <v/>
      </c>
      <c r="K7029" t="str">
        <f t="shared" si="439"/>
        <v>MISSING OEWS</v>
      </c>
    </row>
    <row r="7030" spans="1:11">
      <c r="A7030" t="s">
        <v>132</v>
      </c>
      <c r="B7030" t="s">
        <v>1885</v>
      </c>
      <c r="C7030" t="s">
        <v>538</v>
      </c>
      <c r="D7030" t="s">
        <v>539</v>
      </c>
      <c r="E7030" s="8">
        <v>120</v>
      </c>
      <c r="F7030" s="8">
        <v>57680</v>
      </c>
      <c r="G7030" s="8">
        <f t="shared" si="436"/>
        <v>6921600</v>
      </c>
      <c r="H7030" s="5">
        <v>0.6192</v>
      </c>
      <c r="I7030" s="8">
        <f t="shared" si="437"/>
        <v>6921600</v>
      </c>
      <c r="J7030" s="8">
        <f t="shared" si="438"/>
        <v>4285854.72</v>
      </c>
      <c r="K7030" t="str">
        <f t="shared" si="439"/>
        <v>MATCHED</v>
      </c>
    </row>
    <row r="7031" spans="1:11">
      <c r="A7031" t="s">
        <v>132</v>
      </c>
      <c r="B7031" t="s">
        <v>1885</v>
      </c>
      <c r="C7031" t="s">
        <v>291</v>
      </c>
      <c r="D7031" t="s">
        <v>292</v>
      </c>
      <c r="E7031" s="8">
        <v>520</v>
      </c>
      <c r="F7031" s="8">
        <v>83840</v>
      </c>
      <c r="G7031" s="8">
        <f t="shared" si="436"/>
        <v>43596800</v>
      </c>
      <c r="H7031" s="5">
        <v>0.6388</v>
      </c>
      <c r="I7031" s="8">
        <f t="shared" si="437"/>
        <v>43596800</v>
      </c>
      <c r="J7031" s="8">
        <f t="shared" si="438"/>
        <v>27849635.84</v>
      </c>
      <c r="K7031" t="str">
        <f t="shared" si="439"/>
        <v>MATCHED</v>
      </c>
    </row>
    <row r="7032" spans="1:11">
      <c r="A7032" t="s">
        <v>132</v>
      </c>
      <c r="B7032" t="s">
        <v>1885</v>
      </c>
      <c r="C7032" t="s">
        <v>540</v>
      </c>
      <c r="D7032" t="s">
        <v>541</v>
      </c>
      <c r="E7032" s="8">
        <v>110</v>
      </c>
      <c r="F7032" s="8">
        <v>93790</v>
      </c>
      <c r="G7032" s="8">
        <f t="shared" si="436"/>
        <v>10316900</v>
      </c>
      <c r="H7032" s="5">
        <v>0.6292</v>
      </c>
      <c r="I7032" s="8">
        <f t="shared" si="437"/>
        <v>10316900</v>
      </c>
      <c r="J7032" s="8">
        <f t="shared" si="438"/>
        <v>6491393.48</v>
      </c>
      <c r="K7032" t="str">
        <f t="shared" si="439"/>
        <v>MATCHED</v>
      </c>
    </row>
    <row r="7033" spans="1:11">
      <c r="A7033" t="s">
        <v>132</v>
      </c>
      <c r="B7033" t="s">
        <v>1885</v>
      </c>
      <c r="C7033" t="s">
        <v>542</v>
      </c>
      <c r="D7033" t="s">
        <v>543</v>
      </c>
      <c r="E7033" s="8">
        <v>400</v>
      </c>
      <c r="F7033" s="8">
        <v>65370</v>
      </c>
      <c r="G7033" s="8">
        <f t="shared" si="436"/>
        <v>26148000</v>
      </c>
      <c r="H7033" s="5">
        <v>0.7096</v>
      </c>
      <c r="I7033" s="8">
        <f t="shared" si="437"/>
        <v>26148000</v>
      </c>
      <c r="J7033" s="8">
        <f t="shared" si="438"/>
        <v>18554620.8</v>
      </c>
      <c r="K7033" t="str">
        <f t="shared" si="439"/>
        <v>MATCHED</v>
      </c>
    </row>
    <row r="7034" spans="1:11">
      <c r="A7034" t="s">
        <v>132</v>
      </c>
      <c r="B7034" t="s">
        <v>1885</v>
      </c>
      <c r="C7034" t="s">
        <v>293</v>
      </c>
      <c r="D7034" t="s">
        <v>294</v>
      </c>
      <c r="E7034" s="8">
        <v>3320</v>
      </c>
      <c r="F7034" s="8">
        <v>54830</v>
      </c>
      <c r="G7034" s="8">
        <f t="shared" si="436"/>
        <v>182035600</v>
      </c>
      <c r="H7034" s="5">
        <v>0.6062</v>
      </c>
      <c r="I7034" s="8">
        <f t="shared" si="437"/>
        <v>182035600</v>
      </c>
      <c r="J7034" s="8">
        <f t="shared" si="438"/>
        <v>110349980.72</v>
      </c>
      <c r="K7034" t="str">
        <f t="shared" si="439"/>
        <v>MATCHED</v>
      </c>
    </row>
    <row r="7035" spans="1:11">
      <c r="A7035" t="s">
        <v>132</v>
      </c>
      <c r="B7035" t="s">
        <v>1885</v>
      </c>
      <c r="C7035" t="s">
        <v>544</v>
      </c>
      <c r="D7035" t="s">
        <v>545</v>
      </c>
      <c r="E7035" s="8">
        <v>320</v>
      </c>
      <c r="F7035" s="8">
        <v>130920</v>
      </c>
      <c r="G7035" s="8">
        <f t="shared" si="436"/>
        <v>41894400</v>
      </c>
      <c r="H7035" s="5">
        <v>0.6278</v>
      </c>
      <c r="I7035" s="8">
        <f t="shared" si="437"/>
        <v>41894400</v>
      </c>
      <c r="J7035" s="8">
        <f t="shared" si="438"/>
        <v>26301304.32</v>
      </c>
      <c r="K7035" t="str">
        <f t="shared" si="439"/>
        <v>MATCHED</v>
      </c>
    </row>
    <row r="7036" spans="1:11">
      <c r="A7036" t="s">
        <v>132</v>
      </c>
      <c r="B7036" t="s">
        <v>1885</v>
      </c>
      <c r="C7036" t="s">
        <v>546</v>
      </c>
      <c r="D7036" t="s">
        <v>547</v>
      </c>
      <c r="E7036" s="8">
        <v>220</v>
      </c>
      <c r="F7036" s="8">
        <v>95030</v>
      </c>
      <c r="G7036" s="8">
        <f t="shared" si="436"/>
        <v>20906600</v>
      </c>
      <c r="H7036" s="5">
        <v>0.8389</v>
      </c>
      <c r="I7036" s="8">
        <f t="shared" si="437"/>
        <v>20906600</v>
      </c>
      <c r="J7036" s="8">
        <f t="shared" si="438"/>
        <v>17538546.74</v>
      </c>
      <c r="K7036" t="str">
        <f t="shared" si="439"/>
        <v>MATCHED</v>
      </c>
    </row>
    <row r="7037" spans="1:11">
      <c r="A7037" t="s">
        <v>132</v>
      </c>
      <c r="B7037" t="s">
        <v>1885</v>
      </c>
      <c r="C7037" t="s">
        <v>295</v>
      </c>
      <c r="D7037" t="s">
        <v>296</v>
      </c>
      <c r="E7037" s="8">
        <v>1250</v>
      </c>
      <c r="F7037" s="8">
        <v>85160</v>
      </c>
      <c r="G7037" s="8">
        <f t="shared" si="436"/>
        <v>106450000</v>
      </c>
      <c r="H7037" s="5">
        <v>0.695</v>
      </c>
      <c r="I7037" s="8">
        <f t="shared" si="437"/>
        <v>106450000</v>
      </c>
      <c r="J7037" s="8">
        <f t="shared" si="438"/>
        <v>73982750</v>
      </c>
      <c r="K7037" t="str">
        <f t="shared" si="439"/>
        <v>MATCHED</v>
      </c>
    </row>
    <row r="7038" spans="1:11">
      <c r="A7038" t="s">
        <v>132</v>
      </c>
      <c r="B7038" t="s">
        <v>1885</v>
      </c>
      <c r="C7038" t="s">
        <v>550</v>
      </c>
      <c r="D7038" t="s">
        <v>551</v>
      </c>
      <c r="E7038" s="8">
        <v>50</v>
      </c>
      <c r="F7038" s="8">
        <v>96910</v>
      </c>
      <c r="G7038" s="8">
        <f t="shared" si="436"/>
        <v>4845500</v>
      </c>
      <c r="H7038" s="5">
        <v>0.6824</v>
      </c>
      <c r="I7038" s="8">
        <f t="shared" si="437"/>
        <v>4845500</v>
      </c>
      <c r="J7038" s="8">
        <f t="shared" si="438"/>
        <v>3306569.2</v>
      </c>
      <c r="K7038" t="str">
        <f t="shared" si="439"/>
        <v>MATCHED</v>
      </c>
    </row>
    <row r="7039" spans="1:11">
      <c r="A7039" t="s">
        <v>132</v>
      </c>
      <c r="B7039" t="s">
        <v>1885</v>
      </c>
      <c r="C7039" t="s">
        <v>297</v>
      </c>
      <c r="D7039" t="s">
        <v>298</v>
      </c>
      <c r="E7039" s="8">
        <v>230</v>
      </c>
      <c r="F7039" s="8"/>
      <c r="G7039" s="8" t="str">
        <f t="shared" si="436"/>
        <v/>
      </c>
      <c r="H7039" s="5">
        <v>0.5211</v>
      </c>
      <c r="I7039" s="8" t="str">
        <f t="shared" si="437"/>
        <v/>
      </c>
      <c r="J7039" s="8" t="str">
        <f t="shared" si="438"/>
        <v/>
      </c>
      <c r="K7039" t="str">
        <f t="shared" si="439"/>
        <v>MISSING OEWS</v>
      </c>
    </row>
    <row r="7040" spans="1:11">
      <c r="A7040" t="s">
        <v>132</v>
      </c>
      <c r="B7040" t="s">
        <v>1885</v>
      </c>
      <c r="C7040" t="s">
        <v>552</v>
      </c>
      <c r="D7040" t="s">
        <v>553</v>
      </c>
      <c r="E7040" s="8">
        <v>30</v>
      </c>
      <c r="F7040" s="8">
        <v>120010</v>
      </c>
      <c r="G7040" s="8">
        <f t="shared" si="436"/>
        <v>3600300</v>
      </c>
      <c r="H7040" s="5">
        <v>0.8117</v>
      </c>
      <c r="I7040" s="8">
        <f t="shared" si="437"/>
        <v>3600300</v>
      </c>
      <c r="J7040" s="8">
        <f t="shared" si="438"/>
        <v>2922363.51</v>
      </c>
      <c r="K7040" t="str">
        <f t="shared" si="439"/>
        <v>MATCHED</v>
      </c>
    </row>
    <row r="7041" spans="1:11">
      <c r="A7041" t="s">
        <v>132</v>
      </c>
      <c r="B7041" t="s">
        <v>1885</v>
      </c>
      <c r="C7041" t="s">
        <v>830</v>
      </c>
      <c r="D7041" t="s">
        <v>831</v>
      </c>
      <c r="E7041" s="8">
        <v>50</v>
      </c>
      <c r="F7041" s="8">
        <v>86180</v>
      </c>
      <c r="G7041" s="8">
        <f t="shared" si="436"/>
        <v>4309000</v>
      </c>
      <c r="H7041" s="5">
        <v>0.8276</v>
      </c>
      <c r="I7041" s="8">
        <f t="shared" si="437"/>
        <v>4309000</v>
      </c>
      <c r="J7041" s="8">
        <f t="shared" si="438"/>
        <v>3566128.4</v>
      </c>
      <c r="K7041" t="str">
        <f t="shared" si="439"/>
        <v>MATCHED</v>
      </c>
    </row>
    <row r="7042" spans="1:11">
      <c r="A7042" t="s">
        <v>132</v>
      </c>
      <c r="B7042" t="s">
        <v>1885</v>
      </c>
      <c r="C7042" t="s">
        <v>832</v>
      </c>
      <c r="D7042" t="s">
        <v>833</v>
      </c>
      <c r="E7042" s="8">
        <v>450</v>
      </c>
      <c r="F7042" s="8">
        <v>77230</v>
      </c>
      <c r="G7042" s="8">
        <f t="shared" ref="G7042:G7105" si="440">IF(OR(E7042="",F7042=""),"",E7042*F7042)</f>
        <v>34753500</v>
      </c>
      <c r="H7042" s="5">
        <v>0.6827</v>
      </c>
      <c r="I7042" s="8">
        <f t="shared" ref="I7042:I7105" si="441">IF(G7042="","",IF(ISNUMBER(H7042),G7042,""))</f>
        <v>34753500</v>
      </c>
      <c r="J7042" s="8">
        <f t="shared" ref="J7042:J7105" si="442">IF(I7042="","",I7042*H7042)</f>
        <v>23726214.45</v>
      </c>
      <c r="K7042" t="str">
        <f t="shared" ref="K7042:K7105" si="443">IF(G7042="","MISSING OEWS",IF(ISNUMBER(H7042),"MATCHED","MISSING WHARTON"))</f>
        <v>MATCHED</v>
      </c>
    </row>
    <row r="7043" spans="1:11">
      <c r="A7043" t="s">
        <v>132</v>
      </c>
      <c r="B7043" t="s">
        <v>1885</v>
      </c>
      <c r="C7043" t="s">
        <v>299</v>
      </c>
      <c r="D7043" t="s">
        <v>300</v>
      </c>
      <c r="E7043" s="8">
        <v>1130</v>
      </c>
      <c r="F7043" s="8">
        <v>70460</v>
      </c>
      <c r="G7043" s="8">
        <f t="shared" si="440"/>
        <v>79619800</v>
      </c>
      <c r="H7043" s="5">
        <v>0.7425</v>
      </c>
      <c r="I7043" s="8">
        <f t="shared" si="441"/>
        <v>79619800</v>
      </c>
      <c r="J7043" s="8">
        <f t="shared" si="442"/>
        <v>59117701.5</v>
      </c>
      <c r="K7043" t="str">
        <f t="shared" si="443"/>
        <v>MATCHED</v>
      </c>
    </row>
    <row r="7044" spans="1:11">
      <c r="A7044" t="s">
        <v>132</v>
      </c>
      <c r="B7044" t="s">
        <v>1885</v>
      </c>
      <c r="C7044" t="s">
        <v>554</v>
      </c>
      <c r="D7044" t="s">
        <v>555</v>
      </c>
      <c r="E7044" s="8">
        <v>50</v>
      </c>
      <c r="F7044" s="8">
        <v>82040</v>
      </c>
      <c r="G7044" s="8">
        <f t="shared" si="440"/>
        <v>4102000</v>
      </c>
      <c r="H7044" s="5">
        <v>0.6031</v>
      </c>
      <c r="I7044" s="8">
        <f t="shared" si="441"/>
        <v>4102000</v>
      </c>
      <c r="J7044" s="8">
        <f t="shared" si="442"/>
        <v>2473916.2</v>
      </c>
      <c r="K7044" t="str">
        <f t="shared" si="443"/>
        <v>MATCHED</v>
      </c>
    </row>
    <row r="7045" spans="1:11">
      <c r="A7045" t="s">
        <v>132</v>
      </c>
      <c r="B7045" t="s">
        <v>1885</v>
      </c>
      <c r="C7045" t="s">
        <v>556</v>
      </c>
      <c r="D7045" t="s">
        <v>557</v>
      </c>
      <c r="E7045" s="8">
        <v>150</v>
      </c>
      <c r="F7045" s="8">
        <v>86590</v>
      </c>
      <c r="G7045" s="8">
        <f t="shared" si="440"/>
        <v>12988500</v>
      </c>
      <c r="H7045" s="5">
        <v>0.8228</v>
      </c>
      <c r="I7045" s="8">
        <f t="shared" si="441"/>
        <v>12988500</v>
      </c>
      <c r="J7045" s="8">
        <f t="shared" si="442"/>
        <v>10686937.8</v>
      </c>
      <c r="K7045" t="str">
        <f t="shared" si="443"/>
        <v>MATCHED</v>
      </c>
    </row>
    <row r="7046" spans="1:11">
      <c r="A7046" t="s">
        <v>132</v>
      </c>
      <c r="B7046" t="s">
        <v>1885</v>
      </c>
      <c r="C7046" t="s">
        <v>564</v>
      </c>
      <c r="D7046" t="s">
        <v>565</v>
      </c>
      <c r="E7046" s="8">
        <v>350</v>
      </c>
      <c r="F7046" s="8">
        <v>70030</v>
      </c>
      <c r="G7046" s="8">
        <f t="shared" si="440"/>
        <v>24510500</v>
      </c>
      <c r="H7046" s="5">
        <v>0.4218</v>
      </c>
      <c r="I7046" s="8">
        <f t="shared" si="441"/>
        <v>24510500</v>
      </c>
      <c r="J7046" s="8">
        <f t="shared" si="442"/>
        <v>10338528.9</v>
      </c>
      <c r="K7046" t="str">
        <f t="shared" si="443"/>
        <v>MATCHED</v>
      </c>
    </row>
    <row r="7047" spans="1:11">
      <c r="A7047" t="s">
        <v>132</v>
      </c>
      <c r="B7047" t="s">
        <v>1885</v>
      </c>
      <c r="C7047" t="s">
        <v>315</v>
      </c>
      <c r="D7047" t="s">
        <v>316</v>
      </c>
      <c r="E7047" s="8"/>
      <c r="F7047" s="8">
        <v>55220</v>
      </c>
      <c r="G7047" s="8" t="str">
        <f t="shared" si="440"/>
        <v/>
      </c>
      <c r="H7047" s="5">
        <v>0.2969</v>
      </c>
      <c r="I7047" s="8" t="str">
        <f t="shared" si="441"/>
        <v/>
      </c>
      <c r="J7047" s="8" t="str">
        <f t="shared" si="442"/>
        <v/>
      </c>
      <c r="K7047" t="str">
        <f t="shared" si="443"/>
        <v>MISSING OEWS</v>
      </c>
    </row>
    <row r="7048" spans="1:11">
      <c r="A7048" t="s">
        <v>132</v>
      </c>
      <c r="B7048" t="s">
        <v>1885</v>
      </c>
      <c r="C7048" t="s">
        <v>319</v>
      </c>
      <c r="D7048" t="s">
        <v>320</v>
      </c>
      <c r="E7048" s="8">
        <v>280</v>
      </c>
      <c r="F7048" s="8">
        <v>66910</v>
      </c>
      <c r="G7048" s="8">
        <f t="shared" si="440"/>
        <v>18734800</v>
      </c>
      <c r="H7048" s="5">
        <v>0.2786</v>
      </c>
      <c r="I7048" s="8">
        <f t="shared" si="441"/>
        <v>18734800</v>
      </c>
      <c r="J7048" s="8">
        <f t="shared" si="442"/>
        <v>5219515.28</v>
      </c>
      <c r="K7048" t="str">
        <f t="shared" si="443"/>
        <v>MATCHED</v>
      </c>
    </row>
    <row r="7049" spans="1:11">
      <c r="A7049" t="s">
        <v>132</v>
      </c>
      <c r="B7049" t="s">
        <v>1885</v>
      </c>
      <c r="C7049" t="s">
        <v>626</v>
      </c>
      <c r="D7049" t="s">
        <v>627</v>
      </c>
      <c r="E7049" s="8">
        <v>70</v>
      </c>
      <c r="F7049" s="8"/>
      <c r="G7049" s="8" t="str">
        <f t="shared" si="440"/>
        <v/>
      </c>
      <c r="H7049" s="5">
        <v>0.2712</v>
      </c>
      <c r="I7049" s="8" t="str">
        <f t="shared" si="441"/>
        <v/>
      </c>
      <c r="J7049" s="8" t="str">
        <f t="shared" si="442"/>
        <v/>
      </c>
      <c r="K7049" t="str">
        <f t="shared" si="443"/>
        <v>MISSING OEWS</v>
      </c>
    </row>
    <row r="7050" spans="1:11">
      <c r="A7050" t="s">
        <v>132</v>
      </c>
      <c r="B7050" t="s">
        <v>1885</v>
      </c>
      <c r="C7050" t="s">
        <v>940</v>
      </c>
      <c r="D7050" t="s">
        <v>941</v>
      </c>
      <c r="E7050" s="8">
        <v>40</v>
      </c>
      <c r="F7050" s="8">
        <v>43120</v>
      </c>
      <c r="G7050" s="8">
        <f t="shared" si="440"/>
        <v>1724800</v>
      </c>
      <c r="H7050" s="5">
        <v>0.4</v>
      </c>
      <c r="I7050" s="8">
        <f t="shared" si="441"/>
        <v>1724800</v>
      </c>
      <c r="J7050" s="8">
        <f t="shared" si="442"/>
        <v>689920</v>
      </c>
      <c r="K7050" t="str">
        <f t="shared" si="443"/>
        <v>MATCHED</v>
      </c>
    </row>
    <row r="7051" spans="1:11">
      <c r="A7051" t="s">
        <v>132</v>
      </c>
      <c r="B7051" t="s">
        <v>1885</v>
      </c>
      <c r="C7051" t="s">
        <v>1182</v>
      </c>
      <c r="D7051" t="s">
        <v>1183</v>
      </c>
      <c r="E7051" s="8"/>
      <c r="F7051" s="8">
        <v>44720</v>
      </c>
      <c r="G7051" s="8" t="str">
        <f t="shared" si="440"/>
        <v/>
      </c>
      <c r="H7051" s="5">
        <v>0.1786</v>
      </c>
      <c r="I7051" s="8" t="str">
        <f t="shared" si="441"/>
        <v/>
      </c>
      <c r="J7051" s="8" t="str">
        <f t="shared" si="442"/>
        <v/>
      </c>
      <c r="K7051" t="str">
        <f t="shared" si="443"/>
        <v>MISSING OEWS</v>
      </c>
    </row>
    <row r="7052" spans="1:11">
      <c r="A7052" t="s">
        <v>132</v>
      </c>
      <c r="B7052" t="s">
        <v>1885</v>
      </c>
      <c r="C7052" t="s">
        <v>628</v>
      </c>
      <c r="D7052" t="s">
        <v>629</v>
      </c>
      <c r="E7052" s="8">
        <v>170</v>
      </c>
      <c r="F7052" s="8">
        <v>155820</v>
      </c>
      <c r="G7052" s="8">
        <f t="shared" si="440"/>
        <v>26489400</v>
      </c>
      <c r="H7052" s="5">
        <v>0.45</v>
      </c>
      <c r="I7052" s="8">
        <f t="shared" si="441"/>
        <v>26489400</v>
      </c>
      <c r="J7052" s="8">
        <f t="shared" si="442"/>
        <v>11920230</v>
      </c>
      <c r="K7052" t="str">
        <f t="shared" si="443"/>
        <v>MATCHED</v>
      </c>
    </row>
    <row r="7053" spans="1:11">
      <c r="A7053" t="s">
        <v>132</v>
      </c>
      <c r="B7053" t="s">
        <v>1885</v>
      </c>
      <c r="C7053" t="s">
        <v>630</v>
      </c>
      <c r="D7053" t="s">
        <v>631</v>
      </c>
      <c r="E7053" s="8">
        <v>30</v>
      </c>
      <c r="F7053" s="8">
        <v>71570</v>
      </c>
      <c r="G7053" s="8">
        <f t="shared" si="440"/>
        <v>2147100</v>
      </c>
      <c r="H7053" s="5">
        <v>0.5917</v>
      </c>
      <c r="I7053" s="8">
        <f t="shared" si="441"/>
        <v>2147100</v>
      </c>
      <c r="J7053" s="8">
        <f t="shared" si="442"/>
        <v>1270439.07</v>
      </c>
      <c r="K7053" t="str">
        <f t="shared" si="443"/>
        <v>MATCHED</v>
      </c>
    </row>
    <row r="7054" spans="1:11">
      <c r="A7054" t="s">
        <v>132</v>
      </c>
      <c r="B7054" t="s">
        <v>1885</v>
      </c>
      <c r="C7054" t="s">
        <v>321</v>
      </c>
      <c r="D7054" t="s">
        <v>322</v>
      </c>
      <c r="E7054" s="8">
        <v>1520</v>
      </c>
      <c r="F7054" s="8">
        <v>47850</v>
      </c>
      <c r="G7054" s="8">
        <f t="shared" si="440"/>
        <v>72732000</v>
      </c>
      <c r="H7054" s="5">
        <v>0.33</v>
      </c>
      <c r="I7054" s="8">
        <f t="shared" si="441"/>
        <v>72732000</v>
      </c>
      <c r="J7054" s="8">
        <f t="shared" si="442"/>
        <v>24001560</v>
      </c>
      <c r="K7054" t="str">
        <f t="shared" si="443"/>
        <v>MATCHED</v>
      </c>
    </row>
    <row r="7055" spans="1:11">
      <c r="A7055" t="s">
        <v>132</v>
      </c>
      <c r="B7055" t="s">
        <v>1885</v>
      </c>
      <c r="C7055" t="s">
        <v>944</v>
      </c>
      <c r="D7055" t="s">
        <v>945</v>
      </c>
      <c r="E7055" s="8">
        <v>50</v>
      </c>
      <c r="F7055" s="8">
        <v>56400</v>
      </c>
      <c r="G7055" s="8">
        <f t="shared" si="440"/>
        <v>2820000</v>
      </c>
      <c r="H7055" s="5">
        <v>0.5783</v>
      </c>
      <c r="I7055" s="8">
        <f t="shared" si="441"/>
        <v>2820000</v>
      </c>
      <c r="J7055" s="8">
        <f t="shared" si="442"/>
        <v>1630806</v>
      </c>
      <c r="K7055" t="str">
        <f t="shared" si="443"/>
        <v>MATCHED</v>
      </c>
    </row>
    <row r="7056" spans="1:11">
      <c r="A7056" t="s">
        <v>132</v>
      </c>
      <c r="B7056" t="s">
        <v>1885</v>
      </c>
      <c r="C7056" t="s">
        <v>1192</v>
      </c>
      <c r="D7056" t="s">
        <v>1193</v>
      </c>
      <c r="E7056" s="8">
        <v>310</v>
      </c>
      <c r="F7056" s="8">
        <v>49330</v>
      </c>
      <c r="G7056" s="8">
        <f t="shared" si="440"/>
        <v>15292300</v>
      </c>
      <c r="H7056" s="5">
        <v>0.1188</v>
      </c>
      <c r="I7056" s="8">
        <f t="shared" si="441"/>
        <v>15292300</v>
      </c>
      <c r="J7056" s="8">
        <f t="shared" si="442"/>
        <v>1816725.24</v>
      </c>
      <c r="K7056" t="str">
        <f t="shared" si="443"/>
        <v>MATCHED</v>
      </c>
    </row>
    <row r="7057" spans="1:11">
      <c r="A7057" t="s">
        <v>132</v>
      </c>
      <c r="B7057" t="s">
        <v>1885</v>
      </c>
      <c r="C7057" t="s">
        <v>858</v>
      </c>
      <c r="D7057" t="s">
        <v>859</v>
      </c>
      <c r="E7057" s="8">
        <v>1300</v>
      </c>
      <c r="F7057" s="8">
        <v>67580</v>
      </c>
      <c r="G7057" s="8">
        <f t="shared" si="440"/>
        <v>87854000</v>
      </c>
      <c r="H7057" s="5">
        <v>0.7375</v>
      </c>
      <c r="I7057" s="8">
        <f t="shared" si="441"/>
        <v>87854000</v>
      </c>
      <c r="J7057" s="8">
        <f t="shared" si="442"/>
        <v>64792325</v>
      </c>
      <c r="K7057" t="str">
        <f t="shared" si="443"/>
        <v>MATCHED</v>
      </c>
    </row>
    <row r="7058" spans="1:11">
      <c r="A7058" t="s">
        <v>132</v>
      </c>
      <c r="B7058" t="s">
        <v>1885</v>
      </c>
      <c r="C7058" t="s">
        <v>954</v>
      </c>
      <c r="D7058" t="s">
        <v>955</v>
      </c>
      <c r="E7058" s="8">
        <v>130</v>
      </c>
      <c r="F7058" s="8"/>
      <c r="G7058" s="8" t="str">
        <f t="shared" si="440"/>
        <v/>
      </c>
      <c r="H7058" s="5">
        <v>0.3133</v>
      </c>
      <c r="I7058" s="8" t="str">
        <f t="shared" si="441"/>
        <v/>
      </c>
      <c r="J7058" s="8" t="str">
        <f t="shared" si="442"/>
        <v/>
      </c>
      <c r="K7058" t="str">
        <f t="shared" si="443"/>
        <v>MISSING OEWS</v>
      </c>
    </row>
    <row r="7059" spans="1:11">
      <c r="A7059" t="s">
        <v>132</v>
      </c>
      <c r="B7059" t="s">
        <v>1885</v>
      </c>
      <c r="C7059" t="s">
        <v>956</v>
      </c>
      <c r="D7059" t="s">
        <v>957</v>
      </c>
      <c r="E7059" s="8">
        <v>360</v>
      </c>
      <c r="F7059" s="8">
        <v>41590</v>
      </c>
      <c r="G7059" s="8">
        <f t="shared" si="440"/>
        <v>14972400</v>
      </c>
      <c r="H7059" s="5">
        <v>0.038</v>
      </c>
      <c r="I7059" s="8">
        <f t="shared" si="441"/>
        <v>14972400</v>
      </c>
      <c r="J7059" s="8">
        <f t="shared" si="442"/>
        <v>568951.2</v>
      </c>
      <c r="K7059" t="str">
        <f t="shared" si="443"/>
        <v>MATCHED</v>
      </c>
    </row>
    <row r="7060" spans="1:11">
      <c r="A7060" t="s">
        <v>132</v>
      </c>
      <c r="B7060" t="s">
        <v>1885</v>
      </c>
      <c r="C7060" t="s">
        <v>958</v>
      </c>
      <c r="D7060" t="s">
        <v>959</v>
      </c>
      <c r="E7060" s="8">
        <v>40</v>
      </c>
      <c r="F7060" s="8">
        <v>69400</v>
      </c>
      <c r="G7060" s="8">
        <f t="shared" si="440"/>
        <v>2776000</v>
      </c>
      <c r="H7060" s="5"/>
      <c r="I7060" s="8" t="str">
        <f t="shared" si="441"/>
        <v/>
      </c>
      <c r="J7060" s="8" t="str">
        <f t="shared" si="442"/>
        <v/>
      </c>
      <c r="K7060" t="str">
        <f t="shared" si="443"/>
        <v>MISSING WHARTON</v>
      </c>
    </row>
    <row r="7061" spans="1:11">
      <c r="A7061" t="s">
        <v>132</v>
      </c>
      <c r="B7061" t="s">
        <v>1885</v>
      </c>
      <c r="C7061" t="s">
        <v>1476</v>
      </c>
      <c r="D7061" t="s">
        <v>1477</v>
      </c>
      <c r="E7061" s="8">
        <v>460</v>
      </c>
      <c r="F7061" s="8">
        <v>66370</v>
      </c>
      <c r="G7061" s="8">
        <f t="shared" si="440"/>
        <v>30530200</v>
      </c>
      <c r="H7061" s="5">
        <v>0.2018</v>
      </c>
      <c r="I7061" s="8">
        <f t="shared" si="441"/>
        <v>30530200</v>
      </c>
      <c r="J7061" s="8">
        <f t="shared" si="442"/>
        <v>6160994.36</v>
      </c>
      <c r="K7061" t="str">
        <f t="shared" si="443"/>
        <v>MATCHED</v>
      </c>
    </row>
    <row r="7062" spans="1:11">
      <c r="A7062" t="s">
        <v>132</v>
      </c>
      <c r="B7062" t="s">
        <v>1885</v>
      </c>
      <c r="C7062" t="s">
        <v>1575</v>
      </c>
      <c r="D7062" t="s">
        <v>1576</v>
      </c>
      <c r="E7062" s="8">
        <v>2190</v>
      </c>
      <c r="F7062" s="8"/>
      <c r="G7062" s="8" t="str">
        <f t="shared" si="440"/>
        <v/>
      </c>
      <c r="H7062" s="5">
        <v>0</v>
      </c>
      <c r="I7062" s="8" t="str">
        <f t="shared" si="441"/>
        <v/>
      </c>
      <c r="J7062" s="8" t="str">
        <f t="shared" si="442"/>
        <v/>
      </c>
      <c r="K7062" t="str">
        <f t="shared" si="443"/>
        <v>MISSING OEWS</v>
      </c>
    </row>
    <row r="7063" spans="1:11">
      <c r="A7063" t="s">
        <v>132</v>
      </c>
      <c r="B7063" t="s">
        <v>1885</v>
      </c>
      <c r="C7063" t="s">
        <v>1478</v>
      </c>
      <c r="D7063" t="s">
        <v>1479</v>
      </c>
      <c r="E7063" s="8"/>
      <c r="F7063" s="8"/>
      <c r="G7063" s="8" t="str">
        <f t="shared" si="440"/>
        <v/>
      </c>
      <c r="H7063" s="5">
        <v>0.1733</v>
      </c>
      <c r="I7063" s="8" t="str">
        <f t="shared" si="441"/>
        <v/>
      </c>
      <c r="J7063" s="8" t="str">
        <f t="shared" si="442"/>
        <v/>
      </c>
      <c r="K7063" t="str">
        <f t="shared" si="443"/>
        <v>MISSING OEWS</v>
      </c>
    </row>
    <row r="7064" spans="1:11">
      <c r="A7064" t="s">
        <v>132</v>
      </c>
      <c r="B7064" t="s">
        <v>1885</v>
      </c>
      <c r="C7064" t="s">
        <v>1579</v>
      </c>
      <c r="D7064" t="s">
        <v>1580</v>
      </c>
      <c r="E7064" s="8">
        <v>2440</v>
      </c>
      <c r="F7064" s="8"/>
      <c r="G7064" s="8" t="str">
        <f t="shared" si="440"/>
        <v/>
      </c>
      <c r="H7064" s="5">
        <v>0.4868</v>
      </c>
      <c r="I7064" s="8" t="str">
        <f t="shared" si="441"/>
        <v/>
      </c>
      <c r="J7064" s="8" t="str">
        <f t="shared" si="442"/>
        <v/>
      </c>
      <c r="K7064" t="str">
        <f t="shared" si="443"/>
        <v>MISSING OEWS</v>
      </c>
    </row>
    <row r="7065" spans="1:11">
      <c r="A7065" t="s">
        <v>132</v>
      </c>
      <c r="B7065" t="s">
        <v>1885</v>
      </c>
      <c r="C7065" t="s">
        <v>1196</v>
      </c>
      <c r="D7065" t="s">
        <v>1197</v>
      </c>
      <c r="E7065" s="8">
        <v>1520</v>
      </c>
      <c r="F7065" s="8"/>
      <c r="G7065" s="8" t="str">
        <f t="shared" si="440"/>
        <v/>
      </c>
      <c r="H7065" s="5"/>
      <c r="I7065" s="8" t="str">
        <f t="shared" si="441"/>
        <v/>
      </c>
      <c r="J7065" s="8" t="str">
        <f t="shared" si="442"/>
        <v/>
      </c>
      <c r="K7065" t="str">
        <f t="shared" si="443"/>
        <v>MISSING OEWS</v>
      </c>
    </row>
    <row r="7066" spans="1:11">
      <c r="A7066" t="s">
        <v>132</v>
      </c>
      <c r="B7066" t="s">
        <v>1885</v>
      </c>
      <c r="C7066" t="s">
        <v>323</v>
      </c>
      <c r="D7066" t="s">
        <v>324</v>
      </c>
      <c r="E7066" s="8">
        <v>2930</v>
      </c>
      <c r="F7066" s="8"/>
      <c r="G7066" s="8" t="str">
        <f t="shared" si="440"/>
        <v/>
      </c>
      <c r="H7066" s="5">
        <v>0.575</v>
      </c>
      <c r="I7066" s="8" t="str">
        <f t="shared" si="441"/>
        <v/>
      </c>
      <c r="J7066" s="8" t="str">
        <f t="shared" si="442"/>
        <v/>
      </c>
      <c r="K7066" t="str">
        <f t="shared" si="443"/>
        <v>MISSING OEWS</v>
      </c>
    </row>
    <row r="7067" spans="1:11">
      <c r="A7067" t="s">
        <v>132</v>
      </c>
      <c r="B7067" t="s">
        <v>1885</v>
      </c>
      <c r="C7067" t="s">
        <v>1204</v>
      </c>
      <c r="D7067" t="s">
        <v>1205</v>
      </c>
      <c r="E7067" s="8">
        <v>110</v>
      </c>
      <c r="F7067" s="8">
        <v>51050</v>
      </c>
      <c r="G7067" s="8">
        <f t="shared" si="440"/>
        <v>5615500</v>
      </c>
      <c r="H7067" s="5"/>
      <c r="I7067" s="8" t="str">
        <f t="shared" si="441"/>
        <v/>
      </c>
      <c r="J7067" s="8" t="str">
        <f t="shared" si="442"/>
        <v/>
      </c>
      <c r="K7067" t="str">
        <f t="shared" si="443"/>
        <v>MISSING WHARTON</v>
      </c>
    </row>
    <row r="7068" spans="1:11">
      <c r="A7068" t="s">
        <v>132</v>
      </c>
      <c r="B7068" t="s">
        <v>1885</v>
      </c>
      <c r="C7068" t="s">
        <v>962</v>
      </c>
      <c r="D7068" t="s">
        <v>963</v>
      </c>
      <c r="E7068" s="8">
        <v>2320</v>
      </c>
      <c r="F7068" s="8">
        <v>62760</v>
      </c>
      <c r="G7068" s="8">
        <f t="shared" si="440"/>
        <v>145603200</v>
      </c>
      <c r="H7068" s="5">
        <v>0.5483</v>
      </c>
      <c r="I7068" s="8">
        <f t="shared" si="441"/>
        <v>145603200</v>
      </c>
      <c r="J7068" s="8">
        <f t="shared" si="442"/>
        <v>79834234.56</v>
      </c>
      <c r="K7068" t="str">
        <f t="shared" si="443"/>
        <v>MATCHED</v>
      </c>
    </row>
    <row r="7069" spans="1:11">
      <c r="A7069" t="s">
        <v>132</v>
      </c>
      <c r="B7069" t="s">
        <v>1885</v>
      </c>
      <c r="C7069" t="s">
        <v>964</v>
      </c>
      <c r="D7069" t="s">
        <v>965</v>
      </c>
      <c r="E7069" s="8">
        <v>550</v>
      </c>
      <c r="F7069" s="8">
        <v>58570</v>
      </c>
      <c r="G7069" s="8">
        <f t="shared" si="440"/>
        <v>32213500</v>
      </c>
      <c r="H7069" s="5">
        <v>0.5607</v>
      </c>
      <c r="I7069" s="8">
        <f t="shared" si="441"/>
        <v>32213500</v>
      </c>
      <c r="J7069" s="8">
        <f t="shared" si="442"/>
        <v>18062109.45</v>
      </c>
      <c r="K7069" t="str">
        <f t="shared" si="443"/>
        <v>MATCHED</v>
      </c>
    </row>
    <row r="7070" spans="1:11">
      <c r="A7070" t="s">
        <v>132</v>
      </c>
      <c r="B7070" t="s">
        <v>1885</v>
      </c>
      <c r="C7070" t="s">
        <v>966</v>
      </c>
      <c r="D7070" t="s">
        <v>967</v>
      </c>
      <c r="E7070" s="8">
        <v>480</v>
      </c>
      <c r="F7070" s="8">
        <v>73760</v>
      </c>
      <c r="G7070" s="8">
        <f t="shared" si="440"/>
        <v>35404800</v>
      </c>
      <c r="H7070" s="5">
        <v>0.0594</v>
      </c>
      <c r="I7070" s="8">
        <f t="shared" si="441"/>
        <v>35404800</v>
      </c>
      <c r="J7070" s="8">
        <f t="shared" si="442"/>
        <v>2103045.12</v>
      </c>
      <c r="K7070" t="str">
        <f t="shared" si="443"/>
        <v>MATCHED</v>
      </c>
    </row>
    <row r="7071" spans="1:11">
      <c r="A7071" t="s">
        <v>132</v>
      </c>
      <c r="B7071" t="s">
        <v>1885</v>
      </c>
      <c r="C7071" t="s">
        <v>968</v>
      </c>
      <c r="D7071" t="s">
        <v>969</v>
      </c>
      <c r="E7071" s="8">
        <v>170</v>
      </c>
      <c r="F7071" s="8">
        <v>72880</v>
      </c>
      <c r="G7071" s="8">
        <f t="shared" si="440"/>
        <v>12389600</v>
      </c>
      <c r="H7071" s="5">
        <v>0.3207</v>
      </c>
      <c r="I7071" s="8">
        <f t="shared" si="441"/>
        <v>12389600</v>
      </c>
      <c r="J7071" s="8">
        <f t="shared" si="442"/>
        <v>3973344.72</v>
      </c>
      <c r="K7071" t="str">
        <f t="shared" si="443"/>
        <v>MATCHED</v>
      </c>
    </row>
    <row r="7072" spans="1:11">
      <c r="A7072" t="s">
        <v>132</v>
      </c>
      <c r="B7072" t="s">
        <v>1885</v>
      </c>
      <c r="C7072" t="s">
        <v>970</v>
      </c>
      <c r="D7072" t="s">
        <v>971</v>
      </c>
      <c r="E7072" s="8">
        <v>40</v>
      </c>
      <c r="F7072" s="8"/>
      <c r="G7072" s="8" t="str">
        <f t="shared" si="440"/>
        <v/>
      </c>
      <c r="H7072" s="5">
        <v>0.3458</v>
      </c>
      <c r="I7072" s="8" t="str">
        <f t="shared" si="441"/>
        <v/>
      </c>
      <c r="J7072" s="8" t="str">
        <f t="shared" si="442"/>
        <v/>
      </c>
      <c r="K7072" t="str">
        <f t="shared" si="443"/>
        <v>MISSING OEWS</v>
      </c>
    </row>
    <row r="7073" spans="1:11">
      <c r="A7073" t="s">
        <v>132</v>
      </c>
      <c r="B7073" t="s">
        <v>1885</v>
      </c>
      <c r="C7073" t="s">
        <v>1519</v>
      </c>
      <c r="D7073" t="s">
        <v>1520</v>
      </c>
      <c r="E7073" s="8">
        <v>290</v>
      </c>
      <c r="F7073" s="8">
        <v>62870</v>
      </c>
      <c r="G7073" s="8">
        <f t="shared" si="440"/>
        <v>18232300</v>
      </c>
      <c r="H7073" s="5"/>
      <c r="I7073" s="8" t="str">
        <f t="shared" si="441"/>
        <v/>
      </c>
      <c r="J7073" s="8" t="str">
        <f t="shared" si="442"/>
        <v/>
      </c>
      <c r="K7073" t="str">
        <f t="shared" si="443"/>
        <v>MISSING WHARTON</v>
      </c>
    </row>
    <row r="7074" spans="1:11">
      <c r="A7074" t="s">
        <v>132</v>
      </c>
      <c r="B7074" t="s">
        <v>1885</v>
      </c>
      <c r="C7074" t="s">
        <v>1212</v>
      </c>
      <c r="D7074" t="s">
        <v>1213</v>
      </c>
      <c r="E7074" s="8">
        <v>7820</v>
      </c>
      <c r="F7074" s="8">
        <v>73630</v>
      </c>
      <c r="G7074" s="8">
        <f t="shared" si="440"/>
        <v>575786600</v>
      </c>
      <c r="H7074" s="5">
        <v>0.4679</v>
      </c>
      <c r="I7074" s="8">
        <f t="shared" si="441"/>
        <v>575786600</v>
      </c>
      <c r="J7074" s="8">
        <f t="shared" si="442"/>
        <v>269410550.14</v>
      </c>
      <c r="K7074" t="str">
        <f t="shared" si="443"/>
        <v>MATCHED</v>
      </c>
    </row>
    <row r="7075" spans="1:11">
      <c r="A7075" t="s">
        <v>132</v>
      </c>
      <c r="B7075" t="s">
        <v>1885</v>
      </c>
      <c r="C7075" t="s">
        <v>862</v>
      </c>
      <c r="D7075" t="s">
        <v>863</v>
      </c>
      <c r="E7075" s="8">
        <v>170</v>
      </c>
      <c r="F7075" s="8">
        <v>88230</v>
      </c>
      <c r="G7075" s="8">
        <f t="shared" si="440"/>
        <v>14999100</v>
      </c>
      <c r="H7075" s="5">
        <v>0.1958</v>
      </c>
      <c r="I7075" s="8">
        <f t="shared" si="441"/>
        <v>14999100</v>
      </c>
      <c r="J7075" s="8">
        <f t="shared" si="442"/>
        <v>2936823.78</v>
      </c>
      <c r="K7075" t="str">
        <f t="shared" si="443"/>
        <v>MATCHED</v>
      </c>
    </row>
    <row r="7076" spans="1:11">
      <c r="A7076" t="s">
        <v>132</v>
      </c>
      <c r="B7076" t="s">
        <v>1885</v>
      </c>
      <c r="C7076" t="s">
        <v>640</v>
      </c>
      <c r="D7076" t="s">
        <v>641</v>
      </c>
      <c r="E7076" s="8">
        <v>250</v>
      </c>
      <c r="F7076" s="8">
        <v>46470</v>
      </c>
      <c r="G7076" s="8">
        <f t="shared" si="440"/>
        <v>11617500</v>
      </c>
      <c r="H7076" s="5">
        <v>0.0792</v>
      </c>
      <c r="I7076" s="8">
        <f t="shared" si="441"/>
        <v>11617500</v>
      </c>
      <c r="J7076" s="8">
        <f t="shared" si="442"/>
        <v>920106</v>
      </c>
      <c r="K7076" t="str">
        <f t="shared" si="443"/>
        <v>MATCHED</v>
      </c>
    </row>
    <row r="7077" spans="1:11">
      <c r="A7077" t="s">
        <v>132</v>
      </c>
      <c r="B7077" t="s">
        <v>1885</v>
      </c>
      <c r="C7077" t="s">
        <v>1729</v>
      </c>
      <c r="D7077" t="s">
        <v>1730</v>
      </c>
      <c r="E7077" s="8">
        <v>920</v>
      </c>
      <c r="F7077" s="8">
        <v>37790</v>
      </c>
      <c r="G7077" s="8">
        <f t="shared" si="440"/>
        <v>34766800</v>
      </c>
      <c r="H7077" s="5">
        <v>0.4154</v>
      </c>
      <c r="I7077" s="8">
        <f t="shared" si="441"/>
        <v>34766800</v>
      </c>
      <c r="J7077" s="8">
        <f t="shared" si="442"/>
        <v>14442128.72</v>
      </c>
      <c r="K7077" t="str">
        <f t="shared" si="443"/>
        <v>MATCHED</v>
      </c>
    </row>
    <row r="7078" spans="1:11">
      <c r="A7078" t="s">
        <v>132</v>
      </c>
      <c r="B7078" t="s">
        <v>1885</v>
      </c>
      <c r="C7078" t="s">
        <v>1733</v>
      </c>
      <c r="D7078" t="s">
        <v>1734</v>
      </c>
      <c r="E7078" s="8">
        <v>1000</v>
      </c>
      <c r="F7078" s="8">
        <v>36790</v>
      </c>
      <c r="G7078" s="8">
        <f t="shared" si="440"/>
        <v>36790000</v>
      </c>
      <c r="H7078" s="5">
        <v>0.0417</v>
      </c>
      <c r="I7078" s="8">
        <f t="shared" si="441"/>
        <v>36790000</v>
      </c>
      <c r="J7078" s="8">
        <f t="shared" si="442"/>
        <v>1534143</v>
      </c>
      <c r="K7078" t="str">
        <f t="shared" si="443"/>
        <v>MATCHED</v>
      </c>
    </row>
    <row r="7079" spans="1:11">
      <c r="A7079" t="s">
        <v>132</v>
      </c>
      <c r="B7079" t="s">
        <v>1885</v>
      </c>
      <c r="C7079" t="s">
        <v>1490</v>
      </c>
      <c r="D7079" t="s">
        <v>1491</v>
      </c>
      <c r="E7079" s="8">
        <v>9400</v>
      </c>
      <c r="F7079" s="8">
        <v>59630</v>
      </c>
      <c r="G7079" s="8">
        <f t="shared" si="440"/>
        <v>560522000</v>
      </c>
      <c r="H7079" s="5">
        <v>0.0679</v>
      </c>
      <c r="I7079" s="8">
        <f t="shared" si="441"/>
        <v>560522000</v>
      </c>
      <c r="J7079" s="8">
        <f t="shared" si="442"/>
        <v>38059443.8</v>
      </c>
      <c r="K7079" t="str">
        <f t="shared" si="443"/>
        <v>MATCHED</v>
      </c>
    </row>
    <row r="7080" spans="1:11">
      <c r="A7080" t="s">
        <v>132</v>
      </c>
      <c r="B7080" t="s">
        <v>1885</v>
      </c>
      <c r="C7080" t="s">
        <v>1256</v>
      </c>
      <c r="D7080" t="s">
        <v>1257</v>
      </c>
      <c r="E7080" s="8">
        <v>310</v>
      </c>
      <c r="F7080" s="8">
        <v>43410</v>
      </c>
      <c r="G7080" s="8">
        <f t="shared" si="440"/>
        <v>13457100</v>
      </c>
      <c r="H7080" s="5">
        <v>0.2542</v>
      </c>
      <c r="I7080" s="8">
        <f t="shared" si="441"/>
        <v>13457100</v>
      </c>
      <c r="J7080" s="8">
        <f t="shared" si="442"/>
        <v>3420794.82</v>
      </c>
      <c r="K7080" t="str">
        <f t="shared" si="443"/>
        <v>MATCHED</v>
      </c>
    </row>
    <row r="7081" spans="1:11">
      <c r="A7081" t="s">
        <v>132</v>
      </c>
      <c r="B7081" t="s">
        <v>1885</v>
      </c>
      <c r="C7081" t="s">
        <v>644</v>
      </c>
      <c r="D7081" t="s">
        <v>645</v>
      </c>
      <c r="E7081" s="8">
        <v>5440</v>
      </c>
      <c r="F7081" s="8">
        <v>59820</v>
      </c>
      <c r="G7081" s="8">
        <f t="shared" si="440"/>
        <v>325420800</v>
      </c>
      <c r="H7081" s="5">
        <v>0.3929</v>
      </c>
      <c r="I7081" s="8">
        <f t="shared" si="441"/>
        <v>325420800</v>
      </c>
      <c r="J7081" s="8">
        <f t="shared" si="442"/>
        <v>127857832.32</v>
      </c>
      <c r="K7081" t="str">
        <f t="shared" si="443"/>
        <v>MATCHED</v>
      </c>
    </row>
    <row r="7082" spans="1:11">
      <c r="A7082" t="s">
        <v>132</v>
      </c>
      <c r="B7082" t="s">
        <v>1885</v>
      </c>
      <c r="C7082" t="s">
        <v>866</v>
      </c>
      <c r="D7082" t="s">
        <v>867</v>
      </c>
      <c r="E7082" s="8">
        <v>630</v>
      </c>
      <c r="F7082" s="8">
        <v>56780</v>
      </c>
      <c r="G7082" s="8">
        <f t="shared" si="440"/>
        <v>35771400</v>
      </c>
      <c r="H7082" s="5"/>
      <c r="I7082" s="8" t="str">
        <f t="shared" si="441"/>
        <v/>
      </c>
      <c r="J7082" s="8" t="str">
        <f t="shared" si="442"/>
        <v/>
      </c>
      <c r="K7082" t="str">
        <f t="shared" si="443"/>
        <v>MISSING WHARTON</v>
      </c>
    </row>
    <row r="7083" spans="1:11">
      <c r="A7083" t="s">
        <v>132</v>
      </c>
      <c r="B7083" t="s">
        <v>1885</v>
      </c>
      <c r="C7083" t="s">
        <v>1764</v>
      </c>
      <c r="D7083" t="s">
        <v>1765</v>
      </c>
      <c r="E7083" s="8">
        <v>3170</v>
      </c>
      <c r="F7083" s="8">
        <v>45850</v>
      </c>
      <c r="G7083" s="8">
        <f t="shared" si="440"/>
        <v>145344500</v>
      </c>
      <c r="H7083" s="5">
        <v>0.475</v>
      </c>
      <c r="I7083" s="8">
        <f t="shared" si="441"/>
        <v>145344500</v>
      </c>
      <c r="J7083" s="8">
        <f t="shared" si="442"/>
        <v>69038637.5</v>
      </c>
      <c r="K7083" t="str">
        <f t="shared" si="443"/>
        <v>MATCHED</v>
      </c>
    </row>
    <row r="7084" spans="1:11">
      <c r="A7084" t="s">
        <v>132</v>
      </c>
      <c r="B7084" t="s">
        <v>1885</v>
      </c>
      <c r="C7084" t="s">
        <v>329</v>
      </c>
      <c r="D7084" t="s">
        <v>330</v>
      </c>
      <c r="E7084" s="8">
        <v>60350</v>
      </c>
      <c r="F7084" s="8">
        <v>40540</v>
      </c>
      <c r="G7084" s="8">
        <f t="shared" si="440"/>
        <v>2446589000</v>
      </c>
      <c r="H7084" s="5">
        <v>0.1357</v>
      </c>
      <c r="I7084" s="8">
        <f t="shared" si="441"/>
        <v>2446589000</v>
      </c>
      <c r="J7084" s="8">
        <f t="shared" si="442"/>
        <v>332002127.3</v>
      </c>
      <c r="K7084" t="str">
        <f t="shared" si="443"/>
        <v>MATCHED</v>
      </c>
    </row>
    <row r="7085" spans="1:11">
      <c r="A7085" t="s">
        <v>132</v>
      </c>
      <c r="B7085" t="s">
        <v>1885</v>
      </c>
      <c r="C7085" t="s">
        <v>1492</v>
      </c>
      <c r="D7085" t="s">
        <v>1493</v>
      </c>
      <c r="E7085" s="8">
        <v>6640</v>
      </c>
      <c r="F7085" s="8">
        <v>35530</v>
      </c>
      <c r="G7085" s="8">
        <f t="shared" si="440"/>
        <v>235919200</v>
      </c>
      <c r="H7085" s="5">
        <v>0.0633</v>
      </c>
      <c r="I7085" s="8">
        <f t="shared" si="441"/>
        <v>235919200</v>
      </c>
      <c r="J7085" s="8">
        <f t="shared" si="442"/>
        <v>14933685.36</v>
      </c>
      <c r="K7085" t="str">
        <f t="shared" si="443"/>
        <v>MATCHED</v>
      </c>
    </row>
    <row r="7086" spans="1:11">
      <c r="A7086" t="s">
        <v>132</v>
      </c>
      <c r="B7086" t="s">
        <v>1885</v>
      </c>
      <c r="C7086" t="s">
        <v>872</v>
      </c>
      <c r="D7086" t="s">
        <v>873</v>
      </c>
      <c r="E7086" s="8">
        <v>590</v>
      </c>
      <c r="F7086" s="8">
        <v>40540</v>
      </c>
      <c r="G7086" s="8">
        <f t="shared" si="440"/>
        <v>23918600</v>
      </c>
      <c r="H7086" s="5">
        <v>0.3357</v>
      </c>
      <c r="I7086" s="8">
        <f t="shared" si="441"/>
        <v>23918600</v>
      </c>
      <c r="J7086" s="8">
        <f t="shared" si="442"/>
        <v>8029474.02</v>
      </c>
      <c r="K7086" t="str">
        <f t="shared" si="443"/>
        <v>MATCHED</v>
      </c>
    </row>
    <row r="7087" spans="1:11">
      <c r="A7087" t="s">
        <v>132</v>
      </c>
      <c r="B7087" t="s">
        <v>1885</v>
      </c>
      <c r="C7087" t="s">
        <v>978</v>
      </c>
      <c r="D7087" t="s">
        <v>979</v>
      </c>
      <c r="E7087" s="8">
        <v>160460</v>
      </c>
      <c r="F7087" s="8">
        <v>65410</v>
      </c>
      <c r="G7087" s="8">
        <f t="shared" si="440"/>
        <v>10495688600</v>
      </c>
      <c r="H7087" s="5">
        <v>0.281</v>
      </c>
      <c r="I7087" s="8">
        <f t="shared" si="441"/>
        <v>10495688600</v>
      </c>
      <c r="J7087" s="8">
        <f t="shared" si="442"/>
        <v>2949288496.6</v>
      </c>
      <c r="K7087" t="str">
        <f t="shared" si="443"/>
        <v>MATCHED</v>
      </c>
    </row>
    <row r="7088" spans="1:11">
      <c r="A7088" t="s">
        <v>132</v>
      </c>
      <c r="B7088" t="s">
        <v>1885</v>
      </c>
      <c r="C7088" t="s">
        <v>980</v>
      </c>
      <c r="D7088" t="s">
        <v>981</v>
      </c>
      <c r="E7088" s="8">
        <v>1037790</v>
      </c>
      <c r="F7088" s="8">
        <v>45330</v>
      </c>
      <c r="G7088" s="8">
        <f t="shared" si="440"/>
        <v>47043020700</v>
      </c>
      <c r="H7088" s="5">
        <v>0.4173</v>
      </c>
      <c r="I7088" s="8">
        <f t="shared" si="441"/>
        <v>47043020700</v>
      </c>
      <c r="J7088" s="8">
        <f t="shared" si="442"/>
        <v>19631052538.11</v>
      </c>
      <c r="K7088" t="str">
        <f t="shared" si="443"/>
        <v>MATCHED</v>
      </c>
    </row>
    <row r="7089" spans="1:11">
      <c r="A7089" t="s">
        <v>132</v>
      </c>
      <c r="B7089" t="s">
        <v>1885</v>
      </c>
      <c r="C7089" t="s">
        <v>1258</v>
      </c>
      <c r="D7089" t="s">
        <v>1259</v>
      </c>
      <c r="E7089" s="8">
        <v>620980</v>
      </c>
      <c r="F7089" s="8">
        <v>32320</v>
      </c>
      <c r="G7089" s="8">
        <f t="shared" si="440"/>
        <v>20070073600</v>
      </c>
      <c r="H7089" s="5">
        <v>0.05</v>
      </c>
      <c r="I7089" s="8">
        <f t="shared" si="441"/>
        <v>20070073600</v>
      </c>
      <c r="J7089" s="8">
        <f t="shared" si="442"/>
        <v>1003503680</v>
      </c>
      <c r="K7089" t="str">
        <f t="shared" si="443"/>
        <v>MATCHED</v>
      </c>
    </row>
    <row r="7090" spans="1:11">
      <c r="A7090" t="s">
        <v>132</v>
      </c>
      <c r="B7090" t="s">
        <v>1885</v>
      </c>
      <c r="C7090" t="s">
        <v>982</v>
      </c>
      <c r="D7090" t="s">
        <v>983</v>
      </c>
      <c r="E7090" s="8">
        <v>85500</v>
      </c>
      <c r="F7090" s="8">
        <v>40680</v>
      </c>
      <c r="G7090" s="8">
        <f t="shared" si="440"/>
        <v>3478140000</v>
      </c>
      <c r="H7090" s="5">
        <v>0.25</v>
      </c>
      <c r="I7090" s="8">
        <f t="shared" si="441"/>
        <v>3478140000</v>
      </c>
      <c r="J7090" s="8">
        <f t="shared" si="442"/>
        <v>869535000</v>
      </c>
      <c r="K7090" t="str">
        <f t="shared" si="443"/>
        <v>MATCHED</v>
      </c>
    </row>
    <row r="7091" spans="1:11">
      <c r="A7091" t="s">
        <v>132</v>
      </c>
      <c r="B7091" t="s">
        <v>1885</v>
      </c>
      <c r="C7091" t="s">
        <v>1886</v>
      </c>
      <c r="D7091" t="s">
        <v>1887</v>
      </c>
      <c r="E7091" s="8">
        <v>270</v>
      </c>
      <c r="F7091" s="8">
        <v>49300</v>
      </c>
      <c r="G7091" s="8">
        <f t="shared" si="440"/>
        <v>13311000</v>
      </c>
      <c r="H7091" s="5">
        <v>0.1269</v>
      </c>
      <c r="I7091" s="8">
        <f t="shared" si="441"/>
        <v>13311000</v>
      </c>
      <c r="J7091" s="8">
        <f t="shared" si="442"/>
        <v>1689165.9</v>
      </c>
      <c r="K7091" t="str">
        <f t="shared" si="443"/>
        <v>MATCHED</v>
      </c>
    </row>
    <row r="7092" spans="1:11">
      <c r="A7092" t="s">
        <v>132</v>
      </c>
      <c r="B7092" t="s">
        <v>1885</v>
      </c>
      <c r="C7092" t="s">
        <v>984</v>
      </c>
      <c r="D7092" t="s">
        <v>985</v>
      </c>
      <c r="E7092" s="8">
        <v>1312060</v>
      </c>
      <c r="F7092" s="8">
        <v>38600</v>
      </c>
      <c r="G7092" s="8">
        <f t="shared" si="440"/>
        <v>50645516000</v>
      </c>
      <c r="H7092" s="5">
        <v>0.1175</v>
      </c>
      <c r="I7092" s="8">
        <f t="shared" si="441"/>
        <v>50645516000</v>
      </c>
      <c r="J7092" s="8">
        <f t="shared" si="442"/>
        <v>5950848130</v>
      </c>
      <c r="K7092" t="str">
        <f t="shared" si="443"/>
        <v>MATCHED</v>
      </c>
    </row>
    <row r="7093" spans="1:11">
      <c r="A7093" t="s">
        <v>132</v>
      </c>
      <c r="B7093" t="s">
        <v>1885</v>
      </c>
      <c r="C7093" t="s">
        <v>1260</v>
      </c>
      <c r="D7093" t="s">
        <v>1261</v>
      </c>
      <c r="E7093" s="8">
        <v>109050</v>
      </c>
      <c r="F7093" s="8">
        <v>36420</v>
      </c>
      <c r="G7093" s="8">
        <f t="shared" si="440"/>
        <v>3971601000</v>
      </c>
      <c r="H7093" s="5">
        <v>0.0864</v>
      </c>
      <c r="I7093" s="8">
        <f t="shared" si="441"/>
        <v>3971601000</v>
      </c>
      <c r="J7093" s="8">
        <f t="shared" si="442"/>
        <v>343146326.4</v>
      </c>
      <c r="K7093" t="str">
        <f t="shared" si="443"/>
        <v>MATCHED</v>
      </c>
    </row>
    <row r="7094" spans="1:11">
      <c r="A7094" t="s">
        <v>132</v>
      </c>
      <c r="B7094" t="s">
        <v>1885</v>
      </c>
      <c r="C7094" t="s">
        <v>1262</v>
      </c>
      <c r="D7094" t="s">
        <v>1263</v>
      </c>
      <c r="E7094" s="8">
        <v>8440</v>
      </c>
      <c r="F7094" s="8">
        <v>39940</v>
      </c>
      <c r="G7094" s="8">
        <f t="shared" si="440"/>
        <v>337093600</v>
      </c>
      <c r="H7094" s="5"/>
      <c r="I7094" s="8" t="str">
        <f t="shared" si="441"/>
        <v/>
      </c>
      <c r="J7094" s="8" t="str">
        <f t="shared" si="442"/>
        <v/>
      </c>
      <c r="K7094" t="str">
        <f t="shared" si="443"/>
        <v>MISSING WHARTON</v>
      </c>
    </row>
    <row r="7095" spans="1:11">
      <c r="A7095" t="s">
        <v>132</v>
      </c>
      <c r="B7095" t="s">
        <v>1885</v>
      </c>
      <c r="C7095" t="s">
        <v>986</v>
      </c>
      <c r="D7095" t="s">
        <v>987</v>
      </c>
      <c r="E7095" s="8">
        <v>519550</v>
      </c>
      <c r="F7095" s="8">
        <v>34580</v>
      </c>
      <c r="G7095" s="8">
        <f t="shared" si="440"/>
        <v>17966039000</v>
      </c>
      <c r="H7095" s="5">
        <v>0.0613</v>
      </c>
      <c r="I7095" s="8">
        <f t="shared" si="441"/>
        <v>17966039000</v>
      </c>
      <c r="J7095" s="8">
        <f t="shared" si="442"/>
        <v>1101318190.7</v>
      </c>
      <c r="K7095" t="str">
        <f t="shared" si="443"/>
        <v>MATCHED</v>
      </c>
    </row>
    <row r="7096" spans="1:11">
      <c r="A7096" t="s">
        <v>132</v>
      </c>
      <c r="B7096" t="s">
        <v>1885</v>
      </c>
      <c r="C7096" t="s">
        <v>1264</v>
      </c>
      <c r="D7096" t="s">
        <v>1265</v>
      </c>
      <c r="E7096" s="8">
        <v>600580</v>
      </c>
      <c r="F7096" s="8">
        <v>41800</v>
      </c>
      <c r="G7096" s="8">
        <f t="shared" si="440"/>
        <v>25104244000</v>
      </c>
      <c r="H7096" s="5">
        <v>0.1425</v>
      </c>
      <c r="I7096" s="8">
        <f t="shared" si="441"/>
        <v>25104244000</v>
      </c>
      <c r="J7096" s="8">
        <f t="shared" si="442"/>
        <v>3577354770</v>
      </c>
      <c r="K7096" t="str">
        <f t="shared" si="443"/>
        <v>MATCHED</v>
      </c>
    </row>
    <row r="7097" spans="1:11">
      <c r="A7097" t="s">
        <v>132</v>
      </c>
      <c r="B7097" t="s">
        <v>1885</v>
      </c>
      <c r="C7097" t="s">
        <v>988</v>
      </c>
      <c r="D7097" t="s">
        <v>989</v>
      </c>
      <c r="E7097" s="8">
        <v>3367270</v>
      </c>
      <c r="F7097" s="8">
        <v>31790</v>
      </c>
      <c r="G7097" s="8">
        <f t="shared" si="440"/>
        <v>107045513300</v>
      </c>
      <c r="H7097" s="5">
        <v>0.2031</v>
      </c>
      <c r="I7097" s="8">
        <f t="shared" si="441"/>
        <v>107045513300</v>
      </c>
      <c r="J7097" s="8">
        <f t="shared" si="442"/>
        <v>21740943751.23</v>
      </c>
      <c r="K7097" t="str">
        <f t="shared" si="443"/>
        <v>MATCHED</v>
      </c>
    </row>
    <row r="7098" spans="1:11">
      <c r="A7098" t="s">
        <v>132</v>
      </c>
      <c r="B7098" t="s">
        <v>1885</v>
      </c>
      <c r="C7098" t="s">
        <v>990</v>
      </c>
      <c r="D7098" t="s">
        <v>991</v>
      </c>
      <c r="E7098" s="8">
        <v>2087000</v>
      </c>
      <c r="F7098" s="8">
        <v>40180</v>
      </c>
      <c r="G7098" s="8">
        <f t="shared" si="440"/>
        <v>83855660000</v>
      </c>
      <c r="H7098" s="5">
        <v>0.152</v>
      </c>
      <c r="I7098" s="8">
        <f t="shared" si="441"/>
        <v>83855660000</v>
      </c>
      <c r="J7098" s="8">
        <f t="shared" si="442"/>
        <v>12746060320</v>
      </c>
      <c r="K7098" t="str">
        <f t="shared" si="443"/>
        <v>MATCHED</v>
      </c>
    </row>
    <row r="7099" spans="1:11">
      <c r="A7099" t="s">
        <v>132</v>
      </c>
      <c r="B7099" t="s">
        <v>1885</v>
      </c>
      <c r="C7099" t="s">
        <v>1266</v>
      </c>
      <c r="D7099" t="s">
        <v>1267</v>
      </c>
      <c r="E7099" s="8">
        <v>63110</v>
      </c>
      <c r="F7099" s="8">
        <v>36570</v>
      </c>
      <c r="G7099" s="8">
        <f t="shared" si="440"/>
        <v>2307932700</v>
      </c>
      <c r="H7099" s="5">
        <v>0.1357</v>
      </c>
      <c r="I7099" s="8">
        <f t="shared" si="441"/>
        <v>2307932700</v>
      </c>
      <c r="J7099" s="8">
        <f t="shared" si="442"/>
        <v>313186467.39</v>
      </c>
      <c r="K7099" t="str">
        <f t="shared" si="443"/>
        <v>MATCHED</v>
      </c>
    </row>
    <row r="7100" spans="1:11">
      <c r="A7100" t="s">
        <v>132</v>
      </c>
      <c r="B7100" t="s">
        <v>1885</v>
      </c>
      <c r="C7100" t="s">
        <v>1268</v>
      </c>
      <c r="D7100" t="s">
        <v>1269</v>
      </c>
      <c r="E7100" s="8">
        <v>451790</v>
      </c>
      <c r="F7100" s="8">
        <v>34020</v>
      </c>
      <c r="G7100" s="8">
        <f t="shared" si="440"/>
        <v>15369895800</v>
      </c>
      <c r="H7100" s="5">
        <v>0.0417</v>
      </c>
      <c r="I7100" s="8">
        <f t="shared" si="441"/>
        <v>15369895800</v>
      </c>
      <c r="J7100" s="8">
        <f t="shared" si="442"/>
        <v>640924654.86</v>
      </c>
      <c r="K7100" t="str">
        <f t="shared" si="443"/>
        <v>MATCHED</v>
      </c>
    </row>
    <row r="7101" spans="1:11">
      <c r="A7101" t="s">
        <v>132</v>
      </c>
      <c r="B7101" t="s">
        <v>1885</v>
      </c>
      <c r="C7101" t="s">
        <v>1270</v>
      </c>
      <c r="D7101" t="s">
        <v>1271</v>
      </c>
      <c r="E7101" s="8">
        <v>412400</v>
      </c>
      <c r="F7101" s="8">
        <v>34180</v>
      </c>
      <c r="G7101" s="8">
        <f t="shared" si="440"/>
        <v>14095832000</v>
      </c>
      <c r="H7101" s="5">
        <v>0</v>
      </c>
      <c r="I7101" s="8">
        <f t="shared" si="441"/>
        <v>14095832000</v>
      </c>
      <c r="J7101" s="8">
        <f t="shared" si="442"/>
        <v>0</v>
      </c>
      <c r="K7101" t="str">
        <f t="shared" si="443"/>
        <v>MATCHED</v>
      </c>
    </row>
    <row r="7102" spans="1:11">
      <c r="A7102" t="s">
        <v>132</v>
      </c>
      <c r="B7102" t="s">
        <v>1885</v>
      </c>
      <c r="C7102" t="s">
        <v>1272</v>
      </c>
      <c r="D7102" t="s">
        <v>1273</v>
      </c>
      <c r="E7102" s="8">
        <v>410390</v>
      </c>
      <c r="F7102" s="8">
        <v>32570</v>
      </c>
      <c r="G7102" s="8">
        <f t="shared" si="440"/>
        <v>13366402300</v>
      </c>
      <c r="H7102" s="5">
        <v>0.3023</v>
      </c>
      <c r="I7102" s="8">
        <f t="shared" si="441"/>
        <v>13366402300</v>
      </c>
      <c r="J7102" s="8">
        <f t="shared" si="442"/>
        <v>4040663415.29</v>
      </c>
      <c r="K7102" t="str">
        <f t="shared" si="443"/>
        <v>MATCHED</v>
      </c>
    </row>
    <row r="7103" spans="1:11">
      <c r="A7103" t="s">
        <v>132</v>
      </c>
      <c r="B7103" t="s">
        <v>1885</v>
      </c>
      <c r="C7103" t="s">
        <v>1274</v>
      </c>
      <c r="D7103" t="s">
        <v>1275</v>
      </c>
      <c r="E7103" s="8">
        <v>66320</v>
      </c>
      <c r="F7103" s="8">
        <v>36490</v>
      </c>
      <c r="G7103" s="8">
        <f t="shared" si="440"/>
        <v>2420016800</v>
      </c>
      <c r="H7103" s="5"/>
      <c r="I7103" s="8" t="str">
        <f t="shared" si="441"/>
        <v/>
      </c>
      <c r="J7103" s="8" t="str">
        <f t="shared" si="442"/>
        <v/>
      </c>
      <c r="K7103" t="str">
        <f t="shared" si="443"/>
        <v>MISSING WHARTON</v>
      </c>
    </row>
    <row r="7104" spans="1:11">
      <c r="A7104" t="s">
        <v>132</v>
      </c>
      <c r="B7104" t="s">
        <v>1885</v>
      </c>
      <c r="C7104" t="s">
        <v>331</v>
      </c>
      <c r="D7104" t="s">
        <v>332</v>
      </c>
      <c r="E7104" s="8">
        <v>42400</v>
      </c>
      <c r="F7104" s="8">
        <v>49340</v>
      </c>
      <c r="G7104" s="8">
        <f t="shared" si="440"/>
        <v>2092016000</v>
      </c>
      <c r="H7104" s="5">
        <v>0.2269</v>
      </c>
      <c r="I7104" s="8">
        <f t="shared" si="441"/>
        <v>2092016000</v>
      </c>
      <c r="J7104" s="8">
        <f t="shared" si="442"/>
        <v>474678430.4</v>
      </c>
      <c r="K7104" t="str">
        <f t="shared" si="443"/>
        <v>MATCHED</v>
      </c>
    </row>
    <row r="7105" spans="1:11">
      <c r="A7105" t="s">
        <v>132</v>
      </c>
      <c r="B7105" t="s">
        <v>1885</v>
      </c>
      <c r="C7105" t="s">
        <v>333</v>
      </c>
      <c r="D7105" t="s">
        <v>334</v>
      </c>
      <c r="E7105" s="8">
        <v>1530</v>
      </c>
      <c r="F7105" s="8">
        <v>60830</v>
      </c>
      <c r="G7105" s="8">
        <f t="shared" si="440"/>
        <v>93069900</v>
      </c>
      <c r="H7105" s="5">
        <v>0.2357</v>
      </c>
      <c r="I7105" s="8">
        <f t="shared" si="441"/>
        <v>93069900</v>
      </c>
      <c r="J7105" s="8">
        <f t="shared" si="442"/>
        <v>21936575.43</v>
      </c>
      <c r="K7105" t="str">
        <f t="shared" si="443"/>
        <v>MATCHED</v>
      </c>
    </row>
    <row r="7106" spans="1:11">
      <c r="A7106" t="s">
        <v>132</v>
      </c>
      <c r="B7106" t="s">
        <v>1885</v>
      </c>
      <c r="C7106" t="s">
        <v>335</v>
      </c>
      <c r="D7106" t="s">
        <v>336</v>
      </c>
      <c r="E7106" s="8">
        <v>117930</v>
      </c>
      <c r="F7106" s="8">
        <v>38860</v>
      </c>
      <c r="G7106" s="8">
        <f t="shared" ref="G7106:G7169" si="444">IF(OR(E7106="",F7106=""),"",E7106*F7106)</f>
        <v>4582759800</v>
      </c>
      <c r="H7106" s="5">
        <v>0</v>
      </c>
      <c r="I7106" s="8">
        <f t="shared" ref="I7106:I7169" si="445">IF(G7106="","",IF(ISNUMBER(H7106),G7106,""))</f>
        <v>4582759800</v>
      </c>
      <c r="J7106" s="8">
        <f t="shared" ref="J7106:J7169" si="446">IF(I7106="","",I7106*H7106)</f>
        <v>0</v>
      </c>
      <c r="K7106" t="str">
        <f t="shared" ref="K7106:K7169" si="447">IF(G7106="","MISSING OEWS",IF(ISNUMBER(H7106),"MATCHED","MISSING WHARTON"))</f>
        <v>MATCHED</v>
      </c>
    </row>
    <row r="7107" spans="1:11">
      <c r="A7107" t="s">
        <v>132</v>
      </c>
      <c r="B7107" t="s">
        <v>1885</v>
      </c>
      <c r="C7107" t="s">
        <v>337</v>
      </c>
      <c r="D7107" t="s">
        <v>338</v>
      </c>
      <c r="E7107" s="8">
        <v>430270</v>
      </c>
      <c r="F7107" s="8">
        <v>36680</v>
      </c>
      <c r="G7107" s="8">
        <f t="shared" si="444"/>
        <v>15782303600</v>
      </c>
      <c r="H7107" s="5">
        <v>0</v>
      </c>
      <c r="I7107" s="8">
        <f t="shared" si="445"/>
        <v>15782303600</v>
      </c>
      <c r="J7107" s="8">
        <f t="shared" si="446"/>
        <v>0</v>
      </c>
      <c r="K7107" t="str">
        <f t="shared" si="447"/>
        <v>MATCHED</v>
      </c>
    </row>
    <row r="7108" spans="1:11">
      <c r="A7108" t="s">
        <v>132</v>
      </c>
      <c r="B7108" t="s">
        <v>1885</v>
      </c>
      <c r="C7108" t="s">
        <v>646</v>
      </c>
      <c r="D7108" t="s">
        <v>647</v>
      </c>
      <c r="E7108" s="8">
        <v>1540</v>
      </c>
      <c r="F7108" s="8">
        <v>43410</v>
      </c>
      <c r="G7108" s="8">
        <f t="shared" si="444"/>
        <v>66851400</v>
      </c>
      <c r="H7108" s="5"/>
      <c r="I7108" s="8" t="str">
        <f t="shared" si="445"/>
        <v/>
      </c>
      <c r="J7108" s="8" t="str">
        <f t="shared" si="446"/>
        <v/>
      </c>
      <c r="K7108" t="str">
        <f t="shared" si="447"/>
        <v>MISSING WHARTON</v>
      </c>
    </row>
    <row r="7109" spans="1:11">
      <c r="A7109" t="s">
        <v>132</v>
      </c>
      <c r="B7109" t="s">
        <v>1885</v>
      </c>
      <c r="C7109" t="s">
        <v>339</v>
      </c>
      <c r="D7109" t="s">
        <v>340</v>
      </c>
      <c r="E7109" s="8">
        <v>30</v>
      </c>
      <c r="F7109" s="8"/>
      <c r="G7109" s="8" t="str">
        <f t="shared" si="444"/>
        <v/>
      </c>
      <c r="H7109" s="5">
        <v>0.1567</v>
      </c>
      <c r="I7109" s="8" t="str">
        <f t="shared" si="445"/>
        <v/>
      </c>
      <c r="J7109" s="8" t="str">
        <f t="shared" si="446"/>
        <v/>
      </c>
      <c r="K7109" t="str">
        <f t="shared" si="447"/>
        <v>MISSING OEWS</v>
      </c>
    </row>
    <row r="7110" spans="1:11">
      <c r="A7110" t="s">
        <v>132</v>
      </c>
      <c r="B7110" t="s">
        <v>1885</v>
      </c>
      <c r="C7110" t="s">
        <v>341</v>
      </c>
      <c r="D7110" t="s">
        <v>342</v>
      </c>
      <c r="E7110" s="8">
        <v>16770</v>
      </c>
      <c r="F7110" s="8">
        <v>39040</v>
      </c>
      <c r="G7110" s="8">
        <f t="shared" si="444"/>
        <v>654700800</v>
      </c>
      <c r="H7110" s="5">
        <v>0</v>
      </c>
      <c r="I7110" s="8">
        <f t="shared" si="445"/>
        <v>654700800</v>
      </c>
      <c r="J7110" s="8">
        <f t="shared" si="446"/>
        <v>0</v>
      </c>
      <c r="K7110" t="str">
        <f t="shared" si="447"/>
        <v>MATCHED</v>
      </c>
    </row>
    <row r="7111" spans="1:11">
      <c r="A7111" t="s">
        <v>132</v>
      </c>
      <c r="B7111" t="s">
        <v>1885</v>
      </c>
      <c r="C7111" t="s">
        <v>343</v>
      </c>
      <c r="D7111" t="s">
        <v>344</v>
      </c>
      <c r="E7111" s="8">
        <v>170</v>
      </c>
      <c r="F7111" s="8">
        <v>37690</v>
      </c>
      <c r="G7111" s="8">
        <f t="shared" si="444"/>
        <v>6407300</v>
      </c>
      <c r="H7111" s="5">
        <v>0</v>
      </c>
      <c r="I7111" s="8">
        <f t="shared" si="445"/>
        <v>6407300</v>
      </c>
      <c r="J7111" s="8">
        <f t="shared" si="446"/>
        <v>0</v>
      </c>
      <c r="K7111" t="str">
        <f t="shared" si="447"/>
        <v>MATCHED</v>
      </c>
    </row>
    <row r="7112" spans="1:11">
      <c r="A7112" t="s">
        <v>132</v>
      </c>
      <c r="B7112" t="s">
        <v>1885</v>
      </c>
      <c r="C7112" t="s">
        <v>874</v>
      </c>
      <c r="D7112" t="s">
        <v>875</v>
      </c>
      <c r="E7112" s="8">
        <v>910</v>
      </c>
      <c r="F7112" s="8">
        <v>45030</v>
      </c>
      <c r="G7112" s="8">
        <f t="shared" si="444"/>
        <v>40977300</v>
      </c>
      <c r="H7112" s="5"/>
      <c r="I7112" s="8" t="str">
        <f t="shared" si="445"/>
        <v/>
      </c>
      <c r="J7112" s="8" t="str">
        <f t="shared" si="446"/>
        <v/>
      </c>
      <c r="K7112" t="str">
        <f t="shared" si="447"/>
        <v>MISSING WHARTON</v>
      </c>
    </row>
    <row r="7113" spans="1:11">
      <c r="A7113" t="s">
        <v>132</v>
      </c>
      <c r="B7113" t="s">
        <v>1885</v>
      </c>
      <c r="C7113" t="s">
        <v>1585</v>
      </c>
      <c r="D7113" t="s">
        <v>1586</v>
      </c>
      <c r="E7113" s="8">
        <v>14310</v>
      </c>
      <c r="F7113" s="8">
        <v>68130</v>
      </c>
      <c r="G7113" s="8">
        <f t="shared" si="444"/>
        <v>974940300</v>
      </c>
      <c r="H7113" s="5">
        <v>0.34</v>
      </c>
      <c r="I7113" s="8">
        <f t="shared" si="445"/>
        <v>974940300</v>
      </c>
      <c r="J7113" s="8">
        <f t="shared" si="446"/>
        <v>331479702</v>
      </c>
      <c r="K7113" t="str">
        <f t="shared" si="447"/>
        <v>MATCHED</v>
      </c>
    </row>
    <row r="7114" spans="1:11">
      <c r="A7114" t="s">
        <v>132</v>
      </c>
      <c r="B7114" t="s">
        <v>1885</v>
      </c>
      <c r="C7114" t="s">
        <v>347</v>
      </c>
      <c r="D7114" t="s">
        <v>348</v>
      </c>
      <c r="E7114" s="8">
        <v>4110</v>
      </c>
      <c r="F7114" s="8">
        <v>56930</v>
      </c>
      <c r="G7114" s="8">
        <f t="shared" si="444"/>
        <v>233982300</v>
      </c>
      <c r="H7114" s="5">
        <v>0.2974</v>
      </c>
      <c r="I7114" s="8">
        <f t="shared" si="445"/>
        <v>233982300</v>
      </c>
      <c r="J7114" s="8">
        <f t="shared" si="446"/>
        <v>69586336.02</v>
      </c>
      <c r="K7114" t="str">
        <f t="shared" si="447"/>
        <v>MATCHED</v>
      </c>
    </row>
    <row r="7115" spans="1:11">
      <c r="A7115" t="s">
        <v>132</v>
      </c>
      <c r="B7115" t="s">
        <v>1885</v>
      </c>
      <c r="C7115" t="s">
        <v>349</v>
      </c>
      <c r="D7115" t="s">
        <v>350</v>
      </c>
      <c r="E7115" s="8">
        <v>2600</v>
      </c>
      <c r="F7115" s="8">
        <v>58020</v>
      </c>
      <c r="G7115" s="8">
        <f t="shared" si="444"/>
        <v>150852000</v>
      </c>
      <c r="H7115" s="5">
        <v>0.2765</v>
      </c>
      <c r="I7115" s="8">
        <f t="shared" si="445"/>
        <v>150852000</v>
      </c>
      <c r="J7115" s="8">
        <f t="shared" si="446"/>
        <v>41710578</v>
      </c>
      <c r="K7115" t="str">
        <f t="shared" si="447"/>
        <v>MATCHED</v>
      </c>
    </row>
    <row r="7116" spans="1:11">
      <c r="A7116" t="s">
        <v>132</v>
      </c>
      <c r="B7116" t="s">
        <v>1885</v>
      </c>
      <c r="C7116" t="s">
        <v>351</v>
      </c>
      <c r="D7116" t="s">
        <v>352</v>
      </c>
      <c r="E7116" s="8">
        <v>50</v>
      </c>
      <c r="F7116" s="8">
        <v>43590</v>
      </c>
      <c r="G7116" s="8">
        <f t="shared" si="444"/>
        <v>2179500</v>
      </c>
      <c r="H7116" s="5">
        <v>0.05</v>
      </c>
      <c r="I7116" s="8">
        <f t="shared" si="445"/>
        <v>2179500</v>
      </c>
      <c r="J7116" s="8">
        <f t="shared" si="446"/>
        <v>108975</v>
      </c>
      <c r="K7116" t="str">
        <f t="shared" si="447"/>
        <v>MATCHED</v>
      </c>
    </row>
    <row r="7117" spans="1:11">
      <c r="A7117" t="s">
        <v>132</v>
      </c>
      <c r="B7117" t="s">
        <v>1885</v>
      </c>
      <c r="C7117" t="s">
        <v>353</v>
      </c>
      <c r="D7117" t="s">
        <v>354</v>
      </c>
      <c r="E7117" s="8">
        <v>790</v>
      </c>
      <c r="F7117" s="8">
        <v>39250</v>
      </c>
      <c r="G7117" s="8">
        <f t="shared" si="444"/>
        <v>31007500</v>
      </c>
      <c r="H7117" s="5">
        <v>0.1614</v>
      </c>
      <c r="I7117" s="8">
        <f t="shared" si="445"/>
        <v>31007500</v>
      </c>
      <c r="J7117" s="8">
        <f t="shared" si="446"/>
        <v>5004610.5</v>
      </c>
      <c r="K7117" t="str">
        <f t="shared" si="447"/>
        <v>MATCHED</v>
      </c>
    </row>
    <row r="7118" spans="1:11">
      <c r="A7118" t="s">
        <v>132</v>
      </c>
      <c r="B7118" t="s">
        <v>1885</v>
      </c>
      <c r="C7118" t="s">
        <v>1627</v>
      </c>
      <c r="D7118" t="s">
        <v>1628</v>
      </c>
      <c r="E7118" s="8">
        <v>46770</v>
      </c>
      <c r="F7118" s="8">
        <v>40120</v>
      </c>
      <c r="G7118" s="8">
        <f t="shared" si="444"/>
        <v>1876412400</v>
      </c>
      <c r="H7118" s="5">
        <v>0.3167</v>
      </c>
      <c r="I7118" s="8">
        <f t="shared" si="445"/>
        <v>1876412400</v>
      </c>
      <c r="J7118" s="8">
        <f t="shared" si="446"/>
        <v>594259807.08</v>
      </c>
      <c r="K7118" t="str">
        <f t="shared" si="447"/>
        <v>MATCHED</v>
      </c>
    </row>
    <row r="7119" spans="1:11">
      <c r="A7119" t="s">
        <v>132</v>
      </c>
      <c r="B7119" t="s">
        <v>1885</v>
      </c>
      <c r="C7119" t="s">
        <v>1874</v>
      </c>
      <c r="D7119" t="s">
        <v>1875</v>
      </c>
      <c r="E7119" s="8">
        <v>1610</v>
      </c>
      <c r="F7119" s="8">
        <v>34920</v>
      </c>
      <c r="G7119" s="8">
        <f t="shared" si="444"/>
        <v>56221200</v>
      </c>
      <c r="H7119" s="5">
        <v>0.3545</v>
      </c>
      <c r="I7119" s="8">
        <f t="shared" si="445"/>
        <v>56221200</v>
      </c>
      <c r="J7119" s="8">
        <f t="shared" si="446"/>
        <v>19930415.4</v>
      </c>
      <c r="K7119" t="str">
        <f t="shared" si="447"/>
        <v>MATCHED</v>
      </c>
    </row>
    <row r="7120" spans="1:11">
      <c r="A7120" t="s">
        <v>132</v>
      </c>
      <c r="B7120" t="s">
        <v>1885</v>
      </c>
      <c r="C7120" t="s">
        <v>1587</v>
      </c>
      <c r="D7120" t="s">
        <v>1588</v>
      </c>
      <c r="E7120" s="8">
        <v>3810</v>
      </c>
      <c r="F7120" s="8">
        <v>43070</v>
      </c>
      <c r="G7120" s="8">
        <f t="shared" si="444"/>
        <v>164096700</v>
      </c>
      <c r="H7120" s="5"/>
      <c r="I7120" s="8" t="str">
        <f t="shared" si="445"/>
        <v/>
      </c>
      <c r="J7120" s="8" t="str">
        <f t="shared" si="446"/>
        <v/>
      </c>
      <c r="K7120" t="str">
        <f t="shared" si="447"/>
        <v>MISSING WHARTON</v>
      </c>
    </row>
    <row r="7121" spans="1:11">
      <c r="A7121" t="s">
        <v>132</v>
      </c>
      <c r="B7121" t="s">
        <v>1885</v>
      </c>
      <c r="C7121" t="s">
        <v>1276</v>
      </c>
      <c r="D7121" t="s">
        <v>1277</v>
      </c>
      <c r="E7121" s="8">
        <v>4700</v>
      </c>
      <c r="F7121" s="8">
        <v>37230</v>
      </c>
      <c r="G7121" s="8">
        <f t="shared" si="444"/>
        <v>174981000</v>
      </c>
      <c r="H7121" s="5">
        <v>0.2109</v>
      </c>
      <c r="I7121" s="8">
        <f t="shared" si="445"/>
        <v>174981000</v>
      </c>
      <c r="J7121" s="8">
        <f t="shared" si="446"/>
        <v>36903492.9</v>
      </c>
      <c r="K7121" t="str">
        <f t="shared" si="447"/>
        <v>MATCHED</v>
      </c>
    </row>
    <row r="7122" spans="1:11">
      <c r="A7122" t="s">
        <v>132</v>
      </c>
      <c r="B7122" t="s">
        <v>1885</v>
      </c>
      <c r="C7122" t="s">
        <v>876</v>
      </c>
      <c r="D7122" t="s">
        <v>877</v>
      </c>
      <c r="E7122" s="8">
        <v>22020</v>
      </c>
      <c r="F7122" s="8">
        <v>35620</v>
      </c>
      <c r="G7122" s="8">
        <f t="shared" si="444"/>
        <v>784352400</v>
      </c>
      <c r="H7122" s="5">
        <v>0.25</v>
      </c>
      <c r="I7122" s="8">
        <f t="shared" si="445"/>
        <v>784352400</v>
      </c>
      <c r="J7122" s="8">
        <f t="shared" si="446"/>
        <v>196088100</v>
      </c>
      <c r="K7122" t="str">
        <f t="shared" si="447"/>
        <v>MATCHED</v>
      </c>
    </row>
    <row r="7123" spans="1:11">
      <c r="A7123" t="s">
        <v>132</v>
      </c>
      <c r="B7123" t="s">
        <v>1885</v>
      </c>
      <c r="C7123" t="s">
        <v>1591</v>
      </c>
      <c r="D7123" t="s">
        <v>1592</v>
      </c>
      <c r="E7123" s="8">
        <v>510</v>
      </c>
      <c r="F7123" s="8">
        <v>50670</v>
      </c>
      <c r="G7123" s="8">
        <f t="shared" si="444"/>
        <v>25841700</v>
      </c>
      <c r="H7123" s="5">
        <v>0.1238</v>
      </c>
      <c r="I7123" s="8">
        <f t="shared" si="445"/>
        <v>25841700</v>
      </c>
      <c r="J7123" s="8">
        <f t="shared" si="446"/>
        <v>3199202.46</v>
      </c>
      <c r="K7123" t="str">
        <f t="shared" si="447"/>
        <v>MATCHED</v>
      </c>
    </row>
    <row r="7124" spans="1:11">
      <c r="A7124" t="s">
        <v>132</v>
      </c>
      <c r="B7124" t="s">
        <v>1885</v>
      </c>
      <c r="C7124" t="s">
        <v>1494</v>
      </c>
      <c r="D7124" t="s">
        <v>1495</v>
      </c>
      <c r="E7124" s="8">
        <v>3600</v>
      </c>
      <c r="F7124" s="8">
        <v>43330</v>
      </c>
      <c r="G7124" s="8">
        <f t="shared" si="444"/>
        <v>155988000</v>
      </c>
      <c r="H7124" s="5">
        <v>0.0413</v>
      </c>
      <c r="I7124" s="8">
        <f t="shared" si="445"/>
        <v>155988000</v>
      </c>
      <c r="J7124" s="8">
        <f t="shared" si="446"/>
        <v>6442304.4</v>
      </c>
      <c r="K7124" t="str">
        <f t="shared" si="447"/>
        <v>MATCHED</v>
      </c>
    </row>
    <row r="7125" spans="1:11">
      <c r="A7125" t="s">
        <v>132</v>
      </c>
      <c r="B7125" t="s">
        <v>1885</v>
      </c>
      <c r="C7125" t="s">
        <v>1593</v>
      </c>
      <c r="D7125" t="s">
        <v>1594</v>
      </c>
      <c r="E7125" s="8">
        <v>650</v>
      </c>
      <c r="F7125" s="8">
        <v>40480</v>
      </c>
      <c r="G7125" s="8">
        <f t="shared" si="444"/>
        <v>26312000</v>
      </c>
      <c r="H7125" s="5"/>
      <c r="I7125" s="8" t="str">
        <f t="shared" si="445"/>
        <v/>
      </c>
      <c r="J7125" s="8" t="str">
        <f t="shared" si="446"/>
        <v/>
      </c>
      <c r="K7125" t="str">
        <f t="shared" si="447"/>
        <v>MISSING WHARTON</v>
      </c>
    </row>
    <row r="7126" spans="1:11">
      <c r="A7126" t="s">
        <v>132</v>
      </c>
      <c r="B7126" t="s">
        <v>1885</v>
      </c>
      <c r="C7126" t="s">
        <v>992</v>
      </c>
      <c r="D7126" t="s">
        <v>993</v>
      </c>
      <c r="E7126" s="8">
        <v>840</v>
      </c>
      <c r="F7126" s="8">
        <v>44040</v>
      </c>
      <c r="G7126" s="8">
        <f t="shared" si="444"/>
        <v>36993600</v>
      </c>
      <c r="H7126" s="5">
        <v>0.1239</v>
      </c>
      <c r="I7126" s="8">
        <f t="shared" si="445"/>
        <v>36993600</v>
      </c>
      <c r="J7126" s="8">
        <f t="shared" si="446"/>
        <v>4583507.04</v>
      </c>
      <c r="K7126" t="str">
        <f t="shared" si="447"/>
        <v>MATCHED</v>
      </c>
    </row>
    <row r="7127" spans="1:11">
      <c r="A7127" t="s">
        <v>132</v>
      </c>
      <c r="B7127" t="s">
        <v>1885</v>
      </c>
      <c r="C7127" t="s">
        <v>1496</v>
      </c>
      <c r="D7127" t="s">
        <v>1497</v>
      </c>
      <c r="E7127" s="8">
        <v>1160</v>
      </c>
      <c r="F7127" s="8">
        <v>49820</v>
      </c>
      <c r="G7127" s="8">
        <f t="shared" si="444"/>
        <v>57791200</v>
      </c>
      <c r="H7127" s="5">
        <v>0.1056</v>
      </c>
      <c r="I7127" s="8">
        <f t="shared" si="445"/>
        <v>57791200</v>
      </c>
      <c r="J7127" s="8">
        <f t="shared" si="446"/>
        <v>6102750.72</v>
      </c>
      <c r="K7127" t="str">
        <f t="shared" si="447"/>
        <v>MATCHED</v>
      </c>
    </row>
    <row r="7128" spans="1:11">
      <c r="A7128" t="s">
        <v>132</v>
      </c>
      <c r="B7128" t="s">
        <v>1885</v>
      </c>
      <c r="C7128" t="s">
        <v>1449</v>
      </c>
      <c r="D7128" t="s">
        <v>1450</v>
      </c>
      <c r="E7128" s="8">
        <v>2650</v>
      </c>
      <c r="F7128" s="8">
        <v>62730</v>
      </c>
      <c r="G7128" s="8">
        <f t="shared" si="444"/>
        <v>166234500</v>
      </c>
      <c r="H7128" s="5">
        <v>0.1056</v>
      </c>
      <c r="I7128" s="8">
        <f t="shared" si="445"/>
        <v>166234500</v>
      </c>
      <c r="J7128" s="8">
        <f t="shared" si="446"/>
        <v>17554363.2</v>
      </c>
      <c r="K7128" t="str">
        <f t="shared" si="447"/>
        <v>MATCHED</v>
      </c>
    </row>
    <row r="7129" spans="1:11">
      <c r="A7129" t="s">
        <v>132</v>
      </c>
      <c r="B7129" t="s">
        <v>1885</v>
      </c>
      <c r="C7129" t="s">
        <v>1498</v>
      </c>
      <c r="D7129" t="s">
        <v>1499</v>
      </c>
      <c r="E7129" s="8">
        <v>16810</v>
      </c>
      <c r="F7129" s="8">
        <v>38640</v>
      </c>
      <c r="G7129" s="8">
        <f t="shared" si="444"/>
        <v>649538400</v>
      </c>
      <c r="H7129" s="5">
        <v>0.3353</v>
      </c>
      <c r="I7129" s="8">
        <f t="shared" si="445"/>
        <v>649538400</v>
      </c>
      <c r="J7129" s="8">
        <f t="shared" si="446"/>
        <v>217790225.52</v>
      </c>
      <c r="K7129" t="str">
        <f t="shared" si="447"/>
        <v>MATCHED</v>
      </c>
    </row>
    <row r="7130" spans="1:11">
      <c r="A7130" t="s">
        <v>132</v>
      </c>
      <c r="B7130" t="s">
        <v>1885</v>
      </c>
      <c r="C7130" t="s">
        <v>994</v>
      </c>
      <c r="D7130" t="s">
        <v>995</v>
      </c>
      <c r="E7130" s="8">
        <v>7970</v>
      </c>
      <c r="F7130" s="8">
        <v>45510</v>
      </c>
      <c r="G7130" s="8">
        <f t="shared" si="444"/>
        <v>362714700</v>
      </c>
      <c r="H7130" s="5">
        <v>0.65</v>
      </c>
      <c r="I7130" s="8">
        <f t="shared" si="445"/>
        <v>362714700</v>
      </c>
      <c r="J7130" s="8">
        <f t="shared" si="446"/>
        <v>235764555</v>
      </c>
      <c r="K7130" t="str">
        <f t="shared" si="447"/>
        <v>MATCHED</v>
      </c>
    </row>
    <row r="7131" spans="1:11">
      <c r="A7131" t="s">
        <v>132</v>
      </c>
      <c r="B7131" t="s">
        <v>1885</v>
      </c>
      <c r="C7131" t="s">
        <v>1278</v>
      </c>
      <c r="D7131" t="s">
        <v>1279</v>
      </c>
      <c r="E7131" s="8">
        <v>2280</v>
      </c>
      <c r="F7131" s="8">
        <v>42330</v>
      </c>
      <c r="G7131" s="8">
        <f t="shared" si="444"/>
        <v>96512400</v>
      </c>
      <c r="H7131" s="5">
        <v>0.3177</v>
      </c>
      <c r="I7131" s="8">
        <f t="shared" si="445"/>
        <v>96512400</v>
      </c>
      <c r="J7131" s="8">
        <f t="shared" si="446"/>
        <v>30661989.48</v>
      </c>
      <c r="K7131" t="str">
        <f t="shared" si="447"/>
        <v>MATCHED</v>
      </c>
    </row>
    <row r="7132" spans="1:11">
      <c r="A7132" t="s">
        <v>132</v>
      </c>
      <c r="B7132" t="s">
        <v>1885</v>
      </c>
      <c r="C7132" t="s">
        <v>996</v>
      </c>
      <c r="D7132" t="s">
        <v>997</v>
      </c>
      <c r="E7132" s="8">
        <v>550</v>
      </c>
      <c r="F7132" s="8">
        <v>38940</v>
      </c>
      <c r="G7132" s="8">
        <f t="shared" si="444"/>
        <v>21417000</v>
      </c>
      <c r="H7132" s="5">
        <v>0.105</v>
      </c>
      <c r="I7132" s="8">
        <f t="shared" si="445"/>
        <v>21417000</v>
      </c>
      <c r="J7132" s="8">
        <f t="shared" si="446"/>
        <v>2248785</v>
      </c>
      <c r="K7132" t="str">
        <f t="shared" si="447"/>
        <v>MATCHED</v>
      </c>
    </row>
    <row r="7133" spans="1:11">
      <c r="A7133" t="s">
        <v>132</v>
      </c>
      <c r="B7133" t="s">
        <v>1885</v>
      </c>
      <c r="C7133" t="s">
        <v>998</v>
      </c>
      <c r="D7133" t="s">
        <v>999</v>
      </c>
      <c r="E7133" s="8">
        <v>2860</v>
      </c>
      <c r="F7133" s="8">
        <v>52740</v>
      </c>
      <c r="G7133" s="8">
        <f t="shared" si="444"/>
        <v>150836400</v>
      </c>
      <c r="H7133" s="5">
        <v>0.0636</v>
      </c>
      <c r="I7133" s="8">
        <f t="shared" si="445"/>
        <v>150836400</v>
      </c>
      <c r="J7133" s="8">
        <f t="shared" si="446"/>
        <v>9593195.04</v>
      </c>
      <c r="K7133" t="str">
        <f t="shared" si="447"/>
        <v>MATCHED</v>
      </c>
    </row>
    <row r="7134" spans="1:11">
      <c r="A7134" t="s">
        <v>132</v>
      </c>
      <c r="B7134" t="s">
        <v>1885</v>
      </c>
      <c r="C7134" t="s">
        <v>1280</v>
      </c>
      <c r="D7134" t="s">
        <v>1281</v>
      </c>
      <c r="E7134" s="8">
        <v>11350</v>
      </c>
      <c r="F7134" s="8">
        <v>35760</v>
      </c>
      <c r="G7134" s="8">
        <f t="shared" si="444"/>
        <v>405876000</v>
      </c>
      <c r="H7134" s="5">
        <v>0.1667</v>
      </c>
      <c r="I7134" s="8">
        <f t="shared" si="445"/>
        <v>405876000</v>
      </c>
      <c r="J7134" s="8">
        <f t="shared" si="446"/>
        <v>67659529.2</v>
      </c>
      <c r="K7134" t="str">
        <f t="shared" si="447"/>
        <v>MATCHED</v>
      </c>
    </row>
    <row r="7135" spans="1:11">
      <c r="A7135" t="s">
        <v>132</v>
      </c>
      <c r="B7135" t="s">
        <v>1885</v>
      </c>
      <c r="C7135" t="s">
        <v>1282</v>
      </c>
      <c r="D7135" t="s">
        <v>1283</v>
      </c>
      <c r="E7135" s="8">
        <v>1300</v>
      </c>
      <c r="F7135" s="8">
        <v>46080</v>
      </c>
      <c r="G7135" s="8">
        <f t="shared" si="444"/>
        <v>59904000</v>
      </c>
      <c r="H7135" s="5">
        <v>0.2917</v>
      </c>
      <c r="I7135" s="8">
        <f t="shared" si="445"/>
        <v>59904000</v>
      </c>
      <c r="J7135" s="8">
        <f t="shared" si="446"/>
        <v>17473996.8</v>
      </c>
      <c r="K7135" t="str">
        <f t="shared" si="447"/>
        <v>MATCHED</v>
      </c>
    </row>
    <row r="7136" spans="1:11">
      <c r="A7136" t="s">
        <v>132</v>
      </c>
      <c r="B7136" t="s">
        <v>1885</v>
      </c>
      <c r="C7136" t="s">
        <v>1500</v>
      </c>
      <c r="D7136" t="s">
        <v>1501</v>
      </c>
      <c r="E7136" s="8">
        <v>3080</v>
      </c>
      <c r="F7136" s="8">
        <v>45060</v>
      </c>
      <c r="G7136" s="8">
        <f t="shared" si="444"/>
        <v>138784800</v>
      </c>
      <c r="H7136" s="5"/>
      <c r="I7136" s="8" t="str">
        <f t="shared" si="445"/>
        <v/>
      </c>
      <c r="J7136" s="8" t="str">
        <f t="shared" si="446"/>
        <v/>
      </c>
      <c r="K7136" t="str">
        <f t="shared" si="447"/>
        <v>MISSING WHARTON</v>
      </c>
    </row>
    <row r="7137" spans="1:11">
      <c r="A7137" t="s">
        <v>132</v>
      </c>
      <c r="B7137" t="s">
        <v>1885</v>
      </c>
      <c r="C7137" t="s">
        <v>355</v>
      </c>
      <c r="D7137" t="s">
        <v>356</v>
      </c>
      <c r="E7137" s="8">
        <v>13970</v>
      </c>
      <c r="F7137" s="8">
        <v>49330</v>
      </c>
      <c r="G7137" s="8">
        <f t="shared" si="444"/>
        <v>689140100</v>
      </c>
      <c r="H7137" s="5">
        <v>0.4476</v>
      </c>
      <c r="I7137" s="8">
        <f t="shared" si="445"/>
        <v>689140100</v>
      </c>
      <c r="J7137" s="8">
        <f t="shared" si="446"/>
        <v>308459108.76</v>
      </c>
      <c r="K7137" t="str">
        <f t="shared" si="447"/>
        <v>MATCHED</v>
      </c>
    </row>
    <row r="7138" spans="1:11">
      <c r="A7138" t="s">
        <v>132</v>
      </c>
      <c r="B7138" t="s">
        <v>1885</v>
      </c>
      <c r="C7138" t="s">
        <v>357</v>
      </c>
      <c r="D7138" t="s">
        <v>358</v>
      </c>
      <c r="E7138" s="8">
        <v>1410</v>
      </c>
      <c r="F7138" s="8">
        <v>76300</v>
      </c>
      <c r="G7138" s="8">
        <f t="shared" si="444"/>
        <v>107583000</v>
      </c>
      <c r="H7138" s="5">
        <v>0.4833</v>
      </c>
      <c r="I7138" s="8">
        <f t="shared" si="445"/>
        <v>107583000</v>
      </c>
      <c r="J7138" s="8">
        <f t="shared" si="446"/>
        <v>51994863.9</v>
      </c>
      <c r="K7138" t="str">
        <f t="shared" si="447"/>
        <v>MATCHED</v>
      </c>
    </row>
    <row r="7139" spans="1:11">
      <c r="A7139" t="s">
        <v>132</v>
      </c>
      <c r="B7139" t="s">
        <v>1885</v>
      </c>
      <c r="C7139" t="s">
        <v>648</v>
      </c>
      <c r="D7139" t="s">
        <v>649</v>
      </c>
      <c r="E7139" s="8">
        <v>342270</v>
      </c>
      <c r="F7139" s="8">
        <v>32070</v>
      </c>
      <c r="G7139" s="8">
        <f t="shared" si="444"/>
        <v>10976598900</v>
      </c>
      <c r="H7139" s="5">
        <v>0.6672</v>
      </c>
      <c r="I7139" s="8">
        <f t="shared" si="445"/>
        <v>10976598900</v>
      </c>
      <c r="J7139" s="8">
        <f t="shared" si="446"/>
        <v>7323586786.08</v>
      </c>
      <c r="K7139" t="str">
        <f t="shared" si="447"/>
        <v>MATCHED</v>
      </c>
    </row>
    <row r="7140" spans="1:11">
      <c r="A7140" t="s">
        <v>132</v>
      </c>
      <c r="B7140" t="s">
        <v>1885</v>
      </c>
      <c r="C7140" t="s">
        <v>1881</v>
      </c>
      <c r="D7140" t="s">
        <v>1882</v>
      </c>
      <c r="E7140" s="8">
        <v>8660</v>
      </c>
      <c r="F7140" s="8">
        <v>41020</v>
      </c>
      <c r="G7140" s="8">
        <f t="shared" si="444"/>
        <v>355233200</v>
      </c>
      <c r="H7140" s="5">
        <v>0.4467</v>
      </c>
      <c r="I7140" s="8">
        <f t="shared" si="445"/>
        <v>355233200</v>
      </c>
      <c r="J7140" s="8">
        <f t="shared" si="446"/>
        <v>158682670.44</v>
      </c>
      <c r="K7140" t="str">
        <f t="shared" si="447"/>
        <v>MATCHED</v>
      </c>
    </row>
    <row r="7141" spans="1:11">
      <c r="A7141" t="s">
        <v>132</v>
      </c>
      <c r="B7141" t="s">
        <v>1885</v>
      </c>
      <c r="C7141" t="s">
        <v>878</v>
      </c>
      <c r="D7141" t="s">
        <v>879</v>
      </c>
      <c r="E7141" s="8">
        <v>2010</v>
      </c>
      <c r="F7141" s="8">
        <v>36030</v>
      </c>
      <c r="G7141" s="8">
        <f t="shared" si="444"/>
        <v>72420300</v>
      </c>
      <c r="H7141" s="5">
        <v>0.7719</v>
      </c>
      <c r="I7141" s="8">
        <f t="shared" si="445"/>
        <v>72420300</v>
      </c>
      <c r="J7141" s="8">
        <f t="shared" si="446"/>
        <v>55901229.57</v>
      </c>
      <c r="K7141" t="str">
        <f t="shared" si="447"/>
        <v>MATCHED</v>
      </c>
    </row>
    <row r="7142" spans="1:11">
      <c r="A7142" t="s">
        <v>132</v>
      </c>
      <c r="B7142" t="s">
        <v>1885</v>
      </c>
      <c r="C7142" t="s">
        <v>359</v>
      </c>
      <c r="D7142" t="s">
        <v>360</v>
      </c>
      <c r="E7142" s="8">
        <v>27440</v>
      </c>
      <c r="F7142" s="8">
        <v>33930</v>
      </c>
      <c r="G7142" s="8">
        <f t="shared" si="444"/>
        <v>931039200</v>
      </c>
      <c r="H7142" s="5">
        <v>0.4938</v>
      </c>
      <c r="I7142" s="8">
        <f t="shared" si="445"/>
        <v>931039200</v>
      </c>
      <c r="J7142" s="8">
        <f t="shared" si="446"/>
        <v>459747156.96</v>
      </c>
      <c r="K7142" t="str">
        <f t="shared" si="447"/>
        <v>MATCHED</v>
      </c>
    </row>
    <row r="7143" spans="1:11">
      <c r="A7143" t="s">
        <v>132</v>
      </c>
      <c r="B7143" t="s">
        <v>1885</v>
      </c>
      <c r="C7143" t="s">
        <v>1533</v>
      </c>
      <c r="D7143" t="s">
        <v>1534</v>
      </c>
      <c r="E7143" s="8">
        <v>460</v>
      </c>
      <c r="F7143" s="8">
        <v>48170</v>
      </c>
      <c r="G7143" s="8">
        <f t="shared" si="444"/>
        <v>22158200</v>
      </c>
      <c r="H7143" s="5">
        <v>0.925</v>
      </c>
      <c r="I7143" s="8">
        <f t="shared" si="445"/>
        <v>22158200</v>
      </c>
      <c r="J7143" s="8">
        <f t="shared" si="446"/>
        <v>20496335</v>
      </c>
      <c r="K7143" t="str">
        <f t="shared" si="447"/>
        <v>MATCHED</v>
      </c>
    </row>
    <row r="7144" spans="1:11">
      <c r="A7144" t="s">
        <v>132</v>
      </c>
      <c r="B7144" t="s">
        <v>1885</v>
      </c>
      <c r="C7144" t="s">
        <v>361</v>
      </c>
      <c r="D7144" t="s">
        <v>362</v>
      </c>
      <c r="E7144" s="8">
        <v>30000</v>
      </c>
      <c r="F7144" s="8">
        <v>64280</v>
      </c>
      <c r="G7144" s="8">
        <f t="shared" si="444"/>
        <v>1928400000</v>
      </c>
      <c r="H7144" s="5">
        <v>0.73</v>
      </c>
      <c r="I7144" s="8">
        <f t="shared" si="445"/>
        <v>1928400000</v>
      </c>
      <c r="J7144" s="8">
        <f t="shared" si="446"/>
        <v>1407732000</v>
      </c>
      <c r="K7144" t="str">
        <f t="shared" si="447"/>
        <v>MATCHED</v>
      </c>
    </row>
    <row r="7145" spans="1:11">
      <c r="A7145" t="s">
        <v>132</v>
      </c>
      <c r="B7145" t="s">
        <v>1885</v>
      </c>
      <c r="C7145" t="s">
        <v>363</v>
      </c>
      <c r="D7145" t="s">
        <v>364</v>
      </c>
      <c r="E7145" s="8">
        <v>820</v>
      </c>
      <c r="F7145" s="8">
        <v>65770</v>
      </c>
      <c r="G7145" s="8">
        <f t="shared" si="444"/>
        <v>53931400</v>
      </c>
      <c r="H7145" s="5">
        <v>0.5105</v>
      </c>
      <c r="I7145" s="8">
        <f t="shared" si="445"/>
        <v>53931400</v>
      </c>
      <c r="J7145" s="8">
        <f t="shared" si="446"/>
        <v>27531979.7</v>
      </c>
      <c r="K7145" t="str">
        <f t="shared" si="447"/>
        <v>MATCHED</v>
      </c>
    </row>
    <row r="7146" spans="1:11">
      <c r="A7146" t="s">
        <v>132</v>
      </c>
      <c r="B7146" t="s">
        <v>1885</v>
      </c>
      <c r="C7146" t="s">
        <v>1006</v>
      </c>
      <c r="D7146" t="s">
        <v>1007</v>
      </c>
      <c r="E7146" s="8">
        <v>550</v>
      </c>
      <c r="F7146" s="8">
        <v>33430</v>
      </c>
      <c r="G7146" s="8">
        <f t="shared" si="444"/>
        <v>18386500</v>
      </c>
      <c r="H7146" s="5">
        <v>0.3062</v>
      </c>
      <c r="I7146" s="8">
        <f t="shared" si="445"/>
        <v>18386500</v>
      </c>
      <c r="J7146" s="8">
        <f t="shared" si="446"/>
        <v>5629946.3</v>
      </c>
      <c r="K7146" t="str">
        <f t="shared" si="447"/>
        <v>MATCHED</v>
      </c>
    </row>
    <row r="7147" spans="1:11">
      <c r="A7147" t="s">
        <v>132</v>
      </c>
      <c r="B7147" t="s">
        <v>1885</v>
      </c>
      <c r="C7147" t="s">
        <v>654</v>
      </c>
      <c r="D7147" t="s">
        <v>655</v>
      </c>
      <c r="E7147" s="8"/>
      <c r="F7147" s="8">
        <v>46960</v>
      </c>
      <c r="G7147" s="8" t="str">
        <f t="shared" si="444"/>
        <v/>
      </c>
      <c r="H7147" s="5">
        <v>0.5939</v>
      </c>
      <c r="I7147" s="8" t="str">
        <f t="shared" si="445"/>
        <v/>
      </c>
      <c r="J7147" s="8" t="str">
        <f t="shared" si="446"/>
        <v/>
      </c>
      <c r="K7147" t="str">
        <f t="shared" si="447"/>
        <v>MISSING OEWS</v>
      </c>
    </row>
    <row r="7148" spans="1:11">
      <c r="A7148" t="s">
        <v>132</v>
      </c>
      <c r="B7148" t="s">
        <v>1885</v>
      </c>
      <c r="C7148" t="s">
        <v>1010</v>
      </c>
      <c r="D7148" t="s">
        <v>1011</v>
      </c>
      <c r="E7148" s="8">
        <v>40</v>
      </c>
      <c r="F7148" s="8">
        <v>44910</v>
      </c>
      <c r="G7148" s="8">
        <f t="shared" si="444"/>
        <v>1796400</v>
      </c>
      <c r="H7148" s="5">
        <v>0.9625</v>
      </c>
      <c r="I7148" s="8">
        <f t="shared" si="445"/>
        <v>1796400</v>
      </c>
      <c r="J7148" s="8">
        <f t="shared" si="446"/>
        <v>1729035</v>
      </c>
      <c r="K7148" t="str">
        <f t="shared" si="447"/>
        <v>MATCHED</v>
      </c>
    </row>
    <row r="7149" spans="1:11">
      <c r="A7149" t="s">
        <v>132</v>
      </c>
      <c r="B7149" t="s">
        <v>1885</v>
      </c>
      <c r="C7149" t="s">
        <v>1012</v>
      </c>
      <c r="D7149" t="s">
        <v>1013</v>
      </c>
      <c r="E7149" s="8">
        <v>300</v>
      </c>
      <c r="F7149" s="8">
        <v>40540</v>
      </c>
      <c r="G7149" s="8">
        <f t="shared" si="444"/>
        <v>12162000</v>
      </c>
      <c r="H7149" s="5">
        <v>0.3167</v>
      </c>
      <c r="I7149" s="8">
        <f t="shared" si="445"/>
        <v>12162000</v>
      </c>
      <c r="J7149" s="8">
        <f t="shared" si="446"/>
        <v>3851705.4</v>
      </c>
      <c r="K7149" t="str">
        <f t="shared" si="447"/>
        <v>MATCHED</v>
      </c>
    </row>
    <row r="7150" spans="1:11">
      <c r="A7150" t="s">
        <v>132</v>
      </c>
      <c r="B7150" t="s">
        <v>1885</v>
      </c>
      <c r="C7150" t="s">
        <v>365</v>
      </c>
      <c r="D7150" t="s">
        <v>366</v>
      </c>
      <c r="E7150" s="8"/>
      <c r="F7150" s="8">
        <v>35980</v>
      </c>
      <c r="G7150" s="8" t="str">
        <f t="shared" si="444"/>
        <v/>
      </c>
      <c r="H7150" s="5"/>
      <c r="I7150" s="8" t="str">
        <f t="shared" si="445"/>
        <v/>
      </c>
      <c r="J7150" s="8" t="str">
        <f t="shared" si="446"/>
        <v/>
      </c>
      <c r="K7150" t="str">
        <f t="shared" si="447"/>
        <v>MISSING OEWS</v>
      </c>
    </row>
    <row r="7151" spans="1:11">
      <c r="A7151" t="s">
        <v>132</v>
      </c>
      <c r="B7151" t="s">
        <v>1885</v>
      </c>
      <c r="C7151" t="s">
        <v>367</v>
      </c>
      <c r="D7151" t="s">
        <v>368</v>
      </c>
      <c r="E7151" s="8">
        <v>46740</v>
      </c>
      <c r="F7151" s="8">
        <v>56420</v>
      </c>
      <c r="G7151" s="8">
        <f t="shared" si="444"/>
        <v>2637070800</v>
      </c>
      <c r="H7151" s="5">
        <v>0.5034</v>
      </c>
      <c r="I7151" s="8">
        <f t="shared" si="445"/>
        <v>2637070800</v>
      </c>
      <c r="J7151" s="8">
        <f t="shared" si="446"/>
        <v>1327501440.72</v>
      </c>
      <c r="K7151" t="str">
        <f t="shared" si="447"/>
        <v>MATCHED</v>
      </c>
    </row>
    <row r="7152" spans="1:11">
      <c r="A7152" t="s">
        <v>132</v>
      </c>
      <c r="B7152" t="s">
        <v>1885</v>
      </c>
      <c r="C7152" t="s">
        <v>1014</v>
      </c>
      <c r="D7152" t="s">
        <v>1015</v>
      </c>
      <c r="E7152" s="8">
        <v>2170</v>
      </c>
      <c r="F7152" s="8">
        <v>48290</v>
      </c>
      <c r="G7152" s="8">
        <f t="shared" si="444"/>
        <v>104789300</v>
      </c>
      <c r="H7152" s="5">
        <v>0.7579</v>
      </c>
      <c r="I7152" s="8">
        <f t="shared" si="445"/>
        <v>104789300</v>
      </c>
      <c r="J7152" s="8">
        <f t="shared" si="446"/>
        <v>79419810.47</v>
      </c>
      <c r="K7152" t="str">
        <f t="shared" si="447"/>
        <v>MATCHED</v>
      </c>
    </row>
    <row r="7153" spans="1:11">
      <c r="A7153" t="s">
        <v>132</v>
      </c>
      <c r="B7153" t="s">
        <v>1885</v>
      </c>
      <c r="C7153" t="s">
        <v>1502</v>
      </c>
      <c r="D7153" t="s">
        <v>1503</v>
      </c>
      <c r="E7153" s="8">
        <v>350</v>
      </c>
      <c r="F7153" s="8">
        <v>48830</v>
      </c>
      <c r="G7153" s="8">
        <f t="shared" si="444"/>
        <v>17090500</v>
      </c>
      <c r="H7153" s="5">
        <v>0.9156</v>
      </c>
      <c r="I7153" s="8">
        <f t="shared" si="445"/>
        <v>17090500</v>
      </c>
      <c r="J7153" s="8">
        <f t="shared" si="446"/>
        <v>15648061.8</v>
      </c>
      <c r="K7153" t="str">
        <f t="shared" si="447"/>
        <v>MATCHED</v>
      </c>
    </row>
    <row r="7154" spans="1:11">
      <c r="A7154" t="s">
        <v>132</v>
      </c>
      <c r="B7154" t="s">
        <v>1885</v>
      </c>
      <c r="C7154" t="s">
        <v>1597</v>
      </c>
      <c r="D7154" t="s">
        <v>1598</v>
      </c>
      <c r="E7154" s="8">
        <v>40</v>
      </c>
      <c r="F7154" s="8">
        <v>43680</v>
      </c>
      <c r="G7154" s="8">
        <f t="shared" si="444"/>
        <v>1747200</v>
      </c>
      <c r="H7154" s="5"/>
      <c r="I7154" s="8" t="str">
        <f t="shared" si="445"/>
        <v/>
      </c>
      <c r="J7154" s="8" t="str">
        <f t="shared" si="446"/>
        <v/>
      </c>
      <c r="K7154" t="str">
        <f t="shared" si="447"/>
        <v>MISSING WHARTON</v>
      </c>
    </row>
    <row r="7155" spans="1:11">
      <c r="A7155" t="s">
        <v>132</v>
      </c>
      <c r="B7155" t="s">
        <v>1885</v>
      </c>
      <c r="C7155" t="s">
        <v>880</v>
      </c>
      <c r="D7155" t="s">
        <v>881</v>
      </c>
      <c r="E7155" s="8">
        <v>130</v>
      </c>
      <c r="F7155" s="8">
        <v>39270</v>
      </c>
      <c r="G7155" s="8">
        <f t="shared" si="444"/>
        <v>5105100</v>
      </c>
      <c r="H7155" s="5">
        <v>0.9</v>
      </c>
      <c r="I7155" s="8">
        <f t="shared" si="445"/>
        <v>5105100</v>
      </c>
      <c r="J7155" s="8">
        <f t="shared" si="446"/>
        <v>4594590</v>
      </c>
      <c r="K7155" t="str">
        <f t="shared" si="447"/>
        <v>MATCHED</v>
      </c>
    </row>
    <row r="7156" spans="1:11">
      <c r="A7156" t="s">
        <v>132</v>
      </c>
      <c r="B7156" t="s">
        <v>1885</v>
      </c>
      <c r="C7156" t="s">
        <v>369</v>
      </c>
      <c r="D7156" t="s">
        <v>370</v>
      </c>
      <c r="E7156" s="8">
        <v>380</v>
      </c>
      <c r="F7156" s="8">
        <v>51110</v>
      </c>
      <c r="G7156" s="8">
        <f t="shared" si="444"/>
        <v>19421800</v>
      </c>
      <c r="H7156" s="5">
        <v>0.8617</v>
      </c>
      <c r="I7156" s="8">
        <f t="shared" si="445"/>
        <v>19421800</v>
      </c>
      <c r="J7156" s="8">
        <f t="shared" si="446"/>
        <v>16735765.06</v>
      </c>
      <c r="K7156" t="str">
        <f t="shared" si="447"/>
        <v>MATCHED</v>
      </c>
    </row>
    <row r="7157" spans="1:11">
      <c r="A7157" t="s">
        <v>132</v>
      </c>
      <c r="B7157" t="s">
        <v>1885</v>
      </c>
      <c r="C7157" t="s">
        <v>371</v>
      </c>
      <c r="D7157" t="s">
        <v>372</v>
      </c>
      <c r="E7157" s="8">
        <v>36160</v>
      </c>
      <c r="F7157" s="8">
        <v>48130</v>
      </c>
      <c r="G7157" s="8">
        <f t="shared" si="444"/>
        <v>1740380800</v>
      </c>
      <c r="H7157" s="5">
        <v>0.9517</v>
      </c>
      <c r="I7157" s="8">
        <f t="shared" si="445"/>
        <v>1740380800</v>
      </c>
      <c r="J7157" s="8">
        <f t="shared" si="446"/>
        <v>1656320407.36</v>
      </c>
      <c r="K7157" t="str">
        <f t="shared" si="447"/>
        <v>MATCHED</v>
      </c>
    </row>
    <row r="7158" spans="1:11">
      <c r="A7158" t="s">
        <v>132</v>
      </c>
      <c r="B7158" t="s">
        <v>1885</v>
      </c>
      <c r="C7158" t="s">
        <v>1883</v>
      </c>
      <c r="D7158" t="s">
        <v>1884</v>
      </c>
      <c r="E7158" s="8">
        <v>6020</v>
      </c>
      <c r="F7158" s="8">
        <v>40810</v>
      </c>
      <c r="G7158" s="8">
        <f t="shared" si="444"/>
        <v>245676200</v>
      </c>
      <c r="H7158" s="5">
        <v>0.5441</v>
      </c>
      <c r="I7158" s="8">
        <f t="shared" si="445"/>
        <v>245676200</v>
      </c>
      <c r="J7158" s="8">
        <f t="shared" si="446"/>
        <v>133672420.42</v>
      </c>
      <c r="K7158" t="str">
        <f t="shared" si="447"/>
        <v>MATCHED</v>
      </c>
    </row>
    <row r="7159" spans="1:11">
      <c r="A7159" t="s">
        <v>132</v>
      </c>
      <c r="B7159" t="s">
        <v>1885</v>
      </c>
      <c r="C7159" t="s">
        <v>373</v>
      </c>
      <c r="D7159" t="s">
        <v>374</v>
      </c>
      <c r="E7159" s="8">
        <v>4040</v>
      </c>
      <c r="F7159" s="8">
        <v>58840</v>
      </c>
      <c r="G7159" s="8">
        <f t="shared" si="444"/>
        <v>237713600</v>
      </c>
      <c r="H7159" s="5">
        <v>0.9409</v>
      </c>
      <c r="I7159" s="8">
        <f t="shared" si="445"/>
        <v>237713600</v>
      </c>
      <c r="J7159" s="8">
        <f t="shared" si="446"/>
        <v>223664726.24</v>
      </c>
      <c r="K7159" t="str">
        <f t="shared" si="447"/>
        <v>MATCHED</v>
      </c>
    </row>
    <row r="7160" spans="1:11">
      <c r="A7160" t="s">
        <v>132</v>
      </c>
      <c r="B7160" t="s">
        <v>1885</v>
      </c>
      <c r="C7160" t="s">
        <v>375</v>
      </c>
      <c r="D7160" t="s">
        <v>376</v>
      </c>
      <c r="E7160" s="8">
        <v>900</v>
      </c>
      <c r="F7160" s="8">
        <v>48920</v>
      </c>
      <c r="G7160" s="8">
        <f t="shared" si="444"/>
        <v>44028000</v>
      </c>
      <c r="H7160" s="5">
        <v>0.8237</v>
      </c>
      <c r="I7160" s="8">
        <f t="shared" si="445"/>
        <v>44028000</v>
      </c>
      <c r="J7160" s="8">
        <f t="shared" si="446"/>
        <v>36265863.6</v>
      </c>
      <c r="K7160" t="str">
        <f t="shared" si="447"/>
        <v>MATCHED</v>
      </c>
    </row>
    <row r="7161" spans="1:11">
      <c r="A7161" t="s">
        <v>132</v>
      </c>
      <c r="B7161" t="s">
        <v>1885</v>
      </c>
      <c r="C7161" t="s">
        <v>884</v>
      </c>
      <c r="D7161" t="s">
        <v>885</v>
      </c>
      <c r="E7161" s="8">
        <v>450</v>
      </c>
      <c r="F7161" s="8">
        <v>40320</v>
      </c>
      <c r="G7161" s="8">
        <f t="shared" si="444"/>
        <v>18144000</v>
      </c>
      <c r="H7161" s="5"/>
      <c r="I7161" s="8" t="str">
        <f t="shared" si="445"/>
        <v/>
      </c>
      <c r="J7161" s="8" t="str">
        <f t="shared" si="446"/>
        <v/>
      </c>
      <c r="K7161" t="str">
        <f t="shared" si="447"/>
        <v>MISSING WHARTON</v>
      </c>
    </row>
    <row r="7162" spans="1:11">
      <c r="A7162" t="s">
        <v>132</v>
      </c>
      <c r="B7162" t="s">
        <v>1885</v>
      </c>
      <c r="C7162" t="s">
        <v>1016</v>
      </c>
      <c r="D7162" t="s">
        <v>1017</v>
      </c>
      <c r="E7162" s="8">
        <v>40</v>
      </c>
      <c r="F7162" s="8">
        <v>50970</v>
      </c>
      <c r="G7162" s="8">
        <f t="shared" si="444"/>
        <v>2038800</v>
      </c>
      <c r="H7162" s="5">
        <v>0.9469</v>
      </c>
      <c r="I7162" s="8">
        <f t="shared" si="445"/>
        <v>2038800</v>
      </c>
      <c r="J7162" s="8">
        <f t="shared" si="446"/>
        <v>1930539.72</v>
      </c>
      <c r="K7162" t="str">
        <f t="shared" si="447"/>
        <v>MATCHED</v>
      </c>
    </row>
    <row r="7163" spans="1:11">
      <c r="A7163" t="s">
        <v>132</v>
      </c>
      <c r="B7163" t="s">
        <v>1885</v>
      </c>
      <c r="C7163" t="s">
        <v>377</v>
      </c>
      <c r="D7163" t="s">
        <v>378</v>
      </c>
      <c r="E7163" s="8">
        <v>29570</v>
      </c>
      <c r="F7163" s="8">
        <v>38280</v>
      </c>
      <c r="G7163" s="8">
        <f t="shared" si="444"/>
        <v>1131939600</v>
      </c>
      <c r="H7163" s="5">
        <v>0.82</v>
      </c>
      <c r="I7163" s="8">
        <f t="shared" si="445"/>
        <v>1131939600</v>
      </c>
      <c r="J7163" s="8">
        <f t="shared" si="446"/>
        <v>928190472</v>
      </c>
      <c r="K7163" t="str">
        <f t="shared" si="447"/>
        <v>MATCHED</v>
      </c>
    </row>
    <row r="7164" spans="1:11">
      <c r="A7164" t="s">
        <v>132</v>
      </c>
      <c r="B7164" t="s">
        <v>1885</v>
      </c>
      <c r="C7164" t="s">
        <v>379</v>
      </c>
      <c r="D7164" t="s">
        <v>380</v>
      </c>
      <c r="E7164" s="8">
        <v>160</v>
      </c>
      <c r="F7164" s="8">
        <v>35040</v>
      </c>
      <c r="G7164" s="8">
        <f t="shared" si="444"/>
        <v>5606400</v>
      </c>
      <c r="H7164" s="5">
        <v>0.7526</v>
      </c>
      <c r="I7164" s="8">
        <f t="shared" si="445"/>
        <v>5606400</v>
      </c>
      <c r="J7164" s="8">
        <f t="shared" si="446"/>
        <v>4219376.64</v>
      </c>
      <c r="K7164" t="str">
        <f t="shared" si="447"/>
        <v>MATCHED</v>
      </c>
    </row>
    <row r="7165" spans="1:11">
      <c r="A7165" t="s">
        <v>132</v>
      </c>
      <c r="B7165" t="s">
        <v>1885</v>
      </c>
      <c r="C7165" t="s">
        <v>1506</v>
      </c>
      <c r="D7165" t="s">
        <v>1507</v>
      </c>
      <c r="E7165" s="8">
        <v>248240</v>
      </c>
      <c r="F7165" s="8">
        <v>35410</v>
      </c>
      <c r="G7165" s="8">
        <f t="shared" si="444"/>
        <v>8790178400</v>
      </c>
      <c r="H7165" s="5">
        <v>0.665</v>
      </c>
      <c r="I7165" s="8">
        <f t="shared" si="445"/>
        <v>8790178400</v>
      </c>
      <c r="J7165" s="8">
        <f t="shared" si="446"/>
        <v>5845468636</v>
      </c>
      <c r="K7165" t="str">
        <f t="shared" si="447"/>
        <v>MATCHED</v>
      </c>
    </row>
    <row r="7166" spans="1:11">
      <c r="A7166" t="s">
        <v>132</v>
      </c>
      <c r="B7166" t="s">
        <v>1885</v>
      </c>
      <c r="C7166" t="s">
        <v>381</v>
      </c>
      <c r="D7166" t="s">
        <v>382</v>
      </c>
      <c r="E7166" s="8">
        <v>770</v>
      </c>
      <c r="F7166" s="8">
        <v>43530</v>
      </c>
      <c r="G7166" s="8">
        <f t="shared" si="444"/>
        <v>33518100</v>
      </c>
      <c r="H7166" s="5">
        <v>0.9553</v>
      </c>
      <c r="I7166" s="8">
        <f t="shared" si="445"/>
        <v>33518100</v>
      </c>
      <c r="J7166" s="8">
        <f t="shared" si="446"/>
        <v>32019840.93</v>
      </c>
      <c r="K7166" t="str">
        <f t="shared" si="447"/>
        <v>MATCHED</v>
      </c>
    </row>
    <row r="7167" spans="1:11">
      <c r="A7167" t="s">
        <v>132</v>
      </c>
      <c r="B7167" t="s">
        <v>1885</v>
      </c>
      <c r="C7167" t="s">
        <v>383</v>
      </c>
      <c r="D7167" t="s">
        <v>384</v>
      </c>
      <c r="E7167" s="8">
        <v>2170</v>
      </c>
      <c r="F7167" s="8">
        <v>44160</v>
      </c>
      <c r="G7167" s="8">
        <f t="shared" si="444"/>
        <v>95827200</v>
      </c>
      <c r="H7167" s="5">
        <v>0.8342</v>
      </c>
      <c r="I7167" s="8">
        <f t="shared" si="445"/>
        <v>95827200</v>
      </c>
      <c r="J7167" s="8">
        <f t="shared" si="446"/>
        <v>79939050.24</v>
      </c>
      <c r="K7167" t="str">
        <f t="shared" si="447"/>
        <v>MATCHED</v>
      </c>
    </row>
    <row r="7168" spans="1:11">
      <c r="A7168" t="s">
        <v>132</v>
      </c>
      <c r="B7168" t="s">
        <v>1885</v>
      </c>
      <c r="C7168" t="s">
        <v>385</v>
      </c>
      <c r="D7168" t="s">
        <v>386</v>
      </c>
      <c r="E7168" s="8">
        <v>8530</v>
      </c>
      <c r="F7168" s="8">
        <v>35340</v>
      </c>
      <c r="G7168" s="8">
        <f t="shared" si="444"/>
        <v>301450200</v>
      </c>
      <c r="H7168" s="5">
        <v>0.7368</v>
      </c>
      <c r="I7168" s="8">
        <f t="shared" si="445"/>
        <v>301450200</v>
      </c>
      <c r="J7168" s="8">
        <f t="shared" si="446"/>
        <v>222108507.36</v>
      </c>
      <c r="K7168" t="str">
        <f t="shared" si="447"/>
        <v>MATCHED</v>
      </c>
    </row>
    <row r="7169" spans="1:11">
      <c r="A7169" t="s">
        <v>132</v>
      </c>
      <c r="B7169" t="s">
        <v>1885</v>
      </c>
      <c r="C7169" t="s">
        <v>1537</v>
      </c>
      <c r="D7169" t="s">
        <v>1538</v>
      </c>
      <c r="E7169" s="8">
        <v>4440</v>
      </c>
      <c r="F7169" s="8">
        <v>45160</v>
      </c>
      <c r="G7169" s="8">
        <f t="shared" si="444"/>
        <v>200510400</v>
      </c>
      <c r="H7169" s="5">
        <v>0.7714</v>
      </c>
      <c r="I7169" s="8">
        <f t="shared" si="445"/>
        <v>200510400</v>
      </c>
      <c r="J7169" s="8">
        <f t="shared" si="446"/>
        <v>154673722.56</v>
      </c>
      <c r="K7169" t="str">
        <f t="shared" si="447"/>
        <v>MATCHED</v>
      </c>
    </row>
    <row r="7170" spans="1:11">
      <c r="A7170" t="s">
        <v>132</v>
      </c>
      <c r="B7170" t="s">
        <v>1885</v>
      </c>
      <c r="C7170" t="s">
        <v>658</v>
      </c>
      <c r="D7170" t="s">
        <v>659</v>
      </c>
      <c r="E7170" s="8">
        <v>270</v>
      </c>
      <c r="F7170" s="8">
        <v>46550</v>
      </c>
      <c r="G7170" s="8">
        <f t="shared" ref="G7170:G7233" si="448">IF(OR(E7170="",F7170=""),"",E7170*F7170)</f>
        <v>12568500</v>
      </c>
      <c r="H7170" s="5"/>
      <c r="I7170" s="8" t="str">
        <f t="shared" ref="I7170:I7233" si="449">IF(G7170="","",IF(ISNUMBER(H7170),G7170,""))</f>
        <v/>
      </c>
      <c r="J7170" s="8" t="str">
        <f t="shared" ref="J7170:J7233" si="450">IF(I7170="","",I7170*H7170)</f>
        <v/>
      </c>
      <c r="K7170" t="str">
        <f t="shared" ref="K7170:K7233" si="451">IF(G7170="","MISSING OEWS",IF(ISNUMBER(H7170),"MATCHED","MISSING WHARTON"))</f>
        <v>MISSING WHARTON</v>
      </c>
    </row>
    <row r="7171" spans="1:11">
      <c r="A7171" t="s">
        <v>132</v>
      </c>
      <c r="B7171" t="s">
        <v>1885</v>
      </c>
      <c r="C7171" t="s">
        <v>886</v>
      </c>
      <c r="D7171" t="s">
        <v>887</v>
      </c>
      <c r="E7171" s="8">
        <v>240</v>
      </c>
      <c r="F7171" s="8">
        <v>42860</v>
      </c>
      <c r="G7171" s="8">
        <f t="shared" si="448"/>
        <v>10286400</v>
      </c>
      <c r="H7171" s="5">
        <v>0.2235</v>
      </c>
      <c r="I7171" s="8">
        <f t="shared" si="449"/>
        <v>10286400</v>
      </c>
      <c r="J7171" s="8">
        <f t="shared" si="450"/>
        <v>2299010.4</v>
      </c>
      <c r="K7171" t="str">
        <f t="shared" si="451"/>
        <v>MATCHED</v>
      </c>
    </row>
    <row r="7172" spans="1:11">
      <c r="A7172" t="s">
        <v>132</v>
      </c>
      <c r="B7172" t="s">
        <v>1885</v>
      </c>
      <c r="C7172" t="s">
        <v>387</v>
      </c>
      <c r="D7172" t="s">
        <v>388</v>
      </c>
      <c r="E7172" s="8">
        <v>2040</v>
      </c>
      <c r="F7172" s="8">
        <v>45400</v>
      </c>
      <c r="G7172" s="8">
        <f t="shared" si="448"/>
        <v>92616000</v>
      </c>
      <c r="H7172" s="5">
        <v>0.8192</v>
      </c>
      <c r="I7172" s="8">
        <f t="shared" si="449"/>
        <v>92616000</v>
      </c>
      <c r="J7172" s="8">
        <f t="shared" si="450"/>
        <v>75871027.2</v>
      </c>
      <c r="K7172" t="str">
        <f t="shared" si="451"/>
        <v>MATCHED</v>
      </c>
    </row>
    <row r="7173" spans="1:11">
      <c r="A7173" t="s">
        <v>132</v>
      </c>
      <c r="B7173" t="s">
        <v>1885</v>
      </c>
      <c r="C7173" t="s">
        <v>389</v>
      </c>
      <c r="D7173" t="s">
        <v>390</v>
      </c>
      <c r="E7173" s="8">
        <v>3530</v>
      </c>
      <c r="F7173" s="8">
        <v>48170</v>
      </c>
      <c r="G7173" s="8">
        <f t="shared" si="448"/>
        <v>170040100</v>
      </c>
      <c r="H7173" s="5">
        <v>0.7794</v>
      </c>
      <c r="I7173" s="8">
        <f t="shared" si="449"/>
        <v>170040100</v>
      </c>
      <c r="J7173" s="8">
        <f t="shared" si="450"/>
        <v>132529253.94</v>
      </c>
      <c r="K7173" t="str">
        <f t="shared" si="451"/>
        <v>MATCHED</v>
      </c>
    </row>
    <row r="7174" spans="1:11">
      <c r="A7174" t="s">
        <v>132</v>
      </c>
      <c r="B7174" t="s">
        <v>1885</v>
      </c>
      <c r="C7174" t="s">
        <v>391</v>
      </c>
      <c r="D7174" t="s">
        <v>392</v>
      </c>
      <c r="E7174" s="8">
        <v>5930</v>
      </c>
      <c r="F7174" s="8">
        <v>45180</v>
      </c>
      <c r="G7174" s="8">
        <f t="shared" si="448"/>
        <v>267917400</v>
      </c>
      <c r="H7174" s="5">
        <v>0.6455</v>
      </c>
      <c r="I7174" s="8">
        <f t="shared" si="449"/>
        <v>267917400</v>
      </c>
      <c r="J7174" s="8">
        <f t="shared" si="450"/>
        <v>172940681.7</v>
      </c>
      <c r="K7174" t="str">
        <f t="shared" si="451"/>
        <v>MATCHED</v>
      </c>
    </row>
    <row r="7175" spans="1:11">
      <c r="A7175" t="s">
        <v>132</v>
      </c>
      <c r="B7175" t="s">
        <v>1885</v>
      </c>
      <c r="C7175" t="s">
        <v>393</v>
      </c>
      <c r="D7175" t="s">
        <v>394</v>
      </c>
      <c r="E7175" s="8">
        <v>200</v>
      </c>
      <c r="F7175" s="8">
        <v>48730</v>
      </c>
      <c r="G7175" s="8">
        <f t="shared" si="448"/>
        <v>9746000</v>
      </c>
      <c r="H7175" s="5">
        <v>0.2932</v>
      </c>
      <c r="I7175" s="8">
        <f t="shared" si="449"/>
        <v>9746000</v>
      </c>
      <c r="J7175" s="8">
        <f t="shared" si="450"/>
        <v>2857527.2</v>
      </c>
      <c r="K7175" t="str">
        <f t="shared" si="451"/>
        <v>MATCHED</v>
      </c>
    </row>
    <row r="7176" spans="1:11">
      <c r="A7176" t="s">
        <v>132</v>
      </c>
      <c r="B7176" t="s">
        <v>1885</v>
      </c>
      <c r="C7176" t="s">
        <v>395</v>
      </c>
      <c r="D7176" t="s">
        <v>396</v>
      </c>
      <c r="E7176" s="8">
        <v>4740</v>
      </c>
      <c r="F7176" s="8">
        <v>64010</v>
      </c>
      <c r="G7176" s="8">
        <f t="shared" si="448"/>
        <v>303407400</v>
      </c>
      <c r="H7176" s="5">
        <v>0.7955</v>
      </c>
      <c r="I7176" s="8">
        <f t="shared" si="449"/>
        <v>303407400</v>
      </c>
      <c r="J7176" s="8">
        <f t="shared" si="450"/>
        <v>241360586.7</v>
      </c>
      <c r="K7176" t="str">
        <f t="shared" si="451"/>
        <v>MATCHED</v>
      </c>
    </row>
    <row r="7177" spans="1:11">
      <c r="A7177" t="s">
        <v>132</v>
      </c>
      <c r="B7177" t="s">
        <v>1885</v>
      </c>
      <c r="C7177" t="s">
        <v>1290</v>
      </c>
      <c r="D7177" t="s">
        <v>1291</v>
      </c>
      <c r="E7177" s="8">
        <v>40</v>
      </c>
      <c r="F7177" s="8">
        <v>46930</v>
      </c>
      <c r="G7177" s="8">
        <f t="shared" si="448"/>
        <v>1877200</v>
      </c>
      <c r="H7177" s="5">
        <v>0.9031</v>
      </c>
      <c r="I7177" s="8">
        <f t="shared" si="449"/>
        <v>1877200</v>
      </c>
      <c r="J7177" s="8">
        <f t="shared" si="450"/>
        <v>1695299.32</v>
      </c>
      <c r="K7177" t="str">
        <f t="shared" si="451"/>
        <v>MATCHED</v>
      </c>
    </row>
    <row r="7178" spans="1:11">
      <c r="A7178" t="s">
        <v>132</v>
      </c>
      <c r="B7178" t="s">
        <v>1885</v>
      </c>
      <c r="C7178" t="s">
        <v>397</v>
      </c>
      <c r="D7178" t="s">
        <v>398</v>
      </c>
      <c r="E7178" s="8">
        <v>19880</v>
      </c>
      <c r="F7178" s="8">
        <v>45810</v>
      </c>
      <c r="G7178" s="8">
        <f t="shared" si="448"/>
        <v>910702800</v>
      </c>
      <c r="H7178" s="5">
        <v>0.8031</v>
      </c>
      <c r="I7178" s="8">
        <f t="shared" si="449"/>
        <v>910702800</v>
      </c>
      <c r="J7178" s="8">
        <f t="shared" si="450"/>
        <v>731385418.68</v>
      </c>
      <c r="K7178" t="str">
        <f t="shared" si="451"/>
        <v>MATCHED</v>
      </c>
    </row>
    <row r="7179" spans="1:11">
      <c r="A7179" t="s">
        <v>132</v>
      </c>
      <c r="B7179" t="s">
        <v>1885</v>
      </c>
      <c r="C7179" t="s">
        <v>399</v>
      </c>
      <c r="D7179" t="s">
        <v>400</v>
      </c>
      <c r="E7179" s="8">
        <v>360</v>
      </c>
      <c r="F7179" s="8">
        <v>44740</v>
      </c>
      <c r="G7179" s="8">
        <f t="shared" si="448"/>
        <v>16106400</v>
      </c>
      <c r="H7179" s="5">
        <v>0.75</v>
      </c>
      <c r="I7179" s="8">
        <f t="shared" si="449"/>
        <v>16106400</v>
      </c>
      <c r="J7179" s="8">
        <f t="shared" si="450"/>
        <v>12079800</v>
      </c>
      <c r="K7179" t="str">
        <f t="shared" si="451"/>
        <v>MATCHED</v>
      </c>
    </row>
    <row r="7180" spans="1:11">
      <c r="A7180" t="s">
        <v>132</v>
      </c>
      <c r="B7180" t="s">
        <v>1885</v>
      </c>
      <c r="C7180" t="s">
        <v>892</v>
      </c>
      <c r="D7180" t="s">
        <v>893</v>
      </c>
      <c r="E7180" s="8">
        <v>310</v>
      </c>
      <c r="F7180" s="8">
        <v>45820</v>
      </c>
      <c r="G7180" s="8">
        <f t="shared" si="448"/>
        <v>14204200</v>
      </c>
      <c r="H7180" s="5">
        <v>0.231</v>
      </c>
      <c r="I7180" s="8">
        <f t="shared" si="449"/>
        <v>14204200</v>
      </c>
      <c r="J7180" s="8">
        <f t="shared" si="450"/>
        <v>3281170.2</v>
      </c>
      <c r="K7180" t="str">
        <f t="shared" si="451"/>
        <v>MATCHED</v>
      </c>
    </row>
    <row r="7181" spans="1:11">
      <c r="A7181" t="s">
        <v>132</v>
      </c>
      <c r="B7181" t="s">
        <v>1885</v>
      </c>
      <c r="C7181" t="s">
        <v>401</v>
      </c>
      <c r="D7181" t="s">
        <v>402</v>
      </c>
      <c r="E7181" s="8">
        <v>38450</v>
      </c>
      <c r="F7181" s="8">
        <v>43570</v>
      </c>
      <c r="G7181" s="8">
        <f t="shared" si="448"/>
        <v>1675266500</v>
      </c>
      <c r="H7181" s="5">
        <v>0.7452</v>
      </c>
      <c r="I7181" s="8">
        <f t="shared" si="449"/>
        <v>1675266500</v>
      </c>
      <c r="J7181" s="8">
        <f t="shared" si="450"/>
        <v>1248408595.8</v>
      </c>
      <c r="K7181" t="str">
        <f t="shared" si="451"/>
        <v>MATCHED</v>
      </c>
    </row>
    <row r="7182" spans="1:11">
      <c r="A7182" t="s">
        <v>132</v>
      </c>
      <c r="B7182" t="s">
        <v>1885</v>
      </c>
      <c r="C7182" t="s">
        <v>660</v>
      </c>
      <c r="D7182" t="s">
        <v>661</v>
      </c>
      <c r="E7182" s="8"/>
      <c r="F7182" s="8">
        <v>41890</v>
      </c>
      <c r="G7182" s="8" t="str">
        <f t="shared" si="448"/>
        <v/>
      </c>
      <c r="H7182" s="5">
        <v>0.2639</v>
      </c>
      <c r="I7182" s="8" t="str">
        <f t="shared" si="449"/>
        <v/>
      </c>
      <c r="J7182" s="8" t="str">
        <f t="shared" si="450"/>
        <v/>
      </c>
      <c r="K7182" t="str">
        <f t="shared" si="451"/>
        <v>MISSING OEWS</v>
      </c>
    </row>
    <row r="7183" spans="1:11">
      <c r="A7183" t="s">
        <v>132</v>
      </c>
      <c r="B7183" t="s">
        <v>1885</v>
      </c>
      <c r="C7183" t="s">
        <v>662</v>
      </c>
      <c r="D7183" t="s">
        <v>663</v>
      </c>
      <c r="E7183" s="8">
        <v>1850</v>
      </c>
      <c r="F7183" s="8">
        <v>42960</v>
      </c>
      <c r="G7183" s="8">
        <f t="shared" si="448"/>
        <v>79476000</v>
      </c>
      <c r="H7183" s="5"/>
      <c r="I7183" s="8" t="str">
        <f t="shared" si="449"/>
        <v/>
      </c>
      <c r="J7183" s="8" t="str">
        <f t="shared" si="450"/>
        <v/>
      </c>
      <c r="K7183" t="str">
        <f t="shared" si="451"/>
        <v>MISSING WHARTON</v>
      </c>
    </row>
    <row r="7184" spans="1:11">
      <c r="A7184" t="s">
        <v>132</v>
      </c>
      <c r="B7184" t="s">
        <v>1885</v>
      </c>
      <c r="C7184" t="s">
        <v>403</v>
      </c>
      <c r="D7184" t="s">
        <v>404</v>
      </c>
      <c r="E7184" s="8">
        <v>170</v>
      </c>
      <c r="F7184" s="8">
        <v>61920</v>
      </c>
      <c r="G7184" s="8">
        <f t="shared" si="448"/>
        <v>10526400</v>
      </c>
      <c r="H7184" s="5">
        <v>0.22</v>
      </c>
      <c r="I7184" s="8">
        <f t="shared" si="449"/>
        <v>10526400</v>
      </c>
      <c r="J7184" s="8">
        <f t="shared" si="450"/>
        <v>2315808</v>
      </c>
      <c r="K7184" t="str">
        <f t="shared" si="451"/>
        <v>MATCHED</v>
      </c>
    </row>
    <row r="7185" spans="1:11">
      <c r="A7185" t="s">
        <v>132</v>
      </c>
      <c r="B7185" t="s">
        <v>1885</v>
      </c>
      <c r="C7185" t="s">
        <v>415</v>
      </c>
      <c r="D7185" t="s">
        <v>416</v>
      </c>
      <c r="E7185" s="8">
        <v>1410</v>
      </c>
      <c r="F7185" s="8">
        <v>38410</v>
      </c>
      <c r="G7185" s="8">
        <f t="shared" si="448"/>
        <v>54158100</v>
      </c>
      <c r="H7185" s="5">
        <v>0.0864</v>
      </c>
      <c r="I7185" s="8">
        <f t="shared" si="449"/>
        <v>54158100</v>
      </c>
      <c r="J7185" s="8">
        <f t="shared" si="450"/>
        <v>4679259.84</v>
      </c>
      <c r="K7185" t="str">
        <f t="shared" si="451"/>
        <v>MATCHED</v>
      </c>
    </row>
    <row r="7186" spans="1:11">
      <c r="A7186" t="s">
        <v>132</v>
      </c>
      <c r="B7186" t="s">
        <v>1885</v>
      </c>
      <c r="C7186" t="s">
        <v>664</v>
      </c>
      <c r="D7186" t="s">
        <v>665</v>
      </c>
      <c r="E7186" s="8">
        <v>880</v>
      </c>
      <c r="F7186" s="8">
        <v>73130</v>
      </c>
      <c r="G7186" s="8">
        <f t="shared" si="448"/>
        <v>64354400</v>
      </c>
      <c r="H7186" s="5">
        <v>0.265</v>
      </c>
      <c r="I7186" s="8">
        <f t="shared" si="449"/>
        <v>64354400</v>
      </c>
      <c r="J7186" s="8">
        <f t="shared" si="450"/>
        <v>17053916</v>
      </c>
      <c r="K7186" t="str">
        <f t="shared" si="451"/>
        <v>MATCHED</v>
      </c>
    </row>
    <row r="7187" spans="1:11">
      <c r="A7187" t="s">
        <v>132</v>
      </c>
      <c r="B7187" t="s">
        <v>1885</v>
      </c>
      <c r="C7187" t="s">
        <v>427</v>
      </c>
      <c r="D7187" t="s">
        <v>428</v>
      </c>
      <c r="E7187" s="8">
        <v>1290</v>
      </c>
      <c r="F7187" s="8">
        <v>70010</v>
      </c>
      <c r="G7187" s="8">
        <f t="shared" si="448"/>
        <v>90312900</v>
      </c>
      <c r="H7187" s="5">
        <v>0.081</v>
      </c>
      <c r="I7187" s="8">
        <f t="shared" si="449"/>
        <v>90312900</v>
      </c>
      <c r="J7187" s="8">
        <f t="shared" si="450"/>
        <v>7315344.9</v>
      </c>
      <c r="K7187" t="str">
        <f t="shared" si="451"/>
        <v>MATCHED</v>
      </c>
    </row>
    <row r="7188" spans="1:11">
      <c r="A7188" t="s">
        <v>132</v>
      </c>
      <c r="B7188" t="s">
        <v>1885</v>
      </c>
      <c r="C7188" t="s">
        <v>1026</v>
      </c>
      <c r="D7188" t="s">
        <v>1027</v>
      </c>
      <c r="E7188" s="8">
        <v>50</v>
      </c>
      <c r="F7188" s="8"/>
      <c r="G7188" s="8" t="str">
        <f t="shared" si="448"/>
        <v/>
      </c>
      <c r="H7188" s="5">
        <v>0.0438</v>
      </c>
      <c r="I7188" s="8" t="str">
        <f t="shared" si="449"/>
        <v/>
      </c>
      <c r="J7188" s="8" t="str">
        <f t="shared" si="450"/>
        <v/>
      </c>
      <c r="K7188" t="str">
        <f t="shared" si="451"/>
        <v>MISSING OEWS</v>
      </c>
    </row>
    <row r="7189" spans="1:11">
      <c r="A7189" t="s">
        <v>132</v>
      </c>
      <c r="B7189" t="s">
        <v>1885</v>
      </c>
      <c r="C7189" t="s">
        <v>670</v>
      </c>
      <c r="D7189" t="s">
        <v>671</v>
      </c>
      <c r="E7189" s="8">
        <v>970</v>
      </c>
      <c r="F7189" s="8">
        <v>42040</v>
      </c>
      <c r="G7189" s="8">
        <f t="shared" si="448"/>
        <v>40778800</v>
      </c>
      <c r="H7189" s="5">
        <v>0.0297</v>
      </c>
      <c r="I7189" s="8">
        <f t="shared" si="449"/>
        <v>40778800</v>
      </c>
      <c r="J7189" s="8">
        <f t="shared" si="450"/>
        <v>1211130.36</v>
      </c>
      <c r="K7189" t="str">
        <f t="shared" si="451"/>
        <v>MATCHED</v>
      </c>
    </row>
    <row r="7190" spans="1:11">
      <c r="A7190" t="s">
        <v>132</v>
      </c>
      <c r="B7190" t="s">
        <v>1885</v>
      </c>
      <c r="C7190" t="s">
        <v>429</v>
      </c>
      <c r="D7190" t="s">
        <v>430</v>
      </c>
      <c r="E7190" s="8">
        <v>870</v>
      </c>
      <c r="F7190" s="8">
        <v>51790</v>
      </c>
      <c r="G7190" s="8">
        <f t="shared" si="448"/>
        <v>45057300</v>
      </c>
      <c r="H7190" s="5">
        <v>0.0589</v>
      </c>
      <c r="I7190" s="8">
        <f t="shared" si="449"/>
        <v>45057300</v>
      </c>
      <c r="J7190" s="8">
        <f t="shared" si="450"/>
        <v>2653874.97</v>
      </c>
      <c r="K7190" t="str">
        <f t="shared" si="451"/>
        <v>MATCHED</v>
      </c>
    </row>
    <row r="7191" spans="1:11">
      <c r="A7191" t="s">
        <v>132</v>
      </c>
      <c r="B7191" t="s">
        <v>1885</v>
      </c>
      <c r="C7191" t="s">
        <v>431</v>
      </c>
      <c r="D7191" t="s">
        <v>432</v>
      </c>
      <c r="E7191" s="8">
        <v>890</v>
      </c>
      <c r="F7191" s="8">
        <v>69970</v>
      </c>
      <c r="G7191" s="8">
        <f t="shared" si="448"/>
        <v>62273300</v>
      </c>
      <c r="H7191" s="5">
        <v>0.0786</v>
      </c>
      <c r="I7191" s="8">
        <f t="shared" si="449"/>
        <v>62273300</v>
      </c>
      <c r="J7191" s="8">
        <f t="shared" si="450"/>
        <v>4894681.38</v>
      </c>
      <c r="K7191" t="str">
        <f t="shared" si="451"/>
        <v>MATCHED</v>
      </c>
    </row>
    <row r="7192" spans="1:11">
      <c r="A7192" t="s">
        <v>132</v>
      </c>
      <c r="B7192" t="s">
        <v>1885</v>
      </c>
      <c r="C7192" t="s">
        <v>678</v>
      </c>
      <c r="D7192" t="s">
        <v>679</v>
      </c>
      <c r="E7192" s="8">
        <v>2340</v>
      </c>
      <c r="F7192" s="8">
        <v>57380</v>
      </c>
      <c r="G7192" s="8">
        <f t="shared" si="448"/>
        <v>134269200</v>
      </c>
      <c r="H7192" s="5">
        <v>0.0368</v>
      </c>
      <c r="I7192" s="8">
        <f t="shared" si="449"/>
        <v>134269200</v>
      </c>
      <c r="J7192" s="8">
        <f t="shared" si="450"/>
        <v>4941106.56</v>
      </c>
      <c r="K7192" t="str">
        <f t="shared" si="451"/>
        <v>MATCHED</v>
      </c>
    </row>
    <row r="7193" spans="1:11">
      <c r="A7193" t="s">
        <v>132</v>
      </c>
      <c r="B7193" t="s">
        <v>1885</v>
      </c>
      <c r="C7193" t="s">
        <v>682</v>
      </c>
      <c r="D7193" t="s">
        <v>683</v>
      </c>
      <c r="E7193" s="8">
        <v>580</v>
      </c>
      <c r="F7193" s="8">
        <v>66690</v>
      </c>
      <c r="G7193" s="8">
        <f t="shared" si="448"/>
        <v>38680200</v>
      </c>
      <c r="H7193" s="5">
        <v>0.04</v>
      </c>
      <c r="I7193" s="8">
        <f t="shared" si="449"/>
        <v>38680200</v>
      </c>
      <c r="J7193" s="8">
        <f t="shared" si="450"/>
        <v>1547208</v>
      </c>
      <c r="K7193" t="str">
        <f t="shared" si="451"/>
        <v>MATCHED</v>
      </c>
    </row>
    <row r="7194" spans="1:11">
      <c r="A7194" t="s">
        <v>132</v>
      </c>
      <c r="B7194" t="s">
        <v>1885</v>
      </c>
      <c r="C7194" t="s">
        <v>433</v>
      </c>
      <c r="D7194" t="s">
        <v>434</v>
      </c>
      <c r="E7194" s="8">
        <v>13730</v>
      </c>
      <c r="F7194" s="8">
        <v>68140</v>
      </c>
      <c r="G7194" s="8">
        <f t="shared" si="448"/>
        <v>935562200</v>
      </c>
      <c r="H7194" s="5">
        <v>0.3523</v>
      </c>
      <c r="I7194" s="8">
        <f t="shared" si="449"/>
        <v>935562200</v>
      </c>
      <c r="J7194" s="8">
        <f t="shared" si="450"/>
        <v>329598563.06</v>
      </c>
      <c r="K7194" t="str">
        <f t="shared" si="451"/>
        <v>MATCHED</v>
      </c>
    </row>
    <row r="7195" spans="1:11">
      <c r="A7195" t="s">
        <v>132</v>
      </c>
      <c r="B7195" t="s">
        <v>1885</v>
      </c>
      <c r="C7195" t="s">
        <v>734</v>
      </c>
      <c r="D7195" t="s">
        <v>735</v>
      </c>
      <c r="E7195" s="8">
        <v>40</v>
      </c>
      <c r="F7195" s="8">
        <v>67770</v>
      </c>
      <c r="G7195" s="8">
        <f t="shared" si="448"/>
        <v>2710800</v>
      </c>
      <c r="H7195" s="5">
        <v>0.19</v>
      </c>
      <c r="I7195" s="8">
        <f t="shared" si="449"/>
        <v>2710800</v>
      </c>
      <c r="J7195" s="8">
        <f t="shared" si="450"/>
        <v>515052</v>
      </c>
      <c r="K7195" t="str">
        <f t="shared" si="451"/>
        <v>MATCHED</v>
      </c>
    </row>
    <row r="7196" spans="1:11">
      <c r="A7196" t="s">
        <v>132</v>
      </c>
      <c r="B7196" t="s">
        <v>1885</v>
      </c>
      <c r="C7196" t="s">
        <v>1066</v>
      </c>
      <c r="D7196" t="s">
        <v>1067</v>
      </c>
      <c r="E7196" s="8">
        <v>50</v>
      </c>
      <c r="F7196" s="8">
        <v>57860</v>
      </c>
      <c r="G7196" s="8">
        <f t="shared" si="448"/>
        <v>2893000</v>
      </c>
      <c r="H7196" s="5">
        <v>0.2591</v>
      </c>
      <c r="I7196" s="8">
        <f t="shared" si="449"/>
        <v>2893000</v>
      </c>
      <c r="J7196" s="8">
        <f t="shared" si="450"/>
        <v>749576.3</v>
      </c>
      <c r="K7196" t="str">
        <f t="shared" si="451"/>
        <v>MATCHED</v>
      </c>
    </row>
    <row r="7197" spans="1:11">
      <c r="A7197" t="s">
        <v>132</v>
      </c>
      <c r="B7197" t="s">
        <v>1885</v>
      </c>
      <c r="C7197" t="s">
        <v>1068</v>
      </c>
      <c r="D7197" t="s">
        <v>1069</v>
      </c>
      <c r="E7197" s="8">
        <v>70</v>
      </c>
      <c r="F7197" s="8">
        <v>54800</v>
      </c>
      <c r="G7197" s="8">
        <f t="shared" si="448"/>
        <v>3836000</v>
      </c>
      <c r="H7197" s="5">
        <v>0.2219</v>
      </c>
      <c r="I7197" s="8">
        <f t="shared" si="449"/>
        <v>3836000</v>
      </c>
      <c r="J7197" s="8">
        <f t="shared" si="450"/>
        <v>851208.4</v>
      </c>
      <c r="K7197" t="str">
        <f t="shared" si="451"/>
        <v>MATCHED</v>
      </c>
    </row>
    <row r="7198" spans="1:11">
      <c r="A7198" t="s">
        <v>132</v>
      </c>
      <c r="B7198" t="s">
        <v>1885</v>
      </c>
      <c r="C7198" t="s">
        <v>736</v>
      </c>
      <c r="D7198" t="s">
        <v>737</v>
      </c>
      <c r="E7198" s="8">
        <v>620</v>
      </c>
      <c r="F7198" s="8">
        <v>56730</v>
      </c>
      <c r="G7198" s="8">
        <f t="shared" si="448"/>
        <v>35172600</v>
      </c>
      <c r="H7198" s="5">
        <v>0.0233</v>
      </c>
      <c r="I7198" s="8">
        <f t="shared" si="449"/>
        <v>35172600</v>
      </c>
      <c r="J7198" s="8">
        <f t="shared" si="450"/>
        <v>819521.58</v>
      </c>
      <c r="K7198" t="str">
        <f t="shared" si="451"/>
        <v>MATCHED</v>
      </c>
    </row>
    <row r="7199" spans="1:11">
      <c r="A7199" t="s">
        <v>132</v>
      </c>
      <c r="B7199" t="s">
        <v>1885</v>
      </c>
      <c r="C7199" t="s">
        <v>437</v>
      </c>
      <c r="D7199" t="s">
        <v>438</v>
      </c>
      <c r="E7199" s="8">
        <v>120</v>
      </c>
      <c r="F7199" s="8">
        <v>58340</v>
      </c>
      <c r="G7199" s="8">
        <f t="shared" si="448"/>
        <v>7000800</v>
      </c>
      <c r="H7199" s="5">
        <v>0</v>
      </c>
      <c r="I7199" s="8">
        <f t="shared" si="449"/>
        <v>7000800</v>
      </c>
      <c r="J7199" s="8">
        <f t="shared" si="450"/>
        <v>0</v>
      </c>
      <c r="K7199" t="str">
        <f t="shared" si="451"/>
        <v>MATCHED</v>
      </c>
    </row>
    <row r="7200" spans="1:11">
      <c r="A7200" t="s">
        <v>132</v>
      </c>
      <c r="B7200" t="s">
        <v>1885</v>
      </c>
      <c r="C7200" t="s">
        <v>441</v>
      </c>
      <c r="D7200" t="s">
        <v>442</v>
      </c>
      <c r="E7200" s="8">
        <v>120</v>
      </c>
      <c r="F7200" s="8">
        <v>58110</v>
      </c>
      <c r="G7200" s="8">
        <f t="shared" si="448"/>
        <v>6973200</v>
      </c>
      <c r="H7200" s="5">
        <v>0.1425</v>
      </c>
      <c r="I7200" s="8">
        <f t="shared" si="449"/>
        <v>6973200</v>
      </c>
      <c r="J7200" s="8">
        <f t="shared" si="450"/>
        <v>993681</v>
      </c>
      <c r="K7200" t="str">
        <f t="shared" si="451"/>
        <v>MATCHED</v>
      </c>
    </row>
    <row r="7201" spans="1:11">
      <c r="A7201" t="s">
        <v>132</v>
      </c>
      <c r="B7201" t="s">
        <v>1885</v>
      </c>
      <c r="C7201" t="s">
        <v>1076</v>
      </c>
      <c r="D7201" t="s">
        <v>1077</v>
      </c>
      <c r="E7201" s="8">
        <v>490</v>
      </c>
      <c r="F7201" s="8">
        <v>51120</v>
      </c>
      <c r="G7201" s="8">
        <f t="shared" si="448"/>
        <v>25048800</v>
      </c>
      <c r="H7201" s="5">
        <v>0.1179</v>
      </c>
      <c r="I7201" s="8">
        <f t="shared" si="449"/>
        <v>25048800</v>
      </c>
      <c r="J7201" s="8">
        <f t="shared" si="450"/>
        <v>2953253.52</v>
      </c>
      <c r="K7201" t="str">
        <f t="shared" si="451"/>
        <v>MATCHED</v>
      </c>
    </row>
    <row r="7202" spans="1:11">
      <c r="A7202" t="s">
        <v>132</v>
      </c>
      <c r="B7202" t="s">
        <v>1885</v>
      </c>
      <c r="C7202" t="s">
        <v>1304</v>
      </c>
      <c r="D7202" t="s">
        <v>1305</v>
      </c>
      <c r="E7202" s="8">
        <v>50</v>
      </c>
      <c r="F7202" s="8">
        <v>46190</v>
      </c>
      <c r="G7202" s="8">
        <f t="shared" si="448"/>
        <v>2309500</v>
      </c>
      <c r="H7202" s="5">
        <v>0.0594</v>
      </c>
      <c r="I7202" s="8">
        <f t="shared" si="449"/>
        <v>2309500</v>
      </c>
      <c r="J7202" s="8">
        <f t="shared" si="450"/>
        <v>137184.3</v>
      </c>
      <c r="K7202" t="str">
        <f t="shared" si="451"/>
        <v>MATCHED</v>
      </c>
    </row>
    <row r="7203" spans="1:11">
      <c r="A7203" t="s">
        <v>132</v>
      </c>
      <c r="B7203" t="s">
        <v>1885</v>
      </c>
      <c r="C7203" t="s">
        <v>443</v>
      </c>
      <c r="D7203" t="s">
        <v>444</v>
      </c>
      <c r="E7203" s="8">
        <v>1440</v>
      </c>
      <c r="F7203" s="8">
        <v>58800</v>
      </c>
      <c r="G7203" s="8">
        <f t="shared" si="448"/>
        <v>84672000</v>
      </c>
      <c r="H7203" s="5">
        <v>0.0867</v>
      </c>
      <c r="I7203" s="8">
        <f t="shared" si="449"/>
        <v>84672000</v>
      </c>
      <c r="J7203" s="8">
        <f t="shared" si="450"/>
        <v>7341062.4</v>
      </c>
      <c r="K7203" t="str">
        <f t="shared" si="451"/>
        <v>MATCHED</v>
      </c>
    </row>
    <row r="7204" spans="1:11">
      <c r="A7204" t="s">
        <v>132</v>
      </c>
      <c r="B7204" t="s">
        <v>1885</v>
      </c>
      <c r="C7204" t="s">
        <v>906</v>
      </c>
      <c r="D7204" t="s">
        <v>907</v>
      </c>
      <c r="E7204" s="8">
        <v>30</v>
      </c>
      <c r="F7204" s="8">
        <v>61250</v>
      </c>
      <c r="G7204" s="8">
        <f t="shared" si="448"/>
        <v>1837500</v>
      </c>
      <c r="H7204" s="5">
        <v>0.1226</v>
      </c>
      <c r="I7204" s="8">
        <f t="shared" si="449"/>
        <v>1837500</v>
      </c>
      <c r="J7204" s="8">
        <f t="shared" si="450"/>
        <v>225277.5</v>
      </c>
      <c r="K7204" t="str">
        <f t="shared" si="451"/>
        <v>MATCHED</v>
      </c>
    </row>
    <row r="7205" spans="1:11">
      <c r="A7205" t="s">
        <v>132</v>
      </c>
      <c r="B7205" t="s">
        <v>1885</v>
      </c>
      <c r="C7205" t="s">
        <v>445</v>
      </c>
      <c r="D7205" t="s">
        <v>446</v>
      </c>
      <c r="E7205" s="8">
        <v>220</v>
      </c>
      <c r="F7205" s="8">
        <v>54350</v>
      </c>
      <c r="G7205" s="8">
        <f t="shared" si="448"/>
        <v>11957000</v>
      </c>
      <c r="H7205" s="5">
        <v>0.25</v>
      </c>
      <c r="I7205" s="8">
        <f t="shared" si="449"/>
        <v>11957000</v>
      </c>
      <c r="J7205" s="8">
        <f t="shared" si="450"/>
        <v>2989250</v>
      </c>
      <c r="K7205" t="str">
        <f t="shared" si="451"/>
        <v>MATCHED</v>
      </c>
    </row>
    <row r="7206" spans="1:11">
      <c r="A7206" t="s">
        <v>132</v>
      </c>
      <c r="B7206" t="s">
        <v>1885</v>
      </c>
      <c r="C7206" t="s">
        <v>447</v>
      </c>
      <c r="D7206" t="s">
        <v>448</v>
      </c>
      <c r="E7206" s="8">
        <v>90</v>
      </c>
      <c r="F7206" s="8">
        <v>56100</v>
      </c>
      <c r="G7206" s="8">
        <f t="shared" si="448"/>
        <v>5049000</v>
      </c>
      <c r="H7206" s="5">
        <v>0.0528</v>
      </c>
      <c r="I7206" s="8">
        <f t="shared" si="449"/>
        <v>5049000</v>
      </c>
      <c r="J7206" s="8">
        <f t="shared" si="450"/>
        <v>266587.2</v>
      </c>
      <c r="K7206" t="str">
        <f t="shared" si="451"/>
        <v>MATCHED</v>
      </c>
    </row>
    <row r="7207" spans="1:11">
      <c r="A7207" t="s">
        <v>132</v>
      </c>
      <c r="B7207" t="s">
        <v>1885</v>
      </c>
      <c r="C7207" t="s">
        <v>1310</v>
      </c>
      <c r="D7207" t="s">
        <v>1311</v>
      </c>
      <c r="E7207" s="8"/>
      <c r="F7207" s="8">
        <v>80070</v>
      </c>
      <c r="G7207" s="8" t="str">
        <f t="shared" si="448"/>
        <v/>
      </c>
      <c r="H7207" s="5">
        <v>0.2368</v>
      </c>
      <c r="I7207" s="8" t="str">
        <f t="shared" si="449"/>
        <v/>
      </c>
      <c r="J7207" s="8" t="str">
        <f t="shared" si="450"/>
        <v/>
      </c>
      <c r="K7207" t="str">
        <f t="shared" si="451"/>
        <v>MISSING OEWS</v>
      </c>
    </row>
    <row r="7208" spans="1:11">
      <c r="A7208" t="s">
        <v>132</v>
      </c>
      <c r="B7208" t="s">
        <v>1885</v>
      </c>
      <c r="C7208" t="s">
        <v>449</v>
      </c>
      <c r="D7208" t="s">
        <v>450</v>
      </c>
      <c r="E7208" s="8">
        <v>133570</v>
      </c>
      <c r="F7208" s="8">
        <v>44060</v>
      </c>
      <c r="G7208" s="8">
        <f t="shared" si="448"/>
        <v>5885094200</v>
      </c>
      <c r="H7208" s="5">
        <v>0.0867</v>
      </c>
      <c r="I7208" s="8">
        <f t="shared" si="449"/>
        <v>5885094200</v>
      </c>
      <c r="J7208" s="8">
        <f t="shared" si="450"/>
        <v>510237667.14</v>
      </c>
      <c r="K7208" t="str">
        <f t="shared" si="451"/>
        <v>MATCHED</v>
      </c>
    </row>
    <row r="7209" spans="1:11">
      <c r="A7209" t="s">
        <v>132</v>
      </c>
      <c r="B7209" t="s">
        <v>1885</v>
      </c>
      <c r="C7209" t="s">
        <v>1082</v>
      </c>
      <c r="D7209" t="s">
        <v>1083</v>
      </c>
      <c r="E7209" s="8">
        <v>4720</v>
      </c>
      <c r="F7209" s="8">
        <v>48820</v>
      </c>
      <c r="G7209" s="8">
        <f t="shared" si="448"/>
        <v>230430400</v>
      </c>
      <c r="H7209" s="5">
        <v>0.2868</v>
      </c>
      <c r="I7209" s="8">
        <f t="shared" si="449"/>
        <v>230430400</v>
      </c>
      <c r="J7209" s="8">
        <f t="shared" si="450"/>
        <v>66087438.72</v>
      </c>
      <c r="K7209" t="str">
        <f t="shared" si="451"/>
        <v>MATCHED</v>
      </c>
    </row>
    <row r="7210" spans="1:11">
      <c r="A7210" t="s">
        <v>132</v>
      </c>
      <c r="B7210" t="s">
        <v>1885</v>
      </c>
      <c r="C7210" t="s">
        <v>1086</v>
      </c>
      <c r="D7210" t="s">
        <v>1087</v>
      </c>
      <c r="E7210" s="8">
        <v>170</v>
      </c>
      <c r="F7210" s="8">
        <v>64520</v>
      </c>
      <c r="G7210" s="8">
        <f t="shared" si="448"/>
        <v>10968400</v>
      </c>
      <c r="H7210" s="5">
        <v>0.0679</v>
      </c>
      <c r="I7210" s="8">
        <f t="shared" si="449"/>
        <v>10968400</v>
      </c>
      <c r="J7210" s="8">
        <f t="shared" si="450"/>
        <v>744754.36</v>
      </c>
      <c r="K7210" t="str">
        <f t="shared" si="451"/>
        <v>MATCHED</v>
      </c>
    </row>
    <row r="7211" spans="1:11">
      <c r="A7211" t="s">
        <v>132</v>
      </c>
      <c r="B7211" t="s">
        <v>1885</v>
      </c>
      <c r="C7211" t="s">
        <v>451</v>
      </c>
      <c r="D7211" t="s">
        <v>452</v>
      </c>
      <c r="E7211" s="8">
        <v>330</v>
      </c>
      <c r="F7211" s="8">
        <v>34230</v>
      </c>
      <c r="G7211" s="8">
        <f t="shared" si="448"/>
        <v>11295900</v>
      </c>
      <c r="H7211" s="5">
        <v>0.0594</v>
      </c>
      <c r="I7211" s="8">
        <f t="shared" si="449"/>
        <v>11295900</v>
      </c>
      <c r="J7211" s="8">
        <f t="shared" si="450"/>
        <v>670976.46</v>
      </c>
      <c r="K7211" t="str">
        <f t="shared" si="451"/>
        <v>MATCHED</v>
      </c>
    </row>
    <row r="7212" spans="1:11">
      <c r="A7212" t="s">
        <v>132</v>
      </c>
      <c r="B7212" t="s">
        <v>1885</v>
      </c>
      <c r="C7212" t="s">
        <v>453</v>
      </c>
      <c r="D7212" t="s">
        <v>454</v>
      </c>
      <c r="E7212" s="8">
        <v>1570</v>
      </c>
      <c r="F7212" s="8">
        <v>50020</v>
      </c>
      <c r="G7212" s="8">
        <f t="shared" si="448"/>
        <v>78531400</v>
      </c>
      <c r="H7212" s="5">
        <v>0.1667</v>
      </c>
      <c r="I7212" s="8">
        <f t="shared" si="449"/>
        <v>78531400</v>
      </c>
      <c r="J7212" s="8">
        <f t="shared" si="450"/>
        <v>13091184.38</v>
      </c>
      <c r="K7212" t="str">
        <f t="shared" si="451"/>
        <v>MATCHED</v>
      </c>
    </row>
    <row r="7213" spans="1:11">
      <c r="A7213" t="s">
        <v>132</v>
      </c>
      <c r="B7213" t="s">
        <v>1885</v>
      </c>
      <c r="C7213" t="s">
        <v>455</v>
      </c>
      <c r="D7213" t="s">
        <v>456</v>
      </c>
      <c r="E7213" s="8">
        <v>4470</v>
      </c>
      <c r="F7213" s="8">
        <v>56820</v>
      </c>
      <c r="G7213" s="8">
        <f t="shared" si="448"/>
        <v>253985400</v>
      </c>
      <c r="H7213" s="5">
        <v>0.3775</v>
      </c>
      <c r="I7213" s="8">
        <f t="shared" si="449"/>
        <v>253985400</v>
      </c>
      <c r="J7213" s="8">
        <f t="shared" si="450"/>
        <v>95879488.5</v>
      </c>
      <c r="K7213" t="str">
        <f t="shared" si="451"/>
        <v>MATCHED</v>
      </c>
    </row>
    <row r="7214" spans="1:11">
      <c r="A7214" t="s">
        <v>132</v>
      </c>
      <c r="B7214" t="s">
        <v>1885</v>
      </c>
      <c r="C7214" t="s">
        <v>457</v>
      </c>
      <c r="D7214" t="s">
        <v>458</v>
      </c>
      <c r="E7214" s="8">
        <v>360</v>
      </c>
      <c r="F7214" s="8">
        <v>39570</v>
      </c>
      <c r="G7214" s="8">
        <f t="shared" si="448"/>
        <v>14245200</v>
      </c>
      <c r="H7214" s="5">
        <v>0.15</v>
      </c>
      <c r="I7214" s="8">
        <f t="shared" si="449"/>
        <v>14245200</v>
      </c>
      <c r="J7214" s="8">
        <f t="shared" si="450"/>
        <v>2136780</v>
      </c>
      <c r="K7214" t="str">
        <f t="shared" si="451"/>
        <v>MATCHED</v>
      </c>
    </row>
    <row r="7215" spans="1:11">
      <c r="A7215" t="s">
        <v>132</v>
      </c>
      <c r="B7215" t="s">
        <v>1885</v>
      </c>
      <c r="C7215" t="s">
        <v>1322</v>
      </c>
      <c r="D7215" t="s">
        <v>1323</v>
      </c>
      <c r="E7215" s="8">
        <v>69160</v>
      </c>
      <c r="F7215" s="8">
        <v>37290</v>
      </c>
      <c r="G7215" s="8">
        <f t="shared" si="448"/>
        <v>2578976400</v>
      </c>
      <c r="H7215" s="5">
        <v>0.1444</v>
      </c>
      <c r="I7215" s="8">
        <f t="shared" si="449"/>
        <v>2578976400</v>
      </c>
      <c r="J7215" s="8">
        <f t="shared" si="450"/>
        <v>372404192.16</v>
      </c>
      <c r="K7215" t="str">
        <f t="shared" si="451"/>
        <v>MATCHED</v>
      </c>
    </row>
    <row r="7216" spans="1:11">
      <c r="A7216" t="s">
        <v>132</v>
      </c>
      <c r="B7216" t="s">
        <v>1885</v>
      </c>
      <c r="C7216" t="s">
        <v>1324</v>
      </c>
      <c r="D7216" t="s">
        <v>1325</v>
      </c>
      <c r="E7216" s="8">
        <v>2290</v>
      </c>
      <c r="F7216" s="8">
        <v>42150</v>
      </c>
      <c r="G7216" s="8">
        <f t="shared" si="448"/>
        <v>96523500</v>
      </c>
      <c r="H7216" s="5">
        <v>0.1583</v>
      </c>
      <c r="I7216" s="8">
        <f t="shared" si="449"/>
        <v>96523500</v>
      </c>
      <c r="J7216" s="8">
        <f t="shared" si="450"/>
        <v>15279670.05</v>
      </c>
      <c r="K7216" t="str">
        <f t="shared" si="451"/>
        <v>MATCHED</v>
      </c>
    </row>
    <row r="7217" spans="1:11">
      <c r="A7217" t="s">
        <v>132</v>
      </c>
      <c r="B7217" t="s">
        <v>1885</v>
      </c>
      <c r="C7217" t="s">
        <v>1326</v>
      </c>
      <c r="D7217" t="s">
        <v>1327</v>
      </c>
      <c r="E7217" s="8"/>
      <c r="F7217" s="8">
        <v>38930</v>
      </c>
      <c r="G7217" s="8" t="str">
        <f t="shared" si="448"/>
        <v/>
      </c>
      <c r="H7217" s="5">
        <v>0</v>
      </c>
      <c r="I7217" s="8" t="str">
        <f t="shared" si="449"/>
        <v/>
      </c>
      <c r="J7217" s="8" t="str">
        <f t="shared" si="450"/>
        <v/>
      </c>
      <c r="K7217" t="str">
        <f t="shared" si="451"/>
        <v>MISSING OEWS</v>
      </c>
    </row>
    <row r="7218" spans="1:11">
      <c r="A7218" t="s">
        <v>132</v>
      </c>
      <c r="B7218" t="s">
        <v>1885</v>
      </c>
      <c r="C7218" t="s">
        <v>459</v>
      </c>
      <c r="D7218" t="s">
        <v>460</v>
      </c>
      <c r="E7218" s="8">
        <v>840</v>
      </c>
      <c r="F7218" s="8">
        <v>48230</v>
      </c>
      <c r="G7218" s="8">
        <f t="shared" si="448"/>
        <v>40513200</v>
      </c>
      <c r="H7218" s="5">
        <v>0.0475</v>
      </c>
      <c r="I7218" s="8">
        <f t="shared" si="449"/>
        <v>40513200</v>
      </c>
      <c r="J7218" s="8">
        <f t="shared" si="450"/>
        <v>1924377</v>
      </c>
      <c r="K7218" t="str">
        <f t="shared" si="451"/>
        <v>MATCHED</v>
      </c>
    </row>
    <row r="7219" spans="1:11">
      <c r="A7219" t="s">
        <v>132</v>
      </c>
      <c r="B7219" t="s">
        <v>1885</v>
      </c>
      <c r="C7219" t="s">
        <v>461</v>
      </c>
      <c r="D7219" t="s">
        <v>462</v>
      </c>
      <c r="E7219" s="8">
        <v>4820</v>
      </c>
      <c r="F7219" s="8">
        <v>33610</v>
      </c>
      <c r="G7219" s="8">
        <f t="shared" si="448"/>
        <v>162000200</v>
      </c>
      <c r="H7219" s="5">
        <v>0.038</v>
      </c>
      <c r="I7219" s="8">
        <f t="shared" si="449"/>
        <v>162000200</v>
      </c>
      <c r="J7219" s="8">
        <f t="shared" si="450"/>
        <v>6156007.6</v>
      </c>
      <c r="K7219" t="str">
        <f t="shared" si="451"/>
        <v>MATCHED</v>
      </c>
    </row>
    <row r="7220" spans="1:11">
      <c r="A7220" t="s">
        <v>132</v>
      </c>
      <c r="B7220" t="s">
        <v>1885</v>
      </c>
      <c r="C7220" t="s">
        <v>1330</v>
      </c>
      <c r="D7220" t="s">
        <v>1331</v>
      </c>
      <c r="E7220" s="8">
        <v>2990</v>
      </c>
      <c r="F7220" s="8">
        <v>38970</v>
      </c>
      <c r="G7220" s="8">
        <f t="shared" si="448"/>
        <v>116520300</v>
      </c>
      <c r="H7220" s="5">
        <v>0.1118</v>
      </c>
      <c r="I7220" s="8">
        <f t="shared" si="449"/>
        <v>116520300</v>
      </c>
      <c r="J7220" s="8">
        <f t="shared" si="450"/>
        <v>13026969.54</v>
      </c>
      <c r="K7220" t="str">
        <f t="shared" si="451"/>
        <v>MATCHED</v>
      </c>
    </row>
    <row r="7221" spans="1:11">
      <c r="A7221" t="s">
        <v>132</v>
      </c>
      <c r="B7221" t="s">
        <v>1885</v>
      </c>
      <c r="C7221" t="s">
        <v>463</v>
      </c>
      <c r="D7221" t="s">
        <v>464</v>
      </c>
      <c r="E7221" s="8"/>
      <c r="F7221" s="8">
        <v>37940</v>
      </c>
      <c r="G7221" s="8" t="str">
        <f t="shared" si="448"/>
        <v/>
      </c>
      <c r="H7221" s="5"/>
      <c r="I7221" s="8" t="str">
        <f t="shared" si="449"/>
        <v/>
      </c>
      <c r="J7221" s="8" t="str">
        <f t="shared" si="450"/>
        <v/>
      </c>
      <c r="K7221" t="str">
        <f t="shared" si="451"/>
        <v>MISSING OEWS</v>
      </c>
    </row>
    <row r="7222" spans="1:11">
      <c r="A7222" t="s">
        <v>132</v>
      </c>
      <c r="B7222" t="s">
        <v>1885</v>
      </c>
      <c r="C7222" t="s">
        <v>1116</v>
      </c>
      <c r="D7222" t="s">
        <v>1117</v>
      </c>
      <c r="E7222" s="8">
        <v>42370</v>
      </c>
      <c r="F7222" s="8">
        <v>35010</v>
      </c>
      <c r="G7222" s="8">
        <f t="shared" si="448"/>
        <v>1483373700</v>
      </c>
      <c r="H7222" s="5">
        <v>0</v>
      </c>
      <c r="I7222" s="8">
        <f t="shared" si="449"/>
        <v>1483373700</v>
      </c>
      <c r="J7222" s="8">
        <f t="shared" si="450"/>
        <v>0</v>
      </c>
      <c r="K7222" t="str">
        <f t="shared" si="451"/>
        <v>MATCHED</v>
      </c>
    </row>
    <row r="7223" spans="1:11">
      <c r="A7223" t="s">
        <v>132</v>
      </c>
      <c r="B7223" t="s">
        <v>1885</v>
      </c>
      <c r="C7223" t="s">
        <v>1348</v>
      </c>
      <c r="D7223" t="s">
        <v>1349</v>
      </c>
      <c r="E7223" s="8">
        <v>50</v>
      </c>
      <c r="F7223" s="8">
        <v>56040</v>
      </c>
      <c r="G7223" s="8">
        <f t="shared" si="448"/>
        <v>2802000</v>
      </c>
      <c r="H7223" s="5">
        <v>0</v>
      </c>
      <c r="I7223" s="8">
        <f t="shared" si="449"/>
        <v>2802000</v>
      </c>
      <c r="J7223" s="8">
        <f t="shared" si="450"/>
        <v>0</v>
      </c>
      <c r="K7223" t="str">
        <f t="shared" si="451"/>
        <v>MATCHED</v>
      </c>
    </row>
    <row r="7224" spans="1:11">
      <c r="A7224" t="s">
        <v>132</v>
      </c>
      <c r="B7224" t="s">
        <v>1885</v>
      </c>
      <c r="C7224" t="s">
        <v>1118</v>
      </c>
      <c r="D7224" t="s">
        <v>1119</v>
      </c>
      <c r="E7224" s="8">
        <v>270</v>
      </c>
      <c r="F7224" s="8">
        <v>39780</v>
      </c>
      <c r="G7224" s="8">
        <f t="shared" si="448"/>
        <v>10740600</v>
      </c>
      <c r="H7224" s="5">
        <v>0.0365</v>
      </c>
      <c r="I7224" s="8">
        <f t="shared" si="449"/>
        <v>10740600</v>
      </c>
      <c r="J7224" s="8">
        <f t="shared" si="450"/>
        <v>392031.9</v>
      </c>
      <c r="K7224" t="str">
        <f t="shared" si="451"/>
        <v>MATCHED</v>
      </c>
    </row>
    <row r="7225" spans="1:11">
      <c r="A7225" t="s">
        <v>132</v>
      </c>
      <c r="B7225" t="s">
        <v>1885</v>
      </c>
      <c r="C7225" t="s">
        <v>1356</v>
      </c>
      <c r="D7225" t="s">
        <v>1357</v>
      </c>
      <c r="E7225" s="8">
        <v>270</v>
      </c>
      <c r="F7225" s="8">
        <v>49570</v>
      </c>
      <c r="G7225" s="8">
        <f t="shared" si="448"/>
        <v>13383900</v>
      </c>
      <c r="H7225" s="5">
        <v>0.0432</v>
      </c>
      <c r="I7225" s="8">
        <f t="shared" si="449"/>
        <v>13383900</v>
      </c>
      <c r="J7225" s="8">
        <f t="shared" si="450"/>
        <v>578184.48</v>
      </c>
      <c r="K7225" t="str">
        <f t="shared" si="451"/>
        <v>MATCHED</v>
      </c>
    </row>
    <row r="7226" spans="1:11">
      <c r="A7226" t="s">
        <v>132</v>
      </c>
      <c r="B7226" t="s">
        <v>1885</v>
      </c>
      <c r="C7226" t="s">
        <v>1120</v>
      </c>
      <c r="D7226" t="s">
        <v>1121</v>
      </c>
      <c r="E7226" s="8">
        <v>170</v>
      </c>
      <c r="F7226" s="8">
        <v>60400</v>
      </c>
      <c r="G7226" s="8">
        <f t="shared" si="448"/>
        <v>10268000</v>
      </c>
      <c r="H7226" s="5">
        <v>0.0432</v>
      </c>
      <c r="I7226" s="8">
        <f t="shared" si="449"/>
        <v>10268000</v>
      </c>
      <c r="J7226" s="8">
        <f t="shared" si="450"/>
        <v>443577.6</v>
      </c>
      <c r="K7226" t="str">
        <f t="shared" si="451"/>
        <v>MATCHED</v>
      </c>
    </row>
    <row r="7227" spans="1:11">
      <c r="A7227" t="s">
        <v>132</v>
      </c>
      <c r="B7227" t="s">
        <v>1885</v>
      </c>
      <c r="C7227" t="s">
        <v>768</v>
      </c>
      <c r="D7227" t="s">
        <v>769</v>
      </c>
      <c r="E7227" s="8">
        <v>2000</v>
      </c>
      <c r="F7227" s="8">
        <v>64760</v>
      </c>
      <c r="G7227" s="8">
        <f t="shared" si="448"/>
        <v>129520000</v>
      </c>
      <c r="H7227" s="5">
        <v>0.104</v>
      </c>
      <c r="I7227" s="8">
        <f t="shared" si="449"/>
        <v>129520000</v>
      </c>
      <c r="J7227" s="8">
        <f t="shared" si="450"/>
        <v>13470080</v>
      </c>
      <c r="K7227" t="str">
        <f t="shared" si="451"/>
        <v>MATCHED</v>
      </c>
    </row>
    <row r="7228" spans="1:11">
      <c r="A7228" t="s">
        <v>132</v>
      </c>
      <c r="B7228" t="s">
        <v>1885</v>
      </c>
      <c r="C7228" t="s">
        <v>770</v>
      </c>
      <c r="D7228" t="s">
        <v>771</v>
      </c>
      <c r="E7228" s="8">
        <v>110</v>
      </c>
      <c r="F7228" s="8">
        <v>65680</v>
      </c>
      <c r="G7228" s="8">
        <f t="shared" si="448"/>
        <v>7224800</v>
      </c>
      <c r="H7228" s="5">
        <v>0.1188</v>
      </c>
      <c r="I7228" s="8">
        <f t="shared" si="449"/>
        <v>7224800</v>
      </c>
      <c r="J7228" s="8">
        <f t="shared" si="450"/>
        <v>858306.24</v>
      </c>
      <c r="K7228" t="str">
        <f t="shared" si="451"/>
        <v>MATCHED</v>
      </c>
    </row>
    <row r="7229" spans="1:11">
      <c r="A7229" t="s">
        <v>132</v>
      </c>
      <c r="B7229" t="s">
        <v>1885</v>
      </c>
      <c r="C7229" t="s">
        <v>469</v>
      </c>
      <c r="D7229" t="s">
        <v>470</v>
      </c>
      <c r="E7229" s="8">
        <v>5550</v>
      </c>
      <c r="F7229" s="8">
        <v>45960</v>
      </c>
      <c r="G7229" s="8">
        <f t="shared" si="448"/>
        <v>255078000</v>
      </c>
      <c r="H7229" s="5">
        <v>0.0452</v>
      </c>
      <c r="I7229" s="8">
        <f t="shared" si="449"/>
        <v>255078000</v>
      </c>
      <c r="J7229" s="8">
        <f t="shared" si="450"/>
        <v>11529525.6</v>
      </c>
      <c r="K7229" t="str">
        <f t="shared" si="451"/>
        <v>MATCHED</v>
      </c>
    </row>
    <row r="7230" spans="1:11">
      <c r="A7230" t="s">
        <v>132</v>
      </c>
      <c r="B7230" t="s">
        <v>1885</v>
      </c>
      <c r="C7230" t="s">
        <v>481</v>
      </c>
      <c r="D7230" t="s">
        <v>482</v>
      </c>
      <c r="E7230" s="8">
        <v>910</v>
      </c>
      <c r="F7230" s="8">
        <v>42440</v>
      </c>
      <c r="G7230" s="8">
        <f t="shared" si="448"/>
        <v>38620400</v>
      </c>
      <c r="H7230" s="5">
        <v>0.2969</v>
      </c>
      <c r="I7230" s="8">
        <f t="shared" si="449"/>
        <v>38620400</v>
      </c>
      <c r="J7230" s="8">
        <f t="shared" si="450"/>
        <v>11466396.76</v>
      </c>
      <c r="K7230" t="str">
        <f t="shared" si="451"/>
        <v>MATCHED</v>
      </c>
    </row>
    <row r="7231" spans="1:11">
      <c r="A7231" t="s">
        <v>132</v>
      </c>
      <c r="B7231" t="s">
        <v>1885</v>
      </c>
      <c r="C7231" t="s">
        <v>483</v>
      </c>
      <c r="D7231" t="s">
        <v>484</v>
      </c>
      <c r="E7231" s="8">
        <v>520</v>
      </c>
      <c r="F7231" s="8">
        <v>38490</v>
      </c>
      <c r="G7231" s="8">
        <f t="shared" si="448"/>
        <v>20014800</v>
      </c>
      <c r="H7231" s="5">
        <v>0.0475</v>
      </c>
      <c r="I7231" s="8">
        <f t="shared" si="449"/>
        <v>20014800</v>
      </c>
      <c r="J7231" s="8">
        <f t="shared" si="450"/>
        <v>950703</v>
      </c>
      <c r="K7231" t="str">
        <f t="shared" si="451"/>
        <v>MATCHED</v>
      </c>
    </row>
    <row r="7232" spans="1:11">
      <c r="A7232" t="s">
        <v>132</v>
      </c>
      <c r="B7232" t="s">
        <v>1885</v>
      </c>
      <c r="C7232" t="s">
        <v>1394</v>
      </c>
      <c r="D7232" t="s">
        <v>1395</v>
      </c>
      <c r="E7232" s="8">
        <v>90</v>
      </c>
      <c r="F7232" s="8">
        <v>44840</v>
      </c>
      <c r="G7232" s="8">
        <f t="shared" si="448"/>
        <v>4035600</v>
      </c>
      <c r="H7232" s="5">
        <v>0.05</v>
      </c>
      <c r="I7232" s="8">
        <f t="shared" si="449"/>
        <v>4035600</v>
      </c>
      <c r="J7232" s="8">
        <f t="shared" si="450"/>
        <v>201780</v>
      </c>
      <c r="K7232" t="str">
        <f t="shared" si="451"/>
        <v>MATCHED</v>
      </c>
    </row>
    <row r="7233" spans="1:11">
      <c r="A7233" t="s">
        <v>132</v>
      </c>
      <c r="B7233" t="s">
        <v>1885</v>
      </c>
      <c r="C7233" t="s">
        <v>489</v>
      </c>
      <c r="D7233" t="s">
        <v>490</v>
      </c>
      <c r="E7233" s="8">
        <v>330</v>
      </c>
      <c r="F7233" s="8">
        <v>39440</v>
      </c>
      <c r="G7233" s="8">
        <f t="shared" si="448"/>
        <v>13015200</v>
      </c>
      <c r="H7233" s="5">
        <v>0.0838</v>
      </c>
      <c r="I7233" s="8">
        <f t="shared" si="449"/>
        <v>13015200</v>
      </c>
      <c r="J7233" s="8">
        <f t="shared" si="450"/>
        <v>1090673.76</v>
      </c>
      <c r="K7233" t="str">
        <f t="shared" si="451"/>
        <v>MATCHED</v>
      </c>
    </row>
    <row r="7234" spans="1:11">
      <c r="A7234" t="s">
        <v>132</v>
      </c>
      <c r="B7234" t="s">
        <v>1885</v>
      </c>
      <c r="C7234" t="s">
        <v>491</v>
      </c>
      <c r="D7234" t="s">
        <v>492</v>
      </c>
      <c r="E7234" s="8">
        <v>130</v>
      </c>
      <c r="F7234" s="8">
        <v>51820</v>
      </c>
      <c r="G7234" s="8">
        <f t="shared" ref="G7234:G7297" si="452">IF(OR(E7234="",F7234=""),"",E7234*F7234)</f>
        <v>6736600</v>
      </c>
      <c r="H7234" s="5"/>
      <c r="I7234" s="8" t="str">
        <f t="shared" ref="I7234:I7297" si="453">IF(G7234="","",IF(ISNUMBER(H7234),G7234,""))</f>
        <v/>
      </c>
      <c r="J7234" s="8" t="str">
        <f t="shared" ref="J7234:J7297" si="454">IF(I7234="","",I7234*H7234)</f>
        <v/>
      </c>
      <c r="K7234" t="str">
        <f t="shared" ref="K7234:K7297" si="455">IF(G7234="","MISSING OEWS",IF(ISNUMBER(H7234),"MATCHED","MISSING WHARTON"))</f>
        <v>MISSING WHARTON</v>
      </c>
    </row>
    <row r="7235" spans="1:11">
      <c r="A7235" t="s">
        <v>132</v>
      </c>
      <c r="B7235" t="s">
        <v>1885</v>
      </c>
      <c r="C7235" t="s">
        <v>493</v>
      </c>
      <c r="D7235" t="s">
        <v>494</v>
      </c>
      <c r="E7235" s="8">
        <v>2620</v>
      </c>
      <c r="F7235" s="8">
        <v>58370</v>
      </c>
      <c r="G7235" s="8">
        <f t="shared" si="452"/>
        <v>152929400</v>
      </c>
      <c r="H7235" s="5">
        <v>0.3429</v>
      </c>
      <c r="I7235" s="8">
        <f t="shared" si="453"/>
        <v>152929400</v>
      </c>
      <c r="J7235" s="8">
        <f t="shared" si="454"/>
        <v>52439491.26</v>
      </c>
      <c r="K7235" t="str">
        <f t="shared" si="455"/>
        <v>MATCHED</v>
      </c>
    </row>
    <row r="7236" spans="1:11">
      <c r="A7236" t="s">
        <v>132</v>
      </c>
      <c r="B7236" t="s">
        <v>1885</v>
      </c>
      <c r="C7236" t="s">
        <v>495</v>
      </c>
      <c r="D7236" t="s">
        <v>496</v>
      </c>
      <c r="E7236" s="8"/>
      <c r="F7236" s="8">
        <v>103880</v>
      </c>
      <c r="G7236" s="8" t="str">
        <f t="shared" si="452"/>
        <v/>
      </c>
      <c r="H7236" s="5">
        <v>0.3558</v>
      </c>
      <c r="I7236" s="8" t="str">
        <f t="shared" si="453"/>
        <v/>
      </c>
      <c r="J7236" s="8" t="str">
        <f t="shared" si="454"/>
        <v/>
      </c>
      <c r="K7236" t="str">
        <f t="shared" si="455"/>
        <v>MISSING OEWS</v>
      </c>
    </row>
    <row r="7237" spans="1:11">
      <c r="A7237" t="s">
        <v>132</v>
      </c>
      <c r="B7237" t="s">
        <v>1885</v>
      </c>
      <c r="C7237" t="s">
        <v>497</v>
      </c>
      <c r="D7237" t="s">
        <v>498</v>
      </c>
      <c r="E7237" s="8">
        <v>175190</v>
      </c>
      <c r="F7237" s="8">
        <v>31490</v>
      </c>
      <c r="G7237" s="8">
        <f t="shared" si="452"/>
        <v>5516733100</v>
      </c>
      <c r="H7237" s="5">
        <v>0.3167</v>
      </c>
      <c r="I7237" s="8">
        <f t="shared" si="453"/>
        <v>5516733100</v>
      </c>
      <c r="J7237" s="8">
        <f t="shared" si="454"/>
        <v>1747149372.77</v>
      </c>
      <c r="K7237" t="str">
        <f t="shared" si="455"/>
        <v>MATCHED</v>
      </c>
    </row>
    <row r="7238" spans="1:11">
      <c r="A7238" t="s">
        <v>132</v>
      </c>
      <c r="B7238" t="s">
        <v>1885</v>
      </c>
      <c r="C7238" t="s">
        <v>499</v>
      </c>
      <c r="D7238" t="s">
        <v>500</v>
      </c>
      <c r="E7238" s="8">
        <v>2230</v>
      </c>
      <c r="F7238" s="8">
        <v>48840</v>
      </c>
      <c r="G7238" s="8">
        <f t="shared" si="452"/>
        <v>108913200</v>
      </c>
      <c r="H7238" s="5">
        <v>0.2065</v>
      </c>
      <c r="I7238" s="8">
        <f t="shared" si="453"/>
        <v>108913200</v>
      </c>
      <c r="J7238" s="8">
        <f t="shared" si="454"/>
        <v>22490575.8</v>
      </c>
      <c r="K7238" t="str">
        <f t="shared" si="455"/>
        <v>MATCHED</v>
      </c>
    </row>
    <row r="7239" spans="1:11">
      <c r="A7239" t="s">
        <v>132</v>
      </c>
      <c r="B7239" t="s">
        <v>1885</v>
      </c>
      <c r="C7239" t="s">
        <v>501</v>
      </c>
      <c r="D7239" t="s">
        <v>502</v>
      </c>
      <c r="E7239" s="8">
        <v>14430</v>
      </c>
      <c r="F7239" s="8">
        <v>39150</v>
      </c>
      <c r="G7239" s="8">
        <f t="shared" si="452"/>
        <v>564934500</v>
      </c>
      <c r="H7239" s="5">
        <v>0.3393</v>
      </c>
      <c r="I7239" s="8">
        <f t="shared" si="453"/>
        <v>564934500</v>
      </c>
      <c r="J7239" s="8">
        <f t="shared" si="454"/>
        <v>191682275.85</v>
      </c>
      <c r="K7239" t="str">
        <f t="shared" si="455"/>
        <v>MATCHED</v>
      </c>
    </row>
    <row r="7240" spans="1:11">
      <c r="A7240" t="s">
        <v>132</v>
      </c>
      <c r="B7240" t="s">
        <v>1885</v>
      </c>
      <c r="C7240" t="s">
        <v>1457</v>
      </c>
      <c r="D7240" t="s">
        <v>1458</v>
      </c>
      <c r="E7240" s="8">
        <v>40</v>
      </c>
      <c r="F7240" s="8">
        <v>39470</v>
      </c>
      <c r="G7240" s="8">
        <f t="shared" si="452"/>
        <v>1578800</v>
      </c>
      <c r="H7240" s="5">
        <v>0.2567</v>
      </c>
      <c r="I7240" s="8">
        <f t="shared" si="453"/>
        <v>1578800</v>
      </c>
      <c r="J7240" s="8">
        <f t="shared" si="454"/>
        <v>405277.96</v>
      </c>
      <c r="K7240" t="str">
        <f t="shared" si="455"/>
        <v>MATCHED</v>
      </c>
    </row>
    <row r="7241" spans="1:11">
      <c r="A7241" t="s">
        <v>132</v>
      </c>
      <c r="B7241" t="s">
        <v>1885</v>
      </c>
      <c r="C7241" t="s">
        <v>503</v>
      </c>
      <c r="D7241" t="s">
        <v>504</v>
      </c>
      <c r="E7241" s="8">
        <v>6910</v>
      </c>
      <c r="F7241" s="8">
        <v>35570</v>
      </c>
      <c r="G7241" s="8">
        <f t="shared" si="452"/>
        <v>245788700</v>
      </c>
      <c r="H7241" s="5">
        <v>0.3288</v>
      </c>
      <c r="I7241" s="8">
        <f t="shared" si="453"/>
        <v>245788700</v>
      </c>
      <c r="J7241" s="8">
        <f t="shared" si="454"/>
        <v>80815324.56</v>
      </c>
      <c r="K7241" t="str">
        <f t="shared" si="455"/>
        <v>MATCHED</v>
      </c>
    </row>
    <row r="7242" spans="1:11">
      <c r="A7242" t="s">
        <v>132</v>
      </c>
      <c r="B7242" t="s">
        <v>1885</v>
      </c>
      <c r="C7242" t="s">
        <v>1134</v>
      </c>
      <c r="D7242" t="s">
        <v>1135</v>
      </c>
      <c r="E7242" s="8"/>
      <c r="F7242" s="8">
        <v>47800</v>
      </c>
      <c r="G7242" s="8" t="str">
        <f t="shared" si="452"/>
        <v/>
      </c>
      <c r="H7242" s="5"/>
      <c r="I7242" s="8" t="str">
        <f t="shared" si="453"/>
        <v/>
      </c>
      <c r="J7242" s="8" t="str">
        <f t="shared" si="454"/>
        <v/>
      </c>
      <c r="K7242" t="str">
        <f t="shared" si="455"/>
        <v>MISSING OEWS</v>
      </c>
    </row>
    <row r="7243" spans="1:11">
      <c r="A7243" t="s">
        <v>132</v>
      </c>
      <c r="B7243" t="s">
        <v>1885</v>
      </c>
      <c r="C7243" t="s">
        <v>796</v>
      </c>
      <c r="D7243" t="s">
        <v>797</v>
      </c>
      <c r="E7243" s="8">
        <v>40</v>
      </c>
      <c r="F7243" s="8"/>
      <c r="G7243" s="8" t="str">
        <f t="shared" si="452"/>
        <v/>
      </c>
      <c r="H7243" s="5">
        <v>0.1018</v>
      </c>
      <c r="I7243" s="8" t="str">
        <f t="shared" si="453"/>
        <v/>
      </c>
      <c r="J7243" s="8" t="str">
        <f t="shared" si="454"/>
        <v/>
      </c>
      <c r="K7243" t="str">
        <f t="shared" si="455"/>
        <v>MISSING OEWS</v>
      </c>
    </row>
    <row r="7244" spans="1:11">
      <c r="A7244" t="s">
        <v>132</v>
      </c>
      <c r="B7244" t="s">
        <v>1885</v>
      </c>
      <c r="C7244" t="s">
        <v>1136</v>
      </c>
      <c r="D7244" t="s">
        <v>1137</v>
      </c>
      <c r="E7244" s="8">
        <v>130</v>
      </c>
      <c r="F7244" s="8">
        <v>44690</v>
      </c>
      <c r="G7244" s="8">
        <f t="shared" si="452"/>
        <v>5809700</v>
      </c>
      <c r="H7244" s="5">
        <v>0.0559</v>
      </c>
      <c r="I7244" s="8">
        <f t="shared" si="453"/>
        <v>5809700</v>
      </c>
      <c r="J7244" s="8">
        <f t="shared" si="454"/>
        <v>324762.23</v>
      </c>
      <c r="K7244" t="str">
        <f t="shared" si="455"/>
        <v>MATCHED</v>
      </c>
    </row>
    <row r="7245" spans="1:11">
      <c r="A7245" t="s">
        <v>132</v>
      </c>
      <c r="B7245" t="s">
        <v>1885</v>
      </c>
      <c r="C7245" t="s">
        <v>1408</v>
      </c>
      <c r="D7245" t="s">
        <v>1409</v>
      </c>
      <c r="E7245" s="8">
        <v>7110</v>
      </c>
      <c r="F7245" s="8">
        <v>35400</v>
      </c>
      <c r="G7245" s="8">
        <f t="shared" si="452"/>
        <v>251694000</v>
      </c>
      <c r="H7245" s="5">
        <v>0.1972</v>
      </c>
      <c r="I7245" s="8">
        <f t="shared" si="453"/>
        <v>251694000</v>
      </c>
      <c r="J7245" s="8">
        <f t="shared" si="454"/>
        <v>49634056.8</v>
      </c>
      <c r="K7245" t="str">
        <f t="shared" si="455"/>
        <v>MATCHED</v>
      </c>
    </row>
    <row r="7246" spans="1:11">
      <c r="A7246" t="s">
        <v>132</v>
      </c>
      <c r="B7246" t="s">
        <v>1885</v>
      </c>
      <c r="C7246" t="s">
        <v>1138</v>
      </c>
      <c r="D7246" t="s">
        <v>1139</v>
      </c>
      <c r="E7246" s="8">
        <v>70</v>
      </c>
      <c r="F7246" s="8">
        <v>38180</v>
      </c>
      <c r="G7246" s="8">
        <f t="shared" si="452"/>
        <v>2672600</v>
      </c>
      <c r="H7246" s="5">
        <v>0.2533</v>
      </c>
      <c r="I7246" s="8">
        <f t="shared" si="453"/>
        <v>2672600</v>
      </c>
      <c r="J7246" s="8">
        <f t="shared" si="454"/>
        <v>676969.58</v>
      </c>
      <c r="K7246" t="str">
        <f t="shared" si="455"/>
        <v>MATCHED</v>
      </c>
    </row>
    <row r="7247" spans="1:11">
      <c r="A7247" t="s">
        <v>132</v>
      </c>
      <c r="B7247" t="s">
        <v>1885</v>
      </c>
      <c r="C7247" t="s">
        <v>1561</v>
      </c>
      <c r="D7247" t="s">
        <v>1562</v>
      </c>
      <c r="E7247" s="8">
        <v>40</v>
      </c>
      <c r="F7247" s="8"/>
      <c r="G7247" s="8" t="str">
        <f t="shared" si="452"/>
        <v/>
      </c>
      <c r="H7247" s="5">
        <v>0.275</v>
      </c>
      <c r="I7247" s="8" t="str">
        <f t="shared" si="453"/>
        <v/>
      </c>
      <c r="J7247" s="8" t="str">
        <f t="shared" si="454"/>
        <v/>
      </c>
      <c r="K7247" t="str">
        <f t="shared" si="455"/>
        <v>MISSING OEWS</v>
      </c>
    </row>
    <row r="7248" spans="1:11">
      <c r="A7248" t="s">
        <v>132</v>
      </c>
      <c r="B7248" t="s">
        <v>1885</v>
      </c>
      <c r="C7248" t="s">
        <v>507</v>
      </c>
      <c r="D7248" t="s">
        <v>508</v>
      </c>
      <c r="E7248" s="8">
        <v>1050</v>
      </c>
      <c r="F7248" s="8">
        <v>49250</v>
      </c>
      <c r="G7248" s="8">
        <f t="shared" si="452"/>
        <v>51712500</v>
      </c>
      <c r="H7248" s="5">
        <v>0</v>
      </c>
      <c r="I7248" s="8">
        <f t="shared" si="453"/>
        <v>51712500</v>
      </c>
      <c r="J7248" s="8">
        <f t="shared" si="454"/>
        <v>0</v>
      </c>
      <c r="K7248" t="str">
        <f t="shared" si="455"/>
        <v>MATCHED</v>
      </c>
    </row>
    <row r="7249" spans="1:11">
      <c r="A7249" t="s">
        <v>132</v>
      </c>
      <c r="B7249" t="s">
        <v>1885</v>
      </c>
      <c r="C7249" t="s">
        <v>509</v>
      </c>
      <c r="D7249" t="s">
        <v>510</v>
      </c>
      <c r="E7249" s="8">
        <v>430</v>
      </c>
      <c r="F7249" s="8">
        <v>35570</v>
      </c>
      <c r="G7249" s="8">
        <f t="shared" si="452"/>
        <v>15295100</v>
      </c>
      <c r="H7249" s="5">
        <v>0.0452</v>
      </c>
      <c r="I7249" s="8">
        <f t="shared" si="453"/>
        <v>15295100</v>
      </c>
      <c r="J7249" s="8">
        <f t="shared" si="454"/>
        <v>691338.52</v>
      </c>
      <c r="K7249" t="str">
        <f t="shared" si="455"/>
        <v>MATCHED</v>
      </c>
    </row>
    <row r="7250" spans="1:11">
      <c r="A7250" t="s">
        <v>132</v>
      </c>
      <c r="B7250" t="s">
        <v>1885</v>
      </c>
      <c r="C7250" t="s">
        <v>511</v>
      </c>
      <c r="D7250" t="s">
        <v>512</v>
      </c>
      <c r="E7250" s="8">
        <v>9880</v>
      </c>
      <c r="F7250" s="8">
        <v>40350</v>
      </c>
      <c r="G7250" s="8">
        <f t="shared" si="452"/>
        <v>398658000</v>
      </c>
      <c r="H7250" s="5">
        <v>0.049</v>
      </c>
      <c r="I7250" s="8">
        <f t="shared" si="453"/>
        <v>398658000</v>
      </c>
      <c r="J7250" s="8">
        <f t="shared" si="454"/>
        <v>19534242</v>
      </c>
      <c r="K7250" t="str">
        <f t="shared" si="455"/>
        <v>MATCHED</v>
      </c>
    </row>
    <row r="7251" spans="1:11">
      <c r="A7251" t="s">
        <v>132</v>
      </c>
      <c r="B7251" t="s">
        <v>1885</v>
      </c>
      <c r="C7251" t="s">
        <v>515</v>
      </c>
      <c r="D7251" t="s">
        <v>516</v>
      </c>
      <c r="E7251" s="8">
        <v>4160</v>
      </c>
      <c r="F7251" s="8">
        <v>37890</v>
      </c>
      <c r="G7251" s="8">
        <f t="shared" si="452"/>
        <v>157622400</v>
      </c>
      <c r="H7251" s="5">
        <v>0.0792</v>
      </c>
      <c r="I7251" s="8">
        <f t="shared" si="453"/>
        <v>157622400</v>
      </c>
      <c r="J7251" s="8">
        <f t="shared" si="454"/>
        <v>12483694.08</v>
      </c>
      <c r="K7251" t="str">
        <f t="shared" si="455"/>
        <v>MATCHED</v>
      </c>
    </row>
    <row r="7252" spans="1:11">
      <c r="A7252" t="s">
        <v>132</v>
      </c>
      <c r="B7252" t="s">
        <v>1885</v>
      </c>
      <c r="C7252" t="s">
        <v>517</v>
      </c>
      <c r="D7252" t="s">
        <v>518</v>
      </c>
      <c r="E7252" s="8">
        <v>13790</v>
      </c>
      <c r="F7252" s="8">
        <v>40020</v>
      </c>
      <c r="G7252" s="8">
        <f t="shared" si="452"/>
        <v>551875800</v>
      </c>
      <c r="H7252" s="5">
        <v>0.2233</v>
      </c>
      <c r="I7252" s="8">
        <f t="shared" si="453"/>
        <v>551875800</v>
      </c>
      <c r="J7252" s="8">
        <f t="shared" si="454"/>
        <v>123233866.14</v>
      </c>
      <c r="K7252" t="str">
        <f t="shared" si="455"/>
        <v>MATCHED</v>
      </c>
    </row>
    <row r="7253" spans="1:11">
      <c r="A7253" t="s">
        <v>134</v>
      </c>
      <c r="B7253" t="s">
        <v>1888</v>
      </c>
      <c r="C7253" t="s">
        <v>235</v>
      </c>
      <c r="D7253" t="s">
        <v>236</v>
      </c>
      <c r="E7253" s="8">
        <v>9090</v>
      </c>
      <c r="F7253" s="8">
        <v>235640</v>
      </c>
      <c r="G7253" s="8">
        <f t="shared" si="452"/>
        <v>2141967600</v>
      </c>
      <c r="H7253" s="5">
        <v>0.4775</v>
      </c>
      <c r="I7253" s="8">
        <f t="shared" si="453"/>
        <v>2141967600</v>
      </c>
      <c r="J7253" s="8">
        <f t="shared" si="454"/>
        <v>1022789529</v>
      </c>
      <c r="K7253" t="str">
        <f t="shared" si="455"/>
        <v>MATCHED</v>
      </c>
    </row>
    <row r="7254" spans="1:11">
      <c r="A7254" t="s">
        <v>134</v>
      </c>
      <c r="B7254" t="s">
        <v>1888</v>
      </c>
      <c r="C7254" t="s">
        <v>237</v>
      </c>
      <c r="D7254" t="s">
        <v>238</v>
      </c>
      <c r="E7254" s="8">
        <v>218230</v>
      </c>
      <c r="F7254" s="8">
        <v>112190</v>
      </c>
      <c r="G7254" s="8">
        <f t="shared" si="452"/>
        <v>24483223700</v>
      </c>
      <c r="H7254" s="5">
        <v>0.5382</v>
      </c>
      <c r="I7254" s="8">
        <f t="shared" si="453"/>
        <v>24483223700</v>
      </c>
      <c r="J7254" s="8">
        <f t="shared" si="454"/>
        <v>13176870995.34</v>
      </c>
      <c r="K7254" t="str">
        <f t="shared" si="455"/>
        <v>MATCHED</v>
      </c>
    </row>
    <row r="7255" spans="1:11">
      <c r="A7255" t="s">
        <v>134</v>
      </c>
      <c r="B7255" t="s">
        <v>1888</v>
      </c>
      <c r="C7255" t="s">
        <v>920</v>
      </c>
      <c r="D7255" t="s">
        <v>921</v>
      </c>
      <c r="E7255" s="8">
        <v>230</v>
      </c>
      <c r="F7255" s="8">
        <v>109580</v>
      </c>
      <c r="G7255" s="8">
        <f t="shared" si="452"/>
        <v>25203400</v>
      </c>
      <c r="H7255" s="5">
        <v>0.5583</v>
      </c>
      <c r="I7255" s="8">
        <f t="shared" si="453"/>
        <v>25203400</v>
      </c>
      <c r="J7255" s="8">
        <f t="shared" si="454"/>
        <v>14071058.22</v>
      </c>
      <c r="K7255" t="str">
        <f t="shared" si="455"/>
        <v>MATCHED</v>
      </c>
    </row>
    <row r="7256" spans="1:11">
      <c r="A7256" t="s">
        <v>134</v>
      </c>
      <c r="B7256" t="s">
        <v>1888</v>
      </c>
      <c r="C7256" t="s">
        <v>239</v>
      </c>
      <c r="D7256" t="s">
        <v>240</v>
      </c>
      <c r="E7256" s="8">
        <v>8410</v>
      </c>
      <c r="F7256" s="8">
        <v>141820</v>
      </c>
      <c r="G7256" s="8">
        <f t="shared" si="452"/>
        <v>1192706200</v>
      </c>
      <c r="H7256" s="5">
        <v>0.445</v>
      </c>
      <c r="I7256" s="8">
        <f t="shared" si="453"/>
        <v>1192706200</v>
      </c>
      <c r="J7256" s="8">
        <f t="shared" si="454"/>
        <v>530754259</v>
      </c>
      <c r="K7256" t="str">
        <f t="shared" si="455"/>
        <v>MATCHED</v>
      </c>
    </row>
    <row r="7257" spans="1:11">
      <c r="A7257" t="s">
        <v>134</v>
      </c>
      <c r="B7257" t="s">
        <v>1888</v>
      </c>
      <c r="C7257" t="s">
        <v>241</v>
      </c>
      <c r="D7257" t="s">
        <v>242</v>
      </c>
      <c r="E7257" s="8">
        <v>6460</v>
      </c>
      <c r="F7257" s="8">
        <v>124270</v>
      </c>
      <c r="G7257" s="8">
        <f t="shared" si="452"/>
        <v>802784200</v>
      </c>
      <c r="H7257" s="5">
        <v>0.3735</v>
      </c>
      <c r="I7257" s="8">
        <f t="shared" si="453"/>
        <v>802784200</v>
      </c>
      <c r="J7257" s="8">
        <f t="shared" si="454"/>
        <v>299839898.7</v>
      </c>
      <c r="K7257" t="str">
        <f t="shared" si="455"/>
        <v>MATCHED</v>
      </c>
    </row>
    <row r="7258" spans="1:11">
      <c r="A7258" t="s">
        <v>134</v>
      </c>
      <c r="B7258" t="s">
        <v>1888</v>
      </c>
      <c r="C7258" t="s">
        <v>522</v>
      </c>
      <c r="D7258" t="s">
        <v>523</v>
      </c>
      <c r="E7258" s="8">
        <v>10930</v>
      </c>
      <c r="F7258" s="8">
        <v>155010</v>
      </c>
      <c r="G7258" s="8">
        <f t="shared" si="452"/>
        <v>1694259300</v>
      </c>
      <c r="H7258" s="5">
        <v>0.53</v>
      </c>
      <c r="I7258" s="8">
        <f t="shared" si="453"/>
        <v>1694259300</v>
      </c>
      <c r="J7258" s="8">
        <f t="shared" si="454"/>
        <v>897957429</v>
      </c>
      <c r="K7258" t="str">
        <f t="shared" si="455"/>
        <v>MATCHED</v>
      </c>
    </row>
    <row r="7259" spans="1:11">
      <c r="A7259" t="s">
        <v>134</v>
      </c>
      <c r="B7259" t="s">
        <v>1888</v>
      </c>
      <c r="C7259" t="s">
        <v>922</v>
      </c>
      <c r="D7259" t="s">
        <v>923</v>
      </c>
      <c r="E7259" s="8">
        <v>11680</v>
      </c>
      <c r="F7259" s="8">
        <v>139870</v>
      </c>
      <c r="G7259" s="8">
        <f t="shared" si="452"/>
        <v>1633681600</v>
      </c>
      <c r="H7259" s="5">
        <v>0.5594</v>
      </c>
      <c r="I7259" s="8">
        <f t="shared" si="453"/>
        <v>1633681600</v>
      </c>
      <c r="J7259" s="8">
        <f t="shared" si="454"/>
        <v>913881487.04</v>
      </c>
      <c r="K7259" t="str">
        <f t="shared" si="455"/>
        <v>MATCHED</v>
      </c>
    </row>
    <row r="7260" spans="1:11">
      <c r="A7260" t="s">
        <v>134</v>
      </c>
      <c r="B7260" t="s">
        <v>1888</v>
      </c>
      <c r="C7260" t="s">
        <v>243</v>
      </c>
      <c r="D7260" t="s">
        <v>244</v>
      </c>
      <c r="E7260" s="8">
        <v>6730</v>
      </c>
      <c r="F7260" s="8">
        <v>106770</v>
      </c>
      <c r="G7260" s="8">
        <f t="shared" si="452"/>
        <v>718562100</v>
      </c>
      <c r="H7260" s="5">
        <v>0.4444</v>
      </c>
      <c r="I7260" s="8">
        <f t="shared" si="453"/>
        <v>718562100</v>
      </c>
      <c r="J7260" s="8">
        <f t="shared" si="454"/>
        <v>319328997.24</v>
      </c>
      <c r="K7260" t="str">
        <f t="shared" si="455"/>
        <v>MATCHED</v>
      </c>
    </row>
    <row r="7261" spans="1:11">
      <c r="A7261" t="s">
        <v>134</v>
      </c>
      <c r="B7261" t="s">
        <v>1888</v>
      </c>
      <c r="C7261" t="s">
        <v>245</v>
      </c>
      <c r="D7261" t="s">
        <v>246</v>
      </c>
      <c r="E7261" s="8">
        <v>5690</v>
      </c>
      <c r="F7261" s="8">
        <v>92740</v>
      </c>
      <c r="G7261" s="8">
        <f t="shared" si="452"/>
        <v>527690600</v>
      </c>
      <c r="H7261" s="5">
        <v>0.2907</v>
      </c>
      <c r="I7261" s="8">
        <f t="shared" si="453"/>
        <v>527690600</v>
      </c>
      <c r="J7261" s="8">
        <f t="shared" si="454"/>
        <v>153399657.42</v>
      </c>
      <c r="K7261" t="str">
        <f t="shared" si="455"/>
        <v>MATCHED</v>
      </c>
    </row>
    <row r="7262" spans="1:11">
      <c r="A7262" t="s">
        <v>134</v>
      </c>
      <c r="B7262" t="s">
        <v>1888</v>
      </c>
      <c r="C7262" t="s">
        <v>247</v>
      </c>
      <c r="D7262" t="s">
        <v>248</v>
      </c>
      <c r="E7262" s="8">
        <v>6730</v>
      </c>
      <c r="F7262" s="8">
        <v>166170</v>
      </c>
      <c r="G7262" s="8">
        <f t="shared" si="452"/>
        <v>1118324100</v>
      </c>
      <c r="H7262" s="5">
        <v>0.5265</v>
      </c>
      <c r="I7262" s="8">
        <f t="shared" si="453"/>
        <v>1118324100</v>
      </c>
      <c r="J7262" s="8">
        <f t="shared" si="454"/>
        <v>588797638.65</v>
      </c>
      <c r="K7262" t="str">
        <f t="shared" si="455"/>
        <v>MATCHED</v>
      </c>
    </row>
    <row r="7263" spans="1:11">
      <c r="A7263" t="s">
        <v>134</v>
      </c>
      <c r="B7263" t="s">
        <v>1888</v>
      </c>
      <c r="C7263" t="s">
        <v>249</v>
      </c>
      <c r="D7263" t="s">
        <v>250</v>
      </c>
      <c r="E7263" s="8">
        <v>13520</v>
      </c>
      <c r="F7263" s="8">
        <v>166880</v>
      </c>
      <c r="G7263" s="8">
        <f t="shared" si="452"/>
        <v>2256217600</v>
      </c>
      <c r="H7263" s="5">
        <v>0.7221</v>
      </c>
      <c r="I7263" s="8">
        <f t="shared" si="453"/>
        <v>2256217600</v>
      </c>
      <c r="J7263" s="8">
        <f t="shared" si="454"/>
        <v>1629214728.96</v>
      </c>
      <c r="K7263" t="str">
        <f t="shared" si="455"/>
        <v>MATCHED</v>
      </c>
    </row>
    <row r="7264" spans="1:11">
      <c r="A7264" t="s">
        <v>134</v>
      </c>
      <c r="B7264" t="s">
        <v>1888</v>
      </c>
      <c r="C7264" t="s">
        <v>251</v>
      </c>
      <c r="D7264" t="s">
        <v>252</v>
      </c>
      <c r="E7264" s="8">
        <v>2430</v>
      </c>
      <c r="F7264" s="8">
        <v>111300</v>
      </c>
      <c r="G7264" s="8">
        <f t="shared" si="452"/>
        <v>270459000</v>
      </c>
      <c r="H7264" s="5">
        <v>0.3636</v>
      </c>
      <c r="I7264" s="8">
        <f t="shared" si="453"/>
        <v>270459000</v>
      </c>
      <c r="J7264" s="8">
        <f t="shared" si="454"/>
        <v>98338892.4</v>
      </c>
      <c r="K7264" t="str">
        <f t="shared" si="455"/>
        <v>MATCHED</v>
      </c>
    </row>
    <row r="7265" spans="1:11">
      <c r="A7265" t="s">
        <v>134</v>
      </c>
      <c r="B7265" t="s">
        <v>1888</v>
      </c>
      <c r="C7265" t="s">
        <v>253</v>
      </c>
      <c r="D7265" t="s">
        <v>254</v>
      </c>
      <c r="E7265" s="8">
        <v>380</v>
      </c>
      <c r="F7265" s="8">
        <v>133190</v>
      </c>
      <c r="G7265" s="8">
        <f t="shared" si="452"/>
        <v>50612200</v>
      </c>
      <c r="H7265" s="5">
        <v>0.6944</v>
      </c>
      <c r="I7265" s="8">
        <f t="shared" si="453"/>
        <v>50612200</v>
      </c>
      <c r="J7265" s="8">
        <f t="shared" si="454"/>
        <v>35145111.68</v>
      </c>
      <c r="K7265" t="str">
        <f t="shared" si="455"/>
        <v>MATCHED</v>
      </c>
    </row>
    <row r="7266" spans="1:11">
      <c r="A7266" t="s">
        <v>134</v>
      </c>
      <c r="B7266" t="s">
        <v>1888</v>
      </c>
      <c r="C7266" t="s">
        <v>255</v>
      </c>
      <c r="D7266" t="s">
        <v>256</v>
      </c>
      <c r="E7266" s="8">
        <v>1930</v>
      </c>
      <c r="F7266" s="8">
        <v>92710</v>
      </c>
      <c r="G7266" s="8">
        <f t="shared" si="452"/>
        <v>178930300</v>
      </c>
      <c r="H7266" s="5">
        <v>0.5783</v>
      </c>
      <c r="I7266" s="8">
        <f t="shared" si="453"/>
        <v>178930300</v>
      </c>
      <c r="J7266" s="8">
        <f t="shared" si="454"/>
        <v>103475392.49</v>
      </c>
      <c r="K7266" t="str">
        <f t="shared" si="455"/>
        <v>MATCHED</v>
      </c>
    </row>
    <row r="7267" spans="1:11">
      <c r="A7267" t="s">
        <v>134</v>
      </c>
      <c r="B7267" t="s">
        <v>1888</v>
      </c>
      <c r="C7267" t="s">
        <v>524</v>
      </c>
      <c r="D7267" t="s">
        <v>525</v>
      </c>
      <c r="E7267" s="8">
        <v>390</v>
      </c>
      <c r="F7267" s="8">
        <v>145410</v>
      </c>
      <c r="G7267" s="8">
        <f t="shared" si="452"/>
        <v>56709900</v>
      </c>
      <c r="H7267" s="5">
        <v>0.5771</v>
      </c>
      <c r="I7267" s="8">
        <f t="shared" si="453"/>
        <v>56709900</v>
      </c>
      <c r="J7267" s="8">
        <f t="shared" si="454"/>
        <v>32727283.29</v>
      </c>
      <c r="K7267" t="str">
        <f t="shared" si="455"/>
        <v>MATCHED</v>
      </c>
    </row>
    <row r="7268" spans="1:11">
      <c r="A7268" t="s">
        <v>134</v>
      </c>
      <c r="B7268" t="s">
        <v>1888</v>
      </c>
      <c r="C7268" t="s">
        <v>257</v>
      </c>
      <c r="D7268" t="s">
        <v>258</v>
      </c>
      <c r="E7268" s="8">
        <v>4280</v>
      </c>
      <c r="F7268" s="8">
        <v>151700</v>
      </c>
      <c r="G7268" s="8">
        <f t="shared" si="452"/>
        <v>649276000</v>
      </c>
      <c r="H7268" s="5">
        <v>0.5962</v>
      </c>
      <c r="I7268" s="8">
        <f t="shared" si="453"/>
        <v>649276000</v>
      </c>
      <c r="J7268" s="8">
        <f t="shared" si="454"/>
        <v>387098351.2</v>
      </c>
      <c r="K7268" t="str">
        <f t="shared" si="455"/>
        <v>MATCHED</v>
      </c>
    </row>
    <row r="7269" spans="1:11">
      <c r="A7269" t="s">
        <v>134</v>
      </c>
      <c r="B7269" t="s">
        <v>1888</v>
      </c>
      <c r="C7269" t="s">
        <v>526</v>
      </c>
      <c r="D7269" t="s">
        <v>527</v>
      </c>
      <c r="E7269" s="8">
        <v>2200</v>
      </c>
      <c r="F7269" s="8">
        <v>117910</v>
      </c>
      <c r="G7269" s="8">
        <f t="shared" si="452"/>
        <v>259402000</v>
      </c>
      <c r="H7269" s="5">
        <v>0.6833</v>
      </c>
      <c r="I7269" s="8">
        <f t="shared" si="453"/>
        <v>259402000</v>
      </c>
      <c r="J7269" s="8">
        <f t="shared" si="454"/>
        <v>177249386.6</v>
      </c>
      <c r="K7269" t="str">
        <f t="shared" si="455"/>
        <v>MATCHED</v>
      </c>
    </row>
    <row r="7270" spans="1:11">
      <c r="A7270" t="s">
        <v>134</v>
      </c>
      <c r="B7270" t="s">
        <v>1888</v>
      </c>
      <c r="C7270" t="s">
        <v>259</v>
      </c>
      <c r="D7270" t="s">
        <v>260</v>
      </c>
      <c r="E7270" s="8">
        <v>180</v>
      </c>
      <c r="F7270" s="8">
        <v>69190</v>
      </c>
      <c r="G7270" s="8">
        <f t="shared" si="452"/>
        <v>12454200</v>
      </c>
      <c r="H7270" s="5">
        <v>0.22</v>
      </c>
      <c r="I7270" s="8">
        <f t="shared" si="453"/>
        <v>12454200</v>
      </c>
      <c r="J7270" s="8">
        <f t="shared" si="454"/>
        <v>2739924</v>
      </c>
      <c r="K7270" t="str">
        <f t="shared" si="455"/>
        <v>MATCHED</v>
      </c>
    </row>
    <row r="7271" spans="1:11">
      <c r="A7271" t="s">
        <v>134</v>
      </c>
      <c r="B7271" t="s">
        <v>1888</v>
      </c>
      <c r="C7271" t="s">
        <v>528</v>
      </c>
      <c r="D7271" t="s">
        <v>529</v>
      </c>
      <c r="E7271" s="8">
        <v>1070</v>
      </c>
      <c r="F7271" s="8">
        <v>113100</v>
      </c>
      <c r="G7271" s="8">
        <f t="shared" si="452"/>
        <v>121017000</v>
      </c>
      <c r="H7271" s="5">
        <v>0.374</v>
      </c>
      <c r="I7271" s="8">
        <f t="shared" si="453"/>
        <v>121017000</v>
      </c>
      <c r="J7271" s="8">
        <f t="shared" si="454"/>
        <v>45260358</v>
      </c>
      <c r="K7271" t="str">
        <f t="shared" si="455"/>
        <v>MATCHED</v>
      </c>
    </row>
    <row r="7272" spans="1:11">
      <c r="A7272" t="s">
        <v>134</v>
      </c>
      <c r="B7272" t="s">
        <v>1888</v>
      </c>
      <c r="C7272" t="s">
        <v>1705</v>
      </c>
      <c r="D7272" t="s">
        <v>1706</v>
      </c>
      <c r="E7272" s="8">
        <v>2230</v>
      </c>
      <c r="F7272" s="8">
        <v>71340</v>
      </c>
      <c r="G7272" s="8">
        <f t="shared" si="452"/>
        <v>159088200</v>
      </c>
      <c r="H7272" s="5">
        <v>0.4</v>
      </c>
      <c r="I7272" s="8">
        <f t="shared" si="453"/>
        <v>159088200</v>
      </c>
      <c r="J7272" s="8">
        <f t="shared" si="454"/>
        <v>63635280</v>
      </c>
      <c r="K7272" t="str">
        <f t="shared" si="455"/>
        <v>MATCHED</v>
      </c>
    </row>
    <row r="7273" spans="1:11">
      <c r="A7273" t="s">
        <v>134</v>
      </c>
      <c r="B7273" t="s">
        <v>1888</v>
      </c>
      <c r="C7273" t="s">
        <v>1707</v>
      </c>
      <c r="D7273" t="s">
        <v>1708</v>
      </c>
      <c r="E7273" s="8">
        <v>610</v>
      </c>
      <c r="F7273" s="8">
        <v>113190</v>
      </c>
      <c r="G7273" s="8">
        <f t="shared" si="452"/>
        <v>69045900</v>
      </c>
      <c r="H7273" s="5">
        <v>0.3</v>
      </c>
      <c r="I7273" s="8">
        <f t="shared" si="453"/>
        <v>69045900</v>
      </c>
      <c r="J7273" s="8">
        <f t="shared" si="454"/>
        <v>20713770</v>
      </c>
      <c r="K7273" t="str">
        <f t="shared" si="455"/>
        <v>MATCHED</v>
      </c>
    </row>
    <row r="7274" spans="1:11">
      <c r="A7274" t="s">
        <v>134</v>
      </c>
      <c r="B7274" t="s">
        <v>1888</v>
      </c>
      <c r="C7274" t="s">
        <v>1630</v>
      </c>
      <c r="D7274" t="s">
        <v>1631</v>
      </c>
      <c r="E7274" s="8">
        <v>110</v>
      </c>
      <c r="F7274" s="8">
        <v>127410</v>
      </c>
      <c r="G7274" s="8">
        <f t="shared" si="452"/>
        <v>14015100</v>
      </c>
      <c r="H7274" s="5">
        <v>0.4448</v>
      </c>
      <c r="I7274" s="8">
        <f t="shared" si="453"/>
        <v>14015100</v>
      </c>
      <c r="J7274" s="8">
        <f t="shared" si="454"/>
        <v>6233916.48</v>
      </c>
      <c r="K7274" t="str">
        <f t="shared" si="455"/>
        <v>MATCHED</v>
      </c>
    </row>
    <row r="7275" spans="1:11">
      <c r="A7275" t="s">
        <v>134</v>
      </c>
      <c r="B7275" t="s">
        <v>1888</v>
      </c>
      <c r="C7275" t="s">
        <v>1563</v>
      </c>
      <c r="D7275" t="s">
        <v>1564</v>
      </c>
      <c r="E7275" s="8">
        <v>1900</v>
      </c>
      <c r="F7275" s="8">
        <v>93980</v>
      </c>
      <c r="G7275" s="8">
        <f t="shared" si="452"/>
        <v>178562000</v>
      </c>
      <c r="H7275" s="5"/>
      <c r="I7275" s="8" t="str">
        <f t="shared" si="453"/>
        <v/>
      </c>
      <c r="J7275" s="8" t="str">
        <f t="shared" si="454"/>
        <v/>
      </c>
      <c r="K7275" t="str">
        <f t="shared" si="455"/>
        <v>MISSING WHARTON</v>
      </c>
    </row>
    <row r="7276" spans="1:11">
      <c r="A7276" t="s">
        <v>134</v>
      </c>
      <c r="B7276" t="s">
        <v>1888</v>
      </c>
      <c r="C7276" t="s">
        <v>530</v>
      </c>
      <c r="D7276" t="s">
        <v>531</v>
      </c>
      <c r="E7276" s="8">
        <v>770</v>
      </c>
      <c r="F7276" s="8">
        <v>175210</v>
      </c>
      <c r="G7276" s="8">
        <f t="shared" si="452"/>
        <v>134911700</v>
      </c>
      <c r="H7276" s="5">
        <v>0.263</v>
      </c>
      <c r="I7276" s="8">
        <f t="shared" si="453"/>
        <v>134911700</v>
      </c>
      <c r="J7276" s="8">
        <f t="shared" si="454"/>
        <v>35481777.1</v>
      </c>
      <c r="K7276" t="str">
        <f t="shared" si="455"/>
        <v>MATCHED</v>
      </c>
    </row>
    <row r="7277" spans="1:11">
      <c r="A7277" t="s">
        <v>134</v>
      </c>
      <c r="B7277" t="s">
        <v>1888</v>
      </c>
      <c r="C7277" t="s">
        <v>1144</v>
      </c>
      <c r="D7277" t="s">
        <v>1145</v>
      </c>
      <c r="E7277" s="8">
        <v>870</v>
      </c>
      <c r="F7277" s="8">
        <v>85490</v>
      </c>
      <c r="G7277" s="8">
        <f t="shared" si="452"/>
        <v>74376300</v>
      </c>
      <c r="H7277" s="5">
        <v>0.3821</v>
      </c>
      <c r="I7277" s="8">
        <f t="shared" si="453"/>
        <v>74376300</v>
      </c>
      <c r="J7277" s="8">
        <f t="shared" si="454"/>
        <v>28419184.23</v>
      </c>
      <c r="K7277" t="str">
        <f t="shared" si="455"/>
        <v>MATCHED</v>
      </c>
    </row>
    <row r="7278" spans="1:11">
      <c r="A7278" t="s">
        <v>134</v>
      </c>
      <c r="B7278" t="s">
        <v>1888</v>
      </c>
      <c r="C7278" t="s">
        <v>1460</v>
      </c>
      <c r="D7278" t="s">
        <v>1461</v>
      </c>
      <c r="E7278" s="8">
        <v>2300</v>
      </c>
      <c r="F7278" s="8">
        <v>74220</v>
      </c>
      <c r="G7278" s="8">
        <f t="shared" si="452"/>
        <v>170706000</v>
      </c>
      <c r="H7278" s="5">
        <v>0.3176</v>
      </c>
      <c r="I7278" s="8">
        <f t="shared" si="453"/>
        <v>170706000</v>
      </c>
      <c r="J7278" s="8">
        <f t="shared" si="454"/>
        <v>54216225.6</v>
      </c>
      <c r="K7278" t="str">
        <f t="shared" si="455"/>
        <v>MATCHED</v>
      </c>
    </row>
    <row r="7279" spans="1:11">
      <c r="A7279" t="s">
        <v>134</v>
      </c>
      <c r="B7279" t="s">
        <v>1888</v>
      </c>
      <c r="C7279" t="s">
        <v>924</v>
      </c>
      <c r="D7279" t="s">
        <v>925</v>
      </c>
      <c r="E7279" s="8">
        <v>180</v>
      </c>
      <c r="F7279" s="8">
        <v>89190</v>
      </c>
      <c r="G7279" s="8">
        <f t="shared" si="452"/>
        <v>16054200</v>
      </c>
      <c r="H7279" s="5">
        <v>0.4729</v>
      </c>
      <c r="I7279" s="8">
        <f t="shared" si="453"/>
        <v>16054200</v>
      </c>
      <c r="J7279" s="8">
        <f t="shared" si="454"/>
        <v>7592031.18</v>
      </c>
      <c r="K7279" t="str">
        <f t="shared" si="455"/>
        <v>MATCHED</v>
      </c>
    </row>
    <row r="7280" spans="1:11">
      <c r="A7280" t="s">
        <v>134</v>
      </c>
      <c r="B7280" t="s">
        <v>1888</v>
      </c>
      <c r="C7280" t="s">
        <v>1146</v>
      </c>
      <c r="D7280" t="s">
        <v>1147</v>
      </c>
      <c r="E7280" s="8">
        <v>2420</v>
      </c>
      <c r="F7280" s="8">
        <v>131110</v>
      </c>
      <c r="G7280" s="8">
        <f t="shared" si="452"/>
        <v>317286200</v>
      </c>
      <c r="H7280" s="5">
        <v>0.4417</v>
      </c>
      <c r="I7280" s="8">
        <f t="shared" si="453"/>
        <v>317286200</v>
      </c>
      <c r="J7280" s="8">
        <f t="shared" si="454"/>
        <v>140145314.54</v>
      </c>
      <c r="K7280" t="str">
        <f t="shared" si="455"/>
        <v>MATCHED</v>
      </c>
    </row>
    <row r="7281" spans="1:11">
      <c r="A7281" t="s">
        <v>134</v>
      </c>
      <c r="B7281" t="s">
        <v>1888</v>
      </c>
      <c r="C7281" t="s">
        <v>261</v>
      </c>
      <c r="D7281" t="s">
        <v>262</v>
      </c>
      <c r="E7281" s="8">
        <v>1370</v>
      </c>
      <c r="F7281" s="8">
        <v>140960</v>
      </c>
      <c r="G7281" s="8">
        <f t="shared" si="452"/>
        <v>193115200</v>
      </c>
      <c r="H7281" s="5">
        <v>0.382</v>
      </c>
      <c r="I7281" s="8">
        <f t="shared" si="453"/>
        <v>193115200</v>
      </c>
      <c r="J7281" s="8">
        <f t="shared" si="454"/>
        <v>73770006.4</v>
      </c>
      <c r="K7281" t="str">
        <f t="shared" si="455"/>
        <v>MATCHED</v>
      </c>
    </row>
    <row r="7282" spans="1:11">
      <c r="A7282" t="s">
        <v>134</v>
      </c>
      <c r="B7282" t="s">
        <v>1888</v>
      </c>
      <c r="C7282" t="s">
        <v>532</v>
      </c>
      <c r="D7282" t="s">
        <v>533</v>
      </c>
      <c r="E7282" s="8">
        <v>7750</v>
      </c>
      <c r="F7282" s="8">
        <v>77940</v>
      </c>
      <c r="G7282" s="8">
        <f t="shared" si="452"/>
        <v>604035000</v>
      </c>
      <c r="H7282" s="5">
        <v>0.3833</v>
      </c>
      <c r="I7282" s="8">
        <f t="shared" si="453"/>
        <v>604035000</v>
      </c>
      <c r="J7282" s="8">
        <f t="shared" si="454"/>
        <v>231526615.5</v>
      </c>
      <c r="K7282" t="str">
        <f t="shared" si="455"/>
        <v>MATCHED</v>
      </c>
    </row>
    <row r="7283" spans="1:11">
      <c r="A7283" t="s">
        <v>134</v>
      </c>
      <c r="B7283" t="s">
        <v>1888</v>
      </c>
      <c r="C7283" t="s">
        <v>926</v>
      </c>
      <c r="D7283" t="s">
        <v>927</v>
      </c>
      <c r="E7283" s="8">
        <v>20700</v>
      </c>
      <c r="F7283" s="8">
        <v>90460</v>
      </c>
      <c r="G7283" s="8">
        <f t="shared" si="452"/>
        <v>1872522000</v>
      </c>
      <c r="H7283" s="5">
        <v>0.3656</v>
      </c>
      <c r="I7283" s="8">
        <f t="shared" si="453"/>
        <v>1872522000</v>
      </c>
      <c r="J7283" s="8">
        <f t="shared" si="454"/>
        <v>684594043.2</v>
      </c>
      <c r="K7283" t="str">
        <f t="shared" si="455"/>
        <v>MATCHED</v>
      </c>
    </row>
    <row r="7284" spans="1:11">
      <c r="A7284" t="s">
        <v>134</v>
      </c>
      <c r="B7284" t="s">
        <v>1888</v>
      </c>
      <c r="C7284" t="s">
        <v>816</v>
      </c>
      <c r="D7284" t="s">
        <v>817</v>
      </c>
      <c r="E7284" s="8">
        <v>80</v>
      </c>
      <c r="F7284" s="8">
        <v>72090</v>
      </c>
      <c r="G7284" s="8">
        <f t="shared" si="452"/>
        <v>5767200</v>
      </c>
      <c r="H7284" s="5">
        <v>0.4174</v>
      </c>
      <c r="I7284" s="8">
        <f t="shared" si="453"/>
        <v>5767200</v>
      </c>
      <c r="J7284" s="8">
        <f t="shared" si="454"/>
        <v>2407229.28</v>
      </c>
      <c r="K7284" t="str">
        <f t="shared" si="455"/>
        <v>MATCHED</v>
      </c>
    </row>
    <row r="7285" spans="1:11">
      <c r="A7285" t="s">
        <v>134</v>
      </c>
      <c r="B7285" t="s">
        <v>1888</v>
      </c>
      <c r="C7285" t="s">
        <v>1889</v>
      </c>
      <c r="D7285" t="s">
        <v>1890</v>
      </c>
      <c r="E7285" s="8">
        <v>13850</v>
      </c>
      <c r="F7285" s="8">
        <v>92920</v>
      </c>
      <c r="G7285" s="8">
        <f t="shared" si="452"/>
        <v>1286942000</v>
      </c>
      <c r="H7285" s="5">
        <v>0.3</v>
      </c>
      <c r="I7285" s="8">
        <f t="shared" si="453"/>
        <v>1286942000</v>
      </c>
      <c r="J7285" s="8">
        <f t="shared" si="454"/>
        <v>386082600</v>
      </c>
      <c r="K7285" t="str">
        <f t="shared" si="455"/>
        <v>MATCHED</v>
      </c>
    </row>
    <row r="7286" spans="1:11">
      <c r="A7286" t="s">
        <v>134</v>
      </c>
      <c r="B7286" t="s">
        <v>1888</v>
      </c>
      <c r="C7286" t="s">
        <v>1148</v>
      </c>
      <c r="D7286" t="s">
        <v>1149</v>
      </c>
      <c r="E7286" s="8">
        <v>3310</v>
      </c>
      <c r="F7286" s="8">
        <v>71950</v>
      </c>
      <c r="G7286" s="8">
        <f t="shared" si="452"/>
        <v>238154500</v>
      </c>
      <c r="H7286" s="5">
        <v>0.4143</v>
      </c>
      <c r="I7286" s="8">
        <f t="shared" si="453"/>
        <v>238154500</v>
      </c>
      <c r="J7286" s="8">
        <f t="shared" si="454"/>
        <v>98667409.35</v>
      </c>
      <c r="K7286" t="str">
        <f t="shared" si="455"/>
        <v>MATCHED</v>
      </c>
    </row>
    <row r="7287" spans="1:11">
      <c r="A7287" t="s">
        <v>134</v>
      </c>
      <c r="B7287" t="s">
        <v>1888</v>
      </c>
      <c r="C7287" t="s">
        <v>263</v>
      </c>
      <c r="D7287" t="s">
        <v>264</v>
      </c>
      <c r="E7287" s="8">
        <v>20730</v>
      </c>
      <c r="F7287" s="8">
        <v>127260</v>
      </c>
      <c r="G7287" s="8">
        <f t="shared" si="452"/>
        <v>2638099800</v>
      </c>
      <c r="H7287" s="5">
        <v>0.4896</v>
      </c>
      <c r="I7287" s="8">
        <f t="shared" si="453"/>
        <v>2638099800</v>
      </c>
      <c r="J7287" s="8">
        <f t="shared" si="454"/>
        <v>1291613662.08</v>
      </c>
      <c r="K7287" t="str">
        <f t="shared" si="455"/>
        <v>MATCHED</v>
      </c>
    </row>
    <row r="7288" spans="1:11">
      <c r="A7288" t="s">
        <v>134</v>
      </c>
      <c r="B7288" t="s">
        <v>1888</v>
      </c>
      <c r="C7288" t="s">
        <v>265</v>
      </c>
      <c r="D7288" t="s">
        <v>266</v>
      </c>
      <c r="E7288" s="8">
        <v>5790</v>
      </c>
      <c r="F7288" s="8">
        <v>68020</v>
      </c>
      <c r="G7288" s="8">
        <f t="shared" si="452"/>
        <v>393835800</v>
      </c>
      <c r="H7288" s="5">
        <v>0.5876</v>
      </c>
      <c r="I7288" s="8">
        <f t="shared" si="453"/>
        <v>393835800</v>
      </c>
      <c r="J7288" s="8">
        <f t="shared" si="454"/>
        <v>231417916.08</v>
      </c>
      <c r="K7288" t="str">
        <f t="shared" si="455"/>
        <v>MATCHED</v>
      </c>
    </row>
    <row r="7289" spans="1:11">
      <c r="A7289" t="s">
        <v>134</v>
      </c>
      <c r="B7289" t="s">
        <v>1888</v>
      </c>
      <c r="C7289" t="s">
        <v>818</v>
      </c>
      <c r="D7289" t="s">
        <v>819</v>
      </c>
      <c r="E7289" s="8">
        <v>660</v>
      </c>
      <c r="F7289" s="8">
        <v>80340</v>
      </c>
      <c r="G7289" s="8">
        <f t="shared" si="452"/>
        <v>53024400</v>
      </c>
      <c r="H7289" s="5">
        <v>0.6983</v>
      </c>
      <c r="I7289" s="8">
        <f t="shared" si="453"/>
        <v>53024400</v>
      </c>
      <c r="J7289" s="8">
        <f t="shared" si="454"/>
        <v>37026938.52</v>
      </c>
      <c r="K7289" t="str">
        <f t="shared" si="455"/>
        <v>MATCHED</v>
      </c>
    </row>
    <row r="7290" spans="1:11">
      <c r="A7290" t="s">
        <v>134</v>
      </c>
      <c r="B7290" t="s">
        <v>1888</v>
      </c>
      <c r="C7290" t="s">
        <v>1462</v>
      </c>
      <c r="D7290" t="s">
        <v>1463</v>
      </c>
      <c r="E7290" s="8"/>
      <c r="F7290" s="8">
        <v>74190</v>
      </c>
      <c r="G7290" s="8" t="str">
        <f t="shared" si="452"/>
        <v/>
      </c>
      <c r="H7290" s="5">
        <v>0.4714</v>
      </c>
      <c r="I7290" s="8" t="str">
        <f t="shared" si="453"/>
        <v/>
      </c>
      <c r="J7290" s="8" t="str">
        <f t="shared" si="454"/>
        <v/>
      </c>
      <c r="K7290" t="str">
        <f t="shared" si="455"/>
        <v>MISSING OEWS</v>
      </c>
    </row>
    <row r="7291" spans="1:11">
      <c r="A7291" t="s">
        <v>134</v>
      </c>
      <c r="B7291" t="s">
        <v>1888</v>
      </c>
      <c r="C7291" t="s">
        <v>267</v>
      </c>
      <c r="D7291" t="s">
        <v>268</v>
      </c>
      <c r="E7291" s="8">
        <v>5980</v>
      </c>
      <c r="F7291" s="8">
        <v>80350</v>
      </c>
      <c r="G7291" s="8">
        <f t="shared" si="452"/>
        <v>480493000</v>
      </c>
      <c r="H7291" s="5">
        <v>0.4611</v>
      </c>
      <c r="I7291" s="8">
        <f t="shared" si="453"/>
        <v>480493000</v>
      </c>
      <c r="J7291" s="8">
        <f t="shared" si="454"/>
        <v>221555322.3</v>
      </c>
      <c r="K7291" t="str">
        <f t="shared" si="455"/>
        <v>MATCHED</v>
      </c>
    </row>
    <row r="7292" spans="1:11">
      <c r="A7292" t="s">
        <v>134</v>
      </c>
      <c r="B7292" t="s">
        <v>1888</v>
      </c>
      <c r="C7292" t="s">
        <v>534</v>
      </c>
      <c r="D7292" t="s">
        <v>535</v>
      </c>
      <c r="E7292" s="8">
        <v>22050</v>
      </c>
      <c r="F7292" s="8">
        <v>70030</v>
      </c>
      <c r="G7292" s="8">
        <f t="shared" si="452"/>
        <v>1544161500</v>
      </c>
      <c r="H7292" s="5">
        <v>0.6393</v>
      </c>
      <c r="I7292" s="8">
        <f t="shared" si="453"/>
        <v>1544161500</v>
      </c>
      <c r="J7292" s="8">
        <f t="shared" si="454"/>
        <v>987182446.95</v>
      </c>
      <c r="K7292" t="str">
        <f t="shared" si="455"/>
        <v>MATCHED</v>
      </c>
    </row>
    <row r="7293" spans="1:11">
      <c r="A7293" t="s">
        <v>134</v>
      </c>
      <c r="B7293" t="s">
        <v>1888</v>
      </c>
      <c r="C7293" t="s">
        <v>269</v>
      </c>
      <c r="D7293" t="s">
        <v>270</v>
      </c>
      <c r="E7293" s="8">
        <v>16200</v>
      </c>
      <c r="F7293" s="8">
        <v>76140</v>
      </c>
      <c r="G7293" s="8">
        <f t="shared" si="452"/>
        <v>1233468000</v>
      </c>
      <c r="H7293" s="5">
        <v>0.7808</v>
      </c>
      <c r="I7293" s="8">
        <f t="shared" si="453"/>
        <v>1233468000</v>
      </c>
      <c r="J7293" s="8">
        <f t="shared" si="454"/>
        <v>963091814.4</v>
      </c>
      <c r="K7293" t="str">
        <f t="shared" si="455"/>
        <v>MATCHED</v>
      </c>
    </row>
    <row r="7294" spans="1:11">
      <c r="A7294" t="s">
        <v>134</v>
      </c>
      <c r="B7294" t="s">
        <v>1888</v>
      </c>
      <c r="C7294" t="s">
        <v>820</v>
      </c>
      <c r="D7294" t="s">
        <v>821</v>
      </c>
      <c r="E7294" s="8">
        <v>50570</v>
      </c>
      <c r="F7294" s="8">
        <v>98620</v>
      </c>
      <c r="G7294" s="8">
        <f t="shared" si="452"/>
        <v>4987213400</v>
      </c>
      <c r="H7294" s="5">
        <v>0.5536</v>
      </c>
      <c r="I7294" s="8">
        <f t="shared" si="453"/>
        <v>4987213400</v>
      </c>
      <c r="J7294" s="8">
        <f t="shared" si="454"/>
        <v>2760921338.24</v>
      </c>
      <c r="K7294" t="str">
        <f t="shared" si="455"/>
        <v>MATCHED</v>
      </c>
    </row>
    <row r="7295" spans="1:11">
      <c r="A7295" t="s">
        <v>134</v>
      </c>
      <c r="B7295" t="s">
        <v>1888</v>
      </c>
      <c r="C7295" t="s">
        <v>273</v>
      </c>
      <c r="D7295" t="s">
        <v>274</v>
      </c>
      <c r="E7295" s="8">
        <v>1200</v>
      </c>
      <c r="F7295" s="8">
        <v>78220</v>
      </c>
      <c r="G7295" s="8">
        <f t="shared" si="452"/>
        <v>93864000</v>
      </c>
      <c r="H7295" s="5">
        <v>0.6943</v>
      </c>
      <c r="I7295" s="8">
        <f t="shared" si="453"/>
        <v>93864000</v>
      </c>
      <c r="J7295" s="8">
        <f t="shared" si="454"/>
        <v>65169775.2</v>
      </c>
      <c r="K7295" t="str">
        <f t="shared" si="455"/>
        <v>MATCHED</v>
      </c>
    </row>
    <row r="7296" spans="1:11">
      <c r="A7296" t="s">
        <v>134</v>
      </c>
      <c r="B7296" t="s">
        <v>1888</v>
      </c>
      <c r="C7296" t="s">
        <v>275</v>
      </c>
      <c r="D7296" t="s">
        <v>276</v>
      </c>
      <c r="E7296" s="8">
        <v>16020</v>
      </c>
      <c r="F7296" s="8">
        <v>90220</v>
      </c>
      <c r="G7296" s="8">
        <f t="shared" si="452"/>
        <v>1445324400</v>
      </c>
      <c r="H7296" s="5">
        <v>0.6375</v>
      </c>
      <c r="I7296" s="8">
        <f t="shared" si="453"/>
        <v>1445324400</v>
      </c>
      <c r="J7296" s="8">
        <f t="shared" si="454"/>
        <v>921394305</v>
      </c>
      <c r="K7296" t="str">
        <f t="shared" si="455"/>
        <v>MATCHED</v>
      </c>
    </row>
    <row r="7297" spans="1:11">
      <c r="A7297" t="s">
        <v>134</v>
      </c>
      <c r="B7297" t="s">
        <v>1888</v>
      </c>
      <c r="C7297" t="s">
        <v>277</v>
      </c>
      <c r="D7297" t="s">
        <v>278</v>
      </c>
      <c r="E7297" s="8">
        <v>8660</v>
      </c>
      <c r="F7297" s="8">
        <v>106670</v>
      </c>
      <c r="G7297" s="8">
        <f t="shared" si="452"/>
        <v>923762200</v>
      </c>
      <c r="H7297" s="5">
        <v>0.5773</v>
      </c>
      <c r="I7297" s="8">
        <f t="shared" si="453"/>
        <v>923762200</v>
      </c>
      <c r="J7297" s="8">
        <f t="shared" si="454"/>
        <v>533287918.06</v>
      </c>
      <c r="K7297" t="str">
        <f t="shared" si="455"/>
        <v>MATCHED</v>
      </c>
    </row>
    <row r="7298" spans="1:11">
      <c r="A7298" t="s">
        <v>134</v>
      </c>
      <c r="B7298" t="s">
        <v>1888</v>
      </c>
      <c r="C7298" t="s">
        <v>279</v>
      </c>
      <c r="D7298" t="s">
        <v>280</v>
      </c>
      <c r="E7298" s="8">
        <v>20330</v>
      </c>
      <c r="F7298" s="8">
        <v>65680</v>
      </c>
      <c r="G7298" s="8">
        <f t="shared" ref="G7298:G7361" si="456">IF(OR(E7298="",F7298=""),"",E7298*F7298)</f>
        <v>1335274400</v>
      </c>
      <c r="H7298" s="5">
        <v>0.4476</v>
      </c>
      <c r="I7298" s="8">
        <f t="shared" ref="I7298:I7361" si="457">IF(G7298="","",IF(ISNUMBER(H7298),G7298,""))</f>
        <v>1335274400</v>
      </c>
      <c r="J7298" s="8">
        <f t="shared" ref="J7298:J7361" si="458">IF(I7298="","",I7298*H7298)</f>
        <v>597668821.44</v>
      </c>
      <c r="K7298" t="str">
        <f t="shared" ref="K7298:K7361" si="459">IF(G7298="","MISSING OEWS",IF(ISNUMBER(H7298),"MATCHED","MISSING WHARTON"))</f>
        <v>MATCHED</v>
      </c>
    </row>
    <row r="7299" spans="1:11">
      <c r="A7299" t="s">
        <v>134</v>
      </c>
      <c r="B7299" t="s">
        <v>1888</v>
      </c>
      <c r="C7299" t="s">
        <v>928</v>
      </c>
      <c r="D7299" t="s">
        <v>929</v>
      </c>
      <c r="E7299" s="8">
        <v>35980</v>
      </c>
      <c r="F7299" s="8">
        <v>79310</v>
      </c>
      <c r="G7299" s="8">
        <f t="shared" si="456"/>
        <v>2853573800</v>
      </c>
      <c r="H7299" s="5">
        <v>0.5571</v>
      </c>
      <c r="I7299" s="8">
        <f t="shared" si="457"/>
        <v>2853573800</v>
      </c>
      <c r="J7299" s="8">
        <f t="shared" si="458"/>
        <v>1589725963.98</v>
      </c>
      <c r="K7299" t="str">
        <f t="shared" si="459"/>
        <v>MATCHED</v>
      </c>
    </row>
    <row r="7300" spans="1:11">
      <c r="A7300" t="s">
        <v>134</v>
      </c>
      <c r="B7300" t="s">
        <v>1888</v>
      </c>
      <c r="C7300" t="s">
        <v>281</v>
      </c>
      <c r="D7300" t="s">
        <v>282</v>
      </c>
      <c r="E7300" s="8">
        <v>2080</v>
      </c>
      <c r="F7300" s="8">
        <v>85340</v>
      </c>
      <c r="G7300" s="8">
        <f t="shared" si="456"/>
        <v>177507200</v>
      </c>
      <c r="H7300" s="5">
        <v>0.6167</v>
      </c>
      <c r="I7300" s="8">
        <f t="shared" si="457"/>
        <v>177507200</v>
      </c>
      <c r="J7300" s="8">
        <f t="shared" si="458"/>
        <v>109468690.24</v>
      </c>
      <c r="K7300" t="str">
        <f t="shared" si="459"/>
        <v>MATCHED</v>
      </c>
    </row>
    <row r="7301" spans="1:11">
      <c r="A7301" t="s">
        <v>134</v>
      </c>
      <c r="B7301" t="s">
        <v>1888</v>
      </c>
      <c r="C7301" t="s">
        <v>283</v>
      </c>
      <c r="D7301" t="s">
        <v>284</v>
      </c>
      <c r="E7301" s="8">
        <v>15080</v>
      </c>
      <c r="F7301" s="8">
        <v>76590</v>
      </c>
      <c r="G7301" s="8">
        <f t="shared" si="456"/>
        <v>1154977200</v>
      </c>
      <c r="H7301" s="5">
        <v>0.565</v>
      </c>
      <c r="I7301" s="8">
        <f t="shared" si="457"/>
        <v>1154977200</v>
      </c>
      <c r="J7301" s="8">
        <f t="shared" si="458"/>
        <v>652562118</v>
      </c>
      <c r="K7301" t="str">
        <f t="shared" si="459"/>
        <v>MATCHED</v>
      </c>
    </row>
    <row r="7302" spans="1:11">
      <c r="A7302" t="s">
        <v>134</v>
      </c>
      <c r="B7302" t="s">
        <v>1888</v>
      </c>
      <c r="C7302" t="s">
        <v>285</v>
      </c>
      <c r="D7302" t="s">
        <v>286</v>
      </c>
      <c r="E7302" s="8">
        <v>26410</v>
      </c>
      <c r="F7302" s="8">
        <v>72170</v>
      </c>
      <c r="G7302" s="8">
        <f t="shared" si="456"/>
        <v>1906009700</v>
      </c>
      <c r="H7302" s="5">
        <v>0.7792</v>
      </c>
      <c r="I7302" s="8">
        <f t="shared" si="457"/>
        <v>1906009700</v>
      </c>
      <c r="J7302" s="8">
        <f t="shared" si="458"/>
        <v>1485162758.24</v>
      </c>
      <c r="K7302" t="str">
        <f t="shared" si="459"/>
        <v>MATCHED</v>
      </c>
    </row>
    <row r="7303" spans="1:11">
      <c r="A7303" t="s">
        <v>134</v>
      </c>
      <c r="B7303" t="s">
        <v>1888</v>
      </c>
      <c r="C7303" t="s">
        <v>287</v>
      </c>
      <c r="D7303" t="s">
        <v>288</v>
      </c>
      <c r="E7303" s="8">
        <v>47190</v>
      </c>
      <c r="F7303" s="8">
        <v>77460</v>
      </c>
      <c r="G7303" s="8">
        <f t="shared" si="456"/>
        <v>3655337400</v>
      </c>
      <c r="H7303" s="5">
        <v>0.6599</v>
      </c>
      <c r="I7303" s="8">
        <f t="shared" si="457"/>
        <v>3655337400</v>
      </c>
      <c r="J7303" s="8">
        <f t="shared" si="458"/>
        <v>2412157150.26</v>
      </c>
      <c r="K7303" t="str">
        <f t="shared" si="459"/>
        <v>MATCHED</v>
      </c>
    </row>
    <row r="7304" spans="1:11">
      <c r="A7304" t="s">
        <v>134</v>
      </c>
      <c r="B7304" t="s">
        <v>1888</v>
      </c>
      <c r="C7304" t="s">
        <v>289</v>
      </c>
      <c r="D7304" t="s">
        <v>290</v>
      </c>
      <c r="E7304" s="8">
        <v>34570</v>
      </c>
      <c r="F7304" s="8">
        <v>88550</v>
      </c>
      <c r="G7304" s="8">
        <f t="shared" si="456"/>
        <v>3061173500</v>
      </c>
      <c r="H7304" s="5">
        <v>0.795</v>
      </c>
      <c r="I7304" s="8">
        <f t="shared" si="457"/>
        <v>3061173500</v>
      </c>
      <c r="J7304" s="8">
        <f t="shared" si="458"/>
        <v>2433632932.5</v>
      </c>
      <c r="K7304" t="str">
        <f t="shared" si="459"/>
        <v>MATCHED</v>
      </c>
    </row>
    <row r="7305" spans="1:11">
      <c r="A7305" t="s">
        <v>134</v>
      </c>
      <c r="B7305" t="s">
        <v>1888</v>
      </c>
      <c r="C7305" t="s">
        <v>822</v>
      </c>
      <c r="D7305" t="s">
        <v>823</v>
      </c>
      <c r="E7305" s="8">
        <v>110</v>
      </c>
      <c r="F7305" s="8">
        <v>77730</v>
      </c>
      <c r="G7305" s="8">
        <f t="shared" si="456"/>
        <v>8550300</v>
      </c>
      <c r="H7305" s="5">
        <v>0.6102</v>
      </c>
      <c r="I7305" s="8">
        <f t="shared" si="457"/>
        <v>8550300</v>
      </c>
      <c r="J7305" s="8">
        <f t="shared" si="458"/>
        <v>5217393.06</v>
      </c>
      <c r="K7305" t="str">
        <f t="shared" si="459"/>
        <v>MATCHED</v>
      </c>
    </row>
    <row r="7306" spans="1:11">
      <c r="A7306" t="s">
        <v>134</v>
      </c>
      <c r="B7306" t="s">
        <v>1888</v>
      </c>
      <c r="C7306" t="s">
        <v>824</v>
      </c>
      <c r="D7306" t="s">
        <v>825</v>
      </c>
      <c r="E7306" s="8">
        <v>420</v>
      </c>
      <c r="F7306" s="8">
        <v>86700</v>
      </c>
      <c r="G7306" s="8">
        <f t="shared" si="456"/>
        <v>36414000</v>
      </c>
      <c r="H7306" s="5">
        <v>0.8</v>
      </c>
      <c r="I7306" s="8">
        <f t="shared" si="457"/>
        <v>36414000</v>
      </c>
      <c r="J7306" s="8">
        <f t="shared" si="458"/>
        <v>29131200</v>
      </c>
      <c r="K7306" t="str">
        <f t="shared" si="459"/>
        <v>MATCHED</v>
      </c>
    </row>
    <row r="7307" spans="1:11">
      <c r="A7307" t="s">
        <v>134</v>
      </c>
      <c r="B7307" t="s">
        <v>1888</v>
      </c>
      <c r="C7307" t="s">
        <v>536</v>
      </c>
      <c r="D7307" t="s">
        <v>537</v>
      </c>
      <c r="E7307" s="8">
        <v>2440</v>
      </c>
      <c r="F7307" s="8">
        <v>101140</v>
      </c>
      <c r="G7307" s="8">
        <f t="shared" si="456"/>
        <v>246781600</v>
      </c>
      <c r="H7307" s="5">
        <v>0.6904</v>
      </c>
      <c r="I7307" s="8">
        <f t="shared" si="457"/>
        <v>246781600</v>
      </c>
      <c r="J7307" s="8">
        <f t="shared" si="458"/>
        <v>170378016.64</v>
      </c>
      <c r="K7307" t="str">
        <f t="shared" si="459"/>
        <v>MATCHED</v>
      </c>
    </row>
    <row r="7308" spans="1:11">
      <c r="A7308" t="s">
        <v>134</v>
      </c>
      <c r="B7308" t="s">
        <v>1888</v>
      </c>
      <c r="C7308" t="s">
        <v>930</v>
      </c>
      <c r="D7308" t="s">
        <v>931</v>
      </c>
      <c r="E7308" s="8">
        <v>190</v>
      </c>
      <c r="F7308" s="8"/>
      <c r="G7308" s="8" t="str">
        <f t="shared" si="456"/>
        <v/>
      </c>
      <c r="H7308" s="5">
        <v>0.6857</v>
      </c>
      <c r="I7308" s="8" t="str">
        <f t="shared" si="457"/>
        <v/>
      </c>
      <c r="J7308" s="8" t="str">
        <f t="shared" si="458"/>
        <v/>
      </c>
      <c r="K7308" t="str">
        <f t="shared" si="459"/>
        <v>MISSING OEWS</v>
      </c>
    </row>
    <row r="7309" spans="1:11">
      <c r="A7309" t="s">
        <v>134</v>
      </c>
      <c r="B7309" t="s">
        <v>1888</v>
      </c>
      <c r="C7309" t="s">
        <v>1602</v>
      </c>
      <c r="D7309" t="s">
        <v>1603</v>
      </c>
      <c r="E7309" s="8">
        <v>70</v>
      </c>
      <c r="F7309" s="8">
        <v>76920</v>
      </c>
      <c r="G7309" s="8">
        <f t="shared" si="456"/>
        <v>5384400</v>
      </c>
      <c r="H7309" s="5">
        <v>0.95</v>
      </c>
      <c r="I7309" s="8">
        <f t="shared" si="457"/>
        <v>5384400</v>
      </c>
      <c r="J7309" s="8">
        <f t="shared" si="458"/>
        <v>5115180</v>
      </c>
      <c r="K7309" t="str">
        <f t="shared" si="459"/>
        <v>MATCHED</v>
      </c>
    </row>
    <row r="7310" spans="1:11">
      <c r="A7310" t="s">
        <v>134</v>
      </c>
      <c r="B7310" t="s">
        <v>1888</v>
      </c>
      <c r="C7310" t="s">
        <v>828</v>
      </c>
      <c r="D7310" t="s">
        <v>829</v>
      </c>
      <c r="E7310" s="8">
        <v>340</v>
      </c>
      <c r="F7310" s="8">
        <v>115270</v>
      </c>
      <c r="G7310" s="8">
        <f t="shared" si="456"/>
        <v>39191800</v>
      </c>
      <c r="H7310" s="5">
        <v>0.7767</v>
      </c>
      <c r="I7310" s="8">
        <f t="shared" si="457"/>
        <v>39191800</v>
      </c>
      <c r="J7310" s="8">
        <f t="shared" si="458"/>
        <v>30440271.06</v>
      </c>
      <c r="K7310" t="str">
        <f t="shared" si="459"/>
        <v>MATCHED</v>
      </c>
    </row>
    <row r="7311" spans="1:11">
      <c r="A7311" t="s">
        <v>134</v>
      </c>
      <c r="B7311" t="s">
        <v>1888</v>
      </c>
      <c r="C7311" t="s">
        <v>1150</v>
      </c>
      <c r="D7311" t="s">
        <v>1151</v>
      </c>
      <c r="E7311" s="8">
        <v>370</v>
      </c>
      <c r="F7311" s="8">
        <v>140100</v>
      </c>
      <c r="G7311" s="8">
        <f t="shared" si="456"/>
        <v>51837000</v>
      </c>
      <c r="H7311" s="5">
        <v>0.5647</v>
      </c>
      <c r="I7311" s="8">
        <f t="shared" si="457"/>
        <v>51837000</v>
      </c>
      <c r="J7311" s="8">
        <f t="shared" si="458"/>
        <v>29272353.9</v>
      </c>
      <c r="K7311" t="str">
        <f t="shared" si="459"/>
        <v>MATCHED</v>
      </c>
    </row>
    <row r="7312" spans="1:11">
      <c r="A7312" t="s">
        <v>134</v>
      </c>
      <c r="B7312" t="s">
        <v>1888</v>
      </c>
      <c r="C7312" t="s">
        <v>932</v>
      </c>
      <c r="D7312" t="s">
        <v>933</v>
      </c>
      <c r="E7312" s="8">
        <v>400</v>
      </c>
      <c r="F7312" s="8">
        <v>49450</v>
      </c>
      <c r="G7312" s="8">
        <f t="shared" si="456"/>
        <v>19780000</v>
      </c>
      <c r="H7312" s="5">
        <v>0.7587</v>
      </c>
      <c r="I7312" s="8">
        <f t="shared" si="457"/>
        <v>19780000</v>
      </c>
      <c r="J7312" s="8">
        <f t="shared" si="458"/>
        <v>15007086</v>
      </c>
      <c r="K7312" t="str">
        <f t="shared" si="459"/>
        <v>MATCHED</v>
      </c>
    </row>
    <row r="7313" spans="1:11">
      <c r="A7313" t="s">
        <v>134</v>
      </c>
      <c r="B7313" t="s">
        <v>1888</v>
      </c>
      <c r="C7313" t="s">
        <v>934</v>
      </c>
      <c r="D7313" t="s">
        <v>935</v>
      </c>
      <c r="E7313" s="8">
        <v>560</v>
      </c>
      <c r="F7313" s="8">
        <v>82820</v>
      </c>
      <c r="G7313" s="8">
        <f t="shared" si="456"/>
        <v>46379200</v>
      </c>
      <c r="H7313" s="5">
        <v>0.805</v>
      </c>
      <c r="I7313" s="8">
        <f t="shared" si="457"/>
        <v>46379200</v>
      </c>
      <c r="J7313" s="8">
        <f t="shared" si="458"/>
        <v>37335256</v>
      </c>
      <c r="K7313" t="str">
        <f t="shared" si="459"/>
        <v>MATCHED</v>
      </c>
    </row>
    <row r="7314" spans="1:11">
      <c r="A7314" t="s">
        <v>134</v>
      </c>
      <c r="B7314" t="s">
        <v>1888</v>
      </c>
      <c r="C7314" t="s">
        <v>1415</v>
      </c>
      <c r="D7314" t="s">
        <v>1416</v>
      </c>
      <c r="E7314" s="8"/>
      <c r="F7314" s="8">
        <v>59020</v>
      </c>
      <c r="G7314" s="8" t="str">
        <f t="shared" si="456"/>
        <v/>
      </c>
      <c r="H7314" s="5">
        <v>0.9083</v>
      </c>
      <c r="I7314" s="8" t="str">
        <f t="shared" si="457"/>
        <v/>
      </c>
      <c r="J7314" s="8" t="str">
        <f t="shared" si="458"/>
        <v/>
      </c>
      <c r="K7314" t="str">
        <f t="shared" si="459"/>
        <v>MISSING OEWS</v>
      </c>
    </row>
    <row r="7315" spans="1:11">
      <c r="A7315" t="s">
        <v>134</v>
      </c>
      <c r="B7315" t="s">
        <v>1888</v>
      </c>
      <c r="C7315" t="s">
        <v>538</v>
      </c>
      <c r="D7315" t="s">
        <v>539</v>
      </c>
      <c r="E7315" s="8">
        <v>5480</v>
      </c>
      <c r="F7315" s="8">
        <v>58030</v>
      </c>
      <c r="G7315" s="8">
        <f t="shared" si="456"/>
        <v>318004400</v>
      </c>
      <c r="H7315" s="5">
        <v>0.6192</v>
      </c>
      <c r="I7315" s="8">
        <f t="shared" si="457"/>
        <v>318004400</v>
      </c>
      <c r="J7315" s="8">
        <f t="shared" si="458"/>
        <v>196908324.48</v>
      </c>
      <c r="K7315" t="str">
        <f t="shared" si="459"/>
        <v>MATCHED</v>
      </c>
    </row>
    <row r="7316" spans="1:11">
      <c r="A7316" t="s">
        <v>134</v>
      </c>
      <c r="B7316" t="s">
        <v>1888</v>
      </c>
      <c r="C7316" t="s">
        <v>291</v>
      </c>
      <c r="D7316" t="s">
        <v>292</v>
      </c>
      <c r="E7316" s="8">
        <v>2500</v>
      </c>
      <c r="F7316" s="8">
        <v>100680</v>
      </c>
      <c r="G7316" s="8">
        <f t="shared" si="456"/>
        <v>251700000</v>
      </c>
      <c r="H7316" s="5">
        <v>0.6388</v>
      </c>
      <c r="I7316" s="8">
        <f t="shared" si="457"/>
        <v>251700000</v>
      </c>
      <c r="J7316" s="8">
        <f t="shared" si="458"/>
        <v>160785960</v>
      </c>
      <c r="K7316" t="str">
        <f t="shared" si="459"/>
        <v>MATCHED</v>
      </c>
    </row>
    <row r="7317" spans="1:11">
      <c r="A7317" t="s">
        <v>134</v>
      </c>
      <c r="B7317" t="s">
        <v>1888</v>
      </c>
      <c r="C7317" t="s">
        <v>540</v>
      </c>
      <c r="D7317" t="s">
        <v>541</v>
      </c>
      <c r="E7317" s="8">
        <v>890</v>
      </c>
      <c r="F7317" s="8">
        <v>119430</v>
      </c>
      <c r="G7317" s="8">
        <f t="shared" si="456"/>
        <v>106292700</v>
      </c>
      <c r="H7317" s="5">
        <v>0.6292</v>
      </c>
      <c r="I7317" s="8">
        <f t="shared" si="457"/>
        <v>106292700</v>
      </c>
      <c r="J7317" s="8">
        <f t="shared" si="458"/>
        <v>66879366.84</v>
      </c>
      <c r="K7317" t="str">
        <f t="shared" si="459"/>
        <v>MATCHED</v>
      </c>
    </row>
    <row r="7318" spans="1:11">
      <c r="A7318" t="s">
        <v>134</v>
      </c>
      <c r="B7318" t="s">
        <v>1888</v>
      </c>
      <c r="C7318" t="s">
        <v>1152</v>
      </c>
      <c r="D7318" t="s">
        <v>1153</v>
      </c>
      <c r="E7318" s="8">
        <v>30</v>
      </c>
      <c r="F7318" s="8">
        <v>126660</v>
      </c>
      <c r="G7318" s="8">
        <f t="shared" si="456"/>
        <v>3799800</v>
      </c>
      <c r="H7318" s="5">
        <v>0.39</v>
      </c>
      <c r="I7318" s="8">
        <f t="shared" si="457"/>
        <v>3799800</v>
      </c>
      <c r="J7318" s="8">
        <f t="shared" si="458"/>
        <v>1481922</v>
      </c>
      <c r="K7318" t="str">
        <f t="shared" si="459"/>
        <v>MATCHED</v>
      </c>
    </row>
    <row r="7319" spans="1:11">
      <c r="A7319" t="s">
        <v>134</v>
      </c>
      <c r="B7319" t="s">
        <v>1888</v>
      </c>
      <c r="C7319" t="s">
        <v>542</v>
      </c>
      <c r="D7319" t="s">
        <v>543</v>
      </c>
      <c r="E7319" s="8">
        <v>2050</v>
      </c>
      <c r="F7319" s="8">
        <v>77500</v>
      </c>
      <c r="G7319" s="8">
        <f t="shared" si="456"/>
        <v>158875000</v>
      </c>
      <c r="H7319" s="5">
        <v>0.7096</v>
      </c>
      <c r="I7319" s="8">
        <f t="shared" si="457"/>
        <v>158875000</v>
      </c>
      <c r="J7319" s="8">
        <f t="shared" si="458"/>
        <v>112737700</v>
      </c>
      <c r="K7319" t="str">
        <f t="shared" si="459"/>
        <v>MATCHED</v>
      </c>
    </row>
    <row r="7320" spans="1:11">
      <c r="A7320" t="s">
        <v>134</v>
      </c>
      <c r="B7320" t="s">
        <v>1888</v>
      </c>
      <c r="C7320" t="s">
        <v>293</v>
      </c>
      <c r="D7320" t="s">
        <v>294</v>
      </c>
      <c r="E7320" s="8">
        <v>10000</v>
      </c>
      <c r="F7320" s="8">
        <v>62440</v>
      </c>
      <c r="G7320" s="8">
        <f t="shared" si="456"/>
        <v>624400000</v>
      </c>
      <c r="H7320" s="5">
        <v>0.6062</v>
      </c>
      <c r="I7320" s="8">
        <f t="shared" si="457"/>
        <v>624400000</v>
      </c>
      <c r="J7320" s="8">
        <f t="shared" si="458"/>
        <v>378511280</v>
      </c>
      <c r="K7320" t="str">
        <f t="shared" si="459"/>
        <v>MATCHED</v>
      </c>
    </row>
    <row r="7321" spans="1:11">
      <c r="A7321" t="s">
        <v>134</v>
      </c>
      <c r="B7321" t="s">
        <v>1888</v>
      </c>
      <c r="C7321" t="s">
        <v>544</v>
      </c>
      <c r="D7321" t="s">
        <v>545</v>
      </c>
      <c r="E7321" s="8">
        <v>750</v>
      </c>
      <c r="F7321" s="8">
        <v>124740</v>
      </c>
      <c r="G7321" s="8">
        <f t="shared" si="456"/>
        <v>93555000</v>
      </c>
      <c r="H7321" s="5">
        <v>0.6278</v>
      </c>
      <c r="I7321" s="8">
        <f t="shared" si="457"/>
        <v>93555000</v>
      </c>
      <c r="J7321" s="8">
        <f t="shared" si="458"/>
        <v>58733829</v>
      </c>
      <c r="K7321" t="str">
        <f t="shared" si="459"/>
        <v>MATCHED</v>
      </c>
    </row>
    <row r="7322" spans="1:11">
      <c r="A7322" t="s">
        <v>134</v>
      </c>
      <c r="B7322" t="s">
        <v>1888</v>
      </c>
      <c r="C7322" t="s">
        <v>546</v>
      </c>
      <c r="D7322" t="s">
        <v>547</v>
      </c>
      <c r="E7322" s="8">
        <v>2480</v>
      </c>
      <c r="F7322" s="8">
        <v>82660</v>
      </c>
      <c r="G7322" s="8">
        <f t="shared" si="456"/>
        <v>204996800</v>
      </c>
      <c r="H7322" s="5">
        <v>0.8389</v>
      </c>
      <c r="I7322" s="8">
        <f t="shared" si="457"/>
        <v>204996800</v>
      </c>
      <c r="J7322" s="8">
        <f t="shared" si="458"/>
        <v>171971815.52</v>
      </c>
      <c r="K7322" t="str">
        <f t="shared" si="459"/>
        <v>MATCHED</v>
      </c>
    </row>
    <row r="7323" spans="1:11">
      <c r="A7323" t="s">
        <v>134</v>
      </c>
      <c r="B7323" t="s">
        <v>1888</v>
      </c>
      <c r="C7323" t="s">
        <v>548</v>
      </c>
      <c r="D7323" t="s">
        <v>549</v>
      </c>
      <c r="E7323" s="8">
        <v>510</v>
      </c>
      <c r="F7323" s="8">
        <v>132300</v>
      </c>
      <c r="G7323" s="8">
        <f t="shared" si="456"/>
        <v>67473000</v>
      </c>
      <c r="H7323" s="5">
        <v>0.8502</v>
      </c>
      <c r="I7323" s="8">
        <f t="shared" si="457"/>
        <v>67473000</v>
      </c>
      <c r="J7323" s="8">
        <f t="shared" si="458"/>
        <v>57365544.6</v>
      </c>
      <c r="K7323" t="str">
        <f t="shared" si="459"/>
        <v>MATCHED</v>
      </c>
    </row>
    <row r="7324" spans="1:11">
      <c r="A7324" t="s">
        <v>134</v>
      </c>
      <c r="B7324" t="s">
        <v>1888</v>
      </c>
      <c r="C7324" t="s">
        <v>295</v>
      </c>
      <c r="D7324" t="s">
        <v>296</v>
      </c>
      <c r="E7324" s="8">
        <v>3940</v>
      </c>
      <c r="F7324" s="8">
        <v>96750</v>
      </c>
      <c r="G7324" s="8">
        <f t="shared" si="456"/>
        <v>381195000</v>
      </c>
      <c r="H7324" s="5">
        <v>0.695</v>
      </c>
      <c r="I7324" s="8">
        <f t="shared" si="457"/>
        <v>381195000</v>
      </c>
      <c r="J7324" s="8">
        <f t="shared" si="458"/>
        <v>264930525</v>
      </c>
      <c r="K7324" t="str">
        <f t="shared" si="459"/>
        <v>MATCHED</v>
      </c>
    </row>
    <row r="7325" spans="1:11">
      <c r="A7325" t="s">
        <v>134</v>
      </c>
      <c r="B7325" t="s">
        <v>1888</v>
      </c>
      <c r="C7325" t="s">
        <v>550</v>
      </c>
      <c r="D7325" t="s">
        <v>551</v>
      </c>
      <c r="E7325" s="8">
        <v>800</v>
      </c>
      <c r="F7325" s="8">
        <v>83410</v>
      </c>
      <c r="G7325" s="8">
        <f t="shared" si="456"/>
        <v>66728000</v>
      </c>
      <c r="H7325" s="5">
        <v>0.6824</v>
      </c>
      <c r="I7325" s="8">
        <f t="shared" si="457"/>
        <v>66728000</v>
      </c>
      <c r="J7325" s="8">
        <f t="shared" si="458"/>
        <v>45535187.2</v>
      </c>
      <c r="K7325" t="str">
        <f t="shared" si="459"/>
        <v>MATCHED</v>
      </c>
    </row>
    <row r="7326" spans="1:11">
      <c r="A7326" t="s">
        <v>134</v>
      </c>
      <c r="B7326" t="s">
        <v>1888</v>
      </c>
      <c r="C7326" t="s">
        <v>297</v>
      </c>
      <c r="D7326" t="s">
        <v>298</v>
      </c>
      <c r="E7326" s="8">
        <v>6570</v>
      </c>
      <c r="F7326" s="8">
        <v>130060</v>
      </c>
      <c r="G7326" s="8">
        <f t="shared" si="456"/>
        <v>854494200</v>
      </c>
      <c r="H7326" s="5">
        <v>0.5211</v>
      </c>
      <c r="I7326" s="8">
        <f t="shared" si="457"/>
        <v>854494200</v>
      </c>
      <c r="J7326" s="8">
        <f t="shared" si="458"/>
        <v>445276927.62</v>
      </c>
      <c r="K7326" t="str">
        <f t="shared" si="459"/>
        <v>MATCHED</v>
      </c>
    </row>
    <row r="7327" spans="1:11">
      <c r="A7327" t="s">
        <v>134</v>
      </c>
      <c r="B7327" t="s">
        <v>1888</v>
      </c>
      <c r="C7327" t="s">
        <v>552</v>
      </c>
      <c r="D7327" t="s">
        <v>553</v>
      </c>
      <c r="E7327" s="8">
        <v>830</v>
      </c>
      <c r="F7327" s="8">
        <v>97870</v>
      </c>
      <c r="G7327" s="8">
        <f t="shared" si="456"/>
        <v>81232100</v>
      </c>
      <c r="H7327" s="5">
        <v>0.8117</v>
      </c>
      <c r="I7327" s="8">
        <f t="shared" si="457"/>
        <v>81232100</v>
      </c>
      <c r="J7327" s="8">
        <f t="shared" si="458"/>
        <v>65936095.57</v>
      </c>
      <c r="K7327" t="str">
        <f t="shared" si="459"/>
        <v>MATCHED</v>
      </c>
    </row>
    <row r="7328" spans="1:11">
      <c r="A7328" t="s">
        <v>134</v>
      </c>
      <c r="B7328" t="s">
        <v>1888</v>
      </c>
      <c r="C7328" t="s">
        <v>830</v>
      </c>
      <c r="D7328" t="s">
        <v>831</v>
      </c>
      <c r="E7328" s="8">
        <v>1640</v>
      </c>
      <c r="F7328" s="8">
        <v>89660</v>
      </c>
      <c r="G7328" s="8">
        <f t="shared" si="456"/>
        <v>147042400</v>
      </c>
      <c r="H7328" s="5">
        <v>0.8276</v>
      </c>
      <c r="I7328" s="8">
        <f t="shared" si="457"/>
        <v>147042400</v>
      </c>
      <c r="J7328" s="8">
        <f t="shared" si="458"/>
        <v>121692290.24</v>
      </c>
      <c r="K7328" t="str">
        <f t="shared" si="459"/>
        <v>MATCHED</v>
      </c>
    </row>
    <row r="7329" spans="1:11">
      <c r="A7329" t="s">
        <v>134</v>
      </c>
      <c r="B7329" t="s">
        <v>1888</v>
      </c>
      <c r="C7329" t="s">
        <v>832</v>
      </c>
      <c r="D7329" t="s">
        <v>833</v>
      </c>
      <c r="E7329" s="8">
        <v>2290</v>
      </c>
      <c r="F7329" s="8">
        <v>86330</v>
      </c>
      <c r="G7329" s="8">
        <f t="shared" si="456"/>
        <v>197695700</v>
      </c>
      <c r="H7329" s="5">
        <v>0.6827</v>
      </c>
      <c r="I7329" s="8">
        <f t="shared" si="457"/>
        <v>197695700</v>
      </c>
      <c r="J7329" s="8">
        <f t="shared" si="458"/>
        <v>134966854.39</v>
      </c>
      <c r="K7329" t="str">
        <f t="shared" si="459"/>
        <v>MATCHED</v>
      </c>
    </row>
    <row r="7330" spans="1:11">
      <c r="A7330" t="s">
        <v>134</v>
      </c>
      <c r="B7330" t="s">
        <v>1888</v>
      </c>
      <c r="C7330" t="s">
        <v>299</v>
      </c>
      <c r="D7330" t="s">
        <v>300</v>
      </c>
      <c r="E7330" s="8">
        <v>4370</v>
      </c>
      <c r="F7330" s="8">
        <v>93740</v>
      </c>
      <c r="G7330" s="8">
        <f t="shared" si="456"/>
        <v>409643800</v>
      </c>
      <c r="H7330" s="5">
        <v>0.7425</v>
      </c>
      <c r="I7330" s="8">
        <f t="shared" si="457"/>
        <v>409643800</v>
      </c>
      <c r="J7330" s="8">
        <f t="shared" si="458"/>
        <v>304160521.5</v>
      </c>
      <c r="K7330" t="str">
        <f t="shared" si="459"/>
        <v>MATCHED</v>
      </c>
    </row>
    <row r="7331" spans="1:11">
      <c r="A7331" t="s">
        <v>134</v>
      </c>
      <c r="B7331" t="s">
        <v>1888</v>
      </c>
      <c r="C7331" t="s">
        <v>1604</v>
      </c>
      <c r="D7331" t="s">
        <v>1605</v>
      </c>
      <c r="E7331" s="8">
        <v>50</v>
      </c>
      <c r="F7331" s="8">
        <v>164190</v>
      </c>
      <c r="G7331" s="8">
        <f t="shared" si="456"/>
        <v>8209500</v>
      </c>
      <c r="H7331" s="5">
        <v>0.74</v>
      </c>
      <c r="I7331" s="8">
        <f t="shared" si="457"/>
        <v>8209500</v>
      </c>
      <c r="J7331" s="8">
        <f t="shared" si="458"/>
        <v>6075030</v>
      </c>
      <c r="K7331" t="str">
        <f t="shared" si="459"/>
        <v>MATCHED</v>
      </c>
    </row>
    <row r="7332" spans="1:11">
      <c r="A7332" t="s">
        <v>134</v>
      </c>
      <c r="B7332" t="s">
        <v>1888</v>
      </c>
      <c r="C7332" t="s">
        <v>554</v>
      </c>
      <c r="D7332" t="s">
        <v>555</v>
      </c>
      <c r="E7332" s="8">
        <v>870</v>
      </c>
      <c r="F7332" s="8">
        <v>89630</v>
      </c>
      <c r="G7332" s="8">
        <f t="shared" si="456"/>
        <v>77978100</v>
      </c>
      <c r="H7332" s="5">
        <v>0.6031</v>
      </c>
      <c r="I7332" s="8">
        <f t="shared" si="457"/>
        <v>77978100</v>
      </c>
      <c r="J7332" s="8">
        <f t="shared" si="458"/>
        <v>47028592.11</v>
      </c>
      <c r="K7332" t="str">
        <f t="shared" si="459"/>
        <v>MATCHED</v>
      </c>
    </row>
    <row r="7333" spans="1:11">
      <c r="A7333" t="s">
        <v>134</v>
      </c>
      <c r="B7333" t="s">
        <v>1888</v>
      </c>
      <c r="C7333" t="s">
        <v>1156</v>
      </c>
      <c r="D7333" t="s">
        <v>1157</v>
      </c>
      <c r="E7333" s="8">
        <v>370</v>
      </c>
      <c r="F7333" s="8">
        <v>90420</v>
      </c>
      <c r="G7333" s="8">
        <f t="shared" si="456"/>
        <v>33455400</v>
      </c>
      <c r="H7333" s="5">
        <v>0.7282</v>
      </c>
      <c r="I7333" s="8">
        <f t="shared" si="457"/>
        <v>33455400</v>
      </c>
      <c r="J7333" s="8">
        <f t="shared" si="458"/>
        <v>24362222.28</v>
      </c>
      <c r="K7333" t="str">
        <f t="shared" si="459"/>
        <v>MATCHED</v>
      </c>
    </row>
    <row r="7334" spans="1:11">
      <c r="A7334" t="s">
        <v>134</v>
      </c>
      <c r="B7334" t="s">
        <v>1888</v>
      </c>
      <c r="C7334" t="s">
        <v>556</v>
      </c>
      <c r="D7334" t="s">
        <v>557</v>
      </c>
      <c r="E7334" s="8">
        <v>3280</v>
      </c>
      <c r="F7334" s="8">
        <v>95660</v>
      </c>
      <c r="G7334" s="8">
        <f t="shared" si="456"/>
        <v>313764800</v>
      </c>
      <c r="H7334" s="5">
        <v>0.8228</v>
      </c>
      <c r="I7334" s="8">
        <f t="shared" si="457"/>
        <v>313764800</v>
      </c>
      <c r="J7334" s="8">
        <f t="shared" si="458"/>
        <v>258165677.44</v>
      </c>
      <c r="K7334" t="str">
        <f t="shared" si="459"/>
        <v>MATCHED</v>
      </c>
    </row>
    <row r="7335" spans="1:11">
      <c r="A7335" t="s">
        <v>134</v>
      </c>
      <c r="B7335" t="s">
        <v>1888</v>
      </c>
      <c r="C7335" t="s">
        <v>1158</v>
      </c>
      <c r="D7335" t="s">
        <v>1159</v>
      </c>
      <c r="E7335" s="8">
        <v>70</v>
      </c>
      <c r="F7335" s="8">
        <v>78450</v>
      </c>
      <c r="G7335" s="8">
        <f t="shared" si="456"/>
        <v>5491500</v>
      </c>
      <c r="H7335" s="5">
        <v>0.7711</v>
      </c>
      <c r="I7335" s="8">
        <f t="shared" si="457"/>
        <v>5491500</v>
      </c>
      <c r="J7335" s="8">
        <f t="shared" si="458"/>
        <v>4234495.65</v>
      </c>
      <c r="K7335" t="str">
        <f t="shared" si="459"/>
        <v>MATCHED</v>
      </c>
    </row>
    <row r="7336" spans="1:11">
      <c r="A7336" t="s">
        <v>134</v>
      </c>
      <c r="B7336" t="s">
        <v>1888</v>
      </c>
      <c r="C7336" t="s">
        <v>834</v>
      </c>
      <c r="D7336" t="s">
        <v>835</v>
      </c>
      <c r="E7336" s="8"/>
      <c r="F7336" s="8">
        <v>89200</v>
      </c>
      <c r="G7336" s="8" t="str">
        <f t="shared" si="456"/>
        <v/>
      </c>
      <c r="H7336" s="5">
        <v>0.5375</v>
      </c>
      <c r="I7336" s="8" t="str">
        <f t="shared" si="457"/>
        <v/>
      </c>
      <c r="J7336" s="8" t="str">
        <f t="shared" si="458"/>
        <v/>
      </c>
      <c r="K7336" t="str">
        <f t="shared" si="459"/>
        <v>MISSING OEWS</v>
      </c>
    </row>
    <row r="7337" spans="1:11">
      <c r="A7337" t="s">
        <v>134</v>
      </c>
      <c r="B7337" t="s">
        <v>1888</v>
      </c>
      <c r="C7337" t="s">
        <v>936</v>
      </c>
      <c r="D7337" t="s">
        <v>937</v>
      </c>
      <c r="E7337" s="8"/>
      <c r="F7337" s="8">
        <v>63180</v>
      </c>
      <c r="G7337" s="8" t="str">
        <f t="shared" si="456"/>
        <v/>
      </c>
      <c r="H7337" s="5">
        <v>0.3342</v>
      </c>
      <c r="I7337" s="8" t="str">
        <f t="shared" si="457"/>
        <v/>
      </c>
      <c r="J7337" s="8" t="str">
        <f t="shared" si="458"/>
        <v/>
      </c>
      <c r="K7337" t="str">
        <f t="shared" si="459"/>
        <v>MISSING OEWS</v>
      </c>
    </row>
    <row r="7338" spans="1:11">
      <c r="A7338" t="s">
        <v>134</v>
      </c>
      <c r="B7338" t="s">
        <v>1888</v>
      </c>
      <c r="C7338" t="s">
        <v>558</v>
      </c>
      <c r="D7338" t="s">
        <v>559</v>
      </c>
      <c r="E7338" s="8">
        <v>120</v>
      </c>
      <c r="F7338" s="8">
        <v>104470</v>
      </c>
      <c r="G7338" s="8">
        <f t="shared" si="456"/>
        <v>12536400</v>
      </c>
      <c r="H7338" s="5">
        <v>0.7929</v>
      </c>
      <c r="I7338" s="8">
        <f t="shared" si="457"/>
        <v>12536400</v>
      </c>
      <c r="J7338" s="8">
        <f t="shared" si="458"/>
        <v>9940111.56</v>
      </c>
      <c r="K7338" t="str">
        <f t="shared" si="459"/>
        <v>MATCHED</v>
      </c>
    </row>
    <row r="7339" spans="1:11">
      <c r="A7339" t="s">
        <v>134</v>
      </c>
      <c r="B7339" t="s">
        <v>1888</v>
      </c>
      <c r="C7339" t="s">
        <v>560</v>
      </c>
      <c r="D7339" t="s">
        <v>561</v>
      </c>
      <c r="E7339" s="8"/>
      <c r="F7339" s="8">
        <v>59960</v>
      </c>
      <c r="G7339" s="8" t="str">
        <f t="shared" si="456"/>
        <v/>
      </c>
      <c r="H7339" s="5">
        <v>0.3682</v>
      </c>
      <c r="I7339" s="8" t="str">
        <f t="shared" si="457"/>
        <v/>
      </c>
      <c r="J7339" s="8" t="str">
        <f t="shared" si="458"/>
        <v/>
      </c>
      <c r="K7339" t="str">
        <f t="shared" si="459"/>
        <v>MISSING OEWS</v>
      </c>
    </row>
    <row r="7340" spans="1:11">
      <c r="A7340" t="s">
        <v>134</v>
      </c>
      <c r="B7340" t="s">
        <v>1888</v>
      </c>
      <c r="C7340" t="s">
        <v>1160</v>
      </c>
      <c r="D7340" t="s">
        <v>1161</v>
      </c>
      <c r="E7340" s="8"/>
      <c r="F7340" s="8">
        <v>135940</v>
      </c>
      <c r="G7340" s="8" t="str">
        <f t="shared" si="456"/>
        <v/>
      </c>
      <c r="H7340" s="5">
        <v>0.5333</v>
      </c>
      <c r="I7340" s="8" t="str">
        <f t="shared" si="457"/>
        <v/>
      </c>
      <c r="J7340" s="8" t="str">
        <f t="shared" si="458"/>
        <v/>
      </c>
      <c r="K7340" t="str">
        <f t="shared" si="459"/>
        <v>MISSING OEWS</v>
      </c>
    </row>
    <row r="7341" spans="1:11">
      <c r="A7341" t="s">
        <v>134</v>
      </c>
      <c r="B7341" t="s">
        <v>1888</v>
      </c>
      <c r="C7341" t="s">
        <v>1162</v>
      </c>
      <c r="D7341" t="s">
        <v>1163</v>
      </c>
      <c r="E7341" s="8">
        <v>670</v>
      </c>
      <c r="F7341" s="8">
        <v>97810</v>
      </c>
      <c r="G7341" s="8">
        <f t="shared" si="456"/>
        <v>65532700</v>
      </c>
      <c r="H7341" s="5">
        <v>0.4067</v>
      </c>
      <c r="I7341" s="8">
        <f t="shared" si="457"/>
        <v>65532700</v>
      </c>
      <c r="J7341" s="8">
        <f t="shared" si="458"/>
        <v>26652149.09</v>
      </c>
      <c r="K7341" t="str">
        <f t="shared" si="459"/>
        <v>MATCHED</v>
      </c>
    </row>
    <row r="7342" spans="1:11">
      <c r="A7342" t="s">
        <v>134</v>
      </c>
      <c r="B7342" t="s">
        <v>1888</v>
      </c>
      <c r="C7342" t="s">
        <v>564</v>
      </c>
      <c r="D7342" t="s">
        <v>565</v>
      </c>
      <c r="E7342" s="8">
        <v>300</v>
      </c>
      <c r="F7342" s="8">
        <v>104050</v>
      </c>
      <c r="G7342" s="8">
        <f t="shared" si="456"/>
        <v>31215000</v>
      </c>
      <c r="H7342" s="5">
        <v>0.4218</v>
      </c>
      <c r="I7342" s="8">
        <f t="shared" si="457"/>
        <v>31215000</v>
      </c>
      <c r="J7342" s="8">
        <f t="shared" si="458"/>
        <v>13166487</v>
      </c>
      <c r="K7342" t="str">
        <f t="shared" si="459"/>
        <v>MATCHED</v>
      </c>
    </row>
    <row r="7343" spans="1:11">
      <c r="A7343" t="s">
        <v>134</v>
      </c>
      <c r="B7343" t="s">
        <v>1888</v>
      </c>
      <c r="C7343" t="s">
        <v>838</v>
      </c>
      <c r="D7343" t="s">
        <v>839</v>
      </c>
      <c r="E7343" s="8"/>
      <c r="F7343" s="8">
        <v>132700</v>
      </c>
      <c r="G7343" s="8" t="str">
        <f t="shared" si="456"/>
        <v/>
      </c>
      <c r="H7343" s="5">
        <v>0.3639</v>
      </c>
      <c r="I7343" s="8" t="str">
        <f t="shared" si="457"/>
        <v/>
      </c>
      <c r="J7343" s="8" t="str">
        <f t="shared" si="458"/>
        <v/>
      </c>
      <c r="K7343" t="str">
        <f t="shared" si="459"/>
        <v>MISSING OEWS</v>
      </c>
    </row>
    <row r="7344" spans="1:11">
      <c r="A7344" t="s">
        <v>134</v>
      </c>
      <c r="B7344" t="s">
        <v>1888</v>
      </c>
      <c r="C7344" t="s">
        <v>566</v>
      </c>
      <c r="D7344" t="s">
        <v>567</v>
      </c>
      <c r="E7344" s="8">
        <v>1300</v>
      </c>
      <c r="F7344" s="8">
        <v>116700</v>
      </c>
      <c r="G7344" s="8">
        <f t="shared" si="456"/>
        <v>151710000</v>
      </c>
      <c r="H7344" s="5">
        <v>0.3523</v>
      </c>
      <c r="I7344" s="8">
        <f t="shared" si="457"/>
        <v>151710000</v>
      </c>
      <c r="J7344" s="8">
        <f t="shared" si="458"/>
        <v>53447433</v>
      </c>
      <c r="K7344" t="str">
        <f t="shared" si="459"/>
        <v>MATCHED</v>
      </c>
    </row>
    <row r="7345" spans="1:11">
      <c r="A7345" t="s">
        <v>134</v>
      </c>
      <c r="B7345" t="s">
        <v>1888</v>
      </c>
      <c r="C7345" t="s">
        <v>568</v>
      </c>
      <c r="D7345" t="s">
        <v>569</v>
      </c>
      <c r="E7345" s="8">
        <v>570</v>
      </c>
      <c r="F7345" s="8">
        <v>99880</v>
      </c>
      <c r="G7345" s="8">
        <f t="shared" si="456"/>
        <v>56931600</v>
      </c>
      <c r="H7345" s="5">
        <v>0.4536</v>
      </c>
      <c r="I7345" s="8">
        <f t="shared" si="457"/>
        <v>56931600</v>
      </c>
      <c r="J7345" s="8">
        <f t="shared" si="458"/>
        <v>25824173.76</v>
      </c>
      <c r="K7345" t="str">
        <f t="shared" si="459"/>
        <v>MATCHED</v>
      </c>
    </row>
    <row r="7346" spans="1:11">
      <c r="A7346" t="s">
        <v>134</v>
      </c>
      <c r="B7346" t="s">
        <v>1888</v>
      </c>
      <c r="C7346" t="s">
        <v>570</v>
      </c>
      <c r="D7346" t="s">
        <v>571</v>
      </c>
      <c r="E7346" s="8">
        <v>160</v>
      </c>
      <c r="F7346" s="8">
        <v>82180</v>
      </c>
      <c r="G7346" s="8">
        <f t="shared" si="456"/>
        <v>13148800</v>
      </c>
      <c r="H7346" s="5">
        <v>0.5196</v>
      </c>
      <c r="I7346" s="8">
        <f t="shared" si="457"/>
        <v>13148800</v>
      </c>
      <c r="J7346" s="8">
        <f t="shared" si="458"/>
        <v>6832116.48</v>
      </c>
      <c r="K7346" t="str">
        <f t="shared" si="459"/>
        <v>MATCHED</v>
      </c>
    </row>
    <row r="7347" spans="1:11">
      <c r="A7347" t="s">
        <v>134</v>
      </c>
      <c r="B7347" t="s">
        <v>1888</v>
      </c>
      <c r="C7347" t="s">
        <v>572</v>
      </c>
      <c r="D7347" t="s">
        <v>573</v>
      </c>
      <c r="E7347" s="8">
        <v>90</v>
      </c>
      <c r="F7347" s="8">
        <v>91150</v>
      </c>
      <c r="G7347" s="8">
        <f t="shared" si="456"/>
        <v>8203500</v>
      </c>
      <c r="H7347" s="5">
        <v>0.2672</v>
      </c>
      <c r="I7347" s="8">
        <f t="shared" si="457"/>
        <v>8203500</v>
      </c>
      <c r="J7347" s="8">
        <f t="shared" si="458"/>
        <v>2191975.2</v>
      </c>
      <c r="K7347" t="str">
        <f t="shared" si="459"/>
        <v>MATCHED</v>
      </c>
    </row>
    <row r="7348" spans="1:11">
      <c r="A7348" t="s">
        <v>134</v>
      </c>
      <c r="B7348" t="s">
        <v>1888</v>
      </c>
      <c r="C7348" t="s">
        <v>301</v>
      </c>
      <c r="D7348" t="s">
        <v>302</v>
      </c>
      <c r="E7348" s="8">
        <v>1580</v>
      </c>
      <c r="F7348" s="8">
        <v>106540</v>
      </c>
      <c r="G7348" s="8">
        <f t="shared" si="456"/>
        <v>168333200</v>
      </c>
      <c r="H7348" s="5">
        <v>0.4786</v>
      </c>
      <c r="I7348" s="8">
        <f t="shared" si="457"/>
        <v>168333200</v>
      </c>
      <c r="J7348" s="8">
        <f t="shared" si="458"/>
        <v>80564269.52</v>
      </c>
      <c r="K7348" t="str">
        <f t="shared" si="459"/>
        <v>MATCHED</v>
      </c>
    </row>
    <row r="7349" spans="1:11">
      <c r="A7349" t="s">
        <v>134</v>
      </c>
      <c r="B7349" t="s">
        <v>1888</v>
      </c>
      <c r="C7349" t="s">
        <v>574</v>
      </c>
      <c r="D7349" t="s">
        <v>575</v>
      </c>
      <c r="E7349" s="8">
        <v>70</v>
      </c>
      <c r="F7349" s="8">
        <v>119750</v>
      </c>
      <c r="G7349" s="8">
        <f t="shared" si="456"/>
        <v>8382500</v>
      </c>
      <c r="H7349" s="5">
        <v>0.269</v>
      </c>
      <c r="I7349" s="8">
        <f t="shared" si="457"/>
        <v>8382500</v>
      </c>
      <c r="J7349" s="8">
        <f t="shared" si="458"/>
        <v>2254892.5</v>
      </c>
      <c r="K7349" t="str">
        <f t="shared" si="459"/>
        <v>MATCHED</v>
      </c>
    </row>
    <row r="7350" spans="1:11">
      <c r="A7350" t="s">
        <v>134</v>
      </c>
      <c r="B7350" t="s">
        <v>1888</v>
      </c>
      <c r="C7350" t="s">
        <v>576</v>
      </c>
      <c r="D7350" t="s">
        <v>577</v>
      </c>
      <c r="E7350" s="8">
        <v>1690</v>
      </c>
      <c r="F7350" s="8">
        <v>109840</v>
      </c>
      <c r="G7350" s="8">
        <f t="shared" si="456"/>
        <v>185629600</v>
      </c>
      <c r="H7350" s="5">
        <v>0.3008</v>
      </c>
      <c r="I7350" s="8">
        <f t="shared" si="457"/>
        <v>185629600</v>
      </c>
      <c r="J7350" s="8">
        <f t="shared" si="458"/>
        <v>55837383.68</v>
      </c>
      <c r="K7350" t="str">
        <f t="shared" si="459"/>
        <v>MATCHED</v>
      </c>
    </row>
    <row r="7351" spans="1:11">
      <c r="A7351" t="s">
        <v>134</v>
      </c>
      <c r="B7351" t="s">
        <v>1888</v>
      </c>
      <c r="C7351" t="s">
        <v>582</v>
      </c>
      <c r="D7351" t="s">
        <v>583</v>
      </c>
      <c r="E7351" s="8">
        <v>820</v>
      </c>
      <c r="F7351" s="8">
        <v>102980</v>
      </c>
      <c r="G7351" s="8">
        <f t="shared" si="456"/>
        <v>84443600</v>
      </c>
      <c r="H7351" s="5">
        <v>0.315</v>
      </c>
      <c r="I7351" s="8">
        <f t="shared" si="457"/>
        <v>84443600</v>
      </c>
      <c r="J7351" s="8">
        <f t="shared" si="458"/>
        <v>26599734</v>
      </c>
      <c r="K7351" t="str">
        <f t="shared" si="459"/>
        <v>MATCHED</v>
      </c>
    </row>
    <row r="7352" spans="1:11">
      <c r="A7352" t="s">
        <v>134</v>
      </c>
      <c r="B7352" t="s">
        <v>1888</v>
      </c>
      <c r="C7352" t="s">
        <v>584</v>
      </c>
      <c r="D7352" t="s">
        <v>585</v>
      </c>
      <c r="E7352" s="8">
        <v>30</v>
      </c>
      <c r="F7352" s="8">
        <v>76480</v>
      </c>
      <c r="G7352" s="8">
        <f t="shared" si="456"/>
        <v>2294400</v>
      </c>
      <c r="H7352" s="5">
        <v>0.7</v>
      </c>
      <c r="I7352" s="8">
        <f t="shared" si="457"/>
        <v>2294400</v>
      </c>
      <c r="J7352" s="8">
        <f t="shared" si="458"/>
        <v>1606080</v>
      </c>
      <c r="K7352" t="str">
        <f t="shared" si="459"/>
        <v>MATCHED</v>
      </c>
    </row>
    <row r="7353" spans="1:11">
      <c r="A7353" t="s">
        <v>134</v>
      </c>
      <c r="B7353" t="s">
        <v>1888</v>
      </c>
      <c r="C7353" t="s">
        <v>842</v>
      </c>
      <c r="D7353" t="s">
        <v>843</v>
      </c>
      <c r="E7353" s="8"/>
      <c r="F7353" s="8">
        <v>89430</v>
      </c>
      <c r="G7353" s="8" t="str">
        <f t="shared" si="456"/>
        <v/>
      </c>
      <c r="H7353" s="5">
        <v>0.5217</v>
      </c>
      <c r="I7353" s="8" t="str">
        <f t="shared" si="457"/>
        <v/>
      </c>
      <c r="J7353" s="8" t="str">
        <f t="shared" si="458"/>
        <v/>
      </c>
      <c r="K7353" t="str">
        <f t="shared" si="459"/>
        <v>MISSING OEWS</v>
      </c>
    </row>
    <row r="7354" spans="1:11">
      <c r="A7354" t="s">
        <v>134</v>
      </c>
      <c r="B7354" t="s">
        <v>1888</v>
      </c>
      <c r="C7354" t="s">
        <v>586</v>
      </c>
      <c r="D7354" t="s">
        <v>587</v>
      </c>
      <c r="E7354" s="8">
        <v>150</v>
      </c>
      <c r="F7354" s="8">
        <v>66370</v>
      </c>
      <c r="G7354" s="8">
        <f t="shared" si="456"/>
        <v>9955500</v>
      </c>
      <c r="H7354" s="5">
        <v>0.71</v>
      </c>
      <c r="I7354" s="8">
        <f t="shared" si="457"/>
        <v>9955500</v>
      </c>
      <c r="J7354" s="8">
        <f t="shared" si="458"/>
        <v>7068405</v>
      </c>
      <c r="K7354" t="str">
        <f t="shared" si="459"/>
        <v>MATCHED</v>
      </c>
    </row>
    <row r="7355" spans="1:11">
      <c r="A7355" t="s">
        <v>134</v>
      </c>
      <c r="B7355" t="s">
        <v>1888</v>
      </c>
      <c r="C7355" t="s">
        <v>588</v>
      </c>
      <c r="D7355" t="s">
        <v>589</v>
      </c>
      <c r="E7355" s="8">
        <v>140</v>
      </c>
      <c r="F7355" s="8">
        <v>67470</v>
      </c>
      <c r="G7355" s="8">
        <f t="shared" si="456"/>
        <v>9445800</v>
      </c>
      <c r="H7355" s="5"/>
      <c r="I7355" s="8" t="str">
        <f t="shared" si="457"/>
        <v/>
      </c>
      <c r="J7355" s="8" t="str">
        <f t="shared" si="458"/>
        <v/>
      </c>
      <c r="K7355" t="str">
        <f t="shared" si="459"/>
        <v>MISSING WHARTON</v>
      </c>
    </row>
    <row r="7356" spans="1:11">
      <c r="A7356" t="s">
        <v>134</v>
      </c>
      <c r="B7356" t="s">
        <v>1888</v>
      </c>
      <c r="C7356" t="s">
        <v>592</v>
      </c>
      <c r="D7356" t="s">
        <v>593</v>
      </c>
      <c r="E7356" s="8">
        <v>420</v>
      </c>
      <c r="F7356" s="8">
        <v>74110</v>
      </c>
      <c r="G7356" s="8">
        <f t="shared" si="456"/>
        <v>31126200</v>
      </c>
      <c r="H7356" s="5">
        <v>0.4</v>
      </c>
      <c r="I7356" s="8">
        <f t="shared" si="457"/>
        <v>31126200</v>
      </c>
      <c r="J7356" s="8">
        <f t="shared" si="458"/>
        <v>12450480</v>
      </c>
      <c r="K7356" t="str">
        <f t="shared" si="459"/>
        <v>MATCHED</v>
      </c>
    </row>
    <row r="7357" spans="1:11">
      <c r="A7357" t="s">
        <v>134</v>
      </c>
      <c r="B7357" t="s">
        <v>1888</v>
      </c>
      <c r="C7357" t="s">
        <v>594</v>
      </c>
      <c r="D7357" t="s">
        <v>595</v>
      </c>
      <c r="E7357" s="8">
        <v>270</v>
      </c>
      <c r="F7357" s="8">
        <v>61360</v>
      </c>
      <c r="G7357" s="8">
        <f t="shared" si="456"/>
        <v>16567200</v>
      </c>
      <c r="H7357" s="5">
        <v>0.1781</v>
      </c>
      <c r="I7357" s="8">
        <f t="shared" si="457"/>
        <v>16567200</v>
      </c>
      <c r="J7357" s="8">
        <f t="shared" si="458"/>
        <v>2950618.32</v>
      </c>
      <c r="K7357" t="str">
        <f t="shared" si="459"/>
        <v>MATCHED</v>
      </c>
    </row>
    <row r="7358" spans="1:11">
      <c r="A7358" t="s">
        <v>134</v>
      </c>
      <c r="B7358" t="s">
        <v>1888</v>
      </c>
      <c r="C7358" t="s">
        <v>598</v>
      </c>
      <c r="D7358" t="s">
        <v>599</v>
      </c>
      <c r="E7358" s="8">
        <v>60</v>
      </c>
      <c r="F7358" s="8">
        <v>80840</v>
      </c>
      <c r="G7358" s="8">
        <f t="shared" si="456"/>
        <v>4850400</v>
      </c>
      <c r="H7358" s="5">
        <v>0.2855</v>
      </c>
      <c r="I7358" s="8">
        <f t="shared" si="457"/>
        <v>4850400</v>
      </c>
      <c r="J7358" s="8">
        <f t="shared" si="458"/>
        <v>1384789.2</v>
      </c>
      <c r="K7358" t="str">
        <f t="shared" si="459"/>
        <v>MATCHED</v>
      </c>
    </row>
    <row r="7359" spans="1:11">
      <c r="A7359" t="s">
        <v>134</v>
      </c>
      <c r="B7359" t="s">
        <v>1888</v>
      </c>
      <c r="C7359" t="s">
        <v>600</v>
      </c>
      <c r="D7359" t="s">
        <v>601</v>
      </c>
      <c r="E7359" s="8">
        <v>160</v>
      </c>
      <c r="F7359" s="8">
        <v>71010</v>
      </c>
      <c r="G7359" s="8">
        <f t="shared" si="456"/>
        <v>11361600</v>
      </c>
      <c r="H7359" s="5">
        <v>0.3125</v>
      </c>
      <c r="I7359" s="8">
        <f t="shared" si="457"/>
        <v>11361600</v>
      </c>
      <c r="J7359" s="8">
        <f t="shared" si="458"/>
        <v>3550500</v>
      </c>
      <c r="K7359" t="str">
        <f t="shared" si="459"/>
        <v>MATCHED</v>
      </c>
    </row>
    <row r="7360" spans="1:11">
      <c r="A7360" t="s">
        <v>134</v>
      </c>
      <c r="B7360" t="s">
        <v>1888</v>
      </c>
      <c r="C7360" t="s">
        <v>602</v>
      </c>
      <c r="D7360" t="s">
        <v>603</v>
      </c>
      <c r="E7360" s="8">
        <v>1660</v>
      </c>
      <c r="F7360" s="8">
        <v>65020</v>
      </c>
      <c r="G7360" s="8">
        <f t="shared" si="456"/>
        <v>107933200</v>
      </c>
      <c r="H7360" s="5">
        <v>0.1733</v>
      </c>
      <c r="I7360" s="8">
        <f t="shared" si="457"/>
        <v>107933200</v>
      </c>
      <c r="J7360" s="8">
        <f t="shared" si="458"/>
        <v>18704823.56</v>
      </c>
      <c r="K7360" t="str">
        <f t="shared" si="459"/>
        <v>MATCHED</v>
      </c>
    </row>
    <row r="7361" spans="1:11">
      <c r="A7361" t="s">
        <v>134</v>
      </c>
      <c r="B7361" t="s">
        <v>1888</v>
      </c>
      <c r="C7361" t="s">
        <v>604</v>
      </c>
      <c r="D7361" t="s">
        <v>605</v>
      </c>
      <c r="E7361" s="8">
        <v>280</v>
      </c>
      <c r="F7361" s="8">
        <v>79910</v>
      </c>
      <c r="G7361" s="8">
        <f t="shared" si="456"/>
        <v>22374800</v>
      </c>
      <c r="H7361" s="5">
        <v>0.1404</v>
      </c>
      <c r="I7361" s="8">
        <f t="shared" si="457"/>
        <v>22374800</v>
      </c>
      <c r="J7361" s="8">
        <f t="shared" si="458"/>
        <v>3141421.92</v>
      </c>
      <c r="K7361" t="str">
        <f t="shared" si="459"/>
        <v>MATCHED</v>
      </c>
    </row>
    <row r="7362" spans="1:11">
      <c r="A7362" t="s">
        <v>134</v>
      </c>
      <c r="B7362" t="s">
        <v>1888</v>
      </c>
      <c r="C7362" t="s">
        <v>606</v>
      </c>
      <c r="D7362" t="s">
        <v>607</v>
      </c>
      <c r="E7362" s="8">
        <v>50</v>
      </c>
      <c r="F7362" s="8">
        <v>46580</v>
      </c>
      <c r="G7362" s="8">
        <f t="shared" ref="G7362:G7425" si="460">IF(OR(E7362="",F7362=""),"",E7362*F7362)</f>
        <v>2329000</v>
      </c>
      <c r="H7362" s="5">
        <v>0.6783</v>
      </c>
      <c r="I7362" s="8">
        <f t="shared" ref="I7362:I7425" si="461">IF(G7362="","",IF(ISNUMBER(H7362),G7362,""))</f>
        <v>2329000</v>
      </c>
      <c r="J7362" s="8">
        <f t="shared" ref="J7362:J7425" si="462">IF(I7362="","",I7362*H7362)</f>
        <v>1579760.7</v>
      </c>
      <c r="K7362" t="str">
        <f t="shared" ref="K7362:K7425" si="463">IF(G7362="","MISSING OEWS",IF(ISNUMBER(H7362),"MATCHED","MISSING WHARTON"))</f>
        <v>MATCHED</v>
      </c>
    </row>
    <row r="7363" spans="1:11">
      <c r="A7363" t="s">
        <v>134</v>
      </c>
      <c r="B7363" t="s">
        <v>1888</v>
      </c>
      <c r="C7363" t="s">
        <v>307</v>
      </c>
      <c r="D7363" t="s">
        <v>308</v>
      </c>
      <c r="E7363" s="8">
        <v>190</v>
      </c>
      <c r="F7363" s="8">
        <v>83370</v>
      </c>
      <c r="G7363" s="8">
        <f t="shared" si="460"/>
        <v>15840300</v>
      </c>
      <c r="H7363" s="5">
        <v>0.0519</v>
      </c>
      <c r="I7363" s="8">
        <f t="shared" si="461"/>
        <v>15840300</v>
      </c>
      <c r="J7363" s="8">
        <f t="shared" si="462"/>
        <v>822111.57</v>
      </c>
      <c r="K7363" t="str">
        <f t="shared" si="463"/>
        <v>MATCHED</v>
      </c>
    </row>
    <row r="7364" spans="1:11">
      <c r="A7364" t="s">
        <v>134</v>
      </c>
      <c r="B7364" t="s">
        <v>1888</v>
      </c>
      <c r="C7364" t="s">
        <v>1168</v>
      </c>
      <c r="D7364" t="s">
        <v>1169</v>
      </c>
      <c r="E7364" s="8">
        <v>50</v>
      </c>
      <c r="F7364" s="8">
        <v>84730</v>
      </c>
      <c r="G7364" s="8">
        <f t="shared" si="460"/>
        <v>4236500</v>
      </c>
      <c r="H7364" s="5">
        <v>0.05</v>
      </c>
      <c r="I7364" s="8">
        <f t="shared" si="461"/>
        <v>4236500</v>
      </c>
      <c r="J7364" s="8">
        <f t="shared" si="462"/>
        <v>211825</v>
      </c>
      <c r="K7364" t="str">
        <f t="shared" si="463"/>
        <v>MATCHED</v>
      </c>
    </row>
    <row r="7365" spans="1:11">
      <c r="A7365" t="s">
        <v>134</v>
      </c>
      <c r="B7365" t="s">
        <v>1888</v>
      </c>
      <c r="C7365" t="s">
        <v>844</v>
      </c>
      <c r="D7365" t="s">
        <v>845</v>
      </c>
      <c r="E7365" s="8">
        <v>1530</v>
      </c>
      <c r="F7365" s="8">
        <v>61970</v>
      </c>
      <c r="G7365" s="8">
        <f t="shared" si="460"/>
        <v>94814100</v>
      </c>
      <c r="H7365" s="5">
        <v>0.15</v>
      </c>
      <c r="I7365" s="8">
        <f t="shared" si="461"/>
        <v>94814100</v>
      </c>
      <c r="J7365" s="8">
        <f t="shared" si="462"/>
        <v>14222115</v>
      </c>
      <c r="K7365" t="str">
        <f t="shared" si="463"/>
        <v>MATCHED</v>
      </c>
    </row>
    <row r="7366" spans="1:11">
      <c r="A7366" t="s">
        <v>134</v>
      </c>
      <c r="B7366" t="s">
        <v>1888</v>
      </c>
      <c r="C7366" t="s">
        <v>309</v>
      </c>
      <c r="D7366" t="s">
        <v>310</v>
      </c>
      <c r="E7366" s="8">
        <v>250</v>
      </c>
      <c r="F7366" s="8">
        <v>112740</v>
      </c>
      <c r="G7366" s="8">
        <f t="shared" si="460"/>
        <v>28185000</v>
      </c>
      <c r="H7366" s="5">
        <v>0.4037</v>
      </c>
      <c r="I7366" s="8">
        <f t="shared" si="461"/>
        <v>28185000</v>
      </c>
      <c r="J7366" s="8">
        <f t="shared" si="462"/>
        <v>11378284.5</v>
      </c>
      <c r="K7366" t="str">
        <f t="shared" si="463"/>
        <v>MATCHED</v>
      </c>
    </row>
    <row r="7367" spans="1:11">
      <c r="A7367" t="s">
        <v>134</v>
      </c>
      <c r="B7367" t="s">
        <v>1888</v>
      </c>
      <c r="C7367" t="s">
        <v>1632</v>
      </c>
      <c r="D7367" t="s">
        <v>1633</v>
      </c>
      <c r="E7367" s="8">
        <v>5360</v>
      </c>
      <c r="F7367" s="8">
        <v>73970</v>
      </c>
      <c r="G7367" s="8">
        <f t="shared" si="460"/>
        <v>396479200</v>
      </c>
      <c r="H7367" s="5">
        <v>0.2122</v>
      </c>
      <c r="I7367" s="8">
        <f t="shared" si="461"/>
        <v>396479200</v>
      </c>
      <c r="J7367" s="8">
        <f t="shared" si="462"/>
        <v>84132886.24</v>
      </c>
      <c r="K7367" t="str">
        <f t="shared" si="463"/>
        <v>MATCHED</v>
      </c>
    </row>
    <row r="7368" spans="1:11">
      <c r="A7368" t="s">
        <v>134</v>
      </c>
      <c r="B7368" t="s">
        <v>1888</v>
      </c>
      <c r="C7368" t="s">
        <v>311</v>
      </c>
      <c r="D7368" t="s">
        <v>312</v>
      </c>
      <c r="E7368" s="8">
        <v>410</v>
      </c>
      <c r="F7368" s="8">
        <v>76980</v>
      </c>
      <c r="G7368" s="8">
        <f t="shared" si="460"/>
        <v>31561800</v>
      </c>
      <c r="H7368" s="5">
        <v>0.056</v>
      </c>
      <c r="I7368" s="8">
        <f t="shared" si="461"/>
        <v>31561800</v>
      </c>
      <c r="J7368" s="8">
        <f t="shared" si="462"/>
        <v>1767460.8</v>
      </c>
      <c r="K7368" t="str">
        <f t="shared" si="463"/>
        <v>MATCHED</v>
      </c>
    </row>
    <row r="7369" spans="1:11">
      <c r="A7369" t="s">
        <v>134</v>
      </c>
      <c r="B7369" t="s">
        <v>1888</v>
      </c>
      <c r="C7369" t="s">
        <v>1170</v>
      </c>
      <c r="D7369" t="s">
        <v>1171</v>
      </c>
      <c r="E7369" s="8">
        <v>410</v>
      </c>
      <c r="F7369" s="8">
        <v>84190</v>
      </c>
      <c r="G7369" s="8">
        <f t="shared" si="460"/>
        <v>34517900</v>
      </c>
      <c r="H7369" s="5">
        <v>0.3433</v>
      </c>
      <c r="I7369" s="8">
        <f t="shared" si="461"/>
        <v>34517900</v>
      </c>
      <c r="J7369" s="8">
        <f t="shared" si="462"/>
        <v>11849995.07</v>
      </c>
      <c r="K7369" t="str">
        <f t="shared" si="463"/>
        <v>MATCHED</v>
      </c>
    </row>
    <row r="7370" spans="1:11">
      <c r="A7370" t="s">
        <v>134</v>
      </c>
      <c r="B7370" t="s">
        <v>1888</v>
      </c>
      <c r="C7370" t="s">
        <v>1172</v>
      </c>
      <c r="D7370" t="s">
        <v>1173</v>
      </c>
      <c r="E7370" s="8">
        <v>200</v>
      </c>
      <c r="F7370" s="8">
        <v>105400</v>
      </c>
      <c r="G7370" s="8">
        <f t="shared" si="460"/>
        <v>21080000</v>
      </c>
      <c r="H7370" s="5">
        <v>0.1857</v>
      </c>
      <c r="I7370" s="8">
        <f t="shared" si="461"/>
        <v>21080000</v>
      </c>
      <c r="J7370" s="8">
        <f t="shared" si="462"/>
        <v>3914556</v>
      </c>
      <c r="K7370" t="str">
        <f t="shared" si="463"/>
        <v>MATCHED</v>
      </c>
    </row>
    <row r="7371" spans="1:11">
      <c r="A7371" t="s">
        <v>134</v>
      </c>
      <c r="B7371" t="s">
        <v>1888</v>
      </c>
      <c r="C7371" t="s">
        <v>846</v>
      </c>
      <c r="D7371" t="s">
        <v>847</v>
      </c>
      <c r="E7371" s="8">
        <v>50</v>
      </c>
      <c r="F7371" s="8">
        <v>200550</v>
      </c>
      <c r="G7371" s="8">
        <f t="shared" si="460"/>
        <v>10027500</v>
      </c>
      <c r="H7371" s="5">
        <v>0.44</v>
      </c>
      <c r="I7371" s="8">
        <f t="shared" si="461"/>
        <v>10027500</v>
      </c>
      <c r="J7371" s="8">
        <f t="shared" si="462"/>
        <v>4412100</v>
      </c>
      <c r="K7371" t="str">
        <f t="shared" si="463"/>
        <v>MATCHED</v>
      </c>
    </row>
    <row r="7372" spans="1:11">
      <c r="A7372" t="s">
        <v>134</v>
      </c>
      <c r="B7372" t="s">
        <v>1888</v>
      </c>
      <c r="C7372" t="s">
        <v>608</v>
      </c>
      <c r="D7372" t="s">
        <v>609</v>
      </c>
      <c r="E7372" s="8">
        <v>80</v>
      </c>
      <c r="F7372" s="8">
        <v>94670</v>
      </c>
      <c r="G7372" s="8">
        <f t="shared" si="460"/>
        <v>7573600</v>
      </c>
      <c r="H7372" s="5">
        <v>0.1808</v>
      </c>
      <c r="I7372" s="8">
        <f t="shared" si="461"/>
        <v>7573600</v>
      </c>
      <c r="J7372" s="8">
        <f t="shared" si="462"/>
        <v>1369306.88</v>
      </c>
      <c r="K7372" t="str">
        <f t="shared" si="463"/>
        <v>MATCHED</v>
      </c>
    </row>
    <row r="7373" spans="1:11">
      <c r="A7373" t="s">
        <v>134</v>
      </c>
      <c r="B7373" t="s">
        <v>1888</v>
      </c>
      <c r="C7373" t="s">
        <v>610</v>
      </c>
      <c r="D7373" t="s">
        <v>611</v>
      </c>
      <c r="E7373" s="8">
        <v>2350</v>
      </c>
      <c r="F7373" s="8">
        <v>82390</v>
      </c>
      <c r="G7373" s="8">
        <f t="shared" si="460"/>
        <v>193616500</v>
      </c>
      <c r="H7373" s="5">
        <v>0.4662</v>
      </c>
      <c r="I7373" s="8">
        <f t="shared" si="461"/>
        <v>193616500</v>
      </c>
      <c r="J7373" s="8">
        <f t="shared" si="462"/>
        <v>90264012.3</v>
      </c>
      <c r="K7373" t="str">
        <f t="shared" si="463"/>
        <v>MATCHED</v>
      </c>
    </row>
    <row r="7374" spans="1:11">
      <c r="A7374" t="s">
        <v>134</v>
      </c>
      <c r="B7374" t="s">
        <v>1888</v>
      </c>
      <c r="C7374" t="s">
        <v>1636</v>
      </c>
      <c r="D7374" t="s">
        <v>1637</v>
      </c>
      <c r="E7374" s="8">
        <v>50</v>
      </c>
      <c r="F7374" s="8">
        <v>103230</v>
      </c>
      <c r="G7374" s="8">
        <f t="shared" si="460"/>
        <v>5161500</v>
      </c>
      <c r="H7374" s="5">
        <v>0.366</v>
      </c>
      <c r="I7374" s="8">
        <f t="shared" si="461"/>
        <v>5161500</v>
      </c>
      <c r="J7374" s="8">
        <f t="shared" si="462"/>
        <v>1889109</v>
      </c>
      <c r="K7374" t="str">
        <f t="shared" si="463"/>
        <v>MATCHED</v>
      </c>
    </row>
    <row r="7375" spans="1:11">
      <c r="A7375" t="s">
        <v>134</v>
      </c>
      <c r="B7375" t="s">
        <v>1888</v>
      </c>
      <c r="C7375" t="s">
        <v>614</v>
      </c>
      <c r="D7375" t="s">
        <v>615</v>
      </c>
      <c r="E7375" s="8">
        <v>500</v>
      </c>
      <c r="F7375" s="8">
        <v>138850</v>
      </c>
      <c r="G7375" s="8">
        <f t="shared" si="460"/>
        <v>69425000</v>
      </c>
      <c r="H7375" s="5">
        <v>0.5271</v>
      </c>
      <c r="I7375" s="8">
        <f t="shared" si="461"/>
        <v>69425000</v>
      </c>
      <c r="J7375" s="8">
        <f t="shared" si="462"/>
        <v>36593917.5</v>
      </c>
      <c r="K7375" t="str">
        <f t="shared" si="463"/>
        <v>MATCHED</v>
      </c>
    </row>
    <row r="7376" spans="1:11">
      <c r="A7376" t="s">
        <v>134</v>
      </c>
      <c r="B7376" t="s">
        <v>1888</v>
      </c>
      <c r="C7376" t="s">
        <v>1567</v>
      </c>
      <c r="D7376" t="s">
        <v>1568</v>
      </c>
      <c r="E7376" s="8">
        <v>390</v>
      </c>
      <c r="F7376" s="8">
        <v>74930</v>
      </c>
      <c r="G7376" s="8">
        <f t="shared" si="460"/>
        <v>29222700</v>
      </c>
      <c r="H7376" s="5">
        <v>0.7375</v>
      </c>
      <c r="I7376" s="8">
        <f t="shared" si="461"/>
        <v>29222700</v>
      </c>
      <c r="J7376" s="8">
        <f t="shared" si="462"/>
        <v>21551741.25</v>
      </c>
      <c r="K7376" t="str">
        <f t="shared" si="463"/>
        <v>MATCHED</v>
      </c>
    </row>
    <row r="7377" spans="1:11">
      <c r="A7377" t="s">
        <v>134</v>
      </c>
      <c r="B7377" t="s">
        <v>1888</v>
      </c>
      <c r="C7377" t="s">
        <v>1606</v>
      </c>
      <c r="D7377" t="s">
        <v>1607</v>
      </c>
      <c r="E7377" s="8">
        <v>270</v>
      </c>
      <c r="F7377" s="8">
        <v>85140</v>
      </c>
      <c r="G7377" s="8">
        <f t="shared" si="460"/>
        <v>22987800</v>
      </c>
      <c r="H7377" s="5">
        <v>0.1883</v>
      </c>
      <c r="I7377" s="8">
        <f t="shared" si="461"/>
        <v>22987800</v>
      </c>
      <c r="J7377" s="8">
        <f t="shared" si="462"/>
        <v>4328602.74</v>
      </c>
      <c r="K7377" t="str">
        <f t="shared" si="463"/>
        <v>MATCHED</v>
      </c>
    </row>
    <row r="7378" spans="1:11">
      <c r="A7378" t="s">
        <v>134</v>
      </c>
      <c r="B7378" t="s">
        <v>1888</v>
      </c>
      <c r="C7378" t="s">
        <v>1642</v>
      </c>
      <c r="D7378" t="s">
        <v>1643</v>
      </c>
      <c r="E7378" s="8">
        <v>30</v>
      </c>
      <c r="F7378" s="8">
        <v>144030</v>
      </c>
      <c r="G7378" s="8">
        <f t="shared" si="460"/>
        <v>4320900</v>
      </c>
      <c r="H7378" s="5">
        <v>0.1333</v>
      </c>
      <c r="I7378" s="8">
        <f t="shared" si="461"/>
        <v>4320900</v>
      </c>
      <c r="J7378" s="8">
        <f t="shared" si="462"/>
        <v>575975.97</v>
      </c>
      <c r="K7378" t="str">
        <f t="shared" si="463"/>
        <v>MATCHED</v>
      </c>
    </row>
    <row r="7379" spans="1:11">
      <c r="A7379" t="s">
        <v>134</v>
      </c>
      <c r="B7379" t="s">
        <v>1888</v>
      </c>
      <c r="C7379" t="s">
        <v>1644</v>
      </c>
      <c r="D7379" t="s">
        <v>1645</v>
      </c>
      <c r="E7379" s="8">
        <v>50</v>
      </c>
      <c r="F7379" s="8">
        <v>135380</v>
      </c>
      <c r="G7379" s="8">
        <f t="shared" si="460"/>
        <v>6769000</v>
      </c>
      <c r="H7379" s="5">
        <v>0.3423</v>
      </c>
      <c r="I7379" s="8">
        <f t="shared" si="461"/>
        <v>6769000</v>
      </c>
      <c r="J7379" s="8">
        <f t="shared" si="462"/>
        <v>2317028.7</v>
      </c>
      <c r="K7379" t="str">
        <f t="shared" si="463"/>
        <v>MATCHED</v>
      </c>
    </row>
    <row r="7380" spans="1:11">
      <c r="A7380" t="s">
        <v>134</v>
      </c>
      <c r="B7380" t="s">
        <v>1888</v>
      </c>
      <c r="C7380" t="s">
        <v>852</v>
      </c>
      <c r="D7380" t="s">
        <v>853</v>
      </c>
      <c r="E7380" s="8">
        <v>140</v>
      </c>
      <c r="F7380" s="8">
        <v>85310</v>
      </c>
      <c r="G7380" s="8">
        <f t="shared" si="460"/>
        <v>11943400</v>
      </c>
      <c r="H7380" s="5">
        <v>0.554</v>
      </c>
      <c r="I7380" s="8">
        <f t="shared" si="461"/>
        <v>11943400</v>
      </c>
      <c r="J7380" s="8">
        <f t="shared" si="462"/>
        <v>6616643.6</v>
      </c>
      <c r="K7380" t="str">
        <f t="shared" si="463"/>
        <v>MATCHED</v>
      </c>
    </row>
    <row r="7381" spans="1:11">
      <c r="A7381" t="s">
        <v>134</v>
      </c>
      <c r="B7381" t="s">
        <v>1888</v>
      </c>
      <c r="C7381" t="s">
        <v>1646</v>
      </c>
      <c r="D7381" t="s">
        <v>1647</v>
      </c>
      <c r="E7381" s="8">
        <v>30</v>
      </c>
      <c r="F7381" s="8">
        <v>54220</v>
      </c>
      <c r="G7381" s="8">
        <f t="shared" si="460"/>
        <v>1626600</v>
      </c>
      <c r="H7381" s="5">
        <v>0.18</v>
      </c>
      <c r="I7381" s="8">
        <f t="shared" si="461"/>
        <v>1626600</v>
      </c>
      <c r="J7381" s="8">
        <f t="shared" si="462"/>
        <v>292788</v>
      </c>
      <c r="K7381" t="str">
        <f t="shared" si="463"/>
        <v>MATCHED</v>
      </c>
    </row>
    <row r="7382" spans="1:11">
      <c r="A7382" t="s">
        <v>134</v>
      </c>
      <c r="B7382" t="s">
        <v>1888</v>
      </c>
      <c r="C7382" t="s">
        <v>1650</v>
      </c>
      <c r="D7382" t="s">
        <v>1651</v>
      </c>
      <c r="E7382" s="8">
        <v>350</v>
      </c>
      <c r="F7382" s="8">
        <v>69580</v>
      </c>
      <c r="G7382" s="8">
        <f t="shared" si="460"/>
        <v>24353000</v>
      </c>
      <c r="H7382" s="5">
        <v>0.4952</v>
      </c>
      <c r="I7382" s="8">
        <f t="shared" si="461"/>
        <v>24353000</v>
      </c>
      <c r="J7382" s="8">
        <f t="shared" si="462"/>
        <v>12059605.6</v>
      </c>
      <c r="K7382" t="str">
        <f t="shared" si="463"/>
        <v>MATCHED</v>
      </c>
    </row>
    <row r="7383" spans="1:11">
      <c r="A7383" t="s">
        <v>134</v>
      </c>
      <c r="B7383" t="s">
        <v>1888</v>
      </c>
      <c r="C7383" t="s">
        <v>1652</v>
      </c>
      <c r="D7383" t="s">
        <v>1653</v>
      </c>
      <c r="E7383" s="8">
        <v>160</v>
      </c>
      <c r="F7383" s="8">
        <v>95830</v>
      </c>
      <c r="G7383" s="8">
        <f t="shared" si="460"/>
        <v>15332800</v>
      </c>
      <c r="H7383" s="5">
        <v>0.5036</v>
      </c>
      <c r="I7383" s="8">
        <f t="shared" si="461"/>
        <v>15332800</v>
      </c>
      <c r="J7383" s="8">
        <f t="shared" si="462"/>
        <v>7721598.08</v>
      </c>
      <c r="K7383" t="str">
        <f t="shared" si="463"/>
        <v>MATCHED</v>
      </c>
    </row>
    <row r="7384" spans="1:11">
      <c r="A7384" t="s">
        <v>134</v>
      </c>
      <c r="B7384" t="s">
        <v>1888</v>
      </c>
      <c r="C7384" t="s">
        <v>1178</v>
      </c>
      <c r="D7384" t="s">
        <v>1179</v>
      </c>
      <c r="E7384" s="8">
        <v>670</v>
      </c>
      <c r="F7384" s="8">
        <v>86790</v>
      </c>
      <c r="G7384" s="8">
        <f t="shared" si="460"/>
        <v>58149300</v>
      </c>
      <c r="H7384" s="5">
        <v>0.5545</v>
      </c>
      <c r="I7384" s="8">
        <f t="shared" si="461"/>
        <v>58149300</v>
      </c>
      <c r="J7384" s="8">
        <f t="shared" si="462"/>
        <v>32243786.85</v>
      </c>
      <c r="K7384" t="str">
        <f t="shared" si="463"/>
        <v>MATCHED</v>
      </c>
    </row>
    <row r="7385" spans="1:11">
      <c r="A7385" t="s">
        <v>134</v>
      </c>
      <c r="B7385" t="s">
        <v>1888</v>
      </c>
      <c r="C7385" t="s">
        <v>313</v>
      </c>
      <c r="D7385" t="s">
        <v>314</v>
      </c>
      <c r="E7385" s="8">
        <v>120</v>
      </c>
      <c r="F7385" s="8">
        <v>57500</v>
      </c>
      <c r="G7385" s="8">
        <f t="shared" si="460"/>
        <v>6900000</v>
      </c>
      <c r="H7385" s="5">
        <v>0.374</v>
      </c>
      <c r="I7385" s="8">
        <f t="shared" si="461"/>
        <v>6900000</v>
      </c>
      <c r="J7385" s="8">
        <f t="shared" si="462"/>
        <v>2580600</v>
      </c>
      <c r="K7385" t="str">
        <f t="shared" si="463"/>
        <v>MATCHED</v>
      </c>
    </row>
    <row r="7386" spans="1:11">
      <c r="A7386" t="s">
        <v>134</v>
      </c>
      <c r="B7386" t="s">
        <v>1888</v>
      </c>
      <c r="C7386" t="s">
        <v>317</v>
      </c>
      <c r="D7386" t="s">
        <v>318</v>
      </c>
      <c r="E7386" s="8">
        <v>170</v>
      </c>
      <c r="F7386" s="8">
        <v>48580</v>
      </c>
      <c r="G7386" s="8">
        <f t="shared" si="460"/>
        <v>8258600</v>
      </c>
      <c r="H7386" s="5">
        <v>0.2778</v>
      </c>
      <c r="I7386" s="8">
        <f t="shared" si="461"/>
        <v>8258600</v>
      </c>
      <c r="J7386" s="8">
        <f t="shared" si="462"/>
        <v>2294239.08</v>
      </c>
      <c r="K7386" t="str">
        <f t="shared" si="463"/>
        <v>MATCHED</v>
      </c>
    </row>
    <row r="7387" spans="1:11">
      <c r="A7387" t="s">
        <v>134</v>
      </c>
      <c r="B7387" t="s">
        <v>1888</v>
      </c>
      <c r="C7387" t="s">
        <v>618</v>
      </c>
      <c r="D7387" t="s">
        <v>619</v>
      </c>
      <c r="E7387" s="8">
        <v>610</v>
      </c>
      <c r="F7387" s="8">
        <v>59710</v>
      </c>
      <c r="G7387" s="8">
        <f t="shared" si="460"/>
        <v>36423100</v>
      </c>
      <c r="H7387" s="5">
        <v>0.2635</v>
      </c>
      <c r="I7387" s="8">
        <f t="shared" si="461"/>
        <v>36423100</v>
      </c>
      <c r="J7387" s="8">
        <f t="shared" si="462"/>
        <v>9597486.85</v>
      </c>
      <c r="K7387" t="str">
        <f t="shared" si="463"/>
        <v>MATCHED</v>
      </c>
    </row>
    <row r="7388" spans="1:11">
      <c r="A7388" t="s">
        <v>134</v>
      </c>
      <c r="B7388" t="s">
        <v>1888</v>
      </c>
      <c r="C7388" t="s">
        <v>1180</v>
      </c>
      <c r="D7388" t="s">
        <v>1181</v>
      </c>
      <c r="E7388" s="8">
        <v>1280</v>
      </c>
      <c r="F7388" s="8">
        <v>66760</v>
      </c>
      <c r="G7388" s="8">
        <f t="shared" si="460"/>
        <v>85452800</v>
      </c>
      <c r="H7388" s="5">
        <v>0.7087</v>
      </c>
      <c r="I7388" s="8">
        <f t="shared" si="461"/>
        <v>85452800</v>
      </c>
      <c r="J7388" s="8">
        <f t="shared" si="462"/>
        <v>60560399.36</v>
      </c>
      <c r="K7388" t="str">
        <f t="shared" si="463"/>
        <v>MATCHED</v>
      </c>
    </row>
    <row r="7389" spans="1:11">
      <c r="A7389" t="s">
        <v>134</v>
      </c>
      <c r="B7389" t="s">
        <v>1888</v>
      </c>
      <c r="C7389" t="s">
        <v>856</v>
      </c>
      <c r="D7389" t="s">
        <v>857</v>
      </c>
      <c r="E7389" s="8">
        <v>900</v>
      </c>
      <c r="F7389" s="8">
        <v>48940</v>
      </c>
      <c r="G7389" s="8">
        <f t="shared" si="460"/>
        <v>44046000</v>
      </c>
      <c r="H7389" s="5">
        <v>0.181</v>
      </c>
      <c r="I7389" s="8">
        <f t="shared" si="461"/>
        <v>44046000</v>
      </c>
      <c r="J7389" s="8">
        <f t="shared" si="462"/>
        <v>7972326</v>
      </c>
      <c r="K7389" t="str">
        <f t="shared" si="463"/>
        <v>MATCHED</v>
      </c>
    </row>
    <row r="7390" spans="1:11">
      <c r="A7390" t="s">
        <v>134</v>
      </c>
      <c r="B7390" t="s">
        <v>1888</v>
      </c>
      <c r="C7390" t="s">
        <v>624</v>
      </c>
      <c r="D7390" t="s">
        <v>625</v>
      </c>
      <c r="E7390" s="8">
        <v>430</v>
      </c>
      <c r="F7390" s="8">
        <v>55930</v>
      </c>
      <c r="G7390" s="8">
        <f t="shared" si="460"/>
        <v>24049900</v>
      </c>
      <c r="H7390" s="5">
        <v>0.5519</v>
      </c>
      <c r="I7390" s="8">
        <f t="shared" si="461"/>
        <v>24049900</v>
      </c>
      <c r="J7390" s="8">
        <f t="shared" si="462"/>
        <v>13273139.81</v>
      </c>
      <c r="K7390" t="str">
        <f t="shared" si="463"/>
        <v>MATCHED</v>
      </c>
    </row>
    <row r="7391" spans="1:11">
      <c r="A7391" t="s">
        <v>134</v>
      </c>
      <c r="B7391" t="s">
        <v>1888</v>
      </c>
      <c r="C7391" t="s">
        <v>319</v>
      </c>
      <c r="D7391" t="s">
        <v>320</v>
      </c>
      <c r="E7391" s="8">
        <v>1110</v>
      </c>
      <c r="F7391" s="8">
        <v>81410</v>
      </c>
      <c r="G7391" s="8">
        <f t="shared" si="460"/>
        <v>90365100</v>
      </c>
      <c r="H7391" s="5">
        <v>0.2786</v>
      </c>
      <c r="I7391" s="8">
        <f t="shared" si="461"/>
        <v>90365100</v>
      </c>
      <c r="J7391" s="8">
        <f t="shared" si="462"/>
        <v>25175716.86</v>
      </c>
      <c r="K7391" t="str">
        <f t="shared" si="463"/>
        <v>MATCHED</v>
      </c>
    </row>
    <row r="7392" spans="1:11">
      <c r="A7392" t="s">
        <v>134</v>
      </c>
      <c r="B7392" t="s">
        <v>1888</v>
      </c>
      <c r="C7392" t="s">
        <v>626</v>
      </c>
      <c r="D7392" t="s">
        <v>627</v>
      </c>
      <c r="E7392" s="8">
        <v>160</v>
      </c>
      <c r="F7392" s="8">
        <v>71130</v>
      </c>
      <c r="G7392" s="8">
        <f t="shared" si="460"/>
        <v>11380800</v>
      </c>
      <c r="H7392" s="5">
        <v>0.2712</v>
      </c>
      <c r="I7392" s="8">
        <f t="shared" si="461"/>
        <v>11380800</v>
      </c>
      <c r="J7392" s="8">
        <f t="shared" si="462"/>
        <v>3086472.96</v>
      </c>
      <c r="K7392" t="str">
        <f t="shared" si="463"/>
        <v>MATCHED</v>
      </c>
    </row>
    <row r="7393" spans="1:11">
      <c r="A7393" t="s">
        <v>134</v>
      </c>
      <c r="B7393" t="s">
        <v>1888</v>
      </c>
      <c r="C7393" t="s">
        <v>1464</v>
      </c>
      <c r="D7393" t="s">
        <v>1465</v>
      </c>
      <c r="E7393" s="8">
        <v>4170</v>
      </c>
      <c r="F7393" s="8">
        <v>54980</v>
      </c>
      <c r="G7393" s="8">
        <f t="shared" si="460"/>
        <v>229266600</v>
      </c>
      <c r="H7393" s="5">
        <v>0.3176</v>
      </c>
      <c r="I7393" s="8">
        <f t="shared" si="461"/>
        <v>229266600</v>
      </c>
      <c r="J7393" s="8">
        <f t="shared" si="462"/>
        <v>72815072.16</v>
      </c>
      <c r="K7393" t="str">
        <f t="shared" si="463"/>
        <v>MATCHED</v>
      </c>
    </row>
    <row r="7394" spans="1:11">
      <c r="A7394" t="s">
        <v>134</v>
      </c>
      <c r="B7394" t="s">
        <v>1888</v>
      </c>
      <c r="C7394" t="s">
        <v>1711</v>
      </c>
      <c r="D7394" t="s">
        <v>1712</v>
      </c>
      <c r="E7394" s="8">
        <v>110</v>
      </c>
      <c r="F7394" s="8">
        <v>90700</v>
      </c>
      <c r="G7394" s="8">
        <f t="shared" si="460"/>
        <v>9977000</v>
      </c>
      <c r="H7394" s="5">
        <v>0.0594</v>
      </c>
      <c r="I7394" s="8">
        <f t="shared" si="461"/>
        <v>9977000</v>
      </c>
      <c r="J7394" s="8">
        <f t="shared" si="462"/>
        <v>592633.8</v>
      </c>
      <c r="K7394" t="str">
        <f t="shared" si="463"/>
        <v>MATCHED</v>
      </c>
    </row>
    <row r="7395" spans="1:11">
      <c r="A7395" t="s">
        <v>134</v>
      </c>
      <c r="B7395" t="s">
        <v>1888</v>
      </c>
      <c r="C7395" t="s">
        <v>1466</v>
      </c>
      <c r="D7395" t="s">
        <v>1467</v>
      </c>
      <c r="E7395" s="8">
        <v>1070</v>
      </c>
      <c r="F7395" s="8">
        <v>49490</v>
      </c>
      <c r="G7395" s="8">
        <f t="shared" si="460"/>
        <v>52954300</v>
      </c>
      <c r="H7395" s="5">
        <v>0.2618</v>
      </c>
      <c r="I7395" s="8">
        <f t="shared" si="461"/>
        <v>52954300</v>
      </c>
      <c r="J7395" s="8">
        <f t="shared" si="462"/>
        <v>13863435.74</v>
      </c>
      <c r="K7395" t="str">
        <f t="shared" si="463"/>
        <v>MATCHED</v>
      </c>
    </row>
    <row r="7396" spans="1:11">
      <c r="A7396" t="s">
        <v>134</v>
      </c>
      <c r="B7396" t="s">
        <v>1888</v>
      </c>
      <c r="C7396" t="s">
        <v>1608</v>
      </c>
      <c r="D7396" t="s">
        <v>1609</v>
      </c>
      <c r="E7396" s="8">
        <v>3410</v>
      </c>
      <c r="F7396" s="8">
        <v>57920</v>
      </c>
      <c r="G7396" s="8">
        <f t="shared" si="460"/>
        <v>197507200</v>
      </c>
      <c r="H7396" s="5">
        <v>0.1862</v>
      </c>
      <c r="I7396" s="8">
        <f t="shared" si="461"/>
        <v>197507200</v>
      </c>
      <c r="J7396" s="8">
        <f t="shared" si="462"/>
        <v>36775840.64</v>
      </c>
      <c r="K7396" t="str">
        <f t="shared" si="463"/>
        <v>MATCHED</v>
      </c>
    </row>
    <row r="7397" spans="1:11">
      <c r="A7397" t="s">
        <v>134</v>
      </c>
      <c r="B7397" t="s">
        <v>1888</v>
      </c>
      <c r="C7397" t="s">
        <v>1468</v>
      </c>
      <c r="D7397" t="s">
        <v>1469</v>
      </c>
      <c r="E7397" s="8">
        <v>1810</v>
      </c>
      <c r="F7397" s="8">
        <v>58020</v>
      </c>
      <c r="G7397" s="8">
        <f t="shared" si="460"/>
        <v>105016200</v>
      </c>
      <c r="H7397" s="5"/>
      <c r="I7397" s="8" t="str">
        <f t="shared" si="461"/>
        <v/>
      </c>
      <c r="J7397" s="8" t="str">
        <f t="shared" si="462"/>
        <v/>
      </c>
      <c r="K7397" t="str">
        <f t="shared" si="463"/>
        <v>MISSING WHARTON</v>
      </c>
    </row>
    <row r="7398" spans="1:11">
      <c r="A7398" t="s">
        <v>134</v>
      </c>
      <c r="B7398" t="s">
        <v>1888</v>
      </c>
      <c r="C7398" t="s">
        <v>1610</v>
      </c>
      <c r="D7398" t="s">
        <v>1611</v>
      </c>
      <c r="E7398" s="8">
        <v>7830</v>
      </c>
      <c r="F7398" s="8">
        <v>52110</v>
      </c>
      <c r="G7398" s="8">
        <f t="shared" si="460"/>
        <v>408021300</v>
      </c>
      <c r="H7398" s="5">
        <v>0.2457</v>
      </c>
      <c r="I7398" s="8">
        <f t="shared" si="461"/>
        <v>408021300</v>
      </c>
      <c r="J7398" s="8">
        <f t="shared" si="462"/>
        <v>100250833.41</v>
      </c>
      <c r="K7398" t="str">
        <f t="shared" si="463"/>
        <v>MATCHED</v>
      </c>
    </row>
    <row r="7399" spans="1:11">
      <c r="A7399" t="s">
        <v>134</v>
      </c>
      <c r="B7399" t="s">
        <v>1888</v>
      </c>
      <c r="C7399" t="s">
        <v>1417</v>
      </c>
      <c r="D7399" t="s">
        <v>1418</v>
      </c>
      <c r="E7399" s="8">
        <v>2610</v>
      </c>
      <c r="F7399" s="8">
        <v>61050</v>
      </c>
      <c r="G7399" s="8">
        <f t="shared" si="460"/>
        <v>159340500</v>
      </c>
      <c r="H7399" s="5">
        <v>0.2206</v>
      </c>
      <c r="I7399" s="8">
        <f t="shared" si="461"/>
        <v>159340500</v>
      </c>
      <c r="J7399" s="8">
        <f t="shared" si="462"/>
        <v>35150514.3</v>
      </c>
      <c r="K7399" t="str">
        <f t="shared" si="463"/>
        <v>MATCHED</v>
      </c>
    </row>
    <row r="7400" spans="1:11">
      <c r="A7400" t="s">
        <v>134</v>
      </c>
      <c r="B7400" t="s">
        <v>1888</v>
      </c>
      <c r="C7400" t="s">
        <v>1612</v>
      </c>
      <c r="D7400" t="s">
        <v>1613</v>
      </c>
      <c r="E7400" s="8">
        <v>1450</v>
      </c>
      <c r="F7400" s="8">
        <v>62310</v>
      </c>
      <c r="G7400" s="8">
        <f t="shared" si="460"/>
        <v>90349500</v>
      </c>
      <c r="H7400" s="5">
        <v>0.1615</v>
      </c>
      <c r="I7400" s="8">
        <f t="shared" si="461"/>
        <v>90349500</v>
      </c>
      <c r="J7400" s="8">
        <f t="shared" si="462"/>
        <v>14591444.25</v>
      </c>
      <c r="K7400" t="str">
        <f t="shared" si="463"/>
        <v>MATCHED</v>
      </c>
    </row>
    <row r="7401" spans="1:11">
      <c r="A7401" t="s">
        <v>134</v>
      </c>
      <c r="B7401" t="s">
        <v>1888</v>
      </c>
      <c r="C7401" t="s">
        <v>1614</v>
      </c>
      <c r="D7401" t="s">
        <v>1615</v>
      </c>
      <c r="E7401" s="8">
        <v>1980</v>
      </c>
      <c r="F7401" s="8">
        <v>60600</v>
      </c>
      <c r="G7401" s="8">
        <f t="shared" si="460"/>
        <v>119988000</v>
      </c>
      <c r="H7401" s="5"/>
      <c r="I7401" s="8" t="str">
        <f t="shared" si="461"/>
        <v/>
      </c>
      <c r="J7401" s="8" t="str">
        <f t="shared" si="462"/>
        <v/>
      </c>
      <c r="K7401" t="str">
        <f t="shared" si="463"/>
        <v>MISSING WHARTON</v>
      </c>
    </row>
    <row r="7402" spans="1:11">
      <c r="A7402" t="s">
        <v>134</v>
      </c>
      <c r="B7402" t="s">
        <v>1888</v>
      </c>
      <c r="C7402" t="s">
        <v>1419</v>
      </c>
      <c r="D7402" t="s">
        <v>1420</v>
      </c>
      <c r="E7402" s="8">
        <v>2340</v>
      </c>
      <c r="F7402" s="8">
        <v>58900</v>
      </c>
      <c r="G7402" s="8">
        <f t="shared" si="460"/>
        <v>137826000</v>
      </c>
      <c r="H7402" s="5">
        <v>0.5875</v>
      </c>
      <c r="I7402" s="8">
        <f t="shared" si="461"/>
        <v>137826000</v>
      </c>
      <c r="J7402" s="8">
        <f t="shared" si="462"/>
        <v>80972775</v>
      </c>
      <c r="K7402" t="str">
        <f t="shared" si="463"/>
        <v>MATCHED</v>
      </c>
    </row>
    <row r="7403" spans="1:11">
      <c r="A7403" t="s">
        <v>134</v>
      </c>
      <c r="B7403" t="s">
        <v>1888</v>
      </c>
      <c r="C7403" t="s">
        <v>1740</v>
      </c>
      <c r="D7403" t="s">
        <v>1741</v>
      </c>
      <c r="E7403" s="8">
        <v>110</v>
      </c>
      <c r="F7403" s="8">
        <v>45270</v>
      </c>
      <c r="G7403" s="8">
        <f t="shared" si="460"/>
        <v>4979700</v>
      </c>
      <c r="H7403" s="5">
        <v>0.4357</v>
      </c>
      <c r="I7403" s="8">
        <f t="shared" si="461"/>
        <v>4979700</v>
      </c>
      <c r="J7403" s="8">
        <f t="shared" si="462"/>
        <v>2169655.29</v>
      </c>
      <c r="K7403" t="str">
        <f t="shared" si="463"/>
        <v>MATCHED</v>
      </c>
    </row>
    <row r="7404" spans="1:11">
      <c r="A7404" t="s">
        <v>134</v>
      </c>
      <c r="B7404" t="s">
        <v>1888</v>
      </c>
      <c r="C7404" t="s">
        <v>940</v>
      </c>
      <c r="D7404" t="s">
        <v>941</v>
      </c>
      <c r="E7404" s="8">
        <v>32450</v>
      </c>
      <c r="F7404" s="8">
        <v>48550</v>
      </c>
      <c r="G7404" s="8">
        <f t="shared" si="460"/>
        <v>1575447500</v>
      </c>
      <c r="H7404" s="5">
        <v>0.4</v>
      </c>
      <c r="I7404" s="8">
        <f t="shared" si="461"/>
        <v>1575447500</v>
      </c>
      <c r="J7404" s="8">
        <f t="shared" si="462"/>
        <v>630179000</v>
      </c>
      <c r="K7404" t="str">
        <f t="shared" si="463"/>
        <v>MATCHED</v>
      </c>
    </row>
    <row r="7405" spans="1:11">
      <c r="A7405" t="s">
        <v>134</v>
      </c>
      <c r="B7405" t="s">
        <v>1888</v>
      </c>
      <c r="C7405" t="s">
        <v>1569</v>
      </c>
      <c r="D7405" t="s">
        <v>1570</v>
      </c>
      <c r="E7405" s="8">
        <v>4250</v>
      </c>
      <c r="F7405" s="8">
        <v>53590</v>
      </c>
      <c r="G7405" s="8">
        <f t="shared" si="460"/>
        <v>227757500</v>
      </c>
      <c r="H7405" s="5">
        <v>0.2672</v>
      </c>
      <c r="I7405" s="8">
        <f t="shared" si="461"/>
        <v>227757500</v>
      </c>
      <c r="J7405" s="8">
        <f t="shared" si="462"/>
        <v>60856804</v>
      </c>
      <c r="K7405" t="str">
        <f t="shared" si="463"/>
        <v>MATCHED</v>
      </c>
    </row>
    <row r="7406" spans="1:11">
      <c r="A7406" t="s">
        <v>134</v>
      </c>
      <c r="B7406" t="s">
        <v>1888</v>
      </c>
      <c r="C7406" t="s">
        <v>942</v>
      </c>
      <c r="D7406" t="s">
        <v>943</v>
      </c>
      <c r="E7406" s="8">
        <v>12320</v>
      </c>
      <c r="F7406" s="8">
        <v>57220</v>
      </c>
      <c r="G7406" s="8">
        <f t="shared" si="460"/>
        <v>704950400</v>
      </c>
      <c r="H7406" s="5"/>
      <c r="I7406" s="8" t="str">
        <f t="shared" si="461"/>
        <v/>
      </c>
      <c r="J7406" s="8" t="str">
        <f t="shared" si="462"/>
        <v/>
      </c>
      <c r="K7406" t="str">
        <f t="shared" si="463"/>
        <v>MISSING WHARTON</v>
      </c>
    </row>
    <row r="7407" spans="1:11">
      <c r="A7407" t="s">
        <v>134</v>
      </c>
      <c r="B7407" t="s">
        <v>1888</v>
      </c>
      <c r="C7407" t="s">
        <v>1182</v>
      </c>
      <c r="D7407" t="s">
        <v>1183</v>
      </c>
      <c r="E7407" s="8">
        <v>25210</v>
      </c>
      <c r="F7407" s="8">
        <v>66330</v>
      </c>
      <c r="G7407" s="8">
        <f t="shared" si="460"/>
        <v>1672179300</v>
      </c>
      <c r="H7407" s="5">
        <v>0.1786</v>
      </c>
      <c r="I7407" s="8">
        <f t="shared" si="461"/>
        <v>1672179300</v>
      </c>
      <c r="J7407" s="8">
        <f t="shared" si="462"/>
        <v>298651222.98</v>
      </c>
      <c r="K7407" t="str">
        <f t="shared" si="463"/>
        <v>MATCHED</v>
      </c>
    </row>
    <row r="7408" spans="1:11">
      <c r="A7408" t="s">
        <v>134</v>
      </c>
      <c r="B7408" t="s">
        <v>1888</v>
      </c>
      <c r="C7408" t="s">
        <v>1713</v>
      </c>
      <c r="D7408" t="s">
        <v>1714</v>
      </c>
      <c r="E7408" s="8">
        <v>17660</v>
      </c>
      <c r="F7408" s="8">
        <v>61120</v>
      </c>
      <c r="G7408" s="8">
        <f t="shared" si="460"/>
        <v>1079379200</v>
      </c>
      <c r="H7408" s="5">
        <v>0.2974</v>
      </c>
      <c r="I7408" s="8">
        <f t="shared" si="461"/>
        <v>1079379200</v>
      </c>
      <c r="J7408" s="8">
        <f t="shared" si="462"/>
        <v>321007374.08</v>
      </c>
      <c r="K7408" t="str">
        <f t="shared" si="463"/>
        <v>MATCHED</v>
      </c>
    </row>
    <row r="7409" spans="1:11">
      <c r="A7409" t="s">
        <v>134</v>
      </c>
      <c r="B7409" t="s">
        <v>1888</v>
      </c>
      <c r="C7409" t="s">
        <v>1771</v>
      </c>
      <c r="D7409" t="s">
        <v>1772</v>
      </c>
      <c r="E7409" s="8">
        <v>14020</v>
      </c>
      <c r="F7409" s="8">
        <v>53950</v>
      </c>
      <c r="G7409" s="8">
        <f t="shared" si="460"/>
        <v>756379000</v>
      </c>
      <c r="H7409" s="5"/>
      <c r="I7409" s="8" t="str">
        <f t="shared" si="461"/>
        <v/>
      </c>
      <c r="J7409" s="8" t="str">
        <f t="shared" si="462"/>
        <v/>
      </c>
      <c r="K7409" t="str">
        <f t="shared" si="463"/>
        <v>MISSING WHARTON</v>
      </c>
    </row>
    <row r="7410" spans="1:11">
      <c r="A7410" t="s">
        <v>134</v>
      </c>
      <c r="B7410" t="s">
        <v>1888</v>
      </c>
      <c r="C7410" t="s">
        <v>628</v>
      </c>
      <c r="D7410" t="s">
        <v>629</v>
      </c>
      <c r="E7410" s="8">
        <v>8270</v>
      </c>
      <c r="F7410" s="8">
        <v>155960</v>
      </c>
      <c r="G7410" s="8">
        <f t="shared" si="460"/>
        <v>1289789200</v>
      </c>
      <c r="H7410" s="5">
        <v>0.45</v>
      </c>
      <c r="I7410" s="8">
        <f t="shared" si="461"/>
        <v>1289789200</v>
      </c>
      <c r="J7410" s="8">
        <f t="shared" si="462"/>
        <v>580405140</v>
      </c>
      <c r="K7410" t="str">
        <f t="shared" si="463"/>
        <v>MATCHED</v>
      </c>
    </row>
    <row r="7411" spans="1:11">
      <c r="A7411" t="s">
        <v>134</v>
      </c>
      <c r="B7411" t="s">
        <v>1888</v>
      </c>
      <c r="C7411" t="s">
        <v>1421</v>
      </c>
      <c r="D7411" t="s">
        <v>1422</v>
      </c>
      <c r="E7411" s="8">
        <v>350</v>
      </c>
      <c r="F7411" s="8">
        <v>57290</v>
      </c>
      <c r="G7411" s="8">
        <f t="shared" si="460"/>
        <v>20051500</v>
      </c>
      <c r="H7411" s="5">
        <v>0.4375</v>
      </c>
      <c r="I7411" s="8">
        <f t="shared" si="461"/>
        <v>20051500</v>
      </c>
      <c r="J7411" s="8">
        <f t="shared" si="462"/>
        <v>8772531.25</v>
      </c>
      <c r="K7411" t="str">
        <f t="shared" si="463"/>
        <v>MATCHED</v>
      </c>
    </row>
    <row r="7412" spans="1:11">
      <c r="A7412" t="s">
        <v>134</v>
      </c>
      <c r="B7412" t="s">
        <v>1888</v>
      </c>
      <c r="C7412" t="s">
        <v>630</v>
      </c>
      <c r="D7412" t="s">
        <v>631</v>
      </c>
      <c r="E7412" s="8">
        <v>1990</v>
      </c>
      <c r="F7412" s="8">
        <v>71620</v>
      </c>
      <c r="G7412" s="8">
        <f t="shared" si="460"/>
        <v>142523800</v>
      </c>
      <c r="H7412" s="5">
        <v>0.5917</v>
      </c>
      <c r="I7412" s="8">
        <f t="shared" si="461"/>
        <v>142523800</v>
      </c>
      <c r="J7412" s="8">
        <f t="shared" si="462"/>
        <v>84331332.46</v>
      </c>
      <c r="K7412" t="str">
        <f t="shared" si="463"/>
        <v>MATCHED</v>
      </c>
    </row>
    <row r="7413" spans="1:11">
      <c r="A7413" t="s">
        <v>134</v>
      </c>
      <c r="B7413" t="s">
        <v>1888</v>
      </c>
      <c r="C7413" t="s">
        <v>632</v>
      </c>
      <c r="D7413" t="s">
        <v>633</v>
      </c>
      <c r="E7413" s="8"/>
      <c r="F7413" s="8">
        <v>59050</v>
      </c>
      <c r="G7413" s="8" t="str">
        <f t="shared" si="460"/>
        <v/>
      </c>
      <c r="H7413" s="5">
        <v>0.8794</v>
      </c>
      <c r="I7413" s="8" t="str">
        <f t="shared" si="461"/>
        <v/>
      </c>
      <c r="J7413" s="8" t="str">
        <f t="shared" si="462"/>
        <v/>
      </c>
      <c r="K7413" t="str">
        <f t="shared" si="463"/>
        <v>MISSING OEWS</v>
      </c>
    </row>
    <row r="7414" spans="1:11">
      <c r="A7414" t="s">
        <v>134</v>
      </c>
      <c r="B7414" t="s">
        <v>1888</v>
      </c>
      <c r="C7414" t="s">
        <v>634</v>
      </c>
      <c r="D7414" t="s">
        <v>635</v>
      </c>
      <c r="E7414" s="8">
        <v>630</v>
      </c>
      <c r="F7414" s="8">
        <v>67400</v>
      </c>
      <c r="G7414" s="8">
        <f t="shared" si="460"/>
        <v>42462000</v>
      </c>
      <c r="H7414" s="5"/>
      <c r="I7414" s="8" t="str">
        <f t="shared" si="461"/>
        <v/>
      </c>
      <c r="J7414" s="8" t="str">
        <f t="shared" si="462"/>
        <v/>
      </c>
      <c r="K7414" t="str">
        <f t="shared" si="463"/>
        <v>MISSING WHARTON</v>
      </c>
    </row>
    <row r="7415" spans="1:11">
      <c r="A7415" t="s">
        <v>134</v>
      </c>
      <c r="B7415" t="s">
        <v>1888</v>
      </c>
      <c r="C7415" t="s">
        <v>1515</v>
      </c>
      <c r="D7415" t="s">
        <v>1516</v>
      </c>
      <c r="E7415" s="8">
        <v>400</v>
      </c>
      <c r="F7415" s="8">
        <v>88470</v>
      </c>
      <c r="G7415" s="8">
        <f t="shared" si="460"/>
        <v>35388000</v>
      </c>
      <c r="H7415" s="5">
        <v>0.3875</v>
      </c>
      <c r="I7415" s="8">
        <f t="shared" si="461"/>
        <v>35388000</v>
      </c>
      <c r="J7415" s="8">
        <f t="shared" si="462"/>
        <v>13712850</v>
      </c>
      <c r="K7415" t="str">
        <f t="shared" si="463"/>
        <v>MATCHED</v>
      </c>
    </row>
    <row r="7416" spans="1:11">
      <c r="A7416" t="s">
        <v>134</v>
      </c>
      <c r="B7416" t="s">
        <v>1888</v>
      </c>
      <c r="C7416" t="s">
        <v>1658</v>
      </c>
      <c r="D7416" t="s">
        <v>1659</v>
      </c>
      <c r="E7416" s="8">
        <v>300</v>
      </c>
      <c r="F7416" s="8">
        <v>102370</v>
      </c>
      <c r="G7416" s="8">
        <f t="shared" si="460"/>
        <v>30711000</v>
      </c>
      <c r="H7416" s="5"/>
      <c r="I7416" s="8" t="str">
        <f t="shared" si="461"/>
        <v/>
      </c>
      <c r="J7416" s="8" t="str">
        <f t="shared" si="462"/>
        <v/>
      </c>
      <c r="K7416" t="str">
        <f t="shared" si="463"/>
        <v>MISSING WHARTON</v>
      </c>
    </row>
    <row r="7417" spans="1:11">
      <c r="A7417" t="s">
        <v>134</v>
      </c>
      <c r="B7417" t="s">
        <v>1888</v>
      </c>
      <c r="C7417" t="s">
        <v>1660</v>
      </c>
      <c r="D7417" t="s">
        <v>1661</v>
      </c>
      <c r="E7417" s="8">
        <v>15960</v>
      </c>
      <c r="F7417" s="8">
        <v>46920</v>
      </c>
      <c r="G7417" s="8">
        <f t="shared" si="460"/>
        <v>748843200</v>
      </c>
      <c r="H7417" s="5">
        <v>0.1176</v>
      </c>
      <c r="I7417" s="8">
        <f t="shared" si="461"/>
        <v>748843200</v>
      </c>
      <c r="J7417" s="8">
        <f t="shared" si="462"/>
        <v>88063960.32</v>
      </c>
      <c r="K7417" t="str">
        <f t="shared" si="463"/>
        <v>MATCHED</v>
      </c>
    </row>
    <row r="7418" spans="1:11">
      <c r="A7418" t="s">
        <v>134</v>
      </c>
      <c r="B7418" t="s">
        <v>1888</v>
      </c>
      <c r="C7418" t="s">
        <v>1837</v>
      </c>
      <c r="D7418" t="s">
        <v>1838</v>
      </c>
      <c r="E7418" s="8">
        <v>210</v>
      </c>
      <c r="F7418" s="8">
        <v>50760</v>
      </c>
      <c r="G7418" s="8">
        <f t="shared" si="460"/>
        <v>10659600</v>
      </c>
      <c r="H7418" s="5">
        <v>0.1392</v>
      </c>
      <c r="I7418" s="8">
        <f t="shared" si="461"/>
        <v>10659600</v>
      </c>
      <c r="J7418" s="8">
        <f t="shared" si="462"/>
        <v>1483816.32</v>
      </c>
      <c r="K7418" t="str">
        <f t="shared" si="463"/>
        <v>MATCHED</v>
      </c>
    </row>
    <row r="7419" spans="1:11">
      <c r="A7419" t="s">
        <v>134</v>
      </c>
      <c r="B7419" t="s">
        <v>1888</v>
      </c>
      <c r="C7419" t="s">
        <v>1839</v>
      </c>
      <c r="D7419" t="s">
        <v>1840</v>
      </c>
      <c r="E7419" s="8">
        <v>2260</v>
      </c>
      <c r="F7419" s="8">
        <v>50030</v>
      </c>
      <c r="G7419" s="8">
        <f t="shared" si="460"/>
        <v>113067800</v>
      </c>
      <c r="H7419" s="5">
        <v>0.2224</v>
      </c>
      <c r="I7419" s="8">
        <f t="shared" si="461"/>
        <v>113067800</v>
      </c>
      <c r="J7419" s="8">
        <f t="shared" si="462"/>
        <v>25146278.72</v>
      </c>
      <c r="K7419" t="str">
        <f t="shared" si="463"/>
        <v>MATCHED</v>
      </c>
    </row>
    <row r="7420" spans="1:11">
      <c r="A7420" t="s">
        <v>134</v>
      </c>
      <c r="B7420" t="s">
        <v>1888</v>
      </c>
      <c r="C7420" t="s">
        <v>1841</v>
      </c>
      <c r="D7420" t="s">
        <v>1842</v>
      </c>
      <c r="E7420" s="8">
        <v>560</v>
      </c>
      <c r="F7420" s="8">
        <v>61370</v>
      </c>
      <c r="G7420" s="8">
        <f t="shared" si="460"/>
        <v>34367200</v>
      </c>
      <c r="H7420" s="5">
        <v>0.2286</v>
      </c>
      <c r="I7420" s="8">
        <f t="shared" si="461"/>
        <v>34367200</v>
      </c>
      <c r="J7420" s="8">
        <f t="shared" si="462"/>
        <v>7856341.92</v>
      </c>
      <c r="K7420" t="str">
        <f t="shared" si="463"/>
        <v>MATCHED</v>
      </c>
    </row>
    <row r="7421" spans="1:11">
      <c r="A7421" t="s">
        <v>134</v>
      </c>
      <c r="B7421" t="s">
        <v>1888</v>
      </c>
      <c r="C7421" t="s">
        <v>1744</v>
      </c>
      <c r="D7421" t="s">
        <v>1745</v>
      </c>
      <c r="E7421" s="8">
        <v>870</v>
      </c>
      <c r="F7421" s="8">
        <v>58430</v>
      </c>
      <c r="G7421" s="8">
        <f t="shared" si="460"/>
        <v>50834100</v>
      </c>
      <c r="H7421" s="5">
        <v>0.3016</v>
      </c>
      <c r="I7421" s="8">
        <f t="shared" si="461"/>
        <v>50834100</v>
      </c>
      <c r="J7421" s="8">
        <f t="shared" si="462"/>
        <v>15331564.56</v>
      </c>
      <c r="K7421" t="str">
        <f t="shared" si="463"/>
        <v>MATCHED</v>
      </c>
    </row>
    <row r="7422" spans="1:11">
      <c r="A7422" t="s">
        <v>134</v>
      </c>
      <c r="B7422" t="s">
        <v>1888</v>
      </c>
      <c r="C7422" t="s">
        <v>1845</v>
      </c>
      <c r="D7422" t="s">
        <v>1846</v>
      </c>
      <c r="E7422" s="8"/>
      <c r="F7422" s="8">
        <v>64620</v>
      </c>
      <c r="G7422" s="8" t="str">
        <f t="shared" si="460"/>
        <v/>
      </c>
      <c r="H7422" s="5">
        <v>0.2424</v>
      </c>
      <c r="I7422" s="8" t="str">
        <f t="shared" si="461"/>
        <v/>
      </c>
      <c r="J7422" s="8" t="str">
        <f t="shared" si="462"/>
        <v/>
      </c>
      <c r="K7422" t="str">
        <f t="shared" si="463"/>
        <v>MISSING OEWS</v>
      </c>
    </row>
    <row r="7423" spans="1:11">
      <c r="A7423" t="s">
        <v>134</v>
      </c>
      <c r="B7423" t="s">
        <v>1888</v>
      </c>
      <c r="C7423" t="s">
        <v>1847</v>
      </c>
      <c r="D7423" t="s">
        <v>1848</v>
      </c>
      <c r="E7423" s="8">
        <v>30</v>
      </c>
      <c r="F7423" s="8">
        <v>48920</v>
      </c>
      <c r="G7423" s="8">
        <f t="shared" si="460"/>
        <v>1467600</v>
      </c>
      <c r="H7423" s="5">
        <v>0.1889</v>
      </c>
      <c r="I7423" s="8">
        <f t="shared" si="461"/>
        <v>1467600</v>
      </c>
      <c r="J7423" s="8">
        <f t="shared" si="462"/>
        <v>277229.64</v>
      </c>
      <c r="K7423" t="str">
        <f t="shared" si="463"/>
        <v>MATCHED</v>
      </c>
    </row>
    <row r="7424" spans="1:11">
      <c r="A7424" t="s">
        <v>134</v>
      </c>
      <c r="B7424" t="s">
        <v>1888</v>
      </c>
      <c r="C7424" t="s">
        <v>1746</v>
      </c>
      <c r="D7424" t="s">
        <v>1747</v>
      </c>
      <c r="E7424" s="8">
        <v>30</v>
      </c>
      <c r="F7424" s="8">
        <v>68840</v>
      </c>
      <c r="G7424" s="8">
        <f t="shared" si="460"/>
        <v>2065200</v>
      </c>
      <c r="H7424" s="5">
        <v>0.1992</v>
      </c>
      <c r="I7424" s="8">
        <f t="shared" si="461"/>
        <v>2065200</v>
      </c>
      <c r="J7424" s="8">
        <f t="shared" si="462"/>
        <v>411387.84</v>
      </c>
      <c r="K7424" t="str">
        <f t="shared" si="463"/>
        <v>MATCHED</v>
      </c>
    </row>
    <row r="7425" spans="1:11">
      <c r="A7425" t="s">
        <v>134</v>
      </c>
      <c r="B7425" t="s">
        <v>1888</v>
      </c>
      <c r="C7425" t="s">
        <v>1571</v>
      </c>
      <c r="D7425" t="s">
        <v>1572</v>
      </c>
      <c r="E7425" s="8">
        <v>270</v>
      </c>
      <c r="F7425" s="8"/>
      <c r="G7425" s="8" t="str">
        <f t="shared" si="460"/>
        <v/>
      </c>
      <c r="H7425" s="5">
        <v>0.3372</v>
      </c>
      <c r="I7425" s="8" t="str">
        <f t="shared" si="461"/>
        <v/>
      </c>
      <c r="J7425" s="8" t="str">
        <f t="shared" si="462"/>
        <v/>
      </c>
      <c r="K7425" t="str">
        <f t="shared" si="463"/>
        <v>MISSING OEWS</v>
      </c>
    </row>
    <row r="7426" spans="1:11">
      <c r="A7426" t="s">
        <v>134</v>
      </c>
      <c r="B7426" t="s">
        <v>1888</v>
      </c>
      <c r="C7426" t="s">
        <v>321</v>
      </c>
      <c r="D7426" t="s">
        <v>322</v>
      </c>
      <c r="E7426" s="8">
        <v>21610</v>
      </c>
      <c r="F7426" s="8">
        <v>51900</v>
      </c>
      <c r="G7426" s="8">
        <f t="shared" ref="G7426:G7489" si="464">IF(OR(E7426="",F7426=""),"",E7426*F7426)</f>
        <v>1121559000</v>
      </c>
      <c r="H7426" s="5">
        <v>0.33</v>
      </c>
      <c r="I7426" s="8">
        <f t="shared" ref="I7426:I7489" si="465">IF(G7426="","",IF(ISNUMBER(H7426),G7426,""))</f>
        <v>1121559000</v>
      </c>
      <c r="J7426" s="8">
        <f t="shared" ref="J7426:J7489" si="466">IF(I7426="","",I7426*H7426)</f>
        <v>370114470</v>
      </c>
      <c r="K7426" t="str">
        <f t="shared" ref="K7426:K7489" si="467">IF(G7426="","MISSING OEWS",IF(ISNUMBER(H7426),"MATCHED","MISSING WHARTON"))</f>
        <v>MATCHED</v>
      </c>
    </row>
    <row r="7427" spans="1:11">
      <c r="A7427" t="s">
        <v>134</v>
      </c>
      <c r="B7427" t="s">
        <v>1888</v>
      </c>
      <c r="C7427" t="s">
        <v>1717</v>
      </c>
      <c r="D7427" t="s">
        <v>1718</v>
      </c>
      <c r="E7427" s="8">
        <v>970</v>
      </c>
      <c r="F7427" s="8">
        <v>41960</v>
      </c>
      <c r="G7427" s="8">
        <f t="shared" si="464"/>
        <v>40701200</v>
      </c>
      <c r="H7427" s="5">
        <v>0.1972</v>
      </c>
      <c r="I7427" s="8">
        <f t="shared" si="465"/>
        <v>40701200</v>
      </c>
      <c r="J7427" s="8">
        <f t="shared" si="466"/>
        <v>8026276.64</v>
      </c>
      <c r="K7427" t="str">
        <f t="shared" si="467"/>
        <v>MATCHED</v>
      </c>
    </row>
    <row r="7428" spans="1:11">
      <c r="A7428" t="s">
        <v>134</v>
      </c>
      <c r="B7428" t="s">
        <v>1888</v>
      </c>
      <c r="C7428" t="s">
        <v>1423</v>
      </c>
      <c r="D7428" t="s">
        <v>1424</v>
      </c>
      <c r="E7428" s="8">
        <v>3740</v>
      </c>
      <c r="F7428" s="8">
        <v>47450</v>
      </c>
      <c r="G7428" s="8">
        <f t="shared" si="464"/>
        <v>177463000</v>
      </c>
      <c r="H7428" s="5">
        <v>0.3974</v>
      </c>
      <c r="I7428" s="8">
        <f t="shared" si="465"/>
        <v>177463000</v>
      </c>
      <c r="J7428" s="8">
        <f t="shared" si="466"/>
        <v>70523796.2</v>
      </c>
      <c r="K7428" t="str">
        <f t="shared" si="467"/>
        <v>MATCHED</v>
      </c>
    </row>
    <row r="7429" spans="1:11">
      <c r="A7429" t="s">
        <v>134</v>
      </c>
      <c r="B7429" t="s">
        <v>1888</v>
      </c>
      <c r="C7429" t="s">
        <v>1517</v>
      </c>
      <c r="D7429" t="s">
        <v>1518</v>
      </c>
      <c r="E7429" s="8">
        <v>3700</v>
      </c>
      <c r="F7429" s="8">
        <v>61310</v>
      </c>
      <c r="G7429" s="8">
        <f t="shared" si="464"/>
        <v>226847000</v>
      </c>
      <c r="H7429" s="5"/>
      <c r="I7429" s="8" t="str">
        <f t="shared" si="465"/>
        <v/>
      </c>
      <c r="J7429" s="8" t="str">
        <f t="shared" si="466"/>
        <v/>
      </c>
      <c r="K7429" t="str">
        <f t="shared" si="467"/>
        <v>MISSING WHARTON</v>
      </c>
    </row>
    <row r="7430" spans="1:11">
      <c r="A7430" t="s">
        <v>134</v>
      </c>
      <c r="B7430" t="s">
        <v>1888</v>
      </c>
      <c r="C7430" t="s">
        <v>1470</v>
      </c>
      <c r="D7430" t="s">
        <v>1471</v>
      </c>
      <c r="E7430" s="8">
        <v>420</v>
      </c>
      <c r="F7430" s="8">
        <v>59250</v>
      </c>
      <c r="G7430" s="8">
        <f t="shared" si="464"/>
        <v>24885000</v>
      </c>
      <c r="H7430" s="5">
        <v>0.4154</v>
      </c>
      <c r="I7430" s="8">
        <f t="shared" si="465"/>
        <v>24885000</v>
      </c>
      <c r="J7430" s="8">
        <f t="shared" si="466"/>
        <v>10337229</v>
      </c>
      <c r="K7430" t="str">
        <f t="shared" si="467"/>
        <v>MATCHED</v>
      </c>
    </row>
    <row r="7431" spans="1:11">
      <c r="A7431" t="s">
        <v>134</v>
      </c>
      <c r="B7431" t="s">
        <v>1888</v>
      </c>
      <c r="C7431" t="s">
        <v>1425</v>
      </c>
      <c r="D7431" t="s">
        <v>1426</v>
      </c>
      <c r="E7431" s="8">
        <v>280</v>
      </c>
      <c r="F7431" s="8">
        <v>62520</v>
      </c>
      <c r="G7431" s="8">
        <f t="shared" si="464"/>
        <v>17505600</v>
      </c>
      <c r="H7431" s="5">
        <v>0.2833</v>
      </c>
      <c r="I7431" s="8">
        <f t="shared" si="465"/>
        <v>17505600</v>
      </c>
      <c r="J7431" s="8">
        <f t="shared" si="466"/>
        <v>4959336.48</v>
      </c>
      <c r="K7431" t="str">
        <f t="shared" si="467"/>
        <v>MATCHED</v>
      </c>
    </row>
    <row r="7432" spans="1:11">
      <c r="A7432" t="s">
        <v>134</v>
      </c>
      <c r="B7432" t="s">
        <v>1888</v>
      </c>
      <c r="C7432" t="s">
        <v>1472</v>
      </c>
      <c r="D7432" t="s">
        <v>1473</v>
      </c>
      <c r="E7432" s="8">
        <v>300</v>
      </c>
      <c r="F7432" s="8">
        <v>49470</v>
      </c>
      <c r="G7432" s="8">
        <f t="shared" si="464"/>
        <v>14841000</v>
      </c>
      <c r="H7432" s="5">
        <v>0.1808</v>
      </c>
      <c r="I7432" s="8">
        <f t="shared" si="465"/>
        <v>14841000</v>
      </c>
      <c r="J7432" s="8">
        <f t="shared" si="466"/>
        <v>2683252.8</v>
      </c>
      <c r="K7432" t="str">
        <f t="shared" si="467"/>
        <v>MATCHED</v>
      </c>
    </row>
    <row r="7433" spans="1:11">
      <c r="A7433" t="s">
        <v>134</v>
      </c>
      <c r="B7433" t="s">
        <v>1888</v>
      </c>
      <c r="C7433" t="s">
        <v>1184</v>
      </c>
      <c r="D7433" t="s">
        <v>1185</v>
      </c>
      <c r="E7433" s="8">
        <v>430</v>
      </c>
      <c r="F7433" s="8">
        <v>69550</v>
      </c>
      <c r="G7433" s="8">
        <f t="shared" si="464"/>
        <v>29906500</v>
      </c>
      <c r="H7433" s="5">
        <v>0.4167</v>
      </c>
      <c r="I7433" s="8">
        <f t="shared" si="465"/>
        <v>29906500</v>
      </c>
      <c r="J7433" s="8">
        <f t="shared" si="466"/>
        <v>12462038.55</v>
      </c>
      <c r="K7433" t="str">
        <f t="shared" si="467"/>
        <v>MATCHED</v>
      </c>
    </row>
    <row r="7434" spans="1:11">
      <c r="A7434" t="s">
        <v>134</v>
      </c>
      <c r="B7434" t="s">
        <v>1888</v>
      </c>
      <c r="C7434" t="s">
        <v>1573</v>
      </c>
      <c r="D7434" t="s">
        <v>1574</v>
      </c>
      <c r="E7434" s="8">
        <v>240</v>
      </c>
      <c r="F7434" s="8">
        <v>48440</v>
      </c>
      <c r="G7434" s="8">
        <f t="shared" si="464"/>
        <v>11625600</v>
      </c>
      <c r="H7434" s="5">
        <v>0.6329</v>
      </c>
      <c r="I7434" s="8">
        <f t="shared" si="465"/>
        <v>11625600</v>
      </c>
      <c r="J7434" s="8">
        <f t="shared" si="466"/>
        <v>7357842.24</v>
      </c>
      <c r="K7434" t="str">
        <f t="shared" si="467"/>
        <v>MATCHED</v>
      </c>
    </row>
    <row r="7435" spans="1:11">
      <c r="A7435" t="s">
        <v>134</v>
      </c>
      <c r="B7435" t="s">
        <v>1888</v>
      </c>
      <c r="C7435" t="s">
        <v>1662</v>
      </c>
      <c r="D7435" t="s">
        <v>1663</v>
      </c>
      <c r="E7435" s="8">
        <v>160</v>
      </c>
      <c r="F7435" s="8">
        <v>54090</v>
      </c>
      <c r="G7435" s="8">
        <f t="shared" si="464"/>
        <v>8654400</v>
      </c>
      <c r="H7435" s="5">
        <v>0.33</v>
      </c>
      <c r="I7435" s="8">
        <f t="shared" si="465"/>
        <v>8654400</v>
      </c>
      <c r="J7435" s="8">
        <f t="shared" si="466"/>
        <v>2855952</v>
      </c>
      <c r="K7435" t="str">
        <f t="shared" si="467"/>
        <v>MATCHED</v>
      </c>
    </row>
    <row r="7436" spans="1:11">
      <c r="A7436" t="s">
        <v>134</v>
      </c>
      <c r="B7436" t="s">
        <v>1888</v>
      </c>
      <c r="C7436" t="s">
        <v>944</v>
      </c>
      <c r="D7436" t="s">
        <v>945</v>
      </c>
      <c r="E7436" s="8">
        <v>3760</v>
      </c>
      <c r="F7436" s="8">
        <v>68070</v>
      </c>
      <c r="G7436" s="8">
        <f t="shared" si="464"/>
        <v>255943200</v>
      </c>
      <c r="H7436" s="5">
        <v>0.5783</v>
      </c>
      <c r="I7436" s="8">
        <f t="shared" si="465"/>
        <v>255943200</v>
      </c>
      <c r="J7436" s="8">
        <f t="shared" si="466"/>
        <v>148011952.56</v>
      </c>
      <c r="K7436" t="str">
        <f t="shared" si="467"/>
        <v>MATCHED</v>
      </c>
    </row>
    <row r="7437" spans="1:11">
      <c r="A7437" t="s">
        <v>134</v>
      </c>
      <c r="B7437" t="s">
        <v>1888</v>
      </c>
      <c r="C7437" t="s">
        <v>1750</v>
      </c>
      <c r="D7437" t="s">
        <v>1751</v>
      </c>
      <c r="E7437" s="8">
        <v>870</v>
      </c>
      <c r="F7437" s="8">
        <v>40470</v>
      </c>
      <c r="G7437" s="8">
        <f t="shared" si="464"/>
        <v>35208900</v>
      </c>
      <c r="H7437" s="5">
        <v>0.3675</v>
      </c>
      <c r="I7437" s="8">
        <f t="shared" si="465"/>
        <v>35208900</v>
      </c>
      <c r="J7437" s="8">
        <f t="shared" si="466"/>
        <v>12939270.75</v>
      </c>
      <c r="K7437" t="str">
        <f t="shared" si="467"/>
        <v>MATCHED</v>
      </c>
    </row>
    <row r="7438" spans="1:11">
      <c r="A7438" t="s">
        <v>134</v>
      </c>
      <c r="B7438" t="s">
        <v>1888</v>
      </c>
      <c r="C7438" t="s">
        <v>1664</v>
      </c>
      <c r="D7438" t="s">
        <v>1665</v>
      </c>
      <c r="E7438" s="8">
        <v>9450</v>
      </c>
      <c r="F7438" s="8">
        <v>37700</v>
      </c>
      <c r="G7438" s="8">
        <f t="shared" si="464"/>
        <v>356265000</v>
      </c>
      <c r="H7438" s="5">
        <v>0.2083</v>
      </c>
      <c r="I7438" s="8">
        <f t="shared" si="465"/>
        <v>356265000</v>
      </c>
      <c r="J7438" s="8">
        <f t="shared" si="466"/>
        <v>74209999.5</v>
      </c>
      <c r="K7438" t="str">
        <f t="shared" si="467"/>
        <v>MATCHED</v>
      </c>
    </row>
    <row r="7439" spans="1:11">
      <c r="A7439" t="s">
        <v>134</v>
      </c>
      <c r="B7439" t="s">
        <v>1888</v>
      </c>
      <c r="C7439" t="s">
        <v>1427</v>
      </c>
      <c r="D7439" t="s">
        <v>1428</v>
      </c>
      <c r="E7439" s="8">
        <v>1160</v>
      </c>
      <c r="F7439" s="8">
        <v>64050</v>
      </c>
      <c r="G7439" s="8">
        <f t="shared" si="464"/>
        <v>74298000</v>
      </c>
      <c r="H7439" s="5"/>
      <c r="I7439" s="8" t="str">
        <f t="shared" si="465"/>
        <v/>
      </c>
      <c r="J7439" s="8" t="str">
        <f t="shared" si="466"/>
        <v/>
      </c>
      <c r="K7439" t="str">
        <f t="shared" si="467"/>
        <v>MISSING WHARTON</v>
      </c>
    </row>
    <row r="7440" spans="1:11">
      <c r="A7440" t="s">
        <v>134</v>
      </c>
      <c r="B7440" t="s">
        <v>1888</v>
      </c>
      <c r="C7440" t="s">
        <v>946</v>
      </c>
      <c r="D7440" t="s">
        <v>947</v>
      </c>
      <c r="E7440" s="8">
        <v>790</v>
      </c>
      <c r="F7440" s="8">
        <v>97170</v>
      </c>
      <c r="G7440" s="8">
        <f t="shared" si="464"/>
        <v>76764300</v>
      </c>
      <c r="H7440" s="5">
        <v>0.3688</v>
      </c>
      <c r="I7440" s="8">
        <f t="shared" si="465"/>
        <v>76764300</v>
      </c>
      <c r="J7440" s="8">
        <f t="shared" si="466"/>
        <v>28310673.84</v>
      </c>
      <c r="K7440" t="str">
        <f t="shared" si="467"/>
        <v>MATCHED</v>
      </c>
    </row>
    <row r="7441" spans="1:11">
      <c r="A7441" t="s">
        <v>134</v>
      </c>
      <c r="B7441" t="s">
        <v>1888</v>
      </c>
      <c r="C7441" t="s">
        <v>948</v>
      </c>
      <c r="D7441" t="s">
        <v>949</v>
      </c>
      <c r="E7441" s="8"/>
      <c r="F7441" s="8">
        <v>51500</v>
      </c>
      <c r="G7441" s="8" t="str">
        <f t="shared" si="464"/>
        <v/>
      </c>
      <c r="H7441" s="5">
        <v>0.2281</v>
      </c>
      <c r="I7441" s="8" t="str">
        <f t="shared" si="465"/>
        <v/>
      </c>
      <c r="J7441" s="8" t="str">
        <f t="shared" si="466"/>
        <v/>
      </c>
      <c r="K7441" t="str">
        <f t="shared" si="467"/>
        <v>MISSING OEWS</v>
      </c>
    </row>
    <row r="7442" spans="1:11">
      <c r="A7442" t="s">
        <v>134</v>
      </c>
      <c r="B7442" t="s">
        <v>1888</v>
      </c>
      <c r="C7442" t="s">
        <v>1188</v>
      </c>
      <c r="D7442" t="s">
        <v>1189</v>
      </c>
      <c r="E7442" s="8">
        <v>40</v>
      </c>
      <c r="F7442" s="8">
        <v>57870</v>
      </c>
      <c r="G7442" s="8">
        <f t="shared" si="464"/>
        <v>2314800</v>
      </c>
      <c r="H7442" s="5">
        <v>0.7071</v>
      </c>
      <c r="I7442" s="8">
        <f t="shared" si="465"/>
        <v>2314800</v>
      </c>
      <c r="J7442" s="8">
        <f t="shared" si="466"/>
        <v>1636795.08</v>
      </c>
      <c r="K7442" t="str">
        <f t="shared" si="467"/>
        <v>MATCHED</v>
      </c>
    </row>
    <row r="7443" spans="1:11">
      <c r="A7443" t="s">
        <v>134</v>
      </c>
      <c r="B7443" t="s">
        <v>1888</v>
      </c>
      <c r="C7443" t="s">
        <v>950</v>
      </c>
      <c r="D7443" t="s">
        <v>951</v>
      </c>
      <c r="E7443" s="8">
        <v>1730</v>
      </c>
      <c r="F7443" s="8">
        <v>45750</v>
      </c>
      <c r="G7443" s="8">
        <f t="shared" si="464"/>
        <v>79147500</v>
      </c>
      <c r="H7443" s="5"/>
      <c r="I7443" s="8" t="str">
        <f t="shared" si="465"/>
        <v/>
      </c>
      <c r="J7443" s="8" t="str">
        <f t="shared" si="466"/>
        <v/>
      </c>
      <c r="K7443" t="str">
        <f t="shared" si="467"/>
        <v>MISSING WHARTON</v>
      </c>
    </row>
    <row r="7444" spans="1:11">
      <c r="A7444" t="s">
        <v>134</v>
      </c>
      <c r="B7444" t="s">
        <v>1888</v>
      </c>
      <c r="C7444" t="s">
        <v>952</v>
      </c>
      <c r="D7444" t="s">
        <v>953</v>
      </c>
      <c r="E7444" s="8"/>
      <c r="F7444" s="8">
        <v>70140</v>
      </c>
      <c r="G7444" s="8" t="str">
        <f t="shared" si="464"/>
        <v/>
      </c>
      <c r="H7444" s="5">
        <v>0.3029</v>
      </c>
      <c r="I7444" s="8" t="str">
        <f t="shared" si="465"/>
        <v/>
      </c>
      <c r="J7444" s="8" t="str">
        <f t="shared" si="466"/>
        <v/>
      </c>
      <c r="K7444" t="str">
        <f t="shared" si="467"/>
        <v>MISSING OEWS</v>
      </c>
    </row>
    <row r="7445" spans="1:11">
      <c r="A7445" t="s">
        <v>134</v>
      </c>
      <c r="B7445" t="s">
        <v>1888</v>
      </c>
      <c r="C7445" t="s">
        <v>1190</v>
      </c>
      <c r="D7445" t="s">
        <v>1191</v>
      </c>
      <c r="E7445" s="8"/>
      <c r="F7445" s="8">
        <v>90320</v>
      </c>
      <c r="G7445" s="8" t="str">
        <f t="shared" si="464"/>
        <v/>
      </c>
      <c r="H7445" s="5">
        <v>0.1875</v>
      </c>
      <c r="I7445" s="8" t="str">
        <f t="shared" si="465"/>
        <v/>
      </c>
      <c r="J7445" s="8" t="str">
        <f t="shared" si="466"/>
        <v/>
      </c>
      <c r="K7445" t="str">
        <f t="shared" si="467"/>
        <v>MISSING OEWS</v>
      </c>
    </row>
    <row r="7446" spans="1:11">
      <c r="A7446" t="s">
        <v>134</v>
      </c>
      <c r="B7446" t="s">
        <v>1888</v>
      </c>
      <c r="C7446" t="s">
        <v>1192</v>
      </c>
      <c r="D7446" t="s">
        <v>1193</v>
      </c>
      <c r="E7446" s="8">
        <v>530</v>
      </c>
      <c r="F7446" s="8">
        <v>44560</v>
      </c>
      <c r="G7446" s="8">
        <f t="shared" si="464"/>
        <v>23616800</v>
      </c>
      <c r="H7446" s="5">
        <v>0.1188</v>
      </c>
      <c r="I7446" s="8">
        <f t="shared" si="465"/>
        <v>23616800</v>
      </c>
      <c r="J7446" s="8">
        <f t="shared" si="466"/>
        <v>2805675.84</v>
      </c>
      <c r="K7446" t="str">
        <f t="shared" si="467"/>
        <v>MATCHED</v>
      </c>
    </row>
    <row r="7447" spans="1:11">
      <c r="A7447" t="s">
        <v>134</v>
      </c>
      <c r="B7447" t="s">
        <v>1888</v>
      </c>
      <c r="C7447" t="s">
        <v>858</v>
      </c>
      <c r="D7447" t="s">
        <v>859</v>
      </c>
      <c r="E7447" s="8">
        <v>4050</v>
      </c>
      <c r="F7447" s="8">
        <v>68750</v>
      </c>
      <c r="G7447" s="8">
        <f t="shared" si="464"/>
        <v>278437500</v>
      </c>
      <c r="H7447" s="5">
        <v>0.7375</v>
      </c>
      <c r="I7447" s="8">
        <f t="shared" si="465"/>
        <v>278437500</v>
      </c>
      <c r="J7447" s="8">
        <f t="shared" si="466"/>
        <v>205347656.25</v>
      </c>
      <c r="K7447" t="str">
        <f t="shared" si="467"/>
        <v>MATCHED</v>
      </c>
    </row>
    <row r="7448" spans="1:11">
      <c r="A7448" t="s">
        <v>134</v>
      </c>
      <c r="B7448" t="s">
        <v>1888</v>
      </c>
      <c r="C7448" t="s">
        <v>954</v>
      </c>
      <c r="D7448" t="s">
        <v>955</v>
      </c>
      <c r="E7448" s="8"/>
      <c r="F7448" s="8">
        <v>63420</v>
      </c>
      <c r="G7448" s="8" t="str">
        <f t="shared" si="464"/>
        <v/>
      </c>
      <c r="H7448" s="5">
        <v>0.3133</v>
      </c>
      <c r="I7448" s="8" t="str">
        <f t="shared" si="465"/>
        <v/>
      </c>
      <c r="J7448" s="8" t="str">
        <f t="shared" si="466"/>
        <v/>
      </c>
      <c r="K7448" t="str">
        <f t="shared" si="467"/>
        <v>MISSING OEWS</v>
      </c>
    </row>
    <row r="7449" spans="1:11">
      <c r="A7449" t="s">
        <v>134</v>
      </c>
      <c r="B7449" t="s">
        <v>1888</v>
      </c>
      <c r="C7449" t="s">
        <v>956</v>
      </c>
      <c r="D7449" t="s">
        <v>957</v>
      </c>
      <c r="E7449" s="8"/>
      <c r="F7449" s="8">
        <v>46500</v>
      </c>
      <c r="G7449" s="8" t="str">
        <f t="shared" si="464"/>
        <v/>
      </c>
      <c r="H7449" s="5">
        <v>0.038</v>
      </c>
      <c r="I7449" s="8" t="str">
        <f t="shared" si="465"/>
        <v/>
      </c>
      <c r="J7449" s="8" t="str">
        <f t="shared" si="466"/>
        <v/>
      </c>
      <c r="K7449" t="str">
        <f t="shared" si="467"/>
        <v>MISSING OEWS</v>
      </c>
    </row>
    <row r="7450" spans="1:11">
      <c r="A7450" t="s">
        <v>134</v>
      </c>
      <c r="B7450" t="s">
        <v>1888</v>
      </c>
      <c r="C7450" t="s">
        <v>1194</v>
      </c>
      <c r="D7450" t="s">
        <v>1195</v>
      </c>
      <c r="E7450" s="8"/>
      <c r="F7450" s="8">
        <v>71010</v>
      </c>
      <c r="G7450" s="8" t="str">
        <f t="shared" si="464"/>
        <v/>
      </c>
      <c r="H7450" s="5">
        <v>0.2167</v>
      </c>
      <c r="I7450" s="8" t="str">
        <f t="shared" si="465"/>
        <v/>
      </c>
      <c r="J7450" s="8" t="str">
        <f t="shared" si="466"/>
        <v/>
      </c>
      <c r="K7450" t="str">
        <f t="shared" si="467"/>
        <v>MISSING OEWS</v>
      </c>
    </row>
    <row r="7451" spans="1:11">
      <c r="A7451" t="s">
        <v>134</v>
      </c>
      <c r="B7451" t="s">
        <v>1888</v>
      </c>
      <c r="C7451" t="s">
        <v>960</v>
      </c>
      <c r="D7451" t="s">
        <v>961</v>
      </c>
      <c r="E7451" s="8">
        <v>1610</v>
      </c>
      <c r="F7451" s="8">
        <v>80080</v>
      </c>
      <c r="G7451" s="8">
        <f t="shared" si="464"/>
        <v>128928800</v>
      </c>
      <c r="H7451" s="5">
        <v>0.3463</v>
      </c>
      <c r="I7451" s="8">
        <f t="shared" si="465"/>
        <v>128928800</v>
      </c>
      <c r="J7451" s="8">
        <f t="shared" si="466"/>
        <v>44648043.44</v>
      </c>
      <c r="K7451" t="str">
        <f t="shared" si="467"/>
        <v>MATCHED</v>
      </c>
    </row>
    <row r="7452" spans="1:11">
      <c r="A7452" t="s">
        <v>134</v>
      </c>
      <c r="B7452" t="s">
        <v>1888</v>
      </c>
      <c r="C7452" t="s">
        <v>1879</v>
      </c>
      <c r="D7452" t="s">
        <v>1880</v>
      </c>
      <c r="E7452" s="8"/>
      <c r="F7452" s="8">
        <v>76200</v>
      </c>
      <c r="G7452" s="8" t="str">
        <f t="shared" si="464"/>
        <v/>
      </c>
      <c r="H7452" s="5">
        <v>0</v>
      </c>
      <c r="I7452" s="8" t="str">
        <f t="shared" si="465"/>
        <v/>
      </c>
      <c r="J7452" s="8" t="str">
        <f t="shared" si="466"/>
        <v/>
      </c>
      <c r="K7452" t="str">
        <f t="shared" si="467"/>
        <v>MISSING OEWS</v>
      </c>
    </row>
    <row r="7453" spans="1:11">
      <c r="A7453" t="s">
        <v>134</v>
      </c>
      <c r="B7453" t="s">
        <v>1888</v>
      </c>
      <c r="C7453" t="s">
        <v>1476</v>
      </c>
      <c r="D7453" t="s">
        <v>1477</v>
      </c>
      <c r="E7453" s="8">
        <v>5820</v>
      </c>
      <c r="F7453" s="8">
        <v>55300</v>
      </c>
      <c r="G7453" s="8">
        <f t="shared" si="464"/>
        <v>321846000</v>
      </c>
      <c r="H7453" s="5">
        <v>0.2018</v>
      </c>
      <c r="I7453" s="8">
        <f t="shared" si="465"/>
        <v>321846000</v>
      </c>
      <c r="J7453" s="8">
        <f t="shared" si="466"/>
        <v>64948522.8</v>
      </c>
      <c r="K7453" t="str">
        <f t="shared" si="467"/>
        <v>MATCHED</v>
      </c>
    </row>
    <row r="7454" spans="1:11">
      <c r="A7454" t="s">
        <v>134</v>
      </c>
      <c r="B7454" t="s">
        <v>1888</v>
      </c>
      <c r="C7454" t="s">
        <v>1851</v>
      </c>
      <c r="D7454" t="s">
        <v>1852</v>
      </c>
      <c r="E7454" s="8">
        <v>1840</v>
      </c>
      <c r="F7454" s="8"/>
      <c r="G7454" s="8" t="str">
        <f t="shared" si="464"/>
        <v/>
      </c>
      <c r="H7454" s="5">
        <v>0.4</v>
      </c>
      <c r="I7454" s="8" t="str">
        <f t="shared" si="465"/>
        <v/>
      </c>
      <c r="J7454" s="8" t="str">
        <f t="shared" si="466"/>
        <v/>
      </c>
      <c r="K7454" t="str">
        <f t="shared" si="467"/>
        <v>MISSING OEWS</v>
      </c>
    </row>
    <row r="7455" spans="1:11">
      <c r="A7455" t="s">
        <v>134</v>
      </c>
      <c r="B7455" t="s">
        <v>1888</v>
      </c>
      <c r="C7455" t="s">
        <v>1577</v>
      </c>
      <c r="D7455" t="s">
        <v>1578</v>
      </c>
      <c r="E7455" s="8">
        <v>3880</v>
      </c>
      <c r="F7455" s="8">
        <v>88000</v>
      </c>
      <c r="G7455" s="8">
        <f t="shared" si="464"/>
        <v>341440000</v>
      </c>
      <c r="H7455" s="5">
        <v>0.5433</v>
      </c>
      <c r="I7455" s="8">
        <f t="shared" si="465"/>
        <v>341440000</v>
      </c>
      <c r="J7455" s="8">
        <f t="shared" si="466"/>
        <v>185504352</v>
      </c>
      <c r="K7455" t="str">
        <f t="shared" si="467"/>
        <v>MATCHED</v>
      </c>
    </row>
    <row r="7456" spans="1:11">
      <c r="A7456" t="s">
        <v>134</v>
      </c>
      <c r="B7456" t="s">
        <v>1888</v>
      </c>
      <c r="C7456" t="s">
        <v>1478</v>
      </c>
      <c r="D7456" t="s">
        <v>1479</v>
      </c>
      <c r="E7456" s="8">
        <v>7770</v>
      </c>
      <c r="F7456" s="8"/>
      <c r="G7456" s="8" t="str">
        <f t="shared" si="464"/>
        <v/>
      </c>
      <c r="H7456" s="5">
        <v>0.1733</v>
      </c>
      <c r="I7456" s="8" t="str">
        <f t="shared" si="465"/>
        <v/>
      </c>
      <c r="J7456" s="8" t="str">
        <f t="shared" si="466"/>
        <v/>
      </c>
      <c r="K7456" t="str">
        <f t="shared" si="467"/>
        <v>MISSING OEWS</v>
      </c>
    </row>
    <row r="7457" spans="1:11">
      <c r="A7457" t="s">
        <v>134</v>
      </c>
      <c r="B7457" t="s">
        <v>1888</v>
      </c>
      <c r="C7457" t="s">
        <v>1579</v>
      </c>
      <c r="D7457" t="s">
        <v>1580</v>
      </c>
      <c r="E7457" s="8"/>
      <c r="F7457" s="8"/>
      <c r="G7457" s="8" t="str">
        <f t="shared" si="464"/>
        <v/>
      </c>
      <c r="H7457" s="5">
        <v>0.4868</v>
      </c>
      <c r="I7457" s="8" t="str">
        <f t="shared" si="465"/>
        <v/>
      </c>
      <c r="J7457" s="8" t="str">
        <f t="shared" si="466"/>
        <v/>
      </c>
      <c r="K7457" t="str">
        <f t="shared" si="467"/>
        <v>MISSING OEWS</v>
      </c>
    </row>
    <row r="7458" spans="1:11">
      <c r="A7458" t="s">
        <v>134</v>
      </c>
      <c r="B7458" t="s">
        <v>1888</v>
      </c>
      <c r="C7458" t="s">
        <v>1196</v>
      </c>
      <c r="D7458" t="s">
        <v>1197</v>
      </c>
      <c r="E7458" s="8">
        <v>270</v>
      </c>
      <c r="F7458" s="8"/>
      <c r="G7458" s="8" t="str">
        <f t="shared" si="464"/>
        <v/>
      </c>
      <c r="H7458" s="5"/>
      <c r="I7458" s="8" t="str">
        <f t="shared" si="465"/>
        <v/>
      </c>
      <c r="J7458" s="8" t="str">
        <f t="shared" si="466"/>
        <v/>
      </c>
      <c r="K7458" t="str">
        <f t="shared" si="467"/>
        <v>MISSING OEWS</v>
      </c>
    </row>
    <row r="7459" spans="1:11">
      <c r="A7459" t="s">
        <v>134</v>
      </c>
      <c r="B7459" t="s">
        <v>1888</v>
      </c>
      <c r="C7459" t="s">
        <v>1480</v>
      </c>
      <c r="D7459" t="s">
        <v>1481</v>
      </c>
      <c r="E7459" s="8">
        <v>50</v>
      </c>
      <c r="F7459" s="8">
        <v>81620</v>
      </c>
      <c r="G7459" s="8">
        <f t="shared" si="464"/>
        <v>4081000</v>
      </c>
      <c r="H7459" s="5">
        <v>0.7021</v>
      </c>
      <c r="I7459" s="8">
        <f t="shared" si="465"/>
        <v>4081000</v>
      </c>
      <c r="J7459" s="8">
        <f t="shared" si="466"/>
        <v>2865270.1</v>
      </c>
      <c r="K7459" t="str">
        <f t="shared" si="467"/>
        <v>MATCHED</v>
      </c>
    </row>
    <row r="7460" spans="1:11">
      <c r="A7460" t="s">
        <v>134</v>
      </c>
      <c r="B7460" t="s">
        <v>1888</v>
      </c>
      <c r="C7460" t="s">
        <v>1198</v>
      </c>
      <c r="D7460" t="s">
        <v>1199</v>
      </c>
      <c r="E7460" s="8">
        <v>190</v>
      </c>
      <c r="F7460" s="8">
        <v>66080</v>
      </c>
      <c r="G7460" s="8">
        <f t="shared" si="464"/>
        <v>12555200</v>
      </c>
      <c r="H7460" s="5">
        <v>0.71</v>
      </c>
      <c r="I7460" s="8">
        <f t="shared" si="465"/>
        <v>12555200</v>
      </c>
      <c r="J7460" s="8">
        <f t="shared" si="466"/>
        <v>8914192</v>
      </c>
      <c r="K7460" t="str">
        <f t="shared" si="467"/>
        <v>MATCHED</v>
      </c>
    </row>
    <row r="7461" spans="1:11">
      <c r="A7461" t="s">
        <v>134</v>
      </c>
      <c r="B7461" t="s">
        <v>1888</v>
      </c>
      <c r="C7461" t="s">
        <v>323</v>
      </c>
      <c r="D7461" t="s">
        <v>324</v>
      </c>
      <c r="E7461" s="8">
        <v>41030</v>
      </c>
      <c r="F7461" s="8">
        <v>80020</v>
      </c>
      <c r="G7461" s="8">
        <f t="shared" si="464"/>
        <v>3283220600</v>
      </c>
      <c r="H7461" s="5">
        <v>0.575</v>
      </c>
      <c r="I7461" s="8">
        <f t="shared" si="465"/>
        <v>3283220600</v>
      </c>
      <c r="J7461" s="8">
        <f t="shared" si="466"/>
        <v>1887851845</v>
      </c>
      <c r="K7461" t="str">
        <f t="shared" si="467"/>
        <v>MATCHED</v>
      </c>
    </row>
    <row r="7462" spans="1:11">
      <c r="A7462" t="s">
        <v>134</v>
      </c>
      <c r="B7462" t="s">
        <v>1888</v>
      </c>
      <c r="C7462" t="s">
        <v>1200</v>
      </c>
      <c r="D7462" t="s">
        <v>1201</v>
      </c>
      <c r="E7462" s="8">
        <v>4500</v>
      </c>
      <c r="F7462" s="8">
        <v>88910</v>
      </c>
      <c r="G7462" s="8">
        <f t="shared" si="464"/>
        <v>400095000</v>
      </c>
      <c r="H7462" s="5">
        <v>0.6643</v>
      </c>
      <c r="I7462" s="8">
        <f t="shared" si="465"/>
        <v>400095000</v>
      </c>
      <c r="J7462" s="8">
        <f t="shared" si="466"/>
        <v>265783108.5</v>
      </c>
      <c r="K7462" t="str">
        <f t="shared" si="467"/>
        <v>MATCHED</v>
      </c>
    </row>
    <row r="7463" spans="1:11">
      <c r="A7463" t="s">
        <v>134</v>
      </c>
      <c r="B7463" t="s">
        <v>1888</v>
      </c>
      <c r="C7463" t="s">
        <v>636</v>
      </c>
      <c r="D7463" t="s">
        <v>637</v>
      </c>
      <c r="E7463" s="8">
        <v>640</v>
      </c>
      <c r="F7463" s="8">
        <v>82390</v>
      </c>
      <c r="G7463" s="8">
        <f t="shared" si="464"/>
        <v>52729600</v>
      </c>
      <c r="H7463" s="5">
        <v>0.71</v>
      </c>
      <c r="I7463" s="8">
        <f t="shared" si="465"/>
        <v>52729600</v>
      </c>
      <c r="J7463" s="8">
        <f t="shared" si="466"/>
        <v>37438016</v>
      </c>
      <c r="K7463" t="str">
        <f t="shared" si="467"/>
        <v>MATCHED</v>
      </c>
    </row>
    <row r="7464" spans="1:11">
      <c r="A7464" t="s">
        <v>134</v>
      </c>
      <c r="B7464" t="s">
        <v>1888</v>
      </c>
      <c r="C7464" t="s">
        <v>860</v>
      </c>
      <c r="D7464" t="s">
        <v>861</v>
      </c>
      <c r="E7464" s="8">
        <v>1490</v>
      </c>
      <c r="F7464" s="8">
        <v>84150</v>
      </c>
      <c r="G7464" s="8">
        <f t="shared" si="464"/>
        <v>125383500</v>
      </c>
      <c r="H7464" s="5">
        <v>0.7744</v>
      </c>
      <c r="I7464" s="8">
        <f t="shared" si="465"/>
        <v>125383500</v>
      </c>
      <c r="J7464" s="8">
        <f t="shared" si="466"/>
        <v>97096982.4</v>
      </c>
      <c r="K7464" t="str">
        <f t="shared" si="467"/>
        <v>MATCHED</v>
      </c>
    </row>
    <row r="7465" spans="1:11">
      <c r="A7465" t="s">
        <v>134</v>
      </c>
      <c r="B7465" t="s">
        <v>1888</v>
      </c>
      <c r="C7465" t="s">
        <v>1202</v>
      </c>
      <c r="D7465" t="s">
        <v>1203</v>
      </c>
      <c r="E7465" s="8">
        <v>360</v>
      </c>
      <c r="F7465" s="8">
        <v>61090</v>
      </c>
      <c r="G7465" s="8">
        <f t="shared" si="464"/>
        <v>21992400</v>
      </c>
      <c r="H7465" s="5">
        <v>0.6294</v>
      </c>
      <c r="I7465" s="8">
        <f t="shared" si="465"/>
        <v>21992400</v>
      </c>
      <c r="J7465" s="8">
        <f t="shared" si="466"/>
        <v>13842016.56</v>
      </c>
      <c r="K7465" t="str">
        <f t="shared" si="467"/>
        <v>MATCHED</v>
      </c>
    </row>
    <row r="7466" spans="1:11">
      <c r="A7466" t="s">
        <v>134</v>
      </c>
      <c r="B7466" t="s">
        <v>1888</v>
      </c>
      <c r="C7466" t="s">
        <v>1204</v>
      </c>
      <c r="D7466" t="s">
        <v>1205</v>
      </c>
      <c r="E7466" s="8">
        <v>580</v>
      </c>
      <c r="F7466" s="8">
        <v>49530</v>
      </c>
      <c r="G7466" s="8">
        <f t="shared" si="464"/>
        <v>28727400</v>
      </c>
      <c r="H7466" s="5"/>
      <c r="I7466" s="8" t="str">
        <f t="shared" si="465"/>
        <v/>
      </c>
      <c r="J7466" s="8" t="str">
        <f t="shared" si="466"/>
        <v/>
      </c>
      <c r="K7466" t="str">
        <f t="shared" si="467"/>
        <v>MISSING WHARTON</v>
      </c>
    </row>
    <row r="7467" spans="1:11">
      <c r="A7467" t="s">
        <v>134</v>
      </c>
      <c r="B7467" t="s">
        <v>1888</v>
      </c>
      <c r="C7467" t="s">
        <v>962</v>
      </c>
      <c r="D7467" t="s">
        <v>963</v>
      </c>
      <c r="E7467" s="8">
        <v>1940</v>
      </c>
      <c r="F7467" s="8">
        <v>54270</v>
      </c>
      <c r="G7467" s="8">
        <f t="shared" si="464"/>
        <v>105283800</v>
      </c>
      <c r="H7467" s="5">
        <v>0.5483</v>
      </c>
      <c r="I7467" s="8">
        <f t="shared" si="465"/>
        <v>105283800</v>
      </c>
      <c r="J7467" s="8">
        <f t="shared" si="466"/>
        <v>57727107.54</v>
      </c>
      <c r="K7467" t="str">
        <f t="shared" si="467"/>
        <v>MATCHED</v>
      </c>
    </row>
    <row r="7468" spans="1:11">
      <c r="A7468" t="s">
        <v>134</v>
      </c>
      <c r="B7468" t="s">
        <v>1888</v>
      </c>
      <c r="C7468" t="s">
        <v>1429</v>
      </c>
      <c r="D7468" t="s">
        <v>1430</v>
      </c>
      <c r="E7468" s="8">
        <v>100</v>
      </c>
      <c r="F7468" s="8">
        <v>55640</v>
      </c>
      <c r="G7468" s="8">
        <f t="shared" si="464"/>
        <v>5564000</v>
      </c>
      <c r="H7468" s="5">
        <v>0.6138</v>
      </c>
      <c r="I7468" s="8">
        <f t="shared" si="465"/>
        <v>5564000</v>
      </c>
      <c r="J7468" s="8">
        <f t="shared" si="466"/>
        <v>3415183.2</v>
      </c>
      <c r="K7468" t="str">
        <f t="shared" si="467"/>
        <v>MATCHED</v>
      </c>
    </row>
    <row r="7469" spans="1:11">
      <c r="A7469" t="s">
        <v>134</v>
      </c>
      <c r="B7469" t="s">
        <v>1888</v>
      </c>
      <c r="C7469" t="s">
        <v>964</v>
      </c>
      <c r="D7469" t="s">
        <v>965</v>
      </c>
      <c r="E7469" s="8"/>
      <c r="F7469" s="8">
        <v>60850</v>
      </c>
      <c r="G7469" s="8" t="str">
        <f t="shared" si="464"/>
        <v/>
      </c>
      <c r="H7469" s="5">
        <v>0.5607</v>
      </c>
      <c r="I7469" s="8" t="str">
        <f t="shared" si="465"/>
        <v/>
      </c>
      <c r="J7469" s="8" t="str">
        <f t="shared" si="466"/>
        <v/>
      </c>
      <c r="K7469" t="str">
        <f t="shared" si="467"/>
        <v>MISSING OEWS</v>
      </c>
    </row>
    <row r="7470" spans="1:11">
      <c r="A7470" t="s">
        <v>134</v>
      </c>
      <c r="B7470" t="s">
        <v>1888</v>
      </c>
      <c r="C7470" t="s">
        <v>968</v>
      </c>
      <c r="D7470" t="s">
        <v>969</v>
      </c>
      <c r="E7470" s="8">
        <v>900</v>
      </c>
      <c r="F7470" s="8">
        <v>45560</v>
      </c>
      <c r="G7470" s="8">
        <f t="shared" si="464"/>
        <v>41004000</v>
      </c>
      <c r="H7470" s="5">
        <v>0.3207</v>
      </c>
      <c r="I7470" s="8">
        <f t="shared" si="465"/>
        <v>41004000</v>
      </c>
      <c r="J7470" s="8">
        <f t="shared" si="466"/>
        <v>13149982.8</v>
      </c>
      <c r="K7470" t="str">
        <f t="shared" si="467"/>
        <v>MATCHED</v>
      </c>
    </row>
    <row r="7471" spans="1:11">
      <c r="A7471" t="s">
        <v>134</v>
      </c>
      <c r="B7471" t="s">
        <v>1888</v>
      </c>
      <c r="C7471" t="s">
        <v>970</v>
      </c>
      <c r="D7471" t="s">
        <v>971</v>
      </c>
      <c r="E7471" s="8">
        <v>280</v>
      </c>
      <c r="F7471" s="8">
        <v>60260</v>
      </c>
      <c r="G7471" s="8">
        <f t="shared" si="464"/>
        <v>16872800</v>
      </c>
      <c r="H7471" s="5">
        <v>0.3458</v>
      </c>
      <c r="I7471" s="8">
        <f t="shared" si="465"/>
        <v>16872800</v>
      </c>
      <c r="J7471" s="8">
        <f t="shared" si="466"/>
        <v>5834614.24</v>
      </c>
      <c r="K7471" t="str">
        <f t="shared" si="467"/>
        <v>MATCHED</v>
      </c>
    </row>
    <row r="7472" spans="1:11">
      <c r="A7472" t="s">
        <v>134</v>
      </c>
      <c r="B7472" t="s">
        <v>1888</v>
      </c>
      <c r="C7472" t="s">
        <v>1206</v>
      </c>
      <c r="D7472" t="s">
        <v>1207</v>
      </c>
      <c r="E7472" s="8">
        <v>320</v>
      </c>
      <c r="F7472" s="8">
        <v>72290</v>
      </c>
      <c r="G7472" s="8">
        <f t="shared" si="464"/>
        <v>23132800</v>
      </c>
      <c r="H7472" s="5">
        <v>0.6065</v>
      </c>
      <c r="I7472" s="8">
        <f t="shared" si="465"/>
        <v>23132800</v>
      </c>
      <c r="J7472" s="8">
        <f t="shared" si="466"/>
        <v>14030043.2</v>
      </c>
      <c r="K7472" t="str">
        <f t="shared" si="467"/>
        <v>MATCHED</v>
      </c>
    </row>
    <row r="7473" spans="1:11">
      <c r="A7473" t="s">
        <v>134</v>
      </c>
      <c r="B7473" t="s">
        <v>1888</v>
      </c>
      <c r="C7473" t="s">
        <v>1519</v>
      </c>
      <c r="D7473" t="s">
        <v>1520</v>
      </c>
      <c r="E7473" s="8"/>
      <c r="F7473" s="8">
        <v>50270</v>
      </c>
      <c r="G7473" s="8" t="str">
        <f t="shared" si="464"/>
        <v/>
      </c>
      <c r="H7473" s="5"/>
      <c r="I7473" s="8" t="str">
        <f t="shared" si="465"/>
        <v/>
      </c>
      <c r="J7473" s="8" t="str">
        <f t="shared" si="466"/>
        <v/>
      </c>
      <c r="K7473" t="str">
        <f t="shared" si="467"/>
        <v>MISSING OEWS</v>
      </c>
    </row>
    <row r="7474" spans="1:11">
      <c r="A7474" t="s">
        <v>134</v>
      </c>
      <c r="B7474" t="s">
        <v>1888</v>
      </c>
      <c r="C7474" t="s">
        <v>1208</v>
      </c>
      <c r="D7474" t="s">
        <v>1209</v>
      </c>
      <c r="E7474" s="8">
        <v>30</v>
      </c>
      <c r="F7474" s="8">
        <v>180160</v>
      </c>
      <c r="G7474" s="8">
        <f t="shared" si="464"/>
        <v>5404800</v>
      </c>
      <c r="H7474" s="5">
        <v>0.07</v>
      </c>
      <c r="I7474" s="8">
        <f t="shared" si="465"/>
        <v>5404800</v>
      </c>
      <c r="J7474" s="8">
        <f t="shared" si="466"/>
        <v>378336</v>
      </c>
      <c r="K7474" t="str">
        <f t="shared" si="467"/>
        <v>MATCHED</v>
      </c>
    </row>
    <row r="7475" spans="1:11">
      <c r="A7475" t="s">
        <v>134</v>
      </c>
      <c r="B7475" t="s">
        <v>1888</v>
      </c>
      <c r="C7475" t="s">
        <v>1212</v>
      </c>
      <c r="D7475" t="s">
        <v>1213</v>
      </c>
      <c r="E7475" s="8">
        <v>1260</v>
      </c>
      <c r="F7475" s="8">
        <v>72470</v>
      </c>
      <c r="G7475" s="8">
        <f t="shared" si="464"/>
        <v>91312200</v>
      </c>
      <c r="H7475" s="5">
        <v>0.4679</v>
      </c>
      <c r="I7475" s="8">
        <f t="shared" si="465"/>
        <v>91312200</v>
      </c>
      <c r="J7475" s="8">
        <f t="shared" si="466"/>
        <v>42724978.38</v>
      </c>
      <c r="K7475" t="str">
        <f t="shared" si="467"/>
        <v>MATCHED</v>
      </c>
    </row>
    <row r="7476" spans="1:11">
      <c r="A7476" t="s">
        <v>134</v>
      </c>
      <c r="B7476" t="s">
        <v>1888</v>
      </c>
      <c r="C7476" t="s">
        <v>1214</v>
      </c>
      <c r="D7476" t="s">
        <v>1215</v>
      </c>
      <c r="E7476" s="8"/>
      <c r="F7476" s="8">
        <v>140890</v>
      </c>
      <c r="G7476" s="8" t="str">
        <f t="shared" si="464"/>
        <v/>
      </c>
      <c r="H7476" s="5">
        <v>0.4381</v>
      </c>
      <c r="I7476" s="8" t="str">
        <f t="shared" si="465"/>
        <v/>
      </c>
      <c r="J7476" s="8" t="str">
        <f t="shared" si="466"/>
        <v/>
      </c>
      <c r="K7476" t="str">
        <f t="shared" si="467"/>
        <v>MISSING OEWS</v>
      </c>
    </row>
    <row r="7477" spans="1:11">
      <c r="A7477" t="s">
        <v>134</v>
      </c>
      <c r="B7477" t="s">
        <v>1888</v>
      </c>
      <c r="C7477" t="s">
        <v>638</v>
      </c>
      <c r="D7477" t="s">
        <v>639</v>
      </c>
      <c r="E7477" s="8">
        <v>290</v>
      </c>
      <c r="F7477" s="8">
        <v>120010</v>
      </c>
      <c r="G7477" s="8">
        <f t="shared" si="464"/>
        <v>34802900</v>
      </c>
      <c r="H7477" s="5">
        <v>0.1495</v>
      </c>
      <c r="I7477" s="8">
        <f t="shared" si="465"/>
        <v>34802900</v>
      </c>
      <c r="J7477" s="8">
        <f t="shared" si="466"/>
        <v>5203033.55</v>
      </c>
      <c r="K7477" t="str">
        <f t="shared" si="467"/>
        <v>MATCHED</v>
      </c>
    </row>
    <row r="7478" spans="1:11">
      <c r="A7478" t="s">
        <v>134</v>
      </c>
      <c r="B7478" t="s">
        <v>1888</v>
      </c>
      <c r="C7478" t="s">
        <v>1616</v>
      </c>
      <c r="D7478" t="s">
        <v>1617</v>
      </c>
      <c r="E7478" s="8">
        <v>70</v>
      </c>
      <c r="F7478" s="8">
        <v>82840</v>
      </c>
      <c r="G7478" s="8">
        <f t="shared" si="464"/>
        <v>5798800</v>
      </c>
      <c r="H7478" s="5">
        <v>0.1829</v>
      </c>
      <c r="I7478" s="8">
        <f t="shared" si="465"/>
        <v>5798800</v>
      </c>
      <c r="J7478" s="8">
        <f t="shared" si="466"/>
        <v>1060600.52</v>
      </c>
      <c r="K7478" t="str">
        <f t="shared" si="467"/>
        <v>MATCHED</v>
      </c>
    </row>
    <row r="7479" spans="1:11">
      <c r="A7479" t="s">
        <v>134</v>
      </c>
      <c r="B7479" t="s">
        <v>1888</v>
      </c>
      <c r="C7479" t="s">
        <v>1583</v>
      </c>
      <c r="D7479" t="s">
        <v>1584</v>
      </c>
      <c r="E7479" s="8">
        <v>60</v>
      </c>
      <c r="F7479" s="8">
        <v>111170</v>
      </c>
      <c r="G7479" s="8">
        <f t="shared" si="464"/>
        <v>6670200</v>
      </c>
      <c r="H7479" s="5">
        <v>0.1958</v>
      </c>
      <c r="I7479" s="8">
        <f t="shared" si="465"/>
        <v>6670200</v>
      </c>
      <c r="J7479" s="8">
        <f t="shared" si="466"/>
        <v>1306025.16</v>
      </c>
      <c r="K7479" t="str">
        <f t="shared" si="467"/>
        <v>MATCHED</v>
      </c>
    </row>
    <row r="7480" spans="1:11">
      <c r="A7480" t="s">
        <v>134</v>
      </c>
      <c r="B7480" t="s">
        <v>1888</v>
      </c>
      <c r="C7480" t="s">
        <v>1752</v>
      </c>
      <c r="D7480" t="s">
        <v>1753</v>
      </c>
      <c r="E7480" s="8">
        <v>100</v>
      </c>
      <c r="F7480" s="8">
        <v>57560</v>
      </c>
      <c r="G7480" s="8">
        <f t="shared" si="464"/>
        <v>5756000</v>
      </c>
      <c r="H7480" s="5">
        <v>0.2773</v>
      </c>
      <c r="I7480" s="8">
        <f t="shared" si="465"/>
        <v>5756000</v>
      </c>
      <c r="J7480" s="8">
        <f t="shared" si="466"/>
        <v>1596138.8</v>
      </c>
      <c r="K7480" t="str">
        <f t="shared" si="467"/>
        <v>MATCHED</v>
      </c>
    </row>
    <row r="7481" spans="1:11">
      <c r="A7481" t="s">
        <v>134</v>
      </c>
      <c r="B7481" t="s">
        <v>1888</v>
      </c>
      <c r="C7481" t="s">
        <v>1668</v>
      </c>
      <c r="D7481" t="s">
        <v>1669</v>
      </c>
      <c r="E7481" s="8"/>
      <c r="F7481" s="8">
        <v>110790</v>
      </c>
      <c r="G7481" s="8" t="str">
        <f t="shared" si="464"/>
        <v/>
      </c>
      <c r="H7481" s="5">
        <v>0.1958</v>
      </c>
      <c r="I7481" s="8" t="str">
        <f t="shared" si="465"/>
        <v/>
      </c>
      <c r="J7481" s="8" t="str">
        <f t="shared" si="466"/>
        <v/>
      </c>
      <c r="K7481" t="str">
        <f t="shared" si="467"/>
        <v>MISSING OEWS</v>
      </c>
    </row>
    <row r="7482" spans="1:11">
      <c r="A7482" t="s">
        <v>134</v>
      </c>
      <c r="B7482" t="s">
        <v>1888</v>
      </c>
      <c r="C7482" t="s">
        <v>1670</v>
      </c>
      <c r="D7482" t="s">
        <v>1671</v>
      </c>
      <c r="E7482" s="8"/>
      <c r="F7482" s="8">
        <v>54260</v>
      </c>
      <c r="G7482" s="8" t="str">
        <f t="shared" si="464"/>
        <v/>
      </c>
      <c r="H7482" s="5">
        <v>0.14</v>
      </c>
      <c r="I7482" s="8" t="str">
        <f t="shared" si="465"/>
        <v/>
      </c>
      <c r="J7482" s="8" t="str">
        <f t="shared" si="466"/>
        <v/>
      </c>
      <c r="K7482" t="str">
        <f t="shared" si="467"/>
        <v>MISSING OEWS</v>
      </c>
    </row>
    <row r="7483" spans="1:11">
      <c r="A7483" t="s">
        <v>134</v>
      </c>
      <c r="B7483" t="s">
        <v>1888</v>
      </c>
      <c r="C7483" t="s">
        <v>1618</v>
      </c>
      <c r="D7483" t="s">
        <v>1619</v>
      </c>
      <c r="E7483" s="8">
        <v>120</v>
      </c>
      <c r="F7483" s="8">
        <v>88650</v>
      </c>
      <c r="G7483" s="8">
        <f t="shared" si="464"/>
        <v>10638000</v>
      </c>
      <c r="H7483" s="5">
        <v>0.1775</v>
      </c>
      <c r="I7483" s="8">
        <f t="shared" si="465"/>
        <v>10638000</v>
      </c>
      <c r="J7483" s="8">
        <f t="shared" si="466"/>
        <v>1888245</v>
      </c>
      <c r="K7483" t="str">
        <f t="shared" si="467"/>
        <v>MATCHED</v>
      </c>
    </row>
    <row r="7484" spans="1:11">
      <c r="A7484" t="s">
        <v>134</v>
      </c>
      <c r="B7484" t="s">
        <v>1888</v>
      </c>
      <c r="C7484" t="s">
        <v>325</v>
      </c>
      <c r="D7484" t="s">
        <v>326</v>
      </c>
      <c r="E7484" s="8">
        <v>2270</v>
      </c>
      <c r="F7484" s="8">
        <v>140410</v>
      </c>
      <c r="G7484" s="8">
        <f t="shared" si="464"/>
        <v>318730700</v>
      </c>
      <c r="H7484" s="5">
        <v>0.163</v>
      </c>
      <c r="I7484" s="8">
        <f t="shared" si="465"/>
        <v>318730700</v>
      </c>
      <c r="J7484" s="8">
        <f t="shared" si="466"/>
        <v>51953104.1</v>
      </c>
      <c r="K7484" t="str">
        <f t="shared" si="467"/>
        <v>MATCHED</v>
      </c>
    </row>
    <row r="7485" spans="1:11">
      <c r="A7485" t="s">
        <v>134</v>
      </c>
      <c r="B7485" t="s">
        <v>1888</v>
      </c>
      <c r="C7485" t="s">
        <v>862</v>
      </c>
      <c r="D7485" t="s">
        <v>863</v>
      </c>
      <c r="E7485" s="8">
        <v>6400</v>
      </c>
      <c r="F7485" s="8">
        <v>80640</v>
      </c>
      <c r="G7485" s="8">
        <f t="shared" si="464"/>
        <v>516096000</v>
      </c>
      <c r="H7485" s="5">
        <v>0.1958</v>
      </c>
      <c r="I7485" s="8">
        <f t="shared" si="465"/>
        <v>516096000</v>
      </c>
      <c r="J7485" s="8">
        <f t="shared" si="466"/>
        <v>101051596.8</v>
      </c>
      <c r="K7485" t="str">
        <f t="shared" si="467"/>
        <v>MATCHED</v>
      </c>
    </row>
    <row r="7486" spans="1:11">
      <c r="A7486" t="s">
        <v>134</v>
      </c>
      <c r="B7486" t="s">
        <v>1888</v>
      </c>
      <c r="C7486" t="s">
        <v>1218</v>
      </c>
      <c r="D7486" t="s">
        <v>1219</v>
      </c>
      <c r="E7486" s="8">
        <v>1940</v>
      </c>
      <c r="F7486" s="8">
        <v>125950</v>
      </c>
      <c r="G7486" s="8">
        <f t="shared" si="464"/>
        <v>244343000</v>
      </c>
      <c r="H7486" s="5">
        <v>0.313</v>
      </c>
      <c r="I7486" s="8">
        <f t="shared" si="465"/>
        <v>244343000</v>
      </c>
      <c r="J7486" s="8">
        <f t="shared" si="466"/>
        <v>76479359</v>
      </c>
      <c r="K7486" t="str">
        <f t="shared" si="467"/>
        <v>MATCHED</v>
      </c>
    </row>
    <row r="7487" spans="1:11">
      <c r="A7487" t="s">
        <v>134</v>
      </c>
      <c r="B7487" t="s">
        <v>1888</v>
      </c>
      <c r="C7487" t="s">
        <v>1435</v>
      </c>
      <c r="D7487" t="s">
        <v>1436</v>
      </c>
      <c r="E7487" s="8"/>
      <c r="F7487" s="8">
        <v>86420</v>
      </c>
      <c r="G7487" s="8" t="str">
        <f t="shared" si="464"/>
        <v/>
      </c>
      <c r="H7487" s="5">
        <v>0.2568</v>
      </c>
      <c r="I7487" s="8" t="str">
        <f t="shared" si="465"/>
        <v/>
      </c>
      <c r="J7487" s="8" t="str">
        <f t="shared" si="466"/>
        <v/>
      </c>
      <c r="K7487" t="str">
        <f t="shared" si="467"/>
        <v>MISSING OEWS</v>
      </c>
    </row>
    <row r="7488" spans="1:11">
      <c r="A7488" t="s">
        <v>134</v>
      </c>
      <c r="B7488" t="s">
        <v>1888</v>
      </c>
      <c r="C7488" t="s">
        <v>1439</v>
      </c>
      <c r="D7488" t="s">
        <v>1440</v>
      </c>
      <c r="E7488" s="8">
        <v>30</v>
      </c>
      <c r="F7488" s="8"/>
      <c r="G7488" s="8" t="str">
        <f t="shared" si="464"/>
        <v/>
      </c>
      <c r="H7488" s="5">
        <v>0.2711</v>
      </c>
      <c r="I7488" s="8" t="str">
        <f t="shared" si="465"/>
        <v/>
      </c>
      <c r="J7488" s="8" t="str">
        <f t="shared" si="466"/>
        <v/>
      </c>
      <c r="K7488" t="str">
        <f t="shared" si="467"/>
        <v>MISSING OEWS</v>
      </c>
    </row>
    <row r="7489" spans="1:11">
      <c r="A7489" t="s">
        <v>134</v>
      </c>
      <c r="B7489" t="s">
        <v>1888</v>
      </c>
      <c r="C7489" t="s">
        <v>1220</v>
      </c>
      <c r="D7489" t="s">
        <v>1221</v>
      </c>
      <c r="E7489" s="8">
        <v>370</v>
      </c>
      <c r="F7489" s="8">
        <v>194780</v>
      </c>
      <c r="G7489" s="8">
        <f t="shared" si="464"/>
        <v>72068600</v>
      </c>
      <c r="H7489" s="5">
        <v>0.2008</v>
      </c>
      <c r="I7489" s="8">
        <f t="shared" si="465"/>
        <v>72068600</v>
      </c>
      <c r="J7489" s="8">
        <f t="shared" si="466"/>
        <v>14471374.88</v>
      </c>
      <c r="K7489" t="str">
        <f t="shared" si="467"/>
        <v>MATCHED</v>
      </c>
    </row>
    <row r="7490" spans="1:11">
      <c r="A7490" t="s">
        <v>134</v>
      </c>
      <c r="B7490" t="s">
        <v>1888</v>
      </c>
      <c r="C7490" t="s">
        <v>1754</v>
      </c>
      <c r="D7490" t="s">
        <v>1755</v>
      </c>
      <c r="E7490" s="8"/>
      <c r="F7490" s="8">
        <v>137710</v>
      </c>
      <c r="G7490" s="8" t="str">
        <f t="shared" ref="G7490:G7553" si="468">IF(OR(E7490="",F7490=""),"",E7490*F7490)</f>
        <v/>
      </c>
      <c r="H7490" s="5">
        <v>0.0528</v>
      </c>
      <c r="I7490" s="8" t="str">
        <f t="shared" ref="I7490:I7553" si="469">IF(G7490="","",IF(ISNUMBER(H7490),G7490,""))</f>
        <v/>
      </c>
      <c r="J7490" s="8" t="str">
        <f t="shared" ref="J7490:J7553" si="470">IF(I7490="","",I7490*H7490)</f>
        <v/>
      </c>
      <c r="K7490" t="str">
        <f t="shared" ref="K7490:K7553" si="471">IF(G7490="","MISSING OEWS",IF(ISNUMBER(H7490),"MATCHED","MISSING WHARTON"))</f>
        <v>MISSING OEWS</v>
      </c>
    </row>
    <row r="7491" spans="1:11">
      <c r="A7491" t="s">
        <v>134</v>
      </c>
      <c r="B7491" t="s">
        <v>1888</v>
      </c>
      <c r="C7491" t="s">
        <v>1222</v>
      </c>
      <c r="D7491" t="s">
        <v>1223</v>
      </c>
      <c r="E7491" s="8"/>
      <c r="F7491" s="8">
        <v>76750</v>
      </c>
      <c r="G7491" s="8" t="str">
        <f t="shared" si="468"/>
        <v/>
      </c>
      <c r="H7491" s="5">
        <v>0.1583</v>
      </c>
      <c r="I7491" s="8" t="str">
        <f t="shared" si="469"/>
        <v/>
      </c>
      <c r="J7491" s="8" t="str">
        <f t="shared" si="470"/>
        <v/>
      </c>
      <c r="K7491" t="str">
        <f t="shared" si="471"/>
        <v>MISSING OEWS</v>
      </c>
    </row>
    <row r="7492" spans="1:11">
      <c r="A7492" t="s">
        <v>134</v>
      </c>
      <c r="B7492" t="s">
        <v>1888</v>
      </c>
      <c r="C7492" t="s">
        <v>1486</v>
      </c>
      <c r="D7492" t="s">
        <v>1487</v>
      </c>
      <c r="E7492" s="8">
        <v>50</v>
      </c>
      <c r="F7492" s="8">
        <v>64370</v>
      </c>
      <c r="G7492" s="8">
        <f t="shared" si="468"/>
        <v>3218500</v>
      </c>
      <c r="H7492" s="5">
        <v>0.1875</v>
      </c>
      <c r="I7492" s="8">
        <f t="shared" si="469"/>
        <v>3218500</v>
      </c>
      <c r="J7492" s="8">
        <f t="shared" si="470"/>
        <v>603468.75</v>
      </c>
      <c r="K7492" t="str">
        <f t="shared" si="471"/>
        <v>MATCHED</v>
      </c>
    </row>
    <row r="7493" spans="1:11">
      <c r="A7493" t="s">
        <v>134</v>
      </c>
      <c r="B7493" t="s">
        <v>1888</v>
      </c>
      <c r="C7493" t="s">
        <v>1224</v>
      </c>
      <c r="D7493" t="s">
        <v>1225</v>
      </c>
      <c r="E7493" s="8">
        <v>130</v>
      </c>
      <c r="F7493" s="8">
        <v>73280</v>
      </c>
      <c r="G7493" s="8">
        <f t="shared" si="468"/>
        <v>9526400</v>
      </c>
      <c r="H7493" s="5">
        <v>0.1612</v>
      </c>
      <c r="I7493" s="8">
        <f t="shared" si="469"/>
        <v>9526400</v>
      </c>
      <c r="J7493" s="8">
        <f t="shared" si="470"/>
        <v>1535655.68</v>
      </c>
      <c r="K7493" t="str">
        <f t="shared" si="471"/>
        <v>MATCHED</v>
      </c>
    </row>
    <row r="7494" spans="1:11">
      <c r="A7494" t="s">
        <v>134</v>
      </c>
      <c r="B7494" t="s">
        <v>1888</v>
      </c>
      <c r="C7494" t="s">
        <v>640</v>
      </c>
      <c r="D7494" t="s">
        <v>641</v>
      </c>
      <c r="E7494" s="8">
        <v>280</v>
      </c>
      <c r="F7494" s="8">
        <v>40760</v>
      </c>
      <c r="G7494" s="8">
        <f t="shared" si="468"/>
        <v>11412800</v>
      </c>
      <c r="H7494" s="5">
        <v>0.0792</v>
      </c>
      <c r="I7494" s="8">
        <f t="shared" si="469"/>
        <v>11412800</v>
      </c>
      <c r="J7494" s="8">
        <f t="shared" si="470"/>
        <v>903893.76</v>
      </c>
      <c r="K7494" t="str">
        <f t="shared" si="471"/>
        <v>MATCHED</v>
      </c>
    </row>
    <row r="7495" spans="1:11">
      <c r="A7495" t="s">
        <v>134</v>
      </c>
      <c r="B7495" t="s">
        <v>1888</v>
      </c>
      <c r="C7495" t="s">
        <v>642</v>
      </c>
      <c r="D7495" t="s">
        <v>643</v>
      </c>
      <c r="E7495" s="8">
        <v>100</v>
      </c>
      <c r="F7495" s="8">
        <v>50680</v>
      </c>
      <c r="G7495" s="8">
        <f t="shared" si="468"/>
        <v>5068000</v>
      </c>
      <c r="H7495" s="5">
        <v>0</v>
      </c>
      <c r="I7495" s="8">
        <f t="shared" si="469"/>
        <v>5068000</v>
      </c>
      <c r="J7495" s="8">
        <f t="shared" si="470"/>
        <v>0</v>
      </c>
      <c r="K7495" t="str">
        <f t="shared" si="471"/>
        <v>MATCHED</v>
      </c>
    </row>
    <row r="7496" spans="1:11">
      <c r="A7496" t="s">
        <v>134</v>
      </c>
      <c r="B7496" t="s">
        <v>1888</v>
      </c>
      <c r="C7496" t="s">
        <v>1729</v>
      </c>
      <c r="D7496" t="s">
        <v>1730</v>
      </c>
      <c r="E7496" s="8">
        <v>30</v>
      </c>
      <c r="F7496" s="8">
        <v>46500</v>
      </c>
      <c r="G7496" s="8">
        <f t="shared" si="468"/>
        <v>1395000</v>
      </c>
      <c r="H7496" s="5">
        <v>0.4154</v>
      </c>
      <c r="I7496" s="8">
        <f t="shared" si="469"/>
        <v>1395000</v>
      </c>
      <c r="J7496" s="8">
        <f t="shared" si="470"/>
        <v>579483</v>
      </c>
      <c r="K7496" t="str">
        <f t="shared" si="471"/>
        <v>MATCHED</v>
      </c>
    </row>
    <row r="7497" spans="1:11">
      <c r="A7497" t="s">
        <v>134</v>
      </c>
      <c r="B7497" t="s">
        <v>1888</v>
      </c>
      <c r="C7497" t="s">
        <v>1228</v>
      </c>
      <c r="D7497" t="s">
        <v>1229</v>
      </c>
      <c r="E7497" s="8"/>
      <c r="F7497" s="8">
        <v>51330</v>
      </c>
      <c r="G7497" s="8" t="str">
        <f t="shared" si="468"/>
        <v/>
      </c>
      <c r="H7497" s="5">
        <v>0.6357</v>
      </c>
      <c r="I7497" s="8" t="str">
        <f t="shared" si="469"/>
        <v/>
      </c>
      <c r="J7497" s="8" t="str">
        <f t="shared" si="470"/>
        <v/>
      </c>
      <c r="K7497" t="str">
        <f t="shared" si="471"/>
        <v>MISSING OEWS</v>
      </c>
    </row>
    <row r="7498" spans="1:11">
      <c r="A7498" t="s">
        <v>134</v>
      </c>
      <c r="B7498" t="s">
        <v>1888</v>
      </c>
      <c r="C7498" t="s">
        <v>1692</v>
      </c>
      <c r="D7498" t="s">
        <v>1693</v>
      </c>
      <c r="E7498" s="8"/>
      <c r="F7498" s="8">
        <v>56700</v>
      </c>
      <c r="G7498" s="8" t="str">
        <f t="shared" si="468"/>
        <v/>
      </c>
      <c r="H7498" s="5">
        <v>0.0594</v>
      </c>
      <c r="I7498" s="8" t="str">
        <f t="shared" si="469"/>
        <v/>
      </c>
      <c r="J7498" s="8" t="str">
        <f t="shared" si="470"/>
        <v/>
      </c>
      <c r="K7498" t="str">
        <f t="shared" si="471"/>
        <v>MISSING OEWS</v>
      </c>
    </row>
    <row r="7499" spans="1:11">
      <c r="A7499" t="s">
        <v>134</v>
      </c>
      <c r="B7499" t="s">
        <v>1888</v>
      </c>
      <c r="C7499" t="s">
        <v>327</v>
      </c>
      <c r="D7499" t="s">
        <v>328</v>
      </c>
      <c r="E7499" s="8">
        <v>3520</v>
      </c>
      <c r="F7499" s="8">
        <v>47040</v>
      </c>
      <c r="G7499" s="8">
        <f t="shared" si="468"/>
        <v>165580800</v>
      </c>
      <c r="H7499" s="5">
        <v>0.2065</v>
      </c>
      <c r="I7499" s="8">
        <f t="shared" si="469"/>
        <v>165580800</v>
      </c>
      <c r="J7499" s="8">
        <f t="shared" si="470"/>
        <v>34192435.2</v>
      </c>
      <c r="K7499" t="str">
        <f t="shared" si="471"/>
        <v>MATCHED</v>
      </c>
    </row>
    <row r="7500" spans="1:11">
      <c r="A7500" t="s">
        <v>134</v>
      </c>
      <c r="B7500" t="s">
        <v>1888</v>
      </c>
      <c r="C7500" t="s">
        <v>1230</v>
      </c>
      <c r="D7500" t="s">
        <v>1231</v>
      </c>
      <c r="E7500" s="8">
        <v>1010</v>
      </c>
      <c r="F7500" s="8">
        <v>62310</v>
      </c>
      <c r="G7500" s="8">
        <f t="shared" si="468"/>
        <v>62933100</v>
      </c>
      <c r="H7500" s="5">
        <v>0.1239</v>
      </c>
      <c r="I7500" s="8">
        <f t="shared" si="469"/>
        <v>62933100</v>
      </c>
      <c r="J7500" s="8">
        <f t="shared" si="470"/>
        <v>7797411.09</v>
      </c>
      <c r="K7500" t="str">
        <f t="shared" si="471"/>
        <v>MATCHED</v>
      </c>
    </row>
    <row r="7501" spans="1:11">
      <c r="A7501" t="s">
        <v>134</v>
      </c>
      <c r="B7501" t="s">
        <v>1888</v>
      </c>
      <c r="C7501" t="s">
        <v>1232</v>
      </c>
      <c r="D7501" t="s">
        <v>1233</v>
      </c>
      <c r="E7501" s="8">
        <v>170</v>
      </c>
      <c r="F7501" s="8">
        <v>65450</v>
      </c>
      <c r="G7501" s="8">
        <f t="shared" si="468"/>
        <v>11126500</v>
      </c>
      <c r="H7501" s="5">
        <v>0.9353</v>
      </c>
      <c r="I7501" s="8">
        <f t="shared" si="469"/>
        <v>11126500</v>
      </c>
      <c r="J7501" s="8">
        <f t="shared" si="470"/>
        <v>10406615.45</v>
      </c>
      <c r="K7501" t="str">
        <f t="shared" si="471"/>
        <v>MATCHED</v>
      </c>
    </row>
    <row r="7502" spans="1:11">
      <c r="A7502" t="s">
        <v>134</v>
      </c>
      <c r="B7502" t="s">
        <v>1888</v>
      </c>
      <c r="C7502" t="s">
        <v>1240</v>
      </c>
      <c r="D7502" t="s">
        <v>1241</v>
      </c>
      <c r="E7502" s="8">
        <v>70</v>
      </c>
      <c r="F7502" s="8">
        <v>78720</v>
      </c>
      <c r="G7502" s="8">
        <f t="shared" si="468"/>
        <v>5510400</v>
      </c>
      <c r="H7502" s="5">
        <v>0.2977</v>
      </c>
      <c r="I7502" s="8">
        <f t="shared" si="469"/>
        <v>5510400</v>
      </c>
      <c r="J7502" s="8">
        <f t="shared" si="470"/>
        <v>1640446.08</v>
      </c>
      <c r="K7502" t="str">
        <f t="shared" si="471"/>
        <v>MATCHED</v>
      </c>
    </row>
    <row r="7503" spans="1:11">
      <c r="A7503" t="s">
        <v>134</v>
      </c>
      <c r="B7503" t="s">
        <v>1888</v>
      </c>
      <c r="C7503" t="s">
        <v>1242</v>
      </c>
      <c r="D7503" t="s">
        <v>1243</v>
      </c>
      <c r="E7503" s="8">
        <v>110</v>
      </c>
      <c r="F7503" s="8">
        <v>73450</v>
      </c>
      <c r="G7503" s="8">
        <f t="shared" si="468"/>
        <v>8079500</v>
      </c>
      <c r="H7503" s="5">
        <v>0.7969</v>
      </c>
      <c r="I7503" s="8">
        <f t="shared" si="469"/>
        <v>8079500</v>
      </c>
      <c r="J7503" s="8">
        <f t="shared" si="470"/>
        <v>6438553.55</v>
      </c>
      <c r="K7503" t="str">
        <f t="shared" si="471"/>
        <v>MATCHED</v>
      </c>
    </row>
    <row r="7504" spans="1:11">
      <c r="A7504" t="s">
        <v>134</v>
      </c>
      <c r="B7504" t="s">
        <v>1888</v>
      </c>
      <c r="C7504" t="s">
        <v>1696</v>
      </c>
      <c r="D7504" t="s">
        <v>1697</v>
      </c>
      <c r="E7504" s="8">
        <v>220</v>
      </c>
      <c r="F7504" s="8">
        <v>64900</v>
      </c>
      <c r="G7504" s="8">
        <f t="shared" si="468"/>
        <v>14278000</v>
      </c>
      <c r="H7504" s="5">
        <v>0.1435</v>
      </c>
      <c r="I7504" s="8">
        <f t="shared" si="469"/>
        <v>14278000</v>
      </c>
      <c r="J7504" s="8">
        <f t="shared" si="470"/>
        <v>2048893</v>
      </c>
      <c r="K7504" t="str">
        <f t="shared" si="471"/>
        <v>MATCHED</v>
      </c>
    </row>
    <row r="7505" spans="1:11">
      <c r="A7505" t="s">
        <v>134</v>
      </c>
      <c r="B7505" t="s">
        <v>1888</v>
      </c>
      <c r="C7505" t="s">
        <v>1246</v>
      </c>
      <c r="D7505" t="s">
        <v>1247</v>
      </c>
      <c r="E7505" s="8">
        <v>240</v>
      </c>
      <c r="F7505" s="8">
        <v>57350</v>
      </c>
      <c r="G7505" s="8">
        <f t="shared" si="468"/>
        <v>13764000</v>
      </c>
      <c r="H7505" s="5">
        <v>0.2347</v>
      </c>
      <c r="I7505" s="8">
        <f t="shared" si="469"/>
        <v>13764000</v>
      </c>
      <c r="J7505" s="8">
        <f t="shared" si="470"/>
        <v>3230410.8</v>
      </c>
      <c r="K7505" t="str">
        <f t="shared" si="471"/>
        <v>MATCHED</v>
      </c>
    </row>
    <row r="7506" spans="1:11">
      <c r="A7506" t="s">
        <v>134</v>
      </c>
      <c r="B7506" t="s">
        <v>1888</v>
      </c>
      <c r="C7506" t="s">
        <v>972</v>
      </c>
      <c r="D7506" t="s">
        <v>973</v>
      </c>
      <c r="E7506" s="8">
        <v>9220</v>
      </c>
      <c r="F7506" s="8">
        <v>38710</v>
      </c>
      <c r="G7506" s="8">
        <f t="shared" si="468"/>
        <v>356906200</v>
      </c>
      <c r="H7506" s="5">
        <v>0.118</v>
      </c>
      <c r="I7506" s="8">
        <f t="shared" si="469"/>
        <v>356906200</v>
      </c>
      <c r="J7506" s="8">
        <f t="shared" si="470"/>
        <v>42114931.6</v>
      </c>
      <c r="K7506" t="str">
        <f t="shared" si="471"/>
        <v>MATCHED</v>
      </c>
    </row>
    <row r="7507" spans="1:11">
      <c r="A7507" t="s">
        <v>134</v>
      </c>
      <c r="B7507" t="s">
        <v>1888</v>
      </c>
      <c r="C7507" t="s">
        <v>1443</v>
      </c>
      <c r="D7507" t="s">
        <v>1444</v>
      </c>
      <c r="E7507" s="8">
        <v>1210</v>
      </c>
      <c r="F7507" s="8">
        <v>43210</v>
      </c>
      <c r="G7507" s="8">
        <f t="shared" si="468"/>
        <v>52284100</v>
      </c>
      <c r="H7507" s="5">
        <v>0.05</v>
      </c>
      <c r="I7507" s="8">
        <f t="shared" si="469"/>
        <v>52284100</v>
      </c>
      <c r="J7507" s="8">
        <f t="shared" si="470"/>
        <v>2614205</v>
      </c>
      <c r="K7507" t="str">
        <f t="shared" si="471"/>
        <v>MATCHED</v>
      </c>
    </row>
    <row r="7508" spans="1:11">
      <c r="A7508" t="s">
        <v>134</v>
      </c>
      <c r="B7508" t="s">
        <v>1888</v>
      </c>
      <c r="C7508" t="s">
        <v>1490</v>
      </c>
      <c r="D7508" t="s">
        <v>1491</v>
      </c>
      <c r="E7508" s="8">
        <v>50610</v>
      </c>
      <c r="F7508" s="8">
        <v>60040</v>
      </c>
      <c r="G7508" s="8">
        <f t="shared" si="468"/>
        <v>3038624400</v>
      </c>
      <c r="H7508" s="5">
        <v>0.0679</v>
      </c>
      <c r="I7508" s="8">
        <f t="shared" si="469"/>
        <v>3038624400</v>
      </c>
      <c r="J7508" s="8">
        <f t="shared" si="470"/>
        <v>206322596.76</v>
      </c>
      <c r="K7508" t="str">
        <f t="shared" si="471"/>
        <v>MATCHED</v>
      </c>
    </row>
    <row r="7509" spans="1:11">
      <c r="A7509" t="s">
        <v>134</v>
      </c>
      <c r="B7509" t="s">
        <v>1888</v>
      </c>
      <c r="C7509" t="s">
        <v>1248</v>
      </c>
      <c r="D7509" t="s">
        <v>1249</v>
      </c>
      <c r="E7509" s="8">
        <v>90</v>
      </c>
      <c r="F7509" s="8">
        <v>51180</v>
      </c>
      <c r="G7509" s="8">
        <f t="shared" si="468"/>
        <v>4606200</v>
      </c>
      <c r="H7509" s="5">
        <v>0.2219</v>
      </c>
      <c r="I7509" s="8">
        <f t="shared" si="469"/>
        <v>4606200</v>
      </c>
      <c r="J7509" s="8">
        <f t="shared" si="470"/>
        <v>1022115.78</v>
      </c>
      <c r="K7509" t="str">
        <f t="shared" si="471"/>
        <v>MATCHED</v>
      </c>
    </row>
    <row r="7510" spans="1:11">
      <c r="A7510" t="s">
        <v>134</v>
      </c>
      <c r="B7510" t="s">
        <v>1888</v>
      </c>
      <c r="C7510" t="s">
        <v>1250</v>
      </c>
      <c r="D7510" t="s">
        <v>1251</v>
      </c>
      <c r="E7510" s="8">
        <v>1320</v>
      </c>
      <c r="F7510" s="8">
        <v>45680</v>
      </c>
      <c r="G7510" s="8">
        <f t="shared" si="468"/>
        <v>60297600</v>
      </c>
      <c r="H7510" s="5">
        <v>0.4025</v>
      </c>
      <c r="I7510" s="8">
        <f t="shared" si="469"/>
        <v>60297600</v>
      </c>
      <c r="J7510" s="8">
        <f t="shared" si="470"/>
        <v>24269784</v>
      </c>
      <c r="K7510" t="str">
        <f t="shared" si="471"/>
        <v>MATCHED</v>
      </c>
    </row>
    <row r="7511" spans="1:11">
      <c r="A7511" t="s">
        <v>134</v>
      </c>
      <c r="B7511" t="s">
        <v>1888</v>
      </c>
      <c r="C7511" t="s">
        <v>1252</v>
      </c>
      <c r="D7511" t="s">
        <v>1253</v>
      </c>
      <c r="E7511" s="8">
        <v>40</v>
      </c>
      <c r="F7511" s="8">
        <v>60190</v>
      </c>
      <c r="G7511" s="8">
        <f t="shared" si="468"/>
        <v>2407600</v>
      </c>
      <c r="H7511" s="5">
        <v>0.1188</v>
      </c>
      <c r="I7511" s="8">
        <f t="shared" si="469"/>
        <v>2407600</v>
      </c>
      <c r="J7511" s="8">
        <f t="shared" si="470"/>
        <v>286022.88</v>
      </c>
      <c r="K7511" t="str">
        <f t="shared" si="471"/>
        <v>MATCHED</v>
      </c>
    </row>
    <row r="7512" spans="1:11">
      <c r="A7512" t="s">
        <v>134</v>
      </c>
      <c r="B7512" t="s">
        <v>1888</v>
      </c>
      <c r="C7512" t="s">
        <v>1254</v>
      </c>
      <c r="D7512" t="s">
        <v>1255</v>
      </c>
      <c r="E7512" s="8">
        <v>2510</v>
      </c>
      <c r="F7512" s="8">
        <v>40470</v>
      </c>
      <c r="G7512" s="8">
        <f t="shared" si="468"/>
        <v>101579700</v>
      </c>
      <c r="H7512" s="5">
        <v>0.1696</v>
      </c>
      <c r="I7512" s="8">
        <f t="shared" si="469"/>
        <v>101579700</v>
      </c>
      <c r="J7512" s="8">
        <f t="shared" si="470"/>
        <v>17227917.12</v>
      </c>
      <c r="K7512" t="str">
        <f t="shared" si="471"/>
        <v>MATCHED</v>
      </c>
    </row>
    <row r="7513" spans="1:11">
      <c r="A7513" t="s">
        <v>134</v>
      </c>
      <c r="B7513" t="s">
        <v>1888</v>
      </c>
      <c r="C7513" t="s">
        <v>1447</v>
      </c>
      <c r="D7513" t="s">
        <v>1448</v>
      </c>
      <c r="E7513" s="8">
        <v>80</v>
      </c>
      <c r="F7513" s="8">
        <v>47440</v>
      </c>
      <c r="G7513" s="8">
        <f t="shared" si="468"/>
        <v>3795200</v>
      </c>
      <c r="H7513" s="5">
        <v>0.0792</v>
      </c>
      <c r="I7513" s="8">
        <f t="shared" si="469"/>
        <v>3795200</v>
      </c>
      <c r="J7513" s="8">
        <f t="shared" si="470"/>
        <v>300579.84</v>
      </c>
      <c r="K7513" t="str">
        <f t="shared" si="471"/>
        <v>MATCHED</v>
      </c>
    </row>
    <row r="7514" spans="1:11">
      <c r="A7514" t="s">
        <v>134</v>
      </c>
      <c r="B7514" t="s">
        <v>1888</v>
      </c>
      <c r="C7514" t="s">
        <v>1256</v>
      </c>
      <c r="D7514" t="s">
        <v>1257</v>
      </c>
      <c r="E7514" s="8">
        <v>1300</v>
      </c>
      <c r="F7514" s="8">
        <v>44840</v>
      </c>
      <c r="G7514" s="8">
        <f t="shared" si="468"/>
        <v>58292000</v>
      </c>
      <c r="H7514" s="5">
        <v>0.2542</v>
      </c>
      <c r="I7514" s="8">
        <f t="shared" si="469"/>
        <v>58292000</v>
      </c>
      <c r="J7514" s="8">
        <f t="shared" si="470"/>
        <v>14817826.4</v>
      </c>
      <c r="K7514" t="str">
        <f t="shared" si="471"/>
        <v>MATCHED</v>
      </c>
    </row>
    <row r="7515" spans="1:11">
      <c r="A7515" t="s">
        <v>134</v>
      </c>
      <c r="B7515" t="s">
        <v>1888</v>
      </c>
      <c r="C7515" t="s">
        <v>864</v>
      </c>
      <c r="D7515" t="s">
        <v>865</v>
      </c>
      <c r="E7515" s="8"/>
      <c r="F7515" s="8">
        <v>62300</v>
      </c>
      <c r="G7515" s="8" t="str">
        <f t="shared" si="468"/>
        <v/>
      </c>
      <c r="H7515" s="5">
        <v>0.2267</v>
      </c>
      <c r="I7515" s="8" t="str">
        <f t="shared" si="469"/>
        <v/>
      </c>
      <c r="J7515" s="8" t="str">
        <f t="shared" si="470"/>
        <v/>
      </c>
      <c r="K7515" t="str">
        <f t="shared" si="471"/>
        <v>MISSING OEWS</v>
      </c>
    </row>
    <row r="7516" spans="1:11">
      <c r="A7516" t="s">
        <v>134</v>
      </c>
      <c r="B7516" t="s">
        <v>1888</v>
      </c>
      <c r="C7516" t="s">
        <v>644</v>
      </c>
      <c r="D7516" t="s">
        <v>645</v>
      </c>
      <c r="E7516" s="8">
        <v>550</v>
      </c>
      <c r="F7516" s="8">
        <v>60310</v>
      </c>
      <c r="G7516" s="8">
        <f t="shared" si="468"/>
        <v>33170500</v>
      </c>
      <c r="H7516" s="5">
        <v>0.3929</v>
      </c>
      <c r="I7516" s="8">
        <f t="shared" si="469"/>
        <v>33170500</v>
      </c>
      <c r="J7516" s="8">
        <f t="shared" si="470"/>
        <v>13032689.45</v>
      </c>
      <c r="K7516" t="str">
        <f t="shared" si="471"/>
        <v>MATCHED</v>
      </c>
    </row>
    <row r="7517" spans="1:11">
      <c r="A7517" t="s">
        <v>134</v>
      </c>
      <c r="B7517" t="s">
        <v>1888</v>
      </c>
      <c r="C7517" t="s">
        <v>866</v>
      </c>
      <c r="D7517" t="s">
        <v>867</v>
      </c>
      <c r="E7517" s="8">
        <v>370</v>
      </c>
      <c r="F7517" s="8">
        <v>54850</v>
      </c>
      <c r="G7517" s="8">
        <f t="shared" si="468"/>
        <v>20294500</v>
      </c>
      <c r="H7517" s="5"/>
      <c r="I7517" s="8" t="str">
        <f t="shared" si="469"/>
        <v/>
      </c>
      <c r="J7517" s="8" t="str">
        <f t="shared" si="470"/>
        <v/>
      </c>
      <c r="K7517" t="str">
        <f t="shared" si="471"/>
        <v>MISSING WHARTON</v>
      </c>
    </row>
    <row r="7518" spans="1:11">
      <c r="A7518" t="s">
        <v>134</v>
      </c>
      <c r="B7518" t="s">
        <v>1888</v>
      </c>
      <c r="C7518" t="s">
        <v>868</v>
      </c>
      <c r="D7518" t="s">
        <v>869</v>
      </c>
      <c r="E7518" s="8">
        <v>140</v>
      </c>
      <c r="F7518" s="8">
        <v>49090</v>
      </c>
      <c r="G7518" s="8">
        <f t="shared" si="468"/>
        <v>6872600</v>
      </c>
      <c r="H7518" s="5">
        <v>0.0317</v>
      </c>
      <c r="I7518" s="8">
        <f t="shared" si="469"/>
        <v>6872600</v>
      </c>
      <c r="J7518" s="8">
        <f t="shared" si="470"/>
        <v>217861.42</v>
      </c>
      <c r="K7518" t="str">
        <f t="shared" si="471"/>
        <v>MATCHED</v>
      </c>
    </row>
    <row r="7519" spans="1:11">
      <c r="A7519" t="s">
        <v>134</v>
      </c>
      <c r="B7519" t="s">
        <v>1888</v>
      </c>
      <c r="C7519" t="s">
        <v>1891</v>
      </c>
      <c r="D7519" t="s">
        <v>1892</v>
      </c>
      <c r="E7519" s="8">
        <v>50</v>
      </c>
      <c r="F7519" s="8">
        <v>46490</v>
      </c>
      <c r="G7519" s="8">
        <f t="shared" si="468"/>
        <v>2324500</v>
      </c>
      <c r="H7519" s="5">
        <v>0.1188</v>
      </c>
      <c r="I7519" s="8">
        <f t="shared" si="469"/>
        <v>2324500</v>
      </c>
      <c r="J7519" s="8">
        <f t="shared" si="470"/>
        <v>276150.6</v>
      </c>
      <c r="K7519" t="str">
        <f t="shared" si="471"/>
        <v>MATCHED</v>
      </c>
    </row>
    <row r="7520" spans="1:11">
      <c r="A7520" t="s">
        <v>134</v>
      </c>
      <c r="B7520" t="s">
        <v>1888</v>
      </c>
      <c r="C7520" t="s">
        <v>1863</v>
      </c>
      <c r="D7520" t="s">
        <v>1864</v>
      </c>
      <c r="E7520" s="8">
        <v>140</v>
      </c>
      <c r="F7520" s="8">
        <v>40500</v>
      </c>
      <c r="G7520" s="8">
        <f t="shared" si="468"/>
        <v>5670000</v>
      </c>
      <c r="H7520" s="5">
        <v>0.2783</v>
      </c>
      <c r="I7520" s="8">
        <f t="shared" si="469"/>
        <v>5670000</v>
      </c>
      <c r="J7520" s="8">
        <f t="shared" si="470"/>
        <v>1577961</v>
      </c>
      <c r="K7520" t="str">
        <f t="shared" si="471"/>
        <v>MATCHED</v>
      </c>
    </row>
    <row r="7521" spans="1:11">
      <c r="A7521" t="s">
        <v>134</v>
      </c>
      <c r="B7521" t="s">
        <v>1888</v>
      </c>
      <c r="C7521" t="s">
        <v>1525</v>
      </c>
      <c r="D7521" t="s">
        <v>1526</v>
      </c>
      <c r="E7521" s="8"/>
      <c r="F7521" s="8">
        <v>96290</v>
      </c>
      <c r="G7521" s="8" t="str">
        <f t="shared" si="468"/>
        <v/>
      </c>
      <c r="H7521" s="5">
        <v>0.276</v>
      </c>
      <c r="I7521" s="8" t="str">
        <f t="shared" si="469"/>
        <v/>
      </c>
      <c r="J7521" s="8" t="str">
        <f t="shared" si="470"/>
        <v/>
      </c>
      <c r="K7521" t="str">
        <f t="shared" si="471"/>
        <v>MISSING OEWS</v>
      </c>
    </row>
    <row r="7522" spans="1:11">
      <c r="A7522" t="s">
        <v>134</v>
      </c>
      <c r="B7522" t="s">
        <v>1888</v>
      </c>
      <c r="C7522" t="s">
        <v>1762</v>
      </c>
      <c r="D7522" t="s">
        <v>1763</v>
      </c>
      <c r="E7522" s="8">
        <v>660</v>
      </c>
      <c r="F7522" s="8">
        <v>46870</v>
      </c>
      <c r="G7522" s="8">
        <f t="shared" si="468"/>
        <v>30934200</v>
      </c>
      <c r="H7522" s="5">
        <v>0.1781</v>
      </c>
      <c r="I7522" s="8">
        <f t="shared" si="469"/>
        <v>30934200</v>
      </c>
      <c r="J7522" s="8">
        <f t="shared" si="470"/>
        <v>5509381.02</v>
      </c>
      <c r="K7522" t="str">
        <f t="shared" si="471"/>
        <v>MATCHED</v>
      </c>
    </row>
    <row r="7523" spans="1:11">
      <c r="A7523" t="s">
        <v>134</v>
      </c>
      <c r="B7523" t="s">
        <v>1888</v>
      </c>
      <c r="C7523" t="s">
        <v>870</v>
      </c>
      <c r="D7523" t="s">
        <v>871</v>
      </c>
      <c r="E7523" s="8">
        <v>990</v>
      </c>
      <c r="F7523" s="8">
        <v>59060</v>
      </c>
      <c r="G7523" s="8">
        <f t="shared" si="468"/>
        <v>58469400</v>
      </c>
      <c r="H7523" s="5">
        <v>0.3324</v>
      </c>
      <c r="I7523" s="8">
        <f t="shared" si="469"/>
        <v>58469400</v>
      </c>
      <c r="J7523" s="8">
        <f t="shared" si="470"/>
        <v>19435228.56</v>
      </c>
      <c r="K7523" t="str">
        <f t="shared" si="471"/>
        <v>MATCHED</v>
      </c>
    </row>
    <row r="7524" spans="1:11">
      <c r="A7524" t="s">
        <v>134</v>
      </c>
      <c r="B7524" t="s">
        <v>1888</v>
      </c>
      <c r="C7524" t="s">
        <v>329</v>
      </c>
      <c r="D7524" t="s">
        <v>330</v>
      </c>
      <c r="E7524" s="8">
        <v>14010</v>
      </c>
      <c r="F7524" s="8">
        <v>40180</v>
      </c>
      <c r="G7524" s="8">
        <f t="shared" si="468"/>
        <v>562921800</v>
      </c>
      <c r="H7524" s="5">
        <v>0.1357</v>
      </c>
      <c r="I7524" s="8">
        <f t="shared" si="469"/>
        <v>562921800</v>
      </c>
      <c r="J7524" s="8">
        <f t="shared" si="470"/>
        <v>76388488.26</v>
      </c>
      <c r="K7524" t="str">
        <f t="shared" si="471"/>
        <v>MATCHED</v>
      </c>
    </row>
    <row r="7525" spans="1:11">
      <c r="A7525" t="s">
        <v>134</v>
      </c>
      <c r="B7525" t="s">
        <v>1888</v>
      </c>
      <c r="C7525" t="s">
        <v>976</v>
      </c>
      <c r="D7525" t="s">
        <v>977</v>
      </c>
      <c r="E7525" s="8">
        <v>540</v>
      </c>
      <c r="F7525" s="8">
        <v>41730</v>
      </c>
      <c r="G7525" s="8">
        <f t="shared" si="468"/>
        <v>22534200</v>
      </c>
      <c r="H7525" s="5">
        <v>0</v>
      </c>
      <c r="I7525" s="8">
        <f t="shared" si="469"/>
        <v>22534200</v>
      </c>
      <c r="J7525" s="8">
        <f t="shared" si="470"/>
        <v>0</v>
      </c>
      <c r="K7525" t="str">
        <f t="shared" si="471"/>
        <v>MATCHED</v>
      </c>
    </row>
    <row r="7526" spans="1:11">
      <c r="A7526" t="s">
        <v>134</v>
      </c>
      <c r="B7526" t="s">
        <v>1888</v>
      </c>
      <c r="C7526" t="s">
        <v>1492</v>
      </c>
      <c r="D7526" t="s">
        <v>1493</v>
      </c>
      <c r="E7526" s="8">
        <v>20280</v>
      </c>
      <c r="F7526" s="8">
        <v>31360</v>
      </c>
      <c r="G7526" s="8">
        <f t="shared" si="468"/>
        <v>635980800</v>
      </c>
      <c r="H7526" s="5">
        <v>0.0633</v>
      </c>
      <c r="I7526" s="8">
        <f t="shared" si="469"/>
        <v>635980800</v>
      </c>
      <c r="J7526" s="8">
        <f t="shared" si="470"/>
        <v>40257584.64</v>
      </c>
      <c r="K7526" t="str">
        <f t="shared" si="471"/>
        <v>MATCHED</v>
      </c>
    </row>
    <row r="7527" spans="1:11">
      <c r="A7527" t="s">
        <v>134</v>
      </c>
      <c r="B7527" t="s">
        <v>1888</v>
      </c>
      <c r="C7527" t="s">
        <v>1531</v>
      </c>
      <c r="D7527" t="s">
        <v>1532</v>
      </c>
      <c r="E7527" s="8">
        <v>40</v>
      </c>
      <c r="F7527" s="8">
        <v>33150</v>
      </c>
      <c r="G7527" s="8">
        <f t="shared" si="468"/>
        <v>1326000</v>
      </c>
      <c r="H7527" s="5">
        <v>0.1611</v>
      </c>
      <c r="I7527" s="8">
        <f t="shared" si="469"/>
        <v>1326000</v>
      </c>
      <c r="J7527" s="8">
        <f t="shared" si="470"/>
        <v>213618.6</v>
      </c>
      <c r="K7527" t="str">
        <f t="shared" si="471"/>
        <v>MATCHED</v>
      </c>
    </row>
    <row r="7528" spans="1:11">
      <c r="A7528" t="s">
        <v>134</v>
      </c>
      <c r="B7528" t="s">
        <v>1888</v>
      </c>
      <c r="C7528" t="s">
        <v>872</v>
      </c>
      <c r="D7528" t="s">
        <v>873</v>
      </c>
      <c r="E7528" s="8">
        <v>930</v>
      </c>
      <c r="F7528" s="8">
        <v>43680</v>
      </c>
      <c r="G7528" s="8">
        <f t="shared" si="468"/>
        <v>40622400</v>
      </c>
      <c r="H7528" s="5">
        <v>0.3357</v>
      </c>
      <c r="I7528" s="8">
        <f t="shared" si="469"/>
        <v>40622400</v>
      </c>
      <c r="J7528" s="8">
        <f t="shared" si="470"/>
        <v>13636939.68</v>
      </c>
      <c r="K7528" t="str">
        <f t="shared" si="471"/>
        <v>MATCHED</v>
      </c>
    </row>
    <row r="7529" spans="1:11">
      <c r="A7529" t="s">
        <v>134</v>
      </c>
      <c r="B7529" t="s">
        <v>1888</v>
      </c>
      <c r="C7529" t="s">
        <v>978</v>
      </c>
      <c r="D7529" t="s">
        <v>979</v>
      </c>
      <c r="E7529" s="8">
        <v>2490</v>
      </c>
      <c r="F7529" s="8">
        <v>69300</v>
      </c>
      <c r="G7529" s="8">
        <f t="shared" si="468"/>
        <v>172557000</v>
      </c>
      <c r="H7529" s="5">
        <v>0.281</v>
      </c>
      <c r="I7529" s="8">
        <f t="shared" si="469"/>
        <v>172557000</v>
      </c>
      <c r="J7529" s="8">
        <f t="shared" si="470"/>
        <v>48488517</v>
      </c>
      <c r="K7529" t="str">
        <f t="shared" si="471"/>
        <v>MATCHED</v>
      </c>
    </row>
    <row r="7530" spans="1:11">
      <c r="A7530" t="s">
        <v>134</v>
      </c>
      <c r="B7530" t="s">
        <v>1888</v>
      </c>
      <c r="C7530" t="s">
        <v>980</v>
      </c>
      <c r="D7530" t="s">
        <v>981</v>
      </c>
      <c r="E7530" s="8">
        <v>6140</v>
      </c>
      <c r="F7530" s="8">
        <v>45020</v>
      </c>
      <c r="G7530" s="8">
        <f t="shared" si="468"/>
        <v>276422800</v>
      </c>
      <c r="H7530" s="5">
        <v>0.4173</v>
      </c>
      <c r="I7530" s="8">
        <f t="shared" si="469"/>
        <v>276422800</v>
      </c>
      <c r="J7530" s="8">
        <f t="shared" si="470"/>
        <v>115351234.44</v>
      </c>
      <c r="K7530" t="str">
        <f t="shared" si="471"/>
        <v>MATCHED</v>
      </c>
    </row>
    <row r="7531" spans="1:11">
      <c r="A7531" t="s">
        <v>134</v>
      </c>
      <c r="B7531" t="s">
        <v>1888</v>
      </c>
      <c r="C7531" t="s">
        <v>1258</v>
      </c>
      <c r="D7531" t="s">
        <v>1259</v>
      </c>
      <c r="E7531" s="8">
        <v>190</v>
      </c>
      <c r="F7531" s="8">
        <v>34310</v>
      </c>
      <c r="G7531" s="8">
        <f t="shared" si="468"/>
        <v>6518900</v>
      </c>
      <c r="H7531" s="5">
        <v>0.05</v>
      </c>
      <c r="I7531" s="8">
        <f t="shared" si="469"/>
        <v>6518900</v>
      </c>
      <c r="J7531" s="8">
        <f t="shared" si="470"/>
        <v>325945</v>
      </c>
      <c r="K7531" t="str">
        <f t="shared" si="471"/>
        <v>MATCHED</v>
      </c>
    </row>
    <row r="7532" spans="1:11">
      <c r="A7532" t="s">
        <v>134</v>
      </c>
      <c r="B7532" t="s">
        <v>1888</v>
      </c>
      <c r="C7532" t="s">
        <v>982</v>
      </c>
      <c r="D7532" t="s">
        <v>983</v>
      </c>
      <c r="E7532" s="8">
        <v>3440</v>
      </c>
      <c r="F7532" s="8">
        <v>39170</v>
      </c>
      <c r="G7532" s="8">
        <f t="shared" si="468"/>
        <v>134744800</v>
      </c>
      <c r="H7532" s="5">
        <v>0.25</v>
      </c>
      <c r="I7532" s="8">
        <f t="shared" si="469"/>
        <v>134744800</v>
      </c>
      <c r="J7532" s="8">
        <f t="shared" si="470"/>
        <v>33686200</v>
      </c>
      <c r="K7532" t="str">
        <f t="shared" si="471"/>
        <v>MATCHED</v>
      </c>
    </row>
    <row r="7533" spans="1:11">
      <c r="A7533" t="s">
        <v>134</v>
      </c>
      <c r="B7533" t="s">
        <v>1888</v>
      </c>
      <c r="C7533" t="s">
        <v>1886</v>
      </c>
      <c r="D7533" t="s">
        <v>1887</v>
      </c>
      <c r="E7533" s="8">
        <v>590</v>
      </c>
      <c r="F7533" s="8">
        <v>44300</v>
      </c>
      <c r="G7533" s="8">
        <f t="shared" si="468"/>
        <v>26137000</v>
      </c>
      <c r="H7533" s="5">
        <v>0.1269</v>
      </c>
      <c r="I7533" s="8">
        <f t="shared" si="469"/>
        <v>26137000</v>
      </c>
      <c r="J7533" s="8">
        <f t="shared" si="470"/>
        <v>3316785.3</v>
      </c>
      <c r="K7533" t="str">
        <f t="shared" si="471"/>
        <v>MATCHED</v>
      </c>
    </row>
    <row r="7534" spans="1:11">
      <c r="A7534" t="s">
        <v>134</v>
      </c>
      <c r="B7534" t="s">
        <v>1888</v>
      </c>
      <c r="C7534" t="s">
        <v>984</v>
      </c>
      <c r="D7534" t="s">
        <v>985</v>
      </c>
      <c r="E7534" s="8">
        <v>8380</v>
      </c>
      <c r="F7534" s="8">
        <v>39220</v>
      </c>
      <c r="G7534" s="8">
        <f t="shared" si="468"/>
        <v>328663600</v>
      </c>
      <c r="H7534" s="5">
        <v>0.1175</v>
      </c>
      <c r="I7534" s="8">
        <f t="shared" si="469"/>
        <v>328663600</v>
      </c>
      <c r="J7534" s="8">
        <f t="shared" si="470"/>
        <v>38617973</v>
      </c>
      <c r="K7534" t="str">
        <f t="shared" si="471"/>
        <v>MATCHED</v>
      </c>
    </row>
    <row r="7535" spans="1:11">
      <c r="A7535" t="s">
        <v>134</v>
      </c>
      <c r="B7535" t="s">
        <v>1888</v>
      </c>
      <c r="C7535" t="s">
        <v>1260</v>
      </c>
      <c r="D7535" t="s">
        <v>1261</v>
      </c>
      <c r="E7535" s="8">
        <v>990</v>
      </c>
      <c r="F7535" s="8">
        <v>34850</v>
      </c>
      <c r="G7535" s="8">
        <f t="shared" si="468"/>
        <v>34501500</v>
      </c>
      <c r="H7535" s="5">
        <v>0.0864</v>
      </c>
      <c r="I7535" s="8">
        <f t="shared" si="469"/>
        <v>34501500</v>
      </c>
      <c r="J7535" s="8">
        <f t="shared" si="470"/>
        <v>2980929.6</v>
      </c>
      <c r="K7535" t="str">
        <f t="shared" si="471"/>
        <v>MATCHED</v>
      </c>
    </row>
    <row r="7536" spans="1:11">
      <c r="A7536" t="s">
        <v>134</v>
      </c>
      <c r="B7536" t="s">
        <v>1888</v>
      </c>
      <c r="C7536" t="s">
        <v>1262</v>
      </c>
      <c r="D7536" t="s">
        <v>1263</v>
      </c>
      <c r="E7536" s="8">
        <v>690</v>
      </c>
      <c r="F7536" s="8">
        <v>39990</v>
      </c>
      <c r="G7536" s="8">
        <f t="shared" si="468"/>
        <v>27593100</v>
      </c>
      <c r="H7536" s="5"/>
      <c r="I7536" s="8" t="str">
        <f t="shared" si="469"/>
        <v/>
      </c>
      <c r="J7536" s="8" t="str">
        <f t="shared" si="470"/>
        <v/>
      </c>
      <c r="K7536" t="str">
        <f t="shared" si="471"/>
        <v>MISSING WHARTON</v>
      </c>
    </row>
    <row r="7537" spans="1:11">
      <c r="A7537" t="s">
        <v>134</v>
      </c>
      <c r="B7537" t="s">
        <v>1888</v>
      </c>
      <c r="C7537" t="s">
        <v>986</v>
      </c>
      <c r="D7537" t="s">
        <v>987</v>
      </c>
      <c r="E7537" s="8">
        <v>3290</v>
      </c>
      <c r="F7537" s="8">
        <v>36040</v>
      </c>
      <c r="G7537" s="8">
        <f t="shared" si="468"/>
        <v>118571600</v>
      </c>
      <c r="H7537" s="5">
        <v>0.0613</v>
      </c>
      <c r="I7537" s="8">
        <f t="shared" si="469"/>
        <v>118571600</v>
      </c>
      <c r="J7537" s="8">
        <f t="shared" si="470"/>
        <v>7268439.08</v>
      </c>
      <c r="K7537" t="str">
        <f t="shared" si="471"/>
        <v>MATCHED</v>
      </c>
    </row>
    <row r="7538" spans="1:11">
      <c r="A7538" t="s">
        <v>134</v>
      </c>
      <c r="B7538" t="s">
        <v>1888</v>
      </c>
      <c r="C7538" t="s">
        <v>1264</v>
      </c>
      <c r="D7538" t="s">
        <v>1265</v>
      </c>
      <c r="E7538" s="8">
        <v>41560</v>
      </c>
      <c r="F7538" s="8">
        <v>29970</v>
      </c>
      <c r="G7538" s="8">
        <f t="shared" si="468"/>
        <v>1245553200</v>
      </c>
      <c r="H7538" s="5">
        <v>0.1425</v>
      </c>
      <c r="I7538" s="8">
        <f t="shared" si="469"/>
        <v>1245553200</v>
      </c>
      <c r="J7538" s="8">
        <f t="shared" si="470"/>
        <v>177491331</v>
      </c>
      <c r="K7538" t="str">
        <f t="shared" si="471"/>
        <v>MATCHED</v>
      </c>
    </row>
    <row r="7539" spans="1:11">
      <c r="A7539" t="s">
        <v>134</v>
      </c>
      <c r="B7539" t="s">
        <v>1888</v>
      </c>
      <c r="C7539" t="s">
        <v>988</v>
      </c>
      <c r="D7539" t="s">
        <v>989</v>
      </c>
      <c r="E7539" s="8">
        <v>3740</v>
      </c>
      <c r="F7539" s="8">
        <v>33840</v>
      </c>
      <c r="G7539" s="8">
        <f t="shared" si="468"/>
        <v>126561600</v>
      </c>
      <c r="H7539" s="5">
        <v>0.2031</v>
      </c>
      <c r="I7539" s="8">
        <f t="shared" si="469"/>
        <v>126561600</v>
      </c>
      <c r="J7539" s="8">
        <f t="shared" si="470"/>
        <v>25704660.96</v>
      </c>
      <c r="K7539" t="str">
        <f t="shared" si="471"/>
        <v>MATCHED</v>
      </c>
    </row>
    <row r="7540" spans="1:11">
      <c r="A7540" t="s">
        <v>134</v>
      </c>
      <c r="B7540" t="s">
        <v>1888</v>
      </c>
      <c r="C7540" t="s">
        <v>990</v>
      </c>
      <c r="D7540" t="s">
        <v>991</v>
      </c>
      <c r="E7540" s="8">
        <v>11960</v>
      </c>
      <c r="F7540" s="8">
        <v>37910</v>
      </c>
      <c r="G7540" s="8">
        <f t="shared" si="468"/>
        <v>453403600</v>
      </c>
      <c r="H7540" s="5">
        <v>0.152</v>
      </c>
      <c r="I7540" s="8">
        <f t="shared" si="469"/>
        <v>453403600</v>
      </c>
      <c r="J7540" s="8">
        <f t="shared" si="470"/>
        <v>68917347.2</v>
      </c>
      <c r="K7540" t="str">
        <f t="shared" si="471"/>
        <v>MATCHED</v>
      </c>
    </row>
    <row r="7541" spans="1:11">
      <c r="A7541" t="s">
        <v>134</v>
      </c>
      <c r="B7541" t="s">
        <v>1888</v>
      </c>
      <c r="C7541" t="s">
        <v>1266</v>
      </c>
      <c r="D7541" t="s">
        <v>1267</v>
      </c>
      <c r="E7541" s="8">
        <v>1490</v>
      </c>
      <c r="F7541" s="8">
        <v>40060</v>
      </c>
      <c r="G7541" s="8">
        <f t="shared" si="468"/>
        <v>59689400</v>
      </c>
      <c r="H7541" s="5">
        <v>0.1357</v>
      </c>
      <c r="I7541" s="8">
        <f t="shared" si="469"/>
        <v>59689400</v>
      </c>
      <c r="J7541" s="8">
        <f t="shared" si="470"/>
        <v>8099851.58</v>
      </c>
      <c r="K7541" t="str">
        <f t="shared" si="471"/>
        <v>MATCHED</v>
      </c>
    </row>
    <row r="7542" spans="1:11">
      <c r="A7542" t="s">
        <v>134</v>
      </c>
      <c r="B7542" t="s">
        <v>1888</v>
      </c>
      <c r="C7542" t="s">
        <v>1268</v>
      </c>
      <c r="D7542" t="s">
        <v>1269</v>
      </c>
      <c r="E7542" s="8">
        <v>2450</v>
      </c>
      <c r="F7542" s="8">
        <v>35580</v>
      </c>
      <c r="G7542" s="8">
        <f t="shared" si="468"/>
        <v>87171000</v>
      </c>
      <c r="H7542" s="5">
        <v>0.0417</v>
      </c>
      <c r="I7542" s="8">
        <f t="shared" si="469"/>
        <v>87171000</v>
      </c>
      <c r="J7542" s="8">
        <f t="shared" si="470"/>
        <v>3635030.7</v>
      </c>
      <c r="K7542" t="str">
        <f t="shared" si="471"/>
        <v>MATCHED</v>
      </c>
    </row>
    <row r="7543" spans="1:11">
      <c r="A7543" t="s">
        <v>134</v>
      </c>
      <c r="B7543" t="s">
        <v>1888</v>
      </c>
      <c r="C7543" t="s">
        <v>1270</v>
      </c>
      <c r="D7543" t="s">
        <v>1271</v>
      </c>
      <c r="E7543" s="8">
        <v>2680</v>
      </c>
      <c r="F7543" s="8">
        <v>34500</v>
      </c>
      <c r="G7543" s="8">
        <f t="shared" si="468"/>
        <v>92460000</v>
      </c>
      <c r="H7543" s="5">
        <v>0</v>
      </c>
      <c r="I7543" s="8">
        <f t="shared" si="469"/>
        <v>92460000</v>
      </c>
      <c r="J7543" s="8">
        <f t="shared" si="470"/>
        <v>0</v>
      </c>
      <c r="K7543" t="str">
        <f t="shared" si="471"/>
        <v>MATCHED</v>
      </c>
    </row>
    <row r="7544" spans="1:11">
      <c r="A7544" t="s">
        <v>134</v>
      </c>
      <c r="B7544" t="s">
        <v>1888</v>
      </c>
      <c r="C7544" t="s">
        <v>1272</v>
      </c>
      <c r="D7544" t="s">
        <v>1273</v>
      </c>
      <c r="E7544" s="8">
        <v>770</v>
      </c>
      <c r="F7544" s="8">
        <v>33730</v>
      </c>
      <c r="G7544" s="8">
        <f t="shared" si="468"/>
        <v>25972100</v>
      </c>
      <c r="H7544" s="5">
        <v>0.3023</v>
      </c>
      <c r="I7544" s="8">
        <f t="shared" si="469"/>
        <v>25972100</v>
      </c>
      <c r="J7544" s="8">
        <f t="shared" si="470"/>
        <v>7851365.83</v>
      </c>
      <c r="K7544" t="str">
        <f t="shared" si="471"/>
        <v>MATCHED</v>
      </c>
    </row>
    <row r="7545" spans="1:11">
      <c r="A7545" t="s">
        <v>134</v>
      </c>
      <c r="B7545" t="s">
        <v>1888</v>
      </c>
      <c r="C7545" t="s">
        <v>1274</v>
      </c>
      <c r="D7545" t="s">
        <v>1275</v>
      </c>
      <c r="E7545" s="8">
        <v>570</v>
      </c>
      <c r="F7545" s="8">
        <v>38110</v>
      </c>
      <c r="G7545" s="8">
        <f t="shared" si="468"/>
        <v>21722700</v>
      </c>
      <c r="H7545" s="5"/>
      <c r="I7545" s="8" t="str">
        <f t="shared" si="469"/>
        <v/>
      </c>
      <c r="J7545" s="8" t="str">
        <f t="shared" si="470"/>
        <v/>
      </c>
      <c r="K7545" t="str">
        <f t="shared" si="471"/>
        <v>MISSING WHARTON</v>
      </c>
    </row>
    <row r="7546" spans="1:11">
      <c r="A7546" t="s">
        <v>134</v>
      </c>
      <c r="B7546" t="s">
        <v>1888</v>
      </c>
      <c r="C7546" t="s">
        <v>331</v>
      </c>
      <c r="D7546" t="s">
        <v>332</v>
      </c>
      <c r="E7546" s="8">
        <v>1710</v>
      </c>
      <c r="F7546" s="8">
        <v>53660</v>
      </c>
      <c r="G7546" s="8">
        <f t="shared" si="468"/>
        <v>91758600</v>
      </c>
      <c r="H7546" s="5">
        <v>0.2269</v>
      </c>
      <c r="I7546" s="8">
        <f t="shared" si="469"/>
        <v>91758600</v>
      </c>
      <c r="J7546" s="8">
        <f t="shared" si="470"/>
        <v>20820026.34</v>
      </c>
      <c r="K7546" t="str">
        <f t="shared" si="471"/>
        <v>MATCHED</v>
      </c>
    </row>
    <row r="7547" spans="1:11">
      <c r="A7547" t="s">
        <v>134</v>
      </c>
      <c r="B7547" t="s">
        <v>1888</v>
      </c>
      <c r="C7547" t="s">
        <v>333</v>
      </c>
      <c r="D7547" t="s">
        <v>334</v>
      </c>
      <c r="E7547" s="8">
        <v>2900</v>
      </c>
      <c r="F7547" s="8">
        <v>61430</v>
      </c>
      <c r="G7547" s="8">
        <f t="shared" si="468"/>
        <v>178147000</v>
      </c>
      <c r="H7547" s="5">
        <v>0.2357</v>
      </c>
      <c r="I7547" s="8">
        <f t="shared" si="469"/>
        <v>178147000</v>
      </c>
      <c r="J7547" s="8">
        <f t="shared" si="470"/>
        <v>41989247.9</v>
      </c>
      <c r="K7547" t="str">
        <f t="shared" si="471"/>
        <v>MATCHED</v>
      </c>
    </row>
    <row r="7548" spans="1:11">
      <c r="A7548" t="s">
        <v>134</v>
      </c>
      <c r="B7548" t="s">
        <v>1888</v>
      </c>
      <c r="C7548" t="s">
        <v>335</v>
      </c>
      <c r="D7548" t="s">
        <v>336</v>
      </c>
      <c r="E7548" s="8">
        <v>52310</v>
      </c>
      <c r="F7548" s="8">
        <v>36870</v>
      </c>
      <c r="G7548" s="8">
        <f t="shared" si="468"/>
        <v>1928669700</v>
      </c>
      <c r="H7548" s="5">
        <v>0</v>
      </c>
      <c r="I7548" s="8">
        <f t="shared" si="469"/>
        <v>1928669700</v>
      </c>
      <c r="J7548" s="8">
        <f t="shared" si="470"/>
        <v>0</v>
      </c>
      <c r="K7548" t="str">
        <f t="shared" si="471"/>
        <v>MATCHED</v>
      </c>
    </row>
    <row r="7549" spans="1:11">
      <c r="A7549" t="s">
        <v>134</v>
      </c>
      <c r="B7549" t="s">
        <v>1888</v>
      </c>
      <c r="C7549" t="s">
        <v>337</v>
      </c>
      <c r="D7549" t="s">
        <v>338</v>
      </c>
      <c r="E7549" s="8">
        <v>10390</v>
      </c>
      <c r="F7549" s="8">
        <v>38350</v>
      </c>
      <c r="G7549" s="8">
        <f t="shared" si="468"/>
        <v>398456500</v>
      </c>
      <c r="H7549" s="5">
        <v>0</v>
      </c>
      <c r="I7549" s="8">
        <f t="shared" si="469"/>
        <v>398456500</v>
      </c>
      <c r="J7549" s="8">
        <f t="shared" si="470"/>
        <v>0</v>
      </c>
      <c r="K7549" t="str">
        <f t="shared" si="471"/>
        <v>MATCHED</v>
      </c>
    </row>
    <row r="7550" spans="1:11">
      <c r="A7550" t="s">
        <v>134</v>
      </c>
      <c r="B7550" t="s">
        <v>1888</v>
      </c>
      <c r="C7550" t="s">
        <v>646</v>
      </c>
      <c r="D7550" t="s">
        <v>647</v>
      </c>
      <c r="E7550" s="8">
        <v>370</v>
      </c>
      <c r="F7550" s="8">
        <v>44200</v>
      </c>
      <c r="G7550" s="8">
        <f t="shared" si="468"/>
        <v>16354000</v>
      </c>
      <c r="H7550" s="5"/>
      <c r="I7550" s="8" t="str">
        <f t="shared" si="469"/>
        <v/>
      </c>
      <c r="J7550" s="8" t="str">
        <f t="shared" si="470"/>
        <v/>
      </c>
      <c r="K7550" t="str">
        <f t="shared" si="471"/>
        <v>MISSING WHARTON</v>
      </c>
    </row>
    <row r="7551" spans="1:11">
      <c r="A7551" t="s">
        <v>134</v>
      </c>
      <c r="B7551" t="s">
        <v>1888</v>
      </c>
      <c r="C7551" t="s">
        <v>341</v>
      </c>
      <c r="D7551" t="s">
        <v>342</v>
      </c>
      <c r="E7551" s="8">
        <v>25290</v>
      </c>
      <c r="F7551" s="8">
        <v>41250</v>
      </c>
      <c r="G7551" s="8">
        <f t="shared" si="468"/>
        <v>1043212500</v>
      </c>
      <c r="H7551" s="5">
        <v>0</v>
      </c>
      <c r="I7551" s="8">
        <f t="shared" si="469"/>
        <v>1043212500</v>
      </c>
      <c r="J7551" s="8">
        <f t="shared" si="470"/>
        <v>0</v>
      </c>
      <c r="K7551" t="str">
        <f t="shared" si="471"/>
        <v>MATCHED</v>
      </c>
    </row>
    <row r="7552" spans="1:11">
      <c r="A7552" t="s">
        <v>134</v>
      </c>
      <c r="B7552" t="s">
        <v>1888</v>
      </c>
      <c r="C7552" t="s">
        <v>343</v>
      </c>
      <c r="D7552" t="s">
        <v>344</v>
      </c>
      <c r="E7552" s="8">
        <v>70</v>
      </c>
      <c r="F7552" s="8">
        <v>48780</v>
      </c>
      <c r="G7552" s="8">
        <f t="shared" si="468"/>
        <v>3414600</v>
      </c>
      <c r="H7552" s="5">
        <v>0</v>
      </c>
      <c r="I7552" s="8">
        <f t="shared" si="469"/>
        <v>3414600</v>
      </c>
      <c r="J7552" s="8">
        <f t="shared" si="470"/>
        <v>0</v>
      </c>
      <c r="K7552" t="str">
        <f t="shared" si="471"/>
        <v>MATCHED</v>
      </c>
    </row>
    <row r="7553" spans="1:11">
      <c r="A7553" t="s">
        <v>134</v>
      </c>
      <c r="B7553" t="s">
        <v>1888</v>
      </c>
      <c r="C7553" t="s">
        <v>874</v>
      </c>
      <c r="D7553" t="s">
        <v>875</v>
      </c>
      <c r="E7553" s="8">
        <v>910</v>
      </c>
      <c r="F7553" s="8">
        <v>46620</v>
      </c>
      <c r="G7553" s="8">
        <f t="shared" si="468"/>
        <v>42424200</v>
      </c>
      <c r="H7553" s="5"/>
      <c r="I7553" s="8" t="str">
        <f t="shared" si="469"/>
        <v/>
      </c>
      <c r="J7553" s="8" t="str">
        <f t="shared" si="470"/>
        <v/>
      </c>
      <c r="K7553" t="str">
        <f t="shared" si="471"/>
        <v>MISSING WHARTON</v>
      </c>
    </row>
    <row r="7554" spans="1:11">
      <c r="A7554" t="s">
        <v>134</v>
      </c>
      <c r="B7554" t="s">
        <v>1888</v>
      </c>
      <c r="C7554" t="s">
        <v>1585</v>
      </c>
      <c r="D7554" t="s">
        <v>1586</v>
      </c>
      <c r="E7554" s="8">
        <v>450</v>
      </c>
      <c r="F7554" s="8">
        <v>47030</v>
      </c>
      <c r="G7554" s="8">
        <f t="shared" ref="G7554:G7617" si="472">IF(OR(E7554="",F7554=""),"",E7554*F7554)</f>
        <v>21163500</v>
      </c>
      <c r="H7554" s="5">
        <v>0.34</v>
      </c>
      <c r="I7554" s="8">
        <f t="shared" ref="I7554:I7617" si="473">IF(G7554="","",IF(ISNUMBER(H7554),G7554,""))</f>
        <v>21163500</v>
      </c>
      <c r="J7554" s="8">
        <f t="shared" ref="J7554:J7617" si="474">IF(I7554="","",I7554*H7554)</f>
        <v>7195590</v>
      </c>
      <c r="K7554" t="str">
        <f t="shared" ref="K7554:K7617" si="475">IF(G7554="","MISSING OEWS",IF(ISNUMBER(H7554),"MATCHED","MISSING WHARTON"))</f>
        <v>MATCHED</v>
      </c>
    </row>
    <row r="7555" spans="1:11">
      <c r="A7555" t="s">
        <v>134</v>
      </c>
      <c r="B7555" t="s">
        <v>1888</v>
      </c>
      <c r="C7555" t="s">
        <v>347</v>
      </c>
      <c r="D7555" t="s">
        <v>348</v>
      </c>
      <c r="E7555" s="8">
        <v>6050</v>
      </c>
      <c r="F7555" s="8">
        <v>53750</v>
      </c>
      <c r="G7555" s="8">
        <f t="shared" si="472"/>
        <v>325187500</v>
      </c>
      <c r="H7555" s="5">
        <v>0.2974</v>
      </c>
      <c r="I7555" s="8">
        <f t="shared" si="473"/>
        <v>325187500</v>
      </c>
      <c r="J7555" s="8">
        <f t="shared" si="474"/>
        <v>96710762.5</v>
      </c>
      <c r="K7555" t="str">
        <f t="shared" si="475"/>
        <v>MATCHED</v>
      </c>
    </row>
    <row r="7556" spans="1:11">
      <c r="A7556" t="s">
        <v>134</v>
      </c>
      <c r="B7556" t="s">
        <v>1888</v>
      </c>
      <c r="C7556" t="s">
        <v>349</v>
      </c>
      <c r="D7556" t="s">
        <v>350</v>
      </c>
      <c r="E7556" s="8">
        <v>46990</v>
      </c>
      <c r="F7556" s="8">
        <v>50280</v>
      </c>
      <c r="G7556" s="8">
        <f t="shared" si="472"/>
        <v>2362657200</v>
      </c>
      <c r="H7556" s="5">
        <v>0.2765</v>
      </c>
      <c r="I7556" s="8">
        <f t="shared" si="473"/>
        <v>2362657200</v>
      </c>
      <c r="J7556" s="8">
        <f t="shared" si="474"/>
        <v>653274715.8</v>
      </c>
      <c r="K7556" t="str">
        <f t="shared" si="475"/>
        <v>MATCHED</v>
      </c>
    </row>
    <row r="7557" spans="1:11">
      <c r="A7557" t="s">
        <v>134</v>
      </c>
      <c r="B7557" t="s">
        <v>1888</v>
      </c>
      <c r="C7557" t="s">
        <v>351</v>
      </c>
      <c r="D7557" t="s">
        <v>352</v>
      </c>
      <c r="E7557" s="8">
        <v>9670</v>
      </c>
      <c r="F7557" s="8">
        <v>46610</v>
      </c>
      <c r="G7557" s="8">
        <f t="shared" si="472"/>
        <v>450718700</v>
      </c>
      <c r="H7557" s="5">
        <v>0.05</v>
      </c>
      <c r="I7557" s="8">
        <f t="shared" si="473"/>
        <v>450718700</v>
      </c>
      <c r="J7557" s="8">
        <f t="shared" si="474"/>
        <v>22535935</v>
      </c>
      <c r="K7557" t="str">
        <f t="shared" si="475"/>
        <v>MATCHED</v>
      </c>
    </row>
    <row r="7558" spans="1:11">
      <c r="A7558" t="s">
        <v>134</v>
      </c>
      <c r="B7558" t="s">
        <v>1888</v>
      </c>
      <c r="C7558" t="s">
        <v>353</v>
      </c>
      <c r="D7558" t="s">
        <v>354</v>
      </c>
      <c r="E7558" s="8">
        <v>156690</v>
      </c>
      <c r="F7558" s="8">
        <v>36520</v>
      </c>
      <c r="G7558" s="8">
        <f t="shared" si="472"/>
        <v>5722318800</v>
      </c>
      <c r="H7558" s="5">
        <v>0.1614</v>
      </c>
      <c r="I7558" s="8">
        <f t="shared" si="473"/>
        <v>5722318800</v>
      </c>
      <c r="J7558" s="8">
        <f t="shared" si="474"/>
        <v>923582254.32</v>
      </c>
      <c r="K7558" t="str">
        <f t="shared" si="475"/>
        <v>MATCHED</v>
      </c>
    </row>
    <row r="7559" spans="1:11">
      <c r="A7559" t="s">
        <v>134</v>
      </c>
      <c r="B7559" t="s">
        <v>1888</v>
      </c>
      <c r="C7559" t="s">
        <v>1627</v>
      </c>
      <c r="D7559" t="s">
        <v>1628</v>
      </c>
      <c r="E7559" s="8">
        <v>480</v>
      </c>
      <c r="F7559" s="8">
        <v>30740</v>
      </c>
      <c r="G7559" s="8">
        <f t="shared" si="472"/>
        <v>14755200</v>
      </c>
      <c r="H7559" s="5">
        <v>0.3167</v>
      </c>
      <c r="I7559" s="8">
        <f t="shared" si="473"/>
        <v>14755200</v>
      </c>
      <c r="J7559" s="8">
        <f t="shared" si="474"/>
        <v>4672971.84</v>
      </c>
      <c r="K7559" t="str">
        <f t="shared" si="475"/>
        <v>MATCHED</v>
      </c>
    </row>
    <row r="7560" spans="1:11">
      <c r="A7560" t="s">
        <v>134</v>
      </c>
      <c r="B7560" t="s">
        <v>1888</v>
      </c>
      <c r="C7560" t="s">
        <v>1874</v>
      </c>
      <c r="D7560" t="s">
        <v>1875</v>
      </c>
      <c r="E7560" s="8">
        <v>630</v>
      </c>
      <c r="F7560" s="8">
        <v>38530</v>
      </c>
      <c r="G7560" s="8">
        <f t="shared" si="472"/>
        <v>24273900</v>
      </c>
      <c r="H7560" s="5">
        <v>0.3545</v>
      </c>
      <c r="I7560" s="8">
        <f t="shared" si="473"/>
        <v>24273900</v>
      </c>
      <c r="J7560" s="8">
        <f t="shared" si="474"/>
        <v>8605097.55</v>
      </c>
      <c r="K7560" t="str">
        <f t="shared" si="475"/>
        <v>MATCHED</v>
      </c>
    </row>
    <row r="7561" spans="1:11">
      <c r="A7561" t="s">
        <v>134</v>
      </c>
      <c r="B7561" t="s">
        <v>1888</v>
      </c>
      <c r="C7561" t="s">
        <v>1587</v>
      </c>
      <c r="D7561" t="s">
        <v>1588</v>
      </c>
      <c r="E7561" s="8">
        <v>2480</v>
      </c>
      <c r="F7561" s="8">
        <v>35790</v>
      </c>
      <c r="G7561" s="8">
        <f t="shared" si="472"/>
        <v>88759200</v>
      </c>
      <c r="H7561" s="5"/>
      <c r="I7561" s="8" t="str">
        <f t="shared" si="473"/>
        <v/>
      </c>
      <c r="J7561" s="8" t="str">
        <f t="shared" si="474"/>
        <v/>
      </c>
      <c r="K7561" t="str">
        <f t="shared" si="475"/>
        <v>MISSING WHARTON</v>
      </c>
    </row>
    <row r="7562" spans="1:11">
      <c r="A7562" t="s">
        <v>134</v>
      </c>
      <c r="B7562" t="s">
        <v>1888</v>
      </c>
      <c r="C7562" t="s">
        <v>1276</v>
      </c>
      <c r="D7562" t="s">
        <v>1277</v>
      </c>
      <c r="E7562" s="8">
        <v>730</v>
      </c>
      <c r="F7562" s="8">
        <v>36020</v>
      </c>
      <c r="G7562" s="8">
        <f t="shared" si="472"/>
        <v>26294600</v>
      </c>
      <c r="H7562" s="5">
        <v>0.2109</v>
      </c>
      <c r="I7562" s="8">
        <f t="shared" si="473"/>
        <v>26294600</v>
      </c>
      <c r="J7562" s="8">
        <f t="shared" si="474"/>
        <v>5545531.14</v>
      </c>
      <c r="K7562" t="str">
        <f t="shared" si="475"/>
        <v>MATCHED</v>
      </c>
    </row>
    <row r="7563" spans="1:11">
      <c r="A7563" t="s">
        <v>134</v>
      </c>
      <c r="B7563" t="s">
        <v>1888</v>
      </c>
      <c r="C7563" t="s">
        <v>876</v>
      </c>
      <c r="D7563" t="s">
        <v>877</v>
      </c>
      <c r="E7563" s="8">
        <v>8220</v>
      </c>
      <c r="F7563" s="8">
        <v>32550</v>
      </c>
      <c r="G7563" s="8">
        <f t="shared" si="472"/>
        <v>267561000</v>
      </c>
      <c r="H7563" s="5">
        <v>0.25</v>
      </c>
      <c r="I7563" s="8">
        <f t="shared" si="473"/>
        <v>267561000</v>
      </c>
      <c r="J7563" s="8">
        <f t="shared" si="474"/>
        <v>66890250</v>
      </c>
      <c r="K7563" t="str">
        <f t="shared" si="475"/>
        <v>MATCHED</v>
      </c>
    </row>
    <row r="7564" spans="1:11">
      <c r="A7564" t="s">
        <v>134</v>
      </c>
      <c r="B7564" t="s">
        <v>1888</v>
      </c>
      <c r="C7564" t="s">
        <v>1494</v>
      </c>
      <c r="D7564" t="s">
        <v>1495</v>
      </c>
      <c r="E7564" s="8">
        <v>3290</v>
      </c>
      <c r="F7564" s="8">
        <v>32020</v>
      </c>
      <c r="G7564" s="8">
        <f t="shared" si="472"/>
        <v>105345800</v>
      </c>
      <c r="H7564" s="5">
        <v>0.0413</v>
      </c>
      <c r="I7564" s="8">
        <f t="shared" si="473"/>
        <v>105345800</v>
      </c>
      <c r="J7564" s="8">
        <f t="shared" si="474"/>
        <v>4350781.54</v>
      </c>
      <c r="K7564" t="str">
        <f t="shared" si="475"/>
        <v>MATCHED</v>
      </c>
    </row>
    <row r="7565" spans="1:11">
      <c r="A7565" t="s">
        <v>134</v>
      </c>
      <c r="B7565" t="s">
        <v>1888</v>
      </c>
      <c r="C7565" t="s">
        <v>1593</v>
      </c>
      <c r="D7565" t="s">
        <v>1594</v>
      </c>
      <c r="E7565" s="8">
        <v>200</v>
      </c>
      <c r="F7565" s="8">
        <v>33010</v>
      </c>
      <c r="G7565" s="8">
        <f t="shared" si="472"/>
        <v>6602000</v>
      </c>
      <c r="H7565" s="5"/>
      <c r="I7565" s="8" t="str">
        <f t="shared" si="473"/>
        <v/>
      </c>
      <c r="J7565" s="8" t="str">
        <f t="shared" si="474"/>
        <v/>
      </c>
      <c r="K7565" t="str">
        <f t="shared" si="475"/>
        <v>MISSING WHARTON</v>
      </c>
    </row>
    <row r="7566" spans="1:11">
      <c r="A7566" t="s">
        <v>134</v>
      </c>
      <c r="B7566" t="s">
        <v>1888</v>
      </c>
      <c r="C7566" t="s">
        <v>1893</v>
      </c>
      <c r="D7566" t="s">
        <v>1894</v>
      </c>
      <c r="E7566" s="8">
        <v>3800</v>
      </c>
      <c r="F7566" s="8">
        <v>58400</v>
      </c>
      <c r="G7566" s="8">
        <f t="shared" si="472"/>
        <v>221920000</v>
      </c>
      <c r="H7566" s="5">
        <v>0.0365</v>
      </c>
      <c r="I7566" s="8">
        <f t="shared" si="473"/>
        <v>221920000</v>
      </c>
      <c r="J7566" s="8">
        <f t="shared" si="474"/>
        <v>8100080</v>
      </c>
      <c r="K7566" t="str">
        <f t="shared" si="475"/>
        <v>MATCHED</v>
      </c>
    </row>
    <row r="7567" spans="1:11">
      <c r="A7567" t="s">
        <v>134</v>
      </c>
      <c r="B7567" t="s">
        <v>1888</v>
      </c>
      <c r="C7567" t="s">
        <v>1700</v>
      </c>
      <c r="D7567" t="s">
        <v>1701</v>
      </c>
      <c r="E7567" s="8">
        <v>2800</v>
      </c>
      <c r="F7567" s="8">
        <v>45570</v>
      </c>
      <c r="G7567" s="8">
        <f t="shared" si="472"/>
        <v>127596000</v>
      </c>
      <c r="H7567" s="5">
        <v>0.1583</v>
      </c>
      <c r="I7567" s="8">
        <f t="shared" si="473"/>
        <v>127596000</v>
      </c>
      <c r="J7567" s="8">
        <f t="shared" si="474"/>
        <v>20198446.8</v>
      </c>
      <c r="K7567" t="str">
        <f t="shared" si="475"/>
        <v>MATCHED</v>
      </c>
    </row>
    <row r="7568" spans="1:11">
      <c r="A7568" t="s">
        <v>134</v>
      </c>
      <c r="B7568" t="s">
        <v>1888</v>
      </c>
      <c r="C7568" t="s">
        <v>1895</v>
      </c>
      <c r="D7568" t="s">
        <v>1896</v>
      </c>
      <c r="E7568" s="8">
        <v>30920</v>
      </c>
      <c r="F7568" s="8">
        <v>37180</v>
      </c>
      <c r="G7568" s="8">
        <f t="shared" si="472"/>
        <v>1149605600</v>
      </c>
      <c r="H7568" s="5">
        <v>0.1827</v>
      </c>
      <c r="I7568" s="8">
        <f t="shared" si="473"/>
        <v>1149605600</v>
      </c>
      <c r="J7568" s="8">
        <f t="shared" si="474"/>
        <v>210032943.12</v>
      </c>
      <c r="K7568" t="str">
        <f t="shared" si="475"/>
        <v>MATCHED</v>
      </c>
    </row>
    <row r="7569" spans="1:11">
      <c r="A7569" t="s">
        <v>134</v>
      </c>
      <c r="B7569" t="s">
        <v>1888</v>
      </c>
      <c r="C7569" t="s">
        <v>1766</v>
      </c>
      <c r="D7569" t="s">
        <v>1767</v>
      </c>
      <c r="E7569" s="8">
        <v>24790</v>
      </c>
      <c r="F7569" s="8">
        <v>57880</v>
      </c>
      <c r="G7569" s="8">
        <f t="shared" si="472"/>
        <v>1434845200</v>
      </c>
      <c r="H7569" s="5">
        <v>0.1727</v>
      </c>
      <c r="I7569" s="8">
        <f t="shared" si="473"/>
        <v>1434845200</v>
      </c>
      <c r="J7569" s="8">
        <f t="shared" si="474"/>
        <v>247797766.04</v>
      </c>
      <c r="K7569" t="str">
        <f t="shared" si="475"/>
        <v>MATCHED</v>
      </c>
    </row>
    <row r="7570" spans="1:11">
      <c r="A7570" t="s">
        <v>134</v>
      </c>
      <c r="B7570" t="s">
        <v>1888</v>
      </c>
      <c r="C7570" t="s">
        <v>1876</v>
      </c>
      <c r="D7570" t="s">
        <v>1877</v>
      </c>
      <c r="E7570" s="8">
        <v>14750</v>
      </c>
      <c r="F7570" s="8">
        <v>47020</v>
      </c>
      <c r="G7570" s="8">
        <f t="shared" si="472"/>
        <v>693545000</v>
      </c>
      <c r="H7570" s="5">
        <v>0.2375</v>
      </c>
      <c r="I7570" s="8">
        <f t="shared" si="473"/>
        <v>693545000</v>
      </c>
      <c r="J7570" s="8">
        <f t="shared" si="474"/>
        <v>164716937.5</v>
      </c>
      <c r="K7570" t="str">
        <f t="shared" si="475"/>
        <v>MATCHED</v>
      </c>
    </row>
    <row r="7571" spans="1:11">
      <c r="A7571" t="s">
        <v>134</v>
      </c>
      <c r="B7571" t="s">
        <v>1888</v>
      </c>
      <c r="C7571" t="s">
        <v>992</v>
      </c>
      <c r="D7571" t="s">
        <v>993</v>
      </c>
      <c r="E7571" s="8">
        <v>266270</v>
      </c>
      <c r="F7571" s="8">
        <v>44610</v>
      </c>
      <c r="G7571" s="8">
        <f t="shared" si="472"/>
        <v>11878304700</v>
      </c>
      <c r="H7571" s="5">
        <v>0.1239</v>
      </c>
      <c r="I7571" s="8">
        <f t="shared" si="473"/>
        <v>11878304700</v>
      </c>
      <c r="J7571" s="8">
        <f t="shared" si="474"/>
        <v>1471721952.33</v>
      </c>
      <c r="K7571" t="str">
        <f t="shared" si="475"/>
        <v>MATCHED</v>
      </c>
    </row>
    <row r="7572" spans="1:11">
      <c r="A7572" t="s">
        <v>134</v>
      </c>
      <c r="B7572" t="s">
        <v>1888</v>
      </c>
      <c r="C7572" t="s">
        <v>1496</v>
      </c>
      <c r="D7572" t="s">
        <v>1497</v>
      </c>
      <c r="E7572" s="8">
        <v>150780</v>
      </c>
      <c r="F7572" s="8">
        <v>38390</v>
      </c>
      <c r="G7572" s="8">
        <f t="shared" si="472"/>
        <v>5788444200</v>
      </c>
      <c r="H7572" s="5">
        <v>0.1056</v>
      </c>
      <c r="I7572" s="8">
        <f t="shared" si="473"/>
        <v>5788444200</v>
      </c>
      <c r="J7572" s="8">
        <f t="shared" si="474"/>
        <v>611259707.52</v>
      </c>
      <c r="K7572" t="str">
        <f t="shared" si="475"/>
        <v>MATCHED</v>
      </c>
    </row>
    <row r="7573" spans="1:11">
      <c r="A7573" t="s">
        <v>134</v>
      </c>
      <c r="B7573" t="s">
        <v>1888</v>
      </c>
      <c r="C7573" t="s">
        <v>1768</v>
      </c>
      <c r="D7573" t="s">
        <v>1769</v>
      </c>
      <c r="E7573" s="8">
        <v>7990</v>
      </c>
      <c r="F7573" s="8">
        <v>31940</v>
      </c>
      <c r="G7573" s="8">
        <f t="shared" si="472"/>
        <v>255200600</v>
      </c>
      <c r="H7573" s="5">
        <v>0.2375</v>
      </c>
      <c r="I7573" s="8">
        <f t="shared" si="473"/>
        <v>255200600</v>
      </c>
      <c r="J7573" s="8">
        <f t="shared" si="474"/>
        <v>60610142.5</v>
      </c>
      <c r="K7573" t="str">
        <f t="shared" si="475"/>
        <v>MATCHED</v>
      </c>
    </row>
    <row r="7574" spans="1:11">
      <c r="A7574" t="s">
        <v>134</v>
      </c>
      <c r="B7574" t="s">
        <v>1888</v>
      </c>
      <c r="C7574" t="s">
        <v>1449</v>
      </c>
      <c r="D7574" t="s">
        <v>1450</v>
      </c>
      <c r="E7574" s="8">
        <v>54170</v>
      </c>
      <c r="F7574" s="8">
        <v>50320</v>
      </c>
      <c r="G7574" s="8">
        <f t="shared" si="472"/>
        <v>2725834400</v>
      </c>
      <c r="H7574" s="5">
        <v>0.1056</v>
      </c>
      <c r="I7574" s="8">
        <f t="shared" si="473"/>
        <v>2725834400</v>
      </c>
      <c r="J7574" s="8">
        <f t="shared" si="474"/>
        <v>287848112.64</v>
      </c>
      <c r="K7574" t="str">
        <f t="shared" si="475"/>
        <v>MATCHED</v>
      </c>
    </row>
    <row r="7575" spans="1:11">
      <c r="A7575" t="s">
        <v>134</v>
      </c>
      <c r="B7575" t="s">
        <v>1888</v>
      </c>
      <c r="C7575" t="s">
        <v>1498</v>
      </c>
      <c r="D7575" t="s">
        <v>1499</v>
      </c>
      <c r="E7575" s="8">
        <v>3550</v>
      </c>
      <c r="F7575" s="8">
        <v>36380</v>
      </c>
      <c r="G7575" s="8">
        <f t="shared" si="472"/>
        <v>129149000</v>
      </c>
      <c r="H7575" s="5">
        <v>0.3353</v>
      </c>
      <c r="I7575" s="8">
        <f t="shared" si="473"/>
        <v>129149000</v>
      </c>
      <c r="J7575" s="8">
        <f t="shared" si="474"/>
        <v>43303659.7</v>
      </c>
      <c r="K7575" t="str">
        <f t="shared" si="475"/>
        <v>MATCHED</v>
      </c>
    </row>
    <row r="7576" spans="1:11">
      <c r="A7576" t="s">
        <v>134</v>
      </c>
      <c r="B7576" t="s">
        <v>1888</v>
      </c>
      <c r="C7576" t="s">
        <v>994</v>
      </c>
      <c r="D7576" t="s">
        <v>995</v>
      </c>
      <c r="E7576" s="8">
        <v>6440</v>
      </c>
      <c r="F7576" s="8">
        <v>39510</v>
      </c>
      <c r="G7576" s="8">
        <f t="shared" si="472"/>
        <v>254444400</v>
      </c>
      <c r="H7576" s="5">
        <v>0.65</v>
      </c>
      <c r="I7576" s="8">
        <f t="shared" si="473"/>
        <v>254444400</v>
      </c>
      <c r="J7576" s="8">
        <f t="shared" si="474"/>
        <v>165388860</v>
      </c>
      <c r="K7576" t="str">
        <f t="shared" si="475"/>
        <v>MATCHED</v>
      </c>
    </row>
    <row r="7577" spans="1:11">
      <c r="A7577" t="s">
        <v>134</v>
      </c>
      <c r="B7577" t="s">
        <v>1888</v>
      </c>
      <c r="C7577" t="s">
        <v>1278</v>
      </c>
      <c r="D7577" t="s">
        <v>1279</v>
      </c>
      <c r="E7577" s="8">
        <v>1020</v>
      </c>
      <c r="F7577" s="8">
        <v>42250</v>
      </c>
      <c r="G7577" s="8">
        <f t="shared" si="472"/>
        <v>43095000</v>
      </c>
      <c r="H7577" s="5">
        <v>0.3177</v>
      </c>
      <c r="I7577" s="8">
        <f t="shared" si="473"/>
        <v>43095000</v>
      </c>
      <c r="J7577" s="8">
        <f t="shared" si="474"/>
        <v>13691281.5</v>
      </c>
      <c r="K7577" t="str">
        <f t="shared" si="475"/>
        <v>MATCHED</v>
      </c>
    </row>
    <row r="7578" spans="1:11">
      <c r="A7578" t="s">
        <v>134</v>
      </c>
      <c r="B7578" t="s">
        <v>1888</v>
      </c>
      <c r="C7578" t="s">
        <v>996</v>
      </c>
      <c r="D7578" t="s">
        <v>997</v>
      </c>
      <c r="E7578" s="8">
        <v>34800</v>
      </c>
      <c r="F7578" s="8">
        <v>33620</v>
      </c>
      <c r="G7578" s="8">
        <f t="shared" si="472"/>
        <v>1169976000</v>
      </c>
      <c r="H7578" s="5">
        <v>0.105</v>
      </c>
      <c r="I7578" s="8">
        <f t="shared" si="473"/>
        <v>1169976000</v>
      </c>
      <c r="J7578" s="8">
        <f t="shared" si="474"/>
        <v>122847480</v>
      </c>
      <c r="K7578" t="str">
        <f t="shared" si="475"/>
        <v>MATCHED</v>
      </c>
    </row>
    <row r="7579" spans="1:11">
      <c r="A7579" t="s">
        <v>134</v>
      </c>
      <c r="B7579" t="s">
        <v>1888</v>
      </c>
      <c r="C7579" t="s">
        <v>998</v>
      </c>
      <c r="D7579" t="s">
        <v>999</v>
      </c>
      <c r="E7579" s="8">
        <v>45840</v>
      </c>
      <c r="F7579" s="8">
        <v>47630</v>
      </c>
      <c r="G7579" s="8">
        <f t="shared" si="472"/>
        <v>2183359200</v>
      </c>
      <c r="H7579" s="5">
        <v>0.0636</v>
      </c>
      <c r="I7579" s="8">
        <f t="shared" si="473"/>
        <v>2183359200</v>
      </c>
      <c r="J7579" s="8">
        <f t="shared" si="474"/>
        <v>138861645.12</v>
      </c>
      <c r="K7579" t="str">
        <f t="shared" si="475"/>
        <v>MATCHED</v>
      </c>
    </row>
    <row r="7580" spans="1:11">
      <c r="A7580" t="s">
        <v>134</v>
      </c>
      <c r="B7580" t="s">
        <v>1888</v>
      </c>
      <c r="C7580" t="s">
        <v>1280</v>
      </c>
      <c r="D7580" t="s">
        <v>1281</v>
      </c>
      <c r="E7580" s="8">
        <v>29820</v>
      </c>
      <c r="F7580" s="8">
        <v>37060</v>
      </c>
      <c r="G7580" s="8">
        <f t="shared" si="472"/>
        <v>1105129200</v>
      </c>
      <c r="H7580" s="5">
        <v>0.1667</v>
      </c>
      <c r="I7580" s="8">
        <f t="shared" si="473"/>
        <v>1105129200</v>
      </c>
      <c r="J7580" s="8">
        <f t="shared" si="474"/>
        <v>184225037.64</v>
      </c>
      <c r="K7580" t="str">
        <f t="shared" si="475"/>
        <v>MATCHED</v>
      </c>
    </row>
    <row r="7581" spans="1:11">
      <c r="A7581" t="s">
        <v>134</v>
      </c>
      <c r="B7581" t="s">
        <v>1888</v>
      </c>
      <c r="C7581" t="s">
        <v>1282</v>
      </c>
      <c r="D7581" t="s">
        <v>1283</v>
      </c>
      <c r="E7581" s="8">
        <v>1730</v>
      </c>
      <c r="F7581" s="8">
        <v>42410</v>
      </c>
      <c r="G7581" s="8">
        <f t="shared" si="472"/>
        <v>73369300</v>
      </c>
      <c r="H7581" s="5">
        <v>0.2917</v>
      </c>
      <c r="I7581" s="8">
        <f t="shared" si="473"/>
        <v>73369300</v>
      </c>
      <c r="J7581" s="8">
        <f t="shared" si="474"/>
        <v>21401824.81</v>
      </c>
      <c r="K7581" t="str">
        <f t="shared" si="475"/>
        <v>MATCHED</v>
      </c>
    </row>
    <row r="7582" spans="1:11">
      <c r="A7582" t="s">
        <v>134</v>
      </c>
      <c r="B7582" t="s">
        <v>1888</v>
      </c>
      <c r="C7582" t="s">
        <v>1500</v>
      </c>
      <c r="D7582" t="s">
        <v>1501</v>
      </c>
      <c r="E7582" s="8">
        <v>18770</v>
      </c>
      <c r="F7582" s="8">
        <v>38740</v>
      </c>
      <c r="G7582" s="8">
        <f t="shared" si="472"/>
        <v>727149800</v>
      </c>
      <c r="H7582" s="5"/>
      <c r="I7582" s="8" t="str">
        <f t="shared" si="473"/>
        <v/>
      </c>
      <c r="J7582" s="8" t="str">
        <f t="shared" si="474"/>
        <v/>
      </c>
      <c r="K7582" t="str">
        <f t="shared" si="475"/>
        <v>MISSING WHARTON</v>
      </c>
    </row>
    <row r="7583" spans="1:11">
      <c r="A7583" t="s">
        <v>134</v>
      </c>
      <c r="B7583" t="s">
        <v>1888</v>
      </c>
      <c r="C7583" t="s">
        <v>355</v>
      </c>
      <c r="D7583" t="s">
        <v>356</v>
      </c>
      <c r="E7583" s="8">
        <v>8210</v>
      </c>
      <c r="F7583" s="8">
        <v>56000</v>
      </c>
      <c r="G7583" s="8">
        <f t="shared" si="472"/>
        <v>459760000</v>
      </c>
      <c r="H7583" s="5">
        <v>0.4476</v>
      </c>
      <c r="I7583" s="8">
        <f t="shared" si="473"/>
        <v>459760000</v>
      </c>
      <c r="J7583" s="8">
        <f t="shared" si="474"/>
        <v>205788576</v>
      </c>
      <c r="K7583" t="str">
        <f t="shared" si="475"/>
        <v>MATCHED</v>
      </c>
    </row>
    <row r="7584" spans="1:11">
      <c r="A7584" t="s">
        <v>134</v>
      </c>
      <c r="B7584" t="s">
        <v>1888</v>
      </c>
      <c r="C7584" t="s">
        <v>357</v>
      </c>
      <c r="D7584" t="s">
        <v>358</v>
      </c>
      <c r="E7584" s="8">
        <v>2580</v>
      </c>
      <c r="F7584" s="8">
        <v>82440</v>
      </c>
      <c r="G7584" s="8">
        <f t="shared" si="472"/>
        <v>212695200</v>
      </c>
      <c r="H7584" s="5">
        <v>0.4833</v>
      </c>
      <c r="I7584" s="8">
        <f t="shared" si="473"/>
        <v>212695200</v>
      </c>
      <c r="J7584" s="8">
        <f t="shared" si="474"/>
        <v>102795590.16</v>
      </c>
      <c r="K7584" t="str">
        <f t="shared" si="475"/>
        <v>MATCHED</v>
      </c>
    </row>
    <row r="7585" spans="1:11">
      <c r="A7585" t="s">
        <v>134</v>
      </c>
      <c r="B7585" t="s">
        <v>1888</v>
      </c>
      <c r="C7585" t="s">
        <v>648</v>
      </c>
      <c r="D7585" t="s">
        <v>649</v>
      </c>
      <c r="E7585" s="8">
        <v>24860</v>
      </c>
      <c r="F7585" s="8">
        <v>33530</v>
      </c>
      <c r="G7585" s="8">
        <f t="shared" si="472"/>
        <v>833555800</v>
      </c>
      <c r="H7585" s="5">
        <v>0.6672</v>
      </c>
      <c r="I7585" s="8">
        <f t="shared" si="473"/>
        <v>833555800</v>
      </c>
      <c r="J7585" s="8">
        <f t="shared" si="474"/>
        <v>556148429.76</v>
      </c>
      <c r="K7585" t="str">
        <f t="shared" si="475"/>
        <v>MATCHED</v>
      </c>
    </row>
    <row r="7586" spans="1:11">
      <c r="A7586" t="s">
        <v>134</v>
      </c>
      <c r="B7586" t="s">
        <v>1888</v>
      </c>
      <c r="C7586" t="s">
        <v>1881</v>
      </c>
      <c r="D7586" t="s">
        <v>1882</v>
      </c>
      <c r="E7586" s="8">
        <v>310</v>
      </c>
      <c r="F7586" s="8">
        <v>35260</v>
      </c>
      <c r="G7586" s="8">
        <f t="shared" si="472"/>
        <v>10930600</v>
      </c>
      <c r="H7586" s="5">
        <v>0.4467</v>
      </c>
      <c r="I7586" s="8">
        <f t="shared" si="473"/>
        <v>10930600</v>
      </c>
      <c r="J7586" s="8">
        <f t="shared" si="474"/>
        <v>4882699.02</v>
      </c>
      <c r="K7586" t="str">
        <f t="shared" si="475"/>
        <v>MATCHED</v>
      </c>
    </row>
    <row r="7587" spans="1:11">
      <c r="A7587" t="s">
        <v>134</v>
      </c>
      <c r="B7587" t="s">
        <v>1888</v>
      </c>
      <c r="C7587" t="s">
        <v>878</v>
      </c>
      <c r="D7587" t="s">
        <v>879</v>
      </c>
      <c r="E7587" s="8">
        <v>56950</v>
      </c>
      <c r="F7587" s="8">
        <v>44660</v>
      </c>
      <c r="G7587" s="8">
        <f t="shared" si="472"/>
        <v>2543387000</v>
      </c>
      <c r="H7587" s="5">
        <v>0.7719</v>
      </c>
      <c r="I7587" s="8">
        <f t="shared" si="473"/>
        <v>2543387000</v>
      </c>
      <c r="J7587" s="8">
        <f t="shared" si="474"/>
        <v>1963240425.3</v>
      </c>
      <c r="K7587" t="str">
        <f t="shared" si="475"/>
        <v>MATCHED</v>
      </c>
    </row>
    <row r="7588" spans="1:11">
      <c r="A7588" t="s">
        <v>134</v>
      </c>
      <c r="B7588" t="s">
        <v>1888</v>
      </c>
      <c r="C7588" t="s">
        <v>1000</v>
      </c>
      <c r="D7588" t="s">
        <v>1001</v>
      </c>
      <c r="E7588" s="8">
        <v>11020</v>
      </c>
      <c r="F7588" s="8">
        <v>51520</v>
      </c>
      <c r="G7588" s="8">
        <f t="shared" si="472"/>
        <v>567750400</v>
      </c>
      <c r="H7588" s="5">
        <v>0.3737</v>
      </c>
      <c r="I7588" s="8">
        <f t="shared" si="473"/>
        <v>567750400</v>
      </c>
      <c r="J7588" s="8">
        <f t="shared" si="474"/>
        <v>212168324.48</v>
      </c>
      <c r="K7588" t="str">
        <f t="shared" si="475"/>
        <v>MATCHED</v>
      </c>
    </row>
    <row r="7589" spans="1:11">
      <c r="A7589" t="s">
        <v>134</v>
      </c>
      <c r="B7589" t="s">
        <v>1888</v>
      </c>
      <c r="C7589" t="s">
        <v>359</v>
      </c>
      <c r="D7589" t="s">
        <v>360</v>
      </c>
      <c r="E7589" s="8">
        <v>19760</v>
      </c>
      <c r="F7589" s="8">
        <v>38720</v>
      </c>
      <c r="G7589" s="8">
        <f t="shared" si="472"/>
        <v>765107200</v>
      </c>
      <c r="H7589" s="5">
        <v>0.4938</v>
      </c>
      <c r="I7589" s="8">
        <f t="shared" si="473"/>
        <v>765107200</v>
      </c>
      <c r="J7589" s="8">
        <f t="shared" si="474"/>
        <v>377809935.36</v>
      </c>
      <c r="K7589" t="str">
        <f t="shared" si="475"/>
        <v>MATCHED</v>
      </c>
    </row>
    <row r="7590" spans="1:11">
      <c r="A7590" t="s">
        <v>134</v>
      </c>
      <c r="B7590" t="s">
        <v>1888</v>
      </c>
      <c r="C7590" t="s">
        <v>1002</v>
      </c>
      <c r="D7590" t="s">
        <v>1003</v>
      </c>
      <c r="E7590" s="8">
        <v>510</v>
      </c>
      <c r="F7590" s="8">
        <v>90100</v>
      </c>
      <c r="G7590" s="8">
        <f t="shared" si="472"/>
        <v>45951000</v>
      </c>
      <c r="H7590" s="5">
        <v>0.6725</v>
      </c>
      <c r="I7590" s="8">
        <f t="shared" si="473"/>
        <v>45951000</v>
      </c>
      <c r="J7590" s="8">
        <f t="shared" si="474"/>
        <v>30902047.5</v>
      </c>
      <c r="K7590" t="str">
        <f t="shared" si="475"/>
        <v>MATCHED</v>
      </c>
    </row>
    <row r="7591" spans="1:11">
      <c r="A7591" t="s">
        <v>134</v>
      </c>
      <c r="B7591" t="s">
        <v>1888</v>
      </c>
      <c r="C7591" t="s">
        <v>1004</v>
      </c>
      <c r="D7591" t="s">
        <v>1005</v>
      </c>
      <c r="E7591" s="8">
        <v>180</v>
      </c>
      <c r="F7591" s="8">
        <v>64600</v>
      </c>
      <c r="G7591" s="8">
        <f t="shared" si="472"/>
        <v>11628000</v>
      </c>
      <c r="H7591" s="5">
        <v>0.6684</v>
      </c>
      <c r="I7591" s="8">
        <f t="shared" si="473"/>
        <v>11628000</v>
      </c>
      <c r="J7591" s="8">
        <f t="shared" si="474"/>
        <v>7772155.2</v>
      </c>
      <c r="K7591" t="str">
        <f t="shared" si="475"/>
        <v>MATCHED</v>
      </c>
    </row>
    <row r="7592" spans="1:11">
      <c r="A7592" t="s">
        <v>134</v>
      </c>
      <c r="B7592" t="s">
        <v>1888</v>
      </c>
      <c r="C7592" t="s">
        <v>650</v>
      </c>
      <c r="D7592" t="s">
        <v>651</v>
      </c>
      <c r="E7592" s="8">
        <v>200</v>
      </c>
      <c r="F7592" s="8">
        <v>99820</v>
      </c>
      <c r="G7592" s="8">
        <f t="shared" si="472"/>
        <v>19964000</v>
      </c>
      <c r="H7592" s="5">
        <v>0.845</v>
      </c>
      <c r="I7592" s="8">
        <f t="shared" si="473"/>
        <v>19964000</v>
      </c>
      <c r="J7592" s="8">
        <f t="shared" si="474"/>
        <v>16869580</v>
      </c>
      <c r="K7592" t="str">
        <f t="shared" si="475"/>
        <v>MATCHED</v>
      </c>
    </row>
    <row r="7593" spans="1:11">
      <c r="A7593" t="s">
        <v>134</v>
      </c>
      <c r="B7593" t="s">
        <v>1888</v>
      </c>
      <c r="C7593" t="s">
        <v>1533</v>
      </c>
      <c r="D7593" t="s">
        <v>1534</v>
      </c>
      <c r="E7593" s="8">
        <v>80</v>
      </c>
      <c r="F7593" s="8">
        <v>53930</v>
      </c>
      <c r="G7593" s="8">
        <f t="shared" si="472"/>
        <v>4314400</v>
      </c>
      <c r="H7593" s="5">
        <v>0.925</v>
      </c>
      <c r="I7593" s="8">
        <f t="shared" si="473"/>
        <v>4314400</v>
      </c>
      <c r="J7593" s="8">
        <f t="shared" si="474"/>
        <v>3990820</v>
      </c>
      <c r="K7593" t="str">
        <f t="shared" si="475"/>
        <v>MATCHED</v>
      </c>
    </row>
    <row r="7594" spans="1:11">
      <c r="A7594" t="s">
        <v>134</v>
      </c>
      <c r="B7594" t="s">
        <v>1888</v>
      </c>
      <c r="C7594" t="s">
        <v>361</v>
      </c>
      <c r="D7594" t="s">
        <v>362</v>
      </c>
      <c r="E7594" s="8">
        <v>41670</v>
      </c>
      <c r="F7594" s="8">
        <v>63800</v>
      </c>
      <c r="G7594" s="8">
        <f t="shared" si="472"/>
        <v>2658546000</v>
      </c>
      <c r="H7594" s="5">
        <v>0.73</v>
      </c>
      <c r="I7594" s="8">
        <f t="shared" si="473"/>
        <v>2658546000</v>
      </c>
      <c r="J7594" s="8">
        <f t="shared" si="474"/>
        <v>1940738580</v>
      </c>
      <c r="K7594" t="str">
        <f t="shared" si="475"/>
        <v>MATCHED</v>
      </c>
    </row>
    <row r="7595" spans="1:11">
      <c r="A7595" t="s">
        <v>134</v>
      </c>
      <c r="B7595" t="s">
        <v>1888</v>
      </c>
      <c r="C7595" t="s">
        <v>652</v>
      </c>
      <c r="D7595" t="s">
        <v>653</v>
      </c>
      <c r="E7595" s="8">
        <v>1220</v>
      </c>
      <c r="F7595" s="8">
        <v>89350</v>
      </c>
      <c r="G7595" s="8">
        <f t="shared" si="472"/>
        <v>109007000</v>
      </c>
      <c r="H7595" s="5">
        <v>0.6463</v>
      </c>
      <c r="I7595" s="8">
        <f t="shared" si="473"/>
        <v>109007000</v>
      </c>
      <c r="J7595" s="8">
        <f t="shared" si="474"/>
        <v>70451224.1</v>
      </c>
      <c r="K7595" t="str">
        <f t="shared" si="475"/>
        <v>MATCHED</v>
      </c>
    </row>
    <row r="7596" spans="1:11">
      <c r="A7596" t="s">
        <v>134</v>
      </c>
      <c r="B7596" t="s">
        <v>1888</v>
      </c>
      <c r="C7596" t="s">
        <v>363</v>
      </c>
      <c r="D7596" t="s">
        <v>364</v>
      </c>
      <c r="E7596" s="8">
        <v>6380</v>
      </c>
      <c r="F7596" s="8">
        <v>76100</v>
      </c>
      <c r="G7596" s="8">
        <f t="shared" si="472"/>
        <v>485518000</v>
      </c>
      <c r="H7596" s="5">
        <v>0.5105</v>
      </c>
      <c r="I7596" s="8">
        <f t="shared" si="473"/>
        <v>485518000</v>
      </c>
      <c r="J7596" s="8">
        <f t="shared" si="474"/>
        <v>247856939</v>
      </c>
      <c r="K7596" t="str">
        <f t="shared" si="475"/>
        <v>MATCHED</v>
      </c>
    </row>
    <row r="7597" spans="1:11">
      <c r="A7597" t="s">
        <v>134</v>
      </c>
      <c r="B7597" t="s">
        <v>1888</v>
      </c>
      <c r="C7597" t="s">
        <v>1008</v>
      </c>
      <c r="D7597" t="s">
        <v>1009</v>
      </c>
      <c r="E7597" s="8"/>
      <c r="F7597" s="8">
        <v>97710</v>
      </c>
      <c r="G7597" s="8" t="str">
        <f t="shared" si="472"/>
        <v/>
      </c>
      <c r="H7597" s="5">
        <v>0.5816</v>
      </c>
      <c r="I7597" s="8" t="str">
        <f t="shared" si="473"/>
        <v/>
      </c>
      <c r="J7597" s="8" t="str">
        <f t="shared" si="474"/>
        <v/>
      </c>
      <c r="K7597" t="str">
        <f t="shared" si="475"/>
        <v>MISSING OEWS</v>
      </c>
    </row>
    <row r="7598" spans="1:11">
      <c r="A7598" t="s">
        <v>134</v>
      </c>
      <c r="B7598" t="s">
        <v>1888</v>
      </c>
      <c r="C7598" t="s">
        <v>654</v>
      </c>
      <c r="D7598" t="s">
        <v>655</v>
      </c>
      <c r="E7598" s="8">
        <v>360</v>
      </c>
      <c r="F7598" s="8">
        <v>70610</v>
      </c>
      <c r="G7598" s="8">
        <f t="shared" si="472"/>
        <v>25419600</v>
      </c>
      <c r="H7598" s="5">
        <v>0.5939</v>
      </c>
      <c r="I7598" s="8">
        <f t="shared" si="473"/>
        <v>25419600</v>
      </c>
      <c r="J7598" s="8">
        <f t="shared" si="474"/>
        <v>15096700.44</v>
      </c>
      <c r="K7598" t="str">
        <f t="shared" si="475"/>
        <v>MATCHED</v>
      </c>
    </row>
    <row r="7599" spans="1:11">
      <c r="A7599" t="s">
        <v>134</v>
      </c>
      <c r="B7599" t="s">
        <v>1888</v>
      </c>
      <c r="C7599" t="s">
        <v>656</v>
      </c>
      <c r="D7599" t="s">
        <v>657</v>
      </c>
      <c r="E7599" s="8">
        <v>230</v>
      </c>
      <c r="F7599" s="8">
        <v>121560</v>
      </c>
      <c r="G7599" s="8">
        <f t="shared" si="472"/>
        <v>27958800</v>
      </c>
      <c r="H7599" s="5">
        <v>0.518</v>
      </c>
      <c r="I7599" s="8">
        <f t="shared" si="473"/>
        <v>27958800</v>
      </c>
      <c r="J7599" s="8">
        <f t="shared" si="474"/>
        <v>14482658.4</v>
      </c>
      <c r="K7599" t="str">
        <f t="shared" si="475"/>
        <v>MATCHED</v>
      </c>
    </row>
    <row r="7600" spans="1:11">
      <c r="A7600" t="s">
        <v>134</v>
      </c>
      <c r="B7600" t="s">
        <v>1888</v>
      </c>
      <c r="C7600" t="s">
        <v>1010</v>
      </c>
      <c r="D7600" t="s">
        <v>1011</v>
      </c>
      <c r="E7600" s="8">
        <v>460</v>
      </c>
      <c r="F7600" s="8">
        <v>36610</v>
      </c>
      <c r="G7600" s="8">
        <f t="shared" si="472"/>
        <v>16840600</v>
      </c>
      <c r="H7600" s="5">
        <v>0.9625</v>
      </c>
      <c r="I7600" s="8">
        <f t="shared" si="473"/>
        <v>16840600</v>
      </c>
      <c r="J7600" s="8">
        <f t="shared" si="474"/>
        <v>16209077.5</v>
      </c>
      <c r="K7600" t="str">
        <f t="shared" si="475"/>
        <v>MATCHED</v>
      </c>
    </row>
    <row r="7601" spans="1:11">
      <c r="A7601" t="s">
        <v>134</v>
      </c>
      <c r="B7601" t="s">
        <v>1888</v>
      </c>
      <c r="C7601" t="s">
        <v>365</v>
      </c>
      <c r="D7601" t="s">
        <v>366</v>
      </c>
      <c r="E7601" s="8">
        <v>1830</v>
      </c>
      <c r="F7601" s="8">
        <v>43350</v>
      </c>
      <c r="G7601" s="8">
        <f t="shared" si="472"/>
        <v>79330500</v>
      </c>
      <c r="H7601" s="5"/>
      <c r="I7601" s="8" t="str">
        <f t="shared" si="473"/>
        <v/>
      </c>
      <c r="J7601" s="8" t="str">
        <f t="shared" si="474"/>
        <v/>
      </c>
      <c r="K7601" t="str">
        <f t="shared" si="475"/>
        <v>MISSING WHARTON</v>
      </c>
    </row>
    <row r="7602" spans="1:11">
      <c r="A7602" t="s">
        <v>134</v>
      </c>
      <c r="B7602" t="s">
        <v>1888</v>
      </c>
      <c r="C7602" t="s">
        <v>367</v>
      </c>
      <c r="D7602" t="s">
        <v>368</v>
      </c>
      <c r="E7602" s="8">
        <v>37000</v>
      </c>
      <c r="F7602" s="8">
        <v>66920</v>
      </c>
      <c r="G7602" s="8">
        <f t="shared" si="472"/>
        <v>2476040000</v>
      </c>
      <c r="H7602" s="5">
        <v>0.5034</v>
      </c>
      <c r="I7602" s="8">
        <f t="shared" si="473"/>
        <v>2476040000</v>
      </c>
      <c r="J7602" s="8">
        <f t="shared" si="474"/>
        <v>1246438536</v>
      </c>
      <c r="K7602" t="str">
        <f t="shared" si="475"/>
        <v>MATCHED</v>
      </c>
    </row>
    <row r="7603" spans="1:11">
      <c r="A7603" t="s">
        <v>134</v>
      </c>
      <c r="B7603" t="s">
        <v>1888</v>
      </c>
      <c r="C7603" t="s">
        <v>1014</v>
      </c>
      <c r="D7603" t="s">
        <v>1015</v>
      </c>
      <c r="E7603" s="8">
        <v>190</v>
      </c>
      <c r="F7603" s="8">
        <v>42210</v>
      </c>
      <c r="G7603" s="8">
        <f t="shared" si="472"/>
        <v>8019900</v>
      </c>
      <c r="H7603" s="5">
        <v>0.7579</v>
      </c>
      <c r="I7603" s="8">
        <f t="shared" si="473"/>
        <v>8019900</v>
      </c>
      <c r="J7603" s="8">
        <f t="shared" si="474"/>
        <v>6078282.21</v>
      </c>
      <c r="K7603" t="str">
        <f t="shared" si="475"/>
        <v>MATCHED</v>
      </c>
    </row>
    <row r="7604" spans="1:11">
      <c r="A7604" t="s">
        <v>134</v>
      </c>
      <c r="B7604" t="s">
        <v>1888</v>
      </c>
      <c r="C7604" t="s">
        <v>880</v>
      </c>
      <c r="D7604" t="s">
        <v>881</v>
      </c>
      <c r="E7604" s="8">
        <v>870</v>
      </c>
      <c r="F7604" s="8">
        <v>51150</v>
      </c>
      <c r="G7604" s="8">
        <f t="shared" si="472"/>
        <v>44500500</v>
      </c>
      <c r="H7604" s="5">
        <v>0.9</v>
      </c>
      <c r="I7604" s="8">
        <f t="shared" si="473"/>
        <v>44500500</v>
      </c>
      <c r="J7604" s="8">
        <f t="shared" si="474"/>
        <v>40050450</v>
      </c>
      <c r="K7604" t="str">
        <f t="shared" si="475"/>
        <v>MATCHED</v>
      </c>
    </row>
    <row r="7605" spans="1:11">
      <c r="A7605" t="s">
        <v>134</v>
      </c>
      <c r="B7605" t="s">
        <v>1888</v>
      </c>
      <c r="C7605" t="s">
        <v>369</v>
      </c>
      <c r="D7605" t="s">
        <v>370</v>
      </c>
      <c r="E7605" s="8">
        <v>3760</v>
      </c>
      <c r="F7605" s="8">
        <v>52010</v>
      </c>
      <c r="G7605" s="8">
        <f t="shared" si="472"/>
        <v>195557600</v>
      </c>
      <c r="H7605" s="5">
        <v>0.8617</v>
      </c>
      <c r="I7605" s="8">
        <f t="shared" si="473"/>
        <v>195557600</v>
      </c>
      <c r="J7605" s="8">
        <f t="shared" si="474"/>
        <v>168511983.92</v>
      </c>
      <c r="K7605" t="str">
        <f t="shared" si="475"/>
        <v>MATCHED</v>
      </c>
    </row>
    <row r="7606" spans="1:11">
      <c r="A7606" t="s">
        <v>134</v>
      </c>
      <c r="B7606" t="s">
        <v>1888</v>
      </c>
      <c r="C7606" t="s">
        <v>371</v>
      </c>
      <c r="D7606" t="s">
        <v>372</v>
      </c>
      <c r="E7606" s="8">
        <v>64890</v>
      </c>
      <c r="F7606" s="8">
        <v>52710</v>
      </c>
      <c r="G7606" s="8">
        <f t="shared" si="472"/>
        <v>3420351900</v>
      </c>
      <c r="H7606" s="5">
        <v>0.9517</v>
      </c>
      <c r="I7606" s="8">
        <f t="shared" si="473"/>
        <v>3420351900</v>
      </c>
      <c r="J7606" s="8">
        <f t="shared" si="474"/>
        <v>3255148903.23</v>
      </c>
      <c r="K7606" t="str">
        <f t="shared" si="475"/>
        <v>MATCHED</v>
      </c>
    </row>
    <row r="7607" spans="1:11">
      <c r="A7607" t="s">
        <v>134</v>
      </c>
      <c r="B7607" t="s">
        <v>1888</v>
      </c>
      <c r="C7607" t="s">
        <v>373</v>
      </c>
      <c r="D7607" t="s">
        <v>374</v>
      </c>
      <c r="E7607" s="8">
        <v>2500</v>
      </c>
      <c r="F7607" s="8">
        <v>56350</v>
      </c>
      <c r="G7607" s="8">
        <f t="shared" si="472"/>
        <v>140875000</v>
      </c>
      <c r="H7607" s="5">
        <v>0.9409</v>
      </c>
      <c r="I7607" s="8">
        <f t="shared" si="473"/>
        <v>140875000</v>
      </c>
      <c r="J7607" s="8">
        <f t="shared" si="474"/>
        <v>132549287.5</v>
      </c>
      <c r="K7607" t="str">
        <f t="shared" si="475"/>
        <v>MATCHED</v>
      </c>
    </row>
    <row r="7608" spans="1:11">
      <c r="A7608" t="s">
        <v>134</v>
      </c>
      <c r="B7608" t="s">
        <v>1888</v>
      </c>
      <c r="C7608" t="s">
        <v>375</v>
      </c>
      <c r="D7608" t="s">
        <v>376</v>
      </c>
      <c r="E7608" s="8">
        <v>1660</v>
      </c>
      <c r="F7608" s="8">
        <v>50000</v>
      </c>
      <c r="G7608" s="8">
        <f t="shared" si="472"/>
        <v>83000000</v>
      </c>
      <c r="H7608" s="5">
        <v>0.8237</v>
      </c>
      <c r="I7608" s="8">
        <f t="shared" si="473"/>
        <v>83000000</v>
      </c>
      <c r="J7608" s="8">
        <f t="shared" si="474"/>
        <v>68367100</v>
      </c>
      <c r="K7608" t="str">
        <f t="shared" si="475"/>
        <v>MATCHED</v>
      </c>
    </row>
    <row r="7609" spans="1:11">
      <c r="A7609" t="s">
        <v>134</v>
      </c>
      <c r="B7609" t="s">
        <v>1888</v>
      </c>
      <c r="C7609" t="s">
        <v>882</v>
      </c>
      <c r="D7609" t="s">
        <v>883</v>
      </c>
      <c r="E7609" s="8">
        <v>100</v>
      </c>
      <c r="F7609" s="8">
        <v>43410</v>
      </c>
      <c r="G7609" s="8">
        <f t="shared" si="472"/>
        <v>4341000</v>
      </c>
      <c r="H7609" s="5">
        <v>0.9138</v>
      </c>
      <c r="I7609" s="8">
        <f t="shared" si="473"/>
        <v>4341000</v>
      </c>
      <c r="J7609" s="8">
        <f t="shared" si="474"/>
        <v>3966805.8</v>
      </c>
      <c r="K7609" t="str">
        <f t="shared" si="475"/>
        <v>MATCHED</v>
      </c>
    </row>
    <row r="7610" spans="1:11">
      <c r="A7610" t="s">
        <v>134</v>
      </c>
      <c r="B7610" t="s">
        <v>1888</v>
      </c>
      <c r="C7610" t="s">
        <v>884</v>
      </c>
      <c r="D7610" t="s">
        <v>885</v>
      </c>
      <c r="E7610" s="8">
        <v>240</v>
      </c>
      <c r="F7610" s="8">
        <v>53000</v>
      </c>
      <c r="G7610" s="8">
        <f t="shared" si="472"/>
        <v>12720000</v>
      </c>
      <c r="H7610" s="5"/>
      <c r="I7610" s="8" t="str">
        <f t="shared" si="473"/>
        <v/>
      </c>
      <c r="J7610" s="8" t="str">
        <f t="shared" si="474"/>
        <v/>
      </c>
      <c r="K7610" t="str">
        <f t="shared" si="475"/>
        <v>MISSING WHARTON</v>
      </c>
    </row>
    <row r="7611" spans="1:11">
      <c r="A7611" t="s">
        <v>134</v>
      </c>
      <c r="B7611" t="s">
        <v>1888</v>
      </c>
      <c r="C7611" t="s">
        <v>1284</v>
      </c>
      <c r="D7611" t="s">
        <v>1285</v>
      </c>
      <c r="E7611" s="8"/>
      <c r="F7611" s="8">
        <v>52740</v>
      </c>
      <c r="G7611" s="8" t="str">
        <f t="shared" si="472"/>
        <v/>
      </c>
      <c r="H7611" s="5">
        <v>0.85</v>
      </c>
      <c r="I7611" s="8" t="str">
        <f t="shared" si="473"/>
        <v/>
      </c>
      <c r="J7611" s="8" t="str">
        <f t="shared" si="474"/>
        <v/>
      </c>
      <c r="K7611" t="str">
        <f t="shared" si="475"/>
        <v>MISSING OEWS</v>
      </c>
    </row>
    <row r="7612" spans="1:11">
      <c r="A7612" t="s">
        <v>134</v>
      </c>
      <c r="B7612" t="s">
        <v>1888</v>
      </c>
      <c r="C7612" t="s">
        <v>1504</v>
      </c>
      <c r="D7612" t="s">
        <v>1505</v>
      </c>
      <c r="E7612" s="8">
        <v>50</v>
      </c>
      <c r="F7612" s="8">
        <v>40460</v>
      </c>
      <c r="G7612" s="8">
        <f t="shared" si="472"/>
        <v>2023000</v>
      </c>
      <c r="H7612" s="5">
        <v>0.8867</v>
      </c>
      <c r="I7612" s="8">
        <f t="shared" si="473"/>
        <v>2023000</v>
      </c>
      <c r="J7612" s="8">
        <f t="shared" si="474"/>
        <v>1793794.1</v>
      </c>
      <c r="K7612" t="str">
        <f t="shared" si="475"/>
        <v>MATCHED</v>
      </c>
    </row>
    <row r="7613" spans="1:11">
      <c r="A7613" t="s">
        <v>134</v>
      </c>
      <c r="B7613" t="s">
        <v>1888</v>
      </c>
      <c r="C7613" t="s">
        <v>377</v>
      </c>
      <c r="D7613" t="s">
        <v>378</v>
      </c>
      <c r="E7613" s="8">
        <v>69640</v>
      </c>
      <c r="F7613" s="8">
        <v>42380</v>
      </c>
      <c r="G7613" s="8">
        <f t="shared" si="472"/>
        <v>2951343200</v>
      </c>
      <c r="H7613" s="5">
        <v>0.82</v>
      </c>
      <c r="I7613" s="8">
        <f t="shared" si="473"/>
        <v>2951343200</v>
      </c>
      <c r="J7613" s="8">
        <f t="shared" si="474"/>
        <v>2420101424</v>
      </c>
      <c r="K7613" t="str">
        <f t="shared" si="475"/>
        <v>MATCHED</v>
      </c>
    </row>
    <row r="7614" spans="1:11">
      <c r="A7614" t="s">
        <v>134</v>
      </c>
      <c r="B7614" t="s">
        <v>1888</v>
      </c>
      <c r="C7614" t="s">
        <v>1535</v>
      </c>
      <c r="D7614" t="s">
        <v>1536</v>
      </c>
      <c r="E7614" s="8">
        <v>210</v>
      </c>
      <c r="F7614" s="8">
        <v>46770</v>
      </c>
      <c r="G7614" s="8">
        <f t="shared" si="472"/>
        <v>9821700</v>
      </c>
      <c r="H7614" s="5">
        <v>0.7912</v>
      </c>
      <c r="I7614" s="8">
        <f t="shared" si="473"/>
        <v>9821700</v>
      </c>
      <c r="J7614" s="8">
        <f t="shared" si="474"/>
        <v>7770929.04</v>
      </c>
      <c r="K7614" t="str">
        <f t="shared" si="475"/>
        <v>MATCHED</v>
      </c>
    </row>
    <row r="7615" spans="1:11">
      <c r="A7615" t="s">
        <v>134</v>
      </c>
      <c r="B7615" t="s">
        <v>1888</v>
      </c>
      <c r="C7615" t="s">
        <v>379</v>
      </c>
      <c r="D7615" t="s">
        <v>380</v>
      </c>
      <c r="E7615" s="8">
        <v>1300</v>
      </c>
      <c r="F7615" s="8">
        <v>43310</v>
      </c>
      <c r="G7615" s="8">
        <f t="shared" si="472"/>
        <v>56303000</v>
      </c>
      <c r="H7615" s="5">
        <v>0.7526</v>
      </c>
      <c r="I7615" s="8">
        <f t="shared" si="473"/>
        <v>56303000</v>
      </c>
      <c r="J7615" s="8">
        <f t="shared" si="474"/>
        <v>42373637.8</v>
      </c>
      <c r="K7615" t="str">
        <f t="shared" si="475"/>
        <v>MATCHED</v>
      </c>
    </row>
    <row r="7616" spans="1:11">
      <c r="A7616" t="s">
        <v>134</v>
      </c>
      <c r="B7616" t="s">
        <v>1888</v>
      </c>
      <c r="C7616" t="s">
        <v>1506</v>
      </c>
      <c r="D7616" t="s">
        <v>1507</v>
      </c>
      <c r="E7616" s="8">
        <v>1160</v>
      </c>
      <c r="F7616" s="8">
        <v>40670</v>
      </c>
      <c r="G7616" s="8">
        <f t="shared" si="472"/>
        <v>47177200</v>
      </c>
      <c r="H7616" s="5">
        <v>0.665</v>
      </c>
      <c r="I7616" s="8">
        <f t="shared" si="473"/>
        <v>47177200</v>
      </c>
      <c r="J7616" s="8">
        <f t="shared" si="474"/>
        <v>31372838</v>
      </c>
      <c r="K7616" t="str">
        <f t="shared" si="475"/>
        <v>MATCHED</v>
      </c>
    </row>
    <row r="7617" spans="1:11">
      <c r="A7617" t="s">
        <v>134</v>
      </c>
      <c r="B7617" t="s">
        <v>1888</v>
      </c>
      <c r="C7617" t="s">
        <v>1286</v>
      </c>
      <c r="D7617" t="s">
        <v>1287</v>
      </c>
      <c r="E7617" s="8">
        <v>1780</v>
      </c>
      <c r="F7617" s="8">
        <v>47940</v>
      </c>
      <c r="G7617" s="8">
        <f t="shared" si="472"/>
        <v>85333200</v>
      </c>
      <c r="H7617" s="5">
        <v>0.7088</v>
      </c>
      <c r="I7617" s="8">
        <f t="shared" si="473"/>
        <v>85333200</v>
      </c>
      <c r="J7617" s="8">
        <f t="shared" si="474"/>
        <v>60484172.16</v>
      </c>
      <c r="K7617" t="str">
        <f t="shared" si="475"/>
        <v>MATCHED</v>
      </c>
    </row>
    <row r="7618" spans="1:11">
      <c r="A7618" t="s">
        <v>134</v>
      </c>
      <c r="B7618" t="s">
        <v>1888</v>
      </c>
      <c r="C7618" t="s">
        <v>1599</v>
      </c>
      <c r="D7618" t="s">
        <v>1600</v>
      </c>
      <c r="E7618" s="8">
        <v>80</v>
      </c>
      <c r="F7618" s="8">
        <v>37130</v>
      </c>
      <c r="G7618" s="8">
        <f t="shared" ref="G7618:G7681" si="476">IF(OR(E7618="",F7618=""),"",E7618*F7618)</f>
        <v>2970400</v>
      </c>
      <c r="H7618" s="5">
        <v>0.547</v>
      </c>
      <c r="I7618" s="8">
        <f t="shared" ref="I7618:I7681" si="477">IF(G7618="","",IF(ISNUMBER(H7618),G7618,""))</f>
        <v>2970400</v>
      </c>
      <c r="J7618" s="8">
        <f t="shared" ref="J7618:J7681" si="478">IF(I7618="","",I7618*H7618)</f>
        <v>1624808.8</v>
      </c>
      <c r="K7618" t="str">
        <f t="shared" ref="K7618:K7681" si="479">IF(G7618="","MISSING OEWS",IF(ISNUMBER(H7618),"MATCHED","MISSING WHARTON"))</f>
        <v>MATCHED</v>
      </c>
    </row>
    <row r="7619" spans="1:11">
      <c r="A7619" t="s">
        <v>134</v>
      </c>
      <c r="B7619" t="s">
        <v>1888</v>
      </c>
      <c r="C7619" t="s">
        <v>1018</v>
      </c>
      <c r="D7619" t="s">
        <v>1019</v>
      </c>
      <c r="E7619" s="8">
        <v>170</v>
      </c>
      <c r="F7619" s="8">
        <v>60120</v>
      </c>
      <c r="G7619" s="8">
        <f t="shared" si="476"/>
        <v>10220400</v>
      </c>
      <c r="H7619" s="5">
        <v>0.9111</v>
      </c>
      <c r="I7619" s="8">
        <f t="shared" si="477"/>
        <v>10220400</v>
      </c>
      <c r="J7619" s="8">
        <f t="shared" si="478"/>
        <v>9311806.44</v>
      </c>
      <c r="K7619" t="str">
        <f t="shared" si="479"/>
        <v>MATCHED</v>
      </c>
    </row>
    <row r="7620" spans="1:11">
      <c r="A7620" t="s">
        <v>134</v>
      </c>
      <c r="B7620" t="s">
        <v>1888</v>
      </c>
      <c r="C7620" t="s">
        <v>381</v>
      </c>
      <c r="D7620" t="s">
        <v>382</v>
      </c>
      <c r="E7620" s="8">
        <v>2070</v>
      </c>
      <c r="F7620" s="8">
        <v>45920</v>
      </c>
      <c r="G7620" s="8">
        <f t="shared" si="476"/>
        <v>95054400</v>
      </c>
      <c r="H7620" s="5">
        <v>0.9553</v>
      </c>
      <c r="I7620" s="8">
        <f t="shared" si="477"/>
        <v>95054400</v>
      </c>
      <c r="J7620" s="8">
        <f t="shared" si="478"/>
        <v>90805468.32</v>
      </c>
      <c r="K7620" t="str">
        <f t="shared" si="479"/>
        <v>MATCHED</v>
      </c>
    </row>
    <row r="7621" spans="1:11">
      <c r="A7621" t="s">
        <v>134</v>
      </c>
      <c r="B7621" t="s">
        <v>1888</v>
      </c>
      <c r="C7621" t="s">
        <v>383</v>
      </c>
      <c r="D7621" t="s">
        <v>384</v>
      </c>
      <c r="E7621" s="8">
        <v>1060</v>
      </c>
      <c r="F7621" s="8">
        <v>51800</v>
      </c>
      <c r="G7621" s="8">
        <f t="shared" si="476"/>
        <v>54908000</v>
      </c>
      <c r="H7621" s="5">
        <v>0.8342</v>
      </c>
      <c r="I7621" s="8">
        <f t="shared" si="477"/>
        <v>54908000</v>
      </c>
      <c r="J7621" s="8">
        <f t="shared" si="478"/>
        <v>45804253.6</v>
      </c>
      <c r="K7621" t="str">
        <f t="shared" si="479"/>
        <v>MATCHED</v>
      </c>
    </row>
    <row r="7622" spans="1:11">
      <c r="A7622" t="s">
        <v>134</v>
      </c>
      <c r="B7622" t="s">
        <v>1888</v>
      </c>
      <c r="C7622" t="s">
        <v>385</v>
      </c>
      <c r="D7622" t="s">
        <v>386</v>
      </c>
      <c r="E7622" s="8">
        <v>109280</v>
      </c>
      <c r="F7622" s="8">
        <v>35160</v>
      </c>
      <c r="G7622" s="8">
        <f t="shared" si="476"/>
        <v>3842284800</v>
      </c>
      <c r="H7622" s="5">
        <v>0.7368</v>
      </c>
      <c r="I7622" s="8">
        <f t="shared" si="477"/>
        <v>3842284800</v>
      </c>
      <c r="J7622" s="8">
        <f t="shared" si="478"/>
        <v>2830995440.64</v>
      </c>
      <c r="K7622" t="str">
        <f t="shared" si="479"/>
        <v>MATCHED</v>
      </c>
    </row>
    <row r="7623" spans="1:11">
      <c r="A7623" t="s">
        <v>134</v>
      </c>
      <c r="B7623" t="s">
        <v>1888</v>
      </c>
      <c r="C7623" t="s">
        <v>1537</v>
      </c>
      <c r="D7623" t="s">
        <v>1538</v>
      </c>
      <c r="E7623" s="8"/>
      <c r="F7623" s="8">
        <v>34180</v>
      </c>
      <c r="G7623" s="8" t="str">
        <f t="shared" si="476"/>
        <v/>
      </c>
      <c r="H7623" s="5">
        <v>0.7714</v>
      </c>
      <c r="I7623" s="8" t="str">
        <f t="shared" si="477"/>
        <v/>
      </c>
      <c r="J7623" s="8" t="str">
        <f t="shared" si="478"/>
        <v/>
      </c>
      <c r="K7623" t="str">
        <f t="shared" si="479"/>
        <v>MISSING OEWS</v>
      </c>
    </row>
    <row r="7624" spans="1:11">
      <c r="A7624" t="s">
        <v>134</v>
      </c>
      <c r="B7624" t="s">
        <v>1888</v>
      </c>
      <c r="C7624" t="s">
        <v>658</v>
      </c>
      <c r="D7624" t="s">
        <v>659</v>
      </c>
      <c r="E7624" s="8">
        <v>1940</v>
      </c>
      <c r="F7624" s="8">
        <v>48050</v>
      </c>
      <c r="G7624" s="8">
        <f t="shared" si="476"/>
        <v>93217000</v>
      </c>
      <c r="H7624" s="5"/>
      <c r="I7624" s="8" t="str">
        <f t="shared" si="477"/>
        <v/>
      </c>
      <c r="J7624" s="8" t="str">
        <f t="shared" si="478"/>
        <v/>
      </c>
      <c r="K7624" t="str">
        <f t="shared" si="479"/>
        <v>MISSING WHARTON</v>
      </c>
    </row>
    <row r="7625" spans="1:11">
      <c r="A7625" t="s">
        <v>134</v>
      </c>
      <c r="B7625" t="s">
        <v>1888</v>
      </c>
      <c r="C7625" t="s">
        <v>886</v>
      </c>
      <c r="D7625" t="s">
        <v>887</v>
      </c>
      <c r="E7625" s="8">
        <v>420</v>
      </c>
      <c r="F7625" s="8">
        <v>41730</v>
      </c>
      <c r="G7625" s="8">
        <f t="shared" si="476"/>
        <v>17526600</v>
      </c>
      <c r="H7625" s="5">
        <v>0.2235</v>
      </c>
      <c r="I7625" s="8">
        <f t="shared" si="477"/>
        <v>17526600</v>
      </c>
      <c r="J7625" s="8">
        <f t="shared" si="478"/>
        <v>3917195.1</v>
      </c>
      <c r="K7625" t="str">
        <f t="shared" si="479"/>
        <v>MATCHED</v>
      </c>
    </row>
    <row r="7626" spans="1:11">
      <c r="A7626" t="s">
        <v>134</v>
      </c>
      <c r="B7626" t="s">
        <v>1888</v>
      </c>
      <c r="C7626" t="s">
        <v>387</v>
      </c>
      <c r="D7626" t="s">
        <v>388</v>
      </c>
      <c r="E7626" s="8">
        <v>5070</v>
      </c>
      <c r="F7626" s="8">
        <v>50040</v>
      </c>
      <c r="G7626" s="8">
        <f t="shared" si="476"/>
        <v>253702800</v>
      </c>
      <c r="H7626" s="5">
        <v>0.8192</v>
      </c>
      <c r="I7626" s="8">
        <f t="shared" si="477"/>
        <v>253702800</v>
      </c>
      <c r="J7626" s="8">
        <f t="shared" si="478"/>
        <v>207833333.76</v>
      </c>
      <c r="K7626" t="str">
        <f t="shared" si="479"/>
        <v>MATCHED</v>
      </c>
    </row>
    <row r="7627" spans="1:11">
      <c r="A7627" t="s">
        <v>134</v>
      </c>
      <c r="B7627" t="s">
        <v>1888</v>
      </c>
      <c r="C7627" t="s">
        <v>389</v>
      </c>
      <c r="D7627" t="s">
        <v>390</v>
      </c>
      <c r="E7627" s="8">
        <v>5450</v>
      </c>
      <c r="F7627" s="8">
        <v>53910</v>
      </c>
      <c r="G7627" s="8">
        <f t="shared" si="476"/>
        <v>293809500</v>
      </c>
      <c r="H7627" s="5">
        <v>0.7794</v>
      </c>
      <c r="I7627" s="8">
        <f t="shared" si="477"/>
        <v>293809500</v>
      </c>
      <c r="J7627" s="8">
        <f t="shared" si="478"/>
        <v>228995124.3</v>
      </c>
      <c r="K7627" t="str">
        <f t="shared" si="479"/>
        <v>MATCHED</v>
      </c>
    </row>
    <row r="7628" spans="1:11">
      <c r="A7628" t="s">
        <v>134</v>
      </c>
      <c r="B7628" t="s">
        <v>1888</v>
      </c>
      <c r="C7628" t="s">
        <v>391</v>
      </c>
      <c r="D7628" t="s">
        <v>392</v>
      </c>
      <c r="E7628" s="8">
        <v>10460</v>
      </c>
      <c r="F7628" s="8">
        <v>43890</v>
      </c>
      <c r="G7628" s="8">
        <f t="shared" si="476"/>
        <v>459089400</v>
      </c>
      <c r="H7628" s="5">
        <v>0.6455</v>
      </c>
      <c r="I7628" s="8">
        <f t="shared" si="477"/>
        <v>459089400</v>
      </c>
      <c r="J7628" s="8">
        <f t="shared" si="478"/>
        <v>296342207.7</v>
      </c>
      <c r="K7628" t="str">
        <f t="shared" si="479"/>
        <v>MATCHED</v>
      </c>
    </row>
    <row r="7629" spans="1:11">
      <c r="A7629" t="s">
        <v>134</v>
      </c>
      <c r="B7629" t="s">
        <v>1888</v>
      </c>
      <c r="C7629" t="s">
        <v>393</v>
      </c>
      <c r="D7629" t="s">
        <v>394</v>
      </c>
      <c r="E7629" s="8">
        <v>270</v>
      </c>
      <c r="F7629" s="8">
        <v>47210</v>
      </c>
      <c r="G7629" s="8">
        <f t="shared" si="476"/>
        <v>12746700</v>
      </c>
      <c r="H7629" s="5">
        <v>0.2932</v>
      </c>
      <c r="I7629" s="8">
        <f t="shared" si="477"/>
        <v>12746700</v>
      </c>
      <c r="J7629" s="8">
        <f t="shared" si="478"/>
        <v>3737332.44</v>
      </c>
      <c r="K7629" t="str">
        <f t="shared" si="479"/>
        <v>MATCHED</v>
      </c>
    </row>
    <row r="7630" spans="1:11">
      <c r="A7630" t="s">
        <v>134</v>
      </c>
      <c r="B7630" t="s">
        <v>1888</v>
      </c>
      <c r="C7630" t="s">
        <v>395</v>
      </c>
      <c r="D7630" t="s">
        <v>396</v>
      </c>
      <c r="E7630" s="8">
        <v>16950</v>
      </c>
      <c r="F7630" s="8">
        <v>75380</v>
      </c>
      <c r="G7630" s="8">
        <f t="shared" si="476"/>
        <v>1277691000</v>
      </c>
      <c r="H7630" s="5">
        <v>0.7955</v>
      </c>
      <c r="I7630" s="8">
        <f t="shared" si="477"/>
        <v>1277691000</v>
      </c>
      <c r="J7630" s="8">
        <f t="shared" si="478"/>
        <v>1016403190.5</v>
      </c>
      <c r="K7630" t="str">
        <f t="shared" si="479"/>
        <v>MATCHED</v>
      </c>
    </row>
    <row r="7631" spans="1:11">
      <c r="A7631" t="s">
        <v>134</v>
      </c>
      <c r="B7631" t="s">
        <v>1888</v>
      </c>
      <c r="C7631" t="s">
        <v>890</v>
      </c>
      <c r="D7631" t="s">
        <v>891</v>
      </c>
      <c r="E7631" s="8">
        <v>810</v>
      </c>
      <c r="F7631" s="8">
        <v>59820</v>
      </c>
      <c r="G7631" s="8">
        <f t="shared" si="476"/>
        <v>48454200</v>
      </c>
      <c r="H7631" s="5">
        <v>0.8679</v>
      </c>
      <c r="I7631" s="8">
        <f t="shared" si="477"/>
        <v>48454200</v>
      </c>
      <c r="J7631" s="8">
        <f t="shared" si="478"/>
        <v>42053400.18</v>
      </c>
      <c r="K7631" t="str">
        <f t="shared" si="479"/>
        <v>MATCHED</v>
      </c>
    </row>
    <row r="7632" spans="1:11">
      <c r="A7632" t="s">
        <v>134</v>
      </c>
      <c r="B7632" t="s">
        <v>1888</v>
      </c>
      <c r="C7632" t="s">
        <v>1290</v>
      </c>
      <c r="D7632" t="s">
        <v>1291</v>
      </c>
      <c r="E7632" s="8">
        <v>1230</v>
      </c>
      <c r="F7632" s="8">
        <v>45950</v>
      </c>
      <c r="G7632" s="8">
        <f t="shared" si="476"/>
        <v>56518500</v>
      </c>
      <c r="H7632" s="5">
        <v>0.9031</v>
      </c>
      <c r="I7632" s="8">
        <f t="shared" si="477"/>
        <v>56518500</v>
      </c>
      <c r="J7632" s="8">
        <f t="shared" si="478"/>
        <v>51041857.35</v>
      </c>
      <c r="K7632" t="str">
        <f t="shared" si="479"/>
        <v>MATCHED</v>
      </c>
    </row>
    <row r="7633" spans="1:11">
      <c r="A7633" t="s">
        <v>134</v>
      </c>
      <c r="B7633" t="s">
        <v>1888</v>
      </c>
      <c r="C7633" t="s">
        <v>397</v>
      </c>
      <c r="D7633" t="s">
        <v>398</v>
      </c>
      <c r="E7633" s="8">
        <v>95790</v>
      </c>
      <c r="F7633" s="8">
        <v>47110</v>
      </c>
      <c r="G7633" s="8">
        <f t="shared" si="476"/>
        <v>4512666900</v>
      </c>
      <c r="H7633" s="5">
        <v>0.8031</v>
      </c>
      <c r="I7633" s="8">
        <f t="shared" si="477"/>
        <v>4512666900</v>
      </c>
      <c r="J7633" s="8">
        <f t="shared" si="478"/>
        <v>3624122787.39</v>
      </c>
      <c r="K7633" t="str">
        <f t="shared" si="479"/>
        <v>MATCHED</v>
      </c>
    </row>
    <row r="7634" spans="1:11">
      <c r="A7634" t="s">
        <v>134</v>
      </c>
      <c r="B7634" t="s">
        <v>1888</v>
      </c>
      <c r="C7634" t="s">
        <v>399</v>
      </c>
      <c r="D7634" t="s">
        <v>400</v>
      </c>
      <c r="E7634" s="8">
        <v>3670</v>
      </c>
      <c r="F7634" s="8">
        <v>42680</v>
      </c>
      <c r="G7634" s="8">
        <f t="shared" si="476"/>
        <v>156635600</v>
      </c>
      <c r="H7634" s="5">
        <v>0.75</v>
      </c>
      <c r="I7634" s="8">
        <f t="shared" si="477"/>
        <v>156635600</v>
      </c>
      <c r="J7634" s="8">
        <f t="shared" si="478"/>
        <v>117476700</v>
      </c>
      <c r="K7634" t="str">
        <f t="shared" si="479"/>
        <v>MATCHED</v>
      </c>
    </row>
    <row r="7635" spans="1:11">
      <c r="A7635" t="s">
        <v>134</v>
      </c>
      <c r="B7635" t="s">
        <v>1888</v>
      </c>
      <c r="C7635" t="s">
        <v>1455</v>
      </c>
      <c r="D7635" t="s">
        <v>1456</v>
      </c>
      <c r="E7635" s="8"/>
      <c r="F7635" s="8">
        <v>46820</v>
      </c>
      <c r="G7635" s="8" t="str">
        <f t="shared" si="476"/>
        <v/>
      </c>
      <c r="H7635" s="5">
        <v>0.835</v>
      </c>
      <c r="I7635" s="8" t="str">
        <f t="shared" si="477"/>
        <v/>
      </c>
      <c r="J7635" s="8" t="str">
        <f t="shared" si="478"/>
        <v/>
      </c>
      <c r="K7635" t="str">
        <f t="shared" si="479"/>
        <v>MISSING OEWS</v>
      </c>
    </row>
    <row r="7636" spans="1:11">
      <c r="A7636" t="s">
        <v>134</v>
      </c>
      <c r="B7636" t="s">
        <v>1888</v>
      </c>
      <c r="C7636" t="s">
        <v>1292</v>
      </c>
      <c r="D7636" t="s">
        <v>1293</v>
      </c>
      <c r="E7636" s="8">
        <v>210</v>
      </c>
      <c r="F7636" s="8">
        <v>53950</v>
      </c>
      <c r="G7636" s="8">
        <f t="shared" si="476"/>
        <v>11329500</v>
      </c>
      <c r="H7636" s="5">
        <v>0.9417</v>
      </c>
      <c r="I7636" s="8">
        <f t="shared" si="477"/>
        <v>11329500</v>
      </c>
      <c r="J7636" s="8">
        <f t="shared" si="478"/>
        <v>10668990.15</v>
      </c>
      <c r="K7636" t="str">
        <f t="shared" si="479"/>
        <v>MATCHED</v>
      </c>
    </row>
    <row r="7637" spans="1:11">
      <c r="A7637" t="s">
        <v>134</v>
      </c>
      <c r="B7637" t="s">
        <v>1888</v>
      </c>
      <c r="C7637" t="s">
        <v>1020</v>
      </c>
      <c r="D7637" t="s">
        <v>1021</v>
      </c>
      <c r="E7637" s="8">
        <v>490</v>
      </c>
      <c r="F7637" s="8">
        <v>57980</v>
      </c>
      <c r="G7637" s="8">
        <f t="shared" si="476"/>
        <v>28410200</v>
      </c>
      <c r="H7637" s="5">
        <v>0.9519</v>
      </c>
      <c r="I7637" s="8">
        <f t="shared" si="477"/>
        <v>28410200</v>
      </c>
      <c r="J7637" s="8">
        <f t="shared" si="478"/>
        <v>27043669.38</v>
      </c>
      <c r="K7637" t="str">
        <f t="shared" si="479"/>
        <v>MATCHED</v>
      </c>
    </row>
    <row r="7638" spans="1:11">
      <c r="A7638" t="s">
        <v>134</v>
      </c>
      <c r="B7638" t="s">
        <v>1888</v>
      </c>
      <c r="C7638" t="s">
        <v>892</v>
      </c>
      <c r="D7638" t="s">
        <v>893</v>
      </c>
      <c r="E7638" s="8">
        <v>650</v>
      </c>
      <c r="F7638" s="8">
        <v>42980</v>
      </c>
      <c r="G7638" s="8">
        <f t="shared" si="476"/>
        <v>27937000</v>
      </c>
      <c r="H7638" s="5">
        <v>0.231</v>
      </c>
      <c r="I7638" s="8">
        <f t="shared" si="477"/>
        <v>27937000</v>
      </c>
      <c r="J7638" s="8">
        <f t="shared" si="478"/>
        <v>6453447</v>
      </c>
      <c r="K7638" t="str">
        <f t="shared" si="479"/>
        <v>MATCHED</v>
      </c>
    </row>
    <row r="7639" spans="1:11">
      <c r="A7639" t="s">
        <v>134</v>
      </c>
      <c r="B7639" t="s">
        <v>1888</v>
      </c>
      <c r="C7639" t="s">
        <v>401</v>
      </c>
      <c r="D7639" t="s">
        <v>402</v>
      </c>
      <c r="E7639" s="8">
        <v>117750</v>
      </c>
      <c r="F7639" s="8">
        <v>43990</v>
      </c>
      <c r="G7639" s="8">
        <f t="shared" si="476"/>
        <v>5179822500</v>
      </c>
      <c r="H7639" s="5">
        <v>0.7452</v>
      </c>
      <c r="I7639" s="8">
        <f t="shared" si="477"/>
        <v>5179822500</v>
      </c>
      <c r="J7639" s="8">
        <f t="shared" si="478"/>
        <v>3860003727</v>
      </c>
      <c r="K7639" t="str">
        <f t="shared" si="479"/>
        <v>MATCHED</v>
      </c>
    </row>
    <row r="7640" spans="1:11">
      <c r="A7640" t="s">
        <v>134</v>
      </c>
      <c r="B7640" t="s">
        <v>1888</v>
      </c>
      <c r="C7640" t="s">
        <v>660</v>
      </c>
      <c r="D7640" t="s">
        <v>661</v>
      </c>
      <c r="E7640" s="8">
        <v>280</v>
      </c>
      <c r="F7640" s="8">
        <v>40190</v>
      </c>
      <c r="G7640" s="8">
        <f t="shared" si="476"/>
        <v>11253200</v>
      </c>
      <c r="H7640" s="5">
        <v>0.2639</v>
      </c>
      <c r="I7640" s="8">
        <f t="shared" si="477"/>
        <v>11253200</v>
      </c>
      <c r="J7640" s="8">
        <f t="shared" si="478"/>
        <v>2969719.48</v>
      </c>
      <c r="K7640" t="str">
        <f t="shared" si="479"/>
        <v>MATCHED</v>
      </c>
    </row>
    <row r="7641" spans="1:11">
      <c r="A7641" t="s">
        <v>134</v>
      </c>
      <c r="B7641" t="s">
        <v>1888</v>
      </c>
      <c r="C7641" t="s">
        <v>1294</v>
      </c>
      <c r="D7641" t="s">
        <v>1295</v>
      </c>
      <c r="E7641" s="8"/>
      <c r="F7641" s="8">
        <v>54100</v>
      </c>
      <c r="G7641" s="8" t="str">
        <f t="shared" si="476"/>
        <v/>
      </c>
      <c r="H7641" s="5">
        <v>0.9273</v>
      </c>
      <c r="I7641" s="8" t="str">
        <f t="shared" si="477"/>
        <v/>
      </c>
      <c r="J7641" s="8" t="str">
        <f t="shared" si="478"/>
        <v/>
      </c>
      <c r="K7641" t="str">
        <f t="shared" si="479"/>
        <v>MISSING OEWS</v>
      </c>
    </row>
    <row r="7642" spans="1:11">
      <c r="A7642" t="s">
        <v>134</v>
      </c>
      <c r="B7642" t="s">
        <v>1888</v>
      </c>
      <c r="C7642" t="s">
        <v>1545</v>
      </c>
      <c r="D7642" t="s">
        <v>1546</v>
      </c>
      <c r="E7642" s="8"/>
      <c r="F7642" s="8">
        <v>49660</v>
      </c>
      <c r="G7642" s="8" t="str">
        <f t="shared" si="476"/>
        <v/>
      </c>
      <c r="H7642" s="5">
        <v>0.8679</v>
      </c>
      <c r="I7642" s="8" t="str">
        <f t="shared" si="477"/>
        <v/>
      </c>
      <c r="J7642" s="8" t="str">
        <f t="shared" si="478"/>
        <v/>
      </c>
      <c r="K7642" t="str">
        <f t="shared" si="479"/>
        <v>MISSING OEWS</v>
      </c>
    </row>
    <row r="7643" spans="1:11">
      <c r="A7643" t="s">
        <v>134</v>
      </c>
      <c r="B7643" t="s">
        <v>1888</v>
      </c>
      <c r="C7643" t="s">
        <v>662</v>
      </c>
      <c r="D7643" t="s">
        <v>663</v>
      </c>
      <c r="E7643" s="8">
        <v>3670</v>
      </c>
      <c r="F7643" s="8">
        <v>50890</v>
      </c>
      <c r="G7643" s="8">
        <f t="shared" si="476"/>
        <v>186766300</v>
      </c>
      <c r="H7643" s="5"/>
      <c r="I7643" s="8" t="str">
        <f t="shared" si="477"/>
        <v/>
      </c>
      <c r="J7643" s="8" t="str">
        <f t="shared" si="478"/>
        <v/>
      </c>
      <c r="K7643" t="str">
        <f t="shared" si="479"/>
        <v>MISSING WHARTON</v>
      </c>
    </row>
    <row r="7644" spans="1:11">
      <c r="A7644" t="s">
        <v>134</v>
      </c>
      <c r="B7644" t="s">
        <v>1888</v>
      </c>
      <c r="C7644" t="s">
        <v>403</v>
      </c>
      <c r="D7644" t="s">
        <v>404</v>
      </c>
      <c r="E7644" s="8">
        <v>580</v>
      </c>
      <c r="F7644" s="8">
        <v>64210</v>
      </c>
      <c r="G7644" s="8">
        <f t="shared" si="476"/>
        <v>37241800</v>
      </c>
      <c r="H7644" s="5">
        <v>0.22</v>
      </c>
      <c r="I7644" s="8">
        <f t="shared" si="477"/>
        <v>37241800</v>
      </c>
      <c r="J7644" s="8">
        <f t="shared" si="478"/>
        <v>8193196</v>
      </c>
      <c r="K7644" t="str">
        <f t="shared" si="479"/>
        <v>MATCHED</v>
      </c>
    </row>
    <row r="7645" spans="1:11">
      <c r="A7645" t="s">
        <v>134</v>
      </c>
      <c r="B7645" t="s">
        <v>1888</v>
      </c>
      <c r="C7645" t="s">
        <v>405</v>
      </c>
      <c r="D7645" t="s">
        <v>406</v>
      </c>
      <c r="E7645" s="8">
        <v>70</v>
      </c>
      <c r="F7645" s="8">
        <v>49790</v>
      </c>
      <c r="G7645" s="8">
        <f t="shared" si="476"/>
        <v>3485300</v>
      </c>
      <c r="H7645" s="5">
        <v>0.15</v>
      </c>
      <c r="I7645" s="8">
        <f t="shared" si="477"/>
        <v>3485300</v>
      </c>
      <c r="J7645" s="8">
        <f t="shared" si="478"/>
        <v>522795</v>
      </c>
      <c r="K7645" t="str">
        <f t="shared" si="479"/>
        <v>MATCHED</v>
      </c>
    </row>
    <row r="7646" spans="1:11">
      <c r="A7646" t="s">
        <v>134</v>
      </c>
      <c r="B7646" t="s">
        <v>1888</v>
      </c>
      <c r="C7646" t="s">
        <v>407</v>
      </c>
      <c r="D7646" t="s">
        <v>408</v>
      </c>
      <c r="E7646" s="8"/>
      <c r="F7646" s="8">
        <v>51360</v>
      </c>
      <c r="G7646" s="8" t="str">
        <f t="shared" si="476"/>
        <v/>
      </c>
      <c r="H7646" s="5">
        <v>0.0396</v>
      </c>
      <c r="I7646" s="8" t="str">
        <f t="shared" si="477"/>
        <v/>
      </c>
      <c r="J7646" s="8" t="str">
        <f t="shared" si="478"/>
        <v/>
      </c>
      <c r="K7646" t="str">
        <f t="shared" si="479"/>
        <v>MISSING OEWS</v>
      </c>
    </row>
    <row r="7647" spans="1:11">
      <c r="A7647" t="s">
        <v>134</v>
      </c>
      <c r="B7647" t="s">
        <v>1888</v>
      </c>
      <c r="C7647" t="s">
        <v>413</v>
      </c>
      <c r="D7647" t="s">
        <v>414</v>
      </c>
      <c r="E7647" s="8">
        <v>1090</v>
      </c>
      <c r="F7647" s="8">
        <v>39940</v>
      </c>
      <c r="G7647" s="8">
        <f t="shared" si="476"/>
        <v>43534600</v>
      </c>
      <c r="H7647" s="5">
        <v>0.0633</v>
      </c>
      <c r="I7647" s="8">
        <f t="shared" si="477"/>
        <v>43534600</v>
      </c>
      <c r="J7647" s="8">
        <f t="shared" si="478"/>
        <v>2755740.18</v>
      </c>
      <c r="K7647" t="str">
        <f t="shared" si="479"/>
        <v>MATCHED</v>
      </c>
    </row>
    <row r="7648" spans="1:11">
      <c r="A7648" t="s">
        <v>134</v>
      </c>
      <c r="B7648" t="s">
        <v>1888</v>
      </c>
      <c r="C7648" t="s">
        <v>415</v>
      </c>
      <c r="D7648" t="s">
        <v>416</v>
      </c>
      <c r="E7648" s="8">
        <v>530</v>
      </c>
      <c r="F7648" s="8">
        <v>41600</v>
      </c>
      <c r="G7648" s="8">
        <f t="shared" si="476"/>
        <v>22048000</v>
      </c>
      <c r="H7648" s="5">
        <v>0.0864</v>
      </c>
      <c r="I7648" s="8">
        <f t="shared" si="477"/>
        <v>22048000</v>
      </c>
      <c r="J7648" s="8">
        <f t="shared" si="478"/>
        <v>1904947.2</v>
      </c>
      <c r="K7648" t="str">
        <f t="shared" si="479"/>
        <v>MATCHED</v>
      </c>
    </row>
    <row r="7649" spans="1:11">
      <c r="A7649" t="s">
        <v>134</v>
      </c>
      <c r="B7649" t="s">
        <v>1888</v>
      </c>
      <c r="C7649" t="s">
        <v>417</v>
      </c>
      <c r="D7649" t="s">
        <v>418</v>
      </c>
      <c r="E7649" s="8"/>
      <c r="F7649" s="8">
        <v>52310</v>
      </c>
      <c r="G7649" s="8" t="str">
        <f t="shared" si="476"/>
        <v/>
      </c>
      <c r="H7649" s="5"/>
      <c r="I7649" s="8" t="str">
        <f t="shared" si="477"/>
        <v/>
      </c>
      <c r="J7649" s="8" t="str">
        <f t="shared" si="478"/>
        <v/>
      </c>
      <c r="K7649" t="str">
        <f t="shared" si="479"/>
        <v>MISSING OEWS</v>
      </c>
    </row>
    <row r="7650" spans="1:11">
      <c r="A7650" t="s">
        <v>134</v>
      </c>
      <c r="B7650" t="s">
        <v>1888</v>
      </c>
      <c r="C7650" t="s">
        <v>1702</v>
      </c>
      <c r="D7650" t="s">
        <v>1703</v>
      </c>
      <c r="E7650" s="8">
        <v>1640</v>
      </c>
      <c r="F7650" s="8">
        <v>42060</v>
      </c>
      <c r="G7650" s="8">
        <f t="shared" si="476"/>
        <v>68978400</v>
      </c>
      <c r="H7650" s="5">
        <v>0</v>
      </c>
      <c r="I7650" s="8">
        <f t="shared" si="477"/>
        <v>68978400</v>
      </c>
      <c r="J7650" s="8">
        <f t="shared" si="478"/>
        <v>0</v>
      </c>
      <c r="K7650" t="str">
        <f t="shared" si="479"/>
        <v>MATCHED</v>
      </c>
    </row>
    <row r="7651" spans="1:11">
      <c r="A7651" t="s">
        <v>134</v>
      </c>
      <c r="B7651" t="s">
        <v>1888</v>
      </c>
      <c r="C7651" t="s">
        <v>664</v>
      </c>
      <c r="D7651" t="s">
        <v>665</v>
      </c>
      <c r="E7651" s="8">
        <v>1890</v>
      </c>
      <c r="F7651" s="8">
        <v>89170</v>
      </c>
      <c r="G7651" s="8">
        <f t="shared" si="476"/>
        <v>168531300</v>
      </c>
      <c r="H7651" s="5">
        <v>0.265</v>
      </c>
      <c r="I7651" s="8">
        <f t="shared" si="477"/>
        <v>168531300</v>
      </c>
      <c r="J7651" s="8">
        <f t="shared" si="478"/>
        <v>44660794.5</v>
      </c>
      <c r="K7651" t="str">
        <f t="shared" si="479"/>
        <v>MATCHED</v>
      </c>
    </row>
    <row r="7652" spans="1:11">
      <c r="A7652" t="s">
        <v>134</v>
      </c>
      <c r="B7652" t="s">
        <v>1888</v>
      </c>
      <c r="C7652" t="s">
        <v>666</v>
      </c>
      <c r="D7652" t="s">
        <v>667</v>
      </c>
      <c r="E7652" s="8">
        <v>740</v>
      </c>
      <c r="F7652" s="8">
        <v>81190</v>
      </c>
      <c r="G7652" s="8">
        <f t="shared" si="476"/>
        <v>60080600</v>
      </c>
      <c r="H7652" s="5">
        <v>0</v>
      </c>
      <c r="I7652" s="8">
        <f t="shared" si="477"/>
        <v>60080600</v>
      </c>
      <c r="J7652" s="8">
        <f t="shared" si="478"/>
        <v>0</v>
      </c>
      <c r="K7652" t="str">
        <f t="shared" si="479"/>
        <v>MATCHED</v>
      </c>
    </row>
    <row r="7653" spans="1:11">
      <c r="A7653" t="s">
        <v>134</v>
      </c>
      <c r="B7653" t="s">
        <v>1888</v>
      </c>
      <c r="C7653" t="s">
        <v>1022</v>
      </c>
      <c r="D7653" t="s">
        <v>1023</v>
      </c>
      <c r="E7653" s="8"/>
      <c r="F7653" s="8">
        <v>53090</v>
      </c>
      <c r="G7653" s="8" t="str">
        <f t="shared" si="476"/>
        <v/>
      </c>
      <c r="H7653" s="5">
        <v>0.05</v>
      </c>
      <c r="I7653" s="8" t="str">
        <f t="shared" si="477"/>
        <v/>
      </c>
      <c r="J7653" s="8" t="str">
        <f t="shared" si="478"/>
        <v/>
      </c>
      <c r="K7653" t="str">
        <f t="shared" si="479"/>
        <v>MISSING OEWS</v>
      </c>
    </row>
    <row r="7654" spans="1:11">
      <c r="A7654" t="s">
        <v>134</v>
      </c>
      <c r="B7654" t="s">
        <v>1888</v>
      </c>
      <c r="C7654" t="s">
        <v>1024</v>
      </c>
      <c r="D7654" t="s">
        <v>1025</v>
      </c>
      <c r="E7654" s="8">
        <v>40</v>
      </c>
      <c r="F7654" s="8">
        <v>48030</v>
      </c>
      <c r="G7654" s="8">
        <f t="shared" si="476"/>
        <v>1921200</v>
      </c>
      <c r="H7654" s="5">
        <v>0</v>
      </c>
      <c r="I7654" s="8">
        <f t="shared" si="477"/>
        <v>1921200</v>
      </c>
      <c r="J7654" s="8">
        <f t="shared" si="478"/>
        <v>0</v>
      </c>
      <c r="K7654" t="str">
        <f t="shared" si="479"/>
        <v>MATCHED</v>
      </c>
    </row>
    <row r="7655" spans="1:11">
      <c r="A7655" t="s">
        <v>134</v>
      </c>
      <c r="B7655" t="s">
        <v>1888</v>
      </c>
      <c r="C7655" t="s">
        <v>427</v>
      </c>
      <c r="D7655" t="s">
        <v>428</v>
      </c>
      <c r="E7655" s="8">
        <v>1950</v>
      </c>
      <c r="F7655" s="8">
        <v>61690</v>
      </c>
      <c r="G7655" s="8">
        <f t="shared" si="476"/>
        <v>120295500</v>
      </c>
      <c r="H7655" s="5">
        <v>0.081</v>
      </c>
      <c r="I7655" s="8">
        <f t="shared" si="477"/>
        <v>120295500</v>
      </c>
      <c r="J7655" s="8">
        <f t="shared" si="478"/>
        <v>9743935.5</v>
      </c>
      <c r="K7655" t="str">
        <f t="shared" si="479"/>
        <v>MATCHED</v>
      </c>
    </row>
    <row r="7656" spans="1:11">
      <c r="A7656" t="s">
        <v>134</v>
      </c>
      <c r="B7656" t="s">
        <v>1888</v>
      </c>
      <c r="C7656" t="s">
        <v>668</v>
      </c>
      <c r="D7656" t="s">
        <v>669</v>
      </c>
      <c r="E7656" s="8">
        <v>110</v>
      </c>
      <c r="F7656" s="8">
        <v>56310</v>
      </c>
      <c r="G7656" s="8">
        <f t="shared" si="476"/>
        <v>6194100</v>
      </c>
      <c r="H7656" s="5">
        <v>0</v>
      </c>
      <c r="I7656" s="8">
        <f t="shared" si="477"/>
        <v>6194100</v>
      </c>
      <c r="J7656" s="8">
        <f t="shared" si="478"/>
        <v>0</v>
      </c>
      <c r="K7656" t="str">
        <f t="shared" si="479"/>
        <v>MATCHED</v>
      </c>
    </row>
    <row r="7657" spans="1:11">
      <c r="A7657" t="s">
        <v>134</v>
      </c>
      <c r="B7657" t="s">
        <v>1888</v>
      </c>
      <c r="C7657" t="s">
        <v>670</v>
      </c>
      <c r="D7657" t="s">
        <v>671</v>
      </c>
      <c r="E7657" s="8">
        <v>1920</v>
      </c>
      <c r="F7657" s="8">
        <v>49180</v>
      </c>
      <c r="G7657" s="8">
        <f t="shared" si="476"/>
        <v>94425600</v>
      </c>
      <c r="H7657" s="5">
        <v>0.0297</v>
      </c>
      <c r="I7657" s="8">
        <f t="shared" si="477"/>
        <v>94425600</v>
      </c>
      <c r="J7657" s="8">
        <f t="shared" si="478"/>
        <v>2804440.32</v>
      </c>
      <c r="K7657" t="str">
        <f t="shared" si="479"/>
        <v>MATCHED</v>
      </c>
    </row>
    <row r="7658" spans="1:11">
      <c r="A7658" t="s">
        <v>134</v>
      </c>
      <c r="B7658" t="s">
        <v>1888</v>
      </c>
      <c r="C7658" t="s">
        <v>672</v>
      </c>
      <c r="D7658" t="s">
        <v>673</v>
      </c>
      <c r="E7658" s="8">
        <v>100</v>
      </c>
      <c r="F7658" s="8">
        <v>75990</v>
      </c>
      <c r="G7658" s="8">
        <f t="shared" si="476"/>
        <v>7599000</v>
      </c>
      <c r="H7658" s="5">
        <v>0</v>
      </c>
      <c r="I7658" s="8">
        <f t="shared" si="477"/>
        <v>7599000</v>
      </c>
      <c r="J7658" s="8">
        <f t="shared" si="478"/>
        <v>0</v>
      </c>
      <c r="K7658" t="str">
        <f t="shared" si="479"/>
        <v>MATCHED</v>
      </c>
    </row>
    <row r="7659" spans="1:11">
      <c r="A7659" t="s">
        <v>134</v>
      </c>
      <c r="B7659" t="s">
        <v>1888</v>
      </c>
      <c r="C7659" t="s">
        <v>429</v>
      </c>
      <c r="D7659" t="s">
        <v>430</v>
      </c>
      <c r="E7659" s="8">
        <v>790</v>
      </c>
      <c r="F7659" s="8">
        <v>59910</v>
      </c>
      <c r="G7659" s="8">
        <f t="shared" si="476"/>
        <v>47328900</v>
      </c>
      <c r="H7659" s="5">
        <v>0.0589</v>
      </c>
      <c r="I7659" s="8">
        <f t="shared" si="477"/>
        <v>47328900</v>
      </c>
      <c r="J7659" s="8">
        <f t="shared" si="478"/>
        <v>2787672.21</v>
      </c>
      <c r="K7659" t="str">
        <f t="shared" si="479"/>
        <v>MATCHED</v>
      </c>
    </row>
    <row r="7660" spans="1:11">
      <c r="A7660" t="s">
        <v>134</v>
      </c>
      <c r="B7660" t="s">
        <v>1888</v>
      </c>
      <c r="C7660" t="s">
        <v>431</v>
      </c>
      <c r="D7660" t="s">
        <v>432</v>
      </c>
      <c r="E7660" s="8">
        <v>2520</v>
      </c>
      <c r="F7660" s="8">
        <v>71450</v>
      </c>
      <c r="G7660" s="8">
        <f t="shared" si="476"/>
        <v>180054000</v>
      </c>
      <c r="H7660" s="5">
        <v>0.0786</v>
      </c>
      <c r="I7660" s="8">
        <f t="shared" si="477"/>
        <v>180054000</v>
      </c>
      <c r="J7660" s="8">
        <f t="shared" si="478"/>
        <v>14152244.4</v>
      </c>
      <c r="K7660" t="str">
        <f t="shared" si="479"/>
        <v>MATCHED</v>
      </c>
    </row>
    <row r="7661" spans="1:11">
      <c r="A7661" t="s">
        <v>134</v>
      </c>
      <c r="B7661" t="s">
        <v>1888</v>
      </c>
      <c r="C7661" t="s">
        <v>1042</v>
      </c>
      <c r="D7661" t="s">
        <v>1043</v>
      </c>
      <c r="E7661" s="8">
        <v>1500</v>
      </c>
      <c r="F7661" s="8">
        <v>51670</v>
      </c>
      <c r="G7661" s="8">
        <f t="shared" si="476"/>
        <v>77505000</v>
      </c>
      <c r="H7661" s="5">
        <v>0</v>
      </c>
      <c r="I7661" s="8">
        <f t="shared" si="477"/>
        <v>77505000</v>
      </c>
      <c r="J7661" s="8">
        <f t="shared" si="478"/>
        <v>0</v>
      </c>
      <c r="K7661" t="str">
        <f t="shared" si="479"/>
        <v>MATCHED</v>
      </c>
    </row>
    <row r="7662" spans="1:11">
      <c r="A7662" t="s">
        <v>134</v>
      </c>
      <c r="B7662" t="s">
        <v>1888</v>
      </c>
      <c r="C7662" t="s">
        <v>678</v>
      </c>
      <c r="D7662" t="s">
        <v>679</v>
      </c>
      <c r="E7662" s="8">
        <v>1090</v>
      </c>
      <c r="F7662" s="8">
        <v>51730</v>
      </c>
      <c r="G7662" s="8">
        <f t="shared" si="476"/>
        <v>56385700</v>
      </c>
      <c r="H7662" s="5">
        <v>0.0368</v>
      </c>
      <c r="I7662" s="8">
        <f t="shared" si="477"/>
        <v>56385700</v>
      </c>
      <c r="J7662" s="8">
        <f t="shared" si="478"/>
        <v>2074993.76</v>
      </c>
      <c r="K7662" t="str">
        <f t="shared" si="479"/>
        <v>MATCHED</v>
      </c>
    </row>
    <row r="7663" spans="1:11">
      <c r="A7663" t="s">
        <v>134</v>
      </c>
      <c r="B7663" t="s">
        <v>1888</v>
      </c>
      <c r="C7663" t="s">
        <v>682</v>
      </c>
      <c r="D7663" t="s">
        <v>683</v>
      </c>
      <c r="E7663" s="8">
        <v>1840</v>
      </c>
      <c r="F7663" s="8">
        <v>71360</v>
      </c>
      <c r="G7663" s="8">
        <f t="shared" si="476"/>
        <v>131302400</v>
      </c>
      <c r="H7663" s="5">
        <v>0.04</v>
      </c>
      <c r="I7663" s="8">
        <f t="shared" si="477"/>
        <v>131302400</v>
      </c>
      <c r="J7663" s="8">
        <f t="shared" si="478"/>
        <v>5252096</v>
      </c>
      <c r="K7663" t="str">
        <f t="shared" si="479"/>
        <v>MATCHED</v>
      </c>
    </row>
    <row r="7664" spans="1:11">
      <c r="A7664" t="s">
        <v>134</v>
      </c>
      <c r="B7664" t="s">
        <v>1888</v>
      </c>
      <c r="C7664" t="s">
        <v>684</v>
      </c>
      <c r="D7664" t="s">
        <v>685</v>
      </c>
      <c r="E7664" s="8">
        <v>220</v>
      </c>
      <c r="F7664" s="8">
        <v>66980</v>
      </c>
      <c r="G7664" s="8">
        <f t="shared" si="476"/>
        <v>14735600</v>
      </c>
      <c r="H7664" s="5">
        <v>0.0687</v>
      </c>
      <c r="I7664" s="8">
        <f t="shared" si="477"/>
        <v>14735600</v>
      </c>
      <c r="J7664" s="8">
        <f t="shared" si="478"/>
        <v>1012335.72</v>
      </c>
      <c r="K7664" t="str">
        <f t="shared" si="479"/>
        <v>MATCHED</v>
      </c>
    </row>
    <row r="7665" spans="1:11">
      <c r="A7665" t="s">
        <v>134</v>
      </c>
      <c r="B7665" t="s">
        <v>1888</v>
      </c>
      <c r="C7665" t="s">
        <v>686</v>
      </c>
      <c r="D7665" t="s">
        <v>687</v>
      </c>
      <c r="E7665" s="8">
        <v>250</v>
      </c>
      <c r="F7665" s="8">
        <v>64980</v>
      </c>
      <c r="G7665" s="8">
        <f t="shared" si="476"/>
        <v>16245000</v>
      </c>
      <c r="H7665" s="5">
        <v>0</v>
      </c>
      <c r="I7665" s="8">
        <f t="shared" si="477"/>
        <v>16245000</v>
      </c>
      <c r="J7665" s="8">
        <f t="shared" si="478"/>
        <v>0</v>
      </c>
      <c r="K7665" t="str">
        <f t="shared" si="479"/>
        <v>MATCHED</v>
      </c>
    </row>
    <row r="7666" spans="1:11">
      <c r="A7666" t="s">
        <v>134</v>
      </c>
      <c r="B7666" t="s">
        <v>1888</v>
      </c>
      <c r="C7666" t="s">
        <v>688</v>
      </c>
      <c r="D7666" t="s">
        <v>689</v>
      </c>
      <c r="E7666" s="8">
        <v>180</v>
      </c>
      <c r="F7666" s="8">
        <v>40440</v>
      </c>
      <c r="G7666" s="8">
        <f t="shared" si="476"/>
        <v>7279200</v>
      </c>
      <c r="H7666" s="5">
        <v>0.0396</v>
      </c>
      <c r="I7666" s="8">
        <f t="shared" si="477"/>
        <v>7279200</v>
      </c>
      <c r="J7666" s="8">
        <f t="shared" si="478"/>
        <v>288256.32</v>
      </c>
      <c r="K7666" t="str">
        <f t="shared" si="479"/>
        <v>MATCHED</v>
      </c>
    </row>
    <row r="7667" spans="1:11">
      <c r="A7667" t="s">
        <v>134</v>
      </c>
      <c r="B7667" t="s">
        <v>1888</v>
      </c>
      <c r="C7667" t="s">
        <v>690</v>
      </c>
      <c r="D7667" t="s">
        <v>691</v>
      </c>
      <c r="E7667" s="8"/>
      <c r="F7667" s="8">
        <v>49000</v>
      </c>
      <c r="G7667" s="8" t="str">
        <f t="shared" si="476"/>
        <v/>
      </c>
      <c r="H7667" s="5">
        <v>0</v>
      </c>
      <c r="I7667" s="8" t="str">
        <f t="shared" si="477"/>
        <v/>
      </c>
      <c r="J7667" s="8" t="str">
        <f t="shared" si="478"/>
        <v/>
      </c>
      <c r="K7667" t="str">
        <f t="shared" si="479"/>
        <v>MISSING OEWS</v>
      </c>
    </row>
    <row r="7668" spans="1:11">
      <c r="A7668" t="s">
        <v>134</v>
      </c>
      <c r="B7668" t="s">
        <v>1888</v>
      </c>
      <c r="C7668" t="s">
        <v>692</v>
      </c>
      <c r="D7668" t="s">
        <v>693</v>
      </c>
      <c r="E7668" s="8">
        <v>140</v>
      </c>
      <c r="F7668" s="8">
        <v>48250</v>
      </c>
      <c r="G7668" s="8">
        <f t="shared" si="476"/>
        <v>6755000</v>
      </c>
      <c r="H7668" s="5"/>
      <c r="I7668" s="8" t="str">
        <f t="shared" si="477"/>
        <v/>
      </c>
      <c r="J7668" s="8" t="str">
        <f t="shared" si="478"/>
        <v/>
      </c>
      <c r="K7668" t="str">
        <f t="shared" si="479"/>
        <v>MISSING WHARTON</v>
      </c>
    </row>
    <row r="7669" spans="1:11">
      <c r="A7669" t="s">
        <v>134</v>
      </c>
      <c r="B7669" t="s">
        <v>1888</v>
      </c>
      <c r="C7669" t="s">
        <v>694</v>
      </c>
      <c r="D7669" t="s">
        <v>695</v>
      </c>
      <c r="E7669" s="8">
        <v>590</v>
      </c>
      <c r="F7669" s="8">
        <v>60470</v>
      </c>
      <c r="G7669" s="8">
        <f t="shared" si="476"/>
        <v>35677300</v>
      </c>
      <c r="H7669" s="5">
        <v>0.3737</v>
      </c>
      <c r="I7669" s="8">
        <f t="shared" si="477"/>
        <v>35677300</v>
      </c>
      <c r="J7669" s="8">
        <f t="shared" si="478"/>
        <v>13332607.01</v>
      </c>
      <c r="K7669" t="str">
        <f t="shared" si="479"/>
        <v>MATCHED</v>
      </c>
    </row>
    <row r="7670" spans="1:11">
      <c r="A7670" t="s">
        <v>134</v>
      </c>
      <c r="B7670" t="s">
        <v>1888</v>
      </c>
      <c r="C7670" t="s">
        <v>698</v>
      </c>
      <c r="D7670" t="s">
        <v>699</v>
      </c>
      <c r="E7670" s="8">
        <v>300</v>
      </c>
      <c r="F7670" s="8">
        <v>58350</v>
      </c>
      <c r="G7670" s="8">
        <f t="shared" si="476"/>
        <v>17505000</v>
      </c>
      <c r="H7670" s="5">
        <v>0.0452</v>
      </c>
      <c r="I7670" s="8">
        <f t="shared" si="477"/>
        <v>17505000</v>
      </c>
      <c r="J7670" s="8">
        <f t="shared" si="478"/>
        <v>791226</v>
      </c>
      <c r="K7670" t="str">
        <f t="shared" si="479"/>
        <v>MATCHED</v>
      </c>
    </row>
    <row r="7671" spans="1:11">
      <c r="A7671" t="s">
        <v>134</v>
      </c>
      <c r="B7671" t="s">
        <v>1888</v>
      </c>
      <c r="C7671" t="s">
        <v>1062</v>
      </c>
      <c r="D7671" t="s">
        <v>1063</v>
      </c>
      <c r="E7671" s="8"/>
      <c r="F7671" s="8">
        <v>53370</v>
      </c>
      <c r="G7671" s="8" t="str">
        <f t="shared" si="476"/>
        <v/>
      </c>
      <c r="H7671" s="5">
        <v>0</v>
      </c>
      <c r="I7671" s="8" t="str">
        <f t="shared" si="477"/>
        <v/>
      </c>
      <c r="J7671" s="8" t="str">
        <f t="shared" si="478"/>
        <v/>
      </c>
      <c r="K7671" t="str">
        <f t="shared" si="479"/>
        <v>MISSING OEWS</v>
      </c>
    </row>
    <row r="7672" spans="1:11">
      <c r="A7672" t="s">
        <v>134</v>
      </c>
      <c r="B7672" t="s">
        <v>1888</v>
      </c>
      <c r="C7672" t="s">
        <v>702</v>
      </c>
      <c r="D7672" t="s">
        <v>703</v>
      </c>
      <c r="E7672" s="8">
        <v>310</v>
      </c>
      <c r="F7672" s="8">
        <v>50880</v>
      </c>
      <c r="G7672" s="8">
        <f t="shared" si="476"/>
        <v>15772800</v>
      </c>
      <c r="H7672" s="5">
        <v>0.0825</v>
      </c>
      <c r="I7672" s="8">
        <f t="shared" si="477"/>
        <v>15772800</v>
      </c>
      <c r="J7672" s="8">
        <f t="shared" si="478"/>
        <v>1301256</v>
      </c>
      <c r="K7672" t="str">
        <f t="shared" si="479"/>
        <v>MATCHED</v>
      </c>
    </row>
    <row r="7673" spans="1:11">
      <c r="A7673" t="s">
        <v>134</v>
      </c>
      <c r="B7673" t="s">
        <v>1888</v>
      </c>
      <c r="C7673" t="s">
        <v>710</v>
      </c>
      <c r="D7673" t="s">
        <v>711</v>
      </c>
      <c r="E7673" s="8">
        <v>150</v>
      </c>
      <c r="F7673" s="8">
        <v>56390</v>
      </c>
      <c r="G7673" s="8">
        <f t="shared" si="476"/>
        <v>8458500</v>
      </c>
      <c r="H7673" s="5">
        <v>0</v>
      </c>
      <c r="I7673" s="8">
        <f t="shared" si="477"/>
        <v>8458500</v>
      </c>
      <c r="J7673" s="8">
        <f t="shared" si="478"/>
        <v>0</v>
      </c>
      <c r="K7673" t="str">
        <f t="shared" si="479"/>
        <v>MATCHED</v>
      </c>
    </row>
    <row r="7674" spans="1:11">
      <c r="A7674" t="s">
        <v>134</v>
      </c>
      <c r="B7674" t="s">
        <v>1888</v>
      </c>
      <c r="C7674" t="s">
        <v>726</v>
      </c>
      <c r="D7674" t="s">
        <v>727</v>
      </c>
      <c r="E7674" s="8">
        <v>440</v>
      </c>
      <c r="F7674" s="8">
        <v>46100</v>
      </c>
      <c r="G7674" s="8">
        <f t="shared" si="476"/>
        <v>20284000</v>
      </c>
      <c r="H7674" s="5">
        <v>0</v>
      </c>
      <c r="I7674" s="8">
        <f t="shared" si="477"/>
        <v>20284000</v>
      </c>
      <c r="J7674" s="8">
        <f t="shared" si="478"/>
        <v>0</v>
      </c>
      <c r="K7674" t="str">
        <f t="shared" si="479"/>
        <v>MATCHED</v>
      </c>
    </row>
    <row r="7675" spans="1:11">
      <c r="A7675" t="s">
        <v>134</v>
      </c>
      <c r="B7675" t="s">
        <v>1888</v>
      </c>
      <c r="C7675" t="s">
        <v>433</v>
      </c>
      <c r="D7675" t="s">
        <v>434</v>
      </c>
      <c r="E7675" s="8">
        <v>67480</v>
      </c>
      <c r="F7675" s="8">
        <v>75410</v>
      </c>
      <c r="G7675" s="8">
        <f t="shared" si="476"/>
        <v>5088666800</v>
      </c>
      <c r="H7675" s="5">
        <v>0.3523</v>
      </c>
      <c r="I7675" s="8">
        <f t="shared" si="477"/>
        <v>5088666800</v>
      </c>
      <c r="J7675" s="8">
        <f t="shared" si="478"/>
        <v>1792737313.64</v>
      </c>
      <c r="K7675" t="str">
        <f t="shared" si="479"/>
        <v>MATCHED</v>
      </c>
    </row>
    <row r="7676" spans="1:11">
      <c r="A7676" t="s">
        <v>134</v>
      </c>
      <c r="B7676" t="s">
        <v>1888</v>
      </c>
      <c r="C7676" t="s">
        <v>1064</v>
      </c>
      <c r="D7676" t="s">
        <v>1065</v>
      </c>
      <c r="E7676" s="8">
        <v>12140</v>
      </c>
      <c r="F7676" s="8">
        <v>47960</v>
      </c>
      <c r="G7676" s="8">
        <f t="shared" si="476"/>
        <v>582234400</v>
      </c>
      <c r="H7676" s="5">
        <v>0.284</v>
      </c>
      <c r="I7676" s="8">
        <f t="shared" si="477"/>
        <v>582234400</v>
      </c>
      <c r="J7676" s="8">
        <f t="shared" si="478"/>
        <v>165354569.6</v>
      </c>
      <c r="K7676" t="str">
        <f t="shared" si="479"/>
        <v>MATCHED</v>
      </c>
    </row>
    <row r="7677" spans="1:11">
      <c r="A7677" t="s">
        <v>134</v>
      </c>
      <c r="B7677" t="s">
        <v>1888</v>
      </c>
      <c r="C7677" t="s">
        <v>898</v>
      </c>
      <c r="D7677" t="s">
        <v>899</v>
      </c>
      <c r="E7677" s="8">
        <v>1040</v>
      </c>
      <c r="F7677" s="8">
        <v>54320</v>
      </c>
      <c r="G7677" s="8">
        <f t="shared" si="476"/>
        <v>56492800</v>
      </c>
      <c r="H7677" s="5">
        <v>0.1583</v>
      </c>
      <c r="I7677" s="8">
        <f t="shared" si="477"/>
        <v>56492800</v>
      </c>
      <c r="J7677" s="8">
        <f t="shared" si="478"/>
        <v>8942810.24</v>
      </c>
      <c r="K7677" t="str">
        <f t="shared" si="479"/>
        <v>MATCHED</v>
      </c>
    </row>
    <row r="7678" spans="1:11">
      <c r="A7678" t="s">
        <v>134</v>
      </c>
      <c r="B7678" t="s">
        <v>1888</v>
      </c>
      <c r="C7678" t="s">
        <v>900</v>
      </c>
      <c r="D7678" t="s">
        <v>901</v>
      </c>
      <c r="E7678" s="8">
        <v>3790</v>
      </c>
      <c r="F7678" s="8">
        <v>50860</v>
      </c>
      <c r="G7678" s="8">
        <f t="shared" si="476"/>
        <v>192759400</v>
      </c>
      <c r="H7678" s="5">
        <v>0.195</v>
      </c>
      <c r="I7678" s="8">
        <f t="shared" si="477"/>
        <v>192759400</v>
      </c>
      <c r="J7678" s="8">
        <f t="shared" si="478"/>
        <v>37588083</v>
      </c>
      <c r="K7678" t="str">
        <f t="shared" si="479"/>
        <v>MATCHED</v>
      </c>
    </row>
    <row r="7679" spans="1:11">
      <c r="A7679" t="s">
        <v>134</v>
      </c>
      <c r="B7679" t="s">
        <v>1888</v>
      </c>
      <c r="C7679" t="s">
        <v>1296</v>
      </c>
      <c r="D7679" t="s">
        <v>1297</v>
      </c>
      <c r="E7679" s="8">
        <v>240</v>
      </c>
      <c r="F7679" s="8">
        <v>61350</v>
      </c>
      <c r="G7679" s="8">
        <f t="shared" si="476"/>
        <v>14724000</v>
      </c>
      <c r="H7679" s="5">
        <v>0.2</v>
      </c>
      <c r="I7679" s="8">
        <f t="shared" si="477"/>
        <v>14724000</v>
      </c>
      <c r="J7679" s="8">
        <f t="shared" si="478"/>
        <v>2944800</v>
      </c>
      <c r="K7679" t="str">
        <f t="shared" si="479"/>
        <v>MATCHED</v>
      </c>
    </row>
    <row r="7680" spans="1:11">
      <c r="A7680" t="s">
        <v>134</v>
      </c>
      <c r="B7680" t="s">
        <v>1888</v>
      </c>
      <c r="C7680" t="s">
        <v>732</v>
      </c>
      <c r="D7680" t="s">
        <v>733</v>
      </c>
      <c r="E7680" s="8">
        <v>3080</v>
      </c>
      <c r="F7680" s="8">
        <v>54270</v>
      </c>
      <c r="G7680" s="8">
        <f t="shared" si="476"/>
        <v>167151600</v>
      </c>
      <c r="H7680" s="5">
        <v>0.0667</v>
      </c>
      <c r="I7680" s="8">
        <f t="shared" si="477"/>
        <v>167151600</v>
      </c>
      <c r="J7680" s="8">
        <f t="shared" si="478"/>
        <v>11149011.72</v>
      </c>
      <c r="K7680" t="str">
        <f t="shared" si="479"/>
        <v>MATCHED</v>
      </c>
    </row>
    <row r="7681" spans="1:11">
      <c r="A7681" t="s">
        <v>134</v>
      </c>
      <c r="B7681" t="s">
        <v>1888</v>
      </c>
      <c r="C7681" t="s">
        <v>902</v>
      </c>
      <c r="D7681" t="s">
        <v>903</v>
      </c>
      <c r="E7681" s="8">
        <v>560</v>
      </c>
      <c r="F7681" s="8">
        <v>72220</v>
      </c>
      <c r="G7681" s="8">
        <f t="shared" si="476"/>
        <v>40443200</v>
      </c>
      <c r="H7681" s="5">
        <v>0.2033</v>
      </c>
      <c r="I7681" s="8">
        <f t="shared" si="477"/>
        <v>40443200</v>
      </c>
      <c r="J7681" s="8">
        <f t="shared" si="478"/>
        <v>8222102.56</v>
      </c>
      <c r="K7681" t="str">
        <f t="shared" si="479"/>
        <v>MATCHED</v>
      </c>
    </row>
    <row r="7682" spans="1:11">
      <c r="A7682" t="s">
        <v>134</v>
      </c>
      <c r="B7682" t="s">
        <v>1888</v>
      </c>
      <c r="C7682" t="s">
        <v>734</v>
      </c>
      <c r="D7682" t="s">
        <v>735</v>
      </c>
      <c r="E7682" s="8">
        <v>5570</v>
      </c>
      <c r="F7682" s="8">
        <v>61040</v>
      </c>
      <c r="G7682" s="8">
        <f t="shared" ref="G7682:G7745" si="480">IF(OR(E7682="",F7682=""),"",E7682*F7682)</f>
        <v>339992800</v>
      </c>
      <c r="H7682" s="5">
        <v>0.19</v>
      </c>
      <c r="I7682" s="8">
        <f t="shared" ref="I7682:I7745" si="481">IF(G7682="","",IF(ISNUMBER(H7682),G7682,""))</f>
        <v>339992800</v>
      </c>
      <c r="J7682" s="8">
        <f t="shared" ref="J7682:J7745" si="482">IF(I7682="","",I7682*H7682)</f>
        <v>64598632</v>
      </c>
      <c r="K7682" t="str">
        <f t="shared" ref="K7682:K7745" si="483">IF(G7682="","MISSING OEWS",IF(ISNUMBER(H7682),"MATCHED","MISSING WHARTON"))</f>
        <v>MATCHED</v>
      </c>
    </row>
    <row r="7683" spans="1:11">
      <c r="A7683" t="s">
        <v>134</v>
      </c>
      <c r="B7683" t="s">
        <v>1888</v>
      </c>
      <c r="C7683" t="s">
        <v>904</v>
      </c>
      <c r="D7683" t="s">
        <v>905</v>
      </c>
      <c r="E7683" s="8">
        <v>570</v>
      </c>
      <c r="F7683" s="8">
        <v>69670</v>
      </c>
      <c r="G7683" s="8">
        <f t="shared" si="480"/>
        <v>39711900</v>
      </c>
      <c r="H7683" s="5">
        <v>0.2219</v>
      </c>
      <c r="I7683" s="8">
        <f t="shared" si="481"/>
        <v>39711900</v>
      </c>
      <c r="J7683" s="8">
        <f t="shared" si="482"/>
        <v>8812070.61</v>
      </c>
      <c r="K7683" t="str">
        <f t="shared" si="483"/>
        <v>MATCHED</v>
      </c>
    </row>
    <row r="7684" spans="1:11">
      <c r="A7684" t="s">
        <v>134</v>
      </c>
      <c r="B7684" t="s">
        <v>1888</v>
      </c>
      <c r="C7684" t="s">
        <v>1298</v>
      </c>
      <c r="D7684" t="s">
        <v>1299</v>
      </c>
      <c r="E7684" s="8">
        <v>1650</v>
      </c>
      <c r="F7684" s="8">
        <v>53130</v>
      </c>
      <c r="G7684" s="8">
        <f t="shared" si="480"/>
        <v>87664500</v>
      </c>
      <c r="H7684" s="5">
        <v>0.1583</v>
      </c>
      <c r="I7684" s="8">
        <f t="shared" si="481"/>
        <v>87664500</v>
      </c>
      <c r="J7684" s="8">
        <f t="shared" si="482"/>
        <v>13877290.35</v>
      </c>
      <c r="K7684" t="str">
        <f t="shared" si="483"/>
        <v>MATCHED</v>
      </c>
    </row>
    <row r="7685" spans="1:11">
      <c r="A7685" t="s">
        <v>134</v>
      </c>
      <c r="B7685" t="s">
        <v>1888</v>
      </c>
      <c r="C7685" t="s">
        <v>1066</v>
      </c>
      <c r="D7685" t="s">
        <v>1067</v>
      </c>
      <c r="E7685" s="8">
        <v>850</v>
      </c>
      <c r="F7685" s="8">
        <v>48900</v>
      </c>
      <c r="G7685" s="8">
        <f t="shared" si="480"/>
        <v>41565000</v>
      </c>
      <c r="H7685" s="5">
        <v>0.2591</v>
      </c>
      <c r="I7685" s="8">
        <f t="shared" si="481"/>
        <v>41565000</v>
      </c>
      <c r="J7685" s="8">
        <f t="shared" si="482"/>
        <v>10769491.5</v>
      </c>
      <c r="K7685" t="str">
        <f t="shared" si="483"/>
        <v>MATCHED</v>
      </c>
    </row>
    <row r="7686" spans="1:11">
      <c r="A7686" t="s">
        <v>134</v>
      </c>
      <c r="B7686" t="s">
        <v>1888</v>
      </c>
      <c r="C7686" t="s">
        <v>1068</v>
      </c>
      <c r="D7686" t="s">
        <v>1069</v>
      </c>
      <c r="E7686" s="8">
        <v>120</v>
      </c>
      <c r="F7686" s="8">
        <v>67450</v>
      </c>
      <c r="G7686" s="8">
        <f t="shared" si="480"/>
        <v>8094000</v>
      </c>
      <c r="H7686" s="5">
        <v>0.2219</v>
      </c>
      <c r="I7686" s="8">
        <f t="shared" si="481"/>
        <v>8094000</v>
      </c>
      <c r="J7686" s="8">
        <f t="shared" si="482"/>
        <v>1796058.6</v>
      </c>
      <c r="K7686" t="str">
        <f t="shared" si="483"/>
        <v>MATCHED</v>
      </c>
    </row>
    <row r="7687" spans="1:11">
      <c r="A7687" t="s">
        <v>134</v>
      </c>
      <c r="B7687" t="s">
        <v>1888</v>
      </c>
      <c r="C7687" t="s">
        <v>435</v>
      </c>
      <c r="D7687" t="s">
        <v>436</v>
      </c>
      <c r="E7687" s="8">
        <v>290</v>
      </c>
      <c r="F7687" s="8">
        <v>71320</v>
      </c>
      <c r="G7687" s="8">
        <f t="shared" si="480"/>
        <v>20682800</v>
      </c>
      <c r="H7687" s="5">
        <v>0.0434</v>
      </c>
      <c r="I7687" s="8">
        <f t="shared" si="481"/>
        <v>20682800</v>
      </c>
      <c r="J7687" s="8">
        <f t="shared" si="482"/>
        <v>897633.52</v>
      </c>
      <c r="K7687" t="str">
        <f t="shared" si="483"/>
        <v>MATCHED</v>
      </c>
    </row>
    <row r="7688" spans="1:11">
      <c r="A7688" t="s">
        <v>134</v>
      </c>
      <c r="B7688" t="s">
        <v>1888</v>
      </c>
      <c r="C7688" t="s">
        <v>1070</v>
      </c>
      <c r="D7688" t="s">
        <v>1071</v>
      </c>
      <c r="E7688" s="8">
        <v>109530</v>
      </c>
      <c r="F7688" s="8">
        <v>59440</v>
      </c>
      <c r="G7688" s="8">
        <f t="shared" si="480"/>
        <v>6510463200</v>
      </c>
      <c r="H7688" s="5">
        <v>0.028</v>
      </c>
      <c r="I7688" s="8">
        <f t="shared" si="481"/>
        <v>6510463200</v>
      </c>
      <c r="J7688" s="8">
        <f t="shared" si="482"/>
        <v>182292969.6</v>
      </c>
      <c r="K7688" t="str">
        <f t="shared" si="483"/>
        <v>MATCHED</v>
      </c>
    </row>
    <row r="7689" spans="1:11">
      <c r="A7689" t="s">
        <v>134</v>
      </c>
      <c r="B7689" t="s">
        <v>1888</v>
      </c>
      <c r="C7689" t="s">
        <v>1072</v>
      </c>
      <c r="D7689" t="s">
        <v>1073</v>
      </c>
      <c r="E7689" s="8">
        <v>18060</v>
      </c>
      <c r="F7689" s="8">
        <v>50600</v>
      </c>
      <c r="G7689" s="8">
        <f t="shared" si="480"/>
        <v>913836000</v>
      </c>
      <c r="H7689" s="5">
        <v>0</v>
      </c>
      <c r="I7689" s="8">
        <f t="shared" si="481"/>
        <v>913836000</v>
      </c>
      <c r="J7689" s="8">
        <f t="shared" si="482"/>
        <v>0</v>
      </c>
      <c r="K7689" t="str">
        <f t="shared" si="483"/>
        <v>MATCHED</v>
      </c>
    </row>
    <row r="7690" spans="1:11">
      <c r="A7690" t="s">
        <v>134</v>
      </c>
      <c r="B7690" t="s">
        <v>1888</v>
      </c>
      <c r="C7690" t="s">
        <v>736</v>
      </c>
      <c r="D7690" t="s">
        <v>737</v>
      </c>
      <c r="E7690" s="8">
        <v>254570</v>
      </c>
      <c r="F7690" s="8">
        <v>53700</v>
      </c>
      <c r="G7690" s="8">
        <f t="shared" si="480"/>
        <v>13670409000</v>
      </c>
      <c r="H7690" s="5">
        <v>0.0233</v>
      </c>
      <c r="I7690" s="8">
        <f t="shared" si="481"/>
        <v>13670409000</v>
      </c>
      <c r="J7690" s="8">
        <f t="shared" si="482"/>
        <v>318520529.7</v>
      </c>
      <c r="K7690" t="str">
        <f t="shared" si="483"/>
        <v>MATCHED</v>
      </c>
    </row>
    <row r="7691" spans="1:11">
      <c r="A7691" t="s">
        <v>134</v>
      </c>
      <c r="B7691" t="s">
        <v>1888</v>
      </c>
      <c r="C7691" t="s">
        <v>437</v>
      </c>
      <c r="D7691" t="s">
        <v>438</v>
      </c>
      <c r="E7691" s="8">
        <v>33450</v>
      </c>
      <c r="F7691" s="8">
        <v>61100</v>
      </c>
      <c r="G7691" s="8">
        <f t="shared" si="480"/>
        <v>2043795000</v>
      </c>
      <c r="H7691" s="5">
        <v>0</v>
      </c>
      <c r="I7691" s="8">
        <f t="shared" si="481"/>
        <v>2043795000</v>
      </c>
      <c r="J7691" s="8">
        <f t="shared" si="482"/>
        <v>0</v>
      </c>
      <c r="K7691" t="str">
        <f t="shared" si="483"/>
        <v>MATCHED</v>
      </c>
    </row>
    <row r="7692" spans="1:11">
      <c r="A7692" t="s">
        <v>134</v>
      </c>
      <c r="B7692" t="s">
        <v>1888</v>
      </c>
      <c r="C7692" t="s">
        <v>439</v>
      </c>
      <c r="D7692" t="s">
        <v>440</v>
      </c>
      <c r="E7692" s="8">
        <v>1800</v>
      </c>
      <c r="F7692" s="8">
        <v>53080</v>
      </c>
      <c r="G7692" s="8">
        <f t="shared" si="480"/>
        <v>95544000</v>
      </c>
      <c r="H7692" s="5">
        <v>0.1357</v>
      </c>
      <c r="I7692" s="8">
        <f t="shared" si="481"/>
        <v>95544000</v>
      </c>
      <c r="J7692" s="8">
        <f t="shared" si="482"/>
        <v>12965320.8</v>
      </c>
      <c r="K7692" t="str">
        <f t="shared" si="483"/>
        <v>MATCHED</v>
      </c>
    </row>
    <row r="7693" spans="1:11">
      <c r="A7693" t="s">
        <v>134</v>
      </c>
      <c r="B7693" t="s">
        <v>1888</v>
      </c>
      <c r="C7693" t="s">
        <v>441</v>
      </c>
      <c r="D7693" t="s">
        <v>442</v>
      </c>
      <c r="E7693" s="8">
        <v>9350</v>
      </c>
      <c r="F7693" s="8">
        <v>68090</v>
      </c>
      <c r="G7693" s="8">
        <f t="shared" si="480"/>
        <v>636641500</v>
      </c>
      <c r="H7693" s="5">
        <v>0.1425</v>
      </c>
      <c r="I7693" s="8">
        <f t="shared" si="481"/>
        <v>636641500</v>
      </c>
      <c r="J7693" s="8">
        <f t="shared" si="482"/>
        <v>90721413.75</v>
      </c>
      <c r="K7693" t="str">
        <f t="shared" si="483"/>
        <v>MATCHED</v>
      </c>
    </row>
    <row r="7694" spans="1:11">
      <c r="A7694" t="s">
        <v>134</v>
      </c>
      <c r="B7694" t="s">
        <v>1888</v>
      </c>
      <c r="C7694" t="s">
        <v>1074</v>
      </c>
      <c r="D7694" t="s">
        <v>1075</v>
      </c>
      <c r="E7694" s="8">
        <v>6020</v>
      </c>
      <c r="F7694" s="8">
        <v>55810</v>
      </c>
      <c r="G7694" s="8">
        <f t="shared" si="480"/>
        <v>335976200</v>
      </c>
      <c r="H7694" s="5">
        <v>0.0731</v>
      </c>
      <c r="I7694" s="8">
        <f t="shared" si="481"/>
        <v>335976200</v>
      </c>
      <c r="J7694" s="8">
        <f t="shared" si="482"/>
        <v>24559860.22</v>
      </c>
      <c r="K7694" t="str">
        <f t="shared" si="483"/>
        <v>MATCHED</v>
      </c>
    </row>
    <row r="7695" spans="1:11">
      <c r="A7695" t="s">
        <v>134</v>
      </c>
      <c r="B7695" t="s">
        <v>1888</v>
      </c>
      <c r="C7695" t="s">
        <v>1302</v>
      </c>
      <c r="D7695" t="s">
        <v>1303</v>
      </c>
      <c r="E7695" s="8">
        <v>1490</v>
      </c>
      <c r="F7695" s="8">
        <v>51100</v>
      </c>
      <c r="G7695" s="8">
        <f t="shared" si="480"/>
        <v>76139000</v>
      </c>
      <c r="H7695" s="5">
        <v>0</v>
      </c>
      <c r="I7695" s="8">
        <f t="shared" si="481"/>
        <v>76139000</v>
      </c>
      <c r="J7695" s="8">
        <f t="shared" si="482"/>
        <v>0</v>
      </c>
      <c r="K7695" t="str">
        <f t="shared" si="483"/>
        <v>MATCHED</v>
      </c>
    </row>
    <row r="7696" spans="1:11">
      <c r="A7696" t="s">
        <v>134</v>
      </c>
      <c r="B7696" t="s">
        <v>1888</v>
      </c>
      <c r="C7696" t="s">
        <v>1076</v>
      </c>
      <c r="D7696" t="s">
        <v>1077</v>
      </c>
      <c r="E7696" s="8">
        <v>2390</v>
      </c>
      <c r="F7696" s="8">
        <v>45190</v>
      </c>
      <c r="G7696" s="8">
        <f t="shared" si="480"/>
        <v>108004100</v>
      </c>
      <c r="H7696" s="5">
        <v>0.1179</v>
      </c>
      <c r="I7696" s="8">
        <f t="shared" si="481"/>
        <v>108004100</v>
      </c>
      <c r="J7696" s="8">
        <f t="shared" si="482"/>
        <v>12733683.39</v>
      </c>
      <c r="K7696" t="str">
        <f t="shared" si="483"/>
        <v>MATCHED</v>
      </c>
    </row>
    <row r="7697" spans="1:11">
      <c r="A7697" t="s">
        <v>134</v>
      </c>
      <c r="B7697" t="s">
        <v>1888</v>
      </c>
      <c r="C7697" t="s">
        <v>1304</v>
      </c>
      <c r="D7697" t="s">
        <v>1305</v>
      </c>
      <c r="E7697" s="8">
        <v>580</v>
      </c>
      <c r="F7697" s="8">
        <v>44400</v>
      </c>
      <c r="G7697" s="8">
        <f t="shared" si="480"/>
        <v>25752000</v>
      </c>
      <c r="H7697" s="5">
        <v>0.0594</v>
      </c>
      <c r="I7697" s="8">
        <f t="shared" si="481"/>
        <v>25752000</v>
      </c>
      <c r="J7697" s="8">
        <f t="shared" si="482"/>
        <v>1529668.8</v>
      </c>
      <c r="K7697" t="str">
        <f t="shared" si="483"/>
        <v>MATCHED</v>
      </c>
    </row>
    <row r="7698" spans="1:11">
      <c r="A7698" t="s">
        <v>134</v>
      </c>
      <c r="B7698" t="s">
        <v>1888</v>
      </c>
      <c r="C7698" t="s">
        <v>1306</v>
      </c>
      <c r="D7698" t="s">
        <v>1307</v>
      </c>
      <c r="E7698" s="8">
        <v>1860</v>
      </c>
      <c r="F7698" s="8">
        <v>52310</v>
      </c>
      <c r="G7698" s="8">
        <f t="shared" si="480"/>
        <v>97296600</v>
      </c>
      <c r="H7698" s="5">
        <v>0</v>
      </c>
      <c r="I7698" s="8">
        <f t="shared" si="481"/>
        <v>97296600</v>
      </c>
      <c r="J7698" s="8">
        <f t="shared" si="482"/>
        <v>0</v>
      </c>
      <c r="K7698" t="str">
        <f t="shared" si="483"/>
        <v>MATCHED</v>
      </c>
    </row>
    <row r="7699" spans="1:11">
      <c r="A7699" t="s">
        <v>134</v>
      </c>
      <c r="B7699" t="s">
        <v>1888</v>
      </c>
      <c r="C7699" t="s">
        <v>738</v>
      </c>
      <c r="D7699" t="s">
        <v>739</v>
      </c>
      <c r="E7699" s="8">
        <v>9950</v>
      </c>
      <c r="F7699" s="8">
        <v>39460</v>
      </c>
      <c r="G7699" s="8">
        <f t="shared" si="480"/>
        <v>392627000</v>
      </c>
      <c r="H7699" s="5">
        <v>0</v>
      </c>
      <c r="I7699" s="8">
        <f t="shared" si="481"/>
        <v>392627000</v>
      </c>
      <c r="J7699" s="8">
        <f t="shared" si="482"/>
        <v>0</v>
      </c>
      <c r="K7699" t="str">
        <f t="shared" si="483"/>
        <v>MATCHED</v>
      </c>
    </row>
    <row r="7700" spans="1:11">
      <c r="A7700" t="s">
        <v>134</v>
      </c>
      <c r="B7700" t="s">
        <v>1888</v>
      </c>
      <c r="C7700" t="s">
        <v>1078</v>
      </c>
      <c r="D7700" t="s">
        <v>1079</v>
      </c>
      <c r="E7700" s="8">
        <v>470</v>
      </c>
      <c r="F7700" s="8">
        <v>68440</v>
      </c>
      <c r="G7700" s="8">
        <f t="shared" si="480"/>
        <v>32166800</v>
      </c>
      <c r="H7700" s="5">
        <v>0.076</v>
      </c>
      <c r="I7700" s="8">
        <f t="shared" si="481"/>
        <v>32166800</v>
      </c>
      <c r="J7700" s="8">
        <f t="shared" si="482"/>
        <v>2444676.8</v>
      </c>
      <c r="K7700" t="str">
        <f t="shared" si="483"/>
        <v>MATCHED</v>
      </c>
    </row>
    <row r="7701" spans="1:11">
      <c r="A7701" t="s">
        <v>134</v>
      </c>
      <c r="B7701" t="s">
        <v>1888</v>
      </c>
      <c r="C7701" t="s">
        <v>740</v>
      </c>
      <c r="D7701" t="s">
        <v>741</v>
      </c>
      <c r="E7701" s="8">
        <v>1090</v>
      </c>
      <c r="F7701" s="8">
        <v>63340</v>
      </c>
      <c r="G7701" s="8">
        <f t="shared" si="480"/>
        <v>69040600</v>
      </c>
      <c r="H7701" s="5">
        <v>0.0731</v>
      </c>
      <c r="I7701" s="8">
        <f t="shared" si="481"/>
        <v>69040600</v>
      </c>
      <c r="J7701" s="8">
        <f t="shared" si="482"/>
        <v>5046867.86</v>
      </c>
      <c r="K7701" t="str">
        <f t="shared" si="483"/>
        <v>MATCHED</v>
      </c>
    </row>
    <row r="7702" spans="1:11">
      <c r="A7702" t="s">
        <v>134</v>
      </c>
      <c r="B7702" t="s">
        <v>1888</v>
      </c>
      <c r="C7702" t="s">
        <v>443</v>
      </c>
      <c r="D7702" t="s">
        <v>444</v>
      </c>
      <c r="E7702" s="8">
        <v>10200</v>
      </c>
      <c r="F7702" s="8">
        <v>63760</v>
      </c>
      <c r="G7702" s="8">
        <f t="shared" si="480"/>
        <v>650352000</v>
      </c>
      <c r="H7702" s="5">
        <v>0.0867</v>
      </c>
      <c r="I7702" s="8">
        <f t="shared" si="481"/>
        <v>650352000</v>
      </c>
      <c r="J7702" s="8">
        <f t="shared" si="482"/>
        <v>56385518.4</v>
      </c>
      <c r="K7702" t="str">
        <f t="shared" si="483"/>
        <v>MATCHED</v>
      </c>
    </row>
    <row r="7703" spans="1:11">
      <c r="A7703" t="s">
        <v>134</v>
      </c>
      <c r="B7703" t="s">
        <v>1888</v>
      </c>
      <c r="C7703" t="s">
        <v>906</v>
      </c>
      <c r="D7703" t="s">
        <v>907</v>
      </c>
      <c r="E7703" s="8">
        <v>14240</v>
      </c>
      <c r="F7703" s="8">
        <v>57140</v>
      </c>
      <c r="G7703" s="8">
        <f t="shared" si="480"/>
        <v>813673600</v>
      </c>
      <c r="H7703" s="5">
        <v>0.1226</v>
      </c>
      <c r="I7703" s="8">
        <f t="shared" si="481"/>
        <v>813673600</v>
      </c>
      <c r="J7703" s="8">
        <f t="shared" si="482"/>
        <v>99756383.36</v>
      </c>
      <c r="K7703" t="str">
        <f t="shared" si="483"/>
        <v>MATCHED</v>
      </c>
    </row>
    <row r="7704" spans="1:11">
      <c r="A7704" t="s">
        <v>134</v>
      </c>
      <c r="B7704" t="s">
        <v>1888</v>
      </c>
      <c r="C7704" t="s">
        <v>445</v>
      </c>
      <c r="D7704" t="s">
        <v>446</v>
      </c>
      <c r="E7704" s="8">
        <v>57120</v>
      </c>
      <c r="F7704" s="8">
        <v>63190</v>
      </c>
      <c r="G7704" s="8">
        <f t="shared" si="480"/>
        <v>3609412800</v>
      </c>
      <c r="H7704" s="5">
        <v>0.25</v>
      </c>
      <c r="I7704" s="8">
        <f t="shared" si="481"/>
        <v>3609412800</v>
      </c>
      <c r="J7704" s="8">
        <f t="shared" si="482"/>
        <v>902353200</v>
      </c>
      <c r="K7704" t="str">
        <f t="shared" si="483"/>
        <v>MATCHED</v>
      </c>
    </row>
    <row r="7705" spans="1:11">
      <c r="A7705" t="s">
        <v>134</v>
      </c>
      <c r="B7705" t="s">
        <v>1888</v>
      </c>
      <c r="C7705" t="s">
        <v>447</v>
      </c>
      <c r="D7705" t="s">
        <v>448</v>
      </c>
      <c r="E7705" s="8">
        <v>1880</v>
      </c>
      <c r="F7705" s="8">
        <v>56840</v>
      </c>
      <c r="G7705" s="8">
        <f t="shared" si="480"/>
        <v>106859200</v>
      </c>
      <c r="H7705" s="5">
        <v>0.0528</v>
      </c>
      <c r="I7705" s="8">
        <f t="shared" si="481"/>
        <v>106859200</v>
      </c>
      <c r="J7705" s="8">
        <f t="shared" si="482"/>
        <v>5642165.76</v>
      </c>
      <c r="K7705" t="str">
        <f t="shared" si="483"/>
        <v>MATCHED</v>
      </c>
    </row>
    <row r="7706" spans="1:11">
      <c r="A7706" t="s">
        <v>134</v>
      </c>
      <c r="B7706" t="s">
        <v>1888</v>
      </c>
      <c r="C7706" t="s">
        <v>742</v>
      </c>
      <c r="D7706" t="s">
        <v>743</v>
      </c>
      <c r="E7706" s="8">
        <v>3210</v>
      </c>
      <c r="F7706" s="8">
        <v>70920</v>
      </c>
      <c r="G7706" s="8">
        <f t="shared" si="480"/>
        <v>227653200</v>
      </c>
      <c r="H7706" s="5">
        <v>0</v>
      </c>
      <c r="I7706" s="8">
        <f t="shared" si="481"/>
        <v>227653200</v>
      </c>
      <c r="J7706" s="8">
        <f t="shared" si="482"/>
        <v>0</v>
      </c>
      <c r="K7706" t="str">
        <f t="shared" si="483"/>
        <v>MATCHED</v>
      </c>
    </row>
    <row r="7707" spans="1:11">
      <c r="A7707" t="s">
        <v>134</v>
      </c>
      <c r="B7707" t="s">
        <v>1888</v>
      </c>
      <c r="C7707" t="s">
        <v>1080</v>
      </c>
      <c r="D7707" t="s">
        <v>1081</v>
      </c>
      <c r="E7707" s="8">
        <v>200</v>
      </c>
      <c r="F7707" s="8">
        <v>78990</v>
      </c>
      <c r="G7707" s="8">
        <f t="shared" si="480"/>
        <v>15798000</v>
      </c>
      <c r="H7707" s="5">
        <v>0</v>
      </c>
      <c r="I7707" s="8">
        <f t="shared" si="481"/>
        <v>15798000</v>
      </c>
      <c r="J7707" s="8">
        <f t="shared" si="482"/>
        <v>0</v>
      </c>
      <c r="K7707" t="str">
        <f t="shared" si="483"/>
        <v>MATCHED</v>
      </c>
    </row>
    <row r="7708" spans="1:11">
      <c r="A7708" t="s">
        <v>134</v>
      </c>
      <c r="B7708" t="s">
        <v>1888</v>
      </c>
      <c r="C7708" t="s">
        <v>744</v>
      </c>
      <c r="D7708" t="s">
        <v>745</v>
      </c>
      <c r="E7708" s="8">
        <v>150</v>
      </c>
      <c r="F7708" s="8">
        <v>97600</v>
      </c>
      <c r="G7708" s="8">
        <f t="shared" si="480"/>
        <v>14640000</v>
      </c>
      <c r="H7708" s="5">
        <v>0</v>
      </c>
      <c r="I7708" s="8">
        <f t="shared" si="481"/>
        <v>14640000</v>
      </c>
      <c r="J7708" s="8">
        <f t="shared" si="482"/>
        <v>0</v>
      </c>
      <c r="K7708" t="str">
        <f t="shared" si="483"/>
        <v>MATCHED</v>
      </c>
    </row>
    <row r="7709" spans="1:11">
      <c r="A7709" t="s">
        <v>134</v>
      </c>
      <c r="B7709" t="s">
        <v>1888</v>
      </c>
      <c r="C7709" t="s">
        <v>908</v>
      </c>
      <c r="D7709" t="s">
        <v>909</v>
      </c>
      <c r="E7709" s="8"/>
      <c r="F7709" s="8">
        <v>93120</v>
      </c>
      <c r="G7709" s="8" t="str">
        <f t="shared" si="480"/>
        <v/>
      </c>
      <c r="H7709" s="5">
        <v>0.0475</v>
      </c>
      <c r="I7709" s="8" t="str">
        <f t="shared" si="481"/>
        <v/>
      </c>
      <c r="J7709" s="8" t="str">
        <f t="shared" si="482"/>
        <v/>
      </c>
      <c r="K7709" t="str">
        <f t="shared" si="483"/>
        <v>MISSING OEWS</v>
      </c>
    </row>
    <row r="7710" spans="1:11">
      <c r="A7710" t="s">
        <v>134</v>
      </c>
      <c r="B7710" t="s">
        <v>1888</v>
      </c>
      <c r="C7710" t="s">
        <v>1308</v>
      </c>
      <c r="D7710" t="s">
        <v>1309</v>
      </c>
      <c r="E7710" s="8">
        <v>190</v>
      </c>
      <c r="F7710" s="8">
        <v>57240</v>
      </c>
      <c r="G7710" s="8">
        <f t="shared" si="480"/>
        <v>10875600</v>
      </c>
      <c r="H7710" s="5">
        <v>0.1733</v>
      </c>
      <c r="I7710" s="8">
        <f t="shared" si="481"/>
        <v>10875600</v>
      </c>
      <c r="J7710" s="8">
        <f t="shared" si="482"/>
        <v>1884741.48</v>
      </c>
      <c r="K7710" t="str">
        <f t="shared" si="483"/>
        <v>MATCHED</v>
      </c>
    </row>
    <row r="7711" spans="1:11">
      <c r="A7711" t="s">
        <v>134</v>
      </c>
      <c r="B7711" t="s">
        <v>1888</v>
      </c>
      <c r="C7711" t="s">
        <v>1310</v>
      </c>
      <c r="D7711" t="s">
        <v>1311</v>
      </c>
      <c r="E7711" s="8">
        <v>9710</v>
      </c>
      <c r="F7711" s="8">
        <v>68430</v>
      </c>
      <c r="G7711" s="8">
        <f t="shared" si="480"/>
        <v>664455300</v>
      </c>
      <c r="H7711" s="5">
        <v>0.2368</v>
      </c>
      <c r="I7711" s="8">
        <f t="shared" si="481"/>
        <v>664455300</v>
      </c>
      <c r="J7711" s="8">
        <f t="shared" si="482"/>
        <v>157343015.04</v>
      </c>
      <c r="K7711" t="str">
        <f t="shared" si="483"/>
        <v>MATCHED</v>
      </c>
    </row>
    <row r="7712" spans="1:11">
      <c r="A7712" t="s">
        <v>134</v>
      </c>
      <c r="B7712" t="s">
        <v>1888</v>
      </c>
      <c r="C7712" t="s">
        <v>1312</v>
      </c>
      <c r="D7712" t="s">
        <v>1313</v>
      </c>
      <c r="E7712" s="8">
        <v>890</v>
      </c>
      <c r="F7712" s="8">
        <v>48940</v>
      </c>
      <c r="G7712" s="8">
        <f t="shared" si="480"/>
        <v>43556600</v>
      </c>
      <c r="H7712" s="5">
        <v>0</v>
      </c>
      <c r="I7712" s="8">
        <f t="shared" si="481"/>
        <v>43556600</v>
      </c>
      <c r="J7712" s="8">
        <f t="shared" si="482"/>
        <v>0</v>
      </c>
      <c r="K7712" t="str">
        <f t="shared" si="483"/>
        <v>MATCHED</v>
      </c>
    </row>
    <row r="7713" spans="1:11">
      <c r="A7713" t="s">
        <v>134</v>
      </c>
      <c r="B7713" t="s">
        <v>1888</v>
      </c>
      <c r="C7713" t="s">
        <v>1508</v>
      </c>
      <c r="D7713" t="s">
        <v>1509</v>
      </c>
      <c r="E7713" s="8">
        <v>490</v>
      </c>
      <c r="F7713" s="8">
        <v>60650</v>
      </c>
      <c r="G7713" s="8">
        <f t="shared" si="480"/>
        <v>29718500</v>
      </c>
      <c r="H7713" s="5">
        <v>0.1267</v>
      </c>
      <c r="I7713" s="8">
        <f t="shared" si="481"/>
        <v>29718500</v>
      </c>
      <c r="J7713" s="8">
        <f t="shared" si="482"/>
        <v>3765333.95</v>
      </c>
      <c r="K7713" t="str">
        <f t="shared" si="483"/>
        <v>MATCHED</v>
      </c>
    </row>
    <row r="7714" spans="1:11">
      <c r="A7714" t="s">
        <v>134</v>
      </c>
      <c r="B7714" t="s">
        <v>1888</v>
      </c>
      <c r="C7714" t="s">
        <v>746</v>
      </c>
      <c r="D7714" t="s">
        <v>747</v>
      </c>
      <c r="E7714" s="8">
        <v>2550</v>
      </c>
      <c r="F7714" s="8">
        <v>56520</v>
      </c>
      <c r="G7714" s="8">
        <f t="shared" si="480"/>
        <v>144126000</v>
      </c>
      <c r="H7714" s="5"/>
      <c r="I7714" s="8" t="str">
        <f t="shared" si="481"/>
        <v/>
      </c>
      <c r="J7714" s="8" t="str">
        <f t="shared" si="482"/>
        <v/>
      </c>
      <c r="K7714" t="str">
        <f t="shared" si="483"/>
        <v>MISSING WHARTON</v>
      </c>
    </row>
    <row r="7715" spans="1:11">
      <c r="A7715" t="s">
        <v>134</v>
      </c>
      <c r="B7715" t="s">
        <v>1888</v>
      </c>
      <c r="C7715" t="s">
        <v>449</v>
      </c>
      <c r="D7715" t="s">
        <v>450</v>
      </c>
      <c r="E7715" s="8">
        <v>54360</v>
      </c>
      <c r="F7715" s="8">
        <v>48480</v>
      </c>
      <c r="G7715" s="8">
        <f t="shared" si="480"/>
        <v>2635372800</v>
      </c>
      <c r="H7715" s="5">
        <v>0.0867</v>
      </c>
      <c r="I7715" s="8">
        <f t="shared" si="481"/>
        <v>2635372800</v>
      </c>
      <c r="J7715" s="8">
        <f t="shared" si="482"/>
        <v>228486821.76</v>
      </c>
      <c r="K7715" t="str">
        <f t="shared" si="483"/>
        <v>MATCHED</v>
      </c>
    </row>
    <row r="7716" spans="1:11">
      <c r="A7716" t="s">
        <v>134</v>
      </c>
      <c r="B7716" t="s">
        <v>1888</v>
      </c>
      <c r="C7716" t="s">
        <v>910</v>
      </c>
      <c r="D7716" t="s">
        <v>911</v>
      </c>
      <c r="E7716" s="8">
        <v>1440</v>
      </c>
      <c r="F7716" s="8">
        <v>69840</v>
      </c>
      <c r="G7716" s="8">
        <f t="shared" si="480"/>
        <v>100569600</v>
      </c>
      <c r="H7716" s="5">
        <v>0</v>
      </c>
      <c r="I7716" s="8">
        <f t="shared" si="481"/>
        <v>100569600</v>
      </c>
      <c r="J7716" s="8">
        <f t="shared" si="482"/>
        <v>0</v>
      </c>
      <c r="K7716" t="str">
        <f t="shared" si="483"/>
        <v>MATCHED</v>
      </c>
    </row>
    <row r="7717" spans="1:11">
      <c r="A7717" t="s">
        <v>134</v>
      </c>
      <c r="B7717" t="s">
        <v>1888</v>
      </c>
      <c r="C7717" t="s">
        <v>1082</v>
      </c>
      <c r="D7717" t="s">
        <v>1083</v>
      </c>
      <c r="E7717" s="8">
        <v>1190</v>
      </c>
      <c r="F7717" s="8">
        <v>52590</v>
      </c>
      <c r="G7717" s="8">
        <f t="shared" si="480"/>
        <v>62582100</v>
      </c>
      <c r="H7717" s="5">
        <v>0.2868</v>
      </c>
      <c r="I7717" s="8">
        <f t="shared" si="481"/>
        <v>62582100</v>
      </c>
      <c r="J7717" s="8">
        <f t="shared" si="482"/>
        <v>17948546.28</v>
      </c>
      <c r="K7717" t="str">
        <f t="shared" si="483"/>
        <v>MATCHED</v>
      </c>
    </row>
    <row r="7718" spans="1:11">
      <c r="A7718" t="s">
        <v>134</v>
      </c>
      <c r="B7718" t="s">
        <v>1888</v>
      </c>
      <c r="C7718" t="s">
        <v>1086</v>
      </c>
      <c r="D7718" t="s">
        <v>1087</v>
      </c>
      <c r="E7718" s="8">
        <v>300</v>
      </c>
      <c r="F7718" s="8"/>
      <c r="G7718" s="8" t="str">
        <f t="shared" si="480"/>
        <v/>
      </c>
      <c r="H7718" s="5">
        <v>0.0679</v>
      </c>
      <c r="I7718" s="8" t="str">
        <f t="shared" si="481"/>
        <v/>
      </c>
      <c r="J7718" s="8" t="str">
        <f t="shared" si="482"/>
        <v/>
      </c>
      <c r="K7718" t="str">
        <f t="shared" si="483"/>
        <v>MISSING OEWS</v>
      </c>
    </row>
    <row r="7719" spans="1:11">
      <c r="A7719" t="s">
        <v>134</v>
      </c>
      <c r="B7719" t="s">
        <v>1888</v>
      </c>
      <c r="C7719" t="s">
        <v>748</v>
      </c>
      <c r="D7719" t="s">
        <v>749</v>
      </c>
      <c r="E7719" s="8">
        <v>300</v>
      </c>
      <c r="F7719" s="8">
        <v>69650</v>
      </c>
      <c r="G7719" s="8">
        <f t="shared" si="480"/>
        <v>20895000</v>
      </c>
      <c r="H7719" s="5">
        <v>0</v>
      </c>
      <c r="I7719" s="8">
        <f t="shared" si="481"/>
        <v>20895000</v>
      </c>
      <c r="J7719" s="8">
        <f t="shared" si="482"/>
        <v>0</v>
      </c>
      <c r="K7719" t="str">
        <f t="shared" si="483"/>
        <v>MATCHED</v>
      </c>
    </row>
    <row r="7720" spans="1:11">
      <c r="A7720" t="s">
        <v>134</v>
      </c>
      <c r="B7720" t="s">
        <v>1888</v>
      </c>
      <c r="C7720" t="s">
        <v>451</v>
      </c>
      <c r="D7720" t="s">
        <v>452</v>
      </c>
      <c r="E7720" s="8">
        <v>19190</v>
      </c>
      <c r="F7720" s="8">
        <v>38630</v>
      </c>
      <c r="G7720" s="8">
        <f t="shared" si="480"/>
        <v>741309700</v>
      </c>
      <c r="H7720" s="5">
        <v>0.0594</v>
      </c>
      <c r="I7720" s="8">
        <f t="shared" si="481"/>
        <v>741309700</v>
      </c>
      <c r="J7720" s="8">
        <f t="shared" si="482"/>
        <v>44033796.18</v>
      </c>
      <c r="K7720" t="str">
        <f t="shared" si="483"/>
        <v>MATCHED</v>
      </c>
    </row>
    <row r="7721" spans="1:11">
      <c r="A7721" t="s">
        <v>134</v>
      </c>
      <c r="B7721" t="s">
        <v>1888</v>
      </c>
      <c r="C7721" t="s">
        <v>453</v>
      </c>
      <c r="D7721" t="s">
        <v>454</v>
      </c>
      <c r="E7721" s="8">
        <v>8310</v>
      </c>
      <c r="F7721" s="8">
        <v>51130</v>
      </c>
      <c r="G7721" s="8">
        <f t="shared" si="480"/>
        <v>424890300</v>
      </c>
      <c r="H7721" s="5">
        <v>0.1667</v>
      </c>
      <c r="I7721" s="8">
        <f t="shared" si="481"/>
        <v>424890300</v>
      </c>
      <c r="J7721" s="8">
        <f t="shared" si="482"/>
        <v>70829213.01</v>
      </c>
      <c r="K7721" t="str">
        <f t="shared" si="483"/>
        <v>MATCHED</v>
      </c>
    </row>
    <row r="7722" spans="1:11">
      <c r="A7722" t="s">
        <v>134</v>
      </c>
      <c r="B7722" t="s">
        <v>1888</v>
      </c>
      <c r="C7722" t="s">
        <v>455</v>
      </c>
      <c r="D7722" t="s">
        <v>456</v>
      </c>
      <c r="E7722" s="8">
        <v>15130</v>
      </c>
      <c r="F7722" s="8">
        <v>63870</v>
      </c>
      <c r="G7722" s="8">
        <f t="shared" si="480"/>
        <v>966353100</v>
      </c>
      <c r="H7722" s="5">
        <v>0.3775</v>
      </c>
      <c r="I7722" s="8">
        <f t="shared" si="481"/>
        <v>966353100</v>
      </c>
      <c r="J7722" s="8">
        <f t="shared" si="482"/>
        <v>364798295.25</v>
      </c>
      <c r="K7722" t="str">
        <f t="shared" si="483"/>
        <v>MATCHED</v>
      </c>
    </row>
    <row r="7723" spans="1:11">
      <c r="A7723" t="s">
        <v>134</v>
      </c>
      <c r="B7723" t="s">
        <v>1888</v>
      </c>
      <c r="C7723" t="s">
        <v>1316</v>
      </c>
      <c r="D7723" t="s">
        <v>1317</v>
      </c>
      <c r="E7723" s="8">
        <v>680</v>
      </c>
      <c r="F7723" s="8">
        <v>57650</v>
      </c>
      <c r="G7723" s="8">
        <f t="shared" si="480"/>
        <v>39202000</v>
      </c>
      <c r="H7723" s="5">
        <v>0.0864</v>
      </c>
      <c r="I7723" s="8">
        <f t="shared" si="481"/>
        <v>39202000</v>
      </c>
      <c r="J7723" s="8">
        <f t="shared" si="482"/>
        <v>3387052.8</v>
      </c>
      <c r="K7723" t="str">
        <f t="shared" si="483"/>
        <v>MATCHED</v>
      </c>
    </row>
    <row r="7724" spans="1:11">
      <c r="A7724" t="s">
        <v>134</v>
      </c>
      <c r="B7724" t="s">
        <v>1888</v>
      </c>
      <c r="C7724" t="s">
        <v>912</v>
      </c>
      <c r="D7724" t="s">
        <v>913</v>
      </c>
      <c r="E7724" s="8">
        <v>1120</v>
      </c>
      <c r="F7724" s="8">
        <v>48320</v>
      </c>
      <c r="G7724" s="8">
        <f t="shared" si="480"/>
        <v>54118400</v>
      </c>
      <c r="H7724" s="5">
        <v>0.0559</v>
      </c>
      <c r="I7724" s="8">
        <f t="shared" si="481"/>
        <v>54118400</v>
      </c>
      <c r="J7724" s="8">
        <f t="shared" si="482"/>
        <v>3025218.56</v>
      </c>
      <c r="K7724" t="str">
        <f t="shared" si="483"/>
        <v>MATCHED</v>
      </c>
    </row>
    <row r="7725" spans="1:11">
      <c r="A7725" t="s">
        <v>134</v>
      </c>
      <c r="B7725" t="s">
        <v>1888</v>
      </c>
      <c r="C7725" t="s">
        <v>1318</v>
      </c>
      <c r="D7725" t="s">
        <v>1319</v>
      </c>
      <c r="E7725" s="8">
        <v>360</v>
      </c>
      <c r="F7725" s="8">
        <v>49080</v>
      </c>
      <c r="G7725" s="8">
        <f t="shared" si="480"/>
        <v>17668800</v>
      </c>
      <c r="H7725" s="5">
        <v>0.0583</v>
      </c>
      <c r="I7725" s="8">
        <f t="shared" si="481"/>
        <v>17668800</v>
      </c>
      <c r="J7725" s="8">
        <f t="shared" si="482"/>
        <v>1030091.04</v>
      </c>
      <c r="K7725" t="str">
        <f t="shared" si="483"/>
        <v>MATCHED</v>
      </c>
    </row>
    <row r="7726" spans="1:11">
      <c r="A7726" t="s">
        <v>134</v>
      </c>
      <c r="B7726" t="s">
        <v>1888</v>
      </c>
      <c r="C7726" t="s">
        <v>1092</v>
      </c>
      <c r="D7726" t="s">
        <v>1093</v>
      </c>
      <c r="E7726" s="8">
        <v>490</v>
      </c>
      <c r="F7726" s="8">
        <v>54770</v>
      </c>
      <c r="G7726" s="8">
        <f t="shared" si="480"/>
        <v>26837300</v>
      </c>
      <c r="H7726" s="5">
        <v>0</v>
      </c>
      <c r="I7726" s="8">
        <f t="shared" si="481"/>
        <v>26837300</v>
      </c>
      <c r="J7726" s="8">
        <f t="shared" si="482"/>
        <v>0</v>
      </c>
      <c r="K7726" t="str">
        <f t="shared" si="483"/>
        <v>MATCHED</v>
      </c>
    </row>
    <row r="7727" spans="1:11">
      <c r="A7727" t="s">
        <v>134</v>
      </c>
      <c r="B7727" t="s">
        <v>1888</v>
      </c>
      <c r="C7727" t="s">
        <v>1094</v>
      </c>
      <c r="D7727" t="s">
        <v>1095</v>
      </c>
      <c r="E7727" s="8">
        <v>400</v>
      </c>
      <c r="F7727" s="8">
        <v>59580</v>
      </c>
      <c r="G7727" s="8">
        <f t="shared" si="480"/>
        <v>23832000</v>
      </c>
      <c r="H7727" s="5">
        <v>0</v>
      </c>
      <c r="I7727" s="8">
        <f t="shared" si="481"/>
        <v>23832000</v>
      </c>
      <c r="J7727" s="8">
        <f t="shared" si="482"/>
        <v>0</v>
      </c>
      <c r="K7727" t="str">
        <f t="shared" si="483"/>
        <v>MATCHED</v>
      </c>
    </row>
    <row r="7728" spans="1:11">
      <c r="A7728" t="s">
        <v>134</v>
      </c>
      <c r="B7728" t="s">
        <v>1888</v>
      </c>
      <c r="C7728" t="s">
        <v>457</v>
      </c>
      <c r="D7728" t="s">
        <v>458</v>
      </c>
      <c r="E7728" s="8">
        <v>5530</v>
      </c>
      <c r="F7728" s="8">
        <v>48830</v>
      </c>
      <c r="G7728" s="8">
        <f t="shared" si="480"/>
        <v>270029900</v>
      </c>
      <c r="H7728" s="5">
        <v>0.15</v>
      </c>
      <c r="I7728" s="8">
        <f t="shared" si="481"/>
        <v>270029900</v>
      </c>
      <c r="J7728" s="8">
        <f t="shared" si="482"/>
        <v>40504485</v>
      </c>
      <c r="K7728" t="str">
        <f t="shared" si="483"/>
        <v>MATCHED</v>
      </c>
    </row>
    <row r="7729" spans="1:11">
      <c r="A7729" t="s">
        <v>134</v>
      </c>
      <c r="B7729" t="s">
        <v>1888</v>
      </c>
      <c r="C7729" t="s">
        <v>1322</v>
      </c>
      <c r="D7729" t="s">
        <v>1323</v>
      </c>
      <c r="E7729" s="8">
        <v>210</v>
      </c>
      <c r="F7729" s="8">
        <v>39420</v>
      </c>
      <c r="G7729" s="8">
        <f t="shared" si="480"/>
        <v>8278200</v>
      </c>
      <c r="H7729" s="5">
        <v>0.1444</v>
      </c>
      <c r="I7729" s="8">
        <f t="shared" si="481"/>
        <v>8278200</v>
      </c>
      <c r="J7729" s="8">
        <f t="shared" si="482"/>
        <v>1195372.08</v>
      </c>
      <c r="K7729" t="str">
        <f t="shared" si="483"/>
        <v>MATCHED</v>
      </c>
    </row>
    <row r="7730" spans="1:11">
      <c r="A7730" t="s">
        <v>134</v>
      </c>
      <c r="B7730" t="s">
        <v>1888</v>
      </c>
      <c r="C7730" t="s">
        <v>1100</v>
      </c>
      <c r="D7730" t="s">
        <v>1101</v>
      </c>
      <c r="E7730" s="8">
        <v>150</v>
      </c>
      <c r="F7730" s="8">
        <v>47490</v>
      </c>
      <c r="G7730" s="8">
        <f t="shared" si="480"/>
        <v>7123500</v>
      </c>
      <c r="H7730" s="5">
        <v>0.0297</v>
      </c>
      <c r="I7730" s="8">
        <f t="shared" si="481"/>
        <v>7123500</v>
      </c>
      <c r="J7730" s="8">
        <f t="shared" si="482"/>
        <v>211567.95</v>
      </c>
      <c r="K7730" t="str">
        <f t="shared" si="483"/>
        <v>MATCHED</v>
      </c>
    </row>
    <row r="7731" spans="1:11">
      <c r="A7731" t="s">
        <v>134</v>
      </c>
      <c r="B7731" t="s">
        <v>1888</v>
      </c>
      <c r="C7731" t="s">
        <v>1102</v>
      </c>
      <c r="D7731" t="s">
        <v>1103</v>
      </c>
      <c r="E7731" s="8"/>
      <c r="F7731" s="8">
        <v>36200</v>
      </c>
      <c r="G7731" s="8" t="str">
        <f t="shared" si="480"/>
        <v/>
      </c>
      <c r="H7731" s="5">
        <v>0.0917</v>
      </c>
      <c r="I7731" s="8" t="str">
        <f t="shared" si="481"/>
        <v/>
      </c>
      <c r="J7731" s="8" t="str">
        <f t="shared" si="482"/>
        <v/>
      </c>
      <c r="K7731" t="str">
        <f t="shared" si="483"/>
        <v>MISSING OEWS</v>
      </c>
    </row>
    <row r="7732" spans="1:11">
      <c r="A7732" t="s">
        <v>134</v>
      </c>
      <c r="B7732" t="s">
        <v>1888</v>
      </c>
      <c r="C7732" t="s">
        <v>754</v>
      </c>
      <c r="D7732" t="s">
        <v>755</v>
      </c>
      <c r="E7732" s="8">
        <v>70</v>
      </c>
      <c r="F7732" s="8">
        <v>50500</v>
      </c>
      <c r="G7732" s="8">
        <f t="shared" si="480"/>
        <v>3535000</v>
      </c>
      <c r="H7732" s="5">
        <v>0.0633</v>
      </c>
      <c r="I7732" s="8">
        <f t="shared" si="481"/>
        <v>3535000</v>
      </c>
      <c r="J7732" s="8">
        <f t="shared" si="482"/>
        <v>223765.5</v>
      </c>
      <c r="K7732" t="str">
        <f t="shared" si="483"/>
        <v>MATCHED</v>
      </c>
    </row>
    <row r="7733" spans="1:11">
      <c r="A7733" t="s">
        <v>134</v>
      </c>
      <c r="B7733" t="s">
        <v>1888</v>
      </c>
      <c r="C7733" t="s">
        <v>756</v>
      </c>
      <c r="D7733" t="s">
        <v>757</v>
      </c>
      <c r="E7733" s="8">
        <v>7470</v>
      </c>
      <c r="F7733" s="8">
        <v>60240</v>
      </c>
      <c r="G7733" s="8">
        <f t="shared" si="480"/>
        <v>449992800</v>
      </c>
      <c r="H7733" s="5">
        <v>0.0897</v>
      </c>
      <c r="I7733" s="8">
        <f t="shared" si="481"/>
        <v>449992800</v>
      </c>
      <c r="J7733" s="8">
        <f t="shared" si="482"/>
        <v>40364354.16</v>
      </c>
      <c r="K7733" t="str">
        <f t="shared" si="483"/>
        <v>MATCHED</v>
      </c>
    </row>
    <row r="7734" spans="1:11">
      <c r="A7734" t="s">
        <v>134</v>
      </c>
      <c r="B7734" t="s">
        <v>1888</v>
      </c>
      <c r="C7734" t="s">
        <v>1108</v>
      </c>
      <c r="D7734" t="s">
        <v>1109</v>
      </c>
      <c r="E7734" s="8">
        <v>30</v>
      </c>
      <c r="F7734" s="8">
        <v>48930</v>
      </c>
      <c r="G7734" s="8">
        <f t="shared" si="480"/>
        <v>1467900</v>
      </c>
      <c r="H7734" s="5">
        <v>0.169</v>
      </c>
      <c r="I7734" s="8">
        <f t="shared" si="481"/>
        <v>1467900</v>
      </c>
      <c r="J7734" s="8">
        <f t="shared" si="482"/>
        <v>248075.1</v>
      </c>
      <c r="K7734" t="str">
        <f t="shared" si="483"/>
        <v>MATCHED</v>
      </c>
    </row>
    <row r="7735" spans="1:11">
      <c r="A7735" t="s">
        <v>134</v>
      </c>
      <c r="B7735" t="s">
        <v>1888</v>
      </c>
      <c r="C7735" t="s">
        <v>760</v>
      </c>
      <c r="D7735" t="s">
        <v>761</v>
      </c>
      <c r="E7735" s="8">
        <v>130</v>
      </c>
      <c r="F7735" s="8">
        <v>69900</v>
      </c>
      <c r="G7735" s="8">
        <f t="shared" si="480"/>
        <v>9087000</v>
      </c>
      <c r="H7735" s="5">
        <v>0.0559</v>
      </c>
      <c r="I7735" s="8">
        <f t="shared" si="481"/>
        <v>9087000</v>
      </c>
      <c r="J7735" s="8">
        <f t="shared" si="482"/>
        <v>507963.3</v>
      </c>
      <c r="K7735" t="str">
        <f t="shared" si="483"/>
        <v>MATCHED</v>
      </c>
    </row>
    <row r="7736" spans="1:11">
      <c r="A7736" t="s">
        <v>134</v>
      </c>
      <c r="B7736" t="s">
        <v>1888</v>
      </c>
      <c r="C7736" t="s">
        <v>465</v>
      </c>
      <c r="D7736" t="s">
        <v>466</v>
      </c>
      <c r="E7736" s="8">
        <v>17550</v>
      </c>
      <c r="F7736" s="8">
        <v>57180</v>
      </c>
      <c r="G7736" s="8">
        <f t="shared" si="480"/>
        <v>1003509000</v>
      </c>
      <c r="H7736" s="5">
        <v>0.0233</v>
      </c>
      <c r="I7736" s="8">
        <f t="shared" si="481"/>
        <v>1003509000</v>
      </c>
      <c r="J7736" s="8">
        <f t="shared" si="482"/>
        <v>23381759.7</v>
      </c>
      <c r="K7736" t="str">
        <f t="shared" si="483"/>
        <v>MATCHED</v>
      </c>
    </row>
    <row r="7737" spans="1:11">
      <c r="A7737" t="s">
        <v>134</v>
      </c>
      <c r="B7737" t="s">
        <v>1888</v>
      </c>
      <c r="C7737" t="s">
        <v>762</v>
      </c>
      <c r="D7737" t="s">
        <v>763</v>
      </c>
      <c r="E7737" s="8">
        <v>210</v>
      </c>
      <c r="F7737" s="8">
        <v>53860</v>
      </c>
      <c r="G7737" s="8">
        <f t="shared" si="480"/>
        <v>11310600</v>
      </c>
      <c r="H7737" s="5">
        <v>0.0983</v>
      </c>
      <c r="I7737" s="8">
        <f t="shared" si="481"/>
        <v>11310600</v>
      </c>
      <c r="J7737" s="8">
        <f t="shared" si="482"/>
        <v>1111831.98</v>
      </c>
      <c r="K7737" t="str">
        <f t="shared" si="483"/>
        <v>MATCHED</v>
      </c>
    </row>
    <row r="7738" spans="1:11">
      <c r="A7738" t="s">
        <v>134</v>
      </c>
      <c r="B7738" t="s">
        <v>1888</v>
      </c>
      <c r="C7738" t="s">
        <v>1110</v>
      </c>
      <c r="D7738" t="s">
        <v>1111</v>
      </c>
      <c r="E7738" s="8">
        <v>50</v>
      </c>
      <c r="F7738" s="8">
        <v>50540</v>
      </c>
      <c r="G7738" s="8">
        <f t="shared" si="480"/>
        <v>2527000</v>
      </c>
      <c r="H7738" s="5">
        <v>0.0365</v>
      </c>
      <c r="I7738" s="8">
        <f t="shared" si="481"/>
        <v>2527000</v>
      </c>
      <c r="J7738" s="8">
        <f t="shared" si="482"/>
        <v>92235.5</v>
      </c>
      <c r="K7738" t="str">
        <f t="shared" si="483"/>
        <v>MATCHED</v>
      </c>
    </row>
    <row r="7739" spans="1:11">
      <c r="A7739" t="s">
        <v>134</v>
      </c>
      <c r="B7739" t="s">
        <v>1888</v>
      </c>
      <c r="C7739" t="s">
        <v>1340</v>
      </c>
      <c r="D7739" t="s">
        <v>1341</v>
      </c>
      <c r="E7739" s="8"/>
      <c r="F7739" s="8">
        <v>47850</v>
      </c>
      <c r="G7739" s="8" t="str">
        <f t="shared" si="480"/>
        <v/>
      </c>
      <c r="H7739" s="5">
        <v>0.025</v>
      </c>
      <c r="I7739" s="8" t="str">
        <f t="shared" si="481"/>
        <v/>
      </c>
      <c r="J7739" s="8" t="str">
        <f t="shared" si="482"/>
        <v/>
      </c>
      <c r="K7739" t="str">
        <f t="shared" si="483"/>
        <v>MISSING OEWS</v>
      </c>
    </row>
    <row r="7740" spans="1:11">
      <c r="A7740" t="s">
        <v>134</v>
      </c>
      <c r="B7740" t="s">
        <v>1888</v>
      </c>
      <c r="C7740" t="s">
        <v>1114</v>
      </c>
      <c r="D7740" t="s">
        <v>1115</v>
      </c>
      <c r="E7740" s="8">
        <v>810</v>
      </c>
      <c r="F7740" s="8">
        <v>50520</v>
      </c>
      <c r="G7740" s="8">
        <f t="shared" si="480"/>
        <v>40921200</v>
      </c>
      <c r="H7740" s="5">
        <v>0</v>
      </c>
      <c r="I7740" s="8">
        <f t="shared" si="481"/>
        <v>40921200</v>
      </c>
      <c r="J7740" s="8">
        <f t="shared" si="482"/>
        <v>0</v>
      </c>
      <c r="K7740" t="str">
        <f t="shared" si="483"/>
        <v>MATCHED</v>
      </c>
    </row>
    <row r="7741" spans="1:11">
      <c r="A7741" t="s">
        <v>134</v>
      </c>
      <c r="B7741" t="s">
        <v>1888</v>
      </c>
      <c r="C7741" t="s">
        <v>1344</v>
      </c>
      <c r="D7741" t="s">
        <v>1345</v>
      </c>
      <c r="E7741" s="8">
        <v>220</v>
      </c>
      <c r="F7741" s="8">
        <v>50440</v>
      </c>
      <c r="G7741" s="8">
        <f t="shared" si="480"/>
        <v>11096800</v>
      </c>
      <c r="H7741" s="5">
        <v>0.3348</v>
      </c>
      <c r="I7741" s="8">
        <f t="shared" si="481"/>
        <v>11096800</v>
      </c>
      <c r="J7741" s="8">
        <f t="shared" si="482"/>
        <v>3715208.64</v>
      </c>
      <c r="K7741" t="str">
        <f t="shared" si="483"/>
        <v>MATCHED</v>
      </c>
    </row>
    <row r="7742" spans="1:11">
      <c r="A7742" t="s">
        <v>134</v>
      </c>
      <c r="B7742" t="s">
        <v>1888</v>
      </c>
      <c r="C7742" t="s">
        <v>1346</v>
      </c>
      <c r="D7742" t="s">
        <v>1347</v>
      </c>
      <c r="E7742" s="8"/>
      <c r="F7742" s="8">
        <v>34080</v>
      </c>
      <c r="G7742" s="8" t="str">
        <f t="shared" si="480"/>
        <v/>
      </c>
      <c r="H7742" s="5">
        <v>0.0385</v>
      </c>
      <c r="I7742" s="8" t="str">
        <f t="shared" si="481"/>
        <v/>
      </c>
      <c r="J7742" s="8" t="str">
        <f t="shared" si="482"/>
        <v/>
      </c>
      <c r="K7742" t="str">
        <f t="shared" si="483"/>
        <v>MISSING OEWS</v>
      </c>
    </row>
    <row r="7743" spans="1:11">
      <c r="A7743" t="s">
        <v>134</v>
      </c>
      <c r="B7743" t="s">
        <v>1888</v>
      </c>
      <c r="C7743" t="s">
        <v>1116</v>
      </c>
      <c r="D7743" t="s">
        <v>1117</v>
      </c>
      <c r="E7743" s="8">
        <v>97660</v>
      </c>
      <c r="F7743" s="8">
        <v>34740</v>
      </c>
      <c r="G7743" s="8">
        <f t="shared" si="480"/>
        <v>3392708400</v>
      </c>
      <c r="H7743" s="5">
        <v>0</v>
      </c>
      <c r="I7743" s="8">
        <f t="shared" si="481"/>
        <v>3392708400</v>
      </c>
      <c r="J7743" s="8">
        <f t="shared" si="482"/>
        <v>0</v>
      </c>
      <c r="K7743" t="str">
        <f t="shared" si="483"/>
        <v>MATCHED</v>
      </c>
    </row>
    <row r="7744" spans="1:11">
      <c r="A7744" t="s">
        <v>134</v>
      </c>
      <c r="B7744" t="s">
        <v>1888</v>
      </c>
      <c r="C7744" t="s">
        <v>1348</v>
      </c>
      <c r="D7744" t="s">
        <v>1349</v>
      </c>
      <c r="E7744" s="8">
        <v>23430</v>
      </c>
      <c r="F7744" s="8">
        <v>34400</v>
      </c>
      <c r="G7744" s="8">
        <f t="shared" si="480"/>
        <v>805992000</v>
      </c>
      <c r="H7744" s="5">
        <v>0</v>
      </c>
      <c r="I7744" s="8">
        <f t="shared" si="481"/>
        <v>805992000</v>
      </c>
      <c r="J7744" s="8">
        <f t="shared" si="482"/>
        <v>0</v>
      </c>
      <c r="K7744" t="str">
        <f t="shared" si="483"/>
        <v>MATCHED</v>
      </c>
    </row>
    <row r="7745" spans="1:11">
      <c r="A7745" t="s">
        <v>134</v>
      </c>
      <c r="B7745" t="s">
        <v>1888</v>
      </c>
      <c r="C7745" t="s">
        <v>1118</v>
      </c>
      <c r="D7745" t="s">
        <v>1119</v>
      </c>
      <c r="E7745" s="8">
        <v>3220</v>
      </c>
      <c r="F7745" s="8">
        <v>40330</v>
      </c>
      <c r="G7745" s="8">
        <f t="shared" si="480"/>
        <v>129862600</v>
      </c>
      <c r="H7745" s="5">
        <v>0.0365</v>
      </c>
      <c r="I7745" s="8">
        <f t="shared" si="481"/>
        <v>129862600</v>
      </c>
      <c r="J7745" s="8">
        <f t="shared" si="482"/>
        <v>4739984.9</v>
      </c>
      <c r="K7745" t="str">
        <f t="shared" si="483"/>
        <v>MATCHED</v>
      </c>
    </row>
    <row r="7746" spans="1:11">
      <c r="A7746" t="s">
        <v>134</v>
      </c>
      <c r="B7746" t="s">
        <v>1888</v>
      </c>
      <c r="C7746" t="s">
        <v>1350</v>
      </c>
      <c r="D7746" t="s">
        <v>1351</v>
      </c>
      <c r="E7746" s="8">
        <v>660</v>
      </c>
      <c r="F7746" s="8">
        <v>41410</v>
      </c>
      <c r="G7746" s="8">
        <f t="shared" ref="G7746:G7806" si="484">IF(OR(E7746="",F7746=""),"",E7746*F7746)</f>
        <v>27330600</v>
      </c>
      <c r="H7746" s="5">
        <v>0</v>
      </c>
      <c r="I7746" s="8">
        <f t="shared" ref="I7746:I7806" si="485">IF(G7746="","",IF(ISNUMBER(H7746),G7746,""))</f>
        <v>27330600</v>
      </c>
      <c r="J7746" s="8">
        <f t="shared" ref="J7746:J7806" si="486">IF(I7746="","",I7746*H7746)</f>
        <v>0</v>
      </c>
      <c r="K7746" t="str">
        <f t="shared" ref="K7746:K7806" si="487">IF(G7746="","MISSING OEWS",IF(ISNUMBER(H7746),"MATCHED","MISSING WHARTON"))</f>
        <v>MATCHED</v>
      </c>
    </row>
    <row r="7747" spans="1:11">
      <c r="A7747" t="s">
        <v>134</v>
      </c>
      <c r="B7747" t="s">
        <v>1888</v>
      </c>
      <c r="C7747" t="s">
        <v>1354</v>
      </c>
      <c r="D7747" t="s">
        <v>1355</v>
      </c>
      <c r="E7747" s="8">
        <v>100</v>
      </c>
      <c r="F7747" s="8">
        <v>40630</v>
      </c>
      <c r="G7747" s="8">
        <f t="shared" si="484"/>
        <v>4063000</v>
      </c>
      <c r="H7747" s="5">
        <v>0</v>
      </c>
      <c r="I7747" s="8">
        <f t="shared" si="485"/>
        <v>4063000</v>
      </c>
      <c r="J7747" s="8">
        <f t="shared" si="486"/>
        <v>0</v>
      </c>
      <c r="K7747" t="str">
        <f t="shared" si="487"/>
        <v>MATCHED</v>
      </c>
    </row>
    <row r="7748" spans="1:11">
      <c r="A7748" t="s">
        <v>134</v>
      </c>
      <c r="B7748" t="s">
        <v>1888</v>
      </c>
      <c r="C7748" t="s">
        <v>1356</v>
      </c>
      <c r="D7748" t="s">
        <v>1357</v>
      </c>
      <c r="E7748" s="8">
        <v>3820</v>
      </c>
      <c r="F7748" s="8">
        <v>41130</v>
      </c>
      <c r="G7748" s="8">
        <f t="shared" si="484"/>
        <v>157116600</v>
      </c>
      <c r="H7748" s="5">
        <v>0.0432</v>
      </c>
      <c r="I7748" s="8">
        <f t="shared" si="485"/>
        <v>157116600</v>
      </c>
      <c r="J7748" s="8">
        <f t="shared" si="486"/>
        <v>6787437.12</v>
      </c>
      <c r="K7748" t="str">
        <f t="shared" si="487"/>
        <v>MATCHED</v>
      </c>
    </row>
    <row r="7749" spans="1:11">
      <c r="A7749" t="s">
        <v>134</v>
      </c>
      <c r="B7749" t="s">
        <v>1888</v>
      </c>
      <c r="C7749" t="s">
        <v>1360</v>
      </c>
      <c r="D7749" t="s">
        <v>1361</v>
      </c>
      <c r="E7749" s="8">
        <v>140</v>
      </c>
      <c r="F7749" s="8">
        <v>35310</v>
      </c>
      <c r="G7749" s="8">
        <f t="shared" si="484"/>
        <v>4943400</v>
      </c>
      <c r="H7749" s="5">
        <v>0.1056</v>
      </c>
      <c r="I7749" s="8">
        <f t="shared" si="485"/>
        <v>4943400</v>
      </c>
      <c r="J7749" s="8">
        <f t="shared" si="486"/>
        <v>522023.04</v>
      </c>
      <c r="K7749" t="str">
        <f t="shared" si="487"/>
        <v>MATCHED</v>
      </c>
    </row>
    <row r="7750" spans="1:11">
      <c r="A7750" t="s">
        <v>134</v>
      </c>
      <c r="B7750" t="s">
        <v>1888</v>
      </c>
      <c r="C7750" t="s">
        <v>1120</v>
      </c>
      <c r="D7750" t="s">
        <v>1121</v>
      </c>
      <c r="E7750" s="8">
        <v>4950</v>
      </c>
      <c r="F7750" s="8">
        <v>46070</v>
      </c>
      <c r="G7750" s="8">
        <f t="shared" si="484"/>
        <v>228046500</v>
      </c>
      <c r="H7750" s="5">
        <v>0.0432</v>
      </c>
      <c r="I7750" s="8">
        <f t="shared" si="485"/>
        <v>228046500</v>
      </c>
      <c r="J7750" s="8">
        <f t="shared" si="486"/>
        <v>9851608.8</v>
      </c>
      <c r="K7750" t="str">
        <f t="shared" si="487"/>
        <v>MATCHED</v>
      </c>
    </row>
    <row r="7751" spans="1:11">
      <c r="A7751" t="s">
        <v>134</v>
      </c>
      <c r="B7751" t="s">
        <v>1888</v>
      </c>
      <c r="C7751" t="s">
        <v>1370</v>
      </c>
      <c r="D7751" t="s">
        <v>1371</v>
      </c>
      <c r="E7751" s="8">
        <v>210</v>
      </c>
      <c r="F7751" s="8">
        <v>42110</v>
      </c>
      <c r="G7751" s="8">
        <f t="shared" si="484"/>
        <v>8843100</v>
      </c>
      <c r="H7751" s="5"/>
      <c r="I7751" s="8" t="str">
        <f t="shared" si="485"/>
        <v/>
      </c>
      <c r="J7751" s="8" t="str">
        <f t="shared" si="486"/>
        <v/>
      </c>
      <c r="K7751" t="str">
        <f t="shared" si="487"/>
        <v>MISSING WHARTON</v>
      </c>
    </row>
    <row r="7752" spans="1:11">
      <c r="A7752" t="s">
        <v>134</v>
      </c>
      <c r="B7752" t="s">
        <v>1888</v>
      </c>
      <c r="C7752" t="s">
        <v>1122</v>
      </c>
      <c r="D7752" t="s">
        <v>1123</v>
      </c>
      <c r="E7752" s="8">
        <v>380</v>
      </c>
      <c r="F7752" s="8">
        <v>54920</v>
      </c>
      <c r="G7752" s="8">
        <f t="shared" si="484"/>
        <v>20869600</v>
      </c>
      <c r="H7752" s="5">
        <v>0.13</v>
      </c>
      <c r="I7752" s="8">
        <f t="shared" si="485"/>
        <v>20869600</v>
      </c>
      <c r="J7752" s="8">
        <f t="shared" si="486"/>
        <v>2713048</v>
      </c>
      <c r="K7752" t="str">
        <f t="shared" si="487"/>
        <v>MATCHED</v>
      </c>
    </row>
    <row r="7753" spans="1:11">
      <c r="A7753" t="s">
        <v>134</v>
      </c>
      <c r="B7753" t="s">
        <v>1888</v>
      </c>
      <c r="C7753" t="s">
        <v>1124</v>
      </c>
      <c r="D7753" t="s">
        <v>1125</v>
      </c>
      <c r="E7753" s="8">
        <v>1570</v>
      </c>
      <c r="F7753" s="8">
        <v>48460</v>
      </c>
      <c r="G7753" s="8">
        <f t="shared" si="484"/>
        <v>76082200</v>
      </c>
      <c r="H7753" s="5">
        <v>0</v>
      </c>
      <c r="I7753" s="8">
        <f t="shared" si="485"/>
        <v>76082200</v>
      </c>
      <c r="J7753" s="8">
        <f t="shared" si="486"/>
        <v>0</v>
      </c>
      <c r="K7753" t="str">
        <f t="shared" si="487"/>
        <v>MATCHED</v>
      </c>
    </row>
    <row r="7754" spans="1:11">
      <c r="A7754" t="s">
        <v>134</v>
      </c>
      <c r="B7754" t="s">
        <v>1888</v>
      </c>
      <c r="C7754" t="s">
        <v>467</v>
      </c>
      <c r="D7754" t="s">
        <v>468</v>
      </c>
      <c r="E7754" s="8">
        <v>50</v>
      </c>
      <c r="F7754" s="8">
        <v>45340</v>
      </c>
      <c r="G7754" s="8">
        <f t="shared" si="484"/>
        <v>2267000</v>
      </c>
      <c r="H7754" s="5">
        <v>0</v>
      </c>
      <c r="I7754" s="8">
        <f t="shared" si="485"/>
        <v>2267000</v>
      </c>
      <c r="J7754" s="8">
        <f t="shared" si="486"/>
        <v>0</v>
      </c>
      <c r="K7754" t="str">
        <f t="shared" si="487"/>
        <v>MATCHED</v>
      </c>
    </row>
    <row r="7755" spans="1:11">
      <c r="A7755" t="s">
        <v>134</v>
      </c>
      <c r="B7755" t="s">
        <v>1888</v>
      </c>
      <c r="C7755" t="s">
        <v>1126</v>
      </c>
      <c r="D7755" t="s">
        <v>1127</v>
      </c>
      <c r="E7755" s="8"/>
      <c r="F7755" s="8">
        <v>39570</v>
      </c>
      <c r="G7755" s="8" t="str">
        <f t="shared" si="484"/>
        <v/>
      </c>
      <c r="H7755" s="5">
        <v>0.0365</v>
      </c>
      <c r="I7755" s="8" t="str">
        <f t="shared" si="485"/>
        <v/>
      </c>
      <c r="J7755" s="8" t="str">
        <f t="shared" si="486"/>
        <v/>
      </c>
      <c r="K7755" t="str">
        <f t="shared" si="487"/>
        <v>MISSING OEWS</v>
      </c>
    </row>
    <row r="7756" spans="1:11">
      <c r="A7756" t="s">
        <v>134</v>
      </c>
      <c r="B7756" t="s">
        <v>1888</v>
      </c>
      <c r="C7756" t="s">
        <v>916</v>
      </c>
      <c r="D7756" t="s">
        <v>917</v>
      </c>
      <c r="E7756" s="8">
        <v>50</v>
      </c>
      <c r="F7756" s="8">
        <v>106050</v>
      </c>
      <c r="G7756" s="8">
        <f t="shared" si="484"/>
        <v>5302500</v>
      </c>
      <c r="H7756" s="5">
        <v>0.4267</v>
      </c>
      <c r="I7756" s="8">
        <f t="shared" si="485"/>
        <v>5302500</v>
      </c>
      <c r="J7756" s="8">
        <f t="shared" si="486"/>
        <v>2262576.75</v>
      </c>
      <c r="K7756" t="str">
        <f t="shared" si="487"/>
        <v>MATCHED</v>
      </c>
    </row>
    <row r="7757" spans="1:11">
      <c r="A7757" t="s">
        <v>134</v>
      </c>
      <c r="B7757" t="s">
        <v>1888</v>
      </c>
      <c r="C7757" t="s">
        <v>766</v>
      </c>
      <c r="D7757" t="s">
        <v>767</v>
      </c>
      <c r="E7757" s="8"/>
      <c r="F7757" s="8">
        <v>109560</v>
      </c>
      <c r="G7757" s="8" t="str">
        <f t="shared" si="484"/>
        <v/>
      </c>
      <c r="H7757" s="5">
        <v>0.1618</v>
      </c>
      <c r="I7757" s="8" t="str">
        <f t="shared" si="485"/>
        <v/>
      </c>
      <c r="J7757" s="8" t="str">
        <f t="shared" si="486"/>
        <v/>
      </c>
      <c r="K7757" t="str">
        <f t="shared" si="487"/>
        <v>MISSING OEWS</v>
      </c>
    </row>
    <row r="7758" spans="1:11">
      <c r="A7758" t="s">
        <v>134</v>
      </c>
      <c r="B7758" t="s">
        <v>1888</v>
      </c>
      <c r="C7758" t="s">
        <v>768</v>
      </c>
      <c r="D7758" t="s">
        <v>769</v>
      </c>
      <c r="E7758" s="8">
        <v>210</v>
      </c>
      <c r="F7758" s="8">
        <v>63200</v>
      </c>
      <c r="G7758" s="8">
        <f t="shared" si="484"/>
        <v>13272000</v>
      </c>
      <c r="H7758" s="5">
        <v>0.104</v>
      </c>
      <c r="I7758" s="8">
        <f t="shared" si="485"/>
        <v>13272000</v>
      </c>
      <c r="J7758" s="8">
        <f t="shared" si="486"/>
        <v>1380288</v>
      </c>
      <c r="K7758" t="str">
        <f t="shared" si="487"/>
        <v>MATCHED</v>
      </c>
    </row>
    <row r="7759" spans="1:11">
      <c r="A7759" t="s">
        <v>134</v>
      </c>
      <c r="B7759" t="s">
        <v>1888</v>
      </c>
      <c r="C7759" t="s">
        <v>770</v>
      </c>
      <c r="D7759" t="s">
        <v>771</v>
      </c>
      <c r="E7759" s="8">
        <v>480</v>
      </c>
      <c r="F7759" s="8">
        <v>61150</v>
      </c>
      <c r="G7759" s="8">
        <f t="shared" si="484"/>
        <v>29352000</v>
      </c>
      <c r="H7759" s="5">
        <v>0.1188</v>
      </c>
      <c r="I7759" s="8">
        <f t="shared" si="485"/>
        <v>29352000</v>
      </c>
      <c r="J7759" s="8">
        <f t="shared" si="486"/>
        <v>3487017.6</v>
      </c>
      <c r="K7759" t="str">
        <f t="shared" si="487"/>
        <v>MATCHED</v>
      </c>
    </row>
    <row r="7760" spans="1:11">
      <c r="A7760" t="s">
        <v>134</v>
      </c>
      <c r="B7760" t="s">
        <v>1888</v>
      </c>
      <c r="C7760" t="s">
        <v>471</v>
      </c>
      <c r="D7760" t="s">
        <v>472</v>
      </c>
      <c r="E7760" s="8">
        <v>240</v>
      </c>
      <c r="F7760" s="8">
        <v>50430</v>
      </c>
      <c r="G7760" s="8">
        <f t="shared" si="484"/>
        <v>12103200</v>
      </c>
      <c r="H7760" s="5">
        <v>0.0864</v>
      </c>
      <c r="I7760" s="8">
        <f t="shared" si="485"/>
        <v>12103200</v>
      </c>
      <c r="J7760" s="8">
        <f t="shared" si="486"/>
        <v>1045716.48</v>
      </c>
      <c r="K7760" t="str">
        <f t="shared" si="487"/>
        <v>MATCHED</v>
      </c>
    </row>
    <row r="7761" spans="1:11">
      <c r="A7761" t="s">
        <v>134</v>
      </c>
      <c r="B7761" t="s">
        <v>1888</v>
      </c>
      <c r="C7761" t="s">
        <v>1128</v>
      </c>
      <c r="D7761" t="s">
        <v>1129</v>
      </c>
      <c r="E7761" s="8">
        <v>510</v>
      </c>
      <c r="F7761" s="8">
        <v>51260</v>
      </c>
      <c r="G7761" s="8">
        <f t="shared" si="484"/>
        <v>26142600</v>
      </c>
      <c r="H7761" s="5">
        <v>0.0475</v>
      </c>
      <c r="I7761" s="8">
        <f t="shared" si="485"/>
        <v>26142600</v>
      </c>
      <c r="J7761" s="8">
        <f t="shared" si="486"/>
        <v>1241773.5</v>
      </c>
      <c r="K7761" t="str">
        <f t="shared" si="487"/>
        <v>MATCHED</v>
      </c>
    </row>
    <row r="7762" spans="1:11">
      <c r="A7762" t="s">
        <v>134</v>
      </c>
      <c r="B7762" t="s">
        <v>1888</v>
      </c>
      <c r="C7762" t="s">
        <v>473</v>
      </c>
      <c r="D7762" t="s">
        <v>474</v>
      </c>
      <c r="E7762" s="8"/>
      <c r="F7762" s="8">
        <v>48320</v>
      </c>
      <c r="G7762" s="8" t="str">
        <f t="shared" si="484"/>
        <v/>
      </c>
      <c r="H7762" s="5">
        <v>0.1026</v>
      </c>
      <c r="I7762" s="8" t="str">
        <f t="shared" si="485"/>
        <v/>
      </c>
      <c r="J7762" s="8" t="str">
        <f t="shared" si="486"/>
        <v/>
      </c>
      <c r="K7762" t="str">
        <f t="shared" si="487"/>
        <v>MISSING OEWS</v>
      </c>
    </row>
    <row r="7763" spans="1:11">
      <c r="A7763" t="s">
        <v>134</v>
      </c>
      <c r="B7763" t="s">
        <v>1888</v>
      </c>
      <c r="C7763" t="s">
        <v>475</v>
      </c>
      <c r="D7763" t="s">
        <v>476</v>
      </c>
      <c r="E7763" s="8"/>
      <c r="F7763" s="8">
        <v>48090</v>
      </c>
      <c r="G7763" s="8" t="str">
        <f t="shared" si="484"/>
        <v/>
      </c>
      <c r="H7763" s="5">
        <v>0</v>
      </c>
      <c r="I7763" s="8" t="str">
        <f t="shared" si="485"/>
        <v/>
      </c>
      <c r="J7763" s="8" t="str">
        <f t="shared" si="486"/>
        <v/>
      </c>
      <c r="K7763" t="str">
        <f t="shared" si="487"/>
        <v>MISSING OEWS</v>
      </c>
    </row>
    <row r="7764" spans="1:11">
      <c r="A7764" t="s">
        <v>134</v>
      </c>
      <c r="B7764" t="s">
        <v>1888</v>
      </c>
      <c r="C7764" t="s">
        <v>477</v>
      </c>
      <c r="D7764" t="s">
        <v>478</v>
      </c>
      <c r="E7764" s="8"/>
      <c r="F7764" s="8">
        <v>41990</v>
      </c>
      <c r="G7764" s="8" t="str">
        <f t="shared" si="484"/>
        <v/>
      </c>
      <c r="H7764" s="5">
        <v>0.0339</v>
      </c>
      <c r="I7764" s="8" t="str">
        <f t="shared" si="485"/>
        <v/>
      </c>
      <c r="J7764" s="8" t="str">
        <f t="shared" si="486"/>
        <v/>
      </c>
      <c r="K7764" t="str">
        <f t="shared" si="487"/>
        <v>MISSING OEWS</v>
      </c>
    </row>
    <row r="7765" spans="1:11">
      <c r="A7765" t="s">
        <v>134</v>
      </c>
      <c r="B7765" t="s">
        <v>1888</v>
      </c>
      <c r="C7765" t="s">
        <v>481</v>
      </c>
      <c r="D7765" t="s">
        <v>482</v>
      </c>
      <c r="E7765" s="8">
        <v>8130</v>
      </c>
      <c r="F7765" s="8">
        <v>44970</v>
      </c>
      <c r="G7765" s="8">
        <f t="shared" si="484"/>
        <v>365606100</v>
      </c>
      <c r="H7765" s="5">
        <v>0.2969</v>
      </c>
      <c r="I7765" s="8">
        <f t="shared" si="485"/>
        <v>365606100</v>
      </c>
      <c r="J7765" s="8">
        <f t="shared" si="486"/>
        <v>108548451.09</v>
      </c>
      <c r="K7765" t="str">
        <f t="shared" si="487"/>
        <v>MATCHED</v>
      </c>
    </row>
    <row r="7766" spans="1:11">
      <c r="A7766" t="s">
        <v>134</v>
      </c>
      <c r="B7766" t="s">
        <v>1888</v>
      </c>
      <c r="C7766" t="s">
        <v>1380</v>
      </c>
      <c r="D7766" t="s">
        <v>1381</v>
      </c>
      <c r="E7766" s="8">
        <v>1290</v>
      </c>
      <c r="F7766" s="8">
        <v>53300</v>
      </c>
      <c r="G7766" s="8">
        <f t="shared" si="484"/>
        <v>68757000</v>
      </c>
      <c r="H7766" s="5">
        <v>0.0924</v>
      </c>
      <c r="I7766" s="8">
        <f t="shared" si="485"/>
        <v>68757000</v>
      </c>
      <c r="J7766" s="8">
        <f t="shared" si="486"/>
        <v>6353146.8</v>
      </c>
      <c r="K7766" t="str">
        <f t="shared" si="487"/>
        <v>MATCHED</v>
      </c>
    </row>
    <row r="7767" spans="1:11">
      <c r="A7767" t="s">
        <v>134</v>
      </c>
      <c r="B7767" t="s">
        <v>1888</v>
      </c>
      <c r="C7767" t="s">
        <v>1384</v>
      </c>
      <c r="D7767" t="s">
        <v>1385</v>
      </c>
      <c r="E7767" s="8"/>
      <c r="F7767" s="8">
        <v>49100</v>
      </c>
      <c r="G7767" s="8" t="str">
        <f t="shared" si="484"/>
        <v/>
      </c>
      <c r="H7767" s="5">
        <v>0</v>
      </c>
      <c r="I7767" s="8" t="str">
        <f t="shared" si="485"/>
        <v/>
      </c>
      <c r="J7767" s="8" t="str">
        <f t="shared" si="486"/>
        <v/>
      </c>
      <c r="K7767" t="str">
        <f t="shared" si="487"/>
        <v>MISSING OEWS</v>
      </c>
    </row>
    <row r="7768" spans="1:11">
      <c r="A7768" t="s">
        <v>134</v>
      </c>
      <c r="B7768" t="s">
        <v>1888</v>
      </c>
      <c r="C7768" t="s">
        <v>483</v>
      </c>
      <c r="D7768" t="s">
        <v>484</v>
      </c>
      <c r="E7768" s="8">
        <v>210</v>
      </c>
      <c r="F7768" s="8">
        <v>37680</v>
      </c>
      <c r="G7768" s="8">
        <f t="shared" si="484"/>
        <v>7912800</v>
      </c>
      <c r="H7768" s="5">
        <v>0.0475</v>
      </c>
      <c r="I7768" s="8">
        <f t="shared" si="485"/>
        <v>7912800</v>
      </c>
      <c r="J7768" s="8">
        <f t="shared" si="486"/>
        <v>375858</v>
      </c>
      <c r="K7768" t="str">
        <f t="shared" si="487"/>
        <v>MATCHED</v>
      </c>
    </row>
    <row r="7769" spans="1:11">
      <c r="A7769" t="s">
        <v>134</v>
      </c>
      <c r="B7769" t="s">
        <v>1888</v>
      </c>
      <c r="C7769" t="s">
        <v>1130</v>
      </c>
      <c r="D7769" t="s">
        <v>1131</v>
      </c>
      <c r="E7769" s="8">
        <v>300</v>
      </c>
      <c r="F7769" s="8">
        <v>46240</v>
      </c>
      <c r="G7769" s="8">
        <f t="shared" si="484"/>
        <v>13872000</v>
      </c>
      <c r="H7769" s="5">
        <v>0</v>
      </c>
      <c r="I7769" s="8">
        <f t="shared" si="485"/>
        <v>13872000</v>
      </c>
      <c r="J7769" s="8">
        <f t="shared" si="486"/>
        <v>0</v>
      </c>
      <c r="K7769" t="str">
        <f t="shared" si="487"/>
        <v>MATCHED</v>
      </c>
    </row>
    <row r="7770" spans="1:11">
      <c r="A7770" t="s">
        <v>134</v>
      </c>
      <c r="B7770" t="s">
        <v>1888</v>
      </c>
      <c r="C7770" t="s">
        <v>782</v>
      </c>
      <c r="D7770" t="s">
        <v>783</v>
      </c>
      <c r="E7770" s="8">
        <v>29280</v>
      </c>
      <c r="F7770" s="8">
        <v>60670</v>
      </c>
      <c r="G7770" s="8">
        <f t="shared" si="484"/>
        <v>1776417600</v>
      </c>
      <c r="H7770" s="5">
        <v>0.0317</v>
      </c>
      <c r="I7770" s="8">
        <f t="shared" si="485"/>
        <v>1776417600</v>
      </c>
      <c r="J7770" s="8">
        <f t="shared" si="486"/>
        <v>56312437.92</v>
      </c>
      <c r="K7770" t="str">
        <f t="shared" si="487"/>
        <v>MATCHED</v>
      </c>
    </row>
    <row r="7771" spans="1:11">
      <c r="A7771" t="s">
        <v>134</v>
      </c>
      <c r="B7771" t="s">
        <v>1888</v>
      </c>
      <c r="C7771" t="s">
        <v>1390</v>
      </c>
      <c r="D7771" t="s">
        <v>1391</v>
      </c>
      <c r="E7771" s="8">
        <v>840</v>
      </c>
      <c r="F7771" s="8">
        <v>39260</v>
      </c>
      <c r="G7771" s="8">
        <f t="shared" si="484"/>
        <v>32978400</v>
      </c>
      <c r="H7771" s="5">
        <v>0.5391</v>
      </c>
      <c r="I7771" s="8">
        <f t="shared" si="485"/>
        <v>32978400</v>
      </c>
      <c r="J7771" s="8">
        <f t="shared" si="486"/>
        <v>17778655.44</v>
      </c>
      <c r="K7771" t="str">
        <f t="shared" si="487"/>
        <v>MATCHED</v>
      </c>
    </row>
    <row r="7772" spans="1:11">
      <c r="A7772" t="s">
        <v>134</v>
      </c>
      <c r="B7772" t="s">
        <v>1888</v>
      </c>
      <c r="C7772" t="s">
        <v>784</v>
      </c>
      <c r="D7772" t="s">
        <v>785</v>
      </c>
      <c r="E7772" s="8">
        <v>800</v>
      </c>
      <c r="F7772" s="8">
        <v>59820</v>
      </c>
      <c r="G7772" s="8">
        <f t="shared" si="484"/>
        <v>47856000</v>
      </c>
      <c r="H7772" s="5">
        <v>0.2111</v>
      </c>
      <c r="I7772" s="8">
        <f t="shared" si="485"/>
        <v>47856000</v>
      </c>
      <c r="J7772" s="8">
        <f t="shared" si="486"/>
        <v>10102401.6</v>
      </c>
      <c r="K7772" t="str">
        <f t="shared" si="487"/>
        <v>MATCHED</v>
      </c>
    </row>
    <row r="7773" spans="1:11">
      <c r="A7773" t="s">
        <v>134</v>
      </c>
      <c r="B7773" t="s">
        <v>1888</v>
      </c>
      <c r="C7773" t="s">
        <v>1132</v>
      </c>
      <c r="D7773" t="s">
        <v>1133</v>
      </c>
      <c r="E7773" s="8">
        <v>140</v>
      </c>
      <c r="F7773" s="8">
        <v>65580</v>
      </c>
      <c r="G7773" s="8">
        <f t="shared" si="484"/>
        <v>9181200</v>
      </c>
      <c r="H7773" s="5">
        <v>0.5938</v>
      </c>
      <c r="I7773" s="8">
        <f t="shared" si="485"/>
        <v>9181200</v>
      </c>
      <c r="J7773" s="8">
        <f t="shared" si="486"/>
        <v>5451796.56</v>
      </c>
      <c r="K7773" t="str">
        <f t="shared" si="487"/>
        <v>MATCHED</v>
      </c>
    </row>
    <row r="7774" spans="1:11">
      <c r="A7774" t="s">
        <v>134</v>
      </c>
      <c r="B7774" t="s">
        <v>1888</v>
      </c>
      <c r="C7774" t="s">
        <v>485</v>
      </c>
      <c r="D7774" t="s">
        <v>486</v>
      </c>
      <c r="E7774" s="8">
        <v>110</v>
      </c>
      <c r="F7774" s="8">
        <v>40350</v>
      </c>
      <c r="G7774" s="8">
        <f t="shared" si="484"/>
        <v>4438500</v>
      </c>
      <c r="H7774" s="5">
        <v>0.0864</v>
      </c>
      <c r="I7774" s="8">
        <f t="shared" si="485"/>
        <v>4438500</v>
      </c>
      <c r="J7774" s="8">
        <f t="shared" si="486"/>
        <v>383486.4</v>
      </c>
      <c r="K7774" t="str">
        <f t="shared" si="487"/>
        <v>MATCHED</v>
      </c>
    </row>
    <row r="7775" spans="1:11">
      <c r="A7775" t="s">
        <v>134</v>
      </c>
      <c r="B7775" t="s">
        <v>1888</v>
      </c>
      <c r="C7775" t="s">
        <v>1396</v>
      </c>
      <c r="D7775" t="s">
        <v>1397</v>
      </c>
      <c r="E7775" s="8">
        <v>40</v>
      </c>
      <c r="F7775" s="8">
        <v>53800</v>
      </c>
      <c r="G7775" s="8">
        <f t="shared" si="484"/>
        <v>2152000</v>
      </c>
      <c r="H7775" s="5">
        <v>0.0633</v>
      </c>
      <c r="I7775" s="8">
        <f t="shared" si="485"/>
        <v>2152000</v>
      </c>
      <c r="J7775" s="8">
        <f t="shared" si="486"/>
        <v>136221.6</v>
      </c>
      <c r="K7775" t="str">
        <f t="shared" si="487"/>
        <v>MATCHED</v>
      </c>
    </row>
    <row r="7776" spans="1:11">
      <c r="A7776" t="s">
        <v>134</v>
      </c>
      <c r="B7776" t="s">
        <v>1888</v>
      </c>
      <c r="C7776" t="s">
        <v>786</v>
      </c>
      <c r="D7776" t="s">
        <v>787</v>
      </c>
      <c r="E7776" s="8">
        <v>80</v>
      </c>
      <c r="F7776" s="8">
        <v>48570</v>
      </c>
      <c r="G7776" s="8">
        <f t="shared" si="484"/>
        <v>3885600</v>
      </c>
      <c r="H7776" s="5">
        <v>0.0125</v>
      </c>
      <c r="I7776" s="8">
        <f t="shared" si="485"/>
        <v>3885600</v>
      </c>
      <c r="J7776" s="8">
        <f t="shared" si="486"/>
        <v>48570</v>
      </c>
      <c r="K7776" t="str">
        <f t="shared" si="487"/>
        <v>MATCHED</v>
      </c>
    </row>
    <row r="7777" spans="1:11">
      <c r="A7777" t="s">
        <v>134</v>
      </c>
      <c r="B7777" t="s">
        <v>1888</v>
      </c>
      <c r="C7777" t="s">
        <v>489</v>
      </c>
      <c r="D7777" t="s">
        <v>490</v>
      </c>
      <c r="E7777" s="8">
        <v>5730</v>
      </c>
      <c r="F7777" s="8">
        <v>43730</v>
      </c>
      <c r="G7777" s="8">
        <f t="shared" si="484"/>
        <v>250572900</v>
      </c>
      <c r="H7777" s="5">
        <v>0.0838</v>
      </c>
      <c r="I7777" s="8">
        <f t="shared" si="485"/>
        <v>250572900</v>
      </c>
      <c r="J7777" s="8">
        <f t="shared" si="486"/>
        <v>20998009.02</v>
      </c>
      <c r="K7777" t="str">
        <f t="shared" si="487"/>
        <v>MATCHED</v>
      </c>
    </row>
    <row r="7778" spans="1:11">
      <c r="A7778" t="s">
        <v>134</v>
      </c>
      <c r="B7778" t="s">
        <v>1888</v>
      </c>
      <c r="C7778" t="s">
        <v>491</v>
      </c>
      <c r="D7778" t="s">
        <v>492</v>
      </c>
      <c r="E7778" s="8">
        <v>1000</v>
      </c>
      <c r="F7778" s="8">
        <v>44910</v>
      </c>
      <c r="G7778" s="8">
        <f t="shared" si="484"/>
        <v>44910000</v>
      </c>
      <c r="H7778" s="5"/>
      <c r="I7778" s="8" t="str">
        <f t="shared" si="485"/>
        <v/>
      </c>
      <c r="J7778" s="8" t="str">
        <f t="shared" si="486"/>
        <v/>
      </c>
      <c r="K7778" t="str">
        <f t="shared" si="487"/>
        <v>MISSING WHARTON</v>
      </c>
    </row>
    <row r="7779" spans="1:11">
      <c r="A7779" t="s">
        <v>134</v>
      </c>
      <c r="B7779" t="s">
        <v>1888</v>
      </c>
      <c r="C7779" t="s">
        <v>493</v>
      </c>
      <c r="D7779" t="s">
        <v>494</v>
      </c>
      <c r="E7779" s="8">
        <v>38120</v>
      </c>
      <c r="F7779" s="8">
        <v>51490</v>
      </c>
      <c r="G7779" s="8">
        <f t="shared" si="484"/>
        <v>1962798800</v>
      </c>
      <c r="H7779" s="5">
        <v>0.3429</v>
      </c>
      <c r="I7779" s="8">
        <f t="shared" si="485"/>
        <v>1962798800</v>
      </c>
      <c r="J7779" s="8">
        <f t="shared" si="486"/>
        <v>673043708.52</v>
      </c>
      <c r="K7779" t="str">
        <f t="shared" si="487"/>
        <v>MATCHED</v>
      </c>
    </row>
    <row r="7780" spans="1:11">
      <c r="A7780" t="s">
        <v>134</v>
      </c>
      <c r="B7780" t="s">
        <v>1888</v>
      </c>
      <c r="C7780" t="s">
        <v>495</v>
      </c>
      <c r="D7780" t="s">
        <v>496</v>
      </c>
      <c r="E7780" s="8">
        <v>50</v>
      </c>
      <c r="F7780" s="8">
        <v>109340</v>
      </c>
      <c r="G7780" s="8">
        <f t="shared" si="484"/>
        <v>5467000</v>
      </c>
      <c r="H7780" s="5">
        <v>0.3558</v>
      </c>
      <c r="I7780" s="8">
        <f t="shared" si="485"/>
        <v>5467000</v>
      </c>
      <c r="J7780" s="8">
        <f t="shared" si="486"/>
        <v>1945158.6</v>
      </c>
      <c r="K7780" t="str">
        <f t="shared" si="487"/>
        <v>MATCHED</v>
      </c>
    </row>
    <row r="7781" spans="1:11">
      <c r="A7781" t="s">
        <v>134</v>
      </c>
      <c r="B7781" t="s">
        <v>1888</v>
      </c>
      <c r="C7781" t="s">
        <v>497</v>
      </c>
      <c r="D7781" t="s">
        <v>498</v>
      </c>
      <c r="E7781" s="8">
        <v>24500</v>
      </c>
      <c r="F7781" s="8">
        <v>49070</v>
      </c>
      <c r="G7781" s="8">
        <f t="shared" si="484"/>
        <v>1202215000</v>
      </c>
      <c r="H7781" s="5">
        <v>0.3167</v>
      </c>
      <c r="I7781" s="8">
        <f t="shared" si="485"/>
        <v>1202215000</v>
      </c>
      <c r="J7781" s="8">
        <f t="shared" si="486"/>
        <v>380741490.5</v>
      </c>
      <c r="K7781" t="str">
        <f t="shared" si="487"/>
        <v>MATCHED</v>
      </c>
    </row>
    <row r="7782" spans="1:11">
      <c r="A7782" t="s">
        <v>134</v>
      </c>
      <c r="B7782" t="s">
        <v>1888</v>
      </c>
      <c r="C7782" t="s">
        <v>499</v>
      </c>
      <c r="D7782" t="s">
        <v>500</v>
      </c>
      <c r="E7782" s="8">
        <v>13320</v>
      </c>
      <c r="F7782" s="8">
        <v>52210</v>
      </c>
      <c r="G7782" s="8">
        <f t="shared" si="484"/>
        <v>695437200</v>
      </c>
      <c r="H7782" s="5">
        <v>0.2065</v>
      </c>
      <c r="I7782" s="8">
        <f t="shared" si="485"/>
        <v>695437200</v>
      </c>
      <c r="J7782" s="8">
        <f t="shared" si="486"/>
        <v>143607781.8</v>
      </c>
      <c r="K7782" t="str">
        <f t="shared" si="487"/>
        <v>MATCHED</v>
      </c>
    </row>
    <row r="7783" spans="1:11">
      <c r="A7783" t="s">
        <v>134</v>
      </c>
      <c r="B7783" t="s">
        <v>1888</v>
      </c>
      <c r="C7783" t="s">
        <v>501</v>
      </c>
      <c r="D7783" t="s">
        <v>502</v>
      </c>
      <c r="E7783" s="8">
        <v>16190</v>
      </c>
      <c r="F7783" s="8">
        <v>42000</v>
      </c>
      <c r="G7783" s="8">
        <f t="shared" si="484"/>
        <v>679980000</v>
      </c>
      <c r="H7783" s="5">
        <v>0.3393</v>
      </c>
      <c r="I7783" s="8">
        <f t="shared" si="485"/>
        <v>679980000</v>
      </c>
      <c r="J7783" s="8">
        <f t="shared" si="486"/>
        <v>230717214</v>
      </c>
      <c r="K7783" t="str">
        <f t="shared" si="487"/>
        <v>MATCHED</v>
      </c>
    </row>
    <row r="7784" spans="1:11">
      <c r="A7784" t="s">
        <v>134</v>
      </c>
      <c r="B7784" t="s">
        <v>1888</v>
      </c>
      <c r="C7784" t="s">
        <v>1553</v>
      </c>
      <c r="D7784" t="s">
        <v>1554</v>
      </c>
      <c r="E7784" s="8">
        <v>520</v>
      </c>
      <c r="F7784" s="8">
        <v>44720</v>
      </c>
      <c r="G7784" s="8">
        <f t="shared" si="484"/>
        <v>23254400</v>
      </c>
      <c r="H7784" s="5">
        <v>0.2235</v>
      </c>
      <c r="I7784" s="8">
        <f t="shared" si="485"/>
        <v>23254400</v>
      </c>
      <c r="J7784" s="8">
        <f t="shared" si="486"/>
        <v>5197358.4</v>
      </c>
      <c r="K7784" t="str">
        <f t="shared" si="487"/>
        <v>MATCHED</v>
      </c>
    </row>
    <row r="7785" spans="1:11">
      <c r="A7785" t="s">
        <v>134</v>
      </c>
      <c r="B7785" t="s">
        <v>1888</v>
      </c>
      <c r="C7785" t="s">
        <v>1457</v>
      </c>
      <c r="D7785" t="s">
        <v>1458</v>
      </c>
      <c r="E7785" s="8">
        <v>460</v>
      </c>
      <c r="F7785" s="8">
        <v>42380</v>
      </c>
      <c r="G7785" s="8">
        <f t="shared" si="484"/>
        <v>19494800</v>
      </c>
      <c r="H7785" s="5">
        <v>0.2567</v>
      </c>
      <c r="I7785" s="8">
        <f t="shared" si="485"/>
        <v>19494800</v>
      </c>
      <c r="J7785" s="8">
        <f t="shared" si="486"/>
        <v>5004315.16</v>
      </c>
      <c r="K7785" t="str">
        <f t="shared" si="487"/>
        <v>MATCHED</v>
      </c>
    </row>
    <row r="7786" spans="1:11">
      <c r="A7786" t="s">
        <v>134</v>
      </c>
      <c r="B7786" t="s">
        <v>1888</v>
      </c>
      <c r="C7786" t="s">
        <v>503</v>
      </c>
      <c r="D7786" t="s">
        <v>504</v>
      </c>
      <c r="E7786" s="8">
        <v>16510</v>
      </c>
      <c r="F7786" s="8">
        <v>37900</v>
      </c>
      <c r="G7786" s="8">
        <f t="shared" si="484"/>
        <v>625729000</v>
      </c>
      <c r="H7786" s="5">
        <v>0.3288</v>
      </c>
      <c r="I7786" s="8">
        <f t="shared" si="485"/>
        <v>625729000</v>
      </c>
      <c r="J7786" s="8">
        <f t="shared" si="486"/>
        <v>205739695.2</v>
      </c>
      <c r="K7786" t="str">
        <f t="shared" si="487"/>
        <v>MATCHED</v>
      </c>
    </row>
    <row r="7787" spans="1:11">
      <c r="A7787" t="s">
        <v>134</v>
      </c>
      <c r="B7787" t="s">
        <v>1888</v>
      </c>
      <c r="C7787" t="s">
        <v>1134</v>
      </c>
      <c r="D7787" t="s">
        <v>1135</v>
      </c>
      <c r="E7787" s="8">
        <v>1650</v>
      </c>
      <c r="F7787" s="8">
        <v>38830</v>
      </c>
      <c r="G7787" s="8">
        <f t="shared" si="484"/>
        <v>64069500</v>
      </c>
      <c r="H7787" s="5"/>
      <c r="I7787" s="8" t="str">
        <f t="shared" si="485"/>
        <v/>
      </c>
      <c r="J7787" s="8" t="str">
        <f t="shared" si="486"/>
        <v/>
      </c>
      <c r="K7787" t="str">
        <f t="shared" si="487"/>
        <v>MISSING WHARTON</v>
      </c>
    </row>
    <row r="7788" spans="1:11">
      <c r="A7788" t="s">
        <v>134</v>
      </c>
      <c r="B7788" t="s">
        <v>1888</v>
      </c>
      <c r="C7788" t="s">
        <v>796</v>
      </c>
      <c r="D7788" t="s">
        <v>797</v>
      </c>
      <c r="E7788" s="8">
        <v>220</v>
      </c>
      <c r="F7788" s="8">
        <v>42780</v>
      </c>
      <c r="G7788" s="8">
        <f t="shared" si="484"/>
        <v>9411600</v>
      </c>
      <c r="H7788" s="5">
        <v>0.1018</v>
      </c>
      <c r="I7788" s="8">
        <f t="shared" si="485"/>
        <v>9411600</v>
      </c>
      <c r="J7788" s="8">
        <f t="shared" si="486"/>
        <v>958100.88</v>
      </c>
      <c r="K7788" t="str">
        <f t="shared" si="487"/>
        <v>MATCHED</v>
      </c>
    </row>
    <row r="7789" spans="1:11">
      <c r="A7789" t="s">
        <v>134</v>
      </c>
      <c r="B7789" t="s">
        <v>1888</v>
      </c>
      <c r="C7789" t="s">
        <v>798</v>
      </c>
      <c r="D7789" t="s">
        <v>799</v>
      </c>
      <c r="E7789" s="8">
        <v>290</v>
      </c>
      <c r="F7789" s="8">
        <v>55290</v>
      </c>
      <c r="G7789" s="8">
        <f t="shared" si="484"/>
        <v>16034100</v>
      </c>
      <c r="H7789" s="5">
        <v>0.095</v>
      </c>
      <c r="I7789" s="8">
        <f t="shared" si="485"/>
        <v>16034100</v>
      </c>
      <c r="J7789" s="8">
        <f t="shared" si="486"/>
        <v>1523239.5</v>
      </c>
      <c r="K7789" t="str">
        <f t="shared" si="487"/>
        <v>MATCHED</v>
      </c>
    </row>
    <row r="7790" spans="1:11">
      <c r="A7790" t="s">
        <v>134</v>
      </c>
      <c r="B7790" t="s">
        <v>1888</v>
      </c>
      <c r="C7790" t="s">
        <v>1136</v>
      </c>
      <c r="D7790" t="s">
        <v>1137</v>
      </c>
      <c r="E7790" s="8"/>
      <c r="F7790" s="8">
        <v>45930</v>
      </c>
      <c r="G7790" s="8" t="str">
        <f t="shared" si="484"/>
        <v/>
      </c>
      <c r="H7790" s="5">
        <v>0.0559</v>
      </c>
      <c r="I7790" s="8" t="str">
        <f t="shared" si="485"/>
        <v/>
      </c>
      <c r="J7790" s="8" t="str">
        <f t="shared" si="486"/>
        <v/>
      </c>
      <c r="K7790" t="str">
        <f t="shared" si="487"/>
        <v>MISSING OEWS</v>
      </c>
    </row>
    <row r="7791" spans="1:11">
      <c r="A7791" t="s">
        <v>134</v>
      </c>
      <c r="B7791" t="s">
        <v>1888</v>
      </c>
      <c r="C7791" t="s">
        <v>1408</v>
      </c>
      <c r="D7791" t="s">
        <v>1409</v>
      </c>
      <c r="E7791" s="8">
        <v>74650</v>
      </c>
      <c r="F7791" s="8">
        <v>35150</v>
      </c>
      <c r="G7791" s="8">
        <f t="shared" si="484"/>
        <v>2623947500</v>
      </c>
      <c r="H7791" s="5">
        <v>0.1972</v>
      </c>
      <c r="I7791" s="8">
        <f t="shared" si="485"/>
        <v>2623947500</v>
      </c>
      <c r="J7791" s="8">
        <f t="shared" si="486"/>
        <v>517442447</v>
      </c>
      <c r="K7791" t="str">
        <f t="shared" si="487"/>
        <v>MATCHED</v>
      </c>
    </row>
    <row r="7792" spans="1:11">
      <c r="A7792" t="s">
        <v>134</v>
      </c>
      <c r="B7792" t="s">
        <v>1888</v>
      </c>
      <c r="C7792" t="s">
        <v>1138</v>
      </c>
      <c r="D7792" t="s">
        <v>1139</v>
      </c>
      <c r="E7792" s="8">
        <v>36110</v>
      </c>
      <c r="F7792" s="8">
        <v>35270</v>
      </c>
      <c r="G7792" s="8">
        <f t="shared" si="484"/>
        <v>1273599700</v>
      </c>
      <c r="H7792" s="5">
        <v>0.2533</v>
      </c>
      <c r="I7792" s="8">
        <f t="shared" si="485"/>
        <v>1273599700</v>
      </c>
      <c r="J7792" s="8">
        <f t="shared" si="486"/>
        <v>322602804.01</v>
      </c>
      <c r="K7792" t="str">
        <f t="shared" si="487"/>
        <v>MATCHED</v>
      </c>
    </row>
    <row r="7793" spans="1:11">
      <c r="A7793" t="s">
        <v>134</v>
      </c>
      <c r="B7793" t="s">
        <v>1888</v>
      </c>
      <c r="C7793" t="s">
        <v>1412</v>
      </c>
      <c r="D7793" t="s">
        <v>1413</v>
      </c>
      <c r="E7793" s="8">
        <v>1980</v>
      </c>
      <c r="F7793" s="8">
        <v>43300</v>
      </c>
      <c r="G7793" s="8">
        <f t="shared" si="484"/>
        <v>85734000</v>
      </c>
      <c r="H7793" s="5">
        <v>0.2192</v>
      </c>
      <c r="I7793" s="8">
        <f t="shared" si="485"/>
        <v>85734000</v>
      </c>
      <c r="J7793" s="8">
        <f t="shared" si="486"/>
        <v>18792892.8</v>
      </c>
      <c r="K7793" t="str">
        <f t="shared" si="487"/>
        <v>MATCHED</v>
      </c>
    </row>
    <row r="7794" spans="1:11">
      <c r="A7794" t="s">
        <v>134</v>
      </c>
      <c r="B7794" t="s">
        <v>1888</v>
      </c>
      <c r="C7794" t="s">
        <v>1561</v>
      </c>
      <c r="D7794" t="s">
        <v>1562</v>
      </c>
      <c r="E7794" s="8"/>
      <c r="F7794" s="8">
        <v>32510</v>
      </c>
      <c r="G7794" s="8" t="str">
        <f t="shared" si="484"/>
        <v/>
      </c>
      <c r="H7794" s="5">
        <v>0.275</v>
      </c>
      <c r="I7794" s="8" t="str">
        <f t="shared" si="485"/>
        <v/>
      </c>
      <c r="J7794" s="8" t="str">
        <f t="shared" si="486"/>
        <v/>
      </c>
      <c r="K7794" t="str">
        <f t="shared" si="487"/>
        <v>MISSING OEWS</v>
      </c>
    </row>
    <row r="7795" spans="1:11">
      <c r="A7795" t="s">
        <v>134</v>
      </c>
      <c r="B7795" t="s">
        <v>1888</v>
      </c>
      <c r="C7795" t="s">
        <v>1142</v>
      </c>
      <c r="D7795" t="s">
        <v>1143</v>
      </c>
      <c r="E7795" s="8">
        <v>270</v>
      </c>
      <c r="F7795" s="8">
        <v>37050</v>
      </c>
      <c r="G7795" s="8">
        <f t="shared" si="484"/>
        <v>10003500</v>
      </c>
      <c r="H7795" s="5"/>
      <c r="I7795" s="8" t="str">
        <f t="shared" si="485"/>
        <v/>
      </c>
      <c r="J7795" s="8" t="str">
        <f t="shared" si="486"/>
        <v/>
      </c>
      <c r="K7795" t="str">
        <f t="shared" si="487"/>
        <v>MISSING WHARTON</v>
      </c>
    </row>
    <row r="7796" spans="1:11">
      <c r="A7796" t="s">
        <v>134</v>
      </c>
      <c r="B7796" t="s">
        <v>1888</v>
      </c>
      <c r="C7796" t="s">
        <v>802</v>
      </c>
      <c r="D7796" t="s">
        <v>803</v>
      </c>
      <c r="E7796" s="8">
        <v>60</v>
      </c>
      <c r="F7796" s="8"/>
      <c r="G7796" s="8" t="str">
        <f t="shared" si="484"/>
        <v/>
      </c>
      <c r="H7796" s="5">
        <v>0.1261</v>
      </c>
      <c r="I7796" s="8" t="str">
        <f t="shared" si="485"/>
        <v/>
      </c>
      <c r="J7796" s="8" t="str">
        <f t="shared" si="486"/>
        <v/>
      </c>
      <c r="K7796" t="str">
        <f t="shared" si="487"/>
        <v>MISSING OEWS</v>
      </c>
    </row>
    <row r="7797" spans="1:11">
      <c r="A7797" t="s">
        <v>134</v>
      </c>
      <c r="B7797" t="s">
        <v>1888</v>
      </c>
      <c r="C7797" t="s">
        <v>804</v>
      </c>
      <c r="D7797" t="s">
        <v>805</v>
      </c>
      <c r="E7797" s="8">
        <v>150</v>
      </c>
      <c r="F7797" s="8">
        <v>75810</v>
      </c>
      <c r="G7797" s="8">
        <f t="shared" si="484"/>
        <v>11371500</v>
      </c>
      <c r="H7797" s="5">
        <v>0.0864</v>
      </c>
      <c r="I7797" s="8">
        <f t="shared" si="485"/>
        <v>11371500</v>
      </c>
      <c r="J7797" s="8">
        <f t="shared" si="486"/>
        <v>982497.6</v>
      </c>
      <c r="K7797" t="str">
        <f t="shared" si="487"/>
        <v>MATCHED</v>
      </c>
    </row>
    <row r="7798" spans="1:11">
      <c r="A7798" t="s">
        <v>134</v>
      </c>
      <c r="B7798" t="s">
        <v>1888</v>
      </c>
      <c r="C7798" t="s">
        <v>505</v>
      </c>
      <c r="D7798" t="s">
        <v>506</v>
      </c>
      <c r="E7798" s="8">
        <v>40</v>
      </c>
      <c r="F7798" s="8">
        <v>60770</v>
      </c>
      <c r="G7798" s="8">
        <f t="shared" si="484"/>
        <v>2430800</v>
      </c>
      <c r="H7798" s="5">
        <v>0</v>
      </c>
      <c r="I7798" s="8">
        <f t="shared" si="485"/>
        <v>2430800</v>
      </c>
      <c r="J7798" s="8">
        <f t="shared" si="486"/>
        <v>0</v>
      </c>
      <c r="K7798" t="str">
        <f t="shared" si="487"/>
        <v>MATCHED</v>
      </c>
    </row>
    <row r="7799" spans="1:11">
      <c r="A7799" t="s">
        <v>134</v>
      </c>
      <c r="B7799" t="s">
        <v>1888</v>
      </c>
      <c r="C7799" t="s">
        <v>507</v>
      </c>
      <c r="D7799" t="s">
        <v>508</v>
      </c>
      <c r="E7799" s="8">
        <v>1420</v>
      </c>
      <c r="F7799" s="8">
        <v>45120</v>
      </c>
      <c r="G7799" s="8">
        <f t="shared" si="484"/>
        <v>64070400</v>
      </c>
      <c r="H7799" s="5">
        <v>0</v>
      </c>
      <c r="I7799" s="8">
        <f t="shared" si="485"/>
        <v>64070400</v>
      </c>
      <c r="J7799" s="8">
        <f t="shared" si="486"/>
        <v>0</v>
      </c>
      <c r="K7799" t="str">
        <f t="shared" si="487"/>
        <v>MATCHED</v>
      </c>
    </row>
    <row r="7800" spans="1:11">
      <c r="A7800" t="s">
        <v>134</v>
      </c>
      <c r="B7800" t="s">
        <v>1888</v>
      </c>
      <c r="C7800" t="s">
        <v>509</v>
      </c>
      <c r="D7800" t="s">
        <v>510</v>
      </c>
      <c r="E7800" s="8">
        <v>163520</v>
      </c>
      <c r="F7800" s="8">
        <v>33690</v>
      </c>
      <c r="G7800" s="8">
        <f t="shared" si="484"/>
        <v>5508988800</v>
      </c>
      <c r="H7800" s="5">
        <v>0.0452</v>
      </c>
      <c r="I7800" s="8">
        <f t="shared" si="485"/>
        <v>5508988800</v>
      </c>
      <c r="J7800" s="8">
        <f t="shared" si="486"/>
        <v>249006293.76</v>
      </c>
      <c r="K7800" t="str">
        <f t="shared" si="487"/>
        <v>MATCHED</v>
      </c>
    </row>
    <row r="7801" spans="1:11">
      <c r="A7801" t="s">
        <v>134</v>
      </c>
      <c r="B7801" t="s">
        <v>1888</v>
      </c>
      <c r="C7801" t="s">
        <v>511</v>
      </c>
      <c r="D7801" t="s">
        <v>512</v>
      </c>
      <c r="E7801" s="8">
        <v>22330</v>
      </c>
      <c r="F7801" s="8">
        <v>40650</v>
      </c>
      <c r="G7801" s="8">
        <f t="shared" si="484"/>
        <v>907714500</v>
      </c>
      <c r="H7801" s="5">
        <v>0.049</v>
      </c>
      <c r="I7801" s="8">
        <f t="shared" si="485"/>
        <v>907714500</v>
      </c>
      <c r="J7801" s="8">
        <f t="shared" si="486"/>
        <v>44478010.5</v>
      </c>
      <c r="K7801" t="str">
        <f t="shared" si="487"/>
        <v>MATCHED</v>
      </c>
    </row>
    <row r="7802" spans="1:11">
      <c r="A7802" t="s">
        <v>134</v>
      </c>
      <c r="B7802" t="s">
        <v>1888</v>
      </c>
      <c r="C7802" t="s">
        <v>513</v>
      </c>
      <c r="D7802" t="s">
        <v>514</v>
      </c>
      <c r="E7802" s="8">
        <v>1650</v>
      </c>
      <c r="F7802" s="8">
        <v>34850</v>
      </c>
      <c r="G7802" s="8">
        <f t="shared" si="484"/>
        <v>57502500</v>
      </c>
      <c r="H7802" s="5">
        <v>0.0731</v>
      </c>
      <c r="I7802" s="8">
        <f t="shared" si="485"/>
        <v>57502500</v>
      </c>
      <c r="J7802" s="8">
        <f t="shared" si="486"/>
        <v>4203432.75</v>
      </c>
      <c r="K7802" t="str">
        <f t="shared" si="487"/>
        <v>MATCHED</v>
      </c>
    </row>
    <row r="7803" spans="1:11">
      <c r="A7803" t="s">
        <v>134</v>
      </c>
      <c r="B7803" t="s">
        <v>1888</v>
      </c>
      <c r="C7803" t="s">
        <v>515</v>
      </c>
      <c r="D7803" t="s">
        <v>516</v>
      </c>
      <c r="E7803" s="8">
        <v>2230</v>
      </c>
      <c r="F7803" s="8">
        <v>39280</v>
      </c>
      <c r="G7803" s="8">
        <f t="shared" si="484"/>
        <v>87594400</v>
      </c>
      <c r="H7803" s="5">
        <v>0.0792</v>
      </c>
      <c r="I7803" s="8">
        <f t="shared" si="485"/>
        <v>87594400</v>
      </c>
      <c r="J7803" s="8">
        <f t="shared" si="486"/>
        <v>6937476.48</v>
      </c>
      <c r="K7803" t="str">
        <f t="shared" si="487"/>
        <v>MATCHED</v>
      </c>
    </row>
    <row r="7804" spans="1:11">
      <c r="A7804" t="s">
        <v>134</v>
      </c>
      <c r="B7804" t="s">
        <v>1888</v>
      </c>
      <c r="C7804" t="s">
        <v>517</v>
      </c>
      <c r="D7804" t="s">
        <v>518</v>
      </c>
      <c r="E7804" s="8">
        <v>8140</v>
      </c>
      <c r="F7804" s="8">
        <v>40280</v>
      </c>
      <c r="G7804" s="8">
        <f t="shared" si="484"/>
        <v>327879200</v>
      </c>
      <c r="H7804" s="5">
        <v>0.2233</v>
      </c>
      <c r="I7804" s="8">
        <f t="shared" si="485"/>
        <v>327879200</v>
      </c>
      <c r="J7804" s="8">
        <f t="shared" si="486"/>
        <v>73215425.36</v>
      </c>
      <c r="K7804" t="str">
        <f t="shared" si="487"/>
        <v>MATCHED</v>
      </c>
    </row>
    <row r="7805" spans="1:11">
      <c r="A7805" t="s">
        <v>134</v>
      </c>
      <c r="B7805" t="s">
        <v>1888</v>
      </c>
      <c r="C7805" t="s">
        <v>918</v>
      </c>
      <c r="D7805" t="s">
        <v>919</v>
      </c>
      <c r="E7805" s="8">
        <v>200</v>
      </c>
      <c r="F7805" s="8">
        <v>37330</v>
      </c>
      <c r="G7805" s="8">
        <f t="shared" si="484"/>
        <v>7466000</v>
      </c>
      <c r="H7805" s="5">
        <v>0.2375</v>
      </c>
      <c r="I7805" s="8">
        <f t="shared" si="485"/>
        <v>7466000</v>
      </c>
      <c r="J7805" s="8">
        <f t="shared" si="486"/>
        <v>1773175</v>
      </c>
      <c r="K7805" t="str">
        <f t="shared" si="487"/>
        <v>MATCHED</v>
      </c>
    </row>
    <row r="7806" spans="1:11">
      <c r="A7806" t="s">
        <v>134</v>
      </c>
      <c r="B7806" t="s">
        <v>1888</v>
      </c>
      <c r="C7806" t="s">
        <v>519</v>
      </c>
      <c r="D7806" t="s">
        <v>520</v>
      </c>
      <c r="E7806" s="8">
        <v>270</v>
      </c>
      <c r="F7806" s="8">
        <v>48780</v>
      </c>
      <c r="G7806" s="8">
        <f t="shared" si="484"/>
        <v>13170600</v>
      </c>
      <c r="H7806" s="5"/>
      <c r="I7806" s="8" t="str">
        <f t="shared" si="485"/>
        <v/>
      </c>
      <c r="J7806" s="8" t="str">
        <f t="shared" si="486"/>
        <v/>
      </c>
      <c r="K7806" t="str">
        <f t="shared" si="487"/>
        <v>MISSING WHARTON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8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22" customWidth="1"/>
    <col min="2" max="2" width="56" customWidth="1"/>
    <col min="3" max="3" width="29" customWidth="1"/>
  </cols>
  <sheetData>
    <row r="1" ht="32" customHeight="1" spans="1:3">
      <c r="A1" s="3" t="s">
        <v>225</v>
      </c>
      <c r="B1" s="3" t="s">
        <v>1897</v>
      </c>
      <c r="C1" s="3" t="s">
        <v>1898</v>
      </c>
    </row>
    <row r="2" spans="1:3">
      <c r="A2" s="6" t="s">
        <v>235</v>
      </c>
      <c r="B2" s="6" t="s">
        <v>236</v>
      </c>
      <c r="C2" s="7">
        <v>0.4775</v>
      </c>
    </row>
    <row r="3" spans="1:3">
      <c r="A3" s="6" t="s">
        <v>237</v>
      </c>
      <c r="B3" s="6" t="s">
        <v>238</v>
      </c>
      <c r="C3" s="7">
        <v>0.5382</v>
      </c>
    </row>
    <row r="4" spans="1:3">
      <c r="A4" s="6" t="s">
        <v>1899</v>
      </c>
      <c r="B4" s="6" t="s">
        <v>1900</v>
      </c>
      <c r="C4" s="7">
        <v>0.1967</v>
      </c>
    </row>
    <row r="5" spans="1:3">
      <c r="A5" s="6" t="s">
        <v>920</v>
      </c>
      <c r="B5" s="6" t="s">
        <v>921</v>
      </c>
      <c r="C5" s="7">
        <v>0.5583</v>
      </c>
    </row>
    <row r="6" spans="1:3">
      <c r="A6" s="6" t="s">
        <v>239</v>
      </c>
      <c r="B6" s="6" t="s">
        <v>240</v>
      </c>
      <c r="C6" s="7">
        <v>0.445</v>
      </c>
    </row>
    <row r="7" spans="1:3">
      <c r="A7" s="6" t="s">
        <v>241</v>
      </c>
      <c r="B7" s="6" t="s">
        <v>242</v>
      </c>
      <c r="C7" s="7">
        <v>0.3735</v>
      </c>
    </row>
    <row r="8" spans="1:3">
      <c r="A8" s="6" t="s">
        <v>522</v>
      </c>
      <c r="B8" s="6" t="s">
        <v>523</v>
      </c>
      <c r="C8" s="7">
        <v>0.53</v>
      </c>
    </row>
    <row r="9" spans="1:3">
      <c r="A9" s="6" t="s">
        <v>922</v>
      </c>
      <c r="B9" s="6" t="s">
        <v>923</v>
      </c>
      <c r="C9" s="7">
        <v>0.5594</v>
      </c>
    </row>
    <row r="10" spans="1:3">
      <c r="A10" s="6" t="s">
        <v>243</v>
      </c>
      <c r="B10" s="6" t="s">
        <v>244</v>
      </c>
      <c r="C10" s="7">
        <v>0.4444</v>
      </c>
    </row>
    <row r="11" spans="1:3">
      <c r="A11" s="6" t="s">
        <v>245</v>
      </c>
      <c r="B11" s="6" t="s">
        <v>246</v>
      </c>
      <c r="C11" s="7">
        <v>0.2907</v>
      </c>
    </row>
    <row r="12" spans="1:3">
      <c r="A12" s="6" t="s">
        <v>247</v>
      </c>
      <c r="B12" s="6" t="s">
        <v>248</v>
      </c>
      <c r="C12" s="7">
        <v>0.5265</v>
      </c>
    </row>
    <row r="13" spans="1:3">
      <c r="A13" s="6" t="s">
        <v>249</v>
      </c>
      <c r="B13" s="6" t="s">
        <v>250</v>
      </c>
      <c r="C13" s="7">
        <v>0.7221</v>
      </c>
    </row>
    <row r="14" spans="1:3">
      <c r="A14" s="6" t="s">
        <v>251</v>
      </c>
      <c r="B14" s="6" t="s">
        <v>252</v>
      </c>
      <c r="C14" s="7">
        <v>0.3636</v>
      </c>
    </row>
    <row r="15" spans="1:3">
      <c r="A15" s="6" t="s">
        <v>253</v>
      </c>
      <c r="B15" s="6" t="s">
        <v>254</v>
      </c>
      <c r="C15" s="7">
        <v>0.6944</v>
      </c>
    </row>
    <row r="16" spans="1:3">
      <c r="A16" s="6" t="s">
        <v>255</v>
      </c>
      <c r="B16" s="6" t="s">
        <v>256</v>
      </c>
      <c r="C16" s="7">
        <v>0.5783</v>
      </c>
    </row>
    <row r="17" spans="1:3">
      <c r="A17" s="6" t="s">
        <v>524</v>
      </c>
      <c r="B17" s="6" t="s">
        <v>525</v>
      </c>
      <c r="C17" s="7">
        <v>0.5771</v>
      </c>
    </row>
    <row r="18" spans="1:3">
      <c r="A18" s="6" t="s">
        <v>257</v>
      </c>
      <c r="B18" s="6" t="s">
        <v>258</v>
      </c>
      <c r="C18" s="7">
        <v>0.5962</v>
      </c>
    </row>
    <row r="19" spans="1:3">
      <c r="A19" s="6" t="s">
        <v>526</v>
      </c>
      <c r="B19" s="6" t="s">
        <v>527</v>
      </c>
      <c r="C19" s="7">
        <v>0.6833</v>
      </c>
    </row>
    <row r="20" spans="1:3">
      <c r="A20" s="6" t="s">
        <v>259</v>
      </c>
      <c r="B20" s="6" t="s">
        <v>260</v>
      </c>
      <c r="C20" s="7">
        <v>0.22</v>
      </c>
    </row>
    <row r="21" spans="1:3">
      <c r="A21" s="6" t="s">
        <v>528</v>
      </c>
      <c r="B21" s="6" t="s">
        <v>529</v>
      </c>
      <c r="C21" s="7">
        <v>0.374</v>
      </c>
    </row>
    <row r="22" spans="1:3">
      <c r="A22" s="6" t="s">
        <v>1705</v>
      </c>
      <c r="B22" s="6" t="s">
        <v>1706</v>
      </c>
      <c r="C22" s="7">
        <v>0.4</v>
      </c>
    </row>
    <row r="23" spans="1:3">
      <c r="A23" s="6" t="s">
        <v>1707</v>
      </c>
      <c r="B23" s="6" t="s">
        <v>1708</v>
      </c>
      <c r="C23" s="7">
        <v>0.3</v>
      </c>
    </row>
    <row r="24" spans="1:3">
      <c r="A24" s="6" t="s">
        <v>1630</v>
      </c>
      <c r="B24" s="6" t="s">
        <v>1631</v>
      </c>
      <c r="C24" s="7">
        <v>0.4448</v>
      </c>
    </row>
    <row r="25" spans="1:3">
      <c r="A25" s="6" t="s">
        <v>530</v>
      </c>
      <c r="B25" s="6" t="s">
        <v>531</v>
      </c>
      <c r="C25" s="7">
        <v>0.263</v>
      </c>
    </row>
    <row r="26" spans="1:3">
      <c r="A26" s="6" t="s">
        <v>1144</v>
      </c>
      <c r="B26" s="6" t="s">
        <v>1145</v>
      </c>
      <c r="C26" s="7">
        <v>0.3821</v>
      </c>
    </row>
    <row r="27" spans="1:3">
      <c r="A27" s="6" t="s">
        <v>1709</v>
      </c>
      <c r="B27" s="6" t="s">
        <v>1710</v>
      </c>
      <c r="C27" s="7">
        <v>0.6474</v>
      </c>
    </row>
    <row r="28" spans="1:3">
      <c r="A28" s="6" t="s">
        <v>1460</v>
      </c>
      <c r="B28" s="6" t="s">
        <v>1461</v>
      </c>
      <c r="C28" s="7">
        <v>0.3176</v>
      </c>
    </row>
    <row r="29" spans="1:3">
      <c r="A29" s="6" t="s">
        <v>924</v>
      </c>
      <c r="B29" s="6" t="s">
        <v>925</v>
      </c>
      <c r="C29" s="7">
        <v>0.4729</v>
      </c>
    </row>
    <row r="30" spans="1:3">
      <c r="A30" s="6" t="s">
        <v>1146</v>
      </c>
      <c r="B30" s="6" t="s">
        <v>1147</v>
      </c>
      <c r="C30" s="7">
        <v>0.4417</v>
      </c>
    </row>
    <row r="31" spans="1:3">
      <c r="A31" s="6" t="s">
        <v>261</v>
      </c>
      <c r="B31" s="6" t="s">
        <v>262</v>
      </c>
      <c r="C31" s="7">
        <v>0.382</v>
      </c>
    </row>
    <row r="32" spans="1:3">
      <c r="A32" s="6" t="s">
        <v>1511</v>
      </c>
      <c r="B32" s="6" t="s">
        <v>1512</v>
      </c>
      <c r="C32" s="7">
        <v>0.55</v>
      </c>
    </row>
    <row r="33" spans="1:3">
      <c r="A33" s="6" t="s">
        <v>532</v>
      </c>
      <c r="B33" s="6" t="s">
        <v>533</v>
      </c>
      <c r="C33" s="7">
        <v>0.3833</v>
      </c>
    </row>
    <row r="34" spans="1:3">
      <c r="A34" s="6" t="s">
        <v>926</v>
      </c>
      <c r="B34" s="6" t="s">
        <v>927</v>
      </c>
      <c r="C34" s="7">
        <v>0.3656</v>
      </c>
    </row>
    <row r="35" spans="1:3">
      <c r="A35" s="6" t="s">
        <v>816</v>
      </c>
      <c r="B35" s="6" t="s">
        <v>817</v>
      </c>
      <c r="C35" s="7">
        <v>0.4174</v>
      </c>
    </row>
    <row r="36" spans="1:3">
      <c r="A36" s="6" t="s">
        <v>1889</v>
      </c>
      <c r="B36" s="6" t="s">
        <v>1890</v>
      </c>
      <c r="C36" s="7">
        <v>0.3</v>
      </c>
    </row>
    <row r="37" spans="1:3">
      <c r="A37" s="6" t="s">
        <v>1148</v>
      </c>
      <c r="B37" s="6" t="s">
        <v>1149</v>
      </c>
      <c r="C37" s="7">
        <v>0.4143</v>
      </c>
    </row>
    <row r="38" spans="1:3">
      <c r="A38" s="6" t="s">
        <v>263</v>
      </c>
      <c r="B38" s="6" t="s">
        <v>264</v>
      </c>
      <c r="C38" s="7">
        <v>0.4896</v>
      </c>
    </row>
    <row r="39" spans="1:3">
      <c r="A39" s="6" t="s">
        <v>1565</v>
      </c>
      <c r="B39" s="6" t="s">
        <v>1566</v>
      </c>
      <c r="C39" s="7">
        <v>0.4714</v>
      </c>
    </row>
    <row r="40" spans="1:3">
      <c r="A40" s="6" t="s">
        <v>265</v>
      </c>
      <c r="B40" s="6" t="s">
        <v>266</v>
      </c>
      <c r="C40" s="7">
        <v>0.5876</v>
      </c>
    </row>
    <row r="41" spans="1:3">
      <c r="A41" s="6" t="s">
        <v>818</v>
      </c>
      <c r="B41" s="6" t="s">
        <v>819</v>
      </c>
      <c r="C41" s="7">
        <v>0.6983</v>
      </c>
    </row>
    <row r="42" spans="1:3">
      <c r="A42" s="6" t="s">
        <v>1462</v>
      </c>
      <c r="B42" s="6" t="s">
        <v>1463</v>
      </c>
      <c r="C42" s="7">
        <v>0.4714</v>
      </c>
    </row>
    <row r="43" spans="1:3">
      <c r="A43" s="6" t="s">
        <v>267</v>
      </c>
      <c r="B43" s="6" t="s">
        <v>268</v>
      </c>
      <c r="C43" s="7">
        <v>0.4611</v>
      </c>
    </row>
    <row r="44" spans="1:3">
      <c r="A44" s="6" t="s">
        <v>534</v>
      </c>
      <c r="B44" s="6" t="s">
        <v>535</v>
      </c>
      <c r="C44" s="7">
        <v>0.6393</v>
      </c>
    </row>
    <row r="45" spans="1:3">
      <c r="A45" s="6" t="s">
        <v>269</v>
      </c>
      <c r="B45" s="6" t="s">
        <v>270</v>
      </c>
      <c r="C45" s="7">
        <v>0.7808</v>
      </c>
    </row>
    <row r="46" spans="1:3">
      <c r="A46" s="6" t="s">
        <v>271</v>
      </c>
      <c r="B46" s="6" t="s">
        <v>272</v>
      </c>
      <c r="C46" s="7">
        <v>0.2375</v>
      </c>
    </row>
    <row r="47" spans="1:3">
      <c r="A47" s="6" t="s">
        <v>820</v>
      </c>
      <c r="B47" s="6" t="s">
        <v>821</v>
      </c>
      <c r="C47" s="7">
        <v>0.5536</v>
      </c>
    </row>
    <row r="48" spans="1:3">
      <c r="A48" s="6" t="s">
        <v>273</v>
      </c>
      <c r="B48" s="6" t="s">
        <v>274</v>
      </c>
      <c r="C48" s="7">
        <v>0.6943</v>
      </c>
    </row>
    <row r="49" spans="1:3">
      <c r="A49" s="6" t="s">
        <v>275</v>
      </c>
      <c r="B49" s="6" t="s">
        <v>276</v>
      </c>
      <c r="C49" s="7">
        <v>0.6375</v>
      </c>
    </row>
    <row r="50" spans="1:3">
      <c r="A50" s="6" t="s">
        <v>277</v>
      </c>
      <c r="B50" s="6" t="s">
        <v>278</v>
      </c>
      <c r="C50" s="7">
        <v>0.5773</v>
      </c>
    </row>
    <row r="51" spans="1:3">
      <c r="A51" s="6" t="s">
        <v>279</v>
      </c>
      <c r="B51" s="6" t="s">
        <v>280</v>
      </c>
      <c r="C51" s="7">
        <v>0.4476</v>
      </c>
    </row>
    <row r="52" spans="1:3">
      <c r="A52" s="6" t="s">
        <v>928</v>
      </c>
      <c r="B52" s="6" t="s">
        <v>929</v>
      </c>
      <c r="C52" s="7">
        <v>0.5571</v>
      </c>
    </row>
    <row r="53" spans="1:3">
      <c r="A53" s="6" t="s">
        <v>281</v>
      </c>
      <c r="B53" s="6" t="s">
        <v>282</v>
      </c>
      <c r="C53" s="7">
        <v>0.6167</v>
      </c>
    </row>
    <row r="54" spans="1:3">
      <c r="A54" s="6" t="s">
        <v>283</v>
      </c>
      <c r="B54" s="6" t="s">
        <v>284</v>
      </c>
      <c r="C54" s="7">
        <v>0.565</v>
      </c>
    </row>
    <row r="55" spans="1:3">
      <c r="A55" s="6" t="s">
        <v>285</v>
      </c>
      <c r="B55" s="6" t="s">
        <v>286</v>
      </c>
      <c r="C55" s="7">
        <v>0.7792</v>
      </c>
    </row>
    <row r="56" spans="1:3">
      <c r="A56" s="6" t="s">
        <v>287</v>
      </c>
      <c r="B56" s="6" t="s">
        <v>288</v>
      </c>
      <c r="C56" s="7">
        <v>0.6599</v>
      </c>
    </row>
    <row r="57" spans="1:3">
      <c r="A57" s="6" t="s">
        <v>289</v>
      </c>
      <c r="B57" s="6" t="s">
        <v>290</v>
      </c>
      <c r="C57" s="7">
        <v>0.795</v>
      </c>
    </row>
    <row r="58" spans="1:3">
      <c r="A58" s="6" t="s">
        <v>822</v>
      </c>
      <c r="B58" s="6" t="s">
        <v>823</v>
      </c>
      <c r="C58" s="7">
        <v>0.6102</v>
      </c>
    </row>
    <row r="59" spans="1:3">
      <c r="A59" s="6" t="s">
        <v>824</v>
      </c>
      <c r="B59" s="6" t="s">
        <v>825</v>
      </c>
      <c r="C59" s="7">
        <v>0.8</v>
      </c>
    </row>
    <row r="60" spans="1:3">
      <c r="A60" s="6" t="s">
        <v>826</v>
      </c>
      <c r="B60" s="6" t="s">
        <v>827</v>
      </c>
      <c r="C60" s="7">
        <v>0.8182</v>
      </c>
    </row>
    <row r="61" spans="1:3">
      <c r="A61" s="6" t="s">
        <v>536</v>
      </c>
      <c r="B61" s="6" t="s">
        <v>537</v>
      </c>
      <c r="C61" s="7">
        <v>0.6904</v>
      </c>
    </row>
    <row r="62" spans="1:3">
      <c r="A62" s="6" t="s">
        <v>930</v>
      </c>
      <c r="B62" s="6" t="s">
        <v>931</v>
      </c>
      <c r="C62" s="7">
        <v>0.6857</v>
      </c>
    </row>
    <row r="63" spans="1:3">
      <c r="A63" s="6" t="s">
        <v>1602</v>
      </c>
      <c r="B63" s="6" t="s">
        <v>1603</v>
      </c>
      <c r="C63" s="7">
        <v>0.95</v>
      </c>
    </row>
    <row r="64" spans="1:3">
      <c r="A64" s="6" t="s">
        <v>828</v>
      </c>
      <c r="B64" s="6" t="s">
        <v>829</v>
      </c>
      <c r="C64" s="7">
        <v>0.7767</v>
      </c>
    </row>
    <row r="65" spans="1:3">
      <c r="A65" s="6" t="s">
        <v>1150</v>
      </c>
      <c r="B65" s="6" t="s">
        <v>1151</v>
      </c>
      <c r="C65" s="7">
        <v>0.5647</v>
      </c>
    </row>
    <row r="66" spans="1:3">
      <c r="A66" s="6" t="s">
        <v>932</v>
      </c>
      <c r="B66" s="6" t="s">
        <v>933</v>
      </c>
      <c r="C66" s="7">
        <v>0.7587</v>
      </c>
    </row>
    <row r="67" spans="1:3">
      <c r="A67" s="6" t="s">
        <v>934</v>
      </c>
      <c r="B67" s="6" t="s">
        <v>935</v>
      </c>
      <c r="C67" s="7">
        <v>0.805</v>
      </c>
    </row>
    <row r="68" spans="1:3">
      <c r="A68" s="6" t="s">
        <v>1901</v>
      </c>
      <c r="B68" s="6" t="s">
        <v>1902</v>
      </c>
      <c r="C68" s="7">
        <v>0.742</v>
      </c>
    </row>
    <row r="69" spans="1:3">
      <c r="A69" s="6" t="s">
        <v>1415</v>
      </c>
      <c r="B69" s="6" t="s">
        <v>1416</v>
      </c>
      <c r="C69" s="7">
        <v>0.9083</v>
      </c>
    </row>
    <row r="70" spans="1:3">
      <c r="A70" s="6" t="s">
        <v>538</v>
      </c>
      <c r="B70" s="6" t="s">
        <v>539</v>
      </c>
      <c r="C70" s="7">
        <v>0.6192</v>
      </c>
    </row>
    <row r="71" spans="1:3">
      <c r="A71" s="6" t="s">
        <v>291</v>
      </c>
      <c r="B71" s="6" t="s">
        <v>292</v>
      </c>
      <c r="C71" s="7">
        <v>0.6388</v>
      </c>
    </row>
    <row r="72" spans="1:3">
      <c r="A72" s="6" t="s">
        <v>540</v>
      </c>
      <c r="B72" s="6" t="s">
        <v>541</v>
      </c>
      <c r="C72" s="7">
        <v>0.6292</v>
      </c>
    </row>
    <row r="73" spans="1:3">
      <c r="A73" s="6" t="s">
        <v>1152</v>
      </c>
      <c r="B73" s="6" t="s">
        <v>1153</v>
      </c>
      <c r="C73" s="7">
        <v>0.39</v>
      </c>
    </row>
    <row r="74" spans="1:3">
      <c r="A74" s="6" t="s">
        <v>542</v>
      </c>
      <c r="B74" s="6" t="s">
        <v>543</v>
      </c>
      <c r="C74" s="7">
        <v>0.7096</v>
      </c>
    </row>
    <row r="75" spans="1:3">
      <c r="A75" s="6" t="s">
        <v>293</v>
      </c>
      <c r="B75" s="6" t="s">
        <v>294</v>
      </c>
      <c r="C75" s="7">
        <v>0.6062</v>
      </c>
    </row>
    <row r="76" spans="1:3">
      <c r="A76" s="6" t="s">
        <v>544</v>
      </c>
      <c r="B76" s="6" t="s">
        <v>545</v>
      </c>
      <c r="C76" s="7">
        <v>0.6278</v>
      </c>
    </row>
    <row r="77" spans="1:3">
      <c r="A77" s="6" t="s">
        <v>546</v>
      </c>
      <c r="B77" s="6" t="s">
        <v>547</v>
      </c>
      <c r="C77" s="7">
        <v>0.8389</v>
      </c>
    </row>
    <row r="78" spans="1:3">
      <c r="A78" s="6" t="s">
        <v>548</v>
      </c>
      <c r="B78" s="6" t="s">
        <v>549</v>
      </c>
      <c r="C78" s="7">
        <v>0.8502</v>
      </c>
    </row>
    <row r="79" spans="1:3">
      <c r="A79" s="6" t="s">
        <v>295</v>
      </c>
      <c r="B79" s="6" t="s">
        <v>296</v>
      </c>
      <c r="C79" s="7">
        <v>0.695</v>
      </c>
    </row>
    <row r="80" spans="1:3">
      <c r="A80" s="6" t="s">
        <v>550</v>
      </c>
      <c r="B80" s="6" t="s">
        <v>551</v>
      </c>
      <c r="C80" s="7">
        <v>0.6824</v>
      </c>
    </row>
    <row r="81" spans="1:3">
      <c r="A81" s="6" t="s">
        <v>297</v>
      </c>
      <c r="B81" s="6" t="s">
        <v>298</v>
      </c>
      <c r="C81" s="7">
        <v>0.5211</v>
      </c>
    </row>
    <row r="82" spans="1:3">
      <c r="A82" s="6" t="s">
        <v>552</v>
      </c>
      <c r="B82" s="6" t="s">
        <v>553</v>
      </c>
      <c r="C82" s="7">
        <v>0.8117</v>
      </c>
    </row>
    <row r="83" spans="1:3">
      <c r="A83" s="6" t="s">
        <v>830</v>
      </c>
      <c r="B83" s="6" t="s">
        <v>831</v>
      </c>
      <c r="C83" s="7">
        <v>0.8276</v>
      </c>
    </row>
    <row r="84" spans="1:3">
      <c r="A84" s="6" t="s">
        <v>832</v>
      </c>
      <c r="B84" s="6" t="s">
        <v>833</v>
      </c>
      <c r="C84" s="7">
        <v>0.6827</v>
      </c>
    </row>
    <row r="85" spans="1:3">
      <c r="A85" s="6" t="s">
        <v>299</v>
      </c>
      <c r="B85" s="6" t="s">
        <v>300</v>
      </c>
      <c r="C85" s="7">
        <v>0.7425</v>
      </c>
    </row>
    <row r="86" spans="1:3">
      <c r="A86" s="6" t="s">
        <v>1604</v>
      </c>
      <c r="B86" s="6" t="s">
        <v>1605</v>
      </c>
      <c r="C86" s="7">
        <v>0.74</v>
      </c>
    </row>
    <row r="87" spans="1:3">
      <c r="A87" s="6" t="s">
        <v>1154</v>
      </c>
      <c r="B87" s="6" t="s">
        <v>1155</v>
      </c>
      <c r="C87" s="7">
        <v>0.5318</v>
      </c>
    </row>
    <row r="88" spans="1:3">
      <c r="A88" s="6" t="s">
        <v>554</v>
      </c>
      <c r="B88" s="6" t="s">
        <v>555</v>
      </c>
      <c r="C88" s="7">
        <v>0.6031</v>
      </c>
    </row>
    <row r="89" spans="1:3">
      <c r="A89" s="6" t="s">
        <v>1156</v>
      </c>
      <c r="B89" s="6" t="s">
        <v>1157</v>
      </c>
      <c r="C89" s="7">
        <v>0.7282</v>
      </c>
    </row>
    <row r="90" spans="1:3">
      <c r="A90" s="6" t="s">
        <v>556</v>
      </c>
      <c r="B90" s="6" t="s">
        <v>557</v>
      </c>
      <c r="C90" s="7">
        <v>0.8228</v>
      </c>
    </row>
    <row r="91" spans="1:3">
      <c r="A91" s="6" t="s">
        <v>1158</v>
      </c>
      <c r="B91" s="6" t="s">
        <v>1159</v>
      </c>
      <c r="C91" s="7">
        <v>0.7711</v>
      </c>
    </row>
    <row r="92" spans="1:3">
      <c r="A92" s="6" t="s">
        <v>834</v>
      </c>
      <c r="B92" s="6" t="s">
        <v>835</v>
      </c>
      <c r="C92" s="7">
        <v>0.5375</v>
      </c>
    </row>
    <row r="93" spans="1:3">
      <c r="A93" s="6" t="s">
        <v>936</v>
      </c>
      <c r="B93" s="6" t="s">
        <v>937</v>
      </c>
      <c r="C93" s="7">
        <v>0.3342</v>
      </c>
    </row>
    <row r="94" spans="1:3">
      <c r="A94" s="6" t="s">
        <v>558</v>
      </c>
      <c r="B94" s="6" t="s">
        <v>559</v>
      </c>
      <c r="C94" s="7">
        <v>0.7929</v>
      </c>
    </row>
    <row r="95" spans="1:3">
      <c r="A95" s="6" t="s">
        <v>560</v>
      </c>
      <c r="B95" s="6" t="s">
        <v>561</v>
      </c>
      <c r="C95" s="7">
        <v>0.3682</v>
      </c>
    </row>
    <row r="96" spans="1:3">
      <c r="A96" s="6" t="s">
        <v>1160</v>
      </c>
      <c r="B96" s="6" t="s">
        <v>1161</v>
      </c>
      <c r="C96" s="7">
        <v>0.5333</v>
      </c>
    </row>
    <row r="97" spans="1:3">
      <c r="A97" s="6" t="s">
        <v>836</v>
      </c>
      <c r="B97" s="6" t="s">
        <v>837</v>
      </c>
      <c r="C97" s="7">
        <v>0.1</v>
      </c>
    </row>
    <row r="98" spans="1:3">
      <c r="A98" s="6" t="s">
        <v>1162</v>
      </c>
      <c r="B98" s="6" t="s">
        <v>1163</v>
      </c>
      <c r="C98" s="7">
        <v>0.4067</v>
      </c>
    </row>
    <row r="99" spans="1:3">
      <c r="A99" s="6" t="s">
        <v>562</v>
      </c>
      <c r="B99" s="6" t="s">
        <v>563</v>
      </c>
      <c r="C99" s="7">
        <v>0.3615</v>
      </c>
    </row>
    <row r="100" spans="1:3">
      <c r="A100" s="6" t="s">
        <v>564</v>
      </c>
      <c r="B100" s="6" t="s">
        <v>565</v>
      </c>
      <c r="C100" s="7">
        <v>0.4218</v>
      </c>
    </row>
    <row r="101" spans="1:3">
      <c r="A101" s="6" t="s">
        <v>838</v>
      </c>
      <c r="B101" s="6" t="s">
        <v>839</v>
      </c>
      <c r="C101" s="7">
        <v>0.3639</v>
      </c>
    </row>
    <row r="102" spans="1:3">
      <c r="A102" s="6" t="s">
        <v>566</v>
      </c>
      <c r="B102" s="6" t="s">
        <v>567</v>
      </c>
      <c r="C102" s="7">
        <v>0.3523</v>
      </c>
    </row>
    <row r="103" spans="1:3">
      <c r="A103" s="6" t="s">
        <v>568</v>
      </c>
      <c r="B103" s="6" t="s">
        <v>569</v>
      </c>
      <c r="C103" s="7">
        <v>0.4536</v>
      </c>
    </row>
    <row r="104" spans="1:3">
      <c r="A104" s="6" t="s">
        <v>570</v>
      </c>
      <c r="B104" s="6" t="s">
        <v>571</v>
      </c>
      <c r="C104" s="7">
        <v>0.5196</v>
      </c>
    </row>
    <row r="105" spans="1:3">
      <c r="A105" s="6" t="s">
        <v>572</v>
      </c>
      <c r="B105" s="6" t="s">
        <v>573</v>
      </c>
      <c r="C105" s="7">
        <v>0.2672</v>
      </c>
    </row>
    <row r="106" spans="1:3">
      <c r="A106" s="6" t="s">
        <v>301</v>
      </c>
      <c r="B106" s="6" t="s">
        <v>302</v>
      </c>
      <c r="C106" s="7">
        <v>0.4786</v>
      </c>
    </row>
    <row r="107" spans="1:3">
      <c r="A107" s="6" t="s">
        <v>938</v>
      </c>
      <c r="B107" s="6" t="s">
        <v>939</v>
      </c>
      <c r="C107" s="7">
        <v>0.2417</v>
      </c>
    </row>
    <row r="108" spans="1:3">
      <c r="A108" s="6" t="s">
        <v>574</v>
      </c>
      <c r="B108" s="6" t="s">
        <v>575</v>
      </c>
      <c r="C108" s="7">
        <v>0.269</v>
      </c>
    </row>
    <row r="109" spans="1:3">
      <c r="A109" s="6" t="s">
        <v>576</v>
      </c>
      <c r="B109" s="6" t="s">
        <v>577</v>
      </c>
      <c r="C109" s="7">
        <v>0.3008</v>
      </c>
    </row>
    <row r="110" spans="1:3">
      <c r="A110" s="6" t="s">
        <v>578</v>
      </c>
      <c r="B110" s="6" t="s">
        <v>579</v>
      </c>
      <c r="C110" s="7">
        <v>0.2861</v>
      </c>
    </row>
    <row r="111" spans="1:3">
      <c r="A111" s="6" t="s">
        <v>840</v>
      </c>
      <c r="B111" s="6" t="s">
        <v>841</v>
      </c>
      <c r="C111" s="7">
        <v>0.2825</v>
      </c>
    </row>
    <row r="112" spans="1:3">
      <c r="A112" s="6" t="s">
        <v>580</v>
      </c>
      <c r="B112" s="6" t="s">
        <v>581</v>
      </c>
      <c r="C112" s="7">
        <v>0.3065</v>
      </c>
    </row>
    <row r="113" spans="1:3">
      <c r="A113" s="6" t="s">
        <v>582</v>
      </c>
      <c r="B113" s="6" t="s">
        <v>583</v>
      </c>
      <c r="C113" s="7">
        <v>0.315</v>
      </c>
    </row>
    <row r="114" spans="1:3">
      <c r="A114" s="6" t="s">
        <v>584</v>
      </c>
      <c r="B114" s="6" t="s">
        <v>585</v>
      </c>
      <c r="C114" s="7">
        <v>0.7</v>
      </c>
    </row>
    <row r="115" spans="1:3">
      <c r="A115" s="6" t="s">
        <v>842</v>
      </c>
      <c r="B115" s="6" t="s">
        <v>843</v>
      </c>
      <c r="C115" s="7">
        <v>0.5217</v>
      </c>
    </row>
    <row r="116" spans="1:3">
      <c r="A116" s="6" t="s">
        <v>586</v>
      </c>
      <c r="B116" s="6" t="s">
        <v>587</v>
      </c>
      <c r="C116" s="7">
        <v>0.71</v>
      </c>
    </row>
    <row r="117" spans="1:3">
      <c r="A117" s="6" t="s">
        <v>1164</v>
      </c>
      <c r="B117" s="6" t="s">
        <v>1165</v>
      </c>
      <c r="C117" s="7">
        <v>0.175</v>
      </c>
    </row>
    <row r="118" spans="1:3">
      <c r="A118" s="6" t="s">
        <v>590</v>
      </c>
      <c r="B118" s="6" t="s">
        <v>591</v>
      </c>
      <c r="C118" s="7">
        <v>0.4567</v>
      </c>
    </row>
    <row r="119" spans="1:3">
      <c r="A119" s="6" t="s">
        <v>592</v>
      </c>
      <c r="B119" s="6" t="s">
        <v>593</v>
      </c>
      <c r="C119" s="7">
        <v>0.4</v>
      </c>
    </row>
    <row r="120" spans="1:3">
      <c r="A120" s="6" t="s">
        <v>594</v>
      </c>
      <c r="B120" s="6" t="s">
        <v>595</v>
      </c>
      <c r="C120" s="7">
        <v>0.1781</v>
      </c>
    </row>
    <row r="121" spans="1:3">
      <c r="A121" s="6" t="s">
        <v>596</v>
      </c>
      <c r="B121" s="6" t="s">
        <v>597</v>
      </c>
      <c r="C121" s="7">
        <v>0.4615</v>
      </c>
    </row>
    <row r="122" spans="1:3">
      <c r="A122" s="6" t="s">
        <v>598</v>
      </c>
      <c r="B122" s="6" t="s">
        <v>599</v>
      </c>
      <c r="C122" s="7">
        <v>0.2855</v>
      </c>
    </row>
    <row r="123" spans="1:3">
      <c r="A123" s="6" t="s">
        <v>600</v>
      </c>
      <c r="B123" s="6" t="s">
        <v>601</v>
      </c>
      <c r="C123" s="7">
        <v>0.3125</v>
      </c>
    </row>
    <row r="124" spans="1:3">
      <c r="A124" s="6" t="s">
        <v>602</v>
      </c>
      <c r="B124" s="6" t="s">
        <v>603</v>
      </c>
      <c r="C124" s="7">
        <v>0.1733</v>
      </c>
    </row>
    <row r="125" spans="1:3">
      <c r="A125" s="6" t="s">
        <v>604</v>
      </c>
      <c r="B125" s="6" t="s">
        <v>605</v>
      </c>
      <c r="C125" s="7">
        <v>0.1404</v>
      </c>
    </row>
    <row r="126" spans="1:3">
      <c r="A126" s="6" t="s">
        <v>606</v>
      </c>
      <c r="B126" s="6" t="s">
        <v>607</v>
      </c>
      <c r="C126" s="7">
        <v>0.6783</v>
      </c>
    </row>
    <row r="127" spans="1:3">
      <c r="A127" s="6" t="s">
        <v>303</v>
      </c>
      <c r="B127" s="6" t="s">
        <v>304</v>
      </c>
      <c r="C127" s="7">
        <v>0.2333</v>
      </c>
    </row>
    <row r="128" spans="1:3">
      <c r="A128" s="6" t="s">
        <v>305</v>
      </c>
      <c r="B128" s="6" t="s">
        <v>306</v>
      </c>
      <c r="C128" s="7">
        <v>0.1269</v>
      </c>
    </row>
    <row r="129" spans="1:3">
      <c r="A129" s="6" t="s">
        <v>307</v>
      </c>
      <c r="B129" s="6" t="s">
        <v>308</v>
      </c>
      <c r="C129" s="7">
        <v>0.0519</v>
      </c>
    </row>
    <row r="130" spans="1:3">
      <c r="A130" s="6" t="s">
        <v>1166</v>
      </c>
      <c r="B130" s="6" t="s">
        <v>1167</v>
      </c>
      <c r="C130" s="7">
        <v>0.1667</v>
      </c>
    </row>
    <row r="131" spans="1:3">
      <c r="A131" s="6" t="s">
        <v>1168</v>
      </c>
      <c r="B131" s="6" t="s">
        <v>1169</v>
      </c>
      <c r="C131" s="7">
        <v>0.05</v>
      </c>
    </row>
    <row r="132" spans="1:3">
      <c r="A132" s="6" t="s">
        <v>844</v>
      </c>
      <c r="B132" s="6" t="s">
        <v>845</v>
      </c>
      <c r="C132" s="7">
        <v>0.15</v>
      </c>
    </row>
    <row r="133" spans="1:3">
      <c r="A133" s="6" t="s">
        <v>309</v>
      </c>
      <c r="B133" s="6" t="s">
        <v>310</v>
      </c>
      <c r="C133" s="7">
        <v>0.4037</v>
      </c>
    </row>
    <row r="134" spans="1:3">
      <c r="A134" s="6" t="s">
        <v>1632</v>
      </c>
      <c r="B134" s="6" t="s">
        <v>1633</v>
      </c>
      <c r="C134" s="7">
        <v>0.2122</v>
      </c>
    </row>
    <row r="135" spans="1:3">
      <c r="A135" s="6" t="s">
        <v>311</v>
      </c>
      <c r="B135" s="6" t="s">
        <v>312</v>
      </c>
      <c r="C135" s="7">
        <v>0.056</v>
      </c>
    </row>
    <row r="136" spans="1:3">
      <c r="A136" s="6" t="s">
        <v>1170</v>
      </c>
      <c r="B136" s="6" t="s">
        <v>1171</v>
      </c>
      <c r="C136" s="7">
        <v>0.3433</v>
      </c>
    </row>
    <row r="137" spans="1:3">
      <c r="A137" s="6" t="s">
        <v>1172</v>
      </c>
      <c r="B137" s="6" t="s">
        <v>1173</v>
      </c>
      <c r="C137" s="7">
        <v>0.1857</v>
      </c>
    </row>
    <row r="138" spans="1:3">
      <c r="A138" s="6" t="s">
        <v>1634</v>
      </c>
      <c r="B138" s="6" t="s">
        <v>1635</v>
      </c>
      <c r="C138" s="7">
        <v>0.3324</v>
      </c>
    </row>
    <row r="139" spans="1:3">
      <c r="A139" s="6" t="s">
        <v>846</v>
      </c>
      <c r="B139" s="6" t="s">
        <v>847</v>
      </c>
      <c r="C139" s="7">
        <v>0.44</v>
      </c>
    </row>
    <row r="140" spans="1:3">
      <c r="A140" s="6" t="s">
        <v>848</v>
      </c>
      <c r="B140" s="6" t="s">
        <v>849</v>
      </c>
      <c r="C140" s="7">
        <v>0.5759</v>
      </c>
    </row>
    <row r="141" spans="1:3">
      <c r="A141" s="6" t="s">
        <v>608</v>
      </c>
      <c r="B141" s="6" t="s">
        <v>609</v>
      </c>
      <c r="C141" s="7">
        <v>0.1808</v>
      </c>
    </row>
    <row r="142" spans="1:3">
      <c r="A142" s="6" t="s">
        <v>1176</v>
      </c>
      <c r="B142" s="6" t="s">
        <v>1177</v>
      </c>
      <c r="C142" s="7">
        <v>0.2062</v>
      </c>
    </row>
    <row r="143" spans="1:3">
      <c r="A143" s="6" t="s">
        <v>610</v>
      </c>
      <c r="B143" s="6" t="s">
        <v>611</v>
      </c>
      <c r="C143" s="7">
        <v>0.4662</v>
      </c>
    </row>
    <row r="144" spans="1:3">
      <c r="A144" s="6" t="s">
        <v>612</v>
      </c>
      <c r="B144" s="6" t="s">
        <v>613</v>
      </c>
      <c r="C144" s="7">
        <v>0.2937</v>
      </c>
    </row>
    <row r="145" spans="1:3">
      <c r="A145" s="6" t="s">
        <v>1636</v>
      </c>
      <c r="B145" s="6" t="s">
        <v>1637</v>
      </c>
      <c r="C145" s="7">
        <v>0.366</v>
      </c>
    </row>
    <row r="146" spans="1:3">
      <c r="A146" s="6" t="s">
        <v>850</v>
      </c>
      <c r="B146" s="6" t="s">
        <v>851</v>
      </c>
      <c r="C146" s="7">
        <v>0.5312</v>
      </c>
    </row>
    <row r="147" spans="1:3">
      <c r="A147" s="6" t="s">
        <v>614</v>
      </c>
      <c r="B147" s="6" t="s">
        <v>615</v>
      </c>
      <c r="C147" s="7">
        <v>0.5271</v>
      </c>
    </row>
    <row r="148" spans="1:3">
      <c r="A148" s="6" t="s">
        <v>1567</v>
      </c>
      <c r="B148" s="6" t="s">
        <v>1568</v>
      </c>
      <c r="C148" s="7">
        <v>0.7375</v>
      </c>
    </row>
    <row r="149" spans="1:3">
      <c r="A149" s="6" t="s">
        <v>1638</v>
      </c>
      <c r="B149" s="6" t="s">
        <v>1639</v>
      </c>
      <c r="C149" s="7">
        <v>0.488</v>
      </c>
    </row>
    <row r="150" spans="1:3">
      <c r="A150" s="6" t="s">
        <v>1606</v>
      </c>
      <c r="B150" s="6" t="s">
        <v>1607</v>
      </c>
      <c r="C150" s="7">
        <v>0.1883</v>
      </c>
    </row>
    <row r="151" spans="1:3">
      <c r="A151" s="6" t="s">
        <v>1640</v>
      </c>
      <c r="B151" s="6" t="s">
        <v>1641</v>
      </c>
      <c r="C151" s="7">
        <v>0.3447</v>
      </c>
    </row>
    <row r="152" spans="1:3">
      <c r="A152" s="6" t="s">
        <v>1642</v>
      </c>
      <c r="B152" s="6" t="s">
        <v>1643</v>
      </c>
      <c r="C152" s="7">
        <v>0.1333</v>
      </c>
    </row>
    <row r="153" spans="1:3">
      <c r="A153" s="6" t="s">
        <v>1644</v>
      </c>
      <c r="B153" s="6" t="s">
        <v>1645</v>
      </c>
      <c r="C153" s="7">
        <v>0.3423</v>
      </c>
    </row>
    <row r="154" spans="1:3">
      <c r="A154" s="6" t="s">
        <v>852</v>
      </c>
      <c r="B154" s="6" t="s">
        <v>853</v>
      </c>
      <c r="C154" s="7">
        <v>0.554</v>
      </c>
    </row>
    <row r="155" spans="1:3">
      <c r="A155" s="6" t="s">
        <v>1646</v>
      </c>
      <c r="B155" s="6" t="s">
        <v>1647</v>
      </c>
      <c r="C155" s="7">
        <v>0.18</v>
      </c>
    </row>
    <row r="156" spans="1:3">
      <c r="A156" s="6" t="s">
        <v>1648</v>
      </c>
      <c r="B156" s="6" t="s">
        <v>1649</v>
      </c>
      <c r="C156" s="7">
        <v>0.6083</v>
      </c>
    </row>
    <row r="157" spans="1:3">
      <c r="A157" s="6" t="s">
        <v>1650</v>
      </c>
      <c r="B157" s="6" t="s">
        <v>1651</v>
      </c>
      <c r="C157" s="7">
        <v>0.4952</v>
      </c>
    </row>
    <row r="158" spans="1:3">
      <c r="A158" s="6" t="s">
        <v>1652</v>
      </c>
      <c r="B158" s="6" t="s">
        <v>1653</v>
      </c>
      <c r="C158" s="7">
        <v>0.5036</v>
      </c>
    </row>
    <row r="159" spans="1:3">
      <c r="A159" s="6" t="s">
        <v>1178</v>
      </c>
      <c r="B159" s="6" t="s">
        <v>1179</v>
      </c>
      <c r="C159" s="7">
        <v>0.5545</v>
      </c>
    </row>
    <row r="160" spans="1:3">
      <c r="A160" s="6" t="s">
        <v>313</v>
      </c>
      <c r="B160" s="6" t="s">
        <v>314</v>
      </c>
      <c r="C160" s="7">
        <v>0.374</v>
      </c>
    </row>
    <row r="161" spans="1:3">
      <c r="A161" s="6" t="s">
        <v>315</v>
      </c>
      <c r="B161" s="6" t="s">
        <v>316</v>
      </c>
      <c r="C161" s="7">
        <v>0.2969</v>
      </c>
    </row>
    <row r="162" spans="1:3">
      <c r="A162" s="6" t="s">
        <v>317</v>
      </c>
      <c r="B162" s="6" t="s">
        <v>318</v>
      </c>
      <c r="C162" s="7">
        <v>0.2778</v>
      </c>
    </row>
    <row r="163" spans="1:3">
      <c r="A163" s="6" t="s">
        <v>616</v>
      </c>
      <c r="B163" s="6" t="s">
        <v>617</v>
      </c>
      <c r="C163" s="7">
        <v>0.25</v>
      </c>
    </row>
    <row r="164" spans="1:3">
      <c r="A164" s="6" t="s">
        <v>618</v>
      </c>
      <c r="B164" s="6" t="s">
        <v>619</v>
      </c>
      <c r="C164" s="7">
        <v>0.2635</v>
      </c>
    </row>
    <row r="165" spans="1:3">
      <c r="A165" s="6" t="s">
        <v>620</v>
      </c>
      <c r="B165" s="6" t="s">
        <v>621</v>
      </c>
      <c r="C165" s="7">
        <v>0.3617</v>
      </c>
    </row>
    <row r="166" spans="1:3">
      <c r="A166" s="6" t="s">
        <v>622</v>
      </c>
      <c r="B166" s="6" t="s">
        <v>623</v>
      </c>
      <c r="C166" s="7">
        <v>0.4562</v>
      </c>
    </row>
    <row r="167" spans="1:3">
      <c r="A167" s="6" t="s">
        <v>854</v>
      </c>
      <c r="B167" s="6" t="s">
        <v>855</v>
      </c>
      <c r="C167" s="7">
        <v>0.1619</v>
      </c>
    </row>
    <row r="168" spans="1:3">
      <c r="A168" s="6" t="s">
        <v>1180</v>
      </c>
      <c r="B168" s="6" t="s">
        <v>1181</v>
      </c>
      <c r="C168" s="7">
        <v>0.7087</v>
      </c>
    </row>
    <row r="169" spans="1:3">
      <c r="A169" s="6" t="s">
        <v>856</v>
      </c>
      <c r="B169" s="6" t="s">
        <v>857</v>
      </c>
      <c r="C169" s="7">
        <v>0.181</v>
      </c>
    </row>
    <row r="170" spans="1:3">
      <c r="A170" s="6" t="s">
        <v>1513</v>
      </c>
      <c r="B170" s="6" t="s">
        <v>1514</v>
      </c>
      <c r="C170" s="7">
        <v>0.1571</v>
      </c>
    </row>
    <row r="171" spans="1:3">
      <c r="A171" s="6" t="s">
        <v>624</v>
      </c>
      <c r="B171" s="6" t="s">
        <v>625</v>
      </c>
      <c r="C171" s="7">
        <v>0.5519</v>
      </c>
    </row>
    <row r="172" spans="1:3">
      <c r="A172" s="6" t="s">
        <v>319</v>
      </c>
      <c r="B172" s="6" t="s">
        <v>320</v>
      </c>
      <c r="C172" s="7">
        <v>0.2786</v>
      </c>
    </row>
    <row r="173" spans="1:3">
      <c r="A173" s="6" t="s">
        <v>626</v>
      </c>
      <c r="B173" s="6" t="s">
        <v>627</v>
      </c>
      <c r="C173" s="7">
        <v>0.2712</v>
      </c>
    </row>
    <row r="174" spans="1:3">
      <c r="A174" s="6" t="s">
        <v>1464</v>
      </c>
      <c r="B174" s="6" t="s">
        <v>1465</v>
      </c>
      <c r="C174" s="7">
        <v>0.3176</v>
      </c>
    </row>
    <row r="175" spans="1:3">
      <c r="A175" s="6" t="s">
        <v>1711</v>
      </c>
      <c r="B175" s="6" t="s">
        <v>1712</v>
      </c>
      <c r="C175" s="7">
        <v>0.0594</v>
      </c>
    </row>
    <row r="176" spans="1:3">
      <c r="A176" s="6" t="s">
        <v>1466</v>
      </c>
      <c r="B176" s="6" t="s">
        <v>1467</v>
      </c>
      <c r="C176" s="7">
        <v>0.2618</v>
      </c>
    </row>
    <row r="177" spans="1:3">
      <c r="A177" s="6" t="s">
        <v>1608</v>
      </c>
      <c r="B177" s="6" t="s">
        <v>1609</v>
      </c>
      <c r="C177" s="7">
        <v>0.1862</v>
      </c>
    </row>
    <row r="178" spans="1:3">
      <c r="A178" s="6" t="s">
        <v>1610</v>
      </c>
      <c r="B178" s="6" t="s">
        <v>1611</v>
      </c>
      <c r="C178" s="7">
        <v>0.2457</v>
      </c>
    </row>
    <row r="179" spans="1:3">
      <c r="A179" s="6" t="s">
        <v>1417</v>
      </c>
      <c r="B179" s="6" t="s">
        <v>1418</v>
      </c>
      <c r="C179" s="7">
        <v>0.2206</v>
      </c>
    </row>
    <row r="180" spans="1:3">
      <c r="A180" s="6" t="s">
        <v>1612</v>
      </c>
      <c r="B180" s="6" t="s">
        <v>1613</v>
      </c>
      <c r="C180" s="7">
        <v>0.1615</v>
      </c>
    </row>
    <row r="181" spans="1:3">
      <c r="A181" s="6" t="s">
        <v>1419</v>
      </c>
      <c r="B181" s="6" t="s">
        <v>1420</v>
      </c>
      <c r="C181" s="7">
        <v>0.5875</v>
      </c>
    </row>
    <row r="182" spans="1:3">
      <c r="A182" s="6" t="s">
        <v>1740</v>
      </c>
      <c r="B182" s="6" t="s">
        <v>1741</v>
      </c>
      <c r="C182" s="7">
        <v>0.4357</v>
      </c>
    </row>
    <row r="183" spans="1:3">
      <c r="A183" s="6" t="s">
        <v>940</v>
      </c>
      <c r="B183" s="6" t="s">
        <v>941</v>
      </c>
      <c r="C183" s="7">
        <v>0.4</v>
      </c>
    </row>
    <row r="184" spans="1:3">
      <c r="A184" s="6" t="s">
        <v>1569</v>
      </c>
      <c r="B184" s="6" t="s">
        <v>1570</v>
      </c>
      <c r="C184" s="7">
        <v>0.2672</v>
      </c>
    </row>
    <row r="185" spans="1:3">
      <c r="A185" s="6" t="s">
        <v>1182</v>
      </c>
      <c r="B185" s="6" t="s">
        <v>1183</v>
      </c>
      <c r="C185" s="7">
        <v>0.1786</v>
      </c>
    </row>
    <row r="186" spans="1:3">
      <c r="A186" s="6" t="s">
        <v>1713</v>
      </c>
      <c r="B186" s="6" t="s">
        <v>1714</v>
      </c>
      <c r="C186" s="7">
        <v>0.2974</v>
      </c>
    </row>
    <row r="187" spans="1:3">
      <c r="A187" s="6" t="s">
        <v>628</v>
      </c>
      <c r="B187" s="6" t="s">
        <v>629</v>
      </c>
      <c r="C187" s="7">
        <v>0.45</v>
      </c>
    </row>
    <row r="188" spans="1:3">
      <c r="A188" s="6" t="s">
        <v>1903</v>
      </c>
      <c r="B188" s="6" t="s">
        <v>1904</v>
      </c>
      <c r="C188" s="7">
        <v>0.65</v>
      </c>
    </row>
    <row r="189" spans="1:3">
      <c r="A189" s="6" t="s">
        <v>1905</v>
      </c>
      <c r="B189" s="6" t="s">
        <v>1906</v>
      </c>
      <c r="C189" s="7">
        <v>0.5714</v>
      </c>
    </row>
    <row r="190" spans="1:3">
      <c r="A190" s="6" t="s">
        <v>1421</v>
      </c>
      <c r="B190" s="6" t="s">
        <v>1422</v>
      </c>
      <c r="C190" s="7">
        <v>0.4375</v>
      </c>
    </row>
    <row r="191" spans="1:3">
      <c r="A191" s="6" t="s">
        <v>1907</v>
      </c>
      <c r="B191" s="6" t="s">
        <v>1908</v>
      </c>
      <c r="C191" s="7">
        <v>0.181</v>
      </c>
    </row>
    <row r="192" spans="1:3">
      <c r="A192" s="6" t="s">
        <v>630</v>
      </c>
      <c r="B192" s="6" t="s">
        <v>631</v>
      </c>
      <c r="C192" s="7">
        <v>0.5917</v>
      </c>
    </row>
    <row r="193" spans="1:3">
      <c r="A193" s="6" t="s">
        <v>632</v>
      </c>
      <c r="B193" s="6" t="s">
        <v>633</v>
      </c>
      <c r="C193" s="7">
        <v>0.8794</v>
      </c>
    </row>
    <row r="194" spans="1:3">
      <c r="A194" s="6" t="s">
        <v>1773</v>
      </c>
      <c r="B194" s="6" t="s">
        <v>1774</v>
      </c>
      <c r="C194" s="7">
        <v>0.434</v>
      </c>
    </row>
    <row r="195" spans="1:3">
      <c r="A195" s="6" t="s">
        <v>1775</v>
      </c>
      <c r="B195" s="6" t="s">
        <v>1776</v>
      </c>
      <c r="C195" s="7">
        <v>0.3808</v>
      </c>
    </row>
    <row r="196" spans="1:3">
      <c r="A196" s="6" t="s">
        <v>1777</v>
      </c>
      <c r="B196" s="6" t="s">
        <v>1778</v>
      </c>
      <c r="C196" s="7">
        <v>0.5104</v>
      </c>
    </row>
    <row r="197" spans="1:3">
      <c r="A197" s="6" t="s">
        <v>1779</v>
      </c>
      <c r="B197" s="6" t="s">
        <v>1780</v>
      </c>
      <c r="C197" s="7">
        <v>0.4273</v>
      </c>
    </row>
    <row r="198" spans="1:3">
      <c r="A198" s="6" t="s">
        <v>1781</v>
      </c>
      <c r="B198" s="6" t="s">
        <v>1782</v>
      </c>
      <c r="C198" s="7">
        <v>0.4312</v>
      </c>
    </row>
    <row r="199" spans="1:3">
      <c r="A199" s="6" t="s">
        <v>1783</v>
      </c>
      <c r="B199" s="6" t="s">
        <v>1784</v>
      </c>
      <c r="C199" s="7">
        <v>0.4196</v>
      </c>
    </row>
    <row r="200" spans="1:3">
      <c r="A200" s="6" t="s">
        <v>1654</v>
      </c>
      <c r="B200" s="6" t="s">
        <v>1655</v>
      </c>
      <c r="C200" s="7">
        <v>0.4259</v>
      </c>
    </row>
    <row r="201" spans="1:3">
      <c r="A201" s="6" t="s">
        <v>1785</v>
      </c>
      <c r="B201" s="6" t="s">
        <v>1786</v>
      </c>
      <c r="C201" s="7">
        <v>0.424</v>
      </c>
    </row>
    <row r="202" spans="1:3">
      <c r="A202" s="6" t="s">
        <v>1787</v>
      </c>
      <c r="B202" s="6" t="s">
        <v>1788</v>
      </c>
      <c r="C202" s="7">
        <v>0.425</v>
      </c>
    </row>
    <row r="203" spans="1:3">
      <c r="A203" s="6" t="s">
        <v>1789</v>
      </c>
      <c r="B203" s="6" t="s">
        <v>1790</v>
      </c>
      <c r="C203" s="7">
        <v>0.4036</v>
      </c>
    </row>
    <row r="204" spans="1:3">
      <c r="A204" s="6" t="s">
        <v>1791</v>
      </c>
      <c r="B204" s="6" t="s">
        <v>1792</v>
      </c>
      <c r="C204" s="7">
        <v>0.442</v>
      </c>
    </row>
    <row r="205" spans="1:3">
      <c r="A205" s="6" t="s">
        <v>1793</v>
      </c>
      <c r="B205" s="6" t="s">
        <v>1794</v>
      </c>
      <c r="C205" s="7">
        <v>0.3625</v>
      </c>
    </row>
    <row r="206" spans="1:3">
      <c r="A206" s="6" t="s">
        <v>1795</v>
      </c>
      <c r="B206" s="6" t="s">
        <v>1796</v>
      </c>
      <c r="C206" s="7">
        <v>0.3808</v>
      </c>
    </row>
    <row r="207" spans="1:3">
      <c r="A207" s="6" t="s">
        <v>1797</v>
      </c>
      <c r="B207" s="6" t="s">
        <v>1798</v>
      </c>
      <c r="C207" s="7">
        <v>0.4</v>
      </c>
    </row>
    <row r="208" spans="1:3">
      <c r="A208" s="6" t="s">
        <v>1799</v>
      </c>
      <c r="B208" s="6" t="s">
        <v>1800</v>
      </c>
      <c r="C208" s="7">
        <v>0.45</v>
      </c>
    </row>
    <row r="209" spans="1:3">
      <c r="A209" s="6" t="s">
        <v>1801</v>
      </c>
      <c r="B209" s="6" t="s">
        <v>1802</v>
      </c>
      <c r="C209" s="7">
        <v>0.434</v>
      </c>
    </row>
    <row r="210" spans="1:3">
      <c r="A210" s="6" t="s">
        <v>1803</v>
      </c>
      <c r="B210" s="6" t="s">
        <v>1804</v>
      </c>
      <c r="C210" s="7">
        <v>0.4068</v>
      </c>
    </row>
    <row r="211" spans="1:3">
      <c r="A211" s="6" t="s">
        <v>1805</v>
      </c>
      <c r="B211" s="6" t="s">
        <v>1806</v>
      </c>
      <c r="C211" s="7">
        <v>0.3983</v>
      </c>
    </row>
    <row r="212" spans="1:3">
      <c r="A212" s="6" t="s">
        <v>1807</v>
      </c>
      <c r="B212" s="6" t="s">
        <v>1808</v>
      </c>
      <c r="C212" s="7">
        <v>0.3729</v>
      </c>
    </row>
    <row r="213" spans="1:3">
      <c r="A213" s="6" t="s">
        <v>1656</v>
      </c>
      <c r="B213" s="6" t="s">
        <v>1657</v>
      </c>
      <c r="C213" s="7">
        <v>0.4196</v>
      </c>
    </row>
    <row r="214" spans="1:3">
      <c r="A214" s="6" t="s">
        <v>1742</v>
      </c>
      <c r="B214" s="6" t="s">
        <v>1743</v>
      </c>
      <c r="C214" s="7">
        <v>0.3483</v>
      </c>
    </row>
    <row r="215" spans="1:3">
      <c r="A215" s="6" t="s">
        <v>1811</v>
      </c>
      <c r="B215" s="6" t="s">
        <v>1812</v>
      </c>
      <c r="C215" s="7">
        <v>0.4125</v>
      </c>
    </row>
    <row r="216" spans="1:3">
      <c r="A216" s="6" t="s">
        <v>1813</v>
      </c>
      <c r="B216" s="6" t="s">
        <v>1814</v>
      </c>
      <c r="C216" s="7">
        <v>0.414</v>
      </c>
    </row>
    <row r="217" spans="1:3">
      <c r="A217" s="6" t="s">
        <v>1815</v>
      </c>
      <c r="B217" s="6" t="s">
        <v>1816</v>
      </c>
      <c r="C217" s="7">
        <v>0.4717</v>
      </c>
    </row>
    <row r="218" spans="1:3">
      <c r="A218" s="6" t="s">
        <v>1817</v>
      </c>
      <c r="B218" s="6" t="s">
        <v>1818</v>
      </c>
      <c r="C218" s="7">
        <v>0.4196</v>
      </c>
    </row>
    <row r="219" spans="1:3">
      <c r="A219" s="6" t="s">
        <v>1819</v>
      </c>
      <c r="B219" s="6" t="s">
        <v>1820</v>
      </c>
      <c r="C219" s="7">
        <v>0.3625</v>
      </c>
    </row>
    <row r="220" spans="1:3">
      <c r="A220" s="6" t="s">
        <v>1821</v>
      </c>
      <c r="B220" s="6" t="s">
        <v>1822</v>
      </c>
      <c r="C220" s="7">
        <v>0.3696</v>
      </c>
    </row>
    <row r="221" spans="1:3">
      <c r="A221" s="6" t="s">
        <v>1823</v>
      </c>
      <c r="B221" s="6" t="s">
        <v>1824</v>
      </c>
      <c r="C221" s="7">
        <v>0.3891</v>
      </c>
    </row>
    <row r="222" spans="1:3">
      <c r="A222" s="6" t="s">
        <v>1825</v>
      </c>
      <c r="B222" s="6" t="s">
        <v>1826</v>
      </c>
      <c r="C222" s="7">
        <v>0.45</v>
      </c>
    </row>
    <row r="223" spans="1:3">
      <c r="A223" s="6" t="s">
        <v>1827</v>
      </c>
      <c r="B223" s="6" t="s">
        <v>1828</v>
      </c>
      <c r="C223" s="7">
        <v>0.482</v>
      </c>
    </row>
    <row r="224" spans="1:3">
      <c r="A224" s="6" t="s">
        <v>1829</v>
      </c>
      <c r="B224" s="6" t="s">
        <v>1830</v>
      </c>
      <c r="C224" s="7">
        <v>0.424</v>
      </c>
    </row>
    <row r="225" spans="1:3">
      <c r="A225" s="6" t="s">
        <v>1831</v>
      </c>
      <c r="B225" s="6" t="s">
        <v>1832</v>
      </c>
      <c r="C225" s="7">
        <v>0.4304</v>
      </c>
    </row>
    <row r="226" spans="1:3">
      <c r="A226" s="6" t="s">
        <v>1833</v>
      </c>
      <c r="B226" s="6" t="s">
        <v>1834</v>
      </c>
      <c r="C226" s="7">
        <v>0.4609</v>
      </c>
    </row>
    <row r="227" spans="1:3">
      <c r="A227" s="6" t="s">
        <v>1835</v>
      </c>
      <c r="B227" s="6" t="s">
        <v>1836</v>
      </c>
      <c r="C227" s="7">
        <v>0.4708</v>
      </c>
    </row>
    <row r="228" spans="1:3">
      <c r="A228" s="6" t="s">
        <v>1515</v>
      </c>
      <c r="B228" s="6" t="s">
        <v>1516</v>
      </c>
      <c r="C228" s="7">
        <v>0.3875</v>
      </c>
    </row>
    <row r="229" spans="1:3">
      <c r="A229" s="6" t="s">
        <v>1660</v>
      </c>
      <c r="B229" s="6" t="s">
        <v>1661</v>
      </c>
      <c r="C229" s="7">
        <v>0.1176</v>
      </c>
    </row>
    <row r="230" spans="1:3">
      <c r="A230" s="6" t="s">
        <v>1837</v>
      </c>
      <c r="B230" s="6" t="s">
        <v>1838</v>
      </c>
      <c r="C230" s="7">
        <v>0.1392</v>
      </c>
    </row>
    <row r="231" spans="1:3">
      <c r="A231" s="6" t="s">
        <v>1839</v>
      </c>
      <c r="B231" s="6" t="s">
        <v>1840</v>
      </c>
      <c r="C231" s="7">
        <v>0.2224</v>
      </c>
    </row>
    <row r="232" spans="1:3">
      <c r="A232" s="6" t="s">
        <v>1841</v>
      </c>
      <c r="B232" s="6" t="s">
        <v>1842</v>
      </c>
      <c r="C232" s="7">
        <v>0.2286</v>
      </c>
    </row>
    <row r="233" spans="1:3">
      <c r="A233" s="6" t="s">
        <v>1843</v>
      </c>
      <c r="B233" s="6" t="s">
        <v>1844</v>
      </c>
      <c r="C233" s="7">
        <v>0.2661</v>
      </c>
    </row>
    <row r="234" spans="1:3">
      <c r="A234" s="6" t="s">
        <v>1744</v>
      </c>
      <c r="B234" s="6" t="s">
        <v>1745</v>
      </c>
      <c r="C234" s="7">
        <v>0.3016</v>
      </c>
    </row>
    <row r="235" spans="1:3">
      <c r="A235" s="6" t="s">
        <v>1845</v>
      </c>
      <c r="B235" s="6" t="s">
        <v>1846</v>
      </c>
      <c r="C235" s="7">
        <v>0.2424</v>
      </c>
    </row>
    <row r="236" spans="1:3">
      <c r="A236" s="6" t="s">
        <v>1847</v>
      </c>
      <c r="B236" s="6" t="s">
        <v>1848</v>
      </c>
      <c r="C236" s="7">
        <v>0.1889</v>
      </c>
    </row>
    <row r="237" spans="1:3">
      <c r="A237" s="6" t="s">
        <v>1746</v>
      </c>
      <c r="B237" s="6" t="s">
        <v>1747</v>
      </c>
      <c r="C237" s="7">
        <v>0.1992</v>
      </c>
    </row>
    <row r="238" spans="1:3">
      <c r="A238" s="6" t="s">
        <v>1849</v>
      </c>
      <c r="B238" s="6" t="s">
        <v>1850</v>
      </c>
      <c r="C238" s="7">
        <v>0.2338</v>
      </c>
    </row>
    <row r="239" spans="1:3">
      <c r="A239" s="6" t="s">
        <v>1748</v>
      </c>
      <c r="B239" s="6" t="s">
        <v>1749</v>
      </c>
      <c r="C239" s="7">
        <v>0.2225</v>
      </c>
    </row>
    <row r="240" spans="1:3">
      <c r="A240" s="6" t="s">
        <v>1715</v>
      </c>
      <c r="B240" s="6" t="s">
        <v>1716</v>
      </c>
      <c r="C240" s="7">
        <v>0.27</v>
      </c>
    </row>
    <row r="241" spans="1:3">
      <c r="A241" s="6" t="s">
        <v>1571</v>
      </c>
      <c r="B241" s="6" t="s">
        <v>1572</v>
      </c>
      <c r="C241" s="7">
        <v>0.3372</v>
      </c>
    </row>
    <row r="242" spans="1:3">
      <c r="A242" s="6" t="s">
        <v>321</v>
      </c>
      <c r="B242" s="6" t="s">
        <v>322</v>
      </c>
      <c r="C242" s="7">
        <v>0.33</v>
      </c>
    </row>
    <row r="243" spans="1:3">
      <c r="A243" s="6" t="s">
        <v>1717</v>
      </c>
      <c r="B243" s="6" t="s">
        <v>1718</v>
      </c>
      <c r="C243" s="7">
        <v>0.1972</v>
      </c>
    </row>
    <row r="244" spans="1:3">
      <c r="A244" s="6" t="s">
        <v>1423</v>
      </c>
      <c r="B244" s="6" t="s">
        <v>1424</v>
      </c>
      <c r="C244" s="7">
        <v>0.3974</v>
      </c>
    </row>
    <row r="245" spans="1:3">
      <c r="A245" s="6" t="s">
        <v>1470</v>
      </c>
      <c r="B245" s="6" t="s">
        <v>1471</v>
      </c>
      <c r="C245" s="7">
        <v>0.4154</v>
      </c>
    </row>
    <row r="246" spans="1:3">
      <c r="A246" s="6" t="s">
        <v>1425</v>
      </c>
      <c r="B246" s="6" t="s">
        <v>1426</v>
      </c>
      <c r="C246" s="7">
        <v>0.2833</v>
      </c>
    </row>
    <row r="247" spans="1:3">
      <c r="A247" s="6" t="s">
        <v>1472</v>
      </c>
      <c r="B247" s="6" t="s">
        <v>1473</v>
      </c>
      <c r="C247" s="7">
        <v>0.1808</v>
      </c>
    </row>
    <row r="248" spans="1:3">
      <c r="A248" s="6" t="s">
        <v>1184</v>
      </c>
      <c r="B248" s="6" t="s">
        <v>1185</v>
      </c>
      <c r="C248" s="7">
        <v>0.4167</v>
      </c>
    </row>
    <row r="249" spans="1:3">
      <c r="A249" s="6" t="s">
        <v>1573</v>
      </c>
      <c r="B249" s="6" t="s">
        <v>1574</v>
      </c>
      <c r="C249" s="7">
        <v>0.6329</v>
      </c>
    </row>
    <row r="250" spans="1:3">
      <c r="A250" s="6" t="s">
        <v>1662</v>
      </c>
      <c r="B250" s="6" t="s">
        <v>1663</v>
      </c>
      <c r="C250" s="7">
        <v>0.33</v>
      </c>
    </row>
    <row r="251" spans="1:3">
      <c r="A251" s="6" t="s">
        <v>944</v>
      </c>
      <c r="B251" s="6" t="s">
        <v>945</v>
      </c>
      <c r="C251" s="7">
        <v>0.5783</v>
      </c>
    </row>
    <row r="252" spans="1:3">
      <c r="A252" s="6" t="s">
        <v>1750</v>
      </c>
      <c r="B252" s="6" t="s">
        <v>1751</v>
      </c>
      <c r="C252" s="7">
        <v>0.3675</v>
      </c>
    </row>
    <row r="253" spans="1:3">
      <c r="A253" s="6" t="s">
        <v>1664</v>
      </c>
      <c r="B253" s="6" t="s">
        <v>1665</v>
      </c>
      <c r="C253" s="7">
        <v>0.2083</v>
      </c>
    </row>
    <row r="254" spans="1:3">
      <c r="A254" s="6" t="s">
        <v>946</v>
      </c>
      <c r="B254" s="6" t="s">
        <v>947</v>
      </c>
      <c r="C254" s="7">
        <v>0.3688</v>
      </c>
    </row>
    <row r="255" spans="1:3">
      <c r="A255" s="6" t="s">
        <v>1186</v>
      </c>
      <c r="B255" s="6" t="s">
        <v>1187</v>
      </c>
      <c r="C255" s="7">
        <v>0.22</v>
      </c>
    </row>
    <row r="256" spans="1:3">
      <c r="A256" s="6" t="s">
        <v>948</v>
      </c>
      <c r="B256" s="6" t="s">
        <v>949</v>
      </c>
      <c r="C256" s="7">
        <v>0.2281</v>
      </c>
    </row>
    <row r="257" spans="1:3">
      <c r="A257" s="6" t="s">
        <v>1188</v>
      </c>
      <c r="B257" s="6" t="s">
        <v>1189</v>
      </c>
      <c r="C257" s="7">
        <v>0.7071</v>
      </c>
    </row>
    <row r="258" spans="1:3">
      <c r="A258" s="6" t="s">
        <v>952</v>
      </c>
      <c r="B258" s="6" t="s">
        <v>953</v>
      </c>
      <c r="C258" s="7">
        <v>0.3029</v>
      </c>
    </row>
    <row r="259" spans="1:3">
      <c r="A259" s="6" t="s">
        <v>1190</v>
      </c>
      <c r="B259" s="6" t="s">
        <v>1191</v>
      </c>
      <c r="C259" s="7">
        <v>0.1875</v>
      </c>
    </row>
    <row r="260" spans="1:3">
      <c r="A260" s="6" t="s">
        <v>1192</v>
      </c>
      <c r="B260" s="6" t="s">
        <v>1193</v>
      </c>
      <c r="C260" s="7">
        <v>0.1188</v>
      </c>
    </row>
    <row r="261" spans="1:3">
      <c r="A261" s="6" t="s">
        <v>858</v>
      </c>
      <c r="B261" s="6" t="s">
        <v>859</v>
      </c>
      <c r="C261" s="7">
        <v>0.7375</v>
      </c>
    </row>
    <row r="262" spans="1:3">
      <c r="A262" s="6" t="s">
        <v>954</v>
      </c>
      <c r="B262" s="6" t="s">
        <v>955</v>
      </c>
      <c r="C262" s="7">
        <v>0.3133</v>
      </c>
    </row>
    <row r="263" spans="1:3">
      <c r="A263" s="6" t="s">
        <v>956</v>
      </c>
      <c r="B263" s="6" t="s">
        <v>957</v>
      </c>
      <c r="C263" s="7">
        <v>0.038</v>
      </c>
    </row>
    <row r="264" spans="1:3">
      <c r="A264" s="6" t="s">
        <v>1194</v>
      </c>
      <c r="B264" s="6" t="s">
        <v>1195</v>
      </c>
      <c r="C264" s="7">
        <v>0.2167</v>
      </c>
    </row>
    <row r="265" spans="1:3">
      <c r="A265" s="6" t="s">
        <v>1474</v>
      </c>
      <c r="B265" s="6" t="s">
        <v>1475</v>
      </c>
      <c r="C265" s="7">
        <v>0.1</v>
      </c>
    </row>
    <row r="266" spans="1:3">
      <c r="A266" s="6" t="s">
        <v>960</v>
      </c>
      <c r="B266" s="6" t="s">
        <v>961</v>
      </c>
      <c r="C266" s="7">
        <v>0.3463</v>
      </c>
    </row>
    <row r="267" spans="1:3">
      <c r="A267" s="6" t="s">
        <v>1879</v>
      </c>
      <c r="B267" s="6" t="s">
        <v>1880</v>
      </c>
      <c r="C267" s="7">
        <v>0</v>
      </c>
    </row>
    <row r="268" spans="1:3">
      <c r="A268" s="6" t="s">
        <v>1476</v>
      </c>
      <c r="B268" s="6" t="s">
        <v>1477</v>
      </c>
      <c r="C268" s="7">
        <v>0.2018</v>
      </c>
    </row>
    <row r="269" spans="1:3">
      <c r="A269" s="6" t="s">
        <v>1851</v>
      </c>
      <c r="B269" s="6" t="s">
        <v>1852</v>
      </c>
      <c r="C269" s="7">
        <v>0.4</v>
      </c>
    </row>
    <row r="270" spans="1:3">
      <c r="A270" s="6" t="s">
        <v>1575</v>
      </c>
      <c r="B270" s="6" t="s">
        <v>1576</v>
      </c>
      <c r="C270" s="7">
        <v>0</v>
      </c>
    </row>
    <row r="271" spans="1:3">
      <c r="A271" s="6" t="s">
        <v>1853</v>
      </c>
      <c r="B271" s="6" t="s">
        <v>1854</v>
      </c>
      <c r="C271" s="7">
        <v>0</v>
      </c>
    </row>
    <row r="272" spans="1:3">
      <c r="A272" s="6" t="s">
        <v>1577</v>
      </c>
      <c r="B272" s="6" t="s">
        <v>1578</v>
      </c>
      <c r="C272" s="7">
        <v>0.5433</v>
      </c>
    </row>
    <row r="273" spans="1:3">
      <c r="A273" s="6" t="s">
        <v>1478</v>
      </c>
      <c r="B273" s="6" t="s">
        <v>1479</v>
      </c>
      <c r="C273" s="7">
        <v>0.1733</v>
      </c>
    </row>
    <row r="274" spans="1:3">
      <c r="A274" s="6" t="s">
        <v>1579</v>
      </c>
      <c r="B274" s="6" t="s">
        <v>1580</v>
      </c>
      <c r="C274" s="7">
        <v>0.4868</v>
      </c>
    </row>
    <row r="275" spans="1:3">
      <c r="A275" s="6" t="s">
        <v>1480</v>
      </c>
      <c r="B275" s="6" t="s">
        <v>1481</v>
      </c>
      <c r="C275" s="7">
        <v>0.7021</v>
      </c>
    </row>
    <row r="276" spans="1:3">
      <c r="A276" s="6" t="s">
        <v>1198</v>
      </c>
      <c r="B276" s="6" t="s">
        <v>1199</v>
      </c>
      <c r="C276" s="7">
        <v>0.71</v>
      </c>
    </row>
    <row r="277" spans="1:3">
      <c r="A277" s="6" t="s">
        <v>323</v>
      </c>
      <c r="B277" s="6" t="s">
        <v>324</v>
      </c>
      <c r="C277" s="7">
        <v>0.575</v>
      </c>
    </row>
    <row r="278" spans="1:3">
      <c r="A278" s="6" t="s">
        <v>1200</v>
      </c>
      <c r="B278" s="6" t="s">
        <v>1201</v>
      </c>
      <c r="C278" s="7">
        <v>0.6643</v>
      </c>
    </row>
    <row r="279" spans="1:3">
      <c r="A279" s="6" t="s">
        <v>636</v>
      </c>
      <c r="B279" s="6" t="s">
        <v>637</v>
      </c>
      <c r="C279" s="7">
        <v>0.71</v>
      </c>
    </row>
    <row r="280" spans="1:3">
      <c r="A280" s="6" t="s">
        <v>860</v>
      </c>
      <c r="B280" s="6" t="s">
        <v>861</v>
      </c>
      <c r="C280" s="7">
        <v>0.7744</v>
      </c>
    </row>
    <row r="281" spans="1:3">
      <c r="A281" s="6" t="s">
        <v>1202</v>
      </c>
      <c r="B281" s="6" t="s">
        <v>1203</v>
      </c>
      <c r="C281" s="7">
        <v>0.6294</v>
      </c>
    </row>
    <row r="282" spans="1:3">
      <c r="A282" s="6" t="s">
        <v>1581</v>
      </c>
      <c r="B282" s="6" t="s">
        <v>1582</v>
      </c>
      <c r="C282" s="7">
        <v>0.8143</v>
      </c>
    </row>
    <row r="283" spans="1:3">
      <c r="A283" s="6" t="s">
        <v>962</v>
      </c>
      <c r="B283" s="6" t="s">
        <v>963</v>
      </c>
      <c r="C283" s="7">
        <v>0.5483</v>
      </c>
    </row>
    <row r="284" spans="1:3">
      <c r="A284" s="6" t="s">
        <v>1429</v>
      </c>
      <c r="B284" s="6" t="s">
        <v>1430</v>
      </c>
      <c r="C284" s="7">
        <v>0.6138</v>
      </c>
    </row>
    <row r="285" spans="1:3">
      <c r="A285" s="6" t="s">
        <v>964</v>
      </c>
      <c r="B285" s="6" t="s">
        <v>965</v>
      </c>
      <c r="C285" s="7">
        <v>0.5607</v>
      </c>
    </row>
    <row r="286" spans="1:3">
      <c r="A286" s="6" t="s">
        <v>966</v>
      </c>
      <c r="B286" s="6" t="s">
        <v>967</v>
      </c>
      <c r="C286" s="7">
        <v>0.0594</v>
      </c>
    </row>
    <row r="287" spans="1:3">
      <c r="A287" s="6" t="s">
        <v>968</v>
      </c>
      <c r="B287" s="6" t="s">
        <v>969</v>
      </c>
      <c r="C287" s="7">
        <v>0.3207</v>
      </c>
    </row>
    <row r="288" spans="1:3">
      <c r="A288" s="6" t="s">
        <v>970</v>
      </c>
      <c r="B288" s="6" t="s">
        <v>971</v>
      </c>
      <c r="C288" s="7">
        <v>0.3458</v>
      </c>
    </row>
    <row r="289" spans="1:3">
      <c r="A289" s="6" t="s">
        <v>1206</v>
      </c>
      <c r="B289" s="6" t="s">
        <v>1207</v>
      </c>
      <c r="C289" s="7">
        <v>0.6065</v>
      </c>
    </row>
    <row r="290" spans="1:3">
      <c r="A290" s="6" t="s">
        <v>1666</v>
      </c>
      <c r="B290" s="6" t="s">
        <v>1667</v>
      </c>
      <c r="C290" s="7">
        <v>0.4273</v>
      </c>
    </row>
    <row r="291" spans="1:3">
      <c r="A291" s="6" t="s">
        <v>1208</v>
      </c>
      <c r="B291" s="6" t="s">
        <v>1209</v>
      </c>
      <c r="C291" s="7">
        <v>0.07</v>
      </c>
    </row>
    <row r="292" spans="1:3">
      <c r="A292" s="6" t="s">
        <v>1866</v>
      </c>
      <c r="B292" s="6" t="s">
        <v>1867</v>
      </c>
      <c r="C292" s="7">
        <v>0</v>
      </c>
    </row>
    <row r="293" spans="1:3">
      <c r="A293" s="6" t="s">
        <v>1868</v>
      </c>
      <c r="B293" s="6" t="s">
        <v>1869</v>
      </c>
      <c r="C293" s="7">
        <v>0.21</v>
      </c>
    </row>
    <row r="294" spans="1:3">
      <c r="A294" s="6" t="s">
        <v>1210</v>
      </c>
      <c r="B294" s="6" t="s">
        <v>1211</v>
      </c>
      <c r="C294" s="7">
        <v>0</v>
      </c>
    </row>
    <row r="295" spans="1:3">
      <c r="A295" s="6" t="s">
        <v>1212</v>
      </c>
      <c r="B295" s="6" t="s">
        <v>1213</v>
      </c>
      <c r="C295" s="7">
        <v>0.4679</v>
      </c>
    </row>
    <row r="296" spans="1:3">
      <c r="A296" s="6" t="s">
        <v>1482</v>
      </c>
      <c r="B296" s="6" t="s">
        <v>1483</v>
      </c>
      <c r="C296" s="7">
        <v>0.07</v>
      </c>
    </row>
    <row r="297" spans="1:3">
      <c r="A297" s="6" t="s">
        <v>1214</v>
      </c>
      <c r="B297" s="6" t="s">
        <v>1215</v>
      </c>
      <c r="C297" s="7">
        <v>0.4381</v>
      </c>
    </row>
    <row r="298" spans="1:3">
      <c r="A298" s="6" t="s">
        <v>638</v>
      </c>
      <c r="B298" s="6" t="s">
        <v>639</v>
      </c>
      <c r="C298" s="7">
        <v>0.1495</v>
      </c>
    </row>
    <row r="299" spans="1:3">
      <c r="A299" s="6" t="s">
        <v>1719</v>
      </c>
      <c r="B299" s="6" t="s">
        <v>1720</v>
      </c>
      <c r="C299" s="7">
        <v>0.2136</v>
      </c>
    </row>
    <row r="300" spans="1:3">
      <c r="A300" s="6" t="s">
        <v>1616</v>
      </c>
      <c r="B300" s="6" t="s">
        <v>1617</v>
      </c>
      <c r="C300" s="7">
        <v>0.1829</v>
      </c>
    </row>
    <row r="301" spans="1:3">
      <c r="A301" s="6" t="s">
        <v>1583</v>
      </c>
      <c r="B301" s="6" t="s">
        <v>1584</v>
      </c>
      <c r="C301" s="7">
        <v>0.1958</v>
      </c>
    </row>
    <row r="302" spans="1:3">
      <c r="A302" s="6" t="s">
        <v>1431</v>
      </c>
      <c r="B302" s="6" t="s">
        <v>1432</v>
      </c>
      <c r="C302" s="7">
        <v>0.3227</v>
      </c>
    </row>
    <row r="303" spans="1:3">
      <c r="A303" s="6" t="s">
        <v>1752</v>
      </c>
      <c r="B303" s="6" t="s">
        <v>1753</v>
      </c>
      <c r="C303" s="7">
        <v>0.2773</v>
      </c>
    </row>
    <row r="304" spans="1:3">
      <c r="A304" s="6" t="s">
        <v>1433</v>
      </c>
      <c r="B304" s="6" t="s">
        <v>1434</v>
      </c>
      <c r="C304" s="7">
        <v>0.0864</v>
      </c>
    </row>
    <row r="305" spans="1:3">
      <c r="A305" s="6" t="s">
        <v>1668</v>
      </c>
      <c r="B305" s="6" t="s">
        <v>1669</v>
      </c>
      <c r="C305" s="7">
        <v>0.1958</v>
      </c>
    </row>
    <row r="306" spans="1:3">
      <c r="A306" s="6" t="s">
        <v>1670</v>
      </c>
      <c r="B306" s="6" t="s">
        <v>1671</v>
      </c>
      <c r="C306" s="7">
        <v>0.14</v>
      </c>
    </row>
    <row r="307" spans="1:3">
      <c r="A307" s="6" t="s">
        <v>1618</v>
      </c>
      <c r="B307" s="6" t="s">
        <v>1619</v>
      </c>
      <c r="C307" s="7">
        <v>0.1775</v>
      </c>
    </row>
    <row r="308" spans="1:3">
      <c r="A308" s="6" t="s">
        <v>325</v>
      </c>
      <c r="B308" s="6" t="s">
        <v>326</v>
      </c>
      <c r="C308" s="7">
        <v>0.163</v>
      </c>
    </row>
    <row r="309" spans="1:3">
      <c r="A309" s="6" t="s">
        <v>862</v>
      </c>
      <c r="B309" s="6" t="s">
        <v>863</v>
      </c>
      <c r="C309" s="7">
        <v>0.1958</v>
      </c>
    </row>
    <row r="310" spans="1:3">
      <c r="A310" s="6" t="s">
        <v>1216</v>
      </c>
      <c r="B310" s="6" t="s">
        <v>1217</v>
      </c>
      <c r="C310" s="7">
        <v>0.1167</v>
      </c>
    </row>
    <row r="311" spans="1:3">
      <c r="A311" s="6" t="s">
        <v>1855</v>
      </c>
      <c r="B311" s="6" t="s">
        <v>1856</v>
      </c>
      <c r="C311" s="7">
        <v>0.3452</v>
      </c>
    </row>
    <row r="312" spans="1:3">
      <c r="A312" s="6" t="s">
        <v>1218</v>
      </c>
      <c r="B312" s="6" t="s">
        <v>1219</v>
      </c>
      <c r="C312" s="7">
        <v>0.313</v>
      </c>
    </row>
    <row r="313" spans="1:3">
      <c r="A313" s="6" t="s">
        <v>1435</v>
      </c>
      <c r="B313" s="6" t="s">
        <v>1436</v>
      </c>
      <c r="C313" s="7">
        <v>0.2568</v>
      </c>
    </row>
    <row r="314" spans="1:3">
      <c r="A314" s="6" t="s">
        <v>1672</v>
      </c>
      <c r="B314" s="6" t="s">
        <v>1673</v>
      </c>
      <c r="C314" s="7">
        <v>0.2222</v>
      </c>
    </row>
    <row r="315" spans="1:3">
      <c r="A315" s="6" t="s">
        <v>1721</v>
      </c>
      <c r="B315" s="6" t="s">
        <v>1722</v>
      </c>
      <c r="C315" s="7">
        <v>0.2346</v>
      </c>
    </row>
    <row r="316" spans="1:3">
      <c r="A316" s="6" t="s">
        <v>1857</v>
      </c>
      <c r="B316" s="6" t="s">
        <v>1858</v>
      </c>
      <c r="C316" s="7">
        <v>0.2083</v>
      </c>
    </row>
    <row r="317" spans="1:3">
      <c r="A317" s="6" t="s">
        <v>1723</v>
      </c>
      <c r="B317" s="6" t="s">
        <v>1724</v>
      </c>
      <c r="C317" s="7">
        <v>0.1794</v>
      </c>
    </row>
    <row r="318" spans="1:3">
      <c r="A318" s="6" t="s">
        <v>1725</v>
      </c>
      <c r="B318" s="6" t="s">
        <v>1726</v>
      </c>
      <c r="C318" s="7">
        <v>0.2885</v>
      </c>
    </row>
    <row r="319" spans="1:3">
      <c r="A319" s="6" t="s">
        <v>1674</v>
      </c>
      <c r="B319" s="6" t="s">
        <v>1675</v>
      </c>
      <c r="C319" s="7">
        <v>0.2237</v>
      </c>
    </row>
    <row r="320" spans="1:3">
      <c r="A320" s="6" t="s">
        <v>1437</v>
      </c>
      <c r="B320" s="6" t="s">
        <v>1438</v>
      </c>
      <c r="C320" s="7">
        <v>0.2625</v>
      </c>
    </row>
    <row r="321" spans="1:3">
      <c r="A321" s="6" t="s">
        <v>1727</v>
      </c>
      <c r="B321" s="6" t="s">
        <v>1728</v>
      </c>
      <c r="C321" s="7">
        <v>0.33</v>
      </c>
    </row>
    <row r="322" spans="1:3">
      <c r="A322" s="6" t="s">
        <v>1676</v>
      </c>
      <c r="B322" s="6" t="s">
        <v>1677</v>
      </c>
      <c r="C322" s="7">
        <v>0.1941</v>
      </c>
    </row>
    <row r="323" spans="1:3">
      <c r="A323" s="6" t="s">
        <v>1439</v>
      </c>
      <c r="B323" s="6" t="s">
        <v>1440</v>
      </c>
      <c r="C323" s="7">
        <v>0.2711</v>
      </c>
    </row>
    <row r="324" spans="1:3">
      <c r="A324" s="6" t="s">
        <v>1678</v>
      </c>
      <c r="B324" s="6" t="s">
        <v>1679</v>
      </c>
      <c r="C324" s="7">
        <v>0.1375</v>
      </c>
    </row>
    <row r="325" spans="1:3">
      <c r="A325" s="6" t="s">
        <v>1680</v>
      </c>
      <c r="B325" s="6" t="s">
        <v>1681</v>
      </c>
      <c r="C325" s="7">
        <v>0.4317</v>
      </c>
    </row>
    <row r="326" spans="1:3">
      <c r="A326" s="6" t="s">
        <v>1220</v>
      </c>
      <c r="B326" s="6" t="s">
        <v>1221</v>
      </c>
      <c r="C326" s="7">
        <v>0.2008</v>
      </c>
    </row>
    <row r="327" spans="1:3">
      <c r="A327" s="6" t="s">
        <v>1484</v>
      </c>
      <c r="B327" s="6" t="s">
        <v>1485</v>
      </c>
      <c r="C327" s="7">
        <v>0.0778</v>
      </c>
    </row>
    <row r="328" spans="1:3">
      <c r="A328" s="6" t="s">
        <v>1859</v>
      </c>
      <c r="B328" s="6" t="s">
        <v>1860</v>
      </c>
      <c r="C328" s="7">
        <v>0.1867</v>
      </c>
    </row>
    <row r="329" spans="1:3">
      <c r="A329" s="6" t="s">
        <v>1872</v>
      </c>
      <c r="B329" s="6" t="s">
        <v>1873</v>
      </c>
      <c r="C329" s="7">
        <v>0.1306</v>
      </c>
    </row>
    <row r="330" spans="1:3">
      <c r="A330" s="6" t="s">
        <v>1754</v>
      </c>
      <c r="B330" s="6" t="s">
        <v>1755</v>
      </c>
      <c r="C330" s="7">
        <v>0.0528</v>
      </c>
    </row>
    <row r="331" spans="1:3">
      <c r="A331" s="6" t="s">
        <v>1222</v>
      </c>
      <c r="B331" s="6" t="s">
        <v>1223</v>
      </c>
      <c r="C331" s="7">
        <v>0.1583</v>
      </c>
    </row>
    <row r="332" spans="1:3">
      <c r="A332" s="6" t="s">
        <v>1486</v>
      </c>
      <c r="B332" s="6" t="s">
        <v>1487</v>
      </c>
      <c r="C332" s="7">
        <v>0.1875</v>
      </c>
    </row>
    <row r="333" spans="1:3">
      <c r="A333" s="6" t="s">
        <v>1224</v>
      </c>
      <c r="B333" s="6" t="s">
        <v>1225</v>
      </c>
      <c r="C333" s="7">
        <v>0.1612</v>
      </c>
    </row>
    <row r="334" spans="1:3">
      <c r="A334" s="6" t="s">
        <v>1441</v>
      </c>
      <c r="B334" s="6" t="s">
        <v>1442</v>
      </c>
      <c r="C334" s="7">
        <v>0.304</v>
      </c>
    </row>
    <row r="335" spans="1:3">
      <c r="A335" s="6" t="s">
        <v>1684</v>
      </c>
      <c r="B335" s="6" t="s">
        <v>1685</v>
      </c>
      <c r="C335" s="7">
        <v>0.345</v>
      </c>
    </row>
    <row r="336" spans="1:3">
      <c r="A336" s="6" t="s">
        <v>1686</v>
      </c>
      <c r="B336" s="6" t="s">
        <v>1687</v>
      </c>
      <c r="C336" s="7">
        <v>0.2647</v>
      </c>
    </row>
    <row r="337" spans="1:3">
      <c r="A337" s="6" t="s">
        <v>1226</v>
      </c>
      <c r="B337" s="6" t="s">
        <v>1227</v>
      </c>
      <c r="C337" s="7">
        <v>0.315</v>
      </c>
    </row>
    <row r="338" spans="1:3">
      <c r="A338" s="6" t="s">
        <v>1688</v>
      </c>
      <c r="B338" s="6" t="s">
        <v>1689</v>
      </c>
      <c r="C338" s="7">
        <v>0.4239</v>
      </c>
    </row>
    <row r="339" spans="1:3">
      <c r="A339" s="6" t="s">
        <v>1690</v>
      </c>
      <c r="B339" s="6" t="s">
        <v>1691</v>
      </c>
      <c r="C339" s="7">
        <v>0.435</v>
      </c>
    </row>
    <row r="340" spans="1:3">
      <c r="A340" s="6" t="s">
        <v>640</v>
      </c>
      <c r="B340" s="6" t="s">
        <v>641</v>
      </c>
      <c r="C340" s="7">
        <v>0.0792</v>
      </c>
    </row>
    <row r="341" spans="1:3">
      <c r="A341" s="6" t="s">
        <v>642</v>
      </c>
      <c r="B341" s="6" t="s">
        <v>643</v>
      </c>
      <c r="C341" s="7">
        <v>0</v>
      </c>
    </row>
    <row r="342" spans="1:3">
      <c r="A342" s="6" t="s">
        <v>1729</v>
      </c>
      <c r="B342" s="6" t="s">
        <v>1730</v>
      </c>
      <c r="C342" s="7">
        <v>0.4154</v>
      </c>
    </row>
    <row r="343" spans="1:3">
      <c r="A343" s="6" t="s">
        <v>1228</v>
      </c>
      <c r="B343" s="6" t="s">
        <v>1229</v>
      </c>
      <c r="C343" s="7">
        <v>0.6357</v>
      </c>
    </row>
    <row r="344" spans="1:3">
      <c r="A344" s="6" t="s">
        <v>1692</v>
      </c>
      <c r="B344" s="6" t="s">
        <v>1693</v>
      </c>
      <c r="C344" s="7">
        <v>0.0594</v>
      </c>
    </row>
    <row r="345" spans="1:3">
      <c r="A345" s="6" t="s">
        <v>1694</v>
      </c>
      <c r="B345" s="6" t="s">
        <v>1695</v>
      </c>
      <c r="C345" s="7">
        <v>0.1188</v>
      </c>
    </row>
    <row r="346" spans="1:3">
      <c r="A346" s="6" t="s">
        <v>327</v>
      </c>
      <c r="B346" s="6" t="s">
        <v>328</v>
      </c>
      <c r="C346" s="7">
        <v>0.2065</v>
      </c>
    </row>
    <row r="347" spans="1:3">
      <c r="A347" s="6" t="s">
        <v>1488</v>
      </c>
      <c r="B347" s="6" t="s">
        <v>1489</v>
      </c>
      <c r="C347" s="7">
        <v>0.19</v>
      </c>
    </row>
    <row r="348" spans="1:3">
      <c r="A348" s="6" t="s">
        <v>1230</v>
      </c>
      <c r="B348" s="6" t="s">
        <v>1231</v>
      </c>
      <c r="C348" s="7">
        <v>0.1239</v>
      </c>
    </row>
    <row r="349" spans="1:3">
      <c r="A349" s="6" t="s">
        <v>1232</v>
      </c>
      <c r="B349" s="6" t="s">
        <v>1233</v>
      </c>
      <c r="C349" s="7">
        <v>0.9353</v>
      </c>
    </row>
    <row r="350" spans="1:3">
      <c r="A350" s="6" t="s">
        <v>1234</v>
      </c>
      <c r="B350" s="6" t="s">
        <v>1235</v>
      </c>
      <c r="C350" s="7">
        <v>0.2143</v>
      </c>
    </row>
    <row r="351" spans="1:3">
      <c r="A351" s="6" t="s">
        <v>1236</v>
      </c>
      <c r="B351" s="6" t="s">
        <v>1237</v>
      </c>
      <c r="C351" s="7">
        <v>0.1267</v>
      </c>
    </row>
    <row r="352" spans="1:3">
      <c r="A352" s="6" t="s">
        <v>1238</v>
      </c>
      <c r="B352" s="6" t="s">
        <v>1239</v>
      </c>
      <c r="C352" s="7">
        <v>0.0864</v>
      </c>
    </row>
    <row r="353" spans="1:3">
      <c r="A353" s="6" t="s">
        <v>1240</v>
      </c>
      <c r="B353" s="6" t="s">
        <v>1241</v>
      </c>
      <c r="C353" s="7">
        <v>0.2977</v>
      </c>
    </row>
    <row r="354" spans="1:3">
      <c r="A354" s="6" t="s">
        <v>1242</v>
      </c>
      <c r="B354" s="6" t="s">
        <v>1243</v>
      </c>
      <c r="C354" s="7">
        <v>0.7969</v>
      </c>
    </row>
    <row r="355" spans="1:3">
      <c r="A355" s="6" t="s">
        <v>1696</v>
      </c>
      <c r="B355" s="6" t="s">
        <v>1697</v>
      </c>
      <c r="C355" s="7">
        <v>0.1435</v>
      </c>
    </row>
    <row r="356" spans="1:3">
      <c r="A356" s="6" t="s">
        <v>1244</v>
      </c>
      <c r="B356" s="6" t="s">
        <v>1245</v>
      </c>
      <c r="C356" s="7">
        <v>0.5421</v>
      </c>
    </row>
    <row r="357" spans="1:3">
      <c r="A357" s="6" t="s">
        <v>1731</v>
      </c>
      <c r="B357" s="6" t="s">
        <v>1732</v>
      </c>
      <c r="C357" s="7">
        <v>0</v>
      </c>
    </row>
    <row r="358" spans="1:3">
      <c r="A358" s="6" t="s">
        <v>1246</v>
      </c>
      <c r="B358" s="6" t="s">
        <v>1247</v>
      </c>
      <c r="C358" s="7">
        <v>0.2347</v>
      </c>
    </row>
    <row r="359" spans="1:3">
      <c r="A359" s="6" t="s">
        <v>972</v>
      </c>
      <c r="B359" s="6" t="s">
        <v>973</v>
      </c>
      <c r="C359" s="7">
        <v>0.118</v>
      </c>
    </row>
    <row r="360" spans="1:3">
      <c r="A360" s="6" t="s">
        <v>1443</v>
      </c>
      <c r="B360" s="6" t="s">
        <v>1444</v>
      </c>
      <c r="C360" s="7">
        <v>0.05</v>
      </c>
    </row>
    <row r="361" spans="1:3">
      <c r="A361" s="6" t="s">
        <v>1733</v>
      </c>
      <c r="B361" s="6" t="s">
        <v>1734</v>
      </c>
      <c r="C361" s="7">
        <v>0.0417</v>
      </c>
    </row>
    <row r="362" spans="1:3">
      <c r="A362" s="6" t="s">
        <v>1620</v>
      </c>
      <c r="B362" s="6" t="s">
        <v>1621</v>
      </c>
      <c r="C362" s="7">
        <v>0.1118</v>
      </c>
    </row>
    <row r="363" spans="1:3">
      <c r="A363" s="6" t="s">
        <v>1735</v>
      </c>
      <c r="B363" s="6" t="s">
        <v>1736</v>
      </c>
      <c r="C363" s="7">
        <v>0.1068</v>
      </c>
    </row>
    <row r="364" spans="1:3">
      <c r="A364" s="6" t="s">
        <v>1861</v>
      </c>
      <c r="B364" s="6" t="s">
        <v>1862</v>
      </c>
      <c r="C364" s="7">
        <v>0.1567</v>
      </c>
    </row>
    <row r="365" spans="1:3">
      <c r="A365" s="6" t="s">
        <v>1698</v>
      </c>
      <c r="B365" s="6" t="s">
        <v>1699</v>
      </c>
      <c r="C365" s="7">
        <v>0.0905</v>
      </c>
    </row>
    <row r="366" spans="1:3">
      <c r="A366" s="6" t="s">
        <v>1756</v>
      </c>
      <c r="B366" s="6" t="s">
        <v>1757</v>
      </c>
      <c r="C366" s="7">
        <v>0.15</v>
      </c>
    </row>
    <row r="367" spans="1:3">
      <c r="A367" s="6" t="s">
        <v>1490</v>
      </c>
      <c r="B367" s="6" t="s">
        <v>1491</v>
      </c>
      <c r="C367" s="7">
        <v>0.0679</v>
      </c>
    </row>
    <row r="368" spans="1:3">
      <c r="A368" s="6" t="s">
        <v>1248</v>
      </c>
      <c r="B368" s="6" t="s">
        <v>1249</v>
      </c>
      <c r="C368" s="7">
        <v>0.2219</v>
      </c>
    </row>
    <row r="369" spans="1:3">
      <c r="A369" s="6" t="s">
        <v>1250</v>
      </c>
      <c r="B369" s="6" t="s">
        <v>1251</v>
      </c>
      <c r="C369" s="7">
        <v>0.4025</v>
      </c>
    </row>
    <row r="370" spans="1:3">
      <c r="A370" s="6" t="s">
        <v>1252</v>
      </c>
      <c r="B370" s="6" t="s">
        <v>1253</v>
      </c>
      <c r="C370" s="7">
        <v>0.1188</v>
      </c>
    </row>
    <row r="371" spans="1:3">
      <c r="A371" s="6" t="s">
        <v>1622</v>
      </c>
      <c r="B371" s="6" t="s">
        <v>1623</v>
      </c>
      <c r="C371" s="7">
        <v>0.8733</v>
      </c>
    </row>
    <row r="372" spans="1:3">
      <c r="A372" s="6" t="s">
        <v>1445</v>
      </c>
      <c r="B372" s="6" t="s">
        <v>1446</v>
      </c>
      <c r="C372" s="7">
        <v>0.5088</v>
      </c>
    </row>
    <row r="373" spans="1:3">
      <c r="A373" s="6" t="s">
        <v>1254</v>
      </c>
      <c r="B373" s="6" t="s">
        <v>1255</v>
      </c>
      <c r="C373" s="7">
        <v>0.1696</v>
      </c>
    </row>
    <row r="374" spans="1:3">
      <c r="A374" s="6" t="s">
        <v>1447</v>
      </c>
      <c r="B374" s="6" t="s">
        <v>1448</v>
      </c>
      <c r="C374" s="7">
        <v>0.0792</v>
      </c>
    </row>
    <row r="375" spans="1:3">
      <c r="A375" s="6" t="s">
        <v>1256</v>
      </c>
      <c r="B375" s="6" t="s">
        <v>1257</v>
      </c>
      <c r="C375" s="7">
        <v>0.2542</v>
      </c>
    </row>
    <row r="376" spans="1:3">
      <c r="A376" s="6" t="s">
        <v>1758</v>
      </c>
      <c r="B376" s="6" t="s">
        <v>1759</v>
      </c>
      <c r="C376" s="7">
        <v>0.1848</v>
      </c>
    </row>
    <row r="377" spans="1:3">
      <c r="A377" s="6" t="s">
        <v>1521</v>
      </c>
      <c r="B377" s="6" t="s">
        <v>1522</v>
      </c>
      <c r="C377" s="7">
        <v>0.3175</v>
      </c>
    </row>
    <row r="378" spans="1:3">
      <c r="A378" s="6" t="s">
        <v>864</v>
      </c>
      <c r="B378" s="6" t="s">
        <v>865</v>
      </c>
      <c r="C378" s="7">
        <v>0.2267</v>
      </c>
    </row>
    <row r="379" spans="1:3">
      <c r="A379" s="6" t="s">
        <v>644</v>
      </c>
      <c r="B379" s="6" t="s">
        <v>645</v>
      </c>
      <c r="C379" s="7">
        <v>0.3929</v>
      </c>
    </row>
    <row r="380" spans="1:3">
      <c r="A380" s="6" t="s">
        <v>868</v>
      </c>
      <c r="B380" s="6" t="s">
        <v>869</v>
      </c>
      <c r="C380" s="7">
        <v>0.0317</v>
      </c>
    </row>
    <row r="381" spans="1:3">
      <c r="A381" s="6" t="s">
        <v>974</v>
      </c>
      <c r="B381" s="6" t="s">
        <v>975</v>
      </c>
      <c r="C381" s="7">
        <v>0.125</v>
      </c>
    </row>
    <row r="382" spans="1:3">
      <c r="A382" s="6" t="s">
        <v>1891</v>
      </c>
      <c r="B382" s="6" t="s">
        <v>1892</v>
      </c>
      <c r="C382" s="7">
        <v>0.1188</v>
      </c>
    </row>
    <row r="383" spans="1:3">
      <c r="A383" s="6" t="s">
        <v>1909</v>
      </c>
      <c r="B383" s="6" t="s">
        <v>1910</v>
      </c>
      <c r="C383" s="7">
        <v>0.1267</v>
      </c>
    </row>
    <row r="384" spans="1:3">
      <c r="A384" s="6" t="s">
        <v>1760</v>
      </c>
      <c r="B384" s="6" t="s">
        <v>1761</v>
      </c>
      <c r="C384" s="7">
        <v>0.2</v>
      </c>
    </row>
    <row r="385" spans="1:3">
      <c r="A385" s="6" t="s">
        <v>1523</v>
      </c>
      <c r="B385" s="6" t="s">
        <v>1524</v>
      </c>
      <c r="C385" s="7">
        <v>0.3453</v>
      </c>
    </row>
    <row r="386" spans="1:3">
      <c r="A386" s="6" t="s">
        <v>1911</v>
      </c>
      <c r="B386" s="6" t="s">
        <v>1912</v>
      </c>
      <c r="C386" s="7">
        <v>0.1375</v>
      </c>
    </row>
    <row r="387" spans="1:3">
      <c r="A387" s="6" t="s">
        <v>1863</v>
      </c>
      <c r="B387" s="6" t="s">
        <v>1864</v>
      </c>
      <c r="C387" s="7">
        <v>0.2783</v>
      </c>
    </row>
    <row r="388" spans="1:3">
      <c r="A388" s="6" t="s">
        <v>1525</v>
      </c>
      <c r="B388" s="6" t="s">
        <v>1526</v>
      </c>
      <c r="C388" s="7">
        <v>0.276</v>
      </c>
    </row>
    <row r="389" spans="1:3">
      <c r="A389" s="6" t="s">
        <v>1527</v>
      </c>
      <c r="B389" s="6" t="s">
        <v>1528</v>
      </c>
      <c r="C389" s="7">
        <v>0.0679</v>
      </c>
    </row>
    <row r="390" spans="1:3">
      <c r="A390" s="6" t="s">
        <v>1762</v>
      </c>
      <c r="B390" s="6" t="s">
        <v>1763</v>
      </c>
      <c r="C390" s="7">
        <v>0.1781</v>
      </c>
    </row>
    <row r="391" spans="1:3">
      <c r="A391" s="6" t="s">
        <v>870</v>
      </c>
      <c r="B391" s="6" t="s">
        <v>871</v>
      </c>
      <c r="C391" s="7">
        <v>0.3324</v>
      </c>
    </row>
    <row r="392" spans="1:3">
      <c r="A392" s="6" t="s">
        <v>1764</v>
      </c>
      <c r="B392" s="6" t="s">
        <v>1765</v>
      </c>
      <c r="C392" s="7">
        <v>0.475</v>
      </c>
    </row>
    <row r="393" spans="1:3">
      <c r="A393" s="6" t="s">
        <v>329</v>
      </c>
      <c r="B393" s="6" t="s">
        <v>330</v>
      </c>
      <c r="C393" s="7">
        <v>0.1357</v>
      </c>
    </row>
    <row r="394" spans="1:3">
      <c r="A394" s="6" t="s">
        <v>976</v>
      </c>
      <c r="B394" s="6" t="s">
        <v>977</v>
      </c>
      <c r="C394" s="7">
        <v>0</v>
      </c>
    </row>
    <row r="395" spans="1:3">
      <c r="A395" s="6" t="s">
        <v>1492</v>
      </c>
      <c r="B395" s="6" t="s">
        <v>1493</v>
      </c>
      <c r="C395" s="7">
        <v>0.0633</v>
      </c>
    </row>
    <row r="396" spans="1:3">
      <c r="A396" s="6" t="s">
        <v>1529</v>
      </c>
      <c r="B396" s="6" t="s">
        <v>1530</v>
      </c>
      <c r="C396" s="7">
        <v>0.2942</v>
      </c>
    </row>
    <row r="397" spans="1:3">
      <c r="A397" s="6" t="s">
        <v>1531</v>
      </c>
      <c r="B397" s="6" t="s">
        <v>1532</v>
      </c>
      <c r="C397" s="7">
        <v>0.1611</v>
      </c>
    </row>
    <row r="398" spans="1:3">
      <c r="A398" s="6" t="s">
        <v>872</v>
      </c>
      <c r="B398" s="6" t="s">
        <v>873</v>
      </c>
      <c r="C398" s="7">
        <v>0.3357</v>
      </c>
    </row>
    <row r="399" spans="1:3">
      <c r="A399" s="6" t="s">
        <v>978</v>
      </c>
      <c r="B399" s="6" t="s">
        <v>979</v>
      </c>
      <c r="C399" s="7">
        <v>0.281</v>
      </c>
    </row>
    <row r="400" spans="1:3">
      <c r="A400" s="6" t="s">
        <v>980</v>
      </c>
      <c r="B400" s="6" t="s">
        <v>981</v>
      </c>
      <c r="C400" s="7">
        <v>0.4173</v>
      </c>
    </row>
    <row r="401" spans="1:3">
      <c r="A401" s="6" t="s">
        <v>1258</v>
      </c>
      <c r="B401" s="6" t="s">
        <v>1259</v>
      </c>
      <c r="C401" s="7">
        <v>0.05</v>
      </c>
    </row>
    <row r="402" spans="1:3">
      <c r="A402" s="6" t="s">
        <v>982</v>
      </c>
      <c r="B402" s="6" t="s">
        <v>983</v>
      </c>
      <c r="C402" s="7">
        <v>0.25</v>
      </c>
    </row>
    <row r="403" spans="1:3">
      <c r="A403" s="6" t="s">
        <v>1886</v>
      </c>
      <c r="B403" s="6" t="s">
        <v>1887</v>
      </c>
      <c r="C403" s="7">
        <v>0.1269</v>
      </c>
    </row>
    <row r="404" spans="1:3">
      <c r="A404" s="6" t="s">
        <v>984</v>
      </c>
      <c r="B404" s="6" t="s">
        <v>985</v>
      </c>
      <c r="C404" s="7">
        <v>0.1175</v>
      </c>
    </row>
    <row r="405" spans="1:3">
      <c r="A405" s="6" t="s">
        <v>1260</v>
      </c>
      <c r="B405" s="6" t="s">
        <v>1261</v>
      </c>
      <c r="C405" s="7">
        <v>0.0864</v>
      </c>
    </row>
    <row r="406" spans="1:3">
      <c r="A406" s="6" t="s">
        <v>986</v>
      </c>
      <c r="B406" s="6" t="s">
        <v>987</v>
      </c>
      <c r="C406" s="7">
        <v>0.0613</v>
      </c>
    </row>
    <row r="407" spans="1:3">
      <c r="A407" s="6" t="s">
        <v>1264</v>
      </c>
      <c r="B407" s="6" t="s">
        <v>1265</v>
      </c>
      <c r="C407" s="7">
        <v>0.1425</v>
      </c>
    </row>
    <row r="408" spans="1:3">
      <c r="A408" s="6" t="s">
        <v>988</v>
      </c>
      <c r="B408" s="6" t="s">
        <v>989</v>
      </c>
      <c r="C408" s="7">
        <v>0.2031</v>
      </c>
    </row>
    <row r="409" spans="1:3">
      <c r="A409" s="6" t="s">
        <v>990</v>
      </c>
      <c r="B409" s="6" t="s">
        <v>991</v>
      </c>
      <c r="C409" s="7">
        <v>0.152</v>
      </c>
    </row>
    <row r="410" spans="1:3">
      <c r="A410" s="6" t="s">
        <v>1266</v>
      </c>
      <c r="B410" s="6" t="s">
        <v>1267</v>
      </c>
      <c r="C410" s="7">
        <v>0.1357</v>
      </c>
    </row>
    <row r="411" spans="1:3">
      <c r="A411" s="6" t="s">
        <v>1268</v>
      </c>
      <c r="B411" s="6" t="s">
        <v>1269</v>
      </c>
      <c r="C411" s="7">
        <v>0.0417</v>
      </c>
    </row>
    <row r="412" spans="1:3">
      <c r="A412" s="6" t="s">
        <v>1270</v>
      </c>
      <c r="B412" s="6" t="s">
        <v>1271</v>
      </c>
      <c r="C412" s="7">
        <v>0</v>
      </c>
    </row>
    <row r="413" spans="1:3">
      <c r="A413" s="6" t="s">
        <v>1272</v>
      </c>
      <c r="B413" s="6" t="s">
        <v>1273</v>
      </c>
      <c r="C413" s="7">
        <v>0.3023</v>
      </c>
    </row>
    <row r="414" spans="1:3">
      <c r="A414" s="6" t="s">
        <v>331</v>
      </c>
      <c r="B414" s="6" t="s">
        <v>332</v>
      </c>
      <c r="C414" s="7">
        <v>0.2269</v>
      </c>
    </row>
    <row r="415" spans="1:3">
      <c r="A415" s="6" t="s">
        <v>333</v>
      </c>
      <c r="B415" s="6" t="s">
        <v>334</v>
      </c>
      <c r="C415" s="7">
        <v>0.2357</v>
      </c>
    </row>
    <row r="416" spans="1:3">
      <c r="A416" s="6" t="s">
        <v>335</v>
      </c>
      <c r="B416" s="6" t="s">
        <v>336</v>
      </c>
      <c r="C416" s="7">
        <v>0</v>
      </c>
    </row>
    <row r="417" spans="1:3">
      <c r="A417" s="6" t="s">
        <v>337</v>
      </c>
      <c r="B417" s="6" t="s">
        <v>338</v>
      </c>
      <c r="C417" s="7">
        <v>0</v>
      </c>
    </row>
    <row r="418" spans="1:3">
      <c r="A418" s="6" t="s">
        <v>339</v>
      </c>
      <c r="B418" s="6" t="s">
        <v>340</v>
      </c>
      <c r="C418" s="7">
        <v>0.1567</v>
      </c>
    </row>
    <row r="419" spans="1:3">
      <c r="A419" s="6" t="s">
        <v>341</v>
      </c>
      <c r="B419" s="6" t="s">
        <v>342</v>
      </c>
      <c r="C419" s="7">
        <v>0</v>
      </c>
    </row>
    <row r="420" spans="1:3">
      <c r="A420" s="6" t="s">
        <v>343</v>
      </c>
      <c r="B420" s="6" t="s">
        <v>344</v>
      </c>
      <c r="C420" s="7">
        <v>0</v>
      </c>
    </row>
    <row r="421" spans="1:3">
      <c r="A421" s="6" t="s">
        <v>345</v>
      </c>
      <c r="B421" s="6" t="s">
        <v>346</v>
      </c>
      <c r="C421" s="7">
        <v>0</v>
      </c>
    </row>
    <row r="422" spans="1:3">
      <c r="A422" s="6" t="s">
        <v>1585</v>
      </c>
      <c r="B422" s="6" t="s">
        <v>1586</v>
      </c>
      <c r="C422" s="7">
        <v>0.34</v>
      </c>
    </row>
    <row r="423" spans="1:3">
      <c r="A423" s="6" t="s">
        <v>347</v>
      </c>
      <c r="B423" s="6" t="s">
        <v>348</v>
      </c>
      <c r="C423" s="7">
        <v>0.2974</v>
      </c>
    </row>
    <row r="424" spans="1:3">
      <c r="A424" s="6" t="s">
        <v>349</v>
      </c>
      <c r="B424" s="6" t="s">
        <v>350</v>
      </c>
      <c r="C424" s="7">
        <v>0.2765</v>
      </c>
    </row>
    <row r="425" spans="1:3">
      <c r="A425" s="6" t="s">
        <v>351</v>
      </c>
      <c r="B425" s="6" t="s">
        <v>352</v>
      </c>
      <c r="C425" s="7">
        <v>0.05</v>
      </c>
    </row>
    <row r="426" spans="1:3">
      <c r="A426" s="6" t="s">
        <v>353</v>
      </c>
      <c r="B426" s="6" t="s">
        <v>354</v>
      </c>
      <c r="C426" s="7">
        <v>0.1614</v>
      </c>
    </row>
    <row r="427" spans="1:3">
      <c r="A427" s="6" t="s">
        <v>1627</v>
      </c>
      <c r="B427" s="6" t="s">
        <v>1628</v>
      </c>
      <c r="C427" s="7">
        <v>0.3167</v>
      </c>
    </row>
    <row r="428" spans="1:3">
      <c r="A428" s="6" t="s">
        <v>1874</v>
      </c>
      <c r="B428" s="6" t="s">
        <v>1875</v>
      </c>
      <c r="C428" s="7">
        <v>0.3545</v>
      </c>
    </row>
    <row r="429" spans="1:3">
      <c r="A429" s="6" t="s">
        <v>1589</v>
      </c>
      <c r="B429" s="6" t="s">
        <v>1590</v>
      </c>
      <c r="C429" s="7">
        <v>0.3068</v>
      </c>
    </row>
    <row r="430" spans="1:3">
      <c r="A430" s="6" t="s">
        <v>1276</v>
      </c>
      <c r="B430" s="6" t="s">
        <v>1277</v>
      </c>
      <c r="C430" s="7">
        <v>0.2109</v>
      </c>
    </row>
    <row r="431" spans="1:3">
      <c r="A431" s="6" t="s">
        <v>876</v>
      </c>
      <c r="B431" s="6" t="s">
        <v>877</v>
      </c>
      <c r="C431" s="7">
        <v>0.25</v>
      </c>
    </row>
    <row r="432" spans="1:3">
      <c r="A432" s="6" t="s">
        <v>1591</v>
      </c>
      <c r="B432" s="6" t="s">
        <v>1592</v>
      </c>
      <c r="C432" s="7">
        <v>0.1238</v>
      </c>
    </row>
    <row r="433" spans="1:3">
      <c r="A433" s="6" t="s">
        <v>1494</v>
      </c>
      <c r="B433" s="6" t="s">
        <v>1495</v>
      </c>
      <c r="C433" s="7">
        <v>0.0413</v>
      </c>
    </row>
    <row r="434" spans="1:3">
      <c r="A434" s="6" t="s">
        <v>1893</v>
      </c>
      <c r="B434" s="6" t="s">
        <v>1894</v>
      </c>
      <c r="C434" s="7">
        <v>0.0365</v>
      </c>
    </row>
    <row r="435" spans="1:3">
      <c r="A435" s="6" t="s">
        <v>1700</v>
      </c>
      <c r="B435" s="6" t="s">
        <v>1701</v>
      </c>
      <c r="C435" s="7">
        <v>0.1583</v>
      </c>
    </row>
    <row r="436" spans="1:3">
      <c r="A436" s="6" t="s">
        <v>1895</v>
      </c>
      <c r="B436" s="6" t="s">
        <v>1896</v>
      </c>
      <c r="C436" s="7">
        <v>0.1827</v>
      </c>
    </row>
    <row r="437" spans="1:3">
      <c r="A437" s="6" t="s">
        <v>1766</v>
      </c>
      <c r="B437" s="6" t="s">
        <v>1767</v>
      </c>
      <c r="C437" s="7">
        <v>0.1727</v>
      </c>
    </row>
    <row r="438" spans="1:3">
      <c r="A438" s="6" t="s">
        <v>1876</v>
      </c>
      <c r="B438" s="6" t="s">
        <v>1877</v>
      </c>
      <c r="C438" s="7">
        <v>0.2375</v>
      </c>
    </row>
    <row r="439" spans="1:3">
      <c r="A439" s="6" t="s">
        <v>992</v>
      </c>
      <c r="B439" s="6" t="s">
        <v>993</v>
      </c>
      <c r="C439" s="7">
        <v>0.1239</v>
      </c>
    </row>
    <row r="440" spans="1:3">
      <c r="A440" s="6" t="s">
        <v>1595</v>
      </c>
      <c r="B440" s="6" t="s">
        <v>1596</v>
      </c>
      <c r="C440" s="7">
        <v>0.0786</v>
      </c>
    </row>
    <row r="441" spans="1:3">
      <c r="A441" s="6" t="s">
        <v>1496</v>
      </c>
      <c r="B441" s="6" t="s">
        <v>1497</v>
      </c>
      <c r="C441" s="7">
        <v>0.1056</v>
      </c>
    </row>
    <row r="442" spans="1:3">
      <c r="A442" s="6" t="s">
        <v>1768</v>
      </c>
      <c r="B442" s="6" t="s">
        <v>1769</v>
      </c>
      <c r="C442" s="7">
        <v>0.2375</v>
      </c>
    </row>
    <row r="443" spans="1:3">
      <c r="A443" s="6" t="s">
        <v>1449</v>
      </c>
      <c r="B443" s="6" t="s">
        <v>1450</v>
      </c>
      <c r="C443" s="7">
        <v>0.1056</v>
      </c>
    </row>
    <row r="444" spans="1:3">
      <c r="A444" s="6" t="s">
        <v>1498</v>
      </c>
      <c r="B444" s="6" t="s">
        <v>1499</v>
      </c>
      <c r="C444" s="7">
        <v>0.3353</v>
      </c>
    </row>
    <row r="445" spans="1:3">
      <c r="A445" s="6" t="s">
        <v>994</v>
      </c>
      <c r="B445" s="6" t="s">
        <v>995</v>
      </c>
      <c r="C445" s="7">
        <v>0.65</v>
      </c>
    </row>
    <row r="446" spans="1:3">
      <c r="A446" s="6" t="s">
        <v>1278</v>
      </c>
      <c r="B446" s="6" t="s">
        <v>1279</v>
      </c>
      <c r="C446" s="7">
        <v>0.3177</v>
      </c>
    </row>
    <row r="447" spans="1:3">
      <c r="A447" s="6" t="s">
        <v>996</v>
      </c>
      <c r="B447" s="6" t="s">
        <v>997</v>
      </c>
      <c r="C447" s="7">
        <v>0.105</v>
      </c>
    </row>
    <row r="448" spans="1:3">
      <c r="A448" s="6" t="s">
        <v>998</v>
      </c>
      <c r="B448" s="6" t="s">
        <v>999</v>
      </c>
      <c r="C448" s="7">
        <v>0.0636</v>
      </c>
    </row>
    <row r="449" spans="1:3">
      <c r="A449" s="6" t="s">
        <v>1280</v>
      </c>
      <c r="B449" s="6" t="s">
        <v>1281</v>
      </c>
      <c r="C449" s="7">
        <v>0.1667</v>
      </c>
    </row>
    <row r="450" spans="1:3">
      <c r="A450" s="6" t="s">
        <v>1282</v>
      </c>
      <c r="B450" s="6" t="s">
        <v>1283</v>
      </c>
      <c r="C450" s="7">
        <v>0.2917</v>
      </c>
    </row>
    <row r="451" spans="1:3">
      <c r="A451" s="6" t="s">
        <v>355</v>
      </c>
      <c r="B451" s="6" t="s">
        <v>356</v>
      </c>
      <c r="C451" s="7">
        <v>0.4476</v>
      </c>
    </row>
    <row r="452" spans="1:3">
      <c r="A452" s="6" t="s">
        <v>357</v>
      </c>
      <c r="B452" s="6" t="s">
        <v>358</v>
      </c>
      <c r="C452" s="7">
        <v>0.4833</v>
      </c>
    </row>
    <row r="453" spans="1:3">
      <c r="A453" s="6" t="s">
        <v>648</v>
      </c>
      <c r="B453" s="6" t="s">
        <v>649</v>
      </c>
      <c r="C453" s="7">
        <v>0.6672</v>
      </c>
    </row>
    <row r="454" spans="1:3">
      <c r="A454" s="6" t="s">
        <v>1881</v>
      </c>
      <c r="B454" s="6" t="s">
        <v>1882</v>
      </c>
      <c r="C454" s="7">
        <v>0.4467</v>
      </c>
    </row>
    <row r="455" spans="1:3">
      <c r="A455" s="6" t="s">
        <v>878</v>
      </c>
      <c r="B455" s="6" t="s">
        <v>879</v>
      </c>
      <c r="C455" s="7">
        <v>0.7719</v>
      </c>
    </row>
    <row r="456" spans="1:3">
      <c r="A456" s="6" t="s">
        <v>1000</v>
      </c>
      <c r="B456" s="6" t="s">
        <v>1001</v>
      </c>
      <c r="C456" s="7">
        <v>0.3737</v>
      </c>
    </row>
    <row r="457" spans="1:3">
      <c r="A457" s="6" t="s">
        <v>359</v>
      </c>
      <c r="B457" s="6" t="s">
        <v>360</v>
      </c>
      <c r="C457" s="7">
        <v>0.4938</v>
      </c>
    </row>
    <row r="458" spans="1:3">
      <c r="A458" s="6" t="s">
        <v>1002</v>
      </c>
      <c r="B458" s="6" t="s">
        <v>1003</v>
      </c>
      <c r="C458" s="7">
        <v>0.6725</v>
      </c>
    </row>
    <row r="459" spans="1:3">
      <c r="A459" s="6" t="s">
        <v>1004</v>
      </c>
      <c r="B459" s="6" t="s">
        <v>1005</v>
      </c>
      <c r="C459" s="7">
        <v>0.6684</v>
      </c>
    </row>
    <row r="460" spans="1:3">
      <c r="A460" s="6" t="s">
        <v>650</v>
      </c>
      <c r="B460" s="6" t="s">
        <v>651</v>
      </c>
      <c r="C460" s="7">
        <v>0.845</v>
      </c>
    </row>
    <row r="461" spans="1:3">
      <c r="A461" s="6" t="s">
        <v>1533</v>
      </c>
      <c r="B461" s="6" t="s">
        <v>1534</v>
      </c>
      <c r="C461" s="7">
        <v>0.925</v>
      </c>
    </row>
    <row r="462" spans="1:3">
      <c r="A462" s="6" t="s">
        <v>361</v>
      </c>
      <c r="B462" s="6" t="s">
        <v>362</v>
      </c>
      <c r="C462" s="7">
        <v>0.73</v>
      </c>
    </row>
    <row r="463" spans="1:3">
      <c r="A463" s="6" t="s">
        <v>652</v>
      </c>
      <c r="B463" s="6" t="s">
        <v>653</v>
      </c>
      <c r="C463" s="7">
        <v>0.6463</v>
      </c>
    </row>
    <row r="464" spans="1:3">
      <c r="A464" s="6" t="s">
        <v>363</v>
      </c>
      <c r="B464" s="6" t="s">
        <v>364</v>
      </c>
      <c r="C464" s="7">
        <v>0.5105</v>
      </c>
    </row>
    <row r="465" spans="1:3">
      <c r="A465" s="6" t="s">
        <v>1006</v>
      </c>
      <c r="B465" s="6" t="s">
        <v>1007</v>
      </c>
      <c r="C465" s="7">
        <v>0.3062</v>
      </c>
    </row>
    <row r="466" spans="1:3">
      <c r="A466" s="6" t="s">
        <v>1451</v>
      </c>
      <c r="B466" s="6" t="s">
        <v>1452</v>
      </c>
      <c r="C466" s="7">
        <v>0.2071</v>
      </c>
    </row>
    <row r="467" spans="1:3">
      <c r="A467" s="6" t="s">
        <v>1008</v>
      </c>
      <c r="B467" s="6" t="s">
        <v>1009</v>
      </c>
      <c r="C467" s="7">
        <v>0.5816</v>
      </c>
    </row>
    <row r="468" spans="1:3">
      <c r="A468" s="6" t="s">
        <v>654</v>
      </c>
      <c r="B468" s="6" t="s">
        <v>655</v>
      </c>
      <c r="C468" s="7">
        <v>0.5939</v>
      </c>
    </row>
    <row r="469" spans="1:3">
      <c r="A469" s="6" t="s">
        <v>656</v>
      </c>
      <c r="B469" s="6" t="s">
        <v>657</v>
      </c>
      <c r="C469" s="7">
        <v>0.518</v>
      </c>
    </row>
    <row r="470" spans="1:3">
      <c r="A470" s="6" t="s">
        <v>1010</v>
      </c>
      <c r="B470" s="6" t="s">
        <v>1011</v>
      </c>
      <c r="C470" s="7">
        <v>0.9625</v>
      </c>
    </row>
    <row r="471" spans="1:3">
      <c r="A471" s="6" t="s">
        <v>1012</v>
      </c>
      <c r="B471" s="6" t="s">
        <v>1013</v>
      </c>
      <c r="C471" s="7">
        <v>0.3167</v>
      </c>
    </row>
    <row r="472" spans="1:3">
      <c r="A472" s="6" t="s">
        <v>367</v>
      </c>
      <c r="B472" s="6" t="s">
        <v>368</v>
      </c>
      <c r="C472" s="7">
        <v>0.5034</v>
      </c>
    </row>
    <row r="473" spans="1:3">
      <c r="A473" s="6" t="s">
        <v>1014</v>
      </c>
      <c r="B473" s="6" t="s">
        <v>1015</v>
      </c>
      <c r="C473" s="7">
        <v>0.7579</v>
      </c>
    </row>
    <row r="474" spans="1:3">
      <c r="A474" s="6" t="s">
        <v>1502</v>
      </c>
      <c r="B474" s="6" t="s">
        <v>1503</v>
      </c>
      <c r="C474" s="7">
        <v>0.9156</v>
      </c>
    </row>
    <row r="475" spans="1:3">
      <c r="A475" s="6" t="s">
        <v>880</v>
      </c>
      <c r="B475" s="6" t="s">
        <v>881</v>
      </c>
      <c r="C475" s="7">
        <v>0.9</v>
      </c>
    </row>
    <row r="476" spans="1:3">
      <c r="A476" s="6" t="s">
        <v>369</v>
      </c>
      <c r="B476" s="6" t="s">
        <v>370</v>
      </c>
      <c r="C476" s="7">
        <v>0.8617</v>
      </c>
    </row>
    <row r="477" spans="1:3">
      <c r="A477" s="6" t="s">
        <v>371</v>
      </c>
      <c r="B477" s="6" t="s">
        <v>372</v>
      </c>
      <c r="C477" s="7">
        <v>0.9517</v>
      </c>
    </row>
    <row r="478" spans="1:3">
      <c r="A478" s="6" t="s">
        <v>1883</v>
      </c>
      <c r="B478" s="6" t="s">
        <v>1884</v>
      </c>
      <c r="C478" s="7">
        <v>0.5441</v>
      </c>
    </row>
    <row r="479" spans="1:3">
      <c r="A479" s="6" t="s">
        <v>373</v>
      </c>
      <c r="B479" s="6" t="s">
        <v>374</v>
      </c>
      <c r="C479" s="7">
        <v>0.9409</v>
      </c>
    </row>
    <row r="480" spans="1:3">
      <c r="A480" s="6" t="s">
        <v>375</v>
      </c>
      <c r="B480" s="6" t="s">
        <v>376</v>
      </c>
      <c r="C480" s="7">
        <v>0.8237</v>
      </c>
    </row>
    <row r="481" spans="1:3">
      <c r="A481" s="6" t="s">
        <v>882</v>
      </c>
      <c r="B481" s="6" t="s">
        <v>883</v>
      </c>
      <c r="C481" s="7">
        <v>0.9138</v>
      </c>
    </row>
    <row r="482" spans="1:3">
      <c r="A482" s="6" t="s">
        <v>1453</v>
      </c>
      <c r="B482" s="6" t="s">
        <v>1454</v>
      </c>
      <c r="C482" s="7">
        <v>0.95</v>
      </c>
    </row>
    <row r="483" spans="1:3">
      <c r="A483" s="6" t="s">
        <v>1284</v>
      </c>
      <c r="B483" s="6" t="s">
        <v>1285</v>
      </c>
      <c r="C483" s="7">
        <v>0.85</v>
      </c>
    </row>
    <row r="484" spans="1:3">
      <c r="A484" s="6" t="s">
        <v>1504</v>
      </c>
      <c r="B484" s="6" t="s">
        <v>1505</v>
      </c>
      <c r="C484" s="7">
        <v>0.8867</v>
      </c>
    </row>
    <row r="485" spans="1:3">
      <c r="A485" s="6" t="s">
        <v>1016</v>
      </c>
      <c r="B485" s="6" t="s">
        <v>1017</v>
      </c>
      <c r="C485" s="7">
        <v>0.9469</v>
      </c>
    </row>
    <row r="486" spans="1:3">
      <c r="A486" s="6" t="s">
        <v>377</v>
      </c>
      <c r="B486" s="6" t="s">
        <v>378</v>
      </c>
      <c r="C486" s="7">
        <v>0.82</v>
      </c>
    </row>
    <row r="487" spans="1:3">
      <c r="A487" s="6" t="s">
        <v>1535</v>
      </c>
      <c r="B487" s="6" t="s">
        <v>1536</v>
      </c>
      <c r="C487" s="7">
        <v>0.7912</v>
      </c>
    </row>
    <row r="488" spans="1:3">
      <c r="A488" s="6" t="s">
        <v>379</v>
      </c>
      <c r="B488" s="6" t="s">
        <v>380</v>
      </c>
      <c r="C488" s="7">
        <v>0.7526</v>
      </c>
    </row>
    <row r="489" spans="1:3">
      <c r="A489" s="6" t="s">
        <v>1506</v>
      </c>
      <c r="B489" s="6" t="s">
        <v>1507</v>
      </c>
      <c r="C489" s="7">
        <v>0.665</v>
      </c>
    </row>
    <row r="490" spans="1:3">
      <c r="A490" s="6" t="s">
        <v>1286</v>
      </c>
      <c r="B490" s="6" t="s">
        <v>1287</v>
      </c>
      <c r="C490" s="7">
        <v>0.7088</v>
      </c>
    </row>
    <row r="491" spans="1:3">
      <c r="A491" s="6" t="s">
        <v>1599</v>
      </c>
      <c r="B491" s="6" t="s">
        <v>1600</v>
      </c>
      <c r="C491" s="7">
        <v>0.547</v>
      </c>
    </row>
    <row r="492" spans="1:3">
      <c r="A492" s="6" t="s">
        <v>1018</v>
      </c>
      <c r="B492" s="6" t="s">
        <v>1019</v>
      </c>
      <c r="C492" s="7">
        <v>0.9111</v>
      </c>
    </row>
    <row r="493" spans="1:3">
      <c r="A493" s="6" t="s">
        <v>1624</v>
      </c>
      <c r="B493" s="6" t="s">
        <v>1625</v>
      </c>
      <c r="C493" s="7">
        <v>0.7633</v>
      </c>
    </row>
    <row r="494" spans="1:3">
      <c r="A494" s="6" t="s">
        <v>381</v>
      </c>
      <c r="B494" s="6" t="s">
        <v>382</v>
      </c>
      <c r="C494" s="7">
        <v>0.9553</v>
      </c>
    </row>
    <row r="495" spans="1:3">
      <c r="A495" s="6" t="s">
        <v>383</v>
      </c>
      <c r="B495" s="6" t="s">
        <v>384</v>
      </c>
      <c r="C495" s="7">
        <v>0.8342</v>
      </c>
    </row>
    <row r="496" spans="1:3">
      <c r="A496" s="6" t="s">
        <v>385</v>
      </c>
      <c r="B496" s="6" t="s">
        <v>386</v>
      </c>
      <c r="C496" s="7">
        <v>0.7368</v>
      </c>
    </row>
    <row r="497" spans="1:3">
      <c r="A497" s="6" t="s">
        <v>1537</v>
      </c>
      <c r="B497" s="6" t="s">
        <v>1538</v>
      </c>
      <c r="C497" s="7">
        <v>0.7714</v>
      </c>
    </row>
    <row r="498" spans="1:3">
      <c r="A498" s="6" t="s">
        <v>1288</v>
      </c>
      <c r="B498" s="6" t="s">
        <v>1289</v>
      </c>
      <c r="C498" s="7">
        <v>0.6384</v>
      </c>
    </row>
    <row r="499" spans="1:3">
      <c r="A499" s="6" t="s">
        <v>886</v>
      </c>
      <c r="B499" s="6" t="s">
        <v>887</v>
      </c>
      <c r="C499" s="7">
        <v>0.2235</v>
      </c>
    </row>
    <row r="500" spans="1:3">
      <c r="A500" s="6" t="s">
        <v>1737</v>
      </c>
      <c r="B500" s="6" t="s">
        <v>1738</v>
      </c>
      <c r="C500" s="7">
        <v>0.6694</v>
      </c>
    </row>
    <row r="501" spans="1:3">
      <c r="A501" s="6" t="s">
        <v>387</v>
      </c>
      <c r="B501" s="6" t="s">
        <v>388</v>
      </c>
      <c r="C501" s="7">
        <v>0.8192</v>
      </c>
    </row>
    <row r="502" spans="1:3">
      <c r="A502" s="6" t="s">
        <v>888</v>
      </c>
      <c r="B502" s="6" t="s">
        <v>889</v>
      </c>
      <c r="C502" s="7">
        <v>0.3654</v>
      </c>
    </row>
    <row r="503" spans="1:3">
      <c r="A503" s="6" t="s">
        <v>1539</v>
      </c>
      <c r="B503" s="6" t="s">
        <v>1540</v>
      </c>
      <c r="C503" s="7">
        <v>0.5071</v>
      </c>
    </row>
    <row r="504" spans="1:3">
      <c r="A504" s="6" t="s">
        <v>1541</v>
      </c>
      <c r="B504" s="6" t="s">
        <v>1542</v>
      </c>
      <c r="C504" s="7">
        <v>0.3909</v>
      </c>
    </row>
    <row r="505" spans="1:3">
      <c r="A505" s="6" t="s">
        <v>1543</v>
      </c>
      <c r="B505" s="6" t="s">
        <v>1544</v>
      </c>
      <c r="C505" s="7">
        <v>0.2794</v>
      </c>
    </row>
    <row r="506" spans="1:3">
      <c r="A506" s="6" t="s">
        <v>389</v>
      </c>
      <c r="B506" s="6" t="s">
        <v>390</v>
      </c>
      <c r="C506" s="7">
        <v>0.7794</v>
      </c>
    </row>
    <row r="507" spans="1:3">
      <c r="A507" s="6" t="s">
        <v>391</v>
      </c>
      <c r="B507" s="6" t="s">
        <v>392</v>
      </c>
      <c r="C507" s="7">
        <v>0.6455</v>
      </c>
    </row>
    <row r="508" spans="1:3">
      <c r="A508" s="6" t="s">
        <v>393</v>
      </c>
      <c r="B508" s="6" t="s">
        <v>394</v>
      </c>
      <c r="C508" s="7">
        <v>0.2932</v>
      </c>
    </row>
    <row r="509" spans="1:3">
      <c r="A509" s="6" t="s">
        <v>395</v>
      </c>
      <c r="B509" s="6" t="s">
        <v>396</v>
      </c>
      <c r="C509" s="7">
        <v>0.7955</v>
      </c>
    </row>
    <row r="510" spans="1:3">
      <c r="A510" s="6" t="s">
        <v>890</v>
      </c>
      <c r="B510" s="6" t="s">
        <v>891</v>
      </c>
      <c r="C510" s="7">
        <v>0.8679</v>
      </c>
    </row>
    <row r="511" spans="1:3">
      <c r="A511" s="6" t="s">
        <v>1290</v>
      </c>
      <c r="B511" s="6" t="s">
        <v>1291</v>
      </c>
      <c r="C511" s="7">
        <v>0.9031</v>
      </c>
    </row>
    <row r="512" spans="1:3">
      <c r="A512" s="6" t="s">
        <v>397</v>
      </c>
      <c r="B512" s="6" t="s">
        <v>398</v>
      </c>
      <c r="C512" s="7">
        <v>0.8031</v>
      </c>
    </row>
    <row r="513" spans="1:3">
      <c r="A513" s="6" t="s">
        <v>399</v>
      </c>
      <c r="B513" s="6" t="s">
        <v>400</v>
      </c>
      <c r="C513" s="7">
        <v>0.75</v>
      </c>
    </row>
    <row r="514" spans="1:3">
      <c r="A514" s="6" t="s">
        <v>1455</v>
      </c>
      <c r="B514" s="6" t="s">
        <v>1456</v>
      </c>
      <c r="C514" s="7">
        <v>0.835</v>
      </c>
    </row>
    <row r="515" spans="1:3">
      <c r="A515" s="6" t="s">
        <v>1292</v>
      </c>
      <c r="B515" s="6" t="s">
        <v>1293</v>
      </c>
      <c r="C515" s="7">
        <v>0.9417</v>
      </c>
    </row>
    <row r="516" spans="1:3">
      <c r="A516" s="6" t="s">
        <v>1020</v>
      </c>
      <c r="B516" s="6" t="s">
        <v>1021</v>
      </c>
      <c r="C516" s="7">
        <v>0.9519</v>
      </c>
    </row>
    <row r="517" spans="1:3">
      <c r="A517" s="6" t="s">
        <v>892</v>
      </c>
      <c r="B517" s="6" t="s">
        <v>893</v>
      </c>
      <c r="C517" s="7">
        <v>0.231</v>
      </c>
    </row>
    <row r="518" spans="1:3">
      <c r="A518" s="6" t="s">
        <v>401</v>
      </c>
      <c r="B518" s="6" t="s">
        <v>402</v>
      </c>
      <c r="C518" s="7">
        <v>0.7452</v>
      </c>
    </row>
    <row r="519" spans="1:3">
      <c r="A519" s="6" t="s">
        <v>660</v>
      </c>
      <c r="B519" s="6" t="s">
        <v>661</v>
      </c>
      <c r="C519" s="7">
        <v>0.2639</v>
      </c>
    </row>
    <row r="520" spans="1:3">
      <c r="A520" s="6" t="s">
        <v>1294</v>
      </c>
      <c r="B520" s="6" t="s">
        <v>1295</v>
      </c>
      <c r="C520" s="7">
        <v>0.9273</v>
      </c>
    </row>
    <row r="521" spans="1:3">
      <c r="A521" s="6" t="s">
        <v>1545</v>
      </c>
      <c r="B521" s="6" t="s">
        <v>1546</v>
      </c>
      <c r="C521" s="7">
        <v>0.8679</v>
      </c>
    </row>
    <row r="522" spans="1:3">
      <c r="A522" s="6" t="s">
        <v>403</v>
      </c>
      <c r="B522" s="6" t="s">
        <v>404</v>
      </c>
      <c r="C522" s="7">
        <v>0.22</v>
      </c>
    </row>
    <row r="523" spans="1:3">
      <c r="A523" s="6" t="s">
        <v>405</v>
      </c>
      <c r="B523" s="6" t="s">
        <v>406</v>
      </c>
      <c r="C523" s="7">
        <v>0.15</v>
      </c>
    </row>
    <row r="524" spans="1:3">
      <c r="A524" s="6" t="s">
        <v>407</v>
      </c>
      <c r="B524" s="6" t="s">
        <v>408</v>
      </c>
      <c r="C524" s="7">
        <v>0.0396</v>
      </c>
    </row>
    <row r="525" spans="1:3">
      <c r="A525" s="6" t="s">
        <v>409</v>
      </c>
      <c r="B525" s="6" t="s">
        <v>410</v>
      </c>
      <c r="C525" s="7">
        <v>0.1583</v>
      </c>
    </row>
    <row r="526" spans="1:3">
      <c r="A526" s="6" t="s">
        <v>411</v>
      </c>
      <c r="B526" s="6" t="s">
        <v>412</v>
      </c>
      <c r="C526" s="7">
        <v>0.0559</v>
      </c>
    </row>
    <row r="527" spans="1:3">
      <c r="A527" s="6" t="s">
        <v>413</v>
      </c>
      <c r="B527" s="6" t="s">
        <v>414</v>
      </c>
      <c r="C527" s="7">
        <v>0.0633</v>
      </c>
    </row>
    <row r="528" spans="1:3">
      <c r="A528" s="6" t="s">
        <v>415</v>
      </c>
      <c r="B528" s="6" t="s">
        <v>416</v>
      </c>
      <c r="C528" s="7">
        <v>0.0864</v>
      </c>
    </row>
    <row r="529" spans="1:3">
      <c r="A529" s="6" t="s">
        <v>1702</v>
      </c>
      <c r="B529" s="6" t="s">
        <v>1703</v>
      </c>
      <c r="C529" s="7">
        <v>0</v>
      </c>
    </row>
    <row r="530" spans="1:3">
      <c r="A530" s="6" t="s">
        <v>419</v>
      </c>
      <c r="B530" s="6" t="s">
        <v>420</v>
      </c>
      <c r="C530" s="7">
        <v>0</v>
      </c>
    </row>
    <row r="531" spans="1:3">
      <c r="A531" s="6" t="s">
        <v>421</v>
      </c>
      <c r="B531" s="6" t="s">
        <v>422</v>
      </c>
      <c r="C531" s="7">
        <v>0.2111</v>
      </c>
    </row>
    <row r="532" spans="1:3">
      <c r="A532" s="6" t="s">
        <v>423</v>
      </c>
      <c r="B532" s="6" t="s">
        <v>424</v>
      </c>
      <c r="C532" s="7">
        <v>0.1462</v>
      </c>
    </row>
    <row r="533" spans="1:3">
      <c r="A533" s="6" t="s">
        <v>664</v>
      </c>
      <c r="B533" s="6" t="s">
        <v>665</v>
      </c>
      <c r="C533" s="7">
        <v>0.265</v>
      </c>
    </row>
    <row r="534" spans="1:3">
      <c r="A534" s="6" t="s">
        <v>666</v>
      </c>
      <c r="B534" s="6" t="s">
        <v>667</v>
      </c>
      <c r="C534" s="7">
        <v>0</v>
      </c>
    </row>
    <row r="535" spans="1:3">
      <c r="A535" s="6" t="s">
        <v>1022</v>
      </c>
      <c r="B535" s="6" t="s">
        <v>1023</v>
      </c>
      <c r="C535" s="7">
        <v>0.05</v>
      </c>
    </row>
    <row r="536" spans="1:3">
      <c r="A536" s="6" t="s">
        <v>1024</v>
      </c>
      <c r="B536" s="6" t="s">
        <v>1025</v>
      </c>
      <c r="C536" s="7">
        <v>0</v>
      </c>
    </row>
    <row r="537" spans="1:3">
      <c r="A537" s="6" t="s">
        <v>427</v>
      </c>
      <c r="B537" s="6" t="s">
        <v>428</v>
      </c>
      <c r="C537" s="7">
        <v>0.081</v>
      </c>
    </row>
    <row r="538" spans="1:3">
      <c r="A538" s="6" t="s">
        <v>1026</v>
      </c>
      <c r="B538" s="6" t="s">
        <v>1027</v>
      </c>
      <c r="C538" s="7">
        <v>0.0438</v>
      </c>
    </row>
    <row r="539" spans="1:3">
      <c r="A539" s="6" t="s">
        <v>1028</v>
      </c>
      <c r="B539" s="6" t="s">
        <v>1029</v>
      </c>
      <c r="C539" s="7">
        <v>0</v>
      </c>
    </row>
    <row r="540" spans="1:3">
      <c r="A540" s="6" t="s">
        <v>1030</v>
      </c>
      <c r="B540" s="6" t="s">
        <v>1031</v>
      </c>
      <c r="C540" s="7">
        <v>0</v>
      </c>
    </row>
    <row r="541" spans="1:3">
      <c r="A541" s="6" t="s">
        <v>1032</v>
      </c>
      <c r="B541" s="6" t="s">
        <v>1033</v>
      </c>
      <c r="C541" s="7">
        <v>0.028</v>
      </c>
    </row>
    <row r="542" spans="1:3">
      <c r="A542" s="6" t="s">
        <v>668</v>
      </c>
      <c r="B542" s="6" t="s">
        <v>669</v>
      </c>
      <c r="C542" s="7">
        <v>0</v>
      </c>
    </row>
    <row r="543" spans="1:3">
      <c r="A543" s="6" t="s">
        <v>1034</v>
      </c>
      <c r="B543" s="6" t="s">
        <v>1035</v>
      </c>
      <c r="C543" s="7">
        <v>0</v>
      </c>
    </row>
    <row r="544" spans="1:3">
      <c r="A544" s="6" t="s">
        <v>670</v>
      </c>
      <c r="B544" s="6" t="s">
        <v>671</v>
      </c>
      <c r="C544" s="7">
        <v>0.0297</v>
      </c>
    </row>
    <row r="545" spans="1:3">
      <c r="A545" s="6" t="s">
        <v>672</v>
      </c>
      <c r="B545" s="6" t="s">
        <v>673</v>
      </c>
      <c r="C545" s="7">
        <v>0</v>
      </c>
    </row>
    <row r="546" spans="1:3">
      <c r="A546" s="6" t="s">
        <v>1036</v>
      </c>
      <c r="B546" s="6" t="s">
        <v>1037</v>
      </c>
      <c r="C546" s="7">
        <v>0</v>
      </c>
    </row>
    <row r="547" spans="1:3">
      <c r="A547" s="6" t="s">
        <v>429</v>
      </c>
      <c r="B547" s="6" t="s">
        <v>430</v>
      </c>
      <c r="C547" s="7">
        <v>0.0589</v>
      </c>
    </row>
    <row r="548" spans="1:3">
      <c r="A548" s="6" t="s">
        <v>1038</v>
      </c>
      <c r="B548" s="6" t="s">
        <v>1039</v>
      </c>
      <c r="C548" s="7">
        <v>0</v>
      </c>
    </row>
    <row r="549" spans="1:3">
      <c r="A549" s="6" t="s">
        <v>1040</v>
      </c>
      <c r="B549" s="6" t="s">
        <v>1041</v>
      </c>
      <c r="C549" s="7">
        <v>0</v>
      </c>
    </row>
    <row r="550" spans="1:3">
      <c r="A550" s="6" t="s">
        <v>431</v>
      </c>
      <c r="B550" s="6" t="s">
        <v>432</v>
      </c>
      <c r="C550" s="7">
        <v>0.0786</v>
      </c>
    </row>
    <row r="551" spans="1:3">
      <c r="A551" s="6" t="s">
        <v>1042</v>
      </c>
      <c r="B551" s="6" t="s">
        <v>1043</v>
      </c>
      <c r="C551" s="7">
        <v>0</v>
      </c>
    </row>
    <row r="552" spans="1:3">
      <c r="A552" s="6" t="s">
        <v>674</v>
      </c>
      <c r="B552" s="6" t="s">
        <v>675</v>
      </c>
      <c r="C552" s="7">
        <v>0</v>
      </c>
    </row>
    <row r="553" spans="1:3">
      <c r="A553" s="6" t="s">
        <v>676</v>
      </c>
      <c r="B553" s="6" t="s">
        <v>677</v>
      </c>
      <c r="C553" s="7">
        <v>0.0731</v>
      </c>
    </row>
    <row r="554" spans="1:3">
      <c r="A554" s="6" t="s">
        <v>678</v>
      </c>
      <c r="B554" s="6" t="s">
        <v>679</v>
      </c>
      <c r="C554" s="7">
        <v>0.0368</v>
      </c>
    </row>
    <row r="555" spans="1:3">
      <c r="A555" s="6" t="s">
        <v>1044</v>
      </c>
      <c r="B555" s="6" t="s">
        <v>1045</v>
      </c>
      <c r="C555" s="7">
        <v>0</v>
      </c>
    </row>
    <row r="556" spans="1:3">
      <c r="A556" s="6" t="s">
        <v>680</v>
      </c>
      <c r="B556" s="6" t="s">
        <v>681</v>
      </c>
      <c r="C556" s="7">
        <v>0</v>
      </c>
    </row>
    <row r="557" spans="1:3">
      <c r="A557" s="6" t="s">
        <v>682</v>
      </c>
      <c r="B557" s="6" t="s">
        <v>683</v>
      </c>
      <c r="C557" s="7">
        <v>0.04</v>
      </c>
    </row>
    <row r="558" spans="1:3">
      <c r="A558" s="6" t="s">
        <v>1046</v>
      </c>
      <c r="B558" s="6" t="s">
        <v>1047</v>
      </c>
      <c r="C558" s="7">
        <v>0</v>
      </c>
    </row>
    <row r="559" spans="1:3">
      <c r="A559" s="6" t="s">
        <v>1048</v>
      </c>
      <c r="B559" s="6" t="s">
        <v>1049</v>
      </c>
      <c r="C559" s="7">
        <v>0</v>
      </c>
    </row>
    <row r="560" spans="1:3">
      <c r="A560" s="6" t="s">
        <v>1050</v>
      </c>
      <c r="B560" s="6" t="s">
        <v>1051</v>
      </c>
      <c r="C560" s="7">
        <v>0</v>
      </c>
    </row>
    <row r="561" spans="1:3">
      <c r="A561" s="6" t="s">
        <v>684</v>
      </c>
      <c r="B561" s="6" t="s">
        <v>685</v>
      </c>
      <c r="C561" s="7">
        <v>0.0687</v>
      </c>
    </row>
    <row r="562" spans="1:3">
      <c r="A562" s="6" t="s">
        <v>686</v>
      </c>
      <c r="B562" s="6" t="s">
        <v>687</v>
      </c>
      <c r="C562" s="7">
        <v>0</v>
      </c>
    </row>
    <row r="563" spans="1:3">
      <c r="A563" s="6" t="s">
        <v>894</v>
      </c>
      <c r="B563" s="6" t="s">
        <v>895</v>
      </c>
      <c r="C563" s="7">
        <v>0.0635</v>
      </c>
    </row>
    <row r="564" spans="1:3">
      <c r="A564" s="6" t="s">
        <v>1052</v>
      </c>
      <c r="B564" s="6" t="s">
        <v>1053</v>
      </c>
      <c r="C564" s="7">
        <v>0</v>
      </c>
    </row>
    <row r="565" spans="1:3">
      <c r="A565" s="6" t="s">
        <v>1054</v>
      </c>
      <c r="B565" s="6" t="s">
        <v>1055</v>
      </c>
      <c r="C565" s="7">
        <v>0</v>
      </c>
    </row>
    <row r="566" spans="1:3">
      <c r="A566" s="6" t="s">
        <v>688</v>
      </c>
      <c r="B566" s="6" t="s">
        <v>689</v>
      </c>
      <c r="C566" s="7">
        <v>0.0396</v>
      </c>
    </row>
    <row r="567" spans="1:3">
      <c r="A567" s="6" t="s">
        <v>1056</v>
      </c>
      <c r="B567" s="6" t="s">
        <v>1057</v>
      </c>
      <c r="C567" s="7">
        <v>0</v>
      </c>
    </row>
    <row r="568" spans="1:3">
      <c r="A568" s="6" t="s">
        <v>690</v>
      </c>
      <c r="B568" s="6" t="s">
        <v>691</v>
      </c>
      <c r="C568" s="7">
        <v>0</v>
      </c>
    </row>
    <row r="569" spans="1:3">
      <c r="A569" s="6" t="s">
        <v>1058</v>
      </c>
      <c r="B569" s="6" t="s">
        <v>1059</v>
      </c>
      <c r="C569" s="7">
        <v>0</v>
      </c>
    </row>
    <row r="570" spans="1:3">
      <c r="A570" s="6" t="s">
        <v>694</v>
      </c>
      <c r="B570" s="6" t="s">
        <v>695</v>
      </c>
      <c r="C570" s="7">
        <v>0.3737</v>
      </c>
    </row>
    <row r="571" spans="1:3">
      <c r="A571" s="6" t="s">
        <v>1060</v>
      </c>
      <c r="B571" s="6" t="s">
        <v>1061</v>
      </c>
      <c r="C571" s="7">
        <v>0.0475</v>
      </c>
    </row>
    <row r="572" spans="1:3">
      <c r="A572" s="6" t="s">
        <v>696</v>
      </c>
      <c r="B572" s="6" t="s">
        <v>697</v>
      </c>
      <c r="C572" s="7">
        <v>0</v>
      </c>
    </row>
    <row r="573" spans="1:3">
      <c r="A573" s="6" t="s">
        <v>698</v>
      </c>
      <c r="B573" s="6" t="s">
        <v>699</v>
      </c>
      <c r="C573" s="7">
        <v>0.0452</v>
      </c>
    </row>
    <row r="574" spans="1:3">
      <c r="A574" s="6" t="s">
        <v>1062</v>
      </c>
      <c r="B574" s="6" t="s">
        <v>1063</v>
      </c>
      <c r="C574" s="7">
        <v>0</v>
      </c>
    </row>
    <row r="575" spans="1:3">
      <c r="A575" s="6" t="s">
        <v>700</v>
      </c>
      <c r="B575" s="6" t="s">
        <v>701</v>
      </c>
      <c r="C575" s="7">
        <v>0</v>
      </c>
    </row>
    <row r="576" spans="1:3">
      <c r="A576" s="6" t="s">
        <v>896</v>
      </c>
      <c r="B576" s="6" t="s">
        <v>897</v>
      </c>
      <c r="C576" s="7">
        <v>0.0864</v>
      </c>
    </row>
    <row r="577" spans="1:3">
      <c r="A577" s="6" t="s">
        <v>702</v>
      </c>
      <c r="B577" s="6" t="s">
        <v>703</v>
      </c>
      <c r="C577" s="7">
        <v>0.0825</v>
      </c>
    </row>
    <row r="578" spans="1:3">
      <c r="A578" s="6" t="s">
        <v>704</v>
      </c>
      <c r="B578" s="6" t="s">
        <v>705</v>
      </c>
      <c r="C578" s="7">
        <v>0</v>
      </c>
    </row>
    <row r="579" spans="1:3">
      <c r="A579" s="6" t="s">
        <v>706</v>
      </c>
      <c r="B579" s="6" t="s">
        <v>707</v>
      </c>
      <c r="C579" s="7">
        <v>0.0432</v>
      </c>
    </row>
    <row r="580" spans="1:3">
      <c r="A580" s="6" t="s">
        <v>708</v>
      </c>
      <c r="B580" s="6" t="s">
        <v>709</v>
      </c>
      <c r="C580" s="7">
        <v>0.05</v>
      </c>
    </row>
    <row r="581" spans="1:3">
      <c r="A581" s="6" t="s">
        <v>710</v>
      </c>
      <c r="B581" s="6" t="s">
        <v>711</v>
      </c>
      <c r="C581" s="7">
        <v>0</v>
      </c>
    </row>
    <row r="582" spans="1:3">
      <c r="A582" s="6" t="s">
        <v>712</v>
      </c>
      <c r="B582" s="6" t="s">
        <v>713</v>
      </c>
      <c r="C582" s="7">
        <v>0.0233</v>
      </c>
    </row>
    <row r="583" spans="1:3">
      <c r="A583" s="6" t="s">
        <v>714</v>
      </c>
      <c r="B583" s="6" t="s">
        <v>715</v>
      </c>
      <c r="C583" s="7">
        <v>0.095</v>
      </c>
    </row>
    <row r="584" spans="1:3">
      <c r="A584" s="6" t="s">
        <v>716</v>
      </c>
      <c r="B584" s="6" t="s">
        <v>717</v>
      </c>
      <c r="C584" s="7">
        <v>0</v>
      </c>
    </row>
    <row r="585" spans="1:3">
      <c r="A585" s="6" t="s">
        <v>718</v>
      </c>
      <c r="B585" s="6" t="s">
        <v>719</v>
      </c>
      <c r="C585" s="7">
        <v>0</v>
      </c>
    </row>
    <row r="586" spans="1:3">
      <c r="A586" s="6" t="s">
        <v>720</v>
      </c>
      <c r="B586" s="6" t="s">
        <v>721</v>
      </c>
      <c r="C586" s="7">
        <v>0.0339</v>
      </c>
    </row>
    <row r="587" spans="1:3">
      <c r="A587" s="6" t="s">
        <v>724</v>
      </c>
      <c r="B587" s="6" t="s">
        <v>725</v>
      </c>
      <c r="C587" s="7">
        <v>0</v>
      </c>
    </row>
    <row r="588" spans="1:3">
      <c r="A588" s="6" t="s">
        <v>726</v>
      </c>
      <c r="B588" s="6" t="s">
        <v>727</v>
      </c>
      <c r="C588" s="7">
        <v>0</v>
      </c>
    </row>
    <row r="589" spans="1:3">
      <c r="A589" s="6" t="s">
        <v>728</v>
      </c>
      <c r="B589" s="6" t="s">
        <v>729</v>
      </c>
      <c r="C589" s="7">
        <v>0</v>
      </c>
    </row>
    <row r="590" spans="1:3">
      <c r="A590" s="6" t="s">
        <v>433</v>
      </c>
      <c r="B590" s="6" t="s">
        <v>434</v>
      </c>
      <c r="C590" s="7">
        <v>0.3523</v>
      </c>
    </row>
    <row r="591" spans="1:3">
      <c r="A591" s="6" t="s">
        <v>1064</v>
      </c>
      <c r="B591" s="6" t="s">
        <v>1065</v>
      </c>
      <c r="C591" s="7">
        <v>0.284</v>
      </c>
    </row>
    <row r="592" spans="1:3">
      <c r="A592" s="6" t="s">
        <v>898</v>
      </c>
      <c r="B592" s="6" t="s">
        <v>899</v>
      </c>
      <c r="C592" s="7">
        <v>0.1583</v>
      </c>
    </row>
    <row r="593" spans="1:3">
      <c r="A593" s="6" t="s">
        <v>900</v>
      </c>
      <c r="B593" s="6" t="s">
        <v>901</v>
      </c>
      <c r="C593" s="7">
        <v>0.195</v>
      </c>
    </row>
    <row r="594" spans="1:3">
      <c r="A594" s="6" t="s">
        <v>1296</v>
      </c>
      <c r="B594" s="6" t="s">
        <v>1297</v>
      </c>
      <c r="C594" s="7">
        <v>0.2</v>
      </c>
    </row>
    <row r="595" spans="1:3">
      <c r="A595" s="6" t="s">
        <v>732</v>
      </c>
      <c r="B595" s="6" t="s">
        <v>733</v>
      </c>
      <c r="C595" s="7">
        <v>0.0667</v>
      </c>
    </row>
    <row r="596" spans="1:3">
      <c r="A596" s="6" t="s">
        <v>902</v>
      </c>
      <c r="B596" s="6" t="s">
        <v>903</v>
      </c>
      <c r="C596" s="7">
        <v>0.2033</v>
      </c>
    </row>
    <row r="597" spans="1:3">
      <c r="A597" s="6" t="s">
        <v>734</v>
      </c>
      <c r="B597" s="6" t="s">
        <v>735</v>
      </c>
      <c r="C597" s="7">
        <v>0.19</v>
      </c>
    </row>
    <row r="598" spans="1:3">
      <c r="A598" s="6" t="s">
        <v>904</v>
      </c>
      <c r="B598" s="6" t="s">
        <v>905</v>
      </c>
      <c r="C598" s="7">
        <v>0.2219</v>
      </c>
    </row>
    <row r="599" spans="1:3">
      <c r="A599" s="6" t="s">
        <v>1298</v>
      </c>
      <c r="B599" s="6" t="s">
        <v>1299</v>
      </c>
      <c r="C599" s="7">
        <v>0.1583</v>
      </c>
    </row>
    <row r="600" spans="1:3">
      <c r="A600" s="6" t="s">
        <v>1066</v>
      </c>
      <c r="B600" s="6" t="s">
        <v>1067</v>
      </c>
      <c r="C600" s="7">
        <v>0.2591</v>
      </c>
    </row>
    <row r="601" spans="1:3">
      <c r="A601" s="6" t="s">
        <v>1068</v>
      </c>
      <c r="B601" s="6" t="s">
        <v>1069</v>
      </c>
      <c r="C601" s="7">
        <v>0.2219</v>
      </c>
    </row>
    <row r="602" spans="1:3">
      <c r="A602" s="6" t="s">
        <v>435</v>
      </c>
      <c r="B602" s="6" t="s">
        <v>436</v>
      </c>
      <c r="C602" s="7">
        <v>0.0434</v>
      </c>
    </row>
    <row r="603" spans="1:3">
      <c r="A603" s="6" t="s">
        <v>1070</v>
      </c>
      <c r="B603" s="6" t="s">
        <v>1071</v>
      </c>
      <c r="C603" s="7">
        <v>0.028</v>
      </c>
    </row>
    <row r="604" spans="1:3">
      <c r="A604" s="6" t="s">
        <v>1072</v>
      </c>
      <c r="B604" s="6" t="s">
        <v>1073</v>
      </c>
      <c r="C604" s="7">
        <v>0</v>
      </c>
    </row>
    <row r="605" spans="1:3">
      <c r="A605" s="6" t="s">
        <v>736</v>
      </c>
      <c r="B605" s="6" t="s">
        <v>737</v>
      </c>
      <c r="C605" s="7">
        <v>0.0233</v>
      </c>
    </row>
    <row r="606" spans="1:3">
      <c r="A606" s="6" t="s">
        <v>437</v>
      </c>
      <c r="B606" s="6" t="s">
        <v>438</v>
      </c>
      <c r="C606" s="7">
        <v>0</v>
      </c>
    </row>
    <row r="607" spans="1:3">
      <c r="A607" s="6" t="s">
        <v>439</v>
      </c>
      <c r="B607" s="6" t="s">
        <v>440</v>
      </c>
      <c r="C607" s="7">
        <v>0.1357</v>
      </c>
    </row>
    <row r="608" spans="1:3">
      <c r="A608" s="6" t="s">
        <v>441</v>
      </c>
      <c r="B608" s="6" t="s">
        <v>442</v>
      </c>
      <c r="C608" s="7">
        <v>0.1425</v>
      </c>
    </row>
    <row r="609" spans="1:3">
      <c r="A609" s="6" t="s">
        <v>1300</v>
      </c>
      <c r="B609" s="6" t="s">
        <v>1301</v>
      </c>
      <c r="C609" s="7">
        <v>0.0475</v>
      </c>
    </row>
    <row r="610" spans="1:3">
      <c r="A610" s="6" t="s">
        <v>1074</v>
      </c>
      <c r="B610" s="6" t="s">
        <v>1075</v>
      </c>
      <c r="C610" s="7">
        <v>0.0731</v>
      </c>
    </row>
    <row r="611" spans="1:3">
      <c r="A611" s="6" t="s">
        <v>1302</v>
      </c>
      <c r="B611" s="6" t="s">
        <v>1303</v>
      </c>
      <c r="C611" s="7">
        <v>0</v>
      </c>
    </row>
    <row r="612" spans="1:3">
      <c r="A612" s="6" t="s">
        <v>1076</v>
      </c>
      <c r="B612" s="6" t="s">
        <v>1077</v>
      </c>
      <c r="C612" s="7">
        <v>0.1179</v>
      </c>
    </row>
    <row r="613" spans="1:3">
      <c r="A613" s="6" t="s">
        <v>1304</v>
      </c>
      <c r="B613" s="6" t="s">
        <v>1305</v>
      </c>
      <c r="C613" s="7">
        <v>0.0594</v>
      </c>
    </row>
    <row r="614" spans="1:3">
      <c r="A614" s="6" t="s">
        <v>1306</v>
      </c>
      <c r="B614" s="6" t="s">
        <v>1307</v>
      </c>
      <c r="C614" s="7">
        <v>0</v>
      </c>
    </row>
    <row r="615" spans="1:3">
      <c r="A615" s="6" t="s">
        <v>738</v>
      </c>
      <c r="B615" s="6" t="s">
        <v>739</v>
      </c>
      <c r="C615" s="7">
        <v>0</v>
      </c>
    </row>
    <row r="616" spans="1:3">
      <c r="A616" s="6" t="s">
        <v>1078</v>
      </c>
      <c r="B616" s="6" t="s">
        <v>1079</v>
      </c>
      <c r="C616" s="7">
        <v>0.076</v>
      </c>
    </row>
    <row r="617" spans="1:3">
      <c r="A617" s="6" t="s">
        <v>740</v>
      </c>
      <c r="B617" s="6" t="s">
        <v>741</v>
      </c>
      <c r="C617" s="7">
        <v>0.0731</v>
      </c>
    </row>
    <row r="618" spans="1:3">
      <c r="A618" s="6" t="s">
        <v>443</v>
      </c>
      <c r="B618" s="6" t="s">
        <v>444</v>
      </c>
      <c r="C618" s="7">
        <v>0.0867</v>
      </c>
    </row>
    <row r="619" spans="1:3">
      <c r="A619" s="6" t="s">
        <v>906</v>
      </c>
      <c r="B619" s="6" t="s">
        <v>907</v>
      </c>
      <c r="C619" s="7">
        <v>0.1226</v>
      </c>
    </row>
    <row r="620" spans="1:3">
      <c r="A620" s="6" t="s">
        <v>445</v>
      </c>
      <c r="B620" s="6" t="s">
        <v>446</v>
      </c>
      <c r="C620" s="7">
        <v>0.25</v>
      </c>
    </row>
    <row r="621" spans="1:3">
      <c r="A621" s="6" t="s">
        <v>447</v>
      </c>
      <c r="B621" s="6" t="s">
        <v>448</v>
      </c>
      <c r="C621" s="7">
        <v>0.0528</v>
      </c>
    </row>
    <row r="622" spans="1:3">
      <c r="A622" s="6" t="s">
        <v>742</v>
      </c>
      <c r="B622" s="6" t="s">
        <v>743</v>
      </c>
      <c r="C622" s="7">
        <v>0</v>
      </c>
    </row>
    <row r="623" spans="1:3">
      <c r="A623" s="6" t="s">
        <v>1080</v>
      </c>
      <c r="B623" s="6" t="s">
        <v>1081</v>
      </c>
      <c r="C623" s="7">
        <v>0</v>
      </c>
    </row>
    <row r="624" spans="1:3">
      <c r="A624" s="6" t="s">
        <v>744</v>
      </c>
      <c r="B624" s="6" t="s">
        <v>745</v>
      </c>
      <c r="C624" s="7">
        <v>0</v>
      </c>
    </row>
    <row r="625" spans="1:3">
      <c r="A625" s="6" t="s">
        <v>908</v>
      </c>
      <c r="B625" s="6" t="s">
        <v>909</v>
      </c>
      <c r="C625" s="7">
        <v>0.0475</v>
      </c>
    </row>
    <row r="626" spans="1:3">
      <c r="A626" s="6" t="s">
        <v>1308</v>
      </c>
      <c r="B626" s="6" t="s">
        <v>1309</v>
      </c>
      <c r="C626" s="7">
        <v>0.1733</v>
      </c>
    </row>
    <row r="627" spans="1:3">
      <c r="A627" s="6" t="s">
        <v>1310</v>
      </c>
      <c r="B627" s="6" t="s">
        <v>1311</v>
      </c>
      <c r="C627" s="7">
        <v>0.2368</v>
      </c>
    </row>
    <row r="628" spans="1:3">
      <c r="A628" s="6" t="s">
        <v>1312</v>
      </c>
      <c r="B628" s="6" t="s">
        <v>1313</v>
      </c>
      <c r="C628" s="7">
        <v>0</v>
      </c>
    </row>
    <row r="629" spans="1:3">
      <c r="A629" s="6" t="s">
        <v>1508</v>
      </c>
      <c r="B629" s="6" t="s">
        <v>1509</v>
      </c>
      <c r="C629" s="7">
        <v>0.1267</v>
      </c>
    </row>
    <row r="630" spans="1:3">
      <c r="A630" s="6" t="s">
        <v>449</v>
      </c>
      <c r="B630" s="6" t="s">
        <v>450</v>
      </c>
      <c r="C630" s="7">
        <v>0.0867</v>
      </c>
    </row>
    <row r="631" spans="1:3">
      <c r="A631" s="6" t="s">
        <v>910</v>
      </c>
      <c r="B631" s="6" t="s">
        <v>911</v>
      </c>
      <c r="C631" s="7">
        <v>0</v>
      </c>
    </row>
    <row r="632" spans="1:3">
      <c r="A632" s="6" t="s">
        <v>1082</v>
      </c>
      <c r="B632" s="6" t="s">
        <v>1083</v>
      </c>
      <c r="C632" s="7">
        <v>0.2868</v>
      </c>
    </row>
    <row r="633" spans="1:3">
      <c r="A633" s="6" t="s">
        <v>1084</v>
      </c>
      <c r="B633" s="6" t="s">
        <v>1085</v>
      </c>
      <c r="C633" s="7">
        <v>0</v>
      </c>
    </row>
    <row r="634" spans="1:3">
      <c r="A634" s="6" t="s">
        <v>1086</v>
      </c>
      <c r="B634" s="6" t="s">
        <v>1087</v>
      </c>
      <c r="C634" s="7">
        <v>0.0679</v>
      </c>
    </row>
    <row r="635" spans="1:3">
      <c r="A635" s="6" t="s">
        <v>1088</v>
      </c>
      <c r="B635" s="6" t="s">
        <v>1089</v>
      </c>
      <c r="C635" s="7">
        <v>0.05</v>
      </c>
    </row>
    <row r="636" spans="1:3">
      <c r="A636" s="6" t="s">
        <v>748</v>
      </c>
      <c r="B636" s="6" t="s">
        <v>749</v>
      </c>
      <c r="C636" s="7">
        <v>0</v>
      </c>
    </row>
    <row r="637" spans="1:3">
      <c r="A637" s="6" t="s">
        <v>1090</v>
      </c>
      <c r="B637" s="6" t="s">
        <v>1091</v>
      </c>
      <c r="C637" s="7">
        <v>0.0679</v>
      </c>
    </row>
    <row r="638" spans="1:3">
      <c r="A638" s="6" t="s">
        <v>451</v>
      </c>
      <c r="B638" s="6" t="s">
        <v>452</v>
      </c>
      <c r="C638" s="7">
        <v>0.0594</v>
      </c>
    </row>
    <row r="639" spans="1:3">
      <c r="A639" s="6" t="s">
        <v>453</v>
      </c>
      <c r="B639" s="6" t="s">
        <v>454</v>
      </c>
      <c r="C639" s="7">
        <v>0.1667</v>
      </c>
    </row>
    <row r="640" spans="1:3">
      <c r="A640" s="6" t="s">
        <v>455</v>
      </c>
      <c r="B640" s="6" t="s">
        <v>456</v>
      </c>
      <c r="C640" s="7">
        <v>0.3775</v>
      </c>
    </row>
    <row r="641" spans="1:3">
      <c r="A641" s="6" t="s">
        <v>1314</v>
      </c>
      <c r="B641" s="6" t="s">
        <v>1315</v>
      </c>
      <c r="C641" s="7">
        <v>0.0317</v>
      </c>
    </row>
    <row r="642" spans="1:3">
      <c r="A642" s="6" t="s">
        <v>1316</v>
      </c>
      <c r="B642" s="6" t="s">
        <v>1317</v>
      </c>
      <c r="C642" s="7">
        <v>0.0864</v>
      </c>
    </row>
    <row r="643" spans="1:3">
      <c r="A643" s="6" t="s">
        <v>912</v>
      </c>
      <c r="B643" s="6" t="s">
        <v>913</v>
      </c>
      <c r="C643" s="7">
        <v>0.0559</v>
      </c>
    </row>
    <row r="644" spans="1:3">
      <c r="A644" s="6" t="s">
        <v>1318</v>
      </c>
      <c r="B644" s="6" t="s">
        <v>1319</v>
      </c>
      <c r="C644" s="7">
        <v>0.0583</v>
      </c>
    </row>
    <row r="645" spans="1:3">
      <c r="A645" s="6" t="s">
        <v>1092</v>
      </c>
      <c r="B645" s="6" t="s">
        <v>1093</v>
      </c>
      <c r="C645" s="7">
        <v>0</v>
      </c>
    </row>
    <row r="646" spans="1:3">
      <c r="A646" s="6" t="s">
        <v>1094</v>
      </c>
      <c r="B646" s="6" t="s">
        <v>1095</v>
      </c>
      <c r="C646" s="7">
        <v>0</v>
      </c>
    </row>
    <row r="647" spans="1:3">
      <c r="A647" s="6" t="s">
        <v>1320</v>
      </c>
      <c r="B647" s="6" t="s">
        <v>1321</v>
      </c>
      <c r="C647" s="7">
        <v>0.0559</v>
      </c>
    </row>
    <row r="648" spans="1:3">
      <c r="A648" s="6" t="s">
        <v>457</v>
      </c>
      <c r="B648" s="6" t="s">
        <v>458</v>
      </c>
      <c r="C648" s="7">
        <v>0.15</v>
      </c>
    </row>
    <row r="649" spans="1:3">
      <c r="A649" s="6" t="s">
        <v>1322</v>
      </c>
      <c r="B649" s="6" t="s">
        <v>1323</v>
      </c>
      <c r="C649" s="7">
        <v>0.1444</v>
      </c>
    </row>
    <row r="650" spans="1:3">
      <c r="A650" s="6" t="s">
        <v>1324</v>
      </c>
      <c r="B650" s="6" t="s">
        <v>1325</v>
      </c>
      <c r="C650" s="7">
        <v>0.1583</v>
      </c>
    </row>
    <row r="651" spans="1:3">
      <c r="A651" s="6" t="s">
        <v>1326</v>
      </c>
      <c r="B651" s="6" t="s">
        <v>1327</v>
      </c>
      <c r="C651" s="7">
        <v>0</v>
      </c>
    </row>
    <row r="652" spans="1:3">
      <c r="A652" s="6" t="s">
        <v>1328</v>
      </c>
      <c r="B652" s="6" t="s">
        <v>1329</v>
      </c>
      <c r="C652" s="7">
        <v>0</v>
      </c>
    </row>
    <row r="653" spans="1:3">
      <c r="A653" s="6" t="s">
        <v>459</v>
      </c>
      <c r="B653" s="6" t="s">
        <v>460</v>
      </c>
      <c r="C653" s="7">
        <v>0.0475</v>
      </c>
    </row>
    <row r="654" spans="1:3">
      <c r="A654" s="6" t="s">
        <v>461</v>
      </c>
      <c r="B654" s="6" t="s">
        <v>462</v>
      </c>
      <c r="C654" s="7">
        <v>0.038</v>
      </c>
    </row>
    <row r="655" spans="1:3">
      <c r="A655" s="6" t="s">
        <v>1330</v>
      </c>
      <c r="B655" s="6" t="s">
        <v>1331</v>
      </c>
      <c r="C655" s="7">
        <v>0.1118</v>
      </c>
    </row>
    <row r="656" spans="1:3">
      <c r="A656" s="6" t="s">
        <v>1096</v>
      </c>
      <c r="B656" s="6" t="s">
        <v>1097</v>
      </c>
      <c r="C656" s="7">
        <v>0</v>
      </c>
    </row>
    <row r="657" spans="1:3">
      <c r="A657" s="6" t="s">
        <v>1098</v>
      </c>
      <c r="B657" s="6" t="s">
        <v>1099</v>
      </c>
      <c r="C657" s="7">
        <v>0</v>
      </c>
    </row>
    <row r="658" spans="1:3">
      <c r="A658" s="6" t="s">
        <v>750</v>
      </c>
      <c r="B658" s="6" t="s">
        <v>751</v>
      </c>
      <c r="C658" s="7">
        <v>0.1</v>
      </c>
    </row>
    <row r="659" spans="1:3">
      <c r="A659" s="6" t="s">
        <v>1100</v>
      </c>
      <c r="B659" s="6" t="s">
        <v>1101</v>
      </c>
      <c r="C659" s="7">
        <v>0.0297</v>
      </c>
    </row>
    <row r="660" spans="1:3">
      <c r="A660" s="6" t="s">
        <v>752</v>
      </c>
      <c r="B660" s="6" t="s">
        <v>753</v>
      </c>
      <c r="C660" s="7">
        <v>0</v>
      </c>
    </row>
    <row r="661" spans="1:3">
      <c r="A661" s="6" t="s">
        <v>1102</v>
      </c>
      <c r="B661" s="6" t="s">
        <v>1103</v>
      </c>
      <c r="C661" s="7">
        <v>0.0917</v>
      </c>
    </row>
    <row r="662" spans="1:3">
      <c r="A662" s="6" t="s">
        <v>1104</v>
      </c>
      <c r="B662" s="6" t="s">
        <v>1105</v>
      </c>
      <c r="C662" s="7">
        <v>0.0438</v>
      </c>
    </row>
    <row r="663" spans="1:3">
      <c r="A663" s="6" t="s">
        <v>754</v>
      </c>
      <c r="B663" s="6" t="s">
        <v>755</v>
      </c>
      <c r="C663" s="7">
        <v>0.0633</v>
      </c>
    </row>
    <row r="664" spans="1:3">
      <c r="A664" s="6" t="s">
        <v>756</v>
      </c>
      <c r="B664" s="6" t="s">
        <v>757</v>
      </c>
      <c r="C664" s="7">
        <v>0.0897</v>
      </c>
    </row>
    <row r="665" spans="1:3">
      <c r="A665" s="6" t="s">
        <v>758</v>
      </c>
      <c r="B665" s="6" t="s">
        <v>759</v>
      </c>
      <c r="C665" s="7">
        <v>0.1267</v>
      </c>
    </row>
    <row r="666" spans="1:3">
      <c r="A666" s="6" t="s">
        <v>1332</v>
      </c>
      <c r="B666" s="6" t="s">
        <v>1333</v>
      </c>
      <c r="C666" s="7">
        <v>0</v>
      </c>
    </row>
    <row r="667" spans="1:3">
      <c r="A667" s="6" t="s">
        <v>1334</v>
      </c>
      <c r="B667" s="6" t="s">
        <v>1335</v>
      </c>
      <c r="C667" s="7">
        <v>0.0594</v>
      </c>
    </row>
    <row r="668" spans="1:3">
      <c r="A668" s="6" t="s">
        <v>1336</v>
      </c>
      <c r="B668" s="6" t="s">
        <v>1337</v>
      </c>
      <c r="C668" s="7">
        <v>0.1267</v>
      </c>
    </row>
    <row r="669" spans="1:3">
      <c r="A669" s="6" t="s">
        <v>1338</v>
      </c>
      <c r="B669" s="6" t="s">
        <v>1339</v>
      </c>
      <c r="C669" s="7">
        <v>0</v>
      </c>
    </row>
    <row r="670" spans="1:3">
      <c r="A670" s="6" t="s">
        <v>1106</v>
      </c>
      <c r="B670" s="6" t="s">
        <v>1107</v>
      </c>
      <c r="C670" s="7">
        <v>0.0288</v>
      </c>
    </row>
    <row r="671" spans="1:3">
      <c r="A671" s="6" t="s">
        <v>1108</v>
      </c>
      <c r="B671" s="6" t="s">
        <v>1109</v>
      </c>
      <c r="C671" s="7">
        <v>0.169</v>
      </c>
    </row>
    <row r="672" spans="1:3">
      <c r="A672" s="6" t="s">
        <v>760</v>
      </c>
      <c r="B672" s="6" t="s">
        <v>761</v>
      </c>
      <c r="C672" s="7">
        <v>0.0559</v>
      </c>
    </row>
    <row r="673" spans="1:3">
      <c r="A673" s="6" t="s">
        <v>465</v>
      </c>
      <c r="B673" s="6" t="s">
        <v>466</v>
      </c>
      <c r="C673" s="7">
        <v>0.0233</v>
      </c>
    </row>
    <row r="674" spans="1:3">
      <c r="A674" s="6" t="s">
        <v>762</v>
      </c>
      <c r="B674" s="6" t="s">
        <v>763</v>
      </c>
      <c r="C674" s="7">
        <v>0.0983</v>
      </c>
    </row>
    <row r="675" spans="1:3">
      <c r="A675" s="6" t="s">
        <v>1110</v>
      </c>
      <c r="B675" s="6" t="s">
        <v>1111</v>
      </c>
      <c r="C675" s="7">
        <v>0.0365</v>
      </c>
    </row>
    <row r="676" spans="1:3">
      <c r="A676" s="6" t="s">
        <v>1112</v>
      </c>
      <c r="B676" s="6" t="s">
        <v>1113</v>
      </c>
      <c r="C676" s="7">
        <v>0.0679</v>
      </c>
    </row>
    <row r="677" spans="1:3">
      <c r="A677" s="6" t="s">
        <v>1340</v>
      </c>
      <c r="B677" s="6" t="s">
        <v>1341</v>
      </c>
      <c r="C677" s="7">
        <v>0.025</v>
      </c>
    </row>
    <row r="678" spans="1:3">
      <c r="A678" s="6" t="s">
        <v>1114</v>
      </c>
      <c r="B678" s="6" t="s">
        <v>1115</v>
      </c>
      <c r="C678" s="7">
        <v>0</v>
      </c>
    </row>
    <row r="679" spans="1:3">
      <c r="A679" s="6" t="s">
        <v>1342</v>
      </c>
      <c r="B679" s="6" t="s">
        <v>1343</v>
      </c>
      <c r="C679" s="7">
        <v>0.42</v>
      </c>
    </row>
    <row r="680" spans="1:3">
      <c r="A680" s="6" t="s">
        <v>1344</v>
      </c>
      <c r="B680" s="6" t="s">
        <v>1345</v>
      </c>
      <c r="C680" s="7">
        <v>0.3348</v>
      </c>
    </row>
    <row r="681" spans="1:3">
      <c r="A681" s="6" t="s">
        <v>1346</v>
      </c>
      <c r="B681" s="6" t="s">
        <v>1347</v>
      </c>
      <c r="C681" s="7">
        <v>0.0385</v>
      </c>
    </row>
    <row r="682" spans="1:3">
      <c r="A682" s="6" t="s">
        <v>1116</v>
      </c>
      <c r="B682" s="6" t="s">
        <v>1117</v>
      </c>
      <c r="C682" s="7">
        <v>0</v>
      </c>
    </row>
    <row r="683" spans="1:3">
      <c r="A683" s="6" t="s">
        <v>1348</v>
      </c>
      <c r="B683" s="6" t="s">
        <v>1349</v>
      </c>
      <c r="C683" s="7">
        <v>0</v>
      </c>
    </row>
    <row r="684" spans="1:3">
      <c r="A684" s="6" t="s">
        <v>1118</v>
      </c>
      <c r="B684" s="6" t="s">
        <v>1119</v>
      </c>
      <c r="C684" s="7">
        <v>0.0365</v>
      </c>
    </row>
    <row r="685" spans="1:3">
      <c r="A685" s="6" t="s">
        <v>1350</v>
      </c>
      <c r="B685" s="6" t="s">
        <v>1351</v>
      </c>
      <c r="C685" s="7">
        <v>0</v>
      </c>
    </row>
    <row r="686" spans="1:3">
      <c r="A686" s="6" t="s">
        <v>1352</v>
      </c>
      <c r="B686" s="6" t="s">
        <v>1353</v>
      </c>
      <c r="C686" s="7">
        <v>0</v>
      </c>
    </row>
    <row r="687" spans="1:3">
      <c r="A687" s="6" t="s">
        <v>1354</v>
      </c>
      <c r="B687" s="6" t="s">
        <v>1355</v>
      </c>
      <c r="C687" s="7">
        <v>0</v>
      </c>
    </row>
    <row r="688" spans="1:3">
      <c r="A688" s="6" t="s">
        <v>1356</v>
      </c>
      <c r="B688" s="6" t="s">
        <v>1357</v>
      </c>
      <c r="C688" s="7">
        <v>0.0432</v>
      </c>
    </row>
    <row r="689" spans="1:3">
      <c r="A689" s="6" t="s">
        <v>1358</v>
      </c>
      <c r="B689" s="6" t="s">
        <v>1359</v>
      </c>
      <c r="C689" s="7">
        <v>0.1187</v>
      </c>
    </row>
    <row r="690" spans="1:3">
      <c r="A690" s="6" t="s">
        <v>1360</v>
      </c>
      <c r="B690" s="6" t="s">
        <v>1361</v>
      </c>
      <c r="C690" s="7">
        <v>0.1056</v>
      </c>
    </row>
    <row r="691" spans="1:3">
      <c r="A691" s="6" t="s">
        <v>1362</v>
      </c>
      <c r="B691" s="6" t="s">
        <v>1363</v>
      </c>
      <c r="C691" s="7">
        <v>0.13</v>
      </c>
    </row>
    <row r="692" spans="1:3">
      <c r="A692" s="6" t="s">
        <v>1364</v>
      </c>
      <c r="B692" s="6" t="s">
        <v>1365</v>
      </c>
      <c r="C692" s="7">
        <v>0.0396</v>
      </c>
    </row>
    <row r="693" spans="1:3">
      <c r="A693" s="6" t="s">
        <v>1366</v>
      </c>
      <c r="B693" s="6" t="s">
        <v>1367</v>
      </c>
      <c r="C693" s="7">
        <v>0.0905</v>
      </c>
    </row>
    <row r="694" spans="1:3">
      <c r="A694" s="6" t="s">
        <v>1368</v>
      </c>
      <c r="B694" s="6" t="s">
        <v>1369</v>
      </c>
      <c r="C694" s="7">
        <v>0.1625</v>
      </c>
    </row>
    <row r="695" spans="1:3">
      <c r="A695" s="6" t="s">
        <v>1120</v>
      </c>
      <c r="B695" s="6" t="s">
        <v>1121</v>
      </c>
      <c r="C695" s="7">
        <v>0.0432</v>
      </c>
    </row>
    <row r="696" spans="1:3">
      <c r="A696" s="6" t="s">
        <v>1122</v>
      </c>
      <c r="B696" s="6" t="s">
        <v>1123</v>
      </c>
      <c r="C696" s="7">
        <v>0.13</v>
      </c>
    </row>
    <row r="697" spans="1:3">
      <c r="A697" s="6" t="s">
        <v>1124</v>
      </c>
      <c r="B697" s="6" t="s">
        <v>1125</v>
      </c>
      <c r="C697" s="7">
        <v>0</v>
      </c>
    </row>
    <row r="698" spans="1:3">
      <c r="A698" s="6" t="s">
        <v>1372</v>
      </c>
      <c r="B698" s="6" t="s">
        <v>1373</v>
      </c>
      <c r="C698" s="7">
        <v>0.0679</v>
      </c>
    </row>
    <row r="699" spans="1:3">
      <c r="A699" s="6" t="s">
        <v>1374</v>
      </c>
      <c r="B699" s="6" t="s">
        <v>1375</v>
      </c>
      <c r="C699" s="7">
        <v>0.13</v>
      </c>
    </row>
    <row r="700" spans="1:3">
      <c r="A700" s="6" t="s">
        <v>467</v>
      </c>
      <c r="B700" s="6" t="s">
        <v>468</v>
      </c>
      <c r="C700" s="7">
        <v>0</v>
      </c>
    </row>
    <row r="701" spans="1:3">
      <c r="A701" s="6" t="s">
        <v>1126</v>
      </c>
      <c r="B701" s="6" t="s">
        <v>1127</v>
      </c>
      <c r="C701" s="7">
        <v>0.0365</v>
      </c>
    </row>
    <row r="702" spans="1:3">
      <c r="A702" s="6" t="s">
        <v>914</v>
      </c>
      <c r="B702" s="6" t="s">
        <v>915</v>
      </c>
      <c r="C702" s="7">
        <v>0.1425</v>
      </c>
    </row>
    <row r="703" spans="1:3">
      <c r="A703" s="6" t="s">
        <v>916</v>
      </c>
      <c r="B703" s="6" t="s">
        <v>917</v>
      </c>
      <c r="C703" s="7">
        <v>0.4267</v>
      </c>
    </row>
    <row r="704" spans="1:3">
      <c r="A704" s="6" t="s">
        <v>766</v>
      </c>
      <c r="B704" s="6" t="s">
        <v>767</v>
      </c>
      <c r="C704" s="7">
        <v>0.1618</v>
      </c>
    </row>
    <row r="705" spans="1:3">
      <c r="A705" s="6" t="s">
        <v>768</v>
      </c>
      <c r="B705" s="6" t="s">
        <v>769</v>
      </c>
      <c r="C705" s="7">
        <v>0.104</v>
      </c>
    </row>
    <row r="706" spans="1:3">
      <c r="A706" s="6" t="s">
        <v>770</v>
      </c>
      <c r="B706" s="6" t="s">
        <v>771</v>
      </c>
      <c r="C706" s="7">
        <v>0.1188</v>
      </c>
    </row>
    <row r="707" spans="1:3">
      <c r="A707" s="6" t="s">
        <v>772</v>
      </c>
      <c r="B707" s="6" t="s">
        <v>773</v>
      </c>
      <c r="C707" s="7">
        <v>0.1</v>
      </c>
    </row>
    <row r="708" spans="1:3">
      <c r="A708" s="6" t="s">
        <v>774</v>
      </c>
      <c r="B708" s="6" t="s">
        <v>775</v>
      </c>
      <c r="C708" s="7">
        <v>0.15</v>
      </c>
    </row>
    <row r="709" spans="1:3">
      <c r="A709" s="6" t="s">
        <v>776</v>
      </c>
      <c r="B709" s="6" t="s">
        <v>777</v>
      </c>
      <c r="C709" s="7">
        <v>0.1583</v>
      </c>
    </row>
    <row r="710" spans="1:3">
      <c r="A710" s="6" t="s">
        <v>778</v>
      </c>
      <c r="B710" s="6" t="s">
        <v>779</v>
      </c>
      <c r="C710" s="7">
        <v>0.1</v>
      </c>
    </row>
    <row r="711" spans="1:3">
      <c r="A711" s="6" t="s">
        <v>1378</v>
      </c>
      <c r="B711" s="6" t="s">
        <v>1379</v>
      </c>
      <c r="C711" s="7">
        <v>0.113</v>
      </c>
    </row>
    <row r="712" spans="1:3">
      <c r="A712" s="6" t="s">
        <v>469</v>
      </c>
      <c r="B712" s="6" t="s">
        <v>470</v>
      </c>
      <c r="C712" s="7">
        <v>0.0452</v>
      </c>
    </row>
    <row r="713" spans="1:3">
      <c r="A713" s="6" t="s">
        <v>471</v>
      </c>
      <c r="B713" s="6" t="s">
        <v>472</v>
      </c>
      <c r="C713" s="7">
        <v>0.0864</v>
      </c>
    </row>
    <row r="714" spans="1:3">
      <c r="A714" s="6" t="s">
        <v>1128</v>
      </c>
      <c r="B714" s="6" t="s">
        <v>1129</v>
      </c>
      <c r="C714" s="7">
        <v>0.0475</v>
      </c>
    </row>
    <row r="715" spans="1:3">
      <c r="A715" s="6" t="s">
        <v>473</v>
      </c>
      <c r="B715" s="6" t="s">
        <v>474</v>
      </c>
      <c r="C715" s="7">
        <v>0.1026</v>
      </c>
    </row>
    <row r="716" spans="1:3">
      <c r="A716" s="6" t="s">
        <v>475</v>
      </c>
      <c r="B716" s="6" t="s">
        <v>476</v>
      </c>
      <c r="C716" s="7">
        <v>0</v>
      </c>
    </row>
    <row r="717" spans="1:3">
      <c r="A717" s="6" t="s">
        <v>477</v>
      </c>
      <c r="B717" s="6" t="s">
        <v>478</v>
      </c>
      <c r="C717" s="7">
        <v>0.0339</v>
      </c>
    </row>
    <row r="718" spans="1:3">
      <c r="A718" s="6" t="s">
        <v>479</v>
      </c>
      <c r="B718" s="6" t="s">
        <v>480</v>
      </c>
      <c r="C718" s="7">
        <v>0.0679</v>
      </c>
    </row>
    <row r="719" spans="1:3">
      <c r="A719" s="6" t="s">
        <v>780</v>
      </c>
      <c r="B719" s="6" t="s">
        <v>781</v>
      </c>
      <c r="C719" s="7">
        <v>0.1056</v>
      </c>
    </row>
    <row r="720" spans="1:3">
      <c r="A720" s="6" t="s">
        <v>481</v>
      </c>
      <c r="B720" s="6" t="s">
        <v>482</v>
      </c>
      <c r="C720" s="7">
        <v>0.2969</v>
      </c>
    </row>
    <row r="721" spans="1:3">
      <c r="A721" s="6" t="s">
        <v>1380</v>
      </c>
      <c r="B721" s="6" t="s">
        <v>1381</v>
      </c>
      <c r="C721" s="7">
        <v>0.0924</v>
      </c>
    </row>
    <row r="722" spans="1:3">
      <c r="A722" s="6" t="s">
        <v>1382</v>
      </c>
      <c r="B722" s="6" t="s">
        <v>1383</v>
      </c>
      <c r="C722" s="7">
        <v>0</v>
      </c>
    </row>
    <row r="723" spans="1:3">
      <c r="A723" s="6" t="s">
        <v>1384</v>
      </c>
      <c r="B723" s="6" t="s">
        <v>1385</v>
      </c>
      <c r="C723" s="7">
        <v>0</v>
      </c>
    </row>
    <row r="724" spans="1:3">
      <c r="A724" s="6" t="s">
        <v>1386</v>
      </c>
      <c r="B724" s="6" t="s">
        <v>1387</v>
      </c>
      <c r="C724" s="7">
        <v>0</v>
      </c>
    </row>
    <row r="725" spans="1:3">
      <c r="A725" s="6" t="s">
        <v>483</v>
      </c>
      <c r="B725" s="6" t="s">
        <v>484</v>
      </c>
      <c r="C725" s="7">
        <v>0.0475</v>
      </c>
    </row>
    <row r="726" spans="1:3">
      <c r="A726" s="6" t="s">
        <v>1130</v>
      </c>
      <c r="B726" s="6" t="s">
        <v>1131</v>
      </c>
      <c r="C726" s="7">
        <v>0</v>
      </c>
    </row>
    <row r="727" spans="1:3">
      <c r="A727" s="6" t="s">
        <v>782</v>
      </c>
      <c r="B727" s="6" t="s">
        <v>783</v>
      </c>
      <c r="C727" s="7">
        <v>0.0317</v>
      </c>
    </row>
    <row r="728" spans="1:3">
      <c r="A728" s="6" t="s">
        <v>1388</v>
      </c>
      <c r="B728" s="6" t="s">
        <v>1389</v>
      </c>
      <c r="C728" s="7">
        <v>0.1875</v>
      </c>
    </row>
    <row r="729" spans="1:3">
      <c r="A729" s="6" t="s">
        <v>1390</v>
      </c>
      <c r="B729" s="6" t="s">
        <v>1391</v>
      </c>
      <c r="C729" s="7">
        <v>0.5391</v>
      </c>
    </row>
    <row r="730" spans="1:3">
      <c r="A730" s="6" t="s">
        <v>784</v>
      </c>
      <c r="B730" s="6" t="s">
        <v>785</v>
      </c>
      <c r="C730" s="7">
        <v>0.2111</v>
      </c>
    </row>
    <row r="731" spans="1:3">
      <c r="A731" s="6" t="s">
        <v>1132</v>
      </c>
      <c r="B731" s="6" t="s">
        <v>1133</v>
      </c>
      <c r="C731" s="7">
        <v>0.5938</v>
      </c>
    </row>
    <row r="732" spans="1:3">
      <c r="A732" s="6" t="s">
        <v>1392</v>
      </c>
      <c r="B732" s="6" t="s">
        <v>1393</v>
      </c>
      <c r="C732" s="7">
        <v>0.0559</v>
      </c>
    </row>
    <row r="733" spans="1:3">
      <c r="A733" s="6" t="s">
        <v>485</v>
      </c>
      <c r="B733" s="6" t="s">
        <v>486</v>
      </c>
      <c r="C733" s="7">
        <v>0.0864</v>
      </c>
    </row>
    <row r="734" spans="1:3">
      <c r="A734" s="6" t="s">
        <v>1394</v>
      </c>
      <c r="B734" s="6" t="s">
        <v>1395</v>
      </c>
      <c r="C734" s="7">
        <v>0.05</v>
      </c>
    </row>
    <row r="735" spans="1:3">
      <c r="A735" s="6" t="s">
        <v>1396</v>
      </c>
      <c r="B735" s="6" t="s">
        <v>1397</v>
      </c>
      <c r="C735" s="7">
        <v>0.0633</v>
      </c>
    </row>
    <row r="736" spans="1:3">
      <c r="A736" s="6" t="s">
        <v>786</v>
      </c>
      <c r="B736" s="6" t="s">
        <v>787</v>
      </c>
      <c r="C736" s="7">
        <v>0.0125</v>
      </c>
    </row>
    <row r="737" spans="1:3">
      <c r="A737" s="6" t="s">
        <v>487</v>
      </c>
      <c r="B737" s="6" t="s">
        <v>488</v>
      </c>
      <c r="C737" s="7">
        <v>0</v>
      </c>
    </row>
    <row r="738" spans="1:3">
      <c r="A738" s="6" t="s">
        <v>1398</v>
      </c>
      <c r="B738" s="6" t="s">
        <v>1399</v>
      </c>
      <c r="C738" s="7">
        <v>0</v>
      </c>
    </row>
    <row r="739" spans="1:3">
      <c r="A739" s="6" t="s">
        <v>489</v>
      </c>
      <c r="B739" s="6" t="s">
        <v>490</v>
      </c>
      <c r="C739" s="7">
        <v>0.0838</v>
      </c>
    </row>
    <row r="740" spans="1:3">
      <c r="A740" s="6" t="s">
        <v>1400</v>
      </c>
      <c r="B740" s="6" t="s">
        <v>1401</v>
      </c>
      <c r="C740" s="7">
        <v>0.3167</v>
      </c>
    </row>
    <row r="741" spans="1:3">
      <c r="A741" s="6" t="s">
        <v>493</v>
      </c>
      <c r="B741" s="6" t="s">
        <v>494</v>
      </c>
      <c r="C741" s="7">
        <v>0.3429</v>
      </c>
    </row>
    <row r="742" spans="1:3">
      <c r="A742" s="6" t="s">
        <v>1402</v>
      </c>
      <c r="B742" s="6" t="s">
        <v>1403</v>
      </c>
      <c r="C742" s="7">
        <v>0.5423</v>
      </c>
    </row>
    <row r="743" spans="1:3">
      <c r="A743" s="6" t="s">
        <v>495</v>
      </c>
      <c r="B743" s="6" t="s">
        <v>496</v>
      </c>
      <c r="C743" s="7">
        <v>0.3558</v>
      </c>
    </row>
    <row r="744" spans="1:3">
      <c r="A744" s="6" t="s">
        <v>1547</v>
      </c>
      <c r="B744" s="6" t="s">
        <v>1548</v>
      </c>
      <c r="C744" s="7">
        <v>0.5261</v>
      </c>
    </row>
    <row r="745" spans="1:3">
      <c r="A745" s="6" t="s">
        <v>1404</v>
      </c>
      <c r="B745" s="6" t="s">
        <v>1405</v>
      </c>
      <c r="C745" s="7">
        <v>0.35</v>
      </c>
    </row>
    <row r="746" spans="1:3">
      <c r="A746" s="6" t="s">
        <v>1549</v>
      </c>
      <c r="B746" s="6" t="s">
        <v>1550</v>
      </c>
      <c r="C746" s="7">
        <v>0.268</v>
      </c>
    </row>
    <row r="747" spans="1:3">
      <c r="A747" s="6" t="s">
        <v>1551</v>
      </c>
      <c r="B747" s="6" t="s">
        <v>1552</v>
      </c>
      <c r="C747" s="7">
        <v>0.0864</v>
      </c>
    </row>
    <row r="748" spans="1:3">
      <c r="A748" s="6" t="s">
        <v>497</v>
      </c>
      <c r="B748" s="6" t="s">
        <v>498</v>
      </c>
      <c r="C748" s="7">
        <v>0.3167</v>
      </c>
    </row>
    <row r="749" spans="1:3">
      <c r="A749" s="6" t="s">
        <v>499</v>
      </c>
      <c r="B749" s="6" t="s">
        <v>500</v>
      </c>
      <c r="C749" s="7">
        <v>0.2065</v>
      </c>
    </row>
    <row r="750" spans="1:3">
      <c r="A750" s="6" t="s">
        <v>501</v>
      </c>
      <c r="B750" s="6" t="s">
        <v>502</v>
      </c>
      <c r="C750" s="7">
        <v>0.3393</v>
      </c>
    </row>
    <row r="751" spans="1:3">
      <c r="A751" s="6" t="s">
        <v>1553</v>
      </c>
      <c r="B751" s="6" t="s">
        <v>1554</v>
      </c>
      <c r="C751" s="7">
        <v>0.2235</v>
      </c>
    </row>
    <row r="752" spans="1:3">
      <c r="A752" s="6" t="s">
        <v>1457</v>
      </c>
      <c r="B752" s="6" t="s">
        <v>1458</v>
      </c>
      <c r="C752" s="7">
        <v>0.2567</v>
      </c>
    </row>
    <row r="753" spans="1:3">
      <c r="A753" s="6" t="s">
        <v>503</v>
      </c>
      <c r="B753" s="6" t="s">
        <v>504</v>
      </c>
      <c r="C753" s="7">
        <v>0.3288</v>
      </c>
    </row>
    <row r="754" spans="1:3">
      <c r="A754" s="6" t="s">
        <v>1555</v>
      </c>
      <c r="B754" s="6" t="s">
        <v>1556</v>
      </c>
      <c r="C754" s="7">
        <v>0.4844</v>
      </c>
    </row>
    <row r="755" spans="1:3">
      <c r="A755" s="6" t="s">
        <v>788</v>
      </c>
      <c r="B755" s="6" t="s">
        <v>789</v>
      </c>
      <c r="C755" s="7">
        <v>0.19</v>
      </c>
    </row>
    <row r="756" spans="1:3">
      <c r="A756" s="6" t="s">
        <v>790</v>
      </c>
      <c r="B756" s="6" t="s">
        <v>791</v>
      </c>
      <c r="C756" s="7">
        <v>0.152</v>
      </c>
    </row>
    <row r="757" spans="1:3">
      <c r="A757" s="6" t="s">
        <v>1406</v>
      </c>
      <c r="B757" s="6" t="s">
        <v>1407</v>
      </c>
      <c r="C757" s="7">
        <v>0.1357</v>
      </c>
    </row>
    <row r="758" spans="1:3">
      <c r="A758" s="6" t="s">
        <v>792</v>
      </c>
      <c r="B758" s="6" t="s">
        <v>793</v>
      </c>
      <c r="C758" s="7">
        <v>0.3977</v>
      </c>
    </row>
    <row r="759" spans="1:3">
      <c r="A759" s="6" t="s">
        <v>1557</v>
      </c>
      <c r="B759" s="6" t="s">
        <v>1558</v>
      </c>
      <c r="C759" s="7">
        <v>0.4</v>
      </c>
    </row>
    <row r="760" spans="1:3">
      <c r="A760" s="6" t="s">
        <v>796</v>
      </c>
      <c r="B760" s="6" t="s">
        <v>797</v>
      </c>
      <c r="C760" s="7">
        <v>0.1018</v>
      </c>
    </row>
    <row r="761" spans="1:3">
      <c r="A761" s="6" t="s">
        <v>798</v>
      </c>
      <c r="B761" s="6" t="s">
        <v>799</v>
      </c>
      <c r="C761" s="7">
        <v>0.095</v>
      </c>
    </row>
    <row r="762" spans="1:3">
      <c r="A762" s="6" t="s">
        <v>1136</v>
      </c>
      <c r="B762" s="6" t="s">
        <v>1137</v>
      </c>
      <c r="C762" s="7">
        <v>0.0559</v>
      </c>
    </row>
    <row r="763" spans="1:3">
      <c r="A763" s="6" t="s">
        <v>800</v>
      </c>
      <c r="B763" s="6" t="s">
        <v>801</v>
      </c>
      <c r="C763" s="7">
        <v>0.0971</v>
      </c>
    </row>
    <row r="764" spans="1:3">
      <c r="A764" s="6" t="s">
        <v>1559</v>
      </c>
      <c r="B764" s="6" t="s">
        <v>1560</v>
      </c>
      <c r="C764" s="7">
        <v>0.2639</v>
      </c>
    </row>
    <row r="765" spans="1:3">
      <c r="A765" s="6" t="s">
        <v>1408</v>
      </c>
      <c r="B765" s="6" t="s">
        <v>1409</v>
      </c>
      <c r="C765" s="7">
        <v>0.1972</v>
      </c>
    </row>
    <row r="766" spans="1:3">
      <c r="A766" s="6" t="s">
        <v>1138</v>
      </c>
      <c r="B766" s="6" t="s">
        <v>1139</v>
      </c>
      <c r="C766" s="7">
        <v>0.2533</v>
      </c>
    </row>
    <row r="767" spans="1:3">
      <c r="A767" s="6" t="s">
        <v>1410</v>
      </c>
      <c r="B767" s="6" t="s">
        <v>1411</v>
      </c>
      <c r="C767" s="7">
        <v>0.0528</v>
      </c>
    </row>
    <row r="768" spans="1:3">
      <c r="A768" s="6" t="s">
        <v>1140</v>
      </c>
      <c r="B768" s="6" t="s">
        <v>1141</v>
      </c>
      <c r="C768" s="7">
        <v>0.3938</v>
      </c>
    </row>
    <row r="769" spans="1:3">
      <c r="A769" s="6" t="s">
        <v>1412</v>
      </c>
      <c r="B769" s="6" t="s">
        <v>1413</v>
      </c>
      <c r="C769" s="7">
        <v>0.2192</v>
      </c>
    </row>
    <row r="770" spans="1:3">
      <c r="A770" s="6" t="s">
        <v>1561</v>
      </c>
      <c r="B770" s="6" t="s">
        <v>1562</v>
      </c>
      <c r="C770" s="7">
        <v>0.275</v>
      </c>
    </row>
    <row r="771" spans="1:3">
      <c r="A771" s="6" t="s">
        <v>802</v>
      </c>
      <c r="B771" s="6" t="s">
        <v>803</v>
      </c>
      <c r="C771" s="7">
        <v>0.1261</v>
      </c>
    </row>
    <row r="772" spans="1:3">
      <c r="A772" s="6" t="s">
        <v>804</v>
      </c>
      <c r="B772" s="6" t="s">
        <v>805</v>
      </c>
      <c r="C772" s="7">
        <v>0.0864</v>
      </c>
    </row>
    <row r="773" spans="1:3">
      <c r="A773" s="6" t="s">
        <v>806</v>
      </c>
      <c r="B773" s="6" t="s">
        <v>807</v>
      </c>
      <c r="C773" s="7">
        <v>0</v>
      </c>
    </row>
    <row r="774" spans="1:3">
      <c r="A774" s="6" t="s">
        <v>505</v>
      </c>
      <c r="B774" s="6" t="s">
        <v>506</v>
      </c>
      <c r="C774" s="7">
        <v>0</v>
      </c>
    </row>
    <row r="775" spans="1:3">
      <c r="A775" s="6" t="s">
        <v>507</v>
      </c>
      <c r="B775" s="6" t="s">
        <v>508</v>
      </c>
      <c r="C775" s="7">
        <v>0</v>
      </c>
    </row>
    <row r="776" spans="1:3">
      <c r="A776" s="6" t="s">
        <v>509</v>
      </c>
      <c r="B776" s="6" t="s">
        <v>510</v>
      </c>
      <c r="C776" s="7">
        <v>0.0452</v>
      </c>
    </row>
    <row r="777" spans="1:3">
      <c r="A777" s="6" t="s">
        <v>511</v>
      </c>
      <c r="B777" s="6" t="s">
        <v>512</v>
      </c>
      <c r="C777" s="7">
        <v>0.049</v>
      </c>
    </row>
    <row r="778" spans="1:3">
      <c r="A778" s="6" t="s">
        <v>513</v>
      </c>
      <c r="B778" s="6" t="s">
        <v>514</v>
      </c>
      <c r="C778" s="7">
        <v>0.0731</v>
      </c>
    </row>
    <row r="779" spans="1:3">
      <c r="A779" s="6" t="s">
        <v>515</v>
      </c>
      <c r="B779" s="6" t="s">
        <v>516</v>
      </c>
      <c r="C779" s="7">
        <v>0.0792</v>
      </c>
    </row>
    <row r="780" spans="1:3">
      <c r="A780" s="6" t="s">
        <v>517</v>
      </c>
      <c r="B780" s="6" t="s">
        <v>518</v>
      </c>
      <c r="C780" s="7">
        <v>0.2233</v>
      </c>
    </row>
    <row r="781" spans="1:3">
      <c r="A781" s="6" t="s">
        <v>808</v>
      </c>
      <c r="B781" s="6" t="s">
        <v>809</v>
      </c>
      <c r="C781" s="7">
        <v>0.2192</v>
      </c>
    </row>
    <row r="782" spans="1:3">
      <c r="A782" s="6" t="s">
        <v>810</v>
      </c>
      <c r="B782" s="6" t="s">
        <v>811</v>
      </c>
      <c r="C782" s="7">
        <v>0.0679</v>
      </c>
    </row>
    <row r="783" spans="1:3">
      <c r="A783" s="6" t="s">
        <v>812</v>
      </c>
      <c r="B783" s="6" t="s">
        <v>813</v>
      </c>
      <c r="C783" s="7">
        <v>0</v>
      </c>
    </row>
    <row r="784" spans="1:3">
      <c r="A784" s="6" t="s">
        <v>918</v>
      </c>
      <c r="B784" s="6" t="s">
        <v>919</v>
      </c>
      <c r="C784" s="7">
        <v>0.2375</v>
      </c>
    </row>
    <row r="785" spans="1:3">
      <c r="A785" s="6" t="s">
        <v>814</v>
      </c>
      <c r="B785" s="6" t="s">
        <v>815</v>
      </c>
      <c r="C785" s="7">
        <v>0.05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22" customWidth="1"/>
    <col min="2" max="2" width="54" customWidth="1"/>
    <col min="3" max="3" width="28" customWidth="1"/>
    <col min="4" max="4" width="62" customWidth="1"/>
  </cols>
  <sheetData>
    <row r="1" ht="32" customHeight="1" spans="1:4">
      <c r="A1" s="3" t="s">
        <v>161</v>
      </c>
      <c r="B1" s="3" t="s">
        <v>82</v>
      </c>
      <c r="C1" s="3" t="s">
        <v>1913</v>
      </c>
      <c r="D1" s="3" t="s">
        <v>1914</v>
      </c>
    </row>
    <row r="2" spans="1:4">
      <c r="A2" t="s">
        <v>98</v>
      </c>
      <c r="B2" t="s">
        <v>99</v>
      </c>
      <c r="C2" s="5">
        <v>0.095</v>
      </c>
      <c r="D2" t="s">
        <v>1915</v>
      </c>
    </row>
    <row r="3" spans="1:4">
      <c r="A3" t="s">
        <v>100</v>
      </c>
      <c r="B3" t="s">
        <v>101</v>
      </c>
      <c r="C3" s="5">
        <v>0.13</v>
      </c>
      <c r="D3" t="s">
        <v>1915</v>
      </c>
    </row>
    <row r="4" spans="1:4">
      <c r="A4" t="s">
        <v>102</v>
      </c>
      <c r="B4" t="s">
        <v>103</v>
      </c>
      <c r="C4" s="5">
        <v>0.167</v>
      </c>
      <c r="D4" t="s">
        <v>1915</v>
      </c>
    </row>
    <row r="5" spans="1:4">
      <c r="A5" t="s">
        <v>104</v>
      </c>
      <c r="B5" t="s">
        <v>105</v>
      </c>
      <c r="C5" s="5">
        <v>0.172</v>
      </c>
      <c r="D5" t="s">
        <v>1915</v>
      </c>
    </row>
    <row r="6" spans="1:4">
      <c r="A6" t="s">
        <v>106</v>
      </c>
      <c r="B6" t="s">
        <v>107</v>
      </c>
      <c r="C6" s="5">
        <v>0.208</v>
      </c>
      <c r="D6" t="s">
        <v>1915</v>
      </c>
    </row>
    <row r="7" spans="1:4">
      <c r="A7" t="s">
        <v>108</v>
      </c>
      <c r="B7" t="s">
        <v>109</v>
      </c>
      <c r="C7" s="5">
        <v>0.216</v>
      </c>
      <c r="D7" t="s">
        <v>1915</v>
      </c>
    </row>
    <row r="8" spans="1:4">
      <c r="A8" t="s">
        <v>110</v>
      </c>
      <c r="B8" t="s">
        <v>111</v>
      </c>
      <c r="C8" s="5">
        <v>0.168</v>
      </c>
      <c r="D8" t="s">
        <v>1915</v>
      </c>
    </row>
    <row r="9" spans="1:4">
      <c r="A9" t="s">
        <v>112</v>
      </c>
      <c r="B9" t="s">
        <v>113</v>
      </c>
      <c r="C9" s="5">
        <v>0.105</v>
      </c>
      <c r="D9" t="s">
        <v>1915</v>
      </c>
    </row>
    <row r="10" spans="1:4">
      <c r="A10" t="s">
        <v>114</v>
      </c>
      <c r="B10" t="s">
        <v>115</v>
      </c>
      <c r="C10" s="5">
        <v>0.502</v>
      </c>
      <c r="D10" t="s">
        <v>1915</v>
      </c>
    </row>
    <row r="11" spans="1:4">
      <c r="A11" t="s">
        <v>116</v>
      </c>
      <c r="B11" t="s">
        <v>117</v>
      </c>
      <c r="C11" s="5">
        <v>0.401</v>
      </c>
      <c r="D11" t="s">
        <v>1915</v>
      </c>
    </row>
    <row r="12" spans="1:4">
      <c r="A12" t="s">
        <v>118</v>
      </c>
      <c r="B12" t="s">
        <v>119</v>
      </c>
      <c r="C12" s="5">
        <v>0.308</v>
      </c>
      <c r="D12" t="s">
        <v>1915</v>
      </c>
    </row>
    <row r="13" spans="1:4">
      <c r="A13" t="s">
        <v>120</v>
      </c>
      <c r="B13" t="s">
        <v>121</v>
      </c>
      <c r="C13" s="5">
        <v>0.427</v>
      </c>
      <c r="D13" t="s">
        <v>1915</v>
      </c>
    </row>
    <row r="14" spans="1:4">
      <c r="A14" t="s">
        <v>122</v>
      </c>
      <c r="B14" t="s">
        <v>123</v>
      </c>
      <c r="C14" s="5">
        <v>0.232</v>
      </c>
      <c r="D14" t="s">
        <v>1915</v>
      </c>
    </row>
    <row r="15" spans="1:4">
      <c r="A15" t="s">
        <v>124</v>
      </c>
      <c r="B15" t="s">
        <v>125</v>
      </c>
      <c r="C15" s="5">
        <v>0.217</v>
      </c>
      <c r="D15" t="s">
        <v>1915</v>
      </c>
    </row>
    <row r="16" spans="1:4">
      <c r="A16" t="s">
        <v>126</v>
      </c>
      <c r="B16" t="s">
        <v>127</v>
      </c>
      <c r="C16" s="5">
        <v>0.399</v>
      </c>
      <c r="D16" t="s">
        <v>1915</v>
      </c>
    </row>
    <row r="17" spans="1:4">
      <c r="A17" t="s">
        <v>128</v>
      </c>
      <c r="B17" t="s">
        <v>129</v>
      </c>
      <c r="C17" s="5">
        <v>0.248</v>
      </c>
      <c r="D17" t="s">
        <v>1915</v>
      </c>
    </row>
    <row r="18" spans="1:4">
      <c r="A18" t="s">
        <v>130</v>
      </c>
      <c r="B18" t="s">
        <v>131</v>
      </c>
      <c r="C18" s="5">
        <v>0.168</v>
      </c>
      <c r="D18" t="s">
        <v>1915</v>
      </c>
    </row>
    <row r="19" spans="1:4">
      <c r="A19" t="s">
        <v>132</v>
      </c>
      <c r="B19" t="s">
        <v>133</v>
      </c>
      <c r="C19" s="5">
        <v>0.101</v>
      </c>
      <c r="D19" t="s">
        <v>1915</v>
      </c>
    </row>
    <row r="20" spans="1:4">
      <c r="A20" t="s">
        <v>134</v>
      </c>
      <c r="B20" t="s">
        <v>135</v>
      </c>
      <c r="C20" s="5">
        <v>0.127</v>
      </c>
      <c r="D20" t="s">
        <v>1915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pane ySplit="1" topLeftCell="A2" activePane="bottomLeft" state="frozen"/>
      <selection/>
      <selection pane="bottomLeft" activeCell="A1" sqref="A1:F1"/>
    </sheetView>
  </sheetViews>
  <sheetFormatPr defaultColWidth="9" defaultRowHeight="16.8" outlineLevelCol="5"/>
  <cols>
    <col min="1" max="1" width="28" customWidth="1"/>
    <col min="2" max="3" width="60" customWidth="1"/>
    <col min="4" max="4" width="40" customWidth="1"/>
    <col min="5" max="5" width="88" customWidth="1"/>
    <col min="6" max="6" width="8" customWidth="1"/>
  </cols>
  <sheetData>
    <row r="1" ht="34" customHeight="1" spans="1:6">
      <c r="A1" s="1" t="s">
        <v>1916</v>
      </c>
      <c r="B1" s="1"/>
      <c r="C1" s="1"/>
      <c r="D1" s="1"/>
      <c r="E1" s="1"/>
      <c r="F1" s="1"/>
    </row>
    <row r="2" ht="28" customHeight="1" spans="1:6">
      <c r="A2" s="2" t="s">
        <v>1917</v>
      </c>
      <c r="B2" s="2"/>
      <c r="C2" s="2"/>
      <c r="D2" s="2"/>
      <c r="E2" s="2"/>
      <c r="F2" s="2"/>
    </row>
    <row r="4" ht="32" customHeight="1" spans="1:6">
      <c r="A4" s="3" t="s">
        <v>1918</v>
      </c>
      <c r="B4" s="3" t="s">
        <v>1919</v>
      </c>
      <c r="C4" s="3" t="s">
        <v>1920</v>
      </c>
      <c r="D4" s="3" t="s">
        <v>1921</v>
      </c>
      <c r="E4" s="3" t="s">
        <v>1922</v>
      </c>
      <c r="F4" s="3" t="s">
        <v>7</v>
      </c>
    </row>
    <row r="5" ht="34" customHeight="1" spans="1:6">
      <c r="A5" s="4" t="s">
        <v>1923</v>
      </c>
      <c r="B5" s="4" t="s">
        <v>1924</v>
      </c>
      <c r="C5" s="4" t="s">
        <v>1925</v>
      </c>
      <c r="D5" s="4" t="s">
        <v>1926</v>
      </c>
      <c r="E5" s="4" t="s">
        <v>1927</v>
      </c>
      <c r="F5" t="s">
        <v>7</v>
      </c>
    </row>
    <row r="6" ht="34" customHeight="1" spans="1:6">
      <c r="A6" s="4" t="s">
        <v>1928</v>
      </c>
      <c r="B6" s="4" t="s">
        <v>1929</v>
      </c>
      <c r="C6" s="4" t="s">
        <v>1930</v>
      </c>
      <c r="D6" s="4" t="s">
        <v>1931</v>
      </c>
      <c r="E6" s="4" t="s">
        <v>1932</v>
      </c>
      <c r="F6" t="s">
        <v>7</v>
      </c>
    </row>
    <row r="7" ht="34" customHeight="1" spans="1:6">
      <c r="A7" s="4" t="s">
        <v>1933</v>
      </c>
      <c r="B7" s="4" t="s">
        <v>1934</v>
      </c>
      <c r="C7" s="4" t="s">
        <v>1935</v>
      </c>
      <c r="D7" s="4" t="s">
        <v>1936</v>
      </c>
      <c r="E7" s="4" t="s">
        <v>1937</v>
      </c>
      <c r="F7" t="s">
        <v>7</v>
      </c>
    </row>
    <row r="8" ht="34" customHeight="1" spans="1:6">
      <c r="A8" s="4" t="s">
        <v>1938</v>
      </c>
      <c r="B8" s="4" t="s">
        <v>1939</v>
      </c>
      <c r="C8" s="4" t="s">
        <v>1940</v>
      </c>
      <c r="D8" s="4" t="s">
        <v>1941</v>
      </c>
      <c r="E8" s="4" t="s">
        <v>1942</v>
      </c>
      <c r="F8" t="s">
        <v>7</v>
      </c>
    </row>
    <row r="9" ht="34" customHeight="1" spans="1:6">
      <c r="A9" s="4" t="s">
        <v>1943</v>
      </c>
      <c r="B9" s="4" t="s">
        <v>1944</v>
      </c>
      <c r="C9" s="4" t="s">
        <v>1945</v>
      </c>
      <c r="D9" s="4" t="s">
        <v>1946</v>
      </c>
      <c r="E9" s="4" t="s">
        <v>1947</v>
      </c>
      <c r="F9" t="s">
        <v>7</v>
      </c>
    </row>
    <row r="10" ht="34" customHeight="1" spans="1:6">
      <c r="A10" s="4" t="s">
        <v>1948</v>
      </c>
      <c r="B10" s="4" t="s">
        <v>1949</v>
      </c>
      <c r="C10" s="4" t="s">
        <v>1950</v>
      </c>
      <c r="D10" s="4" t="s">
        <v>1951</v>
      </c>
      <c r="E10" s="4" t="s">
        <v>1952</v>
      </c>
      <c r="F10" t="s">
        <v>7</v>
      </c>
    </row>
    <row r="11" ht="34" customHeight="1" spans="1:6">
      <c r="A11" s="4" t="s">
        <v>1953</v>
      </c>
      <c r="B11" s="4" t="s">
        <v>1954</v>
      </c>
      <c r="C11" s="4" t="s">
        <v>1955</v>
      </c>
      <c r="D11" s="4" t="s">
        <v>1956</v>
      </c>
      <c r="E11" s="4" t="s">
        <v>1957</v>
      </c>
      <c r="F11" t="s">
        <v>7</v>
      </c>
    </row>
    <row r="12" ht="34" customHeight="1" spans="1:6">
      <c r="A12" s="4" t="s">
        <v>1958</v>
      </c>
      <c r="B12" s="4" t="s">
        <v>1959</v>
      </c>
      <c r="C12" s="4" t="s">
        <v>1960</v>
      </c>
      <c r="D12" s="4" t="s">
        <v>1961</v>
      </c>
      <c r="E12" s="4" t="s">
        <v>1962</v>
      </c>
      <c r="F12" t="s">
        <v>7</v>
      </c>
    </row>
    <row r="13" ht="34" customHeight="1" spans="1:6">
      <c r="A13" s="4" t="s">
        <v>1963</v>
      </c>
      <c r="B13" s="4" t="s">
        <v>1964</v>
      </c>
      <c r="C13" s="4" t="s">
        <v>1965</v>
      </c>
      <c r="D13" s="4" t="s">
        <v>1966</v>
      </c>
      <c r="E13" s="4" t="s">
        <v>1967</v>
      </c>
      <c r="F13" t="s">
        <v>7</v>
      </c>
    </row>
    <row r="14" ht="34" customHeight="1" spans="1:6">
      <c r="A14" s="4" t="s">
        <v>1968</v>
      </c>
      <c r="B14" s="4" t="s">
        <v>1969</v>
      </c>
      <c r="C14" s="4" t="s">
        <v>1970</v>
      </c>
      <c r="D14" s="4" t="s">
        <v>1971</v>
      </c>
      <c r="E14" s="4" t="s">
        <v>1972</v>
      </c>
      <c r="F14" t="s">
        <v>7</v>
      </c>
    </row>
    <row r="15" ht="34" customHeight="1" spans="1:6">
      <c r="A15" s="4" t="s">
        <v>1973</v>
      </c>
      <c r="B15" s="4" t="s">
        <v>1974</v>
      </c>
      <c r="C15" s="4" t="s">
        <v>1975</v>
      </c>
      <c r="D15" s="4" t="s">
        <v>1976</v>
      </c>
      <c r="E15" s="4" t="s">
        <v>1977</v>
      </c>
      <c r="F15" t="s">
        <v>7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 ME</vt:lpstr>
      <vt:lpstr>01 Industry Model</vt:lpstr>
      <vt:lpstr>Five-Year Projection</vt:lpstr>
      <vt:lpstr>DATA QCEW</vt:lpstr>
      <vt:lpstr>Projection Assumptions</vt:lpstr>
      <vt:lpstr>DATA BLS Projections</vt:lpstr>
      <vt:lpstr>DATA QCEW Raw</vt:lpstr>
      <vt:lpstr>DATA OEWS</vt:lpstr>
      <vt:lpstr>DATA Wharton</vt:lpstr>
      <vt:lpstr>DATA Census</vt:lpstr>
      <vt:lpstr>03 Sources and 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WPS_1787673969</cp:lastModifiedBy>
  <dcterms:created xsi:type="dcterms:W3CDTF">2026-10-16T09:40:32Z</dcterms:created>
  <dcterms:modified xsi:type="dcterms:W3CDTF">2026-10-16T09:58:46Z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CC518CC045A18075962DD26AF833226E_42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